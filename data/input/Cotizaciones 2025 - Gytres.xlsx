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mc:AlternateContent xmlns:mc="http://schemas.openxmlformats.org/markup-compatibility/2006">
    <mc:Choice Requires="x15">
      <x15ac:absPath xmlns:x15ac="http://schemas.microsoft.com/office/spreadsheetml/2010/11/ac" url="C:\Proyectos\DataPulse\data\input\"/>
    </mc:Choice>
  </mc:AlternateContent>
  <xr:revisionPtr revIDLastSave="0" documentId="13_ncr:1_{C90C155B-4B8C-4798-BB1B-8A2716ED7A1C}" xr6:coauthVersionLast="47" xr6:coauthVersionMax="47" xr10:uidLastSave="{00000000-0000-0000-0000-000000000000}"/>
  <bookViews>
    <workbookView xWindow="-108" yWindow="-108" windowWidth="23256" windowHeight="12456" xr2:uid="{30799A0B-6866-4464-9490-B1CB62E0D134}"/>
  </bookViews>
  <sheets>
    <sheet name="PE" sheetId="29" r:id="rId1"/>
    <sheet name="Datos" sheetId="28" state="hidden" r:id="rId2"/>
  </sheets>
  <externalReferences>
    <externalReference r:id="rId3"/>
  </externalReferenc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438" i="29" l="1"/>
  <c r="O438" i="29"/>
  <c r="D438" i="29"/>
  <c r="P438" i="29"/>
  <c r="N436" i="29"/>
  <c r="N437" i="29"/>
  <c r="N439" i="29"/>
  <c r="N440" i="29"/>
  <c r="N441" i="29"/>
  <c r="O397" i="29" l="1"/>
  <c r="O398" i="29"/>
  <c r="O399" i="29"/>
  <c r="O400" i="29"/>
  <c r="O401" i="29"/>
  <c r="O402" i="29"/>
  <c r="O403" i="29"/>
  <c r="O404" i="29"/>
  <c r="O405" i="29"/>
  <c r="O406" i="29"/>
  <c r="O407" i="29"/>
  <c r="O408" i="29"/>
  <c r="O409" i="29"/>
  <c r="O410" i="29"/>
  <c r="O411" i="29"/>
  <c r="O412" i="29"/>
  <c r="O413" i="29"/>
  <c r="O414" i="29"/>
  <c r="O415" i="29"/>
  <c r="O416" i="29"/>
  <c r="O417" i="29"/>
  <c r="O418" i="29"/>
  <c r="O419" i="29"/>
  <c r="O420" i="29"/>
  <c r="O421" i="29"/>
  <c r="O422" i="29"/>
  <c r="O423" i="29"/>
  <c r="O424" i="29"/>
  <c r="O425" i="29"/>
  <c r="O426" i="29"/>
  <c r="O427" i="29"/>
  <c r="O428" i="29"/>
  <c r="O429" i="29"/>
  <c r="O430" i="29"/>
  <c r="O431" i="29"/>
  <c r="O432" i="29"/>
  <c r="O433" i="29"/>
  <c r="O434" i="29"/>
  <c r="O435" i="29"/>
  <c r="O436" i="29"/>
  <c r="N401" i="29"/>
  <c r="N402" i="29"/>
  <c r="N403" i="29"/>
  <c r="N404" i="29"/>
  <c r="N405" i="29"/>
  <c r="N406" i="29"/>
  <c r="N407" i="29"/>
  <c r="N408" i="29"/>
  <c r="N409" i="29"/>
  <c r="N410" i="29"/>
  <c r="N411" i="29"/>
  <c r="N412" i="29"/>
  <c r="N413" i="29"/>
  <c r="N414" i="29"/>
  <c r="N415" i="29"/>
  <c r="N416" i="29"/>
  <c r="N417" i="29"/>
  <c r="N418" i="29"/>
  <c r="N419" i="29"/>
  <c r="N420" i="29"/>
  <c r="N421" i="29"/>
  <c r="N422" i="29"/>
  <c r="N423" i="29"/>
  <c r="N424" i="29"/>
  <c r="N425" i="29"/>
  <c r="N426" i="29"/>
  <c r="N427" i="29"/>
  <c r="N428" i="29"/>
  <c r="N429" i="29"/>
  <c r="N430" i="29"/>
  <c r="N431" i="29"/>
  <c r="N432" i="29"/>
  <c r="N433" i="29"/>
  <c r="N434" i="29"/>
  <c r="N435" i="29"/>
  <c r="D436" i="29"/>
  <c r="P436" i="29"/>
  <c r="P435" i="29"/>
  <c r="D435" i="29"/>
  <c r="P434" i="29"/>
  <c r="D434" i="29"/>
  <c r="P433" i="29"/>
  <c r="D433" i="29"/>
  <c r="P432" i="29"/>
  <c r="D432" i="29"/>
  <c r="P431" i="29"/>
  <c r="D431" i="29"/>
  <c r="P430" i="29"/>
  <c r="D430" i="29"/>
  <c r="P429" i="29"/>
  <c r="D429" i="29"/>
  <c r="P428" i="29"/>
  <c r="D428" i="29"/>
  <c r="P427" i="29"/>
  <c r="D427" i="29"/>
  <c r="P423" i="29"/>
  <c r="D423" i="29"/>
  <c r="P422" i="29"/>
  <c r="D422" i="29"/>
  <c r="P421" i="29"/>
  <c r="D421" i="29"/>
  <c r="P420" i="29"/>
  <c r="D420" i="29"/>
  <c r="P419" i="29"/>
  <c r="D419" i="29"/>
  <c r="P418" i="29"/>
  <c r="D418" i="29"/>
  <c r="P417" i="29"/>
  <c r="D417" i="29"/>
  <c r="P416" i="29"/>
  <c r="D416" i="29"/>
  <c r="P413" i="29"/>
  <c r="D413" i="29"/>
  <c r="P412" i="29"/>
  <c r="D412" i="29"/>
  <c r="P407" i="29"/>
  <c r="D407" i="29"/>
  <c r="P406" i="29"/>
  <c r="D406" i="29"/>
  <c r="P405" i="29"/>
  <c r="D405" i="29"/>
  <c r="P401" i="29"/>
  <c r="D401" i="29"/>
  <c r="P399" i="29"/>
  <c r="D399" i="29"/>
  <c r="P398" i="29"/>
  <c r="D398" i="29"/>
  <c r="P395" i="29"/>
  <c r="D395" i="29"/>
  <c r="O393" i="29" l="1"/>
  <c r="O394" i="29"/>
  <c r="N393" i="29"/>
  <c r="N394" i="29"/>
  <c r="P425" i="29"/>
  <c r="P2" i="29"/>
  <c r="P3" i="29"/>
  <c r="P4" i="29"/>
  <c r="P5" i="29"/>
  <c r="P6" i="29"/>
  <c r="P7" i="29"/>
  <c r="P8" i="29"/>
  <c r="P9" i="29"/>
  <c r="P10" i="29"/>
  <c r="P11" i="29"/>
  <c r="P12" i="29"/>
  <c r="P13" i="29"/>
  <c r="P14" i="29"/>
  <c r="P15" i="29"/>
  <c r="P16" i="29"/>
  <c r="P17" i="29"/>
  <c r="P18" i="29"/>
  <c r="P19" i="29"/>
  <c r="P20" i="29"/>
  <c r="P21" i="29"/>
  <c r="P22" i="29"/>
  <c r="P23" i="29"/>
  <c r="P24" i="29"/>
  <c r="P25" i="29"/>
  <c r="P26" i="29"/>
  <c r="P27" i="29"/>
  <c r="P28" i="29"/>
  <c r="P29" i="29"/>
  <c r="P30" i="29"/>
  <c r="P31" i="29"/>
  <c r="P32" i="29"/>
  <c r="P33" i="29"/>
  <c r="P34" i="29"/>
  <c r="P35" i="29"/>
  <c r="P36" i="29"/>
  <c r="P37" i="29"/>
  <c r="P38" i="29"/>
  <c r="P39" i="29"/>
  <c r="P40" i="29"/>
  <c r="P41" i="29"/>
  <c r="P42" i="29"/>
  <c r="P43" i="29"/>
  <c r="P44" i="29"/>
  <c r="P45" i="29"/>
  <c r="P46" i="29"/>
  <c r="P47" i="29"/>
  <c r="P48" i="29"/>
  <c r="P49" i="29"/>
  <c r="P50" i="29"/>
  <c r="P51" i="29"/>
  <c r="P52" i="29"/>
  <c r="P53" i="29"/>
  <c r="P54" i="29"/>
  <c r="P55" i="29"/>
  <c r="P56" i="29"/>
  <c r="P57" i="29"/>
  <c r="P58" i="29"/>
  <c r="P59" i="29"/>
  <c r="P60" i="29"/>
  <c r="P61" i="29"/>
  <c r="P62" i="29"/>
  <c r="P63" i="29"/>
  <c r="P64" i="29"/>
  <c r="P65" i="29"/>
  <c r="P66" i="29"/>
  <c r="P67" i="29"/>
  <c r="P68" i="29"/>
  <c r="P69" i="29"/>
  <c r="P70" i="29"/>
  <c r="P71" i="29"/>
  <c r="P72" i="29"/>
  <c r="P73" i="29"/>
  <c r="P74" i="29"/>
  <c r="P75" i="29"/>
  <c r="P76" i="29"/>
  <c r="P77" i="29"/>
  <c r="P78" i="29"/>
  <c r="P79" i="29"/>
  <c r="P80" i="29"/>
  <c r="P81" i="29"/>
  <c r="P82" i="29"/>
  <c r="P83" i="29"/>
  <c r="P84" i="29"/>
  <c r="P85" i="29"/>
  <c r="P86" i="29"/>
  <c r="P87" i="29"/>
  <c r="P88" i="29"/>
  <c r="P89" i="29"/>
  <c r="P90" i="29"/>
  <c r="P91" i="29"/>
  <c r="P92" i="29"/>
  <c r="P93" i="29"/>
  <c r="P94" i="29"/>
  <c r="P95" i="29"/>
  <c r="P96" i="29"/>
  <c r="P97" i="29"/>
  <c r="P98" i="29"/>
  <c r="P99" i="29"/>
  <c r="P100" i="29"/>
  <c r="P101" i="29"/>
  <c r="P102" i="29"/>
  <c r="P103" i="29"/>
  <c r="P104" i="29"/>
  <c r="P105" i="29"/>
  <c r="P106" i="29"/>
  <c r="P107" i="29"/>
  <c r="P108" i="29"/>
  <c r="P109" i="29"/>
  <c r="P110" i="29"/>
  <c r="P111" i="29"/>
  <c r="P112" i="29"/>
  <c r="P113" i="29"/>
  <c r="P114" i="29"/>
  <c r="P115" i="29"/>
  <c r="P116" i="29"/>
  <c r="P117" i="29"/>
  <c r="P118" i="29"/>
  <c r="P119" i="29"/>
  <c r="P120" i="29"/>
  <c r="P121" i="29"/>
  <c r="P122" i="29"/>
  <c r="P123" i="29"/>
  <c r="P124" i="29"/>
  <c r="P125" i="29"/>
  <c r="P126" i="29"/>
  <c r="P127" i="29"/>
  <c r="P128" i="29"/>
  <c r="P129" i="29"/>
  <c r="P130" i="29"/>
  <c r="P131" i="29"/>
  <c r="P132" i="29"/>
  <c r="P133" i="29"/>
  <c r="P134" i="29"/>
  <c r="P135" i="29"/>
  <c r="P136" i="29"/>
  <c r="P137" i="29"/>
  <c r="P138" i="29"/>
  <c r="P139" i="29"/>
  <c r="P140" i="29"/>
  <c r="P141" i="29"/>
  <c r="P142" i="29"/>
  <c r="P143" i="29"/>
  <c r="P144" i="29"/>
  <c r="P145" i="29"/>
  <c r="P146" i="29"/>
  <c r="P147" i="29"/>
  <c r="P148" i="29"/>
  <c r="P149" i="29"/>
  <c r="P150" i="29"/>
  <c r="P151" i="29"/>
  <c r="P152" i="29"/>
  <c r="P153" i="29"/>
  <c r="P154" i="29"/>
  <c r="P155" i="29"/>
  <c r="P156" i="29"/>
  <c r="P157" i="29"/>
  <c r="P158" i="29"/>
  <c r="P159" i="29"/>
  <c r="P160" i="29"/>
  <c r="P161" i="29"/>
  <c r="P162" i="29"/>
  <c r="P163" i="29"/>
  <c r="P164" i="29"/>
  <c r="P165" i="29"/>
  <c r="P166" i="29"/>
  <c r="P167" i="29"/>
  <c r="P168" i="29"/>
  <c r="P169" i="29"/>
  <c r="P170" i="29"/>
  <c r="P171" i="29"/>
  <c r="P172" i="29"/>
  <c r="P173" i="29"/>
  <c r="P174" i="29"/>
  <c r="P175" i="29"/>
  <c r="P176" i="29"/>
  <c r="P177" i="29"/>
  <c r="P178" i="29"/>
  <c r="P179" i="29"/>
  <c r="P180" i="29"/>
  <c r="P181" i="29"/>
  <c r="P182" i="29"/>
  <c r="P183" i="29"/>
  <c r="P184" i="29"/>
  <c r="P185" i="29"/>
  <c r="P186" i="29"/>
  <c r="P187" i="29"/>
  <c r="P188" i="29"/>
  <c r="P189" i="29"/>
  <c r="P190" i="29"/>
  <c r="P191" i="29"/>
  <c r="P192" i="29"/>
  <c r="P193" i="29"/>
  <c r="P194" i="29"/>
  <c r="P195" i="29"/>
  <c r="P196" i="29"/>
  <c r="P197" i="29"/>
  <c r="P198" i="29"/>
  <c r="P199" i="29"/>
  <c r="P200" i="29"/>
  <c r="P201" i="29"/>
  <c r="P202" i="29"/>
  <c r="P203" i="29"/>
  <c r="P204" i="29"/>
  <c r="P205" i="29"/>
  <c r="P206" i="29"/>
  <c r="P207" i="29"/>
  <c r="P208" i="29"/>
  <c r="P209" i="29"/>
  <c r="P210" i="29"/>
  <c r="P211" i="29"/>
  <c r="P212" i="29"/>
  <c r="P213" i="29"/>
  <c r="P214" i="29"/>
  <c r="P215" i="29"/>
  <c r="P216" i="29"/>
  <c r="P217" i="29"/>
  <c r="P218" i="29"/>
  <c r="P219" i="29"/>
  <c r="P220" i="29"/>
  <c r="P221" i="29"/>
  <c r="P222" i="29"/>
  <c r="P223" i="29"/>
  <c r="P224" i="29"/>
  <c r="P225" i="29"/>
  <c r="P226" i="29"/>
  <c r="P227" i="29"/>
  <c r="P228" i="29"/>
  <c r="P229" i="29"/>
  <c r="P230" i="29"/>
  <c r="P231" i="29"/>
  <c r="P232" i="29"/>
  <c r="P233" i="29"/>
  <c r="P234" i="29"/>
  <c r="P235" i="29"/>
  <c r="P236" i="29"/>
  <c r="P237" i="29"/>
  <c r="P238" i="29"/>
  <c r="P239" i="29"/>
  <c r="P240" i="29"/>
  <c r="P241" i="29"/>
  <c r="P242" i="29"/>
  <c r="P243" i="29"/>
  <c r="P244" i="29"/>
  <c r="P245" i="29"/>
  <c r="P246" i="29"/>
  <c r="P247" i="29"/>
  <c r="P248" i="29"/>
  <c r="P249" i="29"/>
  <c r="P250" i="29"/>
  <c r="P251" i="29"/>
  <c r="P252" i="29"/>
  <c r="P253" i="29"/>
  <c r="P254" i="29"/>
  <c r="P255" i="29"/>
  <c r="P256" i="29"/>
  <c r="P257" i="29"/>
  <c r="P258" i="29"/>
  <c r="P259" i="29"/>
  <c r="P260" i="29"/>
  <c r="P261" i="29"/>
  <c r="P262" i="29"/>
  <c r="P263" i="29"/>
  <c r="P264" i="29"/>
  <c r="P265" i="29"/>
  <c r="P266" i="29"/>
  <c r="P267" i="29"/>
  <c r="P268" i="29"/>
  <c r="P269" i="29"/>
  <c r="P270" i="29"/>
  <c r="P271" i="29"/>
  <c r="P272" i="29"/>
  <c r="P273" i="29"/>
  <c r="P274" i="29"/>
  <c r="P275" i="29"/>
  <c r="P276" i="29"/>
  <c r="P277" i="29"/>
  <c r="P278" i="29"/>
  <c r="P279" i="29"/>
  <c r="P280" i="29"/>
  <c r="P281" i="29"/>
  <c r="P282" i="29"/>
  <c r="P283" i="29"/>
  <c r="P284" i="29"/>
  <c r="P285" i="29"/>
  <c r="P286" i="29"/>
  <c r="P287" i="29"/>
  <c r="P288" i="29"/>
  <c r="P289" i="29"/>
  <c r="P290" i="29"/>
  <c r="P291" i="29"/>
  <c r="P292" i="29"/>
  <c r="P293" i="29"/>
  <c r="P294" i="29"/>
  <c r="P295" i="29"/>
  <c r="P296" i="29"/>
  <c r="P297" i="29"/>
  <c r="P298" i="29"/>
  <c r="P299" i="29"/>
  <c r="P300" i="29"/>
  <c r="P301" i="29"/>
  <c r="P302" i="29"/>
  <c r="P303" i="29"/>
  <c r="P304" i="29"/>
  <c r="P305" i="29"/>
  <c r="P306" i="29"/>
  <c r="P307" i="29"/>
  <c r="P308" i="29"/>
  <c r="P309" i="29"/>
  <c r="P310" i="29"/>
  <c r="P311" i="29"/>
  <c r="P312" i="29"/>
  <c r="P313" i="29"/>
  <c r="P314" i="29"/>
  <c r="P315" i="29"/>
  <c r="P316" i="29"/>
  <c r="P317" i="29"/>
  <c r="P318" i="29"/>
  <c r="P319" i="29"/>
  <c r="P320" i="29"/>
  <c r="P321" i="29"/>
  <c r="P322" i="29"/>
  <c r="P323" i="29"/>
  <c r="P324" i="29"/>
  <c r="P325" i="29"/>
  <c r="P326" i="29"/>
  <c r="P327" i="29"/>
  <c r="P328" i="29"/>
  <c r="P329" i="29"/>
  <c r="P330" i="29"/>
  <c r="P331" i="29"/>
  <c r="P332" i="29"/>
  <c r="P333" i="29"/>
  <c r="P334" i="29"/>
  <c r="P335" i="29"/>
  <c r="P336" i="29"/>
  <c r="P337" i="29"/>
  <c r="P338" i="29"/>
  <c r="P339" i="29"/>
  <c r="P340" i="29"/>
  <c r="P341" i="29"/>
  <c r="P342" i="29"/>
  <c r="P343" i="29"/>
  <c r="P344" i="29"/>
  <c r="P345" i="29"/>
  <c r="P346" i="29"/>
  <c r="P347" i="29"/>
  <c r="P348" i="29"/>
  <c r="P349" i="29"/>
  <c r="P350" i="29"/>
  <c r="P351" i="29"/>
  <c r="P352" i="29"/>
  <c r="P353" i="29"/>
  <c r="P354" i="29"/>
  <c r="P355" i="29"/>
  <c r="P356" i="29"/>
  <c r="P357" i="29"/>
  <c r="P358" i="29"/>
  <c r="P359" i="29"/>
  <c r="P360" i="29"/>
  <c r="P361" i="29"/>
  <c r="P362" i="29"/>
  <c r="P363" i="29"/>
  <c r="P364" i="29"/>
  <c r="P365" i="29"/>
  <c r="P366" i="29"/>
  <c r="P367" i="29"/>
  <c r="P368" i="29"/>
  <c r="P369" i="29"/>
  <c r="P370" i="29"/>
  <c r="P371" i="29"/>
  <c r="P372" i="29"/>
  <c r="P373" i="29"/>
  <c r="P374" i="29"/>
  <c r="P375" i="29"/>
  <c r="P376" i="29"/>
  <c r="P377" i="29"/>
  <c r="P378" i="29"/>
  <c r="P379" i="29"/>
  <c r="P380" i="29"/>
  <c r="P381" i="29"/>
  <c r="P382" i="29"/>
  <c r="P383" i="29"/>
  <c r="P384" i="29"/>
  <c r="P385" i="29"/>
  <c r="P386" i="29"/>
  <c r="P387" i="29"/>
  <c r="P388" i="29"/>
  <c r="P389" i="29"/>
  <c r="P390" i="29"/>
  <c r="P391" i="29"/>
  <c r="P392" i="29"/>
  <c r="P393" i="29"/>
  <c r="P394" i="29"/>
  <c r="P396" i="29"/>
  <c r="P397" i="29"/>
  <c r="P400" i="29"/>
  <c r="P402" i="29"/>
  <c r="P403" i="29"/>
  <c r="P404" i="29"/>
  <c r="P408" i="29"/>
  <c r="P409" i="29"/>
  <c r="P410" i="29"/>
  <c r="P411" i="29"/>
  <c r="P414" i="29"/>
  <c r="P415" i="29"/>
  <c r="P424" i="29"/>
  <c r="P426" i="29"/>
  <c r="P437" i="29"/>
  <c r="P439" i="29"/>
  <c r="P440" i="29"/>
  <c r="P441" i="29"/>
  <c r="O437" i="29" l="1"/>
  <c r="O439" i="29"/>
  <c r="O440" i="29"/>
  <c r="O441" i="29"/>
  <c r="D440" i="29"/>
  <c r="D441" i="29"/>
  <c r="D437" i="29"/>
  <c r="D439" i="29"/>
  <c r="D425" i="29"/>
  <c r="D426" i="29"/>
  <c r="D424" i="29"/>
  <c r="O396" i="29"/>
  <c r="N378" i="29"/>
  <c r="N379" i="29"/>
  <c r="N380" i="29"/>
  <c r="N381" i="29"/>
  <c r="N382" i="29"/>
  <c r="N383" i="29"/>
  <c r="N384" i="29"/>
  <c r="N385" i="29"/>
  <c r="N386" i="29"/>
  <c r="N387" i="29"/>
  <c r="N388" i="29"/>
  <c r="N389" i="29"/>
  <c r="N390" i="29"/>
  <c r="N391" i="29"/>
  <c r="N392" i="29"/>
  <c r="N396" i="29"/>
  <c r="N400" i="29"/>
  <c r="D408" i="29"/>
  <c r="D409" i="29"/>
  <c r="D410" i="29"/>
  <c r="D411" i="29"/>
  <c r="D414" i="29"/>
  <c r="D415" i="29"/>
  <c r="O392" i="29" l="1"/>
  <c r="O391" i="29"/>
  <c r="O390" i="29"/>
  <c r="O389" i="29"/>
  <c r="O388" i="29"/>
  <c r="O387" i="29"/>
  <c r="O386" i="29"/>
  <c r="O385" i="29"/>
  <c r="O384" i="29"/>
  <c r="O383" i="29"/>
  <c r="O382" i="29"/>
  <c r="O381" i="29"/>
  <c r="O380" i="29"/>
  <c r="O379" i="29"/>
  <c r="O378" i="29"/>
  <c r="O377" i="29"/>
  <c r="O376" i="29"/>
  <c r="O375" i="29"/>
  <c r="O374" i="29"/>
  <c r="O373" i="29"/>
  <c r="O372" i="29"/>
  <c r="O371" i="29"/>
  <c r="O370" i="29"/>
  <c r="O369" i="29"/>
  <c r="O368" i="29"/>
  <c r="O367" i="29"/>
  <c r="O366" i="29"/>
  <c r="O365" i="29"/>
  <c r="O364" i="29"/>
  <c r="O363" i="29"/>
  <c r="O362" i="29"/>
  <c r="O361" i="29"/>
  <c r="O360" i="29"/>
  <c r="O359" i="29"/>
  <c r="O358" i="29"/>
  <c r="O357" i="29"/>
  <c r="O356" i="29"/>
  <c r="O354" i="29"/>
  <c r="O353" i="29"/>
  <c r="O352" i="29"/>
  <c r="O351" i="29"/>
  <c r="O350" i="29"/>
  <c r="O349" i="29"/>
  <c r="O348" i="29"/>
  <c r="O294" i="29"/>
  <c r="O281" i="29"/>
  <c r="O189" i="29"/>
  <c r="O183" i="29"/>
  <c r="O182" i="29"/>
  <c r="O179" i="29"/>
  <c r="O177" i="29"/>
  <c r="O171" i="29"/>
  <c r="O157" i="29"/>
  <c r="O153" i="29"/>
  <c r="O67" i="29"/>
  <c r="D2" i="29" l="1"/>
  <c r="D3" i="29"/>
  <c r="D4" i="29"/>
  <c r="D5" i="29"/>
  <c r="D6" i="29"/>
  <c r="D7" i="29"/>
  <c r="D8" i="29"/>
  <c r="D9" i="29"/>
  <c r="D10" i="29"/>
  <c r="D11" i="29"/>
  <c r="D12" i="29"/>
  <c r="D13" i="29"/>
  <c r="D14" i="29"/>
  <c r="D15" i="29"/>
  <c r="D16" i="29"/>
  <c r="D17" i="29"/>
  <c r="D18" i="29"/>
  <c r="D19" i="29"/>
  <c r="D20" i="29"/>
  <c r="D21" i="29"/>
  <c r="D22" i="29"/>
  <c r="D23" i="29"/>
  <c r="D24" i="29"/>
  <c r="D25" i="29"/>
  <c r="D26" i="29"/>
  <c r="D27" i="29"/>
  <c r="D28" i="29"/>
  <c r="D29" i="29"/>
  <c r="D30" i="29"/>
  <c r="D31" i="29"/>
  <c r="D32" i="29"/>
  <c r="D33" i="29"/>
  <c r="D34" i="29"/>
  <c r="D35" i="29"/>
  <c r="D36" i="29"/>
  <c r="D37" i="29"/>
  <c r="D38" i="29"/>
  <c r="D39" i="29"/>
  <c r="D40" i="29"/>
  <c r="D41" i="29"/>
  <c r="D42" i="29"/>
  <c r="D43" i="29"/>
  <c r="D44" i="29"/>
  <c r="D45" i="29"/>
  <c r="D46" i="29"/>
  <c r="D47" i="29"/>
  <c r="D48" i="29"/>
  <c r="D49" i="29"/>
  <c r="D50" i="29"/>
  <c r="D51" i="29"/>
  <c r="D52" i="29"/>
  <c r="D53" i="29"/>
  <c r="D54" i="29"/>
  <c r="D55" i="29"/>
  <c r="D56" i="29"/>
  <c r="D57" i="29"/>
  <c r="D58" i="29"/>
  <c r="D59" i="29"/>
  <c r="D60" i="29"/>
  <c r="D61" i="29"/>
  <c r="D62" i="29"/>
  <c r="D63" i="29"/>
  <c r="D64" i="29"/>
  <c r="D65" i="29"/>
  <c r="D66" i="29"/>
  <c r="D67" i="29"/>
  <c r="D68" i="29"/>
  <c r="D69" i="29"/>
  <c r="D70" i="29"/>
  <c r="D71" i="29"/>
  <c r="D72" i="29"/>
  <c r="D73" i="29"/>
  <c r="D74" i="29"/>
  <c r="D75" i="29"/>
  <c r="D76" i="29"/>
  <c r="D77" i="29"/>
  <c r="D78" i="29"/>
  <c r="D79" i="29"/>
  <c r="D80" i="29"/>
  <c r="D81" i="29"/>
  <c r="D82" i="29"/>
  <c r="D83" i="29"/>
  <c r="D84" i="29"/>
  <c r="D85" i="29"/>
  <c r="D86" i="29"/>
  <c r="D87" i="29"/>
  <c r="D88" i="29"/>
  <c r="D89" i="29"/>
  <c r="D90" i="29"/>
  <c r="D91" i="29"/>
  <c r="D92" i="29"/>
  <c r="D93" i="29"/>
  <c r="D94" i="29"/>
  <c r="D95" i="29"/>
  <c r="D96" i="29"/>
  <c r="D97" i="29"/>
  <c r="D98" i="29"/>
  <c r="D99" i="29"/>
  <c r="D100" i="29"/>
  <c r="D101" i="29"/>
  <c r="D102" i="29"/>
  <c r="D103" i="29"/>
  <c r="D104" i="29"/>
  <c r="D105" i="29"/>
  <c r="D106" i="29"/>
  <c r="D107" i="29"/>
  <c r="D108" i="29"/>
  <c r="D109" i="29"/>
  <c r="D110" i="29"/>
  <c r="D111" i="29"/>
  <c r="D112" i="29"/>
  <c r="D113" i="29"/>
  <c r="D114" i="29"/>
  <c r="D115" i="29"/>
  <c r="D116" i="29"/>
  <c r="D117" i="29"/>
  <c r="D118" i="29"/>
  <c r="D119" i="29"/>
  <c r="D120" i="29"/>
  <c r="D121" i="29"/>
  <c r="D122" i="29"/>
  <c r="D123" i="29"/>
  <c r="D124" i="29"/>
  <c r="D125" i="29"/>
  <c r="D126" i="29"/>
  <c r="D127" i="29"/>
  <c r="D128" i="29"/>
  <c r="D129" i="29"/>
  <c r="D130" i="29"/>
  <c r="D131" i="29"/>
  <c r="D132" i="29"/>
  <c r="D133" i="29"/>
  <c r="D134" i="29"/>
  <c r="D135" i="29"/>
  <c r="D136" i="29"/>
  <c r="D137" i="29"/>
  <c r="D138" i="29"/>
  <c r="D139" i="29"/>
  <c r="D140" i="29"/>
  <c r="D141" i="29"/>
  <c r="D142" i="29"/>
  <c r="D143" i="29"/>
  <c r="D144" i="29"/>
  <c r="D145" i="29"/>
  <c r="D146" i="29"/>
  <c r="D147" i="29"/>
  <c r="D148" i="29"/>
  <c r="D149" i="29"/>
  <c r="D150" i="29"/>
  <c r="D151" i="29"/>
  <c r="D152" i="29"/>
  <c r="D153" i="29"/>
  <c r="D154" i="29"/>
  <c r="D155" i="29"/>
  <c r="D156" i="29"/>
  <c r="D157" i="29"/>
  <c r="D158" i="29"/>
  <c r="D159" i="29"/>
  <c r="D160" i="29"/>
  <c r="D161" i="29"/>
  <c r="D162" i="29"/>
  <c r="D163" i="29"/>
  <c r="D164" i="29"/>
  <c r="D165" i="29"/>
  <c r="D166" i="29"/>
  <c r="D167" i="29"/>
  <c r="D168" i="29"/>
  <c r="D169" i="29"/>
  <c r="D170" i="29"/>
  <c r="D171" i="29"/>
  <c r="D172" i="29"/>
  <c r="D173" i="29"/>
  <c r="D174" i="29"/>
  <c r="D175" i="29"/>
  <c r="D176" i="29"/>
  <c r="D177" i="29"/>
  <c r="D178" i="29"/>
  <c r="D179" i="29"/>
  <c r="D180" i="29"/>
  <c r="D181" i="29"/>
  <c r="D182" i="29"/>
  <c r="D183" i="29"/>
  <c r="D184" i="29"/>
  <c r="D185" i="29"/>
  <c r="D186" i="29"/>
  <c r="D187" i="29"/>
  <c r="D188" i="29"/>
  <c r="D189" i="29"/>
  <c r="D190" i="29"/>
  <c r="D191" i="29"/>
  <c r="D192" i="29"/>
  <c r="D193" i="29"/>
  <c r="D194" i="29"/>
  <c r="D195" i="29"/>
  <c r="D196" i="29"/>
  <c r="D197" i="29"/>
  <c r="D198" i="29"/>
  <c r="D199" i="29"/>
  <c r="D200" i="29"/>
  <c r="D201" i="29"/>
  <c r="D202" i="29"/>
  <c r="D203" i="29"/>
  <c r="D204" i="29"/>
  <c r="D205" i="29"/>
  <c r="D206" i="29"/>
  <c r="D207" i="29"/>
  <c r="D208" i="29"/>
  <c r="D209" i="29"/>
  <c r="D210" i="29"/>
  <c r="D211" i="29"/>
  <c r="D212" i="29"/>
  <c r="D213" i="29"/>
  <c r="D214" i="29"/>
  <c r="D215" i="29"/>
  <c r="D216" i="29"/>
  <c r="D217" i="29"/>
  <c r="D218" i="29"/>
  <c r="D219" i="29"/>
  <c r="D220" i="29"/>
  <c r="D221" i="29"/>
  <c r="D222" i="29"/>
  <c r="D223" i="29"/>
  <c r="D224" i="29"/>
  <c r="D225" i="29"/>
  <c r="D226" i="29"/>
  <c r="D227" i="29"/>
  <c r="D228" i="29"/>
  <c r="D229" i="29"/>
  <c r="D230" i="29"/>
  <c r="D231" i="29"/>
  <c r="D232" i="29"/>
  <c r="D233" i="29"/>
  <c r="D234" i="29"/>
  <c r="D235" i="29"/>
  <c r="D236" i="29"/>
  <c r="D237" i="29"/>
  <c r="D238" i="29"/>
  <c r="D239" i="29"/>
  <c r="D240" i="29"/>
  <c r="D241" i="29"/>
  <c r="D242" i="29"/>
  <c r="D243" i="29"/>
  <c r="D244" i="29"/>
  <c r="D245" i="29"/>
  <c r="D246" i="29"/>
  <c r="D247" i="29"/>
  <c r="D248" i="29"/>
  <c r="D249" i="29"/>
  <c r="D250" i="29"/>
  <c r="D251" i="29"/>
  <c r="D252" i="29"/>
  <c r="D253" i="29"/>
  <c r="D254" i="29"/>
  <c r="D255" i="29"/>
  <c r="D256" i="29"/>
  <c r="D257" i="29"/>
  <c r="D258" i="29"/>
  <c r="D259" i="29"/>
  <c r="D260" i="29"/>
  <c r="D261" i="29"/>
  <c r="D262" i="29"/>
  <c r="D263" i="29"/>
  <c r="D264" i="29"/>
  <c r="D265" i="29"/>
  <c r="D266" i="29"/>
  <c r="D267" i="29"/>
  <c r="D268" i="29"/>
  <c r="D269" i="29"/>
  <c r="D270" i="29"/>
  <c r="D271" i="29"/>
  <c r="D272" i="29"/>
  <c r="D273" i="29"/>
  <c r="D274" i="29"/>
  <c r="D275" i="29"/>
  <c r="D276" i="29"/>
  <c r="D277" i="29"/>
  <c r="D278" i="29"/>
  <c r="D279" i="29"/>
  <c r="D280" i="29"/>
  <c r="D281" i="29"/>
  <c r="D282" i="29"/>
  <c r="D283" i="29"/>
  <c r="D284" i="29"/>
  <c r="D285" i="29"/>
  <c r="D286" i="29"/>
  <c r="D287" i="29"/>
  <c r="D288" i="29"/>
  <c r="D289" i="29"/>
  <c r="D290" i="29"/>
  <c r="D291" i="29"/>
  <c r="D292" i="29"/>
  <c r="D293" i="29"/>
  <c r="D294" i="29"/>
  <c r="D295" i="29"/>
  <c r="D296" i="29"/>
  <c r="D297" i="29"/>
  <c r="D298" i="29"/>
  <c r="D299" i="29"/>
  <c r="D300" i="29"/>
  <c r="D301" i="29"/>
  <c r="D302" i="29"/>
  <c r="D303" i="29"/>
  <c r="D304" i="29"/>
  <c r="D305" i="29"/>
  <c r="D306" i="29"/>
  <c r="D307" i="29"/>
  <c r="D308" i="29"/>
  <c r="D309" i="29"/>
  <c r="D310" i="29"/>
  <c r="D311" i="29"/>
  <c r="D312" i="29"/>
  <c r="D313" i="29"/>
  <c r="D314" i="29"/>
  <c r="D315" i="29"/>
  <c r="D316" i="29"/>
  <c r="D317" i="29"/>
  <c r="D318" i="29"/>
  <c r="D319" i="29"/>
  <c r="D320" i="29"/>
  <c r="D321" i="29"/>
  <c r="D322" i="29"/>
  <c r="D323" i="29"/>
  <c r="D324" i="29"/>
  <c r="D325" i="29"/>
  <c r="D326" i="29"/>
  <c r="D327" i="29"/>
  <c r="D328" i="29"/>
  <c r="D329" i="29"/>
  <c r="D330" i="29"/>
  <c r="D331" i="29"/>
  <c r="D332" i="29"/>
  <c r="D333" i="29"/>
  <c r="D334" i="29"/>
  <c r="D335" i="29"/>
  <c r="D336" i="29"/>
  <c r="D337" i="29"/>
  <c r="D338" i="29"/>
  <c r="D339" i="29"/>
  <c r="D340" i="29"/>
  <c r="D341" i="29"/>
  <c r="D342" i="29"/>
  <c r="D343" i="29"/>
  <c r="D344" i="29"/>
  <c r="D345" i="29"/>
  <c r="D346" i="29"/>
  <c r="D347" i="29"/>
  <c r="D348" i="29"/>
  <c r="D349" i="29"/>
  <c r="D350" i="29"/>
  <c r="D351" i="29"/>
  <c r="D352" i="29"/>
  <c r="D353" i="29"/>
  <c r="D354" i="29"/>
  <c r="D355" i="29"/>
  <c r="D356" i="29"/>
  <c r="D357" i="29"/>
  <c r="D358" i="29"/>
  <c r="D359" i="29"/>
  <c r="D360" i="29"/>
  <c r="D361" i="29"/>
  <c r="D362" i="29"/>
  <c r="D363" i="29"/>
  <c r="D364" i="29"/>
  <c r="D365" i="29"/>
  <c r="D366" i="29"/>
  <c r="D367" i="29"/>
  <c r="D368" i="29"/>
  <c r="D369" i="29"/>
  <c r="D370" i="29"/>
  <c r="D371" i="29"/>
  <c r="D372" i="29"/>
  <c r="D373" i="29"/>
  <c r="D374" i="29"/>
  <c r="D375" i="29"/>
  <c r="D376" i="29"/>
  <c r="D377" i="29"/>
  <c r="D378" i="29"/>
  <c r="D379" i="29"/>
  <c r="D380" i="29"/>
  <c r="D381" i="29"/>
  <c r="D382" i="29"/>
  <c r="D383" i="29"/>
  <c r="D384" i="29"/>
  <c r="D385" i="29"/>
  <c r="D386" i="29"/>
  <c r="D387" i="29"/>
  <c r="D388" i="29"/>
  <c r="D389" i="29"/>
  <c r="D390" i="29"/>
  <c r="D391" i="29"/>
  <c r="D392" i="29"/>
  <c r="D393" i="29"/>
  <c r="D394" i="29"/>
  <c r="D396" i="29"/>
  <c r="D397" i="29"/>
  <c r="D400" i="29"/>
  <c r="D402" i="29"/>
  <c r="D403" i="29"/>
  <c r="D404" i="29"/>
  <c r="N375" i="29" l="1"/>
  <c r="N371" i="29"/>
  <c r="N370" i="29"/>
  <c r="N369" i="29"/>
  <c r="N368" i="29"/>
  <c r="N367" i="29"/>
  <c r="N363" i="29"/>
  <c r="N364" i="29"/>
  <c r="N366" i="29"/>
  <c r="N362" i="29"/>
  <c r="N352" i="29"/>
  <c r="N353" i="29"/>
  <c r="N377" i="29" l="1"/>
  <c r="N374" i="29"/>
  <c r="N376" i="29"/>
  <c r="N373" i="29" l="1"/>
  <c r="N372" i="29"/>
  <c r="N356" i="29"/>
  <c r="N354" i="29"/>
  <c r="N361" i="29" l="1"/>
  <c r="N351" i="29"/>
  <c r="N294" i="29"/>
  <c r="N281" i="29"/>
  <c r="N189" i="29"/>
  <c r="N183" i="29"/>
  <c r="N182" i="29"/>
  <c r="N179" i="29"/>
  <c r="N177" i="29"/>
  <c r="N171" i="29"/>
  <c r="N157" i="29"/>
  <c r="N153" i="29"/>
  <c r="N67" i="29"/>
  <c r="N365" i="29"/>
  <c r="N360" i="29"/>
  <c r="N359" i="29"/>
  <c r="N358" i="29"/>
  <c r="N357" i="29"/>
  <c r="Q372" i="29"/>
  <c r="Q361" i="29"/>
  <c r="Q357" i="29"/>
  <c r="N350" i="29"/>
  <c r="N349" i="29"/>
  <c r="N348" i="29"/>
</calcChain>
</file>

<file path=xl/sharedStrings.xml><?xml version="1.0" encoding="utf-8"?>
<sst xmlns="http://schemas.openxmlformats.org/spreadsheetml/2006/main" count="4704" uniqueCount="561">
  <si>
    <t>TIPO DE SERVICIO</t>
  </si>
  <si>
    <t>Diego Mamani</t>
  </si>
  <si>
    <t>Interdiario</t>
  </si>
  <si>
    <t>FLSMIDTH S.A.C.</t>
  </si>
  <si>
    <t>Semanal</t>
  </si>
  <si>
    <t>Alison Rodriguez</t>
  </si>
  <si>
    <t>ALSUR PERU S.A.C.</t>
  </si>
  <si>
    <t>Bimestral</t>
  </si>
  <si>
    <t>UNIVERSIDAD CATOLICA DE SANTA MARIA</t>
  </si>
  <si>
    <t>Mensual</t>
  </si>
  <si>
    <t>ALQUIMODUL SAC</t>
  </si>
  <si>
    <t>ALICORP SAA</t>
  </si>
  <si>
    <t>TACONSER EIRL</t>
  </si>
  <si>
    <t>Anual</t>
  </si>
  <si>
    <t>CBB PERU S.A.</t>
  </si>
  <si>
    <t>Semestral</t>
  </si>
  <si>
    <t>Trimestral</t>
  </si>
  <si>
    <t>DANPER TRUJILLO S.A.C.</t>
  </si>
  <si>
    <t>CARMEN INMUEBLES SA</t>
  </si>
  <si>
    <t>-</t>
  </si>
  <si>
    <t>AZ ARQUITECTOS E.I.R.L.</t>
  </si>
  <si>
    <t>STIERLIFT S.A.</t>
  </si>
  <si>
    <t>POWER S.A.C.</t>
  </si>
  <si>
    <t>AUTOPROYECT E.I.R.L.</t>
  </si>
  <si>
    <t>Quincenal</t>
  </si>
  <si>
    <t>INDUSTRIAS IGGAM SAC</t>
  </si>
  <si>
    <t>VOESTALPINE HIGH PERFORMANCE METALS DEL PERU S.A</t>
  </si>
  <si>
    <t>LA JOYA MINING SOCIEDAD ANONIMA CERRADA</t>
  </si>
  <si>
    <t>TALLERES LUCAS PERÚ S.A.C.</t>
  </si>
  <si>
    <t>ASOCIACION DE AYUDA AL NINO QUEMADO</t>
  </si>
  <si>
    <t>USUARIO COMERCIAL</t>
  </si>
  <si>
    <t>CANAL DE CONOCIMIENTO</t>
  </si>
  <si>
    <t>CANAL DE COMUNICACIÓN</t>
  </si>
  <si>
    <t>SECTOR</t>
  </si>
  <si>
    <t>FRECUENCIA DE SERVICIO</t>
  </si>
  <si>
    <t>ESTADO DE PE</t>
  </si>
  <si>
    <t>TIPO DE CLIENTE</t>
  </si>
  <si>
    <t>MOLY-COP ADESUR SA</t>
  </si>
  <si>
    <t>Recurrente</t>
  </si>
  <si>
    <t>Industria</t>
  </si>
  <si>
    <t>No realizado</t>
  </si>
  <si>
    <t>Frecuente</t>
  </si>
  <si>
    <t>Reensacado de laminilla. Ejecutado por TACONSER. Motivo de no aceptación: Precio</t>
  </si>
  <si>
    <t>MOVITECNICA SA</t>
  </si>
  <si>
    <t>Página web</t>
  </si>
  <si>
    <t>Único</t>
  </si>
  <si>
    <t>Realizado</t>
  </si>
  <si>
    <t>Recolección, transporte y disposición final de Laminilla en Planta La Joya. No aprobado por precio.</t>
  </si>
  <si>
    <t>ALSUR PERU SAC</t>
  </si>
  <si>
    <t>Sede: Arequipa - Se realizó una propuesta con dos opciones de disposición 1° opción: S/ 1,263.07 y 2° opción S/ 1,485.02.</t>
  </si>
  <si>
    <t>Sede: Cusco - Se realizó una propuesta con dos opciones de disposición 1° opción: S/ 1,329.00 y 2° opción S/ 2,487.74.</t>
  </si>
  <si>
    <t>PESQUERA DIAMANTE SA</t>
  </si>
  <si>
    <t>Pesquería</t>
  </si>
  <si>
    <t>Nuevo</t>
  </si>
  <si>
    <t>No se aprobó por precio</t>
  </si>
  <si>
    <t>Aprovechables</t>
  </si>
  <si>
    <t>En Evaluación</t>
  </si>
  <si>
    <t>ASOCIACION DE EMPRESAS DEL PARQUE INDUST RIAL DE AREQUIPA</t>
  </si>
  <si>
    <t>Recomendación</t>
  </si>
  <si>
    <t>MEXICHEM PERÚ SA</t>
  </si>
  <si>
    <t>Correo</t>
  </si>
  <si>
    <t>Propuesta para retirar chatarra metálica en Plastisur, quedo pendiente la confirmación de fecha para su ejecución.</t>
  </si>
  <si>
    <t>Daniela Camero</t>
  </si>
  <si>
    <t>ALIMENTOS PROCESADOS S.A</t>
  </si>
  <si>
    <t>No aprobado por precio.</t>
  </si>
  <si>
    <t>COMPAÑIA MINERA CORIRE S.A.C.</t>
  </si>
  <si>
    <t>Minería</t>
  </si>
  <si>
    <t>ESTRUCTURAS Y V R SAC</t>
  </si>
  <si>
    <t>Vivienda y construcción</t>
  </si>
  <si>
    <t>DOMINION PERÚ SOLUCIONES Y SERVICIOS SAC</t>
  </si>
  <si>
    <t>AGRICOLA PAMPA BAJA SAC</t>
  </si>
  <si>
    <t>BEAR CREEK MINING SAC</t>
  </si>
  <si>
    <t>Integral</t>
  </si>
  <si>
    <t>LAIVE SA</t>
  </si>
  <si>
    <t>CORP.ELECTROMECANICA EN ING. Y CONSTR SAC</t>
  </si>
  <si>
    <t>El cliente desea que se genere un certificado de disposición como No Peligroso (Metales)</t>
  </si>
  <si>
    <t>RIFUSE SANEAMIENTO AMBIENTAL SRL</t>
  </si>
  <si>
    <t xml:space="preserve">Saneamiento </t>
  </si>
  <si>
    <t>CONSORCIO INDUSTRIAL DE AREQUIPA SA</t>
  </si>
  <si>
    <t xml:space="preserve">CASA DE LA JUVENTUD </t>
  </si>
  <si>
    <t>Salud</t>
  </si>
  <si>
    <t>MINERA TITÁN DEL PERÚ SRL</t>
  </si>
  <si>
    <t>RCD</t>
  </si>
  <si>
    <t>LinkedIn</t>
  </si>
  <si>
    <t>MANTENIMIENTO Y MONTAJE INDUSTRIALES SA</t>
  </si>
  <si>
    <t>GESTIÓN DE SERVICIOS AMBIENTALES SAC</t>
  </si>
  <si>
    <t>COOPERATIVA MINERA COMIG DE ANANEA LIMITADA</t>
  </si>
  <si>
    <t>SK RENTAL SAC</t>
  </si>
  <si>
    <t>Transporte</t>
  </si>
  <si>
    <t>ISSA PERU SAC</t>
  </si>
  <si>
    <t>Electricidad</t>
  </si>
  <si>
    <t>NFU</t>
  </si>
  <si>
    <t>TUBERIAS Y GEOSISTEMAS DEL PERÚ SA</t>
  </si>
  <si>
    <t>RED MEGACENTRO</t>
  </si>
  <si>
    <t>ALICORP SA</t>
  </si>
  <si>
    <t>CONSORCIO SAN FRANSISCO</t>
  </si>
  <si>
    <t>LONCCOS Y CCALAS SAC</t>
  </si>
  <si>
    <t>CENTRAL DE COOPERATIVAS MINERAS RINCONADA Y LUNAR DE ORO</t>
  </si>
  <si>
    <t>TUBERIAS Y GEOSISTEMAS DEL PERU</t>
  </si>
  <si>
    <t>RECOLSA S.A.</t>
  </si>
  <si>
    <t xml:space="preserve">SAMAY I S.A.C </t>
  </si>
  <si>
    <t>2,630.76‬</t>
  </si>
  <si>
    <t xml:space="preserve">R&amp;C INGENIEROS CONSULTORES Y CONSTRUCTORES S.R.L </t>
  </si>
  <si>
    <t xml:space="preserve">COOP.MINERA SAN MIGUEL DE APOROMA LTDA </t>
  </si>
  <si>
    <t>ALEACIONES FERROSAS Y METALICAS S.A.C.</t>
  </si>
  <si>
    <t>MAGRASS LA GREE S.A.C.</t>
  </si>
  <si>
    <t>PROYECTO MINERO ESTELA</t>
  </si>
  <si>
    <t>CORPORACION DE PROVEEDORES DE BIENES Y SERVICIOS CARAPONGO E.I.R.L.</t>
  </si>
  <si>
    <t>Se emitió el convenio por S/250.00</t>
  </si>
  <si>
    <t xml:space="preserve">INNOVA AMBIENTAL S.A. </t>
  </si>
  <si>
    <t>Se presento 4 opciones según la capacidad del vehículo</t>
  </si>
  <si>
    <t xml:space="preserve">A &amp; D PROYECTOS Y CONSTRUCCIONES S.A.C. </t>
  </si>
  <si>
    <t>CONSORCIO SANEAMIENTO CHALA </t>
  </si>
  <si>
    <t xml:space="preserve">EMBOTELLADORA SAN MIGUEL DEL SUR S.A.C. </t>
  </si>
  <si>
    <t xml:space="preserve">CONSORCIO SANEAMIENTO CHALA  </t>
  </si>
  <si>
    <t>TUBERIAS Y GEOSISTEMAS DEL PERU S.A</t>
  </si>
  <si>
    <t>Venta de Botellón metálico</t>
  </si>
  <si>
    <t>SAMA LAB E.I.R.L</t>
  </si>
  <si>
    <t xml:space="preserve">CONSORCIO HOZEGA </t>
  </si>
  <si>
    <t xml:space="preserve">ARENAS QUENAYA ADA MASSIEL </t>
  </si>
  <si>
    <t>Valeria Jibaja</t>
  </si>
  <si>
    <t>LADRILLERA EL DIAMANTE S.A.C.</t>
  </si>
  <si>
    <t>Transformadora de Alimentos America S.A.C</t>
  </si>
  <si>
    <t>Cliente optó por regalarlos o ver otra opción de descartarlos</t>
  </si>
  <si>
    <t xml:space="preserve">MINERA ENCOISA E.I.R.L. </t>
  </si>
  <si>
    <t>Se cotizo por M3</t>
  </si>
  <si>
    <t>BLESSING MULTIESTETICA S.A.C.</t>
  </si>
  <si>
    <t xml:space="preserve">P  &amp; P CONSULTORES Y EJECUTORES S.R.L </t>
  </si>
  <si>
    <t>Los residuos se traerán a el almacén y de aquí serán llevados a su disposición</t>
  </si>
  <si>
    <t>TACONSER E.I.R.L.</t>
  </si>
  <si>
    <t xml:space="preserve">D.C.R. MINERIA Y CONSTRUCCIÓN S.A.C. </t>
  </si>
  <si>
    <t>CONSORCIO LA JOYA II</t>
  </si>
  <si>
    <t>RAEE</t>
  </si>
  <si>
    <t>Dejara los residuos en nuestro almacén</t>
  </si>
  <si>
    <t>AEROPUERTOS ANDINOS DEL PERU S.A.</t>
  </si>
  <si>
    <t>Reducción de precios</t>
  </si>
  <si>
    <t xml:space="preserve">P &amp; P CONSULTORES Y EJECUTORES S.R.L </t>
  </si>
  <si>
    <t xml:space="preserve">KANAY S.A.C. </t>
  </si>
  <si>
    <t>Considera realizar el servicio un domingo</t>
  </si>
  <si>
    <t>PE adicional considerando otros residuos aprovechables para el contrato (Cusco)</t>
  </si>
  <si>
    <t>PE adicional considerando otros residuos aprovechables para el contrato (Arequipa)</t>
  </si>
  <si>
    <t xml:space="preserve">A CLAS COCACHACRA </t>
  </si>
  <si>
    <t>CONCRETOS SUPERMIX S.A.</t>
  </si>
  <si>
    <t>Agrícola Pampa Baja</t>
  </si>
  <si>
    <t>Saneamiento</t>
  </si>
  <si>
    <t xml:space="preserve">Succión de lodos sedimentados en una poza. Alto contenido de estiércol. Aprox 90 m3. </t>
  </si>
  <si>
    <t xml:space="preserve">BIO ELEMENTAL PERU S.A.C. </t>
  </si>
  <si>
    <t>Facebook</t>
  </si>
  <si>
    <t>Recolección de Epp´s y botas de seguridad</t>
  </si>
  <si>
    <t>MEGA PESCA S.A.</t>
  </si>
  <si>
    <t xml:space="preserve">DANPER TRUJILLO S.A.C. </t>
  </si>
  <si>
    <t>TALMA SERVICIOS AEROPORTUARIOS S.A</t>
  </si>
  <si>
    <t>Precios considerando el trasvase y otras observaciones levantadas después de la visita técnica</t>
  </si>
  <si>
    <t>Precios considerando el trasvase y otras observaciones levantadas después de la visita técnica. Donde ellos nos darán los contenedores</t>
  </si>
  <si>
    <t>GRANJA RINCONADA DEL SUR SA</t>
  </si>
  <si>
    <t>Se actualizo la PE por el ingreso de la nueva encargada.</t>
  </si>
  <si>
    <t>PLÁSTICOS Y METALES SAC</t>
  </si>
  <si>
    <t>CORP.ELECTROMECANICA EN ING.Y CONSTR S.A.C</t>
  </si>
  <si>
    <t>Alexandra Aragón Zapana</t>
  </si>
  <si>
    <t>Residuos de fibra óptica</t>
  </si>
  <si>
    <t>INVERSIONES MILLENIUM EIL</t>
  </si>
  <si>
    <t>Destrucción de equipos médicos</t>
  </si>
  <si>
    <t>ROHA CONSTRUCCION Y MINERIA S.A.C.</t>
  </si>
  <si>
    <t>El cliente desea que se pueda ingresar al RS con su vehículo que es un volquete</t>
  </si>
  <si>
    <t xml:space="preserve">ALICORP S.A.A. </t>
  </si>
  <si>
    <t>Servicio solicitado porque se acumularon residuos</t>
  </si>
  <si>
    <t>CONSORCIO PUENTES DEL NORTE</t>
  </si>
  <si>
    <t>La planta donde se haría la recolección se encuentra en Puno</t>
  </si>
  <si>
    <t>El cliente genera aprox 30 kg, juntará de forma mensual para el envío a nuestras instalaciones</t>
  </si>
  <si>
    <t>Mishelle Tapia Zegarra</t>
  </si>
  <si>
    <t>Se considera la disposición directa de los residuos</t>
  </si>
  <si>
    <t>Aceite de pescado - aceite usado</t>
  </si>
  <si>
    <t>Sede Arequipa</t>
  </si>
  <si>
    <t>Sede Ayacucho</t>
  </si>
  <si>
    <t>Sede Puerto Maldonado</t>
  </si>
  <si>
    <t>Sede Tacna</t>
  </si>
  <si>
    <t>Sede Juliaca</t>
  </si>
  <si>
    <t>COMINTEL SAC</t>
  </si>
  <si>
    <t>ADMINISTRADORA DE SERVICIOS FUNERARIOS SAC</t>
  </si>
  <si>
    <t>UNIVERSIDAD TECNOLOGICA DEL PERU S.A.C.</t>
  </si>
  <si>
    <t>Educación</t>
  </si>
  <si>
    <t xml:space="preserve">COMIMTEL S.A.C. </t>
  </si>
  <si>
    <t>Actualización de lugar de destino</t>
  </si>
  <si>
    <t xml:space="preserve">FUNDO MONTECRUZ E.I.R.L. </t>
  </si>
  <si>
    <t xml:space="preserve">Actualización de precio </t>
  </si>
  <si>
    <t xml:space="preserve">RESITER PERU S.A.C. </t>
  </si>
  <si>
    <t xml:space="preserve">CORP.ELECTROMECANICA EN ING.Y CONSTR S.A.C </t>
  </si>
  <si>
    <t>AVICOLA CRISTHIAN E.I.R.L</t>
  </si>
  <si>
    <t xml:space="preserve">NEGOCIOS METALÚRGICOS S.A.C. </t>
  </si>
  <si>
    <t xml:space="preserve">SAFETY TRANSPORT PERU S.R.L </t>
  </si>
  <si>
    <t>TUBERIAS Y GEOSISTEMAS DEL PERÚ S.A.</t>
  </si>
  <si>
    <t xml:space="preserve">EPC INGENIERIA EN PROYECTOS S.A.C. </t>
  </si>
  <si>
    <t xml:space="preserve">STIERLIFT S.A. </t>
  </si>
  <si>
    <t>ALFA CO S.A.C</t>
  </si>
  <si>
    <t>ASOCIACION TECSUP N°2</t>
  </si>
  <si>
    <t>AUTOPROYECT E.I.R.L</t>
  </si>
  <si>
    <t>CONTROL CONSULTORA Y CONSTRUCTORA E.I.R.L.</t>
  </si>
  <si>
    <t>COOP.MINEA SAN MIGUEL DE APOROMA LTDA</t>
  </si>
  <si>
    <t>ASOCIACION PAZ-PERU-ORGANISMO NO GUBERNAMENTAL_x000D_</t>
  </si>
  <si>
    <t>Maria Elena Saca</t>
  </si>
  <si>
    <t>ECOCRET S.A.</t>
  </si>
  <si>
    <t>SJ INGENIEROS S.R.L.</t>
  </si>
  <si>
    <t>LIDER INVERSIONES AREQUIPA SA</t>
  </si>
  <si>
    <t>GRANJA RINCONADA DEL SUR</t>
  </si>
  <si>
    <t>OGEEN</t>
  </si>
  <si>
    <t>FAB DE CHOCOLATE LA IBERICA SA</t>
  </si>
  <si>
    <t>LA JOYA MINING SAC</t>
  </si>
  <si>
    <t>FLSMIDTH SAC</t>
  </si>
  <si>
    <t>CALAVERA TATTO EIRL</t>
  </si>
  <si>
    <t>SERVICIOS TAWA EIRL</t>
  </si>
  <si>
    <t>QUIMICOS GOICOCHEA SAC</t>
  </si>
  <si>
    <t>ADRA PERÚ</t>
  </si>
  <si>
    <t>CONSORCIO SANEAMIENTO CHALA</t>
  </si>
  <si>
    <t>LABORATORIOS INDESTEC SAC</t>
  </si>
  <si>
    <t xml:space="preserve">PERU BELMOND HOTELS S.A. </t>
  </si>
  <si>
    <t xml:space="preserve">Hotelería </t>
  </si>
  <si>
    <t xml:space="preserve">MM &amp; S S.A.C. </t>
  </si>
  <si>
    <t>Metalmecánica</t>
  </si>
  <si>
    <t xml:space="preserve">AZ ARQUITECTOS E.I.R.L. </t>
  </si>
  <si>
    <t xml:space="preserve">ECO CLEAN L &amp; M S.A.C. </t>
  </si>
  <si>
    <t>PULSO CORPORACIÓN MÉDICA S.A.C</t>
  </si>
  <si>
    <t xml:space="preserve">FAB DE CHOCOLATES LA IBERICA S.A </t>
  </si>
  <si>
    <t xml:space="preserve">GRANJA RINCONADA DEL SUR S.A. </t>
  </si>
  <si>
    <t xml:space="preserve">VULCO PERU S.A. </t>
  </si>
  <si>
    <t>PROYECTO MINERO SAN ANTONIO Y MARIA</t>
  </si>
  <si>
    <t xml:space="preserve">ALFATEK ENERGY S.A.C. </t>
  </si>
  <si>
    <t xml:space="preserve">MOLY-COP ADESUR S.A. </t>
  </si>
  <si>
    <t xml:space="preserve">COSAPI MINERIA S.A.C. </t>
  </si>
  <si>
    <t>QUISPE CJURO FABIOLA IRENE</t>
  </si>
  <si>
    <t>PROCESADORA AGROINDUSTRIAL LA JOYA S.A.C.</t>
  </si>
  <si>
    <t xml:space="preserve">FLSMIDTH S.A.C. </t>
  </si>
  <si>
    <t>COOPERATIVA DE PRODUCCION Y SERVICIOS ESPECIALES DE LOS PRODUCTORES DE CAMELIDOS ANDINOS LTDA</t>
  </si>
  <si>
    <t>Textil</t>
  </si>
  <si>
    <t xml:space="preserve">Se actualizo debido a que se redujo la cantidad de residuos </t>
  </si>
  <si>
    <t>AEI S.R.L</t>
  </si>
  <si>
    <t>No se aceptó por estar fuera de su presupuesto establecido, se requeria trabajar Domingo.</t>
  </si>
  <si>
    <t>No se aceptó por estar fuera de su presupuesto establecido.</t>
  </si>
  <si>
    <t>SANTA URSULA SERVICIOS DE SALUD E.I.R.L</t>
  </si>
  <si>
    <t>No se aceptó por estar fuera de su presupuesto establecido, el precio fue mayor al contrato anterior.</t>
  </si>
  <si>
    <t xml:space="preserve">SICOH S.A.C.  </t>
  </si>
  <si>
    <t>En evalución por el area de compras. Parte de la licitación.</t>
  </si>
  <si>
    <t xml:space="preserve">UNITELEC S.A.C. </t>
  </si>
  <si>
    <t>Telecomunicaciones</t>
  </si>
  <si>
    <t>Está por definirse por parte de su gerencia.</t>
  </si>
  <si>
    <t>PE en evaluación, comentan que no tienen aprovación del area encargada.</t>
  </si>
  <si>
    <t xml:space="preserve">NOATUM LOGISTICS PERU INC. S.R.L. </t>
  </si>
  <si>
    <t>En evaluación, la persona de contacto se encuentra de descanso</t>
  </si>
  <si>
    <t xml:space="preserve">SICOH S.A.C. </t>
  </si>
  <si>
    <t>En evalución por gerencia</t>
  </si>
  <si>
    <t xml:space="preserve">CORPORACIÓN JYJ INGENIEROS SAC </t>
  </si>
  <si>
    <t>Consultoría e ingeniería</t>
  </si>
  <si>
    <t xml:space="preserve">GRUPO DE GESTION C S.A. </t>
  </si>
  <si>
    <t xml:space="preserve">El cliente indica que se actualizara ya que más adelante se añadira más sedes. </t>
  </si>
  <si>
    <t xml:space="preserve">SEMHA SERVICIOS S.R.L. </t>
  </si>
  <si>
    <t>Para evaluación, lo incluirá como parte de sus costos en su proyecto.</t>
  </si>
  <si>
    <t>VULCO PERU S.A.</t>
  </si>
  <si>
    <t>En evaluación, la PE es para un proyecto de llevar residuos desde Cerro Verde.</t>
  </si>
  <si>
    <t xml:space="preserve">MULTISERVICIOS PROFESIONALES J.C S.R.L </t>
  </si>
  <si>
    <t xml:space="preserve">PE solicitada por Granja Rinconada del sur por un incidente de una empresa tercera en su planta. Sigue en evalución por el area esponsable de laa investigación. </t>
  </si>
  <si>
    <t>MOLINA ZUÑIGA GROVER</t>
  </si>
  <si>
    <t>Pequeña Minería</t>
  </si>
  <si>
    <t>ENERGIAS EL CENTENARIO S.A.C.</t>
  </si>
  <si>
    <t>Cliente ha solicitado incluir en la PE recolección en grifos de Arequipa.</t>
  </si>
  <si>
    <t>CORPORACION MELVIN GARY XXX S.R.L.</t>
  </si>
  <si>
    <t>Aceptado, recolección se realizará junto al Proyecto San Antonio y María</t>
  </si>
  <si>
    <t>Se acepto la nueva PE, queda por definirse el contrato para emitir una solo OS por mes.</t>
  </si>
  <si>
    <t>Venta de maquinaria</t>
  </si>
  <si>
    <t>Venta de cilindros para segregación de residuos.</t>
  </si>
  <si>
    <t>Venta de pallets de madera. Entrega se realizó el viernes 20/6</t>
  </si>
  <si>
    <t>SERVITEC K.R.A. S.A.C.</t>
  </si>
  <si>
    <t>No se tuvo respuesta hasta el momento</t>
  </si>
  <si>
    <t>OBRAS HERGON S.A.</t>
  </si>
  <si>
    <t>En proceso de evaluación, es para proyecto</t>
  </si>
  <si>
    <t xml:space="preserve">INTRAVENTS SRL </t>
  </si>
  <si>
    <t>Concesión alimentos</t>
  </si>
  <si>
    <t xml:space="preserve">ZAMINE SERVICE PERU S.A.C. </t>
  </si>
  <si>
    <t>En proceso de evaluación.</t>
  </si>
  <si>
    <t>KATHIA DANIELA GUZMÁN ZUÑIGA</t>
  </si>
  <si>
    <t>Acepto la PE, se estima la primera recolección en Julio.</t>
  </si>
  <si>
    <t xml:space="preserve">JCB ESTRUCTURAS SAC  </t>
  </si>
  <si>
    <t>PE solicitada por el Sr. Imer</t>
  </si>
  <si>
    <t>Actualización incluyendo 2 grifos de Arequipa</t>
  </si>
  <si>
    <t>Se evaluara por su área de compras.</t>
  </si>
  <si>
    <t>CESEL S.A.</t>
  </si>
  <si>
    <t>COMPAÑIA DE INGENIERIA ESPECIALIZADA S.A.C.</t>
  </si>
  <si>
    <t>Ejecutado 30/6</t>
  </si>
  <si>
    <t>NATURAL GAS COMPANY S.A.C.</t>
  </si>
  <si>
    <t>No acepado por precio.</t>
  </si>
  <si>
    <t xml:space="preserve">CARMEN INMUEBLES S.A. </t>
  </si>
  <si>
    <t>En evaluación por el área de compras</t>
  </si>
  <si>
    <t>Se acepto la nueva PE, con la característica de ser servicio único y ayudar a cumplir su meta de la Ing. Noemi de retirar más porcentaje de sus residuos.</t>
  </si>
  <si>
    <t>PRODECI EORS S.A.</t>
  </si>
  <si>
    <t>EO-RS</t>
  </si>
  <si>
    <t>En proceso aún de evaluación</t>
  </si>
  <si>
    <t>En evaluación por su gerencia</t>
  </si>
  <si>
    <t>HACIS S.R.L.</t>
  </si>
  <si>
    <t>INVERSIONES TREO S.A.C.</t>
  </si>
  <si>
    <t>Proyecto de pitahayas en Pedregal</t>
  </si>
  <si>
    <t>LABORATORIOS LA COOPER S.A.C.</t>
  </si>
  <si>
    <t>El cliente tomo otra opción debido a su urgencia.</t>
  </si>
  <si>
    <t>En evaluación por parte del área de compras.</t>
  </si>
  <si>
    <t>CYNKAT SAC</t>
  </si>
  <si>
    <t>Venta por mayor de alimentos</t>
  </si>
  <si>
    <t xml:space="preserve">Se evaluara según su presupuesto. </t>
  </si>
  <si>
    <t xml:space="preserve">UNIDAD EJECUTORA 020: SANIDAD DE LA PNP </t>
  </si>
  <si>
    <t>Lista de EO-RS</t>
  </si>
  <si>
    <t>Se actualizo ya que el generador deseaba el precio por kilogramo.</t>
  </si>
  <si>
    <t>TUBERIAS Y GEOSISTEMAS DEL PERU SA</t>
  </si>
  <si>
    <t>LIVIGUI PERÚ S.A.C.</t>
  </si>
  <si>
    <t>La recolección se realizará el día Lunes 07/07</t>
  </si>
  <si>
    <t>UNIDAD EJECUTORA 020: SANIDAD DE LA PNP</t>
  </si>
  <si>
    <t>En evaluación por el Área de abastecimiento. Parte de la licitación.</t>
  </si>
  <si>
    <t>No se aceptó esta Pe porque eligió la PE 001-3671</t>
  </si>
  <si>
    <t>Se acepto esta PE por la necesidad del cliente de poder retirar con prontitud sus residuos.</t>
  </si>
  <si>
    <t>IMG EQUIPAMIENTOS S.A.C</t>
  </si>
  <si>
    <t>Venta al por mayor de maquinaria</t>
  </si>
  <si>
    <t xml:space="preserve">En evaluación por el cliente </t>
  </si>
  <si>
    <t>El cliente acepto la PE el mismo día para poder brindar apoyo de maquinaria para el carguío</t>
  </si>
  <si>
    <t>SANCHEZ RICO INGENIERIA Y CONSTRUCCION S.A.C.</t>
  </si>
  <si>
    <t>Se encuentra en evalución por parte de su área de compra</t>
  </si>
  <si>
    <t>ELEO ARQUITECTURA Y CONSTRUCCION S.A.C</t>
  </si>
  <si>
    <t>Contratistas de construcción</t>
  </si>
  <si>
    <t>Se encuentra en evaluación debido a que aun ya que el proyecto aún no inicia.</t>
  </si>
  <si>
    <t xml:space="preserve">KONTROL R&amp;M PERÚ SAC </t>
  </si>
  <si>
    <t>Se aprobó la PE y se realizó el servicio el mismo día</t>
  </si>
  <si>
    <t>CUBA VISION PERU S.A.C.</t>
  </si>
  <si>
    <t>Por el moneto solo desea con prontitud un covenio y queda por confirmar la frecuencia del servicio.</t>
  </si>
  <si>
    <t>El servicio es para un proyecto en AAP Puerto Maldonado 731 M3 de concreto</t>
  </si>
  <si>
    <t>ESTRELLA GOLD PERU S.A.C.</t>
  </si>
  <si>
    <t xml:space="preserve">Se acepto la PE el día 14/07, según lo conversado se enviará un correo con las indicaciones para ejecutar el servicio. </t>
  </si>
  <si>
    <t>Limpieza y succión de Poza de sedimentación y PTAR</t>
  </si>
  <si>
    <t>TRANSPORTES HERMAN S.R.L.</t>
  </si>
  <si>
    <t>Alquiler de montacarga en almacén La Joya</t>
  </si>
  <si>
    <t xml:space="preserve">Será evaluado por su jefatura </t>
  </si>
  <si>
    <t>Recueración de  materiales</t>
  </si>
  <si>
    <t xml:space="preserve">Será evaluado por su jefatura según su prosupuesto. </t>
  </si>
  <si>
    <t>H-E PARTS INTERNATIONAL PERU S.A.C.</t>
  </si>
  <si>
    <t>La propuesta se envio a la persona de contacto</t>
  </si>
  <si>
    <t xml:space="preserve">ROHA CONSTRUCCION Y MINERIA S.A.C. </t>
  </si>
  <si>
    <t>Construcción</t>
  </si>
  <si>
    <t>La propuesta fue aprobada, los residuos se recepcioaron en almacén de Gytres.</t>
  </si>
  <si>
    <t xml:space="preserve">ANDISPANA CONSULTORES S.A.C </t>
  </si>
  <si>
    <t xml:space="preserve">Consultoria </t>
  </si>
  <si>
    <t>Propuesta en evalución, considerar que este proyecto aún no inicio.</t>
  </si>
  <si>
    <t>ANTILLA COPPER S.A.</t>
  </si>
  <si>
    <t>La propuesta fue aceptada por las nuevas condiciones de recojo (recolección por residuo y no consolidado)</t>
  </si>
  <si>
    <t>EMPRESA SIDERURGICA DEL PERU S.A.A.</t>
  </si>
  <si>
    <t>SHOUGANG HIERRO PERU S.A.A.</t>
  </si>
  <si>
    <t xml:space="preserve">La propuesta se encuentra en evaluación por parte de su jefatura </t>
  </si>
  <si>
    <t>Carguío de chatarra metálica en Pesquera Diamante Matarani</t>
  </si>
  <si>
    <t>MOLY-COP ADESUR S.A.</t>
  </si>
  <si>
    <t>RCD en AAP Ayacucho</t>
  </si>
  <si>
    <t>GESTION DE SERVICIOS AMBIENTALES S.A.C.</t>
  </si>
  <si>
    <t>Plástico duro</t>
  </si>
  <si>
    <t>ADRA PERU</t>
  </si>
  <si>
    <t>ONG</t>
  </si>
  <si>
    <t>Alquiler de camioneta 4x4</t>
  </si>
  <si>
    <t xml:space="preserve">La propuesta fue aceptada por el Ing. Miguel, los precios se mantienen en comparación a servicios anteriores </t>
  </si>
  <si>
    <t>LLAMA GAS S A</t>
  </si>
  <si>
    <t>Comercio de combustible</t>
  </si>
  <si>
    <t>La propuesta se encuentra en evaluación por parte del área de logística</t>
  </si>
  <si>
    <t xml:space="preserve">La PE fue aceptada por ANIQUEM para ejecutar el servicio en la empresa generadora. </t>
  </si>
  <si>
    <t>MUNICIPALIDAD DISTRITAL DE ALTO SELVA ALEGRE</t>
  </si>
  <si>
    <t>Municipio</t>
  </si>
  <si>
    <t>Los precios están fuera de su presupuesto</t>
  </si>
  <si>
    <t>NATURAL GAS COMPANY SAC</t>
  </si>
  <si>
    <t>La PE fue aceptada, se esta esperando la OS para la ejecución del servicio el dia 14/08/25</t>
  </si>
  <si>
    <t>La PE se encuentra en evaluación por el área de medio ambiente y compras</t>
  </si>
  <si>
    <t>INVERSIONES HEAVEN S.A.C.</t>
  </si>
  <si>
    <t>Comercio</t>
  </si>
  <si>
    <t>RESITER PERU S.A.C.</t>
  </si>
  <si>
    <t>JOBEN S.R.L.</t>
  </si>
  <si>
    <t>M&amp;P REPRESENTACIONES GENERALES S.A.C.</t>
  </si>
  <si>
    <t>UNIVERSIDAD NACIONAL DE SAN AGUSTIN</t>
  </si>
  <si>
    <t>PESQUERA DIAMANTE S.A.</t>
  </si>
  <si>
    <t>BLAXTEEL S.A.C</t>
  </si>
  <si>
    <t xml:space="preserve">STRACON PERÚ S.A. </t>
  </si>
  <si>
    <t xml:space="preserve">TRANSPORTES HAGEMSA S.A.C. </t>
  </si>
  <si>
    <t xml:space="preserve">BIOTEC LABORATORIO CLINICO S.A.C. </t>
  </si>
  <si>
    <t xml:space="preserve">DINET S.A. </t>
  </si>
  <si>
    <t>Transporte y logística</t>
  </si>
  <si>
    <t>FUNDICION FERROSA SOCIEDAD ANONIMA CERRADA</t>
  </si>
  <si>
    <t>ALICORP S.A.A</t>
  </si>
  <si>
    <t>BUILD AND BUSINESS MURILLO S.A.C.</t>
  </si>
  <si>
    <t>Constructora</t>
  </si>
  <si>
    <t xml:space="preserve"> METSO PERU S.A.C. </t>
  </si>
  <si>
    <t xml:space="preserve">ELEO ARQUITECTURA Y CONSTRUCCION S.A.C </t>
  </si>
  <si>
    <t>PETROLEOS DEL PERU PETROPERU SA</t>
  </si>
  <si>
    <t xml:space="preserve">ALIMENTOS PROCESADOS S.A </t>
  </si>
  <si>
    <t>STRACON PERÚ S.A.</t>
  </si>
  <si>
    <t xml:space="preserve">ALSUR PERU S.A.C. </t>
  </si>
  <si>
    <t>HOMECENTERS PERUANOS S.A.</t>
  </si>
  <si>
    <t xml:space="preserve">INTELEC PERU S.A.C. </t>
  </si>
  <si>
    <t>CARMEN INMUEBLES S.A.</t>
  </si>
  <si>
    <t xml:space="preserve">La PE se encuentra fuera del presupuesto, a pesar de ello el proveedor comenta que se encuentra en evaluación </t>
  </si>
  <si>
    <t xml:space="preserve">La PE fue aceptada, en un inicio ellos querían dejarlo en nuestro almacén para reducir costos, sin embargo, por una coordinación entre ellos se prefirió realizar la recolección en el punto de generación, se provee hacer más de 1 servicio. </t>
  </si>
  <si>
    <t>La PE era destinada a un servicio tercero de la empresa Petróleos, tal empresa sea solo certificado sin realizar la recolección.</t>
  </si>
  <si>
    <t>Por urgencia la PE no fue aceptada, sin embargo, se conversó para inscribirnos como proveedores para un futuro servicio</t>
  </si>
  <si>
    <t>La PE se encuentra en evaluación por el área de Logistica</t>
  </si>
  <si>
    <t>La PE se encuentra en evaluación</t>
  </si>
  <si>
    <t xml:space="preserve">Se encuentra en evaluación por la cantidad de residuos que tiene el generador. </t>
  </si>
  <si>
    <t>La empresa no desea aun ese servicio</t>
  </si>
  <si>
    <t>El generador considera que el precio es alto para la cantidad que genera mensualmente (5 kg)</t>
  </si>
  <si>
    <t xml:space="preserve">La PE fue aceptada, el generador desea limpiar sus instalaciones </t>
  </si>
  <si>
    <t>Se solicito que la PE se actualizara para añadir más residuos.</t>
  </si>
  <si>
    <t xml:space="preserve">Se reemplazo residuos y se procedió con el servicio. </t>
  </si>
  <si>
    <t>El generador si desea el servicio, sin embargo, aún no recibimos una confirmación formal</t>
  </si>
  <si>
    <t>El generador aun no desea el servicio</t>
  </si>
  <si>
    <t>Aún no se tiene confirmación de compra para el botellón metálico</t>
  </si>
  <si>
    <t>La PE fue aceptada, esta fue solicitada por el area de compras la cual es separada al área de residuos.</t>
  </si>
  <si>
    <t>El generador desea que se realice el servicio como consolidado o en ruteo, sin embargo, ya no se cuenta con esa disponibilidad.</t>
  </si>
  <si>
    <t>Optaron por la entrega a Ficemin en La Joya</t>
  </si>
  <si>
    <t>En evaluación para implementación de manejo de residuos</t>
  </si>
  <si>
    <t>Yennifer Soto</t>
  </si>
  <si>
    <t>Peligroso</t>
  </si>
  <si>
    <t>No peligroso</t>
  </si>
  <si>
    <t>Biocontaminado</t>
  </si>
  <si>
    <t>Aguas residuales</t>
  </si>
  <si>
    <t>Otros especificar</t>
  </si>
  <si>
    <t>Página Web</t>
  </si>
  <si>
    <t>Lista MINAM</t>
  </si>
  <si>
    <t>Whatsapp/Llamada</t>
  </si>
  <si>
    <t>Mineria</t>
  </si>
  <si>
    <t>Diario</t>
  </si>
  <si>
    <t>Aceptado</t>
  </si>
  <si>
    <t>No aceptado</t>
  </si>
  <si>
    <t>En evaluación</t>
  </si>
  <si>
    <t>Actualización</t>
  </si>
  <si>
    <t>EJECUCION DE SERVICIO</t>
  </si>
  <si>
    <t>Agroindustrial</t>
  </si>
  <si>
    <t>METSO PERU S.A.</t>
  </si>
  <si>
    <t>EXCEL: SERVICIOS GENERALES Y ACONDICIONAMIENTO S.A.C.</t>
  </si>
  <si>
    <t>Se confirmo la fecha de ejecución para el día jueves 18/09</t>
  </si>
  <si>
    <t>CUMBRA PERÚ S.A.</t>
  </si>
  <si>
    <t>Generales</t>
  </si>
  <si>
    <t>El cliente no especificó la frecuencia del servicio</t>
  </si>
  <si>
    <t>MINERA YANAQUIHUA S.A.C.</t>
  </si>
  <si>
    <t>PER CONCRETOS S.A.C.</t>
  </si>
  <si>
    <t xml:space="preserve">Deshuace, habilitado y estiba
de chatarra </t>
  </si>
  <si>
    <t>CARMEN JULIA CHEVARRIA TORRES</t>
  </si>
  <si>
    <t>COIMSER S.A.C.</t>
  </si>
  <si>
    <t>Se programó para el día 18/9</t>
  </si>
  <si>
    <t>DANPER TRUJILLO S.A.C</t>
  </si>
  <si>
    <t>BIOMEDICAL</t>
  </si>
  <si>
    <t>Servicio cotizado en Puno</t>
  </si>
  <si>
    <t>SERVIMEDIC A &amp; A S.R.L.</t>
  </si>
  <si>
    <t>TRANSPORTES ZHENBO S.A.C.</t>
  </si>
  <si>
    <t>INCINERAGAS E.I.R.L</t>
  </si>
  <si>
    <t>ACCIONA INGENIEROS Y OBRAS S.A.C</t>
  </si>
  <si>
    <t>EC-PS1</t>
  </si>
  <si>
    <t>ISSA PERU S.A.C.</t>
  </si>
  <si>
    <t>BRIGHTCELL LOGISTICS PERU S.A.C.</t>
  </si>
  <si>
    <t>Compra de montacargas</t>
  </si>
  <si>
    <t>Compra de cartón y plástico film</t>
  </si>
  <si>
    <t>Valorización o Tratamiento</t>
  </si>
  <si>
    <t>Compra de baterías</t>
  </si>
  <si>
    <t>MUNICPALIDAD DISTRITAL DE CAYMA</t>
  </si>
  <si>
    <t>Compra de aceite usado</t>
  </si>
  <si>
    <t>Tratamiento de aceite usado</t>
  </si>
  <si>
    <t>MOLY-COP ADESUR</t>
  </si>
  <si>
    <t>Actualización de compra de IBC´s contaminados</t>
  </si>
  <si>
    <t>Actualización de la PE 3765 porque se actualizó una de las condiciones</t>
  </si>
  <si>
    <t>Cliente indica que está fuera de su presupuesto</t>
  </si>
  <si>
    <t>Ventas y oficinas</t>
  </si>
  <si>
    <t>Se debe considerarn un camión de 10 Tn</t>
  </si>
  <si>
    <t>Restaurantes</t>
  </si>
  <si>
    <t>AUTOS DEL SUR SAC</t>
  </si>
  <si>
    <t>INCOP INGENIEROS S.R.L.</t>
  </si>
  <si>
    <t>TECSUP N°2</t>
  </si>
  <si>
    <t>KALLPA GENERACION S.A.</t>
  </si>
  <si>
    <t>Aceite aprovechable</t>
  </si>
  <si>
    <t>El cliente indica que solo habra un solo servicio de peligrosos hasta reunir una cantidad similiar.</t>
  </si>
  <si>
    <t>Solo desea el servicio de transporte debido a que tienen un proyecto con ANIQUEM</t>
  </si>
  <si>
    <t>Las instalaciones del generador se encuentran en Chala</t>
  </si>
  <si>
    <t xml:space="preserve">HAM PERU S.A.C. </t>
  </si>
  <si>
    <t>El servicio consiste en el acondicionamiento de cilindros, hasta el momento se esta definiendo los últimos detalles para la aceptación de la PE.</t>
  </si>
  <si>
    <t>Aún se encuentra en evalución, se podría decidir una vez se tenga su punto de segregación.</t>
  </si>
  <si>
    <t>RINTI S.A</t>
  </si>
  <si>
    <t xml:space="preserve">ISA PROYECTOS Y MONTAJES SRL </t>
  </si>
  <si>
    <t xml:space="preserve">ATI PROYECTOS S.A.C. </t>
  </si>
  <si>
    <t>En esta PE se adiciono la suministración de sacas para el acondicionamiento de RCD</t>
  </si>
  <si>
    <t>En esta PE se agregó como condición comercial, el carguío manual de los residuos RCD.</t>
  </si>
  <si>
    <t>EL GARAGE AUTOMOTRIZ E.I.R.L.</t>
  </si>
  <si>
    <t xml:space="preserve">IMPORTADORA TECNICA INDUSTRIAL Y COMERCIAL SA </t>
  </si>
  <si>
    <t xml:space="preserve">IMPORTADORA TECNICA INDUSTRIAL Y COMERCIAL AS </t>
  </si>
  <si>
    <t xml:space="preserve">VULCANO EXTINTORES Y SEGURIDAD E.I.R.L. </t>
  </si>
  <si>
    <t>Se actualizo la PE (Destrucción) ya enviada el mes pasado, el cliente menciona que ya esta en las revisiones finales para ser aceptada.</t>
  </si>
  <si>
    <t xml:space="preserve">EVCON E.I.R.L. </t>
  </si>
  <si>
    <t>ISA PROYECTOS Y MONTAJES SRL</t>
  </si>
  <si>
    <t>REVULC PERU S.A.C.</t>
  </si>
  <si>
    <t xml:space="preserve">DOMINION PERU SOLUCIONES Y SERVICIOS S.A.C. </t>
  </si>
  <si>
    <t>AREQUIPA EXPRESO MARVISUR EIRL</t>
  </si>
  <si>
    <t xml:space="preserve">KANAY S.A.C.  </t>
  </si>
  <si>
    <t xml:space="preserve">La Peno fue aprobada por su area de logistica </t>
  </si>
  <si>
    <t xml:space="preserve">Empresa tercera de nuestro cliente Granja Rinconada del sur </t>
  </si>
  <si>
    <t>Lo retirarón con otra empresa y otra parte lo manejo directamente GRS</t>
  </si>
  <si>
    <t>Empresa tercera de Bakus</t>
  </si>
  <si>
    <t>La PE no fue aceptada por el presupuesto reducido con el que cuentan, ya que es un negocio que recién inicia.</t>
  </si>
  <si>
    <t>Desean valorizar los residuos.</t>
  </si>
  <si>
    <t>Está en evaluación por el área de logística.</t>
  </si>
  <si>
    <t>TRANSPORTES HAGEMSA S.A.C.</t>
  </si>
  <si>
    <t>La PE se encuentra en evaluación.</t>
  </si>
  <si>
    <t>Actualización de la PE 3787.</t>
  </si>
  <si>
    <t>El monto excede su presupuesto.</t>
  </si>
  <si>
    <t>Columna1</t>
  </si>
  <si>
    <t>TIEMPO DE ATENCIÓN ESPERADO</t>
  </si>
  <si>
    <t>TIEMPO DE ATENCIÓN REALIZADO</t>
  </si>
  <si>
    <t>IMPORTADORA DE RODAMIENTOS S.A.C.</t>
  </si>
  <si>
    <t>RICOO'Z FOOD E.I.R.L</t>
  </si>
  <si>
    <t xml:space="preserve">CONSORCIO SANEAMIENTO CERRO COLORADO </t>
  </si>
  <si>
    <t>ALSUR PERÚ SAC</t>
  </si>
  <si>
    <t xml:space="preserve">TALMA SERVICIOS AEROPORTUARIOS S.A </t>
  </si>
  <si>
    <t>Transporte aéreo</t>
  </si>
  <si>
    <t>Ya se cuenta con fecha  de programación</t>
  </si>
  <si>
    <t xml:space="preserve">EISERM GROUP SRL  </t>
  </si>
  <si>
    <t>BENAVIDES-ROMO GRUPO INMOBILIARIO S.A.C</t>
  </si>
  <si>
    <t xml:space="preserve">Falta de presupuesto </t>
  </si>
  <si>
    <t xml:space="preserve">HACIS S.R.L. </t>
  </si>
  <si>
    <t>RINOL PAVIMENTA S.A.C.</t>
  </si>
  <si>
    <t>MAESTRANZA DIESEL S.A.C</t>
  </si>
  <si>
    <t>Venta</t>
  </si>
  <si>
    <t>CONSTRUCTORA INMOBILIARIA VEK EIRL</t>
  </si>
  <si>
    <t>SITICOM INGENIERIA S.A.C.</t>
  </si>
  <si>
    <t>La PE es muy cara</t>
  </si>
  <si>
    <t>Actualización de PE 3816</t>
  </si>
  <si>
    <t>Dado que serán por lo menos 6 servicios mensuales, requirió un ajuste en elos precios</t>
  </si>
  <si>
    <t>Cliente dejó de contestar</t>
  </si>
  <si>
    <t>MINERA Y CONSTRUCTURA FCH
GOLD E.I.R.L.</t>
  </si>
  <si>
    <t>TRANSPORTES IBEROAMERICANO S.R.L.</t>
  </si>
  <si>
    <t>Se iniciaron las recolecciones desde octubre</t>
  </si>
  <si>
    <t>Solicitó mejora de precios</t>
  </si>
  <si>
    <t>El servicio se ejecutó con normalidad</t>
  </si>
  <si>
    <t>CORPORACION MINERA ANANEA S.A.</t>
  </si>
  <si>
    <t>Cliente solicita opciones de valorización</t>
  </si>
  <si>
    <t xml:space="preserve">Cliente está evaluando </t>
  </si>
  <si>
    <t>LA JOYA MINING S.A.C.</t>
  </si>
  <si>
    <t>ALIMENTOS BALANCEADOS DEL PERU S.A.C.</t>
  </si>
  <si>
    <t>Se encuentran solicitando cotizaciones para la ampliación de nuestro proyecto</t>
  </si>
  <si>
    <t>Actualización de precios, dado que solicitó camiones de mayor capacidad</t>
  </si>
  <si>
    <t>ASOCIACION PAZ-PERU ONG</t>
  </si>
  <si>
    <t>CIA INMOBILIARIA MONTENEGRO S.A.C</t>
  </si>
  <si>
    <t>Precio muy alto</t>
  </si>
  <si>
    <t>item</t>
  </si>
  <si>
    <t>usuario_comercial</t>
  </si>
  <si>
    <t>fecha</t>
  </si>
  <si>
    <t>mes</t>
  </si>
  <si>
    <t>razon_social</t>
  </si>
  <si>
    <t>tipo_servicio</t>
  </si>
  <si>
    <t>canal_conocimiento</t>
  </si>
  <si>
    <t>canal_comunicacion</t>
  </si>
  <si>
    <t>sector</t>
  </si>
  <si>
    <t>ficha_informacion</t>
  </si>
  <si>
    <t>estructura_costos</t>
  </si>
  <si>
    <t>pe</t>
  </si>
  <si>
    <t>fecha_pe</t>
  </si>
  <si>
    <t>importe</t>
  </si>
  <si>
    <t>frecuencia_servicio</t>
  </si>
  <si>
    <t>estado_pe</t>
  </si>
  <si>
    <t>ejecucion_servicio</t>
  </si>
  <si>
    <t>tipo_cliente</t>
  </si>
  <si>
    <t>informacion_adicional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</si>
</sst>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quot;S/&quot;\ #,##0.00"/>
    <numFmt numFmtId="165" formatCode="[$$-409]#,##0.00"/>
  </numFmts>
  <fonts count="7" x14ac:knownFonts="1">
    <font>
      <sz val="11"/>
      <color theme="1"/>
      <name val="Calibri"/>
      <family val="2"/>
      <scheme val="minor"/>
    </font>
    <font>
      <sz val="11"/>
      <color theme="1"/>
      <name val="Calibri"/>
      <family val="2"/>
      <scheme val="minor"/>
    </font>
    <font>
      <sz val="12"/>
      <color theme="1"/>
      <name val="Calibri"/>
      <family val="2"/>
      <scheme val="minor"/>
    </font>
    <font>
      <sz val="11"/>
      <color theme="1"/>
      <name val="Aptos Narrow"/>
      <family val="2"/>
    </font>
    <font>
      <b/>
      <sz val="11"/>
      <color theme="1"/>
      <name val="Aptos Narrow"/>
      <family val="2"/>
    </font>
    <font>
      <b/>
      <sz val="11"/>
      <color theme="0"/>
      <name val="Aptos Narrow"/>
      <family val="2"/>
    </font>
    <font>
      <sz val="11"/>
      <color theme="1"/>
      <name val="Aptos Narrow"/>
      <family val="2"/>
    </font>
  </fonts>
  <fills count="3">
    <fill>
      <patternFill patternType="none"/>
    </fill>
    <fill>
      <patternFill patternType="gray125"/>
    </fill>
    <fill>
      <patternFill patternType="solid">
        <fgColor rgb="FF11680F"/>
        <bgColor indexed="64"/>
      </patternFill>
    </fill>
  </fills>
  <borders count="2">
    <border>
      <left/>
      <right/>
      <top/>
      <bottom/>
      <diagonal/>
    </border>
    <border>
      <left style="thin">
        <color rgb="FF11680F"/>
      </left>
      <right style="thin">
        <color rgb="FF11680F"/>
      </right>
      <top style="thin">
        <color rgb="FF11680F"/>
      </top>
      <bottom style="thin">
        <color rgb="FF11680F"/>
      </bottom>
      <diagonal/>
    </border>
  </borders>
  <cellStyleXfs count="4">
    <xf numFmtId="0" fontId="0" fillId="0" borderId="0"/>
    <xf numFmtId="43" fontId="1" fillId="0" borderId="0" applyFont="0" applyFill="0" applyBorder="0" applyAlignment="0" applyProtection="0"/>
    <xf numFmtId="0" fontId="1" fillId="0" borderId="0"/>
    <xf numFmtId="0" fontId="2" fillId="0" borderId="0"/>
  </cellStyleXfs>
  <cellXfs count="12">
    <xf numFmtId="0" fontId="0" fillId="0" borderId="0" xfId="0"/>
    <xf numFmtId="0" fontId="3" fillId="0" borderId="0" xfId="0" applyFont="1" applyAlignment="1">
      <alignment horizontal="center" vertical="center"/>
    </xf>
    <xf numFmtId="0" fontId="3" fillId="0" borderId="0" xfId="0" applyFont="1" applyAlignment="1">
      <alignment horizontal="center" vertical="center" wrapText="1"/>
    </xf>
    <xf numFmtId="0" fontId="4" fillId="0" borderId="0" xfId="0" applyFont="1" applyAlignment="1">
      <alignment horizontal="center" vertical="center" wrapText="1"/>
    </xf>
    <xf numFmtId="16" fontId="3" fillId="0" borderId="0" xfId="0" applyNumberFormat="1" applyFont="1" applyAlignment="1">
      <alignment horizontal="center" vertical="center" wrapText="1"/>
    </xf>
    <xf numFmtId="2" fontId="3" fillId="0" borderId="0" xfId="0" applyNumberFormat="1" applyFont="1" applyAlignment="1">
      <alignment horizontal="center" vertical="center" wrapText="1"/>
    </xf>
    <xf numFmtId="164" fontId="3" fillId="0" borderId="0" xfId="0" applyNumberFormat="1" applyFont="1" applyAlignment="1">
      <alignment horizontal="center" vertical="center" wrapText="1"/>
    </xf>
    <xf numFmtId="0" fontId="3" fillId="0" borderId="1" xfId="0" applyFont="1" applyBorder="1" applyAlignment="1">
      <alignment horizontal="center" vertical="center"/>
    </xf>
    <xf numFmtId="0" fontId="3" fillId="0" borderId="1" xfId="0" applyFont="1" applyBorder="1" applyAlignment="1">
      <alignment horizontal="center" vertical="center" wrapText="1"/>
    </xf>
    <xf numFmtId="0" fontId="5" fillId="2" borderId="1" xfId="0" applyFont="1" applyFill="1" applyBorder="1" applyAlignment="1">
      <alignment horizontal="center" vertical="center" wrapText="1"/>
    </xf>
    <xf numFmtId="0" fontId="6" fillId="0" borderId="1" xfId="0" applyFont="1" applyBorder="1" applyAlignment="1">
      <alignment horizontal="center" vertical="center" wrapText="1"/>
    </xf>
    <xf numFmtId="165" fontId="3" fillId="0" borderId="0" xfId="0" applyNumberFormat="1" applyFont="1" applyAlignment="1">
      <alignment horizontal="center" vertical="center" wrapText="1"/>
    </xf>
  </cellXfs>
  <cellStyles count="4">
    <cellStyle name="Millares" xfId="1" xr:uid="{8507EBB7-9398-4A3C-A830-0019CBF69386}"/>
    <cellStyle name="Normal" xfId="0" builtinId="0"/>
    <cellStyle name="Normal 2" xfId="2" xr:uid="{D7518171-C26A-490A-BD65-35AD87BCDC1B}"/>
    <cellStyle name="Normal 3" xfId="3" xr:uid="{B3FEB0C7-24DD-4804-9335-D49F8A204DF4}"/>
  </cellStyles>
  <dxfs count="24">
    <dxf>
      <font>
        <b val="0"/>
        <i val="0"/>
        <strike val="0"/>
        <condense val="0"/>
        <extend val="0"/>
        <outline val="0"/>
        <shadow val="0"/>
        <u val="none"/>
        <vertAlign val="baseline"/>
        <sz val="11"/>
        <color theme="1"/>
        <name val="Aptos Narrow"/>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1"/>
        <color theme="1"/>
        <name val="Aptos Narrow"/>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1"/>
        <color theme="1"/>
        <name val="Aptos Narrow"/>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1"/>
        <color theme="1"/>
        <name val="Aptos Narrow"/>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1"/>
        <color theme="1"/>
        <name val="Aptos Narrow"/>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1"/>
        <color theme="1"/>
        <name val="Aptos Narrow"/>
        <family val="2"/>
        <scheme val="none"/>
      </font>
      <numFmt numFmtId="164" formatCode="&quot;S/&quot;\ #,##0.00"/>
      <alignment horizontal="center" vertical="center" textRotation="0" wrapText="1" indent="0" justifyLastLine="0" shrinkToFit="0" readingOrder="0"/>
    </dxf>
    <dxf>
      <font>
        <b val="0"/>
        <i val="0"/>
        <strike val="0"/>
        <condense val="0"/>
        <extend val="0"/>
        <outline val="0"/>
        <shadow val="0"/>
        <u val="none"/>
        <vertAlign val="baseline"/>
        <sz val="11"/>
        <color theme="1"/>
        <name val="Aptos Narrow"/>
        <family val="2"/>
        <scheme val="none"/>
      </font>
      <numFmt numFmtId="2" formatCode="0.00"/>
      <alignment horizontal="center" vertical="center" textRotation="0" wrapText="1" indent="0" justifyLastLine="0" shrinkToFit="0" readingOrder="0"/>
    </dxf>
    <dxf>
      <font>
        <b val="0"/>
        <i val="0"/>
        <strike val="0"/>
        <condense val="0"/>
        <extend val="0"/>
        <outline val="0"/>
        <shadow val="0"/>
        <u val="none"/>
        <vertAlign val="baseline"/>
        <sz val="11"/>
        <color theme="1"/>
        <name val="Aptos Narrow"/>
        <family val="2"/>
        <scheme val="none"/>
      </font>
      <numFmt numFmtId="2" formatCode="0.00"/>
      <alignment horizontal="center" vertical="center" textRotation="0" wrapText="1" indent="0" justifyLastLine="0" shrinkToFit="0" readingOrder="0"/>
    </dxf>
    <dxf>
      <font>
        <b val="0"/>
        <i val="0"/>
        <strike val="0"/>
        <condense val="0"/>
        <extend val="0"/>
        <outline val="0"/>
        <shadow val="0"/>
        <u val="none"/>
        <vertAlign val="baseline"/>
        <sz val="11"/>
        <color theme="1"/>
        <name val="Aptos Narrow"/>
        <family val="2"/>
        <scheme val="none"/>
      </font>
      <numFmt numFmtId="2" formatCode="0.00"/>
      <alignment horizontal="center" vertical="center" textRotation="0" wrapText="1" indent="0" justifyLastLine="0" shrinkToFit="0" readingOrder="0"/>
    </dxf>
    <dxf>
      <font>
        <b val="0"/>
        <i val="0"/>
        <strike val="0"/>
        <condense val="0"/>
        <extend val="0"/>
        <outline val="0"/>
        <shadow val="0"/>
        <u val="none"/>
        <vertAlign val="baseline"/>
        <sz val="11"/>
        <color theme="1"/>
        <name val="Aptos Narrow"/>
        <family val="2"/>
        <scheme val="none"/>
      </font>
      <numFmt numFmtId="21" formatCode="d\-mmm"/>
      <alignment horizontal="center" vertical="center" textRotation="0" wrapText="1" indent="0" justifyLastLine="0" shrinkToFit="0" readingOrder="0"/>
    </dxf>
    <dxf>
      <font>
        <b val="0"/>
        <i val="0"/>
        <strike val="0"/>
        <condense val="0"/>
        <extend val="0"/>
        <outline val="0"/>
        <shadow val="0"/>
        <u val="none"/>
        <vertAlign val="baseline"/>
        <sz val="11"/>
        <color theme="1"/>
        <name val="Aptos Narrow"/>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1"/>
        <color theme="1"/>
        <name val="Aptos Narrow"/>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1"/>
        <color theme="1"/>
        <name val="Aptos Narrow"/>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1"/>
        <color theme="1"/>
        <name val="Aptos Narrow"/>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1"/>
        <color theme="1"/>
        <name val="Aptos Narrow"/>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1"/>
        <color theme="1"/>
        <name val="Aptos Narrow"/>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1"/>
        <color theme="1"/>
        <name val="Aptos Narrow"/>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1"/>
        <color theme="1"/>
        <name val="Aptos Narrow"/>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1"/>
        <color theme="1"/>
        <name val="Aptos Narrow"/>
        <family val="2"/>
        <scheme val="none"/>
      </font>
      <numFmt numFmtId="21" formatCode="d\-mmm"/>
      <alignment horizontal="center" vertical="center" textRotation="0" wrapText="1" indent="0" justifyLastLine="0" shrinkToFit="0" readingOrder="0"/>
    </dxf>
    <dxf>
      <font>
        <b val="0"/>
        <i val="0"/>
        <strike val="0"/>
        <condense val="0"/>
        <extend val="0"/>
        <outline val="0"/>
        <shadow val="0"/>
        <u val="none"/>
        <vertAlign val="baseline"/>
        <sz val="11"/>
        <color theme="1"/>
        <name val="Aptos Narrow"/>
        <family val="2"/>
        <scheme val="none"/>
      </font>
      <numFmt numFmtId="21" formatCode="d\-mmm"/>
      <alignment horizontal="center" vertical="center" textRotation="0" wrapText="1" indent="0" justifyLastLine="0" shrinkToFit="0" readingOrder="0"/>
    </dxf>
    <dxf>
      <font>
        <b val="0"/>
        <i val="0"/>
        <strike val="0"/>
        <condense val="0"/>
        <extend val="0"/>
        <outline val="0"/>
        <shadow val="0"/>
        <u val="none"/>
        <vertAlign val="baseline"/>
        <sz val="11"/>
        <color theme="1"/>
        <name val="Aptos Narrow"/>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1"/>
        <color theme="1"/>
        <name val="Aptos Narrow"/>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1"/>
        <color theme="1"/>
        <name val="Aptos Narrow"/>
        <family val="2"/>
        <scheme val="none"/>
      </font>
      <alignment horizontal="center" vertical="center" textRotation="0" wrapText="1" indent="0" justifyLastLine="0" shrinkToFit="0" readingOrder="0"/>
    </dxf>
    <dxf>
      <font>
        <b/>
        <i val="0"/>
        <strike val="0"/>
        <condense val="0"/>
        <extend val="0"/>
        <outline val="0"/>
        <shadow val="0"/>
        <u val="none"/>
        <vertAlign val="baseline"/>
        <sz val="11"/>
        <color theme="1"/>
        <name val="Aptos Narrow"/>
        <family val="2"/>
        <scheme val="none"/>
      </font>
      <alignment horizontal="center" vertical="center" textRotation="0" wrapText="1" indent="0" justifyLastLine="0" shrinkToFit="0" readingOrder="0"/>
    </dxf>
  </dxfs>
  <tableStyles count="0" defaultTableStyle="TableStyleMedium2" defaultPivotStyle="PivotStyleLight16"/>
  <colors>
    <mruColors>
      <color rgb="FFD9D9D9"/>
      <color rgb="FF11680F"/>
      <color rgb="FF72B730"/>
      <color rgb="FF72B77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D:\Documentos\Downloads\1.%20KPI&#180;s%20comercial_copia%20Dani.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PI_Resumen"/>
      <sheetName val="Clientes"/>
      <sheetName val="Proveedores"/>
      <sheetName val="PE"/>
      <sheetName val="Compras"/>
      <sheetName val="Datos"/>
      <sheetName val="Resumen"/>
      <sheetName val="Cuadro"/>
      <sheetName val="1. KPI´s comercial_copia Dani"/>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EDBAEBE-B33F-4C46-993D-B6C8BA6B829C}" name="Tabla2" displayName="Tabla2" ref="A1:V441" totalsRowShown="0" headerRowDxfId="23" dataDxfId="22">
  <autoFilter ref="A1:V441" xr:uid="{AEDBAEBE-B33F-4C46-993D-B6C8BA6B829C}"/>
  <tableColumns count="22">
    <tableColumn id="1" xr3:uid="{2C281206-234E-4544-8689-2F76DD87569C}" name="item" dataDxfId="21"/>
    <tableColumn id="2" xr3:uid="{F35269EB-DAB1-4D00-A206-338F58E4668E}" name="usuario_comercial" dataDxfId="20"/>
    <tableColumn id="3" xr3:uid="{EBF76157-320C-4DF7-82BD-0598FC23C010}" name="fecha" dataDxfId="19"/>
    <tableColumn id="22" xr3:uid="{48F8C056-96F5-4B1C-8FF2-576D4152F157}" name="mes" dataDxfId="18">
      <calculatedColumnFormula>TEXT(Tabla2[[#This Row],[fecha]],"MMMM")</calculatedColumnFormula>
    </tableColumn>
    <tableColumn id="6" xr3:uid="{15111D76-B034-4651-A62C-3EF7C4367028}" name="razon_social" dataDxfId="17"/>
    <tableColumn id="7" xr3:uid="{71481739-2097-4600-A93E-77731CA0F06B}" name="tipo_servicio" dataDxfId="16"/>
    <tableColumn id="8" xr3:uid="{EDD20592-F859-4AFD-A4A9-765B87333685}" name="canal_conocimiento" dataDxfId="15"/>
    <tableColumn id="9" xr3:uid="{7B6CF04A-7D8B-4B95-AB80-4ECC23284E1C}" name="canal_comunicacion" dataDxfId="14"/>
    <tableColumn id="10" xr3:uid="{1C44C0F5-0789-4DB6-ABDA-4C2BF16939B7}" name="sector" dataDxfId="13"/>
    <tableColumn id="11" xr3:uid="{EE1EF28E-DF38-4DBE-BDBC-3BB9DC877347}" name="ficha_informacion" dataDxfId="12"/>
    <tableColumn id="12" xr3:uid="{956BBE06-2010-4504-A9E5-43BE38B650F2}" name="estructura_costos" dataDxfId="11"/>
    <tableColumn id="13" xr3:uid="{6F391B83-810F-4183-AC61-62F734CC9E2F}" name="pe" dataDxfId="10"/>
    <tableColumn id="14" xr3:uid="{18D2AA13-8704-4882-A431-C950554E1836}" name="fecha_pe" dataDxfId="9"/>
    <tableColumn id="15" xr3:uid="{2C012FDC-2884-45AA-877C-19EBDC2C0F12}" name="TIEMPO DE ATENCIÓN ESPERADO" dataDxfId="8"/>
    <tableColumn id="24" xr3:uid="{171CE056-9175-456D-B010-1D21970232A5}" name="TIEMPO DE ATENCIÓN REALIZADO" dataDxfId="7"/>
    <tableColumn id="23" xr3:uid="{6AF330DA-7A73-4206-A235-3207B8B423D3}" name="Columna1" dataDxfId="6">
      <calculatedColumnFormula>IF([1]!Tabla2[[#This Row],[TIEMPO DE ATENCIÓN REALIZADO]]&lt;=[1]!Tabla2[[#This Row],[TIEMPO DE ATENCIÓN ESPERADO]],"Dentro de plazo","Fuera de plazo")</calculatedColumnFormula>
    </tableColumn>
    <tableColumn id="16" xr3:uid="{6846D6A8-702C-43AC-9AF2-1579D21089C9}" name="importe" dataDxfId="5"/>
    <tableColumn id="17" xr3:uid="{FDCA86A7-5DFD-46EC-A15F-5C56F7C9FC6B}" name="frecuencia_servicio" dataDxfId="4"/>
    <tableColumn id="18" xr3:uid="{5E865282-FC75-4E5E-A271-BA77EDD21AF6}" name="estado_pe" dataDxfId="3"/>
    <tableColumn id="19" xr3:uid="{5DE67435-0F0E-43F6-8AFD-EB1691FDAB66}" name="ejecucion_servicio" dataDxfId="2"/>
    <tableColumn id="20" xr3:uid="{5FC839EB-56E8-4FBA-BE70-2FCDCE226AB3}" name="tipo_cliente" dataDxfId="1"/>
    <tableColumn id="21" xr3:uid="{AA62AD05-A1A8-4593-8CCF-AC0AC87ED11E}" name="informacion_adicional" dataDxfId="0"/>
  </tableColumns>
  <tableStyleInfo name="TableStyleLight12" showFirstColumn="0" showLastColumn="0" showRowStripes="1" showColumnStripes="0"/>
</table>
</file>

<file path=xl/theme/theme1.xml><?xml version="1.0" encoding="utf-8"?>
<a:theme xmlns:a="http://schemas.openxmlformats.org/drawingml/2006/main" name="Office 2013 - Tema de 2022">
  <a:themeElements>
    <a:clrScheme name="Personalizado 1">
      <a:dk1>
        <a:sysClr val="windowText" lastClr="000000"/>
      </a:dk1>
      <a:lt1>
        <a:sysClr val="window" lastClr="FFFFFF"/>
      </a:lt1>
      <a:dk2>
        <a:srgbClr val="0E2841"/>
      </a:dk2>
      <a:lt2>
        <a:srgbClr val="E8E8E8"/>
      </a:lt2>
      <a:accent1>
        <a:srgbClr val="156082"/>
      </a:accent1>
      <a:accent2>
        <a:srgbClr val="2E9CB8"/>
      </a:accent2>
      <a:accent3>
        <a:srgbClr val="E97132"/>
      </a:accent3>
      <a:accent4>
        <a:srgbClr val="196B24"/>
      </a:accent4>
      <a:accent5>
        <a:srgbClr val="4EA72E"/>
      </a:accent5>
      <a:accent6>
        <a:srgbClr val="C80724"/>
      </a:accent6>
      <a:hlink>
        <a:srgbClr val="518B9B"/>
      </a:hlink>
      <a:folHlink>
        <a:srgbClr val="96607D"/>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BBFF47-C14F-4DEB-932C-C982845F3C96}">
  <dimension ref="A1:V441"/>
  <sheetViews>
    <sheetView showGridLines="0" tabSelected="1" topLeftCell="D1" zoomScale="265" zoomScaleNormal="265" workbookViewId="0">
      <pane ySplit="1" topLeftCell="A2" activePane="bottomLeft" state="frozen"/>
      <selection pane="bottomLeft" activeCell="G2" sqref="G2"/>
    </sheetView>
  </sheetViews>
  <sheetFormatPr defaultColWidth="11.5546875" defaultRowHeight="27" customHeight="1" x14ac:dyDescent="0.3"/>
  <cols>
    <col min="1" max="1" width="8.33203125" style="1" customWidth="1"/>
    <col min="2" max="2" width="18.44140625" style="1" customWidth="1"/>
    <col min="3" max="4" width="10.33203125" style="1" customWidth="1"/>
    <col min="5" max="5" width="29" style="1" customWidth="1"/>
    <col min="6" max="6" width="14.44140625" style="1" customWidth="1"/>
    <col min="7" max="8" width="15.44140625" style="1" customWidth="1"/>
    <col min="9" max="9" width="14.44140625" style="1" customWidth="1"/>
    <col min="10" max="12" width="15.88671875" style="1" customWidth="1"/>
    <col min="13" max="13" width="14.44140625" style="1" customWidth="1"/>
    <col min="14" max="16" width="14.44140625" style="1" hidden="1" customWidth="1"/>
    <col min="17" max="17" width="14.44140625" style="1" customWidth="1"/>
    <col min="18" max="21" width="14.33203125" style="1" customWidth="1"/>
    <col min="22" max="22" width="33.6640625" style="1" customWidth="1"/>
    <col min="23" max="16384" width="11.5546875" style="1"/>
  </cols>
  <sheetData>
    <row r="1" spans="1:22" s="3" customFormat="1" ht="45.6" customHeight="1" x14ac:dyDescent="0.3">
      <c r="A1" s="3" t="s">
        <v>542</v>
      </c>
      <c r="B1" s="3" t="s">
        <v>543</v>
      </c>
      <c r="C1" s="3" t="s">
        <v>544</v>
      </c>
      <c r="D1" s="3" t="s">
        <v>545</v>
      </c>
      <c r="E1" s="3" t="s">
        <v>546</v>
      </c>
      <c r="F1" s="3" t="s">
        <v>547</v>
      </c>
      <c r="G1" s="3" t="s">
        <v>548</v>
      </c>
      <c r="H1" s="3" t="s">
        <v>549</v>
      </c>
      <c r="I1" s="3" t="s">
        <v>550</v>
      </c>
      <c r="J1" s="3" t="s">
        <v>551</v>
      </c>
      <c r="K1" s="3" t="s">
        <v>552</v>
      </c>
      <c r="L1" s="3" t="s">
        <v>553</v>
      </c>
      <c r="M1" s="3" t="s">
        <v>554</v>
      </c>
      <c r="N1" s="3" t="s">
        <v>505</v>
      </c>
      <c r="O1" s="3" t="s">
        <v>506</v>
      </c>
      <c r="P1" s="3" t="s">
        <v>504</v>
      </c>
      <c r="Q1" s="3" t="s">
        <v>555</v>
      </c>
      <c r="R1" s="3" t="s">
        <v>556</v>
      </c>
      <c r="S1" s="3" t="s">
        <v>557</v>
      </c>
      <c r="T1" s="3" t="s">
        <v>558</v>
      </c>
      <c r="U1" s="3" t="s">
        <v>559</v>
      </c>
      <c r="V1" s="3" t="s">
        <v>560</v>
      </c>
    </row>
    <row r="2" spans="1:22" ht="27" customHeight="1" x14ac:dyDescent="0.3">
      <c r="A2" s="2">
        <v>1</v>
      </c>
      <c r="B2" s="2" t="s">
        <v>1</v>
      </c>
      <c r="C2" s="4">
        <v>45659</v>
      </c>
      <c r="D2" s="4" t="str">
        <f>TEXT(Tabla2[[#This Row],[fecha]],"MMMM")</f>
        <v>Enero</v>
      </c>
      <c r="E2" s="2" t="s">
        <v>37</v>
      </c>
      <c r="F2" s="2" t="s">
        <v>418</v>
      </c>
      <c r="G2" s="2" t="s">
        <v>38</v>
      </c>
      <c r="H2" s="2" t="s">
        <v>421</v>
      </c>
      <c r="I2" s="2" t="s">
        <v>39</v>
      </c>
      <c r="J2" s="2"/>
      <c r="K2" s="2">
        <v>3280</v>
      </c>
      <c r="L2" s="2">
        <v>3390</v>
      </c>
      <c r="M2" s="4">
        <v>45660</v>
      </c>
      <c r="N2" s="5">
        <v>1</v>
      </c>
      <c r="O2" s="5">
        <v>1</v>
      </c>
      <c r="P2" s="5" t="e">
        <f>IF([1]!Tabla2[[#This Row],[TIEMPO DE ATENCIÓN REALIZADO]]&lt;=[1]!Tabla2[[#This Row],[TIEMPO DE ATENCIÓN ESPERADO]],"Dentro de plazo","Fuera de plazo")</f>
        <v>#REF!</v>
      </c>
      <c r="Q2" s="6">
        <v>5846.21</v>
      </c>
      <c r="R2" s="2" t="s">
        <v>9</v>
      </c>
      <c r="S2" s="2" t="s">
        <v>425</v>
      </c>
      <c r="T2" s="2" t="s">
        <v>40</v>
      </c>
      <c r="U2" s="2" t="s">
        <v>41</v>
      </c>
      <c r="V2" s="2" t="s">
        <v>42</v>
      </c>
    </row>
    <row r="3" spans="1:22" ht="27" customHeight="1" x14ac:dyDescent="0.3">
      <c r="A3" s="2">
        <v>2</v>
      </c>
      <c r="B3" s="2" t="s">
        <v>5</v>
      </c>
      <c r="C3" s="4">
        <v>45659</v>
      </c>
      <c r="D3" s="4" t="str">
        <f>TEXT(Tabla2[[#This Row],[fecha]],"MMMM")</f>
        <v>Enero</v>
      </c>
      <c r="E3" s="2" t="s">
        <v>43</v>
      </c>
      <c r="F3" s="2" t="s">
        <v>414</v>
      </c>
      <c r="G3" s="2" t="s">
        <v>44</v>
      </c>
      <c r="H3" s="2" t="s">
        <v>421</v>
      </c>
      <c r="I3" s="2" t="s">
        <v>39</v>
      </c>
      <c r="J3" s="2">
        <v>320</v>
      </c>
      <c r="K3" s="2"/>
      <c r="L3" s="2">
        <v>3391</v>
      </c>
      <c r="M3" s="4">
        <v>45659</v>
      </c>
      <c r="N3" s="5">
        <v>0</v>
      </c>
      <c r="O3" s="5">
        <v>0</v>
      </c>
      <c r="P3" s="5" t="e">
        <f>IF([1]!Tabla2[[#This Row],[TIEMPO DE ATENCIÓN REALIZADO]]&lt;=[1]!Tabla2[[#This Row],[TIEMPO DE ATENCIÓN ESPERADO]],"Dentro de plazo","Fuera de plazo")</f>
        <v>#REF!</v>
      </c>
      <c r="Q3" s="6">
        <v>1524.92</v>
      </c>
      <c r="R3" s="2" t="s">
        <v>45</v>
      </c>
      <c r="S3" s="2" t="s">
        <v>424</v>
      </c>
      <c r="T3" s="2" t="s">
        <v>46</v>
      </c>
      <c r="U3" s="2" t="s">
        <v>41</v>
      </c>
      <c r="V3" s="2"/>
    </row>
    <row r="4" spans="1:22" ht="27" customHeight="1" x14ac:dyDescent="0.3">
      <c r="A4" s="2">
        <v>3</v>
      </c>
      <c r="B4" s="2" t="s">
        <v>1</v>
      </c>
      <c r="C4" s="4">
        <v>45659</v>
      </c>
      <c r="D4" s="4" t="str">
        <f>TEXT(Tabla2[[#This Row],[fecha]],"MMMM")</f>
        <v>Enero</v>
      </c>
      <c r="E4" s="2" t="s">
        <v>37</v>
      </c>
      <c r="F4" s="2" t="s">
        <v>415</v>
      </c>
      <c r="G4" s="2" t="s">
        <v>38</v>
      </c>
      <c r="H4" s="2" t="s">
        <v>421</v>
      </c>
      <c r="I4" s="2" t="s">
        <v>39</v>
      </c>
      <c r="J4" s="2"/>
      <c r="K4" s="2"/>
      <c r="L4" s="2">
        <v>3392</v>
      </c>
      <c r="M4" s="4">
        <v>45660</v>
      </c>
      <c r="N4" s="5">
        <v>1</v>
      </c>
      <c r="O4" s="5">
        <v>1</v>
      </c>
      <c r="P4" s="5" t="e">
        <f>IF([1]!Tabla2[[#This Row],[TIEMPO DE ATENCIÓN REALIZADO]]&lt;=[1]!Tabla2[[#This Row],[TIEMPO DE ATENCIÓN ESPERADO]],"Dentro de plazo","Fuera de plazo")</f>
        <v>#REF!</v>
      </c>
      <c r="Q4" s="6">
        <v>216690</v>
      </c>
      <c r="R4" s="2" t="s">
        <v>45</v>
      </c>
      <c r="S4" s="2" t="s">
        <v>425</v>
      </c>
      <c r="T4" s="2" t="s">
        <v>40</v>
      </c>
      <c r="U4" s="2" t="s">
        <v>41</v>
      </c>
      <c r="V4" s="2" t="s">
        <v>47</v>
      </c>
    </row>
    <row r="5" spans="1:22" ht="27" customHeight="1" x14ac:dyDescent="0.3">
      <c r="A5" s="2">
        <v>4</v>
      </c>
      <c r="B5" s="2" t="s">
        <v>5</v>
      </c>
      <c r="C5" s="4">
        <v>45659</v>
      </c>
      <c r="D5" s="4" t="str">
        <f>TEXT(Tabla2[[#This Row],[fecha]],"MMMM")</f>
        <v>Enero</v>
      </c>
      <c r="E5" s="2" t="s">
        <v>48</v>
      </c>
      <c r="F5" s="2" t="s">
        <v>415</v>
      </c>
      <c r="G5" s="2" t="s">
        <v>38</v>
      </c>
      <c r="H5" s="2" t="s">
        <v>421</v>
      </c>
      <c r="I5" s="2" t="s">
        <v>39</v>
      </c>
      <c r="J5" s="2">
        <v>321</v>
      </c>
      <c r="K5" s="2">
        <v>3276</v>
      </c>
      <c r="L5" s="2">
        <v>3393</v>
      </c>
      <c r="M5" s="4">
        <v>45660</v>
      </c>
      <c r="N5" s="5">
        <v>1</v>
      </c>
      <c r="O5" s="5">
        <v>1</v>
      </c>
      <c r="P5" s="5" t="e">
        <f>IF([1]!Tabla2[[#This Row],[TIEMPO DE ATENCIÓN REALIZADO]]&lt;=[1]!Tabla2[[#This Row],[TIEMPO DE ATENCIÓN ESPERADO]],"Dentro de plazo","Fuera de plazo")</f>
        <v>#REF!</v>
      </c>
      <c r="Q5" s="6">
        <v>1263.07</v>
      </c>
      <c r="R5" s="2" t="s">
        <v>9</v>
      </c>
      <c r="S5" s="2" t="s">
        <v>427</v>
      </c>
      <c r="T5" s="2" t="s">
        <v>40</v>
      </c>
      <c r="U5" s="2" t="s">
        <v>41</v>
      </c>
      <c r="V5" s="2" t="s">
        <v>49</v>
      </c>
    </row>
    <row r="6" spans="1:22" ht="27" customHeight="1" x14ac:dyDescent="0.3">
      <c r="A6" s="2">
        <v>5</v>
      </c>
      <c r="B6" s="2" t="s">
        <v>5</v>
      </c>
      <c r="C6" s="4">
        <v>45659</v>
      </c>
      <c r="D6" s="4" t="str">
        <f>TEXT(Tabla2[[#This Row],[fecha]],"MMMM")</f>
        <v>Enero</v>
      </c>
      <c r="E6" s="2" t="s">
        <v>48</v>
      </c>
      <c r="F6" s="2" t="s">
        <v>415</v>
      </c>
      <c r="G6" s="2" t="s">
        <v>38</v>
      </c>
      <c r="H6" s="2" t="s">
        <v>421</v>
      </c>
      <c r="I6" s="2" t="s">
        <v>39</v>
      </c>
      <c r="J6" s="2">
        <v>322</v>
      </c>
      <c r="K6" s="2">
        <v>3378</v>
      </c>
      <c r="L6" s="2">
        <v>3394</v>
      </c>
      <c r="M6" s="4">
        <v>45660</v>
      </c>
      <c r="N6" s="5">
        <v>1</v>
      </c>
      <c r="O6" s="5">
        <v>1</v>
      </c>
      <c r="P6" s="5" t="e">
        <f>IF([1]!Tabla2[[#This Row],[TIEMPO DE ATENCIÓN REALIZADO]]&lt;=[1]!Tabla2[[#This Row],[TIEMPO DE ATENCIÓN ESPERADO]],"Dentro de plazo","Fuera de plazo")</f>
        <v>#REF!</v>
      </c>
      <c r="Q6" s="6">
        <v>1329</v>
      </c>
      <c r="R6" s="2" t="s">
        <v>9</v>
      </c>
      <c r="S6" s="2" t="s">
        <v>427</v>
      </c>
      <c r="T6" s="2" t="s">
        <v>40</v>
      </c>
      <c r="U6" s="2" t="s">
        <v>41</v>
      </c>
      <c r="V6" s="2" t="s">
        <v>50</v>
      </c>
    </row>
    <row r="7" spans="1:22" ht="27" customHeight="1" x14ac:dyDescent="0.3">
      <c r="A7" s="2">
        <v>6</v>
      </c>
      <c r="B7" s="2" t="s">
        <v>1</v>
      </c>
      <c r="C7" s="4">
        <v>45660</v>
      </c>
      <c r="D7" s="4" t="str">
        <f>TEXT(Tabla2[[#This Row],[fecha]],"MMMM")</f>
        <v>Enero</v>
      </c>
      <c r="E7" s="2" t="s">
        <v>51</v>
      </c>
      <c r="F7" s="2" t="s">
        <v>415</v>
      </c>
      <c r="G7" s="2" t="s">
        <v>38</v>
      </c>
      <c r="H7" s="2" t="s">
        <v>421</v>
      </c>
      <c r="I7" s="2" t="s">
        <v>418</v>
      </c>
      <c r="J7" s="2">
        <v>323</v>
      </c>
      <c r="K7" s="2">
        <v>3281</v>
      </c>
      <c r="L7" s="2">
        <v>3395</v>
      </c>
      <c r="M7" s="4">
        <v>45660</v>
      </c>
      <c r="N7" s="5">
        <v>0</v>
      </c>
      <c r="O7" s="5">
        <v>0</v>
      </c>
      <c r="P7" s="5" t="e">
        <f>IF([1]!Tabla2[[#This Row],[TIEMPO DE ATENCIÓN REALIZADO]]&lt;=[1]!Tabla2[[#This Row],[TIEMPO DE ATENCIÓN ESPERADO]],"Dentro de plazo","Fuera de plazo")</f>
        <v>#REF!</v>
      </c>
      <c r="Q7" s="6">
        <v>1375</v>
      </c>
      <c r="R7" s="2" t="s">
        <v>4</v>
      </c>
      <c r="S7" s="2" t="s">
        <v>425</v>
      </c>
      <c r="T7" s="2" t="s">
        <v>40</v>
      </c>
      <c r="U7" s="2" t="s">
        <v>53</v>
      </c>
      <c r="V7" s="2" t="s">
        <v>54</v>
      </c>
    </row>
    <row r="8" spans="1:22" ht="27" customHeight="1" x14ac:dyDescent="0.3">
      <c r="A8" s="2">
        <v>7</v>
      </c>
      <c r="B8" s="2" t="s">
        <v>5</v>
      </c>
      <c r="C8" s="4">
        <v>45660</v>
      </c>
      <c r="D8" s="4" t="str">
        <f>TEXT(Tabla2[[#This Row],[fecha]],"MMMM")</f>
        <v>Enero</v>
      </c>
      <c r="E8" s="2" t="s">
        <v>48</v>
      </c>
      <c r="F8" s="2" t="s">
        <v>55</v>
      </c>
      <c r="G8" s="2" t="s">
        <v>38</v>
      </c>
      <c r="H8" s="2" t="s">
        <v>421</v>
      </c>
      <c r="I8" s="2" t="s">
        <v>39</v>
      </c>
      <c r="J8" s="2">
        <v>322</v>
      </c>
      <c r="K8" s="2" t="s">
        <v>19</v>
      </c>
      <c r="L8" s="2">
        <v>3396</v>
      </c>
      <c r="M8" s="4">
        <v>45660</v>
      </c>
      <c r="N8" s="5">
        <v>0</v>
      </c>
      <c r="O8" s="5">
        <v>0</v>
      </c>
      <c r="P8" s="5" t="e">
        <f>IF([1]!Tabla2[[#This Row],[TIEMPO DE ATENCIÓN REALIZADO]]&lt;=[1]!Tabla2[[#This Row],[TIEMPO DE ATENCIÓN ESPERADO]],"Dentro de plazo","Fuera de plazo")</f>
        <v>#REF!</v>
      </c>
      <c r="Q8" s="6" t="s">
        <v>19</v>
      </c>
      <c r="R8" s="2" t="s">
        <v>9</v>
      </c>
      <c r="S8" s="2" t="s">
        <v>424</v>
      </c>
      <c r="T8" s="2" t="s">
        <v>46</v>
      </c>
      <c r="U8" s="2" t="s">
        <v>41</v>
      </c>
      <c r="V8" s="2"/>
    </row>
    <row r="9" spans="1:22" ht="27" customHeight="1" x14ac:dyDescent="0.3">
      <c r="A9" s="2">
        <v>8</v>
      </c>
      <c r="B9" s="2" t="s">
        <v>5</v>
      </c>
      <c r="C9" s="4">
        <v>45660</v>
      </c>
      <c r="D9" s="4" t="str">
        <f>TEXT(Tabla2[[#This Row],[fecha]],"MMMM")</f>
        <v>Enero</v>
      </c>
      <c r="E9" s="2" t="s">
        <v>48</v>
      </c>
      <c r="F9" s="2" t="s">
        <v>55</v>
      </c>
      <c r="G9" s="2" t="s">
        <v>38</v>
      </c>
      <c r="H9" s="2" t="s">
        <v>421</v>
      </c>
      <c r="I9" s="2" t="s">
        <v>39</v>
      </c>
      <c r="J9" s="2">
        <v>321</v>
      </c>
      <c r="K9" s="2" t="s">
        <v>19</v>
      </c>
      <c r="L9" s="2">
        <v>3397</v>
      </c>
      <c r="M9" s="4">
        <v>45660</v>
      </c>
      <c r="N9" s="5">
        <v>0</v>
      </c>
      <c r="O9" s="5">
        <v>0</v>
      </c>
      <c r="P9" s="5" t="e">
        <f>IF([1]!Tabla2[[#This Row],[TIEMPO DE ATENCIÓN REALIZADO]]&lt;=[1]!Tabla2[[#This Row],[TIEMPO DE ATENCIÓN ESPERADO]],"Dentro de plazo","Fuera de plazo")</f>
        <v>#REF!</v>
      </c>
      <c r="Q9" s="6" t="s">
        <v>19</v>
      </c>
      <c r="R9" s="2" t="s">
        <v>9</v>
      </c>
      <c r="S9" s="2" t="s">
        <v>56</v>
      </c>
      <c r="T9" s="2" t="s">
        <v>40</v>
      </c>
      <c r="U9" s="2" t="s">
        <v>41</v>
      </c>
      <c r="V9" s="2"/>
    </row>
    <row r="10" spans="1:22" ht="27" customHeight="1" x14ac:dyDescent="0.3">
      <c r="A10" s="2">
        <v>9</v>
      </c>
      <c r="B10" s="2" t="s">
        <v>5</v>
      </c>
      <c r="C10" s="4">
        <v>45660</v>
      </c>
      <c r="D10" s="4" t="str">
        <f>TEXT(Tabla2[[#This Row],[fecha]],"MMMM")</f>
        <v>Enero</v>
      </c>
      <c r="E10" s="2" t="s">
        <v>48</v>
      </c>
      <c r="F10" s="2" t="s">
        <v>414</v>
      </c>
      <c r="G10" s="2" t="s">
        <v>38</v>
      </c>
      <c r="H10" s="2" t="s">
        <v>421</v>
      </c>
      <c r="I10" s="2" t="s">
        <v>39</v>
      </c>
      <c r="J10" s="2">
        <v>322</v>
      </c>
      <c r="K10" s="2">
        <v>3277</v>
      </c>
      <c r="L10" s="2">
        <v>3398</v>
      </c>
      <c r="M10" s="4">
        <v>45660</v>
      </c>
      <c r="N10" s="5">
        <v>0</v>
      </c>
      <c r="O10" s="5">
        <v>0</v>
      </c>
      <c r="P10" s="5" t="e">
        <f>IF([1]!Tabla2[[#This Row],[TIEMPO DE ATENCIÓN REALIZADO]]&lt;=[1]!Tabla2[[#This Row],[TIEMPO DE ATENCIÓN ESPERADO]],"Dentro de plazo","Fuera de plazo")</f>
        <v>#REF!</v>
      </c>
      <c r="Q10" s="6">
        <v>3447</v>
      </c>
      <c r="R10" s="2" t="s">
        <v>9</v>
      </c>
      <c r="S10" s="2" t="s">
        <v>56</v>
      </c>
      <c r="T10" s="2" t="s">
        <v>40</v>
      </c>
      <c r="U10" s="2" t="s">
        <v>41</v>
      </c>
      <c r="V10" s="2"/>
    </row>
    <row r="11" spans="1:22" ht="27" customHeight="1" x14ac:dyDescent="0.3">
      <c r="A11" s="2">
        <v>10</v>
      </c>
      <c r="B11" s="2" t="s">
        <v>5</v>
      </c>
      <c r="C11" s="4">
        <v>45660</v>
      </c>
      <c r="D11" s="4" t="str">
        <f>TEXT(Tabla2[[#This Row],[fecha]],"MMMM")</f>
        <v>Enero</v>
      </c>
      <c r="E11" s="2" t="s">
        <v>48</v>
      </c>
      <c r="F11" s="2" t="s">
        <v>414</v>
      </c>
      <c r="G11" s="2" t="s">
        <v>38</v>
      </c>
      <c r="H11" s="2" t="s">
        <v>421</v>
      </c>
      <c r="I11" s="2" t="s">
        <v>39</v>
      </c>
      <c r="J11" s="2">
        <v>321</v>
      </c>
      <c r="K11" s="2">
        <v>3279</v>
      </c>
      <c r="L11" s="2">
        <v>3399</v>
      </c>
      <c r="M11" s="4">
        <v>45660</v>
      </c>
      <c r="N11" s="5">
        <v>0</v>
      </c>
      <c r="O11" s="5">
        <v>0</v>
      </c>
      <c r="P11" s="5" t="e">
        <f>IF([1]!Tabla2[[#This Row],[TIEMPO DE ATENCIÓN REALIZADO]]&lt;=[1]!Tabla2[[#This Row],[TIEMPO DE ATENCIÓN ESPERADO]],"Dentro de plazo","Fuera de plazo")</f>
        <v>#REF!</v>
      </c>
      <c r="Q11" s="6">
        <v>2138.3000000000002</v>
      </c>
      <c r="R11" s="2" t="s">
        <v>9</v>
      </c>
      <c r="S11" s="2" t="s">
        <v>56</v>
      </c>
      <c r="T11" s="2" t="s">
        <v>40</v>
      </c>
      <c r="U11" s="2" t="s">
        <v>41</v>
      </c>
      <c r="V11" s="2"/>
    </row>
    <row r="12" spans="1:22" ht="27" customHeight="1" x14ac:dyDescent="0.3">
      <c r="A12" s="2">
        <v>11</v>
      </c>
      <c r="B12" s="2" t="s">
        <v>5</v>
      </c>
      <c r="C12" s="4">
        <v>45664</v>
      </c>
      <c r="D12" s="4" t="str">
        <f>TEXT(Tabla2[[#This Row],[fecha]],"MMMM")</f>
        <v>Enero</v>
      </c>
      <c r="E12" s="2" t="s">
        <v>57</v>
      </c>
      <c r="F12" s="2" t="s">
        <v>415</v>
      </c>
      <c r="G12" s="2" t="s">
        <v>58</v>
      </c>
      <c r="H12" s="2" t="s">
        <v>421</v>
      </c>
      <c r="I12" s="2" t="s">
        <v>39</v>
      </c>
      <c r="J12" s="2">
        <v>324</v>
      </c>
      <c r="K12" s="2">
        <v>3282</v>
      </c>
      <c r="L12" s="2">
        <v>3400</v>
      </c>
      <c r="M12" s="4">
        <v>45665</v>
      </c>
      <c r="N12" s="5">
        <v>1</v>
      </c>
      <c r="O12" s="5">
        <v>1</v>
      </c>
      <c r="P12" s="5" t="e">
        <f>IF([1]!Tabla2[[#This Row],[TIEMPO DE ATENCIÓN REALIZADO]]&lt;=[1]!Tabla2[[#This Row],[TIEMPO DE ATENCIÓN ESPERADO]],"Dentro de plazo","Fuera de plazo")</f>
        <v>#REF!</v>
      </c>
      <c r="Q12" s="6">
        <v>3184.1</v>
      </c>
      <c r="R12" s="2" t="s">
        <v>45</v>
      </c>
      <c r="S12" s="2" t="s">
        <v>425</v>
      </c>
      <c r="T12" s="2" t="s">
        <v>40</v>
      </c>
      <c r="U12" s="2" t="s">
        <v>53</v>
      </c>
      <c r="V12" s="2"/>
    </row>
    <row r="13" spans="1:22" ht="27" customHeight="1" x14ac:dyDescent="0.3">
      <c r="A13" s="2">
        <v>12</v>
      </c>
      <c r="B13" s="2" t="s">
        <v>5</v>
      </c>
      <c r="C13" s="4">
        <v>45664</v>
      </c>
      <c r="D13" s="4" t="str">
        <f>TEXT(Tabla2[[#This Row],[fecha]],"MMMM")</f>
        <v>Enero</v>
      </c>
      <c r="E13" s="2" t="s">
        <v>59</v>
      </c>
      <c r="F13" s="2" t="s">
        <v>55</v>
      </c>
      <c r="G13" s="2" t="s">
        <v>58</v>
      </c>
      <c r="H13" s="2" t="s">
        <v>60</v>
      </c>
      <c r="I13" s="2" t="s">
        <v>39</v>
      </c>
      <c r="J13" s="2">
        <v>319</v>
      </c>
      <c r="K13" s="2" t="s">
        <v>19</v>
      </c>
      <c r="L13" s="2">
        <v>3401</v>
      </c>
      <c r="M13" s="4">
        <v>45665</v>
      </c>
      <c r="N13" s="5">
        <v>1</v>
      </c>
      <c r="O13" s="5">
        <v>1</v>
      </c>
      <c r="P13" s="5" t="e">
        <f>IF([1]!Tabla2[[#This Row],[TIEMPO DE ATENCIÓN REALIZADO]]&lt;=[1]!Tabla2[[#This Row],[TIEMPO DE ATENCIÓN ESPERADO]],"Dentro de plazo","Fuera de plazo")</f>
        <v>#REF!</v>
      </c>
      <c r="Q13" s="6" t="s">
        <v>19</v>
      </c>
      <c r="R13" s="2" t="s">
        <v>45</v>
      </c>
      <c r="S13" s="2" t="s">
        <v>424</v>
      </c>
      <c r="T13" s="2" t="s">
        <v>40</v>
      </c>
      <c r="U13" s="2" t="s">
        <v>41</v>
      </c>
      <c r="V13" s="2" t="s">
        <v>61</v>
      </c>
    </row>
    <row r="14" spans="1:22" ht="27" customHeight="1" x14ac:dyDescent="0.3">
      <c r="A14" s="2">
        <v>13</v>
      </c>
      <c r="B14" s="2" t="s">
        <v>62</v>
      </c>
      <c r="C14" s="4">
        <v>45667</v>
      </c>
      <c r="D14" s="4" t="str">
        <f>TEXT(Tabla2[[#This Row],[fecha]],"MMMM")</f>
        <v>Enero</v>
      </c>
      <c r="E14" s="2" t="s">
        <v>63</v>
      </c>
      <c r="F14" s="2" t="s">
        <v>414</v>
      </c>
      <c r="G14" s="2" t="s">
        <v>38</v>
      </c>
      <c r="H14" s="2" t="s">
        <v>421</v>
      </c>
      <c r="I14" s="2" t="s">
        <v>39</v>
      </c>
      <c r="J14" s="2">
        <v>325</v>
      </c>
      <c r="K14" s="2" t="s">
        <v>19</v>
      </c>
      <c r="L14" s="2">
        <v>3402</v>
      </c>
      <c r="M14" s="4">
        <v>45667</v>
      </c>
      <c r="N14" s="5">
        <v>0</v>
      </c>
      <c r="O14" s="5">
        <v>0</v>
      </c>
      <c r="P14" s="5" t="e">
        <f>IF([1]!Tabla2[[#This Row],[TIEMPO DE ATENCIÓN REALIZADO]]&lt;=[1]!Tabla2[[#This Row],[TIEMPO DE ATENCIÓN ESPERADO]],"Dentro de plazo","Fuera de plazo")</f>
        <v>#REF!</v>
      </c>
      <c r="Q14" s="6">
        <v>0</v>
      </c>
      <c r="R14" s="2" t="s">
        <v>45</v>
      </c>
      <c r="S14" s="2" t="s">
        <v>425</v>
      </c>
      <c r="T14" s="2" t="s">
        <v>40</v>
      </c>
      <c r="U14" s="2" t="s">
        <v>41</v>
      </c>
      <c r="V14" s="2" t="s">
        <v>64</v>
      </c>
    </row>
    <row r="15" spans="1:22" ht="27" customHeight="1" x14ac:dyDescent="0.3">
      <c r="A15" s="2">
        <v>14</v>
      </c>
      <c r="B15" s="2" t="s">
        <v>62</v>
      </c>
      <c r="C15" s="4">
        <v>45665</v>
      </c>
      <c r="D15" s="4" t="str">
        <f>TEXT(Tabla2[[#This Row],[fecha]],"MMMM")</f>
        <v>Enero</v>
      </c>
      <c r="E15" s="2" t="s">
        <v>65</v>
      </c>
      <c r="F15" s="2" t="s">
        <v>414</v>
      </c>
      <c r="G15" s="2" t="s">
        <v>58</v>
      </c>
      <c r="H15" s="2" t="s">
        <v>421</v>
      </c>
      <c r="I15" s="2" t="s">
        <v>422</v>
      </c>
      <c r="J15" s="2">
        <v>326</v>
      </c>
      <c r="K15" s="2"/>
      <c r="L15" s="2">
        <v>3403</v>
      </c>
      <c r="M15" s="4">
        <v>45667</v>
      </c>
      <c r="N15" s="5">
        <v>2</v>
      </c>
      <c r="O15" s="5">
        <v>2</v>
      </c>
      <c r="P15" s="5" t="e">
        <f>IF([1]!Tabla2[[#This Row],[TIEMPO DE ATENCIÓN REALIZADO]]&lt;=[1]!Tabla2[[#This Row],[TIEMPO DE ATENCIÓN ESPERADO]],"Dentro de plazo","Fuera de plazo")</f>
        <v>#REF!</v>
      </c>
      <c r="Q15" s="6">
        <v>7321</v>
      </c>
      <c r="R15" s="2" t="s">
        <v>13</v>
      </c>
      <c r="S15" s="2" t="s">
        <v>425</v>
      </c>
      <c r="T15" s="2" t="s">
        <v>40</v>
      </c>
      <c r="U15" s="2" t="s">
        <v>53</v>
      </c>
      <c r="V15" s="2" t="s">
        <v>64</v>
      </c>
    </row>
    <row r="16" spans="1:22" ht="27" customHeight="1" x14ac:dyDescent="0.3">
      <c r="A16" s="2">
        <v>15</v>
      </c>
      <c r="B16" s="2" t="s">
        <v>1</v>
      </c>
      <c r="C16" s="4">
        <v>45667</v>
      </c>
      <c r="D16" s="4" t="str">
        <f>TEXT(Tabla2[[#This Row],[fecha]],"MMMM")</f>
        <v>Enero</v>
      </c>
      <c r="E16" s="2" t="s">
        <v>67</v>
      </c>
      <c r="F16" s="2" t="s">
        <v>414</v>
      </c>
      <c r="G16" s="2" t="s">
        <v>58</v>
      </c>
      <c r="H16" s="2" t="s">
        <v>421</v>
      </c>
      <c r="I16" s="2" t="s">
        <v>68</v>
      </c>
      <c r="J16" s="2">
        <v>327</v>
      </c>
      <c r="K16" s="2">
        <v>3284</v>
      </c>
      <c r="L16" s="2">
        <v>3404</v>
      </c>
      <c r="M16" s="4">
        <v>45667</v>
      </c>
      <c r="N16" s="5">
        <v>0</v>
      </c>
      <c r="O16" s="5">
        <v>0</v>
      </c>
      <c r="P16" s="5" t="e">
        <f>IF([1]!Tabla2[[#This Row],[TIEMPO DE ATENCIÓN REALIZADO]]&lt;=[1]!Tabla2[[#This Row],[TIEMPO DE ATENCIÓN ESPERADO]],"Dentro de plazo","Fuera de plazo")</f>
        <v>#REF!</v>
      </c>
      <c r="Q16" s="6">
        <v>2644.09</v>
      </c>
      <c r="R16" s="2" t="s">
        <v>45</v>
      </c>
      <c r="S16" s="2" t="s">
        <v>425</v>
      </c>
      <c r="T16" s="2" t="s">
        <v>40</v>
      </c>
      <c r="U16" s="2" t="s">
        <v>53</v>
      </c>
      <c r="V16" s="2" t="s">
        <v>64</v>
      </c>
    </row>
    <row r="17" spans="1:22" ht="27" customHeight="1" x14ac:dyDescent="0.3">
      <c r="A17" s="2">
        <v>16</v>
      </c>
      <c r="B17" s="2" t="s">
        <v>62</v>
      </c>
      <c r="C17" s="4">
        <v>45670</v>
      </c>
      <c r="D17" s="4" t="str">
        <f>TEXT(Tabla2[[#This Row],[fecha]],"MMMM")</f>
        <v>Enero</v>
      </c>
      <c r="E17" s="2" t="s">
        <v>69</v>
      </c>
      <c r="F17" s="2" t="s">
        <v>415</v>
      </c>
      <c r="G17" s="2" t="s">
        <v>44</v>
      </c>
      <c r="H17" s="2" t="s">
        <v>421</v>
      </c>
      <c r="I17" s="2" t="s">
        <v>39</v>
      </c>
      <c r="J17" s="2">
        <v>328</v>
      </c>
      <c r="K17" s="2">
        <v>3285</v>
      </c>
      <c r="L17" s="2">
        <v>3405</v>
      </c>
      <c r="M17" s="4">
        <v>45670</v>
      </c>
      <c r="N17" s="5">
        <v>0</v>
      </c>
      <c r="O17" s="5">
        <v>0</v>
      </c>
      <c r="P17" s="5" t="e">
        <f>IF([1]!Tabla2[[#This Row],[TIEMPO DE ATENCIÓN REALIZADO]]&lt;=[1]!Tabla2[[#This Row],[TIEMPO DE ATENCIÓN ESPERADO]],"Dentro de plazo","Fuera de plazo")</f>
        <v>#REF!</v>
      </c>
      <c r="Q17" s="6">
        <v>2688.78</v>
      </c>
      <c r="R17" s="2" t="s">
        <v>45</v>
      </c>
      <c r="S17" s="2" t="s">
        <v>425</v>
      </c>
      <c r="T17" s="2" t="s">
        <v>40</v>
      </c>
      <c r="U17" s="2" t="s">
        <v>41</v>
      </c>
      <c r="V17" s="2" t="s">
        <v>64</v>
      </c>
    </row>
    <row r="18" spans="1:22" ht="27" customHeight="1" x14ac:dyDescent="0.3">
      <c r="A18" s="2">
        <v>17</v>
      </c>
      <c r="B18" s="2" t="s">
        <v>62</v>
      </c>
      <c r="C18" s="4">
        <v>45677</v>
      </c>
      <c r="D18" s="4" t="str">
        <f>TEXT(Tabla2[[#This Row],[fecha]],"MMMM")</f>
        <v>Enero</v>
      </c>
      <c r="E18" s="2" t="s">
        <v>70</v>
      </c>
      <c r="F18" s="2" t="s">
        <v>415</v>
      </c>
      <c r="G18" s="2" t="s">
        <v>58</v>
      </c>
      <c r="H18" s="2" t="s">
        <v>421</v>
      </c>
      <c r="I18" s="2" t="s">
        <v>39</v>
      </c>
      <c r="J18" s="2">
        <v>329</v>
      </c>
      <c r="K18" s="2"/>
      <c r="L18" s="2">
        <v>3406</v>
      </c>
      <c r="M18" s="4">
        <v>45677</v>
      </c>
      <c r="N18" s="5">
        <v>0</v>
      </c>
      <c r="O18" s="5">
        <v>0</v>
      </c>
      <c r="P18" s="5" t="e">
        <f>IF([1]!Tabla2[[#This Row],[TIEMPO DE ATENCIÓN REALIZADO]]&lt;=[1]!Tabla2[[#This Row],[TIEMPO DE ATENCIÓN ESPERADO]],"Dentro de plazo","Fuera de plazo")</f>
        <v>#REF!</v>
      </c>
      <c r="Q18" s="6">
        <v>1495.29</v>
      </c>
      <c r="R18" s="2" t="s">
        <v>2</v>
      </c>
      <c r="S18" s="2" t="s">
        <v>425</v>
      </c>
      <c r="T18" s="2" t="s">
        <v>40</v>
      </c>
      <c r="U18" s="2" t="s">
        <v>53</v>
      </c>
      <c r="V18" s="2" t="s">
        <v>64</v>
      </c>
    </row>
    <row r="19" spans="1:22" ht="27" customHeight="1" x14ac:dyDescent="0.3">
      <c r="A19" s="2">
        <v>18</v>
      </c>
      <c r="B19" s="2" t="s">
        <v>62</v>
      </c>
      <c r="C19" s="4">
        <v>45677</v>
      </c>
      <c r="D19" s="4" t="str">
        <f>TEXT(Tabla2[[#This Row],[fecha]],"MMMM")</f>
        <v>Enero</v>
      </c>
      <c r="E19" s="2" t="s">
        <v>70</v>
      </c>
      <c r="F19" s="2" t="s">
        <v>415</v>
      </c>
      <c r="G19" s="2" t="s">
        <v>58</v>
      </c>
      <c r="H19" s="2" t="s">
        <v>421</v>
      </c>
      <c r="I19" s="2" t="s">
        <v>39</v>
      </c>
      <c r="J19" s="2">
        <v>329</v>
      </c>
      <c r="K19" s="2">
        <v>3286</v>
      </c>
      <c r="L19" s="2">
        <v>3406</v>
      </c>
      <c r="M19" s="4">
        <v>45677</v>
      </c>
      <c r="N19" s="5">
        <v>0</v>
      </c>
      <c r="O19" s="5">
        <v>0</v>
      </c>
      <c r="P19" s="5" t="e">
        <f>IF([1]!Tabla2[[#This Row],[TIEMPO DE ATENCIÓN REALIZADO]]&lt;=[1]!Tabla2[[#This Row],[TIEMPO DE ATENCIÓN ESPERADO]],"Dentro de plazo","Fuera de plazo")</f>
        <v>#REF!</v>
      </c>
      <c r="Q19" s="6">
        <v>1107.94</v>
      </c>
      <c r="R19" s="2" t="s">
        <v>2</v>
      </c>
      <c r="S19" s="2" t="s">
        <v>425</v>
      </c>
      <c r="T19" s="2" t="s">
        <v>40</v>
      </c>
      <c r="U19" s="2" t="s">
        <v>53</v>
      </c>
      <c r="V19" s="2" t="s">
        <v>64</v>
      </c>
    </row>
    <row r="20" spans="1:22" ht="27" customHeight="1" x14ac:dyDescent="0.3">
      <c r="A20" s="2">
        <v>19</v>
      </c>
      <c r="B20" s="2" t="s">
        <v>62</v>
      </c>
      <c r="C20" s="4">
        <v>45672</v>
      </c>
      <c r="D20" s="4" t="str">
        <f>TEXT(Tabla2[[#This Row],[fecha]],"MMMM")</f>
        <v>Enero</v>
      </c>
      <c r="E20" s="2" t="s">
        <v>70</v>
      </c>
      <c r="F20" s="2" t="s">
        <v>55</v>
      </c>
      <c r="G20" s="2" t="s">
        <v>58</v>
      </c>
      <c r="H20" s="2" t="s">
        <v>421</v>
      </c>
      <c r="I20" s="2" t="s">
        <v>39</v>
      </c>
      <c r="J20" s="2">
        <v>329</v>
      </c>
      <c r="K20" s="2">
        <v>3286</v>
      </c>
      <c r="L20" s="2">
        <v>3407</v>
      </c>
      <c r="M20" s="4">
        <v>45677</v>
      </c>
      <c r="N20" s="5">
        <v>5</v>
      </c>
      <c r="O20" s="5">
        <v>5</v>
      </c>
      <c r="P20" s="5" t="e">
        <f>IF([1]!Tabla2[[#This Row],[TIEMPO DE ATENCIÓN REALIZADO]]&lt;=[1]!Tabla2[[#This Row],[TIEMPO DE ATENCIÓN ESPERADO]],"Dentro de plazo","Fuera de plazo")</f>
        <v>#REF!</v>
      </c>
      <c r="Q20" s="6">
        <v>2000</v>
      </c>
      <c r="R20" s="2" t="s">
        <v>2</v>
      </c>
      <c r="S20" s="2" t="s">
        <v>425</v>
      </c>
      <c r="T20" s="2" t="s">
        <v>40</v>
      </c>
      <c r="U20" s="2" t="s">
        <v>53</v>
      </c>
      <c r="V20" s="2" t="s">
        <v>64</v>
      </c>
    </row>
    <row r="21" spans="1:22" ht="27" customHeight="1" x14ac:dyDescent="0.3">
      <c r="A21" s="2">
        <v>20</v>
      </c>
      <c r="B21" s="2" t="s">
        <v>62</v>
      </c>
      <c r="C21" s="4">
        <v>45667</v>
      </c>
      <c r="D21" s="4" t="str">
        <f>TEXT(Tabla2[[#This Row],[fecha]],"MMMM")</f>
        <v>Enero</v>
      </c>
      <c r="E21" s="2" t="s">
        <v>71</v>
      </c>
      <c r="F21" s="2" t="s">
        <v>414</v>
      </c>
      <c r="G21" s="2" t="s">
        <v>44</v>
      </c>
      <c r="H21" s="2" t="s">
        <v>60</v>
      </c>
      <c r="I21" s="2" t="s">
        <v>66</v>
      </c>
      <c r="J21" s="2">
        <v>330</v>
      </c>
      <c r="K21" s="2">
        <v>3287</v>
      </c>
      <c r="L21" s="2">
        <v>3408</v>
      </c>
      <c r="M21" s="4">
        <v>45672</v>
      </c>
      <c r="N21" s="5">
        <v>5</v>
      </c>
      <c r="O21" s="5">
        <v>5</v>
      </c>
      <c r="P21" s="5" t="e">
        <f>IF([1]!Tabla2[[#This Row],[TIEMPO DE ATENCIÓN REALIZADO]]&lt;=[1]!Tabla2[[#This Row],[TIEMPO DE ATENCIÓN ESPERADO]],"Dentro de plazo","Fuera de plazo")</f>
        <v>#REF!</v>
      </c>
      <c r="Q21" s="6">
        <v>7105.96</v>
      </c>
      <c r="R21" s="2" t="s">
        <v>9</v>
      </c>
      <c r="S21" s="2" t="s">
        <v>425</v>
      </c>
      <c r="T21" s="2" t="s">
        <v>40</v>
      </c>
      <c r="U21" s="2" t="s">
        <v>53</v>
      </c>
      <c r="V21" s="2" t="s">
        <v>64</v>
      </c>
    </row>
    <row r="22" spans="1:22" ht="27" customHeight="1" x14ac:dyDescent="0.3">
      <c r="A22" s="2">
        <v>21</v>
      </c>
      <c r="B22" s="2" t="s">
        <v>62</v>
      </c>
      <c r="C22" s="4">
        <v>45667</v>
      </c>
      <c r="D22" s="4" t="str">
        <f>TEXT(Tabla2[[#This Row],[fecha]],"MMMM")</f>
        <v>Enero</v>
      </c>
      <c r="E22" s="2" t="s">
        <v>71</v>
      </c>
      <c r="F22" s="2" t="s">
        <v>415</v>
      </c>
      <c r="G22" s="2" t="s">
        <v>44</v>
      </c>
      <c r="H22" s="2" t="s">
        <v>60</v>
      </c>
      <c r="I22" s="2" t="s">
        <v>66</v>
      </c>
      <c r="J22" s="2">
        <v>330</v>
      </c>
      <c r="K22" s="2">
        <v>3287</v>
      </c>
      <c r="L22" s="2">
        <v>3409</v>
      </c>
      <c r="M22" s="4">
        <v>45672</v>
      </c>
      <c r="N22" s="5">
        <v>5</v>
      </c>
      <c r="O22" s="5">
        <v>5</v>
      </c>
      <c r="P22" s="5" t="e">
        <f>IF([1]!Tabla2[[#This Row],[TIEMPO DE ATENCIÓN REALIZADO]]&lt;=[1]!Tabla2[[#This Row],[TIEMPO DE ATENCIÓN ESPERADO]],"Dentro de plazo","Fuera de plazo")</f>
        <v>#REF!</v>
      </c>
      <c r="Q22" s="6">
        <v>6550.96</v>
      </c>
      <c r="R22" s="2" t="s">
        <v>9</v>
      </c>
      <c r="S22" s="2" t="s">
        <v>425</v>
      </c>
      <c r="T22" s="2" t="s">
        <v>40</v>
      </c>
      <c r="U22" s="2" t="s">
        <v>53</v>
      </c>
      <c r="V22" s="2" t="s">
        <v>64</v>
      </c>
    </row>
    <row r="23" spans="1:22" ht="27" customHeight="1" x14ac:dyDescent="0.3">
      <c r="A23" s="2">
        <v>22</v>
      </c>
      <c r="B23" s="2" t="s">
        <v>62</v>
      </c>
      <c r="C23" s="4">
        <v>45671</v>
      </c>
      <c r="D23" s="4" t="str">
        <f>TEXT(Tabla2[[#This Row],[fecha]],"MMMM")</f>
        <v>Enero</v>
      </c>
      <c r="E23" s="2" t="s">
        <v>10</v>
      </c>
      <c r="F23" s="2" t="s">
        <v>72</v>
      </c>
      <c r="G23" s="2" t="s">
        <v>44</v>
      </c>
      <c r="H23" s="2" t="s">
        <v>60</v>
      </c>
      <c r="I23" s="2" t="s">
        <v>68</v>
      </c>
      <c r="J23" s="2">
        <v>331</v>
      </c>
      <c r="K23" s="2">
        <v>3288</v>
      </c>
      <c r="L23" s="2">
        <v>3410</v>
      </c>
      <c r="M23" s="4">
        <v>45672</v>
      </c>
      <c r="N23" s="5">
        <v>1</v>
      </c>
      <c r="O23" s="5">
        <v>1</v>
      </c>
      <c r="P23" s="5" t="e">
        <f>IF([1]!Tabla2[[#This Row],[TIEMPO DE ATENCIÓN REALIZADO]]&lt;=[1]!Tabla2[[#This Row],[TIEMPO DE ATENCIÓN ESPERADO]],"Dentro de plazo","Fuera de plazo")</f>
        <v>#REF!</v>
      </c>
      <c r="Q23" s="6">
        <v>925.1</v>
      </c>
      <c r="R23" s="2" t="s">
        <v>2</v>
      </c>
      <c r="S23" s="2" t="s">
        <v>424</v>
      </c>
      <c r="T23" s="2" t="s">
        <v>46</v>
      </c>
      <c r="U23" s="2" t="s">
        <v>53</v>
      </c>
      <c r="V23" s="2"/>
    </row>
    <row r="24" spans="1:22" ht="27" customHeight="1" x14ac:dyDescent="0.3">
      <c r="A24" s="2">
        <v>23</v>
      </c>
      <c r="B24" s="2" t="s">
        <v>1</v>
      </c>
      <c r="C24" s="4">
        <v>45673</v>
      </c>
      <c r="D24" s="4" t="str">
        <f>TEXT(Tabla2[[#This Row],[fecha]],"MMMM")</f>
        <v>Enero</v>
      </c>
      <c r="E24" s="2" t="s">
        <v>73</v>
      </c>
      <c r="F24" s="2" t="s">
        <v>414</v>
      </c>
      <c r="G24" s="2" t="s">
        <v>58</v>
      </c>
      <c r="H24" s="2" t="s">
        <v>60</v>
      </c>
      <c r="I24" s="2" t="s">
        <v>39</v>
      </c>
      <c r="J24" s="2">
        <v>332</v>
      </c>
      <c r="K24" s="2">
        <v>3289</v>
      </c>
      <c r="L24" s="2">
        <v>3411</v>
      </c>
      <c r="M24" s="4">
        <v>45673</v>
      </c>
      <c r="N24" s="5">
        <v>0</v>
      </c>
      <c r="O24" s="5">
        <v>0</v>
      </c>
      <c r="P24" s="5" t="e">
        <f>IF([1]!Tabla2[[#This Row],[TIEMPO DE ATENCIÓN REALIZADO]]&lt;=[1]!Tabla2[[#This Row],[TIEMPO DE ATENCIÓN ESPERADO]],"Dentro de plazo","Fuera de plazo")</f>
        <v>#REF!</v>
      </c>
      <c r="Q24" s="6">
        <v>1797.48</v>
      </c>
      <c r="R24" s="2" t="s">
        <v>16</v>
      </c>
      <c r="S24" s="2" t="s">
        <v>427</v>
      </c>
      <c r="T24" s="2" t="s">
        <v>40</v>
      </c>
      <c r="U24" s="2" t="s">
        <v>53</v>
      </c>
      <c r="V24" s="2"/>
    </row>
    <row r="25" spans="1:22" ht="27" customHeight="1" x14ac:dyDescent="0.3">
      <c r="A25" s="2">
        <v>24</v>
      </c>
      <c r="B25" s="2" t="s">
        <v>1</v>
      </c>
      <c r="C25" s="4">
        <v>45674</v>
      </c>
      <c r="D25" s="4" t="str">
        <f>TEXT(Tabla2[[#This Row],[fecha]],"MMMM")</f>
        <v>Enero</v>
      </c>
      <c r="E25" s="2" t="s">
        <v>70</v>
      </c>
      <c r="F25" s="2" t="s">
        <v>72</v>
      </c>
      <c r="G25" s="2" t="s">
        <v>58</v>
      </c>
      <c r="H25" s="2" t="s">
        <v>421</v>
      </c>
      <c r="I25" s="2" t="s">
        <v>39</v>
      </c>
      <c r="J25" s="2">
        <v>329</v>
      </c>
      <c r="K25" s="2">
        <v>3289</v>
      </c>
      <c r="L25" s="2">
        <v>3412</v>
      </c>
      <c r="M25" s="4">
        <v>45677</v>
      </c>
      <c r="N25" s="5">
        <v>3</v>
      </c>
      <c r="O25" s="5">
        <v>3</v>
      </c>
      <c r="P25" s="5" t="e">
        <f>IF([1]!Tabla2[[#This Row],[TIEMPO DE ATENCIÓN REALIZADO]]&lt;=[1]!Tabla2[[#This Row],[TIEMPO DE ATENCIÓN ESPERADO]],"Dentro de plazo","Fuera de plazo")</f>
        <v>#REF!</v>
      </c>
      <c r="Q25" s="6">
        <v>50000</v>
      </c>
      <c r="R25" s="2" t="s">
        <v>2</v>
      </c>
      <c r="S25" s="2" t="s">
        <v>425</v>
      </c>
      <c r="T25" s="2" t="s">
        <v>40</v>
      </c>
      <c r="U25" s="2" t="s">
        <v>53</v>
      </c>
      <c r="V25" s="2"/>
    </row>
    <row r="26" spans="1:22" ht="27" customHeight="1" x14ac:dyDescent="0.3">
      <c r="A26" s="2">
        <v>25</v>
      </c>
      <c r="B26" s="2" t="s">
        <v>1</v>
      </c>
      <c r="C26" s="4">
        <v>45677</v>
      </c>
      <c r="D26" s="4" t="str">
        <f>TEXT(Tabla2[[#This Row],[fecha]],"MMMM")</f>
        <v>Enero</v>
      </c>
      <c r="E26" s="2" t="s">
        <v>73</v>
      </c>
      <c r="F26" s="2" t="s">
        <v>414</v>
      </c>
      <c r="G26" s="2" t="s">
        <v>58</v>
      </c>
      <c r="H26" s="2" t="s">
        <v>421</v>
      </c>
      <c r="I26" s="2" t="s">
        <v>39</v>
      </c>
      <c r="J26" s="2">
        <v>332</v>
      </c>
      <c r="K26" s="2">
        <v>3289</v>
      </c>
      <c r="L26" s="2">
        <v>3414</v>
      </c>
      <c r="M26" s="4">
        <v>45677</v>
      </c>
      <c r="N26" s="5">
        <v>0</v>
      </c>
      <c r="O26" s="5">
        <v>0</v>
      </c>
      <c r="P26" s="5" t="e">
        <f>IF([1]!Tabla2[[#This Row],[TIEMPO DE ATENCIÓN REALIZADO]]&lt;=[1]!Tabla2[[#This Row],[TIEMPO DE ATENCIÓN ESPERADO]],"Dentro de plazo","Fuera de plazo")</f>
        <v>#REF!</v>
      </c>
      <c r="Q26" s="6">
        <v>1796</v>
      </c>
      <c r="R26" s="2" t="s">
        <v>16</v>
      </c>
      <c r="S26" s="2" t="s">
        <v>425</v>
      </c>
      <c r="T26" s="2" t="s">
        <v>40</v>
      </c>
      <c r="U26" s="2" t="s">
        <v>53</v>
      </c>
      <c r="V26" s="2"/>
    </row>
    <row r="27" spans="1:22" ht="27" customHeight="1" x14ac:dyDescent="0.3">
      <c r="A27" s="2">
        <v>26</v>
      </c>
      <c r="B27" s="2" t="s">
        <v>62</v>
      </c>
      <c r="C27" s="4">
        <v>45679</v>
      </c>
      <c r="D27" s="4" t="str">
        <f>TEXT(Tabla2[[#This Row],[fecha]],"MMMM")</f>
        <v>Enero</v>
      </c>
      <c r="E27" s="2" t="s">
        <v>74</v>
      </c>
      <c r="F27" s="2" t="s">
        <v>55</v>
      </c>
      <c r="G27" s="2" t="s">
        <v>44</v>
      </c>
      <c r="H27" s="2" t="s">
        <v>421</v>
      </c>
      <c r="I27" s="2" t="s">
        <v>66</v>
      </c>
      <c r="J27" s="2"/>
      <c r="K27" s="2" t="s">
        <v>19</v>
      </c>
      <c r="L27" s="2">
        <v>3415</v>
      </c>
      <c r="M27" s="4">
        <v>45679</v>
      </c>
      <c r="N27" s="5">
        <v>0</v>
      </c>
      <c r="O27" s="5">
        <v>0</v>
      </c>
      <c r="P27" s="5" t="e">
        <f>IF([1]!Tabla2[[#This Row],[TIEMPO DE ATENCIÓN REALIZADO]]&lt;=[1]!Tabla2[[#This Row],[TIEMPO DE ATENCIÓN ESPERADO]],"Dentro de plazo","Fuera de plazo")</f>
        <v>#REF!</v>
      </c>
      <c r="Q27" s="6">
        <v>7000</v>
      </c>
      <c r="R27" s="2" t="s">
        <v>45</v>
      </c>
      <c r="S27" s="2" t="s">
        <v>427</v>
      </c>
      <c r="T27" s="2" t="s">
        <v>40</v>
      </c>
      <c r="U27" s="2" t="s">
        <v>41</v>
      </c>
      <c r="V27" s="2" t="s">
        <v>75</v>
      </c>
    </row>
    <row r="28" spans="1:22" ht="27" customHeight="1" x14ac:dyDescent="0.3">
      <c r="A28" s="2">
        <v>27</v>
      </c>
      <c r="B28" s="2" t="s">
        <v>1</v>
      </c>
      <c r="C28" s="4">
        <v>45678</v>
      </c>
      <c r="D28" s="4" t="str">
        <f>TEXT(Tabla2[[#This Row],[fecha]],"MMMM")</f>
        <v>Enero</v>
      </c>
      <c r="E28" s="2" t="s">
        <v>76</v>
      </c>
      <c r="F28" s="2" t="s">
        <v>414</v>
      </c>
      <c r="G28" s="2" t="s">
        <v>58</v>
      </c>
      <c r="H28" s="2" t="s">
        <v>60</v>
      </c>
      <c r="I28" s="2" t="s">
        <v>77</v>
      </c>
      <c r="J28" s="2"/>
      <c r="K28" s="2"/>
      <c r="L28" s="2">
        <v>3416</v>
      </c>
      <c r="M28" s="4">
        <v>45679</v>
      </c>
      <c r="N28" s="5">
        <v>1</v>
      </c>
      <c r="O28" s="5">
        <v>1</v>
      </c>
      <c r="P28" s="5" t="e">
        <f>IF([1]!Tabla2[[#This Row],[TIEMPO DE ATENCIÓN REALIZADO]]&lt;=[1]!Tabla2[[#This Row],[TIEMPO DE ATENCIÓN ESPERADO]],"Dentro de plazo","Fuera de plazo")</f>
        <v>#REF!</v>
      </c>
      <c r="Q28" s="6">
        <v>700</v>
      </c>
      <c r="R28" s="2" t="s">
        <v>13</v>
      </c>
      <c r="S28" s="2" t="s">
        <v>425</v>
      </c>
      <c r="T28" s="2" t="s">
        <v>40</v>
      </c>
      <c r="U28" s="2" t="s">
        <v>53</v>
      </c>
      <c r="V28" s="2"/>
    </row>
    <row r="29" spans="1:22" ht="27" customHeight="1" x14ac:dyDescent="0.3">
      <c r="A29" s="2">
        <v>28</v>
      </c>
      <c r="B29" s="2" t="s">
        <v>1</v>
      </c>
      <c r="C29" s="4">
        <v>45677</v>
      </c>
      <c r="D29" s="4" t="str">
        <f>TEXT(Tabla2[[#This Row],[fecha]],"MMMM")</f>
        <v>Enero</v>
      </c>
      <c r="E29" s="2" t="s">
        <v>78</v>
      </c>
      <c r="F29" s="2" t="s">
        <v>415</v>
      </c>
      <c r="G29" s="2" t="s">
        <v>44</v>
      </c>
      <c r="H29" s="2" t="s">
        <v>60</v>
      </c>
      <c r="I29" s="2" t="s">
        <v>39</v>
      </c>
      <c r="J29" s="2">
        <v>335</v>
      </c>
      <c r="K29" s="2">
        <v>3292</v>
      </c>
      <c r="L29" s="2">
        <v>3417</v>
      </c>
      <c r="M29" s="4">
        <v>45679</v>
      </c>
      <c r="N29" s="5">
        <v>2</v>
      </c>
      <c r="O29" s="5">
        <v>2</v>
      </c>
      <c r="P29" s="5" t="e">
        <f>IF([1]!Tabla2[[#This Row],[TIEMPO DE ATENCIÓN REALIZADO]]&lt;=[1]!Tabla2[[#This Row],[TIEMPO DE ATENCIÓN ESPERADO]],"Dentro de plazo","Fuera de plazo")</f>
        <v>#REF!</v>
      </c>
      <c r="Q29" s="6">
        <v>3800</v>
      </c>
      <c r="R29" s="2" t="s">
        <v>45</v>
      </c>
      <c r="S29" s="2" t="s">
        <v>425</v>
      </c>
      <c r="T29" s="2" t="s">
        <v>40</v>
      </c>
      <c r="U29" s="2" t="s">
        <v>53</v>
      </c>
      <c r="V29" s="2"/>
    </row>
    <row r="30" spans="1:22" ht="27" customHeight="1" x14ac:dyDescent="0.3">
      <c r="A30" s="2">
        <v>29</v>
      </c>
      <c r="B30" s="2" t="s">
        <v>62</v>
      </c>
      <c r="C30" s="4">
        <v>45678</v>
      </c>
      <c r="D30" s="4" t="str">
        <f>TEXT(Tabla2[[#This Row],[fecha]],"MMMM")</f>
        <v>Enero</v>
      </c>
      <c r="E30" s="2" t="s">
        <v>79</v>
      </c>
      <c r="F30" s="2" t="s">
        <v>416</v>
      </c>
      <c r="G30" s="2" t="s">
        <v>44</v>
      </c>
      <c r="H30" s="2" t="s">
        <v>421</v>
      </c>
      <c r="I30" s="2" t="s">
        <v>80</v>
      </c>
      <c r="J30" s="2">
        <v>336</v>
      </c>
      <c r="K30" s="2"/>
      <c r="L30" s="2">
        <v>3418</v>
      </c>
      <c r="M30" s="4">
        <v>45679</v>
      </c>
      <c r="N30" s="5">
        <v>1</v>
      </c>
      <c r="O30" s="5">
        <v>1</v>
      </c>
      <c r="P30" s="5" t="e">
        <f>IF([1]!Tabla2[[#This Row],[TIEMPO DE ATENCIÓN REALIZADO]]&lt;=[1]!Tabla2[[#This Row],[TIEMPO DE ATENCIÓN ESPERADO]],"Dentro de plazo","Fuera de plazo")</f>
        <v>#REF!</v>
      </c>
      <c r="Q30" s="6">
        <v>699</v>
      </c>
      <c r="R30" s="2" t="s">
        <v>9</v>
      </c>
      <c r="S30" s="2" t="s">
        <v>425</v>
      </c>
      <c r="T30" s="2" t="s">
        <v>40</v>
      </c>
      <c r="U30" s="2" t="s">
        <v>53</v>
      </c>
      <c r="V30" s="2"/>
    </row>
    <row r="31" spans="1:22" ht="27" customHeight="1" x14ac:dyDescent="0.3">
      <c r="A31" s="2">
        <v>30</v>
      </c>
      <c r="B31" s="2" t="s">
        <v>1</v>
      </c>
      <c r="C31" s="4">
        <v>45678</v>
      </c>
      <c r="D31" s="4" t="str">
        <f>TEXT(Tabla2[[#This Row],[fecha]],"MMMM")</f>
        <v>Enero</v>
      </c>
      <c r="E31" s="2" t="s">
        <v>81</v>
      </c>
      <c r="F31" s="2" t="s">
        <v>82</v>
      </c>
      <c r="G31" s="2" t="s">
        <v>83</v>
      </c>
      <c r="H31" s="2" t="s">
        <v>421</v>
      </c>
      <c r="I31" s="2" t="s">
        <v>66</v>
      </c>
      <c r="J31" s="2">
        <v>337</v>
      </c>
      <c r="K31" s="2"/>
      <c r="L31" s="2">
        <v>3419</v>
      </c>
      <c r="M31" s="4">
        <v>45679</v>
      </c>
      <c r="N31" s="5">
        <v>1</v>
      </c>
      <c r="O31" s="5">
        <v>1</v>
      </c>
      <c r="P31" s="5" t="e">
        <f>IF([1]!Tabla2[[#This Row],[TIEMPO DE ATENCIÓN REALIZADO]]&lt;=[1]!Tabla2[[#This Row],[TIEMPO DE ATENCIÓN ESPERADO]],"Dentro de plazo","Fuera de plazo")</f>
        <v>#REF!</v>
      </c>
      <c r="Q31" s="6">
        <v>10000</v>
      </c>
      <c r="R31" s="2" t="s">
        <v>45</v>
      </c>
      <c r="S31" s="2" t="s">
        <v>425</v>
      </c>
      <c r="T31" s="2" t="s">
        <v>40</v>
      </c>
      <c r="U31" s="2" t="s">
        <v>41</v>
      </c>
      <c r="V31" s="2"/>
    </row>
    <row r="32" spans="1:22" ht="27" customHeight="1" x14ac:dyDescent="0.3">
      <c r="A32" s="2">
        <v>31</v>
      </c>
      <c r="B32" s="2" t="s">
        <v>1</v>
      </c>
      <c r="C32" s="4">
        <v>45678</v>
      </c>
      <c r="D32" s="4" t="str">
        <f>TEXT(Tabla2[[#This Row],[fecha]],"MMMM")</f>
        <v>Enero</v>
      </c>
      <c r="E32" s="2" t="s">
        <v>84</v>
      </c>
      <c r="F32" s="2" t="s">
        <v>414</v>
      </c>
      <c r="G32" s="2" t="s">
        <v>44</v>
      </c>
      <c r="H32" s="2" t="s">
        <v>60</v>
      </c>
      <c r="I32" s="2" t="s">
        <v>68</v>
      </c>
      <c r="J32" s="2"/>
      <c r="K32" s="2">
        <v>3293</v>
      </c>
      <c r="L32" s="2">
        <v>3423</v>
      </c>
      <c r="M32" s="4">
        <v>45680</v>
      </c>
      <c r="N32" s="5">
        <v>2</v>
      </c>
      <c r="O32" s="5">
        <v>2</v>
      </c>
      <c r="P32" s="5" t="e">
        <f>IF([1]!Tabla2[[#This Row],[TIEMPO DE ATENCIÓN REALIZADO]]&lt;=[1]!Tabla2[[#This Row],[TIEMPO DE ATENCIÓN ESPERADO]],"Dentro de plazo","Fuera de plazo")</f>
        <v>#REF!</v>
      </c>
      <c r="Q32" s="6">
        <v>8000</v>
      </c>
      <c r="R32" s="2" t="s">
        <v>45</v>
      </c>
      <c r="S32" s="2" t="s">
        <v>425</v>
      </c>
      <c r="T32" s="2" t="s">
        <v>40</v>
      </c>
      <c r="U32" s="2" t="s">
        <v>53</v>
      </c>
      <c r="V32" s="2"/>
    </row>
    <row r="33" spans="1:22" ht="27" customHeight="1" x14ac:dyDescent="0.3">
      <c r="A33" s="2">
        <v>32</v>
      </c>
      <c r="B33" s="2" t="s">
        <v>1</v>
      </c>
      <c r="C33" s="4">
        <v>45680</v>
      </c>
      <c r="D33" s="4" t="str">
        <f>TEXT(Tabla2[[#This Row],[fecha]],"MMMM")</f>
        <v>Enero</v>
      </c>
      <c r="E33" s="2" t="s">
        <v>85</v>
      </c>
      <c r="F33" s="2" t="s">
        <v>55</v>
      </c>
      <c r="G33" s="2" t="s">
        <v>58</v>
      </c>
      <c r="H33" s="2" t="s">
        <v>421</v>
      </c>
      <c r="I33" s="2" t="s">
        <v>77</v>
      </c>
      <c r="J33" s="2"/>
      <c r="K33" s="2"/>
      <c r="L33" s="2">
        <v>3424</v>
      </c>
      <c r="M33" s="4">
        <v>45680</v>
      </c>
      <c r="N33" s="5">
        <v>0</v>
      </c>
      <c r="O33" s="5">
        <v>0</v>
      </c>
      <c r="P33" s="5" t="e">
        <f>IF([1]!Tabla2[[#This Row],[TIEMPO DE ATENCIÓN REALIZADO]]&lt;=[1]!Tabla2[[#This Row],[TIEMPO DE ATENCIÓN ESPERADO]],"Dentro de plazo","Fuera de plazo")</f>
        <v>#REF!</v>
      </c>
      <c r="Q33" s="6">
        <v>6000</v>
      </c>
      <c r="R33" s="2" t="s">
        <v>9</v>
      </c>
      <c r="S33" s="2" t="s">
        <v>427</v>
      </c>
      <c r="T33" s="2" t="s">
        <v>40</v>
      </c>
      <c r="U33" s="2" t="s">
        <v>53</v>
      </c>
      <c r="V33" s="2"/>
    </row>
    <row r="34" spans="1:22" ht="27" customHeight="1" x14ac:dyDescent="0.3">
      <c r="A34" s="2">
        <v>33</v>
      </c>
      <c r="B34" s="2" t="s">
        <v>1</v>
      </c>
      <c r="C34" s="4">
        <v>45680</v>
      </c>
      <c r="D34" s="4" t="str">
        <f>TEXT(Tabla2[[#This Row],[fecha]],"MMMM")</f>
        <v>Enero</v>
      </c>
      <c r="E34" s="2" t="s">
        <v>85</v>
      </c>
      <c r="F34" s="2" t="s">
        <v>55</v>
      </c>
      <c r="G34" s="2" t="s">
        <v>58</v>
      </c>
      <c r="H34" s="2" t="s">
        <v>421</v>
      </c>
      <c r="I34" s="2" t="s">
        <v>77</v>
      </c>
      <c r="J34" s="2"/>
      <c r="K34" s="2"/>
      <c r="L34" s="2">
        <v>3425</v>
      </c>
      <c r="M34" s="4">
        <v>45680</v>
      </c>
      <c r="N34" s="5">
        <v>0</v>
      </c>
      <c r="O34" s="5">
        <v>0</v>
      </c>
      <c r="P34" s="5" t="e">
        <f>IF([1]!Tabla2[[#This Row],[TIEMPO DE ATENCIÓN REALIZADO]]&lt;=[1]!Tabla2[[#This Row],[TIEMPO DE ATENCIÓN ESPERADO]],"Dentro de plazo","Fuera de plazo")</f>
        <v>#REF!</v>
      </c>
      <c r="Q34" s="6">
        <v>6000</v>
      </c>
      <c r="R34" s="2" t="s">
        <v>9</v>
      </c>
      <c r="S34" s="2" t="s">
        <v>425</v>
      </c>
      <c r="T34" s="2" t="s">
        <v>40</v>
      </c>
      <c r="U34" s="2" t="s">
        <v>53</v>
      </c>
      <c r="V34" s="2"/>
    </row>
    <row r="35" spans="1:22" ht="27" customHeight="1" x14ac:dyDescent="0.3">
      <c r="A35" s="2">
        <v>34</v>
      </c>
      <c r="B35" s="2" t="s">
        <v>1</v>
      </c>
      <c r="C35" s="4">
        <v>45680</v>
      </c>
      <c r="D35" s="4" t="str">
        <f>TEXT(Tabla2[[#This Row],[fecha]],"MMMM")</f>
        <v>Enero</v>
      </c>
      <c r="E35" s="2" t="s">
        <v>86</v>
      </c>
      <c r="F35" s="2" t="s">
        <v>414</v>
      </c>
      <c r="G35" s="2" t="s">
        <v>58</v>
      </c>
      <c r="H35" s="2" t="s">
        <v>421</v>
      </c>
      <c r="I35" s="2" t="s">
        <v>66</v>
      </c>
      <c r="J35" s="2"/>
      <c r="K35" s="2"/>
      <c r="L35" s="2">
        <v>3426</v>
      </c>
      <c r="M35" s="4">
        <v>45680</v>
      </c>
      <c r="N35" s="5">
        <v>0</v>
      </c>
      <c r="O35" s="5">
        <v>0</v>
      </c>
      <c r="P35" s="5" t="e">
        <f>IF([1]!Tabla2[[#This Row],[TIEMPO DE ATENCIÓN REALIZADO]]&lt;=[1]!Tabla2[[#This Row],[TIEMPO DE ATENCIÓN ESPERADO]],"Dentro de plazo","Fuera de plazo")</f>
        <v>#REF!</v>
      </c>
      <c r="Q35" s="6">
        <v>5500</v>
      </c>
      <c r="R35" s="2" t="s">
        <v>13</v>
      </c>
      <c r="S35" s="2" t="s">
        <v>424</v>
      </c>
      <c r="T35" s="2" t="s">
        <v>40</v>
      </c>
      <c r="U35" s="2" t="s">
        <v>41</v>
      </c>
      <c r="V35" s="2"/>
    </row>
    <row r="36" spans="1:22" ht="27" customHeight="1" x14ac:dyDescent="0.3">
      <c r="A36" s="2">
        <v>35</v>
      </c>
      <c r="B36" s="2" t="s">
        <v>1</v>
      </c>
      <c r="C36" s="4">
        <v>45681</v>
      </c>
      <c r="D36" s="4" t="str">
        <f>TEXT(Tabla2[[#This Row],[fecha]],"MMMM")</f>
        <v>Enero</v>
      </c>
      <c r="E36" s="2" t="s">
        <v>87</v>
      </c>
      <c r="F36" s="2" t="s">
        <v>415</v>
      </c>
      <c r="G36" s="2" t="s">
        <v>44</v>
      </c>
      <c r="H36" s="2" t="s">
        <v>60</v>
      </c>
      <c r="I36" s="2" t="s">
        <v>88</v>
      </c>
      <c r="J36" s="2"/>
      <c r="K36" s="2"/>
      <c r="L36" s="2">
        <v>3427</v>
      </c>
      <c r="M36" s="4">
        <v>45681</v>
      </c>
      <c r="N36" s="5">
        <v>0</v>
      </c>
      <c r="O36" s="5">
        <v>0</v>
      </c>
      <c r="P36" s="5" t="e">
        <f>IF([1]!Tabla2[[#This Row],[TIEMPO DE ATENCIÓN REALIZADO]]&lt;=[1]!Tabla2[[#This Row],[TIEMPO DE ATENCIÓN ESPERADO]],"Dentro de plazo","Fuera de plazo")</f>
        <v>#REF!</v>
      </c>
      <c r="Q36" s="6">
        <v>1200</v>
      </c>
      <c r="R36" s="2" t="s">
        <v>45</v>
      </c>
      <c r="S36" s="2" t="s">
        <v>425</v>
      </c>
      <c r="T36" s="2" t="s">
        <v>40</v>
      </c>
      <c r="U36" s="2" t="s">
        <v>53</v>
      </c>
      <c r="V36" s="2"/>
    </row>
    <row r="37" spans="1:22" ht="27" customHeight="1" x14ac:dyDescent="0.3">
      <c r="A37" s="2">
        <v>36</v>
      </c>
      <c r="B37" s="2" t="s">
        <v>1</v>
      </c>
      <c r="C37" s="4">
        <v>45681</v>
      </c>
      <c r="D37" s="4" t="str">
        <f>TEXT(Tabla2[[#This Row],[fecha]],"MMMM")</f>
        <v>Enero</v>
      </c>
      <c r="E37" s="2" t="s">
        <v>78</v>
      </c>
      <c r="F37" s="2" t="s">
        <v>415</v>
      </c>
      <c r="G37" s="2" t="s">
        <v>44</v>
      </c>
      <c r="H37" s="2" t="s">
        <v>60</v>
      </c>
      <c r="I37" s="2" t="s">
        <v>39</v>
      </c>
      <c r="J37" s="2"/>
      <c r="K37" s="2"/>
      <c r="L37" s="2">
        <v>3428</v>
      </c>
      <c r="M37" s="4">
        <v>45681</v>
      </c>
      <c r="N37" s="5">
        <v>0</v>
      </c>
      <c r="O37" s="5">
        <v>0</v>
      </c>
      <c r="P37" s="5" t="e">
        <f>IF([1]!Tabla2[[#This Row],[TIEMPO DE ATENCIÓN REALIZADO]]&lt;=[1]!Tabla2[[#This Row],[TIEMPO DE ATENCIÓN ESPERADO]],"Dentro de plazo","Fuera de plazo")</f>
        <v>#REF!</v>
      </c>
      <c r="Q37" s="6">
        <v>8000</v>
      </c>
      <c r="R37" s="2" t="s">
        <v>45</v>
      </c>
      <c r="S37" s="2" t="s">
        <v>425</v>
      </c>
      <c r="T37" s="2" t="s">
        <v>40</v>
      </c>
      <c r="U37" s="2" t="s">
        <v>53</v>
      </c>
      <c r="V37" s="2"/>
    </row>
    <row r="38" spans="1:22" ht="27" customHeight="1" x14ac:dyDescent="0.3">
      <c r="A38" s="2">
        <v>37</v>
      </c>
      <c r="B38" s="2" t="s">
        <v>1</v>
      </c>
      <c r="C38" s="4">
        <v>45672</v>
      </c>
      <c r="D38" s="4" t="str">
        <f>TEXT(Tabla2[[#This Row],[fecha]],"MMMM")</f>
        <v>Enero</v>
      </c>
      <c r="E38" s="2" t="s">
        <v>11</v>
      </c>
      <c r="F38" s="2" t="s">
        <v>55</v>
      </c>
      <c r="G38" s="2" t="s">
        <v>58</v>
      </c>
      <c r="H38" s="2" t="s">
        <v>421</v>
      </c>
      <c r="I38" s="2" t="s">
        <v>39</v>
      </c>
      <c r="J38" s="2"/>
      <c r="K38" s="2"/>
      <c r="L38" s="2">
        <v>3429</v>
      </c>
      <c r="M38" s="4">
        <v>45681</v>
      </c>
      <c r="N38" s="5">
        <v>9</v>
      </c>
      <c r="O38" s="5">
        <v>9</v>
      </c>
      <c r="P38" s="5" t="e">
        <f>IF([1]!Tabla2[[#This Row],[TIEMPO DE ATENCIÓN REALIZADO]]&lt;=[1]!Tabla2[[#This Row],[TIEMPO DE ATENCIÓN ESPERADO]],"Dentro de plazo","Fuera de plazo")</f>
        <v>#REF!</v>
      </c>
      <c r="Q38" s="6">
        <v>50000</v>
      </c>
      <c r="R38" s="2" t="s">
        <v>4</v>
      </c>
      <c r="S38" s="2" t="s">
        <v>424</v>
      </c>
      <c r="T38" s="2" t="s">
        <v>40</v>
      </c>
      <c r="U38" s="2" t="s">
        <v>41</v>
      </c>
      <c r="V38" s="2"/>
    </row>
    <row r="39" spans="1:22" ht="27" customHeight="1" x14ac:dyDescent="0.3">
      <c r="A39" s="2">
        <v>38</v>
      </c>
      <c r="B39" s="2" t="s">
        <v>62</v>
      </c>
      <c r="C39" s="4">
        <v>45681</v>
      </c>
      <c r="D39" s="4" t="str">
        <f>TEXT(Tabla2[[#This Row],[fecha]],"MMMM")</f>
        <v>Enero</v>
      </c>
      <c r="E39" s="2" t="s">
        <v>89</v>
      </c>
      <c r="F39" s="2" t="s">
        <v>414</v>
      </c>
      <c r="G39" s="2" t="s">
        <v>38</v>
      </c>
      <c r="H39" s="2" t="s">
        <v>60</v>
      </c>
      <c r="I39" s="2" t="s">
        <v>90</v>
      </c>
      <c r="J39" s="2"/>
      <c r="K39" s="2"/>
      <c r="L39" s="2">
        <v>3030</v>
      </c>
      <c r="M39" s="4">
        <v>45681</v>
      </c>
      <c r="N39" s="5">
        <v>0</v>
      </c>
      <c r="O39" s="5">
        <v>0</v>
      </c>
      <c r="P39" s="5" t="e">
        <f>IF([1]!Tabla2[[#This Row],[TIEMPO DE ATENCIÓN REALIZADO]]&lt;=[1]!Tabla2[[#This Row],[TIEMPO DE ATENCIÓN ESPERADO]],"Dentro de plazo","Fuera de plazo")</f>
        <v>#REF!</v>
      </c>
      <c r="Q39" s="6">
        <v>8000</v>
      </c>
      <c r="R39" s="2" t="s">
        <v>15</v>
      </c>
      <c r="S39" s="2" t="s">
        <v>424</v>
      </c>
      <c r="T39" s="2" t="s">
        <v>40</v>
      </c>
      <c r="U39" s="2" t="s">
        <v>41</v>
      </c>
      <c r="V39" s="2"/>
    </row>
    <row r="40" spans="1:22" ht="27" customHeight="1" x14ac:dyDescent="0.3">
      <c r="A40" s="2">
        <v>39</v>
      </c>
      <c r="B40" s="2" t="s">
        <v>1</v>
      </c>
      <c r="C40" s="4">
        <v>45681</v>
      </c>
      <c r="D40" s="4" t="str">
        <f>TEXT(Tabla2[[#This Row],[fecha]],"MMMM")</f>
        <v>Enero</v>
      </c>
      <c r="E40" s="2" t="s">
        <v>48</v>
      </c>
      <c r="F40" s="2" t="s">
        <v>415</v>
      </c>
      <c r="G40" s="2" t="s">
        <v>38</v>
      </c>
      <c r="H40" s="2" t="s">
        <v>421</v>
      </c>
      <c r="I40" s="2" t="s">
        <v>39</v>
      </c>
      <c r="J40" s="2"/>
      <c r="K40" s="2"/>
      <c r="L40" s="2">
        <v>3431</v>
      </c>
      <c r="M40" s="4">
        <v>45681</v>
      </c>
      <c r="N40" s="5">
        <v>0</v>
      </c>
      <c r="O40" s="5">
        <v>0</v>
      </c>
      <c r="P40" s="5" t="e">
        <f>IF([1]!Tabla2[[#This Row],[TIEMPO DE ATENCIÓN REALIZADO]]&lt;=[1]!Tabla2[[#This Row],[TIEMPO DE ATENCIÓN ESPERADO]],"Dentro de plazo","Fuera de plazo")</f>
        <v>#REF!</v>
      </c>
      <c r="Q40" s="6">
        <v>1200</v>
      </c>
      <c r="R40" s="2" t="s">
        <v>9</v>
      </c>
      <c r="S40" s="2" t="s">
        <v>424</v>
      </c>
      <c r="T40" s="2" t="s">
        <v>40</v>
      </c>
      <c r="U40" s="2" t="s">
        <v>41</v>
      </c>
      <c r="V40" s="2"/>
    </row>
    <row r="41" spans="1:22" ht="27" customHeight="1" x14ac:dyDescent="0.3">
      <c r="A41" s="2">
        <v>40</v>
      </c>
      <c r="B41" s="2" t="s">
        <v>1</v>
      </c>
      <c r="C41" s="4">
        <v>45681</v>
      </c>
      <c r="D41" s="4" t="str">
        <f>TEXT(Tabla2[[#This Row],[fecha]],"MMMM")</f>
        <v>Enero</v>
      </c>
      <c r="E41" s="2" t="s">
        <v>48</v>
      </c>
      <c r="F41" s="2" t="s">
        <v>415</v>
      </c>
      <c r="G41" s="2" t="s">
        <v>38</v>
      </c>
      <c r="H41" s="2" t="s">
        <v>421</v>
      </c>
      <c r="I41" s="2" t="s">
        <v>39</v>
      </c>
      <c r="J41" s="2"/>
      <c r="K41" s="2"/>
      <c r="L41" s="2">
        <v>3432</v>
      </c>
      <c r="M41" s="4">
        <v>45681</v>
      </c>
      <c r="N41" s="5">
        <v>0</v>
      </c>
      <c r="O41" s="5">
        <v>0</v>
      </c>
      <c r="P41" s="5" t="e">
        <f>IF([1]!Tabla2[[#This Row],[TIEMPO DE ATENCIÓN REALIZADO]]&lt;=[1]!Tabla2[[#This Row],[TIEMPO DE ATENCIÓN ESPERADO]],"Dentro de plazo","Fuera de plazo")</f>
        <v>#REF!</v>
      </c>
      <c r="Q41" s="6">
        <v>1500</v>
      </c>
      <c r="R41" s="2" t="s">
        <v>9</v>
      </c>
      <c r="S41" s="2" t="s">
        <v>424</v>
      </c>
      <c r="T41" s="2" t="s">
        <v>40</v>
      </c>
      <c r="U41" s="2" t="s">
        <v>41</v>
      </c>
      <c r="V41" s="2"/>
    </row>
    <row r="42" spans="1:22" ht="27" customHeight="1" x14ac:dyDescent="0.3">
      <c r="A42" s="2">
        <v>41</v>
      </c>
      <c r="B42" s="2" t="s">
        <v>1</v>
      </c>
      <c r="C42" s="4">
        <v>45681</v>
      </c>
      <c r="D42" s="4" t="str">
        <f>TEXT(Tabla2[[#This Row],[fecha]],"MMMM")</f>
        <v>Enero</v>
      </c>
      <c r="E42" s="2" t="s">
        <v>48</v>
      </c>
      <c r="F42" s="2" t="s">
        <v>55</v>
      </c>
      <c r="G42" s="2" t="s">
        <v>38</v>
      </c>
      <c r="H42" s="2" t="s">
        <v>421</v>
      </c>
      <c r="I42" s="2" t="s">
        <v>39</v>
      </c>
      <c r="J42" s="2"/>
      <c r="K42" s="2"/>
      <c r="L42" s="2">
        <v>3433</v>
      </c>
      <c r="M42" s="4">
        <v>45681</v>
      </c>
      <c r="N42" s="5">
        <v>0</v>
      </c>
      <c r="O42" s="5">
        <v>0</v>
      </c>
      <c r="P42" s="5" t="e">
        <f>IF([1]!Tabla2[[#This Row],[TIEMPO DE ATENCIÓN REALIZADO]]&lt;=[1]!Tabla2[[#This Row],[TIEMPO DE ATENCIÓN ESPERADO]],"Dentro de plazo","Fuera de plazo")</f>
        <v>#REF!</v>
      </c>
      <c r="Q42" s="6">
        <v>20000</v>
      </c>
      <c r="R42" s="2" t="s">
        <v>4</v>
      </c>
      <c r="S42" s="2" t="s">
        <v>424</v>
      </c>
      <c r="T42" s="2" t="s">
        <v>40</v>
      </c>
      <c r="U42" s="2" t="s">
        <v>41</v>
      </c>
      <c r="V42" s="2"/>
    </row>
    <row r="43" spans="1:22" ht="27" customHeight="1" x14ac:dyDescent="0.3">
      <c r="A43" s="2">
        <v>42</v>
      </c>
      <c r="B43" s="2" t="s">
        <v>1</v>
      </c>
      <c r="C43" s="4">
        <v>45684</v>
      </c>
      <c r="D43" s="4" t="str">
        <f>TEXT(Tabla2[[#This Row],[fecha]],"MMMM")</f>
        <v>Enero</v>
      </c>
      <c r="E43" s="2" t="s">
        <v>48</v>
      </c>
      <c r="F43" s="2" t="s">
        <v>415</v>
      </c>
      <c r="G43" s="2" t="s">
        <v>38</v>
      </c>
      <c r="H43" s="2" t="s">
        <v>421</v>
      </c>
      <c r="I43" s="2" t="s">
        <v>39</v>
      </c>
      <c r="J43" s="2"/>
      <c r="K43" s="2"/>
      <c r="L43" s="2">
        <v>3434</v>
      </c>
      <c r="M43" s="4">
        <v>45684</v>
      </c>
      <c r="N43" s="5">
        <v>0</v>
      </c>
      <c r="O43" s="5">
        <v>0</v>
      </c>
      <c r="P43" s="5" t="e">
        <f>IF([1]!Tabla2[[#This Row],[TIEMPO DE ATENCIÓN REALIZADO]]&lt;=[1]!Tabla2[[#This Row],[TIEMPO DE ATENCIÓN ESPERADO]],"Dentro de plazo","Fuera de plazo")</f>
        <v>#REF!</v>
      </c>
      <c r="Q43" s="6">
        <v>1300</v>
      </c>
      <c r="R43" s="2" t="s">
        <v>9</v>
      </c>
      <c r="S43" s="2" t="s">
        <v>424</v>
      </c>
      <c r="T43" s="2" t="s">
        <v>46</v>
      </c>
      <c r="U43" s="2" t="s">
        <v>41</v>
      </c>
      <c r="V43" s="2"/>
    </row>
    <row r="44" spans="1:22" ht="27" customHeight="1" x14ac:dyDescent="0.3">
      <c r="A44" s="2">
        <v>43</v>
      </c>
      <c r="B44" s="2" t="s">
        <v>1</v>
      </c>
      <c r="C44" s="4">
        <v>45684</v>
      </c>
      <c r="D44" s="4" t="str">
        <f>TEXT(Tabla2[[#This Row],[fecha]],"MMMM")</f>
        <v>Enero</v>
      </c>
      <c r="E44" s="2" t="s">
        <v>48</v>
      </c>
      <c r="F44" s="2" t="s">
        <v>415</v>
      </c>
      <c r="G44" s="2" t="s">
        <v>38</v>
      </c>
      <c r="H44" s="2" t="s">
        <v>421</v>
      </c>
      <c r="I44" s="2" t="s">
        <v>39</v>
      </c>
      <c r="J44" s="2"/>
      <c r="K44" s="2"/>
      <c r="L44" s="2">
        <v>3435</v>
      </c>
      <c r="M44" s="4">
        <v>45684</v>
      </c>
      <c r="N44" s="5">
        <v>0</v>
      </c>
      <c r="O44" s="5">
        <v>0</v>
      </c>
      <c r="P44" s="5" t="e">
        <f>IF([1]!Tabla2[[#This Row],[TIEMPO DE ATENCIÓN REALIZADO]]&lt;=[1]!Tabla2[[#This Row],[TIEMPO DE ATENCIÓN ESPERADO]],"Dentro de plazo","Fuera de plazo")</f>
        <v>#REF!</v>
      </c>
      <c r="Q44" s="6">
        <v>2500</v>
      </c>
      <c r="R44" s="2" t="s">
        <v>9</v>
      </c>
      <c r="S44" s="2" t="s">
        <v>424</v>
      </c>
      <c r="T44" s="2" t="s">
        <v>46</v>
      </c>
      <c r="U44" s="2" t="s">
        <v>41</v>
      </c>
      <c r="V44" s="2"/>
    </row>
    <row r="45" spans="1:22" ht="27" customHeight="1" x14ac:dyDescent="0.3">
      <c r="A45" s="2">
        <v>44</v>
      </c>
      <c r="B45" s="2" t="s">
        <v>1</v>
      </c>
      <c r="C45" s="4">
        <v>45684</v>
      </c>
      <c r="D45" s="4" t="str">
        <f>TEXT(Tabla2[[#This Row],[fecha]],"MMMM")</f>
        <v>Enero</v>
      </c>
      <c r="E45" s="2" t="s">
        <v>48</v>
      </c>
      <c r="F45" s="2" t="s">
        <v>55</v>
      </c>
      <c r="G45" s="2" t="s">
        <v>38</v>
      </c>
      <c r="H45" s="2" t="s">
        <v>421</v>
      </c>
      <c r="I45" s="2" t="s">
        <v>39</v>
      </c>
      <c r="J45" s="2"/>
      <c r="K45" s="2"/>
      <c r="L45" s="2">
        <v>3436</v>
      </c>
      <c r="M45" s="4">
        <v>45684</v>
      </c>
      <c r="N45" s="5">
        <v>0</v>
      </c>
      <c r="O45" s="5">
        <v>0</v>
      </c>
      <c r="P45" s="5" t="e">
        <f>IF([1]!Tabla2[[#This Row],[TIEMPO DE ATENCIÓN REALIZADO]]&lt;=[1]!Tabla2[[#This Row],[TIEMPO DE ATENCIÓN ESPERADO]],"Dentro de plazo","Fuera de plazo")</f>
        <v>#REF!</v>
      </c>
      <c r="Q45" s="6">
        <v>20000</v>
      </c>
      <c r="R45" s="2" t="s">
        <v>9</v>
      </c>
      <c r="S45" s="2" t="s">
        <v>424</v>
      </c>
      <c r="T45" s="2" t="s">
        <v>46</v>
      </c>
      <c r="U45" s="2" t="s">
        <v>41</v>
      </c>
      <c r="V45" s="2"/>
    </row>
    <row r="46" spans="1:22" ht="27" customHeight="1" x14ac:dyDescent="0.3">
      <c r="A46" s="2">
        <v>45</v>
      </c>
      <c r="B46" s="2" t="s">
        <v>1</v>
      </c>
      <c r="C46" s="4">
        <v>45684</v>
      </c>
      <c r="D46" s="4" t="str">
        <f>TEXT(Tabla2[[#This Row],[fecha]],"MMMM")</f>
        <v>Enero</v>
      </c>
      <c r="E46" s="2" t="s">
        <v>48</v>
      </c>
      <c r="F46" s="2" t="s">
        <v>91</v>
      </c>
      <c r="G46" s="2" t="s">
        <v>38</v>
      </c>
      <c r="H46" s="2" t="s">
        <v>421</v>
      </c>
      <c r="I46" s="2" t="s">
        <v>39</v>
      </c>
      <c r="J46" s="2"/>
      <c r="K46" s="2"/>
      <c r="L46" s="2">
        <v>3437</v>
      </c>
      <c r="M46" s="4">
        <v>45684</v>
      </c>
      <c r="N46" s="5">
        <v>0</v>
      </c>
      <c r="O46" s="5">
        <v>0</v>
      </c>
      <c r="P46" s="5" t="e">
        <f>IF([1]!Tabla2[[#This Row],[TIEMPO DE ATENCIÓN REALIZADO]]&lt;=[1]!Tabla2[[#This Row],[TIEMPO DE ATENCIÓN ESPERADO]],"Dentro de plazo","Fuera de plazo")</f>
        <v>#REF!</v>
      </c>
      <c r="Q46" s="6">
        <v>1300</v>
      </c>
      <c r="R46" s="2" t="s">
        <v>13</v>
      </c>
      <c r="S46" s="2" t="s">
        <v>427</v>
      </c>
      <c r="T46" s="2" t="s">
        <v>40</v>
      </c>
      <c r="U46" s="2" t="s">
        <v>41</v>
      </c>
      <c r="V46" s="2"/>
    </row>
    <row r="47" spans="1:22" ht="27" customHeight="1" x14ac:dyDescent="0.3">
      <c r="A47" s="2">
        <v>46</v>
      </c>
      <c r="B47" s="2" t="s">
        <v>1</v>
      </c>
      <c r="C47" s="4">
        <v>45684</v>
      </c>
      <c r="D47" s="4" t="str">
        <f>TEXT(Tabla2[[#This Row],[fecha]],"MMMM")</f>
        <v>Enero</v>
      </c>
      <c r="E47" s="2" t="s">
        <v>48</v>
      </c>
      <c r="F47" s="2" t="s">
        <v>414</v>
      </c>
      <c r="G47" s="2" t="s">
        <v>38</v>
      </c>
      <c r="H47" s="2" t="s">
        <v>421</v>
      </c>
      <c r="I47" s="2" t="s">
        <v>39</v>
      </c>
      <c r="J47" s="2"/>
      <c r="K47" s="2"/>
      <c r="L47" s="2">
        <v>3438</v>
      </c>
      <c r="M47" s="4">
        <v>45684</v>
      </c>
      <c r="N47" s="5">
        <v>0</v>
      </c>
      <c r="O47" s="5">
        <v>0</v>
      </c>
      <c r="P47" s="5" t="e">
        <f>IF([1]!Tabla2[[#This Row],[TIEMPO DE ATENCIÓN REALIZADO]]&lt;=[1]!Tabla2[[#This Row],[TIEMPO DE ATENCIÓN ESPERADO]],"Dentro de plazo","Fuera de plazo")</f>
        <v>#REF!</v>
      </c>
      <c r="Q47" s="6">
        <v>1800</v>
      </c>
      <c r="R47" s="2" t="s">
        <v>13</v>
      </c>
      <c r="S47" s="2" t="s">
        <v>424</v>
      </c>
      <c r="T47" s="2" t="s">
        <v>40</v>
      </c>
      <c r="U47" s="2" t="s">
        <v>41</v>
      </c>
      <c r="V47" s="2"/>
    </row>
    <row r="48" spans="1:22" ht="27" customHeight="1" x14ac:dyDescent="0.3">
      <c r="A48" s="2">
        <v>47</v>
      </c>
      <c r="B48" s="2" t="s">
        <v>5</v>
      </c>
      <c r="C48" s="4">
        <v>45684</v>
      </c>
      <c r="D48" s="4" t="str">
        <f>TEXT(Tabla2[[#This Row],[fecha]],"MMMM")</f>
        <v>Enero</v>
      </c>
      <c r="E48" s="2" t="s">
        <v>26</v>
      </c>
      <c r="F48" s="2" t="s">
        <v>55</v>
      </c>
      <c r="G48" s="2" t="s">
        <v>38</v>
      </c>
      <c r="H48" s="2" t="s">
        <v>421</v>
      </c>
      <c r="I48" s="2" t="s">
        <v>39</v>
      </c>
      <c r="J48" s="2">
        <v>353</v>
      </c>
      <c r="K48" s="2" t="s">
        <v>19</v>
      </c>
      <c r="L48" s="2">
        <v>3439</v>
      </c>
      <c r="M48" s="4">
        <v>45684</v>
      </c>
      <c r="N48" s="5">
        <v>0</v>
      </c>
      <c r="O48" s="5">
        <v>0</v>
      </c>
      <c r="P48" s="5" t="e">
        <f>IF([1]!Tabla2[[#This Row],[TIEMPO DE ATENCIÓN REALIZADO]]&lt;=[1]!Tabla2[[#This Row],[TIEMPO DE ATENCIÓN ESPERADO]],"Dentro de plazo","Fuera de plazo")</f>
        <v>#REF!</v>
      </c>
      <c r="Q48" s="6" t="s">
        <v>19</v>
      </c>
      <c r="R48" s="2" t="s">
        <v>13</v>
      </c>
      <c r="S48" s="2" t="s">
        <v>424</v>
      </c>
      <c r="T48" s="2" t="s">
        <v>46</v>
      </c>
      <c r="U48" s="2" t="s">
        <v>41</v>
      </c>
      <c r="V48" s="2"/>
    </row>
    <row r="49" spans="1:22" ht="27" customHeight="1" x14ac:dyDescent="0.3">
      <c r="A49" s="2">
        <v>48</v>
      </c>
      <c r="B49" s="2" t="s">
        <v>5</v>
      </c>
      <c r="C49" s="4">
        <v>45684</v>
      </c>
      <c r="D49" s="4" t="str">
        <f>TEXT(Tabla2[[#This Row],[fecha]],"MMMM")</f>
        <v>Enero</v>
      </c>
      <c r="E49" s="2" t="s">
        <v>92</v>
      </c>
      <c r="F49" s="2" t="s">
        <v>55</v>
      </c>
      <c r="G49" s="2" t="s">
        <v>38</v>
      </c>
      <c r="H49" s="2" t="s">
        <v>421</v>
      </c>
      <c r="I49" s="2" t="s">
        <v>39</v>
      </c>
      <c r="J49" s="2">
        <v>354</v>
      </c>
      <c r="K49" s="2" t="s">
        <v>19</v>
      </c>
      <c r="L49" s="2">
        <v>3440</v>
      </c>
      <c r="M49" s="4">
        <v>45684</v>
      </c>
      <c r="N49" s="5">
        <v>0</v>
      </c>
      <c r="O49" s="5">
        <v>0</v>
      </c>
      <c r="P49" s="5" t="e">
        <f>IF([1]!Tabla2[[#This Row],[TIEMPO DE ATENCIÓN REALIZADO]]&lt;=[1]!Tabla2[[#This Row],[TIEMPO DE ATENCIÓN ESPERADO]],"Dentro de plazo","Fuera de plazo")</f>
        <v>#REF!</v>
      </c>
      <c r="Q49" s="6" t="s">
        <v>19</v>
      </c>
      <c r="R49" s="2" t="s">
        <v>45</v>
      </c>
      <c r="S49" s="2" t="s">
        <v>425</v>
      </c>
      <c r="T49" s="2" t="s">
        <v>40</v>
      </c>
      <c r="U49" s="2" t="s">
        <v>41</v>
      </c>
      <c r="V49" s="2"/>
    </row>
    <row r="50" spans="1:22" ht="27" customHeight="1" x14ac:dyDescent="0.3">
      <c r="A50" s="2">
        <v>49</v>
      </c>
      <c r="B50" s="2" t="s">
        <v>62</v>
      </c>
      <c r="C50" s="4">
        <v>45683</v>
      </c>
      <c r="D50" s="4" t="str">
        <f>TEXT(Tabla2[[#This Row],[fecha]],"MMMM")</f>
        <v>Enero</v>
      </c>
      <c r="E50" s="2" t="s">
        <v>93</v>
      </c>
      <c r="F50" s="2" t="s">
        <v>415</v>
      </c>
      <c r="G50" s="2" t="s">
        <v>38</v>
      </c>
      <c r="H50" s="2" t="s">
        <v>60</v>
      </c>
      <c r="I50" s="2" t="s">
        <v>463</v>
      </c>
      <c r="J50" s="2"/>
      <c r="K50" s="2">
        <v>3298</v>
      </c>
      <c r="L50" s="2">
        <v>3441</v>
      </c>
      <c r="M50" s="4">
        <v>45684</v>
      </c>
      <c r="N50" s="5">
        <v>1</v>
      </c>
      <c r="O50" s="5">
        <v>1</v>
      </c>
      <c r="P50" s="5" t="e">
        <f>IF([1]!Tabla2[[#This Row],[TIEMPO DE ATENCIÓN REALIZADO]]&lt;=[1]!Tabla2[[#This Row],[TIEMPO DE ATENCIÓN ESPERADO]],"Dentro de plazo","Fuera de plazo")</f>
        <v>#REF!</v>
      </c>
      <c r="Q50" s="6">
        <v>5284</v>
      </c>
      <c r="R50" s="2" t="s">
        <v>2</v>
      </c>
      <c r="S50" s="2" t="s">
        <v>425</v>
      </c>
      <c r="T50" s="2" t="s">
        <v>40</v>
      </c>
      <c r="U50" s="2" t="s">
        <v>53</v>
      </c>
      <c r="V50" s="2"/>
    </row>
    <row r="51" spans="1:22" ht="27" customHeight="1" x14ac:dyDescent="0.3">
      <c r="A51" s="2">
        <v>50</v>
      </c>
      <c r="B51" s="2" t="s">
        <v>62</v>
      </c>
      <c r="C51" s="4">
        <v>45684</v>
      </c>
      <c r="D51" s="4" t="str">
        <f>TEXT(Tabla2[[#This Row],[fecha]],"MMMM")</f>
        <v>Enero</v>
      </c>
      <c r="E51" s="2" t="s">
        <v>94</v>
      </c>
      <c r="F51" s="2" t="s">
        <v>55</v>
      </c>
      <c r="G51" s="2" t="s">
        <v>38</v>
      </c>
      <c r="H51" s="2" t="s">
        <v>60</v>
      </c>
      <c r="I51" s="2" t="s">
        <v>39</v>
      </c>
      <c r="J51" s="2"/>
      <c r="K51" s="2"/>
      <c r="L51" s="2">
        <v>3442</v>
      </c>
      <c r="M51" s="4">
        <v>45684</v>
      </c>
      <c r="N51" s="5">
        <v>0</v>
      </c>
      <c r="O51" s="5">
        <v>0</v>
      </c>
      <c r="P51" s="5" t="e">
        <f>IF([1]!Tabla2[[#This Row],[TIEMPO DE ATENCIÓN REALIZADO]]&lt;=[1]!Tabla2[[#This Row],[TIEMPO DE ATENCIÓN ESPERADO]],"Dentro de plazo","Fuera de plazo")</f>
        <v>#REF!</v>
      </c>
      <c r="Q51" s="6">
        <v>2200</v>
      </c>
      <c r="R51" s="2" t="s">
        <v>45</v>
      </c>
      <c r="S51" s="2" t="s">
        <v>425</v>
      </c>
      <c r="T51" s="2" t="s">
        <v>40</v>
      </c>
      <c r="U51" s="2" t="s">
        <v>41</v>
      </c>
      <c r="V51" s="2"/>
    </row>
    <row r="52" spans="1:22" ht="27" customHeight="1" x14ac:dyDescent="0.3">
      <c r="A52" s="2">
        <v>51</v>
      </c>
      <c r="B52" s="2" t="s">
        <v>5</v>
      </c>
      <c r="C52" s="4">
        <v>45685</v>
      </c>
      <c r="D52" s="4" t="str">
        <f>TEXT(Tabla2[[#This Row],[fecha]],"MMMM")</f>
        <v>Enero</v>
      </c>
      <c r="E52" s="2" t="s">
        <v>95</v>
      </c>
      <c r="F52" s="2" t="s">
        <v>414</v>
      </c>
      <c r="G52" s="2" t="s">
        <v>58</v>
      </c>
      <c r="H52" s="2" t="s">
        <v>421</v>
      </c>
      <c r="I52" s="2" t="s">
        <v>39</v>
      </c>
      <c r="J52" s="2">
        <v>343</v>
      </c>
      <c r="K52" s="2">
        <v>3299</v>
      </c>
      <c r="L52" s="2">
        <v>3443</v>
      </c>
      <c r="M52" s="4">
        <v>45685</v>
      </c>
      <c r="N52" s="5">
        <v>0</v>
      </c>
      <c r="O52" s="5">
        <v>0</v>
      </c>
      <c r="P52" s="5" t="e">
        <f>IF([1]!Tabla2[[#This Row],[TIEMPO DE ATENCIÓN REALIZADO]]&lt;=[1]!Tabla2[[#This Row],[TIEMPO DE ATENCIÓN ESPERADO]],"Dentro de plazo","Fuera de plazo")</f>
        <v>#REF!</v>
      </c>
      <c r="Q52" s="6">
        <v>951.11</v>
      </c>
      <c r="R52" s="2" t="s">
        <v>45</v>
      </c>
      <c r="S52" s="2" t="s">
        <v>425</v>
      </c>
      <c r="T52" s="2" t="s">
        <v>40</v>
      </c>
      <c r="U52" s="2" t="s">
        <v>53</v>
      </c>
      <c r="V52" s="2"/>
    </row>
    <row r="53" spans="1:22" ht="27" customHeight="1" x14ac:dyDescent="0.3">
      <c r="A53" s="2">
        <v>52</v>
      </c>
      <c r="B53" s="2" t="s">
        <v>1</v>
      </c>
      <c r="C53" s="4">
        <v>45685</v>
      </c>
      <c r="D53" s="4" t="str">
        <f>TEXT(Tabla2[[#This Row],[fecha]],"MMMM")</f>
        <v>Enero</v>
      </c>
      <c r="E53" s="2" t="s">
        <v>12</v>
      </c>
      <c r="F53" s="2" t="s">
        <v>82</v>
      </c>
      <c r="G53" s="2" t="s">
        <v>38</v>
      </c>
      <c r="H53" s="2" t="s">
        <v>421</v>
      </c>
      <c r="I53" s="2" t="s">
        <v>68</v>
      </c>
      <c r="J53" s="2">
        <v>344</v>
      </c>
      <c r="K53" s="2">
        <v>3301</v>
      </c>
      <c r="L53" s="2">
        <v>3444</v>
      </c>
      <c r="M53" s="4">
        <v>45685</v>
      </c>
      <c r="N53" s="5">
        <v>0</v>
      </c>
      <c r="O53" s="5">
        <v>0</v>
      </c>
      <c r="P53" s="5" t="e">
        <f>IF([1]!Tabla2[[#This Row],[TIEMPO DE ATENCIÓN REALIZADO]]&lt;=[1]!Tabla2[[#This Row],[TIEMPO DE ATENCIÓN ESPERADO]],"Dentro de plazo","Fuera de plazo")</f>
        <v>#REF!</v>
      </c>
      <c r="Q53" s="6">
        <v>2110</v>
      </c>
      <c r="R53" s="2" t="s">
        <v>45</v>
      </c>
      <c r="S53" s="2" t="s">
        <v>424</v>
      </c>
      <c r="T53" s="2" t="s">
        <v>46</v>
      </c>
      <c r="U53" s="2" t="s">
        <v>41</v>
      </c>
      <c r="V53" s="2"/>
    </row>
    <row r="54" spans="1:22" ht="27" customHeight="1" x14ac:dyDescent="0.3">
      <c r="A54" s="2">
        <v>53</v>
      </c>
      <c r="B54" s="2" t="s">
        <v>5</v>
      </c>
      <c r="C54" s="4">
        <v>45687</v>
      </c>
      <c r="D54" s="4" t="str">
        <f>TEXT(Tabla2[[#This Row],[fecha]],"MMMM")</f>
        <v>Enero</v>
      </c>
      <c r="E54" s="2" t="s">
        <v>96</v>
      </c>
      <c r="F54" s="2" t="s">
        <v>418</v>
      </c>
      <c r="G54" s="2" t="s">
        <v>38</v>
      </c>
      <c r="H54" s="2" t="s">
        <v>421</v>
      </c>
      <c r="I54" s="2" t="s">
        <v>39</v>
      </c>
      <c r="J54" s="2">
        <v>355</v>
      </c>
      <c r="K54" s="2">
        <v>3305</v>
      </c>
      <c r="L54" s="2">
        <v>3445</v>
      </c>
      <c r="M54" s="4">
        <v>45687</v>
      </c>
      <c r="N54" s="5">
        <v>0</v>
      </c>
      <c r="O54" s="5">
        <v>0</v>
      </c>
      <c r="P54" s="5" t="e">
        <f>IF([1]!Tabla2[[#This Row],[TIEMPO DE ATENCIÓN REALIZADO]]&lt;=[1]!Tabla2[[#This Row],[TIEMPO DE ATENCIÓN ESPERADO]],"Dentro de plazo","Fuera de plazo")</f>
        <v>#REF!</v>
      </c>
      <c r="Q54" s="6">
        <v>876.64</v>
      </c>
      <c r="R54" s="2" t="s">
        <v>45</v>
      </c>
      <c r="S54" s="2" t="s">
        <v>427</v>
      </c>
      <c r="T54" s="2" t="s">
        <v>40</v>
      </c>
      <c r="U54" s="2" t="s">
        <v>41</v>
      </c>
      <c r="V54" s="2"/>
    </row>
    <row r="55" spans="1:22" ht="27" customHeight="1" x14ac:dyDescent="0.3">
      <c r="A55" s="2">
        <v>54</v>
      </c>
      <c r="B55" s="2" t="s">
        <v>62</v>
      </c>
      <c r="C55" s="4">
        <v>45685</v>
      </c>
      <c r="D55" s="4" t="str">
        <f>TEXT(Tabla2[[#This Row],[fecha]],"MMMM")</f>
        <v>Enero</v>
      </c>
      <c r="E55" s="2" t="s">
        <v>25</v>
      </c>
      <c r="F55" s="2" t="s">
        <v>415</v>
      </c>
      <c r="G55" s="2" t="s">
        <v>58</v>
      </c>
      <c r="H55" s="2" t="s">
        <v>421</v>
      </c>
      <c r="I55" s="2" t="s">
        <v>39</v>
      </c>
      <c r="J55" s="2"/>
      <c r="K55" s="2"/>
      <c r="L55" s="2">
        <v>3446</v>
      </c>
      <c r="M55" s="4">
        <v>45687</v>
      </c>
      <c r="N55" s="5">
        <v>2</v>
      </c>
      <c r="O55" s="5">
        <v>2</v>
      </c>
      <c r="P55" s="5" t="e">
        <f>IF([1]!Tabla2[[#This Row],[TIEMPO DE ATENCIÓN REALIZADO]]&lt;=[1]!Tabla2[[#This Row],[TIEMPO DE ATENCIÓN ESPERADO]],"Dentro de plazo","Fuera de plazo")</f>
        <v>#REF!</v>
      </c>
      <c r="Q55" s="6">
        <v>2009.2</v>
      </c>
      <c r="R55" s="2" t="s">
        <v>9</v>
      </c>
      <c r="S55" s="2" t="s">
        <v>424</v>
      </c>
      <c r="T55" s="2" t="s">
        <v>40</v>
      </c>
      <c r="U55" s="2" t="s">
        <v>53</v>
      </c>
      <c r="V55" s="2"/>
    </row>
    <row r="56" spans="1:22" ht="27" customHeight="1" x14ac:dyDescent="0.3">
      <c r="A56" s="2">
        <v>55</v>
      </c>
      <c r="B56" s="2" t="s">
        <v>62</v>
      </c>
      <c r="C56" s="4">
        <v>45685</v>
      </c>
      <c r="D56" s="4" t="str">
        <f>TEXT(Tabla2[[#This Row],[fecha]],"MMMM")</f>
        <v>Enero</v>
      </c>
      <c r="E56" s="2" t="s">
        <v>25</v>
      </c>
      <c r="F56" s="2" t="s">
        <v>55</v>
      </c>
      <c r="G56" s="2" t="s">
        <v>58</v>
      </c>
      <c r="H56" s="2" t="s">
        <v>421</v>
      </c>
      <c r="I56" s="2" t="s">
        <v>39</v>
      </c>
      <c r="J56" s="2"/>
      <c r="K56" s="2"/>
      <c r="L56" s="2">
        <v>3447</v>
      </c>
      <c r="M56" s="4">
        <v>45687</v>
      </c>
      <c r="N56" s="5">
        <v>2</v>
      </c>
      <c r="O56" s="5">
        <v>2</v>
      </c>
      <c r="P56" s="5" t="e">
        <f>IF([1]!Tabla2[[#This Row],[TIEMPO DE ATENCIÓN REALIZADO]]&lt;=[1]!Tabla2[[#This Row],[TIEMPO DE ATENCIÓN ESPERADO]],"Dentro de plazo","Fuera de plazo")</f>
        <v>#REF!</v>
      </c>
      <c r="Q56" s="6">
        <v>2000</v>
      </c>
      <c r="R56" s="2" t="s">
        <v>9</v>
      </c>
      <c r="S56" s="2" t="s">
        <v>424</v>
      </c>
      <c r="T56" s="2" t="s">
        <v>46</v>
      </c>
      <c r="U56" s="2" t="s">
        <v>53</v>
      </c>
      <c r="V56" s="2"/>
    </row>
    <row r="57" spans="1:22" ht="27" customHeight="1" x14ac:dyDescent="0.3">
      <c r="A57" s="2">
        <v>56</v>
      </c>
      <c r="B57" s="2" t="s">
        <v>5</v>
      </c>
      <c r="C57" s="4">
        <v>45686</v>
      </c>
      <c r="D57" s="4" t="str">
        <f>TEXT(Tabla2[[#This Row],[fecha]],"MMMM")</f>
        <v>Enero</v>
      </c>
      <c r="E57" s="2" t="s">
        <v>18</v>
      </c>
      <c r="F57" s="2" t="s">
        <v>415</v>
      </c>
      <c r="G57" s="2" t="s">
        <v>44</v>
      </c>
      <c r="H57" s="2" t="s">
        <v>60</v>
      </c>
      <c r="I57" s="2" t="s">
        <v>68</v>
      </c>
      <c r="J57" s="2">
        <v>345</v>
      </c>
      <c r="K57" s="2">
        <v>3304</v>
      </c>
      <c r="L57" s="2">
        <v>3449</v>
      </c>
      <c r="M57" s="4">
        <v>45687</v>
      </c>
      <c r="N57" s="5">
        <v>1</v>
      </c>
      <c r="O57" s="5">
        <v>1</v>
      </c>
      <c r="P57" s="5" t="e">
        <f>IF([1]!Tabla2[[#This Row],[TIEMPO DE ATENCIÓN REALIZADO]]&lt;=[1]!Tabla2[[#This Row],[TIEMPO DE ATENCIÓN ESPERADO]],"Dentro de plazo","Fuera de plazo")</f>
        <v>#REF!</v>
      </c>
      <c r="Q57" s="6">
        <v>670.43</v>
      </c>
      <c r="R57" s="2" t="s">
        <v>9</v>
      </c>
      <c r="S57" s="2" t="s">
        <v>424</v>
      </c>
      <c r="T57" s="2" t="s">
        <v>40</v>
      </c>
      <c r="U57" s="2" t="s">
        <v>53</v>
      </c>
      <c r="V57" s="2"/>
    </row>
    <row r="58" spans="1:22" ht="27" customHeight="1" x14ac:dyDescent="0.3">
      <c r="A58" s="2">
        <v>57</v>
      </c>
      <c r="B58" s="2" t="s">
        <v>1</v>
      </c>
      <c r="C58" s="4">
        <v>45687</v>
      </c>
      <c r="D58" s="4" t="str">
        <f>TEXT(Tabla2[[#This Row],[fecha]],"MMMM")</f>
        <v>Enero</v>
      </c>
      <c r="E58" s="2" t="s">
        <v>97</v>
      </c>
      <c r="F58" s="2" t="s">
        <v>414</v>
      </c>
      <c r="G58" s="2" t="s">
        <v>58</v>
      </c>
      <c r="H58" s="2" t="s">
        <v>421</v>
      </c>
      <c r="I58" s="2" t="s">
        <v>66</v>
      </c>
      <c r="J58" s="2"/>
      <c r="K58" s="2"/>
      <c r="L58" s="2">
        <v>3450</v>
      </c>
      <c r="M58" s="4">
        <v>45687</v>
      </c>
      <c r="N58" s="5">
        <v>0</v>
      </c>
      <c r="O58" s="5">
        <v>0</v>
      </c>
      <c r="P58" s="5" t="e">
        <f>IF([1]!Tabla2[[#This Row],[TIEMPO DE ATENCIÓN REALIZADO]]&lt;=[1]!Tabla2[[#This Row],[TIEMPO DE ATENCIÓN ESPERADO]],"Dentro de plazo","Fuera de plazo")</f>
        <v>#REF!</v>
      </c>
      <c r="Q58" s="6">
        <v>5440</v>
      </c>
      <c r="R58" s="2"/>
      <c r="S58" s="2" t="s">
        <v>425</v>
      </c>
      <c r="T58" s="2" t="s">
        <v>40</v>
      </c>
      <c r="U58" s="2" t="s">
        <v>53</v>
      </c>
      <c r="V58" s="2"/>
    </row>
    <row r="59" spans="1:22" ht="27" customHeight="1" x14ac:dyDescent="0.3">
      <c r="A59" s="2">
        <v>58</v>
      </c>
      <c r="B59" s="2" t="s">
        <v>5</v>
      </c>
      <c r="C59" s="4">
        <v>45687</v>
      </c>
      <c r="D59" s="4" t="str">
        <f>TEXT(Tabla2[[#This Row],[fecha]],"MMMM")</f>
        <v>Enero</v>
      </c>
      <c r="E59" s="2" t="s">
        <v>96</v>
      </c>
      <c r="F59" s="2" t="s">
        <v>418</v>
      </c>
      <c r="G59" s="2" t="s">
        <v>38</v>
      </c>
      <c r="H59" s="2" t="s">
        <v>421</v>
      </c>
      <c r="I59" s="2" t="s">
        <v>39</v>
      </c>
      <c r="J59" s="2">
        <v>355</v>
      </c>
      <c r="K59" s="2">
        <v>3303</v>
      </c>
      <c r="L59" s="2">
        <v>3451</v>
      </c>
      <c r="M59" s="4">
        <v>45687</v>
      </c>
      <c r="N59" s="5">
        <v>0</v>
      </c>
      <c r="O59" s="5">
        <v>0</v>
      </c>
      <c r="P59" s="5" t="e">
        <f>IF([1]!Tabla2[[#This Row],[TIEMPO DE ATENCIÓN REALIZADO]]&lt;=[1]!Tabla2[[#This Row],[TIEMPO DE ATENCIÓN ESPERADO]],"Dentro de plazo","Fuera de plazo")</f>
        <v>#REF!</v>
      </c>
      <c r="Q59" s="6">
        <v>831.41</v>
      </c>
      <c r="R59" s="2" t="s">
        <v>45</v>
      </c>
      <c r="S59" s="2" t="s">
        <v>425</v>
      </c>
      <c r="T59" s="2" t="s">
        <v>40</v>
      </c>
      <c r="U59" s="2" t="s">
        <v>41</v>
      </c>
      <c r="V59" s="2"/>
    </row>
    <row r="60" spans="1:22" ht="27" customHeight="1" x14ac:dyDescent="0.3">
      <c r="A60" s="2">
        <v>59</v>
      </c>
      <c r="B60" s="2" t="s">
        <v>5</v>
      </c>
      <c r="C60" s="4">
        <v>45687</v>
      </c>
      <c r="D60" s="4" t="str">
        <f>TEXT(Tabla2[[#This Row],[fecha]],"MMMM")</f>
        <v>Enero</v>
      </c>
      <c r="E60" s="2" t="s">
        <v>98</v>
      </c>
      <c r="F60" s="2" t="s">
        <v>88</v>
      </c>
      <c r="G60" s="2" t="s">
        <v>38</v>
      </c>
      <c r="H60" s="2" t="s">
        <v>60</v>
      </c>
      <c r="I60" s="2" t="s">
        <v>39</v>
      </c>
      <c r="J60" s="2">
        <v>347</v>
      </c>
      <c r="K60" s="2">
        <v>3305</v>
      </c>
      <c r="L60" s="2">
        <v>3452</v>
      </c>
      <c r="M60" s="4">
        <v>45687</v>
      </c>
      <c r="N60" s="5">
        <v>0</v>
      </c>
      <c r="O60" s="5">
        <v>0</v>
      </c>
      <c r="P60" s="5" t="e">
        <f>IF([1]!Tabla2[[#This Row],[TIEMPO DE ATENCIÓN REALIZADO]]&lt;=[1]!Tabla2[[#This Row],[TIEMPO DE ATENCIÓN ESPERADO]],"Dentro de plazo","Fuera de plazo")</f>
        <v>#REF!</v>
      </c>
      <c r="Q60" s="6">
        <v>1550.98</v>
      </c>
      <c r="R60" s="2" t="s">
        <v>45</v>
      </c>
      <c r="S60" s="2" t="s">
        <v>424</v>
      </c>
      <c r="T60" s="2" t="s">
        <v>40</v>
      </c>
      <c r="U60" s="2" t="s">
        <v>41</v>
      </c>
      <c r="V60" s="2"/>
    </row>
    <row r="61" spans="1:22" ht="27" customHeight="1" x14ac:dyDescent="0.3">
      <c r="A61" s="2">
        <v>60</v>
      </c>
      <c r="B61" s="2" t="s">
        <v>5</v>
      </c>
      <c r="C61" s="4">
        <v>45686</v>
      </c>
      <c r="D61" s="4" t="str">
        <f>TEXT(Tabla2[[#This Row],[fecha]],"MMMM")</f>
        <v>Enero</v>
      </c>
      <c r="E61" s="2" t="s">
        <v>99</v>
      </c>
      <c r="F61" s="2" t="s">
        <v>414</v>
      </c>
      <c r="G61" s="2" t="s">
        <v>38</v>
      </c>
      <c r="H61" s="2" t="s">
        <v>60</v>
      </c>
      <c r="I61" s="2" t="s">
        <v>39</v>
      </c>
      <c r="J61" s="2">
        <v>348</v>
      </c>
      <c r="K61" s="2">
        <v>3307</v>
      </c>
      <c r="L61" s="2">
        <v>3454</v>
      </c>
      <c r="M61" s="4">
        <v>45688</v>
      </c>
      <c r="N61" s="5">
        <v>2</v>
      </c>
      <c r="O61" s="5">
        <v>2</v>
      </c>
      <c r="P61" s="5" t="e">
        <f>IF([1]!Tabla2[[#This Row],[TIEMPO DE ATENCIÓN REALIZADO]]&lt;=[1]!Tabla2[[#This Row],[TIEMPO DE ATENCIÓN ESPERADO]],"Dentro de plazo","Fuera de plazo")</f>
        <v>#REF!</v>
      </c>
      <c r="Q61" s="6">
        <v>1605</v>
      </c>
      <c r="R61" s="2" t="s">
        <v>45</v>
      </c>
      <c r="S61" s="2" t="s">
        <v>425</v>
      </c>
      <c r="T61" s="2" t="s">
        <v>40</v>
      </c>
      <c r="U61" s="2" t="s">
        <v>41</v>
      </c>
      <c r="V61" s="2"/>
    </row>
    <row r="62" spans="1:22" ht="27" customHeight="1" x14ac:dyDescent="0.3">
      <c r="A62" s="2">
        <v>61</v>
      </c>
      <c r="B62" s="2" t="s">
        <v>5</v>
      </c>
      <c r="C62" s="4">
        <v>45687</v>
      </c>
      <c r="D62" s="4" t="str">
        <f>TEXT(Tabla2[[#This Row],[fecha]],"MMMM")</f>
        <v>Enero</v>
      </c>
      <c r="E62" s="2" t="s">
        <v>185</v>
      </c>
      <c r="F62" s="2" t="s">
        <v>55</v>
      </c>
      <c r="G62" s="2" t="s">
        <v>38</v>
      </c>
      <c r="H62" s="2" t="s">
        <v>60</v>
      </c>
      <c r="I62" s="2" t="s">
        <v>88</v>
      </c>
      <c r="J62" s="2">
        <v>356</v>
      </c>
      <c r="K62" s="2" t="s">
        <v>19</v>
      </c>
      <c r="L62" s="2">
        <v>3455</v>
      </c>
      <c r="M62" s="4">
        <v>45688</v>
      </c>
      <c r="N62" s="5">
        <v>1</v>
      </c>
      <c r="O62" s="5">
        <v>1</v>
      </c>
      <c r="P62" s="5" t="e">
        <f>IF([1]!Tabla2[[#This Row],[TIEMPO DE ATENCIÓN REALIZADO]]&lt;=[1]!Tabla2[[#This Row],[TIEMPO DE ATENCIÓN ESPERADO]],"Dentro de plazo","Fuera de plazo")</f>
        <v>#REF!</v>
      </c>
      <c r="Q62" s="6" t="s">
        <v>19</v>
      </c>
      <c r="R62" s="2" t="s">
        <v>9</v>
      </c>
      <c r="S62" s="2" t="s">
        <v>424</v>
      </c>
      <c r="T62" s="2" t="s">
        <v>40</v>
      </c>
      <c r="U62" s="2" t="s">
        <v>41</v>
      </c>
      <c r="V62" s="2"/>
    </row>
    <row r="63" spans="1:22" ht="27" customHeight="1" x14ac:dyDescent="0.3">
      <c r="A63" s="2">
        <v>62</v>
      </c>
      <c r="B63" s="2" t="s">
        <v>5</v>
      </c>
      <c r="C63" s="4">
        <v>45691</v>
      </c>
      <c r="D63" s="4" t="str">
        <f>TEXT(Tabla2[[#This Row],[fecha]],"MMMM")</f>
        <v>Febrero</v>
      </c>
      <c r="E63" s="2" t="s">
        <v>100</v>
      </c>
      <c r="F63" s="2" t="s">
        <v>72</v>
      </c>
      <c r="G63" s="2" t="s">
        <v>44</v>
      </c>
      <c r="H63" s="2" t="s">
        <v>60</v>
      </c>
      <c r="I63" s="2" t="s">
        <v>39</v>
      </c>
      <c r="J63" s="2">
        <v>323</v>
      </c>
      <c r="K63" s="2">
        <v>3309</v>
      </c>
      <c r="L63" s="2">
        <v>3456</v>
      </c>
      <c r="M63" s="4">
        <v>45692</v>
      </c>
      <c r="N63" s="5">
        <v>1</v>
      </c>
      <c r="O63" s="5">
        <v>1</v>
      </c>
      <c r="P63" s="5" t="e">
        <f>IF([1]!Tabla2[[#This Row],[TIEMPO DE ATENCIÓN REALIZADO]]&lt;=[1]!Tabla2[[#This Row],[TIEMPO DE ATENCIÓN ESPERADO]],"Dentro de plazo","Fuera de plazo")</f>
        <v>#REF!</v>
      </c>
      <c r="Q63" s="6" t="s">
        <v>101</v>
      </c>
      <c r="R63" s="2" t="s">
        <v>7</v>
      </c>
      <c r="S63" s="2" t="s">
        <v>425</v>
      </c>
      <c r="T63" s="2" t="s">
        <v>40</v>
      </c>
      <c r="U63" s="2" t="s">
        <v>53</v>
      </c>
      <c r="V63" s="2"/>
    </row>
    <row r="64" spans="1:22" ht="27" customHeight="1" x14ac:dyDescent="0.3">
      <c r="A64" s="2">
        <v>63</v>
      </c>
      <c r="B64" s="2" t="s">
        <v>5</v>
      </c>
      <c r="C64" s="4">
        <v>45691</v>
      </c>
      <c r="D64" s="4" t="str">
        <f>TEXT(Tabla2[[#This Row],[fecha]],"MMMM")</f>
        <v>Febrero</v>
      </c>
      <c r="E64" s="2" t="s">
        <v>100</v>
      </c>
      <c r="F64" s="2" t="s">
        <v>55</v>
      </c>
      <c r="G64" s="2" t="s">
        <v>44</v>
      </c>
      <c r="H64" s="2" t="s">
        <v>60</v>
      </c>
      <c r="I64" s="2" t="s">
        <v>39</v>
      </c>
      <c r="J64" s="2">
        <v>323</v>
      </c>
      <c r="K64" s="2" t="s">
        <v>19</v>
      </c>
      <c r="L64" s="2">
        <v>3457</v>
      </c>
      <c r="M64" s="4">
        <v>45692</v>
      </c>
      <c r="N64" s="5">
        <v>1</v>
      </c>
      <c r="O64" s="5">
        <v>1</v>
      </c>
      <c r="P64" s="5" t="e">
        <f>IF([1]!Tabla2[[#This Row],[TIEMPO DE ATENCIÓN REALIZADO]]&lt;=[1]!Tabla2[[#This Row],[TIEMPO DE ATENCIÓN ESPERADO]],"Dentro de plazo","Fuera de plazo")</f>
        <v>#REF!</v>
      </c>
      <c r="Q64" s="6" t="s">
        <v>19</v>
      </c>
      <c r="R64" s="2" t="s">
        <v>7</v>
      </c>
      <c r="S64" s="2" t="s">
        <v>425</v>
      </c>
      <c r="T64" s="2" t="s">
        <v>40</v>
      </c>
      <c r="U64" s="2" t="s">
        <v>53</v>
      </c>
      <c r="V64" s="2"/>
    </row>
    <row r="65" spans="1:22" ht="27" customHeight="1" x14ac:dyDescent="0.3">
      <c r="A65" s="2">
        <v>64</v>
      </c>
      <c r="B65" s="2" t="s">
        <v>5</v>
      </c>
      <c r="C65" s="4">
        <v>45692</v>
      </c>
      <c r="D65" s="4" t="str">
        <f>TEXT(Tabla2[[#This Row],[fecha]],"MMMM")</f>
        <v>Febrero</v>
      </c>
      <c r="E65" s="2" t="s">
        <v>102</v>
      </c>
      <c r="F65" s="2" t="s">
        <v>415</v>
      </c>
      <c r="G65" s="2" t="s">
        <v>58</v>
      </c>
      <c r="H65" s="2" t="s">
        <v>421</v>
      </c>
      <c r="I65" s="2" t="s">
        <v>39</v>
      </c>
      <c r="J65" s="2">
        <v>212</v>
      </c>
      <c r="K65" s="2">
        <v>3091</v>
      </c>
      <c r="L65" s="2">
        <v>3458</v>
      </c>
      <c r="M65" s="4">
        <v>45692</v>
      </c>
      <c r="N65" s="5">
        <v>0</v>
      </c>
      <c r="O65" s="5">
        <v>0</v>
      </c>
      <c r="P65" s="5" t="e">
        <f>IF([1]!Tabla2[[#This Row],[TIEMPO DE ATENCIÓN REALIZADO]]&lt;=[1]!Tabla2[[#This Row],[TIEMPO DE ATENCIÓN ESPERADO]],"Dentro de plazo","Fuera de plazo")</f>
        <v>#REF!</v>
      </c>
      <c r="Q65" s="6">
        <v>2335.06</v>
      </c>
      <c r="R65" s="2" t="s">
        <v>45</v>
      </c>
      <c r="S65" s="2" t="s">
        <v>424</v>
      </c>
      <c r="T65" s="2" t="s">
        <v>46</v>
      </c>
      <c r="U65" s="2" t="s">
        <v>41</v>
      </c>
      <c r="V65" s="2"/>
    </row>
    <row r="66" spans="1:22" ht="27" customHeight="1" x14ac:dyDescent="0.3">
      <c r="A66" s="2">
        <v>65</v>
      </c>
      <c r="B66" s="2" t="s">
        <v>5</v>
      </c>
      <c r="C66" s="4">
        <v>45693</v>
      </c>
      <c r="D66" s="4" t="str">
        <f>TEXT(Tabla2[[#This Row],[fecha]],"MMMM")</f>
        <v>Febrero</v>
      </c>
      <c r="E66" s="2" t="s">
        <v>103</v>
      </c>
      <c r="F66" s="2" t="s">
        <v>414</v>
      </c>
      <c r="G66" s="2" t="s">
        <v>58</v>
      </c>
      <c r="H66" s="2" t="s">
        <v>421</v>
      </c>
      <c r="I66" s="2" t="s">
        <v>66</v>
      </c>
      <c r="J66" s="2">
        <v>351</v>
      </c>
      <c r="K66" s="2">
        <v>3313</v>
      </c>
      <c r="L66" s="2">
        <v>3459</v>
      </c>
      <c r="M66" s="4">
        <v>45693</v>
      </c>
      <c r="N66" s="5">
        <v>0</v>
      </c>
      <c r="O66" s="5">
        <v>0</v>
      </c>
      <c r="P66" s="5" t="e">
        <f>IF([1]!Tabla2[[#This Row],[TIEMPO DE ATENCIÓN REALIZADO]]&lt;=[1]!Tabla2[[#This Row],[TIEMPO DE ATENCIÓN ESPERADO]],"Dentro de plazo","Fuera de plazo")</f>
        <v>#REF!</v>
      </c>
      <c r="Q66" s="6">
        <v>2653.69</v>
      </c>
      <c r="R66" s="2" t="s">
        <v>45</v>
      </c>
      <c r="S66" s="2" t="s">
        <v>424</v>
      </c>
      <c r="T66" s="2" t="s">
        <v>40</v>
      </c>
      <c r="U66" s="2" t="s">
        <v>53</v>
      </c>
      <c r="V66" s="2"/>
    </row>
    <row r="67" spans="1:22" ht="27" customHeight="1" x14ac:dyDescent="0.3">
      <c r="A67" s="2">
        <v>66</v>
      </c>
      <c r="B67" s="2" t="s">
        <v>62</v>
      </c>
      <c r="C67" s="4">
        <v>45693</v>
      </c>
      <c r="D67" s="4" t="str">
        <f>TEXT(Tabla2[[#This Row],[fecha]],"MMMM")</f>
        <v>Febrero</v>
      </c>
      <c r="E67" s="2" t="s">
        <v>104</v>
      </c>
      <c r="F67" s="2" t="s">
        <v>72</v>
      </c>
      <c r="G67" s="2" t="s">
        <v>58</v>
      </c>
      <c r="H67" s="2" t="s">
        <v>60</v>
      </c>
      <c r="I67" s="2" t="s">
        <v>39</v>
      </c>
      <c r="J67" s="2"/>
      <c r="K67" s="2">
        <v>3310</v>
      </c>
      <c r="L67" s="2">
        <v>3460</v>
      </c>
      <c r="M67" s="4">
        <v>45693</v>
      </c>
      <c r="N67" s="5">
        <f>+Tabla2[[#This Row],[fecha_pe]]-Tabla2[[#This Row],[fecha]]</f>
        <v>0</v>
      </c>
      <c r="O67" s="5">
        <f>+Tabla2[[#This Row],[fecha_pe]]-Tabla2[[#This Row],[fecha]]</f>
        <v>0</v>
      </c>
      <c r="P67" s="5" t="e">
        <f>IF([1]!Tabla2[[#This Row],[TIEMPO DE ATENCIÓN REALIZADO]]&lt;=[1]!Tabla2[[#This Row],[TIEMPO DE ATENCIÓN ESPERADO]],"Dentro de plazo","Fuera de plazo")</f>
        <v>#REF!</v>
      </c>
      <c r="Q67" s="6">
        <v>1884.07</v>
      </c>
      <c r="R67" s="2" t="s">
        <v>2</v>
      </c>
      <c r="S67" s="2" t="s">
        <v>425</v>
      </c>
      <c r="T67" s="2" t="s">
        <v>40</v>
      </c>
      <c r="U67" s="2" t="s">
        <v>53</v>
      </c>
      <c r="V67" s="2"/>
    </row>
    <row r="68" spans="1:22" ht="27" customHeight="1" x14ac:dyDescent="0.3">
      <c r="A68" s="2">
        <v>67</v>
      </c>
      <c r="B68" s="2" t="s">
        <v>62</v>
      </c>
      <c r="C68" s="4">
        <v>45693</v>
      </c>
      <c r="D68" s="4" t="str">
        <f>TEXT(Tabla2[[#This Row],[fecha]],"MMMM")</f>
        <v>Febrero</v>
      </c>
      <c r="E68" s="2" t="s">
        <v>105</v>
      </c>
      <c r="F68" s="2" t="s">
        <v>416</v>
      </c>
      <c r="G68" s="2" t="s">
        <v>58</v>
      </c>
      <c r="H68" s="2" t="s">
        <v>421</v>
      </c>
      <c r="I68" s="2" t="s">
        <v>80</v>
      </c>
      <c r="J68" s="2">
        <v>368</v>
      </c>
      <c r="K68" s="2">
        <v>3314</v>
      </c>
      <c r="L68" s="2">
        <v>3461</v>
      </c>
      <c r="M68" s="4">
        <v>45693</v>
      </c>
      <c r="N68" s="5">
        <v>0</v>
      </c>
      <c r="O68" s="5">
        <v>0</v>
      </c>
      <c r="P68" s="5" t="e">
        <f>IF([1]!Tabla2[[#This Row],[TIEMPO DE ATENCIÓN REALIZADO]]&lt;=[1]!Tabla2[[#This Row],[TIEMPO DE ATENCIÓN ESPERADO]],"Dentro de plazo","Fuera de plazo")</f>
        <v>#REF!</v>
      </c>
      <c r="Q68" s="6">
        <v>934</v>
      </c>
      <c r="R68" s="2" t="s">
        <v>9</v>
      </c>
      <c r="S68" s="2" t="s">
        <v>425</v>
      </c>
      <c r="T68" s="2" t="s">
        <v>40</v>
      </c>
      <c r="U68" s="2" t="s">
        <v>53</v>
      </c>
      <c r="V68" s="2"/>
    </row>
    <row r="69" spans="1:22" ht="27" customHeight="1" x14ac:dyDescent="0.3">
      <c r="A69" s="2">
        <v>68</v>
      </c>
      <c r="B69" s="2" t="s">
        <v>5</v>
      </c>
      <c r="C69" s="4">
        <v>45694</v>
      </c>
      <c r="D69" s="4" t="str">
        <f>TEXT(Tabla2[[#This Row],[fecha]],"MMMM")</f>
        <v>Febrero</v>
      </c>
      <c r="E69" s="2" t="s">
        <v>106</v>
      </c>
      <c r="F69" s="2" t="s">
        <v>72</v>
      </c>
      <c r="G69" s="2" t="s">
        <v>58</v>
      </c>
      <c r="H69" s="2" t="s">
        <v>421</v>
      </c>
      <c r="I69" s="2" t="s">
        <v>66</v>
      </c>
      <c r="J69" s="2">
        <v>352</v>
      </c>
      <c r="K69" s="2">
        <v>3315</v>
      </c>
      <c r="L69" s="2">
        <v>3462</v>
      </c>
      <c r="M69" s="4">
        <v>45694</v>
      </c>
      <c r="N69" s="5">
        <v>0</v>
      </c>
      <c r="O69" s="5">
        <v>0</v>
      </c>
      <c r="P69" s="5" t="e">
        <f>IF([1]!Tabla2[[#This Row],[TIEMPO DE ATENCIÓN REALIZADO]]&lt;=[1]!Tabla2[[#This Row],[TIEMPO DE ATENCIÓN ESPERADO]],"Dentro de plazo","Fuera de plazo")</f>
        <v>#REF!</v>
      </c>
      <c r="Q69" s="6">
        <v>9547.35</v>
      </c>
      <c r="R69" s="2" t="s">
        <v>13</v>
      </c>
      <c r="S69" s="2" t="s">
        <v>425</v>
      </c>
      <c r="T69" s="2" t="s">
        <v>40</v>
      </c>
      <c r="U69" s="2" t="s">
        <v>53</v>
      </c>
      <c r="V69" s="2"/>
    </row>
    <row r="70" spans="1:22" ht="27" customHeight="1" x14ac:dyDescent="0.3">
      <c r="A70" s="2">
        <v>69</v>
      </c>
      <c r="B70" s="2" t="s">
        <v>5</v>
      </c>
      <c r="C70" s="4">
        <v>45695</v>
      </c>
      <c r="D70" s="4" t="str">
        <f>TEXT(Tabla2[[#This Row],[fecha]],"MMMM")</f>
        <v>Febrero</v>
      </c>
      <c r="E70" s="2" t="s">
        <v>107</v>
      </c>
      <c r="F70" s="2" t="s">
        <v>416</v>
      </c>
      <c r="G70" s="2" t="s">
        <v>44</v>
      </c>
      <c r="H70" s="2" t="s">
        <v>421</v>
      </c>
      <c r="I70" s="2" t="s">
        <v>80</v>
      </c>
      <c r="J70" s="2">
        <v>357</v>
      </c>
      <c r="K70" s="2">
        <v>3316</v>
      </c>
      <c r="L70" s="2">
        <v>3463</v>
      </c>
      <c r="M70" s="4">
        <v>45695</v>
      </c>
      <c r="N70" s="5">
        <v>0</v>
      </c>
      <c r="O70" s="5">
        <v>0</v>
      </c>
      <c r="P70" s="5" t="e">
        <f>IF([1]!Tabla2[[#This Row],[TIEMPO DE ATENCIÓN REALIZADO]]&lt;=[1]!Tabla2[[#This Row],[TIEMPO DE ATENCIÓN ESPERADO]],"Dentro de plazo","Fuera de plazo")</f>
        <v>#REF!</v>
      </c>
      <c r="Q70" s="6">
        <v>955</v>
      </c>
      <c r="R70" s="2" t="s">
        <v>9</v>
      </c>
      <c r="S70" s="2" t="s">
        <v>425</v>
      </c>
      <c r="T70" s="2" t="s">
        <v>40</v>
      </c>
      <c r="U70" s="2" t="s">
        <v>53</v>
      </c>
      <c r="V70" s="2" t="s">
        <v>108</v>
      </c>
    </row>
    <row r="71" spans="1:22" ht="27" customHeight="1" x14ac:dyDescent="0.3">
      <c r="A71" s="2">
        <v>70</v>
      </c>
      <c r="B71" s="2" t="s">
        <v>5</v>
      </c>
      <c r="C71" s="4">
        <v>45674</v>
      </c>
      <c r="D71" s="4" t="str">
        <f>TEXT(Tabla2[[#This Row],[fecha]],"MMMM")</f>
        <v>Enero</v>
      </c>
      <c r="E71" s="2" t="s">
        <v>109</v>
      </c>
      <c r="F71" s="2" t="s">
        <v>88</v>
      </c>
      <c r="G71" s="2" t="s">
        <v>58</v>
      </c>
      <c r="H71" s="2" t="s">
        <v>60</v>
      </c>
      <c r="I71" s="2" t="s">
        <v>39</v>
      </c>
      <c r="J71" s="2">
        <v>360</v>
      </c>
      <c r="K71" s="2">
        <v>3317</v>
      </c>
      <c r="L71" s="2">
        <v>3464</v>
      </c>
      <c r="M71" s="4">
        <v>45700</v>
      </c>
      <c r="N71" s="5">
        <v>26</v>
      </c>
      <c r="O71" s="5">
        <v>26</v>
      </c>
      <c r="P71" s="5" t="e">
        <f>IF([1]!Tabla2[[#This Row],[TIEMPO DE ATENCIÓN REALIZADO]]&lt;=[1]!Tabla2[[#This Row],[TIEMPO DE ATENCIÓN ESPERADO]],"Dentro de plazo","Fuera de plazo")</f>
        <v>#REF!</v>
      </c>
      <c r="Q71" s="6">
        <v>9496</v>
      </c>
      <c r="R71" s="2" t="s">
        <v>45</v>
      </c>
      <c r="S71" s="2" t="s">
        <v>425</v>
      </c>
      <c r="T71" s="2" t="s">
        <v>40</v>
      </c>
      <c r="U71" s="2" t="s">
        <v>53</v>
      </c>
      <c r="V71" s="2" t="s">
        <v>110</v>
      </c>
    </row>
    <row r="72" spans="1:22" ht="27" customHeight="1" x14ac:dyDescent="0.3">
      <c r="A72" s="2">
        <v>71</v>
      </c>
      <c r="B72" s="2" t="s">
        <v>62</v>
      </c>
      <c r="C72" s="4">
        <v>45698</v>
      </c>
      <c r="D72" s="4" t="str">
        <f>TEXT(Tabla2[[#This Row],[fecha]],"MMMM")</f>
        <v>Febrero</v>
      </c>
      <c r="E72" s="2" t="s">
        <v>51</v>
      </c>
      <c r="F72" s="2" t="s">
        <v>418</v>
      </c>
      <c r="G72" s="2" t="s">
        <v>58</v>
      </c>
      <c r="H72" s="2" t="s">
        <v>60</v>
      </c>
      <c r="I72" s="2" t="s">
        <v>52</v>
      </c>
      <c r="J72" s="2">
        <v>359</v>
      </c>
      <c r="K72" s="2">
        <v>3319</v>
      </c>
      <c r="L72" s="2">
        <v>3465</v>
      </c>
      <c r="M72" s="4">
        <v>45701</v>
      </c>
      <c r="N72" s="5">
        <v>3</v>
      </c>
      <c r="O72" s="5">
        <v>3</v>
      </c>
      <c r="P72" s="5" t="e">
        <f>IF([1]!Tabla2[[#This Row],[TIEMPO DE ATENCIÓN REALIZADO]]&lt;=[1]!Tabla2[[#This Row],[TIEMPO DE ATENCIÓN ESPERADO]],"Dentro de plazo","Fuera de plazo")</f>
        <v>#REF!</v>
      </c>
      <c r="Q72" s="6">
        <v>6606.41</v>
      </c>
      <c r="R72" s="2" t="s">
        <v>9</v>
      </c>
      <c r="S72" s="2" t="s">
        <v>427</v>
      </c>
      <c r="T72" s="2" t="s">
        <v>40</v>
      </c>
      <c r="U72" s="2" t="s">
        <v>53</v>
      </c>
      <c r="V72" s="2"/>
    </row>
    <row r="73" spans="1:22" ht="27" customHeight="1" x14ac:dyDescent="0.3">
      <c r="A73" s="2">
        <v>72</v>
      </c>
      <c r="B73" s="2" t="s">
        <v>5</v>
      </c>
      <c r="C73" s="4">
        <v>45700</v>
      </c>
      <c r="D73" s="4" t="str">
        <f>TEXT(Tabla2[[#This Row],[fecha]],"MMMM")</f>
        <v>Febrero</v>
      </c>
      <c r="E73" s="2" t="s">
        <v>111</v>
      </c>
      <c r="F73" s="2" t="s">
        <v>415</v>
      </c>
      <c r="G73" s="2" t="s">
        <v>44</v>
      </c>
      <c r="H73" s="2" t="s">
        <v>421</v>
      </c>
      <c r="I73" s="2" t="s">
        <v>39</v>
      </c>
      <c r="J73" s="2">
        <v>358</v>
      </c>
      <c r="K73" s="2">
        <v>3320</v>
      </c>
      <c r="L73" s="2">
        <v>3467</v>
      </c>
      <c r="M73" s="4">
        <v>45700</v>
      </c>
      <c r="N73" s="5">
        <v>0</v>
      </c>
      <c r="O73" s="5">
        <v>0</v>
      </c>
      <c r="P73" s="5" t="e">
        <f>IF([1]!Tabla2[[#This Row],[TIEMPO DE ATENCIÓN REALIZADO]]&lt;=[1]!Tabla2[[#This Row],[TIEMPO DE ATENCIÓN ESPERADO]],"Dentro de plazo","Fuera de plazo")</f>
        <v>#REF!</v>
      </c>
      <c r="Q73" s="6">
        <v>7323</v>
      </c>
      <c r="R73" s="2" t="s">
        <v>45</v>
      </c>
      <c r="S73" s="2" t="s">
        <v>425</v>
      </c>
      <c r="T73" s="2" t="s">
        <v>40</v>
      </c>
      <c r="U73" s="2" t="s">
        <v>53</v>
      </c>
      <c r="V73" s="2"/>
    </row>
    <row r="74" spans="1:22" ht="27" customHeight="1" x14ac:dyDescent="0.3">
      <c r="A74" s="2">
        <v>73</v>
      </c>
      <c r="B74" s="2" t="s">
        <v>62</v>
      </c>
      <c r="C74" s="4">
        <v>45699</v>
      </c>
      <c r="D74" s="4" t="str">
        <f>TEXT(Tabla2[[#This Row],[fecha]],"MMMM")</f>
        <v>Febrero</v>
      </c>
      <c r="E74" s="2" t="s">
        <v>112</v>
      </c>
      <c r="F74" s="2" t="s">
        <v>414</v>
      </c>
      <c r="G74" s="2" t="s">
        <v>44</v>
      </c>
      <c r="H74" s="2" t="s">
        <v>60</v>
      </c>
      <c r="I74" s="2" t="s">
        <v>39</v>
      </c>
      <c r="J74" s="2">
        <v>361</v>
      </c>
      <c r="K74" s="2">
        <v>3322</v>
      </c>
      <c r="L74" s="2">
        <v>3468</v>
      </c>
      <c r="M74" s="4">
        <v>45700</v>
      </c>
      <c r="N74" s="5">
        <v>1</v>
      </c>
      <c r="O74" s="5">
        <v>1</v>
      </c>
      <c r="P74" s="5" t="e">
        <f>IF([1]!Tabla2[[#This Row],[TIEMPO DE ATENCIÓN REALIZADO]]&lt;=[1]!Tabla2[[#This Row],[TIEMPO DE ATENCIÓN ESPERADO]],"Dentro de plazo","Fuera de plazo")</f>
        <v>#REF!</v>
      </c>
      <c r="Q74" s="6">
        <v>4467.07</v>
      </c>
      <c r="R74" s="2" t="s">
        <v>16</v>
      </c>
      <c r="S74" s="2" t="s">
        <v>425</v>
      </c>
      <c r="T74" s="2" t="s">
        <v>40</v>
      </c>
      <c r="U74" s="2" t="s">
        <v>53</v>
      </c>
      <c r="V74" s="2"/>
    </row>
    <row r="75" spans="1:22" ht="27" customHeight="1" x14ac:dyDescent="0.3">
      <c r="A75" s="2">
        <v>74</v>
      </c>
      <c r="B75" s="2" t="s">
        <v>5</v>
      </c>
      <c r="C75" s="4">
        <v>45699</v>
      </c>
      <c r="D75" s="4" t="str">
        <f>TEXT(Tabla2[[#This Row],[fecha]],"MMMM")</f>
        <v>Febrero</v>
      </c>
      <c r="E75" s="2" t="s">
        <v>113</v>
      </c>
      <c r="F75" s="2" t="s">
        <v>415</v>
      </c>
      <c r="G75" s="2" t="s">
        <v>58</v>
      </c>
      <c r="H75" s="2" t="s">
        <v>60</v>
      </c>
      <c r="I75" s="2" t="s">
        <v>39</v>
      </c>
      <c r="J75" s="2">
        <v>262</v>
      </c>
      <c r="K75" s="2">
        <v>3323</v>
      </c>
      <c r="L75" s="2">
        <v>3469</v>
      </c>
      <c r="M75" s="4">
        <v>45700</v>
      </c>
      <c r="N75" s="5">
        <v>1</v>
      </c>
      <c r="O75" s="5">
        <v>1</v>
      </c>
      <c r="P75" s="5" t="e">
        <f>IF([1]!Tabla2[[#This Row],[TIEMPO DE ATENCIÓN REALIZADO]]&lt;=[1]!Tabla2[[#This Row],[TIEMPO DE ATENCIÓN ESPERADO]],"Dentro de plazo","Fuera de plazo")</f>
        <v>#REF!</v>
      </c>
      <c r="Q75" s="6">
        <v>1500</v>
      </c>
      <c r="R75" s="2" t="s">
        <v>45</v>
      </c>
      <c r="S75" s="2" t="s">
        <v>425</v>
      </c>
      <c r="T75" s="2" t="s">
        <v>40</v>
      </c>
      <c r="U75" s="2" t="s">
        <v>53</v>
      </c>
      <c r="V75" s="2"/>
    </row>
    <row r="76" spans="1:22" ht="27" customHeight="1" x14ac:dyDescent="0.3">
      <c r="A76" s="2">
        <v>75</v>
      </c>
      <c r="B76" s="2" t="s">
        <v>1</v>
      </c>
      <c r="C76" s="4">
        <v>45700</v>
      </c>
      <c r="D76" s="4" t="str">
        <f>TEXT(Tabla2[[#This Row],[fecha]],"MMMM")</f>
        <v>Febrero</v>
      </c>
      <c r="E76" s="2" t="s">
        <v>114</v>
      </c>
      <c r="F76" s="2" t="s">
        <v>414</v>
      </c>
      <c r="G76" s="2" t="s">
        <v>44</v>
      </c>
      <c r="H76" s="2" t="s">
        <v>421</v>
      </c>
      <c r="I76" s="2" t="s">
        <v>68</v>
      </c>
      <c r="J76" s="2">
        <v>361</v>
      </c>
      <c r="K76" s="2">
        <v>3322</v>
      </c>
      <c r="L76" s="2">
        <v>3470</v>
      </c>
      <c r="M76" s="4">
        <v>45700</v>
      </c>
      <c r="N76" s="5">
        <v>0</v>
      </c>
      <c r="O76" s="5">
        <v>0</v>
      </c>
      <c r="P76" s="5" t="e">
        <f>IF([1]!Tabla2[[#This Row],[TIEMPO DE ATENCIÓN REALIZADO]]&lt;=[1]!Tabla2[[#This Row],[TIEMPO DE ATENCIÓN ESPERADO]],"Dentro de plazo","Fuera de plazo")</f>
        <v>#REF!</v>
      </c>
      <c r="Q76" s="6">
        <v>3700</v>
      </c>
      <c r="R76" s="2" t="s">
        <v>45</v>
      </c>
      <c r="S76" s="2" t="s">
        <v>425</v>
      </c>
      <c r="T76" s="2" t="s">
        <v>40</v>
      </c>
      <c r="U76" s="2"/>
      <c r="V76" s="2"/>
    </row>
    <row r="77" spans="1:22" ht="27" customHeight="1" x14ac:dyDescent="0.3">
      <c r="A77" s="2">
        <v>76</v>
      </c>
      <c r="B77" s="2" t="s">
        <v>5</v>
      </c>
      <c r="C77" s="4">
        <v>45700</v>
      </c>
      <c r="D77" s="4" t="str">
        <f>TEXT(Tabla2[[#This Row],[fecha]],"MMMM")</f>
        <v>Febrero</v>
      </c>
      <c r="E77" s="2" t="s">
        <v>115</v>
      </c>
      <c r="F77" s="2" t="s">
        <v>418</v>
      </c>
      <c r="G77" s="2" t="s">
        <v>58</v>
      </c>
      <c r="H77" s="2" t="s">
        <v>421</v>
      </c>
      <c r="I77" s="2" t="s">
        <v>39</v>
      </c>
      <c r="J77" s="2" t="s">
        <v>19</v>
      </c>
      <c r="K77" s="2" t="s">
        <v>19</v>
      </c>
      <c r="L77" s="2">
        <v>3471</v>
      </c>
      <c r="M77" s="4">
        <v>45700</v>
      </c>
      <c r="N77" s="5">
        <v>0</v>
      </c>
      <c r="O77" s="5">
        <v>0</v>
      </c>
      <c r="P77" s="5" t="e">
        <f>IF([1]!Tabla2[[#This Row],[TIEMPO DE ATENCIÓN REALIZADO]]&lt;=[1]!Tabla2[[#This Row],[TIEMPO DE ATENCIÓN ESPERADO]],"Dentro de plazo","Fuera de plazo")</f>
        <v>#REF!</v>
      </c>
      <c r="Q77" s="6">
        <v>1356</v>
      </c>
      <c r="R77" s="2" t="s">
        <v>45</v>
      </c>
      <c r="S77" s="2" t="s">
        <v>425</v>
      </c>
      <c r="T77" s="2" t="s">
        <v>40</v>
      </c>
      <c r="U77" s="2" t="s">
        <v>53</v>
      </c>
      <c r="V77" s="2" t="s">
        <v>116</v>
      </c>
    </row>
    <row r="78" spans="1:22" ht="27" customHeight="1" x14ac:dyDescent="0.3">
      <c r="A78" s="2">
        <v>77</v>
      </c>
      <c r="B78" s="2" t="s">
        <v>62</v>
      </c>
      <c r="C78" s="4">
        <v>45701</v>
      </c>
      <c r="D78" s="4" t="str">
        <f>TEXT(Tabla2[[#This Row],[fecha]],"MMMM")</f>
        <v>Febrero</v>
      </c>
      <c r="E78" s="2" t="s">
        <v>117</v>
      </c>
      <c r="F78" s="2" t="s">
        <v>416</v>
      </c>
      <c r="G78" s="2" t="s">
        <v>58</v>
      </c>
      <c r="H78" s="2" t="s">
        <v>421</v>
      </c>
      <c r="I78" s="2" t="s">
        <v>80</v>
      </c>
      <c r="J78" s="2">
        <v>369</v>
      </c>
      <c r="K78" s="2">
        <v>3324</v>
      </c>
      <c r="L78" s="2">
        <v>3472</v>
      </c>
      <c r="M78" s="4">
        <v>45701</v>
      </c>
      <c r="N78" s="5">
        <v>0</v>
      </c>
      <c r="O78" s="5">
        <v>0</v>
      </c>
      <c r="P78" s="5" t="e">
        <f>IF([1]!Tabla2[[#This Row],[TIEMPO DE ATENCIÓN REALIZADO]]&lt;=[1]!Tabla2[[#This Row],[TIEMPO DE ATENCIÓN ESPERADO]],"Dentro de plazo","Fuera de plazo")</f>
        <v>#REF!</v>
      </c>
      <c r="Q78" s="6">
        <v>936</v>
      </c>
      <c r="R78" s="2" t="s">
        <v>9</v>
      </c>
      <c r="S78" s="2" t="s">
        <v>425</v>
      </c>
      <c r="T78" s="2" t="s">
        <v>40</v>
      </c>
      <c r="U78" s="2" t="s">
        <v>53</v>
      </c>
      <c r="V78" s="2" t="s">
        <v>108</v>
      </c>
    </row>
    <row r="79" spans="1:22" ht="27" customHeight="1" x14ac:dyDescent="0.3">
      <c r="A79" s="2">
        <v>78</v>
      </c>
      <c r="B79" s="2" t="s">
        <v>5</v>
      </c>
      <c r="C79" s="4">
        <v>45701</v>
      </c>
      <c r="D79" s="4" t="str">
        <f>TEXT(Tabla2[[#This Row],[fecha]],"MMMM")</f>
        <v>Febrero</v>
      </c>
      <c r="E79" s="2" t="s">
        <v>118</v>
      </c>
      <c r="F79" s="2" t="s">
        <v>82</v>
      </c>
      <c r="G79" s="2" t="s">
        <v>44</v>
      </c>
      <c r="H79" s="2" t="s">
        <v>421</v>
      </c>
      <c r="I79" s="2" t="s">
        <v>68</v>
      </c>
      <c r="J79" s="2">
        <v>362</v>
      </c>
      <c r="K79" s="2">
        <v>3325</v>
      </c>
      <c r="L79" s="2">
        <v>3473</v>
      </c>
      <c r="M79" s="4">
        <v>45702</v>
      </c>
      <c r="N79" s="5">
        <v>1</v>
      </c>
      <c r="O79" s="5">
        <v>1</v>
      </c>
      <c r="P79" s="5" t="e">
        <f>IF([1]!Tabla2[[#This Row],[TIEMPO DE ATENCIÓN REALIZADO]]&lt;=[1]!Tabla2[[#This Row],[TIEMPO DE ATENCIÓN ESPERADO]],"Dentro de plazo","Fuera de plazo")</f>
        <v>#REF!</v>
      </c>
      <c r="Q79" s="6">
        <v>3988</v>
      </c>
      <c r="R79" s="2" t="s">
        <v>9</v>
      </c>
      <c r="S79" s="2" t="s">
        <v>425</v>
      </c>
      <c r="T79" s="2" t="s">
        <v>40</v>
      </c>
      <c r="U79" s="2" t="s">
        <v>53</v>
      </c>
      <c r="V79" s="2"/>
    </row>
    <row r="80" spans="1:22" ht="27" customHeight="1" x14ac:dyDescent="0.3">
      <c r="A80" s="2">
        <v>79</v>
      </c>
      <c r="B80" s="2" t="s">
        <v>5</v>
      </c>
      <c r="C80" s="4">
        <v>45700</v>
      </c>
      <c r="D80" s="4" t="str">
        <f>TEXT(Tabla2[[#This Row],[fecha]],"MMMM")</f>
        <v>Febrero</v>
      </c>
      <c r="E80" s="2" t="s">
        <v>119</v>
      </c>
      <c r="F80" s="2" t="s">
        <v>416</v>
      </c>
      <c r="G80" s="2" t="s">
        <v>44</v>
      </c>
      <c r="H80" s="2" t="s">
        <v>421</v>
      </c>
      <c r="I80" s="2" t="s">
        <v>80</v>
      </c>
      <c r="J80" s="2">
        <v>363</v>
      </c>
      <c r="K80" s="2">
        <v>3326</v>
      </c>
      <c r="L80" s="2">
        <v>3474</v>
      </c>
      <c r="M80" s="4">
        <v>45701</v>
      </c>
      <c r="N80" s="5">
        <v>1</v>
      </c>
      <c r="O80" s="5">
        <v>1</v>
      </c>
      <c r="P80" s="5" t="e">
        <f>IF([1]!Tabla2[[#This Row],[TIEMPO DE ATENCIÓN REALIZADO]]&lt;=[1]!Tabla2[[#This Row],[TIEMPO DE ATENCIÓN ESPERADO]],"Dentro de plazo","Fuera de plazo")</f>
        <v>#REF!</v>
      </c>
      <c r="Q80" s="6">
        <v>990</v>
      </c>
      <c r="R80" s="2" t="s">
        <v>9</v>
      </c>
      <c r="S80" s="2" t="s">
        <v>424</v>
      </c>
      <c r="T80" s="2" t="s">
        <v>40</v>
      </c>
      <c r="U80" s="2" t="s">
        <v>53</v>
      </c>
      <c r="V80" s="2" t="s">
        <v>108</v>
      </c>
    </row>
    <row r="81" spans="1:22" ht="27" customHeight="1" x14ac:dyDescent="0.3">
      <c r="A81" s="2">
        <v>80</v>
      </c>
      <c r="B81" s="2" t="s">
        <v>120</v>
      </c>
      <c r="C81" s="4">
        <v>45705</v>
      </c>
      <c r="D81" s="4" t="str">
        <f>TEXT(Tabla2[[#This Row],[fecha]],"MMMM")</f>
        <v>Febrero</v>
      </c>
      <c r="E81" s="2" t="s">
        <v>121</v>
      </c>
      <c r="F81" s="2" t="s">
        <v>55</v>
      </c>
      <c r="G81" s="2" t="s">
        <v>58</v>
      </c>
      <c r="H81" s="2" t="s">
        <v>421</v>
      </c>
      <c r="I81" s="2" t="s">
        <v>39</v>
      </c>
      <c r="J81" s="2" t="s">
        <v>19</v>
      </c>
      <c r="K81" s="2" t="s">
        <v>19</v>
      </c>
      <c r="L81" s="2">
        <v>3475</v>
      </c>
      <c r="M81" s="4">
        <v>45705</v>
      </c>
      <c r="N81" s="5">
        <v>0</v>
      </c>
      <c r="O81" s="5">
        <v>0</v>
      </c>
      <c r="P81" s="5" t="e">
        <f>IF([1]!Tabla2[[#This Row],[TIEMPO DE ATENCIÓN REALIZADO]]&lt;=[1]!Tabla2[[#This Row],[TIEMPO DE ATENCIÓN ESPERADO]],"Dentro de plazo","Fuera de plazo")</f>
        <v>#REF!</v>
      </c>
      <c r="Q81" s="6">
        <v>424.8</v>
      </c>
      <c r="R81" s="2" t="s">
        <v>45</v>
      </c>
      <c r="S81" s="2" t="s">
        <v>424</v>
      </c>
      <c r="T81" s="2" t="s">
        <v>46</v>
      </c>
      <c r="U81" s="2" t="s">
        <v>53</v>
      </c>
      <c r="V81" s="2"/>
    </row>
    <row r="82" spans="1:22" ht="27" customHeight="1" x14ac:dyDescent="0.3">
      <c r="A82" s="2">
        <v>81</v>
      </c>
      <c r="B82" s="2" t="s">
        <v>62</v>
      </c>
      <c r="C82" s="4">
        <v>45705</v>
      </c>
      <c r="D82" s="4" t="str">
        <f>TEXT(Tabla2[[#This Row],[fecha]],"MMMM")</f>
        <v>Febrero</v>
      </c>
      <c r="E82" s="2" t="s">
        <v>122</v>
      </c>
      <c r="F82" s="2" t="s">
        <v>414</v>
      </c>
      <c r="G82" s="2" t="s">
        <v>58</v>
      </c>
      <c r="H82" s="2" t="s">
        <v>421</v>
      </c>
      <c r="I82" s="2" t="s">
        <v>39</v>
      </c>
      <c r="J82" s="2">
        <v>364</v>
      </c>
      <c r="K82" s="2">
        <v>3327</v>
      </c>
      <c r="L82" s="2">
        <v>3476</v>
      </c>
      <c r="M82" s="4">
        <v>45705</v>
      </c>
      <c r="N82" s="5">
        <v>0</v>
      </c>
      <c r="O82" s="5">
        <v>0</v>
      </c>
      <c r="P82" s="5" t="e">
        <f>IF([1]!Tabla2[[#This Row],[TIEMPO DE ATENCIÓN REALIZADO]]&lt;=[1]!Tabla2[[#This Row],[TIEMPO DE ATENCIÓN ESPERADO]],"Dentro de plazo","Fuera de plazo")</f>
        <v>#REF!</v>
      </c>
      <c r="Q82" s="6">
        <v>958</v>
      </c>
      <c r="R82" s="2" t="s">
        <v>45</v>
      </c>
      <c r="S82" s="2" t="s">
        <v>425</v>
      </c>
      <c r="T82" s="2" t="s">
        <v>40</v>
      </c>
      <c r="U82" s="2" t="s">
        <v>53</v>
      </c>
      <c r="V82" s="2" t="s">
        <v>123</v>
      </c>
    </row>
    <row r="83" spans="1:22" ht="27" customHeight="1" x14ac:dyDescent="0.3">
      <c r="A83" s="2">
        <v>82</v>
      </c>
      <c r="B83" s="2" t="s">
        <v>5</v>
      </c>
      <c r="C83" s="4">
        <v>45705</v>
      </c>
      <c r="D83" s="4" t="str">
        <f>TEXT(Tabla2[[#This Row],[fecha]],"MMMM")</f>
        <v>Febrero</v>
      </c>
      <c r="E83" s="2" t="s">
        <v>124</v>
      </c>
      <c r="F83" s="2" t="s">
        <v>82</v>
      </c>
      <c r="G83" s="2" t="s">
        <v>58</v>
      </c>
      <c r="H83" s="2" t="s">
        <v>421</v>
      </c>
      <c r="I83" s="2" t="s">
        <v>66</v>
      </c>
      <c r="J83" s="2"/>
      <c r="K83" s="2">
        <v>3329</v>
      </c>
      <c r="L83" s="2">
        <v>3477</v>
      </c>
      <c r="M83" s="4">
        <v>45705</v>
      </c>
      <c r="N83" s="5">
        <v>0</v>
      </c>
      <c r="O83" s="5">
        <v>0</v>
      </c>
      <c r="P83" s="5" t="e">
        <f>IF([1]!Tabla2[[#This Row],[TIEMPO DE ATENCIÓN REALIZADO]]&lt;=[1]!Tabla2[[#This Row],[TIEMPO DE ATENCIÓN ESPERADO]],"Dentro de plazo","Fuera de plazo")</f>
        <v>#REF!</v>
      </c>
      <c r="Q83" s="6">
        <v>253</v>
      </c>
      <c r="R83" s="2" t="s">
        <v>45</v>
      </c>
      <c r="S83" s="2" t="s">
        <v>425</v>
      </c>
      <c r="T83" s="2" t="s">
        <v>40</v>
      </c>
      <c r="U83" s="2" t="s">
        <v>53</v>
      </c>
      <c r="V83" s="2" t="s">
        <v>125</v>
      </c>
    </row>
    <row r="84" spans="1:22" ht="27" customHeight="1" x14ac:dyDescent="0.3">
      <c r="A84" s="2">
        <v>83</v>
      </c>
      <c r="B84" s="2" t="s">
        <v>62</v>
      </c>
      <c r="C84" s="4">
        <v>45705</v>
      </c>
      <c r="D84" s="4" t="str">
        <f>TEXT(Tabla2[[#This Row],[fecha]],"MMMM")</f>
        <v>Febrero</v>
      </c>
      <c r="E84" s="2" t="s">
        <v>126</v>
      </c>
      <c r="F84" s="2" t="s">
        <v>416</v>
      </c>
      <c r="G84" s="2" t="s">
        <v>58</v>
      </c>
      <c r="H84" s="2" t="s">
        <v>421</v>
      </c>
      <c r="I84" s="2" t="s">
        <v>80</v>
      </c>
      <c r="J84" s="2">
        <v>365</v>
      </c>
      <c r="K84" s="2">
        <v>3330</v>
      </c>
      <c r="L84" s="2">
        <v>3478</v>
      </c>
      <c r="M84" s="4">
        <v>45706</v>
      </c>
      <c r="N84" s="5">
        <v>1</v>
      </c>
      <c r="O84" s="5">
        <v>1</v>
      </c>
      <c r="P84" s="5" t="e">
        <f>IF([1]!Tabla2[[#This Row],[TIEMPO DE ATENCIÓN REALIZADO]]&lt;=[1]!Tabla2[[#This Row],[TIEMPO DE ATENCIÓN ESPERADO]],"Dentro de plazo","Fuera de plazo")</f>
        <v>#REF!</v>
      </c>
      <c r="Q84" s="6">
        <v>675</v>
      </c>
      <c r="R84" s="2" t="s">
        <v>9</v>
      </c>
      <c r="S84" s="2" t="s">
        <v>425</v>
      </c>
      <c r="T84" s="2" t="s">
        <v>40</v>
      </c>
      <c r="U84" s="2" t="s">
        <v>53</v>
      </c>
      <c r="V84" s="2" t="s">
        <v>108</v>
      </c>
    </row>
    <row r="85" spans="1:22" ht="27" customHeight="1" x14ac:dyDescent="0.3">
      <c r="A85" s="2">
        <v>84</v>
      </c>
      <c r="B85" s="2" t="s">
        <v>62</v>
      </c>
      <c r="C85" s="4">
        <v>45706</v>
      </c>
      <c r="D85" s="4" t="str">
        <f>TEXT(Tabla2[[#This Row],[fecha]],"MMMM")</f>
        <v>Febrero</v>
      </c>
      <c r="E85" s="2" t="s">
        <v>127</v>
      </c>
      <c r="F85" s="2" t="s">
        <v>414</v>
      </c>
      <c r="G85" s="2" t="s">
        <v>58</v>
      </c>
      <c r="H85" s="2" t="s">
        <v>421</v>
      </c>
      <c r="I85" s="2" t="s">
        <v>68</v>
      </c>
      <c r="J85" s="2">
        <v>367</v>
      </c>
      <c r="K85" s="2">
        <v>3332</v>
      </c>
      <c r="L85" s="2">
        <v>3479</v>
      </c>
      <c r="M85" s="4">
        <v>45706</v>
      </c>
      <c r="N85" s="5">
        <v>0</v>
      </c>
      <c r="O85" s="5">
        <v>0</v>
      </c>
      <c r="P85" s="5" t="e">
        <f>IF([1]!Tabla2[[#This Row],[TIEMPO DE ATENCIÓN REALIZADO]]&lt;=[1]!Tabla2[[#This Row],[TIEMPO DE ATENCIÓN ESPERADO]],"Dentro de plazo","Fuera de plazo")</f>
        <v>#REF!</v>
      </c>
      <c r="Q85" s="6">
        <v>799</v>
      </c>
      <c r="R85" s="2" t="s">
        <v>45</v>
      </c>
      <c r="S85" s="2" t="s">
        <v>424</v>
      </c>
      <c r="T85" s="2" t="s">
        <v>46</v>
      </c>
      <c r="U85" s="2" t="s">
        <v>53</v>
      </c>
      <c r="V85" s="2" t="s">
        <v>128</v>
      </c>
    </row>
    <row r="86" spans="1:22" ht="27" customHeight="1" x14ac:dyDescent="0.3">
      <c r="A86" s="2">
        <v>85</v>
      </c>
      <c r="B86" s="2" t="s">
        <v>1</v>
      </c>
      <c r="C86" s="4">
        <v>45700</v>
      </c>
      <c r="D86" s="4" t="str">
        <f>TEXT(Tabla2[[#This Row],[fecha]],"MMMM")</f>
        <v>Febrero</v>
      </c>
      <c r="E86" s="2" t="s">
        <v>129</v>
      </c>
      <c r="F86" s="2" t="s">
        <v>82</v>
      </c>
      <c r="G86" s="2" t="s">
        <v>38</v>
      </c>
      <c r="H86" s="2" t="s">
        <v>421</v>
      </c>
      <c r="I86" s="2" t="s">
        <v>68</v>
      </c>
      <c r="J86" s="2" t="s">
        <v>19</v>
      </c>
      <c r="K86" s="2">
        <v>3301</v>
      </c>
      <c r="L86" s="2">
        <v>3480</v>
      </c>
      <c r="M86" s="4">
        <v>45706</v>
      </c>
      <c r="N86" s="5">
        <v>6</v>
      </c>
      <c r="O86" s="5">
        <v>6</v>
      </c>
      <c r="P86" s="5" t="e">
        <f>IF([1]!Tabla2[[#This Row],[TIEMPO DE ATENCIÓN REALIZADO]]&lt;=[1]!Tabla2[[#This Row],[TIEMPO DE ATENCIÓN ESPERADO]],"Dentro de plazo","Fuera de plazo")</f>
        <v>#REF!</v>
      </c>
      <c r="Q86" s="6"/>
      <c r="R86" s="2"/>
      <c r="S86" s="2" t="s">
        <v>424</v>
      </c>
      <c r="T86" s="2" t="s">
        <v>46</v>
      </c>
      <c r="U86" s="2"/>
      <c r="V86" s="2"/>
    </row>
    <row r="87" spans="1:22" ht="27" customHeight="1" x14ac:dyDescent="0.3">
      <c r="A87" s="2">
        <v>86</v>
      </c>
      <c r="B87" s="2" t="s">
        <v>62</v>
      </c>
      <c r="C87" s="4">
        <v>45707</v>
      </c>
      <c r="D87" s="4" t="str">
        <f>TEXT(Tabla2[[#This Row],[fecha]],"MMMM")</f>
        <v>Febrero</v>
      </c>
      <c r="E87" s="2" t="s">
        <v>23</v>
      </c>
      <c r="F87" s="2" t="s">
        <v>414</v>
      </c>
      <c r="G87" s="2" t="s">
        <v>58</v>
      </c>
      <c r="H87" s="2" t="s">
        <v>421</v>
      </c>
      <c r="I87" s="2" t="s">
        <v>463</v>
      </c>
      <c r="J87" s="2">
        <v>368</v>
      </c>
      <c r="K87" s="2">
        <v>3331</v>
      </c>
      <c r="L87" s="2">
        <v>3481</v>
      </c>
      <c r="M87" s="4">
        <v>45708</v>
      </c>
      <c r="N87" s="5">
        <v>1</v>
      </c>
      <c r="O87" s="5">
        <v>1</v>
      </c>
      <c r="P87" s="5" t="e">
        <f>IF([1]!Tabla2[[#This Row],[TIEMPO DE ATENCIÓN REALIZADO]]&lt;=[1]!Tabla2[[#This Row],[TIEMPO DE ATENCIÓN ESPERADO]],"Dentro de plazo","Fuera de plazo")</f>
        <v>#REF!</v>
      </c>
      <c r="Q87" s="6">
        <v>1582</v>
      </c>
      <c r="R87" s="2" t="s">
        <v>45</v>
      </c>
      <c r="S87" s="2" t="s">
        <v>425</v>
      </c>
      <c r="T87" s="2" t="s">
        <v>40</v>
      </c>
      <c r="U87" s="2" t="s">
        <v>53</v>
      </c>
      <c r="V87" s="2"/>
    </row>
    <row r="88" spans="1:22" ht="27" customHeight="1" x14ac:dyDescent="0.3">
      <c r="A88" s="2">
        <v>87</v>
      </c>
      <c r="B88" s="2" t="s">
        <v>5</v>
      </c>
      <c r="C88" s="4">
        <v>45707</v>
      </c>
      <c r="D88" s="4" t="str">
        <f>TEXT(Tabla2[[#This Row],[fecha]],"MMMM")</f>
        <v>Febrero</v>
      </c>
      <c r="E88" s="2" t="s">
        <v>130</v>
      </c>
      <c r="F88" s="2" t="s">
        <v>55</v>
      </c>
      <c r="G88" s="2" t="s">
        <v>58</v>
      </c>
      <c r="H88" s="2" t="s">
        <v>421</v>
      </c>
      <c r="I88" s="2" t="s">
        <v>39</v>
      </c>
      <c r="J88" s="2" t="s">
        <v>19</v>
      </c>
      <c r="K88" s="2" t="s">
        <v>19</v>
      </c>
      <c r="L88" s="2">
        <v>3482</v>
      </c>
      <c r="M88" s="4">
        <v>45707</v>
      </c>
      <c r="N88" s="5">
        <v>0</v>
      </c>
      <c r="O88" s="5">
        <v>0</v>
      </c>
      <c r="P88" s="5" t="e">
        <f>IF([1]!Tabla2[[#This Row],[TIEMPO DE ATENCIÓN REALIZADO]]&lt;=[1]!Tabla2[[#This Row],[TIEMPO DE ATENCIÓN ESPERADO]],"Dentro de plazo","Fuera de plazo")</f>
        <v>#REF!</v>
      </c>
      <c r="Q88" s="6" t="s">
        <v>19</v>
      </c>
      <c r="R88" s="2" t="s">
        <v>13</v>
      </c>
      <c r="S88" s="2" t="s">
        <v>425</v>
      </c>
      <c r="T88" s="2" t="s">
        <v>40</v>
      </c>
      <c r="U88" s="2" t="s">
        <v>41</v>
      </c>
      <c r="V88" s="2"/>
    </row>
    <row r="89" spans="1:22" ht="27" customHeight="1" x14ac:dyDescent="0.3">
      <c r="A89" s="2">
        <v>88</v>
      </c>
      <c r="B89" s="2" t="s">
        <v>5</v>
      </c>
      <c r="C89" s="4">
        <v>45707</v>
      </c>
      <c r="D89" s="4" t="str">
        <f>TEXT(Tabla2[[#This Row],[fecha]],"MMMM")</f>
        <v>Febrero</v>
      </c>
      <c r="E89" s="2" t="s">
        <v>131</v>
      </c>
      <c r="F89" s="2" t="s">
        <v>132</v>
      </c>
      <c r="G89" s="2" t="s">
        <v>58</v>
      </c>
      <c r="H89" s="2" t="s">
        <v>421</v>
      </c>
      <c r="I89" s="2" t="s">
        <v>39</v>
      </c>
      <c r="J89" s="2" t="s">
        <v>19</v>
      </c>
      <c r="K89" s="2" t="s">
        <v>19</v>
      </c>
      <c r="L89" s="2">
        <v>3483</v>
      </c>
      <c r="M89" s="4">
        <v>45707</v>
      </c>
      <c r="N89" s="5">
        <v>0</v>
      </c>
      <c r="O89" s="5">
        <v>0</v>
      </c>
      <c r="P89" s="5" t="e">
        <f>IF([1]!Tabla2[[#This Row],[TIEMPO DE ATENCIÓN REALIZADO]]&lt;=[1]!Tabla2[[#This Row],[TIEMPO DE ATENCIÓN ESPERADO]],"Dentro de plazo","Fuera de plazo")</f>
        <v>#REF!</v>
      </c>
      <c r="Q89" s="6">
        <v>399</v>
      </c>
      <c r="R89" s="2" t="s">
        <v>45</v>
      </c>
      <c r="S89" s="2" t="s">
        <v>424</v>
      </c>
      <c r="T89" s="2" t="s">
        <v>40</v>
      </c>
      <c r="U89" s="2" t="s">
        <v>53</v>
      </c>
      <c r="V89" s="2" t="s">
        <v>133</v>
      </c>
    </row>
    <row r="90" spans="1:22" ht="27" customHeight="1" x14ac:dyDescent="0.3">
      <c r="A90" s="2">
        <v>89</v>
      </c>
      <c r="B90" s="2" t="s">
        <v>5</v>
      </c>
      <c r="C90" s="4">
        <v>45709</v>
      </c>
      <c r="D90" s="4" t="str">
        <f>TEXT(Tabla2[[#This Row],[fecha]],"MMMM")</f>
        <v>Febrero</v>
      </c>
      <c r="E90" s="2" t="s">
        <v>134</v>
      </c>
      <c r="F90" s="2" t="s">
        <v>415</v>
      </c>
      <c r="G90" s="2" t="s">
        <v>38</v>
      </c>
      <c r="H90" s="2" t="s">
        <v>60</v>
      </c>
      <c r="I90" s="2" t="s">
        <v>39</v>
      </c>
      <c r="J90" s="2">
        <v>372</v>
      </c>
      <c r="K90" s="2">
        <v>3335</v>
      </c>
      <c r="L90" s="2">
        <v>3484</v>
      </c>
      <c r="M90" s="4">
        <v>45709</v>
      </c>
      <c r="N90" s="5">
        <v>0</v>
      </c>
      <c r="O90" s="5">
        <v>0</v>
      </c>
      <c r="P90" s="5" t="e">
        <f>IF([1]!Tabla2[[#This Row],[TIEMPO DE ATENCIÓN REALIZADO]]&lt;=[1]!Tabla2[[#This Row],[TIEMPO DE ATENCIÓN ESPERADO]],"Dentro de plazo","Fuera de plazo")</f>
        <v>#REF!</v>
      </c>
      <c r="Q90" s="6">
        <v>16058</v>
      </c>
      <c r="R90" s="2" t="s">
        <v>45</v>
      </c>
      <c r="S90" s="2" t="s">
        <v>427</v>
      </c>
      <c r="T90" s="2" t="s">
        <v>40</v>
      </c>
      <c r="U90" s="2" t="s">
        <v>41</v>
      </c>
      <c r="V90" s="2" t="s">
        <v>135</v>
      </c>
    </row>
    <row r="91" spans="1:22" ht="27" customHeight="1" x14ac:dyDescent="0.3">
      <c r="A91" s="2">
        <v>90</v>
      </c>
      <c r="B91" s="2" t="s">
        <v>62</v>
      </c>
      <c r="C91" s="4">
        <v>45709</v>
      </c>
      <c r="D91" s="4" t="str">
        <f>TEXT(Tabla2[[#This Row],[fecha]],"MMMM")</f>
        <v>Febrero</v>
      </c>
      <c r="E91" s="2" t="s">
        <v>136</v>
      </c>
      <c r="F91" s="2" t="s">
        <v>415</v>
      </c>
      <c r="G91" s="2" t="s">
        <v>58</v>
      </c>
      <c r="H91" s="2" t="s">
        <v>421</v>
      </c>
      <c r="I91" s="2" t="s">
        <v>68</v>
      </c>
      <c r="J91" s="2"/>
      <c r="K91" s="2"/>
      <c r="L91" s="2">
        <v>3485</v>
      </c>
      <c r="M91" s="4">
        <v>45709</v>
      </c>
      <c r="N91" s="5">
        <v>0</v>
      </c>
      <c r="O91" s="5">
        <v>0</v>
      </c>
      <c r="P91" s="5" t="e">
        <f>IF([1]!Tabla2[[#This Row],[TIEMPO DE ATENCIÓN REALIZADO]]&lt;=[1]!Tabla2[[#This Row],[TIEMPO DE ATENCIÓN ESPERADO]],"Dentro de plazo","Fuera de plazo")</f>
        <v>#REF!</v>
      </c>
      <c r="Q91" s="6"/>
      <c r="R91" s="2"/>
      <c r="S91" s="2" t="s">
        <v>424</v>
      </c>
      <c r="T91" s="2" t="s">
        <v>46</v>
      </c>
      <c r="U91" s="2"/>
      <c r="V91" s="2"/>
    </row>
    <row r="92" spans="1:22" ht="27" customHeight="1" x14ac:dyDescent="0.3">
      <c r="A92" s="2">
        <v>91</v>
      </c>
      <c r="B92" s="2" t="s">
        <v>5</v>
      </c>
      <c r="C92" s="4">
        <v>45709</v>
      </c>
      <c r="D92" s="4" t="str">
        <f>TEXT(Tabla2[[#This Row],[fecha]],"MMMM")</f>
        <v>Febrero</v>
      </c>
      <c r="E92" s="2" t="s">
        <v>6</v>
      </c>
      <c r="F92" s="2" t="s">
        <v>82</v>
      </c>
      <c r="G92" s="2" t="s">
        <v>38</v>
      </c>
      <c r="H92" s="2" t="s">
        <v>421</v>
      </c>
      <c r="I92" s="2" t="s">
        <v>429</v>
      </c>
      <c r="J92" s="2">
        <v>369</v>
      </c>
      <c r="K92" s="2">
        <v>3336</v>
      </c>
      <c r="L92" s="2">
        <v>3486</v>
      </c>
      <c r="M92" s="4">
        <v>45709</v>
      </c>
      <c r="N92" s="5">
        <v>0</v>
      </c>
      <c r="O92" s="5">
        <v>0</v>
      </c>
      <c r="P92" s="5" t="e">
        <f>IF([1]!Tabla2[[#This Row],[TIEMPO DE ATENCIÓN REALIZADO]]&lt;=[1]!Tabla2[[#This Row],[TIEMPO DE ATENCIÓN ESPERADO]],"Dentro de plazo","Fuera de plazo")</f>
        <v>#REF!</v>
      </c>
      <c r="Q92" s="6">
        <v>5224</v>
      </c>
      <c r="R92" s="2" t="s">
        <v>45</v>
      </c>
      <c r="S92" s="2" t="s">
        <v>424</v>
      </c>
      <c r="T92" s="2" t="s">
        <v>46</v>
      </c>
      <c r="U92" s="2" t="s">
        <v>41</v>
      </c>
      <c r="V92" s="2"/>
    </row>
    <row r="93" spans="1:22" ht="27" customHeight="1" x14ac:dyDescent="0.3">
      <c r="A93" s="2">
        <v>92</v>
      </c>
      <c r="B93" s="2" t="s">
        <v>5</v>
      </c>
      <c r="C93" s="4">
        <v>45708</v>
      </c>
      <c r="D93" s="4" t="str">
        <f>TEXT(Tabla2[[#This Row],[fecha]],"MMMM")</f>
        <v>Febrero</v>
      </c>
      <c r="E93" s="2" t="s">
        <v>137</v>
      </c>
      <c r="F93" s="2" t="s">
        <v>88</v>
      </c>
      <c r="G93" s="2" t="s">
        <v>38</v>
      </c>
      <c r="H93" s="2" t="s">
        <v>421</v>
      </c>
      <c r="I93" s="2" t="s">
        <v>39</v>
      </c>
      <c r="J93" s="2">
        <v>370</v>
      </c>
      <c r="K93" s="2">
        <v>3337</v>
      </c>
      <c r="L93" s="2">
        <v>3487</v>
      </c>
      <c r="M93" s="4">
        <v>45709</v>
      </c>
      <c r="N93" s="5">
        <v>1</v>
      </c>
      <c r="O93" s="5">
        <v>1</v>
      </c>
      <c r="P93" s="5" t="e">
        <f>IF([1]!Tabla2[[#This Row],[TIEMPO DE ATENCIÓN REALIZADO]]&lt;=[1]!Tabla2[[#This Row],[TIEMPO DE ATENCIÓN ESPERADO]],"Dentro de plazo","Fuera de plazo")</f>
        <v>#REF!</v>
      </c>
      <c r="Q93" s="6">
        <v>7668</v>
      </c>
      <c r="R93" s="2" t="s">
        <v>45</v>
      </c>
      <c r="S93" s="2" t="s">
        <v>425</v>
      </c>
      <c r="T93" s="2" t="s">
        <v>40</v>
      </c>
      <c r="U93" s="2" t="s">
        <v>53</v>
      </c>
      <c r="V93" s="2" t="s">
        <v>135</v>
      </c>
    </row>
    <row r="94" spans="1:22" ht="27" customHeight="1" x14ac:dyDescent="0.3">
      <c r="A94" s="2">
        <v>93</v>
      </c>
      <c r="B94" s="2" t="s">
        <v>5</v>
      </c>
      <c r="C94" s="4">
        <v>45714</v>
      </c>
      <c r="D94" s="4" t="str">
        <f>TEXT(Tabla2[[#This Row],[fecha]],"MMMM")</f>
        <v>Febrero</v>
      </c>
      <c r="E94" s="2" t="s">
        <v>134</v>
      </c>
      <c r="F94" s="2" t="s">
        <v>415</v>
      </c>
      <c r="G94" s="2" t="s">
        <v>38</v>
      </c>
      <c r="H94" s="2" t="s">
        <v>60</v>
      </c>
      <c r="I94" s="2" t="s">
        <v>39</v>
      </c>
      <c r="J94" s="2">
        <v>372</v>
      </c>
      <c r="K94" s="2">
        <v>3335</v>
      </c>
      <c r="L94" s="2">
        <v>3488</v>
      </c>
      <c r="M94" s="4">
        <v>45714</v>
      </c>
      <c r="N94" s="5">
        <v>0</v>
      </c>
      <c r="O94" s="5">
        <v>0</v>
      </c>
      <c r="P94" s="5" t="e">
        <f>IF([1]!Tabla2[[#This Row],[TIEMPO DE ATENCIÓN REALIZADO]]&lt;=[1]!Tabla2[[#This Row],[TIEMPO DE ATENCIÓN ESPERADO]],"Dentro de plazo","Fuera de plazo")</f>
        <v>#REF!</v>
      </c>
      <c r="Q94" s="6">
        <v>11837</v>
      </c>
      <c r="R94" s="2" t="s">
        <v>45</v>
      </c>
      <c r="S94" s="2" t="s">
        <v>427</v>
      </c>
      <c r="T94" s="2" t="s">
        <v>40</v>
      </c>
      <c r="U94" s="2" t="s">
        <v>41</v>
      </c>
      <c r="V94" s="2"/>
    </row>
    <row r="95" spans="1:22" ht="27" customHeight="1" x14ac:dyDescent="0.3">
      <c r="A95" s="2">
        <v>94</v>
      </c>
      <c r="B95" s="2" t="s">
        <v>5</v>
      </c>
      <c r="C95" s="4">
        <v>45709</v>
      </c>
      <c r="D95" s="4" t="str">
        <f>TEXT(Tabla2[[#This Row],[fecha]],"MMMM")</f>
        <v>Febrero</v>
      </c>
      <c r="E95" s="2" t="s">
        <v>6</v>
      </c>
      <c r="F95" s="2" t="s">
        <v>82</v>
      </c>
      <c r="G95" s="2" t="s">
        <v>38</v>
      </c>
      <c r="H95" s="2" t="s">
        <v>421</v>
      </c>
      <c r="I95" s="2" t="s">
        <v>429</v>
      </c>
      <c r="J95" s="2">
        <v>369</v>
      </c>
      <c r="K95" s="2">
        <v>3336</v>
      </c>
      <c r="L95" s="2">
        <v>3490</v>
      </c>
      <c r="M95" s="4">
        <v>45709</v>
      </c>
      <c r="N95" s="5">
        <v>0</v>
      </c>
      <c r="O95" s="5">
        <v>0</v>
      </c>
      <c r="P95" s="5" t="e">
        <f>IF([1]!Tabla2[[#This Row],[TIEMPO DE ATENCIÓN REALIZADO]]&lt;=[1]!Tabla2[[#This Row],[TIEMPO DE ATENCIÓN ESPERADO]],"Dentro de plazo","Fuera de plazo")</f>
        <v>#REF!</v>
      </c>
      <c r="Q95" s="6">
        <v>5224</v>
      </c>
      <c r="R95" s="2" t="s">
        <v>45</v>
      </c>
      <c r="S95" s="2" t="s">
        <v>424</v>
      </c>
      <c r="T95" s="2" t="s">
        <v>46</v>
      </c>
      <c r="U95" s="2" t="s">
        <v>41</v>
      </c>
      <c r="V95" s="2" t="s">
        <v>138</v>
      </c>
    </row>
    <row r="96" spans="1:22" ht="27" customHeight="1" x14ac:dyDescent="0.3">
      <c r="A96" s="2">
        <v>95</v>
      </c>
      <c r="B96" s="2" t="s">
        <v>5</v>
      </c>
      <c r="C96" s="4">
        <v>45712</v>
      </c>
      <c r="D96" s="4" t="str">
        <f>TEXT(Tabla2[[#This Row],[fecha]],"MMMM")</f>
        <v>Febrero</v>
      </c>
      <c r="E96" s="2" t="s">
        <v>6</v>
      </c>
      <c r="F96" s="2" t="s">
        <v>82</v>
      </c>
      <c r="G96" s="2" t="s">
        <v>38</v>
      </c>
      <c r="H96" s="2" t="s">
        <v>421</v>
      </c>
      <c r="I96" s="2" t="s">
        <v>429</v>
      </c>
      <c r="J96" s="2">
        <v>369</v>
      </c>
      <c r="K96" s="2">
        <v>3336</v>
      </c>
      <c r="L96" s="2">
        <v>3491</v>
      </c>
      <c r="M96" s="4">
        <v>45712</v>
      </c>
      <c r="N96" s="5">
        <v>0</v>
      </c>
      <c r="O96" s="5">
        <v>0</v>
      </c>
      <c r="P96" s="5" t="e">
        <f>IF([1]!Tabla2[[#This Row],[TIEMPO DE ATENCIÓN REALIZADO]]&lt;=[1]!Tabla2[[#This Row],[TIEMPO DE ATENCIÓN ESPERADO]],"Dentro de plazo","Fuera de plazo")</f>
        <v>#REF!</v>
      </c>
      <c r="Q96" s="6">
        <v>2700</v>
      </c>
      <c r="R96" s="2" t="s">
        <v>45</v>
      </c>
      <c r="S96" s="2" t="s">
        <v>424</v>
      </c>
      <c r="T96" s="2" t="s">
        <v>46</v>
      </c>
      <c r="U96" s="2" t="s">
        <v>41</v>
      </c>
      <c r="V96" s="2"/>
    </row>
    <row r="97" spans="1:22" ht="27" customHeight="1" x14ac:dyDescent="0.3">
      <c r="A97" s="2">
        <v>96</v>
      </c>
      <c r="B97" s="2" t="s">
        <v>5</v>
      </c>
      <c r="C97" s="4">
        <v>45712</v>
      </c>
      <c r="D97" s="4" t="str">
        <f>TEXT(Tabla2[[#This Row],[fecha]],"MMMM")</f>
        <v>Febrero</v>
      </c>
      <c r="E97" s="2" t="s">
        <v>6</v>
      </c>
      <c r="F97" s="2" t="s">
        <v>55</v>
      </c>
      <c r="G97" s="2" t="s">
        <v>38</v>
      </c>
      <c r="H97" s="2" t="s">
        <v>421</v>
      </c>
      <c r="I97" s="2" t="s">
        <v>429</v>
      </c>
      <c r="J97" s="2" t="s">
        <v>19</v>
      </c>
      <c r="K97" s="2" t="s">
        <v>19</v>
      </c>
      <c r="L97" s="2">
        <v>3494</v>
      </c>
      <c r="M97" s="4">
        <v>45712</v>
      </c>
      <c r="N97" s="5">
        <v>0</v>
      </c>
      <c r="O97" s="5">
        <v>0</v>
      </c>
      <c r="P97" s="5" t="e">
        <f>IF([1]!Tabla2[[#This Row],[TIEMPO DE ATENCIÓN REALIZADO]]&lt;=[1]!Tabla2[[#This Row],[TIEMPO DE ATENCIÓN ESPERADO]],"Dentro de plazo","Fuera de plazo")</f>
        <v>#REF!</v>
      </c>
      <c r="Q97" s="6" t="s">
        <v>19</v>
      </c>
      <c r="R97" s="2" t="s">
        <v>9</v>
      </c>
      <c r="S97" s="2" t="s">
        <v>424</v>
      </c>
      <c r="T97" s="2" t="s">
        <v>46</v>
      </c>
      <c r="U97" s="2" t="s">
        <v>41</v>
      </c>
      <c r="V97" s="2" t="s">
        <v>139</v>
      </c>
    </row>
    <row r="98" spans="1:22" ht="27" customHeight="1" x14ac:dyDescent="0.3">
      <c r="A98" s="2">
        <v>97</v>
      </c>
      <c r="B98" s="2" t="s">
        <v>5</v>
      </c>
      <c r="C98" s="4">
        <v>45712</v>
      </c>
      <c r="D98" s="4" t="str">
        <f>TEXT(Tabla2[[#This Row],[fecha]],"MMMM")</f>
        <v>Febrero</v>
      </c>
      <c r="E98" s="2" t="s">
        <v>6</v>
      </c>
      <c r="F98" s="2" t="s">
        <v>55</v>
      </c>
      <c r="G98" s="2" t="s">
        <v>38</v>
      </c>
      <c r="H98" s="2" t="s">
        <v>421</v>
      </c>
      <c r="I98" s="2" t="s">
        <v>429</v>
      </c>
      <c r="J98" s="2" t="s">
        <v>19</v>
      </c>
      <c r="K98" s="2" t="s">
        <v>19</v>
      </c>
      <c r="L98" s="2">
        <v>3494</v>
      </c>
      <c r="M98" s="4">
        <v>45712</v>
      </c>
      <c r="N98" s="5">
        <v>0</v>
      </c>
      <c r="O98" s="5">
        <v>0</v>
      </c>
      <c r="P98" s="5" t="e">
        <f>IF([1]!Tabla2[[#This Row],[TIEMPO DE ATENCIÓN REALIZADO]]&lt;=[1]!Tabla2[[#This Row],[TIEMPO DE ATENCIÓN ESPERADO]],"Dentro de plazo","Fuera de plazo")</f>
        <v>#REF!</v>
      </c>
      <c r="Q98" s="6" t="s">
        <v>19</v>
      </c>
      <c r="R98" s="2" t="s">
        <v>9</v>
      </c>
      <c r="S98" s="2" t="s">
        <v>424</v>
      </c>
      <c r="T98" s="2" t="s">
        <v>46</v>
      </c>
      <c r="U98" s="2" t="s">
        <v>41</v>
      </c>
      <c r="V98" s="2" t="s">
        <v>140</v>
      </c>
    </row>
    <row r="99" spans="1:22" ht="27" customHeight="1" x14ac:dyDescent="0.3">
      <c r="A99" s="2">
        <v>98</v>
      </c>
      <c r="B99" s="2" t="s">
        <v>5</v>
      </c>
      <c r="C99" s="4">
        <v>45712</v>
      </c>
      <c r="D99" s="4" t="str">
        <f>TEXT(Tabla2[[#This Row],[fecha]],"MMMM")</f>
        <v>Febrero</v>
      </c>
      <c r="E99" s="2" t="s">
        <v>141</v>
      </c>
      <c r="F99" s="2" t="s">
        <v>416</v>
      </c>
      <c r="G99" s="2" t="s">
        <v>44</v>
      </c>
      <c r="H99" s="2" t="s">
        <v>421</v>
      </c>
      <c r="I99" s="2" t="s">
        <v>80</v>
      </c>
      <c r="J99" s="2">
        <v>374</v>
      </c>
      <c r="K99" s="2">
        <v>3344</v>
      </c>
      <c r="L99" s="2">
        <v>3496</v>
      </c>
      <c r="M99" s="4">
        <v>45713</v>
      </c>
      <c r="N99" s="5">
        <v>1</v>
      </c>
      <c r="O99" s="5">
        <v>1</v>
      </c>
      <c r="P99" s="5" t="e">
        <f>IF([1]!Tabla2[[#This Row],[TIEMPO DE ATENCIÓN REALIZADO]]&lt;=[1]!Tabla2[[#This Row],[TIEMPO DE ATENCIÓN ESPERADO]],"Dentro de plazo","Fuera de plazo")</f>
        <v>#REF!</v>
      </c>
      <c r="Q99" s="6">
        <v>1800</v>
      </c>
      <c r="R99" s="2" t="s">
        <v>9</v>
      </c>
      <c r="S99" s="2" t="s">
        <v>427</v>
      </c>
      <c r="T99" s="2" t="s">
        <v>40</v>
      </c>
      <c r="U99" s="2" t="s">
        <v>53</v>
      </c>
      <c r="V99" s="2"/>
    </row>
    <row r="100" spans="1:22" ht="27" customHeight="1" x14ac:dyDescent="0.3">
      <c r="A100" s="2">
        <v>99</v>
      </c>
      <c r="B100" s="2" t="s">
        <v>5</v>
      </c>
      <c r="C100" s="4">
        <v>45713</v>
      </c>
      <c r="D100" s="4" t="str">
        <f>TEXT(Tabla2[[#This Row],[fecha]],"MMMM")</f>
        <v>Febrero</v>
      </c>
      <c r="E100" s="2" t="s">
        <v>142</v>
      </c>
      <c r="F100" s="2" t="s">
        <v>132</v>
      </c>
      <c r="G100" s="2" t="s">
        <v>58</v>
      </c>
      <c r="H100" s="2" t="s">
        <v>60</v>
      </c>
      <c r="I100" s="2" t="s">
        <v>39</v>
      </c>
      <c r="J100" s="2"/>
      <c r="K100" s="2"/>
      <c r="L100" s="2">
        <v>3497</v>
      </c>
      <c r="M100" s="4">
        <v>45713</v>
      </c>
      <c r="N100" s="5">
        <v>0</v>
      </c>
      <c r="O100" s="5">
        <v>0</v>
      </c>
      <c r="P100" s="5" t="e">
        <f>IF([1]!Tabla2[[#This Row],[TIEMPO DE ATENCIÓN REALIZADO]]&lt;=[1]!Tabla2[[#This Row],[TIEMPO DE ATENCIÓN ESPERADO]],"Dentro de plazo","Fuera de plazo")</f>
        <v>#REF!</v>
      </c>
      <c r="Q100" s="6">
        <v>1070</v>
      </c>
      <c r="R100" s="2" t="s">
        <v>45</v>
      </c>
      <c r="S100" s="2" t="s">
        <v>425</v>
      </c>
      <c r="T100" s="2" t="s">
        <v>40</v>
      </c>
      <c r="U100" s="2" t="s">
        <v>53</v>
      </c>
      <c r="V100" s="2"/>
    </row>
    <row r="101" spans="1:22" ht="27" customHeight="1" x14ac:dyDescent="0.3">
      <c r="A101" s="2">
        <v>100</v>
      </c>
      <c r="B101" s="2" t="s">
        <v>62</v>
      </c>
      <c r="C101" s="4">
        <v>45709</v>
      </c>
      <c r="D101" s="4" t="str">
        <f>TEXT(Tabla2[[#This Row],[fecha]],"MMMM")</f>
        <v>Febrero</v>
      </c>
      <c r="E101" s="2" t="s">
        <v>143</v>
      </c>
      <c r="F101" s="2" t="s">
        <v>144</v>
      </c>
      <c r="G101" s="2" t="s">
        <v>58</v>
      </c>
      <c r="H101" s="2" t="s">
        <v>421</v>
      </c>
      <c r="I101" s="2" t="s">
        <v>429</v>
      </c>
      <c r="J101" s="2">
        <v>374</v>
      </c>
      <c r="K101" s="2">
        <v>3346</v>
      </c>
      <c r="L101" s="2">
        <v>3498</v>
      </c>
      <c r="M101" s="4">
        <v>45713</v>
      </c>
      <c r="N101" s="5">
        <v>4</v>
      </c>
      <c r="O101" s="5">
        <v>4</v>
      </c>
      <c r="P101" s="5" t="e">
        <f>IF([1]!Tabla2[[#This Row],[TIEMPO DE ATENCIÓN REALIZADO]]&lt;=[1]!Tabla2[[#This Row],[TIEMPO DE ATENCIÓN ESPERADO]],"Dentro de plazo","Fuera de plazo")</f>
        <v>#REF!</v>
      </c>
      <c r="Q101" s="6">
        <v>2462.79</v>
      </c>
      <c r="R101" s="2" t="s">
        <v>45</v>
      </c>
      <c r="S101" s="2" t="s">
        <v>425</v>
      </c>
      <c r="T101" s="2" t="s">
        <v>40</v>
      </c>
      <c r="U101" s="2" t="s">
        <v>53</v>
      </c>
      <c r="V101" s="2" t="s">
        <v>145</v>
      </c>
    </row>
    <row r="102" spans="1:22" ht="27" customHeight="1" x14ac:dyDescent="0.3">
      <c r="A102" s="2">
        <v>101</v>
      </c>
      <c r="B102" s="2" t="s">
        <v>5</v>
      </c>
      <c r="C102" s="4">
        <v>45714</v>
      </c>
      <c r="D102" s="4" t="str">
        <f>TEXT(Tabla2[[#This Row],[fecha]],"MMMM")</f>
        <v>Febrero</v>
      </c>
      <c r="E102" s="2" t="s">
        <v>141</v>
      </c>
      <c r="F102" s="2" t="s">
        <v>416</v>
      </c>
      <c r="G102" s="2" t="s">
        <v>44</v>
      </c>
      <c r="H102" s="2" t="s">
        <v>421</v>
      </c>
      <c r="I102" s="2" t="s">
        <v>80</v>
      </c>
      <c r="J102" s="2">
        <v>374</v>
      </c>
      <c r="K102" s="2">
        <v>3344</v>
      </c>
      <c r="L102" s="2">
        <v>3496</v>
      </c>
      <c r="M102" s="4">
        <v>45714</v>
      </c>
      <c r="N102" s="5">
        <v>0</v>
      </c>
      <c r="O102" s="5">
        <v>0</v>
      </c>
      <c r="P102" s="5" t="e">
        <f>IF([1]!Tabla2[[#This Row],[TIEMPO DE ATENCIÓN REALIZADO]]&lt;=[1]!Tabla2[[#This Row],[TIEMPO DE ATENCIÓN ESPERADO]],"Dentro de plazo","Fuera de plazo")</f>
        <v>#REF!</v>
      </c>
      <c r="Q102" s="6">
        <v>1800</v>
      </c>
      <c r="R102" s="2" t="s">
        <v>9</v>
      </c>
      <c r="S102" s="2" t="s">
        <v>425</v>
      </c>
      <c r="T102" s="2" t="s">
        <v>40</v>
      </c>
      <c r="U102" s="2" t="s">
        <v>53</v>
      </c>
      <c r="V102" s="2"/>
    </row>
    <row r="103" spans="1:22" ht="27" customHeight="1" x14ac:dyDescent="0.3">
      <c r="A103" s="2">
        <v>102</v>
      </c>
      <c r="B103" s="2" t="s">
        <v>62</v>
      </c>
      <c r="C103" s="4">
        <v>45678</v>
      </c>
      <c r="D103" s="4" t="str">
        <f>TEXT(Tabla2[[#This Row],[fecha]],"MMMM")</f>
        <v>Enero</v>
      </c>
      <c r="E103" s="2" t="s">
        <v>146</v>
      </c>
      <c r="F103" s="2" t="s">
        <v>414</v>
      </c>
      <c r="G103" s="2" t="s">
        <v>147</v>
      </c>
      <c r="H103" s="2" t="s">
        <v>421</v>
      </c>
      <c r="I103" s="2" t="s">
        <v>80</v>
      </c>
      <c r="J103" s="2">
        <v>371</v>
      </c>
      <c r="K103" s="2">
        <v>3338</v>
      </c>
      <c r="L103" s="2">
        <v>3489</v>
      </c>
      <c r="M103" s="4">
        <v>45678</v>
      </c>
      <c r="N103" s="5">
        <v>0</v>
      </c>
      <c r="O103" s="5">
        <v>0</v>
      </c>
      <c r="P103" s="5" t="e">
        <f>IF([1]!Tabla2[[#This Row],[TIEMPO DE ATENCIÓN REALIZADO]]&lt;=[1]!Tabla2[[#This Row],[TIEMPO DE ATENCIÓN ESPERADO]],"Dentro de plazo","Fuera de plazo")</f>
        <v>#REF!</v>
      </c>
      <c r="Q103" s="6">
        <v>741.28</v>
      </c>
      <c r="R103" s="2" t="s">
        <v>45</v>
      </c>
      <c r="S103" s="2" t="s">
        <v>425</v>
      </c>
      <c r="T103" s="2" t="s">
        <v>40</v>
      </c>
      <c r="U103" s="2" t="s">
        <v>53</v>
      </c>
      <c r="V103" s="2" t="s">
        <v>148</v>
      </c>
    </row>
    <row r="104" spans="1:22" ht="27" customHeight="1" x14ac:dyDescent="0.3">
      <c r="A104" s="2">
        <v>103</v>
      </c>
      <c r="B104" s="2" t="s">
        <v>5</v>
      </c>
      <c r="C104" s="4">
        <v>45714</v>
      </c>
      <c r="D104" s="4" t="str">
        <f>TEXT(Tabla2[[#This Row],[fecha]],"MMMM")</f>
        <v>Febrero</v>
      </c>
      <c r="E104" s="2" t="s">
        <v>149</v>
      </c>
      <c r="F104" s="2" t="s">
        <v>414</v>
      </c>
      <c r="G104" s="2" t="s">
        <v>58</v>
      </c>
      <c r="H104" s="2" t="s">
        <v>421</v>
      </c>
      <c r="I104" s="2" t="s">
        <v>39</v>
      </c>
      <c r="J104" s="2">
        <v>375</v>
      </c>
      <c r="K104" s="2">
        <v>3344</v>
      </c>
      <c r="L104" s="2">
        <v>3500</v>
      </c>
      <c r="M104" s="4">
        <v>45714</v>
      </c>
      <c r="N104" s="5">
        <v>0</v>
      </c>
      <c r="O104" s="5">
        <v>0</v>
      </c>
      <c r="P104" s="5" t="e">
        <f>IF([1]!Tabla2[[#This Row],[TIEMPO DE ATENCIÓN REALIZADO]]&lt;=[1]!Tabla2[[#This Row],[TIEMPO DE ATENCIÓN ESPERADO]],"Dentro de plazo","Fuera de plazo")</f>
        <v>#REF!</v>
      </c>
      <c r="Q104" s="6">
        <v>4146</v>
      </c>
      <c r="R104" s="2" t="s">
        <v>7</v>
      </c>
      <c r="S104" s="2" t="s">
        <v>424</v>
      </c>
      <c r="T104" s="2" t="s">
        <v>40</v>
      </c>
      <c r="U104" s="2" t="s">
        <v>41</v>
      </c>
      <c r="V104" s="2"/>
    </row>
    <row r="105" spans="1:22" ht="27" customHeight="1" x14ac:dyDescent="0.3">
      <c r="A105" s="2">
        <v>104</v>
      </c>
      <c r="B105" s="2" t="s">
        <v>1</v>
      </c>
      <c r="C105" s="4">
        <v>45715</v>
      </c>
      <c r="D105" s="4" t="str">
        <f>TEXT(Tabla2[[#This Row],[fecha]],"MMMM")</f>
        <v>Febrero</v>
      </c>
      <c r="E105" s="2" t="s">
        <v>150</v>
      </c>
      <c r="F105" s="2" t="s">
        <v>55</v>
      </c>
      <c r="G105" s="2" t="s">
        <v>38</v>
      </c>
      <c r="H105" s="2" t="s">
        <v>421</v>
      </c>
      <c r="I105" s="2" t="s">
        <v>429</v>
      </c>
      <c r="J105" s="2" t="s">
        <v>19</v>
      </c>
      <c r="K105" s="2" t="s">
        <v>19</v>
      </c>
      <c r="L105" s="2">
        <v>3502</v>
      </c>
      <c r="M105" s="4">
        <v>45715</v>
      </c>
      <c r="N105" s="5">
        <v>0</v>
      </c>
      <c r="O105" s="5">
        <v>0</v>
      </c>
      <c r="P105" s="5" t="e">
        <f>IF([1]!Tabla2[[#This Row],[TIEMPO DE ATENCIÓN REALIZADO]]&lt;=[1]!Tabla2[[#This Row],[TIEMPO DE ATENCIÓN ESPERADO]],"Dentro de plazo","Fuera de plazo")</f>
        <v>#REF!</v>
      </c>
      <c r="Q105" s="6"/>
      <c r="R105" s="2"/>
      <c r="S105" s="2" t="s">
        <v>425</v>
      </c>
      <c r="T105" s="2" t="s">
        <v>40</v>
      </c>
      <c r="U105" s="2"/>
      <c r="V105" s="2"/>
    </row>
    <row r="106" spans="1:22" ht="27" customHeight="1" x14ac:dyDescent="0.3">
      <c r="A106" s="2">
        <v>105</v>
      </c>
      <c r="B106" s="2" t="s">
        <v>5</v>
      </c>
      <c r="C106" s="4">
        <v>45716</v>
      </c>
      <c r="D106" s="4" t="str">
        <f>TEXT(Tabla2[[#This Row],[fecha]],"MMMM")</f>
        <v>Febrero</v>
      </c>
      <c r="E106" s="2" t="s">
        <v>151</v>
      </c>
      <c r="F106" s="2" t="s">
        <v>414</v>
      </c>
      <c r="G106" s="2" t="s">
        <v>58</v>
      </c>
      <c r="H106" s="2" t="s">
        <v>60</v>
      </c>
      <c r="I106" s="2" t="s">
        <v>39</v>
      </c>
      <c r="J106" s="2">
        <v>374</v>
      </c>
      <c r="K106" s="2">
        <v>3347</v>
      </c>
      <c r="L106" s="2">
        <v>3503</v>
      </c>
      <c r="M106" s="4">
        <v>45716</v>
      </c>
      <c r="N106" s="5">
        <v>0</v>
      </c>
      <c r="O106" s="5">
        <v>0</v>
      </c>
      <c r="P106" s="5" t="e">
        <f>IF([1]!Tabla2[[#This Row],[TIEMPO DE ATENCIÓN REALIZADO]]&lt;=[1]!Tabla2[[#This Row],[TIEMPO DE ATENCIÓN ESPERADO]],"Dentro de plazo","Fuera de plazo")</f>
        <v>#REF!</v>
      </c>
      <c r="Q106" s="6">
        <v>7019.36</v>
      </c>
      <c r="R106" s="2" t="s">
        <v>13</v>
      </c>
      <c r="S106" s="2" t="s">
        <v>424</v>
      </c>
      <c r="T106" s="2" t="s">
        <v>40</v>
      </c>
      <c r="U106" s="2" t="s">
        <v>41</v>
      </c>
      <c r="V106" s="2"/>
    </row>
    <row r="107" spans="1:22" ht="27" customHeight="1" x14ac:dyDescent="0.3">
      <c r="A107" s="2">
        <v>106</v>
      </c>
      <c r="B107" s="2" t="s">
        <v>62</v>
      </c>
      <c r="C107" s="4">
        <v>45716</v>
      </c>
      <c r="D107" s="4" t="str">
        <f>TEXT(Tabla2[[#This Row],[fecha]],"MMMM")</f>
        <v>Febrero</v>
      </c>
      <c r="E107" s="2" t="s">
        <v>51</v>
      </c>
      <c r="F107" s="2" t="s">
        <v>72</v>
      </c>
      <c r="G107" s="2" t="s">
        <v>38</v>
      </c>
      <c r="H107" s="2" t="s">
        <v>421</v>
      </c>
      <c r="I107" s="2" t="s">
        <v>52</v>
      </c>
      <c r="J107" s="2">
        <v>359</v>
      </c>
      <c r="K107" s="2">
        <v>3319</v>
      </c>
      <c r="L107" s="2">
        <v>3504</v>
      </c>
      <c r="M107" s="4">
        <v>45716</v>
      </c>
      <c r="N107" s="5">
        <v>0</v>
      </c>
      <c r="O107" s="5">
        <v>0</v>
      </c>
      <c r="P107" s="5" t="e">
        <f>IF([1]!Tabla2[[#This Row],[TIEMPO DE ATENCIÓN REALIZADO]]&lt;=[1]!Tabla2[[#This Row],[TIEMPO DE ATENCIÓN ESPERADO]],"Dentro de plazo","Fuera de plazo")</f>
        <v>#REF!</v>
      </c>
      <c r="Q107" s="6">
        <v>8432.44</v>
      </c>
      <c r="R107" s="2" t="s">
        <v>45</v>
      </c>
      <c r="S107" s="2" t="s">
        <v>427</v>
      </c>
      <c r="T107" s="2" t="s">
        <v>40</v>
      </c>
      <c r="U107" s="2" t="s">
        <v>53</v>
      </c>
      <c r="V107" s="2" t="s">
        <v>152</v>
      </c>
    </row>
    <row r="108" spans="1:22" ht="27" customHeight="1" x14ac:dyDescent="0.3">
      <c r="A108" s="2">
        <v>107</v>
      </c>
      <c r="B108" s="2" t="s">
        <v>62</v>
      </c>
      <c r="C108" s="4">
        <v>45719</v>
      </c>
      <c r="D108" s="4" t="str">
        <f>TEXT(Tabla2[[#This Row],[fecha]],"MMMM")</f>
        <v>Marzo</v>
      </c>
      <c r="E108" s="2" t="s">
        <v>51</v>
      </c>
      <c r="F108" s="2" t="s">
        <v>72</v>
      </c>
      <c r="G108" s="2" t="s">
        <v>38</v>
      </c>
      <c r="H108" s="2" t="s">
        <v>421</v>
      </c>
      <c r="I108" s="2" t="s">
        <v>52</v>
      </c>
      <c r="J108" s="2">
        <v>376</v>
      </c>
      <c r="K108" s="2">
        <v>3349</v>
      </c>
      <c r="L108" s="2">
        <v>3504</v>
      </c>
      <c r="M108" s="4">
        <v>45719</v>
      </c>
      <c r="N108" s="5">
        <v>0</v>
      </c>
      <c r="O108" s="5">
        <v>0</v>
      </c>
      <c r="P108" s="5" t="e">
        <f>IF([1]!Tabla2[[#This Row],[TIEMPO DE ATENCIÓN REALIZADO]]&lt;=[1]!Tabla2[[#This Row],[TIEMPO DE ATENCIÓN ESPERADO]],"Dentro de plazo","Fuera de plazo")</f>
        <v>#REF!</v>
      </c>
      <c r="Q108" s="6">
        <v>8101.92</v>
      </c>
      <c r="R108" s="2" t="s">
        <v>45</v>
      </c>
      <c r="S108" s="2" t="s">
        <v>427</v>
      </c>
      <c r="T108" s="2" t="s">
        <v>40</v>
      </c>
      <c r="U108" s="2" t="s">
        <v>53</v>
      </c>
      <c r="V108" s="2" t="s">
        <v>152</v>
      </c>
    </row>
    <row r="109" spans="1:22" ht="27" customHeight="1" x14ac:dyDescent="0.3">
      <c r="A109" s="2">
        <v>108</v>
      </c>
      <c r="B109" s="2" t="s">
        <v>62</v>
      </c>
      <c r="C109" s="4">
        <v>45719</v>
      </c>
      <c r="D109" s="4" t="str">
        <f>TEXT(Tabla2[[#This Row],[fecha]],"MMMM")</f>
        <v>Marzo</v>
      </c>
      <c r="E109" s="2" t="s">
        <v>10</v>
      </c>
      <c r="F109" s="2" t="s">
        <v>55</v>
      </c>
      <c r="G109" s="2" t="s">
        <v>44</v>
      </c>
      <c r="H109" s="2" t="s">
        <v>421</v>
      </c>
      <c r="I109" s="2" t="s">
        <v>68</v>
      </c>
      <c r="J109" s="2"/>
      <c r="K109" s="2"/>
      <c r="L109" s="2">
        <v>3505</v>
      </c>
      <c r="M109" s="4">
        <v>45719</v>
      </c>
      <c r="N109" s="5">
        <v>0</v>
      </c>
      <c r="O109" s="5">
        <v>0</v>
      </c>
      <c r="P109" s="5" t="e">
        <f>IF([1]!Tabla2[[#This Row],[TIEMPO DE ATENCIÓN REALIZADO]]&lt;=[1]!Tabla2[[#This Row],[TIEMPO DE ATENCIÓN ESPERADO]],"Dentro de plazo","Fuera de plazo")</f>
        <v>#REF!</v>
      </c>
      <c r="Q109" s="6"/>
      <c r="R109" s="2"/>
      <c r="S109" s="2" t="s">
        <v>424</v>
      </c>
      <c r="T109" s="2" t="s">
        <v>46</v>
      </c>
      <c r="U109" s="2"/>
      <c r="V109" s="2"/>
    </row>
    <row r="110" spans="1:22" ht="27" customHeight="1" x14ac:dyDescent="0.3">
      <c r="A110" s="2">
        <v>109</v>
      </c>
      <c r="B110" s="2" t="s">
        <v>62</v>
      </c>
      <c r="C110" s="4">
        <v>45719</v>
      </c>
      <c r="D110" s="4" t="str">
        <f>TEXT(Tabla2[[#This Row],[fecha]],"MMMM")</f>
        <v>Marzo</v>
      </c>
      <c r="E110" s="2" t="s">
        <v>51</v>
      </c>
      <c r="F110" s="2" t="s">
        <v>72</v>
      </c>
      <c r="G110" s="2" t="s">
        <v>38</v>
      </c>
      <c r="H110" s="2" t="s">
        <v>421</v>
      </c>
      <c r="I110" s="2" t="s">
        <v>52</v>
      </c>
      <c r="J110" s="2">
        <v>376</v>
      </c>
      <c r="K110" s="2">
        <v>3350</v>
      </c>
      <c r="L110" s="2">
        <v>3506</v>
      </c>
      <c r="M110" s="4">
        <v>45720</v>
      </c>
      <c r="N110" s="5">
        <v>1</v>
      </c>
      <c r="O110" s="5">
        <v>1</v>
      </c>
      <c r="P110" s="5" t="e">
        <f>IF([1]!Tabla2[[#This Row],[TIEMPO DE ATENCIÓN REALIZADO]]&lt;=[1]!Tabla2[[#This Row],[TIEMPO DE ATENCIÓN ESPERADO]],"Dentro de plazo","Fuera de plazo")</f>
        <v>#REF!</v>
      </c>
      <c r="Q110" s="6">
        <v>6551.92</v>
      </c>
      <c r="R110" s="2" t="s">
        <v>45</v>
      </c>
      <c r="S110" s="2" t="s">
        <v>424</v>
      </c>
      <c r="T110" s="2" t="s">
        <v>46</v>
      </c>
      <c r="U110" s="2" t="s">
        <v>53</v>
      </c>
      <c r="V110" s="2" t="s">
        <v>153</v>
      </c>
    </row>
    <row r="111" spans="1:22" ht="27" customHeight="1" x14ac:dyDescent="0.3">
      <c r="A111" s="2">
        <v>110</v>
      </c>
      <c r="B111" s="2" t="s">
        <v>1</v>
      </c>
      <c r="C111" s="4">
        <v>45719</v>
      </c>
      <c r="D111" s="4" t="str">
        <f>TEXT(Tabla2[[#This Row],[fecha]],"MMMM")</f>
        <v>Marzo</v>
      </c>
      <c r="E111" s="2" t="s">
        <v>154</v>
      </c>
      <c r="F111" s="2" t="s">
        <v>72</v>
      </c>
      <c r="G111" s="2" t="s">
        <v>38</v>
      </c>
      <c r="H111" s="2" t="s">
        <v>421</v>
      </c>
      <c r="I111" s="2" t="s">
        <v>39</v>
      </c>
      <c r="J111" s="2"/>
      <c r="K111" s="2"/>
      <c r="L111" s="2">
        <v>3507</v>
      </c>
      <c r="M111" s="4">
        <v>45722</v>
      </c>
      <c r="N111" s="5">
        <v>3</v>
      </c>
      <c r="O111" s="5">
        <v>3</v>
      </c>
      <c r="P111" s="5" t="e">
        <f>IF([1]!Tabla2[[#This Row],[TIEMPO DE ATENCIÓN REALIZADO]]&lt;=[1]!Tabla2[[#This Row],[TIEMPO DE ATENCIÓN ESPERADO]],"Dentro de plazo","Fuera de plazo")</f>
        <v>#REF!</v>
      </c>
      <c r="Q111" s="6">
        <v>2651.4</v>
      </c>
      <c r="R111" s="2" t="s">
        <v>9</v>
      </c>
      <c r="S111" s="2" t="s">
        <v>424</v>
      </c>
      <c r="T111" s="2" t="s">
        <v>46</v>
      </c>
      <c r="U111" s="2" t="s">
        <v>41</v>
      </c>
      <c r="V111" s="2" t="s">
        <v>155</v>
      </c>
    </row>
    <row r="112" spans="1:22" ht="27" customHeight="1" x14ac:dyDescent="0.3">
      <c r="A112" s="2">
        <v>111</v>
      </c>
      <c r="B112" s="2" t="s">
        <v>5</v>
      </c>
      <c r="C112" s="4">
        <v>45721</v>
      </c>
      <c r="D112" s="4" t="str">
        <f>TEXT(Tabla2[[#This Row],[fecha]],"MMMM")</f>
        <v>Marzo</v>
      </c>
      <c r="E112" s="2" t="s">
        <v>156</v>
      </c>
      <c r="F112" s="2" t="s">
        <v>82</v>
      </c>
      <c r="G112" s="2" t="s">
        <v>38</v>
      </c>
      <c r="H112" s="2" t="s">
        <v>421</v>
      </c>
      <c r="I112" s="2" t="s">
        <v>39</v>
      </c>
      <c r="J112" s="2">
        <v>377</v>
      </c>
      <c r="K112" s="2">
        <v>3351</v>
      </c>
      <c r="L112" s="2">
        <v>3508</v>
      </c>
      <c r="M112" s="4">
        <v>45721</v>
      </c>
      <c r="N112" s="5">
        <v>0</v>
      </c>
      <c r="O112" s="5">
        <v>0</v>
      </c>
      <c r="P112" s="5" t="e">
        <f>IF([1]!Tabla2[[#This Row],[TIEMPO DE ATENCIÓN REALIZADO]]&lt;=[1]!Tabla2[[#This Row],[TIEMPO DE ATENCIÓN ESPERADO]],"Dentro de plazo","Fuera de plazo")</f>
        <v>#REF!</v>
      </c>
      <c r="Q112" s="6">
        <v>1120</v>
      </c>
      <c r="R112" s="2" t="s">
        <v>45</v>
      </c>
      <c r="S112" s="2" t="s">
        <v>425</v>
      </c>
      <c r="T112" s="2" t="s">
        <v>40</v>
      </c>
      <c r="U112" s="2" t="s">
        <v>53</v>
      </c>
      <c r="V112" s="2"/>
    </row>
    <row r="113" spans="1:22" ht="27" customHeight="1" x14ac:dyDescent="0.3">
      <c r="A113" s="2">
        <v>112</v>
      </c>
      <c r="B113" s="2" t="s">
        <v>1</v>
      </c>
      <c r="C113" s="4">
        <v>45719</v>
      </c>
      <c r="D113" s="4" t="str">
        <f>TEXT(Tabla2[[#This Row],[fecha]],"MMMM")</f>
        <v>Marzo</v>
      </c>
      <c r="E113" s="2" t="s">
        <v>154</v>
      </c>
      <c r="F113" s="2" t="s">
        <v>82</v>
      </c>
      <c r="G113" s="2" t="s">
        <v>38</v>
      </c>
      <c r="H113" s="2" t="s">
        <v>421</v>
      </c>
      <c r="I113" s="2" t="s">
        <v>39</v>
      </c>
      <c r="J113" s="2"/>
      <c r="K113" s="2"/>
      <c r="L113" s="2">
        <v>3509</v>
      </c>
      <c r="M113" s="4">
        <v>45721</v>
      </c>
      <c r="N113" s="5">
        <v>2</v>
      </c>
      <c r="O113" s="5">
        <v>2</v>
      </c>
      <c r="P113" s="5" t="e">
        <f>IF([1]!Tabla2[[#This Row],[TIEMPO DE ATENCIÓN REALIZADO]]&lt;=[1]!Tabla2[[#This Row],[TIEMPO DE ATENCIÓN ESPERADO]],"Dentro de plazo","Fuera de plazo")</f>
        <v>#REF!</v>
      </c>
      <c r="Q113" s="6">
        <v>5340.6</v>
      </c>
      <c r="R113" s="2" t="s">
        <v>9</v>
      </c>
      <c r="S113" s="2" t="s">
        <v>424</v>
      </c>
      <c r="T113" s="2" t="s">
        <v>46</v>
      </c>
      <c r="U113" s="2" t="s">
        <v>41</v>
      </c>
      <c r="V113" s="2" t="s">
        <v>155</v>
      </c>
    </row>
    <row r="114" spans="1:22" ht="27" customHeight="1" x14ac:dyDescent="0.3">
      <c r="A114" s="2">
        <v>113</v>
      </c>
      <c r="B114" s="2" t="s">
        <v>5</v>
      </c>
      <c r="C114" s="4">
        <v>45721</v>
      </c>
      <c r="D114" s="4" t="str">
        <f>TEXT(Tabla2[[#This Row],[fecha]],"MMMM")</f>
        <v>Marzo</v>
      </c>
      <c r="E114" s="2" t="s">
        <v>157</v>
      </c>
      <c r="F114" s="2" t="s">
        <v>415</v>
      </c>
      <c r="G114" s="2" t="s">
        <v>38</v>
      </c>
      <c r="H114" s="2" t="s">
        <v>421</v>
      </c>
      <c r="I114" s="2" t="s">
        <v>39</v>
      </c>
      <c r="J114" s="2">
        <v>378</v>
      </c>
      <c r="K114" s="2">
        <v>3348</v>
      </c>
      <c r="L114" s="2">
        <v>3510</v>
      </c>
      <c r="M114" s="4">
        <v>45721</v>
      </c>
      <c r="N114" s="5">
        <v>0</v>
      </c>
      <c r="O114" s="5">
        <v>0</v>
      </c>
      <c r="P114" s="5" t="e">
        <f>IF([1]!Tabla2[[#This Row],[TIEMPO DE ATENCIÓN REALIZADO]]&lt;=[1]!Tabla2[[#This Row],[TIEMPO DE ATENCIÓN ESPERADO]],"Dentro de plazo","Fuera de plazo")</f>
        <v>#REF!</v>
      </c>
      <c r="Q114" s="6">
        <v>4026.6</v>
      </c>
      <c r="R114" s="2" t="s">
        <v>45</v>
      </c>
      <c r="S114" s="2" t="s">
        <v>424</v>
      </c>
      <c r="T114" s="2" t="s">
        <v>46</v>
      </c>
      <c r="U114" s="2" t="s">
        <v>41</v>
      </c>
      <c r="V114" s="2"/>
    </row>
    <row r="115" spans="1:22" ht="27" customHeight="1" x14ac:dyDescent="0.3">
      <c r="A115" s="2">
        <v>114</v>
      </c>
      <c r="B115" s="2" t="s">
        <v>62</v>
      </c>
      <c r="C115" s="4">
        <v>45721</v>
      </c>
      <c r="D115" s="4" t="str">
        <f>TEXT(Tabla2[[#This Row],[fecha]],"MMMM")</f>
        <v>Marzo</v>
      </c>
      <c r="E115" s="2" t="s">
        <v>158</v>
      </c>
      <c r="F115" s="2" t="s">
        <v>132</v>
      </c>
      <c r="G115" s="2" t="s">
        <v>44</v>
      </c>
      <c r="H115" s="2" t="s">
        <v>421</v>
      </c>
      <c r="I115" s="2" t="s">
        <v>90</v>
      </c>
      <c r="J115" s="2">
        <v>379</v>
      </c>
      <c r="K115" s="2">
        <v>3352</v>
      </c>
      <c r="L115" s="2">
        <v>3511</v>
      </c>
      <c r="M115" s="4">
        <v>45721</v>
      </c>
      <c r="N115" s="5">
        <v>0</v>
      </c>
      <c r="O115" s="5">
        <v>0</v>
      </c>
      <c r="P115" s="5" t="e">
        <f>IF([1]!Tabla2[[#This Row],[TIEMPO DE ATENCIÓN REALIZADO]]&lt;=[1]!Tabla2[[#This Row],[TIEMPO DE ATENCIÓN ESPERADO]],"Dentro de plazo","Fuera de plazo")</f>
        <v>#REF!</v>
      </c>
      <c r="Q115" s="6">
        <v>675.7</v>
      </c>
      <c r="R115" s="2" t="s">
        <v>9</v>
      </c>
      <c r="S115" s="2" t="s">
        <v>425</v>
      </c>
      <c r="T115" s="2" t="s">
        <v>40</v>
      </c>
      <c r="U115" s="2" t="s">
        <v>53</v>
      </c>
      <c r="V115" s="2" t="s">
        <v>159</v>
      </c>
    </row>
    <row r="116" spans="1:22" ht="27" customHeight="1" x14ac:dyDescent="0.3">
      <c r="A116" s="2">
        <v>115</v>
      </c>
      <c r="B116" s="2" t="s">
        <v>1</v>
      </c>
      <c r="C116" s="4">
        <v>45719</v>
      </c>
      <c r="D116" s="4" t="str">
        <f>TEXT(Tabla2[[#This Row],[fecha]],"MMMM")</f>
        <v>Marzo</v>
      </c>
      <c r="E116" s="2" t="s">
        <v>154</v>
      </c>
      <c r="F116" s="2" t="s">
        <v>55</v>
      </c>
      <c r="G116" s="2" t="s">
        <v>38</v>
      </c>
      <c r="H116" s="2" t="s">
        <v>421</v>
      </c>
      <c r="I116" s="2" t="s">
        <v>39</v>
      </c>
      <c r="J116" s="2"/>
      <c r="K116" s="2"/>
      <c r="L116" s="2">
        <v>3512</v>
      </c>
      <c r="M116" s="4">
        <v>45722</v>
      </c>
      <c r="N116" s="5">
        <v>3</v>
      </c>
      <c r="O116" s="5">
        <v>3</v>
      </c>
      <c r="P116" s="5" t="e">
        <f>IF([1]!Tabla2[[#This Row],[TIEMPO DE ATENCIÓN REALIZADO]]&lt;=[1]!Tabla2[[#This Row],[TIEMPO DE ATENCIÓN ESPERADO]],"Dentro de plazo","Fuera de plazo")</f>
        <v>#REF!</v>
      </c>
      <c r="Q116" s="6"/>
      <c r="R116" s="2" t="s">
        <v>9</v>
      </c>
      <c r="S116" s="2" t="s">
        <v>424</v>
      </c>
      <c r="T116" s="2" t="s">
        <v>46</v>
      </c>
      <c r="U116" s="2" t="s">
        <v>41</v>
      </c>
      <c r="V116" s="2" t="s">
        <v>155</v>
      </c>
    </row>
    <row r="117" spans="1:22" ht="27" customHeight="1" x14ac:dyDescent="0.3">
      <c r="A117" s="2">
        <v>116</v>
      </c>
      <c r="B117" s="2" t="s">
        <v>5</v>
      </c>
      <c r="C117" s="4">
        <v>45721</v>
      </c>
      <c r="D117" s="4" t="str">
        <f>TEXT(Tabla2[[#This Row],[fecha]],"MMMM")</f>
        <v>Marzo</v>
      </c>
      <c r="E117" s="2" t="s">
        <v>160</v>
      </c>
      <c r="F117" s="2" t="s">
        <v>418</v>
      </c>
      <c r="G117" s="2" t="s">
        <v>38</v>
      </c>
      <c r="H117" s="2" t="s">
        <v>60</v>
      </c>
      <c r="I117" s="2" t="s">
        <v>80</v>
      </c>
      <c r="J117" s="2"/>
      <c r="K117" s="2"/>
      <c r="L117" s="2">
        <v>3513</v>
      </c>
      <c r="M117" s="4">
        <v>45722</v>
      </c>
      <c r="N117" s="5">
        <v>1</v>
      </c>
      <c r="O117" s="5">
        <v>1</v>
      </c>
      <c r="P117" s="5" t="e">
        <f>IF([1]!Tabla2[[#This Row],[TIEMPO DE ATENCIÓN REALIZADO]]&lt;=[1]!Tabla2[[#This Row],[TIEMPO DE ATENCIÓN ESPERADO]],"Dentro de plazo","Fuera de plazo")</f>
        <v>#REF!</v>
      </c>
      <c r="Q117" s="6">
        <v>3482.3</v>
      </c>
      <c r="R117" s="2" t="s">
        <v>13</v>
      </c>
      <c r="S117" s="2" t="s">
        <v>424</v>
      </c>
      <c r="T117" s="2" t="s">
        <v>40</v>
      </c>
      <c r="U117" s="2" t="s">
        <v>41</v>
      </c>
      <c r="V117" s="2" t="s">
        <v>161</v>
      </c>
    </row>
    <row r="118" spans="1:22" ht="27" customHeight="1" x14ac:dyDescent="0.3">
      <c r="A118" s="2">
        <v>117</v>
      </c>
      <c r="B118" s="2" t="s">
        <v>62</v>
      </c>
      <c r="C118" s="4">
        <v>45723</v>
      </c>
      <c r="D118" s="4" t="str">
        <f>TEXT(Tabla2[[#This Row],[fecha]],"MMMM")</f>
        <v>Marzo</v>
      </c>
      <c r="E118" s="2" t="s">
        <v>162</v>
      </c>
      <c r="F118" s="2" t="s">
        <v>415</v>
      </c>
      <c r="G118" s="2" t="s">
        <v>38</v>
      </c>
      <c r="H118" s="2" t="s">
        <v>421</v>
      </c>
      <c r="I118" s="2" t="s">
        <v>68</v>
      </c>
      <c r="J118" s="2">
        <v>380</v>
      </c>
      <c r="K118" s="2">
        <v>3356</v>
      </c>
      <c r="L118" s="2">
        <v>3514</v>
      </c>
      <c r="M118" s="4">
        <v>45723</v>
      </c>
      <c r="N118" s="5">
        <v>0</v>
      </c>
      <c r="O118" s="5">
        <v>0</v>
      </c>
      <c r="P118" s="5" t="e">
        <f>IF([1]!Tabla2[[#This Row],[TIEMPO DE ATENCIÓN REALIZADO]]&lt;=[1]!Tabla2[[#This Row],[TIEMPO DE ATENCIÓN ESPERADO]],"Dentro de plazo","Fuera de plazo")</f>
        <v>#REF!</v>
      </c>
      <c r="Q118" s="6">
        <v>120</v>
      </c>
      <c r="R118" s="2" t="s">
        <v>4</v>
      </c>
      <c r="S118" s="2" t="s">
        <v>425</v>
      </c>
      <c r="T118" s="2" t="s">
        <v>40</v>
      </c>
      <c r="U118" s="2" t="s">
        <v>53</v>
      </c>
      <c r="V118" s="2" t="s">
        <v>163</v>
      </c>
    </row>
    <row r="119" spans="1:22" ht="27" customHeight="1" x14ac:dyDescent="0.3">
      <c r="A119" s="2">
        <v>118</v>
      </c>
      <c r="B119" s="2" t="s">
        <v>5</v>
      </c>
      <c r="C119" s="4">
        <v>45723</v>
      </c>
      <c r="D119" s="4" t="str">
        <f>TEXT(Tabla2[[#This Row],[fecha]],"MMMM")</f>
        <v>Marzo</v>
      </c>
      <c r="E119" s="2" t="s">
        <v>134</v>
      </c>
      <c r="F119" s="2" t="s">
        <v>415</v>
      </c>
      <c r="G119" s="2" t="s">
        <v>38</v>
      </c>
      <c r="H119" s="2" t="s">
        <v>60</v>
      </c>
      <c r="I119" s="2" t="s">
        <v>39</v>
      </c>
      <c r="J119" s="2">
        <v>372</v>
      </c>
      <c r="K119" s="2">
        <v>3354</v>
      </c>
      <c r="L119" s="2">
        <v>3515</v>
      </c>
      <c r="M119" s="4">
        <v>45723</v>
      </c>
      <c r="N119" s="5">
        <v>0</v>
      </c>
      <c r="O119" s="5">
        <v>0</v>
      </c>
      <c r="P119" s="5" t="e">
        <f>IF([1]!Tabla2[[#This Row],[TIEMPO DE ATENCIÓN REALIZADO]]&lt;=[1]!Tabla2[[#This Row],[TIEMPO DE ATENCIÓN ESPERADO]],"Dentro de plazo","Fuera de plazo")</f>
        <v>#REF!</v>
      </c>
      <c r="Q119" s="6">
        <v>15724</v>
      </c>
      <c r="R119" s="2" t="s">
        <v>45</v>
      </c>
      <c r="S119" s="2" t="s">
        <v>427</v>
      </c>
      <c r="T119" s="2" t="s">
        <v>40</v>
      </c>
      <c r="U119" s="2" t="s">
        <v>41</v>
      </c>
      <c r="V119" s="2"/>
    </row>
    <row r="120" spans="1:22" ht="27" customHeight="1" x14ac:dyDescent="0.3">
      <c r="A120" s="2">
        <v>119</v>
      </c>
      <c r="B120" s="2" t="s">
        <v>5</v>
      </c>
      <c r="C120" s="4">
        <v>45723</v>
      </c>
      <c r="D120" s="4" t="str">
        <f>TEXT(Tabla2[[#This Row],[fecha]],"MMMM")</f>
        <v>Marzo</v>
      </c>
      <c r="E120" s="2" t="s">
        <v>151</v>
      </c>
      <c r="F120" s="2" t="s">
        <v>414</v>
      </c>
      <c r="G120" s="2" t="s">
        <v>38</v>
      </c>
      <c r="H120" s="2" t="s">
        <v>60</v>
      </c>
      <c r="I120" s="2" t="s">
        <v>39</v>
      </c>
      <c r="J120" s="2">
        <v>355</v>
      </c>
      <c r="K120" s="2">
        <v>3355</v>
      </c>
      <c r="L120" s="2">
        <v>3516</v>
      </c>
      <c r="M120" s="4">
        <v>45723</v>
      </c>
      <c r="N120" s="5">
        <v>0</v>
      </c>
      <c r="O120" s="5">
        <v>0</v>
      </c>
      <c r="P120" s="5" t="e">
        <f>IF([1]!Tabla2[[#This Row],[TIEMPO DE ATENCIÓN REALIZADO]]&lt;=[1]!Tabla2[[#This Row],[TIEMPO DE ATENCIÓN ESPERADO]],"Dentro de plazo","Fuera de plazo")</f>
        <v>#REF!</v>
      </c>
      <c r="Q120" s="6">
        <v>6752.52</v>
      </c>
      <c r="R120" s="2" t="s">
        <v>13</v>
      </c>
      <c r="S120" s="2" t="s">
        <v>424</v>
      </c>
      <c r="T120" s="2" t="s">
        <v>40</v>
      </c>
      <c r="U120" s="2" t="s">
        <v>41</v>
      </c>
      <c r="V120" s="2"/>
    </row>
    <row r="121" spans="1:22" ht="27" customHeight="1" x14ac:dyDescent="0.3">
      <c r="A121" s="2">
        <v>120</v>
      </c>
      <c r="B121" s="2" t="s">
        <v>5</v>
      </c>
      <c r="C121" s="4">
        <v>45726</v>
      </c>
      <c r="D121" s="4" t="str">
        <f>TEXT(Tabla2[[#This Row],[fecha]],"MMMM")</f>
        <v>Marzo</v>
      </c>
      <c r="E121" s="2" t="s">
        <v>150</v>
      </c>
      <c r="F121" s="2" t="s">
        <v>415</v>
      </c>
      <c r="G121" s="2" t="s">
        <v>38</v>
      </c>
      <c r="H121" s="2" t="s">
        <v>421</v>
      </c>
      <c r="I121" s="2" t="s">
        <v>429</v>
      </c>
      <c r="J121" s="2">
        <v>386</v>
      </c>
      <c r="K121" s="2">
        <v>3362</v>
      </c>
      <c r="L121" s="2">
        <v>3517</v>
      </c>
      <c r="M121" s="4">
        <v>45729</v>
      </c>
      <c r="N121" s="5">
        <v>3</v>
      </c>
      <c r="O121" s="5">
        <v>3</v>
      </c>
      <c r="P121" s="5" t="e">
        <f>IF([1]!Tabla2[[#This Row],[TIEMPO DE ATENCIÓN REALIZADO]]&lt;=[1]!Tabla2[[#This Row],[TIEMPO DE ATENCIÓN ESPERADO]],"Dentro de plazo","Fuera de plazo")</f>
        <v>#REF!</v>
      </c>
      <c r="Q121" s="6">
        <v>7977.57</v>
      </c>
      <c r="R121" s="2" t="s">
        <v>45</v>
      </c>
      <c r="S121" s="2" t="s">
        <v>424</v>
      </c>
      <c r="T121" s="2" t="s">
        <v>40</v>
      </c>
      <c r="U121" s="2" t="s">
        <v>41</v>
      </c>
      <c r="V121" s="2"/>
    </row>
    <row r="122" spans="1:22" ht="27" customHeight="1" x14ac:dyDescent="0.3">
      <c r="A122" s="2">
        <v>121</v>
      </c>
      <c r="B122" s="2" t="s">
        <v>5</v>
      </c>
      <c r="C122" s="4">
        <v>45723</v>
      </c>
      <c r="D122" s="4" t="str">
        <f>TEXT(Tabla2[[#This Row],[fecha]],"MMMM")</f>
        <v>Marzo</v>
      </c>
      <c r="E122" s="2" t="s">
        <v>134</v>
      </c>
      <c r="F122" s="2" t="s">
        <v>415</v>
      </c>
      <c r="G122" s="2" t="s">
        <v>38</v>
      </c>
      <c r="H122" s="2" t="s">
        <v>60</v>
      </c>
      <c r="I122" s="2" t="s">
        <v>39</v>
      </c>
      <c r="J122" s="2">
        <v>380</v>
      </c>
      <c r="K122" s="2">
        <v>3360</v>
      </c>
      <c r="L122" s="2">
        <v>3518</v>
      </c>
      <c r="M122" s="4">
        <v>45727</v>
      </c>
      <c r="N122" s="5">
        <v>4</v>
      </c>
      <c r="O122" s="5">
        <v>4</v>
      </c>
      <c r="P122" s="5" t="e">
        <f>IF([1]!Tabla2[[#This Row],[TIEMPO DE ATENCIÓN REALIZADO]]&lt;=[1]!Tabla2[[#This Row],[TIEMPO DE ATENCIÓN ESPERADO]],"Dentro de plazo","Fuera de plazo")</f>
        <v>#REF!</v>
      </c>
      <c r="Q122" s="6">
        <v>1390</v>
      </c>
      <c r="R122" s="2" t="s">
        <v>15</v>
      </c>
      <c r="S122" s="2" t="s">
        <v>425</v>
      </c>
      <c r="T122" s="2" t="s">
        <v>40</v>
      </c>
      <c r="U122" s="2" t="s">
        <v>41</v>
      </c>
      <c r="V122" s="2"/>
    </row>
    <row r="123" spans="1:22" ht="27" customHeight="1" x14ac:dyDescent="0.3">
      <c r="A123" s="2">
        <v>122</v>
      </c>
      <c r="B123" s="2" t="s">
        <v>1</v>
      </c>
      <c r="C123" s="4">
        <v>45726</v>
      </c>
      <c r="D123" s="4" t="str">
        <f>TEXT(Tabla2[[#This Row],[fecha]],"MMMM")</f>
        <v>Marzo</v>
      </c>
      <c r="E123" s="2" t="s">
        <v>164</v>
      </c>
      <c r="F123" s="2" t="s">
        <v>55</v>
      </c>
      <c r="G123" s="2" t="s">
        <v>38</v>
      </c>
      <c r="H123" s="2"/>
      <c r="I123" s="2" t="s">
        <v>39</v>
      </c>
      <c r="J123" s="2"/>
      <c r="K123" s="2"/>
      <c r="L123" s="2">
        <v>3519</v>
      </c>
      <c r="M123" s="4">
        <v>45726</v>
      </c>
      <c r="N123" s="5">
        <v>0</v>
      </c>
      <c r="O123" s="5">
        <v>0</v>
      </c>
      <c r="P123" s="5" t="e">
        <f>IF([1]!Tabla2[[#This Row],[TIEMPO DE ATENCIÓN REALIZADO]]&lt;=[1]!Tabla2[[#This Row],[TIEMPO DE ATENCIÓN ESPERADO]],"Dentro de plazo","Fuera de plazo")</f>
        <v>#REF!</v>
      </c>
      <c r="Q123" s="6"/>
      <c r="R123" s="2"/>
      <c r="S123" s="2" t="s">
        <v>424</v>
      </c>
      <c r="T123" s="2" t="s">
        <v>46</v>
      </c>
      <c r="U123" s="2"/>
      <c r="V123" s="2"/>
    </row>
    <row r="124" spans="1:22" ht="27" customHeight="1" x14ac:dyDescent="0.3">
      <c r="A124" s="2">
        <v>123</v>
      </c>
      <c r="B124" s="2" t="s">
        <v>62</v>
      </c>
      <c r="C124" s="4">
        <v>45726</v>
      </c>
      <c r="D124" s="4" t="str">
        <f>TEXT(Tabla2[[#This Row],[fecha]],"MMMM")</f>
        <v>Marzo</v>
      </c>
      <c r="E124" s="2" t="s">
        <v>51</v>
      </c>
      <c r="F124" s="2" t="s">
        <v>415</v>
      </c>
      <c r="G124" s="2" t="s">
        <v>38</v>
      </c>
      <c r="H124" s="2" t="s">
        <v>421</v>
      </c>
      <c r="I124" s="2" t="s">
        <v>52</v>
      </c>
      <c r="J124" s="2">
        <v>381</v>
      </c>
      <c r="K124" s="2">
        <v>3358</v>
      </c>
      <c r="L124" s="2">
        <v>3520</v>
      </c>
      <c r="M124" s="4">
        <v>45726</v>
      </c>
      <c r="N124" s="5">
        <v>0</v>
      </c>
      <c r="O124" s="5">
        <v>0</v>
      </c>
      <c r="P124" s="5" t="e">
        <f>IF([1]!Tabla2[[#This Row],[TIEMPO DE ATENCIÓN REALIZADO]]&lt;=[1]!Tabla2[[#This Row],[TIEMPO DE ATENCIÓN ESPERADO]],"Dentro de plazo","Fuera de plazo")</f>
        <v>#REF!</v>
      </c>
      <c r="Q124" s="6">
        <v>1901.09</v>
      </c>
      <c r="R124" s="2" t="s">
        <v>45</v>
      </c>
      <c r="S124" s="2" t="s">
        <v>424</v>
      </c>
      <c r="T124" s="2" t="s">
        <v>46</v>
      </c>
      <c r="U124" s="2" t="s">
        <v>41</v>
      </c>
      <c r="V124" s="2" t="s">
        <v>165</v>
      </c>
    </row>
    <row r="125" spans="1:22" ht="27" customHeight="1" x14ac:dyDescent="0.3">
      <c r="A125" s="2">
        <v>124</v>
      </c>
      <c r="B125" s="2" t="s">
        <v>5</v>
      </c>
      <c r="C125" s="4">
        <v>45728</v>
      </c>
      <c r="D125" s="4" t="str">
        <f>TEXT(Tabla2[[#This Row],[fecha]],"MMMM")</f>
        <v>Marzo</v>
      </c>
      <c r="E125" s="2" t="s">
        <v>12</v>
      </c>
      <c r="F125" s="2" t="s">
        <v>82</v>
      </c>
      <c r="G125" s="2" t="s">
        <v>38</v>
      </c>
      <c r="H125" s="2" t="s">
        <v>421</v>
      </c>
      <c r="I125" s="2" t="s">
        <v>68</v>
      </c>
      <c r="J125" s="2"/>
      <c r="K125" s="2">
        <v>3301</v>
      </c>
      <c r="L125" s="2">
        <v>3521</v>
      </c>
      <c r="M125" s="4">
        <v>45728</v>
      </c>
      <c r="N125" s="5">
        <v>0</v>
      </c>
      <c r="O125" s="5">
        <v>0</v>
      </c>
      <c r="P125" s="5" t="e">
        <f>IF([1]!Tabla2[[#This Row],[TIEMPO DE ATENCIÓN REALIZADO]]&lt;=[1]!Tabla2[[#This Row],[TIEMPO DE ATENCIÓN ESPERADO]],"Dentro de plazo","Fuera de plazo")</f>
        <v>#REF!</v>
      </c>
      <c r="Q125" s="6">
        <v>2112</v>
      </c>
      <c r="R125" s="2" t="s">
        <v>45</v>
      </c>
      <c r="S125" s="2" t="s">
        <v>424</v>
      </c>
      <c r="T125" s="2" t="s">
        <v>46</v>
      </c>
      <c r="U125" s="2" t="s">
        <v>41</v>
      </c>
      <c r="V125" s="2"/>
    </row>
    <row r="126" spans="1:22" ht="27" customHeight="1" x14ac:dyDescent="0.3">
      <c r="A126" s="2">
        <v>125</v>
      </c>
      <c r="B126" s="2" t="s">
        <v>62</v>
      </c>
      <c r="C126" s="4">
        <v>45727</v>
      </c>
      <c r="D126" s="4" t="str">
        <f>TEXT(Tabla2[[#This Row],[fecha]],"MMMM")</f>
        <v>Marzo</v>
      </c>
      <c r="E126" s="2" t="s">
        <v>166</v>
      </c>
      <c r="F126" s="2" t="s">
        <v>414</v>
      </c>
      <c r="G126" s="2" t="s">
        <v>44</v>
      </c>
      <c r="H126" s="2" t="s">
        <v>421</v>
      </c>
      <c r="I126" s="2" t="s">
        <v>68</v>
      </c>
      <c r="J126" s="2">
        <v>382</v>
      </c>
      <c r="K126" s="2">
        <v>3361</v>
      </c>
      <c r="L126" s="2">
        <v>3524</v>
      </c>
      <c r="M126" s="4">
        <v>45728</v>
      </c>
      <c r="N126" s="5">
        <v>1</v>
      </c>
      <c r="O126" s="5">
        <v>1</v>
      </c>
      <c r="P126" s="5" t="e">
        <f>IF([1]!Tabla2[[#This Row],[TIEMPO DE ATENCIÓN REALIZADO]]&lt;=[1]!Tabla2[[#This Row],[TIEMPO DE ATENCIÓN ESPERADO]],"Dentro de plazo","Fuera de plazo")</f>
        <v>#REF!</v>
      </c>
      <c r="Q126" s="6">
        <v>5292.77</v>
      </c>
      <c r="R126" s="2" t="s">
        <v>45</v>
      </c>
      <c r="S126" s="2" t="s">
        <v>425</v>
      </c>
      <c r="T126" s="2" t="s">
        <v>40</v>
      </c>
      <c r="U126" s="2" t="s">
        <v>53</v>
      </c>
      <c r="V126" s="2" t="s">
        <v>167</v>
      </c>
    </row>
    <row r="127" spans="1:22" ht="27" customHeight="1" x14ac:dyDescent="0.3">
      <c r="A127" s="2">
        <v>126</v>
      </c>
      <c r="B127" s="2" t="s">
        <v>62</v>
      </c>
      <c r="C127" s="4">
        <v>45734</v>
      </c>
      <c r="D127" s="4" t="str">
        <f>TEXT(Tabla2[[#This Row],[fecha]],"MMMM")</f>
        <v>Marzo</v>
      </c>
      <c r="E127" s="2" t="s">
        <v>51</v>
      </c>
      <c r="F127" s="2" t="s">
        <v>415</v>
      </c>
      <c r="G127" s="2" t="s">
        <v>38</v>
      </c>
      <c r="H127" s="2" t="s">
        <v>421</v>
      </c>
      <c r="I127" s="2" t="s">
        <v>52</v>
      </c>
      <c r="J127" s="2">
        <v>381</v>
      </c>
      <c r="K127" s="2">
        <v>3365</v>
      </c>
      <c r="L127" s="2">
        <v>3522</v>
      </c>
      <c r="M127" s="4">
        <v>45735</v>
      </c>
      <c r="N127" s="5">
        <v>1</v>
      </c>
      <c r="O127" s="5">
        <v>1</v>
      </c>
      <c r="P127" s="5" t="e">
        <f>IF([1]!Tabla2[[#This Row],[TIEMPO DE ATENCIÓN REALIZADO]]&lt;=[1]!Tabla2[[#This Row],[TIEMPO DE ATENCIÓN ESPERADO]],"Dentro de plazo","Fuera de plazo")</f>
        <v>#REF!</v>
      </c>
      <c r="Q127" s="6">
        <v>898.65</v>
      </c>
      <c r="R127" s="2" t="s">
        <v>4</v>
      </c>
      <c r="S127" s="2" t="s">
        <v>425</v>
      </c>
      <c r="T127" s="2" t="s">
        <v>40</v>
      </c>
      <c r="U127" s="2" t="s">
        <v>41</v>
      </c>
      <c r="V127" s="2"/>
    </row>
    <row r="128" spans="1:22" ht="27" customHeight="1" x14ac:dyDescent="0.3">
      <c r="A128" s="2">
        <v>127</v>
      </c>
      <c r="B128" s="2" t="s">
        <v>62</v>
      </c>
      <c r="C128" s="4">
        <v>45726</v>
      </c>
      <c r="D128" s="4" t="str">
        <f>TEXT(Tabla2[[#This Row],[fecha]],"MMMM")</f>
        <v>Marzo</v>
      </c>
      <c r="E128" s="2" t="s">
        <v>158</v>
      </c>
      <c r="F128" s="2" t="s">
        <v>132</v>
      </c>
      <c r="G128" s="2" t="s">
        <v>44</v>
      </c>
      <c r="H128" s="2" t="s">
        <v>421</v>
      </c>
      <c r="I128" s="2" t="s">
        <v>90</v>
      </c>
      <c r="J128" s="2">
        <v>379</v>
      </c>
      <c r="K128" s="2">
        <v>3352</v>
      </c>
      <c r="L128" s="2">
        <v>3524</v>
      </c>
      <c r="M128" s="4">
        <v>45730</v>
      </c>
      <c r="N128" s="5">
        <v>4</v>
      </c>
      <c r="O128" s="5">
        <v>4</v>
      </c>
      <c r="P128" s="5" t="e">
        <f>IF([1]!Tabla2[[#This Row],[TIEMPO DE ATENCIÓN REALIZADO]]&lt;=[1]!Tabla2[[#This Row],[TIEMPO DE ATENCIÓN ESPERADO]],"Dentro de plazo","Fuera de plazo")</f>
        <v>#REF!</v>
      </c>
      <c r="Q128" s="6">
        <v>575.74</v>
      </c>
      <c r="R128" s="2" t="s">
        <v>9</v>
      </c>
      <c r="S128" s="2" t="s">
        <v>425</v>
      </c>
      <c r="T128" s="2" t="s">
        <v>40</v>
      </c>
      <c r="U128" s="2" t="s">
        <v>41</v>
      </c>
      <c r="V128" s="2" t="s">
        <v>168</v>
      </c>
    </row>
    <row r="129" spans="1:22" ht="27" customHeight="1" x14ac:dyDescent="0.3">
      <c r="A129" s="2">
        <v>128</v>
      </c>
      <c r="B129" s="2" t="s">
        <v>62</v>
      </c>
      <c r="C129" s="4">
        <v>45726</v>
      </c>
      <c r="D129" s="4" t="str">
        <f>TEXT(Tabla2[[#This Row],[fecha]],"MMMM")</f>
        <v>Marzo</v>
      </c>
      <c r="E129" s="2" t="s">
        <v>169</v>
      </c>
      <c r="F129" s="2" t="s">
        <v>414</v>
      </c>
      <c r="G129" s="2" t="s">
        <v>58</v>
      </c>
      <c r="H129" s="2" t="s">
        <v>421</v>
      </c>
      <c r="I129" s="2" t="s">
        <v>39</v>
      </c>
      <c r="J129" s="2">
        <v>384</v>
      </c>
      <c r="K129" s="2">
        <v>3363</v>
      </c>
      <c r="L129" s="2">
        <v>3525</v>
      </c>
      <c r="M129" s="4">
        <v>45730</v>
      </c>
      <c r="N129" s="5">
        <v>4</v>
      </c>
      <c r="O129" s="5">
        <v>4</v>
      </c>
      <c r="P129" s="5" t="e">
        <f>IF([1]!Tabla2[[#This Row],[TIEMPO DE ATENCIÓN REALIZADO]]&lt;=[1]!Tabla2[[#This Row],[TIEMPO DE ATENCIÓN ESPERADO]],"Dentro de plazo","Fuera de plazo")</f>
        <v>#REF!</v>
      </c>
      <c r="Q129" s="6">
        <v>3139.13</v>
      </c>
      <c r="R129" s="2" t="s">
        <v>45</v>
      </c>
      <c r="S129" s="2" t="s">
        <v>425</v>
      </c>
      <c r="T129" s="2" t="s">
        <v>40</v>
      </c>
      <c r="U129" s="2" t="s">
        <v>53</v>
      </c>
      <c r="V129" s="2" t="s">
        <v>170</v>
      </c>
    </row>
    <row r="130" spans="1:22" ht="27" customHeight="1" x14ac:dyDescent="0.3">
      <c r="A130" s="2">
        <v>129</v>
      </c>
      <c r="B130" s="2" t="s">
        <v>62</v>
      </c>
      <c r="C130" s="4">
        <v>45733</v>
      </c>
      <c r="D130" s="4" t="str">
        <f>TEXT(Tabla2[[#This Row],[fecha]],"MMMM")</f>
        <v>Marzo</v>
      </c>
      <c r="E130" s="2" t="s">
        <v>51</v>
      </c>
      <c r="F130" s="2" t="s">
        <v>55</v>
      </c>
      <c r="G130" s="2" t="s">
        <v>38</v>
      </c>
      <c r="H130" s="2" t="s">
        <v>421</v>
      </c>
      <c r="I130" s="2" t="s">
        <v>52</v>
      </c>
      <c r="J130" s="2"/>
      <c r="K130" s="2"/>
      <c r="L130" s="2">
        <v>3526</v>
      </c>
      <c r="M130" s="4">
        <v>45735</v>
      </c>
      <c r="N130" s="5">
        <v>2</v>
      </c>
      <c r="O130" s="5">
        <v>2</v>
      </c>
      <c r="P130" s="5" t="e">
        <f>IF([1]!Tabla2[[#This Row],[TIEMPO DE ATENCIÓN REALIZADO]]&lt;=[1]!Tabla2[[#This Row],[TIEMPO DE ATENCIÓN ESPERADO]],"Dentro de plazo","Fuera de plazo")</f>
        <v>#REF!</v>
      </c>
      <c r="Q130" s="6">
        <v>0.6</v>
      </c>
      <c r="R130" s="2" t="s">
        <v>45</v>
      </c>
      <c r="S130" s="2" t="s">
        <v>425</v>
      </c>
      <c r="T130" s="2" t="s">
        <v>40</v>
      </c>
      <c r="U130" s="2" t="s">
        <v>41</v>
      </c>
      <c r="V130" s="2" t="s">
        <v>171</v>
      </c>
    </row>
    <row r="131" spans="1:22" ht="27" customHeight="1" x14ac:dyDescent="0.3">
      <c r="A131" s="2">
        <v>130</v>
      </c>
      <c r="B131" s="2" t="s">
        <v>62</v>
      </c>
      <c r="C131" s="4">
        <v>45730</v>
      </c>
      <c r="D131" s="4" t="str">
        <f>TEXT(Tabla2[[#This Row],[fecha]],"MMMM")</f>
        <v>Marzo</v>
      </c>
      <c r="E131" s="2" t="s">
        <v>134</v>
      </c>
      <c r="F131" s="2" t="s">
        <v>415</v>
      </c>
      <c r="G131" s="2" t="s">
        <v>38</v>
      </c>
      <c r="H131" s="2" t="s">
        <v>60</v>
      </c>
      <c r="I131" s="2" t="s">
        <v>39</v>
      </c>
      <c r="J131" s="2">
        <v>372</v>
      </c>
      <c r="K131" s="2">
        <v>3354</v>
      </c>
      <c r="L131" s="2">
        <v>3527</v>
      </c>
      <c r="M131" s="4">
        <v>45730</v>
      </c>
      <c r="N131" s="5">
        <v>0</v>
      </c>
      <c r="O131" s="5">
        <v>0</v>
      </c>
      <c r="P131" s="5" t="e">
        <f>IF([1]!Tabla2[[#This Row],[TIEMPO DE ATENCIÓN REALIZADO]]&lt;=[1]!Tabla2[[#This Row],[TIEMPO DE ATENCIÓN ESPERADO]],"Dentro de plazo","Fuera de plazo")</f>
        <v>#REF!</v>
      </c>
      <c r="Q131" s="6">
        <v>68474.460000000006</v>
      </c>
      <c r="R131" s="2" t="s">
        <v>45</v>
      </c>
      <c r="S131" s="2" t="s">
        <v>424</v>
      </c>
      <c r="T131" s="2" t="s">
        <v>40</v>
      </c>
      <c r="U131" s="2" t="s">
        <v>41</v>
      </c>
      <c r="V131" s="2"/>
    </row>
    <row r="132" spans="1:22" ht="27" customHeight="1" x14ac:dyDescent="0.3">
      <c r="A132" s="2">
        <v>131</v>
      </c>
      <c r="B132" s="2" t="s">
        <v>5</v>
      </c>
      <c r="C132" s="4">
        <v>45733</v>
      </c>
      <c r="D132" s="4" t="str">
        <f>TEXT(Tabla2[[#This Row],[fecha]],"MMMM")</f>
        <v>Marzo</v>
      </c>
      <c r="E132" s="2" t="s">
        <v>134</v>
      </c>
      <c r="F132" s="2" t="s">
        <v>72</v>
      </c>
      <c r="G132" s="2" t="s">
        <v>38</v>
      </c>
      <c r="H132" s="2" t="s">
        <v>60</v>
      </c>
      <c r="I132" s="2" t="s">
        <v>39</v>
      </c>
      <c r="J132" s="2">
        <v>385</v>
      </c>
      <c r="K132" s="2">
        <v>3367</v>
      </c>
      <c r="L132" s="2">
        <v>3528</v>
      </c>
      <c r="M132" s="4">
        <v>45735</v>
      </c>
      <c r="N132" s="5">
        <v>2</v>
      </c>
      <c r="O132" s="5">
        <v>2</v>
      </c>
      <c r="P132" s="5" t="e">
        <f>IF([1]!Tabla2[[#This Row],[TIEMPO DE ATENCIÓN REALIZADO]]&lt;=[1]!Tabla2[[#This Row],[TIEMPO DE ATENCIÓN ESPERADO]],"Dentro de plazo","Fuera de plazo")</f>
        <v>#REF!</v>
      </c>
      <c r="Q132" s="6">
        <v>33674.31</v>
      </c>
      <c r="R132" s="2" t="s">
        <v>9</v>
      </c>
      <c r="S132" s="2" t="s">
        <v>425</v>
      </c>
      <c r="T132" s="2" t="s">
        <v>40</v>
      </c>
      <c r="U132" s="2" t="s">
        <v>41</v>
      </c>
      <c r="V132" s="2" t="s">
        <v>172</v>
      </c>
    </row>
    <row r="133" spans="1:22" ht="27" customHeight="1" x14ac:dyDescent="0.3">
      <c r="A133" s="2">
        <v>132</v>
      </c>
      <c r="B133" s="2" t="s">
        <v>5</v>
      </c>
      <c r="C133" s="4">
        <v>45733</v>
      </c>
      <c r="D133" s="4" t="str">
        <f>TEXT(Tabla2[[#This Row],[fecha]],"MMMM")</f>
        <v>Marzo</v>
      </c>
      <c r="E133" s="2" t="s">
        <v>134</v>
      </c>
      <c r="F133" s="2" t="s">
        <v>72</v>
      </c>
      <c r="G133" s="2" t="s">
        <v>38</v>
      </c>
      <c r="H133" s="2" t="s">
        <v>60</v>
      </c>
      <c r="I133" s="2" t="s">
        <v>39</v>
      </c>
      <c r="J133" s="2">
        <v>385</v>
      </c>
      <c r="K133" s="2">
        <v>3367</v>
      </c>
      <c r="L133" s="2">
        <v>3529</v>
      </c>
      <c r="M133" s="4">
        <v>45735</v>
      </c>
      <c r="N133" s="5">
        <v>2</v>
      </c>
      <c r="O133" s="5">
        <v>2</v>
      </c>
      <c r="P133" s="5" t="e">
        <f>IF([1]!Tabla2[[#This Row],[TIEMPO DE ATENCIÓN REALIZADO]]&lt;=[1]!Tabla2[[#This Row],[TIEMPO DE ATENCIÓN ESPERADO]],"Dentro de plazo","Fuera de plazo")</f>
        <v>#REF!</v>
      </c>
      <c r="Q133" s="6">
        <v>35958.11</v>
      </c>
      <c r="R133" s="2" t="s">
        <v>9</v>
      </c>
      <c r="S133" s="2" t="s">
        <v>425</v>
      </c>
      <c r="T133" s="2" t="s">
        <v>40</v>
      </c>
      <c r="U133" s="2" t="s">
        <v>41</v>
      </c>
      <c r="V133" s="2" t="s">
        <v>173</v>
      </c>
    </row>
    <row r="134" spans="1:22" ht="27" customHeight="1" x14ac:dyDescent="0.3">
      <c r="A134" s="2">
        <v>133</v>
      </c>
      <c r="B134" s="2" t="s">
        <v>5</v>
      </c>
      <c r="C134" s="4">
        <v>45733</v>
      </c>
      <c r="D134" s="4" t="str">
        <f>TEXT(Tabla2[[#This Row],[fecha]],"MMMM")</f>
        <v>Marzo</v>
      </c>
      <c r="E134" s="2" t="s">
        <v>134</v>
      </c>
      <c r="F134" s="2" t="s">
        <v>72</v>
      </c>
      <c r="G134" s="2" t="s">
        <v>38</v>
      </c>
      <c r="H134" s="2" t="s">
        <v>60</v>
      </c>
      <c r="I134" s="2" t="s">
        <v>39</v>
      </c>
      <c r="J134" s="2">
        <v>385</v>
      </c>
      <c r="K134" s="2">
        <v>3367</v>
      </c>
      <c r="L134" s="2">
        <v>3530</v>
      </c>
      <c r="M134" s="4">
        <v>45735</v>
      </c>
      <c r="N134" s="5">
        <v>2</v>
      </c>
      <c r="O134" s="5">
        <v>2</v>
      </c>
      <c r="P134" s="5" t="e">
        <f>IF([1]!Tabla2[[#This Row],[TIEMPO DE ATENCIÓN REALIZADO]]&lt;=[1]!Tabla2[[#This Row],[TIEMPO DE ATENCIÓN ESPERADO]],"Dentro de plazo","Fuera de plazo")</f>
        <v>#REF!</v>
      </c>
      <c r="Q134" s="6">
        <v>23865.7</v>
      </c>
      <c r="R134" s="2" t="s">
        <v>9</v>
      </c>
      <c r="S134" s="2" t="s">
        <v>425</v>
      </c>
      <c r="T134" s="2" t="s">
        <v>40</v>
      </c>
      <c r="U134" s="2" t="s">
        <v>41</v>
      </c>
      <c r="V134" s="2" t="s">
        <v>174</v>
      </c>
    </row>
    <row r="135" spans="1:22" ht="27" customHeight="1" x14ac:dyDescent="0.3">
      <c r="A135" s="2">
        <v>134</v>
      </c>
      <c r="B135" s="2" t="s">
        <v>5</v>
      </c>
      <c r="C135" s="4">
        <v>45733</v>
      </c>
      <c r="D135" s="4" t="str">
        <f>TEXT(Tabla2[[#This Row],[fecha]],"MMMM")</f>
        <v>Marzo</v>
      </c>
      <c r="E135" s="2" t="s">
        <v>134</v>
      </c>
      <c r="F135" s="2" t="s">
        <v>72</v>
      </c>
      <c r="G135" s="2" t="s">
        <v>38</v>
      </c>
      <c r="H135" s="2" t="s">
        <v>60</v>
      </c>
      <c r="I135" s="2" t="s">
        <v>39</v>
      </c>
      <c r="J135" s="2">
        <v>385</v>
      </c>
      <c r="K135" s="2">
        <v>3367</v>
      </c>
      <c r="L135" s="2">
        <v>3531</v>
      </c>
      <c r="M135" s="4">
        <v>45735</v>
      </c>
      <c r="N135" s="5">
        <v>2</v>
      </c>
      <c r="O135" s="5">
        <v>2</v>
      </c>
      <c r="P135" s="5" t="e">
        <f>IF([1]!Tabla2[[#This Row],[TIEMPO DE ATENCIÓN REALIZADO]]&lt;=[1]!Tabla2[[#This Row],[TIEMPO DE ATENCIÓN ESPERADO]],"Dentro de plazo","Fuera de plazo")</f>
        <v>#REF!</v>
      </c>
      <c r="Q135" s="6">
        <v>19974.34</v>
      </c>
      <c r="R135" s="2" t="s">
        <v>9</v>
      </c>
      <c r="S135" s="2" t="s">
        <v>425</v>
      </c>
      <c r="T135" s="2" t="s">
        <v>40</v>
      </c>
      <c r="U135" s="2" t="s">
        <v>41</v>
      </c>
      <c r="V135" s="2" t="s">
        <v>175</v>
      </c>
    </row>
    <row r="136" spans="1:22" ht="27" customHeight="1" x14ac:dyDescent="0.3">
      <c r="A136" s="2">
        <v>135</v>
      </c>
      <c r="B136" s="2" t="s">
        <v>5</v>
      </c>
      <c r="C136" s="4">
        <v>45733</v>
      </c>
      <c r="D136" s="4" t="str">
        <f>TEXT(Tabla2[[#This Row],[fecha]],"MMMM")</f>
        <v>Marzo</v>
      </c>
      <c r="E136" s="2" t="s">
        <v>134</v>
      </c>
      <c r="F136" s="2" t="s">
        <v>72</v>
      </c>
      <c r="G136" s="2" t="s">
        <v>38</v>
      </c>
      <c r="H136" s="2" t="s">
        <v>60</v>
      </c>
      <c r="I136" s="2" t="s">
        <v>39</v>
      </c>
      <c r="J136" s="2">
        <v>385</v>
      </c>
      <c r="K136" s="2">
        <v>3367</v>
      </c>
      <c r="L136" s="2">
        <v>3532</v>
      </c>
      <c r="M136" s="4">
        <v>45735</v>
      </c>
      <c r="N136" s="5">
        <v>2</v>
      </c>
      <c r="O136" s="5">
        <v>2</v>
      </c>
      <c r="P136" s="5" t="e">
        <f>IF([1]!Tabla2[[#This Row],[TIEMPO DE ATENCIÓN REALIZADO]]&lt;=[1]!Tabla2[[#This Row],[TIEMPO DE ATENCIÓN ESPERADO]],"Dentro de plazo","Fuera de plazo")</f>
        <v>#REF!</v>
      </c>
      <c r="Q136" s="6">
        <v>45868.76</v>
      </c>
      <c r="R136" s="2" t="s">
        <v>9</v>
      </c>
      <c r="S136" s="2" t="s">
        <v>425</v>
      </c>
      <c r="T136" s="2" t="s">
        <v>40</v>
      </c>
      <c r="U136" s="2" t="s">
        <v>41</v>
      </c>
      <c r="V136" s="2" t="s">
        <v>176</v>
      </c>
    </row>
    <row r="137" spans="1:22" ht="27" customHeight="1" x14ac:dyDescent="0.3">
      <c r="A137" s="2">
        <v>136</v>
      </c>
      <c r="B137" s="2" t="s">
        <v>5</v>
      </c>
      <c r="C137" s="4">
        <v>45736</v>
      </c>
      <c r="D137" s="4" t="str">
        <f>TEXT(Tabla2[[#This Row],[fecha]],"MMMM")</f>
        <v>Marzo</v>
      </c>
      <c r="E137" s="2" t="s">
        <v>177</v>
      </c>
      <c r="F137" s="2" t="s">
        <v>88</v>
      </c>
      <c r="G137" s="2" t="s">
        <v>38</v>
      </c>
      <c r="H137" s="2" t="s">
        <v>60</v>
      </c>
      <c r="I137" s="2" t="s">
        <v>39</v>
      </c>
      <c r="J137" s="2">
        <v>386</v>
      </c>
      <c r="K137" s="2">
        <v>3368</v>
      </c>
      <c r="L137" s="2">
        <v>3533</v>
      </c>
      <c r="M137" s="4">
        <v>45736</v>
      </c>
      <c r="N137" s="5">
        <v>0</v>
      </c>
      <c r="O137" s="5">
        <v>0</v>
      </c>
      <c r="P137" s="5" t="e">
        <f>IF([1]!Tabla2[[#This Row],[TIEMPO DE ATENCIÓN REALIZADO]]&lt;=[1]!Tabla2[[#This Row],[TIEMPO DE ATENCIÓN ESPERADO]],"Dentro de plazo","Fuera de plazo")</f>
        <v>#REF!</v>
      </c>
      <c r="Q137" s="6">
        <v>1395</v>
      </c>
      <c r="R137" s="2" t="s">
        <v>45</v>
      </c>
      <c r="S137" s="2" t="s">
        <v>424</v>
      </c>
      <c r="T137" s="2" t="s">
        <v>40</v>
      </c>
      <c r="U137" s="2" t="s">
        <v>41</v>
      </c>
      <c r="V137" s="2"/>
    </row>
    <row r="138" spans="1:22" ht="27" customHeight="1" x14ac:dyDescent="0.3">
      <c r="A138" s="2">
        <v>137</v>
      </c>
      <c r="B138" s="2" t="s">
        <v>5</v>
      </c>
      <c r="C138" s="4">
        <v>45737</v>
      </c>
      <c r="D138" s="4" t="str">
        <f>TEXT(Tabla2[[#This Row],[fecha]],"MMMM")</f>
        <v>Marzo</v>
      </c>
      <c r="E138" s="2" t="s">
        <v>178</v>
      </c>
      <c r="F138" s="2" t="s">
        <v>414</v>
      </c>
      <c r="G138" s="2" t="s">
        <v>44</v>
      </c>
      <c r="H138" s="2" t="s">
        <v>421</v>
      </c>
      <c r="I138" s="2" t="s">
        <v>39</v>
      </c>
      <c r="J138" s="2">
        <v>387</v>
      </c>
      <c r="K138" s="2">
        <v>3369</v>
      </c>
      <c r="L138" s="2">
        <v>3534</v>
      </c>
      <c r="M138" s="4">
        <v>45737</v>
      </c>
      <c r="N138" s="5">
        <v>0</v>
      </c>
      <c r="O138" s="5">
        <v>0</v>
      </c>
      <c r="P138" s="5" t="e">
        <f>IF([1]!Tabla2[[#This Row],[TIEMPO DE ATENCIÓN REALIZADO]]&lt;=[1]!Tabla2[[#This Row],[TIEMPO DE ATENCIÓN ESPERADO]],"Dentro de plazo","Fuera de plazo")</f>
        <v>#REF!</v>
      </c>
      <c r="Q138" s="6"/>
      <c r="R138" s="2"/>
      <c r="S138" s="2" t="s">
        <v>425</v>
      </c>
      <c r="T138" s="2" t="s">
        <v>40</v>
      </c>
      <c r="U138" s="2"/>
      <c r="V138" s="2"/>
    </row>
    <row r="139" spans="1:22" ht="27" customHeight="1" x14ac:dyDescent="0.3">
      <c r="A139" s="2">
        <v>138</v>
      </c>
      <c r="B139" s="2" t="s">
        <v>1</v>
      </c>
      <c r="C139" s="4">
        <v>45740</v>
      </c>
      <c r="D139" s="4" t="str">
        <f>TEXT(Tabla2[[#This Row],[fecha]],"MMMM")</f>
        <v>Marzo</v>
      </c>
      <c r="E139" s="2" t="s">
        <v>28</v>
      </c>
      <c r="F139" s="2" t="s">
        <v>55</v>
      </c>
      <c r="G139" s="2" t="s">
        <v>44</v>
      </c>
      <c r="H139" s="2" t="s">
        <v>421</v>
      </c>
      <c r="I139" s="2" t="s">
        <v>418</v>
      </c>
      <c r="J139" s="2"/>
      <c r="K139" s="2"/>
      <c r="L139" s="2">
        <v>3535</v>
      </c>
      <c r="M139" s="4">
        <v>45740</v>
      </c>
      <c r="N139" s="5">
        <v>0</v>
      </c>
      <c r="O139" s="5">
        <v>0</v>
      </c>
      <c r="P139" s="5" t="e">
        <f>IF([1]!Tabla2[[#This Row],[TIEMPO DE ATENCIÓN REALIZADO]]&lt;=[1]!Tabla2[[#This Row],[TIEMPO DE ATENCIÓN ESPERADO]],"Dentro de plazo","Fuera de plazo")</f>
        <v>#REF!</v>
      </c>
      <c r="Q139" s="6"/>
      <c r="R139" s="2"/>
      <c r="S139" s="2" t="s">
        <v>424</v>
      </c>
      <c r="T139" s="2" t="s">
        <v>46</v>
      </c>
      <c r="U139" s="2"/>
      <c r="V139" s="2"/>
    </row>
    <row r="140" spans="1:22" ht="27" customHeight="1" x14ac:dyDescent="0.3">
      <c r="A140" s="2">
        <v>139</v>
      </c>
      <c r="B140" s="2" t="s">
        <v>5</v>
      </c>
      <c r="C140" s="4">
        <v>45740</v>
      </c>
      <c r="D140" s="4" t="str">
        <f>TEXT(Tabla2[[#This Row],[fecha]],"MMMM")</f>
        <v>Marzo</v>
      </c>
      <c r="E140" s="2" t="s">
        <v>179</v>
      </c>
      <c r="F140" s="2" t="s">
        <v>55</v>
      </c>
      <c r="G140" s="2" t="s">
        <v>44</v>
      </c>
      <c r="H140" s="2" t="s">
        <v>421</v>
      </c>
      <c r="I140" s="2" t="s">
        <v>180</v>
      </c>
      <c r="J140" s="2"/>
      <c r="K140" s="2"/>
      <c r="L140" s="2">
        <v>3536</v>
      </c>
      <c r="M140" s="4">
        <v>45740</v>
      </c>
      <c r="N140" s="5">
        <v>0</v>
      </c>
      <c r="O140" s="5">
        <v>0</v>
      </c>
      <c r="P140" s="5" t="e">
        <f>IF([1]!Tabla2[[#This Row],[TIEMPO DE ATENCIÓN REALIZADO]]&lt;=[1]!Tabla2[[#This Row],[TIEMPO DE ATENCIÓN ESPERADO]],"Dentro de plazo","Fuera de plazo")</f>
        <v>#REF!</v>
      </c>
      <c r="Q140" s="6">
        <v>708</v>
      </c>
      <c r="R140" s="2" t="s">
        <v>45</v>
      </c>
      <c r="S140" s="2" t="s">
        <v>425</v>
      </c>
      <c r="T140" s="2" t="s">
        <v>40</v>
      </c>
      <c r="U140" s="2" t="s">
        <v>53</v>
      </c>
      <c r="V140" s="2"/>
    </row>
    <row r="141" spans="1:22" ht="27" customHeight="1" x14ac:dyDescent="0.3">
      <c r="A141" s="2">
        <v>140</v>
      </c>
      <c r="B141" s="2" t="s">
        <v>5</v>
      </c>
      <c r="C141" s="4">
        <v>45740</v>
      </c>
      <c r="D141" s="4" t="str">
        <f>TEXT(Tabla2[[#This Row],[fecha]],"MMMM")</f>
        <v>Marzo</v>
      </c>
      <c r="E141" s="2" t="s">
        <v>181</v>
      </c>
      <c r="F141" s="2" t="s">
        <v>88</v>
      </c>
      <c r="G141" s="2" t="s">
        <v>58</v>
      </c>
      <c r="H141" s="2" t="s">
        <v>60</v>
      </c>
      <c r="I141" s="2" t="s">
        <v>39</v>
      </c>
      <c r="J141" s="2">
        <v>389</v>
      </c>
      <c r="K141" s="2">
        <v>3370</v>
      </c>
      <c r="L141" s="2">
        <v>3537</v>
      </c>
      <c r="M141" s="4">
        <v>45740</v>
      </c>
      <c r="N141" s="5">
        <v>0</v>
      </c>
      <c r="O141" s="5">
        <v>0</v>
      </c>
      <c r="P141" s="5" t="e">
        <f>IF([1]!Tabla2[[#This Row],[TIEMPO DE ATENCIÓN REALIZADO]]&lt;=[1]!Tabla2[[#This Row],[TIEMPO DE ATENCIÓN ESPERADO]],"Dentro de plazo","Fuera de plazo")</f>
        <v>#REF!</v>
      </c>
      <c r="Q141" s="6">
        <v>2688</v>
      </c>
      <c r="R141" s="2" t="s">
        <v>45</v>
      </c>
      <c r="S141" s="2" t="s">
        <v>427</v>
      </c>
      <c r="T141" s="2" t="s">
        <v>40</v>
      </c>
      <c r="U141" s="2" t="s">
        <v>53</v>
      </c>
      <c r="V141" s="2" t="s">
        <v>182</v>
      </c>
    </row>
    <row r="142" spans="1:22" ht="27" customHeight="1" x14ac:dyDescent="0.3">
      <c r="A142" s="2">
        <v>141</v>
      </c>
      <c r="B142" s="2" t="s">
        <v>1</v>
      </c>
      <c r="C142" s="4">
        <v>45740</v>
      </c>
      <c r="D142" s="4" t="str">
        <f>TEXT(Tabla2[[#This Row],[fecha]],"MMMM")</f>
        <v>Marzo</v>
      </c>
      <c r="E142" s="2" t="s">
        <v>183</v>
      </c>
      <c r="F142" s="2" t="s">
        <v>416</v>
      </c>
      <c r="G142" s="2" t="s">
        <v>44</v>
      </c>
      <c r="H142" s="2" t="s">
        <v>421</v>
      </c>
      <c r="I142" s="2"/>
      <c r="J142" s="2"/>
      <c r="K142" s="2"/>
      <c r="L142" s="2">
        <v>3538</v>
      </c>
      <c r="M142" s="4">
        <v>45742</v>
      </c>
      <c r="N142" s="5">
        <v>2</v>
      </c>
      <c r="O142" s="5">
        <v>2</v>
      </c>
      <c r="P142" s="5" t="e">
        <f>IF([1]!Tabla2[[#This Row],[TIEMPO DE ATENCIÓN REALIZADO]]&lt;=[1]!Tabla2[[#This Row],[TIEMPO DE ATENCIÓN ESPERADO]],"Dentro de plazo","Fuera de plazo")</f>
        <v>#REF!</v>
      </c>
      <c r="Q142" s="6"/>
      <c r="R142" s="2"/>
      <c r="S142" s="2" t="s">
        <v>424</v>
      </c>
      <c r="T142" s="2" t="s">
        <v>40</v>
      </c>
      <c r="U142" s="2"/>
      <c r="V142" s="2"/>
    </row>
    <row r="143" spans="1:22" ht="27" customHeight="1" x14ac:dyDescent="0.3">
      <c r="A143" s="2">
        <v>142</v>
      </c>
      <c r="B143" s="2" t="s">
        <v>5</v>
      </c>
      <c r="C143" s="4">
        <v>45740</v>
      </c>
      <c r="D143" s="4" t="str">
        <f>TEXT(Tabla2[[#This Row],[fecha]],"MMMM")</f>
        <v>Marzo</v>
      </c>
      <c r="E143" s="2" t="s">
        <v>181</v>
      </c>
      <c r="F143" s="2" t="s">
        <v>88</v>
      </c>
      <c r="G143" s="2" t="s">
        <v>38</v>
      </c>
      <c r="H143" s="2" t="s">
        <v>60</v>
      </c>
      <c r="I143" s="2" t="s">
        <v>39</v>
      </c>
      <c r="J143" s="2">
        <v>389</v>
      </c>
      <c r="K143" s="2">
        <v>3370</v>
      </c>
      <c r="L143" s="2">
        <v>3539</v>
      </c>
      <c r="M143" s="4">
        <v>45740</v>
      </c>
      <c r="N143" s="5">
        <v>0</v>
      </c>
      <c r="O143" s="5">
        <v>0</v>
      </c>
      <c r="P143" s="5" t="e">
        <f>IF([1]!Tabla2[[#This Row],[TIEMPO DE ATENCIÓN REALIZADO]]&lt;=[1]!Tabla2[[#This Row],[TIEMPO DE ATENCIÓN ESPERADO]],"Dentro de plazo","Fuera de plazo")</f>
        <v>#REF!</v>
      </c>
      <c r="Q143" s="6">
        <v>10028.59</v>
      </c>
      <c r="R143" s="2" t="s">
        <v>45</v>
      </c>
      <c r="S143" s="2" t="s">
        <v>424</v>
      </c>
      <c r="T143" s="2" t="s">
        <v>40</v>
      </c>
      <c r="U143" s="2" t="s">
        <v>53</v>
      </c>
      <c r="V143" s="2" t="s">
        <v>184</v>
      </c>
    </row>
    <row r="144" spans="1:22" ht="27" customHeight="1" x14ac:dyDescent="0.3">
      <c r="A144" s="2">
        <v>143</v>
      </c>
      <c r="B144" s="2" t="s">
        <v>5</v>
      </c>
      <c r="C144" s="4">
        <v>45742</v>
      </c>
      <c r="D144" s="4" t="str">
        <f>TEXT(Tabla2[[#This Row],[fecha]],"MMMM")</f>
        <v>Marzo</v>
      </c>
      <c r="E144" s="2" t="s">
        <v>185</v>
      </c>
      <c r="F144" s="2" t="s">
        <v>55</v>
      </c>
      <c r="G144" s="2" t="s">
        <v>38</v>
      </c>
      <c r="H144" s="2" t="s">
        <v>421</v>
      </c>
      <c r="I144" s="2" t="s">
        <v>88</v>
      </c>
      <c r="J144" s="2"/>
      <c r="K144" s="2"/>
      <c r="L144" s="2">
        <v>3540</v>
      </c>
      <c r="M144" s="4">
        <v>45742</v>
      </c>
      <c r="N144" s="5">
        <v>0</v>
      </c>
      <c r="O144" s="5">
        <v>0</v>
      </c>
      <c r="P144" s="5" t="e">
        <f>IF([1]!Tabla2[[#This Row],[TIEMPO DE ATENCIÓN REALIZADO]]&lt;=[1]!Tabla2[[#This Row],[TIEMPO DE ATENCIÓN ESPERADO]],"Dentro de plazo","Fuera de plazo")</f>
        <v>#REF!</v>
      </c>
      <c r="Q144" s="6"/>
      <c r="R144" s="2" t="s">
        <v>9</v>
      </c>
      <c r="S144" s="2" t="s">
        <v>425</v>
      </c>
      <c r="T144" s="2" t="s">
        <v>40</v>
      </c>
      <c r="U144" s="2" t="s">
        <v>53</v>
      </c>
      <c r="V144" s="2"/>
    </row>
    <row r="145" spans="1:22" ht="27" customHeight="1" x14ac:dyDescent="0.3">
      <c r="A145" s="2">
        <v>144</v>
      </c>
      <c r="B145" s="2" t="s">
        <v>5</v>
      </c>
      <c r="C145" s="4">
        <v>45742</v>
      </c>
      <c r="D145" s="4" t="str">
        <f>TEXT(Tabla2[[#This Row],[fecha]],"MMMM")</f>
        <v>Marzo</v>
      </c>
      <c r="E145" s="2" t="s">
        <v>185</v>
      </c>
      <c r="F145" s="2" t="s">
        <v>55</v>
      </c>
      <c r="G145" s="2" t="s">
        <v>38</v>
      </c>
      <c r="H145" s="2" t="s">
        <v>421</v>
      </c>
      <c r="I145" s="2" t="s">
        <v>88</v>
      </c>
      <c r="J145" s="2"/>
      <c r="K145" s="2"/>
      <c r="L145" s="2">
        <v>3541</v>
      </c>
      <c r="M145" s="4">
        <v>45742</v>
      </c>
      <c r="N145" s="5">
        <v>0</v>
      </c>
      <c r="O145" s="5">
        <v>0</v>
      </c>
      <c r="P145" s="5" t="e">
        <f>IF([1]!Tabla2[[#This Row],[TIEMPO DE ATENCIÓN REALIZADO]]&lt;=[1]!Tabla2[[#This Row],[TIEMPO DE ATENCIÓN ESPERADO]],"Dentro de plazo","Fuera de plazo")</f>
        <v>#REF!</v>
      </c>
      <c r="Q145" s="6"/>
      <c r="R145" s="2" t="s">
        <v>9</v>
      </c>
      <c r="S145" s="2" t="s">
        <v>425</v>
      </c>
      <c r="T145" s="2" t="s">
        <v>40</v>
      </c>
      <c r="U145" s="2" t="s">
        <v>53</v>
      </c>
      <c r="V145" s="2"/>
    </row>
    <row r="146" spans="1:22" ht="27" customHeight="1" x14ac:dyDescent="0.3">
      <c r="A146" s="2">
        <v>145</v>
      </c>
      <c r="B146" s="2" t="s">
        <v>5</v>
      </c>
      <c r="C146" s="4">
        <v>45742</v>
      </c>
      <c r="D146" s="4" t="str">
        <f>TEXT(Tabla2[[#This Row],[fecha]],"MMMM")</f>
        <v>Marzo</v>
      </c>
      <c r="E146" s="2" t="s">
        <v>186</v>
      </c>
      <c r="F146" s="2" t="s">
        <v>82</v>
      </c>
      <c r="G146" s="2" t="s">
        <v>38</v>
      </c>
      <c r="H146" s="2" t="s">
        <v>421</v>
      </c>
      <c r="I146" s="2" t="s">
        <v>39</v>
      </c>
      <c r="J146" s="2">
        <v>389</v>
      </c>
      <c r="K146" s="2">
        <v>3357</v>
      </c>
      <c r="L146" s="2">
        <v>3542</v>
      </c>
      <c r="M146" s="4">
        <v>45742</v>
      </c>
      <c r="N146" s="5">
        <v>0</v>
      </c>
      <c r="O146" s="5">
        <v>0</v>
      </c>
      <c r="P146" s="5" t="e">
        <f>IF([1]!Tabla2[[#This Row],[TIEMPO DE ATENCIÓN REALIZADO]]&lt;=[1]!Tabla2[[#This Row],[TIEMPO DE ATENCIÓN ESPERADO]],"Dentro de plazo","Fuera de plazo")</f>
        <v>#REF!</v>
      </c>
      <c r="Q146" s="6">
        <v>5826</v>
      </c>
      <c r="R146" s="2" t="s">
        <v>45</v>
      </c>
      <c r="S146" s="2" t="s">
        <v>424</v>
      </c>
      <c r="T146" s="2" t="s">
        <v>40</v>
      </c>
      <c r="U146" s="2" t="s">
        <v>41</v>
      </c>
      <c r="V146" s="2"/>
    </row>
    <row r="147" spans="1:22" ht="27" customHeight="1" x14ac:dyDescent="0.3">
      <c r="A147" s="2">
        <v>146</v>
      </c>
      <c r="B147" s="2" t="s">
        <v>5</v>
      </c>
      <c r="C147" s="4">
        <v>45742</v>
      </c>
      <c r="D147" s="4" t="str">
        <f>TEXT(Tabla2[[#This Row],[fecha]],"MMMM")</f>
        <v>Marzo</v>
      </c>
      <c r="E147" s="2" t="s">
        <v>186</v>
      </c>
      <c r="F147" s="2" t="s">
        <v>415</v>
      </c>
      <c r="G147" s="2" t="s">
        <v>38</v>
      </c>
      <c r="H147" s="2" t="s">
        <v>421</v>
      </c>
      <c r="I147" s="2" t="s">
        <v>39</v>
      </c>
      <c r="J147" s="2">
        <v>389</v>
      </c>
      <c r="K147" s="2">
        <v>3357</v>
      </c>
      <c r="L147" s="2">
        <v>3543</v>
      </c>
      <c r="M147" s="4">
        <v>45742</v>
      </c>
      <c r="N147" s="5">
        <v>0</v>
      </c>
      <c r="O147" s="5">
        <v>0</v>
      </c>
      <c r="P147" s="5" t="e">
        <f>IF([1]!Tabla2[[#This Row],[TIEMPO DE ATENCIÓN REALIZADO]]&lt;=[1]!Tabla2[[#This Row],[TIEMPO DE ATENCIÓN ESPERADO]],"Dentro de plazo","Fuera de plazo")</f>
        <v>#REF!</v>
      </c>
      <c r="Q147" s="6">
        <v>4145</v>
      </c>
      <c r="R147" s="2" t="s">
        <v>45</v>
      </c>
      <c r="S147" s="2" t="s">
        <v>424</v>
      </c>
      <c r="T147" s="2" t="s">
        <v>46</v>
      </c>
      <c r="U147" s="2" t="s">
        <v>41</v>
      </c>
      <c r="V147" s="2"/>
    </row>
    <row r="148" spans="1:22" ht="27" customHeight="1" x14ac:dyDescent="0.3">
      <c r="A148" s="2">
        <v>147</v>
      </c>
      <c r="B148" s="2" t="s">
        <v>5</v>
      </c>
      <c r="C148" s="4">
        <v>45741</v>
      </c>
      <c r="D148" s="4" t="str">
        <f>TEXT(Tabla2[[#This Row],[fecha]],"MMMM")</f>
        <v>Marzo</v>
      </c>
      <c r="E148" s="2" t="s">
        <v>187</v>
      </c>
      <c r="F148" s="2" t="s">
        <v>414</v>
      </c>
      <c r="G148" s="2" t="s">
        <v>44</v>
      </c>
      <c r="H148" s="2" t="s">
        <v>421</v>
      </c>
      <c r="I148" s="2" t="s">
        <v>39</v>
      </c>
      <c r="J148" s="2">
        <v>387</v>
      </c>
      <c r="K148" s="2">
        <v>3369</v>
      </c>
      <c r="L148" s="2">
        <v>3544</v>
      </c>
      <c r="M148" s="4">
        <v>45742</v>
      </c>
      <c r="N148" s="5">
        <v>1</v>
      </c>
      <c r="O148" s="5">
        <v>1</v>
      </c>
      <c r="P148" s="5" t="e">
        <f>IF([1]!Tabla2[[#This Row],[TIEMPO DE ATENCIÓN REALIZADO]]&lt;=[1]!Tabla2[[#This Row],[TIEMPO DE ATENCIÓN ESPERADO]],"Dentro de plazo","Fuera de plazo")</f>
        <v>#REF!</v>
      </c>
      <c r="Q148" s="6">
        <v>1160.5</v>
      </c>
      <c r="R148" s="2" t="s">
        <v>45</v>
      </c>
      <c r="S148" s="2" t="s">
        <v>425</v>
      </c>
      <c r="T148" s="2" t="s">
        <v>40</v>
      </c>
      <c r="U148" s="2" t="s">
        <v>53</v>
      </c>
      <c r="V148" s="2"/>
    </row>
    <row r="149" spans="1:22" ht="27" customHeight="1" x14ac:dyDescent="0.3">
      <c r="A149" s="2">
        <v>148</v>
      </c>
      <c r="B149" s="2" t="s">
        <v>5</v>
      </c>
      <c r="C149" s="4">
        <v>45742</v>
      </c>
      <c r="D149" s="4" t="str">
        <f>TEXT(Tabla2[[#This Row],[fecha]],"MMMM")</f>
        <v>Marzo</v>
      </c>
      <c r="E149" s="2" t="s">
        <v>181</v>
      </c>
      <c r="F149" s="2" t="s">
        <v>88</v>
      </c>
      <c r="G149" s="2" t="s">
        <v>38</v>
      </c>
      <c r="H149" s="2" t="s">
        <v>421</v>
      </c>
      <c r="I149" s="2" t="s">
        <v>39</v>
      </c>
      <c r="J149" s="2">
        <v>389</v>
      </c>
      <c r="K149" s="2">
        <v>3370</v>
      </c>
      <c r="L149" s="2">
        <v>3545</v>
      </c>
      <c r="M149" s="4">
        <v>45743</v>
      </c>
      <c r="N149" s="5">
        <v>1</v>
      </c>
      <c r="O149" s="5">
        <v>1</v>
      </c>
      <c r="P149" s="5" t="e">
        <f>IF([1]!Tabla2[[#This Row],[TIEMPO DE ATENCIÓN REALIZADO]]&lt;=[1]!Tabla2[[#This Row],[TIEMPO DE ATENCIÓN ESPERADO]],"Dentro de plazo","Fuera de plazo")</f>
        <v>#REF!</v>
      </c>
      <c r="Q149" s="6">
        <v>7498.47</v>
      </c>
      <c r="R149" s="2" t="s">
        <v>45</v>
      </c>
      <c r="S149" s="2" t="s">
        <v>427</v>
      </c>
      <c r="T149" s="2" t="s">
        <v>40</v>
      </c>
      <c r="U149" s="2" t="s">
        <v>41</v>
      </c>
      <c r="V149" s="2" t="s">
        <v>184</v>
      </c>
    </row>
    <row r="150" spans="1:22" ht="27" customHeight="1" x14ac:dyDescent="0.3">
      <c r="A150" s="2">
        <v>149</v>
      </c>
      <c r="B150" s="2" t="s">
        <v>5</v>
      </c>
      <c r="C150" s="4">
        <v>45747</v>
      </c>
      <c r="D150" s="4" t="str">
        <f>TEXT(Tabla2[[#This Row],[fecha]],"MMMM")</f>
        <v>Marzo</v>
      </c>
      <c r="E150" s="2" t="s">
        <v>188</v>
      </c>
      <c r="F150" s="2" t="s">
        <v>414</v>
      </c>
      <c r="G150" s="2" t="s">
        <v>58</v>
      </c>
      <c r="H150" s="2" t="s">
        <v>60</v>
      </c>
      <c r="I150" s="2" t="s">
        <v>39</v>
      </c>
      <c r="J150" s="2">
        <v>394</v>
      </c>
      <c r="K150" s="2">
        <v>3375</v>
      </c>
      <c r="L150" s="2">
        <v>3546</v>
      </c>
      <c r="M150" s="4">
        <v>45747</v>
      </c>
      <c r="N150" s="5">
        <v>0</v>
      </c>
      <c r="O150" s="5">
        <v>0</v>
      </c>
      <c r="P150" s="5" t="e">
        <f>IF([1]!Tabla2[[#This Row],[TIEMPO DE ATENCIÓN REALIZADO]]&lt;=[1]!Tabla2[[#This Row],[TIEMPO DE ATENCIÓN ESPERADO]],"Dentro de plazo","Fuera de plazo")</f>
        <v>#REF!</v>
      </c>
      <c r="Q150" s="6">
        <v>818.46</v>
      </c>
      <c r="R150" s="2" t="s">
        <v>45</v>
      </c>
      <c r="S150" s="2" t="s">
        <v>425</v>
      </c>
      <c r="T150" s="2" t="s">
        <v>40</v>
      </c>
      <c r="U150" s="2" t="s">
        <v>53</v>
      </c>
      <c r="V150" s="2"/>
    </row>
    <row r="151" spans="1:22" ht="27" customHeight="1" x14ac:dyDescent="0.3">
      <c r="A151" s="2">
        <v>150</v>
      </c>
      <c r="B151" s="2" t="s">
        <v>5</v>
      </c>
      <c r="C151" s="4">
        <v>45744</v>
      </c>
      <c r="D151" s="4" t="str">
        <f>TEXT(Tabla2[[#This Row],[fecha]],"MMMM")</f>
        <v>Marzo</v>
      </c>
      <c r="E151" s="2" t="s">
        <v>189</v>
      </c>
      <c r="F151" s="2" t="s">
        <v>414</v>
      </c>
      <c r="G151" s="2" t="s">
        <v>58</v>
      </c>
      <c r="H151" s="2" t="s">
        <v>421</v>
      </c>
      <c r="I151" s="2" t="s">
        <v>39</v>
      </c>
      <c r="J151" s="2">
        <v>393</v>
      </c>
      <c r="K151" s="2">
        <v>3376</v>
      </c>
      <c r="L151" s="2">
        <v>3547</v>
      </c>
      <c r="M151" s="4">
        <v>45744</v>
      </c>
      <c r="N151" s="5">
        <v>0</v>
      </c>
      <c r="O151" s="5">
        <v>0</v>
      </c>
      <c r="P151" s="5" t="e">
        <f>IF([1]!Tabla2[[#This Row],[TIEMPO DE ATENCIÓN REALIZADO]]&lt;=[1]!Tabla2[[#This Row],[TIEMPO DE ATENCIÓN ESPERADO]],"Dentro de plazo","Fuera de plazo")</f>
        <v>#REF!</v>
      </c>
      <c r="Q151" s="6">
        <v>2113.3000000000002</v>
      </c>
      <c r="R151" s="2" t="s">
        <v>45</v>
      </c>
      <c r="S151" s="2" t="s">
        <v>425</v>
      </c>
      <c r="T151" s="2" t="s">
        <v>40</v>
      </c>
      <c r="U151" s="2" t="s">
        <v>53</v>
      </c>
      <c r="V151" s="2"/>
    </row>
    <row r="152" spans="1:22" ht="27" customHeight="1" x14ac:dyDescent="0.3">
      <c r="A152" s="2">
        <v>151</v>
      </c>
      <c r="B152" s="2" t="s">
        <v>5</v>
      </c>
      <c r="C152" s="4">
        <v>45744</v>
      </c>
      <c r="D152" s="4" t="str">
        <f>TEXT(Tabla2[[#This Row],[fecha]],"MMMM")</f>
        <v>Marzo</v>
      </c>
      <c r="E152" s="2" t="s">
        <v>190</v>
      </c>
      <c r="F152" s="2" t="s">
        <v>55</v>
      </c>
      <c r="G152" s="2" t="s">
        <v>38</v>
      </c>
      <c r="H152" s="2" t="s">
        <v>421</v>
      </c>
      <c r="I152" s="2" t="s">
        <v>39</v>
      </c>
      <c r="J152" s="2"/>
      <c r="K152" s="2"/>
      <c r="L152" s="2">
        <v>3548</v>
      </c>
      <c r="M152" s="4">
        <v>45744</v>
      </c>
      <c r="N152" s="5">
        <v>0</v>
      </c>
      <c r="O152" s="5">
        <v>0</v>
      </c>
      <c r="P152" s="5" t="e">
        <f>IF([1]!Tabla2[[#This Row],[TIEMPO DE ATENCIÓN REALIZADO]]&lt;=[1]!Tabla2[[#This Row],[TIEMPO DE ATENCIÓN ESPERADO]],"Dentro de plazo","Fuera de plazo")</f>
        <v>#REF!</v>
      </c>
      <c r="Q152" s="6"/>
      <c r="R152" s="2"/>
      <c r="S152" s="2" t="s">
        <v>425</v>
      </c>
      <c r="T152" s="2" t="s">
        <v>40</v>
      </c>
      <c r="U152" s="2" t="s">
        <v>41</v>
      </c>
      <c r="V152" s="2"/>
    </row>
    <row r="153" spans="1:22" ht="27" customHeight="1" x14ac:dyDescent="0.3">
      <c r="A153" s="2">
        <v>152</v>
      </c>
      <c r="B153" s="2" t="s">
        <v>1</v>
      </c>
      <c r="C153" s="4">
        <v>45747</v>
      </c>
      <c r="D153" s="4" t="str">
        <f>TEXT(Tabla2[[#This Row],[fecha]],"MMMM")</f>
        <v>Marzo</v>
      </c>
      <c r="E153" s="2" t="s">
        <v>191</v>
      </c>
      <c r="F153" s="2" t="s">
        <v>414</v>
      </c>
      <c r="G153" s="2" t="s">
        <v>44</v>
      </c>
      <c r="H153" s="2"/>
      <c r="I153" s="2" t="s">
        <v>68</v>
      </c>
      <c r="J153" s="2">
        <v>393</v>
      </c>
      <c r="K153" s="2">
        <v>3376</v>
      </c>
      <c r="L153" s="2">
        <v>3549</v>
      </c>
      <c r="M153" s="4">
        <v>45747</v>
      </c>
      <c r="N153" s="5">
        <f>+Tabla2[[#This Row],[fecha_pe]]-Tabla2[[#This Row],[fecha]]</f>
        <v>0</v>
      </c>
      <c r="O153" s="5">
        <f>+Tabla2[[#This Row],[fecha_pe]]-Tabla2[[#This Row],[fecha]]</f>
        <v>0</v>
      </c>
      <c r="P153" s="5" t="e">
        <f>IF([1]!Tabla2[[#This Row],[TIEMPO DE ATENCIÓN REALIZADO]]&lt;=[1]!Tabla2[[#This Row],[TIEMPO DE ATENCIÓN ESPERADO]],"Dentro de plazo","Fuera de plazo")</f>
        <v>#REF!</v>
      </c>
      <c r="Q153" s="6">
        <v>2113.3000000000002</v>
      </c>
      <c r="R153" s="2" t="s">
        <v>45</v>
      </c>
      <c r="S153" s="2" t="s">
        <v>425</v>
      </c>
      <c r="T153" s="2" t="s">
        <v>40</v>
      </c>
      <c r="U153" s="2" t="s">
        <v>53</v>
      </c>
      <c r="V153" s="2"/>
    </row>
    <row r="154" spans="1:22" ht="27" customHeight="1" x14ac:dyDescent="0.3">
      <c r="A154" s="2">
        <v>153</v>
      </c>
      <c r="B154" s="2" t="s">
        <v>5</v>
      </c>
      <c r="C154" s="4">
        <v>45747</v>
      </c>
      <c r="D154" s="4" t="str">
        <f>TEXT(Tabla2[[#This Row],[fecha]],"MMMM")</f>
        <v>Marzo</v>
      </c>
      <c r="E154" s="2" t="s">
        <v>192</v>
      </c>
      <c r="F154" s="2" t="s">
        <v>414</v>
      </c>
      <c r="G154" s="2" t="s">
        <v>38</v>
      </c>
      <c r="H154" s="2" t="s">
        <v>60</v>
      </c>
      <c r="I154" s="2" t="s">
        <v>39</v>
      </c>
      <c r="J154" s="2">
        <v>226</v>
      </c>
      <c r="K154" s="2">
        <v>3224</v>
      </c>
      <c r="L154" s="2">
        <v>3550</v>
      </c>
      <c r="M154" s="4">
        <v>45747</v>
      </c>
      <c r="N154" s="5">
        <v>0</v>
      </c>
      <c r="O154" s="5">
        <v>0</v>
      </c>
      <c r="P154" s="5" t="e">
        <f>IF([1]!Tabla2[[#This Row],[TIEMPO DE ATENCIÓN REALIZADO]]&lt;=[1]!Tabla2[[#This Row],[TIEMPO DE ATENCIÓN ESPERADO]],"Dentro de plazo","Fuera de plazo")</f>
        <v>#REF!</v>
      </c>
      <c r="Q154" s="6">
        <v>1184</v>
      </c>
      <c r="R154" s="2" t="s">
        <v>45</v>
      </c>
      <c r="S154" s="2" t="s">
        <v>424</v>
      </c>
      <c r="T154" s="2" t="s">
        <v>46</v>
      </c>
      <c r="U154" s="2" t="s">
        <v>41</v>
      </c>
      <c r="V154" s="2"/>
    </row>
    <row r="155" spans="1:22" ht="27" customHeight="1" x14ac:dyDescent="0.3">
      <c r="A155" s="2">
        <v>154</v>
      </c>
      <c r="B155" s="2" t="s">
        <v>5</v>
      </c>
      <c r="C155" s="4">
        <v>45747</v>
      </c>
      <c r="D155" s="4" t="str">
        <f>TEXT(Tabla2[[#This Row],[fecha]],"MMMM")</f>
        <v>Marzo</v>
      </c>
      <c r="E155" s="2" t="s">
        <v>89</v>
      </c>
      <c r="F155" s="2" t="s">
        <v>415</v>
      </c>
      <c r="G155" s="2" t="s">
        <v>38</v>
      </c>
      <c r="H155" s="2" t="s">
        <v>60</v>
      </c>
      <c r="I155" s="2" t="s">
        <v>39</v>
      </c>
      <c r="J155" s="2"/>
      <c r="K155" s="2"/>
      <c r="L155" s="2">
        <v>3551</v>
      </c>
      <c r="M155" s="4">
        <v>45747</v>
      </c>
      <c r="N155" s="5">
        <v>0</v>
      </c>
      <c r="O155" s="5">
        <v>0</v>
      </c>
      <c r="P155" s="5" t="e">
        <f>IF([1]!Tabla2[[#This Row],[TIEMPO DE ATENCIÓN REALIZADO]]&lt;=[1]!Tabla2[[#This Row],[TIEMPO DE ATENCIÓN ESPERADO]],"Dentro de plazo","Fuera de plazo")</f>
        <v>#REF!</v>
      </c>
      <c r="Q155" s="6">
        <v>753</v>
      </c>
      <c r="R155" s="2" t="s">
        <v>45</v>
      </c>
      <c r="S155" s="2" t="s">
        <v>425</v>
      </c>
      <c r="T155" s="2" t="s">
        <v>40</v>
      </c>
      <c r="U155" s="2" t="s">
        <v>41</v>
      </c>
      <c r="V155" s="2"/>
    </row>
    <row r="156" spans="1:22" ht="27" customHeight="1" x14ac:dyDescent="0.3">
      <c r="A156" s="2">
        <v>155</v>
      </c>
      <c r="B156" s="2" t="s">
        <v>1</v>
      </c>
      <c r="C156" s="4">
        <v>45750</v>
      </c>
      <c r="D156" s="4" t="str">
        <f>TEXT(Tabla2[[#This Row],[fecha]],"MMMM")</f>
        <v>Abril</v>
      </c>
      <c r="E156" s="2" t="s">
        <v>193</v>
      </c>
      <c r="F156" s="2" t="s">
        <v>415</v>
      </c>
      <c r="G156" s="2" t="s">
        <v>44</v>
      </c>
      <c r="H156" s="2"/>
      <c r="I156" s="2" t="s">
        <v>465</v>
      </c>
      <c r="J156" s="2"/>
      <c r="K156" s="2"/>
      <c r="L156" s="2">
        <v>3552</v>
      </c>
      <c r="M156" s="4">
        <v>45751</v>
      </c>
      <c r="N156" s="5">
        <v>1</v>
      </c>
      <c r="O156" s="5">
        <v>1</v>
      </c>
      <c r="P156" s="5" t="e">
        <f>IF([1]!Tabla2[[#This Row],[TIEMPO DE ATENCIÓN REALIZADO]]&lt;=[1]!Tabla2[[#This Row],[TIEMPO DE ATENCIÓN ESPERADO]],"Dentro de plazo","Fuera de plazo")</f>
        <v>#REF!</v>
      </c>
      <c r="Q156" s="6"/>
      <c r="R156" s="2"/>
      <c r="S156" s="2" t="s">
        <v>425</v>
      </c>
      <c r="T156" s="2" t="s">
        <v>40</v>
      </c>
      <c r="U156" s="2"/>
      <c r="V156" s="2"/>
    </row>
    <row r="157" spans="1:22" ht="27" customHeight="1" x14ac:dyDescent="0.3">
      <c r="A157" s="2">
        <v>156</v>
      </c>
      <c r="B157" s="2" t="s">
        <v>5</v>
      </c>
      <c r="C157" s="4">
        <v>45747</v>
      </c>
      <c r="D157" s="4" t="str">
        <f>TEXT(Tabla2[[#This Row],[fecha]],"MMMM")</f>
        <v>Marzo</v>
      </c>
      <c r="E157" s="2" t="s">
        <v>181</v>
      </c>
      <c r="F157" s="2" t="s">
        <v>88</v>
      </c>
      <c r="G157" s="2" t="s">
        <v>38</v>
      </c>
      <c r="H157" s="2" t="s">
        <v>60</v>
      </c>
      <c r="I157" s="2" t="s">
        <v>39</v>
      </c>
      <c r="J157" s="2"/>
      <c r="K157" s="2"/>
      <c r="L157" s="2">
        <v>3553</v>
      </c>
      <c r="M157" s="4">
        <v>45747</v>
      </c>
      <c r="N157" s="5">
        <f>+Tabla2[[#This Row],[fecha_pe]]-Tabla2[[#This Row],[fecha]]</f>
        <v>0</v>
      </c>
      <c r="O157" s="5">
        <f>+Tabla2[[#This Row],[fecha_pe]]-Tabla2[[#This Row],[fecha]]</f>
        <v>0</v>
      </c>
      <c r="P157" s="5" t="e">
        <f>IF([1]!Tabla2[[#This Row],[TIEMPO DE ATENCIÓN REALIZADO]]&lt;=[1]!Tabla2[[#This Row],[TIEMPO DE ATENCIÓN ESPERADO]],"Dentro de plazo","Fuera de plazo")</f>
        <v>#REF!</v>
      </c>
      <c r="Q157" s="6">
        <v>753</v>
      </c>
      <c r="R157" s="2" t="s">
        <v>45</v>
      </c>
      <c r="S157" s="2" t="s">
        <v>425</v>
      </c>
      <c r="T157" s="2" t="s">
        <v>40</v>
      </c>
      <c r="U157" s="2" t="s">
        <v>41</v>
      </c>
      <c r="V157" s="2"/>
    </row>
    <row r="158" spans="1:22" ht="27" customHeight="1" x14ac:dyDescent="0.3">
      <c r="A158" s="2">
        <v>157</v>
      </c>
      <c r="B158" s="2" t="s">
        <v>5</v>
      </c>
      <c r="C158" s="4">
        <v>45751</v>
      </c>
      <c r="D158" s="4" t="str">
        <f>TEXT(Tabla2[[#This Row],[fecha]],"MMMM")</f>
        <v>Abril</v>
      </c>
      <c r="E158" s="2" t="s">
        <v>181</v>
      </c>
      <c r="F158" s="2" t="s">
        <v>88</v>
      </c>
      <c r="G158" s="2" t="s">
        <v>38</v>
      </c>
      <c r="H158" s="2"/>
      <c r="I158" s="2"/>
      <c r="J158" s="2"/>
      <c r="K158" s="2"/>
      <c r="L158" s="2">
        <v>3554</v>
      </c>
      <c r="M158" s="4">
        <v>45752</v>
      </c>
      <c r="N158" s="5">
        <v>1</v>
      </c>
      <c r="O158" s="5">
        <v>1</v>
      </c>
      <c r="P158" s="5" t="e">
        <f>IF([1]!Tabla2[[#This Row],[TIEMPO DE ATENCIÓN REALIZADO]]&lt;=[1]!Tabla2[[#This Row],[TIEMPO DE ATENCIÓN ESPERADO]],"Dentro de plazo","Fuera de plazo")</f>
        <v>#REF!</v>
      </c>
      <c r="Q158" s="6"/>
      <c r="R158" s="2"/>
      <c r="S158" s="2" t="s">
        <v>424</v>
      </c>
      <c r="T158" s="2" t="s">
        <v>46</v>
      </c>
      <c r="U158" s="2"/>
      <c r="V158" s="2"/>
    </row>
    <row r="159" spans="1:22" ht="27" customHeight="1" x14ac:dyDescent="0.3">
      <c r="A159" s="2">
        <v>158</v>
      </c>
      <c r="B159" s="2" t="s">
        <v>1</v>
      </c>
      <c r="C159" s="4">
        <v>45754</v>
      </c>
      <c r="D159" s="4" t="str">
        <f>TEXT(Tabla2[[#This Row],[fecha]],"MMMM")</f>
        <v>Abril</v>
      </c>
      <c r="E159" s="2" t="s">
        <v>17</v>
      </c>
      <c r="F159" s="2" t="s">
        <v>55</v>
      </c>
      <c r="G159" s="2" t="s">
        <v>38</v>
      </c>
      <c r="H159" s="2" t="s">
        <v>60</v>
      </c>
      <c r="I159" s="2" t="s">
        <v>429</v>
      </c>
      <c r="J159" s="2"/>
      <c r="K159" s="2"/>
      <c r="L159" s="2">
        <v>3558</v>
      </c>
      <c r="M159" s="4">
        <v>45754</v>
      </c>
      <c r="N159" s="5">
        <v>0</v>
      </c>
      <c r="O159" s="5">
        <v>0</v>
      </c>
      <c r="P159" s="5" t="e">
        <f>IF([1]!Tabla2[[#This Row],[TIEMPO DE ATENCIÓN REALIZADO]]&lt;=[1]!Tabla2[[#This Row],[TIEMPO DE ATENCIÓN ESPERADO]],"Dentro de plazo","Fuera de plazo")</f>
        <v>#REF!</v>
      </c>
      <c r="Q159" s="6"/>
      <c r="R159" s="2" t="s">
        <v>9</v>
      </c>
      <c r="S159" s="2" t="s">
        <v>425</v>
      </c>
      <c r="T159" s="2" t="s">
        <v>40</v>
      </c>
      <c r="U159" s="2" t="s">
        <v>41</v>
      </c>
      <c r="V159" s="2"/>
    </row>
    <row r="160" spans="1:22" ht="27" customHeight="1" x14ac:dyDescent="0.3">
      <c r="A160" s="2">
        <v>159</v>
      </c>
      <c r="B160" s="2" t="s">
        <v>1</v>
      </c>
      <c r="C160" s="4">
        <v>45754</v>
      </c>
      <c r="D160" s="4" t="str">
        <f>TEXT(Tabla2[[#This Row],[fecha]],"MMMM")</f>
        <v>Abril</v>
      </c>
      <c r="E160" s="2" t="s">
        <v>17</v>
      </c>
      <c r="F160" s="2" t="s">
        <v>55</v>
      </c>
      <c r="G160" s="2" t="s">
        <v>38</v>
      </c>
      <c r="H160" s="2" t="s">
        <v>60</v>
      </c>
      <c r="I160" s="2" t="s">
        <v>429</v>
      </c>
      <c r="J160" s="2"/>
      <c r="K160" s="2"/>
      <c r="L160" s="2">
        <v>3559</v>
      </c>
      <c r="M160" s="4">
        <v>45754</v>
      </c>
      <c r="N160" s="5">
        <v>0</v>
      </c>
      <c r="O160" s="5">
        <v>0</v>
      </c>
      <c r="P160" s="5" t="e">
        <f>IF([1]!Tabla2[[#This Row],[TIEMPO DE ATENCIÓN REALIZADO]]&lt;=[1]!Tabla2[[#This Row],[TIEMPO DE ATENCIÓN ESPERADO]],"Dentro de plazo","Fuera de plazo")</f>
        <v>#REF!</v>
      </c>
      <c r="Q160" s="6"/>
      <c r="R160" s="2" t="s">
        <v>9</v>
      </c>
      <c r="S160" s="2" t="s">
        <v>425</v>
      </c>
      <c r="T160" s="2" t="s">
        <v>40</v>
      </c>
      <c r="U160" s="2" t="s">
        <v>41</v>
      </c>
      <c r="V160" s="2"/>
    </row>
    <row r="161" spans="1:22" ht="27" customHeight="1" x14ac:dyDescent="0.3">
      <c r="A161" s="2">
        <v>160</v>
      </c>
      <c r="B161" s="2" t="s">
        <v>5</v>
      </c>
      <c r="C161" s="4">
        <v>45754</v>
      </c>
      <c r="D161" s="4" t="str">
        <f>TEXT(Tabla2[[#This Row],[fecha]],"MMMM")</f>
        <v>Abril</v>
      </c>
      <c r="E161" s="2" t="s">
        <v>194</v>
      </c>
      <c r="F161" s="2" t="s">
        <v>414</v>
      </c>
      <c r="G161" s="2" t="s">
        <v>38</v>
      </c>
      <c r="H161" s="2" t="s">
        <v>60</v>
      </c>
      <c r="I161" s="2" t="s">
        <v>180</v>
      </c>
      <c r="J161" s="2">
        <v>266</v>
      </c>
      <c r="K161" s="2">
        <v>3187</v>
      </c>
      <c r="L161" s="2">
        <v>3560</v>
      </c>
      <c r="M161" s="4">
        <v>45754</v>
      </c>
      <c r="N161" s="5">
        <v>0</v>
      </c>
      <c r="O161" s="5">
        <v>0</v>
      </c>
      <c r="P161" s="5" t="e">
        <f>IF([1]!Tabla2[[#This Row],[TIEMPO DE ATENCIÓN REALIZADO]]&lt;=[1]!Tabla2[[#This Row],[TIEMPO DE ATENCIÓN ESPERADO]],"Dentro de plazo","Fuera de plazo")</f>
        <v>#REF!</v>
      </c>
      <c r="Q161" s="6">
        <v>5787.31</v>
      </c>
      <c r="R161" s="2" t="s">
        <v>13</v>
      </c>
      <c r="S161" s="2" t="s">
        <v>425</v>
      </c>
      <c r="T161" s="2" t="s">
        <v>40</v>
      </c>
      <c r="U161" s="2" t="s">
        <v>41</v>
      </c>
      <c r="V161" s="2"/>
    </row>
    <row r="162" spans="1:22" ht="27" customHeight="1" x14ac:dyDescent="0.3">
      <c r="A162" s="2">
        <v>161</v>
      </c>
      <c r="B162" s="2" t="s">
        <v>5</v>
      </c>
      <c r="C162" s="4">
        <v>45755</v>
      </c>
      <c r="D162" s="4" t="str">
        <f>TEXT(Tabla2[[#This Row],[fecha]],"MMMM")</f>
        <v>Abril</v>
      </c>
      <c r="E162" s="2" t="s">
        <v>195</v>
      </c>
      <c r="F162" s="2" t="s">
        <v>414</v>
      </c>
      <c r="G162" s="2" t="s">
        <v>38</v>
      </c>
      <c r="H162" s="2" t="s">
        <v>421</v>
      </c>
      <c r="I162" s="2" t="s">
        <v>39</v>
      </c>
      <c r="J162" s="2">
        <v>368</v>
      </c>
      <c r="K162" s="2">
        <v>3383</v>
      </c>
      <c r="L162" s="2">
        <v>3561</v>
      </c>
      <c r="M162" s="4">
        <v>45755</v>
      </c>
      <c r="N162" s="5">
        <v>0</v>
      </c>
      <c r="O162" s="5">
        <v>0</v>
      </c>
      <c r="P162" s="5" t="e">
        <f>IF([1]!Tabla2[[#This Row],[TIEMPO DE ATENCIÓN REALIZADO]]&lt;=[1]!Tabla2[[#This Row],[TIEMPO DE ATENCIÓN ESPERADO]],"Dentro de plazo","Fuera de plazo")</f>
        <v>#REF!</v>
      </c>
      <c r="Q162" s="6">
        <v>817</v>
      </c>
      <c r="R162" s="2" t="s">
        <v>45</v>
      </c>
      <c r="S162" s="2" t="s">
        <v>424</v>
      </c>
      <c r="T162" s="2" t="s">
        <v>46</v>
      </c>
      <c r="U162" s="2" t="s">
        <v>53</v>
      </c>
      <c r="V162" s="2"/>
    </row>
    <row r="163" spans="1:22" ht="27" customHeight="1" x14ac:dyDescent="0.3">
      <c r="A163" s="2">
        <v>162</v>
      </c>
      <c r="B163" s="2" t="s">
        <v>5</v>
      </c>
      <c r="C163" s="4">
        <v>45755</v>
      </c>
      <c r="D163" s="4" t="str">
        <f>TEXT(Tabla2[[#This Row],[fecha]],"MMMM")</f>
        <v>Abril</v>
      </c>
      <c r="E163" s="2" t="s">
        <v>196</v>
      </c>
      <c r="F163" s="2" t="s">
        <v>414</v>
      </c>
      <c r="G163" s="2" t="s">
        <v>38</v>
      </c>
      <c r="H163" s="2" t="s">
        <v>421</v>
      </c>
      <c r="I163" s="2" t="s">
        <v>39</v>
      </c>
      <c r="J163" s="2">
        <v>368</v>
      </c>
      <c r="K163" s="2">
        <v>3383</v>
      </c>
      <c r="L163" s="2">
        <v>3562</v>
      </c>
      <c r="M163" s="4">
        <v>45755</v>
      </c>
      <c r="N163" s="5">
        <v>0</v>
      </c>
      <c r="O163" s="5">
        <v>0</v>
      </c>
      <c r="P163" s="5" t="e">
        <f>IF([1]!Tabla2[[#This Row],[TIEMPO DE ATENCIÓN REALIZADO]]&lt;=[1]!Tabla2[[#This Row],[TIEMPO DE ATENCIÓN ESPERADO]],"Dentro de plazo","Fuera de plazo")</f>
        <v>#REF!</v>
      </c>
      <c r="Q163" s="6">
        <v>14829.6</v>
      </c>
      <c r="R163" s="2" t="s">
        <v>45</v>
      </c>
      <c r="S163" s="2" t="s">
        <v>425</v>
      </c>
      <c r="T163" s="2" t="s">
        <v>40</v>
      </c>
      <c r="U163" s="2" t="s">
        <v>53</v>
      </c>
      <c r="V163" s="2" t="s">
        <v>462</v>
      </c>
    </row>
    <row r="164" spans="1:22" ht="27" customHeight="1" x14ac:dyDescent="0.3">
      <c r="A164" s="2">
        <v>163</v>
      </c>
      <c r="B164" s="2" t="s">
        <v>5</v>
      </c>
      <c r="C164" s="4">
        <v>45756</v>
      </c>
      <c r="D164" s="4" t="str">
        <f>TEXT(Tabla2[[#This Row],[fecha]],"MMMM")</f>
        <v>Abril</v>
      </c>
      <c r="E164" s="2" t="s">
        <v>17</v>
      </c>
      <c r="F164" s="2" t="s">
        <v>415</v>
      </c>
      <c r="G164" s="2" t="s">
        <v>38</v>
      </c>
      <c r="H164" s="2" t="s">
        <v>421</v>
      </c>
      <c r="I164" s="2" t="s">
        <v>429</v>
      </c>
      <c r="J164" s="2">
        <v>157</v>
      </c>
      <c r="K164" s="2">
        <v>3040</v>
      </c>
      <c r="L164" s="2">
        <v>3563</v>
      </c>
      <c r="M164" s="4">
        <v>45756</v>
      </c>
      <c r="N164" s="5">
        <v>0</v>
      </c>
      <c r="O164" s="5">
        <v>0</v>
      </c>
      <c r="P164" s="5" t="e">
        <f>IF([1]!Tabla2[[#This Row],[TIEMPO DE ATENCIÓN REALIZADO]]&lt;=[1]!Tabla2[[#This Row],[TIEMPO DE ATENCIÓN ESPERADO]],"Dentro de plazo","Fuera de plazo")</f>
        <v>#REF!</v>
      </c>
      <c r="Q164" s="6">
        <v>8945.94</v>
      </c>
      <c r="R164" s="2" t="s">
        <v>15</v>
      </c>
      <c r="S164" s="2" t="s">
        <v>427</v>
      </c>
      <c r="T164" s="2" t="s">
        <v>40</v>
      </c>
      <c r="U164" s="2" t="s">
        <v>41</v>
      </c>
      <c r="V164" s="2"/>
    </row>
    <row r="165" spans="1:22" ht="27" customHeight="1" x14ac:dyDescent="0.3">
      <c r="A165" s="2">
        <v>164</v>
      </c>
      <c r="B165" s="2" t="s">
        <v>5</v>
      </c>
      <c r="C165" s="4">
        <v>45756</v>
      </c>
      <c r="D165" s="4" t="str">
        <f>TEXT(Tabla2[[#This Row],[fecha]],"MMMM")</f>
        <v>Abril</v>
      </c>
      <c r="E165" s="2" t="s">
        <v>197</v>
      </c>
      <c r="F165" s="2" t="s">
        <v>414</v>
      </c>
      <c r="G165" s="2" t="s">
        <v>58</v>
      </c>
      <c r="H165" s="2" t="s">
        <v>421</v>
      </c>
      <c r="I165" s="2" t="s">
        <v>66</v>
      </c>
      <c r="J165" s="2">
        <v>351</v>
      </c>
      <c r="K165" s="2">
        <v>3385</v>
      </c>
      <c r="L165" s="2">
        <v>3564</v>
      </c>
      <c r="M165" s="4">
        <v>45756</v>
      </c>
      <c r="N165" s="5">
        <v>0</v>
      </c>
      <c r="O165" s="5">
        <v>0</v>
      </c>
      <c r="P165" s="5" t="e">
        <f>IF([1]!Tabla2[[#This Row],[TIEMPO DE ATENCIÓN REALIZADO]]&lt;=[1]!Tabla2[[#This Row],[TIEMPO DE ATENCIÓN ESPERADO]],"Dentro de plazo","Fuera de plazo")</f>
        <v>#REF!</v>
      </c>
      <c r="Q165" s="6">
        <v>6308.93</v>
      </c>
      <c r="R165" s="2" t="s">
        <v>15</v>
      </c>
      <c r="S165" s="2" t="s">
        <v>425</v>
      </c>
      <c r="T165" s="2" t="s">
        <v>40</v>
      </c>
      <c r="U165" s="2" t="s">
        <v>53</v>
      </c>
      <c r="V165" s="2"/>
    </row>
    <row r="166" spans="1:22" ht="27" customHeight="1" x14ac:dyDescent="0.3">
      <c r="A166" s="2">
        <v>165</v>
      </c>
      <c r="B166" s="2" t="s">
        <v>5</v>
      </c>
      <c r="C166" s="4">
        <v>45757</v>
      </c>
      <c r="D166" s="4" t="str">
        <f>TEXT(Tabla2[[#This Row],[fecha]],"MMMM")</f>
        <v>Abril</v>
      </c>
      <c r="E166" s="2" t="s">
        <v>198</v>
      </c>
      <c r="F166" s="2" t="s">
        <v>414</v>
      </c>
      <c r="G166" s="2" t="s">
        <v>58</v>
      </c>
      <c r="H166" s="2" t="s">
        <v>421</v>
      </c>
      <c r="I166" s="2" t="s">
        <v>39</v>
      </c>
      <c r="J166" s="2">
        <v>387</v>
      </c>
      <c r="K166" s="2">
        <v>3369</v>
      </c>
      <c r="L166" s="2">
        <v>3565</v>
      </c>
      <c r="M166" s="4">
        <v>45757</v>
      </c>
      <c r="N166" s="5">
        <v>0</v>
      </c>
      <c r="O166" s="5">
        <v>0</v>
      </c>
      <c r="P166" s="5" t="e">
        <f>IF([1]!Tabla2[[#This Row],[TIEMPO DE ATENCIÓN REALIZADO]]&lt;=[1]!Tabla2[[#This Row],[TIEMPO DE ATENCIÓN ESPERADO]],"Dentro de plazo","Fuera de plazo")</f>
        <v>#REF!</v>
      </c>
      <c r="Q166" s="6">
        <v>565.5</v>
      </c>
      <c r="R166" s="2" t="s">
        <v>9</v>
      </c>
      <c r="S166" s="2" t="s">
        <v>425</v>
      </c>
      <c r="T166" s="2" t="s">
        <v>40</v>
      </c>
      <c r="U166" s="2" t="s">
        <v>53</v>
      </c>
      <c r="V166" s="2"/>
    </row>
    <row r="167" spans="1:22" ht="27" customHeight="1" x14ac:dyDescent="0.3">
      <c r="A167" s="2">
        <v>166</v>
      </c>
      <c r="B167" s="2" t="s">
        <v>5</v>
      </c>
      <c r="C167" s="4">
        <v>45758</v>
      </c>
      <c r="D167" s="4" t="str">
        <f>TEXT(Tabla2[[#This Row],[fecha]],"MMMM")</f>
        <v>Abril</v>
      </c>
      <c r="E167" s="2" t="s">
        <v>199</v>
      </c>
      <c r="F167" s="2" t="s">
        <v>414</v>
      </c>
      <c r="G167" s="2" t="s">
        <v>44</v>
      </c>
      <c r="H167" s="2" t="s">
        <v>421</v>
      </c>
      <c r="I167" s="2" t="s">
        <v>39</v>
      </c>
      <c r="J167" s="2">
        <v>399</v>
      </c>
      <c r="K167" s="2">
        <v>3387</v>
      </c>
      <c r="L167" s="2">
        <v>3566</v>
      </c>
      <c r="M167" s="4">
        <v>45758</v>
      </c>
      <c r="N167" s="5">
        <v>0</v>
      </c>
      <c r="O167" s="5">
        <v>0</v>
      </c>
      <c r="P167" s="5" t="e">
        <f>IF([1]!Tabla2[[#This Row],[TIEMPO DE ATENCIÓN REALIZADO]]&lt;=[1]!Tabla2[[#This Row],[TIEMPO DE ATENCIÓN ESPERADO]],"Dentro de plazo","Fuera de plazo")</f>
        <v>#REF!</v>
      </c>
      <c r="Q167" s="6">
        <v>511.9</v>
      </c>
      <c r="R167" s="2" t="s">
        <v>9</v>
      </c>
      <c r="S167" s="2" t="s">
        <v>425</v>
      </c>
      <c r="T167" s="2" t="s">
        <v>40</v>
      </c>
      <c r="U167" s="2" t="s">
        <v>53</v>
      </c>
      <c r="V167" s="2"/>
    </row>
    <row r="168" spans="1:22" ht="27" customHeight="1" x14ac:dyDescent="0.3">
      <c r="A168" s="2">
        <v>167</v>
      </c>
      <c r="B168" s="2" t="s">
        <v>5</v>
      </c>
      <c r="C168" s="4">
        <v>45758</v>
      </c>
      <c r="D168" s="4" t="str">
        <f>TEXT(Tabla2[[#This Row],[fecha]],"MMMM")</f>
        <v>Abril</v>
      </c>
      <c r="E168" s="2" t="s">
        <v>200</v>
      </c>
      <c r="F168" s="2" t="s">
        <v>82</v>
      </c>
      <c r="G168" s="2" t="s">
        <v>58</v>
      </c>
      <c r="H168" s="2" t="s">
        <v>421</v>
      </c>
      <c r="I168" s="2" t="s">
        <v>39</v>
      </c>
      <c r="J168" s="2"/>
      <c r="K168" s="2"/>
      <c r="L168" s="2">
        <v>3567</v>
      </c>
      <c r="M168" s="4">
        <v>45758</v>
      </c>
      <c r="N168" s="5">
        <v>0</v>
      </c>
      <c r="O168" s="5">
        <v>0</v>
      </c>
      <c r="P168" s="5" t="e">
        <f>IF([1]!Tabla2[[#This Row],[TIEMPO DE ATENCIÓN REALIZADO]]&lt;=[1]!Tabla2[[#This Row],[TIEMPO DE ATENCIÓN ESPERADO]],"Dentro de plazo","Fuera de plazo")</f>
        <v>#REF!</v>
      </c>
      <c r="Q168" s="6">
        <v>150</v>
      </c>
      <c r="R168" s="2" t="s">
        <v>45</v>
      </c>
      <c r="S168" s="2" t="s">
        <v>427</v>
      </c>
      <c r="T168" s="2" t="s">
        <v>40</v>
      </c>
      <c r="U168" s="2" t="s">
        <v>53</v>
      </c>
      <c r="V168" s="2"/>
    </row>
    <row r="169" spans="1:22" ht="27" customHeight="1" x14ac:dyDescent="0.3">
      <c r="A169" s="2">
        <v>168</v>
      </c>
      <c r="B169" s="2" t="s">
        <v>5</v>
      </c>
      <c r="C169" s="4">
        <v>45761</v>
      </c>
      <c r="D169" s="4" t="str">
        <f>TEXT(Tabla2[[#This Row],[fecha]],"MMMM")</f>
        <v>Abril</v>
      </c>
      <c r="E169" s="2" t="s">
        <v>201</v>
      </c>
      <c r="F169" s="2" t="s">
        <v>415</v>
      </c>
      <c r="G169" s="2" t="s">
        <v>58</v>
      </c>
      <c r="H169" s="2" t="s">
        <v>421</v>
      </c>
      <c r="I169" s="2" t="s">
        <v>39</v>
      </c>
      <c r="J169" s="2">
        <v>399</v>
      </c>
      <c r="K169" s="2">
        <v>3389</v>
      </c>
      <c r="L169" s="2">
        <v>3568</v>
      </c>
      <c r="M169" s="4">
        <v>45761</v>
      </c>
      <c r="N169" s="5">
        <v>0</v>
      </c>
      <c r="O169" s="5">
        <v>0</v>
      </c>
      <c r="P169" s="5" t="e">
        <f>IF([1]!Tabla2[[#This Row],[TIEMPO DE ATENCIÓN REALIZADO]]&lt;=[1]!Tabla2[[#This Row],[TIEMPO DE ATENCIÓN ESPERADO]],"Dentro de plazo","Fuera de plazo")</f>
        <v>#REF!</v>
      </c>
      <c r="Q169" s="6">
        <v>656.13</v>
      </c>
      <c r="R169" s="2" t="s">
        <v>9</v>
      </c>
      <c r="S169" s="2" t="s">
        <v>425</v>
      </c>
      <c r="T169" s="2" t="s">
        <v>40</v>
      </c>
      <c r="U169" s="2" t="s">
        <v>53</v>
      </c>
      <c r="V169" s="2"/>
    </row>
    <row r="170" spans="1:22" ht="27" customHeight="1" x14ac:dyDescent="0.3">
      <c r="A170" s="2">
        <v>169</v>
      </c>
      <c r="B170" s="2" t="s">
        <v>5</v>
      </c>
      <c r="C170" s="4">
        <v>45761</v>
      </c>
      <c r="D170" s="4" t="str">
        <f>TEXT(Tabla2[[#This Row],[fecha]],"MMMM")</f>
        <v>Abril</v>
      </c>
      <c r="E170" s="2" t="s">
        <v>89</v>
      </c>
      <c r="F170" s="2" t="s">
        <v>415</v>
      </c>
      <c r="G170" s="2" t="s">
        <v>38</v>
      </c>
      <c r="H170" s="2" t="s">
        <v>60</v>
      </c>
      <c r="I170" s="2" t="s">
        <v>39</v>
      </c>
      <c r="J170" s="2">
        <v>400</v>
      </c>
      <c r="K170" s="2">
        <v>3391</v>
      </c>
      <c r="L170" s="2">
        <v>3569</v>
      </c>
      <c r="M170" s="4">
        <v>45761</v>
      </c>
      <c r="N170" s="5">
        <v>0</v>
      </c>
      <c r="O170" s="5">
        <v>0</v>
      </c>
      <c r="P170" s="5" t="e">
        <f>IF([1]!Tabla2[[#This Row],[TIEMPO DE ATENCIÓN REALIZADO]]&lt;=[1]!Tabla2[[#This Row],[TIEMPO DE ATENCIÓN ESPERADO]],"Dentro de plazo","Fuera de plazo")</f>
        <v>#REF!</v>
      </c>
      <c r="Q170" s="6">
        <v>814</v>
      </c>
      <c r="R170" s="2" t="s">
        <v>13</v>
      </c>
      <c r="S170" s="2" t="s">
        <v>424</v>
      </c>
      <c r="T170" s="2" t="s">
        <v>40</v>
      </c>
      <c r="U170" s="2" t="s">
        <v>41</v>
      </c>
      <c r="V170" s="2"/>
    </row>
    <row r="171" spans="1:22" ht="27" customHeight="1" x14ac:dyDescent="0.3">
      <c r="A171" s="2">
        <v>170</v>
      </c>
      <c r="B171" s="2" t="s">
        <v>1</v>
      </c>
      <c r="C171" s="4">
        <v>45763</v>
      </c>
      <c r="D171" s="4" t="str">
        <f>TEXT(Tabla2[[#This Row],[fecha]],"MMMM")</f>
        <v>Abril</v>
      </c>
      <c r="E171" s="2" t="s">
        <v>202</v>
      </c>
      <c r="F171" s="2" t="s">
        <v>415</v>
      </c>
      <c r="G171" s="2" t="s">
        <v>44</v>
      </c>
      <c r="H171" s="2"/>
      <c r="I171" s="2" t="s">
        <v>463</v>
      </c>
      <c r="J171" s="2">
        <v>402</v>
      </c>
      <c r="K171" s="2">
        <v>3393</v>
      </c>
      <c r="L171" s="2">
        <v>3570</v>
      </c>
      <c r="M171" s="4">
        <v>45763</v>
      </c>
      <c r="N171" s="5">
        <f>+Tabla2[[#This Row],[fecha_pe]]-Tabla2[[#This Row],[fecha]]</f>
        <v>0</v>
      </c>
      <c r="O171" s="5">
        <f>+Tabla2[[#This Row],[fecha_pe]]-Tabla2[[#This Row],[fecha]]</f>
        <v>0</v>
      </c>
      <c r="P171" s="5" t="e">
        <f>IF([1]!Tabla2[[#This Row],[TIEMPO DE ATENCIÓN REALIZADO]]&lt;=[1]!Tabla2[[#This Row],[TIEMPO DE ATENCIÓN ESPERADO]],"Dentro de plazo","Fuera de plazo")</f>
        <v>#REF!</v>
      </c>
      <c r="Q171" s="6">
        <v>5097</v>
      </c>
      <c r="R171" s="2" t="s">
        <v>24</v>
      </c>
      <c r="S171" s="2" t="s">
        <v>425</v>
      </c>
      <c r="T171" s="2" t="s">
        <v>40</v>
      </c>
      <c r="U171" s="2" t="s">
        <v>53</v>
      </c>
      <c r="V171" s="2"/>
    </row>
    <row r="172" spans="1:22" ht="27" customHeight="1" x14ac:dyDescent="0.3">
      <c r="A172" s="2">
        <v>171</v>
      </c>
      <c r="B172" s="2" t="s">
        <v>1</v>
      </c>
      <c r="C172" s="4">
        <v>45763</v>
      </c>
      <c r="D172" s="4" t="str">
        <f>TEXT(Tabla2[[#This Row],[fecha]],"MMMM")</f>
        <v>Abril</v>
      </c>
      <c r="E172" s="2" t="s">
        <v>181</v>
      </c>
      <c r="F172" s="2" t="s">
        <v>132</v>
      </c>
      <c r="G172" s="2" t="s">
        <v>38</v>
      </c>
      <c r="H172" s="2" t="s">
        <v>421</v>
      </c>
      <c r="I172" s="2"/>
      <c r="J172" s="2">
        <v>403</v>
      </c>
      <c r="K172" s="2">
        <v>3394</v>
      </c>
      <c r="L172" s="2">
        <v>3571</v>
      </c>
      <c r="M172" s="4">
        <v>45763</v>
      </c>
      <c r="N172" s="5">
        <v>0</v>
      </c>
      <c r="O172" s="5">
        <v>0</v>
      </c>
      <c r="P172" s="5" t="e">
        <f>IF([1]!Tabla2[[#This Row],[TIEMPO DE ATENCIÓN REALIZADO]]&lt;=[1]!Tabla2[[#This Row],[TIEMPO DE ATENCIÓN ESPERADO]],"Dentro de plazo","Fuera de plazo")</f>
        <v>#REF!</v>
      </c>
      <c r="Q172" s="6">
        <v>5397</v>
      </c>
      <c r="R172" s="2" t="s">
        <v>45</v>
      </c>
      <c r="S172" s="2" t="s">
        <v>427</v>
      </c>
      <c r="T172" s="2" t="s">
        <v>40</v>
      </c>
      <c r="U172" s="2" t="s">
        <v>41</v>
      </c>
      <c r="V172" s="2"/>
    </row>
    <row r="173" spans="1:22" ht="27" customHeight="1" x14ac:dyDescent="0.3">
      <c r="A173" s="2">
        <v>172</v>
      </c>
      <c r="B173" s="2" t="s">
        <v>5</v>
      </c>
      <c r="C173" s="4">
        <v>45763</v>
      </c>
      <c r="D173" s="4" t="str">
        <f>TEXT(Tabla2[[#This Row],[fecha]],"MMMM")</f>
        <v>Abril</v>
      </c>
      <c r="E173" s="2" t="s">
        <v>200</v>
      </c>
      <c r="F173" s="2" t="s">
        <v>82</v>
      </c>
      <c r="G173" s="2" t="s">
        <v>58</v>
      </c>
      <c r="H173" s="2" t="s">
        <v>421</v>
      </c>
      <c r="I173" s="2" t="s">
        <v>39</v>
      </c>
      <c r="J173" s="2">
        <v>404</v>
      </c>
      <c r="K173" s="2">
        <v>3395</v>
      </c>
      <c r="L173" s="2">
        <v>3572</v>
      </c>
      <c r="M173" s="4">
        <v>45763</v>
      </c>
      <c r="N173" s="5">
        <v>0</v>
      </c>
      <c r="O173" s="5">
        <v>0</v>
      </c>
      <c r="P173" s="5" t="e">
        <f>IF([1]!Tabla2[[#This Row],[TIEMPO DE ATENCIÓN REALIZADO]]&lt;=[1]!Tabla2[[#This Row],[TIEMPO DE ATENCIÓN ESPERADO]],"Dentro de plazo","Fuera de plazo")</f>
        <v>#REF!</v>
      </c>
      <c r="Q173" s="6">
        <v>2852.41</v>
      </c>
      <c r="R173" s="2" t="s">
        <v>45</v>
      </c>
      <c r="S173" s="2" t="s">
        <v>425</v>
      </c>
      <c r="T173" s="2" t="s">
        <v>40</v>
      </c>
      <c r="U173" s="2" t="s">
        <v>53</v>
      </c>
      <c r="V173" s="2"/>
    </row>
    <row r="174" spans="1:22" ht="27" customHeight="1" x14ac:dyDescent="0.3">
      <c r="A174" s="2">
        <v>173</v>
      </c>
      <c r="B174" s="2" t="s">
        <v>5</v>
      </c>
      <c r="C174" s="4">
        <v>45763</v>
      </c>
      <c r="D174" s="4" t="str">
        <f>TEXT(Tabla2[[#This Row],[fecha]],"MMMM")</f>
        <v>Abril</v>
      </c>
      <c r="E174" s="2" t="s">
        <v>17</v>
      </c>
      <c r="F174" s="2" t="s">
        <v>415</v>
      </c>
      <c r="G174" s="2" t="s">
        <v>38</v>
      </c>
      <c r="H174" s="2" t="s">
        <v>60</v>
      </c>
      <c r="I174" s="2" t="s">
        <v>429</v>
      </c>
      <c r="J174" s="2">
        <v>157</v>
      </c>
      <c r="K174" s="2">
        <v>3396</v>
      </c>
      <c r="L174" s="2">
        <v>3573</v>
      </c>
      <c r="M174" s="4">
        <v>45763</v>
      </c>
      <c r="N174" s="5">
        <v>0</v>
      </c>
      <c r="O174" s="5">
        <v>0</v>
      </c>
      <c r="P174" s="5" t="e">
        <f>IF([1]!Tabla2[[#This Row],[TIEMPO DE ATENCIÓN REALIZADO]]&lt;=[1]!Tabla2[[#This Row],[TIEMPO DE ATENCIÓN ESPERADO]],"Dentro de plazo","Fuera de plazo")</f>
        <v>#REF!</v>
      </c>
      <c r="Q174" s="6">
        <v>8309</v>
      </c>
      <c r="R174" s="2" t="s">
        <v>15</v>
      </c>
      <c r="S174" s="2" t="s">
        <v>424</v>
      </c>
      <c r="T174" s="2" t="s">
        <v>40</v>
      </c>
      <c r="U174" s="2" t="s">
        <v>41</v>
      </c>
      <c r="V174" s="2"/>
    </row>
    <row r="175" spans="1:22" ht="27" customHeight="1" x14ac:dyDescent="0.3">
      <c r="A175" s="2">
        <v>174</v>
      </c>
      <c r="B175" s="2" t="s">
        <v>5</v>
      </c>
      <c r="C175" s="4">
        <v>45761</v>
      </c>
      <c r="D175" s="4" t="str">
        <f>TEXT(Tabla2[[#This Row],[fecha]],"MMMM")</f>
        <v>Abril</v>
      </c>
      <c r="E175" s="2" t="s">
        <v>203</v>
      </c>
      <c r="F175" s="2" t="s">
        <v>55</v>
      </c>
      <c r="G175" s="2" t="s">
        <v>38</v>
      </c>
      <c r="H175" s="2" t="s">
        <v>421</v>
      </c>
      <c r="I175" s="2" t="s">
        <v>39</v>
      </c>
      <c r="J175" s="2"/>
      <c r="K175" s="2"/>
      <c r="L175" s="2">
        <v>3574</v>
      </c>
      <c r="M175" s="4">
        <v>45763</v>
      </c>
      <c r="N175" s="5">
        <v>2</v>
      </c>
      <c r="O175" s="5">
        <v>2</v>
      </c>
      <c r="P175" s="5" t="e">
        <f>IF([1]!Tabla2[[#This Row],[TIEMPO DE ATENCIÓN REALIZADO]]&lt;=[1]!Tabla2[[#This Row],[TIEMPO DE ATENCIÓN ESPERADO]],"Dentro de plazo","Fuera de plazo")</f>
        <v>#REF!</v>
      </c>
      <c r="Q175" s="6"/>
      <c r="R175" s="2" t="s">
        <v>15</v>
      </c>
      <c r="S175" s="2" t="s">
        <v>424</v>
      </c>
      <c r="T175" s="2" t="s">
        <v>40</v>
      </c>
      <c r="U175" s="2" t="s">
        <v>41</v>
      </c>
      <c r="V175" s="2"/>
    </row>
    <row r="176" spans="1:22" ht="27" customHeight="1" x14ac:dyDescent="0.3">
      <c r="A176" s="2">
        <v>175</v>
      </c>
      <c r="B176" s="2" t="s">
        <v>5</v>
      </c>
      <c r="C176" s="4">
        <v>45761</v>
      </c>
      <c r="D176" s="4" t="str">
        <f>TEXT(Tabla2[[#This Row],[fecha]],"MMMM")</f>
        <v>Abril</v>
      </c>
      <c r="E176" s="2" t="s">
        <v>204</v>
      </c>
      <c r="F176" s="2" t="s">
        <v>414</v>
      </c>
      <c r="G176" s="2" t="s">
        <v>58</v>
      </c>
      <c r="H176" s="2" t="s">
        <v>60</v>
      </c>
      <c r="I176" s="2" t="s">
        <v>39</v>
      </c>
      <c r="J176" s="2">
        <v>387</v>
      </c>
      <c r="K176" s="2">
        <v>3397</v>
      </c>
      <c r="L176" s="2">
        <v>3575</v>
      </c>
      <c r="M176" s="4">
        <v>45763</v>
      </c>
      <c r="N176" s="5">
        <v>2</v>
      </c>
      <c r="O176" s="5">
        <v>2</v>
      </c>
      <c r="P176" s="5" t="e">
        <f>IF([1]!Tabla2[[#This Row],[TIEMPO DE ATENCIÓN REALIZADO]]&lt;=[1]!Tabla2[[#This Row],[TIEMPO DE ATENCIÓN ESPERADO]],"Dentro de plazo","Fuera de plazo")</f>
        <v>#REF!</v>
      </c>
      <c r="Q176" s="6">
        <v>13100</v>
      </c>
      <c r="R176" s="2" t="s">
        <v>45</v>
      </c>
      <c r="S176" s="2" t="s">
        <v>425</v>
      </c>
      <c r="T176" s="2" t="s">
        <v>40</v>
      </c>
      <c r="U176" s="2" t="s">
        <v>53</v>
      </c>
      <c r="V176" s="2"/>
    </row>
    <row r="177" spans="1:22" ht="27" customHeight="1" x14ac:dyDescent="0.3">
      <c r="A177" s="2">
        <v>176</v>
      </c>
      <c r="B177" s="2" t="s">
        <v>1</v>
      </c>
      <c r="C177" s="4">
        <v>45761</v>
      </c>
      <c r="D177" s="4" t="str">
        <f>TEXT(Tabla2[[#This Row],[fecha]],"MMMM")</f>
        <v>Abril</v>
      </c>
      <c r="E177" s="2" t="s">
        <v>181</v>
      </c>
      <c r="F177" s="2" t="s">
        <v>88</v>
      </c>
      <c r="G177" s="2" t="s">
        <v>38</v>
      </c>
      <c r="H177" s="2" t="s">
        <v>60</v>
      </c>
      <c r="I177" s="2" t="s">
        <v>39</v>
      </c>
      <c r="J177" s="2">
        <v>403</v>
      </c>
      <c r="K177" s="2">
        <v>3394</v>
      </c>
      <c r="L177" s="2">
        <v>3576</v>
      </c>
      <c r="M177" s="4">
        <v>45763</v>
      </c>
      <c r="N177" s="5">
        <f>+Tabla2[[#This Row],[fecha_pe]]-Tabla2[[#This Row],[fecha]]</f>
        <v>2</v>
      </c>
      <c r="O177" s="5">
        <f>+Tabla2[[#This Row],[fecha_pe]]-Tabla2[[#This Row],[fecha]]</f>
        <v>2</v>
      </c>
      <c r="P177" s="5" t="e">
        <f>IF([1]!Tabla2[[#This Row],[TIEMPO DE ATENCIÓN REALIZADO]]&lt;=[1]!Tabla2[[#This Row],[TIEMPO DE ATENCIÓN ESPERADO]],"Dentro de plazo","Fuera de plazo")</f>
        <v>#REF!</v>
      </c>
      <c r="Q177" s="6">
        <v>5993</v>
      </c>
      <c r="R177" s="2" t="s">
        <v>45</v>
      </c>
      <c r="S177" s="2" t="s">
        <v>427</v>
      </c>
      <c r="T177" s="2" t="s">
        <v>40</v>
      </c>
      <c r="U177" s="2" t="s">
        <v>41</v>
      </c>
      <c r="V177" s="2" t="s">
        <v>464</v>
      </c>
    </row>
    <row r="178" spans="1:22" ht="27" customHeight="1" x14ac:dyDescent="0.3">
      <c r="A178" s="2">
        <v>177</v>
      </c>
      <c r="B178" s="2" t="s">
        <v>5</v>
      </c>
      <c r="C178" s="4">
        <v>45763</v>
      </c>
      <c r="D178" s="4" t="str">
        <f>TEXT(Tabla2[[#This Row],[fecha]],"MMMM")</f>
        <v>Abril</v>
      </c>
      <c r="E178" s="2" t="s">
        <v>205</v>
      </c>
      <c r="F178" s="2" t="s">
        <v>414</v>
      </c>
      <c r="G178" s="2" t="s">
        <v>38</v>
      </c>
      <c r="H178" s="2" t="s">
        <v>421</v>
      </c>
      <c r="I178" s="2" t="s">
        <v>39</v>
      </c>
      <c r="J178" s="2">
        <v>404</v>
      </c>
      <c r="K178" s="2">
        <v>3396</v>
      </c>
      <c r="L178" s="2">
        <v>3577</v>
      </c>
      <c r="M178" s="4">
        <v>45768</v>
      </c>
      <c r="N178" s="5">
        <v>5</v>
      </c>
      <c r="O178" s="5">
        <v>5</v>
      </c>
      <c r="P178" s="5" t="e">
        <f>IF([1]!Tabla2[[#This Row],[TIEMPO DE ATENCIÓN REALIZADO]]&lt;=[1]!Tabla2[[#This Row],[TIEMPO DE ATENCIÓN ESPERADO]],"Dentro de plazo","Fuera de plazo")</f>
        <v>#REF!</v>
      </c>
      <c r="Q178" s="6">
        <v>6858.16</v>
      </c>
      <c r="R178" s="2" t="s">
        <v>45</v>
      </c>
      <c r="S178" s="2" t="s">
        <v>425</v>
      </c>
      <c r="T178" s="2" t="s">
        <v>40</v>
      </c>
      <c r="U178" s="2" t="s">
        <v>41</v>
      </c>
      <c r="V178" s="2"/>
    </row>
    <row r="179" spans="1:22" ht="27" customHeight="1" x14ac:dyDescent="0.3">
      <c r="A179" s="2">
        <v>178</v>
      </c>
      <c r="B179" s="2" t="s">
        <v>1</v>
      </c>
      <c r="C179" s="4">
        <v>45761</v>
      </c>
      <c r="D179" s="4" t="str">
        <f>TEXT(Tabla2[[#This Row],[fecha]],"MMMM")</f>
        <v>Abril</v>
      </c>
      <c r="E179" s="2" t="s">
        <v>181</v>
      </c>
      <c r="F179" s="2" t="s">
        <v>88</v>
      </c>
      <c r="G179" s="2" t="s">
        <v>38</v>
      </c>
      <c r="H179" s="2" t="s">
        <v>60</v>
      </c>
      <c r="I179" s="2" t="s">
        <v>39</v>
      </c>
      <c r="J179" s="2">
        <v>403</v>
      </c>
      <c r="K179" s="2">
        <v>3394</v>
      </c>
      <c r="L179" s="2">
        <v>3578</v>
      </c>
      <c r="M179" s="4">
        <v>45768</v>
      </c>
      <c r="N179" s="5">
        <f>+Tabla2[[#This Row],[fecha_pe]]-Tabla2[[#This Row],[fecha]]</f>
        <v>7</v>
      </c>
      <c r="O179" s="5">
        <f>+Tabla2[[#This Row],[fecha_pe]]-Tabla2[[#This Row],[fecha]]</f>
        <v>7</v>
      </c>
      <c r="P179" s="5" t="e">
        <f>IF([1]!Tabla2[[#This Row],[TIEMPO DE ATENCIÓN REALIZADO]]&lt;=[1]!Tabla2[[#This Row],[TIEMPO DE ATENCIÓN ESPERADO]],"Dentro de plazo","Fuera de plazo")</f>
        <v>#REF!</v>
      </c>
      <c r="Q179" s="6">
        <v>6997</v>
      </c>
      <c r="R179" s="2" t="s">
        <v>45</v>
      </c>
      <c r="S179" s="2" t="s">
        <v>56</v>
      </c>
      <c r="T179" s="2" t="s">
        <v>40</v>
      </c>
      <c r="U179" s="2" t="s">
        <v>41</v>
      </c>
      <c r="V179" s="2"/>
    </row>
    <row r="180" spans="1:22" ht="27" customHeight="1" x14ac:dyDescent="0.3">
      <c r="A180" s="2">
        <v>179</v>
      </c>
      <c r="B180" s="2" t="s">
        <v>5</v>
      </c>
      <c r="C180" s="4">
        <v>45766</v>
      </c>
      <c r="D180" s="4" t="str">
        <f>TEXT(Tabla2[[#This Row],[fecha]],"MMMM")</f>
        <v>Abril</v>
      </c>
      <c r="E180" s="2" t="s">
        <v>206</v>
      </c>
      <c r="F180" s="2" t="s">
        <v>72</v>
      </c>
      <c r="G180" s="2" t="s">
        <v>38</v>
      </c>
      <c r="H180" s="2" t="s">
        <v>421</v>
      </c>
      <c r="I180" s="2" t="s">
        <v>39</v>
      </c>
      <c r="J180" s="2">
        <v>405</v>
      </c>
      <c r="K180" s="2">
        <v>3399</v>
      </c>
      <c r="L180" s="2">
        <v>3579</v>
      </c>
      <c r="M180" s="4">
        <v>45768</v>
      </c>
      <c r="N180" s="5">
        <v>2</v>
      </c>
      <c r="O180" s="5">
        <v>2</v>
      </c>
      <c r="P180" s="5" t="e">
        <f>IF([1]!Tabla2[[#This Row],[TIEMPO DE ATENCIÓN REALIZADO]]&lt;=[1]!Tabla2[[#This Row],[TIEMPO DE ATENCIÓN ESPERADO]],"Dentro de plazo","Fuera de plazo")</f>
        <v>#REF!</v>
      </c>
      <c r="Q180" s="6">
        <v>2197.35</v>
      </c>
      <c r="R180" s="2" t="s">
        <v>9</v>
      </c>
      <c r="S180" s="2" t="s">
        <v>425</v>
      </c>
      <c r="T180" s="2" t="s">
        <v>40</v>
      </c>
      <c r="U180" s="2" t="s">
        <v>41</v>
      </c>
      <c r="V180" s="2"/>
    </row>
    <row r="181" spans="1:22" ht="27" customHeight="1" x14ac:dyDescent="0.3">
      <c r="A181" s="2">
        <v>180</v>
      </c>
      <c r="B181" s="2" t="s">
        <v>5</v>
      </c>
      <c r="C181" s="4">
        <v>45766</v>
      </c>
      <c r="D181" s="4" t="str">
        <f>TEXT(Tabla2[[#This Row],[fecha]],"MMMM")</f>
        <v>Abril</v>
      </c>
      <c r="E181" s="2" t="s">
        <v>206</v>
      </c>
      <c r="F181" s="2" t="s">
        <v>55</v>
      </c>
      <c r="G181" s="2" t="s">
        <v>38</v>
      </c>
      <c r="H181" s="2" t="s">
        <v>421</v>
      </c>
      <c r="I181" s="2" t="s">
        <v>39</v>
      </c>
      <c r="J181" s="2"/>
      <c r="K181" s="2"/>
      <c r="L181" s="2">
        <v>3580</v>
      </c>
      <c r="M181" s="4">
        <v>45768</v>
      </c>
      <c r="N181" s="5">
        <v>2</v>
      </c>
      <c r="O181" s="5">
        <v>2</v>
      </c>
      <c r="P181" s="5" t="e">
        <f>IF([1]!Tabla2[[#This Row],[TIEMPO DE ATENCIÓN REALIZADO]]&lt;=[1]!Tabla2[[#This Row],[TIEMPO DE ATENCIÓN ESPERADO]],"Dentro de plazo","Fuera de plazo")</f>
        <v>#REF!</v>
      </c>
      <c r="Q181" s="6"/>
      <c r="R181" s="2" t="s">
        <v>9</v>
      </c>
      <c r="S181" s="2" t="s">
        <v>425</v>
      </c>
      <c r="T181" s="2" t="s">
        <v>40</v>
      </c>
      <c r="U181" s="2" t="s">
        <v>41</v>
      </c>
      <c r="V181" s="2"/>
    </row>
    <row r="182" spans="1:22" ht="27" customHeight="1" x14ac:dyDescent="0.3">
      <c r="A182" s="2">
        <v>181</v>
      </c>
      <c r="B182" s="2" t="s">
        <v>1</v>
      </c>
      <c r="C182" s="4">
        <v>45768</v>
      </c>
      <c r="D182" s="4" t="str">
        <f>TEXT(Tabla2[[#This Row],[fecha]],"MMMM")</f>
        <v>Abril</v>
      </c>
      <c r="E182" s="2" t="s">
        <v>37</v>
      </c>
      <c r="F182" s="2" t="s">
        <v>417</v>
      </c>
      <c r="G182" s="2" t="s">
        <v>38</v>
      </c>
      <c r="H182" s="2" t="s">
        <v>421</v>
      </c>
      <c r="I182" s="2" t="s">
        <v>39</v>
      </c>
      <c r="J182" s="2"/>
      <c r="K182" s="2"/>
      <c r="L182" s="2">
        <v>3581</v>
      </c>
      <c r="M182" s="4">
        <v>45768</v>
      </c>
      <c r="N182" s="5">
        <f>+Tabla2[[#This Row],[fecha_pe]]-Tabla2[[#This Row],[fecha]]</f>
        <v>0</v>
      </c>
      <c r="O182" s="5">
        <f>+Tabla2[[#This Row],[fecha_pe]]-Tabla2[[#This Row],[fecha]]</f>
        <v>0</v>
      </c>
      <c r="P182" s="5" t="e">
        <f>IF([1]!Tabla2[[#This Row],[TIEMPO DE ATENCIÓN REALIZADO]]&lt;=[1]!Tabla2[[#This Row],[TIEMPO DE ATENCIÓN ESPERADO]],"Dentro de plazo","Fuera de plazo")</f>
        <v>#REF!</v>
      </c>
      <c r="Q182" s="6">
        <v>1390.7</v>
      </c>
      <c r="R182" s="2" t="s">
        <v>45</v>
      </c>
      <c r="S182" s="2" t="s">
        <v>425</v>
      </c>
      <c r="T182" s="2" t="s">
        <v>40</v>
      </c>
      <c r="U182" s="2" t="s">
        <v>41</v>
      </c>
      <c r="V182" s="2"/>
    </row>
    <row r="183" spans="1:22" ht="27" customHeight="1" x14ac:dyDescent="0.3">
      <c r="A183" s="2">
        <v>182</v>
      </c>
      <c r="B183" s="2" t="s">
        <v>1</v>
      </c>
      <c r="C183" s="4">
        <v>45769</v>
      </c>
      <c r="D183" s="4" t="str">
        <f>TEXT(Tabla2[[#This Row],[fecha]],"MMMM")</f>
        <v>Abril</v>
      </c>
      <c r="E183" s="2" t="s">
        <v>207</v>
      </c>
      <c r="F183" s="2" t="s">
        <v>55</v>
      </c>
      <c r="G183" s="2" t="s">
        <v>38</v>
      </c>
      <c r="H183" s="2" t="s">
        <v>421</v>
      </c>
      <c r="I183" s="2" t="s">
        <v>39</v>
      </c>
      <c r="J183" s="2"/>
      <c r="K183" s="2"/>
      <c r="L183" s="2">
        <v>3582</v>
      </c>
      <c r="M183" s="4">
        <v>45769</v>
      </c>
      <c r="N183" s="5">
        <f>+Tabla2[[#This Row],[fecha_pe]]-Tabla2[[#This Row],[fecha]]</f>
        <v>0</v>
      </c>
      <c r="O183" s="5">
        <f>+Tabla2[[#This Row],[fecha_pe]]-Tabla2[[#This Row],[fecha]]</f>
        <v>0</v>
      </c>
      <c r="P183" s="5" t="e">
        <f>IF([1]!Tabla2[[#This Row],[TIEMPO DE ATENCIÓN REALIZADO]]&lt;=[1]!Tabla2[[#This Row],[TIEMPO DE ATENCIÓN ESPERADO]],"Dentro de plazo","Fuera de plazo")</f>
        <v>#REF!</v>
      </c>
      <c r="Q183" s="6">
        <v>14000</v>
      </c>
      <c r="R183" s="2" t="s">
        <v>45</v>
      </c>
      <c r="S183" s="2" t="s">
        <v>56</v>
      </c>
      <c r="T183" s="2" t="s">
        <v>40</v>
      </c>
      <c r="U183" s="2" t="s">
        <v>41</v>
      </c>
      <c r="V183" s="2"/>
    </row>
    <row r="184" spans="1:22" ht="27" customHeight="1" x14ac:dyDescent="0.3">
      <c r="A184" s="2">
        <v>183</v>
      </c>
      <c r="B184" s="2" t="s">
        <v>5</v>
      </c>
      <c r="C184" s="4">
        <v>45770</v>
      </c>
      <c r="D184" s="4" t="str">
        <f>TEXT(Tabla2[[#This Row],[fecha]],"MMMM")</f>
        <v>Abril</v>
      </c>
      <c r="E184" s="2" t="s">
        <v>208</v>
      </c>
      <c r="F184" s="2" t="s">
        <v>416</v>
      </c>
      <c r="G184" s="2" t="s">
        <v>38</v>
      </c>
      <c r="H184" s="2" t="s">
        <v>421</v>
      </c>
      <c r="I184" s="2" t="s">
        <v>80</v>
      </c>
      <c r="J184" s="2"/>
      <c r="K184" s="2"/>
      <c r="L184" s="2">
        <v>3583</v>
      </c>
      <c r="M184" s="4">
        <v>45770</v>
      </c>
      <c r="N184" s="5">
        <v>0</v>
      </c>
      <c r="O184" s="5">
        <v>0</v>
      </c>
      <c r="P184" s="5" t="e">
        <f>IF([1]!Tabla2[[#This Row],[TIEMPO DE ATENCIÓN REALIZADO]]&lt;=[1]!Tabla2[[#This Row],[TIEMPO DE ATENCIÓN ESPERADO]],"Dentro de plazo","Fuera de plazo")</f>
        <v>#REF!</v>
      </c>
      <c r="Q184" s="6">
        <v>690</v>
      </c>
      <c r="R184" s="2" t="s">
        <v>13</v>
      </c>
      <c r="S184" s="2" t="s">
        <v>424</v>
      </c>
      <c r="T184" s="2" t="s">
        <v>46</v>
      </c>
      <c r="U184" s="2" t="s">
        <v>41</v>
      </c>
      <c r="V184" s="2"/>
    </row>
    <row r="185" spans="1:22" ht="27" customHeight="1" x14ac:dyDescent="0.3">
      <c r="A185" s="2">
        <v>184</v>
      </c>
      <c r="B185" s="2" t="s">
        <v>5</v>
      </c>
      <c r="C185" s="4">
        <v>45770</v>
      </c>
      <c r="D185" s="4" t="str">
        <f>TEXT(Tabla2[[#This Row],[fecha]],"MMMM")</f>
        <v>Abril</v>
      </c>
      <c r="E185" s="2" t="s">
        <v>209</v>
      </c>
      <c r="F185" s="2" t="s">
        <v>414</v>
      </c>
      <c r="G185" s="2" t="s">
        <v>38</v>
      </c>
      <c r="H185" s="2" t="s">
        <v>421</v>
      </c>
      <c r="I185" s="2" t="s">
        <v>39</v>
      </c>
      <c r="J185" s="2"/>
      <c r="K185" s="2"/>
      <c r="L185" s="2">
        <v>3584</v>
      </c>
      <c r="M185" s="4">
        <v>45770</v>
      </c>
      <c r="N185" s="5">
        <v>0</v>
      </c>
      <c r="O185" s="5">
        <v>0</v>
      </c>
      <c r="P185" s="5" t="e">
        <f>IF([1]!Tabla2[[#This Row],[TIEMPO DE ATENCIÓN REALIZADO]]&lt;=[1]!Tabla2[[#This Row],[TIEMPO DE ATENCIÓN ESPERADO]],"Dentro de plazo","Fuera de plazo")</f>
        <v>#REF!</v>
      </c>
      <c r="Q185" s="6">
        <v>1870</v>
      </c>
      <c r="R185" s="2" t="s">
        <v>13</v>
      </c>
      <c r="S185" s="2" t="s">
        <v>424</v>
      </c>
      <c r="T185" s="2" t="s">
        <v>40</v>
      </c>
      <c r="U185" s="2" t="s">
        <v>53</v>
      </c>
      <c r="V185" s="2"/>
    </row>
    <row r="186" spans="1:22" ht="27" customHeight="1" x14ac:dyDescent="0.3">
      <c r="A186" s="2">
        <v>185</v>
      </c>
      <c r="B186" s="2" t="s">
        <v>5</v>
      </c>
      <c r="C186" s="4">
        <v>45770</v>
      </c>
      <c r="D186" s="4" t="str">
        <f>TEXT(Tabla2[[#This Row],[fecha]],"MMMM")</f>
        <v>Abril</v>
      </c>
      <c r="E186" s="2" t="s">
        <v>209</v>
      </c>
      <c r="F186" s="2" t="s">
        <v>414</v>
      </c>
      <c r="G186" s="2" t="s">
        <v>38</v>
      </c>
      <c r="H186" s="2" t="s">
        <v>421</v>
      </c>
      <c r="I186" s="2" t="s">
        <v>39</v>
      </c>
      <c r="J186" s="2"/>
      <c r="K186" s="2"/>
      <c r="L186" s="2">
        <v>3585</v>
      </c>
      <c r="M186" s="4">
        <v>45770</v>
      </c>
      <c r="N186" s="5">
        <v>0</v>
      </c>
      <c r="O186" s="5">
        <v>0</v>
      </c>
      <c r="P186" s="5" t="e">
        <f>IF([1]!Tabla2[[#This Row],[TIEMPO DE ATENCIÓN REALIZADO]]&lt;=[1]!Tabla2[[#This Row],[TIEMPO DE ATENCIÓN ESPERADO]],"Dentro de plazo","Fuera de plazo")</f>
        <v>#REF!</v>
      </c>
      <c r="Q186" s="6">
        <v>180</v>
      </c>
      <c r="R186" s="2" t="s">
        <v>13</v>
      </c>
      <c r="S186" s="2" t="s">
        <v>424</v>
      </c>
      <c r="T186" s="2" t="s">
        <v>40</v>
      </c>
      <c r="U186" s="2" t="s">
        <v>53</v>
      </c>
      <c r="V186" s="2"/>
    </row>
    <row r="187" spans="1:22" ht="27" customHeight="1" x14ac:dyDescent="0.3">
      <c r="A187" s="2">
        <v>186</v>
      </c>
      <c r="B187" s="2" t="s">
        <v>5</v>
      </c>
      <c r="C187" s="4">
        <v>45771</v>
      </c>
      <c r="D187" s="4" t="str">
        <f>TEXT(Tabla2[[#This Row],[fecha]],"MMMM")</f>
        <v>Abril</v>
      </c>
      <c r="E187" s="2" t="s">
        <v>210</v>
      </c>
      <c r="F187" s="2" t="s">
        <v>415</v>
      </c>
      <c r="G187" s="2" t="s">
        <v>44</v>
      </c>
      <c r="H187" s="2" t="s">
        <v>60</v>
      </c>
      <c r="I187" s="2" t="s">
        <v>39</v>
      </c>
      <c r="J187" s="2"/>
      <c r="K187" s="2"/>
      <c r="L187" s="2">
        <v>3586</v>
      </c>
      <c r="M187" s="4">
        <v>45771</v>
      </c>
      <c r="N187" s="5">
        <v>0</v>
      </c>
      <c r="O187" s="5">
        <v>0</v>
      </c>
      <c r="P187" s="5" t="e">
        <f>IF([1]!Tabla2[[#This Row],[TIEMPO DE ATENCIÓN REALIZADO]]&lt;=[1]!Tabla2[[#This Row],[TIEMPO DE ATENCIÓN ESPERADO]],"Dentro de plazo","Fuera de plazo")</f>
        <v>#REF!</v>
      </c>
      <c r="Q187" s="6">
        <v>1059.5</v>
      </c>
      <c r="R187" s="2" t="s">
        <v>9</v>
      </c>
      <c r="S187" s="2" t="s">
        <v>425</v>
      </c>
      <c r="T187" s="2" t="s">
        <v>40</v>
      </c>
      <c r="U187" s="2" t="s">
        <v>53</v>
      </c>
      <c r="V187" s="2"/>
    </row>
    <row r="188" spans="1:22" ht="27" customHeight="1" x14ac:dyDescent="0.3">
      <c r="A188" s="2">
        <v>187</v>
      </c>
      <c r="B188" s="2" t="s">
        <v>5</v>
      </c>
      <c r="C188" s="4">
        <v>45771</v>
      </c>
      <c r="D188" s="4" t="str">
        <f>TEXT(Tabla2[[#This Row],[fecha]],"MMMM")</f>
        <v>Abril</v>
      </c>
      <c r="E188" s="2" t="s">
        <v>210</v>
      </c>
      <c r="F188" s="2" t="s">
        <v>415</v>
      </c>
      <c r="G188" s="2" t="s">
        <v>44</v>
      </c>
      <c r="H188" s="2" t="s">
        <v>60</v>
      </c>
      <c r="I188" s="2" t="s">
        <v>39</v>
      </c>
      <c r="J188" s="2"/>
      <c r="K188" s="2"/>
      <c r="L188" s="2">
        <v>3587</v>
      </c>
      <c r="M188" s="4">
        <v>45771</v>
      </c>
      <c r="N188" s="5">
        <v>0</v>
      </c>
      <c r="O188" s="5">
        <v>0</v>
      </c>
      <c r="P188" s="5" t="e">
        <f>IF([1]!Tabla2[[#This Row],[TIEMPO DE ATENCIÓN REALIZADO]]&lt;=[1]!Tabla2[[#This Row],[TIEMPO DE ATENCIÓN ESPERADO]],"Dentro de plazo","Fuera de plazo")</f>
        <v>#REF!</v>
      </c>
      <c r="Q188" s="6">
        <v>667.7</v>
      </c>
      <c r="R188" s="2" t="s">
        <v>9</v>
      </c>
      <c r="S188" s="2" t="s">
        <v>425</v>
      </c>
      <c r="T188" s="2" t="s">
        <v>40</v>
      </c>
      <c r="U188" s="2" t="s">
        <v>53</v>
      </c>
      <c r="V188" s="2"/>
    </row>
    <row r="189" spans="1:22" ht="27" customHeight="1" x14ac:dyDescent="0.3">
      <c r="A189" s="2">
        <v>188</v>
      </c>
      <c r="B189" s="2" t="s">
        <v>1</v>
      </c>
      <c r="C189" s="4">
        <v>45772</v>
      </c>
      <c r="D189" s="4" t="str">
        <f>TEXT(Tabla2[[#This Row],[fecha]],"MMMM")</f>
        <v>Abril</v>
      </c>
      <c r="E189" s="2" t="s">
        <v>211</v>
      </c>
      <c r="F189" s="2" t="s">
        <v>88</v>
      </c>
      <c r="G189" s="2" t="s">
        <v>38</v>
      </c>
      <c r="H189" s="2" t="s">
        <v>421</v>
      </c>
      <c r="I189" s="2" t="s">
        <v>463</v>
      </c>
      <c r="J189" s="2"/>
      <c r="K189" s="2"/>
      <c r="L189" s="2">
        <v>3588</v>
      </c>
      <c r="M189" s="4">
        <v>45772</v>
      </c>
      <c r="N189" s="5">
        <f>+Tabla2[[#This Row],[fecha_pe]]-Tabla2[[#This Row],[fecha]]</f>
        <v>0</v>
      </c>
      <c r="O189" s="5">
        <f>+Tabla2[[#This Row],[fecha_pe]]-Tabla2[[#This Row],[fecha]]</f>
        <v>0</v>
      </c>
      <c r="P189" s="5" t="e">
        <f>IF([1]!Tabla2[[#This Row],[TIEMPO DE ATENCIÓN REALIZADO]]&lt;=[1]!Tabla2[[#This Row],[TIEMPO DE ATENCIÓN ESPERADO]],"Dentro de plazo","Fuera de plazo")</f>
        <v>#REF!</v>
      </c>
      <c r="Q189" s="6">
        <v>820</v>
      </c>
      <c r="R189" s="2" t="s">
        <v>45</v>
      </c>
      <c r="S189" s="2" t="s">
        <v>424</v>
      </c>
      <c r="T189" s="2" t="s">
        <v>46</v>
      </c>
      <c r="U189" s="2" t="s">
        <v>41</v>
      </c>
      <c r="V189" s="2"/>
    </row>
    <row r="190" spans="1:22" ht="27" customHeight="1" x14ac:dyDescent="0.3">
      <c r="A190" s="2">
        <v>189</v>
      </c>
      <c r="B190" s="2" t="s">
        <v>5</v>
      </c>
      <c r="C190" s="4">
        <v>45768</v>
      </c>
      <c r="D190" s="4" t="str">
        <f>TEXT(Tabla2[[#This Row],[fecha]],"MMMM")</f>
        <v>Abril</v>
      </c>
      <c r="E190" s="2" t="s">
        <v>51</v>
      </c>
      <c r="F190" s="2" t="s">
        <v>414</v>
      </c>
      <c r="G190" s="2" t="s">
        <v>38</v>
      </c>
      <c r="H190" s="2" t="s">
        <v>60</v>
      </c>
      <c r="I190" s="2" t="s">
        <v>52</v>
      </c>
      <c r="J190" s="2">
        <v>407</v>
      </c>
      <c r="K190" s="2">
        <v>3358</v>
      </c>
      <c r="L190" s="2">
        <v>3589</v>
      </c>
      <c r="M190" s="4">
        <v>45772</v>
      </c>
      <c r="N190" s="5">
        <v>4</v>
      </c>
      <c r="O190" s="5">
        <v>4</v>
      </c>
      <c r="P190" s="5" t="e">
        <f>IF([1]!Tabla2[[#This Row],[TIEMPO DE ATENCIÓN REALIZADO]]&lt;=[1]!Tabla2[[#This Row],[TIEMPO DE ATENCIÓN ESPERADO]],"Dentro de plazo","Fuera de plazo")</f>
        <v>#REF!</v>
      </c>
      <c r="Q190" s="6">
        <v>3850.9</v>
      </c>
      <c r="R190" s="2" t="s">
        <v>9</v>
      </c>
      <c r="S190" s="2" t="s">
        <v>424</v>
      </c>
      <c r="T190" s="2" t="s">
        <v>40</v>
      </c>
      <c r="U190" s="2" t="s">
        <v>41</v>
      </c>
      <c r="V190" s="2"/>
    </row>
    <row r="191" spans="1:22" ht="27" customHeight="1" x14ac:dyDescent="0.3">
      <c r="A191" s="2">
        <v>190</v>
      </c>
      <c r="B191" s="2" t="s">
        <v>5</v>
      </c>
      <c r="C191" s="4">
        <v>45772</v>
      </c>
      <c r="D191" s="4" t="str">
        <f>TEXT(Tabla2[[#This Row],[fecha]],"MMMM")</f>
        <v>Abril</v>
      </c>
      <c r="E191" s="2" t="s">
        <v>206</v>
      </c>
      <c r="F191" s="2" t="s">
        <v>55</v>
      </c>
      <c r="G191" s="2" t="s">
        <v>38</v>
      </c>
      <c r="H191" s="2" t="s">
        <v>421</v>
      </c>
      <c r="I191" s="2" t="s">
        <v>39</v>
      </c>
      <c r="J191" s="2"/>
      <c r="K191" s="2"/>
      <c r="L191" s="2">
        <v>3590</v>
      </c>
      <c r="M191" s="4">
        <v>45772</v>
      </c>
      <c r="N191" s="5">
        <v>0</v>
      </c>
      <c r="O191" s="5">
        <v>0</v>
      </c>
      <c r="P191" s="5" t="e">
        <f>IF([1]!Tabla2[[#This Row],[TIEMPO DE ATENCIÓN REALIZADO]]&lt;=[1]!Tabla2[[#This Row],[TIEMPO DE ATENCIÓN ESPERADO]],"Dentro de plazo","Fuera de plazo")</f>
        <v>#REF!</v>
      </c>
      <c r="Q191" s="6"/>
      <c r="R191" s="2" t="s">
        <v>9</v>
      </c>
      <c r="S191" s="2" t="s">
        <v>425</v>
      </c>
      <c r="T191" s="2" t="s">
        <v>40</v>
      </c>
      <c r="U191" s="2" t="s">
        <v>41</v>
      </c>
      <c r="V191" s="2"/>
    </row>
    <row r="192" spans="1:22" ht="27" customHeight="1" x14ac:dyDescent="0.3">
      <c r="A192" s="2">
        <v>191</v>
      </c>
      <c r="B192" s="2" t="s">
        <v>5</v>
      </c>
      <c r="C192" s="4">
        <v>45770</v>
      </c>
      <c r="D192" s="4" t="str">
        <f>TEXT(Tabla2[[#This Row],[fecha]],"MMMM")</f>
        <v>Abril</v>
      </c>
      <c r="E192" s="2" t="s">
        <v>212</v>
      </c>
      <c r="F192" s="2" t="s">
        <v>414</v>
      </c>
      <c r="G192" s="2" t="s">
        <v>58</v>
      </c>
      <c r="H192" s="2" t="s">
        <v>60</v>
      </c>
      <c r="I192" s="2" t="s">
        <v>66</v>
      </c>
      <c r="J192" s="2">
        <v>408</v>
      </c>
      <c r="K192" s="2">
        <v>3403</v>
      </c>
      <c r="L192" s="2">
        <v>3591</v>
      </c>
      <c r="M192" s="4">
        <v>45772</v>
      </c>
      <c r="N192" s="5">
        <v>2</v>
      </c>
      <c r="O192" s="5">
        <v>2</v>
      </c>
      <c r="P192" s="5" t="e">
        <f>IF([1]!Tabla2[[#This Row],[TIEMPO DE ATENCIÓN REALIZADO]]&lt;=[1]!Tabla2[[#This Row],[TIEMPO DE ATENCIÓN ESPERADO]],"Dentro de plazo","Fuera de plazo")</f>
        <v>#REF!</v>
      </c>
      <c r="Q192" s="6">
        <v>16897.07</v>
      </c>
      <c r="R192" s="2" t="s">
        <v>9</v>
      </c>
      <c r="S192" s="2" t="s">
        <v>425</v>
      </c>
      <c r="T192" s="2" t="s">
        <v>40</v>
      </c>
      <c r="U192" s="2"/>
      <c r="V192" s="2"/>
    </row>
    <row r="193" spans="1:22" ht="27" customHeight="1" x14ac:dyDescent="0.3">
      <c r="A193" s="2">
        <v>192</v>
      </c>
      <c r="B193" s="2" t="s">
        <v>5</v>
      </c>
      <c r="C193" s="4">
        <v>45774</v>
      </c>
      <c r="D193" s="4" t="str">
        <f>TEXT(Tabla2[[#This Row],[fecha]],"MMMM")</f>
        <v>Abril</v>
      </c>
      <c r="E193" s="2" t="s">
        <v>213</v>
      </c>
      <c r="F193" s="2" t="s">
        <v>414</v>
      </c>
      <c r="G193" s="2" t="s">
        <v>38</v>
      </c>
      <c r="H193" s="2" t="s">
        <v>60</v>
      </c>
      <c r="I193" s="2" t="s">
        <v>80</v>
      </c>
      <c r="J193" s="2">
        <v>408</v>
      </c>
      <c r="K193" s="2">
        <v>3405</v>
      </c>
      <c r="L193" s="2">
        <v>3592</v>
      </c>
      <c r="M193" s="4">
        <v>45776</v>
      </c>
      <c r="N193" s="5">
        <v>2</v>
      </c>
      <c r="O193" s="5">
        <v>2</v>
      </c>
      <c r="P193" s="5" t="e">
        <f>IF([1]!Tabla2[[#This Row],[TIEMPO DE ATENCIÓN REALIZADO]]&lt;=[1]!Tabla2[[#This Row],[TIEMPO DE ATENCIÓN ESPERADO]],"Dentro de plazo","Fuera de plazo")</f>
        <v>#REF!</v>
      </c>
      <c r="Q193" s="6">
        <v>2063.9899999999998</v>
      </c>
      <c r="R193" s="2" t="s">
        <v>15</v>
      </c>
      <c r="S193" s="2" t="s">
        <v>425</v>
      </c>
      <c r="T193" s="2" t="s">
        <v>40</v>
      </c>
      <c r="U193" s="2" t="s">
        <v>53</v>
      </c>
      <c r="V193" s="2"/>
    </row>
    <row r="194" spans="1:22" ht="27" customHeight="1" x14ac:dyDescent="0.3">
      <c r="A194" s="2">
        <v>193</v>
      </c>
      <c r="B194" s="2" t="s">
        <v>5</v>
      </c>
      <c r="C194" s="4">
        <v>45779</v>
      </c>
      <c r="D194" s="4" t="str">
        <f>TEXT(Tabla2[[#This Row],[fecha]],"MMMM")</f>
        <v>Mayo</v>
      </c>
      <c r="E194" s="2" t="s">
        <v>214</v>
      </c>
      <c r="F194" s="2" t="s">
        <v>55</v>
      </c>
      <c r="G194" s="2" t="s">
        <v>44</v>
      </c>
      <c r="H194" s="2" t="s">
        <v>60</v>
      </c>
      <c r="I194" s="2" t="s">
        <v>215</v>
      </c>
      <c r="J194" s="2"/>
      <c r="K194" s="2"/>
      <c r="L194" s="2">
        <v>3593</v>
      </c>
      <c r="M194" s="4">
        <v>45779</v>
      </c>
      <c r="N194" s="5">
        <v>0</v>
      </c>
      <c r="O194" s="5">
        <v>0</v>
      </c>
      <c r="P194" s="5" t="e">
        <f>IF([1]!Tabla2[[#This Row],[TIEMPO DE ATENCIÓN REALIZADO]]&lt;=[1]!Tabla2[[#This Row],[TIEMPO DE ATENCIÓN ESPERADO]],"Dentro de plazo","Fuera de plazo")</f>
        <v>#REF!</v>
      </c>
      <c r="Q194" s="6">
        <v>2265</v>
      </c>
      <c r="R194" s="2" t="s">
        <v>13</v>
      </c>
      <c r="S194" s="2" t="s">
        <v>425</v>
      </c>
      <c r="T194" s="2" t="s">
        <v>40</v>
      </c>
      <c r="U194" s="2" t="s">
        <v>53</v>
      </c>
      <c r="V194" s="2"/>
    </row>
    <row r="195" spans="1:22" ht="27" customHeight="1" x14ac:dyDescent="0.3">
      <c r="A195" s="2">
        <v>194</v>
      </c>
      <c r="B195" s="2" t="s">
        <v>5</v>
      </c>
      <c r="C195" s="4">
        <v>45779</v>
      </c>
      <c r="D195" s="4" t="str">
        <f>TEXT(Tabla2[[#This Row],[fecha]],"MMMM")</f>
        <v>Mayo</v>
      </c>
      <c r="E195" s="2" t="s">
        <v>214</v>
      </c>
      <c r="F195" s="2" t="s">
        <v>55</v>
      </c>
      <c r="G195" s="2" t="s">
        <v>44</v>
      </c>
      <c r="H195" s="2" t="s">
        <v>60</v>
      </c>
      <c r="I195" s="2" t="s">
        <v>215</v>
      </c>
      <c r="J195" s="2"/>
      <c r="K195" s="2"/>
      <c r="L195" s="2">
        <v>3594</v>
      </c>
      <c r="M195" s="4">
        <v>45779</v>
      </c>
      <c r="N195" s="5">
        <v>0</v>
      </c>
      <c r="O195" s="5">
        <v>0</v>
      </c>
      <c r="P195" s="5" t="e">
        <f>IF([1]!Tabla2[[#This Row],[TIEMPO DE ATENCIÓN REALIZADO]]&lt;=[1]!Tabla2[[#This Row],[TIEMPO DE ATENCIÓN ESPERADO]],"Dentro de plazo","Fuera de plazo")</f>
        <v>#REF!</v>
      </c>
      <c r="Q195" s="6">
        <v>50</v>
      </c>
      <c r="R195" s="2" t="s">
        <v>13</v>
      </c>
      <c r="S195" s="2" t="s">
        <v>425</v>
      </c>
      <c r="T195" s="2" t="s">
        <v>40</v>
      </c>
      <c r="U195" s="2" t="s">
        <v>53</v>
      </c>
      <c r="V195" s="2"/>
    </row>
    <row r="196" spans="1:22" ht="27" customHeight="1" x14ac:dyDescent="0.3">
      <c r="A196" s="2">
        <v>195</v>
      </c>
      <c r="B196" s="2" t="s">
        <v>5</v>
      </c>
      <c r="C196" s="4">
        <v>45779</v>
      </c>
      <c r="D196" s="4" t="str">
        <f>TEXT(Tabla2[[#This Row],[fecha]],"MMMM")</f>
        <v>Mayo</v>
      </c>
      <c r="E196" s="2" t="s">
        <v>214</v>
      </c>
      <c r="F196" s="2" t="s">
        <v>55</v>
      </c>
      <c r="G196" s="2" t="s">
        <v>44</v>
      </c>
      <c r="H196" s="2" t="s">
        <v>60</v>
      </c>
      <c r="I196" s="2" t="s">
        <v>215</v>
      </c>
      <c r="J196" s="2"/>
      <c r="K196" s="2"/>
      <c r="L196" s="2">
        <v>3565</v>
      </c>
      <c r="M196" s="4">
        <v>45782</v>
      </c>
      <c r="N196" s="5">
        <v>3</v>
      </c>
      <c r="O196" s="5">
        <v>3</v>
      </c>
      <c r="P196" s="5" t="e">
        <f>IF([1]!Tabla2[[#This Row],[TIEMPO DE ATENCIÓN REALIZADO]]&lt;=[1]!Tabla2[[#This Row],[TIEMPO DE ATENCIÓN ESPERADO]],"Dentro de plazo","Fuera de plazo")</f>
        <v>#REF!</v>
      </c>
      <c r="Q196" s="6">
        <v>2532</v>
      </c>
      <c r="R196" s="2" t="s">
        <v>13</v>
      </c>
      <c r="S196" s="2" t="s">
        <v>425</v>
      </c>
      <c r="T196" s="2" t="s">
        <v>40</v>
      </c>
      <c r="U196" s="2" t="s">
        <v>53</v>
      </c>
      <c r="V196" s="2"/>
    </row>
    <row r="197" spans="1:22" ht="27" customHeight="1" x14ac:dyDescent="0.3">
      <c r="A197" s="2">
        <v>196</v>
      </c>
      <c r="B197" s="2" t="s">
        <v>1</v>
      </c>
      <c r="C197" s="4">
        <v>45779</v>
      </c>
      <c r="D197" s="4" t="str">
        <f>TEXT(Tabla2[[#This Row],[fecha]],"MMMM")</f>
        <v>Mayo</v>
      </c>
      <c r="E197" s="2" t="s">
        <v>216</v>
      </c>
      <c r="F197" s="2" t="s">
        <v>414</v>
      </c>
      <c r="G197" s="2" t="s">
        <v>44</v>
      </c>
      <c r="H197" s="2" t="s">
        <v>60</v>
      </c>
      <c r="I197" s="2" t="s">
        <v>217</v>
      </c>
      <c r="J197" s="2"/>
      <c r="K197" s="2"/>
      <c r="L197" s="2">
        <v>3596</v>
      </c>
      <c r="M197" s="4">
        <v>45779</v>
      </c>
      <c r="N197" s="5">
        <v>0</v>
      </c>
      <c r="O197" s="5">
        <v>0</v>
      </c>
      <c r="P197" s="5" t="e">
        <f>IF([1]!Tabla2[[#This Row],[TIEMPO DE ATENCIÓN REALIZADO]]&lt;=[1]!Tabla2[[#This Row],[TIEMPO DE ATENCIÓN ESPERADO]],"Dentro de plazo","Fuera de plazo")</f>
        <v>#REF!</v>
      </c>
      <c r="Q197" s="6">
        <v>1600</v>
      </c>
      <c r="R197" s="2" t="s">
        <v>45</v>
      </c>
      <c r="S197" s="2" t="s">
        <v>425</v>
      </c>
      <c r="T197" s="2" t="s">
        <v>40</v>
      </c>
      <c r="U197" s="2" t="s">
        <v>53</v>
      </c>
      <c r="V197" s="2"/>
    </row>
    <row r="198" spans="1:22" ht="27" customHeight="1" x14ac:dyDescent="0.3">
      <c r="A198" s="2">
        <v>197</v>
      </c>
      <c r="B198" s="2" t="s">
        <v>1</v>
      </c>
      <c r="C198" s="4">
        <v>45782</v>
      </c>
      <c r="D198" s="4" t="str">
        <f>TEXT(Tabla2[[#This Row],[fecha]],"MMMM")</f>
        <v>Mayo</v>
      </c>
      <c r="E198" s="2" t="s">
        <v>20</v>
      </c>
      <c r="F198" s="2" t="s">
        <v>82</v>
      </c>
      <c r="G198" s="2" t="s">
        <v>44</v>
      </c>
      <c r="H198" s="2" t="s">
        <v>421</v>
      </c>
      <c r="I198" s="2" t="s">
        <v>68</v>
      </c>
      <c r="J198" s="2"/>
      <c r="K198" s="2"/>
      <c r="L198" s="2">
        <v>3597</v>
      </c>
      <c r="M198" s="4">
        <v>45782</v>
      </c>
      <c r="N198" s="5">
        <v>0</v>
      </c>
      <c r="O198" s="5">
        <v>0</v>
      </c>
      <c r="P198" s="5" t="e">
        <f>IF([1]!Tabla2[[#This Row],[TIEMPO DE ATENCIÓN REALIZADO]]&lt;=[1]!Tabla2[[#This Row],[TIEMPO DE ATENCIÓN ESPERADO]],"Dentro de plazo","Fuera de plazo")</f>
        <v>#REF!</v>
      </c>
      <c r="Q198" s="6">
        <v>3420</v>
      </c>
      <c r="R198" s="2" t="s">
        <v>45</v>
      </c>
      <c r="S198" s="2" t="s">
        <v>427</v>
      </c>
      <c r="T198" s="2" t="s">
        <v>40</v>
      </c>
      <c r="U198" s="2" t="s">
        <v>53</v>
      </c>
      <c r="V198" s="2"/>
    </row>
    <row r="199" spans="1:22" ht="27" customHeight="1" x14ac:dyDescent="0.3">
      <c r="A199" s="2">
        <v>198</v>
      </c>
      <c r="B199" s="2" t="s">
        <v>1</v>
      </c>
      <c r="C199" s="4">
        <v>45782</v>
      </c>
      <c r="D199" s="4" t="str">
        <f>TEXT(Tabla2[[#This Row],[fecha]],"MMMM")</f>
        <v>Mayo</v>
      </c>
      <c r="E199" s="2" t="s">
        <v>218</v>
      </c>
      <c r="F199" s="2" t="s">
        <v>82</v>
      </c>
      <c r="G199" s="2" t="s">
        <v>44</v>
      </c>
      <c r="H199" s="2" t="s">
        <v>421</v>
      </c>
      <c r="I199" s="2" t="s">
        <v>68</v>
      </c>
      <c r="J199" s="2"/>
      <c r="K199" s="2"/>
      <c r="L199" s="2">
        <v>3598</v>
      </c>
      <c r="M199" s="4">
        <v>45782</v>
      </c>
      <c r="N199" s="5">
        <v>0</v>
      </c>
      <c r="O199" s="5">
        <v>0</v>
      </c>
      <c r="P199" s="5" t="e">
        <f>IF([1]!Tabla2[[#This Row],[TIEMPO DE ATENCIÓN REALIZADO]]&lt;=[1]!Tabla2[[#This Row],[TIEMPO DE ATENCIÓN ESPERADO]],"Dentro de plazo","Fuera de plazo")</f>
        <v>#REF!</v>
      </c>
      <c r="Q199" s="6">
        <v>4400</v>
      </c>
      <c r="R199" s="2" t="s">
        <v>45</v>
      </c>
      <c r="S199" s="2" t="s">
        <v>424</v>
      </c>
      <c r="T199" s="2" t="s">
        <v>46</v>
      </c>
      <c r="U199" s="2" t="s">
        <v>53</v>
      </c>
      <c r="V199" s="2"/>
    </row>
    <row r="200" spans="1:22" ht="27" customHeight="1" x14ac:dyDescent="0.3">
      <c r="A200" s="2">
        <v>199</v>
      </c>
      <c r="B200" s="2" t="s">
        <v>1</v>
      </c>
      <c r="C200" s="4">
        <v>45783</v>
      </c>
      <c r="D200" s="4" t="str">
        <f>TEXT(Tabla2[[#This Row],[fecha]],"MMMM")</f>
        <v>Mayo</v>
      </c>
      <c r="E200" s="2" t="s">
        <v>219</v>
      </c>
      <c r="F200" s="2" t="s">
        <v>414</v>
      </c>
      <c r="G200" s="2" t="s">
        <v>44</v>
      </c>
      <c r="H200" s="2" t="s">
        <v>421</v>
      </c>
      <c r="I200" s="2" t="s">
        <v>77</v>
      </c>
      <c r="J200" s="2"/>
      <c r="K200" s="2"/>
      <c r="L200" s="2">
        <v>3599</v>
      </c>
      <c r="M200" s="4">
        <v>45784</v>
      </c>
      <c r="N200" s="5">
        <v>1</v>
      </c>
      <c r="O200" s="5">
        <v>1</v>
      </c>
      <c r="P200" s="5" t="e">
        <f>IF([1]!Tabla2[[#This Row],[TIEMPO DE ATENCIÓN REALIZADO]]&lt;=[1]!Tabla2[[#This Row],[TIEMPO DE ATENCIÓN ESPERADO]],"Dentro de plazo","Fuera de plazo")</f>
        <v>#REF!</v>
      </c>
      <c r="Q200" s="6">
        <v>1300</v>
      </c>
      <c r="R200" s="2" t="s">
        <v>13</v>
      </c>
      <c r="S200" s="2" t="s">
        <v>425</v>
      </c>
      <c r="T200" s="2" t="s">
        <v>40</v>
      </c>
      <c r="U200" s="2" t="s">
        <v>53</v>
      </c>
      <c r="V200" s="2"/>
    </row>
    <row r="201" spans="1:22" ht="27" customHeight="1" x14ac:dyDescent="0.3">
      <c r="A201" s="2">
        <v>200</v>
      </c>
      <c r="B201" s="2" t="s">
        <v>1</v>
      </c>
      <c r="C201" s="4">
        <v>45782</v>
      </c>
      <c r="D201" s="4" t="str">
        <f>TEXT(Tabla2[[#This Row],[fecha]],"MMMM")</f>
        <v>Mayo</v>
      </c>
      <c r="E201" s="2" t="s">
        <v>220</v>
      </c>
      <c r="F201" s="2" t="s">
        <v>416</v>
      </c>
      <c r="G201" s="2" t="s">
        <v>44</v>
      </c>
      <c r="H201" s="2" t="s">
        <v>60</v>
      </c>
      <c r="I201" s="2" t="s">
        <v>80</v>
      </c>
      <c r="J201" s="2"/>
      <c r="K201" s="2"/>
      <c r="L201" s="2">
        <v>3600</v>
      </c>
      <c r="M201" s="4">
        <v>45784</v>
      </c>
      <c r="N201" s="5">
        <v>2</v>
      </c>
      <c r="O201" s="5">
        <v>2</v>
      </c>
      <c r="P201" s="5" t="e">
        <f>IF([1]!Tabla2[[#This Row],[TIEMPO DE ATENCIÓN REALIZADO]]&lt;=[1]!Tabla2[[#This Row],[TIEMPO DE ATENCIÓN ESPERADO]],"Dentro de plazo","Fuera de plazo")</f>
        <v>#REF!</v>
      </c>
      <c r="Q201" s="6">
        <v>700</v>
      </c>
      <c r="R201" s="2" t="s">
        <v>2</v>
      </c>
      <c r="S201" s="2" t="s">
        <v>425</v>
      </c>
      <c r="T201" s="2" t="s">
        <v>40</v>
      </c>
      <c r="U201" s="2" t="s">
        <v>53</v>
      </c>
      <c r="V201" s="2"/>
    </row>
    <row r="202" spans="1:22" ht="27" customHeight="1" x14ac:dyDescent="0.3">
      <c r="A202" s="2">
        <v>201</v>
      </c>
      <c r="B202" s="2" t="s">
        <v>1</v>
      </c>
      <c r="C202" s="4">
        <v>45786</v>
      </c>
      <c r="D202" s="4" t="str">
        <f>TEXT(Tabla2[[#This Row],[fecha]],"MMMM")</f>
        <v>Mayo</v>
      </c>
      <c r="E202" s="2" t="s">
        <v>221</v>
      </c>
      <c r="F202" s="2" t="s">
        <v>415</v>
      </c>
      <c r="G202" s="2" t="s">
        <v>38</v>
      </c>
      <c r="H202" s="2" t="s">
        <v>421</v>
      </c>
      <c r="I202" s="2" t="s">
        <v>39</v>
      </c>
      <c r="J202" s="2"/>
      <c r="K202" s="2"/>
      <c r="L202" s="2">
        <v>3601</v>
      </c>
      <c r="M202" s="4">
        <v>45786</v>
      </c>
      <c r="N202" s="5">
        <v>0</v>
      </c>
      <c r="O202" s="5">
        <v>0</v>
      </c>
      <c r="P202" s="5" t="e">
        <f>IF([1]!Tabla2[[#This Row],[TIEMPO DE ATENCIÓN REALIZADO]]&lt;=[1]!Tabla2[[#This Row],[TIEMPO DE ATENCIÓN ESPERADO]],"Dentro de plazo","Fuera de plazo")</f>
        <v>#REF!</v>
      </c>
      <c r="Q202" s="6">
        <v>3400</v>
      </c>
      <c r="R202" s="2" t="s">
        <v>9</v>
      </c>
      <c r="S202" s="2" t="s">
        <v>425</v>
      </c>
      <c r="T202" s="2" t="s">
        <v>40</v>
      </c>
      <c r="U202" s="2" t="s">
        <v>41</v>
      </c>
      <c r="V202" s="2"/>
    </row>
    <row r="203" spans="1:22" ht="27" customHeight="1" x14ac:dyDescent="0.3">
      <c r="A203" s="2">
        <v>202</v>
      </c>
      <c r="B203" s="2" t="s">
        <v>1</v>
      </c>
      <c r="C203" s="4">
        <v>45791</v>
      </c>
      <c r="D203" s="4" t="str">
        <f>TEXT(Tabla2[[#This Row],[fecha]],"MMMM")</f>
        <v>Mayo</v>
      </c>
      <c r="E203" s="2" t="s">
        <v>222</v>
      </c>
      <c r="F203" s="2" t="s">
        <v>55</v>
      </c>
      <c r="G203" s="2" t="s">
        <v>38</v>
      </c>
      <c r="H203" s="2" t="s">
        <v>421</v>
      </c>
      <c r="I203" s="2" t="s">
        <v>39</v>
      </c>
      <c r="J203" s="2"/>
      <c r="K203" s="2"/>
      <c r="L203" s="2">
        <v>3602</v>
      </c>
      <c r="M203" s="4">
        <v>45791</v>
      </c>
      <c r="N203" s="5">
        <v>0</v>
      </c>
      <c r="O203" s="5">
        <v>0</v>
      </c>
      <c r="P203" s="5" t="e">
        <f>IF([1]!Tabla2[[#This Row],[TIEMPO DE ATENCIÓN REALIZADO]]&lt;=[1]!Tabla2[[#This Row],[TIEMPO DE ATENCIÓN ESPERADO]],"Dentro de plazo","Fuera de plazo")</f>
        <v>#REF!</v>
      </c>
      <c r="Q203" s="6">
        <v>4140</v>
      </c>
      <c r="R203" s="2" t="s">
        <v>45</v>
      </c>
      <c r="S203" s="2" t="s">
        <v>425</v>
      </c>
      <c r="T203" s="2" t="s">
        <v>40</v>
      </c>
      <c r="U203" s="2" t="s">
        <v>41</v>
      </c>
      <c r="V203" s="2"/>
    </row>
    <row r="204" spans="1:22" ht="27" customHeight="1" x14ac:dyDescent="0.3">
      <c r="A204" s="2">
        <v>203</v>
      </c>
      <c r="B204" s="2" t="s">
        <v>1</v>
      </c>
      <c r="C204" s="4">
        <v>45791</v>
      </c>
      <c r="D204" s="4" t="str">
        <f>TEXT(Tabla2[[#This Row],[fecha]],"MMMM")</f>
        <v>Mayo</v>
      </c>
      <c r="E204" s="2" t="s">
        <v>222</v>
      </c>
      <c r="F204" s="2" t="s">
        <v>55</v>
      </c>
      <c r="G204" s="2" t="s">
        <v>38</v>
      </c>
      <c r="H204" s="2" t="s">
        <v>421</v>
      </c>
      <c r="I204" s="2" t="s">
        <v>39</v>
      </c>
      <c r="J204" s="2"/>
      <c r="K204" s="2"/>
      <c r="L204" s="2">
        <v>3603</v>
      </c>
      <c r="M204" s="4">
        <v>45791</v>
      </c>
      <c r="N204" s="5">
        <v>0</v>
      </c>
      <c r="O204" s="5">
        <v>0</v>
      </c>
      <c r="P204" s="5" t="e">
        <f>IF([1]!Tabla2[[#This Row],[TIEMPO DE ATENCIÓN REALIZADO]]&lt;=[1]!Tabla2[[#This Row],[TIEMPO DE ATENCIÓN ESPERADO]],"Dentro de plazo","Fuera de plazo")</f>
        <v>#REF!</v>
      </c>
      <c r="Q204" s="6">
        <v>2800</v>
      </c>
      <c r="R204" s="2" t="s">
        <v>45</v>
      </c>
      <c r="S204" s="2" t="s">
        <v>424</v>
      </c>
      <c r="T204" s="2" t="s">
        <v>46</v>
      </c>
      <c r="U204" s="2" t="s">
        <v>41</v>
      </c>
      <c r="V204" s="2"/>
    </row>
    <row r="205" spans="1:22" ht="27" customHeight="1" x14ac:dyDescent="0.3">
      <c r="A205" s="2">
        <v>204</v>
      </c>
      <c r="B205" s="2" t="s">
        <v>1</v>
      </c>
      <c r="C205" s="4">
        <v>45793</v>
      </c>
      <c r="D205" s="4" t="str">
        <f>TEXT(Tabla2[[#This Row],[fecha]],"MMMM")</f>
        <v>Mayo</v>
      </c>
      <c r="E205" s="2" t="s">
        <v>223</v>
      </c>
      <c r="F205" s="2" t="s">
        <v>415</v>
      </c>
      <c r="G205" s="2" t="s">
        <v>58</v>
      </c>
      <c r="H205" s="2" t="s">
        <v>60</v>
      </c>
      <c r="I205" s="2" t="s">
        <v>39</v>
      </c>
      <c r="J205" s="2"/>
      <c r="K205" s="2"/>
      <c r="L205" s="2">
        <v>3604</v>
      </c>
      <c r="M205" s="4">
        <v>45793</v>
      </c>
      <c r="N205" s="5">
        <v>0</v>
      </c>
      <c r="O205" s="5">
        <v>0</v>
      </c>
      <c r="P205" s="5" t="e">
        <f>IF([1]!Tabla2[[#This Row],[TIEMPO DE ATENCIÓN REALIZADO]]&lt;=[1]!Tabla2[[#This Row],[TIEMPO DE ATENCIÓN ESPERADO]],"Dentro de plazo","Fuera de plazo")</f>
        <v>#REF!</v>
      </c>
      <c r="Q205" s="6">
        <v>3963.34</v>
      </c>
      <c r="R205" s="2" t="s">
        <v>4</v>
      </c>
      <c r="S205" s="2" t="s">
        <v>56</v>
      </c>
      <c r="T205" s="2" t="s">
        <v>40</v>
      </c>
      <c r="U205" s="2" t="s">
        <v>53</v>
      </c>
      <c r="V205" s="2"/>
    </row>
    <row r="206" spans="1:22" ht="27" customHeight="1" x14ac:dyDescent="0.3">
      <c r="A206" s="2">
        <v>205</v>
      </c>
      <c r="B206" s="2" t="s">
        <v>1</v>
      </c>
      <c r="C206" s="4">
        <v>45793</v>
      </c>
      <c r="D206" s="4" t="str">
        <f>TEXT(Tabla2[[#This Row],[fecha]],"MMMM")</f>
        <v>Mayo</v>
      </c>
      <c r="E206" s="2" t="s">
        <v>223</v>
      </c>
      <c r="F206" s="2" t="s">
        <v>414</v>
      </c>
      <c r="G206" s="2" t="s">
        <v>58</v>
      </c>
      <c r="H206" s="2" t="s">
        <v>60</v>
      </c>
      <c r="I206" s="2" t="s">
        <v>39</v>
      </c>
      <c r="J206" s="2"/>
      <c r="K206" s="2"/>
      <c r="L206" s="2">
        <v>3605</v>
      </c>
      <c r="M206" s="4">
        <v>45793</v>
      </c>
      <c r="N206" s="5">
        <v>0</v>
      </c>
      <c r="O206" s="5">
        <v>0</v>
      </c>
      <c r="P206" s="5" t="e">
        <f>IF([1]!Tabla2[[#This Row],[TIEMPO DE ATENCIÓN REALIZADO]]&lt;=[1]!Tabla2[[#This Row],[TIEMPO DE ATENCIÓN ESPERADO]],"Dentro de plazo","Fuera de plazo")</f>
        <v>#REF!</v>
      </c>
      <c r="Q206" s="6">
        <v>8456.8700000000008</v>
      </c>
      <c r="R206" s="2" t="s">
        <v>4</v>
      </c>
      <c r="S206" s="2" t="s">
        <v>56</v>
      </c>
      <c r="T206" s="2" t="s">
        <v>40</v>
      </c>
      <c r="U206" s="2" t="s">
        <v>53</v>
      </c>
      <c r="V206" s="2"/>
    </row>
    <row r="207" spans="1:22" ht="27" customHeight="1" x14ac:dyDescent="0.3">
      <c r="A207" s="2">
        <v>206</v>
      </c>
      <c r="B207" s="2" t="s">
        <v>1</v>
      </c>
      <c r="C207" s="4">
        <v>45797</v>
      </c>
      <c r="D207" s="4" t="str">
        <f>TEXT(Tabla2[[#This Row],[fecha]],"MMMM")</f>
        <v>Mayo</v>
      </c>
      <c r="E207" s="2" t="s">
        <v>222</v>
      </c>
      <c r="F207" s="2" t="s">
        <v>55</v>
      </c>
      <c r="G207" s="2" t="s">
        <v>38</v>
      </c>
      <c r="H207" s="2" t="s">
        <v>421</v>
      </c>
      <c r="I207" s="2" t="s">
        <v>39</v>
      </c>
      <c r="J207" s="2"/>
      <c r="K207" s="2"/>
      <c r="L207" s="2">
        <v>3606</v>
      </c>
      <c r="M207" s="4">
        <v>45797</v>
      </c>
      <c r="N207" s="5">
        <v>0</v>
      </c>
      <c r="O207" s="5">
        <v>0</v>
      </c>
      <c r="P207" s="5" t="e">
        <f>IF([1]!Tabla2[[#This Row],[TIEMPO DE ATENCIÓN REALIZADO]]&lt;=[1]!Tabla2[[#This Row],[TIEMPO DE ATENCIÓN ESPERADO]],"Dentro de plazo","Fuera de plazo")</f>
        <v>#REF!</v>
      </c>
      <c r="Q207" s="6">
        <v>350</v>
      </c>
      <c r="R207" s="2" t="s">
        <v>45</v>
      </c>
      <c r="S207" s="2" t="s">
        <v>424</v>
      </c>
      <c r="T207" s="2" t="s">
        <v>40</v>
      </c>
      <c r="U207" s="2" t="s">
        <v>41</v>
      </c>
      <c r="V207" s="2"/>
    </row>
    <row r="208" spans="1:22" ht="27" customHeight="1" x14ac:dyDescent="0.3">
      <c r="A208" s="2">
        <v>207</v>
      </c>
      <c r="B208" s="2" t="s">
        <v>1</v>
      </c>
      <c r="C208" s="4">
        <v>45797</v>
      </c>
      <c r="D208" s="4" t="str">
        <f>TEXT(Tabla2[[#This Row],[fecha]],"MMMM")</f>
        <v>Mayo</v>
      </c>
      <c r="E208" s="2" t="s">
        <v>185</v>
      </c>
      <c r="F208" s="2" t="s">
        <v>55</v>
      </c>
      <c r="G208" s="2" t="s">
        <v>38</v>
      </c>
      <c r="H208" s="2" t="s">
        <v>421</v>
      </c>
      <c r="I208" s="2" t="s">
        <v>88</v>
      </c>
      <c r="J208" s="2"/>
      <c r="K208" s="2"/>
      <c r="L208" s="2">
        <v>3607</v>
      </c>
      <c r="M208" s="4">
        <v>45797</v>
      </c>
      <c r="N208" s="5">
        <v>0</v>
      </c>
      <c r="O208" s="5">
        <v>0</v>
      </c>
      <c r="P208" s="5" t="e">
        <f>IF([1]!Tabla2[[#This Row],[TIEMPO DE ATENCIÓN REALIZADO]]&lt;=[1]!Tabla2[[#This Row],[TIEMPO DE ATENCIÓN ESPERADO]],"Dentro de plazo","Fuera de plazo")</f>
        <v>#REF!</v>
      </c>
      <c r="Q208" s="6">
        <v>200</v>
      </c>
      <c r="R208" s="2" t="s">
        <v>9</v>
      </c>
      <c r="S208" s="2" t="s">
        <v>425</v>
      </c>
      <c r="T208" s="2" t="s">
        <v>40</v>
      </c>
      <c r="U208" s="2" t="s">
        <v>41</v>
      </c>
      <c r="V208" s="2"/>
    </row>
    <row r="209" spans="1:22" ht="27" customHeight="1" x14ac:dyDescent="0.3">
      <c r="A209" s="2">
        <v>208</v>
      </c>
      <c r="B209" s="2" t="s">
        <v>1</v>
      </c>
      <c r="C209" s="4">
        <v>45798</v>
      </c>
      <c r="D209" s="4" t="str">
        <f>TEXT(Tabla2[[#This Row],[fecha]],"MMMM")</f>
        <v>Mayo</v>
      </c>
      <c r="E209" s="2" t="s">
        <v>37</v>
      </c>
      <c r="F209" s="2" t="s">
        <v>55</v>
      </c>
      <c r="G209" s="2" t="s">
        <v>38</v>
      </c>
      <c r="H209" s="2" t="s">
        <v>60</v>
      </c>
      <c r="I209" s="2" t="s">
        <v>39</v>
      </c>
      <c r="J209" s="2"/>
      <c r="K209" s="2"/>
      <c r="L209" s="2">
        <v>3608</v>
      </c>
      <c r="M209" s="4">
        <v>45798</v>
      </c>
      <c r="N209" s="5">
        <v>0</v>
      </c>
      <c r="O209" s="5">
        <v>0</v>
      </c>
      <c r="P209" s="5" t="e">
        <f>IF([1]!Tabla2[[#This Row],[TIEMPO DE ATENCIÓN REALIZADO]]&lt;=[1]!Tabla2[[#This Row],[TIEMPO DE ATENCIÓN ESPERADO]],"Dentro de plazo","Fuera de plazo")</f>
        <v>#REF!</v>
      </c>
      <c r="Q209" s="6">
        <v>1300</v>
      </c>
      <c r="R209" s="2" t="s">
        <v>45</v>
      </c>
      <c r="S209" s="2" t="s">
        <v>424</v>
      </c>
      <c r="T209" s="2" t="s">
        <v>46</v>
      </c>
      <c r="U209" s="2" t="s">
        <v>41</v>
      </c>
      <c r="V209" s="2"/>
    </row>
    <row r="210" spans="1:22" ht="27" customHeight="1" x14ac:dyDescent="0.3">
      <c r="A210" s="2">
        <v>209</v>
      </c>
      <c r="B210" s="2" t="s">
        <v>1</v>
      </c>
      <c r="C210" s="4">
        <v>45799</v>
      </c>
      <c r="D210" s="4" t="str">
        <f>TEXT(Tabla2[[#This Row],[fecha]],"MMMM")</f>
        <v>Mayo</v>
      </c>
      <c r="E210" s="2" t="s">
        <v>224</v>
      </c>
      <c r="F210" s="2" t="s">
        <v>414</v>
      </c>
      <c r="G210" s="2" t="s">
        <v>38</v>
      </c>
      <c r="H210" s="2" t="s">
        <v>421</v>
      </c>
      <c r="I210" s="2" t="s">
        <v>66</v>
      </c>
      <c r="J210" s="2"/>
      <c r="K210" s="2"/>
      <c r="L210" s="2">
        <v>3609</v>
      </c>
      <c r="M210" s="4">
        <v>45799</v>
      </c>
      <c r="N210" s="5">
        <v>0</v>
      </c>
      <c r="O210" s="5">
        <v>0</v>
      </c>
      <c r="P210" s="5" t="e">
        <f>IF([1]!Tabla2[[#This Row],[TIEMPO DE ATENCIÓN REALIZADO]]&lt;=[1]!Tabla2[[#This Row],[TIEMPO DE ATENCIÓN ESPERADO]],"Dentro de plazo","Fuera de plazo")</f>
        <v>#REF!</v>
      </c>
      <c r="Q210" s="6">
        <v>10000</v>
      </c>
      <c r="R210" s="2" t="s">
        <v>13</v>
      </c>
      <c r="S210" s="2" t="s">
        <v>424</v>
      </c>
      <c r="T210" s="2" t="s">
        <v>40</v>
      </c>
      <c r="U210" s="2" t="s">
        <v>41</v>
      </c>
      <c r="V210" s="2"/>
    </row>
    <row r="211" spans="1:22" ht="27" customHeight="1" x14ac:dyDescent="0.3">
      <c r="A211" s="2">
        <v>210</v>
      </c>
      <c r="B211" s="2" t="s">
        <v>1</v>
      </c>
      <c r="C211" s="4">
        <v>45800</v>
      </c>
      <c r="D211" s="4" t="str">
        <f>TEXT(Tabla2[[#This Row],[fecha]],"MMMM")</f>
        <v>Mayo</v>
      </c>
      <c r="E211" s="2" t="s">
        <v>225</v>
      </c>
      <c r="F211" s="2" t="s">
        <v>414</v>
      </c>
      <c r="G211" s="2" t="s">
        <v>44</v>
      </c>
      <c r="H211" s="2" t="s">
        <v>60</v>
      </c>
      <c r="I211" s="2" t="s">
        <v>68</v>
      </c>
      <c r="J211" s="2"/>
      <c r="K211" s="2"/>
      <c r="L211" s="2">
        <v>3610</v>
      </c>
      <c r="M211" s="4">
        <v>45800</v>
      </c>
      <c r="N211" s="5">
        <v>0</v>
      </c>
      <c r="O211" s="5">
        <v>0</v>
      </c>
      <c r="P211" s="5" t="e">
        <f>IF([1]!Tabla2[[#This Row],[TIEMPO DE ATENCIÓN REALIZADO]]&lt;=[1]!Tabla2[[#This Row],[TIEMPO DE ATENCIÓN ESPERADO]],"Dentro de plazo","Fuera de plazo")</f>
        <v>#REF!</v>
      </c>
      <c r="Q211" s="6">
        <v>4624</v>
      </c>
      <c r="R211" s="2" t="s">
        <v>13</v>
      </c>
      <c r="S211" s="2" t="s">
        <v>425</v>
      </c>
      <c r="T211" s="2" t="s">
        <v>40</v>
      </c>
      <c r="U211" s="2" t="s">
        <v>53</v>
      </c>
      <c r="V211" s="2"/>
    </row>
    <row r="212" spans="1:22" ht="27" customHeight="1" x14ac:dyDescent="0.3">
      <c r="A212" s="2">
        <v>211</v>
      </c>
      <c r="B212" s="2" t="s">
        <v>1</v>
      </c>
      <c r="C212" s="4">
        <v>45800</v>
      </c>
      <c r="D212" s="4" t="str">
        <f>TEXT(Tabla2[[#This Row],[fecha]],"MMMM")</f>
        <v>Mayo</v>
      </c>
      <c r="E212" s="2" t="s">
        <v>225</v>
      </c>
      <c r="F212" s="2" t="s">
        <v>415</v>
      </c>
      <c r="G212" s="2" t="s">
        <v>44</v>
      </c>
      <c r="H212" s="2" t="s">
        <v>60</v>
      </c>
      <c r="I212" s="2" t="s">
        <v>68</v>
      </c>
      <c r="J212" s="2"/>
      <c r="K212" s="2"/>
      <c r="L212" s="2">
        <v>3611</v>
      </c>
      <c r="M212" s="4">
        <v>45800</v>
      </c>
      <c r="N212" s="5">
        <v>0</v>
      </c>
      <c r="O212" s="5">
        <v>0</v>
      </c>
      <c r="P212" s="5" t="e">
        <f>IF([1]!Tabla2[[#This Row],[TIEMPO DE ATENCIÓN REALIZADO]]&lt;=[1]!Tabla2[[#This Row],[TIEMPO DE ATENCIÓN ESPERADO]],"Dentro de plazo","Fuera de plazo")</f>
        <v>#REF!</v>
      </c>
      <c r="Q212" s="6">
        <v>4143.9399999999996</v>
      </c>
      <c r="R212" s="2" t="s">
        <v>13</v>
      </c>
      <c r="S212" s="2" t="s">
        <v>425</v>
      </c>
      <c r="T212" s="2" t="s">
        <v>40</v>
      </c>
      <c r="U212" s="2" t="s">
        <v>53</v>
      </c>
      <c r="V212" s="2"/>
    </row>
    <row r="213" spans="1:22" ht="27" customHeight="1" x14ac:dyDescent="0.3">
      <c r="A213" s="2">
        <v>212</v>
      </c>
      <c r="B213" s="2" t="s">
        <v>5</v>
      </c>
      <c r="C213" s="4">
        <v>45797</v>
      </c>
      <c r="D213" s="4" t="str">
        <f>TEXT(Tabla2[[#This Row],[fecha]],"MMMM")</f>
        <v>Mayo</v>
      </c>
      <c r="E213" s="2" t="s">
        <v>14</v>
      </c>
      <c r="F213" s="2" t="s">
        <v>415</v>
      </c>
      <c r="G213" s="2" t="s">
        <v>38</v>
      </c>
      <c r="H213" s="2" t="s">
        <v>421</v>
      </c>
      <c r="I213" s="2" t="s">
        <v>39</v>
      </c>
      <c r="J213" s="2"/>
      <c r="K213" s="2">
        <v>3415</v>
      </c>
      <c r="L213" s="2">
        <v>3612</v>
      </c>
      <c r="M213" s="4">
        <v>45800</v>
      </c>
      <c r="N213" s="5">
        <v>3</v>
      </c>
      <c r="O213" s="5">
        <v>3</v>
      </c>
      <c r="P213" s="5" t="e">
        <f>IF([1]!Tabla2[[#This Row],[TIEMPO DE ATENCIÓN REALIZADO]]&lt;=[1]!Tabla2[[#This Row],[TIEMPO DE ATENCIÓN ESPERADO]],"Dentro de plazo","Fuera de plazo")</f>
        <v>#REF!</v>
      </c>
      <c r="Q213" s="6">
        <v>3380</v>
      </c>
      <c r="R213" s="2" t="s">
        <v>9</v>
      </c>
      <c r="S213" s="2" t="s">
        <v>424</v>
      </c>
      <c r="T213" s="2" t="s">
        <v>40</v>
      </c>
      <c r="U213" s="2" t="s">
        <v>41</v>
      </c>
      <c r="V213" s="2"/>
    </row>
    <row r="214" spans="1:22" ht="27" customHeight="1" x14ac:dyDescent="0.3">
      <c r="A214" s="2">
        <v>213</v>
      </c>
      <c r="B214" s="2" t="s">
        <v>1</v>
      </c>
      <c r="C214" s="4">
        <v>45800</v>
      </c>
      <c r="D214" s="4" t="str">
        <f>TEXT(Tabla2[[#This Row],[fecha]],"MMMM")</f>
        <v>Mayo</v>
      </c>
      <c r="E214" s="2" t="s">
        <v>226</v>
      </c>
      <c r="F214" s="2" t="s">
        <v>415</v>
      </c>
      <c r="G214" s="2" t="s">
        <v>38</v>
      </c>
      <c r="H214" s="2" t="s">
        <v>60</v>
      </c>
      <c r="I214" s="2" t="s">
        <v>39</v>
      </c>
      <c r="J214" s="2"/>
      <c r="K214" s="2"/>
      <c r="L214" s="2">
        <v>3613</v>
      </c>
      <c r="M214" s="4">
        <v>45800</v>
      </c>
      <c r="N214" s="5">
        <v>0</v>
      </c>
      <c r="O214" s="5">
        <v>0</v>
      </c>
      <c r="P214" s="5" t="e">
        <f>IF([1]!Tabla2[[#This Row],[TIEMPO DE ATENCIÓN REALIZADO]]&lt;=[1]!Tabla2[[#This Row],[TIEMPO DE ATENCIÓN ESPERADO]],"Dentro de plazo","Fuera de plazo")</f>
        <v>#REF!</v>
      </c>
      <c r="Q214" s="6">
        <v>3359</v>
      </c>
      <c r="R214" s="2" t="s">
        <v>45</v>
      </c>
      <c r="S214" s="2" t="s">
        <v>424</v>
      </c>
      <c r="T214" s="2" t="s">
        <v>40</v>
      </c>
      <c r="U214" s="2" t="s">
        <v>41</v>
      </c>
      <c r="V214" s="2"/>
    </row>
    <row r="215" spans="1:22" ht="27" customHeight="1" x14ac:dyDescent="0.3">
      <c r="A215" s="2">
        <v>214</v>
      </c>
      <c r="B215" s="2" t="s">
        <v>1</v>
      </c>
      <c r="C215" s="4">
        <v>45799</v>
      </c>
      <c r="D215" s="4" t="str">
        <f>TEXT(Tabla2[[#This Row],[fecha]],"MMMM")</f>
        <v>Mayo</v>
      </c>
      <c r="E215" s="2" t="s">
        <v>227</v>
      </c>
      <c r="F215" s="2" t="s">
        <v>415</v>
      </c>
      <c r="G215" s="2" t="s">
        <v>58</v>
      </c>
      <c r="H215" s="2" t="s">
        <v>60</v>
      </c>
      <c r="I215" s="2" t="s">
        <v>68</v>
      </c>
      <c r="J215" s="2"/>
      <c r="K215" s="2"/>
      <c r="L215" s="2">
        <v>3614</v>
      </c>
      <c r="M215" s="4">
        <v>45800</v>
      </c>
      <c r="N215" s="5">
        <v>1</v>
      </c>
      <c r="O215" s="5">
        <v>1</v>
      </c>
      <c r="P215" s="5" t="e">
        <f>IF([1]!Tabla2[[#This Row],[TIEMPO DE ATENCIÓN REALIZADO]]&lt;=[1]!Tabla2[[#This Row],[TIEMPO DE ATENCIÓN ESPERADO]],"Dentro de plazo","Fuera de plazo")</f>
        <v>#REF!</v>
      </c>
      <c r="Q215" s="6">
        <v>7055.08</v>
      </c>
      <c r="R215" s="2" t="s">
        <v>4</v>
      </c>
      <c r="S215" s="2" t="s">
        <v>424</v>
      </c>
      <c r="T215" s="2" t="s">
        <v>40</v>
      </c>
      <c r="U215" s="2" t="s">
        <v>41</v>
      </c>
      <c r="V215" s="2"/>
    </row>
    <row r="216" spans="1:22" ht="27" customHeight="1" x14ac:dyDescent="0.3">
      <c r="A216" s="2">
        <v>215</v>
      </c>
      <c r="B216" s="2" t="s">
        <v>1</v>
      </c>
      <c r="C216" s="4">
        <v>45799</v>
      </c>
      <c r="D216" s="4" t="str">
        <f>TEXT(Tabla2[[#This Row],[fecha]],"MMMM")</f>
        <v>Mayo</v>
      </c>
      <c r="E216" s="2" t="s">
        <v>227</v>
      </c>
      <c r="F216" s="2" t="s">
        <v>414</v>
      </c>
      <c r="G216" s="2" t="s">
        <v>58</v>
      </c>
      <c r="H216" s="2" t="s">
        <v>60</v>
      </c>
      <c r="I216" s="2" t="s">
        <v>68</v>
      </c>
      <c r="J216" s="2"/>
      <c r="K216" s="2"/>
      <c r="L216" s="2">
        <v>3615</v>
      </c>
      <c r="M216" s="4">
        <v>45800</v>
      </c>
      <c r="N216" s="5">
        <v>1</v>
      </c>
      <c r="O216" s="5">
        <v>1</v>
      </c>
      <c r="P216" s="5" t="e">
        <f>IF([1]!Tabla2[[#This Row],[TIEMPO DE ATENCIÓN REALIZADO]]&lt;=[1]!Tabla2[[#This Row],[TIEMPO DE ATENCIÓN ESPERADO]],"Dentro de plazo","Fuera de plazo")</f>
        <v>#REF!</v>
      </c>
      <c r="Q216" s="6">
        <v>9978.7000000000007</v>
      </c>
      <c r="R216" s="2" t="s">
        <v>4</v>
      </c>
      <c r="S216" s="2" t="s">
        <v>424</v>
      </c>
      <c r="T216" s="2" t="s">
        <v>40</v>
      </c>
      <c r="U216" s="2" t="s">
        <v>41</v>
      </c>
      <c r="V216" s="2"/>
    </row>
    <row r="217" spans="1:22" ht="27" customHeight="1" x14ac:dyDescent="0.3">
      <c r="A217" s="2">
        <v>216</v>
      </c>
      <c r="B217" s="2" t="s">
        <v>1</v>
      </c>
      <c r="C217" s="4">
        <v>45804</v>
      </c>
      <c r="D217" s="4" t="str">
        <f>TEXT(Tabla2[[#This Row],[fecha]],"MMMM")</f>
        <v>Mayo</v>
      </c>
      <c r="E217" s="2" t="s">
        <v>181</v>
      </c>
      <c r="F217" s="2" t="s">
        <v>132</v>
      </c>
      <c r="G217" s="2" t="s">
        <v>38</v>
      </c>
      <c r="H217" s="2" t="s">
        <v>421</v>
      </c>
      <c r="I217" s="2" t="s">
        <v>88</v>
      </c>
      <c r="J217" s="2"/>
      <c r="K217" s="2"/>
      <c r="L217" s="2">
        <v>3616</v>
      </c>
      <c r="M217" s="4">
        <v>45804</v>
      </c>
      <c r="N217" s="5">
        <v>0</v>
      </c>
      <c r="O217" s="5">
        <v>0</v>
      </c>
      <c r="P217" s="5" t="e">
        <f>IF([1]!Tabla2[[#This Row],[TIEMPO DE ATENCIÓN REALIZADO]]&lt;=[1]!Tabla2[[#This Row],[TIEMPO DE ATENCIÓN ESPERADO]],"Dentro de plazo","Fuera de plazo")</f>
        <v>#REF!</v>
      </c>
      <c r="Q217" s="6">
        <v>13993.7</v>
      </c>
      <c r="R217" s="2" t="s">
        <v>45</v>
      </c>
      <c r="S217" s="2" t="s">
        <v>425</v>
      </c>
      <c r="T217" s="2" t="s">
        <v>40</v>
      </c>
      <c r="U217" s="2" t="s">
        <v>41</v>
      </c>
      <c r="V217" s="2"/>
    </row>
    <row r="218" spans="1:22" ht="27" customHeight="1" x14ac:dyDescent="0.3">
      <c r="A218" s="2">
        <v>217</v>
      </c>
      <c r="B218" s="2" t="s">
        <v>5</v>
      </c>
      <c r="C218" s="4">
        <v>45804</v>
      </c>
      <c r="D218" s="4" t="str">
        <f>TEXT(Tabla2[[#This Row],[fecha]],"MMMM")</f>
        <v>Mayo</v>
      </c>
      <c r="E218" s="2" t="s">
        <v>228</v>
      </c>
      <c r="F218" s="2" t="s">
        <v>416</v>
      </c>
      <c r="G218" s="2" t="s">
        <v>44</v>
      </c>
      <c r="H218" s="2" t="s">
        <v>421</v>
      </c>
      <c r="I218" s="2" t="s">
        <v>80</v>
      </c>
      <c r="J218" s="2">
        <v>417</v>
      </c>
      <c r="K218" s="2">
        <v>3415</v>
      </c>
      <c r="L218" s="2">
        <v>3618</v>
      </c>
      <c r="M218" s="4">
        <v>45804</v>
      </c>
      <c r="N218" s="5">
        <v>0</v>
      </c>
      <c r="O218" s="5">
        <v>0</v>
      </c>
      <c r="P218" s="5" t="e">
        <f>IF([1]!Tabla2[[#This Row],[TIEMPO DE ATENCIÓN REALIZADO]]&lt;=[1]!Tabla2[[#This Row],[TIEMPO DE ATENCIÓN ESPERADO]],"Dentro de plazo","Fuera de plazo")</f>
        <v>#REF!</v>
      </c>
      <c r="Q218" s="6">
        <v>800</v>
      </c>
      <c r="R218" s="2" t="s">
        <v>15</v>
      </c>
      <c r="S218" s="2" t="s">
        <v>425</v>
      </c>
      <c r="T218" s="2" t="s">
        <v>40</v>
      </c>
      <c r="U218" s="2" t="s">
        <v>53</v>
      </c>
      <c r="V218" s="2"/>
    </row>
    <row r="219" spans="1:22" ht="27" customHeight="1" x14ac:dyDescent="0.3">
      <c r="A219" s="2">
        <v>218</v>
      </c>
      <c r="B219" s="2" t="s">
        <v>5</v>
      </c>
      <c r="C219" s="4">
        <v>45805</v>
      </c>
      <c r="D219" s="4" t="str">
        <f>TEXT(Tabla2[[#This Row],[fecha]],"MMMM")</f>
        <v>Mayo</v>
      </c>
      <c r="E219" s="2" t="s">
        <v>229</v>
      </c>
      <c r="F219" s="2" t="s">
        <v>416</v>
      </c>
      <c r="G219" s="2" t="s">
        <v>44</v>
      </c>
      <c r="H219" s="2" t="s">
        <v>421</v>
      </c>
      <c r="I219" s="2" t="s">
        <v>80</v>
      </c>
      <c r="J219" s="2">
        <v>418</v>
      </c>
      <c r="K219" s="2">
        <v>3416</v>
      </c>
      <c r="L219" s="2">
        <v>3619</v>
      </c>
      <c r="M219" s="4">
        <v>45806</v>
      </c>
      <c r="N219" s="5">
        <v>1</v>
      </c>
      <c r="O219" s="5">
        <v>1</v>
      </c>
      <c r="P219" s="5" t="e">
        <f>IF([1]!Tabla2[[#This Row],[TIEMPO DE ATENCIÓN REALIZADO]]&lt;=[1]!Tabla2[[#This Row],[TIEMPO DE ATENCIÓN ESPERADO]],"Dentro de plazo","Fuera de plazo")</f>
        <v>#REF!</v>
      </c>
      <c r="Q219" s="6">
        <v>799</v>
      </c>
      <c r="R219" s="2" t="s">
        <v>15</v>
      </c>
      <c r="S219" s="2" t="s">
        <v>425</v>
      </c>
      <c r="T219" s="2" t="s">
        <v>40</v>
      </c>
      <c r="U219" s="2" t="s">
        <v>53</v>
      </c>
      <c r="V219" s="2"/>
    </row>
    <row r="220" spans="1:22" ht="27" customHeight="1" x14ac:dyDescent="0.3">
      <c r="A220" s="2">
        <v>219</v>
      </c>
      <c r="B220" s="2" t="s">
        <v>5</v>
      </c>
      <c r="C220" s="4">
        <v>45804</v>
      </c>
      <c r="D220" s="4" t="str">
        <f>TEXT(Tabla2[[#This Row],[fecha]],"MMMM")</f>
        <v>Mayo</v>
      </c>
      <c r="E220" s="2" t="s">
        <v>230</v>
      </c>
      <c r="F220" s="2" t="s">
        <v>55</v>
      </c>
      <c r="G220" s="2" t="s">
        <v>38</v>
      </c>
      <c r="H220" s="2" t="s">
        <v>60</v>
      </c>
      <c r="I220" s="2" t="s">
        <v>39</v>
      </c>
      <c r="J220" s="2"/>
      <c r="K220" s="2"/>
      <c r="L220" s="2">
        <v>3620</v>
      </c>
      <c r="M220" s="4">
        <v>45807</v>
      </c>
      <c r="N220" s="5">
        <v>3</v>
      </c>
      <c r="O220" s="5">
        <v>3</v>
      </c>
      <c r="P220" s="5" t="e">
        <f>IF([1]!Tabla2[[#This Row],[TIEMPO DE ATENCIÓN REALIZADO]]&lt;=[1]!Tabla2[[#This Row],[TIEMPO DE ATENCIÓN ESPERADO]],"Dentro de plazo","Fuera de plazo")</f>
        <v>#REF!</v>
      </c>
      <c r="Q220" s="6">
        <v>1500</v>
      </c>
      <c r="R220" s="2" t="s">
        <v>45</v>
      </c>
      <c r="S220" s="2" t="s">
        <v>427</v>
      </c>
      <c r="T220" s="2" t="s">
        <v>40</v>
      </c>
      <c r="U220" s="2" t="s">
        <v>41</v>
      </c>
      <c r="V220" s="2"/>
    </row>
    <row r="221" spans="1:22" ht="27" customHeight="1" x14ac:dyDescent="0.3">
      <c r="A221" s="2">
        <v>220</v>
      </c>
      <c r="B221" s="2" t="s">
        <v>5</v>
      </c>
      <c r="C221" s="4">
        <v>45811</v>
      </c>
      <c r="D221" s="4" t="str">
        <f>TEXT(Tabla2[[#This Row],[fecha]],"MMMM")</f>
        <v>Junio</v>
      </c>
      <c r="E221" s="2" t="s">
        <v>231</v>
      </c>
      <c r="F221" s="2" t="s">
        <v>414</v>
      </c>
      <c r="G221" s="2" t="s">
        <v>44</v>
      </c>
      <c r="H221" s="2" t="s">
        <v>421</v>
      </c>
      <c r="I221" s="2" t="s">
        <v>232</v>
      </c>
      <c r="J221" s="2"/>
      <c r="K221" s="2"/>
      <c r="L221" s="2">
        <v>3621</v>
      </c>
      <c r="M221" s="4">
        <v>45811</v>
      </c>
      <c r="N221" s="5">
        <v>0</v>
      </c>
      <c r="O221" s="5">
        <v>0</v>
      </c>
      <c r="P221" s="5" t="e">
        <f>IF([1]!Tabla2[[#This Row],[TIEMPO DE ATENCIÓN REALIZADO]]&lt;=[1]!Tabla2[[#This Row],[TIEMPO DE ATENCIÓN ESPERADO]],"Dentro de plazo","Fuera de plazo")</f>
        <v>#REF!</v>
      </c>
      <c r="Q221" s="6">
        <v>9500</v>
      </c>
      <c r="R221" s="2" t="s">
        <v>45</v>
      </c>
      <c r="S221" s="2" t="s">
        <v>427</v>
      </c>
      <c r="T221" s="2" t="s">
        <v>40</v>
      </c>
      <c r="U221" s="2" t="s">
        <v>53</v>
      </c>
      <c r="V221" s="2" t="s">
        <v>233</v>
      </c>
    </row>
    <row r="222" spans="1:22" ht="27" customHeight="1" x14ac:dyDescent="0.3">
      <c r="A222" s="2">
        <v>221</v>
      </c>
      <c r="B222" s="2" t="s">
        <v>5</v>
      </c>
      <c r="C222" s="4">
        <v>45811</v>
      </c>
      <c r="D222" s="4" t="str">
        <f>TEXT(Tabla2[[#This Row],[fecha]],"MMMM")</f>
        <v>Junio</v>
      </c>
      <c r="E222" s="2" t="s">
        <v>234</v>
      </c>
      <c r="F222" s="2" t="s">
        <v>414</v>
      </c>
      <c r="G222" s="2" t="s">
        <v>38</v>
      </c>
      <c r="H222" s="2" t="s">
        <v>421</v>
      </c>
      <c r="I222" s="2" t="s">
        <v>217</v>
      </c>
      <c r="J222" s="2"/>
      <c r="K222" s="2"/>
      <c r="L222" s="2">
        <v>3622</v>
      </c>
      <c r="M222" s="4">
        <v>45811</v>
      </c>
      <c r="N222" s="5">
        <v>0</v>
      </c>
      <c r="O222" s="5">
        <v>0</v>
      </c>
      <c r="P222" s="5" t="e">
        <f>IF([1]!Tabla2[[#This Row],[TIEMPO DE ATENCIÓN REALIZADO]]&lt;=[1]!Tabla2[[#This Row],[TIEMPO DE ATENCIÓN ESPERADO]],"Dentro de plazo","Fuera de plazo")</f>
        <v>#REF!</v>
      </c>
      <c r="Q222" s="6">
        <v>6440</v>
      </c>
      <c r="R222" s="2" t="s">
        <v>45</v>
      </c>
      <c r="S222" s="2" t="s">
        <v>425</v>
      </c>
      <c r="T222" s="2" t="s">
        <v>40</v>
      </c>
      <c r="U222" s="2" t="s">
        <v>53</v>
      </c>
      <c r="V222" s="2" t="s">
        <v>235</v>
      </c>
    </row>
    <row r="223" spans="1:22" ht="27" customHeight="1" x14ac:dyDescent="0.3">
      <c r="A223" s="2">
        <v>222</v>
      </c>
      <c r="B223" s="2" t="s">
        <v>5</v>
      </c>
      <c r="C223" s="4">
        <v>45812</v>
      </c>
      <c r="D223" s="4" t="str">
        <f>TEXT(Tabla2[[#This Row],[fecha]],"MMMM")</f>
        <v>Junio</v>
      </c>
      <c r="E223" s="2" t="s">
        <v>231</v>
      </c>
      <c r="F223" s="2" t="s">
        <v>414</v>
      </c>
      <c r="G223" s="2" t="s">
        <v>44</v>
      </c>
      <c r="H223" s="2" t="s">
        <v>421</v>
      </c>
      <c r="I223" s="2" t="s">
        <v>232</v>
      </c>
      <c r="J223" s="2"/>
      <c r="K223" s="2"/>
      <c r="L223" s="2">
        <v>3623</v>
      </c>
      <c r="M223" s="4">
        <v>45812</v>
      </c>
      <c r="N223" s="5">
        <v>0</v>
      </c>
      <c r="O223" s="5">
        <v>0</v>
      </c>
      <c r="P223" s="5" t="e">
        <f>IF([1]!Tabla2[[#This Row],[TIEMPO DE ATENCIÓN REALIZADO]]&lt;=[1]!Tabla2[[#This Row],[TIEMPO DE ATENCIÓN ESPERADO]],"Dentro de plazo","Fuera de plazo")</f>
        <v>#REF!</v>
      </c>
      <c r="Q223" s="6">
        <v>1835</v>
      </c>
      <c r="R223" s="2" t="s">
        <v>45</v>
      </c>
      <c r="S223" s="2" t="s">
        <v>425</v>
      </c>
      <c r="T223" s="2" t="s">
        <v>40</v>
      </c>
      <c r="U223" s="2" t="s">
        <v>53</v>
      </c>
      <c r="V223" s="2" t="s">
        <v>236</v>
      </c>
    </row>
    <row r="224" spans="1:22" ht="27" customHeight="1" x14ac:dyDescent="0.3">
      <c r="A224" s="2">
        <v>223</v>
      </c>
      <c r="B224" s="2" t="s">
        <v>5</v>
      </c>
      <c r="C224" s="4">
        <v>45812</v>
      </c>
      <c r="D224" s="4" t="str">
        <f>TEXT(Tabla2[[#This Row],[fecha]],"MMMM")</f>
        <v>Junio</v>
      </c>
      <c r="E224" s="2" t="s">
        <v>237</v>
      </c>
      <c r="F224" s="2" t="s">
        <v>416</v>
      </c>
      <c r="G224" s="2" t="s">
        <v>58</v>
      </c>
      <c r="H224" s="2" t="s">
        <v>421</v>
      </c>
      <c r="I224" s="2" t="s">
        <v>80</v>
      </c>
      <c r="J224" s="2"/>
      <c r="K224" s="2"/>
      <c r="L224" s="2">
        <v>3624</v>
      </c>
      <c r="M224" s="4">
        <v>45812</v>
      </c>
      <c r="N224" s="5">
        <v>0</v>
      </c>
      <c r="O224" s="5">
        <v>0</v>
      </c>
      <c r="P224" s="5" t="e">
        <f>IF([1]!Tabla2[[#This Row],[TIEMPO DE ATENCIÓN REALIZADO]]&lt;=[1]!Tabla2[[#This Row],[TIEMPO DE ATENCIÓN ESPERADO]],"Dentro de plazo","Fuera de plazo")</f>
        <v>#REF!</v>
      </c>
      <c r="Q224" s="6">
        <v>982</v>
      </c>
      <c r="R224" s="2" t="s">
        <v>15</v>
      </c>
      <c r="S224" s="2" t="s">
        <v>425</v>
      </c>
      <c r="T224" s="2" t="s">
        <v>40</v>
      </c>
      <c r="U224" s="2" t="s">
        <v>53</v>
      </c>
      <c r="V224" s="2" t="s">
        <v>238</v>
      </c>
    </row>
    <row r="225" spans="1:22" ht="27" customHeight="1" x14ac:dyDescent="0.3">
      <c r="A225" s="2">
        <v>224</v>
      </c>
      <c r="B225" s="2" t="s">
        <v>5</v>
      </c>
      <c r="C225" s="4">
        <v>45813</v>
      </c>
      <c r="D225" s="4" t="str">
        <f>TEXT(Tabla2[[#This Row],[fecha]],"MMMM")</f>
        <v>Junio</v>
      </c>
      <c r="E225" s="2" t="s">
        <v>239</v>
      </c>
      <c r="F225" s="2" t="s">
        <v>416</v>
      </c>
      <c r="G225" s="2" t="s">
        <v>44</v>
      </c>
      <c r="H225" s="2" t="s">
        <v>60</v>
      </c>
      <c r="I225" s="2" t="s">
        <v>80</v>
      </c>
      <c r="J225" s="2"/>
      <c r="K225" s="2"/>
      <c r="L225" s="2">
        <v>3625</v>
      </c>
      <c r="M225" s="4">
        <v>45813</v>
      </c>
      <c r="N225" s="5">
        <v>0</v>
      </c>
      <c r="O225" s="5">
        <v>0</v>
      </c>
      <c r="P225" s="5" t="e">
        <f>IF([1]!Tabla2[[#This Row],[TIEMPO DE ATENCIÓN REALIZADO]]&lt;=[1]!Tabla2[[#This Row],[TIEMPO DE ATENCIÓN ESPERADO]],"Dentro de plazo","Fuera de plazo")</f>
        <v>#REF!</v>
      </c>
      <c r="Q225" s="6">
        <v>7740</v>
      </c>
      <c r="R225" s="2" t="s">
        <v>4</v>
      </c>
      <c r="S225" s="2" t="s">
        <v>56</v>
      </c>
      <c r="T225" s="2" t="s">
        <v>40</v>
      </c>
      <c r="U225" s="2" t="s">
        <v>53</v>
      </c>
      <c r="V225" s="2" t="s">
        <v>240</v>
      </c>
    </row>
    <row r="226" spans="1:22" ht="27" customHeight="1" x14ac:dyDescent="0.3">
      <c r="A226" s="2">
        <v>225</v>
      </c>
      <c r="B226" s="2" t="s">
        <v>5</v>
      </c>
      <c r="C226" s="4">
        <v>45813</v>
      </c>
      <c r="D226" s="4" t="str">
        <f>TEXT(Tabla2[[#This Row],[fecha]],"MMMM")</f>
        <v>Junio</v>
      </c>
      <c r="E226" s="2" t="s">
        <v>241</v>
      </c>
      <c r="F226" s="2" t="s">
        <v>72</v>
      </c>
      <c r="G226" s="2" t="s">
        <v>44</v>
      </c>
      <c r="H226" s="2" t="s">
        <v>421</v>
      </c>
      <c r="I226" s="2" t="s">
        <v>242</v>
      </c>
      <c r="J226" s="2"/>
      <c r="K226" s="2"/>
      <c r="L226" s="2">
        <v>3626</v>
      </c>
      <c r="M226" s="4">
        <v>45813</v>
      </c>
      <c r="N226" s="5">
        <v>0</v>
      </c>
      <c r="O226" s="5">
        <v>0</v>
      </c>
      <c r="P226" s="5" t="e">
        <f>IF([1]!Tabla2[[#This Row],[TIEMPO DE ATENCIÓN REALIZADO]]&lt;=[1]!Tabla2[[#This Row],[TIEMPO DE ATENCIÓN ESPERADO]],"Dentro de plazo","Fuera de plazo")</f>
        <v>#REF!</v>
      </c>
      <c r="Q226" s="6">
        <v>1950</v>
      </c>
      <c r="R226" s="2" t="s">
        <v>45</v>
      </c>
      <c r="S226" s="2" t="s">
        <v>427</v>
      </c>
      <c r="T226" s="2" t="s">
        <v>40</v>
      </c>
      <c r="U226" s="2" t="s">
        <v>53</v>
      </c>
      <c r="V226" s="2" t="s">
        <v>243</v>
      </c>
    </row>
    <row r="227" spans="1:22" ht="27" customHeight="1" x14ac:dyDescent="0.3">
      <c r="A227" s="2">
        <v>226</v>
      </c>
      <c r="B227" s="2" t="s">
        <v>5</v>
      </c>
      <c r="C227" s="4">
        <v>45813</v>
      </c>
      <c r="D227" s="4" t="str">
        <f>TEXT(Tabla2[[#This Row],[fecha]],"MMMM")</f>
        <v>Junio</v>
      </c>
      <c r="E227" s="2" t="s">
        <v>241</v>
      </c>
      <c r="F227" s="2" t="s">
        <v>72</v>
      </c>
      <c r="G227" s="2" t="s">
        <v>44</v>
      </c>
      <c r="H227" s="2" t="s">
        <v>421</v>
      </c>
      <c r="I227" s="2" t="s">
        <v>242</v>
      </c>
      <c r="J227" s="2"/>
      <c r="K227" s="2"/>
      <c r="L227" s="2">
        <v>3627</v>
      </c>
      <c r="M227" s="4">
        <v>45813</v>
      </c>
      <c r="N227" s="5">
        <v>0</v>
      </c>
      <c r="O227" s="5">
        <v>0</v>
      </c>
      <c r="P227" s="5" t="e">
        <f>IF([1]!Tabla2[[#This Row],[TIEMPO DE ATENCIÓN REALIZADO]]&lt;=[1]!Tabla2[[#This Row],[TIEMPO DE ATENCIÓN ESPERADO]],"Dentro de plazo","Fuera de plazo")</f>
        <v>#REF!</v>
      </c>
      <c r="Q227" s="6">
        <v>2230</v>
      </c>
      <c r="R227" s="2" t="s">
        <v>45</v>
      </c>
      <c r="S227" s="2" t="s">
        <v>56</v>
      </c>
      <c r="T227" s="2" t="s">
        <v>40</v>
      </c>
      <c r="U227" s="2" t="s">
        <v>53</v>
      </c>
      <c r="V227" s="2" t="s">
        <v>244</v>
      </c>
    </row>
    <row r="228" spans="1:22" ht="27" customHeight="1" x14ac:dyDescent="0.3">
      <c r="A228" s="2">
        <v>227</v>
      </c>
      <c r="B228" s="2" t="s">
        <v>5</v>
      </c>
      <c r="C228" s="4">
        <v>45817</v>
      </c>
      <c r="D228" s="4" t="str">
        <f>TEXT(Tabla2[[#This Row],[fecha]],"MMMM")</f>
        <v>Junio</v>
      </c>
      <c r="E228" s="2" t="s">
        <v>245</v>
      </c>
      <c r="F228" s="2" t="s">
        <v>415</v>
      </c>
      <c r="G228" s="2" t="s">
        <v>44</v>
      </c>
      <c r="H228" s="2" t="s">
        <v>60</v>
      </c>
      <c r="I228" s="2" t="s">
        <v>88</v>
      </c>
      <c r="J228" s="2"/>
      <c r="K228" s="2"/>
      <c r="L228" s="2">
        <v>3628</v>
      </c>
      <c r="M228" s="4">
        <v>45817</v>
      </c>
      <c r="N228" s="5">
        <v>0</v>
      </c>
      <c r="O228" s="5">
        <v>0</v>
      </c>
      <c r="P228" s="5" t="e">
        <f>IF([1]!Tabla2[[#This Row],[TIEMPO DE ATENCIÓN REALIZADO]]&lt;=[1]!Tabla2[[#This Row],[TIEMPO DE ATENCIÓN ESPERADO]],"Dentro de plazo","Fuera de plazo")</f>
        <v>#REF!</v>
      </c>
      <c r="Q228" s="6">
        <v>6000</v>
      </c>
      <c r="R228" s="2" t="s">
        <v>45</v>
      </c>
      <c r="S228" s="2" t="s">
        <v>56</v>
      </c>
      <c r="T228" s="2" t="s">
        <v>40</v>
      </c>
      <c r="U228" s="2" t="s">
        <v>53</v>
      </c>
      <c r="V228" s="2" t="s">
        <v>246</v>
      </c>
    </row>
    <row r="229" spans="1:22" ht="27" customHeight="1" x14ac:dyDescent="0.3">
      <c r="A229" s="2">
        <v>228</v>
      </c>
      <c r="B229" s="2" t="s">
        <v>5</v>
      </c>
      <c r="C229" s="4">
        <v>45817</v>
      </c>
      <c r="D229" s="4" t="str">
        <f>TEXT(Tabla2[[#This Row],[fecha]],"MMMM")</f>
        <v>Junio</v>
      </c>
      <c r="E229" s="2" t="s">
        <v>245</v>
      </c>
      <c r="F229" s="2" t="s">
        <v>55</v>
      </c>
      <c r="G229" s="2" t="s">
        <v>44</v>
      </c>
      <c r="H229" s="2" t="s">
        <v>60</v>
      </c>
      <c r="I229" s="2" t="s">
        <v>88</v>
      </c>
      <c r="J229" s="2"/>
      <c r="K229" s="2"/>
      <c r="L229" s="2">
        <v>3629</v>
      </c>
      <c r="M229" s="4">
        <v>45817</v>
      </c>
      <c r="N229" s="5">
        <v>0</v>
      </c>
      <c r="O229" s="5">
        <v>0</v>
      </c>
      <c r="P229" s="5" t="e">
        <f>IF([1]!Tabla2[[#This Row],[TIEMPO DE ATENCIÓN REALIZADO]]&lt;=[1]!Tabla2[[#This Row],[TIEMPO DE ATENCIÓN ESPERADO]],"Dentro de plazo","Fuera de plazo")</f>
        <v>#REF!</v>
      </c>
      <c r="Q229" s="6">
        <v>50</v>
      </c>
      <c r="R229" s="2" t="s">
        <v>45</v>
      </c>
      <c r="S229" s="2" t="s">
        <v>56</v>
      </c>
      <c r="T229" s="2" t="s">
        <v>40</v>
      </c>
      <c r="U229" s="2" t="s">
        <v>53</v>
      </c>
      <c r="V229" s="2" t="s">
        <v>246</v>
      </c>
    </row>
    <row r="230" spans="1:22" ht="27" customHeight="1" x14ac:dyDescent="0.3">
      <c r="A230" s="2">
        <v>229</v>
      </c>
      <c r="B230" s="2" t="s">
        <v>5</v>
      </c>
      <c r="C230" s="4">
        <v>45817</v>
      </c>
      <c r="D230" s="4" t="str">
        <f>TEXT(Tabla2[[#This Row],[fecha]],"MMMM")</f>
        <v>Junio</v>
      </c>
      <c r="E230" s="2" t="s">
        <v>247</v>
      </c>
      <c r="F230" s="2" t="s">
        <v>416</v>
      </c>
      <c r="G230" s="2" t="s">
        <v>44</v>
      </c>
      <c r="H230" s="2" t="s">
        <v>60</v>
      </c>
      <c r="I230" s="2" t="s">
        <v>80</v>
      </c>
      <c r="J230" s="2"/>
      <c r="K230" s="2"/>
      <c r="L230" s="2">
        <v>3630</v>
      </c>
      <c r="M230" s="4">
        <v>45817</v>
      </c>
      <c r="N230" s="5">
        <v>0</v>
      </c>
      <c r="O230" s="5">
        <v>0</v>
      </c>
      <c r="P230" s="5" t="e">
        <f>IF([1]!Tabla2[[#This Row],[TIEMPO DE ATENCIÓN REALIZADO]]&lt;=[1]!Tabla2[[#This Row],[TIEMPO DE ATENCIÓN ESPERADO]],"Dentro de plazo","Fuera de plazo")</f>
        <v>#REF!</v>
      </c>
      <c r="Q230" s="6">
        <v>8000</v>
      </c>
      <c r="R230" s="2" t="s">
        <v>9</v>
      </c>
      <c r="S230" s="2" t="s">
        <v>56</v>
      </c>
      <c r="T230" s="2" t="s">
        <v>40</v>
      </c>
      <c r="U230" s="2" t="s">
        <v>53</v>
      </c>
      <c r="V230" s="2" t="s">
        <v>248</v>
      </c>
    </row>
    <row r="231" spans="1:22" ht="27" customHeight="1" x14ac:dyDescent="0.3">
      <c r="A231" s="2">
        <v>230</v>
      </c>
      <c r="B231" s="2" t="s">
        <v>5</v>
      </c>
      <c r="C231" s="4">
        <v>45817</v>
      </c>
      <c r="D231" s="4" t="str">
        <f>TEXT(Tabla2[[#This Row],[fecha]],"MMMM")</f>
        <v>Junio</v>
      </c>
      <c r="E231" s="2" t="s">
        <v>249</v>
      </c>
      <c r="F231" s="2" t="s">
        <v>414</v>
      </c>
      <c r="G231" s="2" t="s">
        <v>44</v>
      </c>
      <c r="H231" s="2" t="s">
        <v>60</v>
      </c>
      <c r="I231" s="2" t="s">
        <v>250</v>
      </c>
      <c r="J231" s="2"/>
      <c r="K231" s="2"/>
      <c r="L231" s="2">
        <v>3631</v>
      </c>
      <c r="M231" s="4">
        <v>45817</v>
      </c>
      <c r="N231" s="5">
        <v>0</v>
      </c>
      <c r="O231" s="5">
        <v>0</v>
      </c>
      <c r="P231" s="5" t="e">
        <f>IF([1]!Tabla2[[#This Row],[TIEMPO DE ATENCIÓN REALIZADO]]&lt;=[1]!Tabla2[[#This Row],[TIEMPO DE ATENCIÓN ESPERADO]],"Dentro de plazo","Fuera de plazo")</f>
        <v>#REF!</v>
      </c>
      <c r="Q231" s="6">
        <v>1200</v>
      </c>
      <c r="R231" s="2" t="s">
        <v>45</v>
      </c>
      <c r="S231" s="2" t="s">
        <v>56</v>
      </c>
      <c r="T231" s="2" t="s">
        <v>40</v>
      </c>
      <c r="U231" s="2" t="s">
        <v>53</v>
      </c>
      <c r="V231" s="2" t="s">
        <v>236</v>
      </c>
    </row>
    <row r="232" spans="1:22" ht="27" customHeight="1" x14ac:dyDescent="0.3">
      <c r="A232" s="2">
        <v>231</v>
      </c>
      <c r="B232" s="2" t="s">
        <v>5</v>
      </c>
      <c r="C232" s="4">
        <v>45817</v>
      </c>
      <c r="D232" s="4" t="str">
        <f>TEXT(Tabla2[[#This Row],[fecha]],"MMMM")</f>
        <v>Junio</v>
      </c>
      <c r="E232" s="2" t="s">
        <v>251</v>
      </c>
      <c r="F232" s="2" t="s">
        <v>414</v>
      </c>
      <c r="G232" s="2" t="s">
        <v>38</v>
      </c>
      <c r="H232" s="2" t="s">
        <v>421</v>
      </c>
      <c r="I232" s="2" t="s">
        <v>250</v>
      </c>
      <c r="J232" s="2"/>
      <c r="K232" s="2"/>
      <c r="L232" s="2">
        <v>3632</v>
      </c>
      <c r="M232" s="4">
        <v>45817</v>
      </c>
      <c r="N232" s="5">
        <v>0</v>
      </c>
      <c r="O232" s="5">
        <v>0</v>
      </c>
      <c r="P232" s="5" t="e">
        <f>IF([1]!Tabla2[[#This Row],[TIEMPO DE ATENCIÓN REALIZADO]]&lt;=[1]!Tabla2[[#This Row],[TIEMPO DE ATENCIÓN ESPERADO]],"Dentro de plazo","Fuera de plazo")</f>
        <v>#REF!</v>
      </c>
      <c r="Q232" s="6">
        <v>1400</v>
      </c>
      <c r="R232" s="2" t="s">
        <v>45</v>
      </c>
      <c r="S232" s="2" t="s">
        <v>56</v>
      </c>
      <c r="T232" s="2" t="s">
        <v>40</v>
      </c>
      <c r="U232" s="2" t="s">
        <v>41</v>
      </c>
      <c r="V232" s="2" t="s">
        <v>252</v>
      </c>
    </row>
    <row r="233" spans="1:22" ht="27" customHeight="1" x14ac:dyDescent="0.3">
      <c r="A233" s="2">
        <v>232</v>
      </c>
      <c r="B233" s="2" t="s">
        <v>1</v>
      </c>
      <c r="C233" s="4">
        <v>45819</v>
      </c>
      <c r="D233" s="4" t="str">
        <f>TEXT(Tabla2[[#This Row],[fecha]],"MMMM")</f>
        <v>Junio</v>
      </c>
      <c r="E233" s="2" t="s">
        <v>253</v>
      </c>
      <c r="F233" s="2" t="s">
        <v>415</v>
      </c>
      <c r="G233" s="2" t="s">
        <v>44</v>
      </c>
      <c r="H233" s="2" t="s">
        <v>421</v>
      </c>
      <c r="I233" s="2" t="s">
        <v>68</v>
      </c>
      <c r="J233" s="2"/>
      <c r="K233" s="2"/>
      <c r="L233" s="2">
        <v>3633</v>
      </c>
      <c r="M233" s="4">
        <v>45819</v>
      </c>
      <c r="N233" s="5">
        <v>0</v>
      </c>
      <c r="O233" s="5">
        <v>0</v>
      </c>
      <c r="P233" s="5" t="e">
        <f>IF([1]!Tabla2[[#This Row],[TIEMPO DE ATENCIÓN REALIZADO]]&lt;=[1]!Tabla2[[#This Row],[TIEMPO DE ATENCIÓN ESPERADO]],"Dentro de plazo","Fuera de plazo")</f>
        <v>#REF!</v>
      </c>
      <c r="Q233" s="6">
        <v>3300</v>
      </c>
      <c r="R233" s="2" t="s">
        <v>45</v>
      </c>
      <c r="S233" s="2" t="s">
        <v>424</v>
      </c>
      <c r="T233" s="2" t="s">
        <v>40</v>
      </c>
      <c r="U233" s="2" t="s">
        <v>53</v>
      </c>
      <c r="V233" s="2" t="s">
        <v>254</v>
      </c>
    </row>
    <row r="234" spans="1:22" ht="27" customHeight="1" x14ac:dyDescent="0.3">
      <c r="A234" s="2">
        <v>233</v>
      </c>
      <c r="B234" s="2" t="s">
        <v>1</v>
      </c>
      <c r="C234" s="4">
        <v>45819</v>
      </c>
      <c r="D234" s="4" t="str">
        <f>TEXT(Tabla2[[#This Row],[fecha]],"MMMM")</f>
        <v>Junio</v>
      </c>
      <c r="E234" s="2" t="s">
        <v>255</v>
      </c>
      <c r="F234" s="2" t="s">
        <v>414</v>
      </c>
      <c r="G234" s="2" t="s">
        <v>38</v>
      </c>
      <c r="H234" s="2" t="s">
        <v>421</v>
      </c>
      <c r="I234" s="2" t="s">
        <v>39</v>
      </c>
      <c r="J234" s="2"/>
      <c r="K234" s="2"/>
      <c r="L234" s="2">
        <v>3634</v>
      </c>
      <c r="M234" s="4">
        <v>45819</v>
      </c>
      <c r="N234" s="5">
        <v>0</v>
      </c>
      <c r="O234" s="5">
        <v>0</v>
      </c>
      <c r="P234" s="5" t="e">
        <f>IF([1]!Tabla2[[#This Row],[TIEMPO DE ATENCIÓN REALIZADO]]&lt;=[1]!Tabla2[[#This Row],[TIEMPO DE ATENCIÓN ESPERADO]],"Dentro de plazo","Fuera de plazo")</f>
        <v>#REF!</v>
      </c>
      <c r="Q234" s="6">
        <v>19000</v>
      </c>
      <c r="R234" s="2" t="s">
        <v>9</v>
      </c>
      <c r="S234" s="2" t="s">
        <v>56</v>
      </c>
      <c r="T234" s="2" t="s">
        <v>40</v>
      </c>
      <c r="U234" s="2" t="s">
        <v>53</v>
      </c>
      <c r="V234" s="2" t="s">
        <v>256</v>
      </c>
    </row>
    <row r="235" spans="1:22" ht="27" customHeight="1" x14ac:dyDescent="0.3">
      <c r="A235" s="2">
        <v>234</v>
      </c>
      <c r="B235" s="2" t="s">
        <v>5</v>
      </c>
      <c r="C235" s="4">
        <v>45820</v>
      </c>
      <c r="D235" s="4" t="str">
        <f>TEXT(Tabla2[[#This Row],[fecha]],"MMMM")</f>
        <v>Junio</v>
      </c>
      <c r="E235" s="2" t="s">
        <v>257</v>
      </c>
      <c r="F235" s="2" t="s">
        <v>414</v>
      </c>
      <c r="G235" s="2" t="s">
        <v>38</v>
      </c>
      <c r="H235" s="2" t="s">
        <v>421</v>
      </c>
      <c r="I235" s="2" t="s">
        <v>250</v>
      </c>
      <c r="J235" s="2"/>
      <c r="K235" s="2"/>
      <c r="L235" s="2">
        <v>3635</v>
      </c>
      <c r="M235" s="4">
        <v>45820</v>
      </c>
      <c r="N235" s="5">
        <v>0</v>
      </c>
      <c r="O235" s="5">
        <v>0</v>
      </c>
      <c r="P235" s="5" t="e">
        <f>IF([1]!Tabla2[[#This Row],[TIEMPO DE ATENCIÓN REALIZADO]]&lt;=[1]!Tabla2[[#This Row],[TIEMPO DE ATENCIÓN ESPERADO]],"Dentro de plazo","Fuera de plazo")</f>
        <v>#REF!</v>
      </c>
      <c r="Q235" s="6">
        <v>1500</v>
      </c>
      <c r="R235" s="2" t="s">
        <v>45</v>
      </c>
      <c r="S235" s="2" t="s">
        <v>56</v>
      </c>
      <c r="T235" s="2" t="s">
        <v>40</v>
      </c>
      <c r="U235" s="2" t="s">
        <v>53</v>
      </c>
      <c r="V235" s="2" t="s">
        <v>258</v>
      </c>
    </row>
    <row r="236" spans="1:22" ht="27" customHeight="1" x14ac:dyDescent="0.3">
      <c r="A236" s="2">
        <v>235</v>
      </c>
      <c r="B236" s="2" t="s">
        <v>5</v>
      </c>
      <c r="C236" s="4">
        <v>45819</v>
      </c>
      <c r="D236" s="4" t="str">
        <f>TEXT(Tabla2[[#This Row],[fecha]],"MMMM")</f>
        <v>Junio</v>
      </c>
      <c r="E236" s="2" t="s">
        <v>259</v>
      </c>
      <c r="F236" s="2" t="s">
        <v>414</v>
      </c>
      <c r="G236" s="2" t="s">
        <v>44</v>
      </c>
      <c r="H236" s="2" t="s">
        <v>60</v>
      </c>
      <c r="I236" s="2" t="s">
        <v>260</v>
      </c>
      <c r="J236" s="2"/>
      <c r="K236" s="2"/>
      <c r="L236" s="2">
        <v>3636</v>
      </c>
      <c r="M236" s="4">
        <v>45819</v>
      </c>
      <c r="N236" s="5">
        <v>0</v>
      </c>
      <c r="O236" s="5">
        <v>0</v>
      </c>
      <c r="P236" s="5" t="e">
        <f>IF([1]!Tabla2[[#This Row],[TIEMPO DE ATENCIÓN REALIZADO]]&lt;=[1]!Tabla2[[#This Row],[TIEMPO DE ATENCIÓN ESPERADO]],"Dentro de plazo","Fuera de plazo")</f>
        <v>#REF!</v>
      </c>
      <c r="Q236" s="6">
        <v>9000</v>
      </c>
      <c r="R236" s="2" t="s">
        <v>45</v>
      </c>
      <c r="S236" s="2" t="s">
        <v>56</v>
      </c>
      <c r="T236" s="2" t="s">
        <v>40</v>
      </c>
      <c r="U236" s="2" t="s">
        <v>53</v>
      </c>
      <c r="V236" s="2" t="s">
        <v>236</v>
      </c>
    </row>
    <row r="237" spans="1:22" ht="27" customHeight="1" x14ac:dyDescent="0.3">
      <c r="A237" s="2">
        <v>236</v>
      </c>
      <c r="B237" s="2" t="s">
        <v>1</v>
      </c>
      <c r="C237" s="4">
        <v>45820</v>
      </c>
      <c r="D237" s="4" t="str">
        <f>TEXT(Tabla2[[#This Row],[fecha]],"MMMM")</f>
        <v>Junio</v>
      </c>
      <c r="E237" s="2" t="s">
        <v>261</v>
      </c>
      <c r="F237" s="2" t="s">
        <v>414</v>
      </c>
      <c r="G237" s="2" t="s">
        <v>44</v>
      </c>
      <c r="H237" s="2" t="s">
        <v>421</v>
      </c>
      <c r="I237" s="2" t="s">
        <v>88</v>
      </c>
      <c r="J237" s="2"/>
      <c r="K237" s="2"/>
      <c r="L237" s="2">
        <v>3637</v>
      </c>
      <c r="M237" s="4">
        <v>45820</v>
      </c>
      <c r="N237" s="5">
        <v>0</v>
      </c>
      <c r="O237" s="5">
        <v>0</v>
      </c>
      <c r="P237" s="5" t="e">
        <f>IF([1]!Tabla2[[#This Row],[TIEMPO DE ATENCIÓN REALIZADO]]&lt;=[1]!Tabla2[[#This Row],[TIEMPO DE ATENCIÓN ESPERADO]],"Dentro de plazo","Fuera de plazo")</f>
        <v>#REF!</v>
      </c>
      <c r="Q237" s="6">
        <v>5000</v>
      </c>
      <c r="R237" s="2" t="s">
        <v>13</v>
      </c>
      <c r="S237" s="2" t="s">
        <v>427</v>
      </c>
      <c r="T237" s="2" t="s">
        <v>40</v>
      </c>
      <c r="U237" s="2" t="s">
        <v>53</v>
      </c>
      <c r="V237" s="2" t="s">
        <v>262</v>
      </c>
    </row>
    <row r="238" spans="1:22" ht="27" customHeight="1" x14ac:dyDescent="0.3">
      <c r="A238" s="2">
        <v>237</v>
      </c>
      <c r="B238" s="2" t="s">
        <v>1</v>
      </c>
      <c r="C238" s="4">
        <v>45820</v>
      </c>
      <c r="D238" s="4" t="str">
        <f>TEXT(Tabla2[[#This Row],[fecha]],"MMMM")</f>
        <v>Junio</v>
      </c>
      <c r="E238" s="2" t="s">
        <v>263</v>
      </c>
      <c r="F238" s="2" t="s">
        <v>414</v>
      </c>
      <c r="G238" s="2" t="s">
        <v>58</v>
      </c>
      <c r="H238" s="2" t="s">
        <v>421</v>
      </c>
      <c r="I238" s="2" t="s">
        <v>260</v>
      </c>
      <c r="J238" s="2"/>
      <c r="K238" s="2"/>
      <c r="L238" s="2">
        <v>3638</v>
      </c>
      <c r="M238" s="4">
        <v>45820</v>
      </c>
      <c r="N238" s="5">
        <v>0</v>
      </c>
      <c r="O238" s="5">
        <v>0</v>
      </c>
      <c r="P238" s="5" t="e">
        <f>IF([1]!Tabla2[[#This Row],[TIEMPO DE ATENCIÓN REALIZADO]]&lt;=[1]!Tabla2[[#This Row],[TIEMPO DE ATENCIÓN ESPERADO]],"Dentro de plazo","Fuera de plazo")</f>
        <v>#REF!</v>
      </c>
      <c r="Q238" s="6">
        <v>3000</v>
      </c>
      <c r="R238" s="2" t="s">
        <v>13</v>
      </c>
      <c r="S238" s="2" t="s">
        <v>424</v>
      </c>
      <c r="T238" s="2" t="s">
        <v>40</v>
      </c>
      <c r="U238" s="2" t="s">
        <v>53</v>
      </c>
      <c r="V238" s="2" t="s">
        <v>264</v>
      </c>
    </row>
    <row r="239" spans="1:22" ht="27" customHeight="1" x14ac:dyDescent="0.3">
      <c r="A239" s="2">
        <v>238</v>
      </c>
      <c r="B239" s="2" t="s">
        <v>5</v>
      </c>
      <c r="C239" s="4">
        <v>45821</v>
      </c>
      <c r="D239" s="4" t="str">
        <f>TEXT(Tabla2[[#This Row],[fecha]],"MMMM")</f>
        <v>Junio</v>
      </c>
      <c r="E239" s="2" t="s">
        <v>8</v>
      </c>
      <c r="F239" s="2" t="s">
        <v>415</v>
      </c>
      <c r="G239" s="2" t="s">
        <v>38</v>
      </c>
      <c r="H239" s="2" t="s">
        <v>60</v>
      </c>
      <c r="I239" s="2" t="s">
        <v>180</v>
      </c>
      <c r="J239" s="2"/>
      <c r="K239" s="2"/>
      <c r="L239" s="2">
        <v>3639</v>
      </c>
      <c r="M239" s="4">
        <v>45821</v>
      </c>
      <c r="N239" s="5">
        <v>0</v>
      </c>
      <c r="O239" s="5">
        <v>0</v>
      </c>
      <c r="P239" s="5" t="e">
        <f>IF([1]!Tabla2[[#This Row],[TIEMPO DE ATENCIÓN REALIZADO]]&lt;=[1]!Tabla2[[#This Row],[TIEMPO DE ATENCIÓN ESPERADO]],"Dentro de plazo","Fuera de plazo")</f>
        <v>#REF!</v>
      </c>
      <c r="Q239" s="6">
        <v>900</v>
      </c>
      <c r="R239" s="2" t="s">
        <v>4</v>
      </c>
      <c r="S239" s="2" t="s">
        <v>424</v>
      </c>
      <c r="T239" s="2" t="s">
        <v>46</v>
      </c>
      <c r="U239" s="2" t="s">
        <v>41</v>
      </c>
      <c r="V239" s="2" t="s">
        <v>265</v>
      </c>
    </row>
    <row r="240" spans="1:22" ht="27" customHeight="1" x14ac:dyDescent="0.3">
      <c r="A240" s="2">
        <v>239</v>
      </c>
      <c r="B240" s="2" t="s">
        <v>1</v>
      </c>
      <c r="C240" s="4">
        <v>45821</v>
      </c>
      <c r="D240" s="4" t="str">
        <f>TEXT(Tabla2[[#This Row],[fecha]],"MMMM")</f>
        <v>Junio</v>
      </c>
      <c r="E240" s="2" t="s">
        <v>22</v>
      </c>
      <c r="F240" s="2" t="s">
        <v>55</v>
      </c>
      <c r="G240" s="2" t="s">
        <v>38</v>
      </c>
      <c r="H240" s="2" t="s">
        <v>421</v>
      </c>
      <c r="I240" s="2" t="s">
        <v>266</v>
      </c>
      <c r="J240" s="2"/>
      <c r="K240" s="2"/>
      <c r="L240" s="2">
        <v>3640</v>
      </c>
      <c r="M240" s="4">
        <v>45821</v>
      </c>
      <c r="N240" s="5">
        <v>0</v>
      </c>
      <c r="O240" s="5">
        <v>0</v>
      </c>
      <c r="P240" s="5" t="e">
        <f>IF([1]!Tabla2[[#This Row],[TIEMPO DE ATENCIÓN REALIZADO]]&lt;=[1]!Tabla2[[#This Row],[TIEMPO DE ATENCIÓN ESPERADO]],"Dentro de plazo","Fuera de plazo")</f>
        <v>#REF!</v>
      </c>
      <c r="Q240" s="6">
        <v>200</v>
      </c>
      <c r="R240" s="2" t="s">
        <v>45</v>
      </c>
      <c r="S240" s="2" t="s">
        <v>425</v>
      </c>
      <c r="T240" s="2" t="s">
        <v>40</v>
      </c>
      <c r="U240" s="2" t="s">
        <v>41</v>
      </c>
      <c r="V240" s="2" t="s">
        <v>267</v>
      </c>
    </row>
    <row r="241" spans="1:22" ht="27" customHeight="1" x14ac:dyDescent="0.3">
      <c r="A241" s="2">
        <v>240</v>
      </c>
      <c r="B241" s="2" t="s">
        <v>1</v>
      </c>
      <c r="C241" s="4">
        <v>45821</v>
      </c>
      <c r="D241" s="4" t="str">
        <f>TEXT(Tabla2[[#This Row],[fecha]],"MMMM")</f>
        <v>Junio</v>
      </c>
      <c r="E241" s="2" t="s">
        <v>22</v>
      </c>
      <c r="F241" s="2" t="s">
        <v>55</v>
      </c>
      <c r="G241" s="2" t="s">
        <v>38</v>
      </c>
      <c r="H241" s="2" t="s">
        <v>421</v>
      </c>
      <c r="I241" s="2" t="s">
        <v>266</v>
      </c>
      <c r="J241" s="2"/>
      <c r="K241" s="2"/>
      <c r="L241" s="2">
        <v>3641</v>
      </c>
      <c r="M241" s="4">
        <v>45821</v>
      </c>
      <c r="N241" s="5">
        <v>0</v>
      </c>
      <c r="O241" s="5">
        <v>0</v>
      </c>
      <c r="P241" s="5" t="e">
        <f>IF([1]!Tabla2[[#This Row],[TIEMPO DE ATENCIÓN REALIZADO]]&lt;=[1]!Tabla2[[#This Row],[TIEMPO DE ATENCIÓN ESPERADO]],"Dentro de plazo","Fuera de plazo")</f>
        <v>#REF!</v>
      </c>
      <c r="Q241" s="6">
        <v>1600</v>
      </c>
      <c r="R241" s="2" t="s">
        <v>45</v>
      </c>
      <c r="S241" s="2" t="s">
        <v>425</v>
      </c>
      <c r="T241" s="2" t="s">
        <v>40</v>
      </c>
      <c r="U241" s="2" t="s">
        <v>41</v>
      </c>
      <c r="V241" s="2" t="s">
        <v>267</v>
      </c>
    </row>
    <row r="242" spans="1:22" ht="27" customHeight="1" x14ac:dyDescent="0.3">
      <c r="A242" s="2">
        <v>241</v>
      </c>
      <c r="B242" s="2" t="s">
        <v>1</v>
      </c>
      <c r="C242" s="4">
        <v>45821</v>
      </c>
      <c r="D242" s="4" t="str">
        <f>TEXT(Tabla2[[#This Row],[fecha]],"MMMM")</f>
        <v>Junio</v>
      </c>
      <c r="E242" s="2" t="s">
        <v>226</v>
      </c>
      <c r="F242" s="2" t="s">
        <v>55</v>
      </c>
      <c r="G242" s="2" t="s">
        <v>38</v>
      </c>
      <c r="H242" s="2" t="s">
        <v>60</v>
      </c>
      <c r="I242" s="2" t="s">
        <v>39</v>
      </c>
      <c r="J242" s="2"/>
      <c r="K242" s="2"/>
      <c r="L242" s="2">
        <v>3642</v>
      </c>
      <c r="M242" s="4">
        <v>45824</v>
      </c>
      <c r="N242" s="5">
        <v>3</v>
      </c>
      <c r="O242" s="5">
        <v>3</v>
      </c>
      <c r="P242" s="5" t="e">
        <f>IF([1]!Tabla2[[#This Row],[TIEMPO DE ATENCIÓN REALIZADO]]&lt;=[1]!Tabla2[[#This Row],[TIEMPO DE ATENCIÓN ESPERADO]],"Dentro de plazo","Fuera de plazo")</f>
        <v>#REF!</v>
      </c>
      <c r="Q242" s="6">
        <v>1300</v>
      </c>
      <c r="R242" s="2" t="s">
        <v>7</v>
      </c>
      <c r="S242" s="2" t="s">
        <v>424</v>
      </c>
      <c r="T242" s="2" t="s">
        <v>46</v>
      </c>
      <c r="U242" s="2" t="s">
        <v>41</v>
      </c>
      <c r="V242" s="2" t="s">
        <v>268</v>
      </c>
    </row>
    <row r="243" spans="1:22" ht="27" customHeight="1" x14ac:dyDescent="0.3">
      <c r="A243" s="2">
        <v>242</v>
      </c>
      <c r="B243" s="2" t="s">
        <v>5</v>
      </c>
      <c r="C243" s="4">
        <v>45825</v>
      </c>
      <c r="D243" s="4" t="str">
        <f>TEXT(Tabla2[[#This Row],[fecha]],"MMMM")</f>
        <v>Junio</v>
      </c>
      <c r="E243" s="2" t="s">
        <v>269</v>
      </c>
      <c r="F243" s="2" t="s">
        <v>414</v>
      </c>
      <c r="G243" s="2" t="s">
        <v>44</v>
      </c>
      <c r="H243" s="2" t="s">
        <v>421</v>
      </c>
      <c r="I243" s="2" t="s">
        <v>250</v>
      </c>
      <c r="J243" s="2"/>
      <c r="K243" s="2"/>
      <c r="L243" s="2">
        <v>3643</v>
      </c>
      <c r="M243" s="4">
        <v>45825</v>
      </c>
      <c r="N243" s="5">
        <v>0</v>
      </c>
      <c r="O243" s="5">
        <v>0</v>
      </c>
      <c r="P243" s="5" t="e">
        <f>IF([1]!Tabla2[[#This Row],[TIEMPO DE ATENCIÓN REALIZADO]]&lt;=[1]!Tabla2[[#This Row],[TIEMPO DE ATENCIÓN ESPERADO]],"Dentro de plazo","Fuera de plazo")</f>
        <v>#REF!</v>
      </c>
      <c r="Q243" s="6">
        <v>1395</v>
      </c>
      <c r="R243" s="2" t="s">
        <v>45</v>
      </c>
      <c r="S243" s="2" t="s">
        <v>56</v>
      </c>
      <c r="T243" s="2" t="s">
        <v>40</v>
      </c>
      <c r="U243" s="2" t="s">
        <v>53</v>
      </c>
      <c r="V243" s="2" t="s">
        <v>270</v>
      </c>
    </row>
    <row r="244" spans="1:22" ht="27" customHeight="1" x14ac:dyDescent="0.3">
      <c r="A244" s="2">
        <v>243</v>
      </c>
      <c r="B244" s="2" t="s">
        <v>1</v>
      </c>
      <c r="C244" s="4">
        <v>45824</v>
      </c>
      <c r="D244" s="4" t="str">
        <f>TEXT(Tabla2[[#This Row],[fecha]],"MMMM")</f>
        <v>Junio</v>
      </c>
      <c r="E244" s="2" t="s">
        <v>271</v>
      </c>
      <c r="F244" s="2" t="s">
        <v>415</v>
      </c>
      <c r="G244" s="2" t="s">
        <v>44</v>
      </c>
      <c r="H244" s="2" t="s">
        <v>421</v>
      </c>
      <c r="I244" s="2" t="s">
        <v>68</v>
      </c>
      <c r="J244" s="2"/>
      <c r="K244" s="2"/>
      <c r="L244" s="2">
        <v>3644</v>
      </c>
      <c r="M244" s="4">
        <v>45826</v>
      </c>
      <c r="N244" s="5">
        <v>2</v>
      </c>
      <c r="O244" s="5">
        <v>2</v>
      </c>
      <c r="P244" s="5" t="e">
        <f>IF([1]!Tabla2[[#This Row],[TIEMPO DE ATENCIÓN REALIZADO]]&lt;=[1]!Tabla2[[#This Row],[TIEMPO DE ATENCIÓN ESPERADO]],"Dentro de plazo","Fuera de plazo")</f>
        <v>#REF!</v>
      </c>
      <c r="Q244" s="6">
        <v>1400</v>
      </c>
      <c r="R244" s="2" t="s">
        <v>45</v>
      </c>
      <c r="S244" s="2" t="s">
        <v>425</v>
      </c>
      <c r="T244" s="2" t="s">
        <v>40</v>
      </c>
      <c r="U244" s="2" t="s">
        <v>53</v>
      </c>
      <c r="V244" s="2" t="s">
        <v>272</v>
      </c>
    </row>
    <row r="245" spans="1:22" ht="27" customHeight="1" x14ac:dyDescent="0.3">
      <c r="A245" s="2">
        <v>244</v>
      </c>
      <c r="B245" s="2" t="s">
        <v>1</v>
      </c>
      <c r="C245" s="4">
        <v>45824</v>
      </c>
      <c r="D245" s="4" t="str">
        <f>TEXT(Tabla2[[#This Row],[fecha]],"MMMM")</f>
        <v>Junio</v>
      </c>
      <c r="E245" s="2" t="s">
        <v>271</v>
      </c>
      <c r="F245" s="2" t="s">
        <v>414</v>
      </c>
      <c r="G245" s="2" t="s">
        <v>44</v>
      </c>
      <c r="H245" s="2" t="s">
        <v>421</v>
      </c>
      <c r="I245" s="2" t="s">
        <v>68</v>
      </c>
      <c r="J245" s="2"/>
      <c r="K245" s="2"/>
      <c r="L245" s="2">
        <v>3645</v>
      </c>
      <c r="M245" s="4">
        <v>45826</v>
      </c>
      <c r="N245" s="5">
        <v>2</v>
      </c>
      <c r="O245" s="5">
        <v>2</v>
      </c>
      <c r="P245" s="5" t="e">
        <f>IF([1]!Tabla2[[#This Row],[TIEMPO DE ATENCIÓN REALIZADO]]&lt;=[1]!Tabla2[[#This Row],[TIEMPO DE ATENCIÓN ESPERADO]],"Dentro de plazo","Fuera de plazo")</f>
        <v>#REF!</v>
      </c>
      <c r="Q245" s="6">
        <v>1900</v>
      </c>
      <c r="R245" s="2" t="s">
        <v>45</v>
      </c>
      <c r="S245" s="2" t="s">
        <v>425</v>
      </c>
      <c r="T245" s="2" t="s">
        <v>40</v>
      </c>
      <c r="U245" s="2" t="s">
        <v>53</v>
      </c>
      <c r="V245" s="2" t="s">
        <v>272</v>
      </c>
    </row>
    <row r="246" spans="1:22" ht="27" customHeight="1" x14ac:dyDescent="0.3">
      <c r="A246" s="2">
        <v>245</v>
      </c>
      <c r="B246" s="2" t="s">
        <v>5</v>
      </c>
      <c r="C246" s="4">
        <v>45817</v>
      </c>
      <c r="D246" s="4" t="str">
        <f>TEXT(Tabla2[[#This Row],[fecha]],"MMMM")</f>
        <v>Junio</v>
      </c>
      <c r="E246" s="2" t="s">
        <v>273</v>
      </c>
      <c r="F246" s="2" t="s">
        <v>415</v>
      </c>
      <c r="G246" s="2" t="s">
        <v>44</v>
      </c>
      <c r="H246" s="2" t="s">
        <v>60</v>
      </c>
      <c r="I246" s="2" t="s">
        <v>274</v>
      </c>
      <c r="J246" s="2"/>
      <c r="K246" s="2"/>
      <c r="L246" s="2">
        <v>3646</v>
      </c>
      <c r="M246" s="4">
        <v>45826</v>
      </c>
      <c r="N246" s="5">
        <v>9</v>
      </c>
      <c r="O246" s="5">
        <v>9</v>
      </c>
      <c r="P246" s="5" t="e">
        <f>IF([1]!Tabla2[[#This Row],[TIEMPO DE ATENCIÓN REALIZADO]]&lt;=[1]!Tabla2[[#This Row],[TIEMPO DE ATENCIÓN ESPERADO]],"Dentro de plazo","Fuera de plazo")</f>
        <v>#REF!</v>
      </c>
      <c r="Q246" s="6">
        <v>1840</v>
      </c>
      <c r="R246" s="2" t="s">
        <v>45</v>
      </c>
      <c r="S246" s="2" t="s">
        <v>56</v>
      </c>
      <c r="T246" s="2" t="s">
        <v>40</v>
      </c>
      <c r="U246" s="2" t="s">
        <v>53</v>
      </c>
      <c r="V246" s="2" t="s">
        <v>236</v>
      </c>
    </row>
    <row r="247" spans="1:22" ht="27" customHeight="1" x14ac:dyDescent="0.3">
      <c r="A247" s="2">
        <v>246</v>
      </c>
      <c r="B247" s="2" t="s">
        <v>5</v>
      </c>
      <c r="C247" s="4">
        <v>45821</v>
      </c>
      <c r="D247" s="4" t="str">
        <f>TEXT(Tabla2[[#This Row],[fecha]],"MMMM")</f>
        <v>Junio</v>
      </c>
      <c r="E247" s="2" t="s">
        <v>275</v>
      </c>
      <c r="F247" s="2" t="s">
        <v>88</v>
      </c>
      <c r="G247" s="2" t="s">
        <v>44</v>
      </c>
      <c r="H247" s="2" t="s">
        <v>60</v>
      </c>
      <c r="I247" s="2" t="s">
        <v>266</v>
      </c>
      <c r="J247" s="2"/>
      <c r="K247" s="2"/>
      <c r="L247" s="2">
        <v>3647</v>
      </c>
      <c r="M247" s="4">
        <v>45827</v>
      </c>
      <c r="N247" s="5">
        <v>6</v>
      </c>
      <c r="O247" s="5">
        <v>6</v>
      </c>
      <c r="P247" s="5" t="e">
        <f>IF([1]!Tabla2[[#This Row],[TIEMPO DE ATENCIÓN REALIZADO]]&lt;=[1]!Tabla2[[#This Row],[TIEMPO DE ATENCIÓN ESPERADO]],"Dentro de plazo","Fuera de plazo")</f>
        <v>#REF!</v>
      </c>
      <c r="Q247" s="6">
        <v>16658</v>
      </c>
      <c r="R247" s="2" t="s">
        <v>45</v>
      </c>
      <c r="S247" s="2" t="s">
        <v>56</v>
      </c>
      <c r="T247" s="2" t="s">
        <v>40</v>
      </c>
      <c r="U247" s="2" t="s">
        <v>53</v>
      </c>
      <c r="V247" s="2" t="s">
        <v>276</v>
      </c>
    </row>
    <row r="248" spans="1:22" ht="27" customHeight="1" x14ac:dyDescent="0.3">
      <c r="A248" s="2">
        <v>247</v>
      </c>
      <c r="B248" s="2" t="s">
        <v>5</v>
      </c>
      <c r="C248" s="4">
        <v>45826</v>
      </c>
      <c r="D248" s="4" t="str">
        <f>TEXT(Tabla2[[#This Row],[fecha]],"MMMM")</f>
        <v>Junio</v>
      </c>
      <c r="E248" s="2" t="s">
        <v>277</v>
      </c>
      <c r="F248" s="2" t="s">
        <v>416</v>
      </c>
      <c r="G248" s="2" t="s">
        <v>44</v>
      </c>
      <c r="H248" s="2" t="s">
        <v>421</v>
      </c>
      <c r="I248" s="2" t="s">
        <v>80</v>
      </c>
      <c r="J248" s="2"/>
      <c r="K248" s="2"/>
      <c r="L248" s="2">
        <v>3648</v>
      </c>
      <c r="M248" s="4">
        <v>45826</v>
      </c>
      <c r="N248" s="5">
        <v>0</v>
      </c>
      <c r="O248" s="5">
        <v>0</v>
      </c>
      <c r="P248" s="5" t="e">
        <f>IF([1]!Tabla2[[#This Row],[TIEMPO DE ATENCIÓN REALIZADO]]&lt;=[1]!Tabla2[[#This Row],[TIEMPO DE ATENCIÓN ESPERADO]],"Dentro de plazo","Fuera de plazo")</f>
        <v>#REF!</v>
      </c>
      <c r="Q248" s="6">
        <v>560</v>
      </c>
      <c r="R248" s="2" t="s">
        <v>15</v>
      </c>
      <c r="S248" s="2" t="s">
        <v>424</v>
      </c>
      <c r="T248" s="2" t="s">
        <v>40</v>
      </c>
      <c r="U248" s="2" t="s">
        <v>53</v>
      </c>
      <c r="V248" s="2" t="s">
        <v>278</v>
      </c>
    </row>
    <row r="249" spans="1:22" ht="27" customHeight="1" x14ac:dyDescent="0.3">
      <c r="A249" s="2">
        <v>248</v>
      </c>
      <c r="B249" s="2" t="s">
        <v>5</v>
      </c>
      <c r="C249" s="4">
        <v>45826</v>
      </c>
      <c r="D249" s="4" t="str">
        <f>TEXT(Tabla2[[#This Row],[fecha]],"MMMM")</f>
        <v>Junio</v>
      </c>
      <c r="E249" s="2" t="s">
        <v>279</v>
      </c>
      <c r="F249" s="2" t="s">
        <v>88</v>
      </c>
      <c r="G249" s="2"/>
      <c r="H249" s="2" t="s">
        <v>421</v>
      </c>
      <c r="I249" s="2" t="s">
        <v>217</v>
      </c>
      <c r="J249" s="2"/>
      <c r="K249" s="2"/>
      <c r="L249" s="2">
        <v>3649</v>
      </c>
      <c r="M249" s="4">
        <v>45826</v>
      </c>
      <c r="N249" s="5">
        <v>0</v>
      </c>
      <c r="O249" s="5">
        <v>0</v>
      </c>
      <c r="P249" s="5" t="e">
        <f>IF([1]!Tabla2[[#This Row],[TIEMPO DE ATENCIÓN REALIZADO]]&lt;=[1]!Tabla2[[#This Row],[TIEMPO DE ATENCIÓN ESPERADO]],"Dentro de plazo","Fuera de plazo")</f>
        <v>#REF!</v>
      </c>
      <c r="Q249" s="6">
        <v>3270.97</v>
      </c>
      <c r="R249" s="2" t="s">
        <v>45</v>
      </c>
      <c r="S249" s="2" t="s">
        <v>56</v>
      </c>
      <c r="T249" s="2" t="s">
        <v>40</v>
      </c>
      <c r="U249" s="2" t="s">
        <v>53</v>
      </c>
      <c r="V249" s="2" t="s">
        <v>280</v>
      </c>
    </row>
    <row r="250" spans="1:22" ht="27" customHeight="1" x14ac:dyDescent="0.3">
      <c r="A250" s="2">
        <v>249</v>
      </c>
      <c r="B250" s="2" t="s">
        <v>1</v>
      </c>
      <c r="C250" s="4">
        <v>45827</v>
      </c>
      <c r="D250" s="4" t="str">
        <f>TEXT(Tabla2[[#This Row],[fecha]],"MMMM")</f>
        <v>Junio</v>
      </c>
      <c r="E250" s="2" t="s">
        <v>261</v>
      </c>
      <c r="F250" s="2" t="s">
        <v>414</v>
      </c>
      <c r="G250" s="2" t="s">
        <v>44</v>
      </c>
      <c r="H250" s="2" t="s">
        <v>421</v>
      </c>
      <c r="I250" s="2" t="s">
        <v>88</v>
      </c>
      <c r="J250" s="2"/>
      <c r="K250" s="2"/>
      <c r="L250" s="2">
        <v>3650</v>
      </c>
      <c r="M250" s="4">
        <v>45828</v>
      </c>
      <c r="N250" s="5">
        <v>1</v>
      </c>
      <c r="O250" s="5">
        <v>1</v>
      </c>
      <c r="P250" s="5" t="e">
        <f>IF([1]!Tabla2[[#This Row],[TIEMPO DE ATENCIÓN REALIZADO]]&lt;=[1]!Tabla2[[#This Row],[TIEMPO DE ATENCIÓN ESPERADO]],"Dentro de plazo","Fuera de plazo")</f>
        <v>#REF!</v>
      </c>
      <c r="Q250" s="6">
        <v>7600</v>
      </c>
      <c r="R250" s="2" t="s">
        <v>45</v>
      </c>
      <c r="S250" s="2" t="s">
        <v>427</v>
      </c>
      <c r="T250" s="2" t="s">
        <v>40</v>
      </c>
      <c r="U250" s="2" t="s">
        <v>53</v>
      </c>
      <c r="V250" s="2" t="s">
        <v>281</v>
      </c>
    </row>
    <row r="251" spans="1:22" ht="27" customHeight="1" x14ac:dyDescent="0.3">
      <c r="A251" s="2">
        <v>250</v>
      </c>
      <c r="B251" s="2" t="s">
        <v>5</v>
      </c>
      <c r="C251" s="4">
        <v>45828</v>
      </c>
      <c r="D251" s="4" t="str">
        <f>TEXT(Tabla2[[#This Row],[fecha]],"MMMM")</f>
        <v>Junio</v>
      </c>
      <c r="E251" s="2" t="s">
        <v>27</v>
      </c>
      <c r="F251" s="2" t="s">
        <v>72</v>
      </c>
      <c r="G251" s="2" t="s">
        <v>38</v>
      </c>
      <c r="H251" s="2" t="s">
        <v>421</v>
      </c>
      <c r="I251" s="2" t="s">
        <v>39</v>
      </c>
      <c r="J251" s="2"/>
      <c r="K251" s="2"/>
      <c r="L251" s="2">
        <v>3651</v>
      </c>
      <c r="M251" s="4">
        <v>45828</v>
      </c>
      <c r="N251" s="5">
        <v>0</v>
      </c>
      <c r="O251" s="5">
        <v>0</v>
      </c>
      <c r="P251" s="5" t="e">
        <f>IF([1]!Tabla2[[#This Row],[TIEMPO DE ATENCIÓN REALIZADO]]&lt;=[1]!Tabla2[[#This Row],[TIEMPO DE ATENCIÓN ESPERADO]],"Dentro de plazo","Fuera de plazo")</f>
        <v>#REF!</v>
      </c>
      <c r="Q251" s="6">
        <v>8122</v>
      </c>
      <c r="R251" s="2" t="s">
        <v>9</v>
      </c>
      <c r="S251" s="2" t="s">
        <v>56</v>
      </c>
      <c r="T251" s="2" t="s">
        <v>40</v>
      </c>
      <c r="U251" s="2" t="s">
        <v>53</v>
      </c>
      <c r="V251" s="2" t="s">
        <v>282</v>
      </c>
    </row>
    <row r="252" spans="1:22" ht="27" customHeight="1" x14ac:dyDescent="0.3">
      <c r="A252" s="2">
        <v>251</v>
      </c>
      <c r="B252" s="2" t="s">
        <v>1</v>
      </c>
      <c r="C252" s="4">
        <v>45828</v>
      </c>
      <c r="D252" s="4" t="str">
        <f>TEXT(Tabla2[[#This Row],[fecha]],"MMMM")</f>
        <v>Junio</v>
      </c>
      <c r="E252" s="2" t="s">
        <v>283</v>
      </c>
      <c r="F252" s="2" t="s">
        <v>415</v>
      </c>
      <c r="G252" s="2" t="s">
        <v>44</v>
      </c>
      <c r="H252" s="2" t="s">
        <v>421</v>
      </c>
      <c r="I252" s="2" t="s">
        <v>250</v>
      </c>
      <c r="J252" s="2"/>
      <c r="K252" s="2"/>
      <c r="L252" s="2">
        <v>3652</v>
      </c>
      <c r="M252" s="4">
        <v>45828</v>
      </c>
      <c r="N252" s="5">
        <v>0</v>
      </c>
      <c r="O252" s="5">
        <v>0</v>
      </c>
      <c r="P252" s="5" t="e">
        <f>IF([1]!Tabla2[[#This Row],[TIEMPO DE ATENCIÓN REALIZADO]]&lt;=[1]!Tabla2[[#This Row],[TIEMPO DE ATENCIÓN ESPERADO]],"Dentro de plazo","Fuera de plazo")</f>
        <v>#REF!</v>
      </c>
      <c r="Q252" s="6">
        <v>2200</v>
      </c>
      <c r="R252" s="2" t="s">
        <v>45</v>
      </c>
      <c r="S252" s="2" t="s">
        <v>425</v>
      </c>
      <c r="T252" s="2" t="s">
        <v>40</v>
      </c>
      <c r="U252" s="2" t="s">
        <v>53</v>
      </c>
      <c r="V252" s="2"/>
    </row>
    <row r="253" spans="1:22" ht="27" customHeight="1" x14ac:dyDescent="0.3">
      <c r="A253" s="2">
        <v>252</v>
      </c>
      <c r="B253" s="2" t="s">
        <v>1</v>
      </c>
      <c r="C253" s="4">
        <v>45828</v>
      </c>
      <c r="D253" s="4" t="str">
        <f>TEXT(Tabla2[[#This Row],[fecha]],"MMMM")</f>
        <v>Junio</v>
      </c>
      <c r="E253" s="2" t="s">
        <v>284</v>
      </c>
      <c r="F253" s="2" t="s">
        <v>414</v>
      </c>
      <c r="G253" s="2" t="s">
        <v>58</v>
      </c>
      <c r="H253" s="2" t="s">
        <v>421</v>
      </c>
      <c r="I253" s="2" t="s">
        <v>250</v>
      </c>
      <c r="J253" s="2"/>
      <c r="K253" s="2"/>
      <c r="L253" s="2">
        <v>3653</v>
      </c>
      <c r="M253" s="4">
        <v>45828</v>
      </c>
      <c r="N253" s="5">
        <v>0</v>
      </c>
      <c r="O253" s="5">
        <v>0</v>
      </c>
      <c r="P253" s="5" t="e">
        <f>IF([1]!Tabla2[[#This Row],[TIEMPO DE ATENCIÓN REALIZADO]]&lt;=[1]!Tabla2[[#This Row],[TIEMPO DE ATENCIÓN ESPERADO]],"Dentro de plazo","Fuera de plazo")</f>
        <v>#REF!</v>
      </c>
      <c r="Q253" s="6">
        <v>2800</v>
      </c>
      <c r="R253" s="2" t="s">
        <v>45</v>
      </c>
      <c r="S253" s="2" t="s">
        <v>424</v>
      </c>
      <c r="T253" s="2" t="s">
        <v>46</v>
      </c>
      <c r="U253" s="2" t="s">
        <v>41</v>
      </c>
      <c r="V253" s="2" t="s">
        <v>285</v>
      </c>
    </row>
    <row r="254" spans="1:22" ht="27" customHeight="1" x14ac:dyDescent="0.3">
      <c r="A254" s="2">
        <v>253</v>
      </c>
      <c r="B254" s="2" t="s">
        <v>1</v>
      </c>
      <c r="C254" s="4">
        <v>45831</v>
      </c>
      <c r="D254" s="4" t="str">
        <f>TEXT(Tabla2[[#This Row],[fecha]],"MMMM")</f>
        <v>Junio</v>
      </c>
      <c r="E254" s="2" t="s">
        <v>286</v>
      </c>
      <c r="F254" s="2" t="s">
        <v>415</v>
      </c>
      <c r="G254" s="2" t="s">
        <v>44</v>
      </c>
      <c r="H254" s="2" t="s">
        <v>421</v>
      </c>
      <c r="I254" s="2" t="s">
        <v>68</v>
      </c>
      <c r="J254" s="2"/>
      <c r="K254" s="2"/>
      <c r="L254" s="2">
        <v>3654</v>
      </c>
      <c r="M254" s="4">
        <v>45831</v>
      </c>
      <c r="N254" s="5">
        <v>0</v>
      </c>
      <c r="O254" s="5">
        <v>0</v>
      </c>
      <c r="P254" s="5" t="e">
        <f>IF([1]!Tabla2[[#This Row],[TIEMPO DE ATENCIÓN REALIZADO]]&lt;=[1]!Tabla2[[#This Row],[TIEMPO DE ATENCIÓN ESPERADO]],"Dentro de plazo","Fuera de plazo")</f>
        <v>#REF!</v>
      </c>
      <c r="Q254" s="6">
        <v>37500</v>
      </c>
      <c r="R254" s="2" t="s">
        <v>45</v>
      </c>
      <c r="S254" s="2" t="s">
        <v>425</v>
      </c>
      <c r="T254" s="2" t="s">
        <v>40</v>
      </c>
      <c r="U254" s="2" t="s">
        <v>53</v>
      </c>
      <c r="V254" s="2" t="s">
        <v>287</v>
      </c>
    </row>
    <row r="255" spans="1:22" ht="27" customHeight="1" x14ac:dyDescent="0.3">
      <c r="A255" s="2">
        <v>254</v>
      </c>
      <c r="B255" s="2" t="s">
        <v>5</v>
      </c>
      <c r="C255" s="4">
        <v>45833</v>
      </c>
      <c r="D255" s="4" t="str">
        <f>TEXT(Tabla2[[#This Row],[fecha]],"MMMM")</f>
        <v>Junio</v>
      </c>
      <c r="E255" s="2" t="s">
        <v>288</v>
      </c>
      <c r="F255" s="2" t="s">
        <v>415</v>
      </c>
      <c r="G255" s="2" t="s">
        <v>38</v>
      </c>
      <c r="H255" s="2" t="s">
        <v>421</v>
      </c>
      <c r="I255" s="2" t="s">
        <v>68</v>
      </c>
      <c r="J255" s="2"/>
      <c r="K255" s="2"/>
      <c r="L255" s="2">
        <v>3655</v>
      </c>
      <c r="M255" s="4">
        <v>45833</v>
      </c>
      <c r="N255" s="5">
        <v>0</v>
      </c>
      <c r="O255" s="5">
        <v>0</v>
      </c>
      <c r="P255" s="5" t="e">
        <f>IF([1]!Tabla2[[#This Row],[TIEMPO DE ATENCIÓN REALIZADO]]&lt;=[1]!Tabla2[[#This Row],[TIEMPO DE ATENCIÓN ESPERADO]],"Dentro de plazo","Fuera de plazo")</f>
        <v>#REF!</v>
      </c>
      <c r="Q255" s="6">
        <v>798</v>
      </c>
      <c r="R255" s="2" t="s">
        <v>9</v>
      </c>
      <c r="S255" s="2" t="s">
        <v>56</v>
      </c>
      <c r="T255" s="2" t="s">
        <v>40</v>
      </c>
      <c r="U255" s="2" t="s">
        <v>41</v>
      </c>
      <c r="V255" s="2" t="s">
        <v>289</v>
      </c>
    </row>
    <row r="256" spans="1:22" ht="27" customHeight="1" x14ac:dyDescent="0.3">
      <c r="A256" s="2">
        <v>255</v>
      </c>
      <c r="B256" s="2" t="s">
        <v>5</v>
      </c>
      <c r="C256" s="4">
        <v>45833</v>
      </c>
      <c r="D256" s="4" t="str">
        <f>TEXT(Tabla2[[#This Row],[fecha]],"MMMM")</f>
        <v>Junio</v>
      </c>
      <c r="E256" s="2" t="s">
        <v>14</v>
      </c>
      <c r="F256" s="2" t="s">
        <v>414</v>
      </c>
      <c r="G256" s="2" t="s">
        <v>38</v>
      </c>
      <c r="H256" s="2" t="s">
        <v>421</v>
      </c>
      <c r="I256" s="2" t="s">
        <v>39</v>
      </c>
      <c r="J256" s="2"/>
      <c r="K256" s="2"/>
      <c r="L256" s="2">
        <v>3656</v>
      </c>
      <c r="M256" s="4">
        <v>45833</v>
      </c>
      <c r="N256" s="5">
        <v>0</v>
      </c>
      <c r="O256" s="5">
        <v>0</v>
      </c>
      <c r="P256" s="5" t="e">
        <f>IF([1]!Tabla2[[#This Row],[TIEMPO DE ATENCIÓN REALIZADO]]&lt;=[1]!Tabla2[[#This Row],[TIEMPO DE ATENCIÓN ESPERADO]],"Dentro de plazo","Fuera de plazo")</f>
        <v>#REF!</v>
      </c>
      <c r="Q256" s="6">
        <v>4040</v>
      </c>
      <c r="R256" s="2" t="s">
        <v>7</v>
      </c>
      <c r="S256" s="2" t="s">
        <v>424</v>
      </c>
      <c r="T256" s="2" t="s">
        <v>46</v>
      </c>
      <c r="U256" s="2" t="s">
        <v>41</v>
      </c>
      <c r="V256" s="2" t="s">
        <v>290</v>
      </c>
    </row>
    <row r="257" spans="1:22" ht="27" customHeight="1" x14ac:dyDescent="0.3">
      <c r="A257" s="2">
        <v>256</v>
      </c>
      <c r="B257" s="2" t="s">
        <v>1</v>
      </c>
      <c r="C257" s="4">
        <v>45824</v>
      </c>
      <c r="D257" s="4" t="str">
        <f>TEXT(Tabla2[[#This Row],[fecha]],"MMMM")</f>
        <v>Junio</v>
      </c>
      <c r="E257" s="2" t="s">
        <v>291</v>
      </c>
      <c r="F257" s="2" t="s">
        <v>55</v>
      </c>
      <c r="G257" s="2" t="s">
        <v>44</v>
      </c>
      <c r="H257" s="2" t="s">
        <v>421</v>
      </c>
      <c r="I257" s="2" t="s">
        <v>292</v>
      </c>
      <c r="J257" s="2"/>
      <c r="K257" s="2"/>
      <c r="L257" s="2">
        <v>3657</v>
      </c>
      <c r="M257" s="4">
        <v>45835</v>
      </c>
      <c r="N257" s="5">
        <v>11</v>
      </c>
      <c r="O257" s="5">
        <v>11</v>
      </c>
      <c r="P257" s="5" t="e">
        <f>IF([1]!Tabla2[[#This Row],[TIEMPO DE ATENCIÓN REALIZADO]]&lt;=[1]!Tabla2[[#This Row],[TIEMPO DE ATENCIÓN ESPERADO]],"Dentro de plazo","Fuera de plazo")</f>
        <v>#REF!</v>
      </c>
      <c r="Q257" s="6">
        <v>35000</v>
      </c>
      <c r="R257" s="2" t="s">
        <v>4</v>
      </c>
      <c r="S257" s="2" t="s">
        <v>56</v>
      </c>
      <c r="T257" s="2" t="s">
        <v>40</v>
      </c>
      <c r="U257" s="2" t="s">
        <v>53</v>
      </c>
      <c r="V257" s="2" t="s">
        <v>293</v>
      </c>
    </row>
    <row r="258" spans="1:22" ht="27" customHeight="1" x14ac:dyDescent="0.3">
      <c r="A258" s="2">
        <v>257</v>
      </c>
      <c r="B258" s="2" t="s">
        <v>5</v>
      </c>
      <c r="C258" s="4">
        <v>45834</v>
      </c>
      <c r="D258" s="4" t="str">
        <f>TEXT(Tabla2[[#This Row],[fecha]],"MMMM")</f>
        <v>Junio</v>
      </c>
      <c r="E258" s="2" t="s">
        <v>89</v>
      </c>
      <c r="F258" s="2" t="s">
        <v>414</v>
      </c>
      <c r="G258" s="2" t="s">
        <v>38</v>
      </c>
      <c r="H258" s="2" t="s">
        <v>421</v>
      </c>
      <c r="I258" s="2" t="s">
        <v>39</v>
      </c>
      <c r="J258" s="2"/>
      <c r="K258" s="2"/>
      <c r="L258" s="2">
        <v>3658</v>
      </c>
      <c r="M258" s="4">
        <v>45835</v>
      </c>
      <c r="N258" s="5">
        <v>1</v>
      </c>
      <c r="O258" s="5">
        <v>1</v>
      </c>
      <c r="P258" s="5" t="e">
        <f>IF([1]!Tabla2[[#This Row],[TIEMPO DE ATENCIÓN REALIZADO]]&lt;=[1]!Tabla2[[#This Row],[TIEMPO DE ATENCIÓN ESPERADO]],"Dentro de plazo","Fuera de plazo")</f>
        <v>#REF!</v>
      </c>
      <c r="Q258" s="6">
        <v>2439</v>
      </c>
      <c r="R258" s="2" t="s">
        <v>45</v>
      </c>
      <c r="S258" s="2" t="s">
        <v>56</v>
      </c>
      <c r="T258" s="2" t="s">
        <v>40</v>
      </c>
      <c r="U258" s="2" t="s">
        <v>41</v>
      </c>
      <c r="V258" s="2" t="s">
        <v>294</v>
      </c>
    </row>
    <row r="259" spans="1:22" ht="27" customHeight="1" x14ac:dyDescent="0.3">
      <c r="A259" s="2">
        <v>258</v>
      </c>
      <c r="B259" s="2" t="s">
        <v>1</v>
      </c>
      <c r="C259" s="4">
        <v>45833</v>
      </c>
      <c r="D259" s="4" t="str">
        <f>TEXT(Tabla2[[#This Row],[fecha]],"MMMM")</f>
        <v>Junio</v>
      </c>
      <c r="E259" s="2" t="s">
        <v>295</v>
      </c>
      <c r="F259" s="2" t="s">
        <v>414</v>
      </c>
      <c r="G259" s="2" t="s">
        <v>44</v>
      </c>
      <c r="H259" s="2" t="s">
        <v>421</v>
      </c>
      <c r="I259" s="2" t="s">
        <v>250</v>
      </c>
      <c r="J259" s="2"/>
      <c r="K259" s="2"/>
      <c r="L259" s="2">
        <v>3659</v>
      </c>
      <c r="M259" s="4">
        <v>45835</v>
      </c>
      <c r="N259" s="5">
        <v>2</v>
      </c>
      <c r="O259" s="5">
        <v>2</v>
      </c>
      <c r="P259" s="5" t="e">
        <f>IF([1]!Tabla2[[#This Row],[TIEMPO DE ATENCIÓN REALIZADO]]&lt;=[1]!Tabla2[[#This Row],[TIEMPO DE ATENCIÓN ESPERADO]],"Dentro de plazo","Fuera de plazo")</f>
        <v>#REF!</v>
      </c>
      <c r="Q259" s="6">
        <v>3200</v>
      </c>
      <c r="R259" s="2" t="s">
        <v>45</v>
      </c>
      <c r="S259" s="2" t="s">
        <v>56</v>
      </c>
      <c r="T259" s="2" t="s">
        <v>40</v>
      </c>
      <c r="U259" s="2" t="s">
        <v>53</v>
      </c>
      <c r="V259" s="2"/>
    </row>
    <row r="260" spans="1:22" ht="27" customHeight="1" x14ac:dyDescent="0.3">
      <c r="A260" s="2">
        <v>259</v>
      </c>
      <c r="B260" s="2" t="s">
        <v>1</v>
      </c>
      <c r="C260" s="4">
        <v>45832</v>
      </c>
      <c r="D260" s="4" t="str">
        <f>TEXT(Tabla2[[#This Row],[fecha]],"MMMM")</f>
        <v>Junio</v>
      </c>
      <c r="E260" s="2" t="s">
        <v>296</v>
      </c>
      <c r="F260" s="2" t="s">
        <v>415</v>
      </c>
      <c r="G260" s="2" t="s">
        <v>44</v>
      </c>
      <c r="H260" s="2" t="s">
        <v>421</v>
      </c>
      <c r="I260" s="2" t="s">
        <v>68</v>
      </c>
      <c r="J260" s="2"/>
      <c r="K260" s="2"/>
      <c r="L260" s="2">
        <v>3660</v>
      </c>
      <c r="M260" s="4">
        <v>45835</v>
      </c>
      <c r="N260" s="5">
        <v>3</v>
      </c>
      <c r="O260" s="5">
        <v>3</v>
      </c>
      <c r="P260" s="5" t="e">
        <f>IF([1]!Tabla2[[#This Row],[TIEMPO DE ATENCIÓN REALIZADO]]&lt;=[1]!Tabla2[[#This Row],[TIEMPO DE ATENCIÓN ESPERADO]],"Dentro de plazo","Fuera de plazo")</f>
        <v>#REF!</v>
      </c>
      <c r="Q260" s="6">
        <v>60000</v>
      </c>
      <c r="R260" s="2" t="s">
        <v>45</v>
      </c>
      <c r="S260" s="2" t="s">
        <v>56</v>
      </c>
      <c r="T260" s="2" t="s">
        <v>40</v>
      </c>
      <c r="U260" s="2" t="s">
        <v>53</v>
      </c>
      <c r="V260" s="2" t="s">
        <v>297</v>
      </c>
    </row>
    <row r="261" spans="1:22" ht="27" customHeight="1" x14ac:dyDescent="0.3">
      <c r="A261" s="2">
        <v>260</v>
      </c>
      <c r="B261" s="2" t="s">
        <v>1</v>
      </c>
      <c r="C261" s="4">
        <v>45835</v>
      </c>
      <c r="D261" s="4" t="str">
        <f>TEXT(Tabla2[[#This Row],[fecha]],"MMMM")</f>
        <v>Junio</v>
      </c>
      <c r="E261" s="2" t="s">
        <v>261</v>
      </c>
      <c r="F261" s="2" t="s">
        <v>414</v>
      </c>
      <c r="G261" s="2" t="s">
        <v>44</v>
      </c>
      <c r="H261" s="2" t="s">
        <v>421</v>
      </c>
      <c r="I261" s="2" t="s">
        <v>88</v>
      </c>
      <c r="J261" s="2"/>
      <c r="K261" s="2"/>
      <c r="L261" s="2">
        <v>3661</v>
      </c>
      <c r="M261" s="4">
        <v>45835</v>
      </c>
      <c r="N261" s="5">
        <v>0</v>
      </c>
      <c r="O261" s="5">
        <v>0</v>
      </c>
      <c r="P261" s="5" t="e">
        <f>IF([1]!Tabla2[[#This Row],[TIEMPO DE ATENCIÓN REALIZADO]]&lt;=[1]!Tabla2[[#This Row],[TIEMPO DE ATENCIÓN ESPERADO]],"Dentro de plazo","Fuera de plazo")</f>
        <v>#REF!</v>
      </c>
      <c r="Q261" s="6">
        <v>2400</v>
      </c>
      <c r="R261" s="2" t="s">
        <v>45</v>
      </c>
      <c r="S261" s="2" t="s">
        <v>425</v>
      </c>
      <c r="T261" s="2" t="s">
        <v>40</v>
      </c>
      <c r="U261" s="2" t="s">
        <v>53</v>
      </c>
      <c r="V261" s="2" t="s">
        <v>287</v>
      </c>
    </row>
    <row r="262" spans="1:22" ht="27" customHeight="1" x14ac:dyDescent="0.3">
      <c r="A262" s="2">
        <v>261</v>
      </c>
      <c r="B262" s="2" t="s">
        <v>1</v>
      </c>
      <c r="C262" s="4">
        <v>45835</v>
      </c>
      <c r="D262" s="4" t="str">
        <f>TEXT(Tabla2[[#This Row],[fecha]],"MMMM")</f>
        <v>Junio</v>
      </c>
      <c r="E262" s="2" t="s">
        <v>261</v>
      </c>
      <c r="F262" s="2" t="s">
        <v>414</v>
      </c>
      <c r="G262" s="2" t="s">
        <v>44</v>
      </c>
      <c r="H262" s="2" t="s">
        <v>421</v>
      </c>
      <c r="I262" s="2" t="s">
        <v>88</v>
      </c>
      <c r="J262" s="2"/>
      <c r="K262" s="2"/>
      <c r="L262" s="2">
        <v>3662</v>
      </c>
      <c r="M262" s="4">
        <v>45835</v>
      </c>
      <c r="N262" s="5">
        <v>0</v>
      </c>
      <c r="O262" s="5">
        <v>0</v>
      </c>
      <c r="P262" s="5" t="e">
        <f>IF([1]!Tabla2[[#This Row],[TIEMPO DE ATENCIÓN REALIZADO]]&lt;=[1]!Tabla2[[#This Row],[TIEMPO DE ATENCIÓN ESPERADO]],"Dentro de plazo","Fuera de plazo")</f>
        <v>#REF!</v>
      </c>
      <c r="Q262" s="6">
        <v>5000</v>
      </c>
      <c r="R262" s="2" t="s">
        <v>45</v>
      </c>
      <c r="S262" s="2" t="s">
        <v>425</v>
      </c>
      <c r="T262" s="2" t="s">
        <v>40</v>
      </c>
      <c r="U262" s="2" t="s">
        <v>53</v>
      </c>
      <c r="V262" s="2" t="s">
        <v>287</v>
      </c>
    </row>
    <row r="263" spans="1:22" ht="27" customHeight="1" x14ac:dyDescent="0.3">
      <c r="A263" s="2">
        <v>262</v>
      </c>
      <c r="B263" s="2" t="s">
        <v>5</v>
      </c>
      <c r="C263" s="4">
        <v>45835</v>
      </c>
      <c r="D263" s="4" t="str">
        <f>TEXT(Tabla2[[#This Row],[fecha]],"MMMM")</f>
        <v>Junio</v>
      </c>
      <c r="E263" s="2" t="s">
        <v>298</v>
      </c>
      <c r="F263" s="2" t="s">
        <v>414</v>
      </c>
      <c r="G263" s="2" t="s">
        <v>44</v>
      </c>
      <c r="H263" s="2" t="s">
        <v>60</v>
      </c>
      <c r="I263" s="2" t="s">
        <v>39</v>
      </c>
      <c r="J263" s="2"/>
      <c r="K263" s="2"/>
      <c r="L263" s="2">
        <v>3663</v>
      </c>
      <c r="M263" s="4">
        <v>45839</v>
      </c>
      <c r="N263" s="5">
        <v>4</v>
      </c>
      <c r="O263" s="5">
        <v>4</v>
      </c>
      <c r="P263" s="5" t="e">
        <f>IF([1]!Tabla2[[#This Row],[TIEMPO DE ATENCIÓN REALIZADO]]&lt;=[1]!Tabla2[[#This Row],[TIEMPO DE ATENCIÓN ESPERADO]],"Dentro de plazo","Fuera de plazo")</f>
        <v>#REF!</v>
      </c>
      <c r="Q263" s="6">
        <v>1149</v>
      </c>
      <c r="R263" s="2" t="s">
        <v>45</v>
      </c>
      <c r="S263" s="2" t="s">
        <v>425</v>
      </c>
      <c r="T263" s="2" t="s">
        <v>40</v>
      </c>
      <c r="U263" s="2" t="s">
        <v>53</v>
      </c>
      <c r="V263" s="2" t="s">
        <v>299</v>
      </c>
    </row>
    <row r="264" spans="1:22" ht="27" customHeight="1" x14ac:dyDescent="0.3">
      <c r="A264" s="2">
        <v>263</v>
      </c>
      <c r="B264" s="2" t="s">
        <v>5</v>
      </c>
      <c r="C264" s="4">
        <v>45831</v>
      </c>
      <c r="D264" s="4" t="str">
        <f>TEXT(Tabla2[[#This Row],[fecha]],"MMMM")</f>
        <v>Junio</v>
      </c>
      <c r="E264" s="2" t="s">
        <v>51</v>
      </c>
      <c r="F264" s="2" t="s">
        <v>55</v>
      </c>
      <c r="G264" s="2" t="s">
        <v>38</v>
      </c>
      <c r="H264" s="2" t="s">
        <v>60</v>
      </c>
      <c r="I264" s="2" t="s">
        <v>52</v>
      </c>
      <c r="J264" s="2"/>
      <c r="K264" s="2"/>
      <c r="L264" s="2">
        <v>3664</v>
      </c>
      <c r="M264" s="4">
        <v>45839</v>
      </c>
      <c r="N264" s="5">
        <v>8</v>
      </c>
      <c r="O264" s="5">
        <v>8</v>
      </c>
      <c r="P264" s="5" t="e">
        <f>IF([1]!Tabla2[[#This Row],[TIEMPO DE ATENCIÓN REALIZADO]]&lt;=[1]!Tabla2[[#This Row],[TIEMPO DE ATENCIÓN ESPERADO]],"Dentro de plazo","Fuera de plazo")</f>
        <v>#REF!</v>
      </c>
      <c r="Q264" s="6">
        <v>5400</v>
      </c>
      <c r="R264" s="2" t="s">
        <v>45</v>
      </c>
      <c r="S264" s="2" t="s">
        <v>56</v>
      </c>
      <c r="T264" s="2" t="s">
        <v>40</v>
      </c>
      <c r="U264" s="2" t="s">
        <v>41</v>
      </c>
      <c r="V264" s="2" t="s">
        <v>300</v>
      </c>
    </row>
    <row r="265" spans="1:22" ht="27" customHeight="1" x14ac:dyDescent="0.3">
      <c r="A265" s="2">
        <v>264</v>
      </c>
      <c r="B265" s="2" t="s">
        <v>5</v>
      </c>
      <c r="C265" s="4">
        <v>45839</v>
      </c>
      <c r="D265" s="4" t="str">
        <f>TEXT(Tabla2[[#This Row],[fecha]],"MMMM")</f>
        <v>Julio</v>
      </c>
      <c r="E265" s="2" t="s">
        <v>301</v>
      </c>
      <c r="F265" s="2" t="s">
        <v>415</v>
      </c>
      <c r="G265" s="2" t="s">
        <v>38</v>
      </c>
      <c r="H265" s="2" t="s">
        <v>421</v>
      </c>
      <c r="I265" s="2" t="s">
        <v>302</v>
      </c>
      <c r="J265" s="2"/>
      <c r="K265" s="2"/>
      <c r="L265" s="2">
        <v>3665</v>
      </c>
      <c r="M265" s="4">
        <v>45842</v>
      </c>
      <c r="N265" s="5">
        <v>3</v>
      </c>
      <c r="O265" s="5">
        <v>3</v>
      </c>
      <c r="P265" s="5" t="e">
        <f>IF([1]!Tabla2[[#This Row],[TIEMPO DE ATENCIÓN REALIZADO]]&lt;=[1]!Tabla2[[#This Row],[TIEMPO DE ATENCIÓN ESPERADO]],"Dentro de plazo","Fuera de plazo")</f>
        <v>#REF!</v>
      </c>
      <c r="Q265" s="6">
        <v>8189.2</v>
      </c>
      <c r="R265" s="2" t="s">
        <v>45</v>
      </c>
      <c r="S265" s="2" t="s">
        <v>425</v>
      </c>
      <c r="T265" s="2" t="s">
        <v>40</v>
      </c>
      <c r="U265" s="2" t="s">
        <v>41</v>
      </c>
      <c r="V265" s="2" t="s">
        <v>303</v>
      </c>
    </row>
    <row r="266" spans="1:22" ht="27" customHeight="1" x14ac:dyDescent="0.3">
      <c r="A266" s="2">
        <v>265</v>
      </c>
      <c r="B266" s="2" t="s">
        <v>5</v>
      </c>
      <c r="C266" s="4">
        <v>45835</v>
      </c>
      <c r="D266" s="4" t="str">
        <f>TEXT(Tabla2[[#This Row],[fecha]],"MMMM")</f>
        <v>Junio</v>
      </c>
      <c r="E266" s="2" t="s">
        <v>304</v>
      </c>
      <c r="F266" s="2" t="s">
        <v>416</v>
      </c>
      <c r="G266" s="2" t="s">
        <v>305</v>
      </c>
      <c r="H266" s="2" t="s">
        <v>60</v>
      </c>
      <c r="I266" s="2" t="s">
        <v>80</v>
      </c>
      <c r="J266" s="2"/>
      <c r="K266" s="2"/>
      <c r="L266" s="2">
        <v>3666</v>
      </c>
      <c r="M266" s="4">
        <v>45840</v>
      </c>
      <c r="N266" s="5">
        <v>5</v>
      </c>
      <c r="O266" s="5">
        <v>5</v>
      </c>
      <c r="P266" s="5" t="e">
        <f>IF([1]!Tabla2[[#This Row],[TIEMPO DE ATENCIÓN REALIZADO]]&lt;=[1]!Tabla2[[#This Row],[TIEMPO DE ATENCIÓN ESPERADO]],"Dentro de plazo","Fuera de plazo")</f>
        <v>#REF!</v>
      </c>
      <c r="Q266" s="6">
        <v>4580.5</v>
      </c>
      <c r="R266" s="2" t="s">
        <v>4</v>
      </c>
      <c r="S266" s="2" t="s">
        <v>427</v>
      </c>
      <c r="T266" s="2" t="s">
        <v>40</v>
      </c>
      <c r="U266" s="2" t="s">
        <v>53</v>
      </c>
      <c r="V266" s="2" t="s">
        <v>306</v>
      </c>
    </row>
    <row r="267" spans="1:22" ht="27" customHeight="1" x14ac:dyDescent="0.3">
      <c r="A267" s="2">
        <v>266</v>
      </c>
      <c r="B267" s="2" t="s">
        <v>1</v>
      </c>
      <c r="C267" s="4">
        <v>45840</v>
      </c>
      <c r="D267" s="4" t="str">
        <f>TEXT(Tabla2[[#This Row],[fecha]],"MMMM")</f>
        <v>Julio</v>
      </c>
      <c r="E267" s="2" t="s">
        <v>307</v>
      </c>
      <c r="F267" s="2" t="s">
        <v>415</v>
      </c>
      <c r="G267" s="2" t="s">
        <v>38</v>
      </c>
      <c r="H267" s="2" t="s">
        <v>421</v>
      </c>
      <c r="I267" s="2" t="s">
        <v>39</v>
      </c>
      <c r="J267" s="2"/>
      <c r="K267" s="2"/>
      <c r="L267" s="2">
        <v>3667</v>
      </c>
      <c r="M267" s="4">
        <v>45840</v>
      </c>
      <c r="N267" s="5">
        <v>0</v>
      </c>
      <c r="O267" s="5">
        <v>0</v>
      </c>
      <c r="P267" s="5" t="e">
        <f>IF([1]!Tabla2[[#This Row],[TIEMPO DE ATENCIÓN REALIZADO]]&lt;=[1]!Tabla2[[#This Row],[TIEMPO DE ATENCIÓN ESPERADO]],"Dentro de plazo","Fuera de plazo")</f>
        <v>#REF!</v>
      </c>
      <c r="Q267" s="6">
        <v>1400</v>
      </c>
      <c r="R267" s="2" t="s">
        <v>45</v>
      </c>
      <c r="S267" s="2" t="s">
        <v>425</v>
      </c>
      <c r="T267" s="2" t="s">
        <v>40</v>
      </c>
      <c r="U267" s="2" t="s">
        <v>41</v>
      </c>
      <c r="V267" s="2" t="s">
        <v>287</v>
      </c>
    </row>
    <row r="268" spans="1:22" ht="27" customHeight="1" x14ac:dyDescent="0.3">
      <c r="A268" s="2">
        <v>267</v>
      </c>
      <c r="B268" s="2" t="s">
        <v>5</v>
      </c>
      <c r="C268" s="4">
        <v>45840</v>
      </c>
      <c r="D268" s="4" t="str">
        <f>TEXT(Tabla2[[#This Row],[fecha]],"MMMM")</f>
        <v>Julio</v>
      </c>
      <c r="E268" s="2" t="s">
        <v>308</v>
      </c>
      <c r="F268" s="2" t="s">
        <v>55</v>
      </c>
      <c r="G268" s="2" t="s">
        <v>38</v>
      </c>
      <c r="H268" s="2" t="s">
        <v>421</v>
      </c>
      <c r="I268" s="2" t="s">
        <v>39</v>
      </c>
      <c r="J268" s="2"/>
      <c r="K268" s="2"/>
      <c r="L268" s="2">
        <v>3668</v>
      </c>
      <c r="M268" s="4">
        <v>45840</v>
      </c>
      <c r="N268" s="5">
        <v>0</v>
      </c>
      <c r="O268" s="5">
        <v>0</v>
      </c>
      <c r="P268" s="5" t="e">
        <f>IF([1]!Tabla2[[#This Row],[TIEMPO DE ATENCIÓN REALIZADO]]&lt;=[1]!Tabla2[[#This Row],[TIEMPO DE ATENCIÓN ESPERADO]],"Dentro de plazo","Fuera de plazo")</f>
        <v>#REF!</v>
      </c>
      <c r="Q268" s="6">
        <v>1807</v>
      </c>
      <c r="R268" s="2" t="s">
        <v>7</v>
      </c>
      <c r="S268" s="2" t="s">
        <v>424</v>
      </c>
      <c r="T268" s="2" t="s">
        <v>40</v>
      </c>
      <c r="U268" s="2" t="s">
        <v>41</v>
      </c>
      <c r="V268" s="2" t="s">
        <v>309</v>
      </c>
    </row>
    <row r="269" spans="1:22" ht="27" customHeight="1" x14ac:dyDescent="0.3">
      <c r="A269" s="2">
        <v>268</v>
      </c>
      <c r="B269" s="2" t="s">
        <v>5</v>
      </c>
      <c r="C269" s="4">
        <v>45835</v>
      </c>
      <c r="D269" s="4" t="str">
        <f>TEXT(Tabla2[[#This Row],[fecha]],"MMMM")</f>
        <v>Junio</v>
      </c>
      <c r="E269" s="2" t="s">
        <v>310</v>
      </c>
      <c r="F269" s="2" t="s">
        <v>416</v>
      </c>
      <c r="G269" s="2" t="s">
        <v>305</v>
      </c>
      <c r="H269" s="2" t="s">
        <v>60</v>
      </c>
      <c r="I269" s="2" t="s">
        <v>80</v>
      </c>
      <c r="J269" s="2"/>
      <c r="K269" s="2"/>
      <c r="L269" s="2">
        <v>3669</v>
      </c>
      <c r="M269" s="4">
        <v>45841</v>
      </c>
      <c r="N269" s="5">
        <v>6</v>
      </c>
      <c r="O269" s="5">
        <v>6</v>
      </c>
      <c r="P269" s="5" t="e">
        <f>IF([1]!Tabla2[[#This Row],[TIEMPO DE ATENCIÓN REALIZADO]]&lt;=[1]!Tabla2[[#This Row],[TIEMPO DE ATENCIÓN ESPERADO]],"Dentro de plazo","Fuera de plazo")</f>
        <v>#REF!</v>
      </c>
      <c r="Q269" s="6">
        <v>285165</v>
      </c>
      <c r="R269" s="2" t="s">
        <v>4</v>
      </c>
      <c r="S269" s="2" t="s">
        <v>56</v>
      </c>
      <c r="T269" s="2" t="s">
        <v>40</v>
      </c>
      <c r="U269" s="2" t="s">
        <v>53</v>
      </c>
      <c r="V269" s="2" t="s">
        <v>311</v>
      </c>
    </row>
    <row r="270" spans="1:22" ht="27" customHeight="1" x14ac:dyDescent="0.3">
      <c r="A270" s="2">
        <v>269</v>
      </c>
      <c r="B270" s="2" t="s">
        <v>5</v>
      </c>
      <c r="C270" s="4">
        <v>45840</v>
      </c>
      <c r="D270" s="4" t="str">
        <f>TEXT(Tabla2[[#This Row],[fecha]],"MMMM")</f>
        <v>Julio</v>
      </c>
      <c r="E270" s="2" t="s">
        <v>89</v>
      </c>
      <c r="F270" s="2" t="s">
        <v>414</v>
      </c>
      <c r="G270" s="2" t="s">
        <v>38</v>
      </c>
      <c r="H270" s="2" t="s">
        <v>421</v>
      </c>
      <c r="I270" s="2" t="s">
        <v>39</v>
      </c>
      <c r="J270" s="2"/>
      <c r="K270" s="2"/>
      <c r="L270" s="2">
        <v>3670</v>
      </c>
      <c r="M270" s="4">
        <v>45841</v>
      </c>
      <c r="N270" s="5">
        <v>1</v>
      </c>
      <c r="O270" s="5">
        <v>1</v>
      </c>
      <c r="P270" s="5" t="e">
        <f>IF([1]!Tabla2[[#This Row],[TIEMPO DE ATENCIÓN REALIZADO]]&lt;=[1]!Tabla2[[#This Row],[TIEMPO DE ATENCIÓN ESPERADO]],"Dentro de plazo","Fuera de plazo")</f>
        <v>#REF!</v>
      </c>
      <c r="Q270" s="6">
        <v>2755.01</v>
      </c>
      <c r="R270" s="2" t="s">
        <v>15</v>
      </c>
      <c r="S270" s="2" t="s">
        <v>425</v>
      </c>
      <c r="T270" s="2" t="s">
        <v>40</v>
      </c>
      <c r="U270" s="2" t="s">
        <v>41</v>
      </c>
      <c r="V270" s="2" t="s">
        <v>312</v>
      </c>
    </row>
    <row r="271" spans="1:22" ht="27" customHeight="1" x14ac:dyDescent="0.3">
      <c r="A271" s="2">
        <v>270</v>
      </c>
      <c r="B271" s="2" t="s">
        <v>5</v>
      </c>
      <c r="C271" s="4">
        <v>45840</v>
      </c>
      <c r="D271" s="4" t="str">
        <f>TEXT(Tabla2[[#This Row],[fecha]],"MMMM")</f>
        <v>Julio</v>
      </c>
      <c r="E271" s="2" t="s">
        <v>89</v>
      </c>
      <c r="F271" s="2" t="s">
        <v>414</v>
      </c>
      <c r="G271" s="2" t="s">
        <v>38</v>
      </c>
      <c r="H271" s="2" t="s">
        <v>421</v>
      </c>
      <c r="I271" s="2" t="s">
        <v>39</v>
      </c>
      <c r="J271" s="2"/>
      <c r="K271" s="2"/>
      <c r="L271" s="2">
        <v>3671</v>
      </c>
      <c r="M271" s="4">
        <v>45841</v>
      </c>
      <c r="N271" s="5">
        <v>1</v>
      </c>
      <c r="O271" s="5">
        <v>1</v>
      </c>
      <c r="P271" s="5" t="e">
        <f>IF([1]!Tabla2[[#This Row],[TIEMPO DE ATENCIÓN REALIZADO]]&lt;=[1]!Tabla2[[#This Row],[TIEMPO DE ATENCIÓN ESPERADO]],"Dentro de plazo","Fuera de plazo")</f>
        <v>#REF!</v>
      </c>
      <c r="Q271" s="6">
        <v>6320.73</v>
      </c>
      <c r="R271" s="2" t="s">
        <v>15</v>
      </c>
      <c r="S271" s="2" t="s">
        <v>424</v>
      </c>
      <c r="T271" s="2" t="s">
        <v>40</v>
      </c>
      <c r="U271" s="2" t="s">
        <v>41</v>
      </c>
      <c r="V271" s="2" t="s">
        <v>313</v>
      </c>
    </row>
    <row r="272" spans="1:22" ht="27" customHeight="1" x14ac:dyDescent="0.3">
      <c r="A272" s="2">
        <v>271</v>
      </c>
      <c r="B272" s="2" t="s">
        <v>5</v>
      </c>
      <c r="C272" s="4">
        <v>45841</v>
      </c>
      <c r="D272" s="4" t="str">
        <f>TEXT(Tabla2[[#This Row],[fecha]],"MMMM")</f>
        <v>Julio</v>
      </c>
      <c r="E272" s="2" t="s">
        <v>314</v>
      </c>
      <c r="F272" s="2" t="s">
        <v>414</v>
      </c>
      <c r="G272" s="2" t="s">
        <v>44</v>
      </c>
      <c r="H272" s="2" t="s">
        <v>60</v>
      </c>
      <c r="I272" s="2" t="s">
        <v>315</v>
      </c>
      <c r="J272" s="2"/>
      <c r="K272" s="2"/>
      <c r="L272" s="2">
        <v>3672</v>
      </c>
      <c r="M272" s="4">
        <v>45842</v>
      </c>
      <c r="N272" s="5">
        <v>1</v>
      </c>
      <c r="O272" s="5">
        <v>1</v>
      </c>
      <c r="P272" s="5" t="e">
        <f>IF([1]!Tabla2[[#This Row],[TIEMPO DE ATENCIÓN REALIZADO]]&lt;=[1]!Tabla2[[#This Row],[TIEMPO DE ATENCIÓN ESPERADO]],"Dentro de plazo","Fuera de plazo")</f>
        <v>#REF!</v>
      </c>
      <c r="Q272" s="6">
        <v>6784.58</v>
      </c>
      <c r="R272" s="2" t="s">
        <v>45</v>
      </c>
      <c r="S272" s="2" t="s">
        <v>56</v>
      </c>
      <c r="T272" s="2" t="s">
        <v>40</v>
      </c>
      <c r="U272" s="2" t="s">
        <v>53</v>
      </c>
      <c r="V272" s="2" t="s">
        <v>316</v>
      </c>
    </row>
    <row r="273" spans="1:22" ht="27" customHeight="1" x14ac:dyDescent="0.3">
      <c r="A273" s="2">
        <v>272</v>
      </c>
      <c r="B273" s="2" t="s">
        <v>5</v>
      </c>
      <c r="C273" s="4">
        <v>45842</v>
      </c>
      <c r="D273" s="4" t="str">
        <f>TEXT(Tabla2[[#This Row],[fecha]],"MMMM")</f>
        <v>Julio</v>
      </c>
      <c r="E273" s="2" t="s">
        <v>288</v>
      </c>
      <c r="F273" s="2" t="s">
        <v>55</v>
      </c>
      <c r="G273" s="2" t="s">
        <v>38</v>
      </c>
      <c r="H273" s="2" t="s">
        <v>421</v>
      </c>
      <c r="I273" s="2" t="s">
        <v>68</v>
      </c>
      <c r="J273" s="2"/>
      <c r="K273" s="2"/>
      <c r="L273" s="2">
        <v>3673</v>
      </c>
      <c r="M273" s="4">
        <v>45842</v>
      </c>
      <c r="N273" s="5">
        <v>0</v>
      </c>
      <c r="O273" s="5">
        <v>0</v>
      </c>
      <c r="P273" s="5" t="e">
        <f>IF([1]!Tabla2[[#This Row],[TIEMPO DE ATENCIÓN REALIZADO]]&lt;=[1]!Tabla2[[#This Row],[TIEMPO DE ATENCIÓN ESPERADO]],"Dentro de plazo","Fuera de plazo")</f>
        <v>#REF!</v>
      </c>
      <c r="Q273" s="6">
        <v>800</v>
      </c>
      <c r="R273" s="2" t="s">
        <v>45</v>
      </c>
      <c r="S273" s="2" t="s">
        <v>424</v>
      </c>
      <c r="T273" s="2" t="s">
        <v>46</v>
      </c>
      <c r="U273" s="2" t="s">
        <v>53</v>
      </c>
      <c r="V273" s="2" t="s">
        <v>317</v>
      </c>
    </row>
    <row r="274" spans="1:22" ht="27" customHeight="1" x14ac:dyDescent="0.3">
      <c r="A274" s="2">
        <v>273</v>
      </c>
      <c r="B274" s="2" t="s">
        <v>5</v>
      </c>
      <c r="C274" s="4">
        <v>45845</v>
      </c>
      <c r="D274" s="4" t="str">
        <f>TEXT(Tabla2[[#This Row],[fecha]],"MMMM")</f>
        <v>Julio</v>
      </c>
      <c r="E274" s="2" t="s">
        <v>318</v>
      </c>
      <c r="F274" s="2" t="s">
        <v>415</v>
      </c>
      <c r="G274" s="2" t="s">
        <v>305</v>
      </c>
      <c r="H274" s="2" t="s">
        <v>421</v>
      </c>
      <c r="I274" s="2" t="s">
        <v>68</v>
      </c>
      <c r="J274" s="2"/>
      <c r="K274" s="2"/>
      <c r="L274" s="2">
        <v>3674</v>
      </c>
      <c r="M274" s="4">
        <v>45845</v>
      </c>
      <c r="N274" s="5">
        <v>0</v>
      </c>
      <c r="O274" s="5">
        <v>0</v>
      </c>
      <c r="P274" s="5" t="e">
        <f>IF([1]!Tabla2[[#This Row],[TIEMPO DE ATENCIÓN REALIZADO]]&lt;=[1]!Tabla2[[#This Row],[TIEMPO DE ATENCIÓN ESPERADO]],"Dentro de plazo","Fuera de plazo")</f>
        <v>#REF!</v>
      </c>
      <c r="Q274" s="6">
        <v>2290.9</v>
      </c>
      <c r="R274" s="2" t="s">
        <v>45</v>
      </c>
      <c r="S274" s="2" t="s">
        <v>56</v>
      </c>
      <c r="T274" s="2" t="s">
        <v>40</v>
      </c>
      <c r="U274" s="2" t="s">
        <v>53</v>
      </c>
      <c r="V274" s="2" t="s">
        <v>319</v>
      </c>
    </row>
    <row r="275" spans="1:22" ht="27" customHeight="1" x14ac:dyDescent="0.3">
      <c r="A275" s="2">
        <v>274</v>
      </c>
      <c r="B275" s="2" t="s">
        <v>5</v>
      </c>
      <c r="C275" s="4">
        <v>45845</v>
      </c>
      <c r="D275" s="4" t="str">
        <f>TEXT(Tabla2[[#This Row],[fecha]],"MMMM")</f>
        <v>Julio</v>
      </c>
      <c r="E275" s="2" t="s">
        <v>320</v>
      </c>
      <c r="F275" s="2" t="s">
        <v>415</v>
      </c>
      <c r="G275" s="2" t="s">
        <v>44</v>
      </c>
      <c r="H275" s="2" t="s">
        <v>421</v>
      </c>
      <c r="I275" s="2" t="s">
        <v>321</v>
      </c>
      <c r="J275" s="2"/>
      <c r="K275" s="2"/>
      <c r="L275" s="2">
        <v>3675</v>
      </c>
      <c r="M275" s="4">
        <v>45845</v>
      </c>
      <c r="N275" s="5">
        <v>0</v>
      </c>
      <c r="O275" s="5">
        <v>0</v>
      </c>
      <c r="P275" s="5" t="e">
        <f>IF([1]!Tabla2[[#This Row],[TIEMPO DE ATENCIÓN REALIZADO]]&lt;=[1]!Tabla2[[#This Row],[TIEMPO DE ATENCIÓN ESPERADO]],"Dentro de plazo","Fuera de plazo")</f>
        <v>#REF!</v>
      </c>
      <c r="Q275" s="6">
        <v>1055</v>
      </c>
      <c r="R275" s="2" t="s">
        <v>15</v>
      </c>
      <c r="S275" s="2" t="s">
        <v>427</v>
      </c>
      <c r="T275" s="2" t="s">
        <v>40</v>
      </c>
      <c r="U275" s="2" t="s">
        <v>53</v>
      </c>
      <c r="V275" s="2" t="s">
        <v>322</v>
      </c>
    </row>
    <row r="276" spans="1:22" ht="27" customHeight="1" x14ac:dyDescent="0.3">
      <c r="A276" s="2">
        <v>275</v>
      </c>
      <c r="B276" s="2" t="s">
        <v>5</v>
      </c>
      <c r="C276" s="4">
        <v>45877</v>
      </c>
      <c r="D276" s="4" t="str">
        <f>TEXT(Tabla2[[#This Row],[fecha]],"MMMM")</f>
        <v>Agosto</v>
      </c>
      <c r="E276" s="2" t="s">
        <v>323</v>
      </c>
      <c r="F276" s="2" t="s">
        <v>414</v>
      </c>
      <c r="G276" s="2" t="s">
        <v>38</v>
      </c>
      <c r="H276" s="2" t="s">
        <v>60</v>
      </c>
      <c r="I276" s="2" t="s">
        <v>39</v>
      </c>
      <c r="J276" s="2"/>
      <c r="K276" s="2"/>
      <c r="L276" s="2">
        <v>3676</v>
      </c>
      <c r="M276" s="4">
        <v>45877</v>
      </c>
      <c r="N276" s="5">
        <v>0</v>
      </c>
      <c r="O276" s="5">
        <v>0</v>
      </c>
      <c r="P276" s="5" t="e">
        <f>IF([1]!Tabla2[[#This Row],[TIEMPO DE ATENCIÓN REALIZADO]]&lt;=[1]!Tabla2[[#This Row],[TIEMPO DE ATENCIÓN ESPERADO]],"Dentro de plazo","Fuera de plazo")</f>
        <v>#REF!</v>
      </c>
      <c r="Q276" s="6">
        <v>769.5</v>
      </c>
      <c r="R276" s="2" t="s">
        <v>13</v>
      </c>
      <c r="S276" s="2" t="s">
        <v>424</v>
      </c>
      <c r="T276" s="2" t="s">
        <v>46</v>
      </c>
      <c r="U276" s="2" t="s">
        <v>41</v>
      </c>
      <c r="V276" s="2" t="s">
        <v>324</v>
      </c>
    </row>
    <row r="277" spans="1:22" ht="27" customHeight="1" x14ac:dyDescent="0.3">
      <c r="A277" s="2">
        <v>276</v>
      </c>
      <c r="B277" s="2" t="s">
        <v>5</v>
      </c>
      <c r="C277" s="4">
        <v>45848</v>
      </c>
      <c r="D277" s="4" t="str">
        <f>TEXT(Tabla2[[#This Row],[fecha]],"MMMM")</f>
        <v>Julio</v>
      </c>
      <c r="E277" s="2" t="s">
        <v>325</v>
      </c>
      <c r="F277" s="2" t="s">
        <v>416</v>
      </c>
      <c r="G277" s="2" t="s">
        <v>44</v>
      </c>
      <c r="H277" s="2" t="s">
        <v>421</v>
      </c>
      <c r="I277" s="2" t="s">
        <v>80</v>
      </c>
      <c r="J277" s="2"/>
      <c r="K277" s="2"/>
      <c r="L277" s="2">
        <v>3677</v>
      </c>
      <c r="M277" s="4">
        <v>45849</v>
      </c>
      <c r="N277" s="5">
        <v>1</v>
      </c>
      <c r="O277" s="5">
        <v>1</v>
      </c>
      <c r="P277" s="5" t="e">
        <f>IF([1]!Tabla2[[#This Row],[TIEMPO DE ATENCIÓN REALIZADO]]&lt;=[1]!Tabla2[[#This Row],[TIEMPO DE ATENCIÓN ESPERADO]],"Dentro de plazo","Fuera de plazo")</f>
        <v>#REF!</v>
      </c>
      <c r="Q277" s="6">
        <v>1016.9</v>
      </c>
      <c r="R277" s="2" t="s">
        <v>15</v>
      </c>
      <c r="S277" s="2" t="s">
        <v>56</v>
      </c>
      <c r="T277" s="2" t="s">
        <v>40</v>
      </c>
      <c r="U277" s="2" t="s">
        <v>53</v>
      </c>
      <c r="V277" s="2" t="s">
        <v>326</v>
      </c>
    </row>
    <row r="278" spans="1:22" ht="27" customHeight="1" x14ac:dyDescent="0.3">
      <c r="A278" s="2">
        <v>277</v>
      </c>
      <c r="B278" s="2" t="s">
        <v>1</v>
      </c>
      <c r="C278" s="4">
        <v>45846</v>
      </c>
      <c r="D278" s="4" t="str">
        <f>TEXT(Tabla2[[#This Row],[fecha]],"MMMM")</f>
        <v>Julio</v>
      </c>
      <c r="E278" s="2" t="s">
        <v>284</v>
      </c>
      <c r="F278" s="2" t="s">
        <v>415</v>
      </c>
      <c r="G278" s="2" t="s">
        <v>38</v>
      </c>
      <c r="H278" s="2" t="s">
        <v>421</v>
      </c>
      <c r="I278" s="2" t="s">
        <v>250</v>
      </c>
      <c r="J278" s="2"/>
      <c r="K278" s="2"/>
      <c r="L278" s="2">
        <v>3678</v>
      </c>
      <c r="M278" s="4">
        <v>45847</v>
      </c>
      <c r="N278" s="5">
        <v>1</v>
      </c>
      <c r="O278" s="5">
        <v>1</v>
      </c>
      <c r="P278" s="5" t="e">
        <f>IF([1]!Tabla2[[#This Row],[TIEMPO DE ATENCIÓN REALIZADO]]&lt;=[1]!Tabla2[[#This Row],[TIEMPO DE ATENCIÓN ESPERADO]],"Dentro de plazo","Fuera de plazo")</f>
        <v>#REF!</v>
      </c>
      <c r="Q278" s="6">
        <v>600000</v>
      </c>
      <c r="R278" s="2" t="s">
        <v>45</v>
      </c>
      <c r="S278" s="2" t="s">
        <v>56</v>
      </c>
      <c r="T278" s="2" t="s">
        <v>40</v>
      </c>
      <c r="U278" s="2" t="s">
        <v>41</v>
      </c>
      <c r="V278" s="2" t="s">
        <v>327</v>
      </c>
    </row>
    <row r="279" spans="1:22" ht="27" customHeight="1" x14ac:dyDescent="0.3">
      <c r="A279" s="2">
        <v>278</v>
      </c>
      <c r="B279" s="2" t="s">
        <v>5</v>
      </c>
      <c r="C279" s="4">
        <v>45846</v>
      </c>
      <c r="D279" s="4" t="str">
        <f>TEXT(Tabla2[[#This Row],[fecha]],"MMMM")</f>
        <v>Julio</v>
      </c>
      <c r="E279" s="2" t="s">
        <v>328</v>
      </c>
      <c r="F279" s="2" t="s">
        <v>415</v>
      </c>
      <c r="G279" s="2" t="s">
        <v>44</v>
      </c>
      <c r="H279" s="2" t="s">
        <v>60</v>
      </c>
      <c r="I279" s="2" t="s">
        <v>66</v>
      </c>
      <c r="J279" s="2"/>
      <c r="K279" s="2"/>
      <c r="L279" s="2">
        <v>3679</v>
      </c>
      <c r="M279" s="4">
        <v>45847</v>
      </c>
      <c r="N279" s="5">
        <v>1</v>
      </c>
      <c r="O279" s="5">
        <v>1</v>
      </c>
      <c r="P279" s="5" t="e">
        <f>IF([1]!Tabla2[[#This Row],[TIEMPO DE ATENCIÓN REALIZADO]]&lt;=[1]!Tabla2[[#This Row],[TIEMPO DE ATENCIÓN ESPERADO]],"Dentro de plazo","Fuera de plazo")</f>
        <v>#REF!</v>
      </c>
      <c r="Q279" s="6">
        <v>5137.55</v>
      </c>
      <c r="R279" s="2" t="s">
        <v>45</v>
      </c>
      <c r="S279" s="2" t="s">
        <v>424</v>
      </c>
      <c r="T279" s="2" t="s">
        <v>40</v>
      </c>
      <c r="U279" s="2" t="s">
        <v>53</v>
      </c>
      <c r="V279" s="2" t="s">
        <v>329</v>
      </c>
    </row>
    <row r="280" spans="1:22" ht="27" customHeight="1" x14ac:dyDescent="0.3">
      <c r="A280" s="2">
        <v>279</v>
      </c>
      <c r="B280" s="2" t="s">
        <v>1</v>
      </c>
      <c r="C280" s="4">
        <v>45846</v>
      </c>
      <c r="D280" s="4" t="str">
        <f>TEXT(Tabla2[[#This Row],[fecha]],"MMMM")</f>
        <v>Julio</v>
      </c>
      <c r="E280" s="2" t="s">
        <v>3</v>
      </c>
      <c r="F280" s="2" t="s">
        <v>144</v>
      </c>
      <c r="G280" s="2" t="s">
        <v>38</v>
      </c>
      <c r="H280" s="2" t="s">
        <v>421</v>
      </c>
      <c r="I280" s="2" t="s">
        <v>39</v>
      </c>
      <c r="J280" s="2"/>
      <c r="K280" s="2"/>
      <c r="L280" s="2">
        <v>3680</v>
      </c>
      <c r="M280" s="4">
        <v>45848</v>
      </c>
      <c r="N280" s="5">
        <v>2</v>
      </c>
      <c r="O280" s="5">
        <v>2</v>
      </c>
      <c r="P280" s="5" t="e">
        <f>IF([1]!Tabla2[[#This Row],[TIEMPO DE ATENCIÓN REALIZADO]]&lt;=[1]!Tabla2[[#This Row],[TIEMPO DE ATENCIÓN ESPERADO]],"Dentro de plazo","Fuera de plazo")</f>
        <v>#REF!</v>
      </c>
      <c r="Q280" s="6">
        <v>1650</v>
      </c>
      <c r="R280" s="2" t="s">
        <v>15</v>
      </c>
      <c r="S280" s="2" t="s">
        <v>56</v>
      </c>
      <c r="T280" s="2" t="s">
        <v>40</v>
      </c>
      <c r="U280" s="2" t="s">
        <v>41</v>
      </c>
      <c r="V280" s="2" t="s">
        <v>330</v>
      </c>
    </row>
    <row r="281" spans="1:22" ht="27" customHeight="1" x14ac:dyDescent="0.3">
      <c r="A281" s="2">
        <v>280</v>
      </c>
      <c r="B281" s="2" t="s">
        <v>1</v>
      </c>
      <c r="C281" s="4">
        <v>45849</v>
      </c>
      <c r="D281" s="4" t="str">
        <f>TEXT(Tabla2[[#This Row],[fecha]],"MMMM")</f>
        <v>Julio</v>
      </c>
      <c r="E281" s="2" t="s">
        <v>331</v>
      </c>
      <c r="F281" s="2" t="s">
        <v>418</v>
      </c>
      <c r="G281" s="2" t="s">
        <v>58</v>
      </c>
      <c r="H281" s="2" t="s">
        <v>421</v>
      </c>
      <c r="I281" s="2" t="s">
        <v>88</v>
      </c>
      <c r="J281" s="2" t="s">
        <v>19</v>
      </c>
      <c r="K281" s="2" t="s">
        <v>19</v>
      </c>
      <c r="L281" s="2">
        <v>3681</v>
      </c>
      <c r="M281" s="4">
        <v>45849</v>
      </c>
      <c r="N281" s="5">
        <f>+Tabla2[[#This Row],[fecha_pe]]-Tabla2[[#This Row],[fecha]]</f>
        <v>0</v>
      </c>
      <c r="O281" s="5">
        <f>+Tabla2[[#This Row],[fecha_pe]]-Tabla2[[#This Row],[fecha]]</f>
        <v>0</v>
      </c>
      <c r="P281" s="5" t="e">
        <f>IF([1]!Tabla2[[#This Row],[TIEMPO DE ATENCIÓN REALIZADO]]&lt;=[1]!Tabla2[[#This Row],[TIEMPO DE ATENCIÓN ESPERADO]],"Dentro de plazo","Fuera de plazo")</f>
        <v>#REF!</v>
      </c>
      <c r="Q281" s="6">
        <v>100</v>
      </c>
      <c r="R281" s="2" t="s">
        <v>45</v>
      </c>
      <c r="S281" s="2" t="s">
        <v>424</v>
      </c>
      <c r="T281" s="2" t="s">
        <v>46</v>
      </c>
      <c r="U281" s="2" t="s">
        <v>53</v>
      </c>
      <c r="V281" s="2" t="s">
        <v>332</v>
      </c>
    </row>
    <row r="282" spans="1:22" ht="27" customHeight="1" x14ac:dyDescent="0.3">
      <c r="A282" s="2">
        <v>281</v>
      </c>
      <c r="B282" s="2" t="s">
        <v>1</v>
      </c>
      <c r="C282" s="4">
        <v>45853</v>
      </c>
      <c r="D282" s="4" t="str">
        <f>TEXT(Tabla2[[#This Row],[fecha]],"MMMM")</f>
        <v>Julio</v>
      </c>
      <c r="E282" s="2" t="s">
        <v>230</v>
      </c>
      <c r="F282" s="2" t="s">
        <v>144</v>
      </c>
      <c r="G282" s="2" t="s">
        <v>38</v>
      </c>
      <c r="H282" s="2" t="s">
        <v>60</v>
      </c>
      <c r="I282" s="2" t="s">
        <v>39</v>
      </c>
      <c r="J282" s="2"/>
      <c r="K282" s="2"/>
      <c r="L282" s="2">
        <v>3682</v>
      </c>
      <c r="M282" s="4">
        <v>45853</v>
      </c>
      <c r="N282" s="5">
        <v>0</v>
      </c>
      <c r="O282" s="5">
        <v>0</v>
      </c>
      <c r="P282" s="5" t="e">
        <f>IF([1]!Tabla2[[#This Row],[TIEMPO DE ATENCIÓN REALIZADO]]&lt;=[1]!Tabla2[[#This Row],[TIEMPO DE ATENCIÓN ESPERADO]],"Dentro de plazo","Fuera de plazo")</f>
        <v>#REF!</v>
      </c>
      <c r="Q282" s="6">
        <v>3400</v>
      </c>
      <c r="R282" s="2" t="s">
        <v>15</v>
      </c>
      <c r="S282" s="2" t="s">
        <v>424</v>
      </c>
      <c r="T282" s="2" t="s">
        <v>46</v>
      </c>
      <c r="U282" s="2" t="s">
        <v>41</v>
      </c>
      <c r="V282" s="2"/>
    </row>
    <row r="283" spans="1:22" ht="27" customHeight="1" x14ac:dyDescent="0.3">
      <c r="A283" s="2">
        <v>282</v>
      </c>
      <c r="B283" s="2" t="s">
        <v>5</v>
      </c>
      <c r="C283" s="4">
        <v>45853</v>
      </c>
      <c r="D283" s="4" t="str">
        <f>TEXT(Tabla2[[#This Row],[fecha]],"MMMM")</f>
        <v>Julio</v>
      </c>
      <c r="E283" s="2" t="s">
        <v>17</v>
      </c>
      <c r="F283" s="2" t="s">
        <v>132</v>
      </c>
      <c r="G283" s="2" t="s">
        <v>38</v>
      </c>
      <c r="H283" s="2" t="s">
        <v>421</v>
      </c>
      <c r="I283" s="2" t="s">
        <v>429</v>
      </c>
      <c r="J283" s="2"/>
      <c r="K283" s="2"/>
      <c r="L283" s="2">
        <v>3683</v>
      </c>
      <c r="M283" s="4">
        <v>45853</v>
      </c>
      <c r="N283" s="5">
        <v>0</v>
      </c>
      <c r="O283" s="5">
        <v>0</v>
      </c>
      <c r="P283" s="5" t="e">
        <f>IF([1]!Tabla2[[#This Row],[TIEMPO DE ATENCIÓN REALIZADO]]&lt;=[1]!Tabla2[[#This Row],[TIEMPO DE ATENCIÓN ESPERADO]],"Dentro de plazo","Fuera de plazo")</f>
        <v>#REF!</v>
      </c>
      <c r="Q283" s="6">
        <v>2619</v>
      </c>
      <c r="R283" s="2" t="s">
        <v>45</v>
      </c>
      <c r="S283" s="2" t="s">
        <v>56</v>
      </c>
      <c r="T283" s="2" t="s">
        <v>40</v>
      </c>
      <c r="U283" s="2" t="s">
        <v>41</v>
      </c>
      <c r="V283" s="2" t="s">
        <v>333</v>
      </c>
    </row>
    <row r="284" spans="1:22" ht="27" customHeight="1" x14ac:dyDescent="0.3">
      <c r="A284" s="2">
        <v>283</v>
      </c>
      <c r="B284" s="2" t="s">
        <v>5</v>
      </c>
      <c r="C284" s="4">
        <v>45853</v>
      </c>
      <c r="D284" s="4" t="str">
        <f>TEXT(Tabla2[[#This Row],[fecha]],"MMMM")</f>
        <v>Julio</v>
      </c>
      <c r="E284" s="2" t="s">
        <v>181</v>
      </c>
      <c r="F284" s="2" t="s">
        <v>415</v>
      </c>
      <c r="G284" s="2" t="s">
        <v>38</v>
      </c>
      <c r="H284" s="2" t="s">
        <v>421</v>
      </c>
      <c r="I284" s="2" t="s">
        <v>334</v>
      </c>
      <c r="J284" s="2"/>
      <c r="K284" s="2"/>
      <c r="L284" s="2">
        <v>3684</v>
      </c>
      <c r="M284" s="4">
        <v>45854</v>
      </c>
      <c r="N284" s="5">
        <v>1</v>
      </c>
      <c r="O284" s="5">
        <v>1</v>
      </c>
      <c r="P284" s="5" t="e">
        <f>IF([1]!Tabla2[[#This Row],[TIEMPO DE ATENCIÓN REALIZADO]]&lt;=[1]!Tabla2[[#This Row],[TIEMPO DE ATENCIÓN ESPERADO]],"Dentro de plazo","Fuera de plazo")</f>
        <v>#REF!</v>
      </c>
      <c r="Q284" s="6">
        <v>1429</v>
      </c>
      <c r="R284" s="2" t="s">
        <v>45</v>
      </c>
      <c r="S284" s="2" t="s">
        <v>56</v>
      </c>
      <c r="T284" s="2" t="s">
        <v>40</v>
      </c>
      <c r="U284" s="2" t="s">
        <v>41</v>
      </c>
      <c r="V284" s="2" t="s">
        <v>335</v>
      </c>
    </row>
    <row r="285" spans="1:22" ht="27" customHeight="1" x14ac:dyDescent="0.3">
      <c r="A285" s="2">
        <v>284</v>
      </c>
      <c r="B285" s="2" t="s">
        <v>5</v>
      </c>
      <c r="C285" s="4">
        <v>45854</v>
      </c>
      <c r="D285" s="4" t="str">
        <f>TEXT(Tabla2[[#This Row],[fecha]],"MMMM")</f>
        <v>Julio</v>
      </c>
      <c r="E285" s="2" t="s">
        <v>336</v>
      </c>
      <c r="F285" s="2" t="s">
        <v>414</v>
      </c>
      <c r="G285" s="2" t="s">
        <v>44</v>
      </c>
      <c r="H285" s="2" t="s">
        <v>421</v>
      </c>
      <c r="I285" s="2" t="s">
        <v>418</v>
      </c>
      <c r="J285" s="2"/>
      <c r="K285" s="2"/>
      <c r="L285" s="2">
        <v>3684</v>
      </c>
      <c r="M285" s="4">
        <v>45855</v>
      </c>
      <c r="N285" s="5">
        <v>1</v>
      </c>
      <c r="O285" s="5">
        <v>1</v>
      </c>
      <c r="P285" s="5" t="e">
        <f>IF([1]!Tabla2[[#This Row],[TIEMPO DE ATENCIÓN REALIZADO]]&lt;=[1]!Tabla2[[#This Row],[TIEMPO DE ATENCIÓN ESPERADO]],"Dentro de plazo","Fuera de plazo")</f>
        <v>#REF!</v>
      </c>
      <c r="Q285" s="6">
        <v>750</v>
      </c>
      <c r="R285" s="2" t="s">
        <v>9</v>
      </c>
      <c r="S285" s="2" t="s">
        <v>56</v>
      </c>
      <c r="T285" s="2" t="s">
        <v>40</v>
      </c>
      <c r="U285" s="2" t="s">
        <v>53</v>
      </c>
      <c r="V285" s="2" t="s">
        <v>337</v>
      </c>
    </row>
    <row r="286" spans="1:22" ht="27" customHeight="1" x14ac:dyDescent="0.3">
      <c r="A286" s="2">
        <v>285</v>
      </c>
      <c r="B286" s="2" t="s">
        <v>5</v>
      </c>
      <c r="C286" s="4">
        <v>45854</v>
      </c>
      <c r="D286" s="4" t="str">
        <f>TEXT(Tabla2[[#This Row],[fecha]],"MMMM")</f>
        <v>Julio</v>
      </c>
      <c r="E286" s="2" t="s">
        <v>336</v>
      </c>
      <c r="F286" s="2" t="s">
        <v>55</v>
      </c>
      <c r="G286" s="2" t="s">
        <v>44</v>
      </c>
      <c r="H286" s="2" t="s">
        <v>421</v>
      </c>
      <c r="I286" s="2" t="s">
        <v>418</v>
      </c>
      <c r="J286" s="2"/>
      <c r="K286" s="2"/>
      <c r="L286" s="2">
        <v>3685</v>
      </c>
      <c r="M286" s="4">
        <v>45855</v>
      </c>
      <c r="N286" s="5">
        <v>1</v>
      </c>
      <c r="O286" s="5">
        <v>1</v>
      </c>
      <c r="P286" s="5" t="e">
        <f>IF([1]!Tabla2[[#This Row],[TIEMPO DE ATENCIÓN REALIZADO]]&lt;=[1]!Tabla2[[#This Row],[TIEMPO DE ATENCIÓN ESPERADO]],"Dentro de plazo","Fuera de plazo")</f>
        <v>#REF!</v>
      </c>
      <c r="Q286" s="6">
        <v>400</v>
      </c>
      <c r="R286" s="2" t="s">
        <v>9</v>
      </c>
      <c r="S286" s="2" t="s">
        <v>56</v>
      </c>
      <c r="T286" s="2" t="s">
        <v>40</v>
      </c>
      <c r="U286" s="2" t="s">
        <v>53</v>
      </c>
      <c r="V286" s="2" t="s">
        <v>337</v>
      </c>
    </row>
    <row r="287" spans="1:22" ht="27" customHeight="1" x14ac:dyDescent="0.3">
      <c r="A287" s="2">
        <v>286</v>
      </c>
      <c r="B287" s="2" t="s">
        <v>5</v>
      </c>
      <c r="C287" s="4">
        <v>45855</v>
      </c>
      <c r="D287" s="4" t="str">
        <f>TEXT(Tabla2[[#This Row],[fecha]],"MMMM")</f>
        <v>Julio</v>
      </c>
      <c r="E287" s="2" t="s">
        <v>338</v>
      </c>
      <c r="F287" s="2" t="s">
        <v>414</v>
      </c>
      <c r="G287" s="2" t="s">
        <v>38</v>
      </c>
      <c r="H287" s="2" t="s">
        <v>421</v>
      </c>
      <c r="I287" s="2" t="s">
        <v>339</v>
      </c>
      <c r="J287" s="2"/>
      <c r="K287" s="2"/>
      <c r="L287" s="2">
        <v>3686</v>
      </c>
      <c r="M287" s="4">
        <v>45855</v>
      </c>
      <c r="N287" s="5">
        <v>0</v>
      </c>
      <c r="O287" s="5">
        <v>0</v>
      </c>
      <c r="P287" s="5" t="e">
        <f>IF([1]!Tabla2[[#This Row],[TIEMPO DE ATENCIÓN REALIZADO]]&lt;=[1]!Tabla2[[#This Row],[TIEMPO DE ATENCIÓN ESPERADO]],"Dentro de plazo","Fuera de plazo")</f>
        <v>#REF!</v>
      </c>
      <c r="Q287" s="6">
        <v>3049</v>
      </c>
      <c r="R287" s="2" t="s">
        <v>45</v>
      </c>
      <c r="S287" s="2" t="s">
        <v>424</v>
      </c>
      <c r="T287" s="2" t="s">
        <v>46</v>
      </c>
      <c r="U287" s="2" t="s">
        <v>41</v>
      </c>
      <c r="V287" s="2" t="s">
        <v>340</v>
      </c>
    </row>
    <row r="288" spans="1:22" ht="27" customHeight="1" x14ac:dyDescent="0.3">
      <c r="A288" s="2">
        <v>287</v>
      </c>
      <c r="B288" s="2" t="s">
        <v>5</v>
      </c>
      <c r="C288" s="4">
        <v>45855</v>
      </c>
      <c r="D288" s="4" t="str">
        <f>TEXT(Tabla2[[#This Row],[fecha]],"MMMM")</f>
        <v>Julio</v>
      </c>
      <c r="E288" s="2" t="s">
        <v>341</v>
      </c>
      <c r="F288" s="2" t="s">
        <v>72</v>
      </c>
      <c r="G288" s="2" t="s">
        <v>44</v>
      </c>
      <c r="H288" s="2" t="s">
        <v>421</v>
      </c>
      <c r="I288" s="2" t="s">
        <v>342</v>
      </c>
      <c r="J288" s="2"/>
      <c r="K288" s="2"/>
      <c r="L288" s="2">
        <v>3687</v>
      </c>
      <c r="M288" s="4">
        <v>45856</v>
      </c>
      <c r="N288" s="5">
        <v>1</v>
      </c>
      <c r="O288" s="5">
        <v>1</v>
      </c>
      <c r="P288" s="5" t="e">
        <f>IF([1]!Tabla2[[#This Row],[TIEMPO DE ATENCIÓN REALIZADO]]&lt;=[1]!Tabla2[[#This Row],[TIEMPO DE ATENCIÓN ESPERADO]],"Dentro de plazo","Fuera de plazo")</f>
        <v>#REF!</v>
      </c>
      <c r="Q288" s="6">
        <v>6803</v>
      </c>
      <c r="R288" s="2" t="s">
        <v>9</v>
      </c>
      <c r="S288" s="2" t="s">
        <v>56</v>
      </c>
      <c r="T288" s="2" t="s">
        <v>40</v>
      </c>
      <c r="U288" s="2" t="s">
        <v>53</v>
      </c>
      <c r="V288" s="2" t="s">
        <v>343</v>
      </c>
    </row>
    <row r="289" spans="1:22" ht="27" customHeight="1" x14ac:dyDescent="0.3">
      <c r="A289" s="2">
        <v>288</v>
      </c>
      <c r="B289" s="2" t="s">
        <v>5</v>
      </c>
      <c r="C289" s="4">
        <v>45855</v>
      </c>
      <c r="D289" s="4" t="str">
        <f>TEXT(Tabla2[[#This Row],[fecha]],"MMMM")</f>
        <v>Julio</v>
      </c>
      <c r="E289" s="2" t="s">
        <v>320</v>
      </c>
      <c r="F289" s="2" t="s">
        <v>415</v>
      </c>
      <c r="G289" s="2" t="s">
        <v>44</v>
      </c>
      <c r="H289" s="2" t="s">
        <v>421</v>
      </c>
      <c r="I289" s="2" t="s">
        <v>321</v>
      </c>
      <c r="J289" s="2"/>
      <c r="K289" s="2"/>
      <c r="L289" s="2">
        <v>3688</v>
      </c>
      <c r="M289" s="4">
        <v>45856</v>
      </c>
      <c r="N289" s="5">
        <v>1</v>
      </c>
      <c r="O289" s="5">
        <v>1</v>
      </c>
      <c r="P289" s="5" t="e">
        <f>IF([1]!Tabla2[[#This Row],[TIEMPO DE ATENCIÓN REALIZADO]]&lt;=[1]!Tabla2[[#This Row],[TIEMPO DE ATENCIÓN ESPERADO]],"Dentro de plazo","Fuera de plazo")</f>
        <v>#REF!</v>
      </c>
      <c r="Q289" s="6">
        <v>963</v>
      </c>
      <c r="R289" s="2" t="s">
        <v>4</v>
      </c>
      <c r="S289" s="2" t="s">
        <v>56</v>
      </c>
      <c r="T289" s="2" t="s">
        <v>40</v>
      </c>
      <c r="U289" s="2" t="s">
        <v>53</v>
      </c>
      <c r="V289" s="2" t="s">
        <v>343</v>
      </c>
    </row>
    <row r="290" spans="1:22" ht="27" customHeight="1" x14ac:dyDescent="0.3">
      <c r="A290" s="2">
        <v>289</v>
      </c>
      <c r="B290" s="2" t="s">
        <v>5</v>
      </c>
      <c r="C290" s="4">
        <v>45859</v>
      </c>
      <c r="D290" s="4" t="str">
        <f>TEXT(Tabla2[[#This Row],[fecha]],"MMMM")</f>
        <v>Julio</v>
      </c>
      <c r="E290" s="2" t="s">
        <v>344</v>
      </c>
      <c r="F290" s="2" t="s">
        <v>415</v>
      </c>
      <c r="G290" s="2" t="s">
        <v>38</v>
      </c>
      <c r="H290" s="2" t="s">
        <v>421</v>
      </c>
      <c r="I290" s="2" t="s">
        <v>66</v>
      </c>
      <c r="J290" s="2"/>
      <c r="K290" s="2"/>
      <c r="L290" s="2">
        <v>3689</v>
      </c>
      <c r="M290" s="4">
        <v>45859</v>
      </c>
      <c r="N290" s="5">
        <v>0</v>
      </c>
      <c r="O290" s="5">
        <v>0</v>
      </c>
      <c r="P290" s="5" t="e">
        <f>IF([1]!Tabla2[[#This Row],[TIEMPO DE ATENCIÓN REALIZADO]]&lt;=[1]!Tabla2[[#This Row],[TIEMPO DE ATENCIÓN ESPERADO]],"Dentro de plazo","Fuera de plazo")</f>
        <v>#REF!</v>
      </c>
      <c r="Q290" s="6">
        <v>7748.9</v>
      </c>
      <c r="R290" s="2" t="s">
        <v>4</v>
      </c>
      <c r="S290" s="2" t="s">
        <v>424</v>
      </c>
      <c r="T290" s="2" t="s">
        <v>46</v>
      </c>
      <c r="U290" s="2" t="s">
        <v>41</v>
      </c>
      <c r="V290" s="2" t="s">
        <v>345</v>
      </c>
    </row>
    <row r="291" spans="1:22" ht="27" customHeight="1" x14ac:dyDescent="0.3">
      <c r="A291" s="2">
        <v>290</v>
      </c>
      <c r="B291" s="2" t="s">
        <v>5</v>
      </c>
      <c r="C291" s="4">
        <v>45859</v>
      </c>
      <c r="D291" s="4" t="str">
        <f>TEXT(Tabla2[[#This Row],[fecha]],"MMMM")</f>
        <v>Julio</v>
      </c>
      <c r="E291" s="2" t="s">
        <v>344</v>
      </c>
      <c r="F291" s="2" t="s">
        <v>414</v>
      </c>
      <c r="G291" s="2" t="s">
        <v>38</v>
      </c>
      <c r="H291" s="2" t="s">
        <v>421</v>
      </c>
      <c r="I291" s="2" t="s">
        <v>66</v>
      </c>
      <c r="J291" s="2"/>
      <c r="K291" s="2"/>
      <c r="L291" s="2">
        <v>3690</v>
      </c>
      <c r="M291" s="4">
        <v>45859</v>
      </c>
      <c r="N291" s="5">
        <v>0</v>
      </c>
      <c r="O291" s="5">
        <v>0</v>
      </c>
      <c r="P291" s="5" t="e">
        <f>IF([1]!Tabla2[[#This Row],[TIEMPO DE ATENCIÓN REALIZADO]]&lt;=[1]!Tabla2[[#This Row],[TIEMPO DE ATENCIÓN ESPERADO]],"Dentro de plazo","Fuera de plazo")</f>
        <v>#REF!</v>
      </c>
      <c r="Q291" s="6">
        <v>8947.9</v>
      </c>
      <c r="R291" s="2" t="s">
        <v>4</v>
      </c>
      <c r="S291" s="2" t="s">
        <v>424</v>
      </c>
      <c r="T291" s="2" t="s">
        <v>46</v>
      </c>
      <c r="U291" s="2" t="s">
        <v>41</v>
      </c>
      <c r="V291" s="2" t="s">
        <v>345</v>
      </c>
    </row>
    <row r="292" spans="1:22" ht="27" customHeight="1" x14ac:dyDescent="0.3">
      <c r="A292" s="2">
        <v>291</v>
      </c>
      <c r="B292" s="2" t="s">
        <v>1</v>
      </c>
      <c r="C292" s="4">
        <v>45860</v>
      </c>
      <c r="D292" s="4" t="str">
        <f>TEXT(Tabla2[[#This Row],[fecha]],"MMMM")</f>
        <v>Julio</v>
      </c>
      <c r="E292" s="2" t="s">
        <v>346</v>
      </c>
      <c r="F292" s="2" t="s">
        <v>415</v>
      </c>
      <c r="G292" s="2" t="s">
        <v>38</v>
      </c>
      <c r="H292" s="2" t="s">
        <v>421</v>
      </c>
      <c r="I292" s="2" t="s">
        <v>39</v>
      </c>
      <c r="J292" s="2"/>
      <c r="K292" s="2"/>
      <c r="L292" s="2">
        <v>3691</v>
      </c>
      <c r="M292" s="4">
        <v>45860</v>
      </c>
      <c r="N292" s="5">
        <v>0</v>
      </c>
      <c r="O292" s="5">
        <v>0</v>
      </c>
      <c r="P292" s="5" t="e">
        <f>IF([1]!Tabla2[[#This Row],[TIEMPO DE ATENCIÓN REALIZADO]]&lt;=[1]!Tabla2[[#This Row],[TIEMPO DE ATENCIÓN ESPERADO]],"Dentro de plazo","Fuera de plazo")</f>
        <v>#REF!</v>
      </c>
      <c r="Q292" s="6">
        <v>4320</v>
      </c>
      <c r="R292" s="2" t="s">
        <v>45</v>
      </c>
      <c r="S292" s="2" t="s">
        <v>427</v>
      </c>
      <c r="T292" s="2" t="s">
        <v>40</v>
      </c>
      <c r="U292" s="2" t="s">
        <v>53</v>
      </c>
      <c r="V292" s="2"/>
    </row>
    <row r="293" spans="1:22" ht="27" customHeight="1" x14ac:dyDescent="0.3">
      <c r="A293" s="2">
        <v>292</v>
      </c>
      <c r="B293" s="2" t="s">
        <v>1</v>
      </c>
      <c r="C293" s="4">
        <v>45860</v>
      </c>
      <c r="D293" s="4" t="str">
        <f>TEXT(Tabla2[[#This Row],[fecha]],"MMMM")</f>
        <v>Julio</v>
      </c>
      <c r="E293" s="2" t="s">
        <v>346</v>
      </c>
      <c r="F293" s="2" t="s">
        <v>415</v>
      </c>
      <c r="G293" s="2" t="s">
        <v>38</v>
      </c>
      <c r="H293" s="2" t="s">
        <v>421</v>
      </c>
      <c r="I293" s="2" t="s">
        <v>39</v>
      </c>
      <c r="J293" s="2"/>
      <c r="K293" s="2"/>
      <c r="L293" s="2">
        <v>3692</v>
      </c>
      <c r="M293" s="4">
        <v>45860</v>
      </c>
      <c r="N293" s="5">
        <v>0</v>
      </c>
      <c r="O293" s="5">
        <v>0</v>
      </c>
      <c r="P293" s="5" t="e">
        <f>IF([1]!Tabla2[[#This Row],[TIEMPO DE ATENCIÓN REALIZADO]]&lt;=[1]!Tabla2[[#This Row],[TIEMPO DE ATENCIÓN ESPERADO]],"Dentro de plazo","Fuera de plazo")</f>
        <v>#REF!</v>
      </c>
      <c r="Q293" s="6">
        <v>6879.9</v>
      </c>
      <c r="R293" s="2" t="s">
        <v>45</v>
      </c>
      <c r="S293" s="2" t="s">
        <v>427</v>
      </c>
      <c r="T293" s="2" t="s">
        <v>40</v>
      </c>
      <c r="U293" s="2" t="s">
        <v>53</v>
      </c>
      <c r="V293" s="2"/>
    </row>
    <row r="294" spans="1:22" ht="27" customHeight="1" x14ac:dyDescent="0.3">
      <c r="A294" s="2">
        <v>293</v>
      </c>
      <c r="B294" s="2" t="s">
        <v>5</v>
      </c>
      <c r="C294" s="4">
        <v>45861</v>
      </c>
      <c r="D294" s="4" t="str">
        <f>TEXT(Tabla2[[#This Row],[fecha]],"MMMM")</f>
        <v>Julio</v>
      </c>
      <c r="E294" s="2" t="s">
        <v>347</v>
      </c>
      <c r="F294" s="2" t="s">
        <v>414</v>
      </c>
      <c r="G294" s="2" t="s">
        <v>58</v>
      </c>
      <c r="H294" s="2" t="s">
        <v>421</v>
      </c>
      <c r="I294" s="2" t="s">
        <v>66</v>
      </c>
      <c r="J294" s="2">
        <v>3689</v>
      </c>
      <c r="K294" s="2">
        <v>3689</v>
      </c>
      <c r="L294" s="2">
        <v>3693</v>
      </c>
      <c r="M294" s="4">
        <v>45862</v>
      </c>
      <c r="N294" s="5">
        <f>+Tabla2[[#This Row],[fecha_pe]]-Tabla2[[#This Row],[fecha]]</f>
        <v>1</v>
      </c>
      <c r="O294" s="5">
        <f>+Tabla2[[#This Row],[fecha_pe]]-Tabla2[[#This Row],[fecha]]</f>
        <v>1</v>
      </c>
      <c r="P294" s="5" t="e">
        <f>IF([1]!Tabla2[[#This Row],[TIEMPO DE ATENCIÓN REALIZADO]]&lt;=[1]!Tabla2[[#This Row],[TIEMPO DE ATENCIÓN ESPERADO]],"Dentro de plazo","Fuera de plazo")</f>
        <v>#REF!</v>
      </c>
      <c r="Q294" s="6">
        <v>8403.65</v>
      </c>
      <c r="R294" s="2" t="s">
        <v>45</v>
      </c>
      <c r="S294" s="2" t="s">
        <v>425</v>
      </c>
      <c r="T294" s="2" t="s">
        <v>40</v>
      </c>
      <c r="U294" s="2" t="s">
        <v>53</v>
      </c>
      <c r="V294" s="2"/>
    </row>
    <row r="295" spans="1:22" ht="27" customHeight="1" x14ac:dyDescent="0.3">
      <c r="A295" s="2">
        <v>294</v>
      </c>
      <c r="B295" s="2" t="s">
        <v>5</v>
      </c>
      <c r="C295" s="4">
        <v>45862</v>
      </c>
      <c r="D295" s="4" t="str">
        <f>TEXT(Tabla2[[#This Row],[fecha]],"MMMM")</f>
        <v>Julio</v>
      </c>
      <c r="E295" s="2" t="s">
        <v>17</v>
      </c>
      <c r="F295" s="2" t="s">
        <v>415</v>
      </c>
      <c r="G295" s="2" t="s">
        <v>38</v>
      </c>
      <c r="H295" s="2" t="s">
        <v>421</v>
      </c>
      <c r="I295" s="2" t="s">
        <v>429</v>
      </c>
      <c r="J295" s="2"/>
      <c r="K295" s="2"/>
      <c r="L295" s="2">
        <v>3694</v>
      </c>
      <c r="M295" s="4">
        <v>45862</v>
      </c>
      <c r="N295" s="5">
        <v>0</v>
      </c>
      <c r="O295" s="5">
        <v>0</v>
      </c>
      <c r="P295" s="5" t="e">
        <f>IF([1]!Tabla2[[#This Row],[TIEMPO DE ATENCIÓN REALIZADO]]&lt;=[1]!Tabla2[[#This Row],[TIEMPO DE ATENCIÓN ESPERADO]],"Dentro de plazo","Fuera de plazo")</f>
        <v>#REF!</v>
      </c>
      <c r="Q295" s="6">
        <v>2280</v>
      </c>
      <c r="R295" s="2" t="s">
        <v>45</v>
      </c>
      <c r="S295" s="2" t="s">
        <v>56</v>
      </c>
      <c r="T295" s="2" t="s">
        <v>40</v>
      </c>
      <c r="U295" s="2" t="s">
        <v>41</v>
      </c>
      <c r="V295" s="2" t="s">
        <v>348</v>
      </c>
    </row>
    <row r="296" spans="1:22" ht="27" customHeight="1" x14ac:dyDescent="0.3">
      <c r="A296" s="2">
        <v>295</v>
      </c>
      <c r="B296" s="2" t="s">
        <v>1</v>
      </c>
      <c r="C296" s="4">
        <v>45861</v>
      </c>
      <c r="D296" s="4" t="str">
        <f>TEXT(Tabla2[[#This Row],[fecha]],"MMMM")</f>
        <v>Julio</v>
      </c>
      <c r="E296" s="2" t="s">
        <v>255</v>
      </c>
      <c r="F296" s="2" t="s">
        <v>415</v>
      </c>
      <c r="G296" s="2" t="s">
        <v>38</v>
      </c>
      <c r="H296" s="2" t="s">
        <v>421</v>
      </c>
      <c r="I296" s="2" t="s">
        <v>39</v>
      </c>
      <c r="J296" s="2"/>
      <c r="K296" s="2"/>
      <c r="L296" s="2">
        <v>3695</v>
      </c>
      <c r="M296" s="4">
        <v>45862</v>
      </c>
      <c r="N296" s="5">
        <v>1</v>
      </c>
      <c r="O296" s="5">
        <v>1</v>
      </c>
      <c r="P296" s="5" t="e">
        <f>IF([1]!Tabla2[[#This Row],[TIEMPO DE ATENCIÓN REALIZADO]]&lt;=[1]!Tabla2[[#This Row],[TIEMPO DE ATENCIÓN ESPERADO]],"Dentro de plazo","Fuera de plazo")</f>
        <v>#REF!</v>
      </c>
      <c r="Q296" s="6">
        <v>2300</v>
      </c>
      <c r="R296" s="2" t="s">
        <v>9</v>
      </c>
      <c r="S296" s="2" t="s">
        <v>56</v>
      </c>
      <c r="T296" s="2" t="s">
        <v>40</v>
      </c>
      <c r="U296" s="2" t="s">
        <v>53</v>
      </c>
      <c r="V296" s="2"/>
    </row>
    <row r="297" spans="1:22" ht="27" customHeight="1" x14ac:dyDescent="0.3">
      <c r="A297" s="2">
        <v>296</v>
      </c>
      <c r="B297" s="2" t="s">
        <v>1</v>
      </c>
      <c r="C297" s="4">
        <v>45861</v>
      </c>
      <c r="D297" s="4" t="str">
        <f>TEXT(Tabla2[[#This Row],[fecha]],"MMMM")</f>
        <v>Julio</v>
      </c>
      <c r="E297" s="2" t="s">
        <v>346</v>
      </c>
      <c r="F297" s="2" t="s">
        <v>415</v>
      </c>
      <c r="G297" s="2" t="s">
        <v>38</v>
      </c>
      <c r="H297" s="2" t="s">
        <v>421</v>
      </c>
      <c r="I297" s="2" t="s">
        <v>39</v>
      </c>
      <c r="J297" s="2"/>
      <c r="K297" s="2"/>
      <c r="L297" s="2">
        <v>3696</v>
      </c>
      <c r="M297" s="4">
        <v>45862</v>
      </c>
      <c r="N297" s="5">
        <v>1</v>
      </c>
      <c r="O297" s="5">
        <v>1</v>
      </c>
      <c r="P297" s="5" t="e">
        <f>IF([1]!Tabla2[[#This Row],[TIEMPO DE ATENCIÓN REALIZADO]]&lt;=[1]!Tabla2[[#This Row],[TIEMPO DE ATENCIÓN ESPERADO]],"Dentro de plazo","Fuera de plazo")</f>
        <v>#REF!</v>
      </c>
      <c r="Q297" s="6">
        <v>15500</v>
      </c>
      <c r="R297" s="2" t="s">
        <v>45</v>
      </c>
      <c r="S297" s="2" t="s">
        <v>425</v>
      </c>
      <c r="T297" s="2" t="s">
        <v>40</v>
      </c>
      <c r="U297" s="2" t="s">
        <v>41</v>
      </c>
      <c r="V297" s="2" t="s">
        <v>349</v>
      </c>
    </row>
    <row r="298" spans="1:22" ht="27" customHeight="1" x14ac:dyDescent="0.3">
      <c r="A298" s="2">
        <v>297</v>
      </c>
      <c r="B298" s="2" t="s">
        <v>1</v>
      </c>
      <c r="C298" s="4">
        <v>45863</v>
      </c>
      <c r="D298" s="4" t="str">
        <f>TEXT(Tabla2[[#This Row],[fecha]],"MMMM")</f>
        <v>Julio</v>
      </c>
      <c r="E298" s="2" t="s">
        <v>350</v>
      </c>
      <c r="F298" s="2" t="s">
        <v>415</v>
      </c>
      <c r="G298" s="2" t="s">
        <v>38</v>
      </c>
      <c r="H298" s="2" t="s">
        <v>421</v>
      </c>
      <c r="I298" s="2" t="s">
        <v>39</v>
      </c>
      <c r="J298" s="2"/>
      <c r="K298" s="2"/>
      <c r="L298" s="2">
        <v>3697</v>
      </c>
      <c r="M298" s="4">
        <v>45863</v>
      </c>
      <c r="N298" s="5">
        <v>0</v>
      </c>
      <c r="O298" s="5">
        <v>0</v>
      </c>
      <c r="P298" s="5" t="e">
        <f>IF([1]!Tabla2[[#This Row],[TIEMPO DE ATENCIÓN REALIZADO]]&lt;=[1]!Tabla2[[#This Row],[TIEMPO DE ATENCIÓN ESPERADO]],"Dentro de plazo","Fuera de plazo")</f>
        <v>#REF!</v>
      </c>
      <c r="Q298" s="6">
        <v>6200</v>
      </c>
      <c r="R298" s="2" t="s">
        <v>45</v>
      </c>
      <c r="S298" s="2" t="s">
        <v>56</v>
      </c>
      <c r="T298" s="2" t="s">
        <v>40</v>
      </c>
      <c r="U298" s="2" t="s">
        <v>41</v>
      </c>
      <c r="V298" s="2"/>
    </row>
    <row r="299" spans="1:22" ht="27" customHeight="1" x14ac:dyDescent="0.3">
      <c r="A299" s="2">
        <v>298</v>
      </c>
      <c r="B299" s="2" t="s">
        <v>1</v>
      </c>
      <c r="C299" s="4">
        <v>45862</v>
      </c>
      <c r="D299" s="4" t="str">
        <f>TEXT(Tabla2[[#This Row],[fecha]],"MMMM")</f>
        <v>Julio</v>
      </c>
      <c r="E299" s="2" t="s">
        <v>284</v>
      </c>
      <c r="F299" s="2" t="s">
        <v>415</v>
      </c>
      <c r="G299" s="2" t="s">
        <v>38</v>
      </c>
      <c r="H299" s="2" t="s">
        <v>421</v>
      </c>
      <c r="I299" s="2" t="s">
        <v>321</v>
      </c>
      <c r="J299" s="2"/>
      <c r="K299" s="2"/>
      <c r="L299" s="2">
        <v>3698</v>
      </c>
      <c r="M299" s="4">
        <v>45863</v>
      </c>
      <c r="N299" s="5">
        <v>1</v>
      </c>
      <c r="O299" s="5">
        <v>1</v>
      </c>
      <c r="P299" s="5" t="e">
        <f>IF([1]!Tabla2[[#This Row],[TIEMPO DE ATENCIÓN REALIZADO]]&lt;=[1]!Tabla2[[#This Row],[TIEMPO DE ATENCIÓN ESPERADO]],"Dentro de plazo","Fuera de plazo")</f>
        <v>#REF!</v>
      </c>
      <c r="Q299" s="6">
        <v>159115</v>
      </c>
      <c r="R299" s="2" t="s">
        <v>45</v>
      </c>
      <c r="S299" s="2" t="s">
        <v>425</v>
      </c>
      <c r="T299" s="2" t="s">
        <v>40</v>
      </c>
      <c r="U299" s="2" t="s">
        <v>41</v>
      </c>
      <c r="V299" s="2" t="s">
        <v>351</v>
      </c>
    </row>
    <row r="300" spans="1:22" ht="27" customHeight="1" x14ac:dyDescent="0.3">
      <c r="A300" s="2">
        <v>299</v>
      </c>
      <c r="B300" s="2" t="s">
        <v>1</v>
      </c>
      <c r="C300" s="4">
        <v>45868</v>
      </c>
      <c r="D300" s="4" t="str">
        <f>TEXT(Tabla2[[#This Row],[fecha]],"MMMM")</f>
        <v>Julio</v>
      </c>
      <c r="E300" s="2" t="s">
        <v>352</v>
      </c>
      <c r="F300" s="2" t="s">
        <v>415</v>
      </c>
      <c r="G300" s="2" t="s">
        <v>38</v>
      </c>
      <c r="H300" s="2" t="s">
        <v>421</v>
      </c>
      <c r="I300" s="2" t="s">
        <v>292</v>
      </c>
      <c r="J300" s="2"/>
      <c r="K300" s="2"/>
      <c r="L300" s="2">
        <v>3699</v>
      </c>
      <c r="M300" s="4">
        <v>45868</v>
      </c>
      <c r="N300" s="5">
        <v>0</v>
      </c>
      <c r="O300" s="5">
        <v>0</v>
      </c>
      <c r="P300" s="5" t="e">
        <f>IF([1]!Tabla2[[#This Row],[TIEMPO DE ATENCIÓN REALIZADO]]&lt;=[1]!Tabla2[[#This Row],[TIEMPO DE ATENCIÓN ESPERADO]],"Dentro de plazo","Fuera de plazo")</f>
        <v>#REF!</v>
      </c>
      <c r="Q300" s="6">
        <v>2500</v>
      </c>
      <c r="R300" s="2" t="s">
        <v>9</v>
      </c>
      <c r="S300" s="2" t="s">
        <v>425</v>
      </c>
      <c r="T300" s="2" t="s">
        <v>40</v>
      </c>
      <c r="U300" s="2" t="s">
        <v>41</v>
      </c>
      <c r="V300" s="2" t="s">
        <v>353</v>
      </c>
    </row>
    <row r="301" spans="1:22" ht="27" customHeight="1" x14ac:dyDescent="0.3">
      <c r="A301" s="2">
        <v>300</v>
      </c>
      <c r="B301" s="2" t="s">
        <v>1</v>
      </c>
      <c r="C301" s="4">
        <v>45868</v>
      </c>
      <c r="D301" s="4" t="str">
        <f>TEXT(Tabla2[[#This Row],[fecha]],"MMMM")</f>
        <v>Julio</v>
      </c>
      <c r="E301" s="2" t="s">
        <v>354</v>
      </c>
      <c r="F301" s="2" t="s">
        <v>418</v>
      </c>
      <c r="G301" s="2" t="s">
        <v>38</v>
      </c>
      <c r="H301" s="2" t="s">
        <v>421</v>
      </c>
      <c r="I301" s="2" t="s">
        <v>355</v>
      </c>
      <c r="J301" s="2"/>
      <c r="K301" s="2"/>
      <c r="L301" s="2">
        <v>3700</v>
      </c>
      <c r="M301" s="4">
        <v>45868</v>
      </c>
      <c r="N301" s="5">
        <v>0</v>
      </c>
      <c r="O301" s="5">
        <v>0</v>
      </c>
      <c r="P301" s="5" t="e">
        <f>IF([1]!Tabla2[[#This Row],[TIEMPO DE ATENCIÓN REALIZADO]]&lt;=[1]!Tabla2[[#This Row],[TIEMPO DE ATENCIÓN ESPERADO]],"Dentro de plazo","Fuera de plazo")</f>
        <v>#REF!</v>
      </c>
      <c r="Q301" s="6">
        <v>270</v>
      </c>
      <c r="R301" s="2" t="s">
        <v>15</v>
      </c>
      <c r="S301" s="2" t="s">
        <v>424</v>
      </c>
      <c r="T301" s="2" t="s">
        <v>46</v>
      </c>
      <c r="U301" s="2" t="s">
        <v>41</v>
      </c>
      <c r="V301" s="2" t="s">
        <v>356</v>
      </c>
    </row>
    <row r="302" spans="1:22" ht="27" customHeight="1" x14ac:dyDescent="0.3">
      <c r="A302" s="2">
        <v>301</v>
      </c>
      <c r="B302" s="2" t="s">
        <v>5</v>
      </c>
      <c r="C302" s="4">
        <v>45870</v>
      </c>
      <c r="D302" s="4" t="str">
        <f>TEXT(Tabla2[[#This Row],[fecha]],"MMMM")</f>
        <v>Agosto</v>
      </c>
      <c r="E302" s="2" t="s">
        <v>21</v>
      </c>
      <c r="F302" s="2" t="s">
        <v>414</v>
      </c>
      <c r="G302" s="2" t="s">
        <v>38</v>
      </c>
      <c r="H302" s="2" t="s">
        <v>60</v>
      </c>
      <c r="I302" s="2" t="s">
        <v>88</v>
      </c>
      <c r="J302" s="2"/>
      <c r="K302" s="2"/>
      <c r="L302" s="2">
        <v>3701</v>
      </c>
      <c r="M302" s="4">
        <v>45873</v>
      </c>
      <c r="N302" s="5">
        <v>3</v>
      </c>
      <c r="O302" s="5">
        <v>3</v>
      </c>
      <c r="P302" s="5" t="e">
        <f>IF([1]!Tabla2[[#This Row],[TIEMPO DE ATENCIÓN REALIZADO]]&lt;=[1]!Tabla2[[#This Row],[TIEMPO DE ATENCIÓN ESPERADO]],"Dentro de plazo","Fuera de plazo")</f>
        <v>#REF!</v>
      </c>
      <c r="Q302" s="6">
        <v>1184</v>
      </c>
      <c r="R302" s="2" t="s">
        <v>45</v>
      </c>
      <c r="S302" s="2" t="s">
        <v>424</v>
      </c>
      <c r="T302" s="2" t="s">
        <v>46</v>
      </c>
      <c r="U302" s="2" t="s">
        <v>41</v>
      </c>
      <c r="V302" s="2" t="s">
        <v>357</v>
      </c>
    </row>
    <row r="303" spans="1:22" ht="27" customHeight="1" x14ac:dyDescent="0.3">
      <c r="A303" s="2">
        <v>302</v>
      </c>
      <c r="B303" s="2" t="s">
        <v>5</v>
      </c>
      <c r="C303" s="4">
        <v>45873</v>
      </c>
      <c r="D303" s="4" t="str">
        <f>TEXT(Tabla2[[#This Row],[fecha]],"MMMM")</f>
        <v>Agosto</v>
      </c>
      <c r="E303" s="2" t="s">
        <v>358</v>
      </c>
      <c r="F303" s="2" t="s">
        <v>414</v>
      </c>
      <c r="G303" s="2" t="s">
        <v>38</v>
      </c>
      <c r="H303" s="2" t="s">
        <v>421</v>
      </c>
      <c r="I303" s="2" t="s">
        <v>359</v>
      </c>
      <c r="J303" s="2"/>
      <c r="K303" s="2"/>
      <c r="L303" s="2">
        <v>3702</v>
      </c>
      <c r="M303" s="4">
        <v>45873</v>
      </c>
      <c r="N303" s="5">
        <v>0</v>
      </c>
      <c r="O303" s="5">
        <v>0</v>
      </c>
      <c r="P303" s="5" t="e">
        <f>IF([1]!Tabla2[[#This Row],[TIEMPO DE ATENCIÓN REALIZADO]]&lt;=[1]!Tabla2[[#This Row],[TIEMPO DE ATENCIÓN ESPERADO]],"Dentro de plazo","Fuera de plazo")</f>
        <v>#REF!</v>
      </c>
      <c r="Q303" s="6">
        <v>5435.64</v>
      </c>
      <c r="R303" s="2" t="s">
        <v>7</v>
      </c>
      <c r="S303" s="2" t="s">
        <v>56</v>
      </c>
      <c r="T303" s="2" t="s">
        <v>40</v>
      </c>
      <c r="U303" s="2" t="s">
        <v>41</v>
      </c>
      <c r="V303" s="2" t="s">
        <v>360</v>
      </c>
    </row>
    <row r="304" spans="1:22" ht="27" customHeight="1" x14ac:dyDescent="0.3">
      <c r="A304" s="2">
        <v>303</v>
      </c>
      <c r="B304" s="2" t="s">
        <v>5</v>
      </c>
      <c r="C304" s="4">
        <v>45873</v>
      </c>
      <c r="D304" s="4" t="str">
        <f>TEXT(Tabla2[[#This Row],[fecha]],"MMMM")</f>
        <v>Agosto</v>
      </c>
      <c r="E304" s="2" t="s">
        <v>29</v>
      </c>
      <c r="F304" s="2" t="s">
        <v>55</v>
      </c>
      <c r="G304" s="2" t="s">
        <v>38</v>
      </c>
      <c r="H304" s="2" t="s">
        <v>60</v>
      </c>
      <c r="I304" s="2" t="s">
        <v>355</v>
      </c>
      <c r="J304" s="2"/>
      <c r="K304" s="2"/>
      <c r="L304" s="2">
        <v>3703</v>
      </c>
      <c r="M304" s="4">
        <v>45873</v>
      </c>
      <c r="N304" s="5">
        <v>0</v>
      </c>
      <c r="O304" s="5">
        <v>0</v>
      </c>
      <c r="P304" s="5" t="e">
        <f>IF([1]!Tabla2[[#This Row],[TIEMPO DE ATENCIÓN REALIZADO]]&lt;=[1]!Tabla2[[#This Row],[TIEMPO DE ATENCIÓN ESPERADO]],"Dentro de plazo","Fuera de plazo")</f>
        <v>#REF!</v>
      </c>
      <c r="Q304" s="6">
        <v>200</v>
      </c>
      <c r="R304" s="2" t="s">
        <v>45</v>
      </c>
      <c r="S304" s="2" t="s">
        <v>424</v>
      </c>
      <c r="T304" s="2" t="s">
        <v>46</v>
      </c>
      <c r="U304" s="2" t="s">
        <v>41</v>
      </c>
      <c r="V304" s="2" t="s">
        <v>361</v>
      </c>
    </row>
    <row r="305" spans="1:22" ht="27" customHeight="1" x14ac:dyDescent="0.3">
      <c r="A305" s="2">
        <v>304</v>
      </c>
      <c r="B305" s="2" t="s">
        <v>5</v>
      </c>
      <c r="C305" s="4">
        <v>45873</v>
      </c>
      <c r="D305" s="4" t="str">
        <f>TEXT(Tabla2[[#This Row],[fecha]],"MMMM")</f>
        <v>Agosto</v>
      </c>
      <c r="E305" s="2" t="s">
        <v>362</v>
      </c>
      <c r="F305" s="2" t="s">
        <v>416</v>
      </c>
      <c r="G305" s="2" t="s">
        <v>44</v>
      </c>
      <c r="H305" s="2" t="s">
        <v>60</v>
      </c>
      <c r="I305" s="2" t="s">
        <v>363</v>
      </c>
      <c r="J305" s="2"/>
      <c r="K305" s="2"/>
      <c r="L305" s="2">
        <v>3704</v>
      </c>
      <c r="M305" s="4">
        <v>45873</v>
      </c>
      <c r="N305" s="5">
        <v>0</v>
      </c>
      <c r="O305" s="5">
        <v>0</v>
      </c>
      <c r="P305" s="5" t="e">
        <f>IF([1]!Tabla2[[#This Row],[TIEMPO DE ATENCIÓN REALIZADO]]&lt;=[1]!Tabla2[[#This Row],[TIEMPO DE ATENCIÓN ESPERADO]],"Dentro de plazo","Fuera de plazo")</f>
        <v>#REF!</v>
      </c>
      <c r="Q305" s="6">
        <v>1143</v>
      </c>
      <c r="R305" s="2" t="s">
        <v>45</v>
      </c>
      <c r="S305" s="2" t="s">
        <v>425</v>
      </c>
      <c r="T305" s="2" t="s">
        <v>40</v>
      </c>
      <c r="U305" s="2" t="s">
        <v>53</v>
      </c>
      <c r="V305" s="2" t="s">
        <v>364</v>
      </c>
    </row>
    <row r="306" spans="1:22" ht="27" customHeight="1" x14ac:dyDescent="0.3">
      <c r="A306" s="2">
        <v>305</v>
      </c>
      <c r="B306" s="2" t="s">
        <v>5</v>
      </c>
      <c r="C306" s="4">
        <v>45873</v>
      </c>
      <c r="D306" s="4" t="str">
        <f>TEXT(Tabla2[[#This Row],[fecha]],"MMMM")</f>
        <v>Agosto</v>
      </c>
      <c r="E306" s="2" t="s">
        <v>365</v>
      </c>
      <c r="F306" s="2" t="s">
        <v>414</v>
      </c>
      <c r="G306" s="2" t="s">
        <v>44</v>
      </c>
      <c r="H306" s="2" t="s">
        <v>421</v>
      </c>
      <c r="I306" s="2" t="s">
        <v>68</v>
      </c>
      <c r="J306" s="2"/>
      <c r="K306" s="2"/>
      <c r="L306" s="2">
        <v>3705</v>
      </c>
      <c r="M306" s="4">
        <v>45873</v>
      </c>
      <c r="N306" s="5">
        <v>0</v>
      </c>
      <c r="O306" s="5">
        <v>0</v>
      </c>
      <c r="P306" s="5" t="e">
        <f>IF([1]!Tabla2[[#This Row],[TIEMPO DE ATENCIÓN REALIZADO]]&lt;=[1]!Tabla2[[#This Row],[TIEMPO DE ATENCIÓN ESPERADO]],"Dentro de plazo","Fuera de plazo")</f>
        <v>#REF!</v>
      </c>
      <c r="Q306" s="6">
        <v>5861.29</v>
      </c>
      <c r="R306" s="2" t="s">
        <v>45</v>
      </c>
      <c r="S306" s="2" t="s">
        <v>424</v>
      </c>
      <c r="T306" s="2" t="s">
        <v>40</v>
      </c>
      <c r="U306" s="2" t="s">
        <v>53</v>
      </c>
      <c r="V306" s="2" t="s">
        <v>366</v>
      </c>
    </row>
    <row r="307" spans="1:22" ht="27" customHeight="1" x14ac:dyDescent="0.3">
      <c r="A307" s="2">
        <v>306</v>
      </c>
      <c r="B307" s="2" t="s">
        <v>5</v>
      </c>
      <c r="C307" s="4">
        <v>45873</v>
      </c>
      <c r="D307" s="4" t="str">
        <f>TEXT(Tabla2[[#This Row],[fecha]],"MMMM")</f>
        <v>Agosto</v>
      </c>
      <c r="E307" s="2" t="s">
        <v>151</v>
      </c>
      <c r="F307" s="2" t="s">
        <v>414</v>
      </c>
      <c r="G307" s="2" t="s">
        <v>38</v>
      </c>
      <c r="H307" s="2" t="s">
        <v>60</v>
      </c>
      <c r="I307" s="2" t="s">
        <v>88</v>
      </c>
      <c r="J307" s="2"/>
      <c r="K307" s="2"/>
      <c r="L307" s="2">
        <v>3706</v>
      </c>
      <c r="M307" s="4">
        <v>45874</v>
      </c>
      <c r="N307" s="5">
        <v>1</v>
      </c>
      <c r="O307" s="5">
        <v>1</v>
      </c>
      <c r="P307" s="5" t="e">
        <f>IF([1]!Tabla2[[#This Row],[TIEMPO DE ATENCIÓN REALIZADO]]&lt;=[1]!Tabla2[[#This Row],[TIEMPO DE ATENCIÓN ESPERADO]],"Dentro de plazo","Fuera de plazo")</f>
        <v>#REF!</v>
      </c>
      <c r="Q307" s="6">
        <v>6756</v>
      </c>
      <c r="R307" s="2" t="s">
        <v>13</v>
      </c>
      <c r="S307" s="2" t="s">
        <v>56</v>
      </c>
      <c r="T307" s="2" t="s">
        <v>40</v>
      </c>
      <c r="U307" s="2" t="s">
        <v>41</v>
      </c>
      <c r="V307" s="2" t="s">
        <v>367</v>
      </c>
    </row>
    <row r="308" spans="1:22" ht="27" customHeight="1" x14ac:dyDescent="0.3">
      <c r="A308" s="2">
        <v>307</v>
      </c>
      <c r="B308" s="2" t="s">
        <v>5</v>
      </c>
      <c r="C308" s="4">
        <v>45873</v>
      </c>
      <c r="D308" s="4" t="str">
        <f>TEXT(Tabla2[[#This Row],[fecha]],"MMMM")</f>
        <v>Agosto</v>
      </c>
      <c r="E308" s="2" t="s">
        <v>151</v>
      </c>
      <c r="F308" s="2" t="s">
        <v>414</v>
      </c>
      <c r="G308" s="2" t="s">
        <v>38</v>
      </c>
      <c r="H308" s="2" t="s">
        <v>60</v>
      </c>
      <c r="I308" s="2" t="s">
        <v>88</v>
      </c>
      <c r="J308" s="2"/>
      <c r="K308" s="2"/>
      <c r="L308" s="2">
        <v>3707</v>
      </c>
      <c r="M308" s="4">
        <v>45874</v>
      </c>
      <c r="N308" s="5">
        <v>1</v>
      </c>
      <c r="O308" s="5">
        <v>1</v>
      </c>
      <c r="P308" s="5" t="e">
        <f>IF([1]!Tabla2[[#This Row],[TIEMPO DE ATENCIÓN REALIZADO]]&lt;=[1]!Tabla2[[#This Row],[TIEMPO DE ATENCIÓN ESPERADO]],"Dentro de plazo","Fuera de plazo")</f>
        <v>#REF!</v>
      </c>
      <c r="Q308" s="6">
        <v>4445.32</v>
      </c>
      <c r="R308" s="2" t="s">
        <v>13</v>
      </c>
      <c r="S308" s="2" t="s">
        <v>56</v>
      </c>
      <c r="T308" s="2" t="s">
        <v>40</v>
      </c>
      <c r="U308" s="2" t="s">
        <v>41</v>
      </c>
      <c r="V308" s="2" t="s">
        <v>367</v>
      </c>
    </row>
    <row r="309" spans="1:22" ht="27" customHeight="1" x14ac:dyDescent="0.3">
      <c r="A309" s="2">
        <v>308</v>
      </c>
      <c r="B309" s="2" t="s">
        <v>5</v>
      </c>
      <c r="C309" s="4">
        <v>45874</v>
      </c>
      <c r="D309" s="4" t="str">
        <f>TEXT(Tabla2[[#This Row],[fecha]],"MMMM")</f>
        <v>Agosto</v>
      </c>
      <c r="E309" s="2" t="s">
        <v>368</v>
      </c>
      <c r="F309" s="2" t="s">
        <v>415</v>
      </c>
      <c r="G309" s="2" t="s">
        <v>44</v>
      </c>
      <c r="H309" s="2" t="s">
        <v>421</v>
      </c>
      <c r="I309" s="2" t="s">
        <v>369</v>
      </c>
      <c r="J309" s="2"/>
      <c r="K309" s="2"/>
      <c r="L309" s="2">
        <v>3708</v>
      </c>
      <c r="M309" s="4">
        <v>45874</v>
      </c>
      <c r="N309" s="5">
        <v>0</v>
      </c>
      <c r="O309" s="5">
        <v>0</v>
      </c>
      <c r="P309" s="5" t="e">
        <f>IF([1]!Tabla2[[#This Row],[TIEMPO DE ATENCIÓN REALIZADO]]&lt;=[1]!Tabla2[[#This Row],[TIEMPO DE ATENCIÓN ESPERADO]],"Dentro de plazo","Fuera de plazo")</f>
        <v>#REF!</v>
      </c>
      <c r="Q309" s="6">
        <v>1121</v>
      </c>
      <c r="R309" s="2" t="s">
        <v>4</v>
      </c>
      <c r="S309" s="2" t="s">
        <v>425</v>
      </c>
      <c r="T309" s="2" t="s">
        <v>40</v>
      </c>
      <c r="U309" s="2" t="s">
        <v>53</v>
      </c>
      <c r="V309" s="2" t="s">
        <v>364</v>
      </c>
    </row>
    <row r="310" spans="1:22" ht="27" customHeight="1" x14ac:dyDescent="0.3">
      <c r="A310" s="2">
        <v>309</v>
      </c>
      <c r="B310" s="2" t="s">
        <v>1</v>
      </c>
      <c r="C310" s="4">
        <v>45880</v>
      </c>
      <c r="D310" s="4" t="str">
        <f>TEXT(Tabla2[[#This Row],[fecha]],"MMMM")</f>
        <v>Agosto</v>
      </c>
      <c r="E310" s="2" t="s">
        <v>370</v>
      </c>
      <c r="F310" s="2" t="s">
        <v>55</v>
      </c>
      <c r="G310" s="2" t="s">
        <v>38</v>
      </c>
      <c r="H310" s="2" t="s">
        <v>60</v>
      </c>
      <c r="I310" s="2" t="s">
        <v>88</v>
      </c>
      <c r="J310" s="2"/>
      <c r="K310" s="2"/>
      <c r="L310" s="2">
        <v>3709</v>
      </c>
      <c r="M310" s="4">
        <v>45881</v>
      </c>
      <c r="N310" s="5">
        <v>1</v>
      </c>
      <c r="O310" s="5">
        <v>1</v>
      </c>
      <c r="P310" s="5" t="e">
        <f>IF([1]!Tabla2[[#This Row],[TIEMPO DE ATENCIÓN REALIZADO]]&lt;=[1]!Tabla2[[#This Row],[TIEMPO DE ATENCIÓN ESPERADO]],"Dentro de plazo","Fuera de plazo")</f>
        <v>#REF!</v>
      </c>
      <c r="Q310" s="6">
        <v>15000</v>
      </c>
      <c r="R310" s="2" t="s">
        <v>9</v>
      </c>
      <c r="S310" s="2" t="s">
        <v>425</v>
      </c>
      <c r="T310" s="2" t="s">
        <v>40</v>
      </c>
      <c r="U310" s="2" t="s">
        <v>41</v>
      </c>
      <c r="V310" s="2" t="s">
        <v>411</v>
      </c>
    </row>
    <row r="311" spans="1:22" ht="27" customHeight="1" x14ac:dyDescent="0.3">
      <c r="A311" s="2">
        <v>310</v>
      </c>
      <c r="B311" s="2" t="s">
        <v>5</v>
      </c>
      <c r="C311" s="4">
        <v>45873</v>
      </c>
      <c r="D311" s="4" t="str">
        <f>TEXT(Tabla2[[#This Row],[fecha]],"MMMM")</f>
        <v>Agosto</v>
      </c>
      <c r="E311" s="2" t="s">
        <v>14</v>
      </c>
      <c r="F311" s="2" t="s">
        <v>415</v>
      </c>
      <c r="G311" s="2" t="s">
        <v>38</v>
      </c>
      <c r="H311" s="2" t="s">
        <v>60</v>
      </c>
      <c r="I311" s="2" t="s">
        <v>39</v>
      </c>
      <c r="J311" s="2"/>
      <c r="K311" s="2"/>
      <c r="L311" s="2">
        <v>3710</v>
      </c>
      <c r="M311" s="4">
        <v>45876</v>
      </c>
      <c r="N311" s="5">
        <v>3</v>
      </c>
      <c r="O311" s="5">
        <v>3</v>
      </c>
      <c r="P311" s="5" t="e">
        <f>IF([1]!Tabla2[[#This Row],[TIEMPO DE ATENCIÓN REALIZADO]]&lt;=[1]!Tabla2[[#This Row],[TIEMPO DE ATENCIÓN ESPERADO]],"Dentro de plazo","Fuera de plazo")</f>
        <v>#REF!</v>
      </c>
      <c r="Q311" s="6">
        <v>1589.33</v>
      </c>
      <c r="R311" s="2" t="s">
        <v>7</v>
      </c>
      <c r="S311" s="2" t="s">
        <v>425</v>
      </c>
      <c r="T311" s="2" t="s">
        <v>40</v>
      </c>
      <c r="U311" s="2" t="s">
        <v>41</v>
      </c>
      <c r="V311" s="2" t="s">
        <v>410</v>
      </c>
    </row>
    <row r="312" spans="1:22" ht="27" customHeight="1" x14ac:dyDescent="0.3">
      <c r="A312" s="2">
        <v>311</v>
      </c>
      <c r="B312" s="2" t="s">
        <v>5</v>
      </c>
      <c r="C312" s="4">
        <v>45874</v>
      </c>
      <c r="D312" s="4" t="str">
        <f>TEXT(Tabla2[[#This Row],[fecha]],"MMMM")</f>
        <v>Agosto</v>
      </c>
      <c r="E312" s="2" t="s">
        <v>11</v>
      </c>
      <c r="F312" s="2" t="s">
        <v>418</v>
      </c>
      <c r="G312" s="2" t="s">
        <v>38</v>
      </c>
      <c r="H312" s="2" t="s">
        <v>60</v>
      </c>
      <c r="I312" s="2" t="s">
        <v>39</v>
      </c>
      <c r="J312" s="2"/>
      <c r="K312" s="2"/>
      <c r="L312" s="2">
        <v>3711</v>
      </c>
      <c r="M312" s="4">
        <v>45877</v>
      </c>
      <c r="N312" s="5">
        <v>3</v>
      </c>
      <c r="O312" s="5">
        <v>3</v>
      </c>
      <c r="P312" s="5" t="e">
        <f>IF([1]!Tabla2[[#This Row],[TIEMPO DE ATENCIÓN REALIZADO]]&lt;=[1]!Tabla2[[#This Row],[TIEMPO DE ATENCIÓN ESPERADO]],"Dentro de plazo","Fuera de plazo")</f>
        <v>#REF!</v>
      </c>
      <c r="Q312" s="6">
        <v>2452</v>
      </c>
      <c r="R312" s="2" t="s">
        <v>45</v>
      </c>
      <c r="S312" s="2" t="s">
        <v>56</v>
      </c>
      <c r="T312" s="2" t="s">
        <v>40</v>
      </c>
      <c r="U312" s="2" t="s">
        <v>41</v>
      </c>
      <c r="V312" s="2" t="s">
        <v>408</v>
      </c>
    </row>
    <row r="313" spans="1:22" ht="27" customHeight="1" x14ac:dyDescent="0.3">
      <c r="A313" s="2">
        <v>312</v>
      </c>
      <c r="B313" s="2" t="s">
        <v>5</v>
      </c>
      <c r="C313" s="4">
        <v>45877</v>
      </c>
      <c r="D313" s="4" t="str">
        <f>TEXT(Tabla2[[#This Row],[fecha]],"MMMM")</f>
        <v>Agosto</v>
      </c>
      <c r="E313" s="2" t="s">
        <v>371</v>
      </c>
      <c r="F313" s="2" t="s">
        <v>415</v>
      </c>
      <c r="G313" s="2" t="s">
        <v>44</v>
      </c>
      <c r="H313" s="2" t="s">
        <v>421</v>
      </c>
      <c r="I313" s="2" t="s">
        <v>88</v>
      </c>
      <c r="J313" s="2"/>
      <c r="K313" s="2"/>
      <c r="L313" s="2">
        <v>3712</v>
      </c>
      <c r="M313" s="4">
        <v>45877</v>
      </c>
      <c r="N313" s="5">
        <v>0</v>
      </c>
      <c r="O313" s="5">
        <v>0</v>
      </c>
      <c r="P313" s="5" t="e">
        <f>IF([1]!Tabla2[[#This Row],[TIEMPO DE ATENCIÓN REALIZADO]]&lt;=[1]!Tabla2[[#This Row],[TIEMPO DE ATENCIÓN ESPERADO]],"Dentro de plazo","Fuera de plazo")</f>
        <v>#REF!</v>
      </c>
      <c r="Q313" s="6">
        <v>1800</v>
      </c>
      <c r="R313" s="2" t="s">
        <v>45</v>
      </c>
      <c r="S313" s="2" t="s">
        <v>425</v>
      </c>
      <c r="T313" s="2" t="s">
        <v>40</v>
      </c>
      <c r="U313" s="2" t="s">
        <v>53</v>
      </c>
      <c r="V313" s="2"/>
    </row>
    <row r="314" spans="1:22" ht="27" customHeight="1" x14ac:dyDescent="0.3">
      <c r="A314" s="2">
        <v>313</v>
      </c>
      <c r="B314" s="2" t="s">
        <v>5</v>
      </c>
      <c r="C314" s="4">
        <v>45874</v>
      </c>
      <c r="D314" s="4" t="str">
        <f>TEXT(Tabla2[[#This Row],[fecha]],"MMMM")</f>
        <v>Agosto</v>
      </c>
      <c r="E314" s="2" t="s">
        <v>11</v>
      </c>
      <c r="F314" s="2" t="s">
        <v>418</v>
      </c>
      <c r="G314" s="2" t="s">
        <v>38</v>
      </c>
      <c r="H314" s="2" t="s">
        <v>60</v>
      </c>
      <c r="I314" s="2" t="s">
        <v>39</v>
      </c>
      <c r="J314" s="2"/>
      <c r="K314" s="2"/>
      <c r="L314" s="2">
        <v>3714</v>
      </c>
      <c r="M314" s="4">
        <v>45880</v>
      </c>
      <c r="N314" s="5">
        <v>6</v>
      </c>
      <c r="O314" s="5">
        <v>6</v>
      </c>
      <c r="P314" s="5" t="e">
        <f>IF([1]!Tabla2[[#This Row],[TIEMPO DE ATENCIÓN REALIZADO]]&lt;=[1]!Tabla2[[#This Row],[TIEMPO DE ATENCIÓN ESPERADO]],"Dentro de plazo","Fuera de plazo")</f>
        <v>#REF!</v>
      </c>
      <c r="Q314" s="6">
        <v>2139</v>
      </c>
      <c r="R314" s="2" t="s">
        <v>45</v>
      </c>
      <c r="S314" s="2" t="s">
        <v>424</v>
      </c>
      <c r="T314" s="2" t="s">
        <v>46</v>
      </c>
      <c r="U314" s="2" t="s">
        <v>41</v>
      </c>
      <c r="V314" s="2" t="s">
        <v>409</v>
      </c>
    </row>
    <row r="315" spans="1:22" ht="27" customHeight="1" x14ac:dyDescent="0.3">
      <c r="A315" s="2">
        <v>314</v>
      </c>
      <c r="B315" s="2" t="s">
        <v>5</v>
      </c>
      <c r="C315" s="4">
        <v>45877</v>
      </c>
      <c r="D315" s="4" t="str">
        <f>TEXT(Tabla2[[#This Row],[fecha]],"MMMM")</f>
        <v>Agosto</v>
      </c>
      <c r="E315" s="2" t="s">
        <v>372</v>
      </c>
      <c r="F315" s="2" t="s">
        <v>415</v>
      </c>
      <c r="G315" s="2" t="s">
        <v>44</v>
      </c>
      <c r="H315" s="2" t="s">
        <v>60</v>
      </c>
      <c r="I315" s="2" t="s">
        <v>88</v>
      </c>
      <c r="J315" s="2"/>
      <c r="K315" s="2"/>
      <c r="L315" s="2">
        <v>3715</v>
      </c>
      <c r="M315" s="4">
        <v>45880</v>
      </c>
      <c r="N315" s="5">
        <v>3</v>
      </c>
      <c r="O315" s="5">
        <v>3</v>
      </c>
      <c r="P315" s="5" t="e">
        <f>IF([1]!Tabla2[[#This Row],[TIEMPO DE ATENCIÓN REALIZADO]]&lt;=[1]!Tabla2[[#This Row],[TIEMPO DE ATENCIÓN ESPERADO]],"Dentro de plazo","Fuera de plazo")</f>
        <v>#REF!</v>
      </c>
      <c r="Q315" s="6">
        <v>1037</v>
      </c>
      <c r="R315" s="2" t="s">
        <v>45</v>
      </c>
      <c r="S315" s="2" t="s">
        <v>425</v>
      </c>
      <c r="T315" s="2" t="s">
        <v>40</v>
      </c>
      <c r="U315" s="2" t="s">
        <v>53</v>
      </c>
      <c r="V315" s="2" t="s">
        <v>407</v>
      </c>
    </row>
    <row r="316" spans="1:22" ht="27" customHeight="1" x14ac:dyDescent="0.3">
      <c r="A316" s="2">
        <v>315</v>
      </c>
      <c r="B316" s="2" t="s">
        <v>1</v>
      </c>
      <c r="C316" s="4">
        <v>45876</v>
      </c>
      <c r="D316" s="4" t="str">
        <f>TEXT(Tabla2[[#This Row],[fecha]],"MMMM")</f>
        <v>Agosto</v>
      </c>
      <c r="E316" s="2" t="s">
        <v>373</v>
      </c>
      <c r="F316" s="2" t="s">
        <v>72</v>
      </c>
      <c r="G316" s="2" t="s">
        <v>44</v>
      </c>
      <c r="H316" s="2" t="s">
        <v>421</v>
      </c>
      <c r="I316" s="2" t="s">
        <v>180</v>
      </c>
      <c r="J316" s="2"/>
      <c r="K316" s="2"/>
      <c r="L316" s="2">
        <v>3718</v>
      </c>
      <c r="M316" s="4">
        <v>45881</v>
      </c>
      <c r="N316" s="5">
        <v>3</v>
      </c>
      <c r="O316" s="5">
        <v>3</v>
      </c>
      <c r="P316" s="5" t="e">
        <f>IF([1]!Tabla2[[#This Row],[TIEMPO DE ATENCIÓN REALIZADO]]&lt;=[1]!Tabla2[[#This Row],[TIEMPO DE ATENCIÓN ESPERADO]],"Dentro de plazo","Fuera de plazo")</f>
        <v>#REF!</v>
      </c>
      <c r="Q316" s="6">
        <v>3500</v>
      </c>
      <c r="R316" s="2" t="s">
        <v>9</v>
      </c>
      <c r="S316" s="2" t="s">
        <v>56</v>
      </c>
      <c r="T316" s="2" t="s">
        <v>40</v>
      </c>
      <c r="U316" s="2" t="s">
        <v>53</v>
      </c>
      <c r="V316" s="2" t="s">
        <v>412</v>
      </c>
    </row>
    <row r="317" spans="1:22" ht="27" customHeight="1" x14ac:dyDescent="0.3">
      <c r="A317" s="2">
        <v>316</v>
      </c>
      <c r="B317" s="2" t="s">
        <v>5</v>
      </c>
      <c r="C317" s="4">
        <v>45880</v>
      </c>
      <c r="D317" s="4" t="str">
        <f>TEXT(Tabla2[[#This Row],[fecha]],"MMMM")</f>
        <v>Agosto</v>
      </c>
      <c r="E317" s="2" t="s">
        <v>374</v>
      </c>
      <c r="F317" s="2" t="s">
        <v>91</v>
      </c>
      <c r="G317" s="2" t="s">
        <v>38</v>
      </c>
      <c r="H317" s="2" t="s">
        <v>421</v>
      </c>
      <c r="I317" s="2" t="s">
        <v>52</v>
      </c>
      <c r="J317" s="2"/>
      <c r="K317" s="2"/>
      <c r="L317" s="2">
        <v>3719</v>
      </c>
      <c r="M317" s="4">
        <v>45881</v>
      </c>
      <c r="N317" s="5">
        <v>1</v>
      </c>
      <c r="O317" s="5">
        <v>1</v>
      </c>
      <c r="P317" s="5" t="e">
        <f>IF([1]!Tabla2[[#This Row],[TIEMPO DE ATENCIÓN REALIZADO]]&lt;=[1]!Tabla2[[#This Row],[TIEMPO DE ATENCIÓN ESPERADO]],"Dentro de plazo","Fuera de plazo")</f>
        <v>#REF!</v>
      </c>
      <c r="Q317" s="6">
        <v>1754.91</v>
      </c>
      <c r="R317" s="2" t="s">
        <v>45</v>
      </c>
      <c r="S317" s="2" t="s">
        <v>56</v>
      </c>
      <c r="T317" s="2" t="s">
        <v>40</v>
      </c>
      <c r="U317" s="2" t="s">
        <v>41</v>
      </c>
      <c r="V317" s="2" t="s">
        <v>406</v>
      </c>
    </row>
    <row r="318" spans="1:22" ht="27" customHeight="1" x14ac:dyDescent="0.3">
      <c r="A318" s="2">
        <v>317</v>
      </c>
      <c r="B318" s="2" t="s">
        <v>5</v>
      </c>
      <c r="C318" s="4">
        <v>45876</v>
      </c>
      <c r="D318" s="4" t="str">
        <f>TEXT(Tabla2[[#This Row],[fecha]],"MMMM")</f>
        <v>Agosto</v>
      </c>
      <c r="E318" s="2" t="s">
        <v>318</v>
      </c>
      <c r="F318" s="2" t="s">
        <v>415</v>
      </c>
      <c r="G318" s="2" t="s">
        <v>305</v>
      </c>
      <c r="H318" s="2" t="s">
        <v>421</v>
      </c>
      <c r="I318" s="2" t="s">
        <v>68</v>
      </c>
      <c r="J318" s="2"/>
      <c r="K318" s="2"/>
      <c r="L318" s="2">
        <v>3720</v>
      </c>
      <c r="M318" s="4">
        <v>45882</v>
      </c>
      <c r="N318" s="5">
        <v>6</v>
      </c>
      <c r="O318" s="5">
        <v>6</v>
      </c>
      <c r="P318" s="5" t="e">
        <f>IF([1]!Tabla2[[#This Row],[TIEMPO DE ATENCIÓN REALIZADO]]&lt;=[1]!Tabla2[[#This Row],[TIEMPO DE ATENCIÓN ESPERADO]],"Dentro de plazo","Fuera de plazo")</f>
        <v>#REF!</v>
      </c>
      <c r="Q318" s="6">
        <v>1783</v>
      </c>
      <c r="R318" s="2" t="s">
        <v>45</v>
      </c>
      <c r="S318" s="2" t="s">
        <v>424</v>
      </c>
      <c r="T318" s="2" t="s">
        <v>46</v>
      </c>
      <c r="U318" s="2" t="s">
        <v>53</v>
      </c>
      <c r="V318" s="2" t="s">
        <v>405</v>
      </c>
    </row>
    <row r="319" spans="1:22" ht="27" customHeight="1" x14ac:dyDescent="0.3">
      <c r="A319" s="2">
        <v>318</v>
      </c>
      <c r="B319" s="2" t="s">
        <v>5</v>
      </c>
      <c r="C319" s="4">
        <v>45882</v>
      </c>
      <c r="D319" s="4" t="str">
        <f>TEXT(Tabla2[[#This Row],[fecha]],"MMMM")</f>
        <v>Agosto</v>
      </c>
      <c r="E319" s="2" t="s">
        <v>375</v>
      </c>
      <c r="F319" s="2" t="s">
        <v>414</v>
      </c>
      <c r="G319" s="2" t="s">
        <v>44</v>
      </c>
      <c r="H319" s="2" t="s">
        <v>421</v>
      </c>
      <c r="I319" s="2" t="s">
        <v>66</v>
      </c>
      <c r="J319" s="2"/>
      <c r="K319" s="2"/>
      <c r="L319" s="2">
        <v>3721</v>
      </c>
      <c r="M319" s="4">
        <v>45883</v>
      </c>
      <c r="N319" s="5">
        <v>1</v>
      </c>
      <c r="O319" s="5">
        <v>1</v>
      </c>
      <c r="P319" s="5" t="e">
        <f>IF([1]!Tabla2[[#This Row],[TIEMPO DE ATENCIÓN REALIZADO]]&lt;=[1]!Tabla2[[#This Row],[TIEMPO DE ATENCIÓN ESPERADO]],"Dentro de plazo","Fuera de plazo")</f>
        <v>#REF!</v>
      </c>
      <c r="Q319" s="6">
        <v>1593.54</v>
      </c>
      <c r="R319" s="2" t="s">
        <v>45</v>
      </c>
      <c r="S319" s="2" t="s">
        <v>425</v>
      </c>
      <c r="T319" s="2" t="s">
        <v>40</v>
      </c>
      <c r="U319" s="2" t="s">
        <v>53</v>
      </c>
      <c r="V319" s="2"/>
    </row>
    <row r="320" spans="1:22" ht="27" customHeight="1" x14ac:dyDescent="0.3">
      <c r="A320" s="2">
        <v>319</v>
      </c>
      <c r="B320" s="2" t="s">
        <v>1</v>
      </c>
      <c r="C320" s="4">
        <v>45883</v>
      </c>
      <c r="D320" s="4" t="str">
        <f>TEXT(Tabla2[[#This Row],[fecha]],"MMMM")</f>
        <v>Agosto</v>
      </c>
      <c r="E320" s="2" t="s">
        <v>376</v>
      </c>
      <c r="F320" s="2" t="s">
        <v>415</v>
      </c>
      <c r="G320" s="2" t="s">
        <v>58</v>
      </c>
      <c r="H320" s="2" t="s">
        <v>60</v>
      </c>
      <c r="I320" s="2" t="s">
        <v>39</v>
      </c>
      <c r="J320" s="2"/>
      <c r="K320" s="2"/>
      <c r="L320" s="2">
        <v>3722</v>
      </c>
      <c r="M320" s="4">
        <v>45886</v>
      </c>
      <c r="N320" s="5">
        <v>3</v>
      </c>
      <c r="O320" s="5">
        <v>3</v>
      </c>
      <c r="P320" s="5" t="e">
        <f>IF([1]!Tabla2[[#This Row],[TIEMPO DE ATENCIÓN REALIZADO]]&lt;=[1]!Tabla2[[#This Row],[TIEMPO DE ATENCIÓN ESPERADO]],"Dentro de plazo","Fuera de plazo")</f>
        <v>#REF!</v>
      </c>
      <c r="Q320" s="6">
        <v>2280</v>
      </c>
      <c r="R320" s="2" t="s">
        <v>9</v>
      </c>
      <c r="S320" s="2" t="s">
        <v>424</v>
      </c>
      <c r="T320" s="2" t="s">
        <v>46</v>
      </c>
      <c r="U320" s="2" t="s">
        <v>53</v>
      </c>
      <c r="V320" s="2"/>
    </row>
    <row r="321" spans="1:22" ht="27" customHeight="1" x14ac:dyDescent="0.3">
      <c r="A321" s="2">
        <v>320</v>
      </c>
      <c r="B321" s="2" t="s">
        <v>5</v>
      </c>
      <c r="C321" s="4">
        <v>45882</v>
      </c>
      <c r="D321" s="4" t="str">
        <f>TEXT(Tabla2[[#This Row],[fecha]],"MMMM")</f>
        <v>Agosto</v>
      </c>
      <c r="E321" s="2" t="s">
        <v>377</v>
      </c>
      <c r="F321" s="2" t="s">
        <v>55</v>
      </c>
      <c r="G321" s="2" t="s">
        <v>38</v>
      </c>
      <c r="H321" s="2" t="s">
        <v>60</v>
      </c>
      <c r="I321" s="2" t="s">
        <v>88</v>
      </c>
      <c r="J321" s="2"/>
      <c r="K321" s="2"/>
      <c r="L321" s="2">
        <v>3723</v>
      </c>
      <c r="M321" s="4">
        <v>45887</v>
      </c>
      <c r="N321" s="5">
        <v>5</v>
      </c>
      <c r="O321" s="5">
        <v>5</v>
      </c>
      <c r="P321" s="5" t="e">
        <f>IF([1]!Tabla2[[#This Row],[TIEMPO DE ATENCIÓN REALIZADO]]&lt;=[1]!Tabla2[[#This Row],[TIEMPO DE ATENCIÓN ESPERADO]],"Dentro de plazo","Fuera de plazo")</f>
        <v>#REF!</v>
      </c>
      <c r="Q321" s="6">
        <v>400</v>
      </c>
      <c r="R321" s="2" t="s">
        <v>9</v>
      </c>
      <c r="S321" s="2" t="s">
        <v>427</v>
      </c>
      <c r="T321" s="2" t="s">
        <v>40</v>
      </c>
      <c r="U321" s="2" t="s">
        <v>53</v>
      </c>
      <c r="V321" s="2" t="s">
        <v>404</v>
      </c>
    </row>
    <row r="322" spans="1:22" ht="27" customHeight="1" x14ac:dyDescent="0.3">
      <c r="A322" s="2">
        <v>321</v>
      </c>
      <c r="B322" s="2" t="s">
        <v>5</v>
      </c>
      <c r="C322" s="4">
        <v>45882</v>
      </c>
      <c r="D322" s="4" t="str">
        <f>TEXT(Tabla2[[#This Row],[fecha]],"MMMM")</f>
        <v>Agosto</v>
      </c>
      <c r="E322" s="2" t="s">
        <v>377</v>
      </c>
      <c r="F322" s="2" t="s">
        <v>132</v>
      </c>
      <c r="G322" s="2" t="s">
        <v>38</v>
      </c>
      <c r="H322" s="2" t="s">
        <v>60</v>
      </c>
      <c r="I322" s="2" t="s">
        <v>88</v>
      </c>
      <c r="J322" s="2"/>
      <c r="K322" s="2"/>
      <c r="L322" s="2">
        <v>3724</v>
      </c>
      <c r="M322" s="4">
        <v>45887</v>
      </c>
      <c r="N322" s="5">
        <v>5</v>
      </c>
      <c r="O322" s="5">
        <v>5</v>
      </c>
      <c r="P322" s="5" t="e">
        <f>IF([1]!Tabla2[[#This Row],[TIEMPO DE ATENCIÓN REALIZADO]]&lt;=[1]!Tabla2[[#This Row],[TIEMPO DE ATENCIÓN ESPERADO]],"Dentro de plazo","Fuera de plazo")</f>
        <v>#REF!</v>
      </c>
      <c r="Q322" s="6">
        <v>490</v>
      </c>
      <c r="R322" s="2" t="s">
        <v>9</v>
      </c>
      <c r="S322" s="2" t="s">
        <v>424</v>
      </c>
      <c r="T322" s="2" t="s">
        <v>40</v>
      </c>
      <c r="U322" s="2" t="s">
        <v>53</v>
      </c>
      <c r="V322" s="2" t="s">
        <v>403</v>
      </c>
    </row>
    <row r="323" spans="1:22" ht="27" customHeight="1" x14ac:dyDescent="0.3">
      <c r="A323" s="2">
        <v>322</v>
      </c>
      <c r="B323" s="2" t="s">
        <v>5</v>
      </c>
      <c r="C323" s="4">
        <v>45883</v>
      </c>
      <c r="D323" s="4" t="str">
        <f>TEXT(Tabla2[[#This Row],[fecha]],"MMMM")</f>
        <v>Agosto</v>
      </c>
      <c r="E323" s="2" t="s">
        <v>328</v>
      </c>
      <c r="F323" s="2" t="s">
        <v>415</v>
      </c>
      <c r="G323" s="2" t="s">
        <v>44</v>
      </c>
      <c r="H323" s="2" t="s">
        <v>421</v>
      </c>
      <c r="I323" s="2" t="s">
        <v>66</v>
      </c>
      <c r="J323" s="2"/>
      <c r="K323" s="2"/>
      <c r="L323" s="2">
        <v>3725</v>
      </c>
      <c r="M323" s="4">
        <v>45887</v>
      </c>
      <c r="N323" s="5">
        <v>4</v>
      </c>
      <c r="O323" s="5">
        <v>4</v>
      </c>
      <c r="P323" s="5" t="e">
        <f>IF([1]!Tabla2[[#This Row],[TIEMPO DE ATENCIÓN REALIZADO]]&lt;=[1]!Tabla2[[#This Row],[TIEMPO DE ATENCIÓN ESPERADO]],"Dentro de plazo","Fuera de plazo")</f>
        <v>#REF!</v>
      </c>
      <c r="Q323" s="6">
        <v>4492</v>
      </c>
      <c r="R323" s="2" t="s">
        <v>45</v>
      </c>
      <c r="S323" s="2" t="s">
        <v>424</v>
      </c>
      <c r="T323" s="2" t="s">
        <v>46</v>
      </c>
      <c r="U323" s="2" t="s">
        <v>53</v>
      </c>
      <c r="V323" s="2"/>
    </row>
    <row r="324" spans="1:22" ht="27" customHeight="1" x14ac:dyDescent="0.3">
      <c r="A324" s="2">
        <v>323</v>
      </c>
      <c r="B324" s="2" t="s">
        <v>5</v>
      </c>
      <c r="C324" s="4">
        <v>45887</v>
      </c>
      <c r="D324" s="4" t="str">
        <f>TEXT(Tabla2[[#This Row],[fecha]],"MMMM")</f>
        <v>Agosto</v>
      </c>
      <c r="E324" s="2" t="s">
        <v>378</v>
      </c>
      <c r="F324" s="2" t="s">
        <v>416</v>
      </c>
      <c r="G324" s="2" t="s">
        <v>44</v>
      </c>
      <c r="H324" s="2" t="s">
        <v>421</v>
      </c>
      <c r="I324" s="2" t="s">
        <v>80</v>
      </c>
      <c r="J324" s="2"/>
      <c r="K324" s="2"/>
      <c r="L324" s="2">
        <v>3726</v>
      </c>
      <c r="M324" s="4">
        <v>45887</v>
      </c>
      <c r="N324" s="5">
        <v>0</v>
      </c>
      <c r="O324" s="5">
        <v>0</v>
      </c>
      <c r="P324" s="5" t="e">
        <f>IF([1]!Tabla2[[#This Row],[TIEMPO DE ATENCIÓN REALIZADO]]&lt;=[1]!Tabla2[[#This Row],[TIEMPO DE ATENCIÓN ESPERADO]],"Dentro de plazo","Fuera de plazo")</f>
        <v>#REF!</v>
      </c>
      <c r="Q324" s="6">
        <v>790</v>
      </c>
      <c r="R324" s="2" t="s">
        <v>45</v>
      </c>
      <c r="S324" s="2" t="s">
        <v>425</v>
      </c>
      <c r="T324" s="2" t="s">
        <v>40</v>
      </c>
      <c r="U324" s="2" t="s">
        <v>53</v>
      </c>
      <c r="V324" s="2" t="s">
        <v>402</v>
      </c>
    </row>
    <row r="325" spans="1:22" ht="27" customHeight="1" x14ac:dyDescent="0.3">
      <c r="A325" s="2">
        <v>324</v>
      </c>
      <c r="B325" s="2" t="s">
        <v>5</v>
      </c>
      <c r="C325" s="4">
        <v>45884</v>
      </c>
      <c r="D325" s="4" t="str">
        <f>TEXT(Tabla2[[#This Row],[fecha]],"MMMM")</f>
        <v>Agosto</v>
      </c>
      <c r="E325" s="2" t="s">
        <v>224</v>
      </c>
      <c r="F325" s="2" t="s">
        <v>415</v>
      </c>
      <c r="G325" s="2" t="s">
        <v>38</v>
      </c>
      <c r="H325" s="2" t="s">
        <v>421</v>
      </c>
      <c r="I325" s="2" t="s">
        <v>66</v>
      </c>
      <c r="J325" s="2"/>
      <c r="K325" s="2"/>
      <c r="L325" s="2">
        <v>3727</v>
      </c>
      <c r="M325" s="4">
        <v>45887</v>
      </c>
      <c r="N325" s="5">
        <v>1</v>
      </c>
      <c r="O325" s="5">
        <v>1</v>
      </c>
      <c r="P325" s="5" t="e">
        <f>IF([1]!Tabla2[[#This Row],[TIEMPO DE ATENCIÓN REALIZADO]]&lt;=[1]!Tabla2[[#This Row],[TIEMPO DE ATENCIÓN ESPERADO]],"Dentro de plazo","Fuera de plazo")</f>
        <v>#REF!</v>
      </c>
      <c r="Q325" s="6">
        <v>7639</v>
      </c>
      <c r="R325" s="2" t="s">
        <v>45</v>
      </c>
      <c r="S325" s="2" t="s">
        <v>56</v>
      </c>
      <c r="T325" s="2" t="s">
        <v>40</v>
      </c>
      <c r="U325" s="2" t="s">
        <v>41</v>
      </c>
      <c r="V325" s="2"/>
    </row>
    <row r="326" spans="1:22" ht="27" customHeight="1" x14ac:dyDescent="0.3">
      <c r="A326" s="2">
        <v>325</v>
      </c>
      <c r="B326" s="2" t="s">
        <v>5</v>
      </c>
      <c r="C326" s="4">
        <v>45887</v>
      </c>
      <c r="D326" s="4" t="str">
        <f>TEXT(Tabla2[[#This Row],[fecha]],"MMMM")</f>
        <v>Agosto</v>
      </c>
      <c r="E326" s="2" t="s">
        <v>379</v>
      </c>
      <c r="F326" s="2" t="s">
        <v>415</v>
      </c>
      <c r="G326" s="2" t="s">
        <v>38</v>
      </c>
      <c r="H326" s="2" t="s">
        <v>421</v>
      </c>
      <c r="I326" s="2" t="s">
        <v>380</v>
      </c>
      <c r="J326" s="2"/>
      <c r="K326" s="2"/>
      <c r="L326" s="2">
        <v>3728</v>
      </c>
      <c r="M326" s="4">
        <v>45888</v>
      </c>
      <c r="N326" s="5">
        <v>1</v>
      </c>
      <c r="O326" s="5">
        <v>1</v>
      </c>
      <c r="P326" s="5" t="e">
        <f>IF([1]!Tabla2[[#This Row],[TIEMPO DE ATENCIÓN REALIZADO]]&lt;=[1]!Tabla2[[#This Row],[TIEMPO DE ATENCIÓN ESPERADO]],"Dentro de plazo","Fuera de plazo")</f>
        <v>#REF!</v>
      </c>
      <c r="Q326" s="6">
        <v>761.5</v>
      </c>
      <c r="R326" s="2" t="s">
        <v>45</v>
      </c>
      <c r="S326" s="2" t="s">
        <v>425</v>
      </c>
      <c r="T326" s="2" t="s">
        <v>40</v>
      </c>
      <c r="U326" s="2" t="s">
        <v>41</v>
      </c>
      <c r="V326" s="2"/>
    </row>
    <row r="327" spans="1:22" ht="27" customHeight="1" x14ac:dyDescent="0.3">
      <c r="A327" s="2">
        <v>326</v>
      </c>
      <c r="B327" s="2" t="s">
        <v>5</v>
      </c>
      <c r="C327" s="4">
        <v>45883</v>
      </c>
      <c r="D327" s="4" t="str">
        <f>TEXT(Tabla2[[#This Row],[fecha]],"MMMM")</f>
        <v>Agosto</v>
      </c>
      <c r="E327" s="2" t="s">
        <v>381</v>
      </c>
      <c r="F327" s="2" t="s">
        <v>55</v>
      </c>
      <c r="G327" s="2" t="s">
        <v>58</v>
      </c>
      <c r="H327" s="2" t="s">
        <v>421</v>
      </c>
      <c r="I327" s="2" t="s">
        <v>39</v>
      </c>
      <c r="J327" s="2"/>
      <c r="K327" s="2"/>
      <c r="L327" s="2">
        <v>3729</v>
      </c>
      <c r="M327" s="4">
        <v>45888</v>
      </c>
      <c r="N327" s="5">
        <v>5</v>
      </c>
      <c r="O327" s="5">
        <v>5</v>
      </c>
      <c r="P327" s="5" t="e">
        <f>IF([1]!Tabla2[[#This Row],[TIEMPO DE ATENCIÓN REALIZADO]]&lt;=[1]!Tabla2[[#This Row],[TIEMPO DE ATENCIÓN ESPERADO]],"Dentro de plazo","Fuera de plazo")</f>
        <v>#REF!</v>
      </c>
      <c r="Q327" s="6">
        <v>1435</v>
      </c>
      <c r="R327" s="2" t="s">
        <v>45</v>
      </c>
      <c r="S327" s="2" t="s">
        <v>425</v>
      </c>
      <c r="T327" s="2" t="s">
        <v>40</v>
      </c>
      <c r="U327" s="2" t="s">
        <v>53</v>
      </c>
      <c r="V327" s="2"/>
    </row>
    <row r="328" spans="1:22" ht="27" customHeight="1" x14ac:dyDescent="0.3">
      <c r="A328" s="2">
        <v>327</v>
      </c>
      <c r="B328" s="2" t="s">
        <v>5</v>
      </c>
      <c r="C328" s="4">
        <v>45890</v>
      </c>
      <c r="D328" s="4" t="str">
        <f>TEXT(Tabla2[[#This Row],[fecha]],"MMMM")</f>
        <v>Agosto</v>
      </c>
      <c r="E328" s="2" t="s">
        <v>382</v>
      </c>
      <c r="F328" s="2" t="s">
        <v>415</v>
      </c>
      <c r="G328" s="2" t="s">
        <v>38</v>
      </c>
      <c r="H328" s="2" t="s">
        <v>60</v>
      </c>
      <c r="I328" s="2" t="s">
        <v>39</v>
      </c>
      <c r="J328" s="2"/>
      <c r="K328" s="2"/>
      <c r="L328" s="2">
        <v>3730</v>
      </c>
      <c r="M328" s="4">
        <v>45890</v>
      </c>
      <c r="N328" s="5">
        <v>0</v>
      </c>
      <c r="O328" s="5">
        <v>0</v>
      </c>
      <c r="P328" s="5" t="e">
        <f>IF([1]!Tabla2[[#This Row],[TIEMPO DE ATENCIÓN REALIZADO]]&lt;=[1]!Tabla2[[#This Row],[TIEMPO DE ATENCIÓN ESPERADO]],"Dentro de plazo","Fuera de plazo")</f>
        <v>#REF!</v>
      </c>
      <c r="Q328" s="6">
        <v>1243</v>
      </c>
      <c r="R328" s="2" t="s">
        <v>45</v>
      </c>
      <c r="S328" s="2" t="s">
        <v>424</v>
      </c>
      <c r="T328" s="2" t="s">
        <v>46</v>
      </c>
      <c r="U328" s="2" t="s">
        <v>41</v>
      </c>
      <c r="V328" s="2"/>
    </row>
    <row r="329" spans="1:22" ht="27" customHeight="1" x14ac:dyDescent="0.3">
      <c r="A329" s="2">
        <v>328</v>
      </c>
      <c r="B329" s="2" t="s">
        <v>5</v>
      </c>
      <c r="C329" s="4">
        <v>45894</v>
      </c>
      <c r="D329" s="4" t="str">
        <f>TEXT(Tabla2[[#This Row],[fecha]],"MMMM")</f>
        <v>Agosto</v>
      </c>
      <c r="E329" s="2" t="s">
        <v>383</v>
      </c>
      <c r="F329" s="2" t="s">
        <v>415</v>
      </c>
      <c r="G329" s="2" t="s">
        <v>44</v>
      </c>
      <c r="H329" s="2" t="s">
        <v>421</v>
      </c>
      <c r="I329" s="2" t="s">
        <v>384</v>
      </c>
      <c r="J329" s="2"/>
      <c r="K329" s="2"/>
      <c r="L329" s="2">
        <v>3731</v>
      </c>
      <c r="M329" s="4">
        <v>45895</v>
      </c>
      <c r="N329" s="5">
        <v>1</v>
      </c>
      <c r="O329" s="5">
        <v>1</v>
      </c>
      <c r="P329" s="5" t="e">
        <f>IF([1]!Tabla2[[#This Row],[TIEMPO DE ATENCIÓN REALIZADO]]&lt;=[1]!Tabla2[[#This Row],[TIEMPO DE ATENCIÓN ESPERADO]],"Dentro de plazo","Fuera de plazo")</f>
        <v>#REF!</v>
      </c>
      <c r="Q329" s="6">
        <v>2558.87</v>
      </c>
      <c r="R329" s="2" t="s">
        <v>45</v>
      </c>
      <c r="S329" s="2" t="s">
        <v>56</v>
      </c>
      <c r="T329" s="2" t="s">
        <v>40</v>
      </c>
      <c r="U329" s="2" t="s">
        <v>53</v>
      </c>
      <c r="V329" s="2" t="s">
        <v>399</v>
      </c>
    </row>
    <row r="330" spans="1:22" ht="27" customHeight="1" x14ac:dyDescent="0.3">
      <c r="A330" s="2">
        <v>329</v>
      </c>
      <c r="B330" s="2" t="s">
        <v>5</v>
      </c>
      <c r="C330" s="4">
        <v>45895</v>
      </c>
      <c r="D330" s="4" t="str">
        <f>TEXT(Tabla2[[#This Row],[fecha]],"MMMM")</f>
        <v>Agosto</v>
      </c>
      <c r="E330" s="2" t="s">
        <v>377</v>
      </c>
      <c r="F330" s="2" t="s">
        <v>55</v>
      </c>
      <c r="G330" s="2" t="s">
        <v>38</v>
      </c>
      <c r="H330" s="2" t="s">
        <v>60</v>
      </c>
      <c r="I330" s="2" t="s">
        <v>88</v>
      </c>
      <c r="J330" s="2"/>
      <c r="K330" s="2"/>
      <c r="L330" s="2">
        <v>3732</v>
      </c>
      <c r="M330" s="4">
        <v>45895</v>
      </c>
      <c r="N330" s="5">
        <v>0</v>
      </c>
      <c r="O330" s="5">
        <v>0</v>
      </c>
      <c r="P330" s="5" t="e">
        <f>IF([1]!Tabla2[[#This Row],[TIEMPO DE ATENCIÓN REALIZADO]]&lt;=[1]!Tabla2[[#This Row],[TIEMPO DE ATENCIÓN ESPERADO]],"Dentro de plazo","Fuera de plazo")</f>
        <v>#REF!</v>
      </c>
      <c r="Q330" s="6">
        <v>450</v>
      </c>
      <c r="R330" s="2" t="s">
        <v>45</v>
      </c>
      <c r="S330" s="2" t="s">
        <v>56</v>
      </c>
      <c r="T330" s="2" t="s">
        <v>40</v>
      </c>
      <c r="U330" s="2" t="s">
        <v>53</v>
      </c>
      <c r="V330" s="2" t="s">
        <v>400</v>
      </c>
    </row>
    <row r="331" spans="1:22" ht="27" customHeight="1" x14ac:dyDescent="0.3">
      <c r="A331" s="2">
        <v>330</v>
      </c>
      <c r="B331" s="2" t="s">
        <v>5</v>
      </c>
      <c r="C331" s="4">
        <v>45895</v>
      </c>
      <c r="D331" s="4" t="str">
        <f>TEXT(Tabla2[[#This Row],[fecha]],"MMMM")</f>
        <v>Agosto</v>
      </c>
      <c r="E331" s="2" t="s">
        <v>377</v>
      </c>
      <c r="F331" s="2" t="s">
        <v>414</v>
      </c>
      <c r="G331" s="2" t="s">
        <v>38</v>
      </c>
      <c r="H331" s="2" t="s">
        <v>60</v>
      </c>
      <c r="I331" s="2" t="s">
        <v>88</v>
      </c>
      <c r="J331" s="2"/>
      <c r="K331" s="2"/>
      <c r="L331" s="2">
        <v>3733</v>
      </c>
      <c r="M331" s="4">
        <v>45895</v>
      </c>
      <c r="N331" s="5">
        <v>0</v>
      </c>
      <c r="O331" s="5">
        <v>0</v>
      </c>
      <c r="P331" s="5" t="e">
        <f>IF([1]!Tabla2[[#This Row],[TIEMPO DE ATENCIÓN REALIZADO]]&lt;=[1]!Tabla2[[#This Row],[TIEMPO DE ATENCIÓN ESPERADO]],"Dentro de plazo","Fuera de plazo")</f>
        <v>#REF!</v>
      </c>
      <c r="Q331" s="6">
        <v>884.32</v>
      </c>
      <c r="R331" s="2" t="s">
        <v>45</v>
      </c>
      <c r="S331" s="2" t="s">
        <v>425</v>
      </c>
      <c r="T331" s="2" t="s">
        <v>40</v>
      </c>
      <c r="U331" s="2" t="s">
        <v>53</v>
      </c>
      <c r="V331" s="2" t="s">
        <v>401</v>
      </c>
    </row>
    <row r="332" spans="1:22" ht="27" customHeight="1" x14ac:dyDescent="0.3">
      <c r="A332" s="2">
        <v>331</v>
      </c>
      <c r="B332" s="2" t="s">
        <v>5</v>
      </c>
      <c r="C332" s="4">
        <v>45895</v>
      </c>
      <c r="D332" s="4" t="str">
        <f>TEXT(Tabla2[[#This Row],[fecha]],"MMMM")</f>
        <v>Agosto</v>
      </c>
      <c r="E332" s="2" t="s">
        <v>385</v>
      </c>
      <c r="F332" s="2" t="s">
        <v>414</v>
      </c>
      <c r="G332" s="2" t="s">
        <v>305</v>
      </c>
      <c r="H332" s="2" t="s">
        <v>60</v>
      </c>
      <c r="I332" s="2" t="s">
        <v>217</v>
      </c>
      <c r="J332" s="2"/>
      <c r="K332" s="2"/>
      <c r="L332" s="2">
        <v>3734</v>
      </c>
      <c r="M332" s="4">
        <v>45895</v>
      </c>
      <c r="N332" s="5">
        <v>0</v>
      </c>
      <c r="O332" s="5">
        <v>0</v>
      </c>
      <c r="P332" s="5" t="e">
        <f>IF([1]!Tabla2[[#This Row],[TIEMPO DE ATENCIÓN REALIZADO]]&lt;=[1]!Tabla2[[#This Row],[TIEMPO DE ATENCIÓN ESPERADO]],"Dentro de plazo","Fuera de plazo")</f>
        <v>#REF!</v>
      </c>
      <c r="Q332" s="6">
        <v>814.67</v>
      </c>
      <c r="R332" s="2" t="s">
        <v>45</v>
      </c>
      <c r="S332" s="2" t="s">
        <v>56</v>
      </c>
      <c r="T332" s="2" t="s">
        <v>40</v>
      </c>
      <c r="U332" s="2" t="s">
        <v>53</v>
      </c>
      <c r="V332" s="2" t="s">
        <v>399</v>
      </c>
    </row>
    <row r="333" spans="1:22" ht="27" customHeight="1" x14ac:dyDescent="0.3">
      <c r="A333" s="2">
        <v>332</v>
      </c>
      <c r="B333" s="2" t="s">
        <v>5</v>
      </c>
      <c r="C333" s="4">
        <v>45895</v>
      </c>
      <c r="D333" s="4" t="str">
        <f>TEXT(Tabla2[[#This Row],[fecha]],"MMMM")</f>
        <v>Agosto</v>
      </c>
      <c r="E333" s="2" t="s">
        <v>386</v>
      </c>
      <c r="F333" s="2" t="s">
        <v>415</v>
      </c>
      <c r="G333" s="2" t="s">
        <v>44</v>
      </c>
      <c r="H333" s="2" t="s">
        <v>421</v>
      </c>
      <c r="I333" s="2" t="s">
        <v>321</v>
      </c>
      <c r="J333" s="2"/>
      <c r="K333" s="2"/>
      <c r="L333" s="2">
        <v>3735</v>
      </c>
      <c r="M333" s="4">
        <v>45895</v>
      </c>
      <c r="N333" s="5">
        <v>0</v>
      </c>
      <c r="O333" s="5">
        <v>0</v>
      </c>
      <c r="P333" s="5" t="e">
        <f>IF([1]!Tabla2[[#This Row],[TIEMPO DE ATENCIÓN REALIZADO]]&lt;=[1]!Tabla2[[#This Row],[TIEMPO DE ATENCIÓN ESPERADO]],"Dentro de plazo","Fuera de plazo")</f>
        <v>#REF!</v>
      </c>
      <c r="Q333" s="6">
        <v>963</v>
      </c>
      <c r="R333" s="2" t="s">
        <v>45</v>
      </c>
      <c r="S333" s="2" t="s">
        <v>424</v>
      </c>
      <c r="T333" s="2" t="s">
        <v>46</v>
      </c>
      <c r="U333" s="2" t="s">
        <v>53</v>
      </c>
      <c r="V333" s="2" t="s">
        <v>395</v>
      </c>
    </row>
    <row r="334" spans="1:22" ht="27" customHeight="1" x14ac:dyDescent="0.3">
      <c r="A334" s="2">
        <v>333</v>
      </c>
      <c r="B334" s="2" t="s">
        <v>1</v>
      </c>
      <c r="C334" s="4">
        <v>45894</v>
      </c>
      <c r="D334" s="4" t="str">
        <f>TEXT(Tabla2[[#This Row],[fecha]],"MMMM")</f>
        <v>Agosto</v>
      </c>
      <c r="E334" s="2" t="s">
        <v>370</v>
      </c>
      <c r="F334" s="2" t="s">
        <v>55</v>
      </c>
      <c r="G334" s="2" t="s">
        <v>38</v>
      </c>
      <c r="H334" s="2" t="s">
        <v>60</v>
      </c>
      <c r="I334" s="2" t="s">
        <v>292</v>
      </c>
      <c r="J334" s="2"/>
      <c r="K334" s="2"/>
      <c r="L334" s="2">
        <v>3736</v>
      </c>
      <c r="M334" s="4">
        <v>45895</v>
      </c>
      <c r="N334" s="5">
        <v>1</v>
      </c>
      <c r="O334" s="5">
        <v>1</v>
      </c>
      <c r="P334" s="5" t="e">
        <f>IF([1]!Tabla2[[#This Row],[TIEMPO DE ATENCIÓN REALIZADO]]&lt;=[1]!Tabla2[[#This Row],[TIEMPO DE ATENCIÓN ESPERADO]],"Dentro de plazo","Fuera de plazo")</f>
        <v>#REF!</v>
      </c>
      <c r="Q334" s="6">
        <v>150</v>
      </c>
      <c r="R334" s="2" t="s">
        <v>16</v>
      </c>
      <c r="S334" s="2" t="s">
        <v>425</v>
      </c>
      <c r="T334" s="2" t="s">
        <v>40</v>
      </c>
      <c r="U334" s="2" t="s">
        <v>41</v>
      </c>
      <c r="V334" s="2"/>
    </row>
    <row r="335" spans="1:22" ht="27" customHeight="1" x14ac:dyDescent="0.3">
      <c r="A335" s="2">
        <v>334</v>
      </c>
      <c r="B335" s="2" t="s">
        <v>5</v>
      </c>
      <c r="C335" s="4">
        <v>45896</v>
      </c>
      <c r="D335" s="4" t="str">
        <f>TEXT(Tabla2[[#This Row],[fecha]],"MMMM")</f>
        <v>Agosto</v>
      </c>
      <c r="E335" s="2" t="s">
        <v>387</v>
      </c>
      <c r="F335" s="2" t="s">
        <v>415</v>
      </c>
      <c r="G335" s="2" t="s">
        <v>58</v>
      </c>
      <c r="H335" s="2" t="s">
        <v>421</v>
      </c>
      <c r="I335" s="2" t="s">
        <v>39</v>
      </c>
      <c r="J335" s="2"/>
      <c r="K335" s="2"/>
      <c r="L335" s="2">
        <v>3737</v>
      </c>
      <c r="M335" s="4">
        <v>45896</v>
      </c>
      <c r="N335" s="5">
        <v>0</v>
      </c>
      <c r="O335" s="5">
        <v>0</v>
      </c>
      <c r="P335" s="5" t="e">
        <f>IF([1]!Tabla2[[#This Row],[TIEMPO DE ATENCIÓN REALIZADO]]&lt;=[1]!Tabla2[[#This Row],[TIEMPO DE ATENCIÓN ESPERADO]],"Dentro de plazo","Fuera de plazo")</f>
        <v>#REF!</v>
      </c>
      <c r="Q335" s="6">
        <v>657</v>
      </c>
      <c r="R335" s="2" t="s">
        <v>4</v>
      </c>
      <c r="S335" s="2" t="s">
        <v>425</v>
      </c>
      <c r="T335" s="2" t="s">
        <v>40</v>
      </c>
      <c r="U335" s="2" t="s">
        <v>53</v>
      </c>
      <c r="V335" s="2" t="s">
        <v>396</v>
      </c>
    </row>
    <row r="336" spans="1:22" ht="27" customHeight="1" x14ac:dyDescent="0.3">
      <c r="A336" s="2">
        <v>335</v>
      </c>
      <c r="B336" s="2" t="s">
        <v>5</v>
      </c>
      <c r="C336" s="4">
        <v>45897</v>
      </c>
      <c r="D336" s="4" t="str">
        <f>TEXT(Tabla2[[#This Row],[fecha]],"MMMM")</f>
        <v>Agosto</v>
      </c>
      <c r="E336" s="2" t="s">
        <v>388</v>
      </c>
      <c r="F336" s="2" t="s">
        <v>415</v>
      </c>
      <c r="G336" s="2" t="s">
        <v>38</v>
      </c>
      <c r="H336" s="2" t="s">
        <v>421</v>
      </c>
      <c r="I336" s="2" t="s">
        <v>39</v>
      </c>
      <c r="J336" s="2"/>
      <c r="K336" s="2"/>
      <c r="L336" s="2">
        <v>3738</v>
      </c>
      <c r="M336" s="4">
        <v>45897</v>
      </c>
      <c r="N336" s="5">
        <v>0</v>
      </c>
      <c r="O336" s="5">
        <v>0</v>
      </c>
      <c r="P336" s="5" t="e">
        <f>IF([1]!Tabla2[[#This Row],[TIEMPO DE ATENCIÓN REALIZADO]]&lt;=[1]!Tabla2[[#This Row],[TIEMPO DE ATENCIÓN ESPERADO]],"Dentro de plazo","Fuera de plazo")</f>
        <v>#REF!</v>
      </c>
      <c r="Q336" s="6">
        <v>11032.96</v>
      </c>
      <c r="R336" s="2" t="s">
        <v>45</v>
      </c>
      <c r="S336" s="2" t="s">
        <v>425</v>
      </c>
      <c r="T336" s="2" t="s">
        <v>40</v>
      </c>
      <c r="U336" s="2" t="s">
        <v>41</v>
      </c>
      <c r="V336" s="2"/>
    </row>
    <row r="337" spans="1:22" ht="27" customHeight="1" x14ac:dyDescent="0.3">
      <c r="A337" s="2">
        <v>336</v>
      </c>
      <c r="B337" s="2" t="s">
        <v>1</v>
      </c>
      <c r="C337" s="4">
        <v>45896</v>
      </c>
      <c r="D337" s="4" t="str">
        <f>TEXT(Tabla2[[#This Row],[fecha]],"MMMM")</f>
        <v>Agosto</v>
      </c>
      <c r="E337" s="2" t="s">
        <v>255</v>
      </c>
      <c r="F337" s="2" t="s">
        <v>415</v>
      </c>
      <c r="G337" s="2" t="s">
        <v>38</v>
      </c>
      <c r="H337" s="2" t="s">
        <v>421</v>
      </c>
      <c r="I337" s="2" t="s">
        <v>39</v>
      </c>
      <c r="J337" s="2"/>
      <c r="K337" s="2"/>
      <c r="L337" s="2">
        <v>3739</v>
      </c>
      <c r="M337" s="4">
        <v>45897</v>
      </c>
      <c r="N337" s="5">
        <v>1</v>
      </c>
      <c r="O337" s="5">
        <v>1</v>
      </c>
      <c r="P337" s="5" t="e">
        <f>IF([1]!Tabla2[[#This Row],[TIEMPO DE ATENCIÓN REALIZADO]]&lt;=[1]!Tabla2[[#This Row],[TIEMPO DE ATENCIÓN ESPERADO]],"Dentro de plazo","Fuera de plazo")</f>
        <v>#REF!</v>
      </c>
      <c r="Q337" s="6">
        <v>8000</v>
      </c>
      <c r="R337" s="2" t="s">
        <v>9</v>
      </c>
      <c r="S337" s="2" t="s">
        <v>56</v>
      </c>
      <c r="T337" s="2" t="s">
        <v>40</v>
      </c>
      <c r="U337" s="2" t="s">
        <v>53</v>
      </c>
      <c r="V337" s="2"/>
    </row>
    <row r="338" spans="1:22" ht="27" customHeight="1" x14ac:dyDescent="0.3">
      <c r="A338" s="2">
        <v>337</v>
      </c>
      <c r="B338" s="2" t="s">
        <v>1</v>
      </c>
      <c r="C338" s="4">
        <v>45897</v>
      </c>
      <c r="D338" s="4" t="str">
        <f>TEXT(Tabla2[[#This Row],[fecha]],"MMMM")</f>
        <v>Agosto</v>
      </c>
      <c r="E338" s="2" t="s">
        <v>389</v>
      </c>
      <c r="F338" s="2" t="s">
        <v>415</v>
      </c>
      <c r="G338" s="2" t="s">
        <v>58</v>
      </c>
      <c r="H338" s="2" t="s">
        <v>60</v>
      </c>
      <c r="I338" s="2" t="s">
        <v>39</v>
      </c>
      <c r="J338" s="2"/>
      <c r="K338" s="2"/>
      <c r="L338" s="2">
        <v>3740</v>
      </c>
      <c r="M338" s="4">
        <v>45897</v>
      </c>
      <c r="N338" s="5">
        <v>0</v>
      </c>
      <c r="O338" s="5">
        <v>0</v>
      </c>
      <c r="P338" s="5" t="e">
        <f>IF([1]!Tabla2[[#This Row],[TIEMPO DE ATENCIÓN REALIZADO]]&lt;=[1]!Tabla2[[#This Row],[TIEMPO DE ATENCIÓN ESPERADO]],"Dentro de plazo","Fuera de plazo")</f>
        <v>#REF!</v>
      </c>
      <c r="Q338" s="6">
        <v>10000</v>
      </c>
      <c r="R338" s="2" t="s">
        <v>4</v>
      </c>
      <c r="S338" s="2" t="s">
        <v>56</v>
      </c>
      <c r="T338" s="2" t="s">
        <v>40</v>
      </c>
      <c r="U338" s="2" t="s">
        <v>53</v>
      </c>
      <c r="V338" s="2"/>
    </row>
    <row r="339" spans="1:22" ht="27" customHeight="1" x14ac:dyDescent="0.3">
      <c r="A339" s="2">
        <v>338</v>
      </c>
      <c r="B339" s="2" t="s">
        <v>5</v>
      </c>
      <c r="C339" s="4">
        <v>45897</v>
      </c>
      <c r="D339" s="4" t="str">
        <f>TEXT(Tabla2[[#This Row],[fecha]],"MMMM")</f>
        <v>Agosto</v>
      </c>
      <c r="E339" s="2" t="s">
        <v>390</v>
      </c>
      <c r="F339" s="2" t="s">
        <v>415</v>
      </c>
      <c r="G339" s="2" t="s">
        <v>38</v>
      </c>
      <c r="H339" s="2" t="s">
        <v>421</v>
      </c>
      <c r="I339" s="2" t="s">
        <v>429</v>
      </c>
      <c r="J339" s="2"/>
      <c r="K339" s="2"/>
      <c r="L339" s="2">
        <v>3741</v>
      </c>
      <c r="M339" s="4">
        <v>45897</v>
      </c>
      <c r="N339" s="5">
        <v>0</v>
      </c>
      <c r="O339" s="5">
        <v>0</v>
      </c>
      <c r="P339" s="5" t="e">
        <f>IF([1]!Tabla2[[#This Row],[TIEMPO DE ATENCIÓN REALIZADO]]&lt;=[1]!Tabla2[[#This Row],[TIEMPO DE ATENCIÓN ESPERADO]],"Dentro de plazo","Fuera de plazo")</f>
        <v>#REF!</v>
      </c>
      <c r="Q339" s="6">
        <v>2408</v>
      </c>
      <c r="R339" s="2" t="s">
        <v>45</v>
      </c>
      <c r="S339" s="2" t="s">
        <v>56</v>
      </c>
      <c r="T339" s="2" t="s">
        <v>40</v>
      </c>
      <c r="U339" s="2" t="s">
        <v>41</v>
      </c>
      <c r="V339" s="2"/>
    </row>
    <row r="340" spans="1:22" ht="27" customHeight="1" x14ac:dyDescent="0.3">
      <c r="A340" s="2">
        <v>339</v>
      </c>
      <c r="B340" s="2" t="s">
        <v>5</v>
      </c>
      <c r="C340" s="4">
        <v>45896</v>
      </c>
      <c r="D340" s="4" t="str">
        <f>TEXT(Tabla2[[#This Row],[fecha]],"MMMM")</f>
        <v>Agosto</v>
      </c>
      <c r="E340" s="2" t="s">
        <v>181</v>
      </c>
      <c r="F340" s="2" t="s">
        <v>132</v>
      </c>
      <c r="G340" s="2" t="s">
        <v>38</v>
      </c>
      <c r="H340" s="2" t="s">
        <v>421</v>
      </c>
      <c r="I340" s="2" t="s">
        <v>292</v>
      </c>
      <c r="J340" s="2"/>
      <c r="K340" s="2"/>
      <c r="L340" s="2">
        <v>3742</v>
      </c>
      <c r="M340" s="4">
        <v>45897</v>
      </c>
      <c r="N340" s="5">
        <v>1</v>
      </c>
      <c r="O340" s="5">
        <v>1</v>
      </c>
      <c r="P340" s="5" t="e">
        <f>IF([1]!Tabla2[[#This Row],[TIEMPO DE ATENCIÓN REALIZADO]]&lt;=[1]!Tabla2[[#This Row],[TIEMPO DE ATENCIÓN ESPERADO]],"Dentro de plazo","Fuera de plazo")</f>
        <v>#REF!</v>
      </c>
      <c r="Q340" s="6">
        <v>11551.5</v>
      </c>
      <c r="R340" s="2" t="s">
        <v>45</v>
      </c>
      <c r="S340" s="2" t="s">
        <v>56</v>
      </c>
      <c r="T340" s="2" t="s">
        <v>40</v>
      </c>
      <c r="U340" s="2" t="s">
        <v>41</v>
      </c>
      <c r="V340" s="2" t="s">
        <v>394</v>
      </c>
    </row>
    <row r="341" spans="1:22" ht="27" customHeight="1" x14ac:dyDescent="0.3">
      <c r="A341" s="2">
        <v>340</v>
      </c>
      <c r="B341" s="2" t="s">
        <v>5</v>
      </c>
      <c r="C341" s="4">
        <v>45896</v>
      </c>
      <c r="D341" s="4" t="str">
        <f>TEXT(Tabla2[[#This Row],[fecha]],"MMMM")</f>
        <v>Agosto</v>
      </c>
      <c r="E341" s="2" t="s">
        <v>181</v>
      </c>
      <c r="F341" s="2" t="s">
        <v>132</v>
      </c>
      <c r="G341" s="2" t="s">
        <v>38</v>
      </c>
      <c r="H341" s="2" t="s">
        <v>421</v>
      </c>
      <c r="I341" s="2" t="s">
        <v>292</v>
      </c>
      <c r="J341" s="2"/>
      <c r="K341" s="2"/>
      <c r="L341" s="2">
        <v>3743</v>
      </c>
      <c r="M341" s="4">
        <v>45898</v>
      </c>
      <c r="N341" s="5">
        <v>2</v>
      </c>
      <c r="O341" s="5">
        <v>2</v>
      </c>
      <c r="P341" s="5" t="e">
        <f>IF([1]!Tabla2[[#This Row],[TIEMPO DE ATENCIÓN REALIZADO]]&lt;=[1]!Tabla2[[#This Row],[TIEMPO DE ATENCIÓN ESPERADO]],"Dentro de plazo","Fuera de plazo")</f>
        <v>#REF!</v>
      </c>
      <c r="Q341" s="6">
        <v>2061.54</v>
      </c>
      <c r="R341" s="2" t="s">
        <v>45</v>
      </c>
      <c r="S341" s="2" t="s">
        <v>56</v>
      </c>
      <c r="T341" s="2" t="s">
        <v>40</v>
      </c>
      <c r="U341" s="2" t="s">
        <v>41</v>
      </c>
      <c r="V341" s="2" t="s">
        <v>394</v>
      </c>
    </row>
    <row r="342" spans="1:22" ht="27" customHeight="1" x14ac:dyDescent="0.3">
      <c r="A342" s="2">
        <v>341</v>
      </c>
      <c r="B342" s="2" t="s">
        <v>5</v>
      </c>
      <c r="C342" s="4">
        <v>45898</v>
      </c>
      <c r="D342" s="4" t="str">
        <f>TEXT(Tabla2[[#This Row],[fecha]],"MMMM")</f>
        <v>Agosto</v>
      </c>
      <c r="E342" s="2" t="s">
        <v>391</v>
      </c>
      <c r="F342" s="2" t="s">
        <v>415</v>
      </c>
      <c r="G342" s="2" t="s">
        <v>58</v>
      </c>
      <c r="H342" s="2" t="s">
        <v>421</v>
      </c>
      <c r="I342" s="2" t="s">
        <v>418</v>
      </c>
      <c r="J342" s="2"/>
      <c r="K342" s="2"/>
      <c r="L342" s="2">
        <v>3744</v>
      </c>
      <c r="M342" s="4">
        <v>45898</v>
      </c>
      <c r="N342" s="5">
        <v>0</v>
      </c>
      <c r="O342" s="5">
        <v>0</v>
      </c>
      <c r="P342" s="5" t="e">
        <f>IF([1]!Tabla2[[#This Row],[TIEMPO DE ATENCIÓN REALIZADO]]&lt;=[1]!Tabla2[[#This Row],[TIEMPO DE ATENCIÓN ESPERADO]],"Dentro de plazo","Fuera de plazo")</f>
        <v>#REF!</v>
      </c>
      <c r="Q342" s="6">
        <v>1303.08</v>
      </c>
      <c r="R342" s="2" t="s">
        <v>45</v>
      </c>
      <c r="S342" s="2" t="s">
        <v>425</v>
      </c>
      <c r="T342" s="2" t="s">
        <v>40</v>
      </c>
      <c r="U342" s="2" t="s">
        <v>53</v>
      </c>
      <c r="V342" s="2" t="s">
        <v>397</v>
      </c>
    </row>
    <row r="343" spans="1:22" ht="27" customHeight="1" x14ac:dyDescent="0.3">
      <c r="A343" s="2">
        <v>342</v>
      </c>
      <c r="B343" s="2" t="s">
        <v>5</v>
      </c>
      <c r="C343" s="4">
        <v>45897</v>
      </c>
      <c r="D343" s="4" t="str">
        <f>TEXT(Tabla2[[#This Row],[fecha]],"MMMM")</f>
        <v>Agosto</v>
      </c>
      <c r="E343" s="2" t="s">
        <v>392</v>
      </c>
      <c r="F343" s="2" t="s">
        <v>415</v>
      </c>
      <c r="G343" s="2" t="s">
        <v>44</v>
      </c>
      <c r="H343" s="2" t="s">
        <v>421</v>
      </c>
      <c r="I343" s="2" t="s">
        <v>418</v>
      </c>
      <c r="J343" s="2"/>
      <c r="K343" s="2"/>
      <c r="L343" s="2">
        <v>3745</v>
      </c>
      <c r="M343" s="4">
        <v>45898</v>
      </c>
      <c r="N343" s="5">
        <v>1</v>
      </c>
      <c r="O343" s="5">
        <v>1</v>
      </c>
      <c r="P343" s="5" t="e">
        <f>IF([1]!Tabla2[[#This Row],[TIEMPO DE ATENCIÓN REALIZADO]]&lt;=[1]!Tabla2[[#This Row],[TIEMPO DE ATENCIÓN ESPERADO]],"Dentro de plazo","Fuera de plazo")</f>
        <v>#REF!</v>
      </c>
      <c r="Q343" s="6">
        <v>1276.3900000000001</v>
      </c>
      <c r="R343" s="2" t="s">
        <v>45</v>
      </c>
      <c r="S343" s="2" t="s">
        <v>56</v>
      </c>
      <c r="T343" s="2" t="s">
        <v>40</v>
      </c>
      <c r="U343" s="2" t="s">
        <v>53</v>
      </c>
      <c r="V343" s="2" t="s">
        <v>398</v>
      </c>
    </row>
    <row r="344" spans="1:22" ht="27" customHeight="1" x14ac:dyDescent="0.3">
      <c r="A344" s="2">
        <v>343</v>
      </c>
      <c r="B344" s="2" t="s">
        <v>1</v>
      </c>
      <c r="C344" s="4">
        <v>45897</v>
      </c>
      <c r="D344" s="4" t="str">
        <f>TEXT(Tabla2[[#This Row],[fecha]],"MMMM")</f>
        <v>Agosto</v>
      </c>
      <c r="E344" s="2" t="s">
        <v>389</v>
      </c>
      <c r="F344" s="2" t="s">
        <v>414</v>
      </c>
      <c r="G344" s="2" t="s">
        <v>58</v>
      </c>
      <c r="H344" s="2" t="s">
        <v>60</v>
      </c>
      <c r="I344" s="2" t="s">
        <v>39</v>
      </c>
      <c r="J344" s="2"/>
      <c r="K344" s="2"/>
      <c r="L344" s="2">
        <v>3746</v>
      </c>
      <c r="M344" s="4">
        <v>45898</v>
      </c>
      <c r="N344" s="5">
        <v>1</v>
      </c>
      <c r="O344" s="5">
        <v>1</v>
      </c>
      <c r="P344" s="5" t="e">
        <f>IF([1]!Tabla2[[#This Row],[TIEMPO DE ATENCIÓN REALIZADO]]&lt;=[1]!Tabla2[[#This Row],[TIEMPO DE ATENCIÓN ESPERADO]],"Dentro de plazo","Fuera de plazo")</f>
        <v>#REF!</v>
      </c>
      <c r="Q344" s="6">
        <v>2800</v>
      </c>
      <c r="R344" s="2" t="s">
        <v>4</v>
      </c>
      <c r="S344" s="2" t="s">
        <v>56</v>
      </c>
      <c r="T344" s="2" t="s">
        <v>40</v>
      </c>
      <c r="U344" s="2" t="s">
        <v>53</v>
      </c>
      <c r="V344" s="2"/>
    </row>
    <row r="345" spans="1:22" ht="27" customHeight="1" x14ac:dyDescent="0.3">
      <c r="A345" s="2">
        <v>344</v>
      </c>
      <c r="B345" s="2" t="s">
        <v>1</v>
      </c>
      <c r="C345" s="4">
        <v>45897</v>
      </c>
      <c r="D345" s="4" t="str">
        <f>TEXT(Tabla2[[#This Row],[fecha]],"MMMM")</f>
        <v>Agosto</v>
      </c>
      <c r="E345" s="2" t="s">
        <v>389</v>
      </c>
      <c r="F345" s="2" t="s">
        <v>418</v>
      </c>
      <c r="G345" s="2" t="s">
        <v>58</v>
      </c>
      <c r="H345" s="2" t="s">
        <v>60</v>
      </c>
      <c r="I345" s="2" t="s">
        <v>39</v>
      </c>
      <c r="J345" s="2"/>
      <c r="K345" s="2"/>
      <c r="L345" s="2">
        <v>3747</v>
      </c>
      <c r="M345" s="4">
        <v>45898</v>
      </c>
      <c r="N345" s="5">
        <v>1</v>
      </c>
      <c r="O345" s="5">
        <v>1</v>
      </c>
      <c r="P345" s="5" t="e">
        <f>IF([1]!Tabla2[[#This Row],[TIEMPO DE ATENCIÓN REALIZADO]]&lt;=[1]!Tabla2[[#This Row],[TIEMPO DE ATENCIÓN ESPERADO]],"Dentro de plazo","Fuera de plazo")</f>
        <v>#REF!</v>
      </c>
      <c r="Q345" s="6">
        <v>22000</v>
      </c>
      <c r="R345" s="2" t="s">
        <v>2</v>
      </c>
      <c r="S345" s="2" t="s">
        <v>56</v>
      </c>
      <c r="T345" s="2" t="s">
        <v>40</v>
      </c>
      <c r="U345" s="2" t="s">
        <v>53</v>
      </c>
      <c r="V345" s="2"/>
    </row>
    <row r="346" spans="1:22" ht="27" customHeight="1" x14ac:dyDescent="0.3">
      <c r="A346" s="2">
        <v>345</v>
      </c>
      <c r="B346" s="2" t="s">
        <v>5</v>
      </c>
      <c r="C346" s="4">
        <v>45901</v>
      </c>
      <c r="D346" s="4" t="str">
        <f>TEXT(Tabla2[[#This Row],[fecha]],"MMMM")</f>
        <v>Setiembre</v>
      </c>
      <c r="E346" s="2" t="s">
        <v>430</v>
      </c>
      <c r="F346" s="2" t="s">
        <v>55</v>
      </c>
      <c r="G346" s="2" t="s">
        <v>419</v>
      </c>
      <c r="H346" s="2" t="s">
        <v>60</v>
      </c>
      <c r="I346" s="2" t="s">
        <v>39</v>
      </c>
      <c r="J346" s="2">
        <v>3748</v>
      </c>
      <c r="K346" s="2">
        <v>3748</v>
      </c>
      <c r="L346" s="2">
        <v>3748</v>
      </c>
      <c r="M346" s="4">
        <v>45901</v>
      </c>
      <c r="N346" s="5">
        <v>1</v>
      </c>
      <c r="O346" s="5">
        <v>1</v>
      </c>
      <c r="P346" s="5" t="e">
        <f>IF([1]!Tabla2[[#This Row],[TIEMPO DE ATENCIÓN REALIZADO]]&lt;=[1]!Tabla2[[#This Row],[TIEMPO DE ATENCIÓN ESPERADO]],"Dentro de plazo","Fuera de plazo")</f>
        <v>#REF!</v>
      </c>
      <c r="Q346" s="6">
        <v>513.62</v>
      </c>
      <c r="R346" s="2" t="s">
        <v>45</v>
      </c>
      <c r="S346" s="2" t="s">
        <v>426</v>
      </c>
      <c r="T346" s="2" t="s">
        <v>40</v>
      </c>
      <c r="U346" s="2" t="s">
        <v>53</v>
      </c>
      <c r="V346" s="2" t="s">
        <v>493</v>
      </c>
    </row>
    <row r="347" spans="1:22" ht="27" customHeight="1" x14ac:dyDescent="0.3">
      <c r="A347" s="2">
        <v>346</v>
      </c>
      <c r="B347" s="2" t="s">
        <v>5</v>
      </c>
      <c r="C347" s="4">
        <v>45901</v>
      </c>
      <c r="D347" s="4" t="str">
        <f>TEXT(Tabla2[[#This Row],[fecha]],"MMMM")</f>
        <v>Setiembre</v>
      </c>
      <c r="E347" s="2" t="s">
        <v>431</v>
      </c>
      <c r="F347" s="2" t="s">
        <v>55</v>
      </c>
      <c r="G347" s="2" t="s">
        <v>58</v>
      </c>
      <c r="H347" s="2" t="s">
        <v>421</v>
      </c>
      <c r="I347" s="2" t="s">
        <v>68</v>
      </c>
      <c r="J347" s="2">
        <v>3749</v>
      </c>
      <c r="K347" s="2">
        <v>3749</v>
      </c>
      <c r="L347" s="2">
        <v>3749</v>
      </c>
      <c r="M347" s="4">
        <v>45901</v>
      </c>
      <c r="N347" s="5">
        <v>0</v>
      </c>
      <c r="O347" s="5">
        <v>0</v>
      </c>
      <c r="P347" s="5" t="e">
        <f>IF([1]!Tabla2[[#This Row],[TIEMPO DE ATENCIÓN REALIZADO]]&lt;=[1]!Tabla2[[#This Row],[TIEMPO DE ATENCIÓN ESPERADO]],"Dentro de plazo","Fuera de plazo")</f>
        <v>#REF!</v>
      </c>
      <c r="Q347" s="6">
        <v>2184.9699999999998</v>
      </c>
      <c r="R347" s="2" t="s">
        <v>45</v>
      </c>
      <c r="S347" s="2" t="s">
        <v>424</v>
      </c>
      <c r="T347" s="2" t="s">
        <v>40</v>
      </c>
      <c r="U347" s="2" t="s">
        <v>53</v>
      </c>
      <c r="V347" s="2" t="s">
        <v>432</v>
      </c>
    </row>
    <row r="348" spans="1:22" ht="27" customHeight="1" x14ac:dyDescent="0.3">
      <c r="A348" s="2">
        <v>347</v>
      </c>
      <c r="B348" s="2" t="s">
        <v>5</v>
      </c>
      <c r="C348" s="4">
        <v>45897</v>
      </c>
      <c r="D348" s="4" t="str">
        <f>TEXT(Tabla2[[#This Row],[fecha]],"MMMM")</f>
        <v>Agosto</v>
      </c>
      <c r="E348" s="2" t="s">
        <v>433</v>
      </c>
      <c r="F348" s="2" t="s">
        <v>72</v>
      </c>
      <c r="G348" s="2" t="s">
        <v>420</v>
      </c>
      <c r="H348" s="2" t="s">
        <v>60</v>
      </c>
      <c r="I348" s="2" t="s">
        <v>68</v>
      </c>
      <c r="J348" s="2"/>
      <c r="K348" s="2"/>
      <c r="L348" s="2">
        <v>3750</v>
      </c>
      <c r="M348" s="4">
        <v>45901</v>
      </c>
      <c r="N348" s="5">
        <f>+Tabla2[[#This Row],[fecha_pe]]-Tabla2[[#This Row],[fecha]]</f>
        <v>4</v>
      </c>
      <c r="O348" s="5">
        <f>+Tabla2[[#This Row],[fecha_pe]]-Tabla2[[#This Row],[fecha]]</f>
        <v>4</v>
      </c>
      <c r="P348" s="5" t="e">
        <f>IF([1]!Tabla2[[#This Row],[TIEMPO DE ATENCIÓN REALIZADO]]&lt;=[1]!Tabla2[[#This Row],[TIEMPO DE ATENCIÓN ESPERADO]],"Dentro de plazo","Fuera de plazo")</f>
        <v>#REF!</v>
      </c>
      <c r="Q348" s="6">
        <v>3946.55</v>
      </c>
      <c r="R348" s="2" t="s">
        <v>4</v>
      </c>
      <c r="S348" s="2" t="s">
        <v>426</v>
      </c>
      <c r="T348" s="2" t="s">
        <v>40</v>
      </c>
      <c r="U348" s="2" t="s">
        <v>53</v>
      </c>
      <c r="V348" s="2" t="s">
        <v>435</v>
      </c>
    </row>
    <row r="349" spans="1:22" ht="27" customHeight="1" x14ac:dyDescent="0.3">
      <c r="A349" s="2">
        <v>348</v>
      </c>
      <c r="B349" s="2" t="s">
        <v>5</v>
      </c>
      <c r="C349" s="4">
        <v>45902</v>
      </c>
      <c r="D349" s="4" t="str">
        <f>TEXT(Tabla2[[#This Row],[fecha]],"MMMM")</f>
        <v>Setiembre</v>
      </c>
      <c r="E349" s="2" t="s">
        <v>436</v>
      </c>
      <c r="F349" s="2" t="s">
        <v>415</v>
      </c>
      <c r="G349" s="2" t="s">
        <v>420</v>
      </c>
      <c r="H349" s="2" t="s">
        <v>421</v>
      </c>
      <c r="I349" s="2" t="s">
        <v>422</v>
      </c>
      <c r="J349" s="2">
        <v>3751</v>
      </c>
      <c r="K349" s="2">
        <v>3751</v>
      </c>
      <c r="L349" s="2">
        <v>3751</v>
      </c>
      <c r="M349" s="4">
        <v>45902</v>
      </c>
      <c r="N349" s="5">
        <f>+Tabla2[[#This Row],[fecha_pe]]-Tabla2[[#This Row],[fecha]]</f>
        <v>0</v>
      </c>
      <c r="O349" s="5">
        <f>+Tabla2[[#This Row],[fecha_pe]]-Tabla2[[#This Row],[fecha]]</f>
        <v>0</v>
      </c>
      <c r="P349" s="5" t="e">
        <f>IF([1]!Tabla2[[#This Row],[TIEMPO DE ATENCIÓN REALIZADO]]&lt;=[1]!Tabla2[[#This Row],[TIEMPO DE ATENCIÓN ESPERADO]],"Dentro de plazo","Fuera de plazo")</f>
        <v>#REF!</v>
      </c>
      <c r="Q349" s="6">
        <v>8758.7099999999991</v>
      </c>
      <c r="R349" s="2" t="s">
        <v>9</v>
      </c>
      <c r="S349" s="2" t="s">
        <v>426</v>
      </c>
      <c r="T349" s="2" t="s">
        <v>40</v>
      </c>
      <c r="U349" s="2" t="s">
        <v>53</v>
      </c>
      <c r="V349" s="2"/>
    </row>
    <row r="350" spans="1:22" ht="27" customHeight="1" x14ac:dyDescent="0.3">
      <c r="A350" s="2">
        <v>349</v>
      </c>
      <c r="B350" s="2" t="s">
        <v>5</v>
      </c>
      <c r="C350" s="4">
        <v>45902</v>
      </c>
      <c r="D350" s="4" t="str">
        <f>TEXT(Tabla2[[#This Row],[fecha]],"MMMM")</f>
        <v>Setiembre</v>
      </c>
      <c r="E350" s="2" t="s">
        <v>436</v>
      </c>
      <c r="F350" s="2" t="s">
        <v>55</v>
      </c>
      <c r="G350" s="2" t="s">
        <v>420</v>
      </c>
      <c r="H350" s="2" t="s">
        <v>421</v>
      </c>
      <c r="I350" s="2" t="s">
        <v>422</v>
      </c>
      <c r="J350" s="2">
        <v>3752</v>
      </c>
      <c r="K350" s="2">
        <v>3752</v>
      </c>
      <c r="L350" s="2">
        <v>3752</v>
      </c>
      <c r="M350" s="4">
        <v>45902</v>
      </c>
      <c r="N350" s="5">
        <f>+Tabla2[[#This Row],[fecha_pe]]-Tabla2[[#This Row],[fecha]]</f>
        <v>0</v>
      </c>
      <c r="O350" s="5">
        <f>+Tabla2[[#This Row],[fecha_pe]]-Tabla2[[#This Row],[fecha]]</f>
        <v>0</v>
      </c>
      <c r="P350" s="5" t="e">
        <f>IF([1]!Tabla2[[#This Row],[TIEMPO DE ATENCIÓN REALIZADO]]&lt;=[1]!Tabla2[[#This Row],[TIEMPO DE ATENCIÓN ESPERADO]],"Dentro de plazo","Fuera de plazo")</f>
        <v>#REF!</v>
      </c>
      <c r="Q350" s="6">
        <v>200</v>
      </c>
      <c r="R350" s="2" t="s">
        <v>9</v>
      </c>
      <c r="S350" s="2" t="s">
        <v>56</v>
      </c>
      <c r="T350" s="2" t="s">
        <v>40</v>
      </c>
      <c r="U350" s="2" t="s">
        <v>53</v>
      </c>
      <c r="V350" s="2"/>
    </row>
    <row r="351" spans="1:22" ht="27" customHeight="1" x14ac:dyDescent="0.3">
      <c r="A351" s="2">
        <v>350</v>
      </c>
      <c r="B351" s="2" t="s">
        <v>1</v>
      </c>
      <c r="C351" s="4">
        <v>45904</v>
      </c>
      <c r="D351" s="4" t="str">
        <f>TEXT(Tabla2[[#This Row],[fecha]],"MMMM")</f>
        <v>Setiembre</v>
      </c>
      <c r="E351" s="2" t="s">
        <v>346</v>
      </c>
      <c r="F351" s="2" t="s">
        <v>55</v>
      </c>
      <c r="G351" s="2" t="s">
        <v>38</v>
      </c>
      <c r="H351" s="2" t="s">
        <v>421</v>
      </c>
      <c r="I351" s="2" t="s">
        <v>39</v>
      </c>
      <c r="J351" s="2">
        <v>3735</v>
      </c>
      <c r="K351" s="2">
        <v>3735</v>
      </c>
      <c r="L351" s="2">
        <v>3753</v>
      </c>
      <c r="M351" s="4">
        <v>45904</v>
      </c>
      <c r="N351" s="5">
        <f>+Tabla2[[#This Row],[fecha_pe]]-Tabla2[[#This Row],[fecha]]</f>
        <v>0</v>
      </c>
      <c r="O351" s="5">
        <f>+Tabla2[[#This Row],[fecha_pe]]-Tabla2[[#This Row],[fecha]]</f>
        <v>0</v>
      </c>
      <c r="P351" s="5" t="e">
        <f>IF([1]!Tabla2[[#This Row],[TIEMPO DE ATENCIÓN REALIZADO]]&lt;=[1]!Tabla2[[#This Row],[TIEMPO DE ATENCIÓN ESPERADO]],"Dentro de plazo","Fuera de plazo")</f>
        <v>#REF!</v>
      </c>
      <c r="Q351" s="6">
        <v>91680</v>
      </c>
      <c r="R351" s="2" t="s">
        <v>45</v>
      </c>
      <c r="S351" s="2" t="s">
        <v>425</v>
      </c>
      <c r="T351" s="2" t="s">
        <v>40</v>
      </c>
      <c r="U351" s="2" t="s">
        <v>41</v>
      </c>
      <c r="V351" s="2" t="s">
        <v>438</v>
      </c>
    </row>
    <row r="352" spans="1:22" ht="27" customHeight="1" x14ac:dyDescent="0.3">
      <c r="A352" s="2">
        <v>351</v>
      </c>
      <c r="B352" s="2" t="s">
        <v>5</v>
      </c>
      <c r="C352" s="4">
        <v>45904</v>
      </c>
      <c r="D352" s="4" t="str">
        <f>TEXT(Tabla2[[#This Row],[fecha]],"MMMM")</f>
        <v>Setiembre</v>
      </c>
      <c r="E352" s="2" t="s">
        <v>115</v>
      </c>
      <c r="F352" s="2" t="s">
        <v>55</v>
      </c>
      <c r="G352" s="2" t="s">
        <v>38</v>
      </c>
      <c r="H352" s="2" t="s">
        <v>421</v>
      </c>
      <c r="I352" s="2" t="s">
        <v>39</v>
      </c>
      <c r="J352" s="2">
        <v>3754</v>
      </c>
      <c r="K352" s="2">
        <v>3754</v>
      </c>
      <c r="L352" s="2">
        <v>3754</v>
      </c>
      <c r="M352" s="4">
        <v>45905</v>
      </c>
      <c r="N352" s="5">
        <f>+Tabla2[[#This Row],[fecha_pe]]-Tabla2[[#This Row],[fecha]]</f>
        <v>1</v>
      </c>
      <c r="O352" s="5">
        <f>+Tabla2[[#This Row],[fecha_pe]]-Tabla2[[#This Row],[fecha]]</f>
        <v>1</v>
      </c>
      <c r="P352" s="5" t="e">
        <f>IF([1]!Tabla2[[#This Row],[TIEMPO DE ATENCIÓN REALIZADO]]&lt;=[1]!Tabla2[[#This Row],[TIEMPO DE ATENCIÓN ESPERADO]],"Dentro de plazo","Fuera de plazo")</f>
        <v>#REF!</v>
      </c>
      <c r="Q352" s="6">
        <v>31</v>
      </c>
      <c r="R352" s="2" t="s">
        <v>45</v>
      </c>
      <c r="S352" s="2" t="s">
        <v>424</v>
      </c>
      <c r="T352" s="2" t="s">
        <v>46</v>
      </c>
      <c r="U352" s="2" t="s">
        <v>41</v>
      </c>
      <c r="V352" s="2" t="s">
        <v>470</v>
      </c>
    </row>
    <row r="353" spans="1:22" ht="27" customHeight="1" x14ac:dyDescent="0.3">
      <c r="A353" s="2">
        <v>352</v>
      </c>
      <c r="B353" s="2" t="s">
        <v>413</v>
      </c>
      <c r="C353" s="4">
        <v>45905</v>
      </c>
      <c r="D353" s="4" t="str">
        <f>TEXT(Tabla2[[#This Row],[fecha]],"MMMM")</f>
        <v>Setiembre</v>
      </c>
      <c r="E353" s="2" t="s">
        <v>439</v>
      </c>
      <c r="F353" s="2" t="s">
        <v>416</v>
      </c>
      <c r="G353" s="2" t="s">
        <v>419</v>
      </c>
      <c r="H353" s="2" t="s">
        <v>421</v>
      </c>
      <c r="I353" s="2" t="s">
        <v>80</v>
      </c>
      <c r="J353" s="2">
        <v>3755</v>
      </c>
      <c r="K353" s="2">
        <v>3755</v>
      </c>
      <c r="L353" s="2">
        <v>3755</v>
      </c>
      <c r="M353" s="4">
        <v>45905</v>
      </c>
      <c r="N353" s="5">
        <f>+Tabla2[[#This Row],[fecha_pe]]-Tabla2[[#This Row],[fecha]]</f>
        <v>0</v>
      </c>
      <c r="O353" s="5">
        <f>+Tabla2[[#This Row],[fecha_pe]]-Tabla2[[#This Row],[fecha]]</f>
        <v>0</v>
      </c>
      <c r="P353" s="5" t="e">
        <f>IF([1]!Tabla2[[#This Row],[TIEMPO DE ATENCIÓN REALIZADO]]&lt;=[1]!Tabla2[[#This Row],[TIEMPO DE ATENCIÓN ESPERADO]],"Dentro de plazo","Fuera de plazo")</f>
        <v>#REF!</v>
      </c>
      <c r="Q353" s="6">
        <v>1148</v>
      </c>
      <c r="R353" s="2" t="s">
        <v>45</v>
      </c>
      <c r="S353" s="2" t="s">
        <v>425</v>
      </c>
      <c r="T353" s="2" t="s">
        <v>40</v>
      </c>
      <c r="U353" s="2" t="s">
        <v>53</v>
      </c>
      <c r="V353" s="2" t="s">
        <v>497</v>
      </c>
    </row>
    <row r="354" spans="1:22" ht="27" customHeight="1" x14ac:dyDescent="0.3">
      <c r="A354" s="2">
        <v>353</v>
      </c>
      <c r="B354" s="2" t="s">
        <v>413</v>
      </c>
      <c r="C354" s="4">
        <v>45909</v>
      </c>
      <c r="D354" s="4" t="str">
        <f>TEXT(Tabla2[[#This Row],[fecha]],"MMMM")</f>
        <v>Setiembre</v>
      </c>
      <c r="E354" s="2" t="s">
        <v>437</v>
      </c>
      <c r="F354" s="2" t="s">
        <v>55</v>
      </c>
      <c r="G354" s="2" t="s">
        <v>419</v>
      </c>
      <c r="H354" s="2" t="s">
        <v>421</v>
      </c>
      <c r="I354" s="2" t="s">
        <v>68</v>
      </c>
      <c r="J354" s="2">
        <v>3756</v>
      </c>
      <c r="K354" s="2">
        <v>3756</v>
      </c>
      <c r="L354" s="2">
        <v>3756</v>
      </c>
      <c r="M354" s="4">
        <v>45910</v>
      </c>
      <c r="N354" s="5">
        <f>+Tabla2[[#This Row],[fecha_pe]]-Tabla2[[#This Row],[fecha]]</f>
        <v>1</v>
      </c>
      <c r="O354" s="5">
        <f>+Tabla2[[#This Row],[fecha_pe]]-Tabla2[[#This Row],[fecha]]</f>
        <v>1</v>
      </c>
      <c r="P354" s="5" t="e">
        <f>IF([1]!Tabla2[[#This Row],[TIEMPO DE ATENCIÓN REALIZADO]]&lt;=[1]!Tabla2[[#This Row],[TIEMPO DE ATENCIÓN ESPERADO]],"Dentro de plazo","Fuera de plazo")</f>
        <v>#REF!</v>
      </c>
      <c r="Q354" s="6">
        <v>4499.6099999999997</v>
      </c>
      <c r="R354" s="2" t="s">
        <v>45</v>
      </c>
      <c r="S354" s="2" t="s">
        <v>425</v>
      </c>
      <c r="T354" s="2" t="s">
        <v>40</v>
      </c>
      <c r="U354" s="2" t="s">
        <v>53</v>
      </c>
      <c r="V354" s="2" t="s">
        <v>498</v>
      </c>
    </row>
    <row r="355" spans="1:22" ht="27" customHeight="1" x14ac:dyDescent="0.3">
      <c r="A355" s="2">
        <v>354</v>
      </c>
      <c r="B355" s="2" t="s">
        <v>5</v>
      </c>
      <c r="C355" s="4">
        <v>45909</v>
      </c>
      <c r="D355" s="4" t="str">
        <f>TEXT(Tabla2[[#This Row],[fecha]],"MMMM")</f>
        <v>Setiembre</v>
      </c>
      <c r="E355" s="2" t="s">
        <v>440</v>
      </c>
      <c r="F355" s="2" t="s">
        <v>414</v>
      </c>
      <c r="G355" s="2" t="s">
        <v>58</v>
      </c>
      <c r="H355" s="2" t="s">
        <v>421</v>
      </c>
      <c r="I355" s="2" t="s">
        <v>422</v>
      </c>
      <c r="J355" s="2">
        <v>3757</v>
      </c>
      <c r="K355" s="2">
        <v>3757</v>
      </c>
      <c r="L355" s="2">
        <v>3757</v>
      </c>
      <c r="M355" s="4">
        <v>45910</v>
      </c>
      <c r="N355" s="5">
        <v>1</v>
      </c>
      <c r="O355" s="5">
        <v>1</v>
      </c>
      <c r="P355" s="5" t="e">
        <f>IF([1]!Tabla2[[#This Row],[TIEMPO DE ATENCIÓN REALIZADO]]&lt;=[1]!Tabla2[[#This Row],[TIEMPO DE ATENCIÓN ESPERADO]],"Dentro de plazo","Fuera de plazo")</f>
        <v>#REF!</v>
      </c>
      <c r="Q355" s="6">
        <v>2438.71</v>
      </c>
      <c r="R355" s="2" t="s">
        <v>45</v>
      </c>
      <c r="S355" s="2" t="s">
        <v>424</v>
      </c>
      <c r="T355" s="2" t="s">
        <v>40</v>
      </c>
      <c r="U355" s="2" t="s">
        <v>53</v>
      </c>
      <c r="V355" s="2" t="s">
        <v>441</v>
      </c>
    </row>
    <row r="356" spans="1:22" ht="27" customHeight="1" x14ac:dyDescent="0.3">
      <c r="A356" s="2">
        <v>355</v>
      </c>
      <c r="B356" s="2" t="s">
        <v>413</v>
      </c>
      <c r="C356" s="4">
        <v>45910</v>
      </c>
      <c r="D356" s="4" t="str">
        <f>TEXT(Tabla2[[#This Row],[fecha]],"MMMM")</f>
        <v>Setiembre</v>
      </c>
      <c r="E356" s="2" t="s">
        <v>255</v>
      </c>
      <c r="F356" s="2" t="s">
        <v>55</v>
      </c>
      <c r="G356" s="2" t="s">
        <v>38</v>
      </c>
      <c r="H356" s="2" t="s">
        <v>421</v>
      </c>
      <c r="I356" s="2" t="s">
        <v>39</v>
      </c>
      <c r="J356" s="2">
        <v>3758</v>
      </c>
      <c r="K356" s="2">
        <v>3758</v>
      </c>
      <c r="L356" s="2">
        <v>3758</v>
      </c>
      <c r="M356" s="4">
        <v>45910</v>
      </c>
      <c r="N356" s="5">
        <f>+Tabla2[[#This Row],[fecha_pe]]-Tabla2[[#This Row],[fecha]]</f>
        <v>0</v>
      </c>
      <c r="O356" s="5">
        <f>+Tabla2[[#This Row],[fecha_pe]]-Tabla2[[#This Row],[fecha]]</f>
        <v>0</v>
      </c>
      <c r="P356" s="5" t="e">
        <f>IF([1]!Tabla2[[#This Row],[TIEMPO DE ATENCIÓN REALIZADO]]&lt;=[1]!Tabla2[[#This Row],[TIEMPO DE ATENCIÓN ESPERADO]],"Dentro de plazo","Fuera de plazo")</f>
        <v>#REF!</v>
      </c>
      <c r="Q356" s="6">
        <v>177.5</v>
      </c>
      <c r="R356" s="2" t="s">
        <v>45</v>
      </c>
      <c r="S356" s="2" t="s">
        <v>56</v>
      </c>
      <c r="T356" s="2" t="s">
        <v>40</v>
      </c>
      <c r="U356" s="2" t="s">
        <v>41</v>
      </c>
      <c r="V356" s="2"/>
    </row>
    <row r="357" spans="1:22" ht="27" customHeight="1" x14ac:dyDescent="0.3">
      <c r="A357" s="2">
        <v>356</v>
      </c>
      <c r="B357" s="2" t="s">
        <v>5</v>
      </c>
      <c r="C357" s="4">
        <v>45910</v>
      </c>
      <c r="D357" s="4" t="str">
        <f>TEXT(Tabla2[[#This Row],[fecha]],"MMMM")</f>
        <v>Setiembre</v>
      </c>
      <c r="E357" s="2" t="s">
        <v>440</v>
      </c>
      <c r="F357" s="2" t="s">
        <v>415</v>
      </c>
      <c r="G357" s="2" t="s">
        <v>419</v>
      </c>
      <c r="H357" s="2" t="s">
        <v>421</v>
      </c>
      <c r="I357" s="2" t="s">
        <v>68</v>
      </c>
      <c r="J357" s="2">
        <v>3759</v>
      </c>
      <c r="K357" s="2">
        <v>3759</v>
      </c>
      <c r="L357" s="2">
        <v>3759</v>
      </c>
      <c r="M357" s="4">
        <v>45910</v>
      </c>
      <c r="N357" s="5">
        <f>+Tabla2[[#This Row],[fecha_pe]]-Tabla2[[#This Row],[fecha]]</f>
        <v>0</v>
      </c>
      <c r="O357" s="5">
        <f>+Tabla2[[#This Row],[fecha_pe]]-Tabla2[[#This Row],[fecha]]</f>
        <v>0</v>
      </c>
      <c r="P357" s="5" t="e">
        <f>IF([1]!Tabla2[[#This Row],[TIEMPO DE ATENCIÓN REALIZADO]]&lt;=[1]!Tabla2[[#This Row],[TIEMPO DE ATENCIÓN ESPERADO]],"Dentro de plazo","Fuera de plazo")</f>
        <v>#REF!</v>
      </c>
      <c r="Q357" s="6">
        <f>2271.21+80</f>
        <v>2351.21</v>
      </c>
      <c r="R357" s="2" t="s">
        <v>45</v>
      </c>
      <c r="S357" s="2" t="s">
        <v>56</v>
      </c>
      <c r="T357" s="2" t="s">
        <v>46</v>
      </c>
      <c r="U357" s="2" t="s">
        <v>41</v>
      </c>
      <c r="V357" s="2" t="s">
        <v>471</v>
      </c>
    </row>
    <row r="358" spans="1:22" ht="27" customHeight="1" x14ac:dyDescent="0.3">
      <c r="A358" s="2">
        <v>357</v>
      </c>
      <c r="B358" s="2" t="s">
        <v>5</v>
      </c>
      <c r="C358" s="4">
        <v>45910</v>
      </c>
      <c r="D358" s="4" t="str">
        <f>TEXT(Tabla2[[#This Row],[fecha]],"MMMM")</f>
        <v>Setiembre</v>
      </c>
      <c r="E358" s="2" t="s">
        <v>442</v>
      </c>
      <c r="F358" s="2" t="s">
        <v>132</v>
      </c>
      <c r="G358" s="2" t="s">
        <v>38</v>
      </c>
      <c r="H358" s="2" t="s">
        <v>60</v>
      </c>
      <c r="I358" s="2" t="s">
        <v>429</v>
      </c>
      <c r="J358" s="2">
        <v>3760</v>
      </c>
      <c r="K358" s="2">
        <v>3760</v>
      </c>
      <c r="L358" s="2">
        <v>3760</v>
      </c>
      <c r="M358" s="4">
        <v>45911</v>
      </c>
      <c r="N358" s="5">
        <f>+Tabla2[[#This Row],[fecha_pe]]-Tabla2[[#This Row],[fecha]]</f>
        <v>1</v>
      </c>
      <c r="O358" s="5">
        <f>+Tabla2[[#This Row],[fecha_pe]]-Tabla2[[#This Row],[fecha]]</f>
        <v>1</v>
      </c>
      <c r="P358" s="5" t="e">
        <f>IF([1]!Tabla2[[#This Row],[TIEMPO DE ATENCIÓN REALIZADO]]&lt;=[1]!Tabla2[[#This Row],[TIEMPO DE ATENCIÓN ESPERADO]],"Dentro de plazo","Fuera de plazo")</f>
        <v>#REF!</v>
      </c>
      <c r="Q358" s="6">
        <v>2407.64</v>
      </c>
      <c r="R358" s="2" t="s">
        <v>45</v>
      </c>
      <c r="S358" s="2" t="s">
        <v>426</v>
      </c>
      <c r="T358" s="2" t="s">
        <v>40</v>
      </c>
      <c r="U358" s="2" t="s">
        <v>41</v>
      </c>
      <c r="V358" s="2" t="s">
        <v>472</v>
      </c>
    </row>
    <row r="359" spans="1:22" ht="27" customHeight="1" x14ac:dyDescent="0.3">
      <c r="A359" s="2">
        <v>358</v>
      </c>
      <c r="B359" s="2" t="s">
        <v>5</v>
      </c>
      <c r="C359" s="4">
        <v>45911</v>
      </c>
      <c r="D359" s="4" t="str">
        <f>TEXT(Tabla2[[#This Row],[fecha]],"MMMM")</f>
        <v>Setiembre</v>
      </c>
      <c r="E359" s="2" t="s">
        <v>393</v>
      </c>
      <c r="F359" s="2" t="s">
        <v>415</v>
      </c>
      <c r="G359" s="2" t="s">
        <v>38</v>
      </c>
      <c r="H359" s="2" t="s">
        <v>60</v>
      </c>
      <c r="I359" s="2" t="s">
        <v>68</v>
      </c>
      <c r="J359" s="2">
        <v>3761</v>
      </c>
      <c r="K359" s="2">
        <v>3761</v>
      </c>
      <c r="L359" s="2">
        <v>3761</v>
      </c>
      <c r="M359" s="4">
        <v>45911</v>
      </c>
      <c r="N359" s="5">
        <f>+Tabla2[[#This Row],[fecha_pe]]-Tabla2[[#This Row],[fecha]]</f>
        <v>0</v>
      </c>
      <c r="O359" s="5">
        <f>+Tabla2[[#This Row],[fecha_pe]]-Tabla2[[#This Row],[fecha]]</f>
        <v>0</v>
      </c>
      <c r="P359" s="5" t="e">
        <f>IF([1]!Tabla2[[#This Row],[TIEMPO DE ATENCIÓN REALIZADO]]&lt;=[1]!Tabla2[[#This Row],[TIEMPO DE ATENCIÓN ESPERADO]],"Dentro de plazo","Fuera de plazo")</f>
        <v>#REF!</v>
      </c>
      <c r="Q359" s="6">
        <v>933.45</v>
      </c>
      <c r="R359" s="2" t="s">
        <v>45</v>
      </c>
      <c r="S359" s="2" t="s">
        <v>426</v>
      </c>
      <c r="T359" s="2" t="s">
        <v>40</v>
      </c>
      <c r="U359" s="2" t="s">
        <v>41</v>
      </c>
      <c r="V359" s="2"/>
    </row>
    <row r="360" spans="1:22" ht="27" customHeight="1" x14ac:dyDescent="0.3">
      <c r="A360" s="2">
        <v>359</v>
      </c>
      <c r="B360" s="2" t="s">
        <v>5</v>
      </c>
      <c r="C360" s="4">
        <v>45911</v>
      </c>
      <c r="D360" s="4" t="str">
        <f>TEXT(Tabla2[[#This Row],[fecha]],"MMMM")</f>
        <v>Setiembre</v>
      </c>
      <c r="E360" s="2" t="s">
        <v>443</v>
      </c>
      <c r="F360" s="2" t="s">
        <v>416</v>
      </c>
      <c r="G360" s="2" t="s">
        <v>419</v>
      </c>
      <c r="H360" s="2" t="s">
        <v>421</v>
      </c>
      <c r="I360" s="2" t="s">
        <v>80</v>
      </c>
      <c r="J360" s="2">
        <v>3762</v>
      </c>
      <c r="K360" s="2">
        <v>3762</v>
      </c>
      <c r="L360" s="2">
        <v>3762</v>
      </c>
      <c r="M360" s="4">
        <v>45911</v>
      </c>
      <c r="N360" s="5">
        <f>+Tabla2[[#This Row],[fecha_pe]]-Tabla2[[#This Row],[fecha]]</f>
        <v>0</v>
      </c>
      <c r="O360" s="5">
        <f>+Tabla2[[#This Row],[fecha_pe]]-Tabla2[[#This Row],[fecha]]</f>
        <v>0</v>
      </c>
      <c r="P360" s="5" t="e">
        <f>IF([1]!Tabla2[[#This Row],[TIEMPO DE ATENCIÓN REALIZADO]]&lt;=[1]!Tabla2[[#This Row],[TIEMPO DE ATENCIÓN ESPERADO]],"Dentro de plazo","Fuera de plazo")</f>
        <v>#REF!</v>
      </c>
      <c r="Q360" s="6">
        <v>3268.39</v>
      </c>
      <c r="R360" s="2" t="s">
        <v>24</v>
      </c>
      <c r="S360" s="2" t="s">
        <v>425</v>
      </c>
      <c r="T360" s="2" t="s">
        <v>40</v>
      </c>
      <c r="U360" s="2" t="s">
        <v>53</v>
      </c>
      <c r="V360" s="2" t="s">
        <v>444</v>
      </c>
    </row>
    <row r="361" spans="1:22" ht="27" customHeight="1" x14ac:dyDescent="0.3">
      <c r="A361" s="2">
        <v>360</v>
      </c>
      <c r="B361" s="2" t="s">
        <v>1</v>
      </c>
      <c r="C361" s="4">
        <v>45911</v>
      </c>
      <c r="D361" s="4" t="str">
        <f>TEXT(Tabla2[[#This Row],[fecha]],"MMMM")</f>
        <v>Setiembre</v>
      </c>
      <c r="E361" s="2" t="s">
        <v>255</v>
      </c>
      <c r="F361" s="2" t="s">
        <v>415</v>
      </c>
      <c r="G361" s="2" t="s">
        <v>38</v>
      </c>
      <c r="H361" s="2" t="s">
        <v>421</v>
      </c>
      <c r="I361" s="2" t="s">
        <v>39</v>
      </c>
      <c r="J361" s="2">
        <v>3763</v>
      </c>
      <c r="K361" s="2">
        <v>3763</v>
      </c>
      <c r="L361" s="2">
        <v>3763</v>
      </c>
      <c r="M361" s="4">
        <v>45911</v>
      </c>
      <c r="N361" s="5">
        <f>+Tabla2[[#This Row],[fecha_pe]]-Tabla2[[#This Row],[fecha]]</f>
        <v>0</v>
      </c>
      <c r="O361" s="5">
        <f>+Tabla2[[#This Row],[fecha_pe]]-Tabla2[[#This Row],[fecha]]</f>
        <v>0</v>
      </c>
      <c r="P361" s="5" t="e">
        <f>IF([1]!Tabla2[[#This Row],[TIEMPO DE ATENCIÓN REALIZADO]]&lt;=[1]!Tabla2[[#This Row],[TIEMPO DE ATENCIÓN ESPERADO]],"Dentro de plazo","Fuera de plazo")</f>
        <v>#REF!</v>
      </c>
      <c r="Q361" s="6">
        <f>3275.7+480</f>
        <v>3755.7</v>
      </c>
      <c r="R361" s="2" t="s">
        <v>45</v>
      </c>
      <c r="S361" s="2" t="s">
        <v>56</v>
      </c>
      <c r="T361" s="2" t="s">
        <v>40</v>
      </c>
      <c r="U361" s="2" t="s">
        <v>41</v>
      </c>
      <c r="V361" s="2"/>
    </row>
    <row r="362" spans="1:22" ht="27" customHeight="1" x14ac:dyDescent="0.3">
      <c r="A362" s="2">
        <v>361</v>
      </c>
      <c r="B362" s="2" t="s">
        <v>5</v>
      </c>
      <c r="C362" s="4">
        <v>45911</v>
      </c>
      <c r="D362" s="4" t="str">
        <f>TEXT(Tabla2[[#This Row],[fecha]],"MMMM")</f>
        <v>Setiembre</v>
      </c>
      <c r="E362" s="2" t="s">
        <v>445</v>
      </c>
      <c r="F362" s="2" t="s">
        <v>416</v>
      </c>
      <c r="G362" s="2" t="s">
        <v>419</v>
      </c>
      <c r="H362" s="2" t="s">
        <v>421</v>
      </c>
      <c r="I362" s="2" t="s">
        <v>80</v>
      </c>
      <c r="J362" s="2">
        <v>3764</v>
      </c>
      <c r="K362" s="2">
        <v>3764</v>
      </c>
      <c r="L362" s="2">
        <v>3764</v>
      </c>
      <c r="M362" s="4">
        <v>45911</v>
      </c>
      <c r="N362" s="5">
        <f>+Tabla2[[#This Row],[fecha_pe]]-Tabla2[[#This Row],[fecha]]</f>
        <v>0</v>
      </c>
      <c r="O362" s="5">
        <f>+Tabla2[[#This Row],[fecha_pe]]-Tabla2[[#This Row],[fecha]]</f>
        <v>0</v>
      </c>
      <c r="P362" s="5" t="e">
        <f>IF([1]!Tabla2[[#This Row],[TIEMPO DE ATENCIÓN REALIZADO]]&lt;=[1]!Tabla2[[#This Row],[TIEMPO DE ATENCIÓN ESPERADO]],"Dentro de plazo","Fuera de plazo")</f>
        <v>#REF!</v>
      </c>
      <c r="Q362" s="6">
        <v>4460.6499999999996</v>
      </c>
      <c r="R362" s="2" t="s">
        <v>45</v>
      </c>
      <c r="S362" s="2" t="s">
        <v>425</v>
      </c>
      <c r="T362" s="2" t="s">
        <v>40</v>
      </c>
      <c r="U362" s="2" t="s">
        <v>53</v>
      </c>
      <c r="V362" s="2" t="s">
        <v>473</v>
      </c>
    </row>
    <row r="363" spans="1:22" ht="27" customHeight="1" x14ac:dyDescent="0.3">
      <c r="A363" s="2">
        <v>362</v>
      </c>
      <c r="B363" s="2" t="s">
        <v>413</v>
      </c>
      <c r="C363" s="4">
        <v>45911</v>
      </c>
      <c r="D363" s="4" t="str">
        <f>TEXT(Tabla2[[#This Row],[fecha]],"MMMM")</f>
        <v>Setiembre</v>
      </c>
      <c r="E363" s="2" t="s">
        <v>446</v>
      </c>
      <c r="F363" s="2" t="s">
        <v>91</v>
      </c>
      <c r="G363" s="2" t="s">
        <v>419</v>
      </c>
      <c r="H363" s="2" t="s">
        <v>421</v>
      </c>
      <c r="I363" s="2" t="s">
        <v>88</v>
      </c>
      <c r="J363" s="2">
        <v>3765</v>
      </c>
      <c r="K363" s="2">
        <v>3765</v>
      </c>
      <c r="L363" s="2">
        <v>3765</v>
      </c>
      <c r="M363" s="4">
        <v>45912</v>
      </c>
      <c r="N363" s="5">
        <f>+Tabla2[[#This Row],[fecha_pe]]-Tabla2[[#This Row],[fecha]]</f>
        <v>1</v>
      </c>
      <c r="O363" s="5">
        <f>+Tabla2[[#This Row],[fecha_pe]]-Tabla2[[#This Row],[fecha]]</f>
        <v>1</v>
      </c>
      <c r="P363" s="5" t="e">
        <f>IF([1]!Tabla2[[#This Row],[TIEMPO DE ATENCIÓN REALIZADO]]&lt;=[1]!Tabla2[[#This Row],[TIEMPO DE ATENCIÓN ESPERADO]],"Dentro de plazo","Fuera de plazo")</f>
        <v>#REF!</v>
      </c>
      <c r="Q363" s="6">
        <v>913.11</v>
      </c>
      <c r="R363" s="2" t="s">
        <v>45</v>
      </c>
      <c r="S363" s="2" t="s">
        <v>425</v>
      </c>
      <c r="T363" s="2" t="s">
        <v>40</v>
      </c>
      <c r="U363" s="2" t="s">
        <v>53</v>
      </c>
      <c r="V363" s="2" t="s">
        <v>499</v>
      </c>
    </row>
    <row r="364" spans="1:22" ht="27" customHeight="1" x14ac:dyDescent="0.3">
      <c r="A364" s="2">
        <v>363</v>
      </c>
      <c r="B364" s="2" t="s">
        <v>5</v>
      </c>
      <c r="C364" s="4">
        <v>45911</v>
      </c>
      <c r="D364" s="4" t="str">
        <f>TEXT(Tabla2[[#This Row],[fecha]],"MMMM")</f>
        <v>Setiembre</v>
      </c>
      <c r="E364" s="2" t="s">
        <v>447</v>
      </c>
      <c r="F364" s="2" t="s">
        <v>416</v>
      </c>
      <c r="G364" s="2" t="s">
        <v>58</v>
      </c>
      <c r="H364" s="2" t="s">
        <v>421</v>
      </c>
      <c r="I364" s="2" t="s">
        <v>88</v>
      </c>
      <c r="J364" s="2">
        <v>3766</v>
      </c>
      <c r="K364" s="2">
        <v>3766</v>
      </c>
      <c r="L364" s="2">
        <v>3766</v>
      </c>
      <c r="M364" s="4">
        <v>45912</v>
      </c>
      <c r="N364" s="5">
        <f>+Tabla2[[#This Row],[fecha_pe]]-Tabla2[[#This Row],[fecha]]</f>
        <v>1</v>
      </c>
      <c r="O364" s="5">
        <f>+Tabla2[[#This Row],[fecha_pe]]-Tabla2[[#This Row],[fecha]]</f>
        <v>1</v>
      </c>
      <c r="P364" s="5" t="e">
        <f>IF([1]!Tabla2[[#This Row],[TIEMPO DE ATENCIÓN REALIZADO]]&lt;=[1]!Tabla2[[#This Row],[TIEMPO DE ATENCIÓN ESPERADO]],"Dentro de plazo","Fuera de plazo")</f>
        <v>#REF!</v>
      </c>
      <c r="Q364" s="6">
        <v>971.77</v>
      </c>
      <c r="R364" s="2" t="s">
        <v>45</v>
      </c>
      <c r="S364" s="2" t="s">
        <v>425</v>
      </c>
      <c r="T364" s="2" t="s">
        <v>40</v>
      </c>
      <c r="U364" s="2" t="s">
        <v>53</v>
      </c>
      <c r="V364" s="2"/>
    </row>
    <row r="365" spans="1:22" ht="27" customHeight="1" x14ac:dyDescent="0.3">
      <c r="A365" s="2">
        <v>364</v>
      </c>
      <c r="B365" s="2" t="s">
        <v>5</v>
      </c>
      <c r="C365" s="4">
        <v>45911</v>
      </c>
      <c r="D365" s="4" t="str">
        <f>TEXT(Tabla2[[#This Row],[fecha]],"MMMM")</f>
        <v>Setiembre</v>
      </c>
      <c r="E365" s="2" t="s">
        <v>448</v>
      </c>
      <c r="F365" s="2" t="s">
        <v>415</v>
      </c>
      <c r="G365" s="2" t="s">
        <v>419</v>
      </c>
      <c r="H365" s="2" t="s">
        <v>421</v>
      </c>
      <c r="I365" s="2" t="s">
        <v>68</v>
      </c>
      <c r="J365" s="2">
        <v>3767</v>
      </c>
      <c r="K365" s="2">
        <v>3767</v>
      </c>
      <c r="L365" s="2">
        <v>3767</v>
      </c>
      <c r="M365" s="4">
        <v>45915</v>
      </c>
      <c r="N365" s="5">
        <f>+Tabla2[[#This Row],[fecha_pe]]-Tabla2[[#This Row],[fecha]]</f>
        <v>4</v>
      </c>
      <c r="O365" s="5">
        <f>+Tabla2[[#This Row],[fecha_pe]]-Tabla2[[#This Row],[fecha]]</f>
        <v>4</v>
      </c>
      <c r="P365" s="5" t="e">
        <f>IF([1]!Tabla2[[#This Row],[TIEMPO DE ATENCIÓN REALIZADO]]&lt;=[1]!Tabla2[[#This Row],[TIEMPO DE ATENCIÓN ESPERADO]],"Dentro de plazo","Fuera de plazo")</f>
        <v>#REF!</v>
      </c>
      <c r="Q365" s="6">
        <v>3838.7</v>
      </c>
      <c r="R365" s="2" t="s">
        <v>45</v>
      </c>
      <c r="S365" s="2" t="s">
        <v>425</v>
      </c>
      <c r="T365" s="2" t="s">
        <v>40</v>
      </c>
      <c r="U365" s="2" t="s">
        <v>53</v>
      </c>
      <c r="V365" s="2" t="s">
        <v>496</v>
      </c>
    </row>
    <row r="366" spans="1:22" ht="27" customHeight="1" x14ac:dyDescent="0.3">
      <c r="A366" s="2">
        <v>365</v>
      </c>
      <c r="B366" s="2" t="s">
        <v>5</v>
      </c>
      <c r="C366" s="4">
        <v>45915</v>
      </c>
      <c r="D366" s="4" t="str">
        <f>TEXT(Tabla2[[#This Row],[fecha]],"MMMM")</f>
        <v>Setiembre</v>
      </c>
      <c r="E366" s="2" t="s">
        <v>450</v>
      </c>
      <c r="F366" s="2" t="s">
        <v>415</v>
      </c>
      <c r="G366" s="2" t="s">
        <v>38</v>
      </c>
      <c r="H366" s="2" t="s">
        <v>421</v>
      </c>
      <c r="I366" s="2" t="s">
        <v>39</v>
      </c>
      <c r="J366" s="2">
        <v>3768</v>
      </c>
      <c r="K366" s="2">
        <v>3768</v>
      </c>
      <c r="L366" s="2">
        <v>3768</v>
      </c>
      <c r="M366" s="4">
        <v>45915</v>
      </c>
      <c r="N366" s="5">
        <f>+Tabla2[[#This Row],[fecha_pe]]-Tabla2[[#This Row],[fecha]]</f>
        <v>0</v>
      </c>
      <c r="O366" s="5">
        <f>+Tabla2[[#This Row],[fecha_pe]]-Tabla2[[#This Row],[fecha]]</f>
        <v>0</v>
      </c>
      <c r="P366" s="5" t="e">
        <f>IF([1]!Tabla2[[#This Row],[TIEMPO DE ATENCIÓN REALIZADO]]&lt;=[1]!Tabla2[[#This Row],[TIEMPO DE ATENCIÓN ESPERADO]],"Dentro de plazo","Fuera de plazo")</f>
        <v>#REF!</v>
      </c>
      <c r="Q366" s="6">
        <v>753</v>
      </c>
      <c r="R366" s="2" t="s">
        <v>15</v>
      </c>
      <c r="S366" s="2" t="s">
        <v>424</v>
      </c>
      <c r="T366" s="2" t="s">
        <v>46</v>
      </c>
      <c r="U366" s="2" t="s">
        <v>41</v>
      </c>
      <c r="V366" s="2" t="s">
        <v>449</v>
      </c>
    </row>
    <row r="367" spans="1:22" ht="27" customHeight="1" x14ac:dyDescent="0.3">
      <c r="A367" s="2">
        <v>366</v>
      </c>
      <c r="B367" s="2" t="s">
        <v>413</v>
      </c>
      <c r="C367" s="4">
        <v>45915</v>
      </c>
      <c r="D367" s="4" t="str">
        <f>TEXT(Tabla2[[#This Row],[fecha]],"MMMM")</f>
        <v>Setiembre</v>
      </c>
      <c r="E367" s="2" t="s">
        <v>451</v>
      </c>
      <c r="F367" s="2" t="s">
        <v>55</v>
      </c>
      <c r="G367" s="2" t="s">
        <v>58</v>
      </c>
      <c r="H367" s="2" t="s">
        <v>421</v>
      </c>
      <c r="I367" s="2" t="s">
        <v>88</v>
      </c>
      <c r="J367" s="2">
        <v>3769</v>
      </c>
      <c r="K367" s="2">
        <v>3769</v>
      </c>
      <c r="L367" s="2">
        <v>3769</v>
      </c>
      <c r="M367" s="4">
        <v>45917</v>
      </c>
      <c r="N367" s="5">
        <f>+Tabla2[[#This Row],[fecha_pe]]-Tabla2[[#This Row],[fecha]]</f>
        <v>2</v>
      </c>
      <c r="O367" s="5">
        <f>+Tabla2[[#This Row],[fecha_pe]]-Tabla2[[#This Row],[fecha]]</f>
        <v>2</v>
      </c>
      <c r="P367" s="5" t="e">
        <f>IF([1]!Tabla2[[#This Row],[TIEMPO DE ATENCIÓN REALIZADO]]&lt;=[1]!Tabla2[[#This Row],[TIEMPO DE ATENCIÓN ESPERADO]],"Dentro de plazo","Fuera de plazo")</f>
        <v>#REF!</v>
      </c>
      <c r="Q367" s="6">
        <v>14000</v>
      </c>
      <c r="R367" s="2" t="s">
        <v>45</v>
      </c>
      <c r="S367" s="2" t="s">
        <v>425</v>
      </c>
      <c r="T367" s="2" t="s">
        <v>40</v>
      </c>
      <c r="U367" s="2" t="s">
        <v>53</v>
      </c>
      <c r="V367" s="2" t="s">
        <v>452</v>
      </c>
    </row>
    <row r="368" spans="1:22" ht="27" customHeight="1" x14ac:dyDescent="0.3">
      <c r="A368" s="2">
        <v>367</v>
      </c>
      <c r="B368" s="2" t="s">
        <v>413</v>
      </c>
      <c r="C368" s="4">
        <v>45915</v>
      </c>
      <c r="D368" s="4" t="str">
        <f>TEXT(Tabla2[[#This Row],[fecha]],"MMMM")</f>
        <v>Setiembre</v>
      </c>
      <c r="E368" s="2" t="s">
        <v>451</v>
      </c>
      <c r="F368" s="2" t="s">
        <v>415</v>
      </c>
      <c r="G368" s="2" t="s">
        <v>58</v>
      </c>
      <c r="H368" s="2" t="s">
        <v>421</v>
      </c>
      <c r="I368" s="2" t="s">
        <v>88</v>
      </c>
      <c r="J368" s="2">
        <v>3770</v>
      </c>
      <c r="K368" s="2">
        <v>3770</v>
      </c>
      <c r="L368" s="2">
        <v>3770</v>
      </c>
      <c r="M368" s="4">
        <v>45917</v>
      </c>
      <c r="N368" s="5">
        <f>+Tabla2[[#This Row],[fecha_pe]]-Tabla2[[#This Row],[fecha]]</f>
        <v>2</v>
      </c>
      <c r="O368" s="5">
        <f>+Tabla2[[#This Row],[fecha_pe]]-Tabla2[[#This Row],[fecha]]</f>
        <v>2</v>
      </c>
      <c r="P368" s="5" t="e">
        <f>IF([1]!Tabla2[[#This Row],[TIEMPO DE ATENCIÓN REALIZADO]]&lt;=[1]!Tabla2[[#This Row],[TIEMPO DE ATENCIÓN ESPERADO]],"Dentro de plazo","Fuera de plazo")</f>
        <v>#REF!</v>
      </c>
      <c r="Q368" s="6">
        <v>2073.3200000000002</v>
      </c>
      <c r="R368" s="2" t="s">
        <v>45</v>
      </c>
      <c r="S368" s="2" t="s">
        <v>425</v>
      </c>
      <c r="T368" s="2" t="s">
        <v>40</v>
      </c>
      <c r="U368" s="2" t="s">
        <v>53</v>
      </c>
      <c r="V368" s="2"/>
    </row>
    <row r="369" spans="1:22" ht="27" customHeight="1" x14ac:dyDescent="0.3">
      <c r="A369" s="2">
        <v>368</v>
      </c>
      <c r="B369" s="2" t="s">
        <v>413</v>
      </c>
      <c r="C369" s="4">
        <v>45915</v>
      </c>
      <c r="D369" s="4" t="str">
        <f>TEXT(Tabla2[[#This Row],[fecha]],"MMMM")</f>
        <v>Setiembre</v>
      </c>
      <c r="E369" s="2" t="s">
        <v>451</v>
      </c>
      <c r="F369" s="2" t="s">
        <v>55</v>
      </c>
      <c r="G369" s="2" t="s">
        <v>58</v>
      </c>
      <c r="H369" s="2" t="s">
        <v>421</v>
      </c>
      <c r="I369" s="2" t="s">
        <v>88</v>
      </c>
      <c r="J369" s="2">
        <v>3771</v>
      </c>
      <c r="K369" s="2">
        <v>3771</v>
      </c>
      <c r="L369" s="2">
        <v>3771</v>
      </c>
      <c r="M369" s="4">
        <v>45917</v>
      </c>
      <c r="N369" s="5">
        <f>+Tabla2[[#This Row],[fecha_pe]]-Tabla2[[#This Row],[fecha]]</f>
        <v>2</v>
      </c>
      <c r="O369" s="5">
        <f>+Tabla2[[#This Row],[fecha_pe]]-Tabla2[[#This Row],[fecha]]</f>
        <v>2</v>
      </c>
      <c r="P369" s="5" t="e">
        <f>IF([1]!Tabla2[[#This Row],[TIEMPO DE ATENCIÓN REALIZADO]]&lt;=[1]!Tabla2[[#This Row],[TIEMPO DE ATENCIÓN ESPERADO]],"Dentro de plazo","Fuera de plazo")</f>
        <v>#REF!</v>
      </c>
      <c r="Q369" s="6">
        <v>300</v>
      </c>
      <c r="R369" s="2" t="s">
        <v>45</v>
      </c>
      <c r="S369" s="2" t="s">
        <v>425</v>
      </c>
      <c r="T369" s="2" t="s">
        <v>40</v>
      </c>
      <c r="U369" s="2" t="s">
        <v>53</v>
      </c>
      <c r="V369" s="2" t="s">
        <v>453</v>
      </c>
    </row>
    <row r="370" spans="1:22" ht="27" customHeight="1" x14ac:dyDescent="0.3">
      <c r="A370" s="2">
        <v>369</v>
      </c>
      <c r="B370" s="2" t="s">
        <v>413</v>
      </c>
      <c r="C370" s="4">
        <v>45915</v>
      </c>
      <c r="D370" s="4" t="str">
        <f>TEXT(Tabla2[[#This Row],[fecha]],"MMMM")</f>
        <v>Setiembre</v>
      </c>
      <c r="E370" s="2" t="s">
        <v>451</v>
      </c>
      <c r="F370" s="2" t="s">
        <v>132</v>
      </c>
      <c r="G370" s="2" t="s">
        <v>58</v>
      </c>
      <c r="H370" s="2" t="s">
        <v>421</v>
      </c>
      <c r="I370" s="2" t="s">
        <v>88</v>
      </c>
      <c r="J370" s="2">
        <v>3772</v>
      </c>
      <c r="K370" s="2">
        <v>3772</v>
      </c>
      <c r="L370" s="2">
        <v>3772</v>
      </c>
      <c r="M370" s="4">
        <v>45917</v>
      </c>
      <c r="N370" s="5">
        <f>+Tabla2[[#This Row],[fecha_pe]]-Tabla2[[#This Row],[fecha]]</f>
        <v>2</v>
      </c>
      <c r="O370" s="5">
        <f>+Tabla2[[#This Row],[fecha_pe]]-Tabla2[[#This Row],[fecha]]</f>
        <v>2</v>
      </c>
      <c r="P370" s="5" t="e">
        <f>IF([1]!Tabla2[[#This Row],[TIEMPO DE ATENCIÓN REALIZADO]]&lt;=[1]!Tabla2[[#This Row],[TIEMPO DE ATENCIÓN ESPERADO]],"Dentro de plazo","Fuera de plazo")</f>
        <v>#REF!</v>
      </c>
      <c r="Q370" s="6">
        <v>1440.51</v>
      </c>
      <c r="R370" s="2" t="s">
        <v>45</v>
      </c>
      <c r="S370" s="2" t="s">
        <v>425</v>
      </c>
      <c r="T370" s="2" t="s">
        <v>40</v>
      </c>
      <c r="U370" s="2" t="s">
        <v>53</v>
      </c>
      <c r="V370" s="2" t="s">
        <v>454</v>
      </c>
    </row>
    <row r="371" spans="1:22" ht="27" customHeight="1" x14ac:dyDescent="0.3">
      <c r="A371" s="2">
        <v>370</v>
      </c>
      <c r="B371" s="2" t="s">
        <v>413</v>
      </c>
      <c r="C371" s="4">
        <v>45915</v>
      </c>
      <c r="D371" s="4" t="str">
        <f>TEXT(Tabla2[[#This Row],[fecha]],"MMMM")</f>
        <v>Setiembre</v>
      </c>
      <c r="E371" s="2" t="s">
        <v>451</v>
      </c>
      <c r="F371" s="2" t="s">
        <v>415</v>
      </c>
      <c r="G371" s="2" t="s">
        <v>58</v>
      </c>
      <c r="H371" s="2" t="s">
        <v>421</v>
      </c>
      <c r="I371" s="2" t="s">
        <v>88</v>
      </c>
      <c r="J371" s="2">
        <v>3773</v>
      </c>
      <c r="K371" s="2">
        <v>3773</v>
      </c>
      <c r="L371" s="2">
        <v>3773</v>
      </c>
      <c r="M371" s="4">
        <v>45917</v>
      </c>
      <c r="N371" s="5">
        <f>+Tabla2[[#This Row],[fecha_pe]]-Tabla2[[#This Row],[fecha]]</f>
        <v>2</v>
      </c>
      <c r="O371" s="5">
        <f>+Tabla2[[#This Row],[fecha_pe]]-Tabla2[[#This Row],[fecha]]</f>
        <v>2</v>
      </c>
      <c r="P371" s="5" t="e">
        <f>IF([1]!Tabla2[[#This Row],[TIEMPO DE ATENCIÓN REALIZADO]]&lt;=[1]!Tabla2[[#This Row],[TIEMPO DE ATENCIÓN ESPERADO]],"Dentro de plazo","Fuera de plazo")</f>
        <v>#REF!</v>
      </c>
      <c r="Q371" s="6">
        <v>1500</v>
      </c>
      <c r="R371" s="2" t="s">
        <v>45</v>
      </c>
      <c r="S371" s="2" t="s">
        <v>425</v>
      </c>
      <c r="T371" s="2" t="s">
        <v>40</v>
      </c>
      <c r="U371" s="2" t="s">
        <v>53</v>
      </c>
      <c r="V371" s="2" t="s">
        <v>455</v>
      </c>
    </row>
    <row r="372" spans="1:22" ht="27" customHeight="1" x14ac:dyDescent="0.3">
      <c r="A372" s="2">
        <v>371</v>
      </c>
      <c r="B372" s="2" t="s">
        <v>62</v>
      </c>
      <c r="C372" s="4">
        <v>45904</v>
      </c>
      <c r="D372" s="4" t="str">
        <f>TEXT(Tabla2[[#This Row],[fecha]],"MMMM")</f>
        <v>Setiembre</v>
      </c>
      <c r="E372" s="2" t="s">
        <v>456</v>
      </c>
      <c r="F372" s="2" t="s">
        <v>55</v>
      </c>
      <c r="G372" s="2" t="s">
        <v>44</v>
      </c>
      <c r="H372" s="2" t="s">
        <v>60</v>
      </c>
      <c r="I372" s="2" t="s">
        <v>463</v>
      </c>
      <c r="J372" s="2">
        <v>3774</v>
      </c>
      <c r="K372" s="2">
        <v>3774</v>
      </c>
      <c r="L372" s="2">
        <v>3774</v>
      </c>
      <c r="M372" s="4">
        <v>45916</v>
      </c>
      <c r="N372" s="5">
        <f>+Tabla2[[#This Row],[fecha_pe]]-Tabla2[[#This Row],[fecha]]</f>
        <v>12</v>
      </c>
      <c r="O372" s="5">
        <f>+Tabla2[[#This Row],[fecha_pe]]-Tabla2[[#This Row],[fecha]]</f>
        <v>12</v>
      </c>
      <c r="P372" s="5" t="e">
        <f>IF([1]!Tabla2[[#This Row],[TIEMPO DE ATENCIÓN REALIZADO]]&lt;=[1]!Tabla2[[#This Row],[TIEMPO DE ATENCIÓN ESPERADO]],"Dentro de plazo","Fuera de plazo")</f>
        <v>#REF!</v>
      </c>
      <c r="Q372" s="6">
        <f>+(50*9)*0.71</f>
        <v>319.5</v>
      </c>
      <c r="R372" s="2" t="s">
        <v>45</v>
      </c>
      <c r="S372" s="2" t="s">
        <v>56</v>
      </c>
      <c r="T372" s="2" t="s">
        <v>40</v>
      </c>
      <c r="U372" s="2" t="s">
        <v>53</v>
      </c>
      <c r="V372" s="2" t="s">
        <v>457</v>
      </c>
    </row>
    <row r="373" spans="1:22" ht="27" customHeight="1" x14ac:dyDescent="0.3">
      <c r="A373" s="2">
        <v>372</v>
      </c>
      <c r="B373" s="2" t="s">
        <v>62</v>
      </c>
      <c r="C373" s="4">
        <v>45904</v>
      </c>
      <c r="D373" s="4" t="str">
        <f>TEXT(Tabla2[[#This Row],[fecha]],"MMMM")</f>
        <v>Setiembre</v>
      </c>
      <c r="E373" s="2" t="s">
        <v>456</v>
      </c>
      <c r="F373" s="2" t="s">
        <v>414</v>
      </c>
      <c r="G373" s="2" t="s">
        <v>44</v>
      </c>
      <c r="H373" s="2" t="s">
        <v>60</v>
      </c>
      <c r="I373" s="2" t="s">
        <v>463</v>
      </c>
      <c r="J373" s="2">
        <v>3774</v>
      </c>
      <c r="K373" s="2">
        <v>3774</v>
      </c>
      <c r="L373" s="2">
        <v>3775</v>
      </c>
      <c r="M373" s="4">
        <v>45916</v>
      </c>
      <c r="N373" s="5">
        <f>+Tabla2[[#This Row],[fecha_pe]]-Tabla2[[#This Row],[fecha]]</f>
        <v>12</v>
      </c>
      <c r="O373" s="5">
        <f>+Tabla2[[#This Row],[fecha_pe]]-Tabla2[[#This Row],[fecha]]</f>
        <v>12</v>
      </c>
      <c r="P373" s="5" t="e">
        <f>IF([1]!Tabla2[[#This Row],[TIEMPO DE ATENCIÓN REALIZADO]]&lt;=[1]!Tabla2[[#This Row],[TIEMPO DE ATENCIÓN ESPERADO]],"Dentro de plazo","Fuera de plazo")</f>
        <v>#REF!</v>
      </c>
      <c r="Q373" s="6">
        <v>297</v>
      </c>
      <c r="R373" s="2" t="s">
        <v>45</v>
      </c>
      <c r="S373" s="2" t="s">
        <v>56</v>
      </c>
      <c r="T373" s="2" t="s">
        <v>40</v>
      </c>
      <c r="U373" s="2" t="s">
        <v>53</v>
      </c>
      <c r="V373" s="2" t="s">
        <v>458</v>
      </c>
    </row>
    <row r="374" spans="1:22" ht="27" customHeight="1" x14ac:dyDescent="0.3">
      <c r="A374" s="2">
        <v>373</v>
      </c>
      <c r="B374" s="2" t="s">
        <v>5</v>
      </c>
      <c r="C374" s="4">
        <v>45916</v>
      </c>
      <c r="D374" s="4" t="str">
        <f>TEXT(Tabla2[[#This Row],[fecha]],"MMMM")</f>
        <v>Setiembre</v>
      </c>
      <c r="E374" s="2" t="s">
        <v>459</v>
      </c>
      <c r="F374" s="2" t="s">
        <v>414</v>
      </c>
      <c r="G374" s="2" t="s">
        <v>38</v>
      </c>
      <c r="H374" s="2" t="s">
        <v>60</v>
      </c>
      <c r="I374" s="2" t="s">
        <v>39</v>
      </c>
      <c r="J374" s="2">
        <v>3776</v>
      </c>
      <c r="K374" s="2">
        <v>3776</v>
      </c>
      <c r="L374" s="2">
        <v>3776</v>
      </c>
      <c r="M374" s="4">
        <v>45916</v>
      </c>
      <c r="N374" s="5">
        <f>+Tabla2[[#This Row],[fecha_pe]]-Tabla2[[#This Row],[fecha]]</f>
        <v>0</v>
      </c>
      <c r="O374" s="5">
        <f>+Tabla2[[#This Row],[fecha_pe]]-Tabla2[[#This Row],[fecha]]</f>
        <v>0</v>
      </c>
      <c r="P374" s="5" t="e">
        <f>IF([1]!Tabla2[[#This Row],[TIEMPO DE ATENCIÓN REALIZADO]]&lt;=[1]!Tabla2[[#This Row],[TIEMPO DE ATENCIÓN ESPERADO]],"Dentro de plazo","Fuera de plazo")</f>
        <v>#REF!</v>
      </c>
      <c r="Q374" s="11">
        <v>2370</v>
      </c>
      <c r="R374" s="2" t="s">
        <v>45</v>
      </c>
      <c r="S374" s="2" t="s">
        <v>424</v>
      </c>
      <c r="T374" s="2" t="s">
        <v>40</v>
      </c>
      <c r="U374" s="2" t="s">
        <v>41</v>
      </c>
      <c r="V374" s="2" t="s">
        <v>460</v>
      </c>
    </row>
    <row r="375" spans="1:22" ht="27" customHeight="1" x14ac:dyDescent="0.3">
      <c r="A375" s="2">
        <v>374</v>
      </c>
      <c r="B375" s="2" t="s">
        <v>413</v>
      </c>
      <c r="C375" s="4">
        <v>45916</v>
      </c>
      <c r="D375" s="4" t="str">
        <f>TEXT(Tabla2[[#This Row],[fecha]],"MMMM")</f>
        <v>Setiembre</v>
      </c>
      <c r="E375" s="2" t="s">
        <v>446</v>
      </c>
      <c r="F375" s="2" t="s">
        <v>91</v>
      </c>
      <c r="G375" s="2" t="s">
        <v>419</v>
      </c>
      <c r="H375" s="2" t="s">
        <v>421</v>
      </c>
      <c r="I375" s="2" t="s">
        <v>88</v>
      </c>
      <c r="J375" s="2">
        <v>3777</v>
      </c>
      <c r="K375" s="2">
        <v>3777</v>
      </c>
      <c r="L375" s="2">
        <v>3777</v>
      </c>
      <c r="M375" s="4">
        <v>45916</v>
      </c>
      <c r="N375" s="5">
        <f>+Tabla2[[#This Row],[fecha_pe]]-Tabla2[[#This Row],[fecha]]</f>
        <v>0</v>
      </c>
      <c r="O375" s="5">
        <f>+Tabla2[[#This Row],[fecha_pe]]-Tabla2[[#This Row],[fecha]]</f>
        <v>0</v>
      </c>
      <c r="P375" s="5" t="e">
        <f>IF([1]!Tabla2[[#This Row],[TIEMPO DE ATENCIÓN REALIZADO]]&lt;=[1]!Tabla2[[#This Row],[TIEMPO DE ATENCIÓN ESPERADO]],"Dentro de plazo","Fuera de plazo")</f>
        <v>#REF!</v>
      </c>
      <c r="Q375" s="6">
        <v>913.11</v>
      </c>
      <c r="R375" s="2" t="s">
        <v>45</v>
      </c>
      <c r="S375" s="2" t="s">
        <v>425</v>
      </c>
      <c r="T375" s="2" t="s">
        <v>40</v>
      </c>
      <c r="U375" s="2" t="s">
        <v>53</v>
      </c>
      <c r="V375" s="2" t="s">
        <v>461</v>
      </c>
    </row>
    <row r="376" spans="1:22" ht="27" customHeight="1" x14ac:dyDescent="0.3">
      <c r="A376" s="2">
        <v>375</v>
      </c>
      <c r="B376" s="2" t="s">
        <v>1</v>
      </c>
      <c r="C376" s="4">
        <v>45915</v>
      </c>
      <c r="D376" s="4" t="str">
        <f>TEXT(Tabla2[[#This Row],[fecha]],"MMMM")</f>
        <v>Setiembre</v>
      </c>
      <c r="E376" s="2" t="s">
        <v>255</v>
      </c>
      <c r="F376" s="2" t="s">
        <v>415</v>
      </c>
      <c r="G376" s="2" t="s">
        <v>38</v>
      </c>
      <c r="H376" s="2" t="s">
        <v>421</v>
      </c>
      <c r="I376" s="2" t="s">
        <v>39</v>
      </c>
      <c r="J376" s="2">
        <v>3778</v>
      </c>
      <c r="K376" s="2">
        <v>3778</v>
      </c>
      <c r="L376" s="2">
        <v>3778</v>
      </c>
      <c r="M376" s="4">
        <v>45917</v>
      </c>
      <c r="N376" s="5">
        <f>+Tabla2[[#This Row],[fecha_pe]]-Tabla2[[#This Row],[fecha]]</f>
        <v>2</v>
      </c>
      <c r="O376" s="5">
        <f>+Tabla2[[#This Row],[fecha_pe]]-Tabla2[[#This Row],[fecha]]</f>
        <v>2</v>
      </c>
      <c r="P376" s="5" t="e">
        <f>IF([1]!Tabla2[[#This Row],[TIEMPO DE ATENCIÓN REALIZADO]]&lt;=[1]!Tabla2[[#This Row],[TIEMPO DE ATENCIÓN ESPERADO]],"Dentro de plazo","Fuera de plazo")</f>
        <v>#REF!</v>
      </c>
      <c r="Q376" s="6">
        <v>5576.92</v>
      </c>
      <c r="R376" s="2" t="s">
        <v>45</v>
      </c>
      <c r="S376" s="2" t="s">
        <v>56</v>
      </c>
      <c r="T376" s="2" t="s">
        <v>40</v>
      </c>
      <c r="U376" s="2" t="s">
        <v>53</v>
      </c>
      <c r="V376" s="2"/>
    </row>
    <row r="377" spans="1:22" ht="27" customHeight="1" x14ac:dyDescent="0.3">
      <c r="A377" s="2">
        <v>376</v>
      </c>
      <c r="B377" s="2" t="s">
        <v>5</v>
      </c>
      <c r="C377" s="4">
        <v>45918</v>
      </c>
      <c r="D377" s="4" t="str">
        <f>TEXT(Tabla2[[#This Row],[fecha]],"MMMM")</f>
        <v>Setiembre</v>
      </c>
      <c r="E377" s="2" t="s">
        <v>466</v>
      </c>
      <c r="F377" s="2" t="s">
        <v>414</v>
      </c>
      <c r="G377" s="2" t="s">
        <v>58</v>
      </c>
      <c r="H377" s="2" t="s">
        <v>421</v>
      </c>
      <c r="I377" s="2" t="s">
        <v>88</v>
      </c>
      <c r="J377" s="2">
        <v>3779</v>
      </c>
      <c r="K377" s="2">
        <v>3779</v>
      </c>
      <c r="L377" s="2">
        <v>3779</v>
      </c>
      <c r="M377" s="4">
        <v>45918</v>
      </c>
      <c r="N377" s="5">
        <f>+Tabla2[[#This Row],[fecha_pe]]-Tabla2[[#This Row],[fecha]]</f>
        <v>0</v>
      </c>
      <c r="O377" s="5">
        <f>+Tabla2[[#This Row],[fecha_pe]]-Tabla2[[#This Row],[fecha]]</f>
        <v>0</v>
      </c>
      <c r="P377" s="5" t="e">
        <f>IF([1]!Tabla2[[#This Row],[TIEMPO DE ATENCIÓN REALIZADO]]&lt;=[1]!Tabla2[[#This Row],[TIEMPO DE ATENCIÓN ESPERADO]],"Dentro de plazo","Fuera de plazo")</f>
        <v>#REF!</v>
      </c>
      <c r="Q377" s="6">
        <v>1748.6</v>
      </c>
      <c r="R377" s="2" t="s">
        <v>45</v>
      </c>
      <c r="S377" s="2" t="s">
        <v>426</v>
      </c>
      <c r="T377" s="2" t="s">
        <v>40</v>
      </c>
      <c r="U377" s="2" t="s">
        <v>53</v>
      </c>
      <c r="V377" s="2"/>
    </row>
    <row r="378" spans="1:22" ht="27" customHeight="1" x14ac:dyDescent="0.3">
      <c r="A378" s="2">
        <v>377</v>
      </c>
      <c r="B378" s="2" t="s">
        <v>5</v>
      </c>
      <c r="C378" s="4">
        <v>45911</v>
      </c>
      <c r="D378" s="4" t="str">
        <f>TEXT(Tabla2[[#This Row],[fecha]],"MMMM")</f>
        <v>Setiembre</v>
      </c>
      <c r="E378" s="2" t="s">
        <v>467</v>
      </c>
      <c r="F378" s="2" t="s">
        <v>415</v>
      </c>
      <c r="G378" s="2" t="s">
        <v>38</v>
      </c>
      <c r="H378" s="2" t="s">
        <v>421</v>
      </c>
      <c r="I378" s="2" t="s">
        <v>68</v>
      </c>
      <c r="J378" s="2">
        <v>3780</v>
      </c>
      <c r="K378" s="2">
        <v>3780</v>
      </c>
      <c r="L378" s="2">
        <v>3780</v>
      </c>
      <c r="M378" s="4">
        <v>45918</v>
      </c>
      <c r="N378" s="5">
        <f>+Tabla2[[#This Row],[fecha_pe]]-Tabla2[[#This Row],[fecha]]</f>
        <v>7</v>
      </c>
      <c r="O378" s="5">
        <f>+Tabla2[[#This Row],[fecha_pe]]-Tabla2[[#This Row],[fecha]]</f>
        <v>7</v>
      </c>
      <c r="P378" s="5" t="e">
        <f>IF([1]!Tabla2[[#This Row],[TIEMPO DE ATENCIÓN REALIZADO]]&lt;=[1]!Tabla2[[#This Row],[TIEMPO DE ATENCIÓN ESPERADO]],"Dentro de plazo","Fuera de plazo")</f>
        <v>#REF!</v>
      </c>
      <c r="Q378" s="6">
        <v>1156.4000000000001</v>
      </c>
      <c r="R378" s="2" t="s">
        <v>9</v>
      </c>
      <c r="S378" s="2" t="s">
        <v>424</v>
      </c>
      <c r="T378" s="2" t="s">
        <v>46</v>
      </c>
      <c r="U378" s="2" t="s">
        <v>53</v>
      </c>
      <c r="V378" s="2" t="s">
        <v>494</v>
      </c>
    </row>
    <row r="379" spans="1:22" ht="27" customHeight="1" x14ac:dyDescent="0.3">
      <c r="A379" s="2">
        <v>378</v>
      </c>
      <c r="B379" s="2" t="s">
        <v>5</v>
      </c>
      <c r="C379" s="4">
        <v>45911</v>
      </c>
      <c r="D379" s="4" t="str">
        <f>TEXT(Tabla2[[#This Row],[fecha]],"MMMM")</f>
        <v>Setiembre</v>
      </c>
      <c r="E379" s="2" t="s">
        <v>467</v>
      </c>
      <c r="F379" s="2" t="s">
        <v>55</v>
      </c>
      <c r="G379" s="2" t="s">
        <v>38</v>
      </c>
      <c r="H379" s="2" t="s">
        <v>421</v>
      </c>
      <c r="I379" s="2" t="s">
        <v>68</v>
      </c>
      <c r="J379" s="2">
        <v>3780</v>
      </c>
      <c r="K379" s="2">
        <v>3780</v>
      </c>
      <c r="L379" s="2">
        <v>3781</v>
      </c>
      <c r="M379" s="4">
        <v>45918</v>
      </c>
      <c r="N379" s="5">
        <f>+Tabla2[[#This Row],[fecha_pe]]-Tabla2[[#This Row],[fecha]]</f>
        <v>7</v>
      </c>
      <c r="O379" s="5">
        <f>+Tabla2[[#This Row],[fecha_pe]]-Tabla2[[#This Row],[fecha]]</f>
        <v>7</v>
      </c>
      <c r="P379" s="5" t="e">
        <f>IF([1]!Tabla2[[#This Row],[TIEMPO DE ATENCIÓN REALIZADO]]&lt;=[1]!Tabla2[[#This Row],[TIEMPO DE ATENCIÓN ESPERADO]],"Dentro de plazo","Fuera de plazo")</f>
        <v>#REF!</v>
      </c>
      <c r="Q379" s="6">
        <v>300</v>
      </c>
      <c r="R379" s="2" t="s">
        <v>9</v>
      </c>
      <c r="S379" s="2" t="s">
        <v>425</v>
      </c>
      <c r="T379" s="2" t="s">
        <v>40</v>
      </c>
      <c r="U379" s="2" t="s">
        <v>53</v>
      </c>
      <c r="V379" s="2" t="s">
        <v>495</v>
      </c>
    </row>
    <row r="380" spans="1:22" ht="27" customHeight="1" x14ac:dyDescent="0.3">
      <c r="A380" s="2">
        <v>379</v>
      </c>
      <c r="B380" s="2" t="s">
        <v>62</v>
      </c>
      <c r="C380" s="4">
        <v>45917</v>
      </c>
      <c r="D380" s="4" t="str">
        <f>TEXT(Tabla2[[#This Row],[fecha]],"MMMM")</f>
        <v>Setiembre</v>
      </c>
      <c r="E380" s="2" t="s">
        <v>468</v>
      </c>
      <c r="F380" s="2" t="s">
        <v>414</v>
      </c>
      <c r="G380" s="2" t="s">
        <v>44</v>
      </c>
      <c r="H380" s="2" t="s">
        <v>60</v>
      </c>
      <c r="I380" s="2" t="s">
        <v>180</v>
      </c>
      <c r="J380" s="2">
        <v>3782</v>
      </c>
      <c r="K380" s="2">
        <v>3782</v>
      </c>
      <c r="L380" s="2">
        <v>3782</v>
      </c>
      <c r="M380" s="4">
        <v>45919</v>
      </c>
      <c r="N380" s="5">
        <f>+Tabla2[[#This Row],[fecha_pe]]-Tabla2[[#This Row],[fecha]]</f>
        <v>2</v>
      </c>
      <c r="O380" s="5">
        <f>+Tabla2[[#This Row],[fecha_pe]]-Tabla2[[#This Row],[fecha]]</f>
        <v>2</v>
      </c>
      <c r="P380" s="5" t="e">
        <f>IF([1]!Tabla2[[#This Row],[TIEMPO DE ATENCIÓN REALIZADO]]&lt;=[1]!Tabla2[[#This Row],[TIEMPO DE ATENCIÓN ESPERADO]],"Dentro de plazo","Fuera de plazo")</f>
        <v>#REF!</v>
      </c>
      <c r="Q380" s="6">
        <v>1302.72</v>
      </c>
      <c r="R380" s="2" t="s">
        <v>15</v>
      </c>
      <c r="S380" s="2" t="s">
        <v>426</v>
      </c>
      <c r="T380" s="2" t="s">
        <v>40</v>
      </c>
      <c r="U380" s="2" t="s">
        <v>53</v>
      </c>
      <c r="V380" s="2"/>
    </row>
    <row r="381" spans="1:22" ht="27" customHeight="1" x14ac:dyDescent="0.3">
      <c r="A381" s="2">
        <v>380</v>
      </c>
      <c r="B381" s="2" t="s">
        <v>62</v>
      </c>
      <c r="C381" s="4">
        <v>45919</v>
      </c>
      <c r="D381" s="4" t="str">
        <f>TEXT(Tabla2[[#This Row],[fecha]],"MMMM")</f>
        <v>Setiembre</v>
      </c>
      <c r="E381" s="2" t="s">
        <v>344</v>
      </c>
      <c r="F381" s="2" t="s">
        <v>417</v>
      </c>
      <c r="G381" s="2" t="s">
        <v>38</v>
      </c>
      <c r="H381" s="2" t="s">
        <v>60</v>
      </c>
      <c r="I381" s="2" t="s">
        <v>422</v>
      </c>
      <c r="J381" s="2">
        <v>3786</v>
      </c>
      <c r="K381" s="2">
        <v>3786</v>
      </c>
      <c r="L381" s="2">
        <v>3786</v>
      </c>
      <c r="M381" s="4">
        <v>45922</v>
      </c>
      <c r="N381" s="5">
        <f>+Tabla2[[#This Row],[fecha_pe]]-Tabla2[[#This Row],[fecha]]</f>
        <v>3</v>
      </c>
      <c r="O381" s="5">
        <f>+Tabla2[[#This Row],[fecha_pe]]-Tabla2[[#This Row],[fecha]]</f>
        <v>3</v>
      </c>
      <c r="P381" s="5" t="e">
        <f>IF([1]!Tabla2[[#This Row],[TIEMPO DE ATENCIÓN REALIZADO]]&lt;=[1]!Tabla2[[#This Row],[TIEMPO DE ATENCIÓN ESPERADO]],"Dentro de plazo","Fuera de plazo")</f>
        <v>#REF!</v>
      </c>
      <c r="Q381" s="6">
        <v>31881.77</v>
      </c>
      <c r="R381" s="2" t="s">
        <v>45</v>
      </c>
      <c r="S381" s="2" t="s">
        <v>425</v>
      </c>
      <c r="T381" s="2" t="s">
        <v>40</v>
      </c>
      <c r="U381" s="2" t="s">
        <v>41</v>
      </c>
      <c r="V381" s="2"/>
    </row>
    <row r="382" spans="1:22" ht="27" customHeight="1" x14ac:dyDescent="0.3">
      <c r="A382" s="2">
        <v>381</v>
      </c>
      <c r="B382" s="2" t="s">
        <v>413</v>
      </c>
      <c r="C382" s="4">
        <v>45919</v>
      </c>
      <c r="D382" s="4" t="str">
        <f>TEXT(Tabla2[[#This Row],[fecha]],"MMMM")</f>
        <v>Setiembre</v>
      </c>
      <c r="E382" s="2" t="s">
        <v>500</v>
      </c>
      <c r="F382" s="2" t="s">
        <v>72</v>
      </c>
      <c r="G382" s="2" t="s">
        <v>38</v>
      </c>
      <c r="H382" s="2" t="s">
        <v>421</v>
      </c>
      <c r="I382" s="2" t="s">
        <v>88</v>
      </c>
      <c r="J382" s="2">
        <v>3787</v>
      </c>
      <c r="K382" s="2">
        <v>3787</v>
      </c>
      <c r="L382" s="2">
        <v>3787</v>
      </c>
      <c r="M382" s="4">
        <v>45922</v>
      </c>
      <c r="N382" s="5">
        <f>+Tabla2[[#This Row],[fecha_pe]]-Tabla2[[#This Row],[fecha]]</f>
        <v>3</v>
      </c>
      <c r="O382" s="5">
        <f>+Tabla2[[#This Row],[fecha_pe]]-Tabla2[[#This Row],[fecha]]</f>
        <v>3</v>
      </c>
      <c r="P382" s="5" t="e">
        <f>IF([1]!Tabla2[[#This Row],[TIEMPO DE ATENCIÓN REALIZADO]]&lt;=[1]!Tabla2[[#This Row],[TIEMPO DE ATENCIÓN ESPERADO]],"Dentro de plazo","Fuera de plazo")</f>
        <v>#REF!</v>
      </c>
      <c r="Q382" s="6">
        <v>2470.08</v>
      </c>
      <c r="R382" s="2" t="s">
        <v>45</v>
      </c>
      <c r="S382" s="2" t="s">
        <v>425</v>
      </c>
      <c r="T382" s="2" t="s">
        <v>40</v>
      </c>
      <c r="U382" s="2" t="s">
        <v>53</v>
      </c>
      <c r="V382" s="2" t="s">
        <v>501</v>
      </c>
    </row>
    <row r="383" spans="1:22" ht="27" customHeight="1" x14ac:dyDescent="0.3">
      <c r="A383" s="2">
        <v>382</v>
      </c>
      <c r="B383" s="2" t="s">
        <v>62</v>
      </c>
      <c r="C383" s="4">
        <v>45919</v>
      </c>
      <c r="D383" s="4" t="str">
        <f>TEXT(Tabla2[[#This Row],[fecha]],"MMMM")</f>
        <v>Setiembre</v>
      </c>
      <c r="E383" s="2" t="s">
        <v>73</v>
      </c>
      <c r="F383" s="2" t="s">
        <v>414</v>
      </c>
      <c r="G383" s="2" t="s">
        <v>58</v>
      </c>
      <c r="H383" s="2" t="s">
        <v>60</v>
      </c>
      <c r="I383" s="2" t="s">
        <v>39</v>
      </c>
      <c r="J383" s="2">
        <v>3788</v>
      </c>
      <c r="K383" s="2">
        <v>3788</v>
      </c>
      <c r="L383" s="2">
        <v>3788</v>
      </c>
      <c r="M383" s="4">
        <v>45922</v>
      </c>
      <c r="N383" s="5">
        <f>+Tabla2[[#This Row],[fecha_pe]]-Tabla2[[#This Row],[fecha]]</f>
        <v>3</v>
      </c>
      <c r="O383" s="5">
        <f>+Tabla2[[#This Row],[fecha_pe]]-Tabla2[[#This Row],[fecha]]</f>
        <v>3</v>
      </c>
      <c r="P383" s="5" t="e">
        <f>IF([1]!Tabla2[[#This Row],[TIEMPO DE ATENCIÓN REALIZADO]]&lt;=[1]!Tabla2[[#This Row],[TIEMPO DE ATENCIÓN ESPERADO]],"Dentro de plazo","Fuera de plazo")</f>
        <v>#REF!</v>
      </c>
      <c r="Q383" s="6">
        <v>2629.07</v>
      </c>
      <c r="R383" s="2" t="s">
        <v>45</v>
      </c>
      <c r="S383" s="2" t="s">
        <v>425</v>
      </c>
      <c r="T383" s="2" t="s">
        <v>40</v>
      </c>
      <c r="U383" s="2" t="s">
        <v>53</v>
      </c>
      <c r="V383" s="2"/>
    </row>
    <row r="384" spans="1:22" ht="27" customHeight="1" x14ac:dyDescent="0.3">
      <c r="A384" s="2">
        <v>383</v>
      </c>
      <c r="B384" s="2" t="s">
        <v>5</v>
      </c>
      <c r="C384" s="4">
        <v>45917</v>
      </c>
      <c r="D384" s="4" t="str">
        <f>TEXT(Tabla2[[#This Row],[fecha]],"MMMM")</f>
        <v>Setiembre</v>
      </c>
      <c r="E384" s="2" t="s">
        <v>469</v>
      </c>
      <c r="F384" s="2" t="s">
        <v>418</v>
      </c>
      <c r="G384" s="2" t="s">
        <v>58</v>
      </c>
      <c r="H384" s="2" t="s">
        <v>421</v>
      </c>
      <c r="I384" s="2" t="s">
        <v>39</v>
      </c>
      <c r="J384" s="2">
        <v>3789</v>
      </c>
      <c r="K384" s="2">
        <v>3789</v>
      </c>
      <c r="L384" s="2">
        <v>3789</v>
      </c>
      <c r="M384" s="4">
        <v>45922</v>
      </c>
      <c r="N384" s="5">
        <f>+Tabla2[[#This Row],[fecha_pe]]-Tabla2[[#This Row],[fecha]]</f>
        <v>5</v>
      </c>
      <c r="O384" s="5">
        <f>+Tabla2[[#This Row],[fecha_pe]]-Tabla2[[#This Row],[fecha]]</f>
        <v>5</v>
      </c>
      <c r="P384" s="5" t="e">
        <f>IF([1]!Tabla2[[#This Row],[TIEMPO DE ATENCIÓN REALIZADO]]&lt;=[1]!Tabla2[[#This Row],[TIEMPO DE ATENCIÓN ESPERADO]],"Dentro de plazo","Fuera de plazo")</f>
        <v>#REF!</v>
      </c>
      <c r="Q384" s="6">
        <v>27262.53</v>
      </c>
      <c r="R384" s="2" t="s">
        <v>45</v>
      </c>
      <c r="S384" s="2" t="s">
        <v>425</v>
      </c>
      <c r="T384" s="2" t="s">
        <v>40</v>
      </c>
      <c r="U384" s="2" t="s">
        <v>53</v>
      </c>
      <c r="V384" s="2"/>
    </row>
    <row r="385" spans="1:22" ht="27" customHeight="1" x14ac:dyDescent="0.3">
      <c r="A385" s="2">
        <v>384</v>
      </c>
      <c r="B385" s="2" t="s">
        <v>413</v>
      </c>
      <c r="C385" s="4">
        <v>45922</v>
      </c>
      <c r="D385" s="4" t="str">
        <f>TEXT(Tabla2[[#This Row],[fecha]],"MMMM")</f>
        <v>Setiembre</v>
      </c>
      <c r="E385" s="2" t="s">
        <v>500</v>
      </c>
      <c r="F385" s="2" t="s">
        <v>72</v>
      </c>
      <c r="G385" s="2" t="s">
        <v>38</v>
      </c>
      <c r="H385" s="2" t="s">
        <v>60</v>
      </c>
      <c r="I385" s="2" t="s">
        <v>88</v>
      </c>
      <c r="J385" s="2">
        <v>3790</v>
      </c>
      <c r="K385" s="2">
        <v>3790</v>
      </c>
      <c r="L385" s="2">
        <v>3790</v>
      </c>
      <c r="M385" s="4">
        <v>45922</v>
      </c>
      <c r="N385" s="5">
        <f>+Tabla2[[#This Row],[fecha_pe]]-Tabla2[[#This Row],[fecha]]</f>
        <v>0</v>
      </c>
      <c r="O385" s="5">
        <f>+Tabla2[[#This Row],[fecha_pe]]-Tabla2[[#This Row],[fecha]]</f>
        <v>0</v>
      </c>
      <c r="P385" s="5" t="e">
        <f>IF([1]!Tabla2[[#This Row],[TIEMPO DE ATENCIÓN REALIZADO]]&lt;=[1]!Tabla2[[#This Row],[TIEMPO DE ATENCIÓN ESPERADO]],"Dentro de plazo","Fuera de plazo")</f>
        <v>#REF!</v>
      </c>
      <c r="Q385" s="6">
        <v>2232.6799999999998</v>
      </c>
      <c r="R385" s="2" t="s">
        <v>45</v>
      </c>
      <c r="S385" s="2" t="s">
        <v>425</v>
      </c>
      <c r="T385" s="2" t="s">
        <v>40</v>
      </c>
      <c r="U385" s="2" t="s">
        <v>53</v>
      </c>
      <c r="V385" s="2" t="s">
        <v>502</v>
      </c>
    </row>
    <row r="386" spans="1:22" ht="27" customHeight="1" x14ac:dyDescent="0.3">
      <c r="A386" s="2">
        <v>385</v>
      </c>
      <c r="B386" s="2" t="s">
        <v>5</v>
      </c>
      <c r="C386" s="4">
        <v>45922</v>
      </c>
      <c r="D386" s="4" t="str">
        <f>TEXT(Tabla2[[#This Row],[fecha]],"MMMM")</f>
        <v>Setiembre</v>
      </c>
      <c r="E386" s="2" t="s">
        <v>474</v>
      </c>
      <c r="F386" s="2" t="s">
        <v>418</v>
      </c>
      <c r="G386" s="2" t="s">
        <v>38</v>
      </c>
      <c r="H386" s="2" t="s">
        <v>421</v>
      </c>
      <c r="I386" s="2" t="s">
        <v>88</v>
      </c>
      <c r="J386" s="2">
        <v>3791</v>
      </c>
      <c r="K386" s="2">
        <v>3791</v>
      </c>
      <c r="L386" s="2">
        <v>3791</v>
      </c>
      <c r="M386" s="4">
        <v>45924</v>
      </c>
      <c r="N386" s="5">
        <f>+Tabla2[[#This Row],[fecha_pe]]-Tabla2[[#This Row],[fecha]]</f>
        <v>2</v>
      </c>
      <c r="O386" s="5">
        <f>+Tabla2[[#This Row],[fecha_pe]]-Tabla2[[#This Row],[fecha]]</f>
        <v>2</v>
      </c>
      <c r="P386" s="5" t="e">
        <f>IF([1]!Tabla2[[#This Row],[TIEMPO DE ATENCIÓN REALIZADO]]&lt;=[1]!Tabla2[[#This Row],[TIEMPO DE ATENCIÓN ESPERADO]],"Dentro de plazo","Fuera de plazo")</f>
        <v>#REF!</v>
      </c>
      <c r="Q386" s="6">
        <v>1209.5</v>
      </c>
      <c r="R386" s="2" t="s">
        <v>45</v>
      </c>
      <c r="S386" s="2" t="s">
        <v>426</v>
      </c>
      <c r="T386" s="2" t="s">
        <v>40</v>
      </c>
      <c r="U386" s="2" t="s">
        <v>41</v>
      </c>
      <c r="V386" s="2" t="s">
        <v>475</v>
      </c>
    </row>
    <row r="387" spans="1:22" ht="27" customHeight="1" x14ac:dyDescent="0.3">
      <c r="A387" s="2">
        <v>386</v>
      </c>
      <c r="B387" s="2" t="s">
        <v>5</v>
      </c>
      <c r="C387" s="4">
        <v>45922</v>
      </c>
      <c r="D387" s="4" t="str">
        <f>TEXT(Tabla2[[#This Row],[fecha]],"MMMM")</f>
        <v>Setiembre</v>
      </c>
      <c r="E387" s="2" t="s">
        <v>474</v>
      </c>
      <c r="F387" s="2" t="s">
        <v>72</v>
      </c>
      <c r="G387" s="2" t="s">
        <v>38</v>
      </c>
      <c r="H387" s="2" t="s">
        <v>421</v>
      </c>
      <c r="I387" s="2" t="s">
        <v>88</v>
      </c>
      <c r="J387" s="2">
        <v>3793</v>
      </c>
      <c r="K387" s="2">
        <v>3793</v>
      </c>
      <c r="L387" s="2">
        <v>3793</v>
      </c>
      <c r="M387" s="4">
        <v>45924</v>
      </c>
      <c r="N387" s="5">
        <f>+Tabla2[[#This Row],[fecha_pe]]-Tabla2[[#This Row],[fecha]]</f>
        <v>2</v>
      </c>
      <c r="O387" s="5">
        <f>+Tabla2[[#This Row],[fecha_pe]]-Tabla2[[#This Row],[fecha]]</f>
        <v>2</v>
      </c>
      <c r="P387" s="5" t="e">
        <f>IF([1]!Tabla2[[#This Row],[TIEMPO DE ATENCIÓN REALIZADO]]&lt;=[1]!Tabla2[[#This Row],[TIEMPO DE ATENCIÓN ESPERADO]],"Dentro de plazo","Fuera de plazo")</f>
        <v>#REF!</v>
      </c>
      <c r="Q387" s="6">
        <v>1603.9</v>
      </c>
      <c r="R387" s="2" t="s">
        <v>9</v>
      </c>
      <c r="S387" s="2" t="s">
        <v>56</v>
      </c>
      <c r="T387" s="2" t="s">
        <v>40</v>
      </c>
      <c r="U387" s="2" t="s">
        <v>41</v>
      </c>
      <c r="V387" s="2" t="s">
        <v>476</v>
      </c>
    </row>
    <row r="388" spans="1:22" ht="27" customHeight="1" x14ac:dyDescent="0.3">
      <c r="A388" s="2">
        <v>387</v>
      </c>
      <c r="B388" s="2" t="s">
        <v>62</v>
      </c>
      <c r="C388" s="4">
        <v>45921</v>
      </c>
      <c r="D388" s="4" t="str">
        <f>TEXT(Tabla2[[#This Row],[fecha]],"MMMM")</f>
        <v>Setiembre</v>
      </c>
      <c r="E388" s="2" t="s">
        <v>477</v>
      </c>
      <c r="F388" s="2" t="s">
        <v>415</v>
      </c>
      <c r="G388" s="2" t="s">
        <v>83</v>
      </c>
      <c r="H388" s="2" t="s">
        <v>421</v>
      </c>
      <c r="I388" s="2" t="s">
        <v>39</v>
      </c>
      <c r="J388" s="2">
        <v>3795</v>
      </c>
      <c r="K388" s="2">
        <v>3795</v>
      </c>
      <c r="L388" s="2">
        <v>3795</v>
      </c>
      <c r="M388" s="4">
        <v>45922</v>
      </c>
      <c r="N388" s="5">
        <f>+Tabla2[[#This Row],[fecha_pe]]-Tabla2[[#This Row],[fecha]]</f>
        <v>1</v>
      </c>
      <c r="O388" s="5">
        <f>+Tabla2[[#This Row],[fecha_pe]]-Tabla2[[#This Row],[fecha]]</f>
        <v>1</v>
      </c>
      <c r="P388" s="5" t="e">
        <f>IF([1]!Tabla2[[#This Row],[TIEMPO DE ATENCIÓN REALIZADO]]&lt;=[1]!Tabla2[[#This Row],[TIEMPO DE ATENCIÓN ESPERADO]],"Dentro de plazo","Fuera de plazo")</f>
        <v>#REF!</v>
      </c>
      <c r="Q388" s="6">
        <v>3120</v>
      </c>
      <c r="R388" s="2" t="s">
        <v>45</v>
      </c>
      <c r="S388" s="2" t="s">
        <v>425</v>
      </c>
      <c r="T388" s="2" t="s">
        <v>40</v>
      </c>
      <c r="U388" s="2" t="s">
        <v>53</v>
      </c>
      <c r="V388" s="2"/>
    </row>
    <row r="389" spans="1:22" ht="27" customHeight="1" x14ac:dyDescent="0.3">
      <c r="A389" s="2">
        <v>388</v>
      </c>
      <c r="B389" s="2" t="s">
        <v>62</v>
      </c>
      <c r="C389" s="4">
        <v>45921</v>
      </c>
      <c r="D389" s="4" t="str">
        <f>TEXT(Tabla2[[#This Row],[fecha]],"MMMM")</f>
        <v>Setiembre</v>
      </c>
      <c r="E389" s="2" t="s">
        <v>478</v>
      </c>
      <c r="F389" s="2" t="s">
        <v>58</v>
      </c>
      <c r="G389" s="2" t="s">
        <v>421</v>
      </c>
      <c r="H389" s="2" t="s">
        <v>68</v>
      </c>
      <c r="I389" s="2">
        <v>3796</v>
      </c>
      <c r="J389" s="2">
        <v>3796</v>
      </c>
      <c r="K389" s="2">
        <v>3796</v>
      </c>
      <c r="L389" s="2">
        <v>3796</v>
      </c>
      <c r="M389" s="4">
        <v>45923</v>
      </c>
      <c r="N389" s="5">
        <f>+Tabla2[[#This Row],[fecha_pe]]-Tabla2[[#This Row],[fecha]]</f>
        <v>2</v>
      </c>
      <c r="O389" s="5">
        <f>+Tabla2[[#This Row],[fecha_pe]]-Tabla2[[#This Row],[fecha]]</f>
        <v>2</v>
      </c>
      <c r="P389" s="5" t="e">
        <f>IF([1]!Tabla2[[#This Row],[TIEMPO DE ATENCIÓN REALIZADO]]&lt;=[1]!Tabla2[[#This Row],[TIEMPO DE ATENCIÓN ESPERADO]],"Dentro de plazo","Fuera de plazo")</f>
        <v>#REF!</v>
      </c>
      <c r="Q389" s="6"/>
      <c r="R389" s="2"/>
      <c r="S389" s="2" t="s">
        <v>427</v>
      </c>
      <c r="T389" s="2" t="s">
        <v>40</v>
      </c>
      <c r="U389" s="2" t="s">
        <v>53</v>
      </c>
      <c r="V389" s="2"/>
    </row>
    <row r="390" spans="1:22" ht="27" customHeight="1" x14ac:dyDescent="0.3">
      <c r="A390" s="2">
        <v>389</v>
      </c>
      <c r="B390" s="2" t="s">
        <v>5</v>
      </c>
      <c r="C390" s="4">
        <v>45923</v>
      </c>
      <c r="D390" s="4" t="str">
        <f>TEXT(Tabla2[[#This Row],[fecha]],"MMMM")</f>
        <v>Setiembre</v>
      </c>
      <c r="E390" s="2" t="s">
        <v>479</v>
      </c>
      <c r="F390" s="2" t="s">
        <v>82</v>
      </c>
      <c r="G390" s="2" t="s">
        <v>58</v>
      </c>
      <c r="H390" s="2" t="s">
        <v>421</v>
      </c>
      <c r="I390" s="2" t="s">
        <v>68</v>
      </c>
      <c r="J390" s="2">
        <v>3797</v>
      </c>
      <c r="K390" s="2">
        <v>3797</v>
      </c>
      <c r="L390" s="2">
        <v>3797</v>
      </c>
      <c r="M390" s="4">
        <v>45924</v>
      </c>
      <c r="N390" s="5">
        <f>+Tabla2[[#This Row],[fecha_pe]]-Tabla2[[#This Row],[fecha]]</f>
        <v>1</v>
      </c>
      <c r="O390" s="5">
        <f>+Tabla2[[#This Row],[fecha_pe]]-Tabla2[[#This Row],[fecha]]</f>
        <v>1</v>
      </c>
      <c r="P390" s="5" t="e">
        <f>IF([1]!Tabla2[[#This Row],[TIEMPO DE ATENCIÓN REALIZADO]]&lt;=[1]!Tabla2[[#This Row],[TIEMPO DE ATENCIÓN ESPERADO]],"Dentro de plazo","Fuera de plazo")</f>
        <v>#REF!</v>
      </c>
      <c r="Q390" s="6">
        <v>2192.7600000000002</v>
      </c>
      <c r="R390" s="2" t="s">
        <v>45</v>
      </c>
      <c r="S390" s="2" t="s">
        <v>425</v>
      </c>
      <c r="T390" s="2" t="s">
        <v>40</v>
      </c>
      <c r="U390" s="2" t="s">
        <v>53</v>
      </c>
      <c r="V390" s="2" t="s">
        <v>481</v>
      </c>
    </row>
    <row r="391" spans="1:22" ht="27" customHeight="1" x14ac:dyDescent="0.3">
      <c r="A391" s="2">
        <v>390</v>
      </c>
      <c r="B391" s="2" t="s">
        <v>5</v>
      </c>
      <c r="C391" s="4">
        <v>45923</v>
      </c>
      <c r="D391" s="4" t="str">
        <f>TEXT(Tabla2[[#This Row],[fecha]],"MMMM")</f>
        <v>Setiembre</v>
      </c>
      <c r="E391" s="2" t="s">
        <v>479</v>
      </c>
      <c r="F391" s="2" t="s">
        <v>82</v>
      </c>
      <c r="G391" s="2" t="s">
        <v>58</v>
      </c>
      <c r="H391" s="2" t="s">
        <v>421</v>
      </c>
      <c r="I391" s="2" t="s">
        <v>68</v>
      </c>
      <c r="J391" s="2">
        <v>3797</v>
      </c>
      <c r="K391" s="2">
        <v>3797</v>
      </c>
      <c r="L391" s="2">
        <v>3798</v>
      </c>
      <c r="M391" s="4">
        <v>45924</v>
      </c>
      <c r="N391" s="5">
        <f>+Tabla2[[#This Row],[fecha_pe]]-Tabla2[[#This Row],[fecha]]</f>
        <v>1</v>
      </c>
      <c r="O391" s="5">
        <f>+Tabla2[[#This Row],[fecha_pe]]-Tabla2[[#This Row],[fecha]]</f>
        <v>1</v>
      </c>
      <c r="P391" s="5" t="e">
        <f>IF([1]!Tabla2[[#This Row],[TIEMPO DE ATENCIÓN REALIZADO]]&lt;=[1]!Tabla2[[#This Row],[TIEMPO DE ATENCIÓN ESPERADO]],"Dentro de plazo","Fuera de plazo")</f>
        <v>#REF!</v>
      </c>
      <c r="Q391" s="6">
        <v>2692.76</v>
      </c>
      <c r="R391" s="2" t="s">
        <v>45</v>
      </c>
      <c r="S391" s="2" t="s">
        <v>425</v>
      </c>
      <c r="T391" s="2" t="s">
        <v>40</v>
      </c>
      <c r="U391" s="2" t="s">
        <v>53</v>
      </c>
      <c r="V391" s="2" t="s">
        <v>480</v>
      </c>
    </row>
    <row r="392" spans="1:22" ht="27" customHeight="1" x14ac:dyDescent="0.3">
      <c r="A392" s="2">
        <v>391</v>
      </c>
      <c r="B392" s="2" t="s">
        <v>413</v>
      </c>
      <c r="C392" s="4">
        <v>45924</v>
      </c>
      <c r="D392" s="4" t="str">
        <f>TEXT(Tabla2[[#This Row],[fecha]],"MMMM")</f>
        <v>Setiembre</v>
      </c>
      <c r="E392" s="2" t="s">
        <v>482</v>
      </c>
      <c r="F392" s="2" t="s">
        <v>414</v>
      </c>
      <c r="G392" s="2" t="s">
        <v>419</v>
      </c>
      <c r="H392" s="2" t="s">
        <v>421</v>
      </c>
      <c r="I392" s="2" t="s">
        <v>88</v>
      </c>
      <c r="J392" s="2">
        <v>3799</v>
      </c>
      <c r="K392" s="2">
        <v>3799</v>
      </c>
      <c r="L392" s="2">
        <v>3799</v>
      </c>
      <c r="M392" s="4">
        <v>45925</v>
      </c>
      <c r="N392" s="5">
        <f>+Tabla2[[#This Row],[fecha_pe]]-Tabla2[[#This Row],[fecha]]</f>
        <v>1</v>
      </c>
      <c r="O392" s="5">
        <f>+Tabla2[[#This Row],[fecha_pe]]-Tabla2[[#This Row],[fecha]]</f>
        <v>1</v>
      </c>
      <c r="P392" s="5" t="e">
        <f>IF([1]!Tabla2[[#This Row],[TIEMPO DE ATENCIÓN REALIZADO]]&lt;=[1]!Tabla2[[#This Row],[TIEMPO DE ATENCIÓN ESPERADO]],"Dentro de plazo","Fuera de plazo")</f>
        <v>#REF!</v>
      </c>
      <c r="Q392" s="6">
        <v>1995.71</v>
      </c>
      <c r="R392" s="2" t="s">
        <v>9</v>
      </c>
      <c r="S392" s="2" t="s">
        <v>425</v>
      </c>
      <c r="T392" s="2" t="s">
        <v>40</v>
      </c>
      <c r="U392" s="2" t="s">
        <v>53</v>
      </c>
      <c r="V392" s="2" t="s">
        <v>503</v>
      </c>
    </row>
    <row r="393" spans="1:22" ht="27" customHeight="1" x14ac:dyDescent="0.3">
      <c r="A393" s="2">
        <v>392</v>
      </c>
      <c r="B393" s="2" t="s">
        <v>62</v>
      </c>
      <c r="C393" s="4">
        <v>45921</v>
      </c>
      <c r="D393" s="4" t="str">
        <f>TEXT(Tabla2[[#This Row],[fecha]],"MMMM")</f>
        <v>Setiembre</v>
      </c>
      <c r="E393" s="2" t="s">
        <v>483</v>
      </c>
      <c r="F393" s="2" t="s">
        <v>415</v>
      </c>
      <c r="G393" s="2" t="s">
        <v>58</v>
      </c>
      <c r="H393" s="2" t="s">
        <v>60</v>
      </c>
      <c r="I393" s="2" t="s">
        <v>39</v>
      </c>
      <c r="J393" s="2">
        <v>3800</v>
      </c>
      <c r="K393" s="2">
        <v>3800</v>
      </c>
      <c r="L393" s="2">
        <v>3800</v>
      </c>
      <c r="M393" s="4">
        <v>45926</v>
      </c>
      <c r="N393" s="5">
        <f>+Tabla2[[#This Row],[fecha_pe]]-Tabla2[[#This Row],[fecha]]</f>
        <v>5</v>
      </c>
      <c r="O393" s="5">
        <f>+Tabla2[[#This Row],[fecha_pe]]-Tabla2[[#This Row],[fecha]]</f>
        <v>5</v>
      </c>
      <c r="P393" s="5" t="e">
        <f>IF([1]!Tabla2[[#This Row],[TIEMPO DE ATENCIÓN REALIZADO]]&lt;=[1]!Tabla2[[#This Row],[TIEMPO DE ATENCIÓN ESPERADO]],"Dentro de plazo","Fuera de plazo")</f>
        <v>#REF!</v>
      </c>
      <c r="Q393" s="6"/>
      <c r="R393" s="2"/>
      <c r="S393" s="2" t="s">
        <v>425</v>
      </c>
      <c r="T393" s="2" t="s">
        <v>40</v>
      </c>
      <c r="U393" s="2" t="s">
        <v>53</v>
      </c>
      <c r="V393" s="2"/>
    </row>
    <row r="394" spans="1:22" ht="27" customHeight="1" x14ac:dyDescent="0.3">
      <c r="A394" s="2">
        <v>393</v>
      </c>
      <c r="B394" s="2" t="s">
        <v>62</v>
      </c>
      <c r="C394" s="4">
        <v>45921</v>
      </c>
      <c r="D394" s="4" t="str">
        <f>TEXT(Tabla2[[#This Row],[fecha]],"MMMM")</f>
        <v>Setiembre</v>
      </c>
      <c r="E394" s="2" t="s">
        <v>484</v>
      </c>
      <c r="F394" s="2" t="s">
        <v>55</v>
      </c>
      <c r="G394" s="2" t="s">
        <v>58</v>
      </c>
      <c r="H394" s="2" t="s">
        <v>60</v>
      </c>
      <c r="I394" s="2" t="s">
        <v>39</v>
      </c>
      <c r="J394" s="2">
        <v>3801</v>
      </c>
      <c r="K394" s="2">
        <v>3801</v>
      </c>
      <c r="L394" s="2">
        <v>3801</v>
      </c>
      <c r="M394" s="4">
        <v>45926</v>
      </c>
      <c r="N394" s="5">
        <f>+Tabla2[[#This Row],[fecha_pe]]-Tabla2[[#This Row],[fecha]]</f>
        <v>5</v>
      </c>
      <c r="O394" s="5">
        <f>+Tabla2[[#This Row],[fecha_pe]]-Tabla2[[#This Row],[fecha]]</f>
        <v>5</v>
      </c>
      <c r="P394" s="5" t="e">
        <f>IF([1]!Tabla2[[#This Row],[TIEMPO DE ATENCIÓN REALIZADO]]&lt;=[1]!Tabla2[[#This Row],[TIEMPO DE ATENCIÓN ESPERADO]],"Dentro de plazo","Fuera de plazo")</f>
        <v>#REF!</v>
      </c>
      <c r="Q394" s="6"/>
      <c r="R394" s="2"/>
      <c r="S394" s="2" t="s">
        <v>425</v>
      </c>
      <c r="T394" s="2" t="s">
        <v>40</v>
      </c>
      <c r="U394" s="2" t="s">
        <v>53</v>
      </c>
      <c r="V394" s="2"/>
    </row>
    <row r="395" spans="1:22" ht="27" customHeight="1" x14ac:dyDescent="0.3">
      <c r="A395" s="2">
        <v>394</v>
      </c>
      <c r="B395" s="2" t="s">
        <v>62</v>
      </c>
      <c r="C395" s="4">
        <v>45921</v>
      </c>
      <c r="D395" s="4" t="str">
        <f>TEXT(Tabla2[[#This Row],[fecha]],"MMMM")</f>
        <v>Setiembre</v>
      </c>
      <c r="E395" s="2" t="s">
        <v>485</v>
      </c>
      <c r="F395" s="2" t="s">
        <v>414</v>
      </c>
      <c r="G395" s="2" t="s">
        <v>419</v>
      </c>
      <c r="H395" s="2" t="s">
        <v>421</v>
      </c>
      <c r="I395" s="2" t="s">
        <v>418</v>
      </c>
      <c r="J395" s="2">
        <v>3802</v>
      </c>
      <c r="K395" s="2">
        <v>3802</v>
      </c>
      <c r="L395" s="2">
        <v>3802</v>
      </c>
      <c r="M395" s="4">
        <v>45926</v>
      </c>
      <c r="N395" s="5">
        <v>2</v>
      </c>
      <c r="O395" s="5">
        <v>2</v>
      </c>
      <c r="P395" s="5" t="e">
        <f>IF([1]!Tabla2[[#This Row],[TIEMPO DE ATENCIÓN REALIZADO]]&lt;=[1]!Tabla2[[#This Row],[TIEMPO DE ATENCIÓN ESPERADO]],"Dentro de plazo","Fuera de plazo")</f>
        <v>#REF!</v>
      </c>
      <c r="Q395" s="6">
        <v>589.67999999999995</v>
      </c>
      <c r="R395" s="2" t="s">
        <v>13</v>
      </c>
      <c r="S395" s="2" t="s">
        <v>425</v>
      </c>
      <c r="T395" s="2" t="s">
        <v>40</v>
      </c>
      <c r="U395" s="2" t="s">
        <v>53</v>
      </c>
      <c r="V395" s="2" t="s">
        <v>523</v>
      </c>
    </row>
    <row r="396" spans="1:22" ht="27" customHeight="1" x14ac:dyDescent="0.3">
      <c r="A396" s="2">
        <v>395</v>
      </c>
      <c r="B396" s="2" t="s">
        <v>5</v>
      </c>
      <c r="C396" s="4">
        <v>45924</v>
      </c>
      <c r="D396" s="4" t="str">
        <f>TEXT(Tabla2[[#This Row],[fecha]],"MMMM")</f>
        <v>Setiembre</v>
      </c>
      <c r="E396" s="2" t="s">
        <v>63</v>
      </c>
      <c r="F396" s="2" t="s">
        <v>418</v>
      </c>
      <c r="G396" s="2" t="s">
        <v>38</v>
      </c>
      <c r="H396" s="2" t="s">
        <v>421</v>
      </c>
      <c r="I396" s="2" t="s">
        <v>418</v>
      </c>
      <c r="J396" s="2">
        <v>3803</v>
      </c>
      <c r="K396" s="2">
        <v>3803</v>
      </c>
      <c r="L396" s="2">
        <v>3803</v>
      </c>
      <c r="M396" s="4">
        <v>45926</v>
      </c>
      <c r="N396" s="5">
        <f>+Tabla2[[#This Row],[fecha_pe]]-Tabla2[[#This Row],[fecha]]</f>
        <v>2</v>
      </c>
      <c r="O396" s="5">
        <f>+Tabla2[[#This Row],[fecha_pe]]-Tabla2[[#This Row],[fecha]]</f>
        <v>2</v>
      </c>
      <c r="P396" s="5" t="e">
        <f>IF([1]!Tabla2[[#This Row],[TIEMPO DE ATENCIÓN REALIZADO]]&lt;=[1]!Tabla2[[#This Row],[TIEMPO DE ATENCIÓN ESPERADO]],"Dentro de plazo","Fuera de plazo")</f>
        <v>#REF!</v>
      </c>
      <c r="Q396" s="6">
        <v>11032.96</v>
      </c>
      <c r="R396" s="2" t="s">
        <v>45</v>
      </c>
      <c r="S396" s="2" t="s">
        <v>425</v>
      </c>
      <c r="T396" s="2" t="s">
        <v>40</v>
      </c>
      <c r="U396" s="2" t="s">
        <v>41</v>
      </c>
      <c r="V396" s="2" t="s">
        <v>486</v>
      </c>
    </row>
    <row r="397" spans="1:22" ht="27" customHeight="1" x14ac:dyDescent="0.3">
      <c r="A397" s="2">
        <v>396</v>
      </c>
      <c r="B397" s="2" t="s">
        <v>62</v>
      </c>
      <c r="C397" s="4">
        <v>45921</v>
      </c>
      <c r="D397" s="4" t="str">
        <f>TEXT(Tabla2[[#This Row],[fecha]],"MMMM")</f>
        <v>Setiembre</v>
      </c>
      <c r="E397" s="2" t="s">
        <v>487</v>
      </c>
      <c r="F397" s="2" t="s">
        <v>82</v>
      </c>
      <c r="G397" s="2" t="s">
        <v>58</v>
      </c>
      <c r="H397" s="2" t="s">
        <v>421</v>
      </c>
      <c r="I397" s="2" t="s">
        <v>68</v>
      </c>
      <c r="J397" s="2">
        <v>3804</v>
      </c>
      <c r="K397" s="2">
        <v>3804</v>
      </c>
      <c r="L397" s="2">
        <v>3804</v>
      </c>
      <c r="M397" s="4">
        <v>45924</v>
      </c>
      <c r="N397" s="5">
        <v>2</v>
      </c>
      <c r="O397" s="5">
        <f>+Tabla2[[#This Row],[fecha_pe]]-Tabla2[[#This Row],[fecha]]</f>
        <v>3</v>
      </c>
      <c r="P397" s="5" t="e">
        <f>IF([1]!Tabla2[[#This Row],[TIEMPO DE ATENCIÓN REALIZADO]]&lt;=[1]!Tabla2[[#This Row],[TIEMPO DE ATENCIÓN ESPERADO]],"Dentro de plazo","Fuera de plazo")</f>
        <v>#REF!</v>
      </c>
      <c r="Q397" s="6"/>
      <c r="R397" s="2"/>
      <c r="S397" s="2" t="s">
        <v>424</v>
      </c>
      <c r="T397" s="2" t="s">
        <v>40</v>
      </c>
      <c r="U397" s="2" t="s">
        <v>53</v>
      </c>
      <c r="V397" s="2"/>
    </row>
    <row r="398" spans="1:22" ht="27" customHeight="1" x14ac:dyDescent="0.3">
      <c r="A398" s="2">
        <v>397</v>
      </c>
      <c r="B398" s="2" t="s">
        <v>62</v>
      </c>
      <c r="C398" s="4">
        <v>45921</v>
      </c>
      <c r="D398" s="4" t="str">
        <f>TEXT(Tabla2[[#This Row],[fecha]],"MMMM")</f>
        <v>Setiembre</v>
      </c>
      <c r="E398" s="2" t="s">
        <v>488</v>
      </c>
      <c r="F398" s="2" t="s">
        <v>82</v>
      </c>
      <c r="G398" s="2" t="s">
        <v>58</v>
      </c>
      <c r="H398" s="2" t="s">
        <v>421</v>
      </c>
      <c r="I398" s="2" t="s">
        <v>68</v>
      </c>
      <c r="J398" s="2">
        <v>3805</v>
      </c>
      <c r="K398" s="2">
        <v>3805</v>
      </c>
      <c r="L398" s="2">
        <v>3805</v>
      </c>
      <c r="M398" s="4">
        <v>45924</v>
      </c>
      <c r="N398" s="5">
        <v>2</v>
      </c>
      <c r="O398" s="5">
        <f>+Tabla2[[#This Row],[fecha_pe]]-Tabla2[[#This Row],[fecha]]</f>
        <v>3</v>
      </c>
      <c r="P398" s="5" t="e">
        <f>IF([1]!Tabla2[[#This Row],[TIEMPO DE ATENCIÓN REALIZADO]]&lt;=[1]!Tabla2[[#This Row],[TIEMPO DE ATENCIÓN ESPERADO]],"Dentro de plazo","Fuera de plazo")</f>
        <v>#REF!</v>
      </c>
      <c r="Q398" s="6"/>
      <c r="R398" s="2"/>
      <c r="S398" s="2" t="s">
        <v>425</v>
      </c>
      <c r="T398" s="2" t="s">
        <v>40</v>
      </c>
      <c r="U398" s="2" t="s">
        <v>53</v>
      </c>
      <c r="V398" s="2"/>
    </row>
    <row r="399" spans="1:22" ht="27" customHeight="1" x14ac:dyDescent="0.3">
      <c r="A399" s="2">
        <v>398</v>
      </c>
      <c r="B399" s="2" t="s">
        <v>62</v>
      </c>
      <c r="C399" s="4">
        <v>45921</v>
      </c>
      <c r="D399" s="4" t="str">
        <f>TEXT(Tabla2[[#This Row],[fecha]],"MMMM")</f>
        <v>Setiembre</v>
      </c>
      <c r="E399" s="2" t="s">
        <v>489</v>
      </c>
      <c r="F399" s="2" t="s">
        <v>414</v>
      </c>
      <c r="G399" s="2" t="s">
        <v>419</v>
      </c>
      <c r="H399" s="2" t="s">
        <v>421</v>
      </c>
      <c r="I399" s="2" t="s">
        <v>418</v>
      </c>
      <c r="J399" s="2">
        <v>3806</v>
      </c>
      <c r="K399" s="2">
        <v>3806</v>
      </c>
      <c r="L399" s="2">
        <v>3806</v>
      </c>
      <c r="M399" s="4">
        <v>45926</v>
      </c>
      <c r="N399" s="5">
        <v>2</v>
      </c>
      <c r="O399" s="5">
        <f>+Tabla2[[#This Row],[fecha_pe]]-Tabla2[[#This Row],[fecha]]</f>
        <v>5</v>
      </c>
      <c r="P399" s="5" t="e">
        <f>IF([1]!Tabla2[[#This Row],[TIEMPO DE ATENCIÓN REALIZADO]]&lt;=[1]!Tabla2[[#This Row],[TIEMPO DE ATENCIÓN ESPERADO]],"Dentro de plazo","Fuera de plazo")</f>
        <v>#REF!</v>
      </c>
      <c r="Q399" s="6">
        <v>1097.47</v>
      </c>
      <c r="R399" s="2" t="s">
        <v>15</v>
      </c>
      <c r="S399" s="2" t="s">
        <v>425</v>
      </c>
      <c r="T399" s="2" t="s">
        <v>40</v>
      </c>
      <c r="U399" s="2" t="s">
        <v>53</v>
      </c>
      <c r="V399" s="2" t="s">
        <v>523</v>
      </c>
    </row>
    <row r="400" spans="1:22" ht="27" customHeight="1" x14ac:dyDescent="0.3">
      <c r="A400" s="2">
        <v>399</v>
      </c>
      <c r="B400" s="2" t="s">
        <v>5</v>
      </c>
      <c r="C400" s="4">
        <v>45929</v>
      </c>
      <c r="D400" s="4" t="str">
        <f>TEXT(Tabla2[[#This Row],[fecha]],"MMMM")</f>
        <v>Setiembre</v>
      </c>
      <c r="E400" s="2" t="s">
        <v>374</v>
      </c>
      <c r="F400" s="2" t="s">
        <v>72</v>
      </c>
      <c r="G400" s="2" t="s">
        <v>38</v>
      </c>
      <c r="H400" s="2" t="s">
        <v>421</v>
      </c>
      <c r="I400" s="2" t="s">
        <v>39</v>
      </c>
      <c r="J400" s="2">
        <v>3807</v>
      </c>
      <c r="K400" s="2">
        <v>3807</v>
      </c>
      <c r="L400" s="2">
        <v>3807</v>
      </c>
      <c r="M400" s="4">
        <v>45929</v>
      </c>
      <c r="N400" s="5">
        <f>+Tabla2[[#This Row],[fecha_pe]]-Tabla2[[#This Row],[fecha]]</f>
        <v>0</v>
      </c>
      <c r="O400" s="5">
        <f>+Tabla2[[#This Row],[fecha_pe]]-Tabla2[[#This Row],[fecha]]</f>
        <v>0</v>
      </c>
      <c r="P400" s="5" t="e">
        <f>IF([1]!Tabla2[[#This Row],[TIEMPO DE ATENCIÓN REALIZADO]]&lt;=[1]!Tabla2[[#This Row],[TIEMPO DE ATENCIÓN ESPERADO]],"Dentro de plazo","Fuera de plazo")</f>
        <v>#REF!</v>
      </c>
      <c r="Q400" s="6">
        <v>4973.6000000000004</v>
      </c>
      <c r="R400" s="2" t="s">
        <v>15</v>
      </c>
      <c r="S400" s="2" t="s">
        <v>424</v>
      </c>
      <c r="T400" s="2" t="s">
        <v>46</v>
      </c>
      <c r="U400" s="2" t="s">
        <v>41</v>
      </c>
      <c r="V400" s="2"/>
    </row>
    <row r="401" spans="1:22" ht="27" customHeight="1" x14ac:dyDescent="0.3">
      <c r="A401" s="2">
        <v>400</v>
      </c>
      <c r="B401" s="2" t="s">
        <v>62</v>
      </c>
      <c r="C401" s="4">
        <v>45921</v>
      </c>
      <c r="D401" s="4" t="str">
        <f>TEXT(Tabla2[[#This Row],[fecha]],"MMMM")</f>
        <v>Setiembre</v>
      </c>
      <c r="E401" s="2" t="s">
        <v>487</v>
      </c>
      <c r="F401" s="2" t="s">
        <v>82</v>
      </c>
      <c r="G401" s="2" t="s">
        <v>58</v>
      </c>
      <c r="H401" s="2" t="s">
        <v>421</v>
      </c>
      <c r="I401" s="2" t="s">
        <v>68</v>
      </c>
      <c r="J401" s="2">
        <v>3808</v>
      </c>
      <c r="K401" s="2">
        <v>3808</v>
      </c>
      <c r="L401" s="2">
        <v>3808</v>
      </c>
      <c r="M401" s="4">
        <v>45931</v>
      </c>
      <c r="N401" s="5">
        <f>+Tabla2[[#This Row],[fecha_pe]]-Tabla2[[#This Row],[fecha]]</f>
        <v>10</v>
      </c>
      <c r="O401" s="5">
        <f>+Tabla2[[#This Row],[fecha_pe]]-Tabla2[[#This Row],[fecha]]</f>
        <v>10</v>
      </c>
      <c r="P401" s="5" t="e">
        <f>IF([1]!Tabla2[[#This Row],[TIEMPO DE ATENCIÓN REALIZADO]]&lt;=[1]!Tabla2[[#This Row],[TIEMPO DE ATENCIÓN ESPERADO]],"Dentro de plazo","Fuera de plazo")</f>
        <v>#REF!</v>
      </c>
      <c r="Q401" s="6"/>
      <c r="R401" s="2"/>
      <c r="S401" s="2" t="s">
        <v>425</v>
      </c>
      <c r="T401" s="2" t="s">
        <v>40</v>
      </c>
      <c r="U401" s="2" t="s">
        <v>53</v>
      </c>
      <c r="V401" s="2"/>
    </row>
    <row r="402" spans="1:22" ht="27" customHeight="1" x14ac:dyDescent="0.3">
      <c r="A402" s="2">
        <v>401</v>
      </c>
      <c r="B402" s="2" t="s">
        <v>413</v>
      </c>
      <c r="C402" s="4">
        <v>45926</v>
      </c>
      <c r="D402" s="4" t="str">
        <f>TEXT(Tabla2[[#This Row],[fecha]],"MMMM")</f>
        <v>Setiembre</v>
      </c>
      <c r="E402" s="2" t="s">
        <v>490</v>
      </c>
      <c r="F402" s="2" t="s">
        <v>414</v>
      </c>
      <c r="G402" s="2" t="s">
        <v>38</v>
      </c>
      <c r="H402" s="2" t="s">
        <v>421</v>
      </c>
      <c r="I402" s="2" t="s">
        <v>242</v>
      </c>
      <c r="J402" s="2">
        <v>3809</v>
      </c>
      <c r="K402" s="2">
        <v>3809</v>
      </c>
      <c r="L402" s="2">
        <v>3809</v>
      </c>
      <c r="M402" s="4">
        <v>45929</v>
      </c>
      <c r="N402" s="5">
        <f>+Tabla2[[#This Row],[fecha_pe]]-Tabla2[[#This Row],[fecha]]</f>
        <v>3</v>
      </c>
      <c r="O402" s="5">
        <f>+Tabla2[[#This Row],[fecha_pe]]-Tabla2[[#This Row],[fecha]]</f>
        <v>3</v>
      </c>
      <c r="P402" s="5" t="e">
        <f>IF([1]!Tabla2[[#This Row],[TIEMPO DE ATENCIÓN REALIZADO]]&lt;=[1]!Tabla2[[#This Row],[TIEMPO DE ATENCIÓN ESPERADO]],"Dentro de plazo","Fuera de plazo")</f>
        <v>#REF!</v>
      </c>
      <c r="Q402" s="6">
        <v>2696.81</v>
      </c>
      <c r="R402" s="2" t="s">
        <v>9</v>
      </c>
      <c r="S402" s="2" t="s">
        <v>425</v>
      </c>
      <c r="T402" s="2" t="s">
        <v>40</v>
      </c>
      <c r="U402" s="2" t="s">
        <v>41</v>
      </c>
      <c r="V402" s="2" t="s">
        <v>501</v>
      </c>
    </row>
    <row r="403" spans="1:22" ht="27" customHeight="1" x14ac:dyDescent="0.3">
      <c r="A403" s="2">
        <v>402</v>
      </c>
      <c r="B403" s="2" t="s">
        <v>5</v>
      </c>
      <c r="C403" s="4">
        <v>45929</v>
      </c>
      <c r="D403" s="4" t="str">
        <f>TEXT(Tabla2[[#This Row],[fecha]],"MMMM")</f>
        <v>Setiembre</v>
      </c>
      <c r="E403" s="2" t="s">
        <v>130</v>
      </c>
      <c r="F403" s="2" t="s">
        <v>55</v>
      </c>
      <c r="G403" s="2" t="s">
        <v>38</v>
      </c>
      <c r="H403" s="2" t="s">
        <v>421</v>
      </c>
      <c r="I403" s="2" t="s">
        <v>39</v>
      </c>
      <c r="J403" s="2">
        <v>3810</v>
      </c>
      <c r="K403" s="2">
        <v>3810</v>
      </c>
      <c r="L403" s="2">
        <v>3810</v>
      </c>
      <c r="M403" s="4">
        <v>45930</v>
      </c>
      <c r="N403" s="5">
        <f>+Tabla2[[#This Row],[fecha_pe]]-Tabla2[[#This Row],[fecha]]</f>
        <v>1</v>
      </c>
      <c r="O403" s="5">
        <f>+Tabla2[[#This Row],[fecha_pe]]-Tabla2[[#This Row],[fecha]]</f>
        <v>1</v>
      </c>
      <c r="P403" s="5" t="e">
        <f>IF([1]!Tabla2[[#This Row],[TIEMPO DE ATENCIÓN REALIZADO]]&lt;=[1]!Tabla2[[#This Row],[TIEMPO DE ATENCIÓN ESPERADO]],"Dentro de plazo","Fuera de plazo")</f>
        <v>#REF!</v>
      </c>
      <c r="Q403" s="6">
        <v>1225</v>
      </c>
      <c r="R403" s="2" t="s">
        <v>15</v>
      </c>
      <c r="S403" s="2" t="s">
        <v>425</v>
      </c>
      <c r="T403" s="2" t="s">
        <v>46</v>
      </c>
      <c r="U403" s="2" t="s">
        <v>41</v>
      </c>
      <c r="V403" s="2"/>
    </row>
    <row r="404" spans="1:22" ht="27" customHeight="1" x14ac:dyDescent="0.3">
      <c r="A404" s="2">
        <v>403</v>
      </c>
      <c r="B404" s="2" t="s">
        <v>5</v>
      </c>
      <c r="C404" s="4">
        <v>45929</v>
      </c>
      <c r="D404" s="4" t="str">
        <f>TEXT(Tabla2[[#This Row],[fecha]],"MMMM")</f>
        <v>Setiembre</v>
      </c>
      <c r="E404" s="2" t="s">
        <v>130</v>
      </c>
      <c r="F404" s="2" t="s">
        <v>132</v>
      </c>
      <c r="G404" s="2" t="s">
        <v>38</v>
      </c>
      <c r="H404" s="2" t="s">
        <v>421</v>
      </c>
      <c r="I404" s="2" t="s">
        <v>39</v>
      </c>
      <c r="J404" s="2">
        <v>3810</v>
      </c>
      <c r="K404" s="2">
        <v>3810</v>
      </c>
      <c r="L404" s="2">
        <v>3811</v>
      </c>
      <c r="M404" s="4">
        <v>45930</v>
      </c>
      <c r="N404" s="5">
        <f>+Tabla2[[#This Row],[fecha_pe]]-Tabla2[[#This Row],[fecha]]</f>
        <v>1</v>
      </c>
      <c r="O404" s="5">
        <f>+Tabla2[[#This Row],[fecha_pe]]-Tabla2[[#This Row],[fecha]]</f>
        <v>1</v>
      </c>
      <c r="P404" s="5" t="e">
        <f>IF([1]!Tabla2[[#This Row],[TIEMPO DE ATENCIÓN REALIZADO]]&lt;=[1]!Tabla2[[#This Row],[TIEMPO DE ATENCIÓN ESPERADO]],"Dentro de plazo","Fuera de plazo")</f>
        <v>#REF!</v>
      </c>
      <c r="Q404" s="6">
        <v>720.42</v>
      </c>
      <c r="R404" s="2" t="s">
        <v>15</v>
      </c>
      <c r="S404" s="2" t="s">
        <v>425</v>
      </c>
      <c r="T404" s="2" t="s">
        <v>46</v>
      </c>
      <c r="U404" s="2" t="s">
        <v>41</v>
      </c>
      <c r="V404" s="2"/>
    </row>
    <row r="405" spans="1:22" ht="27" customHeight="1" x14ac:dyDescent="0.3">
      <c r="A405" s="2">
        <v>404</v>
      </c>
      <c r="B405" s="2" t="s">
        <v>62</v>
      </c>
      <c r="C405" s="4">
        <v>45921</v>
      </c>
      <c r="D405" s="4" t="str">
        <f>TEXT(Tabla2[[#This Row],[fecha]],"MMMM")</f>
        <v>Setiembre</v>
      </c>
      <c r="E405" s="2" t="s">
        <v>491</v>
      </c>
      <c r="F405" s="2" t="s">
        <v>414</v>
      </c>
      <c r="G405" s="2" t="s">
        <v>419</v>
      </c>
      <c r="H405" s="2" t="s">
        <v>60</v>
      </c>
      <c r="I405" s="2" t="s">
        <v>88</v>
      </c>
      <c r="J405" s="2">
        <v>3812</v>
      </c>
      <c r="K405" s="2">
        <v>3812</v>
      </c>
      <c r="L405" s="2">
        <v>3812</v>
      </c>
      <c r="M405" s="4">
        <v>45929</v>
      </c>
      <c r="N405" s="5">
        <f>+Tabla2[[#This Row],[fecha_pe]]-Tabla2[[#This Row],[fecha]]</f>
        <v>8</v>
      </c>
      <c r="O405" s="5">
        <f>+Tabla2[[#This Row],[fecha_pe]]-Tabla2[[#This Row],[fecha]]</f>
        <v>8</v>
      </c>
      <c r="P405" s="5" t="e">
        <f>IF([1]!Tabla2[[#This Row],[TIEMPO DE ATENCIÓN REALIZADO]]&lt;=[1]!Tabla2[[#This Row],[TIEMPO DE ATENCIÓN ESPERADO]],"Dentro de plazo","Fuera de plazo")</f>
        <v>#REF!</v>
      </c>
      <c r="Q405" s="6">
        <v>1010</v>
      </c>
      <c r="R405" s="2" t="s">
        <v>15</v>
      </c>
      <c r="S405" s="2" t="s">
        <v>425</v>
      </c>
      <c r="T405" s="2" t="s">
        <v>40</v>
      </c>
      <c r="U405" s="2" t="s">
        <v>53</v>
      </c>
      <c r="V405" s="2" t="s">
        <v>523</v>
      </c>
    </row>
    <row r="406" spans="1:22" ht="27" customHeight="1" x14ac:dyDescent="0.3">
      <c r="A406" s="2">
        <v>405</v>
      </c>
      <c r="B406" s="2" t="s">
        <v>62</v>
      </c>
      <c r="C406" s="4">
        <v>45921</v>
      </c>
      <c r="D406" s="4" t="str">
        <f>TEXT(Tabla2[[#This Row],[fecha]],"MMMM")</f>
        <v>Setiembre</v>
      </c>
      <c r="E406" s="2" t="s">
        <v>492</v>
      </c>
      <c r="F406" s="2" t="s">
        <v>88</v>
      </c>
      <c r="G406" s="2" t="s">
        <v>58</v>
      </c>
      <c r="H406" s="2" t="s">
        <v>60</v>
      </c>
      <c r="I406" s="2" t="s">
        <v>418</v>
      </c>
      <c r="J406" s="2">
        <v>3813</v>
      </c>
      <c r="K406" s="2">
        <v>3813</v>
      </c>
      <c r="L406" s="2">
        <v>3813</v>
      </c>
      <c r="M406" s="4">
        <v>45930</v>
      </c>
      <c r="N406" s="5">
        <f>+Tabla2[[#This Row],[fecha_pe]]-Tabla2[[#This Row],[fecha]]</f>
        <v>9</v>
      </c>
      <c r="O406" s="5">
        <f>+Tabla2[[#This Row],[fecha_pe]]-Tabla2[[#This Row],[fecha]]</f>
        <v>9</v>
      </c>
      <c r="P406" s="5" t="e">
        <f>IF([1]!Tabla2[[#This Row],[TIEMPO DE ATENCIÓN REALIZADO]]&lt;=[1]!Tabla2[[#This Row],[TIEMPO DE ATENCIÓN ESPERADO]],"Dentro de plazo","Fuera de plazo")</f>
        <v>#REF!</v>
      </c>
      <c r="Q406" s="6">
        <v>12956.32</v>
      </c>
      <c r="R406" s="2" t="s">
        <v>16</v>
      </c>
      <c r="S406" s="2" t="s">
        <v>425</v>
      </c>
      <c r="T406" s="2" t="s">
        <v>40</v>
      </c>
      <c r="U406" s="2" t="s">
        <v>41</v>
      </c>
      <c r="V406" s="2" t="s">
        <v>523</v>
      </c>
    </row>
    <row r="407" spans="1:22" ht="27" customHeight="1" x14ac:dyDescent="0.3">
      <c r="A407" s="2">
        <v>406</v>
      </c>
      <c r="B407" s="2" t="s">
        <v>62</v>
      </c>
      <c r="C407" s="4">
        <v>45921</v>
      </c>
      <c r="D407" s="4" t="str">
        <f>TEXT(Tabla2[[#This Row],[fecha]],"MMMM")</f>
        <v>Setiembre</v>
      </c>
      <c r="E407" s="2" t="s">
        <v>492</v>
      </c>
      <c r="F407" s="2" t="s">
        <v>88</v>
      </c>
      <c r="G407" s="2" t="s">
        <v>58</v>
      </c>
      <c r="H407" s="2" t="s">
        <v>60</v>
      </c>
      <c r="I407" s="2" t="s">
        <v>418</v>
      </c>
      <c r="J407" s="2">
        <v>3814</v>
      </c>
      <c r="K407" s="2">
        <v>3814</v>
      </c>
      <c r="L407" s="2">
        <v>3814</v>
      </c>
      <c r="M407" s="4">
        <v>45930</v>
      </c>
      <c r="N407" s="5">
        <f>+Tabla2[[#This Row],[fecha_pe]]-Tabla2[[#This Row],[fecha]]</f>
        <v>9</v>
      </c>
      <c r="O407" s="5">
        <f>+Tabla2[[#This Row],[fecha_pe]]-Tabla2[[#This Row],[fecha]]</f>
        <v>9</v>
      </c>
      <c r="P407" s="5" t="e">
        <f>IF([1]!Tabla2[[#This Row],[TIEMPO DE ATENCIÓN REALIZADO]]&lt;=[1]!Tabla2[[#This Row],[TIEMPO DE ATENCIÓN ESPERADO]],"Dentro de plazo","Fuera de plazo")</f>
        <v>#REF!</v>
      </c>
      <c r="Q407" s="6">
        <v>6109.12</v>
      </c>
      <c r="R407" s="2" t="s">
        <v>16</v>
      </c>
      <c r="S407" s="2" t="s">
        <v>425</v>
      </c>
      <c r="T407" s="2" t="s">
        <v>40</v>
      </c>
      <c r="U407" s="2" t="s">
        <v>41</v>
      </c>
      <c r="V407" s="2" t="s">
        <v>523</v>
      </c>
    </row>
    <row r="408" spans="1:22" ht="27" customHeight="1" x14ac:dyDescent="0.3">
      <c r="A408" s="2">
        <v>407</v>
      </c>
      <c r="B408" s="2" t="s">
        <v>5</v>
      </c>
      <c r="C408" s="4">
        <v>45931</v>
      </c>
      <c r="D408" s="4" t="str">
        <f>TEXT(Tabla2[[#This Row],[fecha]],"MMMM")</f>
        <v>Octubre</v>
      </c>
      <c r="E408" s="2" t="s">
        <v>508</v>
      </c>
      <c r="F408" s="2" t="s">
        <v>415</v>
      </c>
      <c r="G408" s="2" t="s">
        <v>419</v>
      </c>
      <c r="H408" s="2" t="s">
        <v>421</v>
      </c>
      <c r="I408" s="2" t="s">
        <v>465</v>
      </c>
      <c r="J408" s="2">
        <v>3815</v>
      </c>
      <c r="K408" s="2">
        <v>3815</v>
      </c>
      <c r="L408" s="2">
        <v>3815</v>
      </c>
      <c r="M408" s="4">
        <v>45931</v>
      </c>
      <c r="N408" s="5">
        <f>+Tabla2[[#This Row],[fecha_pe]]-Tabla2[[#This Row],[fecha]]</f>
        <v>0</v>
      </c>
      <c r="O408" s="5">
        <f>+Tabla2[[#This Row],[fecha_pe]]-Tabla2[[#This Row],[fecha]]</f>
        <v>0</v>
      </c>
      <c r="P408" s="5" t="e">
        <f>IF([1]!Tabla2[[#This Row],[TIEMPO DE ATENCIÓN REALIZADO]]&lt;=[1]!Tabla2[[#This Row],[TIEMPO DE ATENCIÓN ESPERADO]],"Dentro de plazo","Fuera de plazo")</f>
        <v>#REF!</v>
      </c>
      <c r="Q408" s="6">
        <v>1065.48</v>
      </c>
      <c r="R408" s="2" t="s">
        <v>45</v>
      </c>
      <c r="S408" s="2" t="s">
        <v>425</v>
      </c>
      <c r="T408" s="2" t="s">
        <v>40</v>
      </c>
      <c r="U408" s="2" t="s">
        <v>53</v>
      </c>
      <c r="V408" s="2"/>
    </row>
    <row r="409" spans="1:22" ht="27" customHeight="1" x14ac:dyDescent="0.3">
      <c r="A409" s="2">
        <v>408</v>
      </c>
      <c r="B409" s="2" t="s">
        <v>62</v>
      </c>
      <c r="C409" s="4">
        <v>45932</v>
      </c>
      <c r="D409" s="4" t="str">
        <f>TEXT(Tabla2[[#This Row],[fecha]],"MMMM")</f>
        <v>Octubre</v>
      </c>
      <c r="E409" s="2" t="s">
        <v>509</v>
      </c>
      <c r="F409" s="2" t="s">
        <v>72</v>
      </c>
      <c r="G409" s="2" t="s">
        <v>419</v>
      </c>
      <c r="H409" s="2" t="s">
        <v>421</v>
      </c>
      <c r="I409" s="2" t="s">
        <v>68</v>
      </c>
      <c r="J409" s="2">
        <v>3816</v>
      </c>
      <c r="K409" s="2">
        <v>3816</v>
      </c>
      <c r="L409" s="2">
        <v>3816</v>
      </c>
      <c r="M409" s="4">
        <v>45932</v>
      </c>
      <c r="N409" s="5">
        <f>+Tabla2[[#This Row],[fecha_pe]]-Tabla2[[#This Row],[fecha]]</f>
        <v>0</v>
      </c>
      <c r="O409" s="5">
        <f>+Tabla2[[#This Row],[fecha_pe]]-Tabla2[[#This Row],[fecha]]</f>
        <v>0</v>
      </c>
      <c r="P409" s="5" t="e">
        <f>IF([1]!Tabla2[[#This Row],[TIEMPO DE ATENCIÓN REALIZADO]]&lt;=[1]!Tabla2[[#This Row],[TIEMPO DE ATENCIÓN ESPERADO]],"Dentro de plazo","Fuera de plazo")</f>
        <v>#REF!</v>
      </c>
      <c r="Q409" s="6">
        <v>1926.07</v>
      </c>
      <c r="R409" s="2" t="s">
        <v>16</v>
      </c>
      <c r="S409" s="2" t="s">
        <v>425</v>
      </c>
      <c r="T409" s="2" t="s">
        <v>40</v>
      </c>
      <c r="U409" s="2" t="s">
        <v>53</v>
      </c>
      <c r="V409" s="2" t="s">
        <v>523</v>
      </c>
    </row>
    <row r="410" spans="1:22" ht="27" customHeight="1" x14ac:dyDescent="0.3">
      <c r="A410" s="2">
        <v>409</v>
      </c>
      <c r="B410" s="2" t="s">
        <v>62</v>
      </c>
      <c r="C410" s="4">
        <v>45932</v>
      </c>
      <c r="D410" s="4" t="str">
        <f>TEXT(Tabla2[[#This Row],[fecha]],"MMMM")</f>
        <v>Octubre</v>
      </c>
      <c r="E410" s="2" t="s">
        <v>509</v>
      </c>
      <c r="F410" s="2" t="s">
        <v>72</v>
      </c>
      <c r="G410" s="2" t="s">
        <v>419</v>
      </c>
      <c r="H410" s="2" t="s">
        <v>421</v>
      </c>
      <c r="I410" s="2" t="s">
        <v>68</v>
      </c>
      <c r="J410" s="2">
        <v>3817</v>
      </c>
      <c r="K410" s="2">
        <v>3817</v>
      </c>
      <c r="L410" s="2">
        <v>3817</v>
      </c>
      <c r="M410" s="4">
        <v>45932</v>
      </c>
      <c r="N410" s="5">
        <f>+Tabla2[[#This Row],[fecha_pe]]-Tabla2[[#This Row],[fecha]]</f>
        <v>0</v>
      </c>
      <c r="O410" s="5">
        <f>+Tabla2[[#This Row],[fecha_pe]]-Tabla2[[#This Row],[fecha]]</f>
        <v>0</v>
      </c>
      <c r="P410" s="5" t="e">
        <f>IF([1]!Tabla2[[#This Row],[TIEMPO DE ATENCIÓN REALIZADO]]&lt;=[1]!Tabla2[[#This Row],[TIEMPO DE ATENCIÓN ESPERADO]],"Dentro de plazo","Fuera de plazo")</f>
        <v>#REF!</v>
      </c>
      <c r="Q410" s="6">
        <v>1926.07</v>
      </c>
      <c r="R410" s="2" t="s">
        <v>16</v>
      </c>
      <c r="S410" s="2" t="s">
        <v>425</v>
      </c>
      <c r="T410" s="2" t="s">
        <v>40</v>
      </c>
      <c r="U410" s="2" t="s">
        <v>53</v>
      </c>
      <c r="V410" s="2" t="s">
        <v>524</v>
      </c>
    </row>
    <row r="411" spans="1:22" ht="27" customHeight="1" x14ac:dyDescent="0.3">
      <c r="A411" s="2">
        <v>410</v>
      </c>
      <c r="B411" s="2" t="s">
        <v>413</v>
      </c>
      <c r="C411" s="4">
        <v>45933</v>
      </c>
      <c r="D411" s="4" t="str">
        <f>TEXT(Tabla2[[#This Row],[fecha]],"MMMM")</f>
        <v>Octubre</v>
      </c>
      <c r="E411" s="2" t="s">
        <v>510</v>
      </c>
      <c r="F411" s="2" t="s">
        <v>55</v>
      </c>
      <c r="G411" s="2" t="s">
        <v>38</v>
      </c>
      <c r="H411" s="2" t="s">
        <v>421</v>
      </c>
      <c r="I411" s="2" t="s">
        <v>429</v>
      </c>
      <c r="J411" s="2">
        <v>3818</v>
      </c>
      <c r="K411" s="2">
        <v>3818</v>
      </c>
      <c r="L411" s="2">
        <v>3818</v>
      </c>
      <c r="M411" s="4">
        <v>45933</v>
      </c>
      <c r="N411" s="5">
        <f>+Tabla2[[#This Row],[fecha_pe]]-Tabla2[[#This Row],[fecha]]</f>
        <v>0</v>
      </c>
      <c r="O411" s="5">
        <f>+Tabla2[[#This Row],[fecha_pe]]-Tabla2[[#This Row],[fecha]]</f>
        <v>0</v>
      </c>
      <c r="P411" s="5" t="e">
        <f>IF([1]!Tabla2[[#This Row],[TIEMPO DE ATENCIÓN REALIZADO]]&lt;=[1]!Tabla2[[#This Row],[TIEMPO DE ATENCIÓN ESPERADO]],"Dentro de plazo","Fuera de plazo")</f>
        <v>#REF!</v>
      </c>
      <c r="Q411" s="6">
        <v>190</v>
      </c>
      <c r="R411" s="2" t="s">
        <v>9</v>
      </c>
      <c r="S411" s="2" t="s">
        <v>425</v>
      </c>
      <c r="T411" s="2" t="s">
        <v>40</v>
      </c>
      <c r="U411" s="2" t="s">
        <v>41</v>
      </c>
      <c r="V411" s="2"/>
    </row>
    <row r="412" spans="1:22" ht="27" customHeight="1" x14ac:dyDescent="0.3">
      <c r="A412" s="2">
        <v>411</v>
      </c>
      <c r="B412" s="2" t="s">
        <v>62</v>
      </c>
      <c r="C412" s="4">
        <v>45929</v>
      </c>
      <c r="D412" s="4" t="str">
        <f>TEXT(Tabla2[[#This Row],[fecha]],"MMMM")</f>
        <v>Setiembre</v>
      </c>
      <c r="E412" s="2" t="s">
        <v>25</v>
      </c>
      <c r="F412" s="2" t="s">
        <v>72</v>
      </c>
      <c r="G412" s="2" t="s">
        <v>58</v>
      </c>
      <c r="H412" s="2" t="s">
        <v>421</v>
      </c>
      <c r="I412" s="2" t="s">
        <v>39</v>
      </c>
      <c r="J412" s="2">
        <v>3820</v>
      </c>
      <c r="K412" s="2">
        <v>3820</v>
      </c>
      <c r="L412" s="2">
        <v>3820</v>
      </c>
      <c r="M412" s="4">
        <v>45933</v>
      </c>
      <c r="N412" s="5">
        <f>+Tabla2[[#This Row],[fecha_pe]]-Tabla2[[#This Row],[fecha]]</f>
        <v>4</v>
      </c>
      <c r="O412" s="5">
        <f>+Tabla2[[#This Row],[fecha_pe]]-Tabla2[[#This Row],[fecha]]</f>
        <v>4</v>
      </c>
      <c r="P412" s="5" t="e">
        <f>IF([1]!Tabla2[[#This Row],[TIEMPO DE ATENCIÓN REALIZADO]]&lt;=[1]!Tabla2[[#This Row],[TIEMPO DE ATENCIÓN ESPERADO]],"Dentro de plazo","Fuera de plazo")</f>
        <v>#REF!</v>
      </c>
      <c r="Q412" s="6">
        <v>1788.57</v>
      </c>
      <c r="R412" s="2" t="s">
        <v>4</v>
      </c>
      <c r="S412" s="2" t="s">
        <v>427</v>
      </c>
      <c r="T412" s="2" t="s">
        <v>40</v>
      </c>
      <c r="U412" s="2" t="s">
        <v>41</v>
      </c>
      <c r="V412" s="2" t="s">
        <v>525</v>
      </c>
    </row>
    <row r="413" spans="1:22" ht="27" customHeight="1" x14ac:dyDescent="0.3">
      <c r="A413" s="2">
        <v>412</v>
      </c>
      <c r="B413" s="2" t="s">
        <v>62</v>
      </c>
      <c r="C413" s="4">
        <v>45936</v>
      </c>
      <c r="D413" s="4" t="str">
        <f>TEXT(Tabla2[[#This Row],[fecha]],"MMMM")</f>
        <v>Octubre</v>
      </c>
      <c r="E413" s="2" t="s">
        <v>532</v>
      </c>
      <c r="F413" s="2" t="s">
        <v>414</v>
      </c>
      <c r="G413" s="2" t="s">
        <v>38</v>
      </c>
      <c r="H413" s="2" t="s">
        <v>421</v>
      </c>
      <c r="I413" s="2" t="s">
        <v>422</v>
      </c>
      <c r="J413" s="2">
        <v>3823</v>
      </c>
      <c r="K413" s="2">
        <v>3823</v>
      </c>
      <c r="L413" s="2">
        <v>3823</v>
      </c>
      <c r="M413" s="4">
        <v>45936</v>
      </c>
      <c r="N413" s="5">
        <f>+Tabla2[[#This Row],[fecha_pe]]-Tabla2[[#This Row],[fecha]]</f>
        <v>0</v>
      </c>
      <c r="O413" s="5">
        <f>+Tabla2[[#This Row],[fecha_pe]]-Tabla2[[#This Row],[fecha]]</f>
        <v>0</v>
      </c>
      <c r="P413" s="5" t="e">
        <f>IF([1]!Tabla2[[#This Row],[TIEMPO DE ATENCIÓN REALIZADO]]&lt;=[1]!Tabla2[[#This Row],[TIEMPO DE ATENCIÓN ESPERADO]],"Dentro de plazo","Fuera de plazo")</f>
        <v>#REF!</v>
      </c>
      <c r="Q413" s="6">
        <v>5125.22</v>
      </c>
      <c r="R413" s="2" t="s">
        <v>45</v>
      </c>
      <c r="S413" s="2" t="s">
        <v>425</v>
      </c>
      <c r="T413" s="2" t="s">
        <v>40</v>
      </c>
      <c r="U413" s="2" t="s">
        <v>41</v>
      </c>
      <c r="V413" s="2" t="s">
        <v>526</v>
      </c>
    </row>
    <row r="414" spans="1:22" ht="27" customHeight="1" x14ac:dyDescent="0.3">
      <c r="A414" s="2">
        <v>413</v>
      </c>
      <c r="B414" s="2" t="s">
        <v>5</v>
      </c>
      <c r="C414" s="4">
        <v>45940</v>
      </c>
      <c r="D414" s="4" t="str">
        <f>TEXT(Tabla2[[#This Row],[fecha]],"MMMM")</f>
        <v>Octubre</v>
      </c>
      <c r="E414" s="2" t="s">
        <v>511</v>
      </c>
      <c r="F414" s="2" t="s">
        <v>414</v>
      </c>
      <c r="G414" s="2" t="s">
        <v>38</v>
      </c>
      <c r="H414" s="2" t="s">
        <v>60</v>
      </c>
      <c r="I414" s="2" t="s">
        <v>512</v>
      </c>
      <c r="J414" s="2">
        <v>3924</v>
      </c>
      <c r="K414" s="2">
        <v>3924</v>
      </c>
      <c r="L414" s="2">
        <v>3924</v>
      </c>
      <c r="M414" s="4">
        <v>45943</v>
      </c>
      <c r="N414" s="5">
        <f>+Tabla2[[#This Row],[fecha_pe]]-Tabla2[[#This Row],[fecha]]</f>
        <v>3</v>
      </c>
      <c r="O414" s="5">
        <f>+Tabla2[[#This Row],[fecha_pe]]-Tabla2[[#This Row],[fecha]]</f>
        <v>3</v>
      </c>
      <c r="P414" s="5" t="e">
        <f>IF([1]!Tabla2[[#This Row],[TIEMPO DE ATENCIÓN REALIZADO]]&lt;=[1]!Tabla2[[#This Row],[TIEMPO DE ATENCIÓN ESPERADO]],"Dentro de plazo","Fuera de plazo")</f>
        <v>#REF!</v>
      </c>
      <c r="Q414" s="6">
        <v>6971</v>
      </c>
      <c r="R414" s="2" t="s">
        <v>15</v>
      </c>
      <c r="S414" s="2" t="s">
        <v>424</v>
      </c>
      <c r="T414" s="2" t="s">
        <v>40</v>
      </c>
      <c r="U414" s="2" t="s">
        <v>41</v>
      </c>
      <c r="V414" s="2" t="s">
        <v>513</v>
      </c>
    </row>
    <row r="415" spans="1:22" ht="27" customHeight="1" x14ac:dyDescent="0.3">
      <c r="A415" s="2">
        <v>414</v>
      </c>
      <c r="B415" s="2" t="s">
        <v>5</v>
      </c>
      <c r="C415" s="4">
        <v>45943</v>
      </c>
      <c r="D415" s="4" t="str">
        <f>TEXT(Tabla2[[#This Row],[fecha]],"MMMM")</f>
        <v>Octubre</v>
      </c>
      <c r="E415" s="2" t="s">
        <v>511</v>
      </c>
      <c r="F415" s="2" t="s">
        <v>414</v>
      </c>
      <c r="G415" s="2" t="s">
        <v>38</v>
      </c>
      <c r="H415" s="2" t="s">
        <v>60</v>
      </c>
      <c r="I415" s="2" t="s">
        <v>512</v>
      </c>
      <c r="J415" s="2">
        <v>3825</v>
      </c>
      <c r="K415" s="2">
        <v>3825</v>
      </c>
      <c r="L415" s="2">
        <v>3825</v>
      </c>
      <c r="M415" s="4">
        <v>45943</v>
      </c>
      <c r="N415" s="5">
        <f>+Tabla2[[#This Row],[fecha_pe]]-Tabla2[[#This Row],[fecha]]</f>
        <v>0</v>
      </c>
      <c r="O415" s="5">
        <f>+Tabla2[[#This Row],[fecha_pe]]-Tabla2[[#This Row],[fecha]]</f>
        <v>0</v>
      </c>
      <c r="P415" s="5" t="e">
        <f>IF([1]!Tabla2[[#This Row],[TIEMPO DE ATENCIÓN REALIZADO]]&lt;=[1]!Tabla2[[#This Row],[TIEMPO DE ATENCIÓN ESPERADO]],"Dentro de plazo","Fuera de plazo")</f>
        <v>#REF!</v>
      </c>
      <c r="Q415" s="6">
        <v>881.32</v>
      </c>
      <c r="R415" s="2" t="s">
        <v>15</v>
      </c>
      <c r="S415" s="2" t="s">
        <v>424</v>
      </c>
      <c r="T415" s="2" t="s">
        <v>40</v>
      </c>
      <c r="U415" s="2" t="s">
        <v>41</v>
      </c>
      <c r="V415" s="2" t="s">
        <v>513</v>
      </c>
    </row>
    <row r="416" spans="1:22" ht="27" customHeight="1" x14ac:dyDescent="0.3">
      <c r="A416" s="2">
        <v>415</v>
      </c>
      <c r="B416" s="2" t="s">
        <v>62</v>
      </c>
      <c r="C416" s="4">
        <v>45926</v>
      </c>
      <c r="D416" s="4" t="str">
        <f>TEXT(Tabla2[[#This Row],[fecha]],"MMMM")</f>
        <v>Setiembre</v>
      </c>
      <c r="E416" s="2" t="s">
        <v>25</v>
      </c>
      <c r="F416" s="2" t="s">
        <v>415</v>
      </c>
      <c r="G416" s="2" t="s">
        <v>38</v>
      </c>
      <c r="H416" s="2" t="s">
        <v>421</v>
      </c>
      <c r="I416" s="2" t="s">
        <v>39</v>
      </c>
      <c r="J416" s="2">
        <v>3826</v>
      </c>
      <c r="K416" s="2">
        <v>3826</v>
      </c>
      <c r="L416" s="2">
        <v>3826</v>
      </c>
      <c r="M416" s="4">
        <v>45943</v>
      </c>
      <c r="N416" s="5">
        <f>+Tabla2[[#This Row],[fecha_pe]]-Tabla2[[#This Row],[fecha]]</f>
        <v>17</v>
      </c>
      <c r="O416" s="5">
        <f>+Tabla2[[#This Row],[fecha_pe]]-Tabla2[[#This Row],[fecha]]</f>
        <v>17</v>
      </c>
      <c r="P416" s="5" t="e">
        <f>IF([1]!Tabla2[[#This Row],[TIEMPO DE ATENCIÓN REALIZADO]]&lt;=[1]!Tabla2[[#This Row],[TIEMPO DE ATENCIÓN ESPERADO]],"Dentro de plazo","Fuera de plazo")</f>
        <v>#REF!</v>
      </c>
      <c r="Q416" s="6">
        <v>1330.7</v>
      </c>
      <c r="R416" s="2" t="s">
        <v>24</v>
      </c>
      <c r="S416" s="2" t="s">
        <v>424</v>
      </c>
      <c r="T416" s="2" t="s">
        <v>46</v>
      </c>
      <c r="U416" s="2" t="s">
        <v>41</v>
      </c>
      <c r="V416" s="2" t="s">
        <v>529</v>
      </c>
    </row>
    <row r="417" spans="1:22" ht="27" customHeight="1" x14ac:dyDescent="0.3">
      <c r="A417" s="2">
        <v>416</v>
      </c>
      <c r="B417" s="2" t="s">
        <v>62</v>
      </c>
      <c r="C417" s="4">
        <v>45939</v>
      </c>
      <c r="D417" s="4" t="str">
        <f>TEXT(Tabla2[[#This Row],[fecha]],"MMMM")</f>
        <v>Octubre</v>
      </c>
      <c r="E417" s="2" t="s">
        <v>527</v>
      </c>
      <c r="F417" s="2" t="s">
        <v>414</v>
      </c>
      <c r="G417" s="2" t="s">
        <v>38</v>
      </c>
      <c r="H417" s="2" t="s">
        <v>421</v>
      </c>
      <c r="I417" s="2" t="s">
        <v>422</v>
      </c>
      <c r="J417" s="2">
        <v>3827</v>
      </c>
      <c r="K417" s="2">
        <v>3827</v>
      </c>
      <c r="L417" s="2">
        <v>3827</v>
      </c>
      <c r="M417" s="4">
        <v>45943</v>
      </c>
      <c r="N417" s="5">
        <f>+Tabla2[[#This Row],[fecha_pe]]-Tabla2[[#This Row],[fecha]]</f>
        <v>4</v>
      </c>
      <c r="O417" s="5">
        <f>+Tabla2[[#This Row],[fecha_pe]]-Tabla2[[#This Row],[fecha]]</f>
        <v>4</v>
      </c>
      <c r="P417" s="5" t="e">
        <f>IF([1]!Tabla2[[#This Row],[TIEMPO DE ATENCIÓN REALIZADO]]&lt;=[1]!Tabla2[[#This Row],[TIEMPO DE ATENCIÓN ESPERADO]],"Dentro de plazo","Fuera de plazo")</f>
        <v>#REF!</v>
      </c>
      <c r="Q417" s="6">
        <v>6170.1</v>
      </c>
      <c r="R417" s="2" t="s">
        <v>45</v>
      </c>
      <c r="S417" s="2" t="s">
        <v>425</v>
      </c>
      <c r="T417" s="2" t="s">
        <v>40</v>
      </c>
      <c r="U417" s="2" t="s">
        <v>41</v>
      </c>
      <c r="V417" s="2" t="s">
        <v>526</v>
      </c>
    </row>
    <row r="418" spans="1:22" ht="27" customHeight="1" x14ac:dyDescent="0.3">
      <c r="A418" s="2">
        <v>417</v>
      </c>
      <c r="B418" s="2" t="s">
        <v>62</v>
      </c>
      <c r="C418" s="4">
        <v>45926</v>
      </c>
      <c r="D418" s="4" t="str">
        <f>TEXT(Tabla2[[#This Row],[fecha]],"MMMM")</f>
        <v>Setiembre</v>
      </c>
      <c r="E418" s="2" t="s">
        <v>25</v>
      </c>
      <c r="F418" s="2" t="s">
        <v>55</v>
      </c>
      <c r="G418" s="2" t="s">
        <v>38</v>
      </c>
      <c r="H418" s="2" t="s">
        <v>421</v>
      </c>
      <c r="I418" s="2" t="s">
        <v>39</v>
      </c>
      <c r="J418" s="2">
        <v>3828</v>
      </c>
      <c r="K418" s="2">
        <v>3828</v>
      </c>
      <c r="L418" s="2">
        <v>3828</v>
      </c>
      <c r="M418" s="4">
        <v>45943</v>
      </c>
      <c r="N418" s="5">
        <f>+Tabla2[[#This Row],[fecha_pe]]-Tabla2[[#This Row],[fecha]]</f>
        <v>17</v>
      </c>
      <c r="O418" s="5">
        <f>+Tabla2[[#This Row],[fecha_pe]]-Tabla2[[#This Row],[fecha]]</f>
        <v>17</v>
      </c>
      <c r="P418" s="5" t="e">
        <f>IF([1]!Tabla2[[#This Row],[TIEMPO DE ATENCIÓN REALIZADO]]&lt;=[1]!Tabla2[[#This Row],[TIEMPO DE ATENCIÓN ESPERADO]],"Dentro de plazo","Fuera de plazo")</f>
        <v>#REF!</v>
      </c>
      <c r="Q418" s="6">
        <v>508</v>
      </c>
      <c r="R418" s="2" t="s">
        <v>24</v>
      </c>
      <c r="S418" s="2" t="s">
        <v>427</v>
      </c>
      <c r="T418" s="2" t="s">
        <v>40</v>
      </c>
      <c r="U418" s="2" t="s">
        <v>41</v>
      </c>
      <c r="V418" s="2" t="s">
        <v>530</v>
      </c>
    </row>
    <row r="419" spans="1:22" ht="27" customHeight="1" x14ac:dyDescent="0.3">
      <c r="A419" s="2">
        <v>418</v>
      </c>
      <c r="B419" s="2" t="s">
        <v>62</v>
      </c>
      <c r="C419" s="4">
        <v>45939</v>
      </c>
      <c r="D419" s="4" t="str">
        <f>TEXT(Tabla2[[#This Row],[fecha]],"MMMM")</f>
        <v>Octubre</v>
      </c>
      <c r="E419" s="2" t="s">
        <v>528</v>
      </c>
      <c r="F419" s="2" t="s">
        <v>414</v>
      </c>
      <c r="G419" s="2" t="s">
        <v>58</v>
      </c>
      <c r="H419" s="2" t="s">
        <v>421</v>
      </c>
      <c r="I419" s="2" t="s">
        <v>88</v>
      </c>
      <c r="J419" s="2">
        <v>3829</v>
      </c>
      <c r="K419" s="2">
        <v>3829</v>
      </c>
      <c r="L419" s="2">
        <v>3829</v>
      </c>
      <c r="M419" s="4">
        <v>45945</v>
      </c>
      <c r="N419" s="5">
        <f>+Tabla2[[#This Row],[fecha_pe]]-Tabla2[[#This Row],[fecha]]</f>
        <v>6</v>
      </c>
      <c r="O419" s="5">
        <f>+Tabla2[[#This Row],[fecha_pe]]-Tabla2[[#This Row],[fecha]]</f>
        <v>6</v>
      </c>
      <c r="P419" s="5" t="e">
        <f>IF([1]!Tabla2[[#This Row],[TIEMPO DE ATENCIÓN REALIZADO]]&lt;=[1]!Tabla2[[#This Row],[TIEMPO DE ATENCIÓN ESPERADO]],"Dentro de plazo","Fuera de plazo")</f>
        <v>#REF!</v>
      </c>
      <c r="Q419" s="6">
        <v>3365.36</v>
      </c>
      <c r="R419" s="2" t="s">
        <v>9</v>
      </c>
      <c r="S419" s="2" t="s">
        <v>425</v>
      </c>
      <c r="T419" s="2" t="s">
        <v>40</v>
      </c>
      <c r="U419" s="2" t="s">
        <v>53</v>
      </c>
      <c r="V419" s="2" t="s">
        <v>526</v>
      </c>
    </row>
    <row r="420" spans="1:22" ht="27" customHeight="1" x14ac:dyDescent="0.3">
      <c r="A420" s="2">
        <v>419</v>
      </c>
      <c r="B420" s="2" t="s">
        <v>62</v>
      </c>
      <c r="C420" s="4">
        <v>45926</v>
      </c>
      <c r="D420" s="4" t="str">
        <f>TEXT(Tabla2[[#This Row],[fecha]],"MMMM")</f>
        <v>Setiembre</v>
      </c>
      <c r="E420" s="2" t="s">
        <v>25</v>
      </c>
      <c r="F420" s="2" t="s">
        <v>55</v>
      </c>
      <c r="G420" s="2" t="s">
        <v>38</v>
      </c>
      <c r="H420" s="2" t="s">
        <v>421</v>
      </c>
      <c r="I420" s="2" t="s">
        <v>39</v>
      </c>
      <c r="J420" s="2">
        <v>3830</v>
      </c>
      <c r="K420" s="2">
        <v>3830</v>
      </c>
      <c r="L420" s="2">
        <v>3830</v>
      </c>
      <c r="M420" s="4">
        <v>45945</v>
      </c>
      <c r="N420" s="5">
        <f>+Tabla2[[#This Row],[fecha_pe]]-Tabla2[[#This Row],[fecha]]</f>
        <v>19</v>
      </c>
      <c r="O420" s="5">
        <f>+Tabla2[[#This Row],[fecha_pe]]-Tabla2[[#This Row],[fecha]]</f>
        <v>19</v>
      </c>
      <c r="P420" s="5" t="e">
        <f>IF([1]!Tabla2[[#This Row],[TIEMPO DE ATENCIÓN REALIZADO]]&lt;=[1]!Tabla2[[#This Row],[TIEMPO DE ATENCIÓN ESPERADO]],"Dentro de plazo","Fuera de plazo")</f>
        <v>#REF!</v>
      </c>
      <c r="Q420" s="6">
        <v>508</v>
      </c>
      <c r="R420" s="2" t="s">
        <v>24</v>
      </c>
      <c r="S420" s="2" t="s">
        <v>424</v>
      </c>
      <c r="T420" s="2" t="s">
        <v>46</v>
      </c>
      <c r="U420" s="2" t="s">
        <v>41</v>
      </c>
      <c r="V420" s="2" t="s">
        <v>529</v>
      </c>
    </row>
    <row r="421" spans="1:22" ht="27" customHeight="1" x14ac:dyDescent="0.3">
      <c r="A421" s="2">
        <v>420</v>
      </c>
      <c r="B421" s="2" t="s">
        <v>62</v>
      </c>
      <c r="C421" s="4">
        <v>45926</v>
      </c>
      <c r="D421" s="4" t="str">
        <f>TEXT(Tabla2[[#This Row],[fecha]],"MMMM")</f>
        <v>Setiembre</v>
      </c>
      <c r="E421" s="2" t="s">
        <v>25</v>
      </c>
      <c r="F421" s="2" t="s">
        <v>55</v>
      </c>
      <c r="G421" s="2" t="s">
        <v>38</v>
      </c>
      <c r="H421" s="2" t="s">
        <v>421</v>
      </c>
      <c r="I421" s="2" t="s">
        <v>39</v>
      </c>
      <c r="J421" s="2">
        <v>3831</v>
      </c>
      <c r="K421" s="2">
        <v>3831</v>
      </c>
      <c r="L421" s="2">
        <v>3831</v>
      </c>
      <c r="M421" s="4">
        <v>45945</v>
      </c>
      <c r="N421" s="5">
        <f>+Tabla2[[#This Row],[fecha_pe]]-Tabla2[[#This Row],[fecha]]</f>
        <v>19</v>
      </c>
      <c r="O421" s="5">
        <f>+Tabla2[[#This Row],[fecha_pe]]-Tabla2[[#This Row],[fecha]]</f>
        <v>19</v>
      </c>
      <c r="P421" s="5" t="e">
        <f>IF([1]!Tabla2[[#This Row],[TIEMPO DE ATENCIÓN REALIZADO]]&lt;=[1]!Tabla2[[#This Row],[TIEMPO DE ATENCIÓN ESPERADO]],"Dentro de plazo","Fuera de plazo")</f>
        <v>#REF!</v>
      </c>
      <c r="Q421" s="6">
        <v>200</v>
      </c>
      <c r="R421" s="2" t="s">
        <v>24</v>
      </c>
      <c r="S421" s="2" t="s">
        <v>427</v>
      </c>
      <c r="T421" s="2" t="s">
        <v>40</v>
      </c>
      <c r="U421" s="2" t="s">
        <v>41</v>
      </c>
      <c r="V421" s="2" t="s">
        <v>530</v>
      </c>
    </row>
    <row r="422" spans="1:22" ht="27" customHeight="1" x14ac:dyDescent="0.3">
      <c r="A422" s="2">
        <v>421</v>
      </c>
      <c r="B422" s="2" t="s">
        <v>62</v>
      </c>
      <c r="C422" s="4">
        <v>45946</v>
      </c>
      <c r="D422" s="4" t="str">
        <f>TEXT(Tabla2[[#This Row],[fecha]],"MMMM")</f>
        <v>Octubre</v>
      </c>
      <c r="E422" s="2" t="s">
        <v>507</v>
      </c>
      <c r="F422" s="2" t="s">
        <v>415</v>
      </c>
      <c r="G422" s="2" t="s">
        <v>419</v>
      </c>
      <c r="H422" s="2" t="s">
        <v>421</v>
      </c>
      <c r="I422" s="2" t="s">
        <v>39</v>
      </c>
      <c r="J422" s="2">
        <v>3832</v>
      </c>
      <c r="K422" s="2">
        <v>3832</v>
      </c>
      <c r="L422" s="2">
        <v>3832</v>
      </c>
      <c r="M422" s="4">
        <v>45946</v>
      </c>
      <c r="N422" s="5">
        <f>+Tabla2[[#This Row],[fecha_pe]]-Tabla2[[#This Row],[fecha]]</f>
        <v>0</v>
      </c>
      <c r="O422" s="5">
        <f>+Tabla2[[#This Row],[fecha_pe]]-Tabla2[[#This Row],[fecha]]</f>
        <v>0</v>
      </c>
      <c r="P422" s="5" t="e">
        <f>IF([1]!Tabla2[[#This Row],[TIEMPO DE ATENCIÓN REALIZADO]]&lt;=[1]!Tabla2[[#This Row],[TIEMPO DE ATENCIÓN ESPERADO]],"Dentro de plazo","Fuera de plazo")</f>
        <v>#REF!</v>
      </c>
      <c r="Q422" s="6">
        <v>550</v>
      </c>
      <c r="R422" s="2" t="s">
        <v>45</v>
      </c>
      <c r="S422" s="2" t="s">
        <v>424</v>
      </c>
      <c r="T422" s="2" t="s">
        <v>46</v>
      </c>
      <c r="U422" s="2" t="s">
        <v>53</v>
      </c>
      <c r="V422" s="2" t="s">
        <v>531</v>
      </c>
    </row>
    <row r="423" spans="1:22" ht="27" customHeight="1" x14ac:dyDescent="0.3">
      <c r="A423" s="2">
        <v>422</v>
      </c>
      <c r="B423" s="2" t="s">
        <v>62</v>
      </c>
      <c r="C423" s="4">
        <v>45946</v>
      </c>
      <c r="D423" s="4" t="str">
        <f>TEXT(Tabla2[[#This Row],[fecha]],"MMMM")</f>
        <v>Octubre</v>
      </c>
      <c r="E423" s="2" t="s">
        <v>487</v>
      </c>
      <c r="F423" s="2" t="s">
        <v>82</v>
      </c>
      <c r="G423" s="2" t="s">
        <v>38</v>
      </c>
      <c r="H423" s="2" t="s">
        <v>421</v>
      </c>
      <c r="I423" s="2" t="s">
        <v>339</v>
      </c>
      <c r="J423" s="2">
        <v>3833</v>
      </c>
      <c r="K423" s="2">
        <v>3833</v>
      </c>
      <c r="L423" s="2">
        <v>3833</v>
      </c>
      <c r="M423" s="4">
        <v>45946</v>
      </c>
      <c r="N423" s="5">
        <f>+Tabla2[[#This Row],[fecha_pe]]-Tabla2[[#This Row],[fecha]]</f>
        <v>0</v>
      </c>
      <c r="O423" s="5">
        <f>+Tabla2[[#This Row],[fecha_pe]]-Tabla2[[#This Row],[fecha]]</f>
        <v>0</v>
      </c>
      <c r="P423" s="5" t="e">
        <f>IF([1]!Tabla2[[#This Row],[TIEMPO DE ATENCIÓN REALIZADO]]&lt;=[1]!Tabla2[[#This Row],[TIEMPO DE ATENCIÓN ESPERADO]],"Dentro de plazo","Fuera de plazo")</f>
        <v>#REF!</v>
      </c>
      <c r="Q423" s="6">
        <v>3220</v>
      </c>
      <c r="R423" s="2" t="s">
        <v>45</v>
      </c>
      <c r="S423" s="2" t="s">
        <v>424</v>
      </c>
      <c r="T423" s="2" t="s">
        <v>46</v>
      </c>
      <c r="U423" s="2" t="s">
        <v>53</v>
      </c>
      <c r="V423" s="2"/>
    </row>
    <row r="424" spans="1:22" ht="27" customHeight="1" x14ac:dyDescent="0.3">
      <c r="A424" s="2">
        <v>423</v>
      </c>
      <c r="B424" s="2" t="s">
        <v>5</v>
      </c>
      <c r="C424" s="4">
        <v>45946</v>
      </c>
      <c r="D424" s="4" t="str">
        <f>TEXT(Tabla2[[#This Row],[fecha]],"MMMM")</f>
        <v>Octubre</v>
      </c>
      <c r="E424" s="2" t="s">
        <v>514</v>
      </c>
      <c r="F424" s="2" t="s">
        <v>414</v>
      </c>
      <c r="G424" s="2" t="s">
        <v>44</v>
      </c>
      <c r="H424" s="2" t="s">
        <v>421</v>
      </c>
      <c r="I424" s="2" t="s">
        <v>339</v>
      </c>
      <c r="J424" s="2">
        <v>3834</v>
      </c>
      <c r="K424" s="2">
        <v>3834</v>
      </c>
      <c r="L424" s="2">
        <v>3834</v>
      </c>
      <c r="M424" s="4">
        <v>45946</v>
      </c>
      <c r="N424" s="5">
        <f>+Tabla2[[#This Row],[fecha_pe]]-Tabla2[[#This Row],[fecha]]</f>
        <v>0</v>
      </c>
      <c r="O424" s="5">
        <f>+Tabla2[[#This Row],[fecha_pe]]-Tabla2[[#This Row],[fecha]]</f>
        <v>0</v>
      </c>
      <c r="P424" s="5" t="e">
        <f>IF([1]!Tabla2[[#This Row],[TIEMPO DE ATENCIÓN REALIZADO]]&lt;=[1]!Tabla2[[#This Row],[TIEMPO DE ATENCIÓN ESPERADO]],"Dentro de plazo","Fuera de plazo")</f>
        <v>#REF!</v>
      </c>
      <c r="Q424" s="6">
        <v>1421.1</v>
      </c>
      <c r="R424" s="2" t="s">
        <v>45</v>
      </c>
      <c r="S424" s="2" t="s">
        <v>424</v>
      </c>
      <c r="T424" s="2" t="s">
        <v>46</v>
      </c>
      <c r="U424" s="2" t="s">
        <v>53</v>
      </c>
      <c r="V424" s="2"/>
    </row>
    <row r="425" spans="1:22" ht="27" customHeight="1" x14ac:dyDescent="0.3">
      <c r="A425" s="2">
        <v>424</v>
      </c>
      <c r="B425" s="2" t="s">
        <v>5</v>
      </c>
      <c r="C425" s="4">
        <v>45945</v>
      </c>
      <c r="D425" s="4" t="str">
        <f>TEXT(Tabla2[[#This Row],[fecha]],"MMMM")</f>
        <v>Octubre</v>
      </c>
      <c r="E425" s="2" t="s">
        <v>515</v>
      </c>
      <c r="F425" s="2" t="s">
        <v>82</v>
      </c>
      <c r="G425" s="2" t="s">
        <v>44</v>
      </c>
      <c r="H425" s="2" t="s">
        <v>421</v>
      </c>
      <c r="I425" s="2" t="s">
        <v>339</v>
      </c>
      <c r="J425" s="2">
        <v>3835</v>
      </c>
      <c r="K425" s="2">
        <v>3835</v>
      </c>
      <c r="L425" s="2">
        <v>3835</v>
      </c>
      <c r="M425" s="4">
        <v>45946</v>
      </c>
      <c r="N425" s="5">
        <f>+Tabla2[[#This Row],[fecha_pe]]-Tabla2[[#This Row],[fecha]]</f>
        <v>1</v>
      </c>
      <c r="O425" s="5">
        <f>+Tabla2[[#This Row],[fecha_pe]]-Tabla2[[#This Row],[fecha]]</f>
        <v>1</v>
      </c>
      <c r="P425" s="5" t="e">
        <f>IF([1]!Tabla2[[#This Row],[TIEMPO DE ATENCIÓN REALIZADO]]&lt;=[1]!Tabla2[[#This Row],[TIEMPO DE ATENCIÓN ESPERADO]],"Dentro de plazo","Fuera de plazo")</f>
        <v>#REF!</v>
      </c>
      <c r="Q425" s="6">
        <v>2719.99</v>
      </c>
      <c r="R425" s="2" t="s">
        <v>45</v>
      </c>
      <c r="S425" s="2" t="s">
        <v>425</v>
      </c>
      <c r="T425" s="2" t="s">
        <v>40</v>
      </c>
      <c r="U425" s="2" t="s">
        <v>53</v>
      </c>
      <c r="V425" s="2" t="s">
        <v>516</v>
      </c>
    </row>
    <row r="426" spans="1:22" ht="27" customHeight="1" x14ac:dyDescent="0.3">
      <c r="A426" s="2">
        <v>425</v>
      </c>
      <c r="B426" s="2" t="s">
        <v>1</v>
      </c>
      <c r="C426" s="4">
        <v>45951</v>
      </c>
      <c r="D426" s="4" t="str">
        <f>TEXT(Tabla2[[#This Row],[fecha]],"MMMM")</f>
        <v>Octubre</v>
      </c>
      <c r="E426" s="2" t="s">
        <v>517</v>
      </c>
      <c r="F426" s="2" t="s">
        <v>414</v>
      </c>
      <c r="G426" s="2" t="s">
        <v>44</v>
      </c>
      <c r="H426" s="2" t="s">
        <v>421</v>
      </c>
      <c r="I426" s="2" t="s">
        <v>250</v>
      </c>
      <c r="J426" s="2">
        <v>3836</v>
      </c>
      <c r="K426" s="2">
        <v>3836</v>
      </c>
      <c r="L426" s="2">
        <v>3836</v>
      </c>
      <c r="M426" s="4">
        <v>45951</v>
      </c>
      <c r="N426" s="5">
        <f>+Tabla2[[#This Row],[fecha_pe]]-Tabla2[[#This Row],[fecha]]</f>
        <v>0</v>
      </c>
      <c r="O426" s="5">
        <f>+Tabla2[[#This Row],[fecha_pe]]-Tabla2[[#This Row],[fecha]]</f>
        <v>0</v>
      </c>
      <c r="P426" s="5" t="e">
        <f>IF([1]!Tabla2[[#This Row],[TIEMPO DE ATENCIÓN REALIZADO]]&lt;=[1]!Tabla2[[#This Row],[TIEMPO DE ATENCIÓN ESPERADO]],"Dentro de plazo","Fuera de plazo")</f>
        <v>#REF!</v>
      </c>
      <c r="Q426" s="6">
        <v>2233.23</v>
      </c>
      <c r="R426" s="2" t="s">
        <v>45</v>
      </c>
      <c r="S426" s="2" t="s">
        <v>425</v>
      </c>
      <c r="T426" s="2" t="s">
        <v>40</v>
      </c>
      <c r="U426" s="2" t="s">
        <v>53</v>
      </c>
      <c r="V426" s="2"/>
    </row>
    <row r="427" spans="1:22" ht="27" customHeight="1" x14ac:dyDescent="0.3">
      <c r="A427" s="2">
        <v>426</v>
      </c>
      <c r="B427" s="2" t="s">
        <v>62</v>
      </c>
      <c r="C427" s="4">
        <v>45950</v>
      </c>
      <c r="D427" s="4" t="str">
        <f>TEXT(Tabla2[[#This Row],[fecha]],"MMMM")</f>
        <v>Octubre</v>
      </c>
      <c r="E427" s="2" t="s">
        <v>382</v>
      </c>
      <c r="F427" s="2" t="s">
        <v>415</v>
      </c>
      <c r="G427" s="2" t="s">
        <v>38</v>
      </c>
      <c r="H427" s="2" t="s">
        <v>60</v>
      </c>
      <c r="I427" s="2" t="s">
        <v>39</v>
      </c>
      <c r="J427" s="2">
        <v>3837</v>
      </c>
      <c r="K427" s="2">
        <v>3837</v>
      </c>
      <c r="L427" s="2">
        <v>3837</v>
      </c>
      <c r="M427" s="4">
        <v>45953</v>
      </c>
      <c r="N427" s="5">
        <f>+Tabla2[[#This Row],[fecha_pe]]-Tabla2[[#This Row],[fecha]]</f>
        <v>3</v>
      </c>
      <c r="O427" s="5">
        <f>+Tabla2[[#This Row],[fecha_pe]]-Tabla2[[#This Row],[fecha]]</f>
        <v>3</v>
      </c>
      <c r="P427" s="5" t="e">
        <f>IF([1]!Tabla2[[#This Row],[TIEMPO DE ATENCIÓN REALIZADO]]&lt;=[1]!Tabla2[[#This Row],[TIEMPO DE ATENCIÓN ESPERADO]],"Dentro de plazo","Fuera de plazo")</f>
        <v>#REF!</v>
      </c>
      <c r="Q427" s="6">
        <v>2049.4</v>
      </c>
      <c r="R427" s="2" t="s">
        <v>4</v>
      </c>
      <c r="S427" s="2" t="s">
        <v>426</v>
      </c>
      <c r="T427" s="2" t="s">
        <v>40</v>
      </c>
      <c r="U427" s="2" t="s">
        <v>41</v>
      </c>
      <c r="V427" s="2" t="s">
        <v>533</v>
      </c>
    </row>
    <row r="428" spans="1:22" ht="27" customHeight="1" x14ac:dyDescent="0.3">
      <c r="A428" s="2">
        <v>427</v>
      </c>
      <c r="B428" s="2" t="s">
        <v>62</v>
      </c>
      <c r="C428" s="4">
        <v>45953</v>
      </c>
      <c r="D428" s="4" t="str">
        <f>TEXT(Tabla2[[#This Row],[fecha]],"MMMM")</f>
        <v>Octubre</v>
      </c>
      <c r="E428" s="2" t="s">
        <v>518</v>
      </c>
      <c r="F428" s="2" t="s">
        <v>82</v>
      </c>
      <c r="G428" s="2" t="s">
        <v>58</v>
      </c>
      <c r="H428" s="2" t="s">
        <v>421</v>
      </c>
      <c r="I428" s="2" t="s">
        <v>68</v>
      </c>
      <c r="J428" s="2">
        <v>3838</v>
      </c>
      <c r="K428" s="2">
        <v>3838</v>
      </c>
      <c r="L428" s="2">
        <v>3838</v>
      </c>
      <c r="M428" s="4">
        <v>45953</v>
      </c>
      <c r="N428" s="5">
        <f>+Tabla2[[#This Row],[fecha_pe]]-Tabla2[[#This Row],[fecha]]</f>
        <v>0</v>
      </c>
      <c r="O428" s="5">
        <f>+Tabla2[[#This Row],[fecha_pe]]-Tabla2[[#This Row],[fecha]]</f>
        <v>0</v>
      </c>
      <c r="P428" s="5" t="e">
        <f>IF([1]!Tabla2[[#This Row],[TIEMPO DE ATENCIÓN REALIZADO]]&lt;=[1]!Tabla2[[#This Row],[TIEMPO DE ATENCIÓN ESPERADO]],"Dentro de plazo","Fuera de plazo")</f>
        <v>#REF!</v>
      </c>
      <c r="Q428" s="6">
        <v>3340</v>
      </c>
      <c r="R428" s="2" t="s">
        <v>45</v>
      </c>
      <c r="S428" s="2" t="s">
        <v>426</v>
      </c>
      <c r="T428" s="2" t="s">
        <v>40</v>
      </c>
      <c r="U428" s="2" t="s">
        <v>53</v>
      </c>
      <c r="V428" s="2" t="s">
        <v>534</v>
      </c>
    </row>
    <row r="429" spans="1:22" ht="27" customHeight="1" x14ac:dyDescent="0.3">
      <c r="A429" s="2">
        <v>428</v>
      </c>
      <c r="B429" s="2" t="s">
        <v>62</v>
      </c>
      <c r="C429" s="4">
        <v>45950</v>
      </c>
      <c r="D429" s="4" t="str">
        <f>TEXT(Tabla2[[#This Row],[fecha]],"MMMM")</f>
        <v>Octubre</v>
      </c>
      <c r="E429" s="2" t="s">
        <v>535</v>
      </c>
      <c r="F429" s="2" t="s">
        <v>72</v>
      </c>
      <c r="G429" s="2" t="s">
        <v>38</v>
      </c>
      <c r="H429" s="2" t="s">
        <v>421</v>
      </c>
      <c r="I429" s="2" t="s">
        <v>422</v>
      </c>
      <c r="J429" s="2">
        <v>3839</v>
      </c>
      <c r="K429" s="2">
        <v>3839</v>
      </c>
      <c r="L429" s="2">
        <v>3839</v>
      </c>
      <c r="M429" s="4">
        <v>45957</v>
      </c>
      <c r="N429" s="5">
        <f>+Tabla2[[#This Row],[fecha_pe]]-Tabla2[[#This Row],[fecha]]</f>
        <v>7</v>
      </c>
      <c r="O429" s="5">
        <f>+Tabla2[[#This Row],[fecha_pe]]-Tabla2[[#This Row],[fecha]]</f>
        <v>7</v>
      </c>
      <c r="P429" s="5" t="e">
        <f>IF([1]!Tabla2[[#This Row],[TIEMPO DE ATENCIÓN REALIZADO]]&lt;=[1]!Tabla2[[#This Row],[TIEMPO DE ATENCIÓN ESPERADO]],"Dentro de plazo","Fuera de plazo")</f>
        <v>#REF!</v>
      </c>
      <c r="Q429" s="6">
        <v>5850</v>
      </c>
      <c r="R429" s="2" t="s">
        <v>45</v>
      </c>
      <c r="S429" s="2" t="s">
        <v>426</v>
      </c>
      <c r="T429" s="2" t="s">
        <v>40</v>
      </c>
      <c r="U429" s="2" t="s">
        <v>41</v>
      </c>
      <c r="V429" s="2" t="s">
        <v>534</v>
      </c>
    </row>
    <row r="430" spans="1:22" ht="27" customHeight="1" x14ac:dyDescent="0.3">
      <c r="A430" s="2">
        <v>429</v>
      </c>
      <c r="B430" s="2" t="s">
        <v>62</v>
      </c>
      <c r="C430" s="4">
        <v>45953</v>
      </c>
      <c r="D430" s="4" t="str">
        <f>TEXT(Tabla2[[#This Row],[fecha]],"MMMM")</f>
        <v>Octubre</v>
      </c>
      <c r="E430" s="2" t="s">
        <v>519</v>
      </c>
      <c r="F430" s="2" t="s">
        <v>414</v>
      </c>
      <c r="G430" s="2" t="s">
        <v>58</v>
      </c>
      <c r="H430" s="2" t="s">
        <v>421</v>
      </c>
      <c r="I430" s="2" t="s">
        <v>39</v>
      </c>
      <c r="J430" s="2">
        <v>3840</v>
      </c>
      <c r="K430" s="2">
        <v>3840</v>
      </c>
      <c r="L430" s="2">
        <v>3840</v>
      </c>
      <c r="M430" s="4">
        <v>45957</v>
      </c>
      <c r="N430" s="5">
        <f>+Tabla2[[#This Row],[fecha_pe]]-Tabla2[[#This Row],[fecha]]</f>
        <v>4</v>
      </c>
      <c r="O430" s="5">
        <f>+Tabla2[[#This Row],[fecha_pe]]-Tabla2[[#This Row],[fecha]]</f>
        <v>4</v>
      </c>
      <c r="P430" s="5" t="e">
        <f>IF([1]!Tabla2[[#This Row],[TIEMPO DE ATENCIÓN REALIZADO]]&lt;=[1]!Tabla2[[#This Row],[TIEMPO DE ATENCIÓN ESPERADO]],"Dentro de plazo","Fuera de plazo")</f>
        <v>#REF!</v>
      </c>
      <c r="Q430" s="6">
        <v>1810</v>
      </c>
      <c r="R430" s="2" t="s">
        <v>9</v>
      </c>
      <c r="S430" s="2" t="s">
        <v>426</v>
      </c>
      <c r="T430" s="2" t="s">
        <v>40</v>
      </c>
      <c r="U430" s="2" t="s">
        <v>53</v>
      </c>
      <c r="V430" s="2" t="s">
        <v>526</v>
      </c>
    </row>
    <row r="431" spans="1:22" ht="27" customHeight="1" x14ac:dyDescent="0.3">
      <c r="A431" s="2">
        <v>430</v>
      </c>
      <c r="B431" s="2" t="s">
        <v>413</v>
      </c>
      <c r="C431" s="4">
        <v>45954</v>
      </c>
      <c r="D431" s="4" t="str">
        <f>TEXT(Tabla2[[#This Row],[fecha]],"MMMM")</f>
        <v>Octubre</v>
      </c>
      <c r="E431" s="2" t="s">
        <v>536</v>
      </c>
      <c r="F431" s="2" t="s">
        <v>520</v>
      </c>
      <c r="G431" s="2" t="s">
        <v>38</v>
      </c>
      <c r="H431" s="2" t="s">
        <v>421</v>
      </c>
      <c r="I431" s="2" t="s">
        <v>429</v>
      </c>
      <c r="J431" s="2">
        <v>3841</v>
      </c>
      <c r="K431" s="2">
        <v>3841</v>
      </c>
      <c r="L431" s="2">
        <v>3841</v>
      </c>
      <c r="M431" s="4">
        <v>45954</v>
      </c>
      <c r="N431" s="5">
        <f>+Tabla2[[#This Row],[fecha_pe]]-Tabla2[[#This Row],[fecha]]</f>
        <v>0</v>
      </c>
      <c r="O431" s="5">
        <f>+Tabla2[[#This Row],[fecha_pe]]-Tabla2[[#This Row],[fecha]]</f>
        <v>0</v>
      </c>
      <c r="P431" s="5" t="e">
        <f>IF([1]!Tabla2[[#This Row],[TIEMPO DE ATENCIÓN REALIZADO]]&lt;=[1]!Tabla2[[#This Row],[TIEMPO DE ATENCIÓN ESPERADO]],"Dentro de plazo","Fuera de plazo")</f>
        <v>#REF!</v>
      </c>
      <c r="Q431" s="6">
        <v>45</v>
      </c>
      <c r="R431" s="2" t="s">
        <v>45</v>
      </c>
      <c r="S431" s="2" t="s">
        <v>424</v>
      </c>
      <c r="T431" s="2" t="s">
        <v>46</v>
      </c>
      <c r="U431" s="2" t="s">
        <v>53</v>
      </c>
      <c r="V431" s="2"/>
    </row>
    <row r="432" spans="1:22" ht="27" customHeight="1" x14ac:dyDescent="0.3">
      <c r="A432" s="2">
        <v>431</v>
      </c>
      <c r="B432" s="2" t="s">
        <v>62</v>
      </c>
      <c r="C432" s="4">
        <v>45953</v>
      </c>
      <c r="D432" s="4" t="str">
        <f>TEXT(Tabla2[[#This Row],[fecha]],"MMMM")</f>
        <v>Octubre</v>
      </c>
      <c r="E432" s="2" t="s">
        <v>521</v>
      </c>
      <c r="F432" s="2" t="s">
        <v>55</v>
      </c>
      <c r="G432" s="2" t="s">
        <v>419</v>
      </c>
      <c r="H432" s="2" t="s">
        <v>421</v>
      </c>
      <c r="I432" s="2" t="s">
        <v>68</v>
      </c>
      <c r="J432" s="2">
        <v>3842</v>
      </c>
      <c r="K432" s="2">
        <v>3842</v>
      </c>
      <c r="L432" s="2">
        <v>3842</v>
      </c>
      <c r="M432" s="4">
        <v>45959</v>
      </c>
      <c r="N432" s="5">
        <f>+Tabla2[[#This Row],[fecha_pe]]-Tabla2[[#This Row],[fecha]]</f>
        <v>6</v>
      </c>
      <c r="O432" s="5">
        <f>+Tabla2[[#This Row],[fecha_pe]]-Tabla2[[#This Row],[fecha]]</f>
        <v>6</v>
      </c>
      <c r="P432" s="5" t="e">
        <f>IF([1]!Tabla2[[#This Row],[TIEMPO DE ATENCIÓN REALIZADO]]&lt;=[1]!Tabla2[[#This Row],[TIEMPO DE ATENCIÓN ESPERADO]],"Dentro de plazo","Fuera de plazo")</f>
        <v>#REF!</v>
      </c>
      <c r="Q432" s="6">
        <v>90</v>
      </c>
      <c r="R432" s="2" t="s">
        <v>9</v>
      </c>
      <c r="S432" s="2" t="s">
        <v>426</v>
      </c>
      <c r="T432" s="2" t="s">
        <v>40</v>
      </c>
      <c r="U432" s="2" t="s">
        <v>53</v>
      </c>
      <c r="V432" s="2" t="s">
        <v>537</v>
      </c>
    </row>
    <row r="433" spans="1:22" ht="27" customHeight="1" x14ac:dyDescent="0.3">
      <c r="A433" s="2">
        <v>432</v>
      </c>
      <c r="B433" s="2" t="s">
        <v>62</v>
      </c>
      <c r="C433" s="4">
        <v>45953</v>
      </c>
      <c r="D433" s="4" t="str">
        <f>TEXT(Tabla2[[#This Row],[fecha]],"MMMM")</f>
        <v>Octubre</v>
      </c>
      <c r="E433" s="2" t="s">
        <v>521</v>
      </c>
      <c r="F433" s="2" t="s">
        <v>82</v>
      </c>
      <c r="G433" s="2" t="s">
        <v>419</v>
      </c>
      <c r="H433" s="2" t="s">
        <v>421</v>
      </c>
      <c r="I433" s="2" t="s">
        <v>68</v>
      </c>
      <c r="J433" s="2">
        <v>3843</v>
      </c>
      <c r="K433" s="2">
        <v>3843</v>
      </c>
      <c r="L433" s="2">
        <v>3843</v>
      </c>
      <c r="M433" s="4">
        <v>45959</v>
      </c>
      <c r="N433" s="5">
        <f>+Tabla2[[#This Row],[fecha_pe]]-Tabla2[[#This Row],[fecha]]</f>
        <v>6</v>
      </c>
      <c r="O433" s="5">
        <f>+Tabla2[[#This Row],[fecha_pe]]-Tabla2[[#This Row],[fecha]]</f>
        <v>6</v>
      </c>
      <c r="P433" s="5" t="e">
        <f>IF([1]!Tabla2[[#This Row],[TIEMPO DE ATENCIÓN REALIZADO]]&lt;=[1]!Tabla2[[#This Row],[TIEMPO DE ATENCIÓN ESPERADO]],"Dentro de plazo","Fuera de plazo")</f>
        <v>#REF!</v>
      </c>
      <c r="Q433" s="6">
        <v>6025.07</v>
      </c>
      <c r="R433" s="2" t="s">
        <v>9</v>
      </c>
      <c r="S433" s="2" t="s">
        <v>426</v>
      </c>
      <c r="T433" s="2" t="s">
        <v>40</v>
      </c>
      <c r="U433" s="2" t="s">
        <v>53</v>
      </c>
      <c r="V433" s="2" t="s">
        <v>537</v>
      </c>
    </row>
    <row r="434" spans="1:22" ht="27" customHeight="1" x14ac:dyDescent="0.3">
      <c r="A434" s="2">
        <v>433</v>
      </c>
      <c r="B434" s="2" t="s">
        <v>62</v>
      </c>
      <c r="C434" s="4">
        <v>45960</v>
      </c>
      <c r="D434" s="4" t="str">
        <f>TEXT(Tabla2[[#This Row],[fecha]],"MMMM")</f>
        <v>Octubre</v>
      </c>
      <c r="E434" s="2" t="s">
        <v>389</v>
      </c>
      <c r="F434" s="2" t="s">
        <v>415</v>
      </c>
      <c r="G434" s="2" t="s">
        <v>58</v>
      </c>
      <c r="H434" s="2" t="s">
        <v>421</v>
      </c>
      <c r="I434" s="2" t="s">
        <v>68</v>
      </c>
      <c r="J434" s="2">
        <v>3844</v>
      </c>
      <c r="K434" s="2">
        <v>3844</v>
      </c>
      <c r="L434" s="2">
        <v>3844</v>
      </c>
      <c r="M434" s="4">
        <v>45960</v>
      </c>
      <c r="N434" s="5">
        <f>+Tabla2[[#This Row],[fecha_pe]]-Tabla2[[#This Row],[fecha]]</f>
        <v>0</v>
      </c>
      <c r="O434" s="5">
        <f>+Tabla2[[#This Row],[fecha_pe]]-Tabla2[[#This Row],[fecha]]</f>
        <v>0</v>
      </c>
      <c r="P434" s="5" t="e">
        <f>IF([1]!Tabla2[[#This Row],[TIEMPO DE ATENCIÓN REALIZADO]]&lt;=[1]!Tabla2[[#This Row],[TIEMPO DE ATENCIÓN ESPERADO]],"Dentro de plazo","Fuera de plazo")</f>
        <v>#REF!</v>
      </c>
      <c r="Q434" s="6">
        <v>4310</v>
      </c>
      <c r="R434" s="2" t="s">
        <v>24</v>
      </c>
      <c r="S434" s="2" t="s">
        <v>424</v>
      </c>
      <c r="T434" s="2" t="s">
        <v>46</v>
      </c>
      <c r="U434" s="2" t="s">
        <v>41</v>
      </c>
      <c r="V434" s="2" t="s">
        <v>538</v>
      </c>
    </row>
    <row r="435" spans="1:22" ht="27" customHeight="1" x14ac:dyDescent="0.3">
      <c r="A435" s="2">
        <v>434</v>
      </c>
      <c r="B435" s="2" t="s">
        <v>62</v>
      </c>
      <c r="C435" s="4">
        <v>45960</v>
      </c>
      <c r="D435" s="4" t="str">
        <f>TEXT(Tabla2[[#This Row],[fecha]],"MMMM")</f>
        <v>Octubre</v>
      </c>
      <c r="E435" s="2" t="s">
        <v>389</v>
      </c>
      <c r="F435" s="2" t="s">
        <v>414</v>
      </c>
      <c r="G435" s="2" t="s">
        <v>58</v>
      </c>
      <c r="H435" s="2" t="s">
        <v>421</v>
      </c>
      <c r="I435" s="2" t="s">
        <v>68</v>
      </c>
      <c r="J435" s="2">
        <v>3845</v>
      </c>
      <c r="K435" s="2">
        <v>3845</v>
      </c>
      <c r="L435" s="2">
        <v>3845</v>
      </c>
      <c r="M435" s="4">
        <v>45960</v>
      </c>
      <c r="N435" s="5">
        <f>+Tabla2[[#This Row],[fecha_pe]]-Tabla2[[#This Row],[fecha]]</f>
        <v>0</v>
      </c>
      <c r="O435" s="5">
        <f>+Tabla2[[#This Row],[fecha_pe]]-Tabla2[[#This Row],[fecha]]</f>
        <v>0</v>
      </c>
      <c r="P435" s="5" t="e">
        <f>IF([1]!Tabla2[[#This Row],[TIEMPO DE ATENCIÓN REALIZADO]]&lt;=[1]!Tabla2[[#This Row],[TIEMPO DE ATENCIÓN ESPERADO]],"Dentro de plazo","Fuera de plazo")</f>
        <v>#REF!</v>
      </c>
      <c r="Q435" s="6">
        <v>4800</v>
      </c>
      <c r="R435" s="2" t="s">
        <v>24</v>
      </c>
      <c r="S435" s="2" t="s">
        <v>424</v>
      </c>
      <c r="T435" s="2" t="s">
        <v>46</v>
      </c>
      <c r="U435" s="2" t="s">
        <v>41</v>
      </c>
      <c r="V435" s="2" t="s">
        <v>538</v>
      </c>
    </row>
    <row r="436" spans="1:22" ht="27" customHeight="1" x14ac:dyDescent="0.3">
      <c r="A436" s="2">
        <v>436</v>
      </c>
      <c r="B436" s="2" t="s">
        <v>5</v>
      </c>
      <c r="C436" s="4">
        <v>45933</v>
      </c>
      <c r="D436" s="4" t="str">
        <f>TEXT(Tabla2[[#This Row],[fecha]],"MMMM")</f>
        <v>Octubre</v>
      </c>
      <c r="E436" s="2" t="s">
        <v>539</v>
      </c>
      <c r="F436" s="2" t="s">
        <v>414</v>
      </c>
      <c r="G436" s="2" t="s">
        <v>419</v>
      </c>
      <c r="H436" s="2" t="s">
        <v>421</v>
      </c>
      <c r="I436" s="2" t="s">
        <v>355</v>
      </c>
      <c r="J436" s="2">
        <v>3920</v>
      </c>
      <c r="K436" s="2">
        <v>3920</v>
      </c>
      <c r="L436" s="2">
        <v>3920</v>
      </c>
      <c r="M436" s="4">
        <v>45933</v>
      </c>
      <c r="N436" s="5">
        <f>+Tabla2[[#This Row],[fecha_pe]]-Tabla2[[#This Row],[fecha]]</f>
        <v>0</v>
      </c>
      <c r="O436" s="5">
        <f>+Tabla2[[#This Row],[fecha_pe]]-Tabla2[[#This Row],[fecha]]</f>
        <v>0</v>
      </c>
      <c r="P436" s="5" t="e">
        <f>IF([1]!Tabla2[[#This Row],[TIEMPO DE ATENCIÓN REALIZADO]]&lt;=[1]!Tabla2[[#This Row],[TIEMPO DE ATENCIÓN ESPERADO]],"Dentro de plazo","Fuera de plazo")</f>
        <v>#REF!</v>
      </c>
      <c r="Q436" s="6">
        <v>565</v>
      </c>
      <c r="R436" s="2" t="s">
        <v>45</v>
      </c>
      <c r="S436" s="2" t="s">
        <v>425</v>
      </c>
      <c r="T436" s="2" t="s">
        <v>40</v>
      </c>
      <c r="U436" s="2" t="s">
        <v>53</v>
      </c>
      <c r="V436" s="2"/>
    </row>
    <row r="437" spans="1:22" ht="27" customHeight="1" x14ac:dyDescent="0.3">
      <c r="A437" s="2">
        <v>437</v>
      </c>
      <c r="B437" s="2" t="s">
        <v>5</v>
      </c>
      <c r="C437" s="4">
        <v>45939</v>
      </c>
      <c r="D437" s="4" t="str">
        <f>TEXT(Tabla2[[#This Row],[fecha]],"MMMM")</f>
        <v>Octubre</v>
      </c>
      <c r="E437" s="2" t="s">
        <v>226</v>
      </c>
      <c r="F437" s="2" t="s">
        <v>520</v>
      </c>
      <c r="G437" s="2" t="s">
        <v>38</v>
      </c>
      <c r="H437" s="2" t="s">
        <v>60</v>
      </c>
      <c r="I437" s="2" t="s">
        <v>39</v>
      </c>
      <c r="J437" s="2">
        <v>3921</v>
      </c>
      <c r="K437" s="2">
        <v>3921</v>
      </c>
      <c r="L437" s="2">
        <v>3921</v>
      </c>
      <c r="M437" s="4">
        <v>45939</v>
      </c>
      <c r="N437" s="5">
        <f>+Tabla2[[#This Row],[fecha_pe]]-Tabla2[[#This Row],[fecha]]</f>
        <v>0</v>
      </c>
      <c r="O437" s="5">
        <f>+Tabla2[[#This Row],[fecha_pe]]-Tabla2[[#This Row],[fecha]]</f>
        <v>0</v>
      </c>
      <c r="P437" s="5" t="e">
        <f>IF([1]!Tabla2[[#This Row],[TIEMPO DE ATENCIÓN REALIZADO]]&lt;=[1]!Tabla2[[#This Row],[TIEMPO DE ATENCIÓN ESPERADO]],"Dentro de plazo","Fuera de plazo")</f>
        <v>#REF!</v>
      </c>
      <c r="Q437" s="6">
        <v>1515.21</v>
      </c>
      <c r="R437" s="2" t="s">
        <v>45</v>
      </c>
      <c r="S437" s="2" t="s">
        <v>425</v>
      </c>
      <c r="T437" s="2" t="s">
        <v>40</v>
      </c>
      <c r="U437" s="2" t="s">
        <v>41</v>
      </c>
      <c r="V437" s="2"/>
    </row>
    <row r="438" spans="1:22" ht="27" customHeight="1" x14ac:dyDescent="0.3">
      <c r="A438" s="2">
        <v>438</v>
      </c>
      <c r="B438" s="2" t="s">
        <v>62</v>
      </c>
      <c r="C438" s="4">
        <v>45937</v>
      </c>
      <c r="D438" s="4" t="str">
        <f>TEXT(Tabla2[[#This Row],[fecha]],"MMMM")</f>
        <v>Octubre</v>
      </c>
      <c r="E438" s="2" t="s">
        <v>540</v>
      </c>
      <c r="F438" s="2" t="s">
        <v>520</v>
      </c>
      <c r="G438" s="2" t="s">
        <v>419</v>
      </c>
      <c r="H438" s="2" t="s">
        <v>60</v>
      </c>
      <c r="I438" s="2" t="s">
        <v>339</v>
      </c>
      <c r="J438" s="2">
        <v>3922</v>
      </c>
      <c r="K438" s="2">
        <v>3922</v>
      </c>
      <c r="L438" s="2">
        <v>3922</v>
      </c>
      <c r="M438" s="4">
        <v>45937</v>
      </c>
      <c r="N438" s="5">
        <f>+Tabla2[[#This Row],[fecha_pe]]-Tabla2[[#This Row],[fecha]]</f>
        <v>0</v>
      </c>
      <c r="O438" s="5">
        <f>+Tabla2[[#This Row],[fecha_pe]]-Tabla2[[#This Row],[fecha]]</f>
        <v>0</v>
      </c>
      <c r="P438" s="5" t="e">
        <f>IF([1]!Tabla2[[#This Row],[TIEMPO DE ATENCIÓN REALIZADO]]&lt;=[1]!Tabla2[[#This Row],[TIEMPO DE ATENCIÓN ESPERADO]],"Dentro de plazo","Fuera de plazo")</f>
        <v>#REF!</v>
      </c>
      <c r="Q438" s="6">
        <v>5920</v>
      </c>
      <c r="R438" s="2" t="s">
        <v>45</v>
      </c>
      <c r="S438" s="2" t="s">
        <v>425</v>
      </c>
      <c r="T438" s="2" t="s">
        <v>40</v>
      </c>
      <c r="U438" s="2" t="s">
        <v>53</v>
      </c>
      <c r="V438" s="2" t="s">
        <v>541</v>
      </c>
    </row>
    <row r="439" spans="1:22" ht="27" customHeight="1" x14ac:dyDescent="0.3">
      <c r="A439" s="2">
        <v>439</v>
      </c>
      <c r="B439" s="2" t="s">
        <v>5</v>
      </c>
      <c r="C439" s="4">
        <v>45960</v>
      </c>
      <c r="D439" s="4" t="str">
        <f>TEXT(Tabla2[[#This Row],[fecha]],"MMMM")</f>
        <v>Octubre</v>
      </c>
      <c r="E439" s="2" t="s">
        <v>522</v>
      </c>
      <c r="F439" s="2" t="s">
        <v>82</v>
      </c>
      <c r="G439" s="2" t="s">
        <v>58</v>
      </c>
      <c r="H439" s="2" t="s">
        <v>421</v>
      </c>
      <c r="I439" s="2" t="s">
        <v>339</v>
      </c>
      <c r="J439" s="2">
        <v>3923</v>
      </c>
      <c r="K439" s="2">
        <v>3923</v>
      </c>
      <c r="L439" s="2">
        <v>3923</v>
      </c>
      <c r="M439" s="4">
        <v>45960</v>
      </c>
      <c r="N439" s="5">
        <f>+Tabla2[[#This Row],[fecha_pe]]-Tabla2[[#This Row],[fecha]]</f>
        <v>0</v>
      </c>
      <c r="O439" s="5">
        <f>+Tabla2[[#This Row],[fecha_pe]]-Tabla2[[#This Row],[fecha]]</f>
        <v>0</v>
      </c>
      <c r="P439" s="5" t="e">
        <f>IF([1]!Tabla2[[#This Row],[TIEMPO DE ATENCIÓN REALIZADO]]&lt;=[1]!Tabla2[[#This Row],[TIEMPO DE ATENCIÓN ESPERADO]],"Dentro de plazo","Fuera de plazo")</f>
        <v>#REF!</v>
      </c>
      <c r="Q439" s="6">
        <v>1850</v>
      </c>
      <c r="R439" s="2" t="s">
        <v>45</v>
      </c>
      <c r="S439" s="2" t="s">
        <v>424</v>
      </c>
      <c r="T439" s="2" t="s">
        <v>46</v>
      </c>
      <c r="U439" s="2" t="s">
        <v>41</v>
      </c>
      <c r="V439" s="2"/>
    </row>
    <row r="440" spans="1:22" ht="27" customHeight="1" x14ac:dyDescent="0.3">
      <c r="A440" s="2">
        <v>440</v>
      </c>
      <c r="B440" s="2" t="s">
        <v>5</v>
      </c>
      <c r="C440" s="4">
        <v>45958</v>
      </c>
      <c r="D440" s="4" t="str">
        <f>TEXT(Tabla2[[#This Row],[fecha]],"MMMM")</f>
        <v>Octubre</v>
      </c>
      <c r="E440" s="2" t="s">
        <v>467</v>
      </c>
      <c r="F440" s="2" t="s">
        <v>72</v>
      </c>
      <c r="G440" s="2" t="s">
        <v>58</v>
      </c>
      <c r="H440" s="2" t="s">
        <v>421</v>
      </c>
      <c r="I440" s="2" t="s">
        <v>39</v>
      </c>
      <c r="J440" s="2">
        <v>3942</v>
      </c>
      <c r="K440" s="2">
        <v>3942</v>
      </c>
      <c r="L440" s="2">
        <v>3942</v>
      </c>
      <c r="M440" s="4">
        <v>45958</v>
      </c>
      <c r="N440" s="5">
        <f>+Tabla2[[#This Row],[fecha_pe]]-Tabla2[[#This Row],[fecha]]</f>
        <v>0</v>
      </c>
      <c r="O440" s="5">
        <f>+Tabla2[[#This Row],[fecha_pe]]-Tabla2[[#This Row],[fecha]]</f>
        <v>0</v>
      </c>
      <c r="P440" s="5" t="e">
        <f>IF([1]!Tabla2[[#This Row],[TIEMPO DE ATENCIÓN REALIZADO]]&lt;=[1]!Tabla2[[#This Row],[TIEMPO DE ATENCIÓN ESPERADO]],"Dentro de plazo","Fuera de plazo")</f>
        <v>#REF!</v>
      </c>
      <c r="Q440" s="6">
        <v>2730</v>
      </c>
      <c r="R440" s="2" t="s">
        <v>45</v>
      </c>
      <c r="S440" s="2" t="s">
        <v>425</v>
      </c>
      <c r="T440" s="2" t="s">
        <v>40</v>
      </c>
      <c r="U440" s="2" t="s">
        <v>41</v>
      </c>
      <c r="V440" s="2"/>
    </row>
    <row r="441" spans="1:22" ht="27" customHeight="1" x14ac:dyDescent="0.3">
      <c r="A441" s="2">
        <v>441</v>
      </c>
      <c r="B441" s="2" t="s">
        <v>5</v>
      </c>
      <c r="C441" s="4">
        <v>45958</v>
      </c>
      <c r="D441" s="4" t="str">
        <f>TEXT(Tabla2[[#This Row],[fecha]],"MMMM")</f>
        <v>Octubre</v>
      </c>
      <c r="E441" s="2" t="s">
        <v>467</v>
      </c>
      <c r="F441" s="2" t="s">
        <v>55</v>
      </c>
      <c r="G441" s="2" t="s">
        <v>58</v>
      </c>
      <c r="H441" s="2" t="s">
        <v>421</v>
      </c>
      <c r="I441" s="2" t="s">
        <v>39</v>
      </c>
      <c r="J441" s="2">
        <v>3943</v>
      </c>
      <c r="K441" s="2">
        <v>3943</v>
      </c>
      <c r="L441" s="2">
        <v>3943</v>
      </c>
      <c r="M441" s="4">
        <v>45958</v>
      </c>
      <c r="N441" s="5">
        <f>+Tabla2[[#This Row],[fecha_pe]]-Tabla2[[#This Row],[fecha]]</f>
        <v>0</v>
      </c>
      <c r="O441" s="5">
        <f>+Tabla2[[#This Row],[fecha_pe]]-Tabla2[[#This Row],[fecha]]</f>
        <v>0</v>
      </c>
      <c r="P441" s="5" t="e">
        <f>IF([1]!Tabla2[[#This Row],[TIEMPO DE ATENCIÓN REALIZADO]]&lt;=[1]!Tabla2[[#This Row],[TIEMPO DE ATENCIÓN ESPERADO]],"Dentro de plazo","Fuera de plazo")</f>
        <v>#REF!</v>
      </c>
      <c r="Q441" s="6">
        <v>1500</v>
      </c>
      <c r="R441" s="2" t="s">
        <v>45</v>
      </c>
      <c r="S441" s="2" t="s">
        <v>425</v>
      </c>
      <c r="T441" s="2" t="s">
        <v>40</v>
      </c>
      <c r="U441" s="2" t="s">
        <v>41</v>
      </c>
      <c r="V441" s="2"/>
    </row>
  </sheetData>
  <pageMargins left="0.7" right="0.7" top="0.75" bottom="0.75" header="0.3" footer="0.3"/>
  <pageSetup paperSize="9" scale="24" orientation="portrait" verticalDpi="0" r:id="rId1"/>
  <ignoredErrors>
    <ignoredError sqref="I426" listDataValidation="1"/>
  </ignoredErrors>
  <tableParts count="1">
    <tablePart r:id="rId2"/>
  </tableParts>
  <extLst>
    <ext xmlns:x14="http://schemas.microsoft.com/office/spreadsheetml/2009/9/main" uri="{CCE6A557-97BC-4b89-ADB6-D9C93CAAB3DF}">
      <x14:dataValidations xmlns:xm="http://schemas.microsoft.com/office/excel/2006/main" count="15">
        <x14:dataValidation type="list" allowBlank="1" showInputMessage="1" showErrorMessage="1" xr:uid="{D03C55B5-D89E-402C-A45E-A63497A4F106}">
          <x14:formula1>
            <xm:f>Datos!$C$3:$C$13</xm:f>
          </x14:formula1>
          <xm:sqref>F2:F344</xm:sqref>
        </x14:dataValidation>
        <x14:dataValidation type="list" allowBlank="1" showInputMessage="1" showErrorMessage="1" xr:uid="{360FD2F9-8911-483A-8BF3-B613D45F83A1}">
          <x14:formula1>
            <xm:f>Datos!$F$3:$F$10</xm:f>
          </x14:formula1>
          <xm:sqref>I185:I188 I93:I94 I99:I100 I102:I104 I106:I120 I287:I294 I161:I163 I173 I88:I91 I190:I282 I296:I338 I122:I138 I284 I340:I341 I344:I361 I165:I170 I157 I2:I49 I51:I86 I140:I141 I143:I155 I175:I183 I363:I371 I374:I379 I426</xm:sqref>
        </x14:dataValidation>
        <x14:dataValidation type="list" allowBlank="1" showInputMessage="1" showErrorMessage="1" xr:uid="{D25EC631-F4A3-4F34-8257-727F647BD95D}">
          <x14:formula1>
            <xm:f>Datos!$C$3:$C$14</xm:f>
          </x14:formula1>
          <xm:sqref>I342:I343 F345:F347 F402:F404 F396:F398 F400 F349:F388 F390:F394</xm:sqref>
        </x14:dataValidation>
        <x14:dataValidation type="list" allowBlank="1" showInputMessage="1" showErrorMessage="1" xr:uid="{2F01145A-8978-44A3-B68E-18305205EB5D}">
          <x14:formula1>
            <xm:f>Datos!$F$3:$F$11</xm:f>
          </x14:formula1>
          <xm:sqref>I92 I95:I98 I101 I105 I121 I159:I160 I164 I174 I283 I295 I339 I139 I285:I286</xm:sqref>
        </x14:dataValidation>
        <x14:dataValidation type="list" allowBlank="1" showInputMessage="1" showErrorMessage="1" xr:uid="{B86E949B-D46F-4E54-A5F0-88C3E7407DFF}">
          <x14:formula1>
            <xm:f>Datos!$C$3:$C$15</xm:f>
          </x14:formula1>
          <xm:sqref>F348</xm:sqref>
        </x14:dataValidation>
        <x14:dataValidation type="list" allowBlank="1" showInputMessage="1" showErrorMessage="1" xr:uid="{D1D28559-15E3-4E5F-8598-E8FF15083A6B}">
          <x14:formula1>
            <xm:f>Datos!$F$3:$F$12</xm:f>
          </x14:formula1>
          <xm:sqref>I184 I189 I372:I373 I171</xm:sqref>
        </x14:dataValidation>
        <x14:dataValidation type="list" allowBlank="1" showInputMessage="1" showErrorMessage="1" xr:uid="{8CA1E2D7-0368-4BF0-88A6-D33E2638E57C}">
          <x14:formula1>
            <xm:f>Datos!$F$3:$F$13</xm:f>
          </x14:formula1>
          <xm:sqref>I50 I87 I142 I156 I158 I172</xm:sqref>
        </x14:dataValidation>
        <x14:dataValidation type="list" allowBlank="1" showInputMessage="1" showErrorMessage="1" xr:uid="{B4590E9D-109B-40DE-8BA5-3BDF3D195B86}">
          <x14:formula1>
            <xm:f>Datos!$F$3:$F$15</xm:f>
          </x14:formula1>
          <xm:sqref>I402:I404 I396:I398 I400 I380:I388 H389 I390:I394</xm:sqref>
        </x14:dataValidation>
        <x14:dataValidation type="list" allowBlank="1" showInputMessage="1" showErrorMessage="1" xr:uid="{B7B00DC5-3C24-43BB-B85E-BD0D4B043948}">
          <x14:formula1>
            <xm:f>Datos!$B$3:$B$7</xm:f>
          </x14:formula1>
          <xm:sqref>B414:B415 B2:B394 B396:B397 B400 B402:B404 B408:B411 B424:B426 B436:B441</xm:sqref>
        </x14:dataValidation>
        <x14:dataValidation type="list" allowBlank="1" showInputMessage="1" showErrorMessage="1" xr:uid="{5BAC8572-AE94-4C95-A6AC-6995A12B64F9}">
          <x14:formula1>
            <xm:f>Datos!$D$3:$D$8</xm:f>
          </x14:formula1>
          <xm:sqref>G408 G411 G414:G415 G396:G398 G400 G402:G404 G436:G441 G2:G388 F389 G390:G394 G424:G426</xm:sqref>
        </x14:dataValidation>
        <x14:dataValidation type="list" allowBlank="1" showInputMessage="1" showErrorMessage="1" xr:uid="{E3E24009-8510-4873-9DD0-ACAEC93D0559}">
          <x14:formula1>
            <xm:f>Datos!$E$3:$E$4</xm:f>
          </x14:formula1>
          <xm:sqref>H408 H411 H414:H415 H396:H398 H400 H402:H404 H436:H441 H2:H388 G389 H390:H394 H424:H426</xm:sqref>
        </x14:dataValidation>
        <x14:dataValidation type="list" allowBlank="1" showInputMessage="1" showErrorMessage="1" xr:uid="{163FEEEC-9885-4B39-8859-AAD963CC8E46}">
          <x14:formula1>
            <xm:f>Datos!$G$3:$G$11</xm:f>
          </x14:formula1>
          <xm:sqref>R411 R408 R414:R415 R2:R394 R396:R397 R400 R402:R404 R436:R441 R424:R426</xm:sqref>
        </x14:dataValidation>
        <x14:dataValidation type="list" allowBlank="1" showInputMessage="1" showErrorMessage="1" xr:uid="{B51B4665-EF97-4822-9EB7-D65DF78E43DD}">
          <x14:formula1>
            <xm:f>Datos!$H$3:$H$6</xm:f>
          </x14:formula1>
          <xm:sqref>S411 S408 S414:S415 S2:S394 S396:S397 S400 S402:S404 S424:S426 S436:S441</xm:sqref>
        </x14:dataValidation>
        <x14:dataValidation type="list" allowBlank="1" showInputMessage="1" showErrorMessage="1" xr:uid="{C77907DF-7B74-462D-A9AA-4A1657E2DBB8}">
          <x14:formula1>
            <xm:f>Datos!$I$3:$I$4</xm:f>
          </x14:formula1>
          <xm:sqref>T411 T408 T414:T415 T2:T394 T396:T397 T400 T402:T404 T424:T426 T436:T441</xm:sqref>
        </x14:dataValidation>
        <x14:dataValidation type="list" allowBlank="1" showInputMessage="1" showErrorMessage="1" xr:uid="{576FD312-0ACA-41D7-A7DC-1F0840E3330A}">
          <x14:formula1>
            <xm:f>Datos!$J$3:$J$4</xm:f>
          </x14:formula1>
          <xm:sqref>U414:U415 U408 U2:U394 U396:U397 U400 U402:U404 U411 U424:U426 U436:U441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97A8F3-DBC5-4829-B109-DF32C120AF5E}">
  <dimension ref="B2:J15"/>
  <sheetViews>
    <sheetView showGridLines="0" workbookViewId="0">
      <selection activeCell="B5" sqref="B5:B18"/>
    </sheetView>
  </sheetViews>
  <sheetFormatPr defaultColWidth="11.5546875" defaultRowHeight="27" customHeight="1" x14ac:dyDescent="0.3"/>
  <cols>
    <col min="1" max="1" width="11.5546875" style="1"/>
    <col min="2" max="5" width="17.6640625" style="1" customWidth="1"/>
    <col min="6" max="6" width="17.6640625" style="2" customWidth="1"/>
    <col min="7" max="10" width="17.6640625" style="1" customWidth="1"/>
    <col min="11" max="16384" width="11.5546875" style="1"/>
  </cols>
  <sheetData>
    <row r="2" spans="2:10" ht="27" customHeight="1" x14ac:dyDescent="0.3">
      <c r="B2" s="9" t="s">
        <v>30</v>
      </c>
      <c r="C2" s="9" t="s">
        <v>0</v>
      </c>
      <c r="D2" s="9" t="s">
        <v>31</v>
      </c>
      <c r="E2" s="9" t="s">
        <v>32</v>
      </c>
      <c r="F2" s="9" t="s">
        <v>33</v>
      </c>
      <c r="G2" s="9" t="s">
        <v>34</v>
      </c>
      <c r="H2" s="9" t="s">
        <v>35</v>
      </c>
      <c r="I2" s="9" t="s">
        <v>428</v>
      </c>
      <c r="J2" s="9" t="s">
        <v>36</v>
      </c>
    </row>
    <row r="3" spans="2:10" ht="27" customHeight="1" x14ac:dyDescent="0.3">
      <c r="B3" s="7" t="s">
        <v>5</v>
      </c>
      <c r="C3" s="7" t="s">
        <v>414</v>
      </c>
      <c r="D3" s="7" t="s">
        <v>38</v>
      </c>
      <c r="E3" s="7" t="s">
        <v>421</v>
      </c>
      <c r="F3" s="8" t="s">
        <v>39</v>
      </c>
      <c r="G3" s="8" t="s">
        <v>423</v>
      </c>
      <c r="H3" s="8" t="s">
        <v>424</v>
      </c>
      <c r="I3" s="8" t="s">
        <v>46</v>
      </c>
      <c r="J3" s="8" t="s">
        <v>53</v>
      </c>
    </row>
    <row r="4" spans="2:10" ht="27" customHeight="1" x14ac:dyDescent="0.3">
      <c r="B4" s="7" t="s">
        <v>413</v>
      </c>
      <c r="C4" s="7" t="s">
        <v>415</v>
      </c>
      <c r="D4" s="7" t="s">
        <v>58</v>
      </c>
      <c r="E4" s="7" t="s">
        <v>60</v>
      </c>
      <c r="F4" s="8" t="s">
        <v>422</v>
      </c>
      <c r="G4" s="8" t="s">
        <v>2</v>
      </c>
      <c r="H4" s="8" t="s">
        <v>425</v>
      </c>
      <c r="I4" s="8" t="s">
        <v>40</v>
      </c>
      <c r="J4" s="8" t="s">
        <v>41</v>
      </c>
    </row>
    <row r="5" spans="2:10" ht="27" customHeight="1" x14ac:dyDescent="0.3">
      <c r="B5" s="7" t="s">
        <v>62</v>
      </c>
      <c r="C5" s="7" t="s">
        <v>82</v>
      </c>
      <c r="D5" s="7" t="s">
        <v>419</v>
      </c>
      <c r="F5" s="8" t="s">
        <v>242</v>
      </c>
      <c r="G5" s="8" t="s">
        <v>4</v>
      </c>
      <c r="H5" s="8" t="s">
        <v>426</v>
      </c>
    </row>
    <row r="6" spans="2:10" ht="27" customHeight="1" x14ac:dyDescent="0.3">
      <c r="B6" s="7" t="s">
        <v>120</v>
      </c>
      <c r="C6" s="7" t="s">
        <v>416</v>
      </c>
      <c r="D6" s="7" t="s">
        <v>147</v>
      </c>
      <c r="F6" s="8" t="s">
        <v>88</v>
      </c>
      <c r="G6" s="8" t="s">
        <v>24</v>
      </c>
      <c r="H6" s="8" t="s">
        <v>427</v>
      </c>
    </row>
    <row r="7" spans="2:10" ht="27" customHeight="1" x14ac:dyDescent="0.3">
      <c r="B7" s="7" t="s">
        <v>1</v>
      </c>
      <c r="C7" s="7" t="s">
        <v>91</v>
      </c>
      <c r="D7" s="7" t="s">
        <v>83</v>
      </c>
      <c r="F7" s="8" t="s">
        <v>292</v>
      </c>
      <c r="G7" s="8" t="s">
        <v>9</v>
      </c>
    </row>
    <row r="8" spans="2:10" ht="27" customHeight="1" x14ac:dyDescent="0.3">
      <c r="B8" s="7"/>
      <c r="C8" s="7" t="s">
        <v>417</v>
      </c>
      <c r="D8" s="7" t="s">
        <v>420</v>
      </c>
      <c r="F8" s="8" t="s">
        <v>80</v>
      </c>
      <c r="G8" s="8" t="s">
        <v>16</v>
      </c>
    </row>
    <row r="9" spans="2:10" ht="27" customHeight="1" x14ac:dyDescent="0.3">
      <c r="C9" s="7" t="s">
        <v>132</v>
      </c>
      <c r="F9" s="8" t="s">
        <v>68</v>
      </c>
      <c r="G9" s="7" t="s">
        <v>15</v>
      </c>
    </row>
    <row r="10" spans="2:10" ht="27" customHeight="1" x14ac:dyDescent="0.3">
      <c r="C10" s="7" t="s">
        <v>55</v>
      </c>
      <c r="F10" s="10" t="s">
        <v>429</v>
      </c>
      <c r="G10" s="7" t="s">
        <v>13</v>
      </c>
    </row>
    <row r="11" spans="2:10" ht="27" customHeight="1" x14ac:dyDescent="0.3">
      <c r="C11" s="7" t="s">
        <v>72</v>
      </c>
      <c r="F11" s="10" t="s">
        <v>418</v>
      </c>
      <c r="G11" s="7" t="s">
        <v>45</v>
      </c>
    </row>
    <row r="12" spans="2:10" ht="27" customHeight="1" x14ac:dyDescent="0.3">
      <c r="C12" s="7" t="s">
        <v>144</v>
      </c>
      <c r="F12" s="10" t="s">
        <v>463</v>
      </c>
    </row>
    <row r="13" spans="2:10" ht="27" customHeight="1" x14ac:dyDescent="0.3">
      <c r="C13" s="7" t="s">
        <v>88</v>
      </c>
      <c r="F13" s="10" t="s">
        <v>465</v>
      </c>
    </row>
    <row r="14" spans="2:10" ht="27" customHeight="1" x14ac:dyDescent="0.3">
      <c r="C14" s="7" t="s">
        <v>418</v>
      </c>
      <c r="F14" s="10" t="s">
        <v>180</v>
      </c>
    </row>
    <row r="15" spans="2:10" ht="27" customHeight="1" x14ac:dyDescent="0.3">
      <c r="C15" s="7" t="s">
        <v>434</v>
      </c>
      <c r="F15" s="10"/>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c97ac79a-b521-43e2-b269-2370fa5bb204" xsi:nil="true"/>
    <lcf76f155ced4ddcb4097134ff3c332f xmlns="ab9eddc0-6e7f-40e8-8a25-a6194df63471">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CFB479C48E64FB4B8FA0C717E026C76E" ma:contentTypeVersion="12" ma:contentTypeDescription="Crear nuevo documento." ma:contentTypeScope="" ma:versionID="0346b9b43770a469b7a1b4af488b1f2e">
  <xsd:schema xmlns:xsd="http://www.w3.org/2001/XMLSchema" xmlns:xs="http://www.w3.org/2001/XMLSchema" xmlns:p="http://schemas.microsoft.com/office/2006/metadata/properties" xmlns:ns2="ab9eddc0-6e7f-40e8-8a25-a6194df63471" xmlns:ns3="c97ac79a-b521-43e2-b269-2370fa5bb204" targetNamespace="http://schemas.microsoft.com/office/2006/metadata/properties" ma:root="true" ma:fieldsID="84ed265c178dad4b7c6864367c3fecb1" ns2:_="" ns3:_="">
    <xsd:import namespace="ab9eddc0-6e7f-40e8-8a25-a6194df63471"/>
    <xsd:import namespace="c97ac79a-b521-43e2-b269-2370fa5bb20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GenerationTime" minOccurs="0"/>
                <xsd:element ref="ns2:MediaServiceEventHashCode" minOccurs="0"/>
                <xsd:element ref="ns2:MediaServiceOCR"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b9eddc0-6e7f-40e8-8a25-a6194df6347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ecb3ed0d-05b5-4e3c-8223-404b83b067cd"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c97ac79a-b521-43e2-b269-2370fa5bb204"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003660e-e974-43b8-80b1-cc0500821b99}" ma:internalName="TaxCatchAll" ma:showField="CatchAllData" ma:web="c97ac79a-b521-43e2-b269-2370fa5bb20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5F61EBE-72BA-4717-B79D-8D07A7117049}">
  <ds:schemaRefs>
    <ds:schemaRef ds:uri="http://schemas.microsoft.com/sharepoint/v3/contenttype/forms"/>
  </ds:schemaRefs>
</ds:datastoreItem>
</file>

<file path=customXml/itemProps2.xml><?xml version="1.0" encoding="utf-8"?>
<ds:datastoreItem xmlns:ds="http://schemas.openxmlformats.org/officeDocument/2006/customXml" ds:itemID="{6B80665E-AC54-4928-906F-934267515B58}">
  <ds:schemaRefs>
    <ds:schemaRef ds:uri="http://schemas.microsoft.com/office/2006/metadata/properties"/>
    <ds:schemaRef ds:uri="http://schemas.microsoft.com/office/infopath/2007/PartnerControls"/>
    <ds:schemaRef ds:uri="c97ac79a-b521-43e2-b269-2370fa5bb204"/>
    <ds:schemaRef ds:uri="ab9eddc0-6e7f-40e8-8a25-a6194df63471"/>
  </ds:schemaRefs>
</ds:datastoreItem>
</file>

<file path=customXml/itemProps3.xml><?xml version="1.0" encoding="utf-8"?>
<ds:datastoreItem xmlns:ds="http://schemas.openxmlformats.org/officeDocument/2006/customXml" ds:itemID="{4AC70C59-AB43-4775-BF11-EF1B8F33745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b9eddc0-6e7f-40e8-8a25-a6194df63471"/>
    <ds:schemaRef ds:uri="c97ac79a-b521-43e2-b269-2370fa5bb20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PE</vt:lpstr>
      <vt:lpstr>Datos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Alison Rodriguez</dc:creator>
  <cp:keywords/>
  <dc:description/>
  <cp:lastModifiedBy>Jarek Challco</cp:lastModifiedBy>
  <cp:revision/>
  <cp:lastPrinted>2025-11-05T21:09:47Z</cp:lastPrinted>
  <dcterms:created xsi:type="dcterms:W3CDTF">2023-12-29T17:24:34Z</dcterms:created>
  <dcterms:modified xsi:type="dcterms:W3CDTF">2025-11-18T21:00:42Z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0x010100CFB479C48E64FB4B8FA0C717E026C76E</vt:lpwstr>
  </property>
</Properties>
</file>