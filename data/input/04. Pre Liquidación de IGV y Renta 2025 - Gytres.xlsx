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6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7.xml" ContentType="application/vnd.openxmlformats-officedocument.drawing+xml"/>
  <Override PartName="/xl/slicers/slicer2.xml" ContentType="application/vnd.ms-excel.slicer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Proyectos\DataPulse\data\input\"/>
    </mc:Choice>
  </mc:AlternateContent>
  <xr:revisionPtr revIDLastSave="0" documentId="13_ncr:1_{4FF2C177-B2E1-4434-87D2-C57672CC4D98}" xr6:coauthVersionLast="47" xr6:coauthVersionMax="47" xr10:uidLastSave="{00000000-0000-0000-0000-000000000000}"/>
  <bookViews>
    <workbookView xWindow="-108" yWindow="-108" windowWidth="23256" windowHeight="12456" tabRatio="835" xr2:uid="{00000000-000D-0000-FFFF-FFFF00000000}"/>
  </bookViews>
  <sheets>
    <sheet name="R.Tributaria" sheetId="47" r:id="rId1"/>
    <sheet name="DET IMPUESTO" sheetId="40" state="hidden" r:id="rId2"/>
    <sheet name="COMPRAS Y VENTAS" sheetId="39" state="hidden" r:id="rId3"/>
    <sheet name="CONSOLIDADO" sheetId="43" state="hidden" r:id="rId4"/>
    <sheet name="DETALLE GASTOS FIJOS Y VARIABLE" sheetId="44" state="hidden" r:id="rId5"/>
    <sheet name="COMPRAS" sheetId="36" r:id="rId6"/>
    <sheet name="VENTAS" sheetId="33" r:id="rId7"/>
    <sheet name="Graf" sheetId="46" state="hidden" r:id="rId8"/>
    <sheet name="DASHBOARD" sheetId="45" state="hidden" r:id="rId9"/>
  </sheets>
  <definedNames>
    <definedName name="CC" localSheetId="5">COMPRAS!$G$2831:$H$2853</definedName>
    <definedName name="CC" localSheetId="6">VENTAS!$F$430:$G$452</definedName>
    <definedName name="OP" localSheetId="5">COMPRAS!$A$2831:$B$2889</definedName>
    <definedName name="OP" localSheetId="3">CONSOLIDADO!$B$1502:$C$1538</definedName>
    <definedName name="OP" localSheetId="6">VENTAS!$A$430:$B$467</definedName>
    <definedName name="_xlnm.Print_Area" localSheetId="2">'COMPRAS Y VENTAS'!$B$2:$S$20</definedName>
    <definedName name="_xlnm.Print_Area" localSheetId="3">CONSOLIDADO!$B$2:$T$61</definedName>
    <definedName name="_xlnm.Print_Area" localSheetId="1">'DET IMPUESTO'!$B$2:$S$22</definedName>
    <definedName name="_xlnm.Print_Area" localSheetId="4">'DETALLE GASTOS FIJOS Y VARIABLE'!$B$2:$S$38</definedName>
    <definedName name="_xlnm.Print_Area" localSheetId="0">'R.Tributaria'!$B$2:$S$20</definedName>
    <definedName name="_xlnm.Print_Titles" localSheetId="5">COMPRAS!$1:$1</definedName>
    <definedName name="_xlnm.Print_Titles" localSheetId="6">VENTAS!$1:$1</definedName>
    <definedName name="SegmentaciónDeDatos_PERIODO">#N/A</definedName>
    <definedName name="SegmentaciónDeDatos_PERIODO1">#N/A</definedName>
    <definedName name="TIPODOC" localSheetId="5">COMPRAS!$J$2831:$K$2839</definedName>
    <definedName name="TIPODOC">VENTAS!$J$1374:$K$1382</definedName>
  </definedNames>
  <calcPr calcId="191028"/>
  <pivotCaches>
    <pivotCache cacheId="0" r:id="rId10"/>
    <pivotCache cacheId="1" r:id="rId11"/>
  </pivotCaches>
  <extLst>
    <ext xmlns:x14="http://schemas.microsoft.com/office/spreadsheetml/2009/9/main" uri="{BBE1A952-AA13-448e-AADC-164F8A28A991}">
      <x14:slicerCaches>
        <x14:slicerCache r:id="rId12"/>
        <x14:slicerCache r:id="rId1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5" i="47" l="1"/>
  <c r="G15" i="47"/>
  <c r="F15" i="47"/>
  <c r="B2800" i="36"/>
  <c r="B2801" i="36"/>
  <c r="B2802" i="36"/>
  <c r="B2803" i="36"/>
  <c r="B2804" i="36"/>
  <c r="B2805" i="36"/>
  <c r="B2806" i="36"/>
  <c r="B2807" i="36"/>
  <c r="B2808" i="36"/>
  <c r="B2809" i="36"/>
  <c r="B2810" i="36"/>
  <c r="B2811" i="36"/>
  <c r="B2812" i="36"/>
  <c r="E2800" i="36"/>
  <c r="E2801" i="36"/>
  <c r="E2802" i="36"/>
  <c r="E2803" i="36"/>
  <c r="E2804" i="36"/>
  <c r="E2805" i="36"/>
  <c r="E2806" i="36"/>
  <c r="E2807" i="36"/>
  <c r="E2808" i="36"/>
  <c r="E2809" i="36"/>
  <c r="E2810" i="36"/>
  <c r="E2811" i="36"/>
  <c r="E2812" i="36"/>
  <c r="L2800" i="36"/>
  <c r="L2801" i="36"/>
  <c r="L2802" i="36"/>
  <c r="L2803" i="36"/>
  <c r="L2804" i="36"/>
  <c r="L2805" i="36"/>
  <c r="L2806" i="36"/>
  <c r="L2807" i="36"/>
  <c r="L2808" i="36"/>
  <c r="L2809" i="36"/>
  <c r="L2810" i="36"/>
  <c r="L2811" i="36"/>
  <c r="L2812" i="36"/>
  <c r="AB2800" i="36"/>
  <c r="AB2801" i="36"/>
  <c r="AB2802" i="36"/>
  <c r="AB2803" i="36"/>
  <c r="AB2804" i="36"/>
  <c r="AB2805" i="36"/>
  <c r="AB2806" i="36"/>
  <c r="AB2807" i="36"/>
  <c r="AB2808" i="36"/>
  <c r="AB2809" i="36"/>
  <c r="AB2810" i="36"/>
  <c r="AB2811" i="36"/>
  <c r="AB2812" i="36"/>
  <c r="B2813" i="36"/>
  <c r="B2814" i="36"/>
  <c r="B2815" i="36"/>
  <c r="B2816" i="36"/>
  <c r="B2817" i="36"/>
  <c r="B2818" i="36"/>
  <c r="B2819" i="36"/>
  <c r="B2820" i="36"/>
  <c r="B2821" i="36"/>
  <c r="B2822" i="36"/>
  <c r="B2823" i="36"/>
  <c r="B2824" i="36"/>
  <c r="B2825" i="36"/>
  <c r="E2813" i="36"/>
  <c r="E2814" i="36"/>
  <c r="E2815" i="36"/>
  <c r="E2816" i="36"/>
  <c r="E2817" i="36"/>
  <c r="E2818" i="36"/>
  <c r="E2819" i="36"/>
  <c r="E2820" i="36"/>
  <c r="E2821" i="36"/>
  <c r="E2822" i="36"/>
  <c r="E2823" i="36"/>
  <c r="E2824" i="36"/>
  <c r="E2825" i="36"/>
  <c r="L2813" i="36"/>
  <c r="L2814" i="36"/>
  <c r="L2815" i="36"/>
  <c r="L2816" i="36"/>
  <c r="L2817" i="36"/>
  <c r="L2818" i="36"/>
  <c r="L2819" i="36"/>
  <c r="L2820" i="36"/>
  <c r="L2821" i="36"/>
  <c r="L2822" i="36"/>
  <c r="L2823" i="36"/>
  <c r="L2824" i="36"/>
  <c r="L2825" i="36"/>
  <c r="AB2813" i="36"/>
  <c r="AB2814" i="36"/>
  <c r="AB2815" i="36"/>
  <c r="AB2816" i="36"/>
  <c r="AB2817" i="36"/>
  <c r="AB2818" i="36"/>
  <c r="AB2819" i="36"/>
  <c r="AB2820" i="36"/>
  <c r="AB2821" i="36"/>
  <c r="AB2822" i="36"/>
  <c r="AB2823" i="36"/>
  <c r="AB2824" i="36"/>
  <c r="AB2825" i="36"/>
  <c r="B2737" i="36"/>
  <c r="B2738" i="36"/>
  <c r="B2739" i="36"/>
  <c r="B2740" i="36"/>
  <c r="B2741" i="36"/>
  <c r="B2742" i="36"/>
  <c r="B2743" i="36"/>
  <c r="B2744" i="36"/>
  <c r="B2745" i="36"/>
  <c r="B2746" i="36"/>
  <c r="B2747" i="36"/>
  <c r="B2748" i="36"/>
  <c r="B2749" i="36"/>
  <c r="B2750" i="36"/>
  <c r="B2751" i="36"/>
  <c r="B2752" i="36"/>
  <c r="B2753" i="36"/>
  <c r="B2754" i="36"/>
  <c r="B2755" i="36"/>
  <c r="B2756" i="36"/>
  <c r="B2757" i="36"/>
  <c r="B2758" i="36"/>
  <c r="B2759" i="36"/>
  <c r="B2760" i="36"/>
  <c r="B2761" i="36"/>
  <c r="B2762" i="36"/>
  <c r="B2763" i="36"/>
  <c r="B2764" i="36"/>
  <c r="E2737" i="36"/>
  <c r="E2738" i="36"/>
  <c r="E2739" i="36"/>
  <c r="E2740" i="36"/>
  <c r="E2741" i="36"/>
  <c r="E2742" i="36"/>
  <c r="E2743" i="36"/>
  <c r="E2744" i="36"/>
  <c r="E2745" i="36"/>
  <c r="E2746" i="36"/>
  <c r="E2747" i="36"/>
  <c r="E2748" i="36"/>
  <c r="E2749" i="36"/>
  <c r="E2750" i="36"/>
  <c r="E2751" i="36"/>
  <c r="E2752" i="36"/>
  <c r="E2753" i="36"/>
  <c r="E2754" i="36"/>
  <c r="E2755" i="36"/>
  <c r="E2756" i="36"/>
  <c r="E2757" i="36"/>
  <c r="E2758" i="36"/>
  <c r="E2759" i="36"/>
  <c r="E2760" i="36"/>
  <c r="E2761" i="36"/>
  <c r="E2762" i="36"/>
  <c r="E2763" i="36"/>
  <c r="E2764" i="36"/>
  <c r="L2737" i="36"/>
  <c r="L2738" i="36"/>
  <c r="L2739" i="36"/>
  <c r="L2740" i="36"/>
  <c r="L2741" i="36"/>
  <c r="L2742" i="36"/>
  <c r="L2743" i="36"/>
  <c r="L2744" i="36"/>
  <c r="L2745" i="36"/>
  <c r="L2746" i="36"/>
  <c r="L2747" i="36"/>
  <c r="L2748" i="36"/>
  <c r="L2749" i="36"/>
  <c r="L2750" i="36"/>
  <c r="L2751" i="36"/>
  <c r="L2752" i="36"/>
  <c r="L2753" i="36"/>
  <c r="L2754" i="36"/>
  <c r="L2755" i="36"/>
  <c r="L2756" i="36"/>
  <c r="L2757" i="36"/>
  <c r="L2758" i="36"/>
  <c r="L2759" i="36"/>
  <c r="L2760" i="36"/>
  <c r="L2761" i="36"/>
  <c r="L2762" i="36"/>
  <c r="L2763" i="36"/>
  <c r="L2764" i="36"/>
  <c r="AB2737" i="36"/>
  <c r="AB2738" i="36"/>
  <c r="AB2739" i="36"/>
  <c r="AB2740" i="36"/>
  <c r="AB2741" i="36"/>
  <c r="AB2742" i="36"/>
  <c r="AB2743" i="36"/>
  <c r="AB2744" i="36"/>
  <c r="AB2745" i="36"/>
  <c r="AB2746" i="36"/>
  <c r="AB2747" i="36"/>
  <c r="AB2748" i="36"/>
  <c r="AB2749" i="36"/>
  <c r="AB2750" i="36"/>
  <c r="AB2751" i="36"/>
  <c r="AB2752" i="36"/>
  <c r="AB2753" i="36"/>
  <c r="AB2754" i="36"/>
  <c r="AB2755" i="36"/>
  <c r="AB2756" i="36"/>
  <c r="AB2757" i="36"/>
  <c r="AB2758" i="36"/>
  <c r="AB2759" i="36"/>
  <c r="AB2760" i="36"/>
  <c r="AB2761" i="36"/>
  <c r="AB2762" i="36"/>
  <c r="AB2763" i="36"/>
  <c r="AB2764" i="36"/>
  <c r="B2765" i="36"/>
  <c r="B2766" i="36"/>
  <c r="B2767" i="36"/>
  <c r="B2768" i="36"/>
  <c r="B2769" i="36"/>
  <c r="B2770" i="36"/>
  <c r="B2771" i="36"/>
  <c r="B2772" i="36"/>
  <c r="B2773" i="36"/>
  <c r="B2774" i="36"/>
  <c r="B2775" i="36"/>
  <c r="B2776" i="36"/>
  <c r="B2777" i="36"/>
  <c r="B2778" i="36"/>
  <c r="B2779" i="36"/>
  <c r="B2780" i="36"/>
  <c r="B2781" i="36"/>
  <c r="B2782" i="36"/>
  <c r="B2783" i="36"/>
  <c r="B2784" i="36"/>
  <c r="B2785" i="36"/>
  <c r="B2786" i="36"/>
  <c r="B2787" i="36"/>
  <c r="B2788" i="36"/>
  <c r="E2765" i="36"/>
  <c r="E2766" i="36"/>
  <c r="E2767" i="36"/>
  <c r="E2768" i="36"/>
  <c r="E2769" i="36"/>
  <c r="E2770" i="36"/>
  <c r="E2771" i="36"/>
  <c r="E2772" i="36"/>
  <c r="E2773" i="36"/>
  <c r="E2774" i="36"/>
  <c r="E2775" i="36"/>
  <c r="E2776" i="36"/>
  <c r="E2777" i="36"/>
  <c r="E2778" i="36"/>
  <c r="E2779" i="36"/>
  <c r="E2780" i="36"/>
  <c r="E2781" i="36"/>
  <c r="E2782" i="36"/>
  <c r="E2783" i="36"/>
  <c r="E2784" i="36"/>
  <c r="E2785" i="36"/>
  <c r="E2786" i="36"/>
  <c r="E2787" i="36"/>
  <c r="E2788" i="36"/>
  <c r="L2765" i="36"/>
  <c r="L2766" i="36"/>
  <c r="L2767" i="36"/>
  <c r="L2768" i="36"/>
  <c r="L2769" i="36"/>
  <c r="L2770" i="36"/>
  <c r="L2771" i="36"/>
  <c r="L2772" i="36"/>
  <c r="L2773" i="36"/>
  <c r="L2774" i="36"/>
  <c r="L2775" i="36"/>
  <c r="L2776" i="36"/>
  <c r="L2777" i="36"/>
  <c r="L2778" i="36"/>
  <c r="L2779" i="36"/>
  <c r="L2780" i="36"/>
  <c r="L2781" i="36"/>
  <c r="L2782" i="36"/>
  <c r="L2783" i="36"/>
  <c r="L2784" i="36"/>
  <c r="L2785" i="36"/>
  <c r="L2786" i="36"/>
  <c r="L2787" i="36"/>
  <c r="L2788" i="36"/>
  <c r="AB2765" i="36"/>
  <c r="AB2766" i="36"/>
  <c r="AB2767" i="36"/>
  <c r="AB2768" i="36"/>
  <c r="AB2769" i="36"/>
  <c r="AB2770" i="36"/>
  <c r="AB2771" i="36"/>
  <c r="AB2772" i="36"/>
  <c r="AB2773" i="36"/>
  <c r="AB2774" i="36"/>
  <c r="AB2775" i="36"/>
  <c r="AB2776" i="36"/>
  <c r="AB2777" i="36"/>
  <c r="AB2778" i="36"/>
  <c r="AB2779" i="36"/>
  <c r="AB2780" i="36"/>
  <c r="AB2781" i="36"/>
  <c r="AB2782" i="36"/>
  <c r="AB2783" i="36"/>
  <c r="AB2784" i="36"/>
  <c r="AB2785" i="36"/>
  <c r="AB2786" i="36"/>
  <c r="AB2787" i="36"/>
  <c r="AB2788" i="36"/>
  <c r="B2789" i="36"/>
  <c r="B2790" i="36"/>
  <c r="B2791" i="36"/>
  <c r="B2792" i="36"/>
  <c r="B2793" i="36"/>
  <c r="B2794" i="36"/>
  <c r="E2789" i="36"/>
  <c r="E2790" i="36"/>
  <c r="E2791" i="36"/>
  <c r="E2792" i="36"/>
  <c r="E2793" i="36"/>
  <c r="E2794" i="36"/>
  <c r="L2789" i="36"/>
  <c r="L2790" i="36"/>
  <c r="L2791" i="36"/>
  <c r="L2792" i="36"/>
  <c r="L2793" i="36"/>
  <c r="L2794" i="36"/>
  <c r="AB2789" i="36"/>
  <c r="AB2790" i="36"/>
  <c r="AB2791" i="36"/>
  <c r="AB2792" i="36"/>
  <c r="AB2793" i="36"/>
  <c r="AB2794" i="36"/>
  <c r="B2795" i="36"/>
  <c r="B2796" i="36"/>
  <c r="B2797" i="36"/>
  <c r="B2798" i="36"/>
  <c r="B2799" i="36"/>
  <c r="B2826" i="36"/>
  <c r="E2795" i="36"/>
  <c r="E2796" i="36"/>
  <c r="E2797" i="36"/>
  <c r="E2798" i="36"/>
  <c r="E2799" i="36"/>
  <c r="E2826" i="36"/>
  <c r="L2795" i="36"/>
  <c r="L2796" i="36"/>
  <c r="L2797" i="36"/>
  <c r="L2798" i="36"/>
  <c r="L2799" i="36"/>
  <c r="L2826" i="36"/>
  <c r="AB2795" i="36"/>
  <c r="AB2796" i="36"/>
  <c r="AB2797" i="36"/>
  <c r="AB2798" i="36"/>
  <c r="AB2799" i="36"/>
  <c r="AB2826" i="36"/>
  <c r="B2827" i="36"/>
  <c r="E2827" i="36"/>
  <c r="L2827" i="36"/>
  <c r="AB2827" i="36"/>
  <c r="O2828" i="36"/>
  <c r="B2729" i="36"/>
  <c r="B2730" i="36"/>
  <c r="B2731" i="36"/>
  <c r="B2732" i="36"/>
  <c r="B2733" i="36"/>
  <c r="B2734" i="36"/>
  <c r="B2735" i="36"/>
  <c r="B2736" i="36"/>
  <c r="E2729" i="36"/>
  <c r="E2730" i="36"/>
  <c r="E2731" i="36"/>
  <c r="E2732" i="36"/>
  <c r="E2733" i="36"/>
  <c r="E2734" i="36"/>
  <c r="E2735" i="36"/>
  <c r="E2736" i="36"/>
  <c r="L2729" i="36"/>
  <c r="L2730" i="36"/>
  <c r="L2731" i="36"/>
  <c r="L2732" i="36"/>
  <c r="L2733" i="36"/>
  <c r="L2734" i="36"/>
  <c r="L2735" i="36"/>
  <c r="L2736" i="36"/>
  <c r="AB2729" i="36"/>
  <c r="AB2730" i="36"/>
  <c r="AB2731" i="36"/>
  <c r="AB2732" i="36"/>
  <c r="AB2733" i="36"/>
  <c r="AB2734" i="36"/>
  <c r="AB2735" i="36"/>
  <c r="AB2736" i="36"/>
  <c r="B2680" i="36"/>
  <c r="B2681" i="36"/>
  <c r="B2682" i="36"/>
  <c r="B2683" i="36"/>
  <c r="B2684" i="36"/>
  <c r="B2685" i="36"/>
  <c r="B2686" i="36"/>
  <c r="B2687" i="36"/>
  <c r="B2688" i="36"/>
  <c r="B2689" i="36"/>
  <c r="B2690" i="36"/>
  <c r="B2691" i="36"/>
  <c r="B2692" i="36"/>
  <c r="B2693" i="36"/>
  <c r="B2694" i="36"/>
  <c r="E2680" i="36"/>
  <c r="E2681" i="36"/>
  <c r="E2682" i="36"/>
  <c r="E2683" i="36"/>
  <c r="E2684" i="36"/>
  <c r="E2685" i="36"/>
  <c r="E2686" i="36"/>
  <c r="E2687" i="36"/>
  <c r="E2688" i="36"/>
  <c r="E2689" i="36"/>
  <c r="E2690" i="36"/>
  <c r="E2691" i="36"/>
  <c r="E2692" i="36"/>
  <c r="E2693" i="36"/>
  <c r="E2694" i="36"/>
  <c r="L2680" i="36"/>
  <c r="L2681" i="36"/>
  <c r="L2682" i="36"/>
  <c r="L2683" i="36"/>
  <c r="L2684" i="36"/>
  <c r="L2685" i="36"/>
  <c r="L2686" i="36"/>
  <c r="L2687" i="36"/>
  <c r="L2688" i="36"/>
  <c r="L2689" i="36"/>
  <c r="L2690" i="36"/>
  <c r="L2691" i="36"/>
  <c r="L2692" i="36"/>
  <c r="L2693" i="36"/>
  <c r="L2694" i="36"/>
  <c r="AB2680" i="36"/>
  <c r="AB2681" i="36"/>
  <c r="AB2682" i="36"/>
  <c r="AB2683" i="36"/>
  <c r="AB2684" i="36"/>
  <c r="AB2685" i="36"/>
  <c r="AB2686" i="36"/>
  <c r="AB2687" i="36"/>
  <c r="AB2688" i="36"/>
  <c r="AB2689" i="36"/>
  <c r="AB2690" i="36"/>
  <c r="AB2691" i="36"/>
  <c r="AB2692" i="36"/>
  <c r="AB2693" i="36"/>
  <c r="AB2694" i="36"/>
  <c r="B2695" i="36"/>
  <c r="B2696" i="36"/>
  <c r="B2697" i="36"/>
  <c r="B2698" i="36"/>
  <c r="B2699" i="36"/>
  <c r="B2700" i="36"/>
  <c r="B2701" i="36"/>
  <c r="B2702" i="36"/>
  <c r="B2703" i="36"/>
  <c r="B2704" i="36"/>
  <c r="B2705" i="36"/>
  <c r="B2706" i="36"/>
  <c r="B2707" i="36"/>
  <c r="B2708" i="36"/>
  <c r="B2709" i="36"/>
  <c r="E2695" i="36"/>
  <c r="E2696" i="36"/>
  <c r="E2697" i="36"/>
  <c r="E2698" i="36"/>
  <c r="E2699" i="36"/>
  <c r="E2700" i="36"/>
  <c r="E2701" i="36"/>
  <c r="E2702" i="36"/>
  <c r="E2703" i="36"/>
  <c r="E2704" i="36"/>
  <c r="E2705" i="36"/>
  <c r="E2706" i="36"/>
  <c r="E2707" i="36"/>
  <c r="E2708" i="36"/>
  <c r="E2709" i="36"/>
  <c r="L2695" i="36"/>
  <c r="L2696" i="36"/>
  <c r="L2697" i="36"/>
  <c r="L2698" i="36"/>
  <c r="L2699" i="36"/>
  <c r="L2700" i="36"/>
  <c r="L2701" i="36"/>
  <c r="L2702" i="36"/>
  <c r="L2703" i="36"/>
  <c r="L2704" i="36"/>
  <c r="L2705" i="36"/>
  <c r="L2706" i="36"/>
  <c r="L2707" i="36"/>
  <c r="L2708" i="36"/>
  <c r="L2709" i="36"/>
  <c r="AB2695" i="36"/>
  <c r="AB2696" i="36"/>
  <c r="AB2697" i="36"/>
  <c r="AB2698" i="36"/>
  <c r="AB2699" i="36"/>
  <c r="AB2700" i="36"/>
  <c r="AB2701" i="36"/>
  <c r="AB2702" i="36"/>
  <c r="AB2703" i="36"/>
  <c r="AB2704" i="36"/>
  <c r="AB2705" i="36"/>
  <c r="AB2706" i="36"/>
  <c r="AB2707" i="36"/>
  <c r="AB2708" i="36"/>
  <c r="AB2709" i="36"/>
  <c r="B2710" i="36"/>
  <c r="B2711" i="36"/>
  <c r="B2712" i="36"/>
  <c r="B2713" i="36"/>
  <c r="B2714" i="36"/>
  <c r="B2715" i="36"/>
  <c r="B2716" i="36"/>
  <c r="B2717" i="36"/>
  <c r="B2718" i="36"/>
  <c r="B2719" i="36"/>
  <c r="B2720" i="36"/>
  <c r="B2721" i="36"/>
  <c r="B2722" i="36"/>
  <c r="B2723" i="36"/>
  <c r="B2724" i="36"/>
  <c r="E2710" i="36"/>
  <c r="E2711" i="36"/>
  <c r="E2712" i="36"/>
  <c r="E2713" i="36"/>
  <c r="E2714" i="36"/>
  <c r="E2715" i="36"/>
  <c r="E2716" i="36"/>
  <c r="E2717" i="36"/>
  <c r="E2718" i="36"/>
  <c r="E2719" i="36"/>
  <c r="E2720" i="36"/>
  <c r="E2721" i="36"/>
  <c r="E2722" i="36"/>
  <c r="E2723" i="36"/>
  <c r="E2724" i="36"/>
  <c r="L2710" i="36"/>
  <c r="L2711" i="36"/>
  <c r="L2712" i="36"/>
  <c r="L2713" i="36"/>
  <c r="L2714" i="36"/>
  <c r="L2715" i="36"/>
  <c r="L2716" i="36"/>
  <c r="L2717" i="36"/>
  <c r="L2718" i="36"/>
  <c r="L2719" i="36"/>
  <c r="L2720" i="36"/>
  <c r="L2721" i="36"/>
  <c r="L2722" i="36"/>
  <c r="L2723" i="36"/>
  <c r="L2724" i="36"/>
  <c r="AB2710" i="36"/>
  <c r="AB2711" i="36"/>
  <c r="AB2712" i="36"/>
  <c r="AB2713" i="36"/>
  <c r="AB2714" i="36"/>
  <c r="AB2715" i="36"/>
  <c r="AB2716" i="36"/>
  <c r="AB2717" i="36"/>
  <c r="AB2718" i="36"/>
  <c r="AB2719" i="36"/>
  <c r="AB2720" i="36"/>
  <c r="AB2721" i="36"/>
  <c r="AB2722" i="36"/>
  <c r="AB2723" i="36"/>
  <c r="AB2724" i="36"/>
  <c r="B2725" i="36"/>
  <c r="E2725" i="36"/>
  <c r="L2725" i="36"/>
  <c r="AB2725" i="36"/>
  <c r="B2726" i="36"/>
  <c r="E2726" i="36"/>
  <c r="L2726" i="36"/>
  <c r="AB2726" i="36"/>
  <c r="B2727" i="36"/>
  <c r="E2727" i="36"/>
  <c r="L2727" i="36"/>
  <c r="AB2727" i="36"/>
  <c r="B2728" i="36"/>
  <c r="E2728" i="36"/>
  <c r="L2728" i="36"/>
  <c r="AB2728" i="36"/>
  <c r="B425" i="33"/>
  <c r="E425" i="33"/>
  <c r="L425" i="33"/>
  <c r="X425" i="33"/>
  <c r="B426" i="33"/>
  <c r="E426" i="33"/>
  <c r="L426" i="33"/>
  <c r="X426" i="33"/>
  <c r="B427" i="33"/>
  <c r="E427" i="33"/>
  <c r="L427" i="33"/>
  <c r="X427" i="33"/>
  <c r="B428" i="33"/>
  <c r="E428" i="33"/>
  <c r="L428" i="33"/>
  <c r="X428" i="33"/>
  <c r="B2678" i="36"/>
  <c r="E2678" i="36"/>
  <c r="L2678" i="36"/>
  <c r="AB2678" i="36"/>
  <c r="B2633" i="36"/>
  <c r="B2634" i="36"/>
  <c r="B2635" i="36"/>
  <c r="B2636" i="36"/>
  <c r="B2637" i="36"/>
  <c r="B2638" i="36"/>
  <c r="B2639" i="36"/>
  <c r="B2640" i="36"/>
  <c r="E2633" i="36"/>
  <c r="E2634" i="36"/>
  <c r="E2635" i="36"/>
  <c r="E2636" i="36"/>
  <c r="E2637" i="36"/>
  <c r="E2638" i="36"/>
  <c r="E2639" i="36"/>
  <c r="E2640" i="36"/>
  <c r="L2633" i="36"/>
  <c r="L2634" i="36"/>
  <c r="L2635" i="36"/>
  <c r="L2636" i="36"/>
  <c r="L2637" i="36"/>
  <c r="L2638" i="36"/>
  <c r="L2639" i="36"/>
  <c r="L2640" i="36"/>
  <c r="AB2633" i="36"/>
  <c r="AB2634" i="36"/>
  <c r="AB2635" i="36"/>
  <c r="AB2636" i="36"/>
  <c r="AB2637" i="36"/>
  <c r="AB2638" i="36"/>
  <c r="AB2639" i="36"/>
  <c r="AB2640" i="36"/>
  <c r="B2641" i="36"/>
  <c r="B2642" i="36"/>
  <c r="B2643" i="36"/>
  <c r="B2644" i="36"/>
  <c r="B2645" i="36"/>
  <c r="B2646" i="36"/>
  <c r="B2647" i="36"/>
  <c r="B2648" i="36"/>
  <c r="E2641" i="36"/>
  <c r="E2642" i="36"/>
  <c r="E2643" i="36"/>
  <c r="E2644" i="36"/>
  <c r="E2645" i="36"/>
  <c r="E2646" i="36"/>
  <c r="E2647" i="36"/>
  <c r="E2648" i="36"/>
  <c r="L2641" i="36"/>
  <c r="L2642" i="36"/>
  <c r="L2643" i="36"/>
  <c r="L2644" i="36"/>
  <c r="L2645" i="36"/>
  <c r="L2646" i="36"/>
  <c r="L2647" i="36"/>
  <c r="L2648" i="36"/>
  <c r="AB2641" i="36"/>
  <c r="AB2642" i="36"/>
  <c r="AB2643" i="36"/>
  <c r="AB2644" i="36"/>
  <c r="AB2645" i="36"/>
  <c r="AB2646" i="36"/>
  <c r="AB2647" i="36"/>
  <c r="AB2648" i="36"/>
  <c r="B2649" i="36"/>
  <c r="B2650" i="36"/>
  <c r="B2651" i="36"/>
  <c r="B2652" i="36"/>
  <c r="B2653" i="36"/>
  <c r="B2654" i="36"/>
  <c r="B2655" i="36"/>
  <c r="B2656" i="36"/>
  <c r="B2657" i="36"/>
  <c r="B2658" i="36"/>
  <c r="B2659" i="36"/>
  <c r="B2660" i="36"/>
  <c r="E2649" i="36"/>
  <c r="E2650" i="36"/>
  <c r="E2651" i="36"/>
  <c r="E2652" i="36"/>
  <c r="E2653" i="36"/>
  <c r="E2654" i="36"/>
  <c r="E2655" i="36"/>
  <c r="E2656" i="36"/>
  <c r="E2657" i="36"/>
  <c r="E2658" i="36"/>
  <c r="E2659" i="36"/>
  <c r="E2660" i="36"/>
  <c r="L2649" i="36"/>
  <c r="L2650" i="36"/>
  <c r="L2651" i="36"/>
  <c r="L2652" i="36"/>
  <c r="L2653" i="36"/>
  <c r="L2654" i="36"/>
  <c r="L2655" i="36"/>
  <c r="L2656" i="36"/>
  <c r="L2657" i="36"/>
  <c r="L2658" i="36"/>
  <c r="L2659" i="36"/>
  <c r="L2660" i="36"/>
  <c r="AB2649" i="36"/>
  <c r="AB2650" i="36"/>
  <c r="AB2651" i="36"/>
  <c r="AB2652" i="36"/>
  <c r="AB2653" i="36"/>
  <c r="AB2654" i="36"/>
  <c r="AB2655" i="36"/>
  <c r="AB2656" i="36"/>
  <c r="AB2657" i="36"/>
  <c r="AB2658" i="36"/>
  <c r="AB2659" i="36"/>
  <c r="AB2660" i="36"/>
  <c r="B2662" i="36"/>
  <c r="E2662" i="36"/>
  <c r="L2662" i="36"/>
  <c r="AB2662" i="36"/>
  <c r="B2663" i="36"/>
  <c r="E2663" i="36"/>
  <c r="L2663" i="36"/>
  <c r="AB2663" i="36"/>
  <c r="B2664" i="36"/>
  <c r="E2664" i="36"/>
  <c r="L2664" i="36"/>
  <c r="AB2664" i="36"/>
  <c r="B2665" i="36"/>
  <c r="E2665" i="36"/>
  <c r="L2665" i="36"/>
  <c r="AB2665" i="36"/>
  <c r="B2666" i="36"/>
  <c r="E2666" i="36"/>
  <c r="L2666" i="36"/>
  <c r="AB2666" i="36"/>
  <c r="B2667" i="36"/>
  <c r="E2667" i="36"/>
  <c r="L2667" i="36"/>
  <c r="AB2667" i="36"/>
  <c r="B2668" i="36"/>
  <c r="E2668" i="36"/>
  <c r="L2668" i="36"/>
  <c r="AB2668" i="36"/>
  <c r="B2669" i="36"/>
  <c r="E2669" i="36"/>
  <c r="L2669" i="36"/>
  <c r="AB2669" i="36"/>
  <c r="B2670" i="36"/>
  <c r="E2670" i="36"/>
  <c r="L2670" i="36"/>
  <c r="AB2670" i="36"/>
  <c r="B2671" i="36"/>
  <c r="E2671" i="36"/>
  <c r="L2671" i="36"/>
  <c r="AB2671" i="36"/>
  <c r="B2672" i="36"/>
  <c r="E2672" i="36"/>
  <c r="L2672" i="36"/>
  <c r="AB2672" i="36"/>
  <c r="B2661" i="36"/>
  <c r="E2661" i="36"/>
  <c r="L2661" i="36"/>
  <c r="AB2661" i="36"/>
  <c r="B2673" i="36"/>
  <c r="E2673" i="36"/>
  <c r="L2673" i="36"/>
  <c r="AB2673" i="36"/>
  <c r="B2674" i="36"/>
  <c r="E2674" i="36"/>
  <c r="L2674" i="36"/>
  <c r="AB2674" i="36"/>
  <c r="B2675" i="36"/>
  <c r="E2675" i="36"/>
  <c r="L2675" i="36"/>
  <c r="AB2675" i="36"/>
  <c r="B2676" i="36"/>
  <c r="E2676" i="36"/>
  <c r="L2676" i="36"/>
  <c r="AB2676" i="36"/>
  <c r="B2677" i="36"/>
  <c r="E2677" i="36"/>
  <c r="L2677" i="36"/>
  <c r="AB2677" i="36"/>
  <c r="B2679" i="36"/>
  <c r="E2679" i="36"/>
  <c r="L2679" i="36"/>
  <c r="AB2679" i="36"/>
  <c r="B423" i="33"/>
  <c r="E423" i="33"/>
  <c r="L423" i="33"/>
  <c r="X423" i="33"/>
  <c r="B421" i="33"/>
  <c r="E421" i="33"/>
  <c r="L421" i="33"/>
  <c r="X421" i="33"/>
  <c r="B422" i="33"/>
  <c r="E422" i="33"/>
  <c r="L422" i="33"/>
  <c r="X422" i="33"/>
  <c r="B2626" i="36"/>
  <c r="B2627" i="36"/>
  <c r="B2628" i="36"/>
  <c r="E2626" i="36"/>
  <c r="E2627" i="36"/>
  <c r="E2628" i="36"/>
  <c r="L2626" i="36"/>
  <c r="L2627" i="36"/>
  <c r="L2628" i="36"/>
  <c r="AB2626" i="36"/>
  <c r="AB2627" i="36"/>
  <c r="AB2628" i="36"/>
  <c r="B2508" i="36"/>
  <c r="B2509" i="36"/>
  <c r="B2510" i="36"/>
  <c r="B2511" i="36"/>
  <c r="B2512" i="36"/>
  <c r="B2513" i="36"/>
  <c r="B2514" i="36"/>
  <c r="B2515" i="36"/>
  <c r="B2516" i="36"/>
  <c r="B2517" i="36"/>
  <c r="B2518" i="36"/>
  <c r="B2519" i="36"/>
  <c r="E2508" i="36"/>
  <c r="E2509" i="36"/>
  <c r="E2510" i="36"/>
  <c r="E2511" i="36"/>
  <c r="E2512" i="36"/>
  <c r="E2513" i="36"/>
  <c r="E2514" i="36"/>
  <c r="E2515" i="36"/>
  <c r="E2516" i="36"/>
  <c r="E2517" i="36"/>
  <c r="E2518" i="36"/>
  <c r="E2519" i="36"/>
  <c r="L2508" i="36"/>
  <c r="L2509" i="36"/>
  <c r="L2510" i="36"/>
  <c r="L2511" i="36"/>
  <c r="L2512" i="36"/>
  <c r="L2513" i="36"/>
  <c r="L2514" i="36"/>
  <c r="L2515" i="36"/>
  <c r="L2516" i="36"/>
  <c r="L2517" i="36"/>
  <c r="L2518" i="36"/>
  <c r="L2519" i="36"/>
  <c r="AB2508" i="36"/>
  <c r="AB2509" i="36"/>
  <c r="AB2510" i="36"/>
  <c r="AB2511" i="36"/>
  <c r="AB2512" i="36"/>
  <c r="AB2513" i="36"/>
  <c r="AB2514" i="36"/>
  <c r="AB2515" i="36"/>
  <c r="AB2516" i="36"/>
  <c r="AB2517" i="36"/>
  <c r="AB2518" i="36"/>
  <c r="AB2519" i="36"/>
  <c r="B2520" i="36"/>
  <c r="B2521" i="36"/>
  <c r="B2522" i="36"/>
  <c r="B2523" i="36"/>
  <c r="B2524" i="36"/>
  <c r="B2525" i="36"/>
  <c r="B2526" i="36"/>
  <c r="B2527" i="36"/>
  <c r="B2528" i="36"/>
  <c r="B2529" i="36"/>
  <c r="B2530" i="36"/>
  <c r="B2531" i="36"/>
  <c r="E2520" i="36"/>
  <c r="E2521" i="36"/>
  <c r="E2522" i="36"/>
  <c r="E2523" i="36"/>
  <c r="E2524" i="36"/>
  <c r="E2525" i="36"/>
  <c r="E2526" i="36"/>
  <c r="E2527" i="36"/>
  <c r="E2528" i="36"/>
  <c r="E2529" i="36"/>
  <c r="E2530" i="36"/>
  <c r="E2531" i="36"/>
  <c r="L2520" i="36"/>
  <c r="L2521" i="36"/>
  <c r="L2522" i="36"/>
  <c r="L2523" i="36"/>
  <c r="L2524" i="36"/>
  <c r="L2525" i="36"/>
  <c r="L2526" i="36"/>
  <c r="L2527" i="36"/>
  <c r="L2528" i="36"/>
  <c r="L2529" i="36"/>
  <c r="L2530" i="36"/>
  <c r="L2531" i="36"/>
  <c r="AB2520" i="36"/>
  <c r="AB2521" i="36"/>
  <c r="AB2522" i="36"/>
  <c r="AB2523" i="36"/>
  <c r="AB2524" i="36"/>
  <c r="AB2525" i="36"/>
  <c r="AB2526" i="36"/>
  <c r="AB2527" i="36"/>
  <c r="AB2528" i="36"/>
  <c r="AB2529" i="36"/>
  <c r="AB2530" i="36"/>
  <c r="AB2531" i="36"/>
  <c r="B2532" i="36"/>
  <c r="B2533" i="36"/>
  <c r="B2534" i="36"/>
  <c r="B2535" i="36"/>
  <c r="B2536" i="36"/>
  <c r="B2537" i="36"/>
  <c r="B2538" i="36"/>
  <c r="B2539" i="36"/>
  <c r="B2540" i="36"/>
  <c r="B2541" i="36"/>
  <c r="B2542" i="36"/>
  <c r="B2543" i="36"/>
  <c r="E2532" i="36"/>
  <c r="E2533" i="36"/>
  <c r="E2534" i="36"/>
  <c r="E2535" i="36"/>
  <c r="E2536" i="36"/>
  <c r="E2537" i="36"/>
  <c r="E2538" i="36"/>
  <c r="E2539" i="36"/>
  <c r="E2540" i="36"/>
  <c r="E2541" i="36"/>
  <c r="E2542" i="36"/>
  <c r="E2543" i="36"/>
  <c r="L2532" i="36"/>
  <c r="L2533" i="36"/>
  <c r="L2534" i="36"/>
  <c r="L2535" i="36"/>
  <c r="L2536" i="36"/>
  <c r="L2537" i="36"/>
  <c r="L2538" i="36"/>
  <c r="L2539" i="36"/>
  <c r="L2540" i="36"/>
  <c r="L2541" i="36"/>
  <c r="L2542" i="36"/>
  <c r="L2543" i="36"/>
  <c r="AB2532" i="36"/>
  <c r="AB2533" i="36"/>
  <c r="AB2534" i="36"/>
  <c r="AB2535" i="36"/>
  <c r="AB2536" i="36"/>
  <c r="AB2537" i="36"/>
  <c r="AB2538" i="36"/>
  <c r="AB2539" i="36"/>
  <c r="AB2540" i="36"/>
  <c r="AB2541" i="36"/>
  <c r="AB2542" i="36"/>
  <c r="AB2543" i="36"/>
  <c r="B2544" i="36"/>
  <c r="B2545" i="36"/>
  <c r="B2546" i="36"/>
  <c r="B2547" i="36"/>
  <c r="B2548" i="36"/>
  <c r="B2549" i="36"/>
  <c r="B2550" i="36"/>
  <c r="B2551" i="36"/>
  <c r="B2552" i="36"/>
  <c r="B2553" i="36"/>
  <c r="B2554" i="36"/>
  <c r="B2555" i="36"/>
  <c r="E2544" i="36"/>
  <c r="E2545" i="36"/>
  <c r="E2546" i="36"/>
  <c r="E2547" i="36"/>
  <c r="E2548" i="36"/>
  <c r="E2549" i="36"/>
  <c r="E2550" i="36"/>
  <c r="E2551" i="36"/>
  <c r="E2552" i="36"/>
  <c r="E2553" i="36"/>
  <c r="E2554" i="36"/>
  <c r="E2555" i="36"/>
  <c r="L2544" i="36"/>
  <c r="L2545" i="36"/>
  <c r="L2546" i="36"/>
  <c r="L2547" i="36"/>
  <c r="L2548" i="36"/>
  <c r="L2549" i="36"/>
  <c r="L2550" i="36"/>
  <c r="L2551" i="36"/>
  <c r="L2552" i="36"/>
  <c r="L2553" i="36"/>
  <c r="L2554" i="36"/>
  <c r="L2555" i="36"/>
  <c r="AB2544" i="36"/>
  <c r="AB2545" i="36"/>
  <c r="AB2546" i="36"/>
  <c r="AB2547" i="36"/>
  <c r="AB2548" i="36"/>
  <c r="AB2549" i="36"/>
  <c r="AB2550" i="36"/>
  <c r="AB2551" i="36"/>
  <c r="AB2552" i="36"/>
  <c r="AB2553" i="36"/>
  <c r="AB2554" i="36"/>
  <c r="AB2555" i="36"/>
  <c r="B2556" i="36"/>
  <c r="B2557" i="36"/>
  <c r="B2558" i="36"/>
  <c r="B2559" i="36"/>
  <c r="B2560" i="36"/>
  <c r="B2561" i="36"/>
  <c r="B2562" i="36"/>
  <c r="B2563" i="36"/>
  <c r="B2564" i="36"/>
  <c r="B2565" i="36"/>
  <c r="B2566" i="36"/>
  <c r="B2567" i="36"/>
  <c r="E2556" i="36"/>
  <c r="E2557" i="36"/>
  <c r="E2558" i="36"/>
  <c r="E2559" i="36"/>
  <c r="E2560" i="36"/>
  <c r="E2561" i="36"/>
  <c r="E2562" i="36"/>
  <c r="E2563" i="36"/>
  <c r="E2564" i="36"/>
  <c r="E2565" i="36"/>
  <c r="E2566" i="36"/>
  <c r="E2567" i="36"/>
  <c r="L2556" i="36"/>
  <c r="L2557" i="36"/>
  <c r="L2558" i="36"/>
  <c r="L2559" i="36"/>
  <c r="L2560" i="36"/>
  <c r="L2561" i="36"/>
  <c r="L2562" i="36"/>
  <c r="L2563" i="36"/>
  <c r="L2564" i="36"/>
  <c r="L2565" i="36"/>
  <c r="L2566" i="36"/>
  <c r="L2567" i="36"/>
  <c r="AB2556" i="36"/>
  <c r="AB2557" i="36"/>
  <c r="AB2558" i="36"/>
  <c r="AB2559" i="36"/>
  <c r="AB2560" i="36"/>
  <c r="AB2561" i="36"/>
  <c r="AB2562" i="36"/>
  <c r="AB2563" i="36"/>
  <c r="AB2564" i="36"/>
  <c r="AB2565" i="36"/>
  <c r="AB2566" i="36"/>
  <c r="AB2567" i="36"/>
  <c r="B2568" i="36"/>
  <c r="B2569" i="36"/>
  <c r="B2570" i="36"/>
  <c r="B2571" i="36"/>
  <c r="B2572" i="36"/>
  <c r="B2573" i="36"/>
  <c r="B2574" i="36"/>
  <c r="B2575" i="36"/>
  <c r="B2576" i="36"/>
  <c r="B2577" i="36"/>
  <c r="B2578" i="36"/>
  <c r="B2579" i="36"/>
  <c r="E2568" i="36"/>
  <c r="E2569" i="36"/>
  <c r="E2570" i="36"/>
  <c r="E2571" i="36"/>
  <c r="E2572" i="36"/>
  <c r="E2573" i="36"/>
  <c r="E2574" i="36"/>
  <c r="E2575" i="36"/>
  <c r="E2576" i="36"/>
  <c r="E2577" i="36"/>
  <c r="E2578" i="36"/>
  <c r="E2579" i="36"/>
  <c r="L2568" i="36"/>
  <c r="L2569" i="36"/>
  <c r="L2570" i="36"/>
  <c r="L2571" i="36"/>
  <c r="L2572" i="36"/>
  <c r="L2573" i="36"/>
  <c r="L2574" i="36"/>
  <c r="L2575" i="36"/>
  <c r="L2576" i="36"/>
  <c r="L2577" i="36"/>
  <c r="L2578" i="36"/>
  <c r="L2579" i="36"/>
  <c r="AB2568" i="36"/>
  <c r="AB2569" i="36"/>
  <c r="AB2570" i="36"/>
  <c r="AB2571" i="36"/>
  <c r="AB2572" i="36"/>
  <c r="AB2573" i="36"/>
  <c r="AB2574" i="36"/>
  <c r="AB2575" i="36"/>
  <c r="AB2576" i="36"/>
  <c r="AB2577" i="36"/>
  <c r="AB2578" i="36"/>
  <c r="AB2579" i="36"/>
  <c r="B2580" i="36"/>
  <c r="B2581" i="36"/>
  <c r="B2582" i="36"/>
  <c r="B2583" i="36"/>
  <c r="B2584" i="36"/>
  <c r="B2585" i="36"/>
  <c r="B2586" i="36"/>
  <c r="B2587" i="36"/>
  <c r="B2588" i="36"/>
  <c r="B2589" i="36"/>
  <c r="B2590" i="36"/>
  <c r="B2591" i="36"/>
  <c r="E2580" i="36"/>
  <c r="E2581" i="36"/>
  <c r="E2582" i="36"/>
  <c r="E2583" i="36"/>
  <c r="E2584" i="36"/>
  <c r="E2585" i="36"/>
  <c r="E2586" i="36"/>
  <c r="E2587" i="36"/>
  <c r="E2588" i="36"/>
  <c r="E2589" i="36"/>
  <c r="E2590" i="36"/>
  <c r="E2591" i="36"/>
  <c r="L2580" i="36"/>
  <c r="L2581" i="36"/>
  <c r="L2582" i="36"/>
  <c r="L2583" i="36"/>
  <c r="L2584" i="36"/>
  <c r="L2585" i="36"/>
  <c r="L2586" i="36"/>
  <c r="L2587" i="36"/>
  <c r="L2588" i="36"/>
  <c r="L2589" i="36"/>
  <c r="L2590" i="36"/>
  <c r="L2591" i="36"/>
  <c r="AB2580" i="36"/>
  <c r="AB2581" i="36"/>
  <c r="AB2582" i="36"/>
  <c r="AB2583" i="36"/>
  <c r="AB2584" i="36"/>
  <c r="AB2585" i="36"/>
  <c r="AB2586" i="36"/>
  <c r="AB2587" i="36"/>
  <c r="AB2588" i="36"/>
  <c r="AB2589" i="36"/>
  <c r="AB2590" i="36"/>
  <c r="AB2591" i="36"/>
  <c r="B2592" i="36"/>
  <c r="B2593" i="36"/>
  <c r="B2594" i="36"/>
  <c r="B2595" i="36"/>
  <c r="B2596" i="36"/>
  <c r="B2597" i="36"/>
  <c r="B2598" i="36"/>
  <c r="B2599" i="36"/>
  <c r="B2600" i="36"/>
  <c r="B2601" i="36"/>
  <c r="B2602" i="36"/>
  <c r="B2603" i="36"/>
  <c r="E2592" i="36"/>
  <c r="E2593" i="36"/>
  <c r="E2594" i="36"/>
  <c r="E2595" i="36"/>
  <c r="E2596" i="36"/>
  <c r="E2597" i="36"/>
  <c r="E2598" i="36"/>
  <c r="E2599" i="36"/>
  <c r="E2600" i="36"/>
  <c r="E2601" i="36"/>
  <c r="E2602" i="36"/>
  <c r="E2603" i="36"/>
  <c r="L2592" i="36"/>
  <c r="L2593" i="36"/>
  <c r="L2594" i="36"/>
  <c r="L2595" i="36"/>
  <c r="L2596" i="36"/>
  <c r="L2597" i="36"/>
  <c r="L2598" i="36"/>
  <c r="L2599" i="36"/>
  <c r="L2600" i="36"/>
  <c r="L2601" i="36"/>
  <c r="L2602" i="36"/>
  <c r="L2603" i="36"/>
  <c r="AB2592" i="36"/>
  <c r="AB2593" i="36"/>
  <c r="AB2594" i="36"/>
  <c r="AB2595" i="36"/>
  <c r="AB2596" i="36"/>
  <c r="AB2597" i="36"/>
  <c r="AB2598" i="36"/>
  <c r="AB2599" i="36"/>
  <c r="AB2600" i="36"/>
  <c r="AB2601" i="36"/>
  <c r="AB2602" i="36"/>
  <c r="AB2603" i="36"/>
  <c r="B2604" i="36"/>
  <c r="B2605" i="36"/>
  <c r="B2606" i="36"/>
  <c r="B2607" i="36"/>
  <c r="B2608" i="36"/>
  <c r="B2609" i="36"/>
  <c r="B2610" i="36"/>
  <c r="B2611" i="36"/>
  <c r="B2612" i="36"/>
  <c r="B2613" i="36"/>
  <c r="B2614" i="36"/>
  <c r="B2615" i="36"/>
  <c r="E2604" i="36"/>
  <c r="E2605" i="36"/>
  <c r="E2606" i="36"/>
  <c r="E2607" i="36"/>
  <c r="E2608" i="36"/>
  <c r="E2609" i="36"/>
  <c r="E2610" i="36"/>
  <c r="E2611" i="36"/>
  <c r="E2612" i="36"/>
  <c r="E2613" i="36"/>
  <c r="E2614" i="36"/>
  <c r="E2615" i="36"/>
  <c r="L2604" i="36"/>
  <c r="L2605" i="36"/>
  <c r="L2606" i="36"/>
  <c r="L2607" i="36"/>
  <c r="L2608" i="36"/>
  <c r="L2609" i="36"/>
  <c r="L2610" i="36"/>
  <c r="L2611" i="36"/>
  <c r="L2612" i="36"/>
  <c r="L2613" i="36"/>
  <c r="L2614" i="36"/>
  <c r="L2615" i="36"/>
  <c r="AB2604" i="36"/>
  <c r="AB2605" i="36"/>
  <c r="AB2606" i="36"/>
  <c r="AB2607" i="36"/>
  <c r="AB2608" i="36"/>
  <c r="AB2609" i="36"/>
  <c r="AB2610" i="36"/>
  <c r="AB2611" i="36"/>
  <c r="AB2612" i="36"/>
  <c r="AB2613" i="36"/>
  <c r="AB2614" i="36"/>
  <c r="AB2615" i="36"/>
  <c r="B2616" i="36"/>
  <c r="E2616" i="36"/>
  <c r="L2616" i="36"/>
  <c r="AB2616" i="36"/>
  <c r="B2617" i="36"/>
  <c r="E2617" i="36"/>
  <c r="L2617" i="36"/>
  <c r="AB2617" i="36"/>
  <c r="B2618" i="36"/>
  <c r="E2618" i="36"/>
  <c r="L2618" i="36"/>
  <c r="AB2618" i="36"/>
  <c r="B2619" i="36"/>
  <c r="E2619" i="36"/>
  <c r="L2619" i="36"/>
  <c r="AB2619" i="36"/>
  <c r="B2620" i="36"/>
  <c r="E2620" i="36"/>
  <c r="L2620" i="36"/>
  <c r="AB2620" i="36"/>
  <c r="B2621" i="36"/>
  <c r="E2621" i="36"/>
  <c r="L2621" i="36"/>
  <c r="AB2621" i="36"/>
  <c r="B2622" i="36"/>
  <c r="E2622" i="36"/>
  <c r="L2622" i="36"/>
  <c r="AB2622" i="36"/>
  <c r="B2623" i="36"/>
  <c r="E2623" i="36"/>
  <c r="L2623" i="36"/>
  <c r="AB2623" i="36"/>
  <c r="B2624" i="36"/>
  <c r="E2624" i="36"/>
  <c r="L2624" i="36"/>
  <c r="AB2624" i="36"/>
  <c r="B2625" i="36"/>
  <c r="E2625" i="36"/>
  <c r="L2625" i="36"/>
  <c r="AB2625" i="36"/>
  <c r="B2629" i="36"/>
  <c r="E2629" i="36"/>
  <c r="L2629" i="36"/>
  <c r="AB2629" i="36"/>
  <c r="B2630" i="36"/>
  <c r="E2630" i="36"/>
  <c r="L2630" i="36"/>
  <c r="AB2630" i="36"/>
  <c r="B2631" i="36"/>
  <c r="E2631" i="36"/>
  <c r="L2631" i="36"/>
  <c r="AB2631" i="36"/>
  <c r="B2632" i="36"/>
  <c r="E2632" i="36"/>
  <c r="L2632" i="36"/>
  <c r="AB2632" i="36"/>
  <c r="B416" i="33"/>
  <c r="E416" i="33"/>
  <c r="L416" i="33"/>
  <c r="X416" i="33"/>
  <c r="B417" i="33"/>
  <c r="E417" i="33"/>
  <c r="L417" i="33"/>
  <c r="X417" i="33"/>
  <c r="B418" i="33"/>
  <c r="E418" i="33"/>
  <c r="L418" i="33"/>
  <c r="X418" i="33"/>
  <c r="B419" i="33"/>
  <c r="E419" i="33"/>
  <c r="L419" i="33"/>
  <c r="X419" i="33"/>
  <c r="B420" i="33"/>
  <c r="E420" i="33"/>
  <c r="L420" i="33"/>
  <c r="X420" i="33"/>
  <c r="B424" i="33"/>
  <c r="E424" i="33"/>
  <c r="L424" i="33"/>
  <c r="X424" i="33"/>
  <c r="B404" i="33"/>
  <c r="B405" i="33"/>
  <c r="B406" i="33"/>
  <c r="B407" i="33"/>
  <c r="E404" i="33"/>
  <c r="E405" i="33"/>
  <c r="E406" i="33"/>
  <c r="E407" i="33"/>
  <c r="L404" i="33"/>
  <c r="L405" i="33"/>
  <c r="L406" i="33"/>
  <c r="L407" i="33"/>
  <c r="X404" i="33"/>
  <c r="X405" i="33"/>
  <c r="X406" i="33"/>
  <c r="X407" i="33"/>
  <c r="B408" i="33"/>
  <c r="B409" i="33"/>
  <c r="B410" i="33"/>
  <c r="B411" i="33"/>
  <c r="E408" i="33"/>
  <c r="E409" i="33"/>
  <c r="E410" i="33"/>
  <c r="E411" i="33"/>
  <c r="L408" i="33"/>
  <c r="L409" i="33"/>
  <c r="L410" i="33"/>
  <c r="L411" i="33"/>
  <c r="X408" i="33"/>
  <c r="X409" i="33"/>
  <c r="X410" i="33"/>
  <c r="X411" i="33"/>
  <c r="B412" i="33"/>
  <c r="E412" i="33"/>
  <c r="L412" i="33"/>
  <c r="X412" i="33"/>
  <c r="B413" i="33"/>
  <c r="E413" i="33"/>
  <c r="L413" i="33"/>
  <c r="X413" i="33"/>
  <c r="B414" i="33"/>
  <c r="E414" i="33"/>
  <c r="L414" i="33"/>
  <c r="X414" i="33"/>
  <c r="B415" i="33"/>
  <c r="E415" i="33"/>
  <c r="L415" i="33"/>
  <c r="X415" i="33"/>
  <c r="J13" i="40" l="1"/>
  <c r="B336" i="33"/>
  <c r="B337" i="33"/>
  <c r="B338" i="33"/>
  <c r="B339" i="33"/>
  <c r="B340" i="33"/>
  <c r="B341" i="33"/>
  <c r="B342" i="33"/>
  <c r="B343" i="33"/>
  <c r="B344" i="33"/>
  <c r="B345" i="33"/>
  <c r="B346" i="33"/>
  <c r="B347" i="33"/>
  <c r="B348" i="33"/>
  <c r="B349" i="33"/>
  <c r="B350" i="33"/>
  <c r="B351" i="33"/>
  <c r="B352" i="33"/>
  <c r="B353" i="33"/>
  <c r="E336" i="33"/>
  <c r="E337" i="33"/>
  <c r="E338" i="33"/>
  <c r="E339" i="33"/>
  <c r="E340" i="33"/>
  <c r="E341" i="33"/>
  <c r="E342" i="33"/>
  <c r="E343" i="33"/>
  <c r="E344" i="33"/>
  <c r="E345" i="33"/>
  <c r="E346" i="33"/>
  <c r="E347" i="33"/>
  <c r="E348" i="33"/>
  <c r="E349" i="33"/>
  <c r="E350" i="33"/>
  <c r="E351" i="33"/>
  <c r="E352" i="33"/>
  <c r="E353" i="33"/>
  <c r="L336" i="33"/>
  <c r="L337" i="33"/>
  <c r="L338" i="33"/>
  <c r="L339" i="33"/>
  <c r="L340" i="33"/>
  <c r="L341" i="33"/>
  <c r="L342" i="33"/>
  <c r="L343" i="33"/>
  <c r="L344" i="33"/>
  <c r="L345" i="33"/>
  <c r="L346" i="33"/>
  <c r="L347" i="33"/>
  <c r="L348" i="33"/>
  <c r="L349" i="33"/>
  <c r="L350" i="33"/>
  <c r="L351" i="33"/>
  <c r="L352" i="33"/>
  <c r="L353" i="33"/>
  <c r="X336" i="33"/>
  <c r="X337" i="33"/>
  <c r="X338" i="33"/>
  <c r="X339" i="33"/>
  <c r="X340" i="33"/>
  <c r="X341" i="33"/>
  <c r="X342" i="33"/>
  <c r="X343" i="33"/>
  <c r="X344" i="33"/>
  <c r="X345" i="33"/>
  <c r="X346" i="33"/>
  <c r="X347" i="33"/>
  <c r="X348" i="33"/>
  <c r="X349" i="33"/>
  <c r="X350" i="33"/>
  <c r="X351" i="33"/>
  <c r="X352" i="33"/>
  <c r="X353" i="33"/>
  <c r="B354" i="33"/>
  <c r="B355" i="33"/>
  <c r="B356" i="33"/>
  <c r="B357" i="33"/>
  <c r="B358" i="33"/>
  <c r="B359" i="33"/>
  <c r="B360" i="33"/>
  <c r="B361" i="33"/>
  <c r="B362" i="33"/>
  <c r="B363" i="33"/>
  <c r="B364" i="33"/>
  <c r="B365" i="33"/>
  <c r="B366" i="33"/>
  <c r="B367" i="33"/>
  <c r="B368" i="33"/>
  <c r="B369" i="33"/>
  <c r="B370" i="33"/>
  <c r="B371" i="33"/>
  <c r="E354" i="33"/>
  <c r="E355" i="33"/>
  <c r="E356" i="33"/>
  <c r="E357" i="33"/>
  <c r="E358" i="33"/>
  <c r="E359" i="33"/>
  <c r="E360" i="33"/>
  <c r="E361" i="33"/>
  <c r="E362" i="33"/>
  <c r="E363" i="33"/>
  <c r="E364" i="33"/>
  <c r="E365" i="33"/>
  <c r="E366" i="33"/>
  <c r="E367" i="33"/>
  <c r="E368" i="33"/>
  <c r="E369" i="33"/>
  <c r="E370" i="33"/>
  <c r="E371" i="33"/>
  <c r="L354" i="33"/>
  <c r="L355" i="33"/>
  <c r="L356" i="33"/>
  <c r="L357" i="33"/>
  <c r="L358" i="33"/>
  <c r="L359" i="33"/>
  <c r="L360" i="33"/>
  <c r="L361" i="33"/>
  <c r="L362" i="33"/>
  <c r="L363" i="33"/>
  <c r="L364" i="33"/>
  <c r="L365" i="33"/>
  <c r="L366" i="33"/>
  <c r="L367" i="33"/>
  <c r="L368" i="33"/>
  <c r="L369" i="33"/>
  <c r="L370" i="33"/>
  <c r="L371" i="33"/>
  <c r="X354" i="33"/>
  <c r="X355" i="33"/>
  <c r="X356" i="33"/>
  <c r="X357" i="33"/>
  <c r="X358" i="33"/>
  <c r="X359" i="33"/>
  <c r="X360" i="33"/>
  <c r="X361" i="33"/>
  <c r="X362" i="33"/>
  <c r="X363" i="33"/>
  <c r="X364" i="33"/>
  <c r="X365" i="33"/>
  <c r="X366" i="33"/>
  <c r="X367" i="33"/>
  <c r="X368" i="33"/>
  <c r="X369" i="33"/>
  <c r="X370" i="33"/>
  <c r="X371" i="33"/>
  <c r="B372" i="33"/>
  <c r="B373" i="33"/>
  <c r="B374" i="33"/>
  <c r="B375" i="33"/>
  <c r="B376" i="33"/>
  <c r="B377" i="33"/>
  <c r="B378" i="33"/>
  <c r="B379" i="33"/>
  <c r="B380" i="33"/>
  <c r="B381" i="33"/>
  <c r="B382" i="33"/>
  <c r="B383" i="33"/>
  <c r="B384" i="33"/>
  <c r="B385" i="33"/>
  <c r="B386" i="33"/>
  <c r="B387" i="33"/>
  <c r="B388" i="33"/>
  <c r="B389" i="33"/>
  <c r="E372" i="33"/>
  <c r="E373" i="33"/>
  <c r="E374" i="33"/>
  <c r="E375" i="33"/>
  <c r="E376" i="33"/>
  <c r="E377" i="33"/>
  <c r="E378" i="33"/>
  <c r="E379" i="33"/>
  <c r="E380" i="33"/>
  <c r="E381" i="33"/>
  <c r="E382" i="33"/>
  <c r="E383" i="33"/>
  <c r="E384" i="33"/>
  <c r="E385" i="33"/>
  <c r="E386" i="33"/>
  <c r="E387" i="33"/>
  <c r="E388" i="33"/>
  <c r="E389" i="33"/>
  <c r="L372" i="33"/>
  <c r="L373" i="33"/>
  <c r="L374" i="33"/>
  <c r="L375" i="33"/>
  <c r="L376" i="33"/>
  <c r="L377" i="33"/>
  <c r="L378" i="33"/>
  <c r="L379" i="33"/>
  <c r="L380" i="33"/>
  <c r="L381" i="33"/>
  <c r="L382" i="33"/>
  <c r="L383" i="33"/>
  <c r="L384" i="33"/>
  <c r="L385" i="33"/>
  <c r="L386" i="33"/>
  <c r="L387" i="33"/>
  <c r="L388" i="33"/>
  <c r="L389" i="33"/>
  <c r="X372" i="33"/>
  <c r="X373" i="33"/>
  <c r="X374" i="33"/>
  <c r="X375" i="33"/>
  <c r="X376" i="33"/>
  <c r="X377" i="33"/>
  <c r="X378" i="33"/>
  <c r="X379" i="33"/>
  <c r="X380" i="33"/>
  <c r="X381" i="33"/>
  <c r="X382" i="33"/>
  <c r="X383" i="33"/>
  <c r="X384" i="33"/>
  <c r="X385" i="33"/>
  <c r="X386" i="33"/>
  <c r="X387" i="33"/>
  <c r="X388" i="33"/>
  <c r="X389" i="33"/>
  <c r="B390" i="33"/>
  <c r="B391" i="33"/>
  <c r="B392" i="33"/>
  <c r="B393" i="33"/>
  <c r="B394" i="33"/>
  <c r="B395" i="33"/>
  <c r="B396" i="33"/>
  <c r="B397" i="33"/>
  <c r="B398" i="33"/>
  <c r="B399" i="33"/>
  <c r="B400" i="33"/>
  <c r="B401" i="33"/>
  <c r="B402" i="33"/>
  <c r="B403" i="33"/>
  <c r="E390" i="33"/>
  <c r="E391" i="33"/>
  <c r="E392" i="33"/>
  <c r="E393" i="33"/>
  <c r="E394" i="33"/>
  <c r="E395" i="33"/>
  <c r="E396" i="33"/>
  <c r="E397" i="33"/>
  <c r="E398" i="33"/>
  <c r="E399" i="33"/>
  <c r="E400" i="33"/>
  <c r="E401" i="33"/>
  <c r="E402" i="33"/>
  <c r="E403" i="33"/>
  <c r="L390" i="33"/>
  <c r="L391" i="33"/>
  <c r="L392" i="33"/>
  <c r="L393" i="33"/>
  <c r="L394" i="33"/>
  <c r="L395" i="33"/>
  <c r="L396" i="33"/>
  <c r="L397" i="33"/>
  <c r="L398" i="33"/>
  <c r="L399" i="33"/>
  <c r="L400" i="33"/>
  <c r="L401" i="33"/>
  <c r="L402" i="33"/>
  <c r="L403" i="33"/>
  <c r="X390" i="33"/>
  <c r="X391" i="33"/>
  <c r="X392" i="33"/>
  <c r="X393" i="33"/>
  <c r="X394" i="33"/>
  <c r="X395" i="33"/>
  <c r="X396" i="33"/>
  <c r="X397" i="33"/>
  <c r="X398" i="33"/>
  <c r="X399" i="33"/>
  <c r="X400" i="33"/>
  <c r="X401" i="33"/>
  <c r="X402" i="33"/>
  <c r="X403" i="33"/>
  <c r="B2215" i="36"/>
  <c r="B2216" i="36"/>
  <c r="B2217" i="36"/>
  <c r="B2218" i="36"/>
  <c r="B2219" i="36"/>
  <c r="B2220" i="36"/>
  <c r="B2221" i="36"/>
  <c r="B2222" i="36"/>
  <c r="B2223" i="36"/>
  <c r="B2224" i="36"/>
  <c r="B2225" i="36"/>
  <c r="B2226" i="36"/>
  <c r="B2227" i="36"/>
  <c r="B2228" i="36"/>
  <c r="B2229" i="36"/>
  <c r="B2230" i="36"/>
  <c r="B2231" i="36"/>
  <c r="B2232" i="36"/>
  <c r="B2233" i="36"/>
  <c r="B2234" i="36"/>
  <c r="B2235" i="36"/>
  <c r="B2236" i="36"/>
  <c r="B2237" i="36"/>
  <c r="B2238" i="36"/>
  <c r="B2239" i="36"/>
  <c r="B2240" i="36"/>
  <c r="B2241" i="36"/>
  <c r="B2242" i="36"/>
  <c r="B2243" i="36"/>
  <c r="B2244" i="36"/>
  <c r="B2245" i="36"/>
  <c r="B2246" i="36"/>
  <c r="B2247" i="36"/>
  <c r="B2248" i="36"/>
  <c r="B2249" i="36"/>
  <c r="B2250" i="36"/>
  <c r="B2251" i="36"/>
  <c r="B2252" i="36"/>
  <c r="B2253" i="36"/>
  <c r="B2254" i="36"/>
  <c r="B2255" i="36"/>
  <c r="B2256" i="36"/>
  <c r="B2257" i="36"/>
  <c r="B2258" i="36"/>
  <c r="B2259" i="36"/>
  <c r="B2260" i="36"/>
  <c r="B2261" i="36"/>
  <c r="B2262" i="36"/>
  <c r="B2263" i="36"/>
  <c r="B2264" i="36"/>
  <c r="B2265" i="36"/>
  <c r="B2266" i="36"/>
  <c r="B2267" i="36"/>
  <c r="B2268" i="36"/>
  <c r="B2269" i="36"/>
  <c r="B2270" i="36"/>
  <c r="B2271" i="36"/>
  <c r="B2272" i="36"/>
  <c r="B2273" i="36"/>
  <c r="B2274" i="36"/>
  <c r="B2275" i="36"/>
  <c r="B2276" i="36"/>
  <c r="B2277" i="36"/>
  <c r="B2278" i="36"/>
  <c r="B2279" i="36"/>
  <c r="B2280" i="36"/>
  <c r="B2281" i="36"/>
  <c r="B2282" i="36"/>
  <c r="B2283" i="36"/>
  <c r="B2284" i="36"/>
  <c r="B2285" i="36"/>
  <c r="B2286" i="36"/>
  <c r="B2287" i="36"/>
  <c r="B2288" i="36"/>
  <c r="E2215" i="36"/>
  <c r="E2216" i="36"/>
  <c r="E2217" i="36"/>
  <c r="E2218" i="36"/>
  <c r="E2219" i="36"/>
  <c r="E2220" i="36"/>
  <c r="E2221" i="36"/>
  <c r="E2222" i="36"/>
  <c r="E2223" i="36"/>
  <c r="E2224" i="36"/>
  <c r="E2225" i="36"/>
  <c r="E2226" i="36"/>
  <c r="E2227" i="36"/>
  <c r="E2228" i="36"/>
  <c r="E2229" i="36"/>
  <c r="E2230" i="36"/>
  <c r="E2231" i="36"/>
  <c r="E2232" i="36"/>
  <c r="E2233" i="36"/>
  <c r="E2234" i="36"/>
  <c r="E2235" i="36"/>
  <c r="E2236" i="36"/>
  <c r="E2237" i="36"/>
  <c r="E2238" i="36"/>
  <c r="E2239" i="36"/>
  <c r="E2240" i="36"/>
  <c r="E2241" i="36"/>
  <c r="E2242" i="36"/>
  <c r="E2243" i="36"/>
  <c r="E2244" i="36"/>
  <c r="E2245" i="36"/>
  <c r="E2246" i="36"/>
  <c r="E2247" i="36"/>
  <c r="E2248" i="36"/>
  <c r="E2249" i="36"/>
  <c r="E2250" i="36"/>
  <c r="E2251" i="36"/>
  <c r="E2252" i="36"/>
  <c r="E2253" i="36"/>
  <c r="E2254" i="36"/>
  <c r="E2255" i="36"/>
  <c r="E2256" i="36"/>
  <c r="E2257" i="36"/>
  <c r="E2258" i="36"/>
  <c r="E2259" i="36"/>
  <c r="E2260" i="36"/>
  <c r="E2261" i="36"/>
  <c r="E2262" i="36"/>
  <c r="E2263" i="36"/>
  <c r="E2264" i="36"/>
  <c r="E2265" i="36"/>
  <c r="E2266" i="36"/>
  <c r="E2267" i="36"/>
  <c r="E2268" i="36"/>
  <c r="E2269" i="36"/>
  <c r="E2270" i="36"/>
  <c r="E2271" i="36"/>
  <c r="E2272" i="36"/>
  <c r="E2273" i="36"/>
  <c r="E2274" i="36"/>
  <c r="E2275" i="36"/>
  <c r="E2276" i="36"/>
  <c r="E2277" i="36"/>
  <c r="E2278" i="36"/>
  <c r="E2279" i="36"/>
  <c r="E2280" i="36"/>
  <c r="E2281" i="36"/>
  <c r="E2282" i="36"/>
  <c r="E2283" i="36"/>
  <c r="E2284" i="36"/>
  <c r="E2285" i="36"/>
  <c r="E2286" i="36"/>
  <c r="E2287" i="36"/>
  <c r="E2288" i="36"/>
  <c r="L2215" i="36"/>
  <c r="L2216" i="36"/>
  <c r="L2217" i="36"/>
  <c r="L2218" i="36"/>
  <c r="L2219" i="36"/>
  <c r="L2220" i="36"/>
  <c r="L2221" i="36"/>
  <c r="L2222" i="36"/>
  <c r="L2223" i="36"/>
  <c r="L2224" i="36"/>
  <c r="L2225" i="36"/>
  <c r="L2226" i="36"/>
  <c r="L2227" i="36"/>
  <c r="L2228" i="36"/>
  <c r="L2229" i="36"/>
  <c r="L2230" i="36"/>
  <c r="L2231" i="36"/>
  <c r="L2232" i="36"/>
  <c r="L2233" i="36"/>
  <c r="L2234" i="36"/>
  <c r="L2235" i="36"/>
  <c r="L2236" i="36"/>
  <c r="L2237" i="36"/>
  <c r="L2238" i="36"/>
  <c r="L2239" i="36"/>
  <c r="L2240" i="36"/>
  <c r="L2241" i="36"/>
  <c r="L2242" i="36"/>
  <c r="L2243" i="36"/>
  <c r="L2244" i="36"/>
  <c r="L2245" i="36"/>
  <c r="L2246" i="36"/>
  <c r="L2247" i="36"/>
  <c r="L2248" i="36"/>
  <c r="L2249" i="36"/>
  <c r="L2250" i="36"/>
  <c r="L2251" i="36"/>
  <c r="L2252" i="36"/>
  <c r="L2253" i="36"/>
  <c r="L2254" i="36"/>
  <c r="L2255" i="36"/>
  <c r="L2256" i="36"/>
  <c r="L2257" i="36"/>
  <c r="L2258" i="36"/>
  <c r="L2259" i="36"/>
  <c r="L2260" i="36"/>
  <c r="L2261" i="36"/>
  <c r="L2262" i="36"/>
  <c r="L2263" i="36"/>
  <c r="L2264" i="36"/>
  <c r="L2265" i="36"/>
  <c r="L2266" i="36"/>
  <c r="L2267" i="36"/>
  <c r="L2268" i="36"/>
  <c r="L2269" i="36"/>
  <c r="L2270" i="36"/>
  <c r="L2271" i="36"/>
  <c r="L2272" i="36"/>
  <c r="L2273" i="36"/>
  <c r="L2274" i="36"/>
  <c r="L2275" i="36"/>
  <c r="L2276" i="36"/>
  <c r="L2277" i="36"/>
  <c r="L2278" i="36"/>
  <c r="L2279" i="36"/>
  <c r="L2280" i="36"/>
  <c r="L2281" i="36"/>
  <c r="L2282" i="36"/>
  <c r="L2283" i="36"/>
  <c r="L2284" i="36"/>
  <c r="L2285" i="36"/>
  <c r="L2286" i="36"/>
  <c r="L2287" i="36"/>
  <c r="L2288" i="36"/>
  <c r="AB2215" i="36"/>
  <c r="AB2216" i="36"/>
  <c r="AB2217" i="36"/>
  <c r="AB2218" i="36"/>
  <c r="AB2219" i="36"/>
  <c r="AB2220" i="36"/>
  <c r="AB2221" i="36"/>
  <c r="AB2222" i="36"/>
  <c r="AB2223" i="36"/>
  <c r="AB2224" i="36"/>
  <c r="AB2225" i="36"/>
  <c r="AB2226" i="36"/>
  <c r="AB2227" i="36"/>
  <c r="AB2228" i="36"/>
  <c r="AB2229" i="36"/>
  <c r="AB2230" i="36"/>
  <c r="AB2231" i="36"/>
  <c r="AB2232" i="36"/>
  <c r="AB2233" i="36"/>
  <c r="AB2234" i="36"/>
  <c r="AB2235" i="36"/>
  <c r="AB2236" i="36"/>
  <c r="AB2237" i="36"/>
  <c r="AB2238" i="36"/>
  <c r="AB2239" i="36"/>
  <c r="AB2240" i="36"/>
  <c r="AB2241" i="36"/>
  <c r="AB2242" i="36"/>
  <c r="AB2243" i="36"/>
  <c r="AB2244" i="36"/>
  <c r="AB2245" i="36"/>
  <c r="AB2246" i="36"/>
  <c r="AB2247" i="36"/>
  <c r="AB2248" i="36"/>
  <c r="AB2249" i="36"/>
  <c r="AB2250" i="36"/>
  <c r="AB2251" i="36"/>
  <c r="AB2252" i="36"/>
  <c r="AB2253" i="36"/>
  <c r="AB2254" i="36"/>
  <c r="AB2255" i="36"/>
  <c r="AB2256" i="36"/>
  <c r="AB2257" i="36"/>
  <c r="AB2258" i="36"/>
  <c r="AB2259" i="36"/>
  <c r="AB2260" i="36"/>
  <c r="AB2261" i="36"/>
  <c r="AB2262" i="36"/>
  <c r="AB2263" i="36"/>
  <c r="AB2264" i="36"/>
  <c r="AB2265" i="36"/>
  <c r="AB2266" i="36"/>
  <c r="AB2267" i="36"/>
  <c r="AB2268" i="36"/>
  <c r="AB2269" i="36"/>
  <c r="AB2270" i="36"/>
  <c r="AB2271" i="36"/>
  <c r="AB2272" i="36"/>
  <c r="AB2273" i="36"/>
  <c r="AB2274" i="36"/>
  <c r="AB2275" i="36"/>
  <c r="AB2276" i="36"/>
  <c r="AB2277" i="36"/>
  <c r="AB2278" i="36"/>
  <c r="AB2279" i="36"/>
  <c r="AB2280" i="36"/>
  <c r="AB2281" i="36"/>
  <c r="AB2282" i="36"/>
  <c r="AB2283" i="36"/>
  <c r="AB2284" i="36"/>
  <c r="AB2285" i="36"/>
  <c r="AB2286" i="36"/>
  <c r="AB2287" i="36"/>
  <c r="AB2288" i="36"/>
  <c r="B2289" i="36"/>
  <c r="B2290" i="36"/>
  <c r="B2291" i="36"/>
  <c r="B2292" i="36"/>
  <c r="B2293" i="36"/>
  <c r="B2294" i="36"/>
  <c r="B2295" i="36"/>
  <c r="B2296" i="36"/>
  <c r="B2297" i="36"/>
  <c r="B2298" i="36"/>
  <c r="B2299" i="36"/>
  <c r="B2300" i="36"/>
  <c r="B2301" i="36"/>
  <c r="B2302" i="36"/>
  <c r="B2303" i="36"/>
  <c r="B2304" i="36"/>
  <c r="B2305" i="36"/>
  <c r="B2306" i="36"/>
  <c r="B2307" i="36"/>
  <c r="B2308" i="36"/>
  <c r="B2309" i="36"/>
  <c r="B2310" i="36"/>
  <c r="B2311" i="36"/>
  <c r="B2312" i="36"/>
  <c r="B2313" i="36"/>
  <c r="B2314" i="36"/>
  <c r="B2315" i="36"/>
  <c r="B2316" i="36"/>
  <c r="B2317" i="36"/>
  <c r="B2318" i="36"/>
  <c r="B2319" i="36"/>
  <c r="B2320" i="36"/>
  <c r="B2321" i="36"/>
  <c r="B2322" i="36"/>
  <c r="B2323" i="36"/>
  <c r="B2324" i="36"/>
  <c r="B2325" i="36"/>
  <c r="B2326" i="36"/>
  <c r="B2327" i="36"/>
  <c r="B2328" i="36"/>
  <c r="B2329" i="36"/>
  <c r="B2330" i="36"/>
  <c r="B2331" i="36"/>
  <c r="B2332" i="36"/>
  <c r="B2333" i="36"/>
  <c r="B2334" i="36"/>
  <c r="B2335" i="36"/>
  <c r="B2336" i="36"/>
  <c r="B2337" i="36"/>
  <c r="B2338" i="36"/>
  <c r="B2339" i="36"/>
  <c r="B2340" i="36"/>
  <c r="B2341" i="36"/>
  <c r="B2342" i="36"/>
  <c r="B2343" i="36"/>
  <c r="B2344" i="36"/>
  <c r="B2345" i="36"/>
  <c r="B2346" i="36"/>
  <c r="B2347" i="36"/>
  <c r="B2348" i="36"/>
  <c r="B2349" i="36"/>
  <c r="B2350" i="36"/>
  <c r="B2351" i="36"/>
  <c r="B2352" i="36"/>
  <c r="B2353" i="36"/>
  <c r="B2354" i="36"/>
  <c r="B2355" i="36"/>
  <c r="B2356" i="36"/>
  <c r="B2357" i="36"/>
  <c r="B2358" i="36"/>
  <c r="B2359" i="36"/>
  <c r="B2360" i="36"/>
  <c r="B2361" i="36"/>
  <c r="B2362" i="36"/>
  <c r="E2289" i="36"/>
  <c r="E2290" i="36"/>
  <c r="E2291" i="36"/>
  <c r="E2292" i="36"/>
  <c r="E2293" i="36"/>
  <c r="E2294" i="36"/>
  <c r="E2295" i="36"/>
  <c r="E2296" i="36"/>
  <c r="E2297" i="36"/>
  <c r="E2298" i="36"/>
  <c r="E2299" i="36"/>
  <c r="E2300" i="36"/>
  <c r="E2301" i="36"/>
  <c r="E2302" i="36"/>
  <c r="E2303" i="36"/>
  <c r="E2304" i="36"/>
  <c r="E2305" i="36"/>
  <c r="E2306" i="36"/>
  <c r="E2307" i="36"/>
  <c r="E2308" i="36"/>
  <c r="E2309" i="36"/>
  <c r="E2310" i="36"/>
  <c r="E2311" i="36"/>
  <c r="E2312" i="36"/>
  <c r="E2313" i="36"/>
  <c r="E2314" i="36"/>
  <c r="E2315" i="36"/>
  <c r="E2316" i="36"/>
  <c r="E2317" i="36"/>
  <c r="E2318" i="36"/>
  <c r="E2319" i="36"/>
  <c r="E2320" i="36"/>
  <c r="E2321" i="36"/>
  <c r="E2322" i="36"/>
  <c r="E2323" i="36"/>
  <c r="E2324" i="36"/>
  <c r="E2325" i="36"/>
  <c r="E2326" i="36"/>
  <c r="E2327" i="36"/>
  <c r="E2328" i="36"/>
  <c r="E2329" i="36"/>
  <c r="E2330" i="36"/>
  <c r="E2331" i="36"/>
  <c r="E2332" i="36"/>
  <c r="E2333" i="36"/>
  <c r="E2334" i="36"/>
  <c r="E2335" i="36"/>
  <c r="E2336" i="36"/>
  <c r="E2337" i="36"/>
  <c r="E2338" i="36"/>
  <c r="E2339" i="36"/>
  <c r="E2340" i="36"/>
  <c r="E2341" i="36"/>
  <c r="E2342" i="36"/>
  <c r="E2343" i="36"/>
  <c r="E2344" i="36"/>
  <c r="E2345" i="36"/>
  <c r="E2346" i="36"/>
  <c r="E2347" i="36"/>
  <c r="E2348" i="36"/>
  <c r="E2349" i="36"/>
  <c r="E2350" i="36"/>
  <c r="E2351" i="36"/>
  <c r="E2352" i="36"/>
  <c r="E2353" i="36"/>
  <c r="E2354" i="36"/>
  <c r="E2355" i="36"/>
  <c r="E2356" i="36"/>
  <c r="E2357" i="36"/>
  <c r="E2358" i="36"/>
  <c r="E2359" i="36"/>
  <c r="E2360" i="36"/>
  <c r="E2361" i="36"/>
  <c r="E2362" i="36"/>
  <c r="L2289" i="36"/>
  <c r="L2290" i="36"/>
  <c r="L2291" i="36"/>
  <c r="L2292" i="36"/>
  <c r="L2293" i="36"/>
  <c r="L2294" i="36"/>
  <c r="L2295" i="36"/>
  <c r="L2296" i="36"/>
  <c r="L2297" i="36"/>
  <c r="L2298" i="36"/>
  <c r="L2299" i="36"/>
  <c r="L2300" i="36"/>
  <c r="L2301" i="36"/>
  <c r="L2302" i="36"/>
  <c r="L2303" i="36"/>
  <c r="L2304" i="36"/>
  <c r="L2305" i="36"/>
  <c r="L2306" i="36"/>
  <c r="L2307" i="36"/>
  <c r="L2308" i="36"/>
  <c r="L2309" i="36"/>
  <c r="L2310" i="36"/>
  <c r="L2311" i="36"/>
  <c r="L2312" i="36"/>
  <c r="L2313" i="36"/>
  <c r="L2314" i="36"/>
  <c r="L2315" i="36"/>
  <c r="L2316" i="36"/>
  <c r="L2317" i="36"/>
  <c r="L2318" i="36"/>
  <c r="L2319" i="36"/>
  <c r="L2320" i="36"/>
  <c r="L2321" i="36"/>
  <c r="L2322" i="36"/>
  <c r="L2323" i="36"/>
  <c r="L2324" i="36"/>
  <c r="L2325" i="36"/>
  <c r="L2326" i="36"/>
  <c r="L2327" i="36"/>
  <c r="L2328" i="36"/>
  <c r="L2329" i="36"/>
  <c r="L2330" i="36"/>
  <c r="L2331" i="36"/>
  <c r="L2332" i="36"/>
  <c r="L2333" i="36"/>
  <c r="L2334" i="36"/>
  <c r="L2335" i="36"/>
  <c r="L2336" i="36"/>
  <c r="L2337" i="36"/>
  <c r="L2338" i="36"/>
  <c r="L2339" i="36"/>
  <c r="L2340" i="36"/>
  <c r="L2341" i="36"/>
  <c r="L2342" i="36"/>
  <c r="L2343" i="36"/>
  <c r="L2344" i="36"/>
  <c r="L2345" i="36"/>
  <c r="L2346" i="36"/>
  <c r="L2347" i="36"/>
  <c r="L2348" i="36"/>
  <c r="L2349" i="36"/>
  <c r="L2350" i="36"/>
  <c r="L2351" i="36"/>
  <c r="L2352" i="36"/>
  <c r="L2353" i="36"/>
  <c r="L2354" i="36"/>
  <c r="L2355" i="36"/>
  <c r="L2356" i="36"/>
  <c r="L2357" i="36"/>
  <c r="L2358" i="36"/>
  <c r="L2359" i="36"/>
  <c r="L2360" i="36"/>
  <c r="L2361" i="36"/>
  <c r="L2362" i="36"/>
  <c r="AB2289" i="36"/>
  <c r="AB2290" i="36"/>
  <c r="AB2291" i="36"/>
  <c r="AB2292" i="36"/>
  <c r="AB2293" i="36"/>
  <c r="AB2294" i="36"/>
  <c r="AB2295" i="36"/>
  <c r="AB2296" i="36"/>
  <c r="AB2297" i="36"/>
  <c r="AB2298" i="36"/>
  <c r="AB2299" i="36"/>
  <c r="AB2300" i="36"/>
  <c r="AB2301" i="36"/>
  <c r="AB2302" i="36"/>
  <c r="AB2303" i="36"/>
  <c r="AB2304" i="36"/>
  <c r="AB2305" i="36"/>
  <c r="AB2306" i="36"/>
  <c r="AB2307" i="36"/>
  <c r="AB2308" i="36"/>
  <c r="AB2309" i="36"/>
  <c r="AB2310" i="36"/>
  <c r="AB2311" i="36"/>
  <c r="AB2312" i="36"/>
  <c r="AB2313" i="36"/>
  <c r="AB2314" i="36"/>
  <c r="AB2315" i="36"/>
  <c r="AB2316" i="36"/>
  <c r="AB2317" i="36"/>
  <c r="AB2318" i="36"/>
  <c r="AB2319" i="36"/>
  <c r="AB2320" i="36"/>
  <c r="AB2321" i="36"/>
  <c r="AB2322" i="36"/>
  <c r="AB2323" i="36"/>
  <c r="AB2324" i="36"/>
  <c r="AB2325" i="36"/>
  <c r="AB2326" i="36"/>
  <c r="AB2327" i="36"/>
  <c r="AB2328" i="36"/>
  <c r="AB2329" i="36"/>
  <c r="AB2330" i="36"/>
  <c r="AB2331" i="36"/>
  <c r="AB2332" i="36"/>
  <c r="AB2333" i="36"/>
  <c r="AB2334" i="36"/>
  <c r="AB2335" i="36"/>
  <c r="AB2336" i="36"/>
  <c r="AB2337" i="36"/>
  <c r="AB2338" i="36"/>
  <c r="AB2339" i="36"/>
  <c r="AB2340" i="36"/>
  <c r="AB2341" i="36"/>
  <c r="AB2342" i="36"/>
  <c r="AB2343" i="36"/>
  <c r="AB2344" i="36"/>
  <c r="AB2345" i="36"/>
  <c r="AB2346" i="36"/>
  <c r="AB2347" i="36"/>
  <c r="AB2348" i="36"/>
  <c r="AB2349" i="36"/>
  <c r="AB2350" i="36"/>
  <c r="AB2351" i="36"/>
  <c r="AB2352" i="36"/>
  <c r="AB2353" i="36"/>
  <c r="AB2354" i="36"/>
  <c r="AB2355" i="36"/>
  <c r="AB2356" i="36"/>
  <c r="AB2357" i="36"/>
  <c r="AB2358" i="36"/>
  <c r="AB2359" i="36"/>
  <c r="AB2360" i="36"/>
  <c r="AB2361" i="36"/>
  <c r="AB2362" i="36"/>
  <c r="B2363" i="36"/>
  <c r="B2364" i="36"/>
  <c r="B2365" i="36"/>
  <c r="B2366" i="36"/>
  <c r="B2367" i="36"/>
  <c r="B2368" i="36"/>
  <c r="B2369" i="36"/>
  <c r="B2370" i="36"/>
  <c r="B2371" i="36"/>
  <c r="B2372" i="36"/>
  <c r="B2373" i="36"/>
  <c r="B2374" i="36"/>
  <c r="B2375" i="36"/>
  <c r="B2376" i="36"/>
  <c r="B2377" i="36"/>
  <c r="B2378" i="36"/>
  <c r="B2379" i="36"/>
  <c r="B2380" i="36"/>
  <c r="B2381" i="36"/>
  <c r="B2382" i="36"/>
  <c r="B2383" i="36"/>
  <c r="B2384" i="36"/>
  <c r="B2385" i="36"/>
  <c r="B2386" i="36"/>
  <c r="B2387" i="36"/>
  <c r="B2388" i="36"/>
  <c r="B2389" i="36"/>
  <c r="B2390" i="36"/>
  <c r="B2391" i="36"/>
  <c r="B2392" i="36"/>
  <c r="B2393" i="36"/>
  <c r="B2394" i="36"/>
  <c r="B2395" i="36"/>
  <c r="B2396" i="36"/>
  <c r="B2397" i="36"/>
  <c r="B2398" i="36"/>
  <c r="B2399" i="36"/>
  <c r="B2400" i="36"/>
  <c r="B2401" i="36"/>
  <c r="B2402" i="36"/>
  <c r="B2403" i="36"/>
  <c r="B2404" i="36"/>
  <c r="B2405" i="36"/>
  <c r="B2406" i="36"/>
  <c r="B2407" i="36"/>
  <c r="B2408" i="36"/>
  <c r="B2409" i="36"/>
  <c r="B2410" i="36"/>
  <c r="B2411" i="36"/>
  <c r="B2412" i="36"/>
  <c r="B2413" i="36"/>
  <c r="B2414" i="36"/>
  <c r="B2415" i="36"/>
  <c r="B2416" i="36"/>
  <c r="B2417" i="36"/>
  <c r="B2418" i="36"/>
  <c r="B2419" i="36"/>
  <c r="B2420" i="36"/>
  <c r="B2421" i="36"/>
  <c r="B2422" i="36"/>
  <c r="B2423" i="36"/>
  <c r="B2424" i="36"/>
  <c r="B2425" i="36"/>
  <c r="B2426" i="36"/>
  <c r="B2427" i="36"/>
  <c r="B2428" i="36"/>
  <c r="B2429" i="36"/>
  <c r="B2430" i="36"/>
  <c r="B2431" i="36"/>
  <c r="B2432" i="36"/>
  <c r="B2433" i="36"/>
  <c r="B2434" i="36"/>
  <c r="B2435" i="36"/>
  <c r="B2436" i="36"/>
  <c r="E2363" i="36"/>
  <c r="E2364" i="36"/>
  <c r="E2365" i="36"/>
  <c r="E2366" i="36"/>
  <c r="E2367" i="36"/>
  <c r="E2368" i="36"/>
  <c r="E2369" i="36"/>
  <c r="E2370" i="36"/>
  <c r="E2371" i="36"/>
  <c r="E2372" i="36"/>
  <c r="E2373" i="36"/>
  <c r="E2374" i="36"/>
  <c r="E2375" i="36"/>
  <c r="E2376" i="36"/>
  <c r="E2377" i="36"/>
  <c r="E2378" i="36"/>
  <c r="E2379" i="36"/>
  <c r="E2380" i="36"/>
  <c r="E2381" i="36"/>
  <c r="E2382" i="36"/>
  <c r="E2383" i="36"/>
  <c r="E2384" i="36"/>
  <c r="E2385" i="36"/>
  <c r="E2386" i="36"/>
  <c r="E2387" i="36"/>
  <c r="E2388" i="36"/>
  <c r="E2389" i="36"/>
  <c r="E2390" i="36"/>
  <c r="E2391" i="36"/>
  <c r="E2392" i="36"/>
  <c r="E2393" i="36"/>
  <c r="E2394" i="36"/>
  <c r="E2395" i="36"/>
  <c r="E2396" i="36"/>
  <c r="E2397" i="36"/>
  <c r="E2398" i="36"/>
  <c r="E2399" i="36"/>
  <c r="E2400" i="36"/>
  <c r="E2401" i="36"/>
  <c r="E2402" i="36"/>
  <c r="E2403" i="36"/>
  <c r="E2404" i="36"/>
  <c r="E2405" i="36"/>
  <c r="E2406" i="36"/>
  <c r="E2407" i="36"/>
  <c r="E2408" i="36"/>
  <c r="E2409" i="36"/>
  <c r="E2410" i="36"/>
  <c r="E2411" i="36"/>
  <c r="E2412" i="36"/>
  <c r="E2413" i="36"/>
  <c r="E2414" i="36"/>
  <c r="E2415" i="36"/>
  <c r="E2416" i="36"/>
  <c r="E2417" i="36"/>
  <c r="E2418" i="36"/>
  <c r="E2419" i="36"/>
  <c r="E2420" i="36"/>
  <c r="E2421" i="36"/>
  <c r="E2422" i="36"/>
  <c r="E2423" i="36"/>
  <c r="E2424" i="36"/>
  <c r="E2425" i="36"/>
  <c r="E2426" i="36"/>
  <c r="E2427" i="36"/>
  <c r="E2428" i="36"/>
  <c r="E2429" i="36"/>
  <c r="E2430" i="36"/>
  <c r="E2431" i="36"/>
  <c r="E2432" i="36"/>
  <c r="E2433" i="36"/>
  <c r="E2434" i="36"/>
  <c r="E2435" i="36"/>
  <c r="E2436" i="36"/>
  <c r="L2363" i="36"/>
  <c r="L2364" i="36"/>
  <c r="L2365" i="36"/>
  <c r="L2366" i="36"/>
  <c r="L2367" i="36"/>
  <c r="L2368" i="36"/>
  <c r="L2369" i="36"/>
  <c r="L2370" i="36"/>
  <c r="L2371" i="36"/>
  <c r="L2372" i="36"/>
  <c r="L2373" i="36"/>
  <c r="L2374" i="36"/>
  <c r="L2375" i="36"/>
  <c r="L2376" i="36"/>
  <c r="L2377" i="36"/>
  <c r="L2378" i="36"/>
  <c r="L2379" i="36"/>
  <c r="L2380" i="36"/>
  <c r="L2381" i="36"/>
  <c r="L2382" i="36"/>
  <c r="L2383" i="36"/>
  <c r="L2384" i="36"/>
  <c r="L2385" i="36"/>
  <c r="L2386" i="36"/>
  <c r="L2387" i="36"/>
  <c r="L2388" i="36"/>
  <c r="L2389" i="36"/>
  <c r="L2390" i="36"/>
  <c r="L2391" i="36"/>
  <c r="L2392" i="36"/>
  <c r="L2393" i="36"/>
  <c r="L2394" i="36"/>
  <c r="L2395" i="36"/>
  <c r="L2396" i="36"/>
  <c r="L2397" i="36"/>
  <c r="L2398" i="36"/>
  <c r="L2399" i="36"/>
  <c r="L2400" i="36"/>
  <c r="L2401" i="36"/>
  <c r="L2402" i="36"/>
  <c r="L2403" i="36"/>
  <c r="L2404" i="36"/>
  <c r="L2405" i="36"/>
  <c r="L2406" i="36"/>
  <c r="L2407" i="36"/>
  <c r="L2408" i="36"/>
  <c r="L2409" i="36"/>
  <c r="L2410" i="36"/>
  <c r="L2411" i="36"/>
  <c r="L2412" i="36"/>
  <c r="L2413" i="36"/>
  <c r="L2414" i="36"/>
  <c r="L2415" i="36"/>
  <c r="L2416" i="36"/>
  <c r="L2417" i="36"/>
  <c r="L2418" i="36"/>
  <c r="L2419" i="36"/>
  <c r="L2420" i="36"/>
  <c r="L2421" i="36"/>
  <c r="L2422" i="36"/>
  <c r="L2423" i="36"/>
  <c r="L2424" i="36"/>
  <c r="L2425" i="36"/>
  <c r="L2426" i="36"/>
  <c r="L2427" i="36"/>
  <c r="L2428" i="36"/>
  <c r="L2429" i="36"/>
  <c r="L2430" i="36"/>
  <c r="L2431" i="36"/>
  <c r="L2432" i="36"/>
  <c r="L2433" i="36"/>
  <c r="L2434" i="36"/>
  <c r="L2435" i="36"/>
  <c r="L2436" i="36"/>
  <c r="AB2363" i="36"/>
  <c r="AB2364" i="36"/>
  <c r="AB2365" i="36"/>
  <c r="AB2366" i="36"/>
  <c r="AB2367" i="36"/>
  <c r="AB2368" i="36"/>
  <c r="AB2369" i="36"/>
  <c r="AB2370" i="36"/>
  <c r="AB2371" i="36"/>
  <c r="AB2372" i="36"/>
  <c r="AB2373" i="36"/>
  <c r="AB2374" i="36"/>
  <c r="AB2375" i="36"/>
  <c r="AB2376" i="36"/>
  <c r="AB2377" i="36"/>
  <c r="AB2378" i="36"/>
  <c r="AB2379" i="36"/>
  <c r="AB2380" i="36"/>
  <c r="AB2381" i="36"/>
  <c r="AB2382" i="36"/>
  <c r="AB2383" i="36"/>
  <c r="AB2384" i="36"/>
  <c r="AB2385" i="36"/>
  <c r="AB2386" i="36"/>
  <c r="AB2387" i="36"/>
  <c r="AB2388" i="36"/>
  <c r="AB2389" i="36"/>
  <c r="AB2390" i="36"/>
  <c r="AB2391" i="36"/>
  <c r="AB2392" i="36"/>
  <c r="AB2393" i="36"/>
  <c r="AB2394" i="36"/>
  <c r="AB2395" i="36"/>
  <c r="AB2396" i="36"/>
  <c r="AB2397" i="36"/>
  <c r="AB2398" i="36"/>
  <c r="AB2399" i="36"/>
  <c r="AB2400" i="36"/>
  <c r="AB2401" i="36"/>
  <c r="AB2402" i="36"/>
  <c r="AB2403" i="36"/>
  <c r="AB2404" i="36"/>
  <c r="AB2405" i="36"/>
  <c r="AB2406" i="36"/>
  <c r="AB2407" i="36"/>
  <c r="AB2408" i="36"/>
  <c r="AB2409" i="36"/>
  <c r="AB2410" i="36"/>
  <c r="AB2411" i="36"/>
  <c r="AB2412" i="36"/>
  <c r="AB2413" i="36"/>
  <c r="AB2414" i="36"/>
  <c r="AB2415" i="36"/>
  <c r="AB2416" i="36"/>
  <c r="AB2417" i="36"/>
  <c r="AB2418" i="36"/>
  <c r="AB2419" i="36"/>
  <c r="AB2420" i="36"/>
  <c r="AB2421" i="36"/>
  <c r="AB2422" i="36"/>
  <c r="AB2423" i="36"/>
  <c r="AB2424" i="36"/>
  <c r="AB2425" i="36"/>
  <c r="AB2426" i="36"/>
  <c r="AB2427" i="36"/>
  <c r="AB2428" i="36"/>
  <c r="AB2429" i="36"/>
  <c r="AB2430" i="36"/>
  <c r="AB2431" i="36"/>
  <c r="AB2432" i="36"/>
  <c r="AB2433" i="36"/>
  <c r="AB2434" i="36"/>
  <c r="AB2435" i="36"/>
  <c r="AB2436" i="36"/>
  <c r="B2437" i="36"/>
  <c r="B2438" i="36"/>
  <c r="B2439" i="36"/>
  <c r="B2440" i="36"/>
  <c r="B2441" i="36"/>
  <c r="B2442" i="36"/>
  <c r="B2443" i="36"/>
  <c r="B2444" i="36"/>
  <c r="B2445" i="36"/>
  <c r="B2446" i="36"/>
  <c r="B2447" i="36"/>
  <c r="B2448" i="36"/>
  <c r="B2449" i="36"/>
  <c r="B2450" i="36"/>
  <c r="B2451" i="36"/>
  <c r="B2452" i="36"/>
  <c r="B2453" i="36"/>
  <c r="B2454" i="36"/>
  <c r="B2455" i="36"/>
  <c r="B2456" i="36"/>
  <c r="B2457" i="36"/>
  <c r="B2458" i="36"/>
  <c r="B2459" i="36"/>
  <c r="B2460" i="36"/>
  <c r="B2461" i="36"/>
  <c r="B2462" i="36"/>
  <c r="B2463" i="36"/>
  <c r="B2464" i="36"/>
  <c r="B2465" i="36"/>
  <c r="B2466" i="36"/>
  <c r="B2467" i="36"/>
  <c r="B2468" i="36"/>
  <c r="B2469" i="36"/>
  <c r="B2470" i="36"/>
  <c r="B2471" i="36"/>
  <c r="B2472" i="36"/>
  <c r="B2473" i="36"/>
  <c r="B2474" i="36"/>
  <c r="B2475" i="36"/>
  <c r="B2476" i="36"/>
  <c r="B2477" i="36"/>
  <c r="B2478" i="36"/>
  <c r="B2479" i="36"/>
  <c r="B2480" i="36"/>
  <c r="B2481" i="36"/>
  <c r="B2482" i="36"/>
  <c r="B2483" i="36"/>
  <c r="B2484" i="36"/>
  <c r="B2485" i="36"/>
  <c r="B2486" i="36"/>
  <c r="B2487" i="36"/>
  <c r="B2488" i="36"/>
  <c r="B2489" i="36"/>
  <c r="B2490" i="36"/>
  <c r="B2491" i="36"/>
  <c r="B2492" i="36"/>
  <c r="B2493" i="36"/>
  <c r="B2494" i="36"/>
  <c r="B2495" i="36"/>
  <c r="B2496" i="36"/>
  <c r="B2497" i="36"/>
  <c r="B2498" i="36"/>
  <c r="B2499" i="36"/>
  <c r="B2500" i="36"/>
  <c r="B2501" i="36"/>
  <c r="B2502" i="36"/>
  <c r="B2503" i="36"/>
  <c r="B2504" i="36"/>
  <c r="B2505" i="36"/>
  <c r="B2506" i="36"/>
  <c r="B2507" i="36"/>
  <c r="E2437" i="36"/>
  <c r="E2438" i="36"/>
  <c r="E2439" i="36"/>
  <c r="E2440" i="36"/>
  <c r="E2441" i="36"/>
  <c r="E2442" i="36"/>
  <c r="E2443" i="36"/>
  <c r="E2444" i="36"/>
  <c r="E2445" i="36"/>
  <c r="E2446" i="36"/>
  <c r="E2447" i="36"/>
  <c r="E2448" i="36"/>
  <c r="E2449" i="36"/>
  <c r="E2450" i="36"/>
  <c r="E2451" i="36"/>
  <c r="E2452" i="36"/>
  <c r="E2453" i="36"/>
  <c r="E2454" i="36"/>
  <c r="E2455" i="36"/>
  <c r="E2456" i="36"/>
  <c r="E2457" i="36"/>
  <c r="E2458" i="36"/>
  <c r="E2459" i="36"/>
  <c r="E2460" i="36"/>
  <c r="E2461" i="36"/>
  <c r="E2462" i="36"/>
  <c r="E2463" i="36"/>
  <c r="E2464" i="36"/>
  <c r="E2465" i="36"/>
  <c r="E2466" i="36"/>
  <c r="E2467" i="36"/>
  <c r="E2468" i="36"/>
  <c r="E2469" i="36"/>
  <c r="E2470" i="36"/>
  <c r="E2471" i="36"/>
  <c r="E2472" i="36"/>
  <c r="E2473" i="36"/>
  <c r="E2474" i="36"/>
  <c r="E2475" i="36"/>
  <c r="E2476" i="36"/>
  <c r="E2477" i="36"/>
  <c r="E2478" i="36"/>
  <c r="E2479" i="36"/>
  <c r="E2480" i="36"/>
  <c r="E2481" i="36"/>
  <c r="E2482" i="36"/>
  <c r="E2483" i="36"/>
  <c r="E2484" i="36"/>
  <c r="E2485" i="36"/>
  <c r="E2486" i="36"/>
  <c r="E2487" i="36"/>
  <c r="E2488" i="36"/>
  <c r="E2489" i="36"/>
  <c r="E2490" i="36"/>
  <c r="E2491" i="36"/>
  <c r="E2492" i="36"/>
  <c r="E2493" i="36"/>
  <c r="E2494" i="36"/>
  <c r="E2495" i="36"/>
  <c r="E2496" i="36"/>
  <c r="E2497" i="36"/>
  <c r="E2498" i="36"/>
  <c r="E2499" i="36"/>
  <c r="E2500" i="36"/>
  <c r="E2501" i="36"/>
  <c r="E2502" i="36"/>
  <c r="E2503" i="36"/>
  <c r="E2504" i="36"/>
  <c r="E2505" i="36"/>
  <c r="E2506" i="36"/>
  <c r="E2507" i="36"/>
  <c r="L2437" i="36"/>
  <c r="L2438" i="36"/>
  <c r="L2439" i="36"/>
  <c r="L2440" i="36"/>
  <c r="L2441" i="36"/>
  <c r="L2442" i="36"/>
  <c r="L2443" i="36"/>
  <c r="L2444" i="36"/>
  <c r="L2445" i="36"/>
  <c r="L2446" i="36"/>
  <c r="L2447" i="36"/>
  <c r="L2448" i="36"/>
  <c r="L2449" i="36"/>
  <c r="L2450" i="36"/>
  <c r="L2451" i="36"/>
  <c r="L2452" i="36"/>
  <c r="L2453" i="36"/>
  <c r="L2454" i="36"/>
  <c r="L2455" i="36"/>
  <c r="L2456" i="36"/>
  <c r="L2457" i="36"/>
  <c r="L2458" i="36"/>
  <c r="L2459" i="36"/>
  <c r="L2460" i="36"/>
  <c r="L2461" i="36"/>
  <c r="L2462" i="36"/>
  <c r="L2463" i="36"/>
  <c r="L2464" i="36"/>
  <c r="L2465" i="36"/>
  <c r="L2466" i="36"/>
  <c r="L2467" i="36"/>
  <c r="L2468" i="36"/>
  <c r="L2469" i="36"/>
  <c r="L2470" i="36"/>
  <c r="L2471" i="36"/>
  <c r="L2472" i="36"/>
  <c r="L2473" i="36"/>
  <c r="L2474" i="36"/>
  <c r="L2475" i="36"/>
  <c r="L2476" i="36"/>
  <c r="L2477" i="36"/>
  <c r="L2478" i="36"/>
  <c r="L2479" i="36"/>
  <c r="L2480" i="36"/>
  <c r="L2481" i="36"/>
  <c r="L2482" i="36"/>
  <c r="L2483" i="36"/>
  <c r="L2484" i="36"/>
  <c r="L2485" i="36"/>
  <c r="L2486" i="36"/>
  <c r="L2487" i="36"/>
  <c r="L2488" i="36"/>
  <c r="L2489" i="36"/>
  <c r="L2490" i="36"/>
  <c r="L2491" i="36"/>
  <c r="L2492" i="36"/>
  <c r="L2493" i="36"/>
  <c r="L2494" i="36"/>
  <c r="L2495" i="36"/>
  <c r="L2496" i="36"/>
  <c r="L2497" i="36"/>
  <c r="L2498" i="36"/>
  <c r="L2499" i="36"/>
  <c r="L2500" i="36"/>
  <c r="L2501" i="36"/>
  <c r="L2502" i="36"/>
  <c r="L2503" i="36"/>
  <c r="L2504" i="36"/>
  <c r="L2505" i="36"/>
  <c r="L2506" i="36"/>
  <c r="L2507" i="36"/>
  <c r="AB2437" i="36"/>
  <c r="AB2438" i="36"/>
  <c r="AB2439" i="36"/>
  <c r="AB2440" i="36"/>
  <c r="AB2441" i="36"/>
  <c r="AB2442" i="36"/>
  <c r="AB2443" i="36"/>
  <c r="AB2444" i="36"/>
  <c r="AB2445" i="36"/>
  <c r="AB2446" i="36"/>
  <c r="AB2447" i="36"/>
  <c r="AB2448" i="36"/>
  <c r="AB2449" i="36"/>
  <c r="AB2450" i="36"/>
  <c r="AB2451" i="36"/>
  <c r="AB2452" i="36"/>
  <c r="AB2453" i="36"/>
  <c r="AB2454" i="36"/>
  <c r="AB2455" i="36"/>
  <c r="AB2456" i="36"/>
  <c r="AB2457" i="36"/>
  <c r="AB2458" i="36"/>
  <c r="AB2459" i="36"/>
  <c r="AB2460" i="36"/>
  <c r="AB2461" i="36"/>
  <c r="AB2462" i="36"/>
  <c r="AB2463" i="36"/>
  <c r="AB2464" i="36"/>
  <c r="AB2465" i="36"/>
  <c r="AB2466" i="36"/>
  <c r="AB2467" i="36"/>
  <c r="AB2468" i="36"/>
  <c r="AB2469" i="36"/>
  <c r="AB2470" i="36"/>
  <c r="AB2471" i="36"/>
  <c r="AB2472" i="36"/>
  <c r="AB2473" i="36"/>
  <c r="AB2474" i="36"/>
  <c r="AB2475" i="36"/>
  <c r="AB2476" i="36"/>
  <c r="AB2477" i="36"/>
  <c r="AB2478" i="36"/>
  <c r="AB2479" i="36"/>
  <c r="AB2480" i="36"/>
  <c r="AB2481" i="36"/>
  <c r="AB2482" i="36"/>
  <c r="AB2483" i="36"/>
  <c r="AB2484" i="36"/>
  <c r="AB2485" i="36"/>
  <c r="AB2486" i="36"/>
  <c r="AB2487" i="36"/>
  <c r="AB2488" i="36"/>
  <c r="AB2489" i="36"/>
  <c r="AB2490" i="36"/>
  <c r="AB2491" i="36"/>
  <c r="AB2492" i="36"/>
  <c r="AB2493" i="36"/>
  <c r="AB2494" i="36"/>
  <c r="AB2495" i="36"/>
  <c r="AB2496" i="36"/>
  <c r="AB2497" i="36"/>
  <c r="AB2498" i="36"/>
  <c r="AB2499" i="36"/>
  <c r="AB2500" i="36"/>
  <c r="AB2501" i="36"/>
  <c r="AB2502" i="36"/>
  <c r="AB2503" i="36"/>
  <c r="AB2504" i="36"/>
  <c r="AB2505" i="36"/>
  <c r="AB2506" i="36"/>
  <c r="AB2507" i="36"/>
  <c r="B2214" i="36"/>
  <c r="E2214" i="36"/>
  <c r="L2214" i="36"/>
  <c r="AB2214" i="36"/>
  <c r="B2200" i="36"/>
  <c r="B2201" i="36"/>
  <c r="B2202" i="36"/>
  <c r="B2203" i="36"/>
  <c r="B2204" i="36"/>
  <c r="B2205" i="36"/>
  <c r="E2200" i="36"/>
  <c r="E2201" i="36"/>
  <c r="E2202" i="36"/>
  <c r="E2203" i="36"/>
  <c r="E2204" i="36"/>
  <c r="E2205" i="36"/>
  <c r="L2200" i="36"/>
  <c r="L2201" i="36"/>
  <c r="L2202" i="36"/>
  <c r="L2203" i="36"/>
  <c r="L2204" i="36"/>
  <c r="L2205" i="36"/>
  <c r="AB2200" i="36"/>
  <c r="AB2201" i="36"/>
  <c r="AB2202" i="36"/>
  <c r="AB2203" i="36"/>
  <c r="AB2204" i="36"/>
  <c r="AB2205" i="36"/>
  <c r="B2206" i="36"/>
  <c r="E2206" i="36"/>
  <c r="L2206" i="36"/>
  <c r="AB2206" i="36"/>
  <c r="B2207" i="36"/>
  <c r="E2207" i="36"/>
  <c r="L2207" i="36"/>
  <c r="AB2207" i="36"/>
  <c r="B2208" i="36"/>
  <c r="E2208" i="36"/>
  <c r="L2208" i="36"/>
  <c r="AB2208" i="36"/>
  <c r="B2209" i="36"/>
  <c r="E2209" i="36"/>
  <c r="L2209" i="36"/>
  <c r="AB2209" i="36"/>
  <c r="B2210" i="36"/>
  <c r="E2210" i="36"/>
  <c r="L2210" i="36"/>
  <c r="AB2210" i="36"/>
  <c r="B2211" i="36"/>
  <c r="E2211" i="36"/>
  <c r="L2211" i="36"/>
  <c r="AB2211" i="36"/>
  <c r="B2212" i="36"/>
  <c r="E2212" i="36"/>
  <c r="L2212" i="36"/>
  <c r="AB2212" i="36"/>
  <c r="B2213" i="36"/>
  <c r="E2213" i="36"/>
  <c r="L2213" i="36"/>
  <c r="AB2213" i="36"/>
  <c r="AB2198" i="36"/>
  <c r="AB2197" i="36"/>
  <c r="AB2196" i="36"/>
  <c r="AB2195" i="36"/>
  <c r="AB2194" i="36"/>
  <c r="AB2193" i="36"/>
  <c r="AB2192" i="36"/>
  <c r="AB2191" i="36"/>
  <c r="AB2190" i="36"/>
  <c r="AB2189" i="36"/>
  <c r="AB2188" i="36"/>
  <c r="AB2187" i="36"/>
  <c r="AB2186" i="36"/>
  <c r="AB2185" i="36"/>
  <c r="AB2184" i="36"/>
  <c r="AB2183" i="36"/>
  <c r="AB2182" i="36"/>
  <c r="AB2181" i="36"/>
  <c r="AB2180" i="36"/>
  <c r="AB2179" i="36"/>
  <c r="B2157" i="36"/>
  <c r="E2157" i="36"/>
  <c r="L2157" i="36"/>
  <c r="AB2157" i="36"/>
  <c r="B2158" i="36"/>
  <c r="E2158" i="36"/>
  <c r="L2158" i="36"/>
  <c r="AB2158" i="36"/>
  <c r="B2159" i="36"/>
  <c r="B2160" i="36"/>
  <c r="B2161" i="36"/>
  <c r="B2162" i="36"/>
  <c r="B2163" i="36"/>
  <c r="B2164" i="36"/>
  <c r="B2165" i="36"/>
  <c r="B2166" i="36"/>
  <c r="B2167" i="36"/>
  <c r="B2168" i="36"/>
  <c r="B2169" i="36"/>
  <c r="B2170" i="36"/>
  <c r="B2171" i="36"/>
  <c r="B2172" i="36"/>
  <c r="B2173" i="36"/>
  <c r="B2174" i="36"/>
  <c r="B2175" i="36"/>
  <c r="B2176" i="36"/>
  <c r="B2177" i="36"/>
  <c r="B2178" i="36"/>
  <c r="B2179" i="36"/>
  <c r="E2159" i="36"/>
  <c r="E2160" i="36"/>
  <c r="E2161" i="36"/>
  <c r="E2162" i="36"/>
  <c r="E2163" i="36"/>
  <c r="E2164" i="36"/>
  <c r="E2165" i="36"/>
  <c r="E2166" i="36"/>
  <c r="E2167" i="36"/>
  <c r="E2168" i="36"/>
  <c r="E2169" i="36"/>
  <c r="E2170" i="36"/>
  <c r="E2171" i="36"/>
  <c r="E2172" i="36"/>
  <c r="E2173" i="36"/>
  <c r="E2174" i="36"/>
  <c r="E2175" i="36"/>
  <c r="E2176" i="36"/>
  <c r="E2177" i="36"/>
  <c r="E2178" i="36"/>
  <c r="E2179" i="36"/>
  <c r="L2159" i="36"/>
  <c r="L2160" i="36"/>
  <c r="L2161" i="36"/>
  <c r="L2162" i="36"/>
  <c r="L2163" i="36"/>
  <c r="L2164" i="36"/>
  <c r="L2165" i="36"/>
  <c r="L2166" i="36"/>
  <c r="L2167" i="36"/>
  <c r="L2168" i="36"/>
  <c r="L2169" i="36"/>
  <c r="L2170" i="36"/>
  <c r="L2171" i="36"/>
  <c r="L2172" i="36"/>
  <c r="L2173" i="36"/>
  <c r="L2174" i="36"/>
  <c r="L2175" i="36"/>
  <c r="L2176" i="36"/>
  <c r="L2177" i="36"/>
  <c r="L2178" i="36"/>
  <c r="L2179" i="36"/>
  <c r="AB2159" i="36"/>
  <c r="AB2160" i="36"/>
  <c r="AB2161" i="36"/>
  <c r="AB2162" i="36"/>
  <c r="AB2163" i="36"/>
  <c r="AB2164" i="36"/>
  <c r="AB2165" i="36"/>
  <c r="AB2166" i="36"/>
  <c r="AB2167" i="36"/>
  <c r="AB2168" i="36"/>
  <c r="AB2169" i="36"/>
  <c r="AB2170" i="36"/>
  <c r="AB2171" i="36"/>
  <c r="AB2172" i="36"/>
  <c r="AB2173" i="36"/>
  <c r="AB2174" i="36"/>
  <c r="AB2175" i="36"/>
  <c r="AB2176" i="36"/>
  <c r="AB2177" i="36"/>
  <c r="AB2178" i="36"/>
  <c r="B2180" i="36"/>
  <c r="B2181" i="36"/>
  <c r="B2182" i="36"/>
  <c r="B2183" i="36"/>
  <c r="B2184" i="36"/>
  <c r="B2185" i="36"/>
  <c r="B2186" i="36"/>
  <c r="E2180" i="36"/>
  <c r="E2181" i="36"/>
  <c r="E2182" i="36"/>
  <c r="E2183" i="36"/>
  <c r="E2184" i="36"/>
  <c r="E2185" i="36"/>
  <c r="E2186" i="36"/>
  <c r="L2180" i="36"/>
  <c r="L2181" i="36"/>
  <c r="L2182" i="36"/>
  <c r="L2183" i="36"/>
  <c r="L2184" i="36"/>
  <c r="L2185" i="36"/>
  <c r="L2186" i="36"/>
  <c r="B2187" i="36"/>
  <c r="B2188" i="36"/>
  <c r="B2189" i="36"/>
  <c r="B2190" i="36"/>
  <c r="B2191" i="36"/>
  <c r="B2192" i="36"/>
  <c r="B2193" i="36"/>
  <c r="E2187" i="36"/>
  <c r="E2188" i="36"/>
  <c r="E2189" i="36"/>
  <c r="E2190" i="36"/>
  <c r="E2191" i="36"/>
  <c r="E2192" i="36"/>
  <c r="E2193" i="36"/>
  <c r="L2187" i="36"/>
  <c r="L2188" i="36"/>
  <c r="L2189" i="36"/>
  <c r="L2190" i="36"/>
  <c r="L2191" i="36"/>
  <c r="L2192" i="36"/>
  <c r="L2193" i="36"/>
  <c r="B2194" i="36"/>
  <c r="E2194" i="36"/>
  <c r="L2194" i="36"/>
  <c r="B2195" i="36"/>
  <c r="E2195" i="36"/>
  <c r="L2195" i="36"/>
  <c r="B2196" i="36"/>
  <c r="E2196" i="36"/>
  <c r="L2196" i="36"/>
  <c r="B2197" i="36"/>
  <c r="E2197" i="36"/>
  <c r="L2197" i="36"/>
  <c r="B2198" i="36"/>
  <c r="E2198" i="36"/>
  <c r="L2198" i="36"/>
  <c r="B2199" i="36"/>
  <c r="E2199" i="36"/>
  <c r="L2199" i="36"/>
  <c r="AB2199" i="36"/>
  <c r="B1871" i="36"/>
  <c r="B1872" i="36"/>
  <c r="B1873" i="36"/>
  <c r="B1874" i="36"/>
  <c r="B1875" i="36"/>
  <c r="B1876" i="36"/>
  <c r="B1877" i="36"/>
  <c r="B1878" i="36"/>
  <c r="B1879" i="36"/>
  <c r="B1880" i="36"/>
  <c r="B1881" i="36"/>
  <c r="B1882" i="36"/>
  <c r="B1883" i="36"/>
  <c r="B1884" i="36"/>
  <c r="B1885" i="36"/>
  <c r="B1886" i="36"/>
  <c r="B1887" i="36"/>
  <c r="B1888" i="36"/>
  <c r="B1889" i="36"/>
  <c r="B1890" i="36"/>
  <c r="B1891" i="36"/>
  <c r="B1892" i="36"/>
  <c r="B1893" i="36"/>
  <c r="B1894" i="36"/>
  <c r="B1895" i="36"/>
  <c r="B1896" i="36"/>
  <c r="B1897" i="36"/>
  <c r="B1898" i="36"/>
  <c r="B1899" i="36"/>
  <c r="B1900" i="36"/>
  <c r="B1901" i="36"/>
  <c r="B1902" i="36"/>
  <c r="B1903" i="36"/>
  <c r="B1904" i="36"/>
  <c r="B1905" i="36"/>
  <c r="B1906" i="36"/>
  <c r="B1907" i="36"/>
  <c r="B1908" i="36"/>
  <c r="B1909" i="36"/>
  <c r="B1910" i="36"/>
  <c r="B1911" i="36"/>
  <c r="B1912" i="36"/>
  <c r="B1913" i="36"/>
  <c r="B1914" i="36"/>
  <c r="B1915" i="36"/>
  <c r="B1916" i="36"/>
  <c r="B1917" i="36"/>
  <c r="B1918" i="36"/>
  <c r="B1919" i="36"/>
  <c r="B1920" i="36"/>
  <c r="B1921" i="36"/>
  <c r="B1922" i="36"/>
  <c r="B1923" i="36"/>
  <c r="B1924" i="36"/>
  <c r="B1925" i="36"/>
  <c r="B1926" i="36"/>
  <c r="B1927" i="36"/>
  <c r="B1928" i="36"/>
  <c r="B1929" i="36"/>
  <c r="B1930" i="36"/>
  <c r="B1931" i="36"/>
  <c r="B1932" i="36"/>
  <c r="B1933" i="36"/>
  <c r="E1871" i="36"/>
  <c r="E1872" i="36"/>
  <c r="E1873" i="36"/>
  <c r="E1874" i="36"/>
  <c r="E1875" i="36"/>
  <c r="E1876" i="36"/>
  <c r="E1877" i="36"/>
  <c r="E1878" i="36"/>
  <c r="E1879" i="36"/>
  <c r="E1880" i="36"/>
  <c r="E1881" i="36"/>
  <c r="E1882" i="36"/>
  <c r="E1883" i="36"/>
  <c r="E1884" i="36"/>
  <c r="E1885" i="36"/>
  <c r="E1886" i="36"/>
  <c r="E1887" i="36"/>
  <c r="E1888" i="36"/>
  <c r="E1889" i="36"/>
  <c r="E1890" i="36"/>
  <c r="E1891" i="36"/>
  <c r="E1892" i="36"/>
  <c r="E1893" i="36"/>
  <c r="E1894" i="36"/>
  <c r="E1895" i="36"/>
  <c r="E1896" i="36"/>
  <c r="E1897" i="36"/>
  <c r="E1898" i="36"/>
  <c r="E1899" i="36"/>
  <c r="E1900" i="36"/>
  <c r="E1901" i="36"/>
  <c r="E1902" i="36"/>
  <c r="E1903" i="36"/>
  <c r="E1904" i="36"/>
  <c r="E1905" i="36"/>
  <c r="E1906" i="36"/>
  <c r="E1907" i="36"/>
  <c r="E1908" i="36"/>
  <c r="E1909" i="36"/>
  <c r="E1910" i="36"/>
  <c r="E1911" i="36"/>
  <c r="E1912" i="36"/>
  <c r="E1913" i="36"/>
  <c r="E1914" i="36"/>
  <c r="E1915" i="36"/>
  <c r="E1916" i="36"/>
  <c r="E1917" i="36"/>
  <c r="E1918" i="36"/>
  <c r="E1919" i="36"/>
  <c r="E1920" i="36"/>
  <c r="E1921" i="36"/>
  <c r="E1922" i="36"/>
  <c r="E1923" i="36"/>
  <c r="E1924" i="36"/>
  <c r="E1925" i="36"/>
  <c r="E1926" i="36"/>
  <c r="E1927" i="36"/>
  <c r="E1928" i="36"/>
  <c r="E1929" i="36"/>
  <c r="E1930" i="36"/>
  <c r="E1931" i="36"/>
  <c r="E1932" i="36"/>
  <c r="E1933" i="36"/>
  <c r="L1871" i="36"/>
  <c r="L1872" i="36"/>
  <c r="L1873" i="36"/>
  <c r="L1874" i="36"/>
  <c r="L1875" i="36"/>
  <c r="L1876" i="36"/>
  <c r="L1877" i="36"/>
  <c r="L1878" i="36"/>
  <c r="L1879" i="36"/>
  <c r="L1880" i="36"/>
  <c r="L1881" i="36"/>
  <c r="L1882" i="36"/>
  <c r="L1883" i="36"/>
  <c r="L1884" i="36"/>
  <c r="L1885" i="36"/>
  <c r="L1886" i="36"/>
  <c r="L1887" i="36"/>
  <c r="L1888" i="36"/>
  <c r="L1889" i="36"/>
  <c r="L1890" i="36"/>
  <c r="L1891" i="36"/>
  <c r="L1892" i="36"/>
  <c r="L1893" i="36"/>
  <c r="L1894" i="36"/>
  <c r="L1895" i="36"/>
  <c r="L1896" i="36"/>
  <c r="L1897" i="36"/>
  <c r="L1898" i="36"/>
  <c r="L1899" i="36"/>
  <c r="L1900" i="36"/>
  <c r="L1901" i="36"/>
  <c r="L1902" i="36"/>
  <c r="L1903" i="36"/>
  <c r="L1904" i="36"/>
  <c r="L1905" i="36"/>
  <c r="L1906" i="36"/>
  <c r="L1907" i="36"/>
  <c r="L1908" i="36"/>
  <c r="L1909" i="36"/>
  <c r="L1910" i="36"/>
  <c r="L1911" i="36"/>
  <c r="L1912" i="36"/>
  <c r="L1913" i="36"/>
  <c r="L1914" i="36"/>
  <c r="L1915" i="36"/>
  <c r="L1916" i="36"/>
  <c r="L1917" i="36"/>
  <c r="L1918" i="36"/>
  <c r="L1919" i="36"/>
  <c r="L1920" i="36"/>
  <c r="L1921" i="36"/>
  <c r="L1922" i="36"/>
  <c r="L1923" i="36"/>
  <c r="L1924" i="36"/>
  <c r="L1925" i="36"/>
  <c r="L1926" i="36"/>
  <c r="L1927" i="36"/>
  <c r="L1928" i="36"/>
  <c r="L1929" i="36"/>
  <c r="L1930" i="36"/>
  <c r="L1931" i="36"/>
  <c r="L1932" i="36"/>
  <c r="L1933" i="36"/>
  <c r="AB1871" i="36"/>
  <c r="AB1872" i="36"/>
  <c r="AB1873" i="36"/>
  <c r="AB1874" i="36"/>
  <c r="AB1875" i="36"/>
  <c r="AB1876" i="36"/>
  <c r="AB1877" i="36"/>
  <c r="AB1878" i="36"/>
  <c r="AB1879" i="36"/>
  <c r="AB1880" i="36"/>
  <c r="AB1881" i="36"/>
  <c r="AB1882" i="36"/>
  <c r="AB1883" i="36"/>
  <c r="AB1884" i="36"/>
  <c r="AB1885" i="36"/>
  <c r="AB1886" i="36"/>
  <c r="AB1887" i="36"/>
  <c r="AB1888" i="36"/>
  <c r="AB1889" i="36"/>
  <c r="AB1890" i="36"/>
  <c r="AB1891" i="36"/>
  <c r="AB1892" i="36"/>
  <c r="AB1893" i="36"/>
  <c r="AB1894" i="36"/>
  <c r="AB1895" i="36"/>
  <c r="AB1896" i="36"/>
  <c r="AB1897" i="36"/>
  <c r="AB1898" i="36"/>
  <c r="AB1899" i="36"/>
  <c r="AB1900" i="36"/>
  <c r="AB1901" i="36"/>
  <c r="AB1902" i="36"/>
  <c r="AB1903" i="36"/>
  <c r="AB1904" i="36"/>
  <c r="AB1905" i="36"/>
  <c r="AB1906" i="36"/>
  <c r="AB1907" i="36"/>
  <c r="AB1908" i="36"/>
  <c r="AB1909" i="36"/>
  <c r="AB1910" i="36"/>
  <c r="AB1911" i="36"/>
  <c r="AB1912" i="36"/>
  <c r="AB1913" i="36"/>
  <c r="AB1914" i="36"/>
  <c r="AB1915" i="36"/>
  <c r="AB1916" i="36"/>
  <c r="AB1917" i="36"/>
  <c r="AB1918" i="36"/>
  <c r="AB1919" i="36"/>
  <c r="AB1920" i="36"/>
  <c r="AB1921" i="36"/>
  <c r="AB1922" i="36"/>
  <c r="AB1923" i="36"/>
  <c r="AB1924" i="36"/>
  <c r="AB1925" i="36"/>
  <c r="AB1926" i="36"/>
  <c r="AB1927" i="36"/>
  <c r="AB1928" i="36"/>
  <c r="AB1929" i="36"/>
  <c r="AB1930" i="36"/>
  <c r="AB1931" i="36"/>
  <c r="AB1932" i="36"/>
  <c r="AB1933" i="36"/>
  <c r="B1934" i="36"/>
  <c r="B1935" i="36"/>
  <c r="B1936" i="36"/>
  <c r="B1937" i="36"/>
  <c r="B1938" i="36"/>
  <c r="B1939" i="36"/>
  <c r="B1940" i="36"/>
  <c r="B1941" i="36"/>
  <c r="B1942" i="36"/>
  <c r="B1943" i="36"/>
  <c r="B1944" i="36"/>
  <c r="B1945" i="36"/>
  <c r="B1946" i="36"/>
  <c r="B1947" i="36"/>
  <c r="B1948" i="36"/>
  <c r="B1949" i="36"/>
  <c r="B1950" i="36"/>
  <c r="B1951" i="36"/>
  <c r="B1952" i="36"/>
  <c r="B1953" i="36"/>
  <c r="B1954" i="36"/>
  <c r="B1955" i="36"/>
  <c r="B1956" i="36"/>
  <c r="B1957" i="36"/>
  <c r="B1958" i="36"/>
  <c r="B1959" i="36"/>
  <c r="B1960" i="36"/>
  <c r="B1961" i="36"/>
  <c r="B1962" i="36"/>
  <c r="B1963" i="36"/>
  <c r="B1964" i="36"/>
  <c r="B1965" i="36"/>
  <c r="B1966" i="36"/>
  <c r="B1967" i="36"/>
  <c r="B1968" i="36"/>
  <c r="B1969" i="36"/>
  <c r="B1970" i="36"/>
  <c r="B1971" i="36"/>
  <c r="B1972" i="36"/>
  <c r="B1973" i="36"/>
  <c r="B1974" i="36"/>
  <c r="B1975" i="36"/>
  <c r="B1976" i="36"/>
  <c r="B1977" i="36"/>
  <c r="B1978" i="36"/>
  <c r="B1979" i="36"/>
  <c r="B1980" i="36"/>
  <c r="B1981" i="36"/>
  <c r="B1982" i="36"/>
  <c r="B1983" i="36"/>
  <c r="B1984" i="36"/>
  <c r="B1985" i="36"/>
  <c r="B1986" i="36"/>
  <c r="B1987" i="36"/>
  <c r="B1988" i="36"/>
  <c r="B1989" i="36"/>
  <c r="B1990" i="36"/>
  <c r="B1991" i="36"/>
  <c r="B1992" i="36"/>
  <c r="B1993" i="36"/>
  <c r="B1994" i="36"/>
  <c r="B1995" i="36"/>
  <c r="B1996" i="36"/>
  <c r="E1934" i="36"/>
  <c r="E1935" i="36"/>
  <c r="E1936" i="36"/>
  <c r="E1937" i="36"/>
  <c r="E1938" i="36"/>
  <c r="E1939" i="36"/>
  <c r="E1940" i="36"/>
  <c r="E1941" i="36"/>
  <c r="E1942" i="36"/>
  <c r="E1943" i="36"/>
  <c r="E1944" i="36"/>
  <c r="E1945" i="36"/>
  <c r="E1946" i="36"/>
  <c r="E1947" i="36"/>
  <c r="E1948" i="36"/>
  <c r="E1949" i="36"/>
  <c r="E1950" i="36"/>
  <c r="E1951" i="36"/>
  <c r="E1952" i="36"/>
  <c r="E1953" i="36"/>
  <c r="E1954" i="36"/>
  <c r="E1955" i="36"/>
  <c r="E1956" i="36"/>
  <c r="E1957" i="36"/>
  <c r="E1958" i="36"/>
  <c r="E1959" i="36"/>
  <c r="E1960" i="36"/>
  <c r="E1961" i="36"/>
  <c r="E1962" i="36"/>
  <c r="E1963" i="36"/>
  <c r="E1964" i="36"/>
  <c r="E1965" i="36"/>
  <c r="E1966" i="36"/>
  <c r="E1967" i="36"/>
  <c r="E1968" i="36"/>
  <c r="E1969" i="36"/>
  <c r="E1970" i="36"/>
  <c r="E1971" i="36"/>
  <c r="E1972" i="36"/>
  <c r="E1973" i="36"/>
  <c r="E1974" i="36"/>
  <c r="E1975" i="36"/>
  <c r="E1976" i="36"/>
  <c r="E1977" i="36"/>
  <c r="E1978" i="36"/>
  <c r="E1979" i="36"/>
  <c r="E1980" i="36"/>
  <c r="E1981" i="36"/>
  <c r="E1982" i="36"/>
  <c r="E1983" i="36"/>
  <c r="E1984" i="36"/>
  <c r="E1985" i="36"/>
  <c r="E1986" i="36"/>
  <c r="E1987" i="36"/>
  <c r="E1988" i="36"/>
  <c r="E1989" i="36"/>
  <c r="E1990" i="36"/>
  <c r="E1991" i="36"/>
  <c r="E1992" i="36"/>
  <c r="E1993" i="36"/>
  <c r="E1994" i="36"/>
  <c r="E1995" i="36"/>
  <c r="E1996" i="36"/>
  <c r="L1934" i="36"/>
  <c r="L1935" i="36"/>
  <c r="L1936" i="36"/>
  <c r="L1937" i="36"/>
  <c r="L1938" i="36"/>
  <c r="L1939" i="36"/>
  <c r="L1940" i="36"/>
  <c r="L1941" i="36"/>
  <c r="L1942" i="36"/>
  <c r="L1943" i="36"/>
  <c r="L1944" i="36"/>
  <c r="L1945" i="36"/>
  <c r="L1946" i="36"/>
  <c r="L1947" i="36"/>
  <c r="L1948" i="36"/>
  <c r="L1949" i="36"/>
  <c r="L1950" i="36"/>
  <c r="L1951" i="36"/>
  <c r="L1952" i="36"/>
  <c r="L1953" i="36"/>
  <c r="L1954" i="36"/>
  <c r="L1955" i="36"/>
  <c r="L1956" i="36"/>
  <c r="L1957" i="36"/>
  <c r="L1958" i="36"/>
  <c r="L1959" i="36"/>
  <c r="L1960" i="36"/>
  <c r="L1961" i="36"/>
  <c r="L1962" i="36"/>
  <c r="L1963" i="36"/>
  <c r="L1964" i="36"/>
  <c r="L1965" i="36"/>
  <c r="L1966" i="36"/>
  <c r="L1967" i="36"/>
  <c r="L1968" i="36"/>
  <c r="L1969" i="36"/>
  <c r="L1970" i="36"/>
  <c r="L1971" i="36"/>
  <c r="L1972" i="36"/>
  <c r="L1973" i="36"/>
  <c r="L1974" i="36"/>
  <c r="L1975" i="36"/>
  <c r="L1976" i="36"/>
  <c r="L1977" i="36"/>
  <c r="L1978" i="36"/>
  <c r="L1979" i="36"/>
  <c r="L1980" i="36"/>
  <c r="L1981" i="36"/>
  <c r="L1982" i="36"/>
  <c r="L1983" i="36"/>
  <c r="L1984" i="36"/>
  <c r="L1985" i="36"/>
  <c r="L1986" i="36"/>
  <c r="L1987" i="36"/>
  <c r="L1988" i="36"/>
  <c r="L1989" i="36"/>
  <c r="L1990" i="36"/>
  <c r="L1991" i="36"/>
  <c r="L1992" i="36"/>
  <c r="L1993" i="36"/>
  <c r="L1994" i="36"/>
  <c r="L1995" i="36"/>
  <c r="L1996" i="36"/>
  <c r="AB1934" i="36"/>
  <c r="AB1935" i="36"/>
  <c r="AB1936" i="36"/>
  <c r="AB1937" i="36"/>
  <c r="AB1938" i="36"/>
  <c r="AB1939" i="36"/>
  <c r="AB1940" i="36"/>
  <c r="AB1941" i="36"/>
  <c r="AB1942" i="36"/>
  <c r="AB1943" i="36"/>
  <c r="AB1944" i="36"/>
  <c r="AB1945" i="36"/>
  <c r="AB1946" i="36"/>
  <c r="AB1947" i="36"/>
  <c r="AB1948" i="36"/>
  <c r="AB1949" i="36"/>
  <c r="AB1950" i="36"/>
  <c r="AB1951" i="36"/>
  <c r="AB1952" i="36"/>
  <c r="AB1953" i="36"/>
  <c r="AB1954" i="36"/>
  <c r="AB1955" i="36"/>
  <c r="AB1956" i="36"/>
  <c r="AB1957" i="36"/>
  <c r="AB1958" i="36"/>
  <c r="AB1959" i="36"/>
  <c r="AB1960" i="36"/>
  <c r="AB1961" i="36"/>
  <c r="AB1962" i="36"/>
  <c r="AB1963" i="36"/>
  <c r="AB1964" i="36"/>
  <c r="AB1965" i="36"/>
  <c r="AB1966" i="36"/>
  <c r="AB1967" i="36"/>
  <c r="AB1968" i="36"/>
  <c r="AB1969" i="36"/>
  <c r="AB1970" i="36"/>
  <c r="AB1971" i="36"/>
  <c r="AB1972" i="36"/>
  <c r="AB1973" i="36"/>
  <c r="AB1974" i="36"/>
  <c r="AB1975" i="36"/>
  <c r="AB1976" i="36"/>
  <c r="AB1977" i="36"/>
  <c r="AB1978" i="36"/>
  <c r="AB1979" i="36"/>
  <c r="AB1980" i="36"/>
  <c r="AB1981" i="36"/>
  <c r="AB1982" i="36"/>
  <c r="AB1983" i="36"/>
  <c r="AB1984" i="36"/>
  <c r="AB1985" i="36"/>
  <c r="AB1986" i="36"/>
  <c r="AB1987" i="36"/>
  <c r="AB1988" i="36"/>
  <c r="AB1989" i="36"/>
  <c r="AB1990" i="36"/>
  <c r="AB1991" i="36"/>
  <c r="AB1992" i="36"/>
  <c r="AB1993" i="36"/>
  <c r="AB1994" i="36"/>
  <c r="AB1995" i="36"/>
  <c r="AB1996" i="36"/>
  <c r="B1997" i="36"/>
  <c r="B1998" i="36"/>
  <c r="B1999" i="36"/>
  <c r="B2000" i="36"/>
  <c r="B2001" i="36"/>
  <c r="B2002" i="36"/>
  <c r="B2003" i="36"/>
  <c r="B2004" i="36"/>
  <c r="B2005" i="36"/>
  <c r="B2006" i="36"/>
  <c r="B2007" i="36"/>
  <c r="B2008" i="36"/>
  <c r="B2009" i="36"/>
  <c r="B2010" i="36"/>
  <c r="B2011" i="36"/>
  <c r="B2012" i="36"/>
  <c r="B2013" i="36"/>
  <c r="B2014" i="36"/>
  <c r="B2015" i="36"/>
  <c r="B2016" i="36"/>
  <c r="B2017" i="36"/>
  <c r="B2018" i="36"/>
  <c r="B2019" i="36"/>
  <c r="B2020" i="36"/>
  <c r="B2021" i="36"/>
  <c r="B2022" i="36"/>
  <c r="B2023" i="36"/>
  <c r="B2024" i="36"/>
  <c r="B2025" i="36"/>
  <c r="B2026" i="36"/>
  <c r="B2027" i="36"/>
  <c r="B2028" i="36"/>
  <c r="B2029" i="36"/>
  <c r="B2030" i="36"/>
  <c r="B2031" i="36"/>
  <c r="B2032" i="36"/>
  <c r="B2033" i="36"/>
  <c r="B2034" i="36"/>
  <c r="B2035" i="36"/>
  <c r="B2036" i="36"/>
  <c r="B2037" i="36"/>
  <c r="B2038" i="36"/>
  <c r="B2039" i="36"/>
  <c r="B2040" i="36"/>
  <c r="B2041" i="36"/>
  <c r="B2042" i="36"/>
  <c r="B2043" i="36"/>
  <c r="B2044" i="36"/>
  <c r="B2045" i="36"/>
  <c r="B2046" i="36"/>
  <c r="B2047" i="36"/>
  <c r="B2048" i="36"/>
  <c r="B2049" i="36"/>
  <c r="B2050" i="36"/>
  <c r="B2051" i="36"/>
  <c r="B2052" i="36"/>
  <c r="B2053" i="36"/>
  <c r="B2054" i="36"/>
  <c r="B2055" i="36"/>
  <c r="B2056" i="36"/>
  <c r="B2057" i="36"/>
  <c r="B2058" i="36"/>
  <c r="B2059" i="36"/>
  <c r="E1997" i="36"/>
  <c r="E1998" i="36"/>
  <c r="E1999" i="36"/>
  <c r="E2000" i="36"/>
  <c r="E2001" i="36"/>
  <c r="E2002" i="36"/>
  <c r="E2003" i="36"/>
  <c r="E2004" i="36"/>
  <c r="E2005" i="36"/>
  <c r="E2006" i="36"/>
  <c r="E2007" i="36"/>
  <c r="E2008" i="36"/>
  <c r="E2009" i="36"/>
  <c r="E2010" i="36"/>
  <c r="E2011" i="36"/>
  <c r="E2012" i="36"/>
  <c r="E2013" i="36"/>
  <c r="E2014" i="36"/>
  <c r="E2015" i="36"/>
  <c r="E2016" i="36"/>
  <c r="E2017" i="36"/>
  <c r="E2018" i="36"/>
  <c r="E2019" i="36"/>
  <c r="E2020" i="36"/>
  <c r="E2021" i="36"/>
  <c r="E2022" i="36"/>
  <c r="E2023" i="36"/>
  <c r="E2024" i="36"/>
  <c r="E2025" i="36"/>
  <c r="E2026" i="36"/>
  <c r="E2027" i="36"/>
  <c r="E2028" i="36"/>
  <c r="E2029" i="36"/>
  <c r="E2030" i="36"/>
  <c r="E2031" i="36"/>
  <c r="E2032" i="36"/>
  <c r="E2033" i="36"/>
  <c r="E2034" i="36"/>
  <c r="E2035" i="36"/>
  <c r="E2036" i="36"/>
  <c r="E2037" i="36"/>
  <c r="E2038" i="36"/>
  <c r="E2039" i="36"/>
  <c r="E2040" i="36"/>
  <c r="E2041" i="36"/>
  <c r="E2042" i="36"/>
  <c r="E2043" i="36"/>
  <c r="E2044" i="36"/>
  <c r="E2045" i="36"/>
  <c r="E2046" i="36"/>
  <c r="E2047" i="36"/>
  <c r="E2048" i="36"/>
  <c r="E2049" i="36"/>
  <c r="E2050" i="36"/>
  <c r="E2051" i="36"/>
  <c r="E2052" i="36"/>
  <c r="E2053" i="36"/>
  <c r="E2054" i="36"/>
  <c r="E2055" i="36"/>
  <c r="E2056" i="36"/>
  <c r="E2057" i="36"/>
  <c r="E2058" i="36"/>
  <c r="E2059" i="36"/>
  <c r="L1997" i="36"/>
  <c r="L1998" i="36"/>
  <c r="L1999" i="36"/>
  <c r="L2000" i="36"/>
  <c r="L2001" i="36"/>
  <c r="L2002" i="36"/>
  <c r="L2003" i="36"/>
  <c r="L2004" i="36"/>
  <c r="L2005" i="36"/>
  <c r="L2006" i="36"/>
  <c r="L2007" i="36"/>
  <c r="L2008" i="36"/>
  <c r="L2009" i="36"/>
  <c r="L2010" i="36"/>
  <c r="L2011" i="36"/>
  <c r="L2012" i="36"/>
  <c r="L2013" i="36"/>
  <c r="L2014" i="36"/>
  <c r="L2015" i="36"/>
  <c r="L2016" i="36"/>
  <c r="L2017" i="36"/>
  <c r="L2018" i="36"/>
  <c r="L2019" i="36"/>
  <c r="L2020" i="36"/>
  <c r="L2021" i="36"/>
  <c r="L2022" i="36"/>
  <c r="L2023" i="36"/>
  <c r="L2024" i="36"/>
  <c r="L2025" i="36"/>
  <c r="L2026" i="36"/>
  <c r="L2027" i="36"/>
  <c r="L2028" i="36"/>
  <c r="L2029" i="36"/>
  <c r="L2030" i="36"/>
  <c r="L2031" i="36"/>
  <c r="L2032" i="36"/>
  <c r="L2033" i="36"/>
  <c r="L2034" i="36"/>
  <c r="L2035" i="36"/>
  <c r="L2036" i="36"/>
  <c r="L2037" i="36"/>
  <c r="L2038" i="36"/>
  <c r="L2039" i="36"/>
  <c r="L2040" i="36"/>
  <c r="L2041" i="36"/>
  <c r="L2042" i="36"/>
  <c r="L2043" i="36"/>
  <c r="L2044" i="36"/>
  <c r="L2045" i="36"/>
  <c r="L2046" i="36"/>
  <c r="L2047" i="36"/>
  <c r="L2048" i="36"/>
  <c r="L2049" i="36"/>
  <c r="L2050" i="36"/>
  <c r="L2051" i="36"/>
  <c r="L2052" i="36"/>
  <c r="L2053" i="36"/>
  <c r="L2054" i="36"/>
  <c r="L2055" i="36"/>
  <c r="L2056" i="36"/>
  <c r="L2057" i="36"/>
  <c r="L2058" i="36"/>
  <c r="L2059" i="36"/>
  <c r="AB1997" i="36"/>
  <c r="AB1998" i="36"/>
  <c r="AB1999" i="36"/>
  <c r="AB2000" i="36"/>
  <c r="AB2001" i="36"/>
  <c r="AB2002" i="36"/>
  <c r="AB2003" i="36"/>
  <c r="AB2004" i="36"/>
  <c r="AB2005" i="36"/>
  <c r="AB2006" i="36"/>
  <c r="AB2007" i="36"/>
  <c r="AB2008" i="36"/>
  <c r="AB2009" i="36"/>
  <c r="AB2010" i="36"/>
  <c r="AB2011" i="36"/>
  <c r="AB2012" i="36"/>
  <c r="AB2013" i="36"/>
  <c r="AB2014" i="36"/>
  <c r="AB2015" i="36"/>
  <c r="AB2016" i="36"/>
  <c r="AB2017" i="36"/>
  <c r="AB2018" i="36"/>
  <c r="AB2019" i="36"/>
  <c r="AB2020" i="36"/>
  <c r="AB2021" i="36"/>
  <c r="AB2022" i="36"/>
  <c r="AB2023" i="36"/>
  <c r="AB2024" i="36"/>
  <c r="AB2025" i="36"/>
  <c r="AB2026" i="36"/>
  <c r="AB2027" i="36"/>
  <c r="AB2028" i="36"/>
  <c r="AB2029" i="36"/>
  <c r="AB2030" i="36"/>
  <c r="AB2031" i="36"/>
  <c r="AB2032" i="36"/>
  <c r="AB2033" i="36"/>
  <c r="AB2034" i="36"/>
  <c r="AB2035" i="36"/>
  <c r="AB2036" i="36"/>
  <c r="AB2037" i="36"/>
  <c r="AB2038" i="36"/>
  <c r="AB2039" i="36"/>
  <c r="AB2040" i="36"/>
  <c r="AB2041" i="36"/>
  <c r="AB2042" i="36"/>
  <c r="AB2043" i="36"/>
  <c r="AB2044" i="36"/>
  <c r="AB2045" i="36"/>
  <c r="AB2046" i="36"/>
  <c r="AB2047" i="36"/>
  <c r="AB2048" i="36"/>
  <c r="AB2049" i="36"/>
  <c r="AB2050" i="36"/>
  <c r="AB2051" i="36"/>
  <c r="AB2052" i="36"/>
  <c r="AB2053" i="36"/>
  <c r="AB2054" i="36"/>
  <c r="AB2055" i="36"/>
  <c r="AB2056" i="36"/>
  <c r="AB2057" i="36"/>
  <c r="AB2058" i="36"/>
  <c r="AB2059" i="36"/>
  <c r="B2060" i="36"/>
  <c r="B2061" i="36"/>
  <c r="B2062" i="36"/>
  <c r="B2063" i="36"/>
  <c r="B2064" i="36"/>
  <c r="B2065" i="36"/>
  <c r="B2066" i="36"/>
  <c r="B2067" i="36"/>
  <c r="B2068" i="36"/>
  <c r="B2069" i="36"/>
  <c r="B2070" i="36"/>
  <c r="B2071" i="36"/>
  <c r="B2072" i="36"/>
  <c r="B2073" i="36"/>
  <c r="B2074" i="36"/>
  <c r="B2075" i="36"/>
  <c r="B2076" i="36"/>
  <c r="B2077" i="36"/>
  <c r="B2078" i="36"/>
  <c r="B2079" i="36"/>
  <c r="B2080" i="36"/>
  <c r="B2081" i="36"/>
  <c r="B2082" i="36"/>
  <c r="B2083" i="36"/>
  <c r="B2084" i="36"/>
  <c r="B2085" i="36"/>
  <c r="B2086" i="36"/>
  <c r="B2087" i="36"/>
  <c r="B2088" i="36"/>
  <c r="B2089" i="36"/>
  <c r="B2090" i="36"/>
  <c r="B2091" i="36"/>
  <c r="B2092" i="36"/>
  <c r="B2093" i="36"/>
  <c r="B2094" i="36"/>
  <c r="B2095" i="36"/>
  <c r="B2096" i="36"/>
  <c r="B2097" i="36"/>
  <c r="B2098" i="36"/>
  <c r="B2099" i="36"/>
  <c r="B2100" i="36"/>
  <c r="B2101" i="36"/>
  <c r="B2102" i="36"/>
  <c r="B2103" i="36"/>
  <c r="B2104" i="36"/>
  <c r="B2105" i="36"/>
  <c r="B2106" i="36"/>
  <c r="B2107" i="36"/>
  <c r="B2108" i="36"/>
  <c r="B2109" i="36"/>
  <c r="B2110" i="36"/>
  <c r="B2111" i="36"/>
  <c r="B2112" i="36"/>
  <c r="B2113" i="36"/>
  <c r="B2114" i="36"/>
  <c r="B2115" i="36"/>
  <c r="B2116" i="36"/>
  <c r="B2117" i="36"/>
  <c r="B2118" i="36"/>
  <c r="B2119" i="36"/>
  <c r="B2120" i="36"/>
  <c r="B2121" i="36"/>
  <c r="B2122" i="36"/>
  <c r="E2060" i="36"/>
  <c r="E2061" i="36"/>
  <c r="E2062" i="36"/>
  <c r="E2063" i="36"/>
  <c r="E2064" i="36"/>
  <c r="E2065" i="36"/>
  <c r="E2066" i="36"/>
  <c r="E2067" i="36"/>
  <c r="E2068" i="36"/>
  <c r="E2069" i="36"/>
  <c r="E2070" i="36"/>
  <c r="E2071" i="36"/>
  <c r="E2072" i="36"/>
  <c r="E2073" i="36"/>
  <c r="E2074" i="36"/>
  <c r="E2075" i="36"/>
  <c r="E2076" i="36"/>
  <c r="E2077" i="36"/>
  <c r="E2078" i="36"/>
  <c r="E2079" i="36"/>
  <c r="E2080" i="36"/>
  <c r="E2081" i="36"/>
  <c r="E2082" i="36"/>
  <c r="E2083" i="36"/>
  <c r="E2084" i="36"/>
  <c r="E2085" i="36"/>
  <c r="E2086" i="36"/>
  <c r="E2087" i="36"/>
  <c r="E2088" i="36"/>
  <c r="E2089" i="36"/>
  <c r="E2090" i="36"/>
  <c r="E2091" i="36"/>
  <c r="E2092" i="36"/>
  <c r="E2093" i="36"/>
  <c r="E2094" i="36"/>
  <c r="E2095" i="36"/>
  <c r="E2096" i="36"/>
  <c r="E2097" i="36"/>
  <c r="E2098" i="36"/>
  <c r="E2099" i="36"/>
  <c r="E2100" i="36"/>
  <c r="E2101" i="36"/>
  <c r="E2102" i="36"/>
  <c r="E2103" i="36"/>
  <c r="E2104" i="36"/>
  <c r="E2105" i="36"/>
  <c r="E2106" i="36"/>
  <c r="E2107" i="36"/>
  <c r="E2108" i="36"/>
  <c r="E2109" i="36"/>
  <c r="E2110" i="36"/>
  <c r="E2111" i="36"/>
  <c r="E2112" i="36"/>
  <c r="E2113" i="36"/>
  <c r="E2114" i="36"/>
  <c r="E2115" i="36"/>
  <c r="E2116" i="36"/>
  <c r="E2117" i="36"/>
  <c r="E2118" i="36"/>
  <c r="E2119" i="36"/>
  <c r="E2120" i="36"/>
  <c r="E2121" i="36"/>
  <c r="E2122" i="36"/>
  <c r="L2060" i="36"/>
  <c r="L2061" i="36"/>
  <c r="L2062" i="36"/>
  <c r="L2063" i="36"/>
  <c r="L2064" i="36"/>
  <c r="L2065" i="36"/>
  <c r="L2066" i="36"/>
  <c r="L2067" i="36"/>
  <c r="L2068" i="36"/>
  <c r="L2069" i="36"/>
  <c r="L2070" i="36"/>
  <c r="L2071" i="36"/>
  <c r="L2072" i="36"/>
  <c r="L2073" i="36"/>
  <c r="L2074" i="36"/>
  <c r="L2075" i="36"/>
  <c r="L2076" i="36"/>
  <c r="L2077" i="36"/>
  <c r="L2078" i="36"/>
  <c r="L2079" i="36"/>
  <c r="L2080" i="36"/>
  <c r="L2081" i="36"/>
  <c r="L2082" i="36"/>
  <c r="L2083" i="36"/>
  <c r="L2084" i="36"/>
  <c r="L2085" i="36"/>
  <c r="L2086" i="36"/>
  <c r="L2087" i="36"/>
  <c r="L2088" i="36"/>
  <c r="L2089" i="36"/>
  <c r="L2090" i="36"/>
  <c r="L2091" i="36"/>
  <c r="L2092" i="36"/>
  <c r="L2093" i="36"/>
  <c r="L2094" i="36"/>
  <c r="L2095" i="36"/>
  <c r="L2096" i="36"/>
  <c r="L2097" i="36"/>
  <c r="L2098" i="36"/>
  <c r="L2099" i="36"/>
  <c r="L2100" i="36"/>
  <c r="L2101" i="36"/>
  <c r="L2102" i="36"/>
  <c r="L2103" i="36"/>
  <c r="L2104" i="36"/>
  <c r="L2105" i="36"/>
  <c r="L2106" i="36"/>
  <c r="L2107" i="36"/>
  <c r="L2108" i="36"/>
  <c r="L2109" i="36"/>
  <c r="L2110" i="36"/>
  <c r="L2111" i="36"/>
  <c r="L2112" i="36"/>
  <c r="L2113" i="36"/>
  <c r="L2114" i="36"/>
  <c r="L2115" i="36"/>
  <c r="L2116" i="36"/>
  <c r="L2117" i="36"/>
  <c r="L2118" i="36"/>
  <c r="L2119" i="36"/>
  <c r="L2120" i="36"/>
  <c r="L2121" i="36"/>
  <c r="L2122" i="36"/>
  <c r="AB2060" i="36"/>
  <c r="AB2061" i="36"/>
  <c r="AB2062" i="36"/>
  <c r="AB2063" i="36"/>
  <c r="AB2064" i="36"/>
  <c r="AB2065" i="36"/>
  <c r="AB2066" i="36"/>
  <c r="AB2067" i="36"/>
  <c r="AB2068" i="36"/>
  <c r="AB2069" i="36"/>
  <c r="AB2070" i="36"/>
  <c r="AB2071" i="36"/>
  <c r="AB2072" i="36"/>
  <c r="AB2073" i="36"/>
  <c r="AB2074" i="36"/>
  <c r="AB2075" i="36"/>
  <c r="AB2076" i="36"/>
  <c r="AB2077" i="36"/>
  <c r="AB2078" i="36"/>
  <c r="AB2079" i="36"/>
  <c r="AB2080" i="36"/>
  <c r="AB2081" i="36"/>
  <c r="AB2082" i="36"/>
  <c r="AB2083" i="36"/>
  <c r="AB2084" i="36"/>
  <c r="AB2085" i="36"/>
  <c r="AB2086" i="36"/>
  <c r="AB2087" i="36"/>
  <c r="AB2088" i="36"/>
  <c r="AB2089" i="36"/>
  <c r="AB2090" i="36"/>
  <c r="AB2091" i="36"/>
  <c r="AB2092" i="36"/>
  <c r="AB2093" i="36"/>
  <c r="AB2094" i="36"/>
  <c r="AB2095" i="36"/>
  <c r="AB2096" i="36"/>
  <c r="AB2097" i="36"/>
  <c r="AB2098" i="36"/>
  <c r="AB2099" i="36"/>
  <c r="AB2100" i="36"/>
  <c r="AB2101" i="36"/>
  <c r="AB2102" i="36"/>
  <c r="AB2103" i="36"/>
  <c r="AB2104" i="36"/>
  <c r="AB2105" i="36"/>
  <c r="AB2106" i="36"/>
  <c r="AB2107" i="36"/>
  <c r="AB2108" i="36"/>
  <c r="AB2109" i="36"/>
  <c r="AB2110" i="36"/>
  <c r="AB2111" i="36"/>
  <c r="AB2112" i="36"/>
  <c r="AB2113" i="36"/>
  <c r="AB2114" i="36"/>
  <c r="AB2115" i="36"/>
  <c r="AB2116" i="36"/>
  <c r="AB2117" i="36"/>
  <c r="AB2118" i="36"/>
  <c r="AB2119" i="36"/>
  <c r="AB2120" i="36"/>
  <c r="AB2121" i="36"/>
  <c r="AB2122" i="36"/>
  <c r="B1870" i="36"/>
  <c r="B2123" i="36"/>
  <c r="B2124" i="36"/>
  <c r="B2125" i="36"/>
  <c r="B2126" i="36"/>
  <c r="B2127" i="36"/>
  <c r="B2128" i="36"/>
  <c r="B2129" i="36"/>
  <c r="B2130" i="36"/>
  <c r="B2131" i="36"/>
  <c r="B2132" i="36"/>
  <c r="B2133" i="36"/>
  <c r="B2134" i="36"/>
  <c r="E1870" i="36"/>
  <c r="E2123" i="36"/>
  <c r="E2124" i="36"/>
  <c r="E2125" i="36"/>
  <c r="E2126" i="36"/>
  <c r="E2127" i="36"/>
  <c r="E2128" i="36"/>
  <c r="E2129" i="36"/>
  <c r="E2130" i="36"/>
  <c r="E2131" i="36"/>
  <c r="E2132" i="36"/>
  <c r="E2133" i="36"/>
  <c r="E2134" i="36"/>
  <c r="L1870" i="36"/>
  <c r="L2123" i="36"/>
  <c r="L2124" i="36"/>
  <c r="L2125" i="36"/>
  <c r="L2126" i="36"/>
  <c r="L2127" i="36"/>
  <c r="L2128" i="36"/>
  <c r="L2129" i="36"/>
  <c r="L2130" i="36"/>
  <c r="L2131" i="36"/>
  <c r="L2132" i="36"/>
  <c r="L2133" i="36"/>
  <c r="L2134" i="36"/>
  <c r="AB1870" i="36"/>
  <c r="AB2123" i="36"/>
  <c r="AB2124" i="36"/>
  <c r="AB2125" i="36"/>
  <c r="AB2126" i="36"/>
  <c r="AB2127" i="36"/>
  <c r="AB2128" i="36"/>
  <c r="AB2129" i="36"/>
  <c r="AB2130" i="36"/>
  <c r="AB2131" i="36"/>
  <c r="AB2132" i="36"/>
  <c r="AB2133" i="36"/>
  <c r="AB2134" i="36"/>
  <c r="B2135" i="36"/>
  <c r="B2136" i="36"/>
  <c r="B2137" i="36"/>
  <c r="B2138" i="36"/>
  <c r="B2139" i="36"/>
  <c r="B2140" i="36"/>
  <c r="B2141" i="36"/>
  <c r="B2142" i="36"/>
  <c r="B2143" i="36"/>
  <c r="B2144" i="36"/>
  <c r="B2145" i="36"/>
  <c r="B2146" i="36"/>
  <c r="B2147" i="36"/>
  <c r="E2135" i="36"/>
  <c r="E2136" i="36"/>
  <c r="E2137" i="36"/>
  <c r="E2138" i="36"/>
  <c r="E2139" i="36"/>
  <c r="E2140" i="36"/>
  <c r="E2141" i="36"/>
  <c r="E2142" i="36"/>
  <c r="E2143" i="36"/>
  <c r="E2144" i="36"/>
  <c r="E2145" i="36"/>
  <c r="E2146" i="36"/>
  <c r="E2147" i="36"/>
  <c r="L2135" i="36"/>
  <c r="L2136" i="36"/>
  <c r="L2137" i="36"/>
  <c r="L2138" i="36"/>
  <c r="L2139" i="36"/>
  <c r="L2140" i="36"/>
  <c r="L2141" i="36"/>
  <c r="L2142" i="36"/>
  <c r="L2143" i="36"/>
  <c r="L2144" i="36"/>
  <c r="L2145" i="36"/>
  <c r="L2146" i="36"/>
  <c r="L2147" i="36"/>
  <c r="AB2135" i="36"/>
  <c r="AB2136" i="36"/>
  <c r="AB2137" i="36"/>
  <c r="AB2138" i="36"/>
  <c r="AB2139" i="36"/>
  <c r="AB2140" i="36"/>
  <c r="AB2141" i="36"/>
  <c r="AB2142" i="36"/>
  <c r="AB2143" i="36"/>
  <c r="AB2144" i="36"/>
  <c r="AB2145" i="36"/>
  <c r="AB2146" i="36"/>
  <c r="AB2147" i="36"/>
  <c r="B2148" i="36"/>
  <c r="B2149" i="36"/>
  <c r="B2150" i="36"/>
  <c r="B2151" i="36"/>
  <c r="B2152" i="36"/>
  <c r="B2153" i="36"/>
  <c r="B2154" i="36"/>
  <c r="B2155" i="36"/>
  <c r="B2156" i="36"/>
  <c r="E2148" i="36"/>
  <c r="E2149" i="36"/>
  <c r="E2150" i="36"/>
  <c r="E2151" i="36"/>
  <c r="E2152" i="36"/>
  <c r="E2153" i="36"/>
  <c r="E2154" i="36"/>
  <c r="E2155" i="36"/>
  <c r="E2156" i="36"/>
  <c r="L2148" i="36"/>
  <c r="L2149" i="36"/>
  <c r="L2150" i="36"/>
  <c r="L2151" i="36"/>
  <c r="L2152" i="36"/>
  <c r="L2153" i="36"/>
  <c r="L2154" i="36"/>
  <c r="L2155" i="36"/>
  <c r="L2156" i="36"/>
  <c r="AB2148" i="36"/>
  <c r="AB2149" i="36"/>
  <c r="AB2150" i="36"/>
  <c r="AB2151" i="36"/>
  <c r="AB2152" i="36"/>
  <c r="AB2153" i="36"/>
  <c r="AB2154" i="36"/>
  <c r="AB2155" i="36"/>
  <c r="AB2156" i="36"/>
  <c r="B335" i="33"/>
  <c r="E335" i="33"/>
  <c r="L335" i="33"/>
  <c r="X335" i="33"/>
  <c r="B329" i="33"/>
  <c r="E329" i="33"/>
  <c r="L329" i="33"/>
  <c r="X329" i="33"/>
  <c r="B330" i="33"/>
  <c r="E330" i="33"/>
  <c r="L330" i="33"/>
  <c r="X330" i="33"/>
  <c r="B331" i="33"/>
  <c r="E331" i="33"/>
  <c r="L331" i="33"/>
  <c r="X331" i="33"/>
  <c r="B332" i="33"/>
  <c r="E332" i="33"/>
  <c r="L332" i="33"/>
  <c r="X332" i="33"/>
  <c r="B333" i="33"/>
  <c r="E333" i="33"/>
  <c r="L333" i="33"/>
  <c r="X333" i="33"/>
  <c r="B321" i="33"/>
  <c r="E321" i="33"/>
  <c r="L321" i="33"/>
  <c r="X321" i="33"/>
  <c r="B322" i="33"/>
  <c r="E322" i="33"/>
  <c r="L322" i="33"/>
  <c r="X322" i="33"/>
  <c r="B323" i="33"/>
  <c r="E323" i="33"/>
  <c r="L323" i="33"/>
  <c r="X323" i="33"/>
  <c r="B324" i="33"/>
  <c r="E324" i="33"/>
  <c r="L324" i="33"/>
  <c r="X324" i="33"/>
  <c r="B325" i="33"/>
  <c r="E325" i="33"/>
  <c r="L325" i="33"/>
  <c r="X325" i="33"/>
  <c r="B326" i="33"/>
  <c r="E326" i="33"/>
  <c r="L326" i="33"/>
  <c r="X326" i="33"/>
  <c r="B327" i="33"/>
  <c r="E327" i="33"/>
  <c r="L327" i="33"/>
  <c r="X327" i="33"/>
  <c r="B328" i="33"/>
  <c r="E328" i="33"/>
  <c r="L328" i="33"/>
  <c r="X328" i="33"/>
  <c r="B334" i="33"/>
  <c r="E334" i="33"/>
  <c r="L334" i="33"/>
  <c r="X334" i="33"/>
  <c r="S18" i="47" l="1"/>
  <c r="R18" i="47"/>
  <c r="S16" i="47"/>
  <c r="R16" i="47"/>
  <c r="S14" i="47"/>
  <c r="R14" i="47"/>
  <c r="S13" i="47"/>
  <c r="R13" i="47"/>
  <c r="L14" i="47"/>
  <c r="F12" i="47"/>
  <c r="G12" i="47"/>
  <c r="H12" i="47"/>
  <c r="I12" i="47"/>
  <c r="J12" i="47"/>
  <c r="J11" i="47"/>
  <c r="J15" i="47" s="1"/>
  <c r="J10" i="47"/>
  <c r="J8" i="47"/>
  <c r="J9" i="47"/>
  <c r="I11" i="47"/>
  <c r="I10" i="47"/>
  <c r="I8" i="47"/>
  <c r="I9" i="47"/>
  <c r="H10" i="47"/>
  <c r="H15" i="47"/>
  <c r="J17" i="47"/>
  <c r="J19" i="47" s="1"/>
  <c r="I17" i="47"/>
  <c r="I19" i="47" s="1"/>
  <c r="H17" i="47"/>
  <c r="H19" i="47" s="1"/>
  <c r="H20" i="47" s="1"/>
  <c r="I15" i="47"/>
  <c r="H9" i="47"/>
  <c r="H8" i="47"/>
  <c r="H11" i="47"/>
  <c r="G17" i="47"/>
  <c r="G19" i="47" s="1"/>
  <c r="G9" i="47"/>
  <c r="G8" i="47"/>
  <c r="F17" i="47"/>
  <c r="F19" i="47" s="1"/>
  <c r="F8" i="47"/>
  <c r="R5" i="47"/>
  <c r="J20" i="47" l="1"/>
  <c r="I20" i="47"/>
  <c r="G20" i="47"/>
  <c r="F20" i="47"/>
  <c r="B2" i="33" l="1"/>
  <c r="B3" i="33"/>
  <c r="B4" i="33"/>
  <c r="B5" i="33"/>
  <c r="B6" i="33"/>
  <c r="B7" i="33"/>
  <c r="B8" i="33"/>
  <c r="B9" i="33"/>
  <c r="B10" i="33"/>
  <c r="B11" i="33"/>
  <c r="B12" i="33"/>
  <c r="B13" i="33"/>
  <c r="B14" i="33"/>
  <c r="B15" i="33"/>
  <c r="B16" i="33"/>
  <c r="B17" i="33"/>
  <c r="B18" i="33"/>
  <c r="B19" i="33"/>
  <c r="B20" i="33"/>
  <c r="B21" i="33"/>
  <c r="B22" i="33"/>
  <c r="B23" i="33"/>
  <c r="B24" i="33"/>
  <c r="B25" i="33"/>
  <c r="B26" i="33"/>
  <c r="B27" i="33"/>
  <c r="B28" i="33"/>
  <c r="B29" i="33"/>
  <c r="B30" i="33"/>
  <c r="B31" i="33"/>
  <c r="B32" i="33"/>
  <c r="B33" i="33"/>
  <c r="B34" i="33"/>
  <c r="B35" i="33"/>
  <c r="B36" i="33"/>
  <c r="B37" i="33"/>
  <c r="B38" i="33"/>
  <c r="B39" i="33"/>
  <c r="B40" i="33"/>
  <c r="B41" i="33"/>
  <c r="B42" i="33"/>
  <c r="B43" i="33"/>
  <c r="B44" i="33"/>
  <c r="B45" i="33"/>
  <c r="B46" i="33"/>
  <c r="B47" i="33"/>
  <c r="B48" i="33"/>
  <c r="B49" i="33"/>
  <c r="B50" i="33"/>
  <c r="B51" i="33"/>
  <c r="B52" i="33"/>
  <c r="B53" i="33"/>
  <c r="B54" i="33"/>
  <c r="B55" i="33"/>
  <c r="B56" i="33"/>
  <c r="B57" i="33"/>
  <c r="B58" i="33"/>
  <c r="B59" i="33"/>
  <c r="B60" i="33"/>
  <c r="B61" i="33"/>
  <c r="B62" i="33"/>
  <c r="B63" i="33"/>
  <c r="B64" i="33"/>
  <c r="B65" i="33"/>
  <c r="B66" i="33"/>
  <c r="B67" i="33"/>
  <c r="B68" i="33"/>
  <c r="B69" i="33"/>
  <c r="B70" i="33"/>
  <c r="B71" i="33"/>
  <c r="B72" i="33"/>
  <c r="B73" i="33"/>
  <c r="B74" i="33"/>
  <c r="B75" i="33"/>
  <c r="B76" i="33"/>
  <c r="B77" i="33"/>
  <c r="B78" i="33"/>
  <c r="B79" i="33"/>
  <c r="B80" i="33"/>
  <c r="B81" i="33"/>
  <c r="B82" i="33"/>
  <c r="B83" i="33"/>
  <c r="B84" i="33"/>
  <c r="B85" i="33"/>
  <c r="B86" i="33"/>
  <c r="B87" i="33"/>
  <c r="B88" i="33"/>
  <c r="B89" i="33"/>
  <c r="B90" i="33"/>
  <c r="B91" i="33"/>
  <c r="B92" i="33"/>
  <c r="B93" i="33"/>
  <c r="B94" i="33"/>
  <c r="B95" i="33"/>
  <c r="B96" i="33"/>
  <c r="B97" i="33"/>
  <c r="B98" i="33"/>
  <c r="B99" i="33"/>
  <c r="B100" i="33"/>
  <c r="B101" i="33"/>
  <c r="B102" i="33"/>
  <c r="B103" i="33"/>
  <c r="B104" i="33"/>
  <c r="B105" i="33"/>
  <c r="B106" i="33"/>
  <c r="B107" i="33"/>
  <c r="B108" i="33"/>
  <c r="B109" i="33"/>
  <c r="B110" i="33"/>
  <c r="B111" i="33"/>
  <c r="B112" i="33"/>
  <c r="B113" i="33"/>
  <c r="B114" i="33"/>
  <c r="B115" i="33"/>
  <c r="B116" i="33"/>
  <c r="B117" i="33"/>
  <c r="B118" i="33"/>
  <c r="B119" i="33"/>
  <c r="B120" i="33"/>
  <c r="B121" i="33"/>
  <c r="B122" i="33"/>
  <c r="B123" i="33"/>
  <c r="B124" i="33"/>
  <c r="B125" i="33"/>
  <c r="B126" i="33"/>
  <c r="B127" i="33"/>
  <c r="B128" i="33"/>
  <c r="B129" i="33"/>
  <c r="B130" i="33"/>
  <c r="B131" i="33"/>
  <c r="B132" i="33"/>
  <c r="B133" i="33"/>
  <c r="B134" i="33"/>
  <c r="B135" i="33"/>
  <c r="B136" i="33"/>
  <c r="B137" i="33"/>
  <c r="B138" i="33"/>
  <c r="B139" i="33"/>
  <c r="B140" i="33"/>
  <c r="B141" i="33"/>
  <c r="B142" i="33"/>
  <c r="B143" i="33"/>
  <c r="B144" i="33"/>
  <c r="B145" i="33"/>
  <c r="B146" i="33"/>
  <c r="B147" i="33"/>
  <c r="B148" i="33"/>
  <c r="B149" i="33"/>
  <c r="B150" i="33"/>
  <c r="B151" i="33"/>
  <c r="B152" i="33"/>
  <c r="B153" i="33"/>
  <c r="B154" i="33"/>
  <c r="B155" i="33"/>
  <c r="B156" i="33"/>
  <c r="B157" i="33"/>
  <c r="B158" i="33"/>
  <c r="B159" i="33"/>
  <c r="B160" i="33"/>
  <c r="B161" i="33"/>
  <c r="B162" i="33"/>
  <c r="B163" i="33"/>
  <c r="B164" i="33"/>
  <c r="B165" i="33"/>
  <c r="B166" i="33"/>
  <c r="B167" i="33"/>
  <c r="B168" i="33"/>
  <c r="B169" i="33"/>
  <c r="B170" i="33"/>
  <c r="B171" i="33"/>
  <c r="B172" i="33"/>
  <c r="B173" i="33"/>
  <c r="B174" i="33"/>
  <c r="B175" i="33"/>
  <c r="B176" i="33"/>
  <c r="B177" i="33"/>
  <c r="B178" i="33"/>
  <c r="B179" i="33"/>
  <c r="B180" i="33"/>
  <c r="B181" i="33"/>
  <c r="B182" i="33"/>
  <c r="B183" i="33"/>
  <c r="B184" i="33"/>
  <c r="B185" i="33"/>
  <c r="B186" i="33"/>
  <c r="B187" i="33"/>
  <c r="B188" i="33"/>
  <c r="B189" i="33"/>
  <c r="B190" i="33"/>
  <c r="B191" i="33"/>
  <c r="B192" i="33"/>
  <c r="B193" i="33"/>
  <c r="B194" i="33"/>
  <c r="B195" i="33"/>
  <c r="B196" i="33"/>
  <c r="B197" i="33"/>
  <c r="B198" i="33"/>
  <c r="B199" i="33"/>
  <c r="B200" i="33"/>
  <c r="B201" i="33"/>
  <c r="B202" i="33"/>
  <c r="B203" i="33"/>
  <c r="B204" i="33"/>
  <c r="B205" i="33"/>
  <c r="B206" i="33"/>
  <c r="B207" i="33"/>
  <c r="B208" i="33"/>
  <c r="B209" i="33"/>
  <c r="B210" i="33"/>
  <c r="B211" i="33"/>
  <c r="B212" i="33"/>
  <c r="B213" i="33"/>
  <c r="B214" i="33"/>
  <c r="B215" i="33"/>
  <c r="B216" i="33"/>
  <c r="B217" i="33"/>
  <c r="B218" i="33"/>
  <c r="B219" i="33"/>
  <c r="B220" i="33"/>
  <c r="B221" i="33"/>
  <c r="B222" i="33"/>
  <c r="B223" i="33"/>
  <c r="B224" i="33"/>
  <c r="B225" i="33"/>
  <c r="B226" i="33"/>
  <c r="B227" i="33"/>
  <c r="B228" i="33"/>
  <c r="B229" i="33"/>
  <c r="B230" i="33"/>
  <c r="B231" i="33"/>
  <c r="B232" i="33"/>
  <c r="B233" i="33"/>
  <c r="B234" i="33"/>
  <c r="B235" i="33"/>
  <c r="B236" i="33"/>
  <c r="B237" i="33"/>
  <c r="B238" i="33"/>
  <c r="B239" i="33"/>
  <c r="B240" i="33"/>
  <c r="B241" i="33"/>
  <c r="B242" i="33"/>
  <c r="B243" i="33"/>
  <c r="B244" i="33"/>
  <c r="B245" i="33"/>
  <c r="B246" i="33"/>
  <c r="B247" i="33"/>
  <c r="B248" i="33"/>
  <c r="B249" i="33"/>
  <c r="B250" i="33"/>
  <c r="B251" i="33"/>
  <c r="B252" i="33"/>
  <c r="B253" i="33"/>
  <c r="B254" i="33"/>
  <c r="B255" i="33"/>
  <c r="B256" i="33"/>
  <c r="B257" i="33"/>
  <c r="B258" i="33"/>
  <c r="B259" i="33"/>
  <c r="B260" i="33"/>
  <c r="B261" i="33"/>
  <c r="B262" i="33"/>
  <c r="B263" i="33"/>
  <c r="B264" i="33"/>
  <c r="B265" i="33"/>
  <c r="B266" i="33"/>
  <c r="B267" i="33"/>
  <c r="B268" i="33"/>
  <c r="B269" i="33"/>
  <c r="B270" i="33"/>
  <c r="B271" i="33"/>
  <c r="B272" i="33"/>
  <c r="B273" i="33"/>
  <c r="B274" i="33"/>
  <c r="B275" i="33"/>
  <c r="B276" i="33"/>
  <c r="B277" i="33"/>
  <c r="B278" i="33"/>
  <c r="B279" i="33"/>
  <c r="B280" i="33"/>
  <c r="B281" i="33"/>
  <c r="B282" i="33"/>
  <c r="B283" i="33"/>
  <c r="B284" i="33"/>
  <c r="B285" i="33"/>
  <c r="B286" i="33"/>
  <c r="B287" i="33"/>
  <c r="B288" i="33"/>
  <c r="B289" i="33"/>
  <c r="B290" i="33"/>
  <c r="B291" i="33"/>
  <c r="B292" i="33"/>
  <c r="B293" i="33"/>
  <c r="B294" i="33"/>
  <c r="B295" i="33"/>
  <c r="B296" i="33"/>
  <c r="B297" i="33"/>
  <c r="B298" i="33"/>
  <c r="B299" i="33"/>
  <c r="B300" i="33"/>
  <c r="B301" i="33"/>
  <c r="B302" i="33"/>
  <c r="B303" i="33"/>
  <c r="B304" i="33"/>
  <c r="B305" i="33"/>
  <c r="B306" i="33"/>
  <c r="B307" i="33"/>
  <c r="B308" i="33"/>
  <c r="B309" i="33"/>
  <c r="B310" i="33"/>
  <c r="B311" i="33"/>
  <c r="B312" i="33"/>
  <c r="B313" i="33"/>
  <c r="B314" i="33"/>
  <c r="B315" i="33"/>
  <c r="B316" i="33"/>
  <c r="B317" i="33"/>
  <c r="B318" i="33"/>
  <c r="B319" i="33"/>
  <c r="B320" i="33"/>
  <c r="T2828" i="36"/>
  <c r="B1865" i="36"/>
  <c r="E1865" i="36"/>
  <c r="L1865" i="36"/>
  <c r="AB1865" i="36"/>
  <c r="B1866" i="36"/>
  <c r="E1866" i="36"/>
  <c r="L1866" i="36"/>
  <c r="AB1866" i="36"/>
  <c r="B1867" i="36"/>
  <c r="E1867" i="36"/>
  <c r="L1867" i="36"/>
  <c r="AB1867" i="36"/>
  <c r="B1868" i="36"/>
  <c r="E1868" i="36"/>
  <c r="L1868" i="36"/>
  <c r="AB1868" i="36"/>
  <c r="B1869" i="36"/>
  <c r="E1869" i="36"/>
  <c r="L1869" i="36"/>
  <c r="AB1869" i="36"/>
  <c r="B1855" i="36"/>
  <c r="E1855" i="36"/>
  <c r="L1855" i="36"/>
  <c r="AB1855" i="36"/>
  <c r="B1854" i="36"/>
  <c r="E1854" i="36"/>
  <c r="L1854" i="36"/>
  <c r="AB1854" i="36"/>
  <c r="B1856" i="36"/>
  <c r="E1856" i="36"/>
  <c r="L1856" i="36"/>
  <c r="AB1856" i="36"/>
  <c r="B1857" i="36"/>
  <c r="E1857" i="36"/>
  <c r="L1857" i="36"/>
  <c r="AB1857" i="36"/>
  <c r="B1862" i="36"/>
  <c r="E1862" i="36"/>
  <c r="L1862" i="36"/>
  <c r="AB1862" i="36"/>
  <c r="B1863" i="36"/>
  <c r="E1863" i="36"/>
  <c r="L1863" i="36"/>
  <c r="AB1863" i="36"/>
  <c r="B1864" i="36"/>
  <c r="E1864" i="36"/>
  <c r="L1864" i="36"/>
  <c r="AB1864" i="36"/>
  <c r="B1848" i="36"/>
  <c r="E1848" i="36"/>
  <c r="L1848" i="36"/>
  <c r="AB1848" i="36"/>
  <c r="B1849" i="36"/>
  <c r="E1849" i="36"/>
  <c r="L1849" i="36"/>
  <c r="AB1849" i="36"/>
  <c r="B1850" i="36"/>
  <c r="E1850" i="36"/>
  <c r="L1850" i="36"/>
  <c r="AB1850" i="36"/>
  <c r="B1851" i="36"/>
  <c r="E1851" i="36"/>
  <c r="L1851" i="36"/>
  <c r="AB1851" i="36"/>
  <c r="B1852" i="36"/>
  <c r="E1852" i="36"/>
  <c r="L1852" i="36"/>
  <c r="AB1852" i="36"/>
  <c r="B1853" i="36"/>
  <c r="E1853" i="36"/>
  <c r="L1853" i="36"/>
  <c r="AB1853" i="36"/>
  <c r="B1858" i="36"/>
  <c r="E1858" i="36"/>
  <c r="L1858" i="36"/>
  <c r="AB1858" i="36"/>
  <c r="B1859" i="36"/>
  <c r="E1859" i="36"/>
  <c r="L1859" i="36"/>
  <c r="AB1859" i="36"/>
  <c r="B1860" i="36"/>
  <c r="E1860" i="36"/>
  <c r="L1860" i="36"/>
  <c r="AB1860" i="36"/>
  <c r="B1861" i="36"/>
  <c r="E1861" i="36"/>
  <c r="L1861" i="36"/>
  <c r="AB1861" i="36"/>
  <c r="E317" i="33"/>
  <c r="L317" i="33"/>
  <c r="X317" i="33"/>
  <c r="E318" i="33"/>
  <c r="L318" i="33"/>
  <c r="X318" i="33"/>
  <c r="E319" i="33"/>
  <c r="L319" i="33"/>
  <c r="X319" i="33"/>
  <c r="E320" i="33"/>
  <c r="L320" i="33"/>
  <c r="X320" i="33"/>
  <c r="E261" i="33"/>
  <c r="E262" i="33"/>
  <c r="E263" i="33"/>
  <c r="E264" i="33"/>
  <c r="E265" i="33"/>
  <c r="E266" i="33"/>
  <c r="E267" i="33"/>
  <c r="E268" i="33"/>
  <c r="E269" i="33"/>
  <c r="L261" i="33"/>
  <c r="L262" i="33"/>
  <c r="L263" i="33"/>
  <c r="L264" i="33"/>
  <c r="L265" i="33"/>
  <c r="L266" i="33"/>
  <c r="L267" i="33"/>
  <c r="L268" i="33"/>
  <c r="L269" i="33"/>
  <c r="X261" i="33"/>
  <c r="X262" i="33"/>
  <c r="X263" i="33"/>
  <c r="X264" i="33"/>
  <c r="X265" i="33"/>
  <c r="X266" i="33"/>
  <c r="X267" i="33"/>
  <c r="X268" i="33"/>
  <c r="X269" i="33"/>
  <c r="E270" i="33"/>
  <c r="E271" i="33"/>
  <c r="E272" i="33"/>
  <c r="E273" i="33"/>
  <c r="E274" i="33"/>
  <c r="E275" i="33"/>
  <c r="E276" i="33"/>
  <c r="E277" i="33"/>
  <c r="E278" i="33"/>
  <c r="L270" i="33"/>
  <c r="L271" i="33"/>
  <c r="L272" i="33"/>
  <c r="L273" i="33"/>
  <c r="L274" i="33"/>
  <c r="L275" i="33"/>
  <c r="L276" i="33"/>
  <c r="L277" i="33"/>
  <c r="L278" i="33"/>
  <c r="X270" i="33"/>
  <c r="X271" i="33"/>
  <c r="X272" i="33"/>
  <c r="X273" i="33"/>
  <c r="X274" i="33"/>
  <c r="X275" i="33"/>
  <c r="X276" i="33"/>
  <c r="X277" i="33"/>
  <c r="X278" i="33"/>
  <c r="E279" i="33"/>
  <c r="E280" i="33"/>
  <c r="E281" i="33"/>
  <c r="E282" i="33"/>
  <c r="E283" i="33"/>
  <c r="E284" i="33"/>
  <c r="E285" i="33"/>
  <c r="E286" i="33"/>
  <c r="E287" i="33"/>
  <c r="L279" i="33"/>
  <c r="L280" i="33"/>
  <c r="L281" i="33"/>
  <c r="L282" i="33"/>
  <c r="L283" i="33"/>
  <c r="L284" i="33"/>
  <c r="L285" i="33"/>
  <c r="L286" i="33"/>
  <c r="L287" i="33"/>
  <c r="X279" i="33"/>
  <c r="X280" i="33"/>
  <c r="X281" i="33"/>
  <c r="X282" i="33"/>
  <c r="X283" i="33"/>
  <c r="X284" i="33"/>
  <c r="X285" i="33"/>
  <c r="X286" i="33"/>
  <c r="X287" i="33"/>
  <c r="E288" i="33"/>
  <c r="E289" i="33"/>
  <c r="E290" i="33"/>
  <c r="E291" i="33"/>
  <c r="E292" i="33"/>
  <c r="E293" i="33"/>
  <c r="E294" i="33"/>
  <c r="E295" i="33"/>
  <c r="E296" i="33"/>
  <c r="L288" i="33"/>
  <c r="L289" i="33"/>
  <c r="L290" i="33"/>
  <c r="L291" i="33"/>
  <c r="L292" i="33"/>
  <c r="L293" i="33"/>
  <c r="L294" i="33"/>
  <c r="L295" i="33"/>
  <c r="L296" i="33"/>
  <c r="X288" i="33"/>
  <c r="X289" i="33"/>
  <c r="X290" i="33"/>
  <c r="X291" i="33"/>
  <c r="X292" i="33"/>
  <c r="X293" i="33"/>
  <c r="X294" i="33"/>
  <c r="X295" i="33"/>
  <c r="X296" i="33"/>
  <c r="E297" i="33"/>
  <c r="E298" i="33"/>
  <c r="E299" i="33"/>
  <c r="E300" i="33"/>
  <c r="E301" i="33"/>
  <c r="E302" i="33"/>
  <c r="E303" i="33"/>
  <c r="E304" i="33"/>
  <c r="E305" i="33"/>
  <c r="L297" i="33"/>
  <c r="L298" i="33"/>
  <c r="L299" i="33"/>
  <c r="L300" i="33"/>
  <c r="L301" i="33"/>
  <c r="L302" i="33"/>
  <c r="L303" i="33"/>
  <c r="L304" i="33"/>
  <c r="L305" i="33"/>
  <c r="X297" i="33"/>
  <c r="X298" i="33"/>
  <c r="X299" i="33"/>
  <c r="X300" i="33"/>
  <c r="X301" i="33"/>
  <c r="X302" i="33"/>
  <c r="X303" i="33"/>
  <c r="X304" i="33"/>
  <c r="X305" i="33"/>
  <c r="E306" i="33"/>
  <c r="E307" i="33"/>
  <c r="E308" i="33"/>
  <c r="E309" i="33"/>
  <c r="E310" i="33"/>
  <c r="E311" i="33"/>
  <c r="E312" i="33"/>
  <c r="E313" i="33"/>
  <c r="E314" i="33"/>
  <c r="L306" i="33"/>
  <c r="L307" i="33"/>
  <c r="L308" i="33"/>
  <c r="L309" i="33"/>
  <c r="L310" i="33"/>
  <c r="L311" i="33"/>
  <c r="L312" i="33"/>
  <c r="L313" i="33"/>
  <c r="L314" i="33"/>
  <c r="X306" i="33"/>
  <c r="X307" i="33"/>
  <c r="X308" i="33"/>
  <c r="X309" i="33"/>
  <c r="X310" i="33"/>
  <c r="X311" i="33"/>
  <c r="X312" i="33"/>
  <c r="X313" i="33"/>
  <c r="X314" i="33"/>
  <c r="E316" i="33"/>
  <c r="L316" i="33"/>
  <c r="X316" i="33"/>
  <c r="E315" i="33"/>
  <c r="L315" i="33"/>
  <c r="X315" i="33"/>
  <c r="B1840" i="36"/>
  <c r="B1839" i="36"/>
  <c r="B1838" i="36"/>
  <c r="B1837" i="36"/>
  <c r="B1836" i="36"/>
  <c r="B1835" i="36"/>
  <c r="B1834" i="36"/>
  <c r="B1833" i="36"/>
  <c r="B1832" i="36"/>
  <c r="B1831" i="36"/>
  <c r="B1830" i="36"/>
  <c r="B1829" i="36"/>
  <c r="B1828" i="36"/>
  <c r="B1827" i="36"/>
  <c r="B1826" i="36"/>
  <c r="B1825" i="36"/>
  <c r="B1824" i="36"/>
  <c r="B1823" i="36"/>
  <c r="B1822" i="36"/>
  <c r="B1821" i="36"/>
  <c r="B1820" i="36"/>
  <c r="B1819" i="36"/>
  <c r="B1818" i="36"/>
  <c r="B1817" i="36"/>
  <c r="B1816" i="36"/>
  <c r="B1815" i="36"/>
  <c r="B1814" i="36"/>
  <c r="B1813" i="36"/>
  <c r="B1812" i="36"/>
  <c r="B1811" i="36"/>
  <c r="B1810" i="36"/>
  <c r="B1809" i="36"/>
  <c r="B1808" i="36"/>
  <c r="B1807" i="36"/>
  <c r="B1806" i="36"/>
  <c r="B1805" i="36"/>
  <c r="B1804" i="36"/>
  <c r="B1803" i="36"/>
  <c r="B1802" i="36"/>
  <c r="B1801" i="36"/>
  <c r="B1800" i="36"/>
  <c r="B1799" i="36"/>
  <c r="B1798" i="36"/>
  <c r="B1797" i="36"/>
  <c r="B1796" i="36"/>
  <c r="B1795" i="36"/>
  <c r="B1794" i="36"/>
  <c r="B1793" i="36"/>
  <c r="B1792" i="36"/>
  <c r="B1791" i="36"/>
  <c r="B1790" i="36"/>
  <c r="B1789" i="36"/>
  <c r="B1788" i="36"/>
  <c r="B1787" i="36"/>
  <c r="B1786" i="36"/>
  <c r="B1785" i="36"/>
  <c r="B1784" i="36"/>
  <c r="B1783" i="36"/>
  <c r="B1782" i="36"/>
  <c r="B1781" i="36"/>
  <c r="B1780" i="36"/>
  <c r="B1779" i="36"/>
  <c r="B1778" i="36"/>
  <c r="B1777" i="36"/>
  <c r="B1776" i="36"/>
  <c r="B1775" i="36"/>
  <c r="B1774" i="36"/>
  <c r="B1773" i="36"/>
  <c r="B1772" i="36"/>
  <c r="B1771" i="36"/>
  <c r="B1770" i="36"/>
  <c r="B1769" i="36"/>
  <c r="B1768" i="36"/>
  <c r="B1767" i="36"/>
  <c r="B1766" i="36"/>
  <c r="B1765" i="36"/>
  <c r="B1764" i="36"/>
  <c r="B1763" i="36"/>
  <c r="B1762" i="36"/>
  <c r="B1761" i="36"/>
  <c r="B1760" i="36"/>
  <c r="B1759" i="36"/>
  <c r="B1758" i="36"/>
  <c r="B1757" i="36"/>
  <c r="B1756" i="36"/>
  <c r="B1755" i="36"/>
  <c r="B1754" i="36"/>
  <c r="B1753" i="36"/>
  <c r="B1752" i="36"/>
  <c r="B1751" i="36"/>
  <c r="B1750" i="36"/>
  <c r="B1749" i="36"/>
  <c r="B1748" i="36"/>
  <c r="B1747" i="36"/>
  <c r="B1746" i="36"/>
  <c r="B1745" i="36"/>
  <c r="B1744" i="36"/>
  <c r="B1743" i="36"/>
  <c r="B1742" i="36"/>
  <c r="B1741" i="36"/>
  <c r="B1740" i="36"/>
  <c r="B1739" i="36"/>
  <c r="B1738" i="36"/>
  <c r="B1737" i="36"/>
  <c r="B1736" i="36"/>
  <c r="B1735" i="36"/>
  <c r="B1734" i="36"/>
  <c r="B1733" i="36"/>
  <c r="B1732" i="36"/>
  <c r="B1731" i="36"/>
  <c r="B1730" i="36"/>
  <c r="B1729" i="36"/>
  <c r="B1728" i="36"/>
  <c r="B1727" i="36"/>
  <c r="B1726" i="36"/>
  <c r="B1725" i="36"/>
  <c r="B1724" i="36"/>
  <c r="B1723" i="36"/>
  <c r="B1722" i="36"/>
  <c r="B1721" i="36"/>
  <c r="B1720" i="36"/>
  <c r="B1719" i="36"/>
  <c r="B1718" i="36"/>
  <c r="B1717" i="36"/>
  <c r="B1716" i="36"/>
  <c r="B1715" i="36"/>
  <c r="B1714" i="36"/>
  <c r="B1713" i="36"/>
  <c r="B1712" i="36"/>
  <c r="B1711" i="36"/>
  <c r="B1710" i="36"/>
  <c r="B1709" i="36"/>
  <c r="B1708" i="36"/>
  <c r="B1707" i="36"/>
  <c r="B1706" i="36"/>
  <c r="B1705" i="36"/>
  <c r="B1704" i="36"/>
  <c r="B1703" i="36"/>
  <c r="B1702" i="36"/>
  <c r="B1701" i="36"/>
  <c r="B1700" i="36"/>
  <c r="B1699" i="36"/>
  <c r="B1698" i="36"/>
  <c r="B1697" i="36"/>
  <c r="B1696" i="36"/>
  <c r="B1695" i="36"/>
  <c r="B1694" i="36"/>
  <c r="B1693" i="36"/>
  <c r="B1692" i="36"/>
  <c r="B1691" i="36"/>
  <c r="B1690" i="36"/>
  <c r="B1689" i="36"/>
  <c r="B1688" i="36"/>
  <c r="B1687" i="36"/>
  <c r="B1686" i="36"/>
  <c r="B1685" i="36"/>
  <c r="B1684" i="36"/>
  <c r="B1683" i="36"/>
  <c r="B1682" i="36"/>
  <c r="B1681" i="36"/>
  <c r="B1680" i="36"/>
  <c r="B1679" i="36"/>
  <c r="B1678" i="36"/>
  <c r="B1677" i="36"/>
  <c r="B1676" i="36"/>
  <c r="B1675" i="36"/>
  <c r="B1674" i="36"/>
  <c r="B1673" i="36"/>
  <c r="B1672" i="36"/>
  <c r="B1671" i="36"/>
  <c r="B1670" i="36"/>
  <c r="B1669" i="36"/>
  <c r="B1668" i="36"/>
  <c r="B1667" i="36"/>
  <c r="B1666" i="36"/>
  <c r="B1665" i="36"/>
  <c r="B1664" i="36"/>
  <c r="B1663" i="36"/>
  <c r="B1662" i="36"/>
  <c r="B1661" i="36"/>
  <c r="B1660" i="36"/>
  <c r="B1659" i="36"/>
  <c r="B1658" i="36"/>
  <c r="B1657" i="36"/>
  <c r="B1656" i="36"/>
  <c r="B1655" i="36"/>
  <c r="B1654" i="36"/>
  <c r="B1653" i="36"/>
  <c r="B1652" i="36"/>
  <c r="B1651" i="36"/>
  <c r="B1650" i="36"/>
  <c r="B1649" i="36"/>
  <c r="B1648" i="36"/>
  <c r="B1647" i="36"/>
  <c r="B1646" i="36"/>
  <c r="B1645" i="36"/>
  <c r="B1644" i="36"/>
  <c r="B1643" i="36"/>
  <c r="B1642" i="36"/>
  <c r="B1641" i="36"/>
  <c r="B1640" i="36"/>
  <c r="B1639" i="36"/>
  <c r="B1638" i="36"/>
  <c r="B1637" i="36"/>
  <c r="B1636" i="36"/>
  <c r="B1635" i="36"/>
  <c r="B1634" i="36"/>
  <c r="B1633" i="36"/>
  <c r="B1632" i="36"/>
  <c r="B1631" i="36"/>
  <c r="B1630" i="36"/>
  <c r="B1629" i="36"/>
  <c r="B1628" i="36"/>
  <c r="B1627" i="36"/>
  <c r="B1626" i="36"/>
  <c r="B1625" i="36"/>
  <c r="B1624" i="36"/>
  <c r="B1623" i="36"/>
  <c r="B1622" i="36"/>
  <c r="B1621" i="36"/>
  <c r="B1620" i="36"/>
  <c r="B1619" i="36"/>
  <c r="B1618" i="36"/>
  <c r="B1617" i="36"/>
  <c r="B1616" i="36"/>
  <c r="B1615" i="36"/>
  <c r="B1614" i="36"/>
  <c r="B1613" i="36"/>
  <c r="B1612" i="36"/>
  <c r="B1611" i="36"/>
  <c r="B1610" i="36"/>
  <c r="B1609" i="36"/>
  <c r="B1608" i="36"/>
  <c r="B1607" i="36"/>
  <c r="B1606" i="36"/>
  <c r="B1605" i="36"/>
  <c r="B1604" i="36"/>
  <c r="B1603" i="36"/>
  <c r="B1602" i="36"/>
  <c r="B1601" i="36"/>
  <c r="B1600" i="36"/>
  <c r="B1599" i="36"/>
  <c r="B1598" i="36"/>
  <c r="B1597" i="36"/>
  <c r="B1596" i="36"/>
  <c r="B1595" i="36"/>
  <c r="B1594" i="36"/>
  <c r="B1593" i="36"/>
  <c r="B1592" i="36"/>
  <c r="B1591" i="36"/>
  <c r="B1590" i="36"/>
  <c r="B1589" i="36"/>
  <c r="B1588" i="36"/>
  <c r="B1587" i="36"/>
  <c r="B1586" i="36"/>
  <c r="B1585" i="36"/>
  <c r="B1584" i="36"/>
  <c r="B1583" i="36"/>
  <c r="B1582" i="36"/>
  <c r="B1581" i="36"/>
  <c r="B1580" i="36"/>
  <c r="B1579" i="36"/>
  <c r="B1578" i="36"/>
  <c r="B1577" i="36"/>
  <c r="B1576" i="36"/>
  <c r="B1575" i="36"/>
  <c r="B1574" i="36"/>
  <c r="B1573" i="36"/>
  <c r="B1572" i="36"/>
  <c r="B1571" i="36"/>
  <c r="B1570" i="36"/>
  <c r="B1569" i="36"/>
  <c r="B1568" i="36"/>
  <c r="B1567" i="36"/>
  <c r="B1566" i="36"/>
  <c r="B1565" i="36"/>
  <c r="B1564" i="36"/>
  <c r="B1563" i="36"/>
  <c r="B1562" i="36"/>
  <c r="B1561" i="36"/>
  <c r="B1560" i="36"/>
  <c r="B1559" i="36"/>
  <c r="B1558" i="36"/>
  <c r="B1557" i="36"/>
  <c r="B1556" i="36"/>
  <c r="B1555" i="36"/>
  <c r="B1554" i="36"/>
  <c r="B1553" i="36"/>
  <c r="B1552" i="36"/>
  <c r="B1551" i="36"/>
  <c r="B1550" i="36"/>
  <c r="B1549" i="36"/>
  <c r="B1548" i="36"/>
  <c r="B1547" i="36"/>
  <c r="B1546" i="36"/>
  <c r="B1545" i="36"/>
  <c r="B1544" i="36"/>
  <c r="B1543" i="36"/>
  <c r="B1542" i="36"/>
  <c r="B1541" i="36"/>
  <c r="B1540" i="36"/>
  <c r="B1539" i="36"/>
  <c r="B1538" i="36"/>
  <c r="B1537" i="36"/>
  <c r="B1536" i="36"/>
  <c r="B1535" i="36"/>
  <c r="B1534" i="36"/>
  <c r="B1533" i="36"/>
  <c r="B1532" i="36"/>
  <c r="B1531" i="36"/>
  <c r="B1530" i="36"/>
  <c r="B1529" i="36"/>
  <c r="B1528" i="36"/>
  <c r="B1527" i="36"/>
  <c r="B1526" i="36"/>
  <c r="B1525" i="36"/>
  <c r="B1524" i="36"/>
  <c r="B1523" i="36"/>
  <c r="B1522" i="36"/>
  <c r="B1521" i="36"/>
  <c r="B1520" i="36"/>
  <c r="B1519" i="36"/>
  <c r="B1518" i="36"/>
  <c r="B1517" i="36"/>
  <c r="B1516" i="36"/>
  <c r="B1515" i="36"/>
  <c r="B1514" i="36"/>
  <c r="B1513" i="36"/>
  <c r="B1512" i="36"/>
  <c r="B1511" i="36"/>
  <c r="B1510" i="36"/>
  <c r="B1509" i="36"/>
  <c r="B1508" i="36"/>
  <c r="B1507" i="36"/>
  <c r="B1506" i="36"/>
  <c r="B1505" i="36"/>
  <c r="B1504" i="36"/>
  <c r="B1503" i="36"/>
  <c r="B1502" i="36"/>
  <c r="B1501" i="36"/>
  <c r="B1500" i="36"/>
  <c r="B1499" i="36"/>
  <c r="B1498" i="36"/>
  <c r="B1497" i="36"/>
  <c r="B1496" i="36"/>
  <c r="B1495" i="36"/>
  <c r="B1494" i="36"/>
  <c r="B1493" i="36"/>
  <c r="B1492" i="36"/>
  <c r="B1491" i="36"/>
  <c r="B1490" i="36"/>
  <c r="B1489" i="36"/>
  <c r="B1488" i="36"/>
  <c r="B1487" i="36"/>
  <c r="B1486" i="36"/>
  <c r="B1485" i="36"/>
  <c r="B1484" i="36"/>
  <c r="B1483" i="36"/>
  <c r="B1482" i="36"/>
  <c r="B1481" i="36"/>
  <c r="B1480" i="36"/>
  <c r="B1479" i="36"/>
  <c r="B1478" i="36"/>
  <c r="B1477" i="36"/>
  <c r="B1476" i="36"/>
  <c r="B1475" i="36"/>
  <c r="B1474" i="36"/>
  <c r="B1473" i="36"/>
  <c r="B1472" i="36"/>
  <c r="B1471" i="36"/>
  <c r="B1470" i="36"/>
  <c r="B1469" i="36"/>
  <c r="B1468" i="36"/>
  <c r="B1467" i="36"/>
  <c r="B1466" i="36"/>
  <c r="B1465" i="36"/>
  <c r="B1464" i="36"/>
  <c r="B1463" i="36"/>
  <c r="B1462" i="36"/>
  <c r="B1461" i="36"/>
  <c r="B1460" i="36"/>
  <c r="B1459" i="36"/>
  <c r="B1458" i="36"/>
  <c r="B1457" i="36"/>
  <c r="B1456" i="36"/>
  <c r="B1455" i="36"/>
  <c r="B1454" i="36"/>
  <c r="B1453" i="36"/>
  <c r="B1452" i="36"/>
  <c r="B1451" i="36"/>
  <c r="B1450" i="36"/>
  <c r="B1449" i="36"/>
  <c r="B1448" i="36"/>
  <c r="B1447" i="36"/>
  <c r="B1446" i="36"/>
  <c r="B1445" i="36"/>
  <c r="B1444" i="36"/>
  <c r="B1443" i="36"/>
  <c r="B1442" i="36"/>
  <c r="B1441" i="36"/>
  <c r="B1440" i="36"/>
  <c r="B1439" i="36"/>
  <c r="B1438" i="36"/>
  <c r="B1437" i="36"/>
  <c r="B1436" i="36"/>
  <c r="B1435" i="36"/>
  <c r="B1434" i="36"/>
  <c r="B1433" i="36"/>
  <c r="B1432" i="36"/>
  <c r="B1431" i="36"/>
  <c r="B1430" i="36"/>
  <c r="B1429" i="36"/>
  <c r="B1428" i="36"/>
  <c r="B1427" i="36"/>
  <c r="B1426" i="36"/>
  <c r="B1425" i="36"/>
  <c r="B1424" i="36"/>
  <c r="B1423" i="36"/>
  <c r="B1422" i="36"/>
  <c r="B1421" i="36"/>
  <c r="B1420" i="36"/>
  <c r="B1419" i="36"/>
  <c r="B1418" i="36"/>
  <c r="B1417" i="36"/>
  <c r="B1416" i="36"/>
  <c r="B1415" i="36"/>
  <c r="B1414" i="36"/>
  <c r="B1413" i="36"/>
  <c r="B1412" i="36"/>
  <c r="B1411" i="36"/>
  <c r="B1410" i="36"/>
  <c r="B1409" i="36"/>
  <c r="B1408" i="36"/>
  <c r="B1407" i="36"/>
  <c r="B1406" i="36"/>
  <c r="B1405" i="36"/>
  <c r="B1404" i="36"/>
  <c r="B1403" i="36"/>
  <c r="B1402" i="36"/>
  <c r="B1401" i="36"/>
  <c r="B1400" i="36"/>
  <c r="B1399" i="36"/>
  <c r="B1398" i="36"/>
  <c r="B1397" i="36"/>
  <c r="B1396" i="36"/>
  <c r="B1395" i="36"/>
  <c r="B1394" i="36"/>
  <c r="B1393" i="36"/>
  <c r="B1392" i="36"/>
  <c r="B1391" i="36"/>
  <c r="B1390" i="36"/>
  <c r="B1389" i="36"/>
  <c r="B1388" i="36"/>
  <c r="B1387" i="36"/>
  <c r="B1386" i="36"/>
  <c r="B1385" i="36"/>
  <c r="B1384" i="36"/>
  <c r="B1383" i="36"/>
  <c r="B1382" i="36"/>
  <c r="B1381" i="36"/>
  <c r="B1380" i="36"/>
  <c r="B1379" i="36"/>
  <c r="B1378" i="36"/>
  <c r="B1377" i="36"/>
  <c r="B1376" i="36"/>
  <c r="B1375" i="36"/>
  <c r="B1374" i="36"/>
  <c r="B1373" i="36"/>
  <c r="B1372" i="36"/>
  <c r="B1371" i="36"/>
  <c r="B1370" i="36"/>
  <c r="B1369" i="36"/>
  <c r="B1368" i="36"/>
  <c r="B1367" i="36"/>
  <c r="B1366" i="36"/>
  <c r="B1365" i="36"/>
  <c r="B1364" i="36"/>
  <c r="B1363" i="36"/>
  <c r="B1362" i="36"/>
  <c r="B1361" i="36"/>
  <c r="B1360" i="36"/>
  <c r="B1359" i="36"/>
  <c r="B1358" i="36"/>
  <c r="B1357" i="36"/>
  <c r="B1356" i="36"/>
  <c r="B1355" i="36"/>
  <c r="B1354" i="36"/>
  <c r="B1353" i="36"/>
  <c r="B1352" i="36"/>
  <c r="B1351" i="36"/>
  <c r="B1350" i="36"/>
  <c r="B1349" i="36"/>
  <c r="B1348" i="36"/>
  <c r="B1347" i="36"/>
  <c r="B1346" i="36"/>
  <c r="B1345" i="36"/>
  <c r="B1344" i="36"/>
  <c r="B1343" i="36"/>
  <c r="B1342" i="36"/>
  <c r="B1341" i="36"/>
  <c r="B1340" i="36"/>
  <c r="B1339" i="36"/>
  <c r="B1338" i="36"/>
  <c r="B1337" i="36"/>
  <c r="B1336" i="36"/>
  <c r="B1335" i="36"/>
  <c r="B1334" i="36"/>
  <c r="B1333" i="36"/>
  <c r="B1332" i="36"/>
  <c r="B1331" i="36"/>
  <c r="B1330" i="36"/>
  <c r="B1329" i="36"/>
  <c r="B1328" i="36"/>
  <c r="B1327" i="36"/>
  <c r="B1326" i="36"/>
  <c r="B1325" i="36"/>
  <c r="B1324" i="36"/>
  <c r="B1323" i="36"/>
  <c r="B1322" i="36"/>
  <c r="B1321" i="36"/>
  <c r="B1320" i="36"/>
  <c r="B1319" i="36"/>
  <c r="B1318" i="36"/>
  <c r="B1317" i="36"/>
  <c r="B1316" i="36"/>
  <c r="B1315" i="36"/>
  <c r="B1314" i="36"/>
  <c r="B1313" i="36"/>
  <c r="B1312" i="36"/>
  <c r="B1311" i="36"/>
  <c r="B1310" i="36"/>
  <c r="B1309" i="36"/>
  <c r="B1308" i="36"/>
  <c r="B1307" i="36"/>
  <c r="B1306" i="36"/>
  <c r="B1305" i="36"/>
  <c r="B1304" i="36"/>
  <c r="B1303" i="36"/>
  <c r="B1302" i="36"/>
  <c r="B1301" i="36"/>
  <c r="B1300" i="36"/>
  <c r="B1299" i="36"/>
  <c r="B1298" i="36"/>
  <c r="B1297" i="36"/>
  <c r="B1296" i="36"/>
  <c r="B1295" i="36"/>
  <c r="B1294" i="36"/>
  <c r="B1293" i="36"/>
  <c r="B1292" i="36"/>
  <c r="B1291" i="36"/>
  <c r="B1290" i="36"/>
  <c r="B1289" i="36"/>
  <c r="B1288" i="36"/>
  <c r="B1287" i="36"/>
  <c r="B1286" i="36"/>
  <c r="B1285" i="36"/>
  <c r="B1284" i="36"/>
  <c r="B1283" i="36"/>
  <c r="B1282" i="36"/>
  <c r="B1281" i="36"/>
  <c r="B1280" i="36"/>
  <c r="B1279" i="36"/>
  <c r="B1278" i="36"/>
  <c r="B1277" i="36"/>
  <c r="B1276" i="36"/>
  <c r="B1275" i="36"/>
  <c r="B1274" i="36"/>
  <c r="B1273" i="36"/>
  <c r="B1272" i="36"/>
  <c r="B1271" i="36"/>
  <c r="B1270" i="36"/>
  <c r="B1269" i="36"/>
  <c r="B1268" i="36"/>
  <c r="B1267" i="36"/>
  <c r="B1266" i="36"/>
  <c r="B1265" i="36"/>
  <c r="B1264" i="36"/>
  <c r="B1263" i="36"/>
  <c r="B1262" i="36"/>
  <c r="B1261" i="36"/>
  <c r="B1260" i="36"/>
  <c r="B1259" i="36"/>
  <c r="B1258" i="36"/>
  <c r="B1257" i="36"/>
  <c r="B1256" i="36"/>
  <c r="B1255" i="36"/>
  <c r="B1254" i="36"/>
  <c r="B1253" i="36"/>
  <c r="B1252" i="36"/>
  <c r="B1251" i="36"/>
  <c r="B1250" i="36"/>
  <c r="B1249" i="36"/>
  <c r="B1248" i="36"/>
  <c r="B1247" i="36"/>
  <c r="B1246" i="36"/>
  <c r="B1245" i="36"/>
  <c r="B1244" i="36"/>
  <c r="B1243" i="36"/>
  <c r="B1242" i="36"/>
  <c r="B1241" i="36"/>
  <c r="B1240" i="36"/>
  <c r="B1239" i="36"/>
  <c r="B1238" i="36"/>
  <c r="B1237" i="36"/>
  <c r="B1236" i="36"/>
  <c r="B1235" i="36"/>
  <c r="B1234" i="36"/>
  <c r="B1233" i="36"/>
  <c r="B1232" i="36"/>
  <c r="B1231" i="36"/>
  <c r="B1230" i="36"/>
  <c r="B1229" i="36"/>
  <c r="B1228" i="36"/>
  <c r="B1227" i="36"/>
  <c r="B1226" i="36"/>
  <c r="B1225" i="36"/>
  <c r="B1224" i="36"/>
  <c r="B1223" i="36"/>
  <c r="B1222" i="36"/>
  <c r="B1221" i="36"/>
  <c r="B1220" i="36"/>
  <c r="B1219" i="36"/>
  <c r="B1218" i="36"/>
  <c r="B1217" i="36"/>
  <c r="B1216" i="36"/>
  <c r="B1215" i="36"/>
  <c r="B1214" i="36"/>
  <c r="B1213" i="36"/>
  <c r="B1212" i="36"/>
  <c r="B1211" i="36"/>
  <c r="B1210" i="36"/>
  <c r="B1209" i="36"/>
  <c r="B1208" i="36"/>
  <c r="B1207" i="36"/>
  <c r="B1206" i="36"/>
  <c r="B1205" i="36"/>
  <c r="B1204" i="36"/>
  <c r="B1203" i="36"/>
  <c r="B1202" i="36"/>
  <c r="B1201" i="36"/>
  <c r="B1200" i="36"/>
  <c r="B1199" i="36"/>
  <c r="B1198" i="36"/>
  <c r="B1197" i="36"/>
  <c r="B1196" i="36"/>
  <c r="B1195" i="36"/>
  <c r="B1194" i="36"/>
  <c r="B1193" i="36"/>
  <c r="B1192" i="36"/>
  <c r="B1191" i="36"/>
  <c r="B1190" i="36"/>
  <c r="B1189" i="36"/>
  <c r="B1188" i="36"/>
  <c r="B1187" i="36"/>
  <c r="B1186" i="36"/>
  <c r="B1185" i="36"/>
  <c r="B1184" i="36"/>
  <c r="B1183" i="36"/>
  <c r="B1182" i="36"/>
  <c r="B1181" i="36"/>
  <c r="B1180" i="36"/>
  <c r="B1179" i="36"/>
  <c r="B1178" i="36"/>
  <c r="B1177" i="36"/>
  <c r="B1176" i="36"/>
  <c r="B1175" i="36"/>
  <c r="B1174" i="36"/>
  <c r="B1173" i="36"/>
  <c r="B1172" i="36"/>
  <c r="B1171" i="36"/>
  <c r="B1170" i="36"/>
  <c r="B1169" i="36"/>
  <c r="B1168" i="36"/>
  <c r="B1167" i="36"/>
  <c r="B1166" i="36"/>
  <c r="B1165" i="36"/>
  <c r="B1164" i="36"/>
  <c r="B1163" i="36"/>
  <c r="B1162" i="36"/>
  <c r="B1161" i="36"/>
  <c r="B1160" i="36"/>
  <c r="B1159" i="36"/>
  <c r="B1158" i="36"/>
  <c r="B1157" i="36"/>
  <c r="B1156" i="36"/>
  <c r="B1155" i="36"/>
  <c r="B1154" i="36"/>
  <c r="B1153" i="36"/>
  <c r="B1152" i="36"/>
  <c r="B1151" i="36"/>
  <c r="B1150" i="36"/>
  <c r="B1149" i="36"/>
  <c r="B1148" i="36"/>
  <c r="B1147" i="36"/>
  <c r="B1146" i="36"/>
  <c r="B1145" i="36"/>
  <c r="B1144" i="36"/>
  <c r="B1143" i="36"/>
  <c r="B1142" i="36"/>
  <c r="B1141" i="36"/>
  <c r="B1140" i="36"/>
  <c r="B1139" i="36"/>
  <c r="B1138" i="36"/>
  <c r="B1137" i="36"/>
  <c r="B1136" i="36"/>
  <c r="B1135" i="36"/>
  <c r="B1134" i="36"/>
  <c r="B1133" i="36"/>
  <c r="B1132" i="36"/>
  <c r="B1131" i="36"/>
  <c r="B1130" i="36"/>
  <c r="B1129" i="36"/>
  <c r="B1128" i="36"/>
  <c r="B1127" i="36"/>
  <c r="B1126" i="36"/>
  <c r="B1125" i="36"/>
  <c r="B1124" i="36"/>
  <c r="B1123" i="36"/>
  <c r="B1122" i="36"/>
  <c r="B1121" i="36"/>
  <c r="B1120" i="36"/>
  <c r="B1119" i="36"/>
  <c r="B1118" i="36"/>
  <c r="B1117" i="36"/>
  <c r="B1116" i="36"/>
  <c r="B1115" i="36"/>
  <c r="B1114" i="36"/>
  <c r="B1113" i="36"/>
  <c r="B1112" i="36"/>
  <c r="B1111" i="36"/>
  <c r="B1110" i="36"/>
  <c r="B1109" i="36"/>
  <c r="B1108" i="36"/>
  <c r="B1107" i="36"/>
  <c r="B1106" i="36"/>
  <c r="B1105" i="36"/>
  <c r="B1104" i="36"/>
  <c r="B1103" i="36"/>
  <c r="B1102" i="36"/>
  <c r="B1101" i="36"/>
  <c r="B1100" i="36"/>
  <c r="B1099" i="36"/>
  <c r="B1098" i="36"/>
  <c r="B1097" i="36"/>
  <c r="B1096" i="36"/>
  <c r="B1095" i="36"/>
  <c r="B1094" i="36"/>
  <c r="B1093" i="36"/>
  <c r="B1092" i="36"/>
  <c r="B1091" i="36"/>
  <c r="B1090" i="36"/>
  <c r="B1089" i="36"/>
  <c r="B1088" i="36"/>
  <c r="B1087" i="36"/>
  <c r="B1086" i="36"/>
  <c r="B1085" i="36"/>
  <c r="B1084" i="36"/>
  <c r="B1083" i="36"/>
  <c r="B1082" i="36"/>
  <c r="B1081" i="36"/>
  <c r="B1080" i="36"/>
  <c r="B1079" i="36"/>
  <c r="B1078" i="36"/>
  <c r="B1077" i="36"/>
  <c r="B1076" i="36"/>
  <c r="B1075" i="36"/>
  <c r="B1074" i="36"/>
  <c r="B1073" i="36"/>
  <c r="B1072" i="36"/>
  <c r="B1071" i="36"/>
  <c r="B1070" i="36"/>
  <c r="B1069" i="36"/>
  <c r="B1068" i="36"/>
  <c r="B1067" i="36"/>
  <c r="B1066" i="36"/>
  <c r="B1065" i="36"/>
  <c r="B1064" i="36"/>
  <c r="B1063" i="36"/>
  <c r="B1062" i="36"/>
  <c r="B1061" i="36"/>
  <c r="B1060" i="36"/>
  <c r="B1059" i="36"/>
  <c r="B1058" i="36"/>
  <c r="B1057" i="36"/>
  <c r="B1056" i="36"/>
  <c r="B1055" i="36"/>
  <c r="B1054" i="36"/>
  <c r="B1053" i="36"/>
  <c r="B1052" i="36"/>
  <c r="B1051" i="36"/>
  <c r="B1050" i="36"/>
  <c r="B1049" i="36"/>
  <c r="B1048" i="36"/>
  <c r="B1047" i="36"/>
  <c r="B1046" i="36"/>
  <c r="B1045" i="36"/>
  <c r="B1044" i="36"/>
  <c r="B1043" i="36"/>
  <c r="B1042" i="36"/>
  <c r="B1041" i="36"/>
  <c r="B1040" i="36"/>
  <c r="B1039" i="36"/>
  <c r="B1038" i="36"/>
  <c r="B1037" i="36"/>
  <c r="B1036" i="36"/>
  <c r="B1035" i="36"/>
  <c r="B1034" i="36"/>
  <c r="B1033" i="36"/>
  <c r="B1032" i="36"/>
  <c r="B1031" i="36"/>
  <c r="B1030" i="36"/>
  <c r="B1029" i="36"/>
  <c r="B1028" i="36"/>
  <c r="B1027" i="36"/>
  <c r="B1026" i="36"/>
  <c r="B1025" i="36"/>
  <c r="B1024" i="36"/>
  <c r="B1023" i="36"/>
  <c r="B1022" i="36"/>
  <c r="B1021" i="36"/>
  <c r="B1020" i="36"/>
  <c r="B1019" i="36"/>
  <c r="B1018" i="36"/>
  <c r="B1017" i="36"/>
  <c r="B1016" i="36"/>
  <c r="B1015" i="36"/>
  <c r="B1014" i="36"/>
  <c r="B1013" i="36"/>
  <c r="B1012" i="36"/>
  <c r="B1011" i="36"/>
  <c r="B1010" i="36"/>
  <c r="B1009" i="36"/>
  <c r="B1008" i="36"/>
  <c r="B1007" i="36"/>
  <c r="B1006" i="36"/>
  <c r="B1005" i="36"/>
  <c r="B1004" i="36"/>
  <c r="B1003" i="36"/>
  <c r="B1002" i="36"/>
  <c r="B1001" i="36"/>
  <c r="B1000" i="36"/>
  <c r="B999" i="36"/>
  <c r="B998" i="36"/>
  <c r="B997" i="36"/>
  <c r="B996" i="36"/>
  <c r="B995" i="36"/>
  <c r="B994" i="36"/>
  <c r="B993" i="36"/>
  <c r="B992" i="36"/>
  <c r="B991" i="36"/>
  <c r="B990" i="36"/>
  <c r="B989" i="36"/>
  <c r="B988" i="36"/>
  <c r="B987" i="36"/>
  <c r="B986" i="36"/>
  <c r="B985" i="36"/>
  <c r="B984" i="36"/>
  <c r="B983" i="36"/>
  <c r="B982" i="36"/>
  <c r="B981" i="36"/>
  <c r="B980" i="36"/>
  <c r="B979" i="36"/>
  <c r="B978" i="36"/>
  <c r="B977" i="36"/>
  <c r="B976" i="36"/>
  <c r="B975" i="36"/>
  <c r="B974" i="36"/>
  <c r="B973" i="36"/>
  <c r="B972" i="36"/>
  <c r="B971" i="36"/>
  <c r="B970" i="36"/>
  <c r="B969" i="36"/>
  <c r="B968" i="36"/>
  <c r="B967" i="36"/>
  <c r="B966" i="36"/>
  <c r="B965" i="36"/>
  <c r="B964" i="36"/>
  <c r="B963" i="36"/>
  <c r="B962" i="36"/>
  <c r="B961" i="36"/>
  <c r="B960" i="36"/>
  <c r="B959" i="36"/>
  <c r="B958" i="36"/>
  <c r="B957" i="36"/>
  <c r="B956" i="36"/>
  <c r="B955" i="36"/>
  <c r="B954" i="36"/>
  <c r="B953" i="36"/>
  <c r="B952" i="36"/>
  <c r="B951" i="36"/>
  <c r="B950" i="36"/>
  <c r="B949" i="36"/>
  <c r="B948" i="36"/>
  <c r="B947" i="36"/>
  <c r="B946" i="36"/>
  <c r="B945" i="36"/>
  <c r="B944" i="36"/>
  <c r="B943" i="36"/>
  <c r="B942" i="36"/>
  <c r="B941" i="36"/>
  <c r="B940" i="36"/>
  <c r="B939" i="36"/>
  <c r="B938" i="36"/>
  <c r="B937" i="36"/>
  <c r="B936" i="36"/>
  <c r="B935" i="36"/>
  <c r="B934" i="36"/>
  <c r="B933" i="36"/>
  <c r="B932" i="36"/>
  <c r="B931" i="36"/>
  <c r="B930" i="36"/>
  <c r="B929" i="36"/>
  <c r="B928" i="36"/>
  <c r="B927" i="36"/>
  <c r="B926" i="36"/>
  <c r="B925" i="36"/>
  <c r="B924" i="36"/>
  <c r="B923" i="36"/>
  <c r="B922" i="36"/>
  <c r="B921" i="36"/>
  <c r="B920" i="36"/>
  <c r="B919" i="36"/>
  <c r="B918" i="36"/>
  <c r="B917" i="36"/>
  <c r="B916" i="36"/>
  <c r="B915" i="36"/>
  <c r="B914" i="36"/>
  <c r="B913" i="36"/>
  <c r="B912" i="36"/>
  <c r="B911" i="36"/>
  <c r="B910" i="36"/>
  <c r="B909" i="36"/>
  <c r="B908" i="36"/>
  <c r="B907" i="36"/>
  <c r="B906" i="36"/>
  <c r="B905" i="36"/>
  <c r="B904" i="36"/>
  <c r="B903" i="36"/>
  <c r="B902" i="36"/>
  <c r="B901" i="36"/>
  <c r="B900" i="36"/>
  <c r="B899" i="36"/>
  <c r="B898" i="36"/>
  <c r="B897" i="36"/>
  <c r="B896" i="36"/>
  <c r="B895" i="36"/>
  <c r="B894" i="36"/>
  <c r="B893" i="36"/>
  <c r="B892" i="36"/>
  <c r="B891" i="36"/>
  <c r="B890" i="36"/>
  <c r="B889" i="36"/>
  <c r="B888" i="36"/>
  <c r="B887" i="36"/>
  <c r="B886" i="36"/>
  <c r="B885" i="36"/>
  <c r="B884" i="36"/>
  <c r="B883" i="36"/>
  <c r="B882" i="36"/>
  <c r="B881" i="36"/>
  <c r="B880" i="36"/>
  <c r="B879" i="36"/>
  <c r="B878" i="36"/>
  <c r="B877" i="36"/>
  <c r="B876" i="36"/>
  <c r="B875" i="36"/>
  <c r="B874" i="36"/>
  <c r="B873" i="36"/>
  <c r="B872" i="36"/>
  <c r="B871" i="36"/>
  <c r="B870" i="36"/>
  <c r="B869" i="36"/>
  <c r="B868" i="36"/>
  <c r="B867" i="36"/>
  <c r="B866" i="36"/>
  <c r="B865" i="36"/>
  <c r="B864" i="36"/>
  <c r="B863" i="36"/>
  <c r="B862" i="36"/>
  <c r="B861" i="36"/>
  <c r="B860" i="36"/>
  <c r="B859" i="36"/>
  <c r="B858" i="36"/>
  <c r="B857" i="36"/>
  <c r="B856" i="36"/>
  <c r="B855" i="36"/>
  <c r="B854" i="36"/>
  <c r="B853" i="36"/>
  <c r="B852" i="36"/>
  <c r="B851" i="36"/>
  <c r="B850" i="36"/>
  <c r="B849" i="36"/>
  <c r="B848" i="36"/>
  <c r="B847" i="36"/>
  <c r="B846" i="36"/>
  <c r="B845" i="36"/>
  <c r="B844" i="36"/>
  <c r="B843" i="36"/>
  <c r="B842" i="36"/>
  <c r="B841" i="36"/>
  <c r="B840" i="36"/>
  <c r="B839" i="36"/>
  <c r="B838" i="36"/>
  <c r="B837" i="36"/>
  <c r="B836" i="36"/>
  <c r="B835" i="36"/>
  <c r="B834" i="36"/>
  <c r="B833" i="36"/>
  <c r="B832" i="36"/>
  <c r="B831" i="36"/>
  <c r="B830" i="36"/>
  <c r="B829" i="36"/>
  <c r="B828" i="36"/>
  <c r="B827" i="36"/>
  <c r="B826" i="36"/>
  <c r="B825" i="36"/>
  <c r="B824" i="36"/>
  <c r="B823" i="36"/>
  <c r="B822" i="36"/>
  <c r="B821" i="36"/>
  <c r="B820" i="36"/>
  <c r="B819" i="36"/>
  <c r="B818" i="36"/>
  <c r="B817" i="36"/>
  <c r="B816" i="36"/>
  <c r="B815" i="36"/>
  <c r="B814" i="36"/>
  <c r="B813" i="36"/>
  <c r="B812" i="36"/>
  <c r="B811" i="36"/>
  <c r="B810" i="36"/>
  <c r="B809" i="36"/>
  <c r="B808" i="36"/>
  <c r="B807" i="36"/>
  <c r="B806" i="36"/>
  <c r="B805" i="36"/>
  <c r="B804" i="36"/>
  <c r="B803" i="36"/>
  <c r="B802" i="36"/>
  <c r="B801" i="36"/>
  <c r="B800" i="36"/>
  <c r="B799" i="36"/>
  <c r="B798" i="36"/>
  <c r="B797" i="36"/>
  <c r="B796" i="36"/>
  <c r="B795" i="36"/>
  <c r="B794" i="36"/>
  <c r="B793" i="36"/>
  <c r="B792" i="36"/>
  <c r="B791" i="36"/>
  <c r="B790" i="36"/>
  <c r="B789" i="36"/>
  <c r="B788" i="36"/>
  <c r="B787" i="36"/>
  <c r="B786" i="36"/>
  <c r="B785" i="36"/>
  <c r="B784" i="36"/>
  <c r="B783" i="36"/>
  <c r="B782" i="36"/>
  <c r="B781" i="36"/>
  <c r="B780" i="36"/>
  <c r="B779" i="36"/>
  <c r="B778" i="36"/>
  <c r="B777" i="36"/>
  <c r="B776" i="36"/>
  <c r="B775" i="36"/>
  <c r="B774" i="36"/>
  <c r="B773" i="36"/>
  <c r="B772" i="36"/>
  <c r="B771" i="36"/>
  <c r="B770" i="36"/>
  <c r="B769" i="36"/>
  <c r="B768" i="36"/>
  <c r="B767" i="36"/>
  <c r="B766" i="36"/>
  <c r="B765" i="36"/>
  <c r="B764" i="36"/>
  <c r="B763" i="36"/>
  <c r="B762" i="36"/>
  <c r="B761" i="36"/>
  <c r="B760" i="36"/>
  <c r="B759" i="36"/>
  <c r="B758" i="36"/>
  <c r="B757" i="36"/>
  <c r="B756" i="36"/>
  <c r="B755" i="36"/>
  <c r="B754" i="36"/>
  <c r="B753" i="36"/>
  <c r="B752" i="36"/>
  <c r="B751" i="36"/>
  <c r="B750" i="36"/>
  <c r="B749" i="36"/>
  <c r="B748" i="36"/>
  <c r="B747" i="36"/>
  <c r="B746" i="36"/>
  <c r="B745" i="36"/>
  <c r="B744" i="36"/>
  <c r="B743" i="36"/>
  <c r="B742" i="36"/>
  <c r="B741" i="36"/>
  <c r="B740" i="36"/>
  <c r="B739" i="36"/>
  <c r="B738" i="36"/>
  <c r="B737" i="36"/>
  <c r="B736" i="36"/>
  <c r="B735" i="36"/>
  <c r="B734" i="36"/>
  <c r="B733" i="36"/>
  <c r="B732" i="36"/>
  <c r="B731" i="36"/>
  <c r="B730" i="36"/>
  <c r="B729" i="36"/>
  <c r="B728" i="36"/>
  <c r="B727" i="36"/>
  <c r="B726" i="36"/>
  <c r="B725" i="36"/>
  <c r="B724" i="36"/>
  <c r="B723" i="36"/>
  <c r="B722" i="36"/>
  <c r="B721" i="36"/>
  <c r="B720" i="36"/>
  <c r="B719" i="36"/>
  <c r="B718" i="36"/>
  <c r="B717" i="36"/>
  <c r="B716" i="36"/>
  <c r="B715" i="36"/>
  <c r="B714" i="36"/>
  <c r="B713" i="36"/>
  <c r="B712" i="36"/>
  <c r="B711" i="36"/>
  <c r="B710" i="36"/>
  <c r="B709" i="36"/>
  <c r="B708" i="36"/>
  <c r="B707" i="36"/>
  <c r="B706" i="36"/>
  <c r="B705" i="36"/>
  <c r="B704" i="36"/>
  <c r="B703" i="36"/>
  <c r="B702" i="36"/>
  <c r="B701" i="36"/>
  <c r="B700" i="36"/>
  <c r="B699" i="36"/>
  <c r="B698" i="36"/>
  <c r="B697" i="36"/>
  <c r="B696" i="36"/>
  <c r="B695" i="36"/>
  <c r="B694" i="36"/>
  <c r="B693" i="36"/>
  <c r="B692" i="36"/>
  <c r="B691" i="36"/>
  <c r="B690" i="36"/>
  <c r="B689" i="36"/>
  <c r="B688" i="36"/>
  <c r="B687" i="36"/>
  <c r="B686" i="36"/>
  <c r="B685" i="36"/>
  <c r="B684" i="36"/>
  <c r="B683" i="36"/>
  <c r="B682" i="36"/>
  <c r="B681" i="36"/>
  <c r="B680" i="36"/>
  <c r="B679" i="36"/>
  <c r="B678" i="36"/>
  <c r="B677" i="36"/>
  <c r="B676" i="36"/>
  <c r="B675" i="36"/>
  <c r="B674" i="36"/>
  <c r="B673" i="36"/>
  <c r="B672" i="36"/>
  <c r="B671" i="36"/>
  <c r="B670" i="36"/>
  <c r="B669" i="36"/>
  <c r="B668" i="36"/>
  <c r="B667" i="36"/>
  <c r="B666" i="36"/>
  <c r="B665" i="36"/>
  <c r="B664" i="36"/>
  <c r="B663" i="36"/>
  <c r="B662" i="36"/>
  <c r="B661" i="36"/>
  <c r="B660" i="36"/>
  <c r="B659" i="36"/>
  <c r="B658" i="36"/>
  <c r="B657" i="36"/>
  <c r="B656" i="36"/>
  <c r="B655" i="36"/>
  <c r="B654" i="36"/>
  <c r="B653" i="36"/>
  <c r="B652" i="36"/>
  <c r="B651" i="36"/>
  <c r="B650" i="36"/>
  <c r="B649" i="36"/>
  <c r="B648" i="36"/>
  <c r="B647" i="36"/>
  <c r="B646" i="36"/>
  <c r="B645" i="36"/>
  <c r="B644" i="36"/>
  <c r="B643" i="36"/>
  <c r="B642" i="36"/>
  <c r="B641" i="36"/>
  <c r="B640" i="36"/>
  <c r="B639" i="36"/>
  <c r="B638" i="36"/>
  <c r="B637" i="36"/>
  <c r="B636" i="36"/>
  <c r="B635" i="36"/>
  <c r="B634" i="36"/>
  <c r="B633" i="36"/>
  <c r="B632" i="36"/>
  <c r="B631" i="36"/>
  <c r="B630" i="36"/>
  <c r="B629" i="36"/>
  <c r="B628" i="36"/>
  <c r="B627" i="36"/>
  <c r="B626" i="36"/>
  <c r="B625" i="36"/>
  <c r="B624" i="36"/>
  <c r="B623" i="36"/>
  <c r="B622" i="36"/>
  <c r="B621" i="36"/>
  <c r="B620" i="36"/>
  <c r="B619" i="36"/>
  <c r="B618" i="36"/>
  <c r="B617" i="36"/>
  <c r="B616" i="36"/>
  <c r="B615" i="36"/>
  <c r="B614" i="36"/>
  <c r="B613" i="36"/>
  <c r="B612" i="36"/>
  <c r="B611" i="36"/>
  <c r="B610" i="36"/>
  <c r="B609" i="36"/>
  <c r="B608" i="36"/>
  <c r="B607" i="36"/>
  <c r="B606" i="36"/>
  <c r="B605" i="36"/>
  <c r="B604" i="36"/>
  <c r="B603" i="36"/>
  <c r="B602" i="36"/>
  <c r="B601" i="36"/>
  <c r="B600" i="36"/>
  <c r="B599" i="36"/>
  <c r="B598" i="36"/>
  <c r="B597" i="36"/>
  <c r="B596" i="36"/>
  <c r="B595" i="36"/>
  <c r="B594" i="36"/>
  <c r="B593" i="36"/>
  <c r="B592" i="36"/>
  <c r="B591" i="36"/>
  <c r="B590" i="36"/>
  <c r="B589" i="36"/>
  <c r="B588" i="36"/>
  <c r="B587" i="36"/>
  <c r="B586" i="36"/>
  <c r="B585" i="36"/>
  <c r="B584" i="36"/>
  <c r="B583" i="36"/>
  <c r="B582" i="36"/>
  <c r="B581" i="36"/>
  <c r="B580" i="36"/>
  <c r="B579" i="36"/>
  <c r="B578" i="36"/>
  <c r="B577" i="36"/>
  <c r="B576" i="36"/>
  <c r="B575" i="36"/>
  <c r="B574" i="36"/>
  <c r="B573" i="36"/>
  <c r="B572" i="36"/>
  <c r="B571" i="36"/>
  <c r="B570" i="36"/>
  <c r="B569" i="36"/>
  <c r="B568" i="36"/>
  <c r="B567" i="36"/>
  <c r="B566" i="36"/>
  <c r="B565" i="36"/>
  <c r="B564" i="36"/>
  <c r="B563" i="36"/>
  <c r="B562" i="36"/>
  <c r="B561" i="36"/>
  <c r="B560" i="36"/>
  <c r="B559" i="36"/>
  <c r="B558" i="36"/>
  <c r="B557" i="36"/>
  <c r="B556" i="36"/>
  <c r="B555" i="36"/>
  <c r="B554" i="36"/>
  <c r="B553" i="36"/>
  <c r="B552" i="36"/>
  <c r="B551" i="36"/>
  <c r="B550" i="36"/>
  <c r="B549" i="36"/>
  <c r="B548" i="36"/>
  <c r="B547" i="36"/>
  <c r="B546" i="36"/>
  <c r="B545" i="36"/>
  <c r="B544" i="36"/>
  <c r="B543" i="36"/>
  <c r="B542" i="36"/>
  <c r="B541" i="36"/>
  <c r="B540" i="36"/>
  <c r="B539" i="36"/>
  <c r="B538" i="36"/>
  <c r="B537" i="36"/>
  <c r="B536" i="36"/>
  <c r="B535" i="36"/>
  <c r="B534" i="36"/>
  <c r="B533" i="36"/>
  <c r="B532" i="36"/>
  <c r="B531" i="36"/>
  <c r="B530" i="36"/>
  <c r="B529" i="36"/>
  <c r="B528" i="36"/>
  <c r="B527" i="36"/>
  <c r="B526" i="36"/>
  <c r="B525" i="36"/>
  <c r="B524" i="36"/>
  <c r="B523" i="36"/>
  <c r="B522" i="36"/>
  <c r="B521" i="36"/>
  <c r="B520" i="36"/>
  <c r="B519" i="36"/>
  <c r="B518" i="36"/>
  <c r="B517" i="36"/>
  <c r="B516" i="36"/>
  <c r="B515" i="36"/>
  <c r="B514" i="36"/>
  <c r="B513" i="36"/>
  <c r="B512" i="36"/>
  <c r="B511" i="36"/>
  <c r="B510" i="36"/>
  <c r="B509" i="36"/>
  <c r="B508" i="36"/>
  <c r="B507" i="36"/>
  <c r="B506" i="36"/>
  <c r="B505" i="36"/>
  <c r="B504" i="36"/>
  <c r="B503" i="36"/>
  <c r="B502" i="36"/>
  <c r="B501" i="36"/>
  <c r="B500" i="36"/>
  <c r="B499" i="36"/>
  <c r="B498" i="36"/>
  <c r="B497" i="36"/>
  <c r="B496" i="36"/>
  <c r="B495" i="36"/>
  <c r="B494" i="36"/>
  <c r="B493" i="36"/>
  <c r="B492" i="36"/>
  <c r="B491" i="36"/>
  <c r="B490" i="36"/>
  <c r="B489" i="36"/>
  <c r="B488" i="36"/>
  <c r="B487" i="36"/>
  <c r="B486" i="36"/>
  <c r="B485" i="36"/>
  <c r="B484" i="36"/>
  <c r="B483" i="36"/>
  <c r="B482" i="36"/>
  <c r="B481" i="36"/>
  <c r="B480" i="36"/>
  <c r="B479" i="36"/>
  <c r="B478" i="36"/>
  <c r="B477" i="36"/>
  <c r="B476" i="36"/>
  <c r="B475" i="36"/>
  <c r="B474" i="36"/>
  <c r="B473" i="36"/>
  <c r="B472" i="36"/>
  <c r="B471" i="36"/>
  <c r="B470" i="36"/>
  <c r="B469" i="36"/>
  <c r="B468" i="36"/>
  <c r="B467" i="36"/>
  <c r="B466" i="36"/>
  <c r="B465" i="36"/>
  <c r="B464" i="36"/>
  <c r="B463" i="36"/>
  <c r="B462" i="36"/>
  <c r="B461" i="36"/>
  <c r="B460" i="36"/>
  <c r="B459" i="36"/>
  <c r="B458" i="36"/>
  <c r="B457" i="36"/>
  <c r="B456" i="36"/>
  <c r="B455" i="36"/>
  <c r="B454" i="36"/>
  <c r="B453" i="36"/>
  <c r="B452" i="36"/>
  <c r="B451" i="36"/>
  <c r="B450" i="36"/>
  <c r="B449" i="36"/>
  <c r="B448" i="36"/>
  <c r="B447" i="36"/>
  <c r="B446" i="36"/>
  <c r="B445" i="36"/>
  <c r="B444" i="36"/>
  <c r="B443" i="36"/>
  <c r="B442" i="36"/>
  <c r="B441" i="36"/>
  <c r="B440" i="36"/>
  <c r="B439" i="36"/>
  <c r="B438" i="36"/>
  <c r="B437" i="36"/>
  <c r="B436" i="36"/>
  <c r="B435" i="36"/>
  <c r="B434" i="36"/>
  <c r="B433" i="36"/>
  <c r="B432" i="36"/>
  <c r="B431" i="36"/>
  <c r="B430" i="36"/>
  <c r="B429" i="36"/>
  <c r="B428" i="36"/>
  <c r="B427" i="36"/>
  <c r="B426" i="36"/>
  <c r="B425" i="36"/>
  <c r="B424" i="36"/>
  <c r="B423" i="36"/>
  <c r="B422" i="36"/>
  <c r="B421" i="36"/>
  <c r="B420" i="36"/>
  <c r="B419" i="36"/>
  <c r="B418" i="36"/>
  <c r="B417" i="36"/>
  <c r="B416" i="36"/>
  <c r="B415" i="36"/>
  <c r="B414" i="36"/>
  <c r="B413" i="36"/>
  <c r="B412" i="36"/>
  <c r="B411" i="36"/>
  <c r="B410" i="36"/>
  <c r="B409" i="36"/>
  <c r="B408" i="36"/>
  <c r="B407" i="36"/>
  <c r="B406" i="36"/>
  <c r="B405" i="36"/>
  <c r="B404" i="36"/>
  <c r="B403" i="36"/>
  <c r="B402" i="36"/>
  <c r="B401" i="36"/>
  <c r="B400" i="36"/>
  <c r="B399" i="36"/>
  <c r="B398" i="36"/>
  <c r="B397" i="36"/>
  <c r="B396" i="36"/>
  <c r="B395" i="36"/>
  <c r="B394" i="36"/>
  <c r="B393" i="36"/>
  <c r="B392" i="36"/>
  <c r="B391" i="36"/>
  <c r="B390" i="36"/>
  <c r="B389" i="36"/>
  <c r="B388" i="36"/>
  <c r="B387" i="36"/>
  <c r="B386" i="36"/>
  <c r="B385" i="36"/>
  <c r="B384" i="36"/>
  <c r="B383" i="36"/>
  <c r="B382" i="36"/>
  <c r="B381" i="36"/>
  <c r="B380" i="36"/>
  <c r="B379" i="36"/>
  <c r="B378" i="36"/>
  <c r="B377" i="36"/>
  <c r="B376" i="36"/>
  <c r="B375" i="36"/>
  <c r="B374" i="36"/>
  <c r="B373" i="36"/>
  <c r="B372" i="36"/>
  <c r="B371" i="36"/>
  <c r="B370" i="36"/>
  <c r="B369" i="36"/>
  <c r="B368" i="36"/>
  <c r="B367" i="36"/>
  <c r="B366" i="36"/>
  <c r="B365" i="36"/>
  <c r="B364" i="36"/>
  <c r="B363" i="36"/>
  <c r="B362" i="36"/>
  <c r="B361" i="36"/>
  <c r="B360" i="36"/>
  <c r="B359" i="36"/>
  <c r="B358" i="36"/>
  <c r="B357" i="36"/>
  <c r="B356" i="36"/>
  <c r="B355" i="36"/>
  <c r="B354" i="36"/>
  <c r="B353" i="36"/>
  <c r="B352" i="36"/>
  <c r="B351" i="36"/>
  <c r="B350" i="36"/>
  <c r="B349" i="36"/>
  <c r="B348" i="36"/>
  <c r="B347" i="36"/>
  <c r="B346" i="36"/>
  <c r="B345" i="36"/>
  <c r="B344" i="36"/>
  <c r="B343" i="36"/>
  <c r="B342" i="36"/>
  <c r="B341" i="36"/>
  <c r="B340" i="36"/>
  <c r="B339" i="36"/>
  <c r="B338" i="36"/>
  <c r="B337" i="36"/>
  <c r="B336" i="36"/>
  <c r="B335" i="36"/>
  <c r="B334" i="36"/>
  <c r="B333" i="36"/>
  <c r="B332" i="36"/>
  <c r="B331" i="36"/>
  <c r="B330" i="36"/>
  <c r="B329" i="36"/>
  <c r="B328" i="36"/>
  <c r="B327" i="36"/>
  <c r="B326" i="36"/>
  <c r="B325" i="36"/>
  <c r="B324" i="36"/>
  <c r="B323" i="36"/>
  <c r="B322" i="36"/>
  <c r="B321" i="36"/>
  <c r="B320" i="36"/>
  <c r="B319" i="36"/>
  <c r="B318" i="36"/>
  <c r="B317" i="36"/>
  <c r="B316" i="36"/>
  <c r="B315" i="36"/>
  <c r="B314" i="36"/>
  <c r="B313" i="36"/>
  <c r="B312" i="36"/>
  <c r="B311" i="36"/>
  <c r="B310" i="36"/>
  <c r="B309" i="36"/>
  <c r="B308" i="36"/>
  <c r="B307" i="36"/>
  <c r="B306" i="36"/>
  <c r="B305" i="36"/>
  <c r="B304" i="36"/>
  <c r="B303" i="36"/>
  <c r="B302" i="36"/>
  <c r="B301" i="36"/>
  <c r="B300" i="36"/>
  <c r="B299" i="36"/>
  <c r="B298" i="36"/>
  <c r="B297" i="36"/>
  <c r="B296" i="36"/>
  <c r="B295" i="36"/>
  <c r="B294" i="36"/>
  <c r="B293" i="36"/>
  <c r="B292" i="36"/>
  <c r="B291" i="36"/>
  <c r="B290" i="36"/>
  <c r="B289" i="36"/>
  <c r="B288" i="36"/>
  <c r="B287" i="36"/>
  <c r="B286" i="36"/>
  <c r="B285" i="36"/>
  <c r="B284" i="36"/>
  <c r="B283" i="36"/>
  <c r="B282" i="36"/>
  <c r="B281" i="36"/>
  <c r="B280" i="36"/>
  <c r="B279" i="36"/>
  <c r="B278" i="36"/>
  <c r="B277" i="36"/>
  <c r="B276" i="36"/>
  <c r="B275" i="36"/>
  <c r="B274" i="36"/>
  <c r="B273" i="36"/>
  <c r="B272" i="36"/>
  <c r="B271" i="36"/>
  <c r="B270" i="36"/>
  <c r="B269" i="36"/>
  <c r="B268" i="36"/>
  <c r="B267" i="36"/>
  <c r="B266" i="36"/>
  <c r="B265" i="36"/>
  <c r="B264" i="36"/>
  <c r="B263" i="36"/>
  <c r="B262" i="36"/>
  <c r="B261" i="36"/>
  <c r="B260" i="36"/>
  <c r="B259" i="36"/>
  <c r="B258" i="36"/>
  <c r="B257" i="36"/>
  <c r="B256" i="36"/>
  <c r="B255" i="36"/>
  <c r="B254" i="36"/>
  <c r="B253" i="36"/>
  <c r="B252" i="36"/>
  <c r="B251" i="36"/>
  <c r="B250" i="36"/>
  <c r="B249" i="36"/>
  <c r="B248" i="36"/>
  <c r="B247" i="36"/>
  <c r="B246" i="36"/>
  <c r="B245" i="36"/>
  <c r="B244" i="36"/>
  <c r="B243" i="36"/>
  <c r="B242" i="36"/>
  <c r="B241" i="36"/>
  <c r="B240" i="36"/>
  <c r="B239" i="36"/>
  <c r="B238" i="36"/>
  <c r="B237" i="36"/>
  <c r="B236" i="36"/>
  <c r="B235" i="36"/>
  <c r="B234" i="36"/>
  <c r="B233" i="36"/>
  <c r="B232" i="36"/>
  <c r="B231" i="36"/>
  <c r="B230" i="36"/>
  <c r="B229" i="36"/>
  <c r="B228" i="36"/>
  <c r="B227" i="36"/>
  <c r="B226" i="36"/>
  <c r="B225" i="36"/>
  <c r="B224" i="36"/>
  <c r="B223" i="36"/>
  <c r="B222" i="36"/>
  <c r="B221" i="36"/>
  <c r="B220" i="36"/>
  <c r="B219" i="36"/>
  <c r="B218" i="36"/>
  <c r="B217" i="36"/>
  <c r="B216" i="36"/>
  <c r="B215" i="36"/>
  <c r="B214" i="36"/>
  <c r="B213" i="36"/>
  <c r="B212" i="36"/>
  <c r="B211" i="36"/>
  <c r="B210" i="36"/>
  <c r="B209" i="36"/>
  <c r="B208" i="36"/>
  <c r="B207" i="36"/>
  <c r="B206" i="36"/>
  <c r="B205" i="36"/>
  <c r="B204" i="36"/>
  <c r="B203" i="36"/>
  <c r="B202" i="36"/>
  <c r="B201" i="36"/>
  <c r="B200" i="36"/>
  <c r="B199" i="36"/>
  <c r="B198" i="36"/>
  <c r="B197" i="36"/>
  <c r="B196" i="36"/>
  <c r="B195" i="36"/>
  <c r="B194" i="36"/>
  <c r="B193" i="36"/>
  <c r="B192" i="36"/>
  <c r="B191" i="36"/>
  <c r="B190" i="36"/>
  <c r="B189" i="36"/>
  <c r="B188" i="36"/>
  <c r="B187" i="36"/>
  <c r="B186" i="36"/>
  <c r="B185" i="36"/>
  <c r="B184" i="36"/>
  <c r="B183" i="36"/>
  <c r="B182" i="36"/>
  <c r="B181" i="36"/>
  <c r="B180" i="36"/>
  <c r="B179" i="36"/>
  <c r="B178" i="36"/>
  <c r="B177" i="36"/>
  <c r="B176" i="36"/>
  <c r="B175" i="36"/>
  <c r="B174" i="36"/>
  <c r="B173" i="36"/>
  <c r="B172" i="36"/>
  <c r="B171" i="36"/>
  <c r="B170" i="36"/>
  <c r="B169" i="36"/>
  <c r="B168" i="36"/>
  <c r="B167" i="36"/>
  <c r="B166" i="36"/>
  <c r="B165" i="36"/>
  <c r="B164" i="36"/>
  <c r="B163" i="36"/>
  <c r="B162" i="36"/>
  <c r="B161" i="36"/>
  <c r="B160" i="36"/>
  <c r="B159" i="36"/>
  <c r="B158" i="36"/>
  <c r="B157" i="36"/>
  <c r="B156" i="36"/>
  <c r="B155" i="36"/>
  <c r="B154" i="36"/>
  <c r="B153" i="36"/>
  <c r="B152" i="36"/>
  <c r="B151" i="36"/>
  <c r="B150" i="36"/>
  <c r="B149" i="36"/>
  <c r="B148" i="36"/>
  <c r="B147" i="36"/>
  <c r="B146" i="36"/>
  <c r="B145" i="36"/>
  <c r="B144" i="36"/>
  <c r="B143" i="36"/>
  <c r="B142" i="36"/>
  <c r="B141" i="36"/>
  <c r="B140" i="36"/>
  <c r="B139" i="36"/>
  <c r="B138" i="36"/>
  <c r="B137" i="36"/>
  <c r="B136" i="36"/>
  <c r="B135" i="36"/>
  <c r="B134" i="36"/>
  <c r="B133" i="36"/>
  <c r="B132" i="36"/>
  <c r="B131" i="36"/>
  <c r="B130" i="36"/>
  <c r="B129" i="36"/>
  <c r="B128" i="36"/>
  <c r="B127" i="36"/>
  <c r="B126" i="36"/>
  <c r="B125" i="36"/>
  <c r="B124" i="36"/>
  <c r="B123" i="36"/>
  <c r="B122" i="36"/>
  <c r="B121" i="36"/>
  <c r="B120" i="36"/>
  <c r="B119" i="36"/>
  <c r="B118" i="36"/>
  <c r="B117" i="36"/>
  <c r="B116" i="36"/>
  <c r="B115" i="36"/>
  <c r="B114" i="36"/>
  <c r="B113" i="36"/>
  <c r="B112" i="36"/>
  <c r="B111" i="36"/>
  <c r="B110" i="36"/>
  <c r="B109" i="36"/>
  <c r="B108" i="36"/>
  <c r="B107" i="36"/>
  <c r="B106" i="36"/>
  <c r="B105" i="36"/>
  <c r="B104" i="36"/>
  <c r="B103" i="36"/>
  <c r="B102" i="36"/>
  <c r="B101" i="36"/>
  <c r="B100" i="36"/>
  <c r="B99" i="36"/>
  <c r="B98" i="36"/>
  <c r="B97" i="36"/>
  <c r="B96" i="36"/>
  <c r="B95" i="36"/>
  <c r="B94" i="36"/>
  <c r="B93" i="36"/>
  <c r="B92" i="36"/>
  <c r="B91" i="36"/>
  <c r="B90" i="36"/>
  <c r="B89" i="36"/>
  <c r="B88" i="36"/>
  <c r="B87" i="36"/>
  <c r="B86" i="36"/>
  <c r="B85" i="36"/>
  <c r="B84" i="36"/>
  <c r="B83" i="36"/>
  <c r="B82" i="36"/>
  <c r="B81" i="36"/>
  <c r="B80" i="36"/>
  <c r="B79" i="36"/>
  <c r="B78" i="36"/>
  <c r="B77" i="36"/>
  <c r="B76" i="36"/>
  <c r="B75" i="36"/>
  <c r="B74" i="36"/>
  <c r="B73" i="36"/>
  <c r="B72" i="36"/>
  <c r="B71" i="36"/>
  <c r="B70" i="36"/>
  <c r="B69" i="36"/>
  <c r="B68" i="36"/>
  <c r="B67" i="36"/>
  <c r="B66" i="36"/>
  <c r="B65" i="36"/>
  <c r="B64" i="36"/>
  <c r="B63" i="36"/>
  <c r="B62" i="36"/>
  <c r="B61" i="36"/>
  <c r="B60" i="36"/>
  <c r="B59" i="36"/>
  <c r="B58" i="36"/>
  <c r="B57" i="36"/>
  <c r="B56" i="36"/>
  <c r="B55" i="36"/>
  <c r="B54" i="36"/>
  <c r="B53" i="36"/>
  <c r="B52" i="36"/>
  <c r="B51" i="36"/>
  <c r="B50" i="36"/>
  <c r="B49" i="36"/>
  <c r="B48" i="36"/>
  <c r="B47" i="36"/>
  <c r="B46" i="36"/>
  <c r="B45" i="36"/>
  <c r="B44" i="36"/>
  <c r="B43" i="36"/>
  <c r="B42" i="36"/>
  <c r="B41" i="36"/>
  <c r="B40" i="36"/>
  <c r="B39" i="36"/>
  <c r="B38" i="36"/>
  <c r="B37" i="36"/>
  <c r="B36" i="36"/>
  <c r="B35" i="36"/>
  <c r="B34" i="36"/>
  <c r="B33" i="36"/>
  <c r="B32" i="36"/>
  <c r="B31" i="36"/>
  <c r="B30" i="36"/>
  <c r="B29" i="36"/>
  <c r="B28" i="36"/>
  <c r="B27" i="36"/>
  <c r="B26" i="36"/>
  <c r="B25" i="36"/>
  <c r="B24" i="36"/>
  <c r="B23" i="36"/>
  <c r="B22" i="36"/>
  <c r="B21" i="36"/>
  <c r="B20" i="36"/>
  <c r="B19" i="36"/>
  <c r="B18" i="36"/>
  <c r="B17" i="36"/>
  <c r="B16" i="36"/>
  <c r="B15" i="36"/>
  <c r="B14" i="36"/>
  <c r="B13" i="36"/>
  <c r="B12" i="36"/>
  <c r="B11" i="36"/>
  <c r="B10" i="36"/>
  <c r="B9" i="36"/>
  <c r="B8" i="36"/>
  <c r="B7" i="36"/>
  <c r="B6" i="36"/>
  <c r="B5" i="36"/>
  <c r="B4" i="36"/>
  <c r="B3" i="36"/>
  <c r="B2" i="36"/>
  <c r="B1847" i="36"/>
  <c r="B1846" i="36"/>
  <c r="B1845" i="36"/>
  <c r="B1844" i="36"/>
  <c r="B1843" i="36"/>
  <c r="B1842" i="36"/>
  <c r="B1841" i="36"/>
  <c r="AB1847" i="36"/>
  <c r="AB1846" i="36"/>
  <c r="AB1845" i="36"/>
  <c r="AB1844" i="36"/>
  <c r="AB1843" i="36"/>
  <c r="AB1842" i="36"/>
  <c r="AB1841" i="36"/>
  <c r="AB1840" i="36"/>
  <c r="AB1839" i="36"/>
  <c r="AB1838" i="36"/>
  <c r="AB1837" i="36"/>
  <c r="AB1836" i="36"/>
  <c r="AB1835" i="36"/>
  <c r="AB1834" i="36"/>
  <c r="AB1833" i="36"/>
  <c r="AB1832" i="36"/>
  <c r="AB1831" i="36"/>
  <c r="AB1830" i="36"/>
  <c r="AB1829" i="36"/>
  <c r="AB1828" i="36"/>
  <c r="AB1827" i="36"/>
  <c r="AB1826" i="36"/>
  <c r="AB1825" i="36"/>
  <c r="AB1824" i="36"/>
  <c r="AB1823" i="36"/>
  <c r="AB1822" i="36"/>
  <c r="AB1821" i="36"/>
  <c r="AB1820" i="36"/>
  <c r="AB1819" i="36"/>
  <c r="AB1818" i="36"/>
  <c r="AB1817" i="36"/>
  <c r="AB1816" i="36"/>
  <c r="AB1815" i="36"/>
  <c r="AB1814" i="36"/>
  <c r="AB1813" i="36"/>
  <c r="AB1812" i="36"/>
  <c r="AB1811" i="36"/>
  <c r="AB1810" i="36"/>
  <c r="AB1809" i="36"/>
  <c r="AB1808" i="36"/>
  <c r="AB1807" i="36"/>
  <c r="AB1806" i="36"/>
  <c r="AB1805" i="36"/>
  <c r="AB1804" i="36"/>
  <c r="AB1803" i="36"/>
  <c r="AB1802" i="36"/>
  <c r="AB1801" i="36"/>
  <c r="AB1800" i="36"/>
  <c r="AB1799" i="36"/>
  <c r="AB1798" i="36"/>
  <c r="AB1797" i="36"/>
  <c r="AB1796" i="36"/>
  <c r="AB1795" i="36"/>
  <c r="AB1794" i="36"/>
  <c r="AB1793" i="36"/>
  <c r="AB1792" i="36"/>
  <c r="AB1791" i="36"/>
  <c r="AB1790" i="36"/>
  <c r="AB1789" i="36"/>
  <c r="AB1788" i="36"/>
  <c r="AB1787" i="36"/>
  <c r="AB1786" i="36"/>
  <c r="AB1785" i="36"/>
  <c r="AB1784" i="36"/>
  <c r="AB1783" i="36"/>
  <c r="AB1782" i="36"/>
  <c r="AB1781" i="36"/>
  <c r="AB1780" i="36"/>
  <c r="AB1779" i="36"/>
  <c r="AB1778" i="36"/>
  <c r="AB1777" i="36"/>
  <c r="AB1776" i="36"/>
  <c r="AB1775" i="36"/>
  <c r="AB1774" i="36"/>
  <c r="AB1773" i="36"/>
  <c r="AB1772" i="36"/>
  <c r="AB1771" i="36"/>
  <c r="AB1770" i="36"/>
  <c r="AB1769" i="36"/>
  <c r="AB1768" i="36"/>
  <c r="AB1767" i="36"/>
  <c r="AB1766" i="36"/>
  <c r="AB1765" i="36"/>
  <c r="AB1764" i="36"/>
  <c r="AB1763" i="36"/>
  <c r="AB1762" i="36"/>
  <c r="AB1761" i="36"/>
  <c r="AB1760" i="36"/>
  <c r="AB1759" i="36"/>
  <c r="AB1758" i="36"/>
  <c r="AB1757" i="36"/>
  <c r="AB1756" i="36"/>
  <c r="AB1755" i="36"/>
  <c r="AB1754" i="36"/>
  <c r="AB1753" i="36"/>
  <c r="AB1752" i="36"/>
  <c r="AB1751" i="36"/>
  <c r="AB1750" i="36"/>
  <c r="AB1749" i="36"/>
  <c r="AB1748" i="36"/>
  <c r="AB1747" i="36"/>
  <c r="AB1746" i="36"/>
  <c r="AB1745" i="36"/>
  <c r="AB1744" i="36"/>
  <c r="AB1743" i="36"/>
  <c r="AB1742" i="36"/>
  <c r="AB1741" i="36"/>
  <c r="AB1740" i="36"/>
  <c r="AB1739" i="36"/>
  <c r="AB1738" i="36"/>
  <c r="AB1737" i="36"/>
  <c r="AB1736" i="36"/>
  <c r="AB1735" i="36"/>
  <c r="AB1734" i="36"/>
  <c r="AB1733" i="36"/>
  <c r="AB1732" i="36"/>
  <c r="AB1731" i="36"/>
  <c r="AB1730" i="36"/>
  <c r="AB1729" i="36"/>
  <c r="AB1728" i="36"/>
  <c r="AB1727" i="36"/>
  <c r="AB1726" i="36"/>
  <c r="AB1725" i="36"/>
  <c r="AB1724" i="36"/>
  <c r="AB1723" i="36"/>
  <c r="AB1722" i="36"/>
  <c r="AB1721" i="36"/>
  <c r="AB1720" i="36"/>
  <c r="AB1719" i="36"/>
  <c r="AB1718" i="36"/>
  <c r="AB1717" i="36"/>
  <c r="AB1716" i="36"/>
  <c r="AB1715" i="36"/>
  <c r="AB1714" i="36"/>
  <c r="AB1713" i="36"/>
  <c r="AB1712" i="36"/>
  <c r="AB1711" i="36"/>
  <c r="AB1710" i="36"/>
  <c r="AB1709" i="36"/>
  <c r="AB1708" i="36"/>
  <c r="AB1707" i="36"/>
  <c r="AB1706" i="36"/>
  <c r="AB1705" i="36"/>
  <c r="AB1704" i="36"/>
  <c r="AB1703" i="36"/>
  <c r="AB1702" i="36"/>
  <c r="AB1701" i="36"/>
  <c r="AB1700" i="36"/>
  <c r="AB1699" i="36"/>
  <c r="AB1698" i="36"/>
  <c r="AB1697" i="36"/>
  <c r="AB1696" i="36"/>
  <c r="AB1695" i="36"/>
  <c r="AB1694" i="36"/>
  <c r="AB1693" i="36"/>
  <c r="AB1692" i="36"/>
  <c r="AB1691" i="36"/>
  <c r="AB1690" i="36"/>
  <c r="AB1689" i="36"/>
  <c r="AB1688" i="36"/>
  <c r="AB1687" i="36"/>
  <c r="AB1686" i="36"/>
  <c r="AB1685" i="36"/>
  <c r="AB1684" i="36"/>
  <c r="AB1683" i="36"/>
  <c r="AB1682" i="36"/>
  <c r="AB1681" i="36"/>
  <c r="AB1680" i="36"/>
  <c r="AB1679" i="36"/>
  <c r="AB1678" i="36"/>
  <c r="AB1677" i="36"/>
  <c r="AB1676" i="36"/>
  <c r="AB1675" i="36"/>
  <c r="AB1674" i="36"/>
  <c r="AB1673" i="36"/>
  <c r="AB1672" i="36"/>
  <c r="AB1671" i="36"/>
  <c r="AB1670" i="36"/>
  <c r="AB1669" i="36"/>
  <c r="AB1668" i="36"/>
  <c r="AB1667" i="36"/>
  <c r="AB1666" i="36"/>
  <c r="AB1665" i="36"/>
  <c r="AB1664" i="36"/>
  <c r="AB1663" i="36"/>
  <c r="AB1662" i="36"/>
  <c r="AB1661" i="36"/>
  <c r="AB1660" i="36"/>
  <c r="AB1659" i="36"/>
  <c r="AB1658" i="36"/>
  <c r="AB1657" i="36"/>
  <c r="AB1656" i="36"/>
  <c r="AB1655" i="36"/>
  <c r="AB1654" i="36"/>
  <c r="AB1653" i="36"/>
  <c r="AB1652" i="36"/>
  <c r="AB1651" i="36"/>
  <c r="AB1650" i="36"/>
  <c r="AB1649" i="36"/>
  <c r="AB1648" i="36"/>
  <c r="AB1647" i="36"/>
  <c r="AB1646" i="36"/>
  <c r="AB1645" i="36"/>
  <c r="AB1644" i="36"/>
  <c r="AB1643" i="36"/>
  <c r="AB1642" i="36"/>
  <c r="AB1641" i="36"/>
  <c r="AB1640" i="36"/>
  <c r="AB1639" i="36"/>
  <c r="AB1638" i="36"/>
  <c r="AB1637" i="36"/>
  <c r="AB1636" i="36"/>
  <c r="AB1635" i="36"/>
  <c r="AB1634" i="36"/>
  <c r="AB1633" i="36"/>
  <c r="AB1632" i="36"/>
  <c r="AB1631" i="36"/>
  <c r="AB1630" i="36"/>
  <c r="AB1629" i="36"/>
  <c r="AB1628" i="36"/>
  <c r="AB1627" i="36"/>
  <c r="AB1626" i="36"/>
  <c r="AB1625" i="36"/>
  <c r="AB1624" i="36"/>
  <c r="AB1623" i="36"/>
  <c r="AB1622" i="36"/>
  <c r="AB1621" i="36"/>
  <c r="AB1620" i="36"/>
  <c r="AB1619" i="36"/>
  <c r="AB1618" i="36"/>
  <c r="AB1617" i="36"/>
  <c r="AB1616" i="36"/>
  <c r="AB1615" i="36"/>
  <c r="AB1614" i="36"/>
  <c r="AB1613" i="36"/>
  <c r="AB1612" i="36"/>
  <c r="AB1611" i="36"/>
  <c r="AB1610" i="36"/>
  <c r="AB1609" i="36"/>
  <c r="AB1608" i="36"/>
  <c r="AB1607" i="36"/>
  <c r="AB1606" i="36"/>
  <c r="AB1605" i="36"/>
  <c r="AB1604" i="36"/>
  <c r="AB1603" i="36"/>
  <c r="AB1602" i="36"/>
  <c r="AB1601" i="36"/>
  <c r="AB1600" i="36"/>
  <c r="AB1599" i="36"/>
  <c r="AB1598" i="36"/>
  <c r="AB1597" i="36"/>
  <c r="AB1596" i="36"/>
  <c r="AB1595" i="36"/>
  <c r="AB1594" i="36"/>
  <c r="AB1593" i="36"/>
  <c r="AB1592" i="36"/>
  <c r="AB1591" i="36"/>
  <c r="AB1590" i="36"/>
  <c r="AB1589" i="36"/>
  <c r="AB1588" i="36"/>
  <c r="AB1587" i="36"/>
  <c r="AB1586" i="36"/>
  <c r="AB1585" i="36"/>
  <c r="AB1584" i="36"/>
  <c r="AB1583" i="36"/>
  <c r="AB1582" i="36"/>
  <c r="AB1581" i="36"/>
  <c r="AB1580" i="36"/>
  <c r="AB1579" i="36"/>
  <c r="AB1578" i="36"/>
  <c r="AB1577" i="36"/>
  <c r="AB1576" i="36"/>
  <c r="AB1575" i="36"/>
  <c r="AB1574" i="36"/>
  <c r="AB1573" i="36"/>
  <c r="AB1572" i="36"/>
  <c r="AB1571" i="36"/>
  <c r="AB1570" i="36"/>
  <c r="AB1569" i="36"/>
  <c r="AB1568" i="36"/>
  <c r="AB1567" i="36"/>
  <c r="AB1566" i="36"/>
  <c r="AB1565" i="36"/>
  <c r="AB1564" i="36"/>
  <c r="AB1563" i="36"/>
  <c r="AB1562" i="36"/>
  <c r="AB1561" i="36"/>
  <c r="AB1560" i="36"/>
  <c r="AB1559" i="36"/>
  <c r="AB1558" i="36"/>
  <c r="AB1557" i="36"/>
  <c r="AB1556" i="36"/>
  <c r="AB1555" i="36"/>
  <c r="E1834" i="36"/>
  <c r="L1834" i="36"/>
  <c r="E1835" i="36"/>
  <c r="L1835" i="36"/>
  <c r="E1836" i="36"/>
  <c r="L1836" i="36"/>
  <c r="E1837" i="36"/>
  <c r="L1837" i="36"/>
  <c r="E1838" i="36"/>
  <c r="L1838" i="36"/>
  <c r="E1839" i="36"/>
  <c r="L1839" i="36"/>
  <c r="E1840" i="36"/>
  <c r="L1840" i="36"/>
  <c r="E1841" i="36"/>
  <c r="L1841" i="36"/>
  <c r="E1842" i="36"/>
  <c r="L1842" i="36"/>
  <c r="E1843" i="36"/>
  <c r="L1843" i="36"/>
  <c r="E1844" i="36"/>
  <c r="L1844" i="36"/>
  <c r="E1845" i="36"/>
  <c r="L1845" i="36"/>
  <c r="E1846" i="36"/>
  <c r="L1846" i="36"/>
  <c r="E1847" i="36"/>
  <c r="L1847" i="36"/>
  <c r="E1754" i="36"/>
  <c r="E1755" i="36"/>
  <c r="E1756" i="36"/>
  <c r="E1757" i="36"/>
  <c r="E1758" i="36"/>
  <c r="E1759" i="36"/>
  <c r="E1760" i="36"/>
  <c r="E1761" i="36"/>
  <c r="E1762" i="36"/>
  <c r="E1763" i="36"/>
  <c r="E1764" i="36"/>
  <c r="E1765" i="36"/>
  <c r="E1766" i="36"/>
  <c r="E1767" i="36"/>
  <c r="E1768" i="36"/>
  <c r="E1769" i="36"/>
  <c r="L1754" i="36"/>
  <c r="L1755" i="36"/>
  <c r="L1756" i="36"/>
  <c r="L1757" i="36"/>
  <c r="L1758" i="36"/>
  <c r="L1759" i="36"/>
  <c r="L1760" i="36"/>
  <c r="L1761" i="36"/>
  <c r="L1762" i="36"/>
  <c r="L1763" i="36"/>
  <c r="L1764" i="36"/>
  <c r="L1765" i="36"/>
  <c r="L1766" i="36"/>
  <c r="L1767" i="36"/>
  <c r="L1768" i="36"/>
  <c r="L1769" i="36"/>
  <c r="E1770" i="36"/>
  <c r="E1771" i="36"/>
  <c r="E1772" i="36"/>
  <c r="E1773" i="36"/>
  <c r="E1774" i="36"/>
  <c r="E1775" i="36"/>
  <c r="E1776" i="36"/>
  <c r="E1777" i="36"/>
  <c r="E1778" i="36"/>
  <c r="E1779" i="36"/>
  <c r="E1780" i="36"/>
  <c r="E1781" i="36"/>
  <c r="E1782" i="36"/>
  <c r="E1783" i="36"/>
  <c r="E1784" i="36"/>
  <c r="E1785" i="36"/>
  <c r="L1770" i="36"/>
  <c r="L1771" i="36"/>
  <c r="L1772" i="36"/>
  <c r="L1773" i="36"/>
  <c r="L1774" i="36"/>
  <c r="L1775" i="36"/>
  <c r="L1776" i="36"/>
  <c r="L1777" i="36"/>
  <c r="L1778" i="36"/>
  <c r="L1779" i="36"/>
  <c r="L1780" i="36"/>
  <c r="L1781" i="36"/>
  <c r="L1782" i="36"/>
  <c r="L1783" i="36"/>
  <c r="L1784" i="36"/>
  <c r="L1785" i="36"/>
  <c r="E1786" i="36"/>
  <c r="E1787" i="36"/>
  <c r="E1788" i="36"/>
  <c r="E1789" i="36"/>
  <c r="E1790" i="36"/>
  <c r="E1791" i="36"/>
  <c r="E1792" i="36"/>
  <c r="E1793" i="36"/>
  <c r="E1794" i="36"/>
  <c r="E1795" i="36"/>
  <c r="E1796" i="36"/>
  <c r="E1797" i="36"/>
  <c r="E1798" i="36"/>
  <c r="E1799" i="36"/>
  <c r="E1800" i="36"/>
  <c r="E1801" i="36"/>
  <c r="L1786" i="36"/>
  <c r="L1787" i="36"/>
  <c r="L1788" i="36"/>
  <c r="L1789" i="36"/>
  <c r="L1790" i="36"/>
  <c r="L1791" i="36"/>
  <c r="L1792" i="36"/>
  <c r="L1793" i="36"/>
  <c r="L1794" i="36"/>
  <c r="L1795" i="36"/>
  <c r="L1796" i="36"/>
  <c r="L1797" i="36"/>
  <c r="L1798" i="36"/>
  <c r="L1799" i="36"/>
  <c r="L1800" i="36"/>
  <c r="L1801" i="36"/>
  <c r="E1802" i="36"/>
  <c r="E1803" i="36"/>
  <c r="E1804" i="36"/>
  <c r="E1805" i="36"/>
  <c r="E1806" i="36"/>
  <c r="E1807" i="36"/>
  <c r="E1808" i="36"/>
  <c r="E1809" i="36"/>
  <c r="E1810" i="36"/>
  <c r="E1811" i="36"/>
  <c r="E1812" i="36"/>
  <c r="E1813" i="36"/>
  <c r="E1814" i="36"/>
  <c r="E1815" i="36"/>
  <c r="E1816" i="36"/>
  <c r="E1817" i="36"/>
  <c r="L1802" i="36"/>
  <c r="L1803" i="36"/>
  <c r="L1804" i="36"/>
  <c r="L1805" i="36"/>
  <c r="L1806" i="36"/>
  <c r="L1807" i="36"/>
  <c r="L1808" i="36"/>
  <c r="L1809" i="36"/>
  <c r="L1810" i="36"/>
  <c r="L1811" i="36"/>
  <c r="L1812" i="36"/>
  <c r="L1813" i="36"/>
  <c r="L1814" i="36"/>
  <c r="L1815" i="36"/>
  <c r="L1816" i="36"/>
  <c r="L1817" i="36"/>
  <c r="E1818" i="36"/>
  <c r="E1819" i="36"/>
  <c r="E1820" i="36"/>
  <c r="E1821" i="36"/>
  <c r="E1822" i="36"/>
  <c r="E1823" i="36"/>
  <c r="E1824" i="36"/>
  <c r="E1825" i="36"/>
  <c r="E1826" i="36"/>
  <c r="E1827" i="36"/>
  <c r="E1828" i="36"/>
  <c r="E1829" i="36"/>
  <c r="E1830" i="36"/>
  <c r="E1831" i="36"/>
  <c r="E1832" i="36"/>
  <c r="E1833" i="36"/>
  <c r="L1818" i="36"/>
  <c r="L1819" i="36"/>
  <c r="L1820" i="36"/>
  <c r="L1821" i="36"/>
  <c r="L1822" i="36"/>
  <c r="L1823" i="36"/>
  <c r="L1824" i="36"/>
  <c r="L1825" i="36"/>
  <c r="L1826" i="36"/>
  <c r="L1827" i="36"/>
  <c r="L1828" i="36"/>
  <c r="L1829" i="36"/>
  <c r="L1830" i="36"/>
  <c r="L1831" i="36"/>
  <c r="L1832" i="36"/>
  <c r="L1833" i="36"/>
  <c r="E1608" i="36"/>
  <c r="E1609" i="36"/>
  <c r="E1610" i="36"/>
  <c r="E1611" i="36"/>
  <c r="E1612" i="36"/>
  <c r="E1613" i="36"/>
  <c r="E1614" i="36"/>
  <c r="E1615" i="36"/>
  <c r="E1616" i="36"/>
  <c r="E1617" i="36"/>
  <c r="E1618" i="36"/>
  <c r="E1619" i="36"/>
  <c r="E1620" i="36"/>
  <c r="E1621" i="36"/>
  <c r="E1622" i="36"/>
  <c r="E1623" i="36"/>
  <c r="E1624" i="36"/>
  <c r="E1625" i="36"/>
  <c r="E1626" i="36"/>
  <c r="E1627" i="36"/>
  <c r="E1628" i="36"/>
  <c r="E1629" i="36"/>
  <c r="E1630" i="36"/>
  <c r="E1631" i="36"/>
  <c r="E1632" i="36"/>
  <c r="E1633" i="36"/>
  <c r="E1634" i="36"/>
  <c r="E1635" i="36"/>
  <c r="E1636" i="36"/>
  <c r="E1637" i="36"/>
  <c r="E1638" i="36"/>
  <c r="E1639" i="36"/>
  <c r="E1640" i="36"/>
  <c r="E1641" i="36"/>
  <c r="E1642" i="36"/>
  <c r="E1643" i="36"/>
  <c r="E1644" i="36"/>
  <c r="E1645" i="36"/>
  <c r="E1646" i="36"/>
  <c r="E1647" i="36"/>
  <c r="E1648" i="36"/>
  <c r="E1649" i="36"/>
  <c r="E1650" i="36"/>
  <c r="E1651" i="36"/>
  <c r="E1652" i="36"/>
  <c r="E1653" i="36"/>
  <c r="E1654" i="36"/>
  <c r="E1655" i="36"/>
  <c r="E1656" i="36"/>
  <c r="E1657" i="36"/>
  <c r="E1658" i="36"/>
  <c r="E1659" i="36"/>
  <c r="E1660" i="36"/>
  <c r="E1661" i="36"/>
  <c r="E1662" i="36"/>
  <c r="E1663" i="36"/>
  <c r="E1664" i="36"/>
  <c r="E1665" i="36"/>
  <c r="E1666" i="36"/>
  <c r="E1667" i="36"/>
  <c r="E1668" i="36"/>
  <c r="E1669" i="36"/>
  <c r="E1670" i="36"/>
  <c r="E1671" i="36"/>
  <c r="E1672" i="36"/>
  <c r="E1673" i="36"/>
  <c r="E1674" i="36"/>
  <c r="E1675" i="36"/>
  <c r="E1676" i="36"/>
  <c r="E1677" i="36"/>
  <c r="E1678" i="36"/>
  <c r="E1679" i="36"/>
  <c r="E1680" i="36"/>
  <c r="E1681" i="36"/>
  <c r="E1682" i="36"/>
  <c r="E1683" i="36"/>
  <c r="E1684" i="36"/>
  <c r="E1685" i="36"/>
  <c r="E1686" i="36"/>
  <c r="E1687" i="36"/>
  <c r="E1688" i="36"/>
  <c r="L1608" i="36"/>
  <c r="L1609" i="36"/>
  <c r="L1610" i="36"/>
  <c r="L1611" i="36"/>
  <c r="L1612" i="36"/>
  <c r="L1613" i="36"/>
  <c r="L1614" i="36"/>
  <c r="L1615" i="36"/>
  <c r="L1616" i="36"/>
  <c r="L1617" i="36"/>
  <c r="L1618" i="36"/>
  <c r="L1619" i="36"/>
  <c r="L1620" i="36"/>
  <c r="L1621" i="36"/>
  <c r="L1622" i="36"/>
  <c r="L1623" i="36"/>
  <c r="L1624" i="36"/>
  <c r="L1625" i="36"/>
  <c r="L1626" i="36"/>
  <c r="L1627" i="36"/>
  <c r="L1628" i="36"/>
  <c r="L1629" i="36"/>
  <c r="L1630" i="36"/>
  <c r="L1631" i="36"/>
  <c r="L1632" i="36"/>
  <c r="L1633" i="36"/>
  <c r="L1634" i="36"/>
  <c r="L1635" i="36"/>
  <c r="L1636" i="36"/>
  <c r="L1637" i="36"/>
  <c r="L1638" i="36"/>
  <c r="L1639" i="36"/>
  <c r="L1640" i="36"/>
  <c r="L1641" i="36"/>
  <c r="L1642" i="36"/>
  <c r="L1643" i="36"/>
  <c r="L1644" i="36"/>
  <c r="L1645" i="36"/>
  <c r="L1646" i="36"/>
  <c r="L1647" i="36"/>
  <c r="L1648" i="36"/>
  <c r="L1649" i="36"/>
  <c r="L1650" i="36"/>
  <c r="L1651" i="36"/>
  <c r="L1652" i="36"/>
  <c r="L1653" i="36"/>
  <c r="L1654" i="36"/>
  <c r="L1655" i="36"/>
  <c r="L1656" i="36"/>
  <c r="L1657" i="36"/>
  <c r="L1658" i="36"/>
  <c r="L1659" i="36"/>
  <c r="L1660" i="36"/>
  <c r="L1661" i="36"/>
  <c r="L1662" i="36"/>
  <c r="L1663" i="36"/>
  <c r="L1664" i="36"/>
  <c r="L1665" i="36"/>
  <c r="L1666" i="36"/>
  <c r="L1667" i="36"/>
  <c r="L1668" i="36"/>
  <c r="L1669" i="36"/>
  <c r="L1670" i="36"/>
  <c r="L1671" i="36"/>
  <c r="L1672" i="36"/>
  <c r="L1673" i="36"/>
  <c r="L1674" i="36"/>
  <c r="L1675" i="36"/>
  <c r="L1676" i="36"/>
  <c r="L1677" i="36"/>
  <c r="L1678" i="36"/>
  <c r="L1679" i="36"/>
  <c r="L1680" i="36"/>
  <c r="L1681" i="36"/>
  <c r="L1682" i="36"/>
  <c r="L1683" i="36"/>
  <c r="L1684" i="36"/>
  <c r="L1685" i="36"/>
  <c r="L1686" i="36"/>
  <c r="L1687" i="36"/>
  <c r="L1688" i="36"/>
  <c r="E1690" i="36"/>
  <c r="E1691" i="36"/>
  <c r="L1690" i="36"/>
  <c r="L1691" i="36"/>
  <c r="E1692" i="36"/>
  <c r="E1693" i="36"/>
  <c r="L1692" i="36"/>
  <c r="L1693" i="36"/>
  <c r="E1694" i="36"/>
  <c r="E1695" i="36"/>
  <c r="L1694" i="36"/>
  <c r="L1695" i="36"/>
  <c r="E1696" i="36"/>
  <c r="E1697" i="36"/>
  <c r="L1696" i="36"/>
  <c r="L1697" i="36"/>
  <c r="E1698" i="36"/>
  <c r="E1699" i="36"/>
  <c r="L1698" i="36"/>
  <c r="L1699" i="36"/>
  <c r="E1700" i="36"/>
  <c r="E1701" i="36"/>
  <c r="L1700" i="36"/>
  <c r="L1701" i="36"/>
  <c r="E1702" i="36"/>
  <c r="E1703" i="36"/>
  <c r="L1702" i="36"/>
  <c r="L1703" i="36"/>
  <c r="E1704" i="36"/>
  <c r="E1705" i="36"/>
  <c r="L1704" i="36"/>
  <c r="L1705" i="36"/>
  <c r="E1706" i="36"/>
  <c r="L1706" i="36"/>
  <c r="E1707" i="36"/>
  <c r="E1708" i="36"/>
  <c r="L1707" i="36"/>
  <c r="L1708" i="36"/>
  <c r="E1709" i="36"/>
  <c r="E1710" i="36"/>
  <c r="L1709" i="36"/>
  <c r="L1710" i="36"/>
  <c r="E1711" i="36"/>
  <c r="E1712" i="36"/>
  <c r="L1711" i="36"/>
  <c r="L1712" i="36"/>
  <c r="E1713" i="36"/>
  <c r="E1714" i="36"/>
  <c r="L1713" i="36"/>
  <c r="L1714" i="36"/>
  <c r="E1715" i="36"/>
  <c r="E1716" i="36"/>
  <c r="L1715" i="36"/>
  <c r="L1716" i="36"/>
  <c r="E1717" i="36"/>
  <c r="E1718" i="36"/>
  <c r="L1717" i="36"/>
  <c r="L1718" i="36"/>
  <c r="E1719" i="36"/>
  <c r="E1720" i="36"/>
  <c r="L1719" i="36"/>
  <c r="L1720" i="36"/>
  <c r="E1721" i="36"/>
  <c r="E1722" i="36"/>
  <c r="L1721" i="36"/>
  <c r="L1722" i="36"/>
  <c r="E1723" i="36"/>
  <c r="E1724" i="36"/>
  <c r="L1723" i="36"/>
  <c r="L1724" i="36"/>
  <c r="E1725" i="36"/>
  <c r="E1726" i="36"/>
  <c r="L1725" i="36"/>
  <c r="L1726" i="36"/>
  <c r="E1727" i="36"/>
  <c r="E1728" i="36"/>
  <c r="L1727" i="36"/>
  <c r="L1728" i="36"/>
  <c r="E1729" i="36"/>
  <c r="E1730" i="36"/>
  <c r="L1729" i="36"/>
  <c r="L1730" i="36"/>
  <c r="E1731" i="36"/>
  <c r="E1732" i="36"/>
  <c r="L1731" i="36"/>
  <c r="L1732" i="36"/>
  <c r="E1733" i="36"/>
  <c r="E1734" i="36"/>
  <c r="L1733" i="36"/>
  <c r="L1734" i="36"/>
  <c r="E1735" i="36"/>
  <c r="E1736" i="36"/>
  <c r="L1735" i="36"/>
  <c r="L1736" i="36"/>
  <c r="E1737" i="36"/>
  <c r="E1738" i="36"/>
  <c r="L1737" i="36"/>
  <c r="L1738" i="36"/>
  <c r="E1739" i="36"/>
  <c r="E1740" i="36"/>
  <c r="L1739" i="36"/>
  <c r="L1740" i="36"/>
  <c r="E1741" i="36"/>
  <c r="E1742" i="36"/>
  <c r="L1741" i="36"/>
  <c r="L1742" i="36"/>
  <c r="E1743" i="36"/>
  <c r="E1744" i="36"/>
  <c r="L1743" i="36"/>
  <c r="L1744" i="36"/>
  <c r="E1745" i="36"/>
  <c r="E1746" i="36"/>
  <c r="L1745" i="36"/>
  <c r="L1746" i="36"/>
  <c r="E1747" i="36"/>
  <c r="E1748" i="36"/>
  <c r="L1747" i="36"/>
  <c r="L1748" i="36"/>
  <c r="E1749" i="36"/>
  <c r="E1750" i="36"/>
  <c r="L1749" i="36"/>
  <c r="L1750" i="36"/>
  <c r="E1751" i="36"/>
  <c r="E1752" i="36"/>
  <c r="L1751" i="36"/>
  <c r="L1752" i="36"/>
  <c r="E1753" i="36"/>
  <c r="L1753" i="36"/>
  <c r="E1689" i="36"/>
  <c r="L1689" i="36"/>
  <c r="E1607" i="36"/>
  <c r="L1607" i="36"/>
  <c r="N9" i="40" l="1"/>
  <c r="K18" i="39"/>
  <c r="K11" i="47" s="1"/>
  <c r="M17" i="39"/>
  <c r="M10" i="47" s="1"/>
  <c r="M17" i="47" s="1"/>
  <c r="M19" i="47" s="1"/>
  <c r="K9" i="39"/>
  <c r="M9" i="40"/>
  <c r="M12" i="39"/>
  <c r="N15" i="39"/>
  <c r="N11" i="39"/>
  <c r="N17" i="39"/>
  <c r="N10" i="47" s="1"/>
  <c r="N17" i="47" s="1"/>
  <c r="N19" i="47" s="1"/>
  <c r="E1592" i="36"/>
  <c r="L1592" i="36"/>
  <c r="E1593" i="36"/>
  <c r="L1593" i="36"/>
  <c r="E1594" i="36"/>
  <c r="L1594" i="36"/>
  <c r="E1595" i="36"/>
  <c r="L1595" i="36"/>
  <c r="E1596" i="36"/>
  <c r="L1596" i="36"/>
  <c r="E1597" i="36"/>
  <c r="L1597" i="36"/>
  <c r="E1598" i="36"/>
  <c r="L1598" i="36"/>
  <c r="E1599" i="36"/>
  <c r="L1599" i="36"/>
  <c r="E1600" i="36"/>
  <c r="L1600" i="36"/>
  <c r="E1601" i="36"/>
  <c r="L1601" i="36"/>
  <c r="E1602" i="36"/>
  <c r="L1602" i="36"/>
  <c r="E1603" i="36"/>
  <c r="L1603" i="36"/>
  <c r="E1604" i="36"/>
  <c r="L1604" i="36"/>
  <c r="E1605" i="36"/>
  <c r="L1605" i="36"/>
  <c r="E1606" i="36"/>
  <c r="L1606" i="36"/>
  <c r="L1590" i="36"/>
  <c r="E1590" i="36"/>
  <c r="L1589" i="36"/>
  <c r="E1589" i="36"/>
  <c r="L1588" i="36"/>
  <c r="E1588" i="36"/>
  <c r="L1586" i="36"/>
  <c r="E1586" i="36"/>
  <c r="L1585" i="36"/>
  <c r="E1585" i="36"/>
  <c r="E1580" i="36"/>
  <c r="L1580" i="36"/>
  <c r="E1581" i="36"/>
  <c r="L1581" i="36"/>
  <c r="E1582" i="36"/>
  <c r="L1582" i="36"/>
  <c r="E1583" i="36"/>
  <c r="L1583" i="36"/>
  <c r="E1584" i="36"/>
  <c r="L1584" i="36"/>
  <c r="E1587" i="36"/>
  <c r="L1587" i="36"/>
  <c r="E1591" i="36"/>
  <c r="L1591" i="36"/>
  <c r="O118" i="45"/>
  <c r="O117" i="45"/>
  <c r="O116" i="45"/>
  <c r="O115" i="45"/>
  <c r="O114" i="45"/>
  <c r="O113" i="45"/>
  <c r="O112" i="45"/>
  <c r="N118" i="45"/>
  <c r="N117" i="45"/>
  <c r="N116" i="45"/>
  <c r="N115" i="45"/>
  <c r="N114" i="45"/>
  <c r="N113" i="45"/>
  <c r="N112" i="45"/>
  <c r="M118" i="45"/>
  <c r="M117" i="45"/>
  <c r="M116" i="45"/>
  <c r="M115" i="45"/>
  <c r="M114" i="45"/>
  <c r="M113" i="45"/>
  <c r="M112" i="45"/>
  <c r="Z108" i="45"/>
  <c r="Z109" i="45"/>
  <c r="Z110" i="45"/>
  <c r="Y109" i="45"/>
  <c r="Y110" i="45"/>
  <c r="Y108" i="45"/>
  <c r="M24" i="45"/>
  <c r="M25" i="45"/>
  <c r="M26" i="45"/>
  <c r="H48" i="45"/>
  <c r="I48" i="45"/>
  <c r="H49" i="45"/>
  <c r="I49" i="45"/>
  <c r="H50" i="45"/>
  <c r="I50" i="45"/>
  <c r="H51" i="45"/>
  <c r="I51" i="45"/>
  <c r="H52" i="45"/>
  <c r="I52" i="45"/>
  <c r="H53" i="45"/>
  <c r="I53" i="45"/>
  <c r="I54" i="45"/>
  <c r="I55" i="45"/>
  <c r="I56" i="45"/>
  <c r="I57" i="45"/>
  <c r="I58" i="45"/>
  <c r="I59" i="45"/>
  <c r="I60" i="45"/>
  <c r="I61" i="45"/>
  <c r="I62" i="45"/>
  <c r="I63" i="45"/>
  <c r="I64" i="45"/>
  <c r="I65" i="45"/>
  <c r="I66" i="45"/>
  <c r="I67" i="45"/>
  <c r="I68" i="45"/>
  <c r="I69" i="45"/>
  <c r="I70" i="45"/>
  <c r="I71" i="45"/>
  <c r="I72" i="45"/>
  <c r="H54" i="45"/>
  <c r="H55" i="45"/>
  <c r="H56" i="45"/>
  <c r="H57" i="45"/>
  <c r="H58" i="45"/>
  <c r="H59" i="45"/>
  <c r="H60" i="45"/>
  <c r="H61" i="45"/>
  <c r="H62" i="45"/>
  <c r="H63" i="45"/>
  <c r="H64" i="45"/>
  <c r="H65" i="45"/>
  <c r="H66" i="45"/>
  <c r="H67" i="45"/>
  <c r="H68" i="45"/>
  <c r="H69" i="45"/>
  <c r="H70" i="45"/>
  <c r="H71" i="45"/>
  <c r="H72" i="45"/>
  <c r="AB1554" i="36"/>
  <c r="V117" i="45"/>
  <c r="V122" i="45"/>
  <c r="V119" i="45"/>
  <c r="V121" i="45"/>
  <c r="V118" i="45"/>
  <c r="V123" i="45"/>
  <c r="V116" i="45"/>
  <c r="V115" i="45"/>
  <c r="V120" i="45"/>
  <c r="V124" i="45"/>
  <c r="U124" i="45"/>
  <c r="U122" i="45"/>
  <c r="U119" i="45"/>
  <c r="U121" i="45"/>
  <c r="U118" i="45"/>
  <c r="U123" i="45"/>
  <c r="U116" i="45"/>
  <c r="U115" i="45"/>
  <c r="U120" i="45"/>
  <c r="U117" i="45"/>
  <c r="S116" i="45"/>
  <c r="S117" i="45"/>
  <c r="S118" i="45"/>
  <c r="S119" i="45"/>
  <c r="S120" i="45"/>
  <c r="S121" i="45"/>
  <c r="S122" i="45"/>
  <c r="R116" i="45"/>
  <c r="R117" i="45"/>
  <c r="R118" i="45"/>
  <c r="R119" i="45"/>
  <c r="R120" i="45"/>
  <c r="R121" i="45"/>
  <c r="R122" i="45"/>
  <c r="Q117" i="45"/>
  <c r="Q118" i="45"/>
  <c r="Q119" i="45"/>
  <c r="Q120" i="45"/>
  <c r="Q121" i="45"/>
  <c r="Q122" i="45"/>
  <c r="Q116" i="45"/>
  <c r="U27" i="45"/>
  <c r="T28" i="45"/>
  <c r="U28" i="45"/>
  <c r="V28" i="45"/>
  <c r="W28" i="45"/>
  <c r="S28" i="45"/>
  <c r="S27" i="45"/>
  <c r="L1554" i="36"/>
  <c r="L1579" i="36"/>
  <c r="L1578" i="36"/>
  <c r="L1577" i="36"/>
  <c r="L1576" i="36"/>
  <c r="L1575" i="36"/>
  <c r="L1574" i="36"/>
  <c r="L1573" i="36"/>
  <c r="L1572" i="36"/>
  <c r="L1571" i="36"/>
  <c r="L1570" i="36"/>
  <c r="L1569" i="36"/>
  <c r="L1568" i="36"/>
  <c r="L1567" i="36"/>
  <c r="L1566" i="36"/>
  <c r="L1565" i="36"/>
  <c r="L1564" i="36"/>
  <c r="L1563" i="36"/>
  <c r="L1562" i="36"/>
  <c r="L1561" i="36"/>
  <c r="L1560" i="36"/>
  <c r="L1559" i="36"/>
  <c r="L1558" i="36"/>
  <c r="L1557" i="36"/>
  <c r="L1556" i="36"/>
  <c r="L1555" i="36"/>
  <c r="E1559" i="36"/>
  <c r="E1560" i="36"/>
  <c r="E1561" i="36"/>
  <c r="E1562" i="36"/>
  <c r="E1563" i="36"/>
  <c r="E1554" i="36"/>
  <c r="E1555" i="36"/>
  <c r="E1556" i="36"/>
  <c r="E1557" i="36"/>
  <c r="E1558" i="36"/>
  <c r="E1564" i="36"/>
  <c r="E1565" i="36"/>
  <c r="E1566" i="36"/>
  <c r="E1567" i="36"/>
  <c r="E1568" i="36"/>
  <c r="E1569" i="36"/>
  <c r="E1570" i="36"/>
  <c r="E1571" i="36"/>
  <c r="E1572" i="36"/>
  <c r="E1573" i="36"/>
  <c r="E1574" i="36"/>
  <c r="E1575" i="36"/>
  <c r="E1576" i="36"/>
  <c r="E1577" i="36"/>
  <c r="E1578" i="36"/>
  <c r="E1579" i="36"/>
  <c r="J10" i="40"/>
  <c r="R45" i="43"/>
  <c r="Q45" i="43"/>
  <c r="P45" i="43"/>
  <c r="O45" i="43"/>
  <c r="N45" i="43"/>
  <c r="M45" i="43"/>
  <c r="L45" i="43"/>
  <c r="K45" i="43"/>
  <c r="J45" i="43"/>
  <c r="I45" i="43"/>
  <c r="H45" i="43"/>
  <c r="G45" i="43"/>
  <c r="R39" i="43"/>
  <c r="Q39" i="43"/>
  <c r="P39" i="43"/>
  <c r="O39" i="43"/>
  <c r="N39" i="43"/>
  <c r="M39" i="43"/>
  <c r="L39" i="43"/>
  <c r="K39" i="43"/>
  <c r="J39" i="43"/>
  <c r="I39" i="43"/>
  <c r="H39" i="43"/>
  <c r="G39" i="43"/>
  <c r="R38" i="43"/>
  <c r="Q38" i="43"/>
  <c r="P38" i="43"/>
  <c r="O38" i="43"/>
  <c r="N38" i="43"/>
  <c r="M38" i="43"/>
  <c r="L38" i="43"/>
  <c r="K38" i="43"/>
  <c r="J38" i="43"/>
  <c r="I38" i="43"/>
  <c r="H38" i="43"/>
  <c r="G38" i="43"/>
  <c r="R37" i="43"/>
  <c r="Q37" i="43"/>
  <c r="P37" i="43"/>
  <c r="O37" i="43"/>
  <c r="N37" i="43"/>
  <c r="M37" i="43"/>
  <c r="L37" i="43"/>
  <c r="K37" i="43"/>
  <c r="J37" i="43"/>
  <c r="I37" i="43"/>
  <c r="H37" i="43"/>
  <c r="G37" i="43"/>
  <c r="AB2" i="36"/>
  <c r="N26" i="45"/>
  <c r="N25" i="45"/>
  <c r="N24" i="45"/>
  <c r="K103" i="45"/>
  <c r="K102" i="45"/>
  <c r="V27" i="45"/>
  <c r="AC16" i="45"/>
  <c r="AC19" i="45"/>
  <c r="AC20" i="45"/>
  <c r="W27" i="45"/>
  <c r="AC18" i="45"/>
  <c r="T27" i="45"/>
  <c r="AC17" i="45"/>
  <c r="AB139" i="36" l="1"/>
  <c r="L139" i="36"/>
  <c r="E139" i="36"/>
  <c r="AB62" i="36"/>
  <c r="L62" i="36"/>
  <c r="E62" i="36"/>
  <c r="AB1530" i="36"/>
  <c r="L1530" i="36"/>
  <c r="E1530" i="36"/>
  <c r="AB1528" i="36"/>
  <c r="L1528" i="36"/>
  <c r="E1528" i="36"/>
  <c r="AB1525" i="36"/>
  <c r="L1525" i="36"/>
  <c r="E1525" i="36"/>
  <c r="AB1523" i="36"/>
  <c r="L1523" i="36"/>
  <c r="E1523" i="36"/>
  <c r="AB1509" i="36"/>
  <c r="L1509" i="36"/>
  <c r="E1509" i="36"/>
  <c r="AB1507" i="36"/>
  <c r="L1507" i="36"/>
  <c r="E1507" i="36"/>
  <c r="AB1505" i="36"/>
  <c r="L1505" i="36"/>
  <c r="E1505" i="36"/>
  <c r="AB1503" i="36"/>
  <c r="L1503" i="36"/>
  <c r="E1503" i="36"/>
  <c r="AB1488" i="36"/>
  <c r="L1488" i="36"/>
  <c r="E1488" i="36"/>
  <c r="AB1460" i="36"/>
  <c r="L1460" i="36"/>
  <c r="E1460" i="36"/>
  <c r="AB1457" i="36"/>
  <c r="L1457" i="36"/>
  <c r="E1457" i="36"/>
  <c r="AB1456" i="36"/>
  <c r="L1456" i="36"/>
  <c r="E1456" i="36"/>
  <c r="AB1454" i="36"/>
  <c r="L1454" i="36"/>
  <c r="E1454" i="36"/>
  <c r="AB1453" i="36"/>
  <c r="L1453" i="36"/>
  <c r="E1453" i="36"/>
  <c r="AB1337" i="36"/>
  <c r="L1337" i="36"/>
  <c r="E1337" i="36"/>
  <c r="AB1260" i="36"/>
  <c r="L1260" i="36"/>
  <c r="E1260" i="36"/>
  <c r="AB1259" i="36"/>
  <c r="L1259" i="36"/>
  <c r="E1259" i="36"/>
  <c r="AB1257" i="36"/>
  <c r="L1257" i="36"/>
  <c r="E1257" i="36"/>
  <c r="AB1256" i="36"/>
  <c r="L1256" i="36"/>
  <c r="E1256" i="36"/>
  <c r="AB1254" i="36"/>
  <c r="L1254" i="36"/>
  <c r="E1254" i="36"/>
  <c r="AB1252" i="36"/>
  <c r="L1252" i="36"/>
  <c r="E1252" i="36"/>
  <c r="AB1167" i="36"/>
  <c r="L1167" i="36"/>
  <c r="E1167" i="36"/>
  <c r="AB1165" i="36"/>
  <c r="L1165" i="36"/>
  <c r="E1165" i="36"/>
  <c r="AB927" i="36"/>
  <c r="L927" i="36"/>
  <c r="E927" i="36"/>
  <c r="AB926" i="36"/>
  <c r="L926" i="36"/>
  <c r="E926" i="36"/>
  <c r="AB925" i="36"/>
  <c r="L925" i="36"/>
  <c r="E925" i="36"/>
  <c r="AB923" i="36"/>
  <c r="L923" i="36"/>
  <c r="E923" i="36"/>
  <c r="AB922" i="36"/>
  <c r="L922" i="36"/>
  <c r="E922" i="36"/>
  <c r="AB921" i="36"/>
  <c r="L921" i="36"/>
  <c r="E921" i="36"/>
  <c r="AB919" i="36"/>
  <c r="L919" i="36"/>
  <c r="E919" i="36"/>
  <c r="AB917" i="36"/>
  <c r="L917" i="36"/>
  <c r="E917" i="36"/>
  <c r="AB915" i="36"/>
  <c r="L915" i="36"/>
  <c r="E915" i="36"/>
  <c r="AB914" i="36"/>
  <c r="L914" i="36"/>
  <c r="E914" i="36"/>
  <c r="AB913" i="36"/>
  <c r="L913" i="36"/>
  <c r="E913" i="36"/>
  <c r="AB911" i="36"/>
  <c r="L911" i="36"/>
  <c r="E911" i="36"/>
  <c r="AB910" i="36"/>
  <c r="L910" i="36"/>
  <c r="E910" i="36"/>
  <c r="AB908" i="36"/>
  <c r="L908" i="36"/>
  <c r="E908" i="36"/>
  <c r="AB906" i="36"/>
  <c r="L906" i="36"/>
  <c r="E906" i="36"/>
  <c r="AB722" i="36"/>
  <c r="L722" i="36"/>
  <c r="E722" i="36"/>
  <c r="AB647" i="36"/>
  <c r="L647" i="36"/>
  <c r="E647" i="36"/>
  <c r="AB633" i="36"/>
  <c r="L633" i="36"/>
  <c r="E633" i="36"/>
  <c r="AB631" i="36"/>
  <c r="L631" i="36"/>
  <c r="E631" i="36"/>
  <c r="AB483" i="36"/>
  <c r="L483" i="36"/>
  <c r="E483" i="36"/>
  <c r="AB482" i="36"/>
  <c r="L482" i="36"/>
  <c r="E482" i="36"/>
  <c r="AB480" i="36"/>
  <c r="L480" i="36"/>
  <c r="E480" i="36"/>
  <c r="AB479" i="36"/>
  <c r="L479" i="36"/>
  <c r="E479" i="36"/>
  <c r="AB452" i="36"/>
  <c r="L452" i="36"/>
  <c r="E452" i="36"/>
  <c r="AB448" i="36"/>
  <c r="L448" i="36"/>
  <c r="E448" i="36"/>
  <c r="AB446" i="36"/>
  <c r="L446" i="36"/>
  <c r="E446" i="36"/>
  <c r="AB444" i="36"/>
  <c r="L444" i="36"/>
  <c r="E444" i="36"/>
  <c r="AB442" i="36"/>
  <c r="L442" i="36"/>
  <c r="E442" i="36"/>
  <c r="AB440" i="36"/>
  <c r="L440" i="36"/>
  <c r="E440" i="36"/>
  <c r="AB372" i="36"/>
  <c r="L372" i="36"/>
  <c r="E372" i="36"/>
  <c r="AB344" i="36"/>
  <c r="L344" i="36"/>
  <c r="E344" i="36"/>
  <c r="AB342" i="36"/>
  <c r="L342" i="36"/>
  <c r="E342" i="36"/>
  <c r="AB304" i="36"/>
  <c r="L304" i="36"/>
  <c r="E304" i="36"/>
  <c r="E245" i="36"/>
  <c r="L245" i="36"/>
  <c r="AB245" i="36"/>
  <c r="E246" i="36"/>
  <c r="L246" i="36"/>
  <c r="AB246" i="36"/>
  <c r="E247" i="36"/>
  <c r="L247" i="36"/>
  <c r="AB247" i="36"/>
  <c r="E242" i="36"/>
  <c r="L242" i="36"/>
  <c r="AB242" i="36"/>
  <c r="E243" i="36"/>
  <c r="L243" i="36"/>
  <c r="AB243" i="36"/>
  <c r="AB195" i="36"/>
  <c r="E195" i="36"/>
  <c r="L195" i="36"/>
  <c r="E156" i="36"/>
  <c r="L156" i="36"/>
  <c r="AB156" i="36"/>
  <c r="E157" i="36"/>
  <c r="L157" i="36"/>
  <c r="AB157" i="36"/>
  <c r="E158" i="36"/>
  <c r="L158" i="36"/>
  <c r="AB158" i="36"/>
  <c r="E159" i="36"/>
  <c r="L159" i="36"/>
  <c r="AB159" i="36"/>
  <c r="E160" i="36"/>
  <c r="L160" i="36"/>
  <c r="AB160" i="36"/>
  <c r="E154" i="36"/>
  <c r="L154" i="36"/>
  <c r="AB154" i="36"/>
  <c r="E155" i="36"/>
  <c r="L155" i="36"/>
  <c r="AB155" i="36"/>
  <c r="AB152" i="36"/>
  <c r="E152" i="36"/>
  <c r="L152" i="36"/>
  <c r="AB142" i="36"/>
  <c r="E142" i="36"/>
  <c r="L142" i="36"/>
  <c r="E64" i="36"/>
  <c r="L64" i="36"/>
  <c r="AB64" i="36"/>
  <c r="E65" i="36"/>
  <c r="L65" i="36"/>
  <c r="AB65" i="36"/>
  <c r="AB61" i="36"/>
  <c r="E61" i="36"/>
  <c r="L61" i="36"/>
  <c r="AB60" i="36"/>
  <c r="E60" i="36"/>
  <c r="L60" i="36"/>
  <c r="L2" i="36"/>
  <c r="L3" i="36"/>
  <c r="L4" i="36"/>
  <c r="L5" i="36"/>
  <c r="L6" i="36"/>
  <c r="L7" i="36"/>
  <c r="L8" i="36"/>
  <c r="L9" i="36"/>
  <c r="L10" i="36"/>
  <c r="L11" i="36"/>
  <c r="L12" i="36"/>
  <c r="L13" i="36"/>
  <c r="L14" i="36"/>
  <c r="L15" i="36"/>
  <c r="L16" i="36"/>
  <c r="L17" i="36"/>
  <c r="L18" i="36"/>
  <c r="L19" i="36"/>
  <c r="L20" i="36"/>
  <c r="L21" i="36"/>
  <c r="L22" i="36"/>
  <c r="L23" i="36"/>
  <c r="L24" i="36"/>
  <c r="L25" i="36"/>
  <c r="L26" i="36"/>
  <c r="L27" i="36"/>
  <c r="L28" i="36"/>
  <c r="L29" i="36"/>
  <c r="L30" i="36"/>
  <c r="L31" i="36"/>
  <c r="L32" i="36"/>
  <c r="L33" i="36"/>
  <c r="L34" i="36"/>
  <c r="L35" i="36"/>
  <c r="L36" i="36"/>
  <c r="L37" i="36"/>
  <c r="L38" i="36"/>
  <c r="L39" i="36"/>
  <c r="L40" i="36"/>
  <c r="L41" i="36"/>
  <c r="L42" i="36"/>
  <c r="L43" i="36"/>
  <c r="L44" i="36"/>
  <c r="L45" i="36"/>
  <c r="L46" i="36"/>
  <c r="L47" i="36"/>
  <c r="L48" i="36"/>
  <c r="L49" i="36"/>
  <c r="L50" i="36"/>
  <c r="L51" i="36"/>
  <c r="L52" i="36"/>
  <c r="L53" i="36"/>
  <c r="L54" i="36"/>
  <c r="L55" i="36"/>
  <c r="L56" i="36"/>
  <c r="L57" i="36"/>
  <c r="L58" i="36"/>
  <c r="L59" i="36"/>
  <c r="L63" i="36"/>
  <c r="L66" i="36"/>
  <c r="L67" i="36"/>
  <c r="L68" i="36"/>
  <c r="L69" i="36"/>
  <c r="L70" i="36"/>
  <c r="L71" i="36"/>
  <c r="L72" i="36"/>
  <c r="L73" i="36"/>
  <c r="L74" i="36"/>
  <c r="L75" i="36"/>
  <c r="L76" i="36"/>
  <c r="L77" i="36"/>
  <c r="L78" i="36"/>
  <c r="L79" i="36"/>
  <c r="L80" i="36"/>
  <c r="L81" i="36"/>
  <c r="L82" i="36"/>
  <c r="L83" i="36"/>
  <c r="L84" i="36"/>
  <c r="L85" i="36"/>
  <c r="L86" i="36"/>
  <c r="L87" i="36"/>
  <c r="L88" i="36"/>
  <c r="L89" i="36"/>
  <c r="L90" i="36"/>
  <c r="L91" i="36"/>
  <c r="L92" i="36"/>
  <c r="L93" i="36"/>
  <c r="L94" i="36"/>
  <c r="L95" i="36"/>
  <c r="L96" i="36"/>
  <c r="L97" i="36"/>
  <c r="L98" i="36"/>
  <c r="L99" i="36"/>
  <c r="L100" i="36"/>
  <c r="L101" i="36"/>
  <c r="L102" i="36"/>
  <c r="L103" i="36"/>
  <c r="L104" i="36"/>
  <c r="L105" i="36"/>
  <c r="L106" i="36"/>
  <c r="L107" i="36"/>
  <c r="L108" i="36"/>
  <c r="L109" i="36"/>
  <c r="L110" i="36"/>
  <c r="L111" i="36"/>
  <c r="L112" i="36"/>
  <c r="L113" i="36"/>
  <c r="L114" i="36"/>
  <c r="L115" i="36"/>
  <c r="L116" i="36"/>
  <c r="L117" i="36"/>
  <c r="L118" i="36"/>
  <c r="L119" i="36"/>
  <c r="L120" i="36"/>
  <c r="L121" i="36"/>
  <c r="L122" i="36"/>
  <c r="L123" i="36"/>
  <c r="L124" i="36"/>
  <c r="L125" i="36"/>
  <c r="L126" i="36"/>
  <c r="L127" i="36"/>
  <c r="L128" i="36"/>
  <c r="L129" i="36"/>
  <c r="L130" i="36"/>
  <c r="L131" i="36"/>
  <c r="L132" i="36"/>
  <c r="L133" i="36"/>
  <c r="L134" i="36"/>
  <c r="L135" i="36"/>
  <c r="L136" i="36"/>
  <c r="L137" i="36"/>
  <c r="L138" i="36"/>
  <c r="L140" i="36"/>
  <c r="L141" i="36"/>
  <c r="L143" i="36"/>
  <c r="L144" i="36"/>
  <c r="L145" i="36"/>
  <c r="L146" i="36"/>
  <c r="L147" i="36"/>
  <c r="L148" i="36"/>
  <c r="L149" i="36"/>
  <c r="L150" i="36"/>
  <c r="L151" i="36"/>
  <c r="L153" i="36"/>
  <c r="L161" i="36"/>
  <c r="L162" i="36"/>
  <c r="L163" i="36"/>
  <c r="L164" i="36"/>
  <c r="L165" i="36"/>
  <c r="L166" i="36"/>
  <c r="L167" i="36"/>
  <c r="L168" i="36"/>
  <c r="L169" i="36"/>
  <c r="L170" i="36"/>
  <c r="L171" i="36"/>
  <c r="L172" i="36"/>
  <c r="L173" i="36"/>
  <c r="L174" i="36"/>
  <c r="L175" i="36"/>
  <c r="L176" i="36"/>
  <c r="L177" i="36"/>
  <c r="L178" i="36"/>
  <c r="L179" i="36"/>
  <c r="L180" i="36"/>
  <c r="L181" i="36"/>
  <c r="L182" i="36"/>
  <c r="L183" i="36"/>
  <c r="L184" i="36"/>
  <c r="L185" i="36"/>
  <c r="L186" i="36"/>
  <c r="L187" i="36"/>
  <c r="L188" i="36"/>
  <c r="L189" i="36"/>
  <c r="L190" i="36"/>
  <c r="L191" i="36"/>
  <c r="L192" i="36"/>
  <c r="L193" i="36"/>
  <c r="L194" i="36"/>
  <c r="L196" i="36"/>
  <c r="L197" i="36"/>
  <c r="L198" i="36"/>
  <c r="L199" i="36"/>
  <c r="L200" i="36"/>
  <c r="L201" i="36"/>
  <c r="L202" i="36"/>
  <c r="L203" i="36"/>
  <c r="L204" i="36"/>
  <c r="L205" i="36"/>
  <c r="L206" i="36"/>
  <c r="L207" i="36"/>
  <c r="L208" i="36"/>
  <c r="L209" i="36"/>
  <c r="L210" i="36"/>
  <c r="L211" i="36"/>
  <c r="L212" i="36"/>
  <c r="L213" i="36"/>
  <c r="L214" i="36"/>
  <c r="L215" i="36"/>
  <c r="L216" i="36"/>
  <c r="L217" i="36"/>
  <c r="L218" i="36"/>
  <c r="L219" i="36"/>
  <c r="L220" i="36"/>
  <c r="L221" i="36"/>
  <c r="L222" i="36"/>
  <c r="L223" i="36"/>
  <c r="L224" i="36"/>
  <c r="L225" i="36"/>
  <c r="L226" i="36"/>
  <c r="L227" i="36"/>
  <c r="L228" i="36"/>
  <c r="L229" i="36"/>
  <c r="L230" i="36"/>
  <c r="L231" i="36"/>
  <c r="L232" i="36"/>
  <c r="L233" i="36"/>
  <c r="L234" i="36"/>
  <c r="L235" i="36"/>
  <c r="L236" i="36"/>
  <c r="L237" i="36"/>
  <c r="L238" i="36"/>
  <c r="L239" i="36"/>
  <c r="L240" i="36"/>
  <c r="L241" i="36"/>
  <c r="L244" i="36"/>
  <c r="L248" i="36"/>
  <c r="L249" i="36"/>
  <c r="L250" i="36"/>
  <c r="L251" i="36"/>
  <c r="L252" i="36"/>
  <c r="L253" i="36"/>
  <c r="L254" i="36"/>
  <c r="L255" i="36"/>
  <c r="L256" i="36"/>
  <c r="L257" i="36"/>
  <c r="L258" i="36"/>
  <c r="L259" i="36"/>
  <c r="L260" i="36"/>
  <c r="L261" i="36"/>
  <c r="L262" i="36"/>
  <c r="L263" i="36"/>
  <c r="L264" i="36"/>
  <c r="L265" i="36"/>
  <c r="L266" i="36"/>
  <c r="L267" i="36"/>
  <c r="L268" i="36"/>
  <c r="L269" i="36"/>
  <c r="L270" i="36"/>
  <c r="L271" i="36"/>
  <c r="L272" i="36"/>
  <c r="L273" i="36"/>
  <c r="L274" i="36"/>
  <c r="L275" i="36"/>
  <c r="L276" i="36"/>
  <c r="L277" i="36"/>
  <c r="L278" i="36"/>
  <c r="L279" i="36"/>
  <c r="L280" i="36"/>
  <c r="L281" i="36"/>
  <c r="L282" i="36"/>
  <c r="L283" i="36"/>
  <c r="L284" i="36"/>
  <c r="L285" i="36"/>
  <c r="L286" i="36"/>
  <c r="L287" i="36"/>
  <c r="L288" i="36"/>
  <c r="L289" i="36"/>
  <c r="L290" i="36"/>
  <c r="L291" i="36"/>
  <c r="L292" i="36"/>
  <c r="L293" i="36"/>
  <c r="L294" i="36"/>
  <c r="L295" i="36"/>
  <c r="L296" i="36"/>
  <c r="L297" i="36"/>
  <c r="L298" i="36"/>
  <c r="L299" i="36"/>
  <c r="L300" i="36"/>
  <c r="L301" i="36"/>
  <c r="L302" i="36"/>
  <c r="L303" i="36"/>
  <c r="L305" i="36"/>
  <c r="L306" i="36"/>
  <c r="L307" i="36"/>
  <c r="L308" i="36"/>
  <c r="L309" i="36"/>
  <c r="L310" i="36"/>
  <c r="L311" i="36"/>
  <c r="L312" i="36"/>
  <c r="L313" i="36"/>
  <c r="L314" i="36"/>
  <c r="L315" i="36"/>
  <c r="L316" i="36"/>
  <c r="L317" i="36"/>
  <c r="L318" i="36"/>
  <c r="L319" i="36"/>
  <c r="L320" i="36"/>
  <c r="L321" i="36"/>
  <c r="L322" i="36"/>
  <c r="L323" i="36"/>
  <c r="L324" i="36"/>
  <c r="L325" i="36"/>
  <c r="L326" i="36"/>
  <c r="L327" i="36"/>
  <c r="L328" i="36"/>
  <c r="L329" i="36"/>
  <c r="L330" i="36"/>
  <c r="L331" i="36"/>
  <c r="L332" i="36"/>
  <c r="L333" i="36"/>
  <c r="L334" i="36"/>
  <c r="L335" i="36"/>
  <c r="L336" i="36"/>
  <c r="L337" i="36"/>
  <c r="L338" i="36"/>
  <c r="L339" i="36"/>
  <c r="L340" i="36"/>
  <c r="L341" i="36"/>
  <c r="L343" i="36"/>
  <c r="L345" i="36"/>
  <c r="L346" i="36"/>
  <c r="L347" i="36"/>
  <c r="L348" i="36"/>
  <c r="L349" i="36"/>
  <c r="L350" i="36"/>
  <c r="L351" i="36"/>
  <c r="L352" i="36"/>
  <c r="L353" i="36"/>
  <c r="L354" i="36"/>
  <c r="L355" i="36"/>
  <c r="L356" i="36"/>
  <c r="L357" i="36"/>
  <c r="L358" i="36"/>
  <c r="L359" i="36"/>
  <c r="L360" i="36"/>
  <c r="L361" i="36"/>
  <c r="L362" i="36"/>
  <c r="L363" i="36"/>
  <c r="L364" i="36"/>
  <c r="L365" i="36"/>
  <c r="L366" i="36"/>
  <c r="L367" i="36"/>
  <c r="L368" i="36"/>
  <c r="L369" i="36"/>
  <c r="L370" i="36"/>
  <c r="L371" i="36"/>
  <c r="L373" i="36"/>
  <c r="L374" i="36"/>
  <c r="L375" i="36"/>
  <c r="L376" i="36"/>
  <c r="L377" i="36"/>
  <c r="L378" i="36"/>
  <c r="L379" i="36"/>
  <c r="L380" i="36"/>
  <c r="L381" i="36"/>
  <c r="L382" i="36"/>
  <c r="L383" i="36"/>
  <c r="L384" i="36"/>
  <c r="L385" i="36"/>
  <c r="L386" i="36"/>
  <c r="L387" i="36"/>
  <c r="L388" i="36"/>
  <c r="L389" i="36"/>
  <c r="L390" i="36"/>
  <c r="L391" i="36"/>
  <c r="L392" i="36"/>
  <c r="L393" i="36"/>
  <c r="L394" i="36"/>
  <c r="L395" i="36"/>
  <c r="L396" i="36"/>
  <c r="L397" i="36"/>
  <c r="L398" i="36"/>
  <c r="L399" i="36"/>
  <c r="L400" i="36"/>
  <c r="L401" i="36"/>
  <c r="L402" i="36"/>
  <c r="L403" i="36"/>
  <c r="L404" i="36"/>
  <c r="L405" i="36"/>
  <c r="L406" i="36"/>
  <c r="L407" i="36"/>
  <c r="L408" i="36"/>
  <c r="L409" i="36"/>
  <c r="L410" i="36"/>
  <c r="L411" i="36"/>
  <c r="L412" i="36"/>
  <c r="L413" i="36"/>
  <c r="L414" i="36"/>
  <c r="L415" i="36"/>
  <c r="L416" i="36"/>
  <c r="L417" i="36"/>
  <c r="L418" i="36"/>
  <c r="L419" i="36"/>
  <c r="L420" i="36"/>
  <c r="L421" i="36"/>
  <c r="L422" i="36"/>
  <c r="L423" i="36"/>
  <c r="L424" i="36"/>
  <c r="L425" i="36"/>
  <c r="L426" i="36"/>
  <c r="L427" i="36"/>
  <c r="L428" i="36"/>
  <c r="L429" i="36"/>
  <c r="L430" i="36"/>
  <c r="L431" i="36"/>
  <c r="L432" i="36"/>
  <c r="L433" i="36"/>
  <c r="L434" i="36"/>
  <c r="L435" i="36"/>
  <c r="L436" i="36"/>
  <c r="L437" i="36"/>
  <c r="L438" i="36"/>
  <c r="L439" i="36"/>
  <c r="L441" i="36"/>
  <c r="L443" i="36"/>
  <c r="L445" i="36"/>
  <c r="L447" i="36"/>
  <c r="L449" i="36"/>
  <c r="L450" i="36"/>
  <c r="L451" i="36"/>
  <c r="L453" i="36"/>
  <c r="L454" i="36"/>
  <c r="L455" i="36"/>
  <c r="L456" i="36"/>
  <c r="L457" i="36"/>
  <c r="L458" i="36"/>
  <c r="L459" i="36"/>
  <c r="L460" i="36"/>
  <c r="L461" i="36"/>
  <c r="L462" i="36"/>
  <c r="L463" i="36"/>
  <c r="L464" i="36"/>
  <c r="L465" i="36"/>
  <c r="L466" i="36"/>
  <c r="L467" i="36"/>
  <c r="L468" i="36"/>
  <c r="L469" i="36"/>
  <c r="L470" i="36"/>
  <c r="L471" i="36"/>
  <c r="L472" i="36"/>
  <c r="L473" i="36"/>
  <c r="L474" i="36"/>
  <c r="L475" i="36"/>
  <c r="L476" i="36"/>
  <c r="L477" i="36"/>
  <c r="L478" i="36"/>
  <c r="L481" i="36"/>
  <c r="L484" i="36"/>
  <c r="L485" i="36"/>
  <c r="L486" i="36"/>
  <c r="L487" i="36"/>
  <c r="L488" i="36"/>
  <c r="L489" i="36"/>
  <c r="L490" i="36"/>
  <c r="L491" i="36"/>
  <c r="L492" i="36"/>
  <c r="L493" i="36"/>
  <c r="L494" i="36"/>
  <c r="L495" i="36"/>
  <c r="L496" i="36"/>
  <c r="L497" i="36"/>
  <c r="L498" i="36"/>
  <c r="L499" i="36"/>
  <c r="L500" i="36"/>
  <c r="L501" i="36"/>
  <c r="L502" i="36"/>
  <c r="L503" i="36"/>
  <c r="L504" i="36"/>
  <c r="L505" i="36"/>
  <c r="L506" i="36"/>
  <c r="L507" i="36"/>
  <c r="L508" i="36"/>
  <c r="L509" i="36"/>
  <c r="L510" i="36"/>
  <c r="L511" i="36"/>
  <c r="L512" i="36"/>
  <c r="L513" i="36"/>
  <c r="L514" i="36"/>
  <c r="L515" i="36"/>
  <c r="L516" i="36"/>
  <c r="L517" i="36"/>
  <c r="L518" i="36"/>
  <c r="L519" i="36"/>
  <c r="L520" i="36"/>
  <c r="L521" i="36"/>
  <c r="L522" i="36"/>
  <c r="L523" i="36"/>
  <c r="L524" i="36"/>
  <c r="L525" i="36"/>
  <c r="L526" i="36"/>
  <c r="L527" i="36"/>
  <c r="L528" i="36"/>
  <c r="L529" i="36"/>
  <c r="L530" i="36"/>
  <c r="L531" i="36"/>
  <c r="L532" i="36"/>
  <c r="L533" i="36"/>
  <c r="L534" i="36"/>
  <c r="L535" i="36"/>
  <c r="L536" i="36"/>
  <c r="L537" i="36"/>
  <c r="L538" i="36"/>
  <c r="L539" i="36"/>
  <c r="L540" i="36"/>
  <c r="L541" i="36"/>
  <c r="L542" i="36"/>
  <c r="L543" i="36"/>
  <c r="L544" i="36"/>
  <c r="L545" i="36"/>
  <c r="L546" i="36"/>
  <c r="L547" i="36"/>
  <c r="L548" i="36"/>
  <c r="L549" i="36"/>
  <c r="L550" i="36"/>
  <c r="L551" i="36"/>
  <c r="L552" i="36"/>
  <c r="L553" i="36"/>
  <c r="L554" i="36"/>
  <c r="L555" i="36"/>
  <c r="L556" i="36"/>
  <c r="L557" i="36"/>
  <c r="L558" i="36"/>
  <c r="L559" i="36"/>
  <c r="L560" i="36"/>
  <c r="L561" i="36"/>
  <c r="L562" i="36"/>
  <c r="L563" i="36"/>
  <c r="L564" i="36"/>
  <c r="L565" i="36"/>
  <c r="L566" i="36"/>
  <c r="L567" i="36"/>
  <c r="L568" i="36"/>
  <c r="L569" i="36"/>
  <c r="L570" i="36"/>
  <c r="L571" i="36"/>
  <c r="L572" i="36"/>
  <c r="L573" i="36"/>
  <c r="L574" i="36"/>
  <c r="L575" i="36"/>
  <c r="L576" i="36"/>
  <c r="L577" i="36"/>
  <c r="L578" i="36"/>
  <c r="L579" i="36"/>
  <c r="L580" i="36"/>
  <c r="L581" i="36"/>
  <c r="L582" i="36"/>
  <c r="L583" i="36"/>
  <c r="L584" i="36"/>
  <c r="L585" i="36"/>
  <c r="L586" i="36"/>
  <c r="L587" i="36"/>
  <c r="L588" i="36"/>
  <c r="L589" i="36"/>
  <c r="L590" i="36"/>
  <c r="L591" i="36"/>
  <c r="L592" i="36"/>
  <c r="L593" i="36"/>
  <c r="L594" i="36"/>
  <c r="L595" i="36"/>
  <c r="L596" i="36"/>
  <c r="L597" i="36"/>
  <c r="L598" i="36"/>
  <c r="L599" i="36"/>
  <c r="L600" i="36"/>
  <c r="L601" i="36"/>
  <c r="L602" i="36"/>
  <c r="L603" i="36"/>
  <c r="L604" i="36"/>
  <c r="L605" i="36"/>
  <c r="L606" i="36"/>
  <c r="L607" i="36"/>
  <c r="L608" i="36"/>
  <c r="L609" i="36"/>
  <c r="L610" i="36"/>
  <c r="L611" i="36"/>
  <c r="L612" i="36"/>
  <c r="L613" i="36"/>
  <c r="L614" i="36"/>
  <c r="L615" i="36"/>
  <c r="L616" i="36"/>
  <c r="L617" i="36"/>
  <c r="L618" i="36"/>
  <c r="L619" i="36"/>
  <c r="L620" i="36"/>
  <c r="L621" i="36"/>
  <c r="L622" i="36"/>
  <c r="L623" i="36"/>
  <c r="L624" i="36"/>
  <c r="L625" i="36"/>
  <c r="L626" i="36"/>
  <c r="L627" i="36"/>
  <c r="L628" i="36"/>
  <c r="L629" i="36"/>
  <c r="L630" i="36"/>
  <c r="L632" i="36"/>
  <c r="L634" i="36"/>
  <c r="L635" i="36"/>
  <c r="L636" i="36"/>
  <c r="L637" i="36"/>
  <c r="L638" i="36"/>
  <c r="L639" i="36"/>
  <c r="L640" i="36"/>
  <c r="L641" i="36"/>
  <c r="L642" i="36"/>
  <c r="L643" i="36"/>
  <c r="L644" i="36"/>
  <c r="L645" i="36"/>
  <c r="L646" i="36"/>
  <c r="L648" i="36"/>
  <c r="L649" i="36"/>
  <c r="L650" i="36"/>
  <c r="L651" i="36"/>
  <c r="L652" i="36"/>
  <c r="L653" i="36"/>
  <c r="L654" i="36"/>
  <c r="L655" i="36"/>
  <c r="L656" i="36"/>
  <c r="L657" i="36"/>
  <c r="L658" i="36"/>
  <c r="L659" i="36"/>
  <c r="L660" i="36"/>
  <c r="L661" i="36"/>
  <c r="L662" i="36"/>
  <c r="L663" i="36"/>
  <c r="L664" i="36"/>
  <c r="L665" i="36"/>
  <c r="L666" i="36"/>
  <c r="L667" i="36"/>
  <c r="L668" i="36"/>
  <c r="L669" i="36"/>
  <c r="L670" i="36"/>
  <c r="L671" i="36"/>
  <c r="L672" i="36"/>
  <c r="L673" i="36"/>
  <c r="L674" i="36"/>
  <c r="L675" i="36"/>
  <c r="L676" i="36"/>
  <c r="L677" i="36"/>
  <c r="L678" i="36"/>
  <c r="L679" i="36"/>
  <c r="L680" i="36"/>
  <c r="L681" i="36"/>
  <c r="L682" i="36"/>
  <c r="L683" i="36"/>
  <c r="L684" i="36"/>
  <c r="L685" i="36"/>
  <c r="L686" i="36"/>
  <c r="L687" i="36"/>
  <c r="L688" i="36"/>
  <c r="L689" i="36"/>
  <c r="L690" i="36"/>
  <c r="L691" i="36"/>
  <c r="L692" i="36"/>
  <c r="L693" i="36"/>
  <c r="L694" i="36"/>
  <c r="L695" i="36"/>
  <c r="L696" i="36"/>
  <c r="L697" i="36"/>
  <c r="L698" i="36"/>
  <c r="L699" i="36"/>
  <c r="L700" i="36"/>
  <c r="L701" i="36"/>
  <c r="L702" i="36"/>
  <c r="L703" i="36"/>
  <c r="L704" i="36"/>
  <c r="L705" i="36"/>
  <c r="L706" i="36"/>
  <c r="L707" i="36"/>
  <c r="L708" i="36"/>
  <c r="L709" i="36"/>
  <c r="L710" i="36"/>
  <c r="L711" i="36"/>
  <c r="L712" i="36"/>
  <c r="L713" i="36"/>
  <c r="L714" i="36"/>
  <c r="L715" i="36"/>
  <c r="L716" i="36"/>
  <c r="L717" i="36"/>
  <c r="L718" i="36"/>
  <c r="L719" i="36"/>
  <c r="L720" i="36"/>
  <c r="L721" i="36"/>
  <c r="L723" i="36"/>
  <c r="L724" i="36"/>
  <c r="L725" i="36"/>
  <c r="L726" i="36"/>
  <c r="L727" i="36"/>
  <c r="L728" i="36"/>
  <c r="L729" i="36"/>
  <c r="L730" i="36"/>
  <c r="L731" i="36"/>
  <c r="L732" i="36"/>
  <c r="L733" i="36"/>
  <c r="L734" i="36"/>
  <c r="L735" i="36"/>
  <c r="L736" i="36"/>
  <c r="L737" i="36"/>
  <c r="L738" i="36"/>
  <c r="L739" i="36"/>
  <c r="L740" i="36"/>
  <c r="L741" i="36"/>
  <c r="L742" i="36"/>
  <c r="L743" i="36"/>
  <c r="L744" i="36"/>
  <c r="L745" i="36"/>
  <c r="L746" i="36"/>
  <c r="L747" i="36"/>
  <c r="L748" i="36"/>
  <c r="L749" i="36"/>
  <c r="L750" i="36"/>
  <c r="L751" i="36"/>
  <c r="L752" i="36"/>
  <c r="L753" i="36"/>
  <c r="L754" i="36"/>
  <c r="L755" i="36"/>
  <c r="L756" i="36"/>
  <c r="L757" i="36"/>
  <c r="L758" i="36"/>
  <c r="L759" i="36"/>
  <c r="L760" i="36"/>
  <c r="L761" i="36"/>
  <c r="L762" i="36"/>
  <c r="L763" i="36"/>
  <c r="L764" i="36"/>
  <c r="L765" i="36"/>
  <c r="L766" i="36"/>
  <c r="L767" i="36"/>
  <c r="L768" i="36"/>
  <c r="L769" i="36"/>
  <c r="L770" i="36"/>
  <c r="L771" i="36"/>
  <c r="L772" i="36"/>
  <c r="L773" i="36"/>
  <c r="L774" i="36"/>
  <c r="L775" i="36"/>
  <c r="L776" i="36"/>
  <c r="L777" i="36"/>
  <c r="L778" i="36"/>
  <c r="L779" i="36"/>
  <c r="L780" i="36"/>
  <c r="L781" i="36"/>
  <c r="L782" i="36"/>
  <c r="L783" i="36"/>
  <c r="L784" i="36"/>
  <c r="L785" i="36"/>
  <c r="L786" i="36"/>
  <c r="L787" i="36"/>
  <c r="L788" i="36"/>
  <c r="L789" i="36"/>
  <c r="L790" i="36"/>
  <c r="L791" i="36"/>
  <c r="L792" i="36"/>
  <c r="L793" i="36"/>
  <c r="L794" i="36"/>
  <c r="L795" i="36"/>
  <c r="L796" i="36"/>
  <c r="L797" i="36"/>
  <c r="L798" i="36"/>
  <c r="L799" i="36"/>
  <c r="L800" i="36"/>
  <c r="L801" i="36"/>
  <c r="L802" i="36"/>
  <c r="L803" i="36"/>
  <c r="L804" i="36"/>
  <c r="L805" i="36"/>
  <c r="L806" i="36"/>
  <c r="L807" i="36"/>
  <c r="L808" i="36"/>
  <c r="L809" i="36"/>
  <c r="L810" i="36"/>
  <c r="L811" i="36"/>
  <c r="L812" i="36"/>
  <c r="L813" i="36"/>
  <c r="L814" i="36"/>
  <c r="L815" i="36"/>
  <c r="L816" i="36"/>
  <c r="L817" i="36"/>
  <c r="L818" i="36"/>
  <c r="L819" i="36"/>
  <c r="L820" i="36"/>
  <c r="L821" i="36"/>
  <c r="L822" i="36"/>
  <c r="L823" i="36"/>
  <c r="L824" i="36"/>
  <c r="L825" i="36"/>
  <c r="L826" i="36"/>
  <c r="L827" i="36"/>
  <c r="L828" i="36"/>
  <c r="L829" i="36"/>
  <c r="L830" i="36"/>
  <c r="L831" i="36"/>
  <c r="L832" i="36"/>
  <c r="L833" i="36"/>
  <c r="L834" i="36"/>
  <c r="L835" i="36"/>
  <c r="L836" i="36"/>
  <c r="L837" i="36"/>
  <c r="L838" i="36"/>
  <c r="L839" i="36"/>
  <c r="L840" i="36"/>
  <c r="L841" i="36"/>
  <c r="L842" i="36"/>
  <c r="L843" i="36"/>
  <c r="L844" i="36"/>
  <c r="L845" i="36"/>
  <c r="L846" i="36"/>
  <c r="L847" i="36"/>
  <c r="L848" i="36"/>
  <c r="L849" i="36"/>
  <c r="L850" i="36"/>
  <c r="L851" i="36"/>
  <c r="L852" i="36"/>
  <c r="L853" i="36"/>
  <c r="L854" i="36"/>
  <c r="L855" i="36"/>
  <c r="L856" i="36"/>
  <c r="L857" i="36"/>
  <c r="L858" i="36"/>
  <c r="L859" i="36"/>
  <c r="L860" i="36"/>
  <c r="L861" i="36"/>
  <c r="L862" i="36"/>
  <c r="L863" i="36"/>
  <c r="L864" i="36"/>
  <c r="L865" i="36"/>
  <c r="L866" i="36"/>
  <c r="L867" i="36"/>
  <c r="L868" i="36"/>
  <c r="L869" i="36"/>
  <c r="L870" i="36"/>
  <c r="L871" i="36"/>
  <c r="L872" i="36"/>
  <c r="L873" i="36"/>
  <c r="L874" i="36"/>
  <c r="L875" i="36"/>
  <c r="L876" i="36"/>
  <c r="L877" i="36"/>
  <c r="L878" i="36"/>
  <c r="L879" i="36"/>
  <c r="L880" i="36"/>
  <c r="L881" i="36"/>
  <c r="L882" i="36"/>
  <c r="L883" i="36"/>
  <c r="L884" i="36"/>
  <c r="L885" i="36"/>
  <c r="L886" i="36"/>
  <c r="L887" i="36"/>
  <c r="L888" i="36"/>
  <c r="L889" i="36"/>
  <c r="L890" i="36"/>
  <c r="L891" i="36"/>
  <c r="L892" i="36"/>
  <c r="L893" i="36"/>
  <c r="L894" i="36"/>
  <c r="L895" i="36"/>
  <c r="L896" i="36"/>
  <c r="L897" i="36"/>
  <c r="L898" i="36"/>
  <c r="L899" i="36"/>
  <c r="L900" i="36"/>
  <c r="L901" i="36"/>
  <c r="L902" i="36"/>
  <c r="L903" i="36"/>
  <c r="L904" i="36"/>
  <c r="L905" i="36"/>
  <c r="L907" i="36"/>
  <c r="L909" i="36"/>
  <c r="L912" i="36"/>
  <c r="L916" i="36"/>
  <c r="L918" i="36"/>
  <c r="L920" i="36"/>
  <c r="L924" i="36"/>
  <c r="L928" i="36"/>
  <c r="L929" i="36"/>
  <c r="L930" i="36"/>
  <c r="L931" i="36"/>
  <c r="L932" i="36"/>
  <c r="L933" i="36"/>
  <c r="L934" i="36"/>
  <c r="L935" i="36"/>
  <c r="L936" i="36"/>
  <c r="L937" i="36"/>
  <c r="L938" i="36"/>
  <c r="L939" i="36"/>
  <c r="L940" i="36"/>
  <c r="L941" i="36"/>
  <c r="L942" i="36"/>
  <c r="L943" i="36"/>
  <c r="L944" i="36"/>
  <c r="L945" i="36"/>
  <c r="L946" i="36"/>
  <c r="L947" i="36"/>
  <c r="L948" i="36"/>
  <c r="L949" i="36"/>
  <c r="L950" i="36"/>
  <c r="L951" i="36"/>
  <c r="L952" i="36"/>
  <c r="L953" i="36"/>
  <c r="L954" i="36"/>
  <c r="L955" i="36"/>
  <c r="L956" i="36"/>
  <c r="L957" i="36"/>
  <c r="L958" i="36"/>
  <c r="L959" i="36"/>
  <c r="L960" i="36"/>
  <c r="L961" i="36"/>
  <c r="L962" i="36"/>
  <c r="L963" i="36"/>
  <c r="L964" i="36"/>
  <c r="L965" i="36"/>
  <c r="L966" i="36"/>
  <c r="L967" i="36"/>
  <c r="L968" i="36"/>
  <c r="L969" i="36"/>
  <c r="L970" i="36"/>
  <c r="L971" i="36"/>
  <c r="L972" i="36"/>
  <c r="L973" i="36"/>
  <c r="L974" i="36"/>
  <c r="L975" i="36"/>
  <c r="L976" i="36"/>
  <c r="L977" i="36"/>
  <c r="L978" i="36"/>
  <c r="L979" i="36"/>
  <c r="L980" i="36"/>
  <c r="L981" i="36"/>
  <c r="L982" i="36"/>
  <c r="L983" i="36"/>
  <c r="L984" i="36"/>
  <c r="L985" i="36"/>
  <c r="L986" i="36"/>
  <c r="L987" i="36"/>
  <c r="L988" i="36"/>
  <c r="L989" i="36"/>
  <c r="L990" i="36"/>
  <c r="L991" i="36"/>
  <c r="L992" i="36"/>
  <c r="L993" i="36"/>
  <c r="L994" i="36"/>
  <c r="L995" i="36"/>
  <c r="L996" i="36"/>
  <c r="L997" i="36"/>
  <c r="L998" i="36"/>
  <c r="L999" i="36"/>
  <c r="L1000" i="36"/>
  <c r="L1001" i="36"/>
  <c r="L1002" i="36"/>
  <c r="L1003" i="36"/>
  <c r="L1004" i="36"/>
  <c r="L1005" i="36"/>
  <c r="L1006" i="36"/>
  <c r="L1007" i="36"/>
  <c r="L1008" i="36"/>
  <c r="L1009" i="36"/>
  <c r="L1010" i="36"/>
  <c r="L1011" i="36"/>
  <c r="L1012" i="36"/>
  <c r="L1013" i="36"/>
  <c r="L1014" i="36"/>
  <c r="L1015" i="36"/>
  <c r="L1016" i="36"/>
  <c r="L1017" i="36"/>
  <c r="L1018" i="36"/>
  <c r="L1019" i="36"/>
  <c r="L1020" i="36"/>
  <c r="L1021" i="36"/>
  <c r="L1022" i="36"/>
  <c r="L1023" i="36"/>
  <c r="L1024" i="36"/>
  <c r="L1025" i="36"/>
  <c r="L1026" i="36"/>
  <c r="L1027" i="36"/>
  <c r="L1028" i="36"/>
  <c r="L1029" i="36"/>
  <c r="L1030" i="36"/>
  <c r="L1031" i="36"/>
  <c r="L1032" i="36"/>
  <c r="L1033" i="36"/>
  <c r="L1034" i="36"/>
  <c r="L1035" i="36"/>
  <c r="L1036" i="36"/>
  <c r="L1037" i="36"/>
  <c r="L1038" i="36"/>
  <c r="L1039" i="36"/>
  <c r="L1040" i="36"/>
  <c r="L1041" i="36"/>
  <c r="L1042" i="36"/>
  <c r="L1043" i="36"/>
  <c r="L1044" i="36"/>
  <c r="L1045" i="36"/>
  <c r="L1046" i="36"/>
  <c r="L1047" i="36"/>
  <c r="L1048" i="36"/>
  <c r="L1049" i="36"/>
  <c r="L1050" i="36"/>
  <c r="L1051" i="36"/>
  <c r="L1052" i="36"/>
  <c r="L1053" i="36"/>
  <c r="L1054" i="36"/>
  <c r="L1055" i="36"/>
  <c r="L1056" i="36"/>
  <c r="L1057" i="36"/>
  <c r="L1058" i="36"/>
  <c r="L1059" i="36"/>
  <c r="L1060" i="36"/>
  <c r="L1061" i="36"/>
  <c r="L1062" i="36"/>
  <c r="L1063" i="36"/>
  <c r="L1064" i="36"/>
  <c r="L1065" i="36"/>
  <c r="L1066" i="36"/>
  <c r="L1067" i="36"/>
  <c r="L1068" i="36"/>
  <c r="L1069" i="36"/>
  <c r="L1070" i="36"/>
  <c r="L1071" i="36"/>
  <c r="L1072" i="36"/>
  <c r="L1073" i="36"/>
  <c r="L1074" i="36"/>
  <c r="L1075" i="36"/>
  <c r="L1076" i="36"/>
  <c r="L1077" i="36"/>
  <c r="L1078" i="36"/>
  <c r="L1079" i="36"/>
  <c r="L1080" i="36"/>
  <c r="L1081" i="36"/>
  <c r="L1082" i="36"/>
  <c r="L1083" i="36"/>
  <c r="L1084" i="36"/>
  <c r="L1085" i="36"/>
  <c r="L1086" i="36"/>
  <c r="L1087" i="36"/>
  <c r="L1088" i="36"/>
  <c r="L1089" i="36"/>
  <c r="L1090" i="36"/>
  <c r="L1091" i="36"/>
  <c r="L1092" i="36"/>
  <c r="L1093" i="36"/>
  <c r="L1094" i="36"/>
  <c r="L1095" i="36"/>
  <c r="L1096" i="36"/>
  <c r="L1097" i="36"/>
  <c r="L1098" i="36"/>
  <c r="L1099" i="36"/>
  <c r="L1100" i="36"/>
  <c r="L1101" i="36"/>
  <c r="L1102" i="36"/>
  <c r="L1103" i="36"/>
  <c r="L1104" i="36"/>
  <c r="L1105" i="36"/>
  <c r="L1106" i="36"/>
  <c r="L1107" i="36"/>
  <c r="L1108" i="36"/>
  <c r="L1109" i="36"/>
  <c r="L1110" i="36"/>
  <c r="L1111" i="36"/>
  <c r="L1112" i="36"/>
  <c r="L1113" i="36"/>
  <c r="L1114" i="36"/>
  <c r="L1115" i="36"/>
  <c r="L1116" i="36"/>
  <c r="L1117" i="36"/>
  <c r="L1118" i="36"/>
  <c r="L1119" i="36"/>
  <c r="L1120" i="36"/>
  <c r="L1121" i="36"/>
  <c r="L1122" i="36"/>
  <c r="L1123" i="36"/>
  <c r="L1124" i="36"/>
  <c r="L1125" i="36"/>
  <c r="L1126" i="36"/>
  <c r="L1127" i="36"/>
  <c r="L1128" i="36"/>
  <c r="L1129" i="36"/>
  <c r="L1130" i="36"/>
  <c r="L1131" i="36"/>
  <c r="L1132" i="36"/>
  <c r="L1133" i="36"/>
  <c r="L1134" i="36"/>
  <c r="L1135" i="36"/>
  <c r="L1136" i="36"/>
  <c r="L1137" i="36"/>
  <c r="L1138" i="36"/>
  <c r="L1139" i="36"/>
  <c r="L1140" i="36"/>
  <c r="L1141" i="36"/>
  <c r="L1142" i="36"/>
  <c r="L1143" i="36"/>
  <c r="L1144" i="36"/>
  <c r="L1145" i="36"/>
  <c r="L1146" i="36"/>
  <c r="L1147" i="36"/>
  <c r="L1148" i="36"/>
  <c r="L1149" i="36"/>
  <c r="L1150" i="36"/>
  <c r="L1151" i="36"/>
  <c r="L1152" i="36"/>
  <c r="L1153" i="36"/>
  <c r="L1154" i="36"/>
  <c r="L1155" i="36"/>
  <c r="L1156" i="36"/>
  <c r="L1157" i="36"/>
  <c r="L1158" i="36"/>
  <c r="L1159" i="36"/>
  <c r="L1160" i="36"/>
  <c r="L1161" i="36"/>
  <c r="L1162" i="36"/>
  <c r="L1163" i="36"/>
  <c r="L1164" i="36"/>
  <c r="L1166" i="36"/>
  <c r="L1168" i="36"/>
  <c r="L1169" i="36"/>
  <c r="L1170" i="36"/>
  <c r="L1171" i="36"/>
  <c r="L1172" i="36"/>
  <c r="L1173" i="36"/>
  <c r="L1174" i="36"/>
  <c r="L1175" i="36"/>
  <c r="L1176" i="36"/>
  <c r="L1177" i="36"/>
  <c r="L1178" i="36"/>
  <c r="L1179" i="36"/>
  <c r="L1180" i="36"/>
  <c r="L1181" i="36"/>
  <c r="L1182" i="36"/>
  <c r="L1183" i="36"/>
  <c r="L1184" i="36"/>
  <c r="L1185" i="36"/>
  <c r="L1186" i="36"/>
  <c r="L1187" i="36"/>
  <c r="L1188" i="36"/>
  <c r="L1189" i="36"/>
  <c r="L1190" i="36"/>
  <c r="L1191" i="36"/>
  <c r="L1192" i="36"/>
  <c r="L1193" i="36"/>
  <c r="L1194" i="36"/>
  <c r="L1195" i="36"/>
  <c r="L1196" i="36"/>
  <c r="L1197" i="36"/>
  <c r="L1198" i="36"/>
  <c r="L1199" i="36"/>
  <c r="L1200" i="36"/>
  <c r="L1201" i="36"/>
  <c r="L1202" i="36"/>
  <c r="L1203" i="36"/>
  <c r="L1204" i="36"/>
  <c r="L1205" i="36"/>
  <c r="L1206" i="36"/>
  <c r="L1207" i="36"/>
  <c r="L1208" i="36"/>
  <c r="L1209" i="36"/>
  <c r="L1210" i="36"/>
  <c r="L1211" i="36"/>
  <c r="L1212" i="36"/>
  <c r="L1213" i="36"/>
  <c r="L1214" i="36"/>
  <c r="L1215" i="36"/>
  <c r="L1216" i="36"/>
  <c r="L1217" i="36"/>
  <c r="L1218" i="36"/>
  <c r="L1219" i="36"/>
  <c r="L1220" i="36"/>
  <c r="L1221" i="36"/>
  <c r="L1222" i="36"/>
  <c r="L1223" i="36"/>
  <c r="L1224" i="36"/>
  <c r="L1225" i="36"/>
  <c r="L1226" i="36"/>
  <c r="L1227" i="36"/>
  <c r="L1228" i="36"/>
  <c r="L1229" i="36"/>
  <c r="L1230" i="36"/>
  <c r="L1231" i="36"/>
  <c r="L1232" i="36"/>
  <c r="L1233" i="36"/>
  <c r="L1234" i="36"/>
  <c r="L1235" i="36"/>
  <c r="L1236" i="36"/>
  <c r="L1237" i="36"/>
  <c r="L1238" i="36"/>
  <c r="L1239" i="36"/>
  <c r="L1240" i="36"/>
  <c r="L1241" i="36"/>
  <c r="L1242" i="36"/>
  <c r="L1243" i="36"/>
  <c r="L1244" i="36"/>
  <c r="L1245" i="36"/>
  <c r="L1246" i="36"/>
  <c r="L1247" i="36"/>
  <c r="L1248" i="36"/>
  <c r="L1249" i="36"/>
  <c r="L1250" i="36"/>
  <c r="L1251" i="36"/>
  <c r="L1253" i="36"/>
  <c r="L1255" i="36"/>
  <c r="L1258" i="36"/>
  <c r="L1261" i="36"/>
  <c r="L1262" i="36"/>
  <c r="L1263" i="36"/>
  <c r="L1264" i="36"/>
  <c r="L1265" i="36"/>
  <c r="L1266" i="36"/>
  <c r="L1267" i="36"/>
  <c r="L1268" i="36"/>
  <c r="L1269" i="36"/>
  <c r="L1270" i="36"/>
  <c r="L1271" i="36"/>
  <c r="L1272" i="36"/>
  <c r="L1273" i="36"/>
  <c r="L1274" i="36"/>
  <c r="L1275" i="36"/>
  <c r="L1276" i="36"/>
  <c r="L1277" i="36"/>
  <c r="L1278" i="36"/>
  <c r="L1279" i="36"/>
  <c r="L1280" i="36"/>
  <c r="L1281" i="36"/>
  <c r="L1282" i="36"/>
  <c r="L1283" i="36"/>
  <c r="L1284" i="36"/>
  <c r="L1285" i="36"/>
  <c r="L1286" i="36"/>
  <c r="L1287" i="36"/>
  <c r="L1288" i="36"/>
  <c r="L1289" i="36"/>
  <c r="L1290" i="36"/>
  <c r="L1291" i="36"/>
  <c r="L1292" i="36"/>
  <c r="L1293" i="36"/>
  <c r="L1294" i="36"/>
  <c r="L1295" i="36"/>
  <c r="L1296" i="36"/>
  <c r="L1297" i="36"/>
  <c r="L1298" i="36"/>
  <c r="L1299" i="36"/>
  <c r="L1300" i="36"/>
  <c r="L1301" i="36"/>
  <c r="L1302" i="36"/>
  <c r="L1303" i="36"/>
  <c r="L1304" i="36"/>
  <c r="L1305" i="36"/>
  <c r="L1306" i="36"/>
  <c r="L1307" i="36"/>
  <c r="L1308" i="36"/>
  <c r="L1309" i="36"/>
  <c r="L1310" i="36"/>
  <c r="L1311" i="36"/>
  <c r="L1312" i="36"/>
  <c r="L1313" i="36"/>
  <c r="L1314" i="36"/>
  <c r="L1315" i="36"/>
  <c r="L1316" i="36"/>
  <c r="L1317" i="36"/>
  <c r="L1318" i="36"/>
  <c r="L1319" i="36"/>
  <c r="L1320" i="36"/>
  <c r="L1321" i="36"/>
  <c r="L1322" i="36"/>
  <c r="L1323" i="36"/>
  <c r="L1324" i="36"/>
  <c r="L1325" i="36"/>
  <c r="L1326" i="36"/>
  <c r="L1327" i="36"/>
  <c r="L1328" i="36"/>
  <c r="L1329" i="36"/>
  <c r="L1330" i="36"/>
  <c r="L1331" i="36"/>
  <c r="L1332" i="36"/>
  <c r="L1333" i="36"/>
  <c r="L1334" i="36"/>
  <c r="L1335" i="36"/>
  <c r="L1336" i="36"/>
  <c r="L1338" i="36"/>
  <c r="L1339" i="36"/>
  <c r="L1340" i="36"/>
  <c r="L1341" i="36"/>
  <c r="L1342" i="36"/>
  <c r="L1343" i="36"/>
  <c r="L1344" i="36"/>
  <c r="L1345" i="36"/>
  <c r="L1346" i="36"/>
  <c r="L1347" i="36"/>
  <c r="L1348" i="36"/>
  <c r="L1349" i="36"/>
  <c r="L1350" i="36"/>
  <c r="L1351" i="36"/>
  <c r="L1352" i="36"/>
  <c r="L1353" i="36"/>
  <c r="L1354" i="36"/>
  <c r="L1355" i="36"/>
  <c r="L1356" i="36"/>
  <c r="L1357" i="36"/>
  <c r="L1358" i="36"/>
  <c r="L1359" i="36"/>
  <c r="L1360" i="36"/>
  <c r="L1361" i="36"/>
  <c r="L1362" i="36"/>
  <c r="L1363" i="36"/>
  <c r="L1364" i="36"/>
  <c r="L1365" i="36"/>
  <c r="L1366" i="36"/>
  <c r="L1367" i="36"/>
  <c r="L1368" i="36"/>
  <c r="L1369" i="36"/>
  <c r="L1370" i="36"/>
  <c r="L1371" i="36"/>
  <c r="L1372" i="36"/>
  <c r="L1373" i="36"/>
  <c r="L1374" i="36"/>
  <c r="L1375" i="36"/>
  <c r="L1376" i="36"/>
  <c r="L1377" i="36"/>
  <c r="L1378" i="36"/>
  <c r="L1379" i="36"/>
  <c r="L1380" i="36"/>
  <c r="L1381" i="36"/>
  <c r="L1382" i="36"/>
  <c r="L1383" i="36"/>
  <c r="L1384" i="36"/>
  <c r="L1385" i="36"/>
  <c r="L1386" i="36"/>
  <c r="L1387" i="36"/>
  <c r="L1388" i="36"/>
  <c r="L1389" i="36"/>
  <c r="L1390" i="36"/>
  <c r="L1391" i="36"/>
  <c r="L1392" i="36"/>
  <c r="L1393" i="36"/>
  <c r="L1394" i="36"/>
  <c r="L1395" i="36"/>
  <c r="L1396" i="36"/>
  <c r="L1397" i="36"/>
  <c r="L1398" i="36"/>
  <c r="L1399" i="36"/>
  <c r="L1400" i="36"/>
  <c r="L1401" i="36"/>
  <c r="L1402" i="36"/>
  <c r="L1403" i="36"/>
  <c r="L1404" i="36"/>
  <c r="L1405" i="36"/>
  <c r="L1406" i="36"/>
  <c r="L1407" i="36"/>
  <c r="L1408" i="36"/>
  <c r="L1409" i="36"/>
  <c r="L1410" i="36"/>
  <c r="L1411" i="36"/>
  <c r="L1412" i="36"/>
  <c r="L1413" i="36"/>
  <c r="L1414" i="36"/>
  <c r="L1415" i="36"/>
  <c r="L1416" i="36"/>
  <c r="L1417" i="36"/>
  <c r="L1418" i="36"/>
  <c r="L1419" i="36"/>
  <c r="L1420" i="36"/>
  <c r="L1421" i="36"/>
  <c r="L1422" i="36"/>
  <c r="L1423" i="36"/>
  <c r="L1424" i="36"/>
  <c r="L1425" i="36"/>
  <c r="L1426" i="36"/>
  <c r="L1427" i="36"/>
  <c r="L1428" i="36"/>
  <c r="L1429" i="36"/>
  <c r="L1430" i="36"/>
  <c r="L1431" i="36"/>
  <c r="L1432" i="36"/>
  <c r="L1433" i="36"/>
  <c r="L1434" i="36"/>
  <c r="L1435" i="36"/>
  <c r="L1436" i="36"/>
  <c r="L1437" i="36"/>
  <c r="L1438" i="36"/>
  <c r="L1439" i="36"/>
  <c r="L1440" i="36"/>
  <c r="L1441" i="36"/>
  <c r="L1442" i="36"/>
  <c r="L1443" i="36"/>
  <c r="L1444" i="36"/>
  <c r="L1445" i="36"/>
  <c r="L1446" i="36"/>
  <c r="L1447" i="36"/>
  <c r="L1448" i="36"/>
  <c r="L1449" i="36"/>
  <c r="L1450" i="36"/>
  <c r="L1451" i="36"/>
  <c r="L1452" i="36"/>
  <c r="L1455" i="36"/>
  <c r="L1458" i="36"/>
  <c r="L1459" i="36"/>
  <c r="L1461" i="36"/>
  <c r="L1462" i="36"/>
  <c r="L1463" i="36"/>
  <c r="L1464" i="36"/>
  <c r="L1465" i="36"/>
  <c r="L1466" i="36"/>
  <c r="L1467" i="36"/>
  <c r="L1468" i="36"/>
  <c r="L1469" i="36"/>
  <c r="L1470" i="36"/>
  <c r="L1471" i="36"/>
  <c r="L1472" i="36"/>
  <c r="L1473" i="36"/>
  <c r="L1474" i="36"/>
  <c r="L1475" i="36"/>
  <c r="L1476" i="36"/>
  <c r="L1477" i="36"/>
  <c r="L1478" i="36"/>
  <c r="L1479" i="36"/>
  <c r="L1480" i="36"/>
  <c r="L1481" i="36"/>
  <c r="L1482" i="36"/>
  <c r="L1483" i="36"/>
  <c r="L1484" i="36"/>
  <c r="L1485" i="36"/>
  <c r="L1486" i="36"/>
  <c r="L1487" i="36"/>
  <c r="L1489" i="36"/>
  <c r="L1490" i="36"/>
  <c r="L1491" i="36"/>
  <c r="L1492" i="36"/>
  <c r="L1493" i="36"/>
  <c r="L1494" i="36"/>
  <c r="L1495" i="36"/>
  <c r="L1496" i="36"/>
  <c r="L1497" i="36"/>
  <c r="L1498" i="36"/>
  <c r="L1499" i="36"/>
  <c r="L1500" i="36"/>
  <c r="L1501" i="36"/>
  <c r="L1502" i="36"/>
  <c r="L1504" i="36"/>
  <c r="L1506" i="36"/>
  <c r="L1508" i="36"/>
  <c r="L1510" i="36"/>
  <c r="L1511" i="36"/>
  <c r="L1512" i="36"/>
  <c r="L1513" i="36"/>
  <c r="L1514" i="36"/>
  <c r="L1515" i="36"/>
  <c r="L1516" i="36"/>
  <c r="L1517" i="36"/>
  <c r="L1518" i="36"/>
  <c r="L1519" i="36"/>
  <c r="L1520" i="36"/>
  <c r="L1521" i="36"/>
  <c r="L1522" i="36"/>
  <c r="L1524" i="36"/>
  <c r="L1526" i="36"/>
  <c r="L1527" i="36"/>
  <c r="L1529" i="36"/>
  <c r="L1531" i="36"/>
  <c r="L1532" i="36"/>
  <c r="L1533" i="36"/>
  <c r="L1534" i="36"/>
  <c r="L1535" i="36"/>
  <c r="L1536" i="36"/>
  <c r="L1537" i="36"/>
  <c r="L1538" i="36"/>
  <c r="L1539" i="36"/>
  <c r="L1540" i="36"/>
  <c r="L1541" i="36"/>
  <c r="L1542" i="36"/>
  <c r="L1543" i="36"/>
  <c r="L1544" i="36"/>
  <c r="L1545" i="36"/>
  <c r="L1546" i="36"/>
  <c r="L1547" i="36"/>
  <c r="L1548" i="36"/>
  <c r="L1549" i="36"/>
  <c r="L1550" i="36"/>
  <c r="L1551" i="36"/>
  <c r="L1552" i="36"/>
  <c r="L1553" i="36"/>
  <c r="E2" i="36"/>
  <c r="E3" i="36"/>
  <c r="AB3" i="36"/>
  <c r="E4" i="36"/>
  <c r="AB4" i="36"/>
  <c r="E5" i="36"/>
  <c r="AB5" i="36"/>
  <c r="E6" i="36"/>
  <c r="AB6" i="36"/>
  <c r="E7" i="36"/>
  <c r="AB7" i="36"/>
  <c r="E8" i="36"/>
  <c r="AB8" i="36"/>
  <c r="E9" i="36"/>
  <c r="AB9" i="36"/>
  <c r="E10" i="36"/>
  <c r="AB10" i="36"/>
  <c r="E11" i="36"/>
  <c r="AB11" i="36"/>
  <c r="E12" i="36"/>
  <c r="AB12" i="36"/>
  <c r="E13" i="36"/>
  <c r="AB13" i="36"/>
  <c r="E14" i="36"/>
  <c r="AB14" i="36"/>
  <c r="E15" i="36"/>
  <c r="AB15" i="36"/>
  <c r="E16" i="36"/>
  <c r="AB16" i="36"/>
  <c r="E17" i="36"/>
  <c r="AB17" i="36"/>
  <c r="E18" i="36"/>
  <c r="AB18" i="36"/>
  <c r="E19" i="36"/>
  <c r="AB19" i="36"/>
  <c r="E20" i="36"/>
  <c r="AB20" i="36"/>
  <c r="E21" i="36"/>
  <c r="AB21" i="36"/>
  <c r="E22" i="36"/>
  <c r="AB22" i="36"/>
  <c r="E23" i="36"/>
  <c r="AB23" i="36"/>
  <c r="E24" i="36"/>
  <c r="AB24" i="36"/>
  <c r="E25" i="36"/>
  <c r="AB25" i="36"/>
  <c r="E26" i="36"/>
  <c r="AB26" i="36"/>
  <c r="E27" i="36"/>
  <c r="AB27" i="36"/>
  <c r="E28" i="36"/>
  <c r="AB28" i="36"/>
  <c r="E29" i="36"/>
  <c r="AB29" i="36"/>
  <c r="E30" i="36"/>
  <c r="AB30" i="36"/>
  <c r="E31" i="36"/>
  <c r="AB31" i="36"/>
  <c r="E32" i="36"/>
  <c r="AB32" i="36"/>
  <c r="E33" i="36"/>
  <c r="AB33" i="36"/>
  <c r="E34" i="36"/>
  <c r="AB34" i="36"/>
  <c r="E35" i="36"/>
  <c r="AB35" i="36"/>
  <c r="E36" i="36"/>
  <c r="AB36" i="36"/>
  <c r="E37" i="36"/>
  <c r="AB37" i="36"/>
  <c r="E38" i="36"/>
  <c r="AB38" i="36"/>
  <c r="E39" i="36"/>
  <c r="AB39" i="36"/>
  <c r="E40" i="36"/>
  <c r="AB40" i="36"/>
  <c r="E41" i="36"/>
  <c r="AB41" i="36"/>
  <c r="E42" i="36"/>
  <c r="AB42" i="36"/>
  <c r="E43" i="36"/>
  <c r="AB43" i="36"/>
  <c r="E44" i="36"/>
  <c r="AB44" i="36"/>
  <c r="E45" i="36"/>
  <c r="AB45" i="36"/>
  <c r="E46" i="36"/>
  <c r="AB46" i="36"/>
  <c r="E47" i="36"/>
  <c r="AB47" i="36"/>
  <c r="E48" i="36"/>
  <c r="AB48" i="36"/>
  <c r="E49" i="36"/>
  <c r="AB49" i="36"/>
  <c r="E50" i="36"/>
  <c r="AB50" i="36"/>
  <c r="E51" i="36"/>
  <c r="AB51" i="36"/>
  <c r="E52" i="36"/>
  <c r="AB52" i="36"/>
  <c r="E53" i="36"/>
  <c r="AB53" i="36"/>
  <c r="E54" i="36"/>
  <c r="AB54" i="36"/>
  <c r="E55" i="36"/>
  <c r="AB55" i="36"/>
  <c r="E56" i="36"/>
  <c r="AB56" i="36"/>
  <c r="E57" i="36"/>
  <c r="AB57" i="36"/>
  <c r="E58" i="36"/>
  <c r="AB58" i="36"/>
  <c r="E59" i="36"/>
  <c r="AB59" i="36"/>
  <c r="E63" i="36"/>
  <c r="AB63" i="36"/>
  <c r="E66" i="36"/>
  <c r="AB66" i="36"/>
  <c r="E67" i="36"/>
  <c r="AB67" i="36"/>
  <c r="E68" i="36"/>
  <c r="AB68" i="36"/>
  <c r="E69" i="36"/>
  <c r="AB69" i="36"/>
  <c r="E70" i="36"/>
  <c r="AB70" i="36"/>
  <c r="E71" i="36"/>
  <c r="AB71" i="36"/>
  <c r="E72" i="36"/>
  <c r="AB72" i="36"/>
  <c r="E73" i="36"/>
  <c r="AB73" i="36"/>
  <c r="E74" i="36"/>
  <c r="AB74" i="36"/>
  <c r="E75" i="36"/>
  <c r="AB75" i="36"/>
  <c r="E76" i="36"/>
  <c r="AB76" i="36"/>
  <c r="E77" i="36"/>
  <c r="AB77" i="36"/>
  <c r="E78" i="36"/>
  <c r="AB78" i="36"/>
  <c r="E79" i="36"/>
  <c r="AB79" i="36"/>
  <c r="E80" i="36"/>
  <c r="AB80" i="36"/>
  <c r="E81" i="36"/>
  <c r="AB81" i="36"/>
  <c r="E82" i="36"/>
  <c r="AB82" i="36"/>
  <c r="E83" i="36"/>
  <c r="AB83" i="36"/>
  <c r="E84" i="36"/>
  <c r="AB84" i="36"/>
  <c r="E85" i="36"/>
  <c r="AB85" i="36"/>
  <c r="E86" i="36"/>
  <c r="AB86" i="36"/>
  <c r="E87" i="36"/>
  <c r="AB87" i="36"/>
  <c r="E88" i="36"/>
  <c r="AB88" i="36"/>
  <c r="E89" i="36"/>
  <c r="AB89" i="36"/>
  <c r="E90" i="36"/>
  <c r="AB90" i="36"/>
  <c r="E91" i="36"/>
  <c r="AB91" i="36"/>
  <c r="E92" i="36"/>
  <c r="AB92" i="36"/>
  <c r="E93" i="36"/>
  <c r="AB93" i="36"/>
  <c r="E94" i="36"/>
  <c r="AB94" i="36"/>
  <c r="E95" i="36"/>
  <c r="AB95" i="36"/>
  <c r="E96" i="36"/>
  <c r="AB96" i="36"/>
  <c r="E97" i="36"/>
  <c r="AB97" i="36"/>
  <c r="E98" i="36"/>
  <c r="AB98" i="36"/>
  <c r="E99" i="36"/>
  <c r="AB99" i="36"/>
  <c r="E100" i="36"/>
  <c r="AB100" i="36"/>
  <c r="E101" i="36"/>
  <c r="AB101" i="36"/>
  <c r="E102" i="36"/>
  <c r="AB102" i="36"/>
  <c r="E103" i="36"/>
  <c r="AB103" i="36"/>
  <c r="E104" i="36"/>
  <c r="AB104" i="36"/>
  <c r="E105" i="36"/>
  <c r="AB105" i="36"/>
  <c r="E106" i="36"/>
  <c r="AB106" i="36"/>
  <c r="E107" i="36"/>
  <c r="AB107" i="36"/>
  <c r="E108" i="36"/>
  <c r="AB108" i="36"/>
  <c r="E109" i="36"/>
  <c r="AB109" i="36"/>
  <c r="E110" i="36"/>
  <c r="AB110" i="36"/>
  <c r="E111" i="36"/>
  <c r="AB111" i="36"/>
  <c r="E112" i="36"/>
  <c r="AB112" i="36"/>
  <c r="E113" i="36"/>
  <c r="AB113" i="36"/>
  <c r="E114" i="36"/>
  <c r="AB114" i="36"/>
  <c r="E115" i="36"/>
  <c r="AB115" i="36"/>
  <c r="E116" i="36"/>
  <c r="AB116" i="36"/>
  <c r="E117" i="36"/>
  <c r="AB117" i="36"/>
  <c r="E118" i="36"/>
  <c r="AB118" i="36"/>
  <c r="E119" i="36"/>
  <c r="AB119" i="36"/>
  <c r="E120" i="36"/>
  <c r="AB120" i="36"/>
  <c r="E121" i="36"/>
  <c r="AB121" i="36"/>
  <c r="E122" i="36"/>
  <c r="AB122" i="36"/>
  <c r="E123" i="36"/>
  <c r="AB123" i="36"/>
  <c r="E124" i="36"/>
  <c r="AB124" i="36"/>
  <c r="E125" i="36"/>
  <c r="AB125" i="36"/>
  <c r="E126" i="36"/>
  <c r="AB126" i="36"/>
  <c r="E127" i="36"/>
  <c r="AB127" i="36"/>
  <c r="E128" i="36"/>
  <c r="AB128" i="36"/>
  <c r="E129" i="36"/>
  <c r="AB129" i="36"/>
  <c r="E130" i="36"/>
  <c r="AB130" i="36"/>
  <c r="E131" i="36"/>
  <c r="AB131" i="36"/>
  <c r="E132" i="36"/>
  <c r="AB132" i="36"/>
  <c r="E133" i="36"/>
  <c r="AB133" i="36"/>
  <c r="E134" i="36"/>
  <c r="AB134" i="36"/>
  <c r="E135" i="36"/>
  <c r="AB135" i="36"/>
  <c r="E136" i="36"/>
  <c r="AB136" i="36"/>
  <c r="E137" i="36"/>
  <c r="AB137" i="36"/>
  <c r="E138" i="36"/>
  <c r="AB138" i="36"/>
  <c r="E140" i="36"/>
  <c r="AB140" i="36"/>
  <c r="E141" i="36"/>
  <c r="AB141" i="36"/>
  <c r="E143" i="36"/>
  <c r="AB143" i="36"/>
  <c r="E144" i="36"/>
  <c r="AB144" i="36"/>
  <c r="E145" i="36"/>
  <c r="AB145" i="36"/>
  <c r="E146" i="36"/>
  <c r="AB146" i="36"/>
  <c r="E147" i="36"/>
  <c r="AB147" i="36"/>
  <c r="E148" i="36"/>
  <c r="AB148" i="36"/>
  <c r="E149" i="36"/>
  <c r="AB149" i="36"/>
  <c r="E150" i="36"/>
  <c r="AB150" i="36"/>
  <c r="E151" i="36"/>
  <c r="AB151" i="36"/>
  <c r="E153" i="36"/>
  <c r="AB153" i="36"/>
  <c r="E161" i="36"/>
  <c r="AB161" i="36"/>
  <c r="E162" i="36"/>
  <c r="AB162" i="36"/>
  <c r="E163" i="36"/>
  <c r="AB163" i="36"/>
  <c r="E164" i="36"/>
  <c r="AB164" i="36"/>
  <c r="E165" i="36"/>
  <c r="AB165" i="36"/>
  <c r="E166" i="36"/>
  <c r="AB166" i="36"/>
  <c r="E167" i="36"/>
  <c r="AB167" i="36"/>
  <c r="E168" i="36"/>
  <c r="AB168" i="36"/>
  <c r="E169" i="36"/>
  <c r="AB169" i="36"/>
  <c r="E170" i="36"/>
  <c r="AB170" i="36"/>
  <c r="E171" i="36"/>
  <c r="AB171" i="36"/>
  <c r="E172" i="36"/>
  <c r="AB172" i="36"/>
  <c r="E173" i="36"/>
  <c r="AB173" i="36"/>
  <c r="E174" i="36"/>
  <c r="AB174" i="36"/>
  <c r="E175" i="36"/>
  <c r="AB175" i="36"/>
  <c r="E176" i="36"/>
  <c r="AB176" i="36"/>
  <c r="E177" i="36"/>
  <c r="AB177" i="36"/>
  <c r="E178" i="36"/>
  <c r="AB178" i="36"/>
  <c r="E179" i="36"/>
  <c r="AB179" i="36"/>
  <c r="E180" i="36"/>
  <c r="AB180" i="36"/>
  <c r="E181" i="36"/>
  <c r="AB181" i="36"/>
  <c r="E182" i="36"/>
  <c r="AB182" i="36"/>
  <c r="E183" i="36"/>
  <c r="AB183" i="36"/>
  <c r="E184" i="36"/>
  <c r="AB184" i="36"/>
  <c r="E185" i="36"/>
  <c r="AB185" i="36"/>
  <c r="E186" i="36"/>
  <c r="AB186" i="36"/>
  <c r="E187" i="36"/>
  <c r="AB187" i="36"/>
  <c r="E188" i="36"/>
  <c r="AB188" i="36"/>
  <c r="E189" i="36"/>
  <c r="AB189" i="36"/>
  <c r="E190" i="36"/>
  <c r="AB190" i="36"/>
  <c r="E191" i="36"/>
  <c r="AB191" i="36"/>
  <c r="E192" i="36"/>
  <c r="AB192" i="36"/>
  <c r="E193" i="36"/>
  <c r="AB193" i="36"/>
  <c r="E194" i="36"/>
  <c r="AB194" i="36"/>
  <c r="E196" i="36"/>
  <c r="AB196" i="36"/>
  <c r="E197" i="36"/>
  <c r="AB197" i="36"/>
  <c r="E198" i="36"/>
  <c r="AB198" i="36"/>
  <c r="E199" i="36"/>
  <c r="AB199" i="36"/>
  <c r="E200" i="36"/>
  <c r="AB200" i="36"/>
  <c r="E201" i="36"/>
  <c r="AB201" i="36"/>
  <c r="E202" i="36"/>
  <c r="AB202" i="36"/>
  <c r="E203" i="36"/>
  <c r="AB203" i="36"/>
  <c r="E204" i="36"/>
  <c r="AB204" i="36"/>
  <c r="E205" i="36"/>
  <c r="AB205" i="36"/>
  <c r="E206" i="36"/>
  <c r="AB206" i="36"/>
  <c r="E207" i="36"/>
  <c r="AB207" i="36"/>
  <c r="E208" i="36"/>
  <c r="AB208" i="36"/>
  <c r="E209" i="36"/>
  <c r="AB209" i="36"/>
  <c r="E210" i="36"/>
  <c r="AB210" i="36"/>
  <c r="E211" i="36"/>
  <c r="AB211" i="36"/>
  <c r="E212" i="36"/>
  <c r="AB212" i="36"/>
  <c r="E213" i="36"/>
  <c r="AB213" i="36"/>
  <c r="E214" i="36"/>
  <c r="AB214" i="36"/>
  <c r="E215" i="36"/>
  <c r="AB215" i="36"/>
  <c r="E216" i="36"/>
  <c r="AB216" i="36"/>
  <c r="E217" i="36"/>
  <c r="AB217" i="36"/>
  <c r="E218" i="36"/>
  <c r="AB218" i="36"/>
  <c r="E219" i="36"/>
  <c r="AB219" i="36"/>
  <c r="E220" i="36"/>
  <c r="AB220" i="36"/>
  <c r="E221" i="36"/>
  <c r="AB221" i="36"/>
  <c r="E222" i="36"/>
  <c r="AB222" i="36"/>
  <c r="E223" i="36"/>
  <c r="AB223" i="36"/>
  <c r="E224" i="36"/>
  <c r="AB224" i="36"/>
  <c r="E225" i="36"/>
  <c r="AB225" i="36"/>
  <c r="E226" i="36"/>
  <c r="AB226" i="36"/>
  <c r="E227" i="36"/>
  <c r="AB227" i="36"/>
  <c r="E228" i="36"/>
  <c r="AB228" i="36"/>
  <c r="E229" i="36"/>
  <c r="AB229" i="36"/>
  <c r="E230" i="36"/>
  <c r="AB230" i="36"/>
  <c r="E231" i="36"/>
  <c r="AB231" i="36"/>
  <c r="E232" i="36"/>
  <c r="AB232" i="36"/>
  <c r="E233" i="36"/>
  <c r="AB233" i="36"/>
  <c r="E234" i="36"/>
  <c r="AB234" i="36"/>
  <c r="E235" i="36"/>
  <c r="AB235" i="36"/>
  <c r="E236" i="36"/>
  <c r="AB236" i="36"/>
  <c r="E237" i="36"/>
  <c r="AB237" i="36"/>
  <c r="E238" i="36"/>
  <c r="AB238" i="36"/>
  <c r="E239" i="36"/>
  <c r="AB239" i="36"/>
  <c r="E240" i="36"/>
  <c r="AB240" i="36"/>
  <c r="E241" i="36"/>
  <c r="AB241" i="36"/>
  <c r="E244" i="36"/>
  <c r="AB244" i="36"/>
  <c r="E248" i="36"/>
  <c r="AB248" i="36"/>
  <c r="E249" i="36"/>
  <c r="AB249" i="36"/>
  <c r="E250" i="36"/>
  <c r="AB250" i="36"/>
  <c r="E251" i="36"/>
  <c r="AB251" i="36"/>
  <c r="E252" i="36"/>
  <c r="AB252" i="36"/>
  <c r="E253" i="36"/>
  <c r="AB253" i="36"/>
  <c r="E254" i="36"/>
  <c r="AB254" i="36"/>
  <c r="E255" i="36"/>
  <c r="AB255" i="36"/>
  <c r="E256" i="36"/>
  <c r="AB256" i="36"/>
  <c r="E257" i="36"/>
  <c r="AB257" i="36"/>
  <c r="E258" i="36"/>
  <c r="AB258" i="36"/>
  <c r="E259" i="36"/>
  <c r="AB259" i="36"/>
  <c r="E260" i="36"/>
  <c r="AB260" i="36"/>
  <c r="E261" i="36"/>
  <c r="AB261" i="36"/>
  <c r="E262" i="36"/>
  <c r="AB262" i="36"/>
  <c r="E263" i="36"/>
  <c r="AB263" i="36"/>
  <c r="E264" i="36"/>
  <c r="AB264" i="36"/>
  <c r="E265" i="36"/>
  <c r="AB265" i="36"/>
  <c r="E266" i="36"/>
  <c r="AB266" i="36"/>
  <c r="E267" i="36"/>
  <c r="AB267" i="36"/>
  <c r="E268" i="36"/>
  <c r="AB268" i="36"/>
  <c r="E269" i="36"/>
  <c r="AB269" i="36"/>
  <c r="E270" i="36"/>
  <c r="AB270" i="36"/>
  <c r="E271" i="36"/>
  <c r="AB271" i="36"/>
  <c r="E272" i="36"/>
  <c r="AB272" i="36"/>
  <c r="E273" i="36"/>
  <c r="AB273" i="36"/>
  <c r="E274" i="36"/>
  <c r="AB274" i="36"/>
  <c r="E275" i="36"/>
  <c r="AB275" i="36"/>
  <c r="E276" i="36"/>
  <c r="AB276" i="36"/>
  <c r="E277" i="36"/>
  <c r="AB277" i="36"/>
  <c r="E278" i="36"/>
  <c r="AB278" i="36"/>
  <c r="E279" i="36"/>
  <c r="AB279" i="36"/>
  <c r="E280" i="36"/>
  <c r="AB280" i="36"/>
  <c r="E281" i="36"/>
  <c r="AB281" i="36"/>
  <c r="E282" i="36"/>
  <c r="AB282" i="36"/>
  <c r="E283" i="36"/>
  <c r="AB283" i="36"/>
  <c r="E284" i="36"/>
  <c r="AB284" i="36"/>
  <c r="E285" i="36"/>
  <c r="AB285" i="36"/>
  <c r="E286" i="36"/>
  <c r="AB286" i="36"/>
  <c r="E287" i="36"/>
  <c r="AB287" i="36"/>
  <c r="E288" i="36"/>
  <c r="AB288" i="36"/>
  <c r="E289" i="36"/>
  <c r="AB289" i="36"/>
  <c r="E290" i="36"/>
  <c r="AB290" i="36"/>
  <c r="E291" i="36"/>
  <c r="AB291" i="36"/>
  <c r="E292" i="36"/>
  <c r="AB292" i="36"/>
  <c r="E293" i="36"/>
  <c r="AB293" i="36"/>
  <c r="E294" i="36"/>
  <c r="AB294" i="36"/>
  <c r="E295" i="36"/>
  <c r="AB295" i="36"/>
  <c r="E296" i="36"/>
  <c r="AB296" i="36"/>
  <c r="E297" i="36"/>
  <c r="AB297" i="36"/>
  <c r="E298" i="36"/>
  <c r="AB298" i="36"/>
  <c r="E299" i="36"/>
  <c r="AB299" i="36"/>
  <c r="E300" i="36"/>
  <c r="AB300" i="36"/>
  <c r="E301" i="36"/>
  <c r="AB301" i="36"/>
  <c r="E302" i="36"/>
  <c r="AB302" i="36"/>
  <c r="E303" i="36"/>
  <c r="AB303" i="36"/>
  <c r="E305" i="36"/>
  <c r="AB305" i="36"/>
  <c r="E306" i="36"/>
  <c r="AB306" i="36"/>
  <c r="E307" i="36"/>
  <c r="AB307" i="36"/>
  <c r="E308" i="36"/>
  <c r="AB308" i="36"/>
  <c r="E309" i="36"/>
  <c r="AB309" i="36"/>
  <c r="E310" i="36"/>
  <c r="AB310" i="36"/>
  <c r="E311" i="36"/>
  <c r="AB311" i="36"/>
  <c r="E312" i="36"/>
  <c r="AB312" i="36"/>
  <c r="E313" i="36"/>
  <c r="AB313" i="36"/>
  <c r="E314" i="36"/>
  <c r="AB314" i="36"/>
  <c r="E315" i="36"/>
  <c r="AB315" i="36"/>
  <c r="E316" i="36"/>
  <c r="AB316" i="36"/>
  <c r="E317" i="36"/>
  <c r="AB317" i="36"/>
  <c r="E318" i="36"/>
  <c r="AB318" i="36"/>
  <c r="E319" i="36"/>
  <c r="AB319" i="36"/>
  <c r="E320" i="36"/>
  <c r="AB320" i="36"/>
  <c r="E321" i="36"/>
  <c r="AB321" i="36"/>
  <c r="E322" i="36"/>
  <c r="AB322" i="36"/>
  <c r="E323" i="36"/>
  <c r="AB323" i="36"/>
  <c r="E324" i="36"/>
  <c r="AB324" i="36"/>
  <c r="E325" i="36"/>
  <c r="AB325" i="36"/>
  <c r="E326" i="36"/>
  <c r="AB326" i="36"/>
  <c r="E327" i="36"/>
  <c r="AB327" i="36"/>
  <c r="E328" i="36"/>
  <c r="AB328" i="36"/>
  <c r="E329" i="36"/>
  <c r="AB329" i="36"/>
  <c r="E330" i="36"/>
  <c r="AB330" i="36"/>
  <c r="E331" i="36"/>
  <c r="AB331" i="36"/>
  <c r="E332" i="36"/>
  <c r="AB332" i="36"/>
  <c r="E333" i="36"/>
  <c r="AB333" i="36"/>
  <c r="E334" i="36"/>
  <c r="AB334" i="36"/>
  <c r="E335" i="36"/>
  <c r="AB335" i="36"/>
  <c r="E336" i="36"/>
  <c r="AB336" i="36"/>
  <c r="E337" i="36"/>
  <c r="AB337" i="36"/>
  <c r="E338" i="36"/>
  <c r="AB338" i="36"/>
  <c r="E339" i="36"/>
  <c r="AB339" i="36"/>
  <c r="E340" i="36"/>
  <c r="AB340" i="36"/>
  <c r="E341" i="36"/>
  <c r="AB341" i="36"/>
  <c r="E343" i="36"/>
  <c r="AB343" i="36"/>
  <c r="E345" i="36"/>
  <c r="AB345" i="36"/>
  <c r="E346" i="36"/>
  <c r="AB346" i="36"/>
  <c r="E347" i="36"/>
  <c r="AB347" i="36"/>
  <c r="E348" i="36"/>
  <c r="AB348" i="36"/>
  <c r="E349" i="36"/>
  <c r="AB349" i="36"/>
  <c r="E350" i="36"/>
  <c r="AB350" i="36"/>
  <c r="E351" i="36"/>
  <c r="AB351" i="36"/>
  <c r="E352" i="36"/>
  <c r="AB352" i="36"/>
  <c r="E353" i="36"/>
  <c r="AB353" i="36"/>
  <c r="E354" i="36"/>
  <c r="AB354" i="36"/>
  <c r="E355" i="36"/>
  <c r="AB355" i="36"/>
  <c r="E356" i="36"/>
  <c r="AB356" i="36"/>
  <c r="E357" i="36"/>
  <c r="AB357" i="36"/>
  <c r="E358" i="36"/>
  <c r="AB358" i="36"/>
  <c r="E359" i="36"/>
  <c r="AB359" i="36"/>
  <c r="E360" i="36"/>
  <c r="AB360" i="36"/>
  <c r="E361" i="36"/>
  <c r="AB361" i="36"/>
  <c r="E362" i="36"/>
  <c r="AB362" i="36"/>
  <c r="E363" i="36"/>
  <c r="AB363" i="36"/>
  <c r="E364" i="36"/>
  <c r="AB364" i="36"/>
  <c r="E365" i="36"/>
  <c r="AB365" i="36"/>
  <c r="E366" i="36"/>
  <c r="AB366" i="36"/>
  <c r="E367" i="36"/>
  <c r="AB367" i="36"/>
  <c r="E368" i="36"/>
  <c r="AB368" i="36"/>
  <c r="E369" i="36"/>
  <c r="AB369" i="36"/>
  <c r="E370" i="36"/>
  <c r="AB370" i="36"/>
  <c r="E371" i="36"/>
  <c r="AB371" i="36"/>
  <c r="E373" i="36"/>
  <c r="AB373" i="36"/>
  <c r="E374" i="36"/>
  <c r="AB374" i="36"/>
  <c r="E375" i="36"/>
  <c r="AB375" i="36"/>
  <c r="E376" i="36"/>
  <c r="AB376" i="36"/>
  <c r="E377" i="36"/>
  <c r="AB377" i="36"/>
  <c r="E378" i="36"/>
  <c r="AB378" i="36"/>
  <c r="E379" i="36"/>
  <c r="AB379" i="36"/>
  <c r="E380" i="36"/>
  <c r="AB380" i="36"/>
  <c r="E381" i="36"/>
  <c r="AB381" i="36"/>
  <c r="E382" i="36"/>
  <c r="AB382" i="36"/>
  <c r="E383" i="36"/>
  <c r="AB383" i="36"/>
  <c r="E384" i="36"/>
  <c r="AB384" i="36"/>
  <c r="E385" i="36"/>
  <c r="AB385" i="36"/>
  <c r="E386" i="36"/>
  <c r="AB386" i="36"/>
  <c r="E387" i="36"/>
  <c r="AB387" i="36"/>
  <c r="E388" i="36"/>
  <c r="AB388" i="36"/>
  <c r="E389" i="36"/>
  <c r="AB389" i="36"/>
  <c r="E390" i="36"/>
  <c r="AB390" i="36"/>
  <c r="E391" i="36"/>
  <c r="AB391" i="36"/>
  <c r="E392" i="36"/>
  <c r="AB392" i="36"/>
  <c r="E393" i="36"/>
  <c r="AB393" i="36"/>
  <c r="E394" i="36"/>
  <c r="AB394" i="36"/>
  <c r="E395" i="36"/>
  <c r="AB395" i="36"/>
  <c r="E396" i="36"/>
  <c r="AB396" i="36"/>
  <c r="E397" i="36"/>
  <c r="AB397" i="36"/>
  <c r="E398" i="36"/>
  <c r="AB398" i="36"/>
  <c r="E399" i="36"/>
  <c r="AB399" i="36"/>
  <c r="E400" i="36"/>
  <c r="AB400" i="36"/>
  <c r="E401" i="36"/>
  <c r="AB401" i="36"/>
  <c r="E402" i="36"/>
  <c r="AB402" i="36"/>
  <c r="E403" i="36"/>
  <c r="AB403" i="36"/>
  <c r="E404" i="36"/>
  <c r="AB404" i="36"/>
  <c r="E405" i="36"/>
  <c r="AB405" i="36"/>
  <c r="E406" i="36"/>
  <c r="AB406" i="36"/>
  <c r="E407" i="36"/>
  <c r="AB407" i="36"/>
  <c r="E408" i="36"/>
  <c r="AB408" i="36"/>
  <c r="E409" i="36"/>
  <c r="AB409" i="36"/>
  <c r="E410" i="36"/>
  <c r="AB410" i="36"/>
  <c r="E411" i="36"/>
  <c r="AB411" i="36"/>
  <c r="E412" i="36"/>
  <c r="AB412" i="36"/>
  <c r="E413" i="36"/>
  <c r="AB413" i="36"/>
  <c r="E414" i="36"/>
  <c r="AB414" i="36"/>
  <c r="E415" i="36"/>
  <c r="AB415" i="36"/>
  <c r="E416" i="36"/>
  <c r="AB416" i="36"/>
  <c r="E417" i="36"/>
  <c r="AB417" i="36"/>
  <c r="E418" i="36"/>
  <c r="AB418" i="36"/>
  <c r="E419" i="36"/>
  <c r="AB419" i="36"/>
  <c r="E420" i="36"/>
  <c r="AB420" i="36"/>
  <c r="E421" i="36"/>
  <c r="AB421" i="36"/>
  <c r="E422" i="36"/>
  <c r="AB422" i="36"/>
  <c r="E423" i="36"/>
  <c r="AB423" i="36"/>
  <c r="E424" i="36"/>
  <c r="AB424" i="36"/>
  <c r="E425" i="36"/>
  <c r="AB425" i="36"/>
  <c r="E426" i="36"/>
  <c r="AB426" i="36"/>
  <c r="E427" i="36"/>
  <c r="AB427" i="36"/>
  <c r="E428" i="36"/>
  <c r="AB428" i="36"/>
  <c r="E429" i="36"/>
  <c r="AB429" i="36"/>
  <c r="E430" i="36"/>
  <c r="AB430" i="36"/>
  <c r="E431" i="36"/>
  <c r="AB431" i="36"/>
  <c r="E432" i="36"/>
  <c r="AB432" i="36"/>
  <c r="E433" i="36"/>
  <c r="AB433" i="36"/>
  <c r="E434" i="36"/>
  <c r="AB434" i="36"/>
  <c r="E435" i="36"/>
  <c r="AB435" i="36"/>
  <c r="E436" i="36"/>
  <c r="AB436" i="36"/>
  <c r="E437" i="36"/>
  <c r="AB437" i="36"/>
  <c r="E438" i="36"/>
  <c r="AB438" i="36"/>
  <c r="E439" i="36"/>
  <c r="AB439" i="36"/>
  <c r="E441" i="36"/>
  <c r="AB441" i="36"/>
  <c r="E443" i="36"/>
  <c r="AB443" i="36"/>
  <c r="E445" i="36"/>
  <c r="AB445" i="36"/>
  <c r="E447" i="36"/>
  <c r="AB447" i="36"/>
  <c r="E449" i="36"/>
  <c r="AB449" i="36"/>
  <c r="E450" i="36"/>
  <c r="AB450" i="36"/>
  <c r="E451" i="36"/>
  <c r="AB451" i="36"/>
  <c r="E453" i="36"/>
  <c r="AB453" i="36"/>
  <c r="E454" i="36"/>
  <c r="AB454" i="36"/>
  <c r="E455" i="36"/>
  <c r="AB455" i="36"/>
  <c r="E456" i="36"/>
  <c r="AB456" i="36"/>
  <c r="E457" i="36"/>
  <c r="AB457" i="36"/>
  <c r="E458" i="36"/>
  <c r="AB458" i="36"/>
  <c r="E459" i="36"/>
  <c r="AB459" i="36"/>
  <c r="E460" i="36"/>
  <c r="AB460" i="36"/>
  <c r="E461" i="36"/>
  <c r="AB461" i="36"/>
  <c r="E462" i="36"/>
  <c r="AB462" i="36"/>
  <c r="E463" i="36"/>
  <c r="AB463" i="36"/>
  <c r="E464" i="36"/>
  <c r="AB464" i="36"/>
  <c r="E465" i="36"/>
  <c r="AB465" i="36"/>
  <c r="E466" i="36"/>
  <c r="AB466" i="36"/>
  <c r="E467" i="36"/>
  <c r="AB467" i="36"/>
  <c r="E468" i="36"/>
  <c r="AB468" i="36"/>
  <c r="E469" i="36"/>
  <c r="AB469" i="36"/>
  <c r="E470" i="36"/>
  <c r="AB470" i="36"/>
  <c r="E471" i="36"/>
  <c r="AB471" i="36"/>
  <c r="E472" i="36"/>
  <c r="AB472" i="36"/>
  <c r="E473" i="36"/>
  <c r="AB473" i="36"/>
  <c r="E474" i="36"/>
  <c r="AB474" i="36"/>
  <c r="E475" i="36"/>
  <c r="AB475" i="36"/>
  <c r="E476" i="36"/>
  <c r="AB476" i="36"/>
  <c r="E477" i="36"/>
  <c r="AB477" i="36"/>
  <c r="E478" i="36"/>
  <c r="AB478" i="36"/>
  <c r="E481" i="36"/>
  <c r="AB481" i="36"/>
  <c r="E484" i="36"/>
  <c r="AB484" i="36"/>
  <c r="E485" i="36"/>
  <c r="AB485" i="36"/>
  <c r="E486" i="36"/>
  <c r="AB486" i="36"/>
  <c r="E487" i="36"/>
  <c r="AB487" i="36"/>
  <c r="E488" i="36"/>
  <c r="AB488" i="36"/>
  <c r="E489" i="36"/>
  <c r="AB489" i="36"/>
  <c r="E490" i="36"/>
  <c r="AB490" i="36"/>
  <c r="E491" i="36"/>
  <c r="AB491" i="36"/>
  <c r="E492" i="36"/>
  <c r="AB492" i="36"/>
  <c r="E493" i="36"/>
  <c r="AB493" i="36"/>
  <c r="E494" i="36"/>
  <c r="AB494" i="36"/>
  <c r="E495" i="36"/>
  <c r="AB495" i="36"/>
  <c r="E496" i="36"/>
  <c r="AB496" i="36"/>
  <c r="E497" i="36"/>
  <c r="AB497" i="36"/>
  <c r="E498" i="36"/>
  <c r="AB498" i="36"/>
  <c r="E499" i="36"/>
  <c r="AB499" i="36"/>
  <c r="E500" i="36"/>
  <c r="AB500" i="36"/>
  <c r="E501" i="36"/>
  <c r="AB501" i="36"/>
  <c r="E502" i="36"/>
  <c r="AB502" i="36"/>
  <c r="E503" i="36"/>
  <c r="AB503" i="36"/>
  <c r="E504" i="36"/>
  <c r="AB504" i="36"/>
  <c r="E505" i="36"/>
  <c r="AB505" i="36"/>
  <c r="E506" i="36"/>
  <c r="AB506" i="36"/>
  <c r="E507" i="36"/>
  <c r="AB507" i="36"/>
  <c r="E508" i="36"/>
  <c r="AB508" i="36"/>
  <c r="E509" i="36"/>
  <c r="AB509" i="36"/>
  <c r="E510" i="36"/>
  <c r="AB510" i="36"/>
  <c r="E511" i="36"/>
  <c r="AB511" i="36"/>
  <c r="E512" i="36"/>
  <c r="AB512" i="36"/>
  <c r="E513" i="36"/>
  <c r="AB513" i="36"/>
  <c r="E514" i="36"/>
  <c r="AB514" i="36"/>
  <c r="E515" i="36"/>
  <c r="AB515" i="36"/>
  <c r="E516" i="36"/>
  <c r="AB516" i="36"/>
  <c r="E517" i="36"/>
  <c r="AB517" i="36"/>
  <c r="E518" i="36"/>
  <c r="AB518" i="36"/>
  <c r="E519" i="36"/>
  <c r="AB519" i="36"/>
  <c r="E520" i="36"/>
  <c r="AB520" i="36"/>
  <c r="E521" i="36"/>
  <c r="AB521" i="36"/>
  <c r="E522" i="36"/>
  <c r="AB522" i="36"/>
  <c r="E523" i="36"/>
  <c r="AB523" i="36"/>
  <c r="E524" i="36"/>
  <c r="AB524" i="36"/>
  <c r="E525" i="36"/>
  <c r="AB525" i="36"/>
  <c r="E526" i="36"/>
  <c r="AB526" i="36"/>
  <c r="E527" i="36"/>
  <c r="AB527" i="36"/>
  <c r="E528" i="36"/>
  <c r="AB528" i="36"/>
  <c r="E529" i="36"/>
  <c r="AB529" i="36"/>
  <c r="E530" i="36"/>
  <c r="AB530" i="36"/>
  <c r="E531" i="36"/>
  <c r="AB531" i="36"/>
  <c r="E532" i="36"/>
  <c r="AB532" i="36"/>
  <c r="E533" i="36"/>
  <c r="AB533" i="36"/>
  <c r="E534" i="36"/>
  <c r="AB534" i="36"/>
  <c r="E535" i="36"/>
  <c r="AB535" i="36"/>
  <c r="E536" i="36"/>
  <c r="AB536" i="36"/>
  <c r="E537" i="36"/>
  <c r="AB537" i="36"/>
  <c r="E538" i="36"/>
  <c r="AB538" i="36"/>
  <c r="E539" i="36"/>
  <c r="AB539" i="36"/>
  <c r="E540" i="36"/>
  <c r="AB540" i="36"/>
  <c r="E541" i="36"/>
  <c r="AB541" i="36"/>
  <c r="E542" i="36"/>
  <c r="AB542" i="36"/>
  <c r="E543" i="36"/>
  <c r="AB543" i="36"/>
  <c r="E544" i="36"/>
  <c r="AB544" i="36"/>
  <c r="E545" i="36"/>
  <c r="AB545" i="36"/>
  <c r="E546" i="36"/>
  <c r="AB546" i="36"/>
  <c r="E547" i="36"/>
  <c r="AB547" i="36"/>
  <c r="E548" i="36"/>
  <c r="AB548" i="36"/>
  <c r="E549" i="36"/>
  <c r="AB549" i="36"/>
  <c r="E550" i="36"/>
  <c r="AB550" i="36"/>
  <c r="E551" i="36"/>
  <c r="AB551" i="36"/>
  <c r="E552" i="36"/>
  <c r="AB552" i="36"/>
  <c r="E553" i="36"/>
  <c r="AB553" i="36"/>
  <c r="E554" i="36"/>
  <c r="AB554" i="36"/>
  <c r="E555" i="36"/>
  <c r="AB555" i="36"/>
  <c r="E556" i="36"/>
  <c r="AB556" i="36"/>
  <c r="E557" i="36"/>
  <c r="AB557" i="36"/>
  <c r="E558" i="36"/>
  <c r="AB558" i="36"/>
  <c r="E559" i="36"/>
  <c r="AB559" i="36"/>
  <c r="E560" i="36"/>
  <c r="AB560" i="36"/>
  <c r="E561" i="36"/>
  <c r="AB561" i="36"/>
  <c r="E562" i="36"/>
  <c r="AB562" i="36"/>
  <c r="E563" i="36"/>
  <c r="AB563" i="36"/>
  <c r="E564" i="36"/>
  <c r="AB564" i="36"/>
  <c r="E565" i="36"/>
  <c r="AB565" i="36"/>
  <c r="E566" i="36"/>
  <c r="AB566" i="36"/>
  <c r="E567" i="36"/>
  <c r="AB567" i="36"/>
  <c r="E568" i="36"/>
  <c r="AB568" i="36"/>
  <c r="E569" i="36"/>
  <c r="AB569" i="36"/>
  <c r="E570" i="36"/>
  <c r="AB570" i="36"/>
  <c r="E571" i="36"/>
  <c r="AB571" i="36"/>
  <c r="E572" i="36"/>
  <c r="AB572" i="36"/>
  <c r="E573" i="36"/>
  <c r="AB573" i="36"/>
  <c r="E574" i="36"/>
  <c r="AB574" i="36"/>
  <c r="E575" i="36"/>
  <c r="AB575" i="36"/>
  <c r="E576" i="36"/>
  <c r="AB576" i="36"/>
  <c r="E577" i="36"/>
  <c r="AB577" i="36"/>
  <c r="E578" i="36"/>
  <c r="AB578" i="36"/>
  <c r="E579" i="36"/>
  <c r="AB579" i="36"/>
  <c r="E580" i="36"/>
  <c r="AB580" i="36"/>
  <c r="E581" i="36"/>
  <c r="AB581" i="36"/>
  <c r="E582" i="36"/>
  <c r="AB582" i="36"/>
  <c r="E583" i="36"/>
  <c r="AB583" i="36"/>
  <c r="E584" i="36"/>
  <c r="AB584" i="36"/>
  <c r="E585" i="36"/>
  <c r="AB585" i="36"/>
  <c r="E586" i="36"/>
  <c r="AB586" i="36"/>
  <c r="E587" i="36"/>
  <c r="AB587" i="36"/>
  <c r="E588" i="36"/>
  <c r="AB588" i="36"/>
  <c r="E589" i="36"/>
  <c r="AB589" i="36"/>
  <c r="E590" i="36"/>
  <c r="AB590" i="36"/>
  <c r="E591" i="36"/>
  <c r="AB591" i="36"/>
  <c r="E592" i="36"/>
  <c r="AB592" i="36"/>
  <c r="E593" i="36"/>
  <c r="AB593" i="36"/>
  <c r="E594" i="36"/>
  <c r="AB594" i="36"/>
  <c r="E595" i="36"/>
  <c r="AB595" i="36"/>
  <c r="E596" i="36"/>
  <c r="AB596" i="36"/>
  <c r="E597" i="36"/>
  <c r="AB597" i="36"/>
  <c r="E598" i="36"/>
  <c r="AB598" i="36"/>
  <c r="E599" i="36"/>
  <c r="AB599" i="36"/>
  <c r="E600" i="36"/>
  <c r="AB600" i="36"/>
  <c r="E601" i="36"/>
  <c r="AB601" i="36"/>
  <c r="E602" i="36"/>
  <c r="AB602" i="36"/>
  <c r="E603" i="36"/>
  <c r="AB603" i="36"/>
  <c r="E604" i="36"/>
  <c r="AB604" i="36"/>
  <c r="E605" i="36"/>
  <c r="AB605" i="36"/>
  <c r="E606" i="36"/>
  <c r="AB606" i="36"/>
  <c r="E607" i="36"/>
  <c r="AB607" i="36"/>
  <c r="E608" i="36"/>
  <c r="AB608" i="36"/>
  <c r="E609" i="36"/>
  <c r="AB609" i="36"/>
  <c r="E610" i="36"/>
  <c r="AB610" i="36"/>
  <c r="E611" i="36"/>
  <c r="AB611" i="36"/>
  <c r="E612" i="36"/>
  <c r="AB612" i="36"/>
  <c r="E613" i="36"/>
  <c r="AB613" i="36"/>
  <c r="E614" i="36"/>
  <c r="AB614" i="36"/>
  <c r="E615" i="36"/>
  <c r="AB615" i="36"/>
  <c r="E616" i="36"/>
  <c r="AB616" i="36"/>
  <c r="E617" i="36"/>
  <c r="AB617" i="36"/>
  <c r="E618" i="36"/>
  <c r="AB618" i="36"/>
  <c r="E619" i="36"/>
  <c r="AB619" i="36"/>
  <c r="E620" i="36"/>
  <c r="AB620" i="36"/>
  <c r="E621" i="36"/>
  <c r="AB621" i="36"/>
  <c r="E622" i="36"/>
  <c r="AB622" i="36"/>
  <c r="E623" i="36"/>
  <c r="AB623" i="36"/>
  <c r="E624" i="36"/>
  <c r="AB624" i="36"/>
  <c r="E625" i="36"/>
  <c r="AB625" i="36"/>
  <c r="E626" i="36"/>
  <c r="AB626" i="36"/>
  <c r="E627" i="36"/>
  <c r="AB627" i="36"/>
  <c r="E628" i="36"/>
  <c r="AB628" i="36"/>
  <c r="E629" i="36"/>
  <c r="AB629" i="36"/>
  <c r="E630" i="36"/>
  <c r="AB630" i="36"/>
  <c r="E632" i="36"/>
  <c r="AB632" i="36"/>
  <c r="E634" i="36"/>
  <c r="AB634" i="36"/>
  <c r="E635" i="36"/>
  <c r="AB635" i="36"/>
  <c r="E636" i="36"/>
  <c r="AB636" i="36"/>
  <c r="E637" i="36"/>
  <c r="AB637" i="36"/>
  <c r="E638" i="36"/>
  <c r="AB638" i="36"/>
  <c r="E639" i="36"/>
  <c r="AB639" i="36"/>
  <c r="E640" i="36"/>
  <c r="AB640" i="36"/>
  <c r="E641" i="36"/>
  <c r="AB641" i="36"/>
  <c r="E642" i="36"/>
  <c r="AB642" i="36"/>
  <c r="E643" i="36"/>
  <c r="AB643" i="36"/>
  <c r="E644" i="36"/>
  <c r="AB644" i="36"/>
  <c r="E645" i="36"/>
  <c r="AB645" i="36"/>
  <c r="E646" i="36"/>
  <c r="AB646" i="36"/>
  <c r="E648" i="36"/>
  <c r="AB648" i="36"/>
  <c r="E649" i="36"/>
  <c r="AB649" i="36"/>
  <c r="E650" i="36"/>
  <c r="AB650" i="36"/>
  <c r="E651" i="36"/>
  <c r="AB651" i="36"/>
  <c r="E652" i="36"/>
  <c r="AB652" i="36"/>
  <c r="E653" i="36"/>
  <c r="AB653" i="36"/>
  <c r="E654" i="36"/>
  <c r="AB654" i="36"/>
  <c r="E655" i="36"/>
  <c r="AB655" i="36"/>
  <c r="E656" i="36"/>
  <c r="AB656" i="36"/>
  <c r="E657" i="36"/>
  <c r="AB657" i="36"/>
  <c r="E658" i="36"/>
  <c r="AB658" i="36"/>
  <c r="E659" i="36"/>
  <c r="AB659" i="36"/>
  <c r="E660" i="36"/>
  <c r="AB660" i="36"/>
  <c r="E661" i="36"/>
  <c r="AB661" i="36"/>
  <c r="E662" i="36"/>
  <c r="AB662" i="36"/>
  <c r="E663" i="36"/>
  <c r="AB663" i="36"/>
  <c r="E664" i="36"/>
  <c r="AB664" i="36"/>
  <c r="E665" i="36"/>
  <c r="AB665" i="36"/>
  <c r="E666" i="36"/>
  <c r="AB666" i="36"/>
  <c r="E667" i="36"/>
  <c r="AB667" i="36"/>
  <c r="E668" i="36"/>
  <c r="AB668" i="36"/>
  <c r="E669" i="36"/>
  <c r="AB669" i="36"/>
  <c r="E670" i="36"/>
  <c r="AB670" i="36"/>
  <c r="E671" i="36"/>
  <c r="AB671" i="36"/>
  <c r="E672" i="36"/>
  <c r="AB672" i="36"/>
  <c r="E673" i="36"/>
  <c r="AB673" i="36"/>
  <c r="E674" i="36"/>
  <c r="AB674" i="36"/>
  <c r="E675" i="36"/>
  <c r="AB675" i="36"/>
  <c r="E676" i="36"/>
  <c r="AB676" i="36"/>
  <c r="E677" i="36"/>
  <c r="AB677" i="36"/>
  <c r="E678" i="36"/>
  <c r="AB678" i="36"/>
  <c r="E679" i="36"/>
  <c r="AB679" i="36"/>
  <c r="E680" i="36"/>
  <c r="AB680" i="36"/>
  <c r="E681" i="36"/>
  <c r="AB681" i="36"/>
  <c r="E682" i="36"/>
  <c r="AB682" i="36"/>
  <c r="E683" i="36"/>
  <c r="AB683" i="36"/>
  <c r="E684" i="36"/>
  <c r="AB684" i="36"/>
  <c r="E685" i="36"/>
  <c r="AB685" i="36"/>
  <c r="E686" i="36"/>
  <c r="AB686" i="36"/>
  <c r="E687" i="36"/>
  <c r="AB687" i="36"/>
  <c r="E688" i="36"/>
  <c r="AB688" i="36"/>
  <c r="E689" i="36"/>
  <c r="AB689" i="36"/>
  <c r="E690" i="36"/>
  <c r="AB690" i="36"/>
  <c r="E691" i="36"/>
  <c r="AB691" i="36"/>
  <c r="E692" i="36"/>
  <c r="AB692" i="36"/>
  <c r="E693" i="36"/>
  <c r="AB693" i="36"/>
  <c r="E694" i="36"/>
  <c r="AB694" i="36"/>
  <c r="E695" i="36"/>
  <c r="AB695" i="36"/>
  <c r="E696" i="36"/>
  <c r="AB696" i="36"/>
  <c r="E697" i="36"/>
  <c r="AB697" i="36"/>
  <c r="E698" i="36"/>
  <c r="AB698" i="36"/>
  <c r="E699" i="36"/>
  <c r="AB699" i="36"/>
  <c r="E700" i="36"/>
  <c r="AB700" i="36"/>
  <c r="E701" i="36"/>
  <c r="AB701" i="36"/>
  <c r="E702" i="36"/>
  <c r="AB702" i="36"/>
  <c r="E703" i="36"/>
  <c r="AB703" i="36"/>
  <c r="E704" i="36"/>
  <c r="AB704" i="36"/>
  <c r="E705" i="36"/>
  <c r="AB705" i="36"/>
  <c r="E706" i="36"/>
  <c r="AB706" i="36"/>
  <c r="E707" i="36"/>
  <c r="AB707" i="36"/>
  <c r="E708" i="36"/>
  <c r="AB708" i="36"/>
  <c r="E709" i="36"/>
  <c r="AB709" i="36"/>
  <c r="E710" i="36"/>
  <c r="AB710" i="36"/>
  <c r="E711" i="36"/>
  <c r="AB711" i="36"/>
  <c r="E712" i="36"/>
  <c r="AB712" i="36"/>
  <c r="E713" i="36"/>
  <c r="AB713" i="36"/>
  <c r="E714" i="36"/>
  <c r="AB714" i="36"/>
  <c r="E715" i="36"/>
  <c r="AB715" i="36"/>
  <c r="E716" i="36"/>
  <c r="AB716" i="36"/>
  <c r="E717" i="36"/>
  <c r="AB717" i="36"/>
  <c r="E718" i="36"/>
  <c r="AB718" i="36"/>
  <c r="E719" i="36"/>
  <c r="AB719" i="36"/>
  <c r="E720" i="36"/>
  <c r="AB720" i="36"/>
  <c r="E721" i="36"/>
  <c r="AB721" i="36"/>
  <c r="E723" i="36"/>
  <c r="AB723" i="36"/>
  <c r="E724" i="36"/>
  <c r="AB724" i="36"/>
  <c r="E725" i="36"/>
  <c r="AB725" i="36"/>
  <c r="E726" i="36"/>
  <c r="AB726" i="36"/>
  <c r="E727" i="36"/>
  <c r="AB727" i="36"/>
  <c r="E728" i="36"/>
  <c r="AB728" i="36"/>
  <c r="E729" i="36"/>
  <c r="AB729" i="36"/>
  <c r="E730" i="36"/>
  <c r="AB730" i="36"/>
  <c r="E731" i="36"/>
  <c r="AB731" i="36"/>
  <c r="E732" i="36"/>
  <c r="AB732" i="36"/>
  <c r="E733" i="36"/>
  <c r="AB733" i="36"/>
  <c r="E734" i="36"/>
  <c r="AB734" i="36"/>
  <c r="E735" i="36"/>
  <c r="AB735" i="36"/>
  <c r="E736" i="36"/>
  <c r="AB736" i="36"/>
  <c r="E737" i="36"/>
  <c r="AB737" i="36"/>
  <c r="E738" i="36"/>
  <c r="AB738" i="36"/>
  <c r="E739" i="36"/>
  <c r="AB739" i="36"/>
  <c r="E740" i="36"/>
  <c r="AB740" i="36"/>
  <c r="E741" i="36"/>
  <c r="AB741" i="36"/>
  <c r="E742" i="36"/>
  <c r="AB742" i="36"/>
  <c r="E743" i="36"/>
  <c r="AB743" i="36"/>
  <c r="E744" i="36"/>
  <c r="AB744" i="36"/>
  <c r="E745" i="36"/>
  <c r="AB745" i="36"/>
  <c r="E746" i="36"/>
  <c r="AB746" i="36"/>
  <c r="E747" i="36"/>
  <c r="AB747" i="36"/>
  <c r="E748" i="36"/>
  <c r="AB748" i="36"/>
  <c r="E749" i="36"/>
  <c r="AB749" i="36"/>
  <c r="E750" i="36"/>
  <c r="AB750" i="36"/>
  <c r="E751" i="36"/>
  <c r="AB751" i="36"/>
  <c r="E752" i="36"/>
  <c r="AB752" i="36"/>
  <c r="E753" i="36"/>
  <c r="AB753" i="36"/>
  <c r="E754" i="36"/>
  <c r="AB754" i="36"/>
  <c r="E755" i="36"/>
  <c r="AB755" i="36"/>
  <c r="E756" i="36"/>
  <c r="AB756" i="36"/>
  <c r="E757" i="36"/>
  <c r="AB757" i="36"/>
  <c r="E758" i="36"/>
  <c r="AB758" i="36"/>
  <c r="E759" i="36"/>
  <c r="AB759" i="36"/>
  <c r="E760" i="36"/>
  <c r="AB760" i="36"/>
  <c r="E761" i="36"/>
  <c r="AB761" i="36"/>
  <c r="E762" i="36"/>
  <c r="AB762" i="36"/>
  <c r="E763" i="36"/>
  <c r="AB763" i="36"/>
  <c r="E764" i="36"/>
  <c r="AB764" i="36"/>
  <c r="E765" i="36"/>
  <c r="AB765" i="36"/>
  <c r="E766" i="36"/>
  <c r="AB766" i="36"/>
  <c r="E767" i="36"/>
  <c r="AB767" i="36"/>
  <c r="E768" i="36"/>
  <c r="AB768" i="36"/>
  <c r="E769" i="36"/>
  <c r="AB769" i="36"/>
  <c r="E770" i="36"/>
  <c r="AB770" i="36"/>
  <c r="E771" i="36"/>
  <c r="AB771" i="36"/>
  <c r="E772" i="36"/>
  <c r="AB772" i="36"/>
  <c r="E773" i="36"/>
  <c r="AB773" i="36"/>
  <c r="E774" i="36"/>
  <c r="AB774" i="36"/>
  <c r="E775" i="36"/>
  <c r="AB775" i="36"/>
  <c r="E776" i="36"/>
  <c r="AB776" i="36"/>
  <c r="E777" i="36"/>
  <c r="AB777" i="36"/>
  <c r="E778" i="36"/>
  <c r="AB778" i="36"/>
  <c r="E779" i="36"/>
  <c r="AB779" i="36"/>
  <c r="E780" i="36"/>
  <c r="AB780" i="36"/>
  <c r="E781" i="36"/>
  <c r="AB781" i="36"/>
  <c r="E782" i="36"/>
  <c r="AB782" i="36"/>
  <c r="E783" i="36"/>
  <c r="AB783" i="36"/>
  <c r="E784" i="36"/>
  <c r="AB784" i="36"/>
  <c r="E785" i="36"/>
  <c r="AB785" i="36"/>
  <c r="E786" i="36"/>
  <c r="AB786" i="36"/>
  <c r="E787" i="36"/>
  <c r="AB787" i="36"/>
  <c r="E788" i="36"/>
  <c r="AB788" i="36"/>
  <c r="E789" i="36"/>
  <c r="AB789" i="36"/>
  <c r="E790" i="36"/>
  <c r="AB790" i="36"/>
  <c r="E791" i="36"/>
  <c r="AB791" i="36"/>
  <c r="E792" i="36"/>
  <c r="AB792" i="36"/>
  <c r="E793" i="36"/>
  <c r="AB793" i="36"/>
  <c r="E794" i="36"/>
  <c r="AB794" i="36"/>
  <c r="E795" i="36"/>
  <c r="AB795" i="36"/>
  <c r="E796" i="36"/>
  <c r="AB796" i="36"/>
  <c r="E797" i="36"/>
  <c r="AB797" i="36"/>
  <c r="E798" i="36"/>
  <c r="AB798" i="36"/>
  <c r="E799" i="36"/>
  <c r="AB799" i="36"/>
  <c r="E800" i="36"/>
  <c r="AB800" i="36"/>
  <c r="E801" i="36"/>
  <c r="AB801" i="36"/>
  <c r="E802" i="36"/>
  <c r="AB802" i="36"/>
  <c r="E803" i="36"/>
  <c r="AB803" i="36"/>
  <c r="E804" i="36"/>
  <c r="AB804" i="36"/>
  <c r="E805" i="36"/>
  <c r="AB805" i="36"/>
  <c r="E806" i="36"/>
  <c r="AB806" i="36"/>
  <c r="E807" i="36"/>
  <c r="AB807" i="36"/>
  <c r="E808" i="36"/>
  <c r="AB808" i="36"/>
  <c r="E809" i="36"/>
  <c r="AB809" i="36"/>
  <c r="E810" i="36"/>
  <c r="AB810" i="36"/>
  <c r="E811" i="36"/>
  <c r="AB811" i="36"/>
  <c r="E812" i="36"/>
  <c r="AB812" i="36"/>
  <c r="E813" i="36"/>
  <c r="AB813" i="36"/>
  <c r="E814" i="36"/>
  <c r="AB814" i="36"/>
  <c r="E815" i="36"/>
  <c r="AB815" i="36"/>
  <c r="E816" i="36"/>
  <c r="AB816" i="36"/>
  <c r="E817" i="36"/>
  <c r="AB817" i="36"/>
  <c r="E818" i="36"/>
  <c r="AB818" i="36"/>
  <c r="E819" i="36"/>
  <c r="AB819" i="36"/>
  <c r="E820" i="36"/>
  <c r="AB820" i="36"/>
  <c r="E821" i="36"/>
  <c r="AB821" i="36"/>
  <c r="E822" i="36"/>
  <c r="AB822" i="36"/>
  <c r="E823" i="36"/>
  <c r="AB823" i="36"/>
  <c r="E824" i="36"/>
  <c r="AB824" i="36"/>
  <c r="E825" i="36"/>
  <c r="AB825" i="36"/>
  <c r="E826" i="36"/>
  <c r="AB826" i="36"/>
  <c r="E827" i="36"/>
  <c r="AB827" i="36"/>
  <c r="E828" i="36"/>
  <c r="AB828" i="36"/>
  <c r="E829" i="36"/>
  <c r="AB829" i="36"/>
  <c r="E830" i="36"/>
  <c r="AB830" i="36"/>
  <c r="E831" i="36"/>
  <c r="AB831" i="36"/>
  <c r="E832" i="36"/>
  <c r="AB832" i="36"/>
  <c r="E833" i="36"/>
  <c r="AB833" i="36"/>
  <c r="E834" i="36"/>
  <c r="AB834" i="36"/>
  <c r="E835" i="36"/>
  <c r="AB835" i="36"/>
  <c r="E836" i="36"/>
  <c r="AB836" i="36"/>
  <c r="E837" i="36"/>
  <c r="AB837" i="36"/>
  <c r="E838" i="36"/>
  <c r="AB838" i="36"/>
  <c r="E839" i="36"/>
  <c r="AB839" i="36"/>
  <c r="E840" i="36"/>
  <c r="AB840" i="36"/>
  <c r="E841" i="36"/>
  <c r="AB841" i="36"/>
  <c r="E842" i="36"/>
  <c r="AB842" i="36"/>
  <c r="E843" i="36"/>
  <c r="AB843" i="36"/>
  <c r="E844" i="36"/>
  <c r="AB844" i="36"/>
  <c r="E845" i="36"/>
  <c r="AB845" i="36"/>
  <c r="E846" i="36"/>
  <c r="AB846" i="36"/>
  <c r="E847" i="36"/>
  <c r="AB847" i="36"/>
  <c r="E848" i="36"/>
  <c r="AB848" i="36"/>
  <c r="E849" i="36"/>
  <c r="AB849" i="36"/>
  <c r="E850" i="36"/>
  <c r="AB850" i="36"/>
  <c r="E851" i="36"/>
  <c r="AB851" i="36"/>
  <c r="E852" i="36"/>
  <c r="AB852" i="36"/>
  <c r="E853" i="36"/>
  <c r="AB853" i="36"/>
  <c r="E854" i="36"/>
  <c r="AB854" i="36"/>
  <c r="E855" i="36"/>
  <c r="AB855" i="36"/>
  <c r="E856" i="36"/>
  <c r="AB856" i="36"/>
  <c r="E857" i="36"/>
  <c r="AB857" i="36"/>
  <c r="E858" i="36"/>
  <c r="AB858" i="36"/>
  <c r="E859" i="36"/>
  <c r="AB859" i="36"/>
  <c r="E860" i="36"/>
  <c r="AB860" i="36"/>
  <c r="E861" i="36"/>
  <c r="AB861" i="36"/>
  <c r="E862" i="36"/>
  <c r="AB862" i="36"/>
  <c r="E863" i="36"/>
  <c r="AB863" i="36"/>
  <c r="E864" i="36"/>
  <c r="AB864" i="36"/>
  <c r="E865" i="36"/>
  <c r="AB865" i="36"/>
  <c r="E866" i="36"/>
  <c r="AB866" i="36"/>
  <c r="E867" i="36"/>
  <c r="AB867" i="36"/>
  <c r="E868" i="36"/>
  <c r="AB868" i="36"/>
  <c r="E869" i="36"/>
  <c r="AB869" i="36"/>
  <c r="E870" i="36"/>
  <c r="AB870" i="36"/>
  <c r="E871" i="36"/>
  <c r="AB871" i="36"/>
  <c r="E872" i="36"/>
  <c r="AB872" i="36"/>
  <c r="E873" i="36"/>
  <c r="AB873" i="36"/>
  <c r="E874" i="36"/>
  <c r="AB874" i="36"/>
  <c r="E875" i="36"/>
  <c r="AB875" i="36"/>
  <c r="E876" i="36"/>
  <c r="AB876" i="36"/>
  <c r="E877" i="36"/>
  <c r="AB877" i="36"/>
  <c r="E878" i="36"/>
  <c r="AB878" i="36"/>
  <c r="E879" i="36"/>
  <c r="AB879" i="36"/>
  <c r="E880" i="36"/>
  <c r="AB880" i="36"/>
  <c r="E881" i="36"/>
  <c r="AB881" i="36"/>
  <c r="E882" i="36"/>
  <c r="AB882" i="36"/>
  <c r="E883" i="36"/>
  <c r="AB883" i="36"/>
  <c r="E884" i="36"/>
  <c r="AB884" i="36"/>
  <c r="E885" i="36"/>
  <c r="AB885" i="36"/>
  <c r="E886" i="36"/>
  <c r="AB886" i="36"/>
  <c r="E887" i="36"/>
  <c r="AB887" i="36"/>
  <c r="E888" i="36"/>
  <c r="AB888" i="36"/>
  <c r="E889" i="36"/>
  <c r="AB889" i="36"/>
  <c r="E890" i="36"/>
  <c r="AB890" i="36"/>
  <c r="E891" i="36"/>
  <c r="AB891" i="36"/>
  <c r="E892" i="36"/>
  <c r="AB892" i="36"/>
  <c r="E893" i="36"/>
  <c r="AB893" i="36"/>
  <c r="E894" i="36"/>
  <c r="AB894" i="36"/>
  <c r="E895" i="36"/>
  <c r="AB895" i="36"/>
  <c r="E896" i="36"/>
  <c r="AB896" i="36"/>
  <c r="E897" i="36"/>
  <c r="AB897" i="36"/>
  <c r="E898" i="36"/>
  <c r="AB898" i="36"/>
  <c r="E899" i="36"/>
  <c r="AB899" i="36"/>
  <c r="E900" i="36"/>
  <c r="AB900" i="36"/>
  <c r="E901" i="36"/>
  <c r="AB901" i="36"/>
  <c r="E902" i="36"/>
  <c r="AB902" i="36"/>
  <c r="E903" i="36"/>
  <c r="AB903" i="36"/>
  <c r="E904" i="36"/>
  <c r="AB904" i="36"/>
  <c r="E905" i="36"/>
  <c r="AB905" i="36"/>
  <c r="E907" i="36"/>
  <c r="AB907" i="36"/>
  <c r="E909" i="36"/>
  <c r="AB909" i="36"/>
  <c r="E912" i="36"/>
  <c r="AB912" i="36"/>
  <c r="E916" i="36"/>
  <c r="AB916" i="36"/>
  <c r="E918" i="36"/>
  <c r="AB918" i="36"/>
  <c r="E920" i="36"/>
  <c r="AB920" i="36"/>
  <c r="E924" i="36"/>
  <c r="AB924" i="36"/>
  <c r="E928" i="36"/>
  <c r="AB928" i="36"/>
  <c r="E929" i="36"/>
  <c r="AB929" i="36"/>
  <c r="E930" i="36"/>
  <c r="AB930" i="36"/>
  <c r="E931" i="36"/>
  <c r="AB931" i="36"/>
  <c r="E932" i="36"/>
  <c r="AB932" i="36"/>
  <c r="E933" i="36"/>
  <c r="AB933" i="36"/>
  <c r="E934" i="36"/>
  <c r="AB934" i="36"/>
  <c r="E935" i="36"/>
  <c r="AB935" i="36"/>
  <c r="E936" i="36"/>
  <c r="AB936" i="36"/>
  <c r="E937" i="36"/>
  <c r="AB937" i="36"/>
  <c r="E938" i="36"/>
  <c r="AB938" i="36"/>
  <c r="E939" i="36"/>
  <c r="AB939" i="36"/>
  <c r="E940" i="36"/>
  <c r="AB940" i="36"/>
  <c r="E941" i="36"/>
  <c r="AB941" i="36"/>
  <c r="E942" i="36"/>
  <c r="AB942" i="36"/>
  <c r="E943" i="36"/>
  <c r="AB943" i="36"/>
  <c r="E944" i="36"/>
  <c r="AB944" i="36"/>
  <c r="E945" i="36"/>
  <c r="AB945" i="36"/>
  <c r="E946" i="36"/>
  <c r="AB946" i="36"/>
  <c r="E947" i="36"/>
  <c r="AB947" i="36"/>
  <c r="E948" i="36"/>
  <c r="AB948" i="36"/>
  <c r="E949" i="36"/>
  <c r="AB949" i="36"/>
  <c r="E950" i="36"/>
  <c r="AB950" i="36"/>
  <c r="E951" i="36"/>
  <c r="AB951" i="36"/>
  <c r="E952" i="36"/>
  <c r="AB952" i="36"/>
  <c r="E953" i="36"/>
  <c r="AB953" i="36"/>
  <c r="E954" i="36"/>
  <c r="AB954" i="36"/>
  <c r="E955" i="36"/>
  <c r="AB955" i="36"/>
  <c r="E956" i="36"/>
  <c r="AB956" i="36"/>
  <c r="E957" i="36"/>
  <c r="AB957" i="36"/>
  <c r="E958" i="36"/>
  <c r="AB958" i="36"/>
  <c r="E959" i="36"/>
  <c r="AB959" i="36"/>
  <c r="E960" i="36"/>
  <c r="AB960" i="36"/>
  <c r="E961" i="36"/>
  <c r="AB961" i="36"/>
  <c r="E962" i="36"/>
  <c r="AB962" i="36"/>
  <c r="E963" i="36"/>
  <c r="AB963" i="36"/>
  <c r="E964" i="36"/>
  <c r="AB964" i="36"/>
  <c r="E965" i="36"/>
  <c r="AB965" i="36"/>
  <c r="E966" i="36"/>
  <c r="AB966" i="36"/>
  <c r="E967" i="36"/>
  <c r="AB967" i="36"/>
  <c r="E968" i="36"/>
  <c r="AB968" i="36"/>
  <c r="E969" i="36"/>
  <c r="AB969" i="36"/>
  <c r="E970" i="36"/>
  <c r="AB970" i="36"/>
  <c r="E971" i="36"/>
  <c r="AB971" i="36"/>
  <c r="E972" i="36"/>
  <c r="AB972" i="36"/>
  <c r="E973" i="36"/>
  <c r="AB973" i="36"/>
  <c r="E974" i="36"/>
  <c r="AB974" i="36"/>
  <c r="E975" i="36"/>
  <c r="AB975" i="36"/>
  <c r="E976" i="36"/>
  <c r="AB976" i="36"/>
  <c r="E977" i="36"/>
  <c r="AB977" i="36"/>
  <c r="E978" i="36"/>
  <c r="AB978" i="36"/>
  <c r="E979" i="36"/>
  <c r="AB979" i="36"/>
  <c r="E980" i="36"/>
  <c r="AB980" i="36"/>
  <c r="E981" i="36"/>
  <c r="AB981" i="36"/>
  <c r="E982" i="36"/>
  <c r="AB982" i="36"/>
  <c r="E983" i="36"/>
  <c r="AB983" i="36"/>
  <c r="E984" i="36"/>
  <c r="AB984" i="36"/>
  <c r="E985" i="36"/>
  <c r="AB985" i="36"/>
  <c r="E986" i="36"/>
  <c r="AB986" i="36"/>
  <c r="E987" i="36"/>
  <c r="AB987" i="36"/>
  <c r="E988" i="36"/>
  <c r="AB988" i="36"/>
  <c r="E989" i="36"/>
  <c r="AB989" i="36"/>
  <c r="E990" i="36"/>
  <c r="AB990" i="36"/>
  <c r="E991" i="36"/>
  <c r="AB991" i="36"/>
  <c r="E992" i="36"/>
  <c r="AB992" i="36"/>
  <c r="E993" i="36"/>
  <c r="AB993" i="36"/>
  <c r="E994" i="36"/>
  <c r="AB994" i="36"/>
  <c r="E995" i="36"/>
  <c r="AB995" i="36"/>
  <c r="E996" i="36"/>
  <c r="AB996" i="36"/>
  <c r="E997" i="36"/>
  <c r="AB997" i="36"/>
  <c r="E998" i="36"/>
  <c r="AB998" i="36"/>
  <c r="E999" i="36"/>
  <c r="AB999" i="36"/>
  <c r="E1000" i="36"/>
  <c r="AB1000" i="36"/>
  <c r="E1001" i="36"/>
  <c r="AB1001" i="36"/>
  <c r="E1002" i="36"/>
  <c r="AB1002" i="36"/>
  <c r="E1003" i="36"/>
  <c r="AB1003" i="36"/>
  <c r="E1004" i="36"/>
  <c r="AB1004" i="36"/>
  <c r="E1005" i="36"/>
  <c r="AB1005" i="36"/>
  <c r="E1006" i="36"/>
  <c r="AB1006" i="36"/>
  <c r="E1007" i="36"/>
  <c r="AB1007" i="36"/>
  <c r="E1008" i="36"/>
  <c r="AB1008" i="36"/>
  <c r="E1009" i="36"/>
  <c r="AB1009" i="36"/>
  <c r="E1010" i="36"/>
  <c r="AB1010" i="36"/>
  <c r="E1011" i="36"/>
  <c r="AB1011" i="36"/>
  <c r="E1012" i="36"/>
  <c r="AB1012" i="36"/>
  <c r="E1013" i="36"/>
  <c r="AB1013" i="36"/>
  <c r="E1014" i="36"/>
  <c r="AB1014" i="36"/>
  <c r="E1015" i="36"/>
  <c r="AB1015" i="36"/>
  <c r="E1016" i="36"/>
  <c r="AB1016" i="36"/>
  <c r="E1017" i="36"/>
  <c r="AB1017" i="36"/>
  <c r="E1018" i="36"/>
  <c r="AB1018" i="36"/>
  <c r="E1019" i="36"/>
  <c r="AB1019" i="36"/>
  <c r="E1020" i="36"/>
  <c r="AB1020" i="36"/>
  <c r="E1021" i="36"/>
  <c r="AB1021" i="36"/>
  <c r="E1022" i="36"/>
  <c r="AB1022" i="36"/>
  <c r="E1023" i="36"/>
  <c r="AB1023" i="36"/>
  <c r="E1024" i="36"/>
  <c r="AB1024" i="36"/>
  <c r="E1025" i="36"/>
  <c r="AB1025" i="36"/>
  <c r="E1026" i="36"/>
  <c r="AB1026" i="36"/>
  <c r="E1027" i="36"/>
  <c r="AB1027" i="36"/>
  <c r="E1028" i="36"/>
  <c r="AB1028" i="36"/>
  <c r="E1029" i="36"/>
  <c r="AB1029" i="36"/>
  <c r="E1030" i="36"/>
  <c r="AB1030" i="36"/>
  <c r="E1031" i="36"/>
  <c r="AB1031" i="36"/>
  <c r="E1032" i="36"/>
  <c r="AB1032" i="36"/>
  <c r="E1033" i="36"/>
  <c r="AB1033" i="36"/>
  <c r="E1034" i="36"/>
  <c r="AB1034" i="36"/>
  <c r="E1035" i="36"/>
  <c r="AB1035" i="36"/>
  <c r="E1036" i="36"/>
  <c r="AB1036" i="36"/>
  <c r="E1037" i="36"/>
  <c r="AB1037" i="36"/>
  <c r="E1038" i="36"/>
  <c r="AB1038" i="36"/>
  <c r="E1039" i="36"/>
  <c r="AB1039" i="36"/>
  <c r="E1040" i="36"/>
  <c r="AB1040" i="36"/>
  <c r="E1041" i="36"/>
  <c r="AB1041" i="36"/>
  <c r="E1042" i="36"/>
  <c r="AB1042" i="36"/>
  <c r="E1043" i="36"/>
  <c r="AB1043" i="36"/>
  <c r="E1044" i="36"/>
  <c r="AB1044" i="36"/>
  <c r="E1045" i="36"/>
  <c r="AB1045" i="36"/>
  <c r="E1046" i="36"/>
  <c r="AB1046" i="36"/>
  <c r="E1047" i="36"/>
  <c r="AB1047" i="36"/>
  <c r="E1048" i="36"/>
  <c r="AB1048" i="36"/>
  <c r="E1049" i="36"/>
  <c r="AB1049" i="36"/>
  <c r="E1050" i="36"/>
  <c r="AB1050" i="36"/>
  <c r="E1051" i="36"/>
  <c r="AB1051" i="36"/>
  <c r="E1052" i="36"/>
  <c r="AB1052" i="36"/>
  <c r="E1053" i="36"/>
  <c r="AB1053" i="36"/>
  <c r="E1054" i="36"/>
  <c r="AB1054" i="36"/>
  <c r="E1055" i="36"/>
  <c r="AB1055" i="36"/>
  <c r="E1056" i="36"/>
  <c r="AB1056" i="36"/>
  <c r="E1057" i="36"/>
  <c r="AB1057" i="36"/>
  <c r="E1058" i="36"/>
  <c r="AB1058" i="36"/>
  <c r="E1059" i="36"/>
  <c r="AB1059" i="36"/>
  <c r="E1060" i="36"/>
  <c r="AB1060" i="36"/>
  <c r="E1061" i="36"/>
  <c r="AB1061" i="36"/>
  <c r="E1062" i="36"/>
  <c r="AB1062" i="36"/>
  <c r="E1063" i="36"/>
  <c r="AB1063" i="36"/>
  <c r="E1064" i="36"/>
  <c r="AB1064" i="36"/>
  <c r="E1065" i="36"/>
  <c r="AB1065" i="36"/>
  <c r="E1066" i="36"/>
  <c r="AB1066" i="36"/>
  <c r="E1067" i="36"/>
  <c r="AB1067" i="36"/>
  <c r="E1068" i="36"/>
  <c r="AB1068" i="36"/>
  <c r="E1069" i="36"/>
  <c r="AB1069" i="36"/>
  <c r="E1070" i="36"/>
  <c r="AB1070" i="36"/>
  <c r="E1071" i="36"/>
  <c r="AB1071" i="36"/>
  <c r="E1072" i="36"/>
  <c r="AB1072" i="36"/>
  <c r="E1073" i="36"/>
  <c r="AB1073" i="36"/>
  <c r="E1074" i="36"/>
  <c r="AB1074" i="36"/>
  <c r="E1075" i="36"/>
  <c r="AB1075" i="36"/>
  <c r="E1076" i="36"/>
  <c r="AB1076" i="36"/>
  <c r="E1077" i="36"/>
  <c r="AB1077" i="36"/>
  <c r="E1078" i="36"/>
  <c r="AB1078" i="36"/>
  <c r="E1079" i="36"/>
  <c r="AB1079" i="36"/>
  <c r="E1080" i="36"/>
  <c r="AB1080" i="36"/>
  <c r="E1081" i="36"/>
  <c r="AB1081" i="36"/>
  <c r="E1082" i="36"/>
  <c r="AB1082" i="36"/>
  <c r="E1083" i="36"/>
  <c r="AB1083" i="36"/>
  <c r="E1084" i="36"/>
  <c r="AB1084" i="36"/>
  <c r="E1085" i="36"/>
  <c r="AB1085" i="36"/>
  <c r="E1086" i="36"/>
  <c r="AB1086" i="36"/>
  <c r="E1087" i="36"/>
  <c r="AB1087" i="36"/>
  <c r="E1088" i="36"/>
  <c r="AB1088" i="36"/>
  <c r="E1089" i="36"/>
  <c r="AB1089" i="36"/>
  <c r="E1090" i="36"/>
  <c r="AB1090" i="36"/>
  <c r="E1091" i="36"/>
  <c r="AB1091" i="36"/>
  <c r="E1092" i="36"/>
  <c r="AB1092" i="36"/>
  <c r="E1093" i="36"/>
  <c r="AB1093" i="36"/>
  <c r="E1094" i="36"/>
  <c r="AB1094" i="36"/>
  <c r="E1095" i="36"/>
  <c r="AB1095" i="36"/>
  <c r="E1096" i="36"/>
  <c r="AB1096" i="36"/>
  <c r="E1097" i="36"/>
  <c r="AB1097" i="36"/>
  <c r="E1098" i="36"/>
  <c r="AB1098" i="36"/>
  <c r="E1099" i="36"/>
  <c r="AB1099" i="36"/>
  <c r="E1100" i="36"/>
  <c r="AB1100" i="36"/>
  <c r="E1101" i="36"/>
  <c r="AB1101" i="36"/>
  <c r="E1102" i="36"/>
  <c r="AB1102" i="36"/>
  <c r="E1103" i="36"/>
  <c r="AB1103" i="36"/>
  <c r="E1104" i="36"/>
  <c r="AB1104" i="36"/>
  <c r="E1105" i="36"/>
  <c r="AB1105" i="36"/>
  <c r="E1106" i="36"/>
  <c r="AB1106" i="36"/>
  <c r="E1107" i="36"/>
  <c r="AB1107" i="36"/>
  <c r="E1108" i="36"/>
  <c r="AB1108" i="36"/>
  <c r="E1109" i="36"/>
  <c r="AB1109" i="36"/>
  <c r="E1110" i="36"/>
  <c r="AB1110" i="36"/>
  <c r="E1111" i="36"/>
  <c r="AB1111" i="36"/>
  <c r="E1112" i="36"/>
  <c r="AB1112" i="36"/>
  <c r="E1113" i="36"/>
  <c r="AB1113" i="36"/>
  <c r="E1114" i="36"/>
  <c r="AB1114" i="36"/>
  <c r="E1115" i="36"/>
  <c r="AB1115" i="36"/>
  <c r="E1116" i="36"/>
  <c r="AB1116" i="36"/>
  <c r="E1117" i="36"/>
  <c r="AB1117" i="36"/>
  <c r="E1118" i="36"/>
  <c r="AB1118" i="36"/>
  <c r="E1119" i="36"/>
  <c r="AB1119" i="36"/>
  <c r="E1120" i="36"/>
  <c r="AB1120" i="36"/>
  <c r="E1121" i="36"/>
  <c r="AB1121" i="36"/>
  <c r="E1122" i="36"/>
  <c r="AB1122" i="36"/>
  <c r="E1123" i="36"/>
  <c r="AB1123" i="36"/>
  <c r="E1124" i="36"/>
  <c r="AB1124" i="36"/>
  <c r="E1125" i="36"/>
  <c r="AB1125" i="36"/>
  <c r="E1126" i="36"/>
  <c r="AB1126" i="36"/>
  <c r="E1127" i="36"/>
  <c r="AB1127" i="36"/>
  <c r="E1128" i="36"/>
  <c r="AB1128" i="36"/>
  <c r="E1129" i="36"/>
  <c r="AB1129" i="36"/>
  <c r="E1130" i="36"/>
  <c r="AB1130" i="36"/>
  <c r="E1131" i="36"/>
  <c r="AB1131" i="36"/>
  <c r="E1132" i="36"/>
  <c r="AB1132" i="36"/>
  <c r="E1133" i="36"/>
  <c r="AB1133" i="36"/>
  <c r="E1134" i="36"/>
  <c r="AB1134" i="36"/>
  <c r="E1135" i="36"/>
  <c r="AB1135" i="36"/>
  <c r="E1136" i="36"/>
  <c r="AB1136" i="36"/>
  <c r="E1137" i="36"/>
  <c r="AB1137" i="36"/>
  <c r="E1138" i="36"/>
  <c r="AB1138" i="36"/>
  <c r="E1139" i="36"/>
  <c r="AB1139" i="36"/>
  <c r="E1140" i="36"/>
  <c r="AB1140" i="36"/>
  <c r="E1141" i="36"/>
  <c r="AB1141" i="36"/>
  <c r="E1142" i="36"/>
  <c r="AB1142" i="36"/>
  <c r="E1143" i="36"/>
  <c r="AB1143" i="36"/>
  <c r="E1144" i="36"/>
  <c r="AB1144" i="36"/>
  <c r="E1145" i="36"/>
  <c r="AB1145" i="36"/>
  <c r="E1146" i="36"/>
  <c r="AB1146" i="36"/>
  <c r="E1147" i="36"/>
  <c r="AB1147" i="36"/>
  <c r="E1148" i="36"/>
  <c r="AB1148" i="36"/>
  <c r="E1149" i="36"/>
  <c r="AB1149" i="36"/>
  <c r="E1150" i="36"/>
  <c r="AB1150" i="36"/>
  <c r="E1151" i="36"/>
  <c r="AB1151" i="36"/>
  <c r="E1152" i="36"/>
  <c r="AB1152" i="36"/>
  <c r="E1153" i="36"/>
  <c r="AB1153" i="36"/>
  <c r="E1154" i="36"/>
  <c r="AB1154" i="36"/>
  <c r="E1155" i="36"/>
  <c r="AB1155" i="36"/>
  <c r="E1156" i="36"/>
  <c r="AB1156" i="36"/>
  <c r="E1157" i="36"/>
  <c r="AB1157" i="36"/>
  <c r="E1158" i="36"/>
  <c r="AB1158" i="36"/>
  <c r="E1159" i="36"/>
  <c r="AB1159" i="36"/>
  <c r="E1160" i="36"/>
  <c r="AB1160" i="36"/>
  <c r="E1161" i="36"/>
  <c r="AB1161" i="36"/>
  <c r="E1162" i="36"/>
  <c r="AB1162" i="36"/>
  <c r="E1163" i="36"/>
  <c r="AB1163" i="36"/>
  <c r="E1164" i="36"/>
  <c r="AB1164" i="36"/>
  <c r="E1166" i="36"/>
  <c r="AB1166" i="36"/>
  <c r="E1168" i="36"/>
  <c r="AB1168" i="36"/>
  <c r="E1169" i="36"/>
  <c r="AB1169" i="36"/>
  <c r="E1170" i="36"/>
  <c r="AB1170" i="36"/>
  <c r="E1171" i="36"/>
  <c r="AB1171" i="36"/>
  <c r="E1172" i="36"/>
  <c r="AB1172" i="36"/>
  <c r="E1173" i="36"/>
  <c r="AB1173" i="36"/>
  <c r="E1174" i="36"/>
  <c r="AB1174" i="36"/>
  <c r="E1175" i="36"/>
  <c r="AB1175" i="36"/>
  <c r="E1176" i="36"/>
  <c r="AB1176" i="36"/>
  <c r="E1177" i="36"/>
  <c r="AB1177" i="36"/>
  <c r="E1178" i="36"/>
  <c r="AB1178" i="36"/>
  <c r="E1179" i="36"/>
  <c r="AB1179" i="36"/>
  <c r="E1180" i="36"/>
  <c r="AB1180" i="36"/>
  <c r="E1181" i="36"/>
  <c r="AB1181" i="36"/>
  <c r="E1182" i="36"/>
  <c r="AB1182" i="36"/>
  <c r="E1183" i="36"/>
  <c r="AB1183" i="36"/>
  <c r="E1184" i="36"/>
  <c r="AB1184" i="36"/>
  <c r="E1185" i="36"/>
  <c r="AB1185" i="36"/>
  <c r="E1186" i="36"/>
  <c r="AB1186" i="36"/>
  <c r="E1187" i="36"/>
  <c r="AB1187" i="36"/>
  <c r="E1188" i="36"/>
  <c r="AB1188" i="36"/>
  <c r="E1189" i="36"/>
  <c r="AB1189" i="36"/>
  <c r="E1190" i="36"/>
  <c r="AB1190" i="36"/>
  <c r="E1191" i="36"/>
  <c r="AB1191" i="36"/>
  <c r="E1192" i="36"/>
  <c r="AB1192" i="36"/>
  <c r="E1193" i="36"/>
  <c r="AB1193" i="36"/>
  <c r="E1194" i="36"/>
  <c r="AB1194" i="36"/>
  <c r="E1195" i="36"/>
  <c r="AB1195" i="36"/>
  <c r="E1196" i="36"/>
  <c r="AB1196" i="36"/>
  <c r="E1197" i="36"/>
  <c r="AB1197" i="36"/>
  <c r="E1198" i="36"/>
  <c r="AB1198" i="36"/>
  <c r="E1199" i="36"/>
  <c r="AB1199" i="36"/>
  <c r="E1200" i="36"/>
  <c r="AB1200" i="36"/>
  <c r="E1201" i="36"/>
  <c r="AB1201" i="36"/>
  <c r="E1202" i="36"/>
  <c r="AB1202" i="36"/>
  <c r="E1203" i="36"/>
  <c r="AB1203" i="36"/>
  <c r="E1204" i="36"/>
  <c r="AB1204" i="36"/>
  <c r="E1205" i="36"/>
  <c r="AB1205" i="36"/>
  <c r="E1206" i="36"/>
  <c r="AB1206" i="36"/>
  <c r="E1207" i="36"/>
  <c r="AB1207" i="36"/>
  <c r="E1208" i="36"/>
  <c r="AB1208" i="36"/>
  <c r="E1209" i="36"/>
  <c r="AB1209" i="36"/>
  <c r="E1210" i="36"/>
  <c r="AB1210" i="36"/>
  <c r="E1211" i="36"/>
  <c r="AB1211" i="36"/>
  <c r="E1212" i="36"/>
  <c r="AB1212" i="36"/>
  <c r="E1213" i="36"/>
  <c r="AB1213" i="36"/>
  <c r="E1214" i="36"/>
  <c r="AB1214" i="36"/>
  <c r="E1215" i="36"/>
  <c r="AB1215" i="36"/>
  <c r="E1216" i="36"/>
  <c r="AB1216" i="36"/>
  <c r="E1217" i="36"/>
  <c r="AB1217" i="36"/>
  <c r="E1218" i="36"/>
  <c r="AB1218" i="36"/>
  <c r="E1219" i="36"/>
  <c r="AB1219" i="36"/>
  <c r="E1220" i="36"/>
  <c r="AB1220" i="36"/>
  <c r="E1221" i="36"/>
  <c r="AB1221" i="36"/>
  <c r="E1222" i="36"/>
  <c r="AB1222" i="36"/>
  <c r="E1223" i="36"/>
  <c r="AB1223" i="36"/>
  <c r="E1224" i="36"/>
  <c r="AB1224" i="36"/>
  <c r="E1225" i="36"/>
  <c r="AB1225" i="36"/>
  <c r="E1226" i="36"/>
  <c r="AB1226" i="36"/>
  <c r="E1227" i="36"/>
  <c r="AB1227" i="36"/>
  <c r="E1228" i="36"/>
  <c r="AB1228" i="36"/>
  <c r="E1229" i="36"/>
  <c r="AB1229" i="36"/>
  <c r="E1230" i="36"/>
  <c r="AB1230" i="36"/>
  <c r="E1231" i="36"/>
  <c r="AB1231" i="36"/>
  <c r="E1232" i="36"/>
  <c r="AB1232" i="36"/>
  <c r="E1233" i="36"/>
  <c r="AB1233" i="36"/>
  <c r="E1234" i="36"/>
  <c r="AB1234" i="36"/>
  <c r="E1235" i="36"/>
  <c r="AB1235" i="36"/>
  <c r="E1236" i="36"/>
  <c r="AB1236" i="36"/>
  <c r="E1237" i="36"/>
  <c r="AB1237" i="36"/>
  <c r="E1238" i="36"/>
  <c r="AB1238" i="36"/>
  <c r="E1239" i="36"/>
  <c r="AB1239" i="36"/>
  <c r="E1240" i="36"/>
  <c r="AB1240" i="36"/>
  <c r="E1241" i="36"/>
  <c r="AB1241" i="36"/>
  <c r="E1242" i="36"/>
  <c r="AB1242" i="36"/>
  <c r="E1243" i="36"/>
  <c r="AB1243" i="36"/>
  <c r="E1244" i="36"/>
  <c r="AB1244" i="36"/>
  <c r="E1245" i="36"/>
  <c r="AB1245" i="36"/>
  <c r="E1246" i="36"/>
  <c r="AB1246" i="36"/>
  <c r="E1247" i="36"/>
  <c r="AB1247" i="36"/>
  <c r="E1248" i="36"/>
  <c r="AB1248" i="36"/>
  <c r="E1249" i="36"/>
  <c r="AB1249" i="36"/>
  <c r="E1250" i="36"/>
  <c r="AB1250" i="36"/>
  <c r="E1251" i="36"/>
  <c r="AB1251" i="36"/>
  <c r="E1253" i="36"/>
  <c r="AB1253" i="36"/>
  <c r="E1255" i="36"/>
  <c r="AB1255" i="36"/>
  <c r="E1258" i="36"/>
  <c r="AB1258" i="36"/>
  <c r="E1261" i="36"/>
  <c r="AB1261" i="36"/>
  <c r="E1262" i="36"/>
  <c r="AB1262" i="36"/>
  <c r="E1263" i="36"/>
  <c r="AB1263" i="36"/>
  <c r="E1264" i="36"/>
  <c r="AB1264" i="36"/>
  <c r="E1265" i="36"/>
  <c r="AB1265" i="36"/>
  <c r="E1266" i="36"/>
  <c r="AB1266" i="36"/>
  <c r="E1267" i="36"/>
  <c r="AB1267" i="36"/>
  <c r="E1268" i="36"/>
  <c r="AB1268" i="36"/>
  <c r="E1269" i="36"/>
  <c r="AB1269" i="36"/>
  <c r="E1270" i="36"/>
  <c r="AB1270" i="36"/>
  <c r="E1271" i="36"/>
  <c r="AB1271" i="36"/>
  <c r="E1272" i="36"/>
  <c r="AB1272" i="36"/>
  <c r="E1273" i="36"/>
  <c r="AB1273" i="36"/>
  <c r="E1274" i="36"/>
  <c r="AB1274" i="36"/>
  <c r="E1275" i="36"/>
  <c r="AB1275" i="36"/>
  <c r="E1276" i="36"/>
  <c r="AB1276" i="36"/>
  <c r="E1277" i="36"/>
  <c r="AB1277" i="36"/>
  <c r="E1278" i="36"/>
  <c r="AB1278" i="36"/>
  <c r="E1279" i="36"/>
  <c r="AB1279" i="36"/>
  <c r="E1280" i="36"/>
  <c r="AB1280" i="36"/>
  <c r="E1281" i="36"/>
  <c r="AB1281" i="36"/>
  <c r="E1282" i="36"/>
  <c r="AB1282" i="36"/>
  <c r="E1283" i="36"/>
  <c r="AB1283" i="36"/>
  <c r="E1284" i="36"/>
  <c r="AB1284" i="36"/>
  <c r="E1285" i="36"/>
  <c r="AB1285" i="36"/>
  <c r="E1286" i="36"/>
  <c r="AB1286" i="36"/>
  <c r="E1287" i="36"/>
  <c r="AB1287" i="36"/>
  <c r="E1288" i="36"/>
  <c r="AB1288" i="36"/>
  <c r="E1289" i="36"/>
  <c r="AB1289" i="36"/>
  <c r="E1290" i="36"/>
  <c r="AB1290" i="36"/>
  <c r="E1291" i="36"/>
  <c r="AB1291" i="36"/>
  <c r="E1292" i="36"/>
  <c r="AB1292" i="36"/>
  <c r="E1293" i="36"/>
  <c r="AB1293" i="36"/>
  <c r="E1294" i="36"/>
  <c r="AB1294" i="36"/>
  <c r="E1295" i="36"/>
  <c r="AB1295" i="36"/>
  <c r="E1296" i="36"/>
  <c r="AB1296" i="36"/>
  <c r="E1297" i="36"/>
  <c r="AB1297" i="36"/>
  <c r="E1298" i="36"/>
  <c r="AB1298" i="36"/>
  <c r="E1299" i="36"/>
  <c r="AB1299" i="36"/>
  <c r="E1300" i="36"/>
  <c r="AB1300" i="36"/>
  <c r="E1301" i="36"/>
  <c r="AB1301" i="36"/>
  <c r="E1302" i="36"/>
  <c r="AB1302" i="36"/>
  <c r="E1303" i="36"/>
  <c r="AB1303" i="36"/>
  <c r="E1304" i="36"/>
  <c r="AB1304" i="36"/>
  <c r="E1305" i="36"/>
  <c r="AB1305" i="36"/>
  <c r="E1306" i="36"/>
  <c r="AB1306" i="36"/>
  <c r="E1307" i="36"/>
  <c r="AB1307" i="36"/>
  <c r="E1308" i="36"/>
  <c r="AB1308" i="36"/>
  <c r="E1309" i="36"/>
  <c r="AB1309" i="36"/>
  <c r="E1310" i="36"/>
  <c r="AB1310" i="36"/>
  <c r="E1311" i="36"/>
  <c r="AB1311" i="36"/>
  <c r="E1312" i="36"/>
  <c r="AB1312" i="36"/>
  <c r="E1313" i="36"/>
  <c r="AB1313" i="36"/>
  <c r="E1314" i="36"/>
  <c r="AB1314" i="36"/>
  <c r="E1315" i="36"/>
  <c r="AB1315" i="36"/>
  <c r="E1316" i="36"/>
  <c r="AB1316" i="36"/>
  <c r="E1317" i="36"/>
  <c r="AB1317" i="36"/>
  <c r="E1318" i="36"/>
  <c r="AB1318" i="36"/>
  <c r="E1319" i="36"/>
  <c r="AB1319" i="36"/>
  <c r="E1320" i="36"/>
  <c r="AB1320" i="36"/>
  <c r="E1321" i="36"/>
  <c r="AB1321" i="36"/>
  <c r="E1322" i="36"/>
  <c r="AB1322" i="36"/>
  <c r="E1323" i="36"/>
  <c r="AB1323" i="36"/>
  <c r="E1324" i="36"/>
  <c r="AB1324" i="36"/>
  <c r="E1325" i="36"/>
  <c r="AB1325" i="36"/>
  <c r="E1326" i="36"/>
  <c r="AB1326" i="36"/>
  <c r="E1327" i="36"/>
  <c r="AB1327" i="36"/>
  <c r="E1328" i="36"/>
  <c r="AB1328" i="36"/>
  <c r="E1329" i="36"/>
  <c r="AB1329" i="36"/>
  <c r="E1330" i="36"/>
  <c r="AB1330" i="36"/>
  <c r="E1331" i="36"/>
  <c r="AB1331" i="36"/>
  <c r="E1332" i="36"/>
  <c r="AB1332" i="36"/>
  <c r="E1333" i="36"/>
  <c r="AB1333" i="36"/>
  <c r="E1334" i="36"/>
  <c r="AB1334" i="36"/>
  <c r="E1335" i="36"/>
  <c r="AB1335" i="36"/>
  <c r="E1336" i="36"/>
  <c r="AB1336" i="36"/>
  <c r="E1338" i="36"/>
  <c r="AB1338" i="36"/>
  <c r="E1339" i="36"/>
  <c r="AB1339" i="36"/>
  <c r="E1340" i="36"/>
  <c r="AB1340" i="36"/>
  <c r="E1341" i="36"/>
  <c r="AB1341" i="36"/>
  <c r="E1342" i="36"/>
  <c r="AB1342" i="36"/>
  <c r="E1343" i="36"/>
  <c r="AB1343" i="36"/>
  <c r="E1344" i="36"/>
  <c r="AB1344" i="36"/>
  <c r="E1345" i="36"/>
  <c r="AB1345" i="36"/>
  <c r="E1346" i="36"/>
  <c r="AB1346" i="36"/>
  <c r="E1347" i="36"/>
  <c r="AB1347" i="36"/>
  <c r="E1348" i="36"/>
  <c r="AB1348" i="36"/>
  <c r="E1349" i="36"/>
  <c r="AB1349" i="36"/>
  <c r="E1350" i="36"/>
  <c r="AB1350" i="36"/>
  <c r="E1351" i="36"/>
  <c r="AB1351" i="36"/>
  <c r="E1352" i="36"/>
  <c r="AB1352" i="36"/>
  <c r="E1353" i="36"/>
  <c r="AB1353" i="36"/>
  <c r="E1354" i="36"/>
  <c r="AB1354" i="36"/>
  <c r="E1355" i="36"/>
  <c r="AB1355" i="36"/>
  <c r="E1356" i="36"/>
  <c r="AB1356" i="36"/>
  <c r="E1357" i="36"/>
  <c r="AB1357" i="36"/>
  <c r="E1358" i="36"/>
  <c r="AB1358" i="36"/>
  <c r="E1359" i="36"/>
  <c r="AB1359" i="36"/>
  <c r="E1360" i="36"/>
  <c r="AB1360" i="36"/>
  <c r="E1361" i="36"/>
  <c r="AB1361" i="36"/>
  <c r="E1362" i="36"/>
  <c r="AB1362" i="36"/>
  <c r="E1363" i="36"/>
  <c r="AB1363" i="36"/>
  <c r="E1364" i="36"/>
  <c r="AB1364" i="36"/>
  <c r="E1365" i="36"/>
  <c r="AB1365" i="36"/>
  <c r="E1366" i="36"/>
  <c r="AB1366" i="36"/>
  <c r="E1367" i="36"/>
  <c r="AB1367" i="36"/>
  <c r="E1368" i="36"/>
  <c r="AB1368" i="36"/>
  <c r="E1369" i="36"/>
  <c r="AB1369" i="36"/>
  <c r="E1370" i="36"/>
  <c r="AB1370" i="36"/>
  <c r="E1371" i="36"/>
  <c r="AB1371" i="36"/>
  <c r="E1372" i="36"/>
  <c r="AB1372" i="36"/>
  <c r="E1373" i="36"/>
  <c r="AB1373" i="36"/>
  <c r="E1374" i="36"/>
  <c r="AB1374" i="36"/>
  <c r="E1375" i="36"/>
  <c r="AB1375" i="36"/>
  <c r="E1376" i="36"/>
  <c r="AB1376" i="36"/>
  <c r="E1377" i="36"/>
  <c r="AB1377" i="36"/>
  <c r="E1378" i="36"/>
  <c r="AB1378" i="36"/>
  <c r="E1379" i="36"/>
  <c r="AB1379" i="36"/>
  <c r="E1380" i="36"/>
  <c r="AB1380" i="36"/>
  <c r="E1381" i="36"/>
  <c r="AB1381" i="36"/>
  <c r="E1382" i="36"/>
  <c r="AB1382" i="36"/>
  <c r="E1383" i="36"/>
  <c r="AB1383" i="36"/>
  <c r="E1384" i="36"/>
  <c r="AB1384" i="36"/>
  <c r="E1385" i="36"/>
  <c r="AB1385" i="36"/>
  <c r="E1386" i="36"/>
  <c r="AB1386" i="36"/>
  <c r="E1387" i="36"/>
  <c r="AB1387" i="36"/>
  <c r="E1388" i="36"/>
  <c r="AB1388" i="36"/>
  <c r="E1389" i="36"/>
  <c r="AB1389" i="36"/>
  <c r="E1390" i="36"/>
  <c r="AB1390" i="36"/>
  <c r="E1391" i="36"/>
  <c r="AB1391" i="36"/>
  <c r="E1392" i="36"/>
  <c r="AB1392" i="36"/>
  <c r="E1393" i="36"/>
  <c r="AB1393" i="36"/>
  <c r="E1394" i="36"/>
  <c r="AB1394" i="36"/>
  <c r="E1395" i="36"/>
  <c r="AB1395" i="36"/>
  <c r="E1396" i="36"/>
  <c r="AB1396" i="36"/>
  <c r="E1397" i="36"/>
  <c r="AB1397" i="36"/>
  <c r="E1398" i="36"/>
  <c r="AB1398" i="36"/>
  <c r="E1399" i="36"/>
  <c r="AB1399" i="36"/>
  <c r="E1400" i="36"/>
  <c r="AB1400" i="36"/>
  <c r="E1401" i="36"/>
  <c r="AB1401" i="36"/>
  <c r="E1402" i="36"/>
  <c r="AB1402" i="36"/>
  <c r="E1403" i="36"/>
  <c r="AB1403" i="36"/>
  <c r="E1404" i="36"/>
  <c r="AB1404" i="36"/>
  <c r="E1405" i="36"/>
  <c r="AB1405" i="36"/>
  <c r="E1406" i="36"/>
  <c r="AB1406" i="36"/>
  <c r="E1407" i="36"/>
  <c r="AB1407" i="36"/>
  <c r="E1408" i="36"/>
  <c r="AB1408" i="36"/>
  <c r="E1409" i="36"/>
  <c r="AB1409" i="36"/>
  <c r="E1410" i="36"/>
  <c r="AB1410" i="36"/>
  <c r="E1411" i="36"/>
  <c r="AB1411" i="36"/>
  <c r="E1412" i="36"/>
  <c r="AB1412" i="36"/>
  <c r="E1413" i="36"/>
  <c r="AB1413" i="36"/>
  <c r="E1414" i="36"/>
  <c r="AB1414" i="36"/>
  <c r="E1415" i="36"/>
  <c r="AB1415" i="36"/>
  <c r="E1416" i="36"/>
  <c r="AB1416" i="36"/>
  <c r="E1417" i="36"/>
  <c r="AB1417" i="36"/>
  <c r="E1418" i="36"/>
  <c r="AB1418" i="36"/>
  <c r="E1419" i="36"/>
  <c r="AB1419" i="36"/>
  <c r="E1420" i="36"/>
  <c r="AB1420" i="36"/>
  <c r="E1421" i="36"/>
  <c r="AB1421" i="36"/>
  <c r="E1422" i="36"/>
  <c r="AB1422" i="36"/>
  <c r="E1423" i="36"/>
  <c r="AB1423" i="36"/>
  <c r="E1424" i="36"/>
  <c r="AB1424" i="36"/>
  <c r="E1425" i="36"/>
  <c r="AB1425" i="36"/>
  <c r="E1426" i="36"/>
  <c r="AB1426" i="36"/>
  <c r="E1427" i="36"/>
  <c r="AB1427" i="36"/>
  <c r="E1428" i="36"/>
  <c r="AB1428" i="36"/>
  <c r="E1429" i="36"/>
  <c r="AB1429" i="36"/>
  <c r="E1430" i="36"/>
  <c r="AB1430" i="36"/>
  <c r="E1431" i="36"/>
  <c r="AB1431" i="36"/>
  <c r="E1432" i="36"/>
  <c r="AB1432" i="36"/>
  <c r="E1433" i="36"/>
  <c r="AB1433" i="36"/>
  <c r="E1434" i="36"/>
  <c r="AB1434" i="36"/>
  <c r="E1435" i="36"/>
  <c r="AB1435" i="36"/>
  <c r="E1436" i="36"/>
  <c r="AB1436" i="36"/>
  <c r="E1437" i="36"/>
  <c r="AB1437" i="36"/>
  <c r="E1438" i="36"/>
  <c r="AB1438" i="36"/>
  <c r="E1439" i="36"/>
  <c r="AB1439" i="36"/>
  <c r="E1440" i="36"/>
  <c r="AB1440" i="36"/>
  <c r="E1441" i="36"/>
  <c r="AB1441" i="36"/>
  <c r="E1442" i="36"/>
  <c r="AB1442" i="36"/>
  <c r="E1443" i="36"/>
  <c r="AB1443" i="36"/>
  <c r="E1444" i="36"/>
  <c r="AB1444" i="36"/>
  <c r="E1445" i="36"/>
  <c r="AB1445" i="36"/>
  <c r="E1446" i="36"/>
  <c r="AB1446" i="36"/>
  <c r="E1447" i="36"/>
  <c r="AB1447" i="36"/>
  <c r="E1448" i="36"/>
  <c r="AB1448" i="36"/>
  <c r="E1449" i="36"/>
  <c r="AB1449" i="36"/>
  <c r="E1450" i="36"/>
  <c r="AB1450" i="36"/>
  <c r="E1451" i="36"/>
  <c r="AB1451" i="36"/>
  <c r="E1452" i="36"/>
  <c r="AB1452" i="36"/>
  <c r="E1455" i="36"/>
  <c r="AB1455" i="36"/>
  <c r="E1458" i="36"/>
  <c r="AB1458" i="36"/>
  <c r="E1459" i="36"/>
  <c r="AB1459" i="36"/>
  <c r="E1461" i="36"/>
  <c r="AB1461" i="36"/>
  <c r="E1462" i="36"/>
  <c r="AB1462" i="36"/>
  <c r="E1463" i="36"/>
  <c r="AB1463" i="36"/>
  <c r="E1464" i="36"/>
  <c r="AB1464" i="36"/>
  <c r="E1465" i="36"/>
  <c r="AB1465" i="36"/>
  <c r="E1466" i="36"/>
  <c r="AB1466" i="36"/>
  <c r="E1467" i="36"/>
  <c r="AB1467" i="36"/>
  <c r="E1468" i="36"/>
  <c r="AB1468" i="36"/>
  <c r="E1469" i="36"/>
  <c r="AB1469" i="36"/>
  <c r="E1470" i="36"/>
  <c r="AB1470" i="36"/>
  <c r="E1471" i="36"/>
  <c r="AB1471" i="36"/>
  <c r="E1472" i="36"/>
  <c r="AB1472" i="36"/>
  <c r="E1473" i="36"/>
  <c r="AB1473" i="36"/>
  <c r="E1474" i="36"/>
  <c r="AB1474" i="36"/>
  <c r="E1475" i="36"/>
  <c r="AB1475" i="36"/>
  <c r="E1476" i="36"/>
  <c r="AB1476" i="36"/>
  <c r="E1477" i="36"/>
  <c r="AB1477" i="36"/>
  <c r="E1478" i="36"/>
  <c r="AB1478" i="36"/>
  <c r="E1479" i="36"/>
  <c r="AB1479" i="36"/>
  <c r="E1480" i="36"/>
  <c r="AB1480" i="36"/>
  <c r="E1481" i="36"/>
  <c r="AB1481" i="36"/>
  <c r="E1482" i="36"/>
  <c r="AB1482" i="36"/>
  <c r="E1483" i="36"/>
  <c r="AB1483" i="36"/>
  <c r="E1484" i="36"/>
  <c r="AB1484" i="36"/>
  <c r="E1485" i="36"/>
  <c r="AB1485" i="36"/>
  <c r="E1486" i="36"/>
  <c r="AB1486" i="36"/>
  <c r="E1487" i="36"/>
  <c r="AB1487" i="36"/>
  <c r="E1489" i="36"/>
  <c r="AB1489" i="36"/>
  <c r="E1490" i="36"/>
  <c r="AB1490" i="36"/>
  <c r="E1491" i="36"/>
  <c r="AB1491" i="36"/>
  <c r="E1492" i="36"/>
  <c r="AB1492" i="36"/>
  <c r="E1493" i="36"/>
  <c r="AB1493" i="36"/>
  <c r="E1494" i="36"/>
  <c r="AB1494" i="36"/>
  <c r="E1495" i="36"/>
  <c r="AB1495" i="36"/>
  <c r="E1496" i="36"/>
  <c r="AB1496" i="36"/>
  <c r="E1497" i="36"/>
  <c r="AB1497" i="36"/>
  <c r="E1498" i="36"/>
  <c r="AB1498" i="36"/>
  <c r="E1499" i="36"/>
  <c r="AB1499" i="36"/>
  <c r="E1500" i="36"/>
  <c r="AB1500" i="36"/>
  <c r="E1501" i="36"/>
  <c r="AB1501" i="36"/>
  <c r="E1502" i="36"/>
  <c r="AB1502" i="36"/>
  <c r="E1504" i="36"/>
  <c r="AB1504" i="36"/>
  <c r="E1506" i="36"/>
  <c r="AB1506" i="36"/>
  <c r="E1508" i="36"/>
  <c r="AB1508" i="36"/>
  <c r="E1510" i="36"/>
  <c r="AB1510" i="36"/>
  <c r="E1511" i="36"/>
  <c r="AB1511" i="36"/>
  <c r="E1512" i="36"/>
  <c r="AB1512" i="36"/>
  <c r="E1513" i="36"/>
  <c r="AB1513" i="36"/>
  <c r="E1514" i="36"/>
  <c r="AB1514" i="36"/>
  <c r="E1515" i="36"/>
  <c r="AB1515" i="36"/>
  <c r="E1516" i="36"/>
  <c r="AB1516" i="36"/>
  <c r="E1517" i="36"/>
  <c r="AB1517" i="36"/>
  <c r="E1518" i="36"/>
  <c r="AB1518" i="36"/>
  <c r="E1519" i="36"/>
  <c r="AB1519" i="36"/>
  <c r="E1520" i="36"/>
  <c r="AB1520" i="36"/>
  <c r="E1521" i="36"/>
  <c r="AB1521" i="36"/>
  <c r="E1522" i="36"/>
  <c r="AB1522" i="36"/>
  <c r="E1524" i="36"/>
  <c r="AB1524" i="36"/>
  <c r="E1526" i="36"/>
  <c r="AB1526" i="36"/>
  <c r="E1527" i="36"/>
  <c r="AB1527" i="36"/>
  <c r="E1529" i="36"/>
  <c r="AB1529" i="36"/>
  <c r="E1531" i="36"/>
  <c r="AB1531" i="36"/>
  <c r="E1532" i="36"/>
  <c r="AB1532" i="36"/>
  <c r="E1533" i="36"/>
  <c r="AB1533" i="36"/>
  <c r="E1534" i="36"/>
  <c r="AB1534" i="36"/>
  <c r="E1535" i="36"/>
  <c r="AB1535" i="36"/>
  <c r="E1536" i="36"/>
  <c r="AB1536" i="36"/>
  <c r="E1537" i="36"/>
  <c r="AB1537" i="36"/>
  <c r="E1538" i="36"/>
  <c r="AB1538" i="36"/>
  <c r="E1539" i="36"/>
  <c r="AB1539" i="36"/>
  <c r="E1540" i="36"/>
  <c r="AB1540" i="36"/>
  <c r="E1541" i="36"/>
  <c r="AB1541" i="36"/>
  <c r="E1542" i="36"/>
  <c r="AB1542" i="36"/>
  <c r="E1543" i="36"/>
  <c r="AB1543" i="36"/>
  <c r="E1544" i="36"/>
  <c r="AB1544" i="36"/>
  <c r="E1545" i="36"/>
  <c r="AB1545" i="36"/>
  <c r="E1546" i="36"/>
  <c r="AB1546" i="36"/>
  <c r="E1547" i="36"/>
  <c r="AB1547" i="36"/>
  <c r="E1548" i="36"/>
  <c r="AB1548" i="36"/>
  <c r="E1549" i="36"/>
  <c r="AB1549" i="36"/>
  <c r="E1550" i="36"/>
  <c r="AB1550" i="36"/>
  <c r="E1551" i="36"/>
  <c r="AB1551" i="36"/>
  <c r="E1552" i="36"/>
  <c r="AB1552" i="36"/>
  <c r="E1553" i="36"/>
  <c r="AB1553" i="36"/>
  <c r="S2828" i="36"/>
  <c r="R2828" i="36"/>
  <c r="P2828" i="36"/>
  <c r="R5" i="44"/>
  <c r="S45" i="43"/>
  <c r="S34" i="43"/>
  <c r="S5" i="43"/>
  <c r="X2" i="33"/>
  <c r="X3" i="33"/>
  <c r="X4" i="33"/>
  <c r="X5" i="33"/>
  <c r="X6" i="33"/>
  <c r="X7" i="33"/>
  <c r="X8" i="33"/>
  <c r="X9" i="33"/>
  <c r="X10" i="33"/>
  <c r="X11" i="33"/>
  <c r="X12" i="33"/>
  <c r="X13" i="33"/>
  <c r="X14" i="33"/>
  <c r="X15" i="33"/>
  <c r="X16" i="33"/>
  <c r="X17" i="33"/>
  <c r="X18" i="33"/>
  <c r="X19" i="33"/>
  <c r="X20" i="33"/>
  <c r="X21" i="33"/>
  <c r="X22" i="33"/>
  <c r="X23" i="33"/>
  <c r="X24" i="33"/>
  <c r="X25" i="33"/>
  <c r="X26" i="33"/>
  <c r="X27" i="33"/>
  <c r="X28" i="33"/>
  <c r="X29" i="33"/>
  <c r="X30" i="33"/>
  <c r="X31" i="33"/>
  <c r="X32" i="33"/>
  <c r="X33" i="33"/>
  <c r="X34" i="33"/>
  <c r="X35" i="33"/>
  <c r="X36" i="33"/>
  <c r="X37" i="33"/>
  <c r="X38" i="33"/>
  <c r="X39" i="33"/>
  <c r="X40" i="33"/>
  <c r="X41" i="33"/>
  <c r="X42" i="33"/>
  <c r="X43" i="33"/>
  <c r="X44" i="33"/>
  <c r="X45" i="33"/>
  <c r="X46" i="33"/>
  <c r="X47" i="33"/>
  <c r="X48" i="33"/>
  <c r="X49" i="33"/>
  <c r="X50" i="33"/>
  <c r="X51" i="33"/>
  <c r="X52" i="33"/>
  <c r="X53" i="33"/>
  <c r="X54" i="33"/>
  <c r="X55" i="33"/>
  <c r="X56" i="33"/>
  <c r="X57" i="33"/>
  <c r="X58" i="33"/>
  <c r="X59" i="33"/>
  <c r="X60" i="33"/>
  <c r="X61" i="33"/>
  <c r="X62" i="33"/>
  <c r="X63" i="33"/>
  <c r="X64" i="33"/>
  <c r="X65" i="33"/>
  <c r="X66" i="33"/>
  <c r="X67" i="33"/>
  <c r="X68" i="33"/>
  <c r="X69" i="33"/>
  <c r="X70" i="33"/>
  <c r="X71" i="33"/>
  <c r="X72" i="33"/>
  <c r="X73" i="33"/>
  <c r="X74" i="33"/>
  <c r="X75" i="33"/>
  <c r="X76" i="33"/>
  <c r="X77" i="33"/>
  <c r="X78" i="33"/>
  <c r="X79" i="33"/>
  <c r="X80" i="33"/>
  <c r="X81" i="33"/>
  <c r="X82" i="33"/>
  <c r="X83" i="33"/>
  <c r="X84" i="33"/>
  <c r="X85" i="33"/>
  <c r="X86" i="33"/>
  <c r="X87" i="33"/>
  <c r="X88" i="33"/>
  <c r="X89" i="33"/>
  <c r="X90" i="33"/>
  <c r="X91" i="33"/>
  <c r="X92" i="33"/>
  <c r="X93" i="33"/>
  <c r="X94" i="33"/>
  <c r="X95" i="33"/>
  <c r="X96" i="33"/>
  <c r="X97" i="33"/>
  <c r="X98" i="33"/>
  <c r="X99" i="33"/>
  <c r="X100" i="33"/>
  <c r="X101" i="33"/>
  <c r="X102" i="33"/>
  <c r="X103" i="33"/>
  <c r="X104" i="33"/>
  <c r="X105" i="33"/>
  <c r="X106" i="33"/>
  <c r="X107" i="33"/>
  <c r="X108" i="33"/>
  <c r="X109" i="33"/>
  <c r="X110" i="33"/>
  <c r="X111" i="33"/>
  <c r="X112" i="33"/>
  <c r="X113" i="33"/>
  <c r="X114" i="33"/>
  <c r="X115" i="33"/>
  <c r="X116" i="33"/>
  <c r="X117" i="33"/>
  <c r="X118" i="33"/>
  <c r="X119" i="33"/>
  <c r="X120" i="33"/>
  <c r="X121" i="33"/>
  <c r="X122" i="33"/>
  <c r="X123" i="33"/>
  <c r="X124" i="33"/>
  <c r="X125" i="33"/>
  <c r="X126" i="33"/>
  <c r="X127" i="33"/>
  <c r="X128" i="33"/>
  <c r="X129" i="33"/>
  <c r="X130" i="33"/>
  <c r="X131" i="33"/>
  <c r="X132" i="33"/>
  <c r="X133" i="33"/>
  <c r="X134" i="33"/>
  <c r="X135" i="33"/>
  <c r="X136" i="33"/>
  <c r="X137" i="33"/>
  <c r="X138" i="33"/>
  <c r="X139" i="33"/>
  <c r="X140" i="33"/>
  <c r="X141" i="33"/>
  <c r="X142" i="33"/>
  <c r="X143" i="33"/>
  <c r="X144" i="33"/>
  <c r="X145" i="33"/>
  <c r="X146" i="33"/>
  <c r="X147" i="33"/>
  <c r="X148" i="33"/>
  <c r="X149" i="33"/>
  <c r="X150" i="33"/>
  <c r="X151" i="33"/>
  <c r="X152" i="33"/>
  <c r="X153" i="33"/>
  <c r="X154" i="33"/>
  <c r="X155" i="33"/>
  <c r="X156" i="33"/>
  <c r="X157" i="33"/>
  <c r="X158" i="33"/>
  <c r="X159" i="33"/>
  <c r="X160" i="33"/>
  <c r="X161" i="33"/>
  <c r="X162" i="33"/>
  <c r="X163" i="33"/>
  <c r="X164" i="33"/>
  <c r="X165" i="33"/>
  <c r="X166" i="33"/>
  <c r="X167" i="33"/>
  <c r="X168" i="33"/>
  <c r="X169" i="33"/>
  <c r="X170" i="33"/>
  <c r="X171" i="33"/>
  <c r="X172" i="33"/>
  <c r="X173" i="33"/>
  <c r="X174" i="33"/>
  <c r="X175" i="33"/>
  <c r="X176" i="33"/>
  <c r="X177" i="33"/>
  <c r="X178" i="33"/>
  <c r="X179" i="33"/>
  <c r="X180" i="33"/>
  <c r="X181" i="33"/>
  <c r="X182" i="33"/>
  <c r="X183" i="33"/>
  <c r="X184" i="33"/>
  <c r="X185" i="33"/>
  <c r="X186" i="33"/>
  <c r="X187" i="33"/>
  <c r="X188" i="33"/>
  <c r="X189" i="33"/>
  <c r="X190" i="33"/>
  <c r="X191" i="33"/>
  <c r="X192" i="33"/>
  <c r="X193" i="33"/>
  <c r="X194" i="33"/>
  <c r="X195" i="33"/>
  <c r="X196" i="33"/>
  <c r="X197" i="33"/>
  <c r="X198" i="33"/>
  <c r="X199" i="33"/>
  <c r="X200" i="33"/>
  <c r="X201" i="33"/>
  <c r="X202" i="33"/>
  <c r="X203" i="33"/>
  <c r="X204" i="33"/>
  <c r="X205" i="33"/>
  <c r="X206" i="33"/>
  <c r="X207" i="33"/>
  <c r="X208" i="33"/>
  <c r="X209" i="33"/>
  <c r="X210" i="33"/>
  <c r="X211" i="33"/>
  <c r="X212" i="33"/>
  <c r="X213" i="33"/>
  <c r="X214" i="33"/>
  <c r="X215" i="33"/>
  <c r="X216" i="33"/>
  <c r="X217" i="33"/>
  <c r="X218" i="33"/>
  <c r="X219" i="33"/>
  <c r="X220" i="33"/>
  <c r="X221" i="33"/>
  <c r="X222" i="33"/>
  <c r="X223" i="33"/>
  <c r="X224" i="33"/>
  <c r="X225" i="33"/>
  <c r="X226" i="33"/>
  <c r="X227" i="33"/>
  <c r="X228" i="33"/>
  <c r="X229" i="33"/>
  <c r="X230" i="33"/>
  <c r="X231" i="33"/>
  <c r="X232" i="33"/>
  <c r="X233" i="33"/>
  <c r="X234" i="33"/>
  <c r="X235" i="33"/>
  <c r="X236" i="33"/>
  <c r="X237" i="33"/>
  <c r="X238" i="33"/>
  <c r="X239" i="33"/>
  <c r="X240" i="33"/>
  <c r="X241" i="33"/>
  <c r="X242" i="33"/>
  <c r="X243" i="33"/>
  <c r="X244" i="33"/>
  <c r="X245" i="33"/>
  <c r="X246" i="33"/>
  <c r="X247" i="33"/>
  <c r="X248" i="33"/>
  <c r="X249" i="33"/>
  <c r="X250" i="33"/>
  <c r="X251" i="33"/>
  <c r="X252" i="33"/>
  <c r="X253" i="33"/>
  <c r="X254" i="33"/>
  <c r="X255" i="33"/>
  <c r="X256" i="33"/>
  <c r="X257" i="33"/>
  <c r="X258" i="33"/>
  <c r="X259" i="33"/>
  <c r="X260" i="33"/>
  <c r="L51" i="43" l="1"/>
  <c r="K51" i="43"/>
  <c r="R51" i="43"/>
  <c r="J51" i="43"/>
  <c r="Q51" i="43"/>
  <c r="I51" i="43"/>
  <c r="P51" i="43"/>
  <c r="H51" i="43"/>
  <c r="O51" i="43"/>
  <c r="G51" i="43"/>
  <c r="N51" i="43"/>
  <c r="M51" i="43"/>
  <c r="L14" i="39"/>
  <c r="K14" i="39"/>
  <c r="K8" i="39"/>
  <c r="L13" i="39"/>
  <c r="M8" i="39"/>
  <c r="K13" i="39"/>
  <c r="L12" i="39"/>
  <c r="K12" i="39"/>
  <c r="L10" i="39"/>
  <c r="K10" i="39"/>
  <c r="L8" i="39"/>
  <c r="M15" i="39"/>
  <c r="N16" i="39" s="1"/>
  <c r="M13" i="39"/>
  <c r="M14" i="39"/>
  <c r="M10" i="39"/>
  <c r="Q13" i="39"/>
  <c r="P12" i="39"/>
  <c r="O11" i="39"/>
  <c r="N9" i="39"/>
  <c r="Q15" i="39"/>
  <c r="P13" i="39"/>
  <c r="O12" i="39"/>
  <c r="M9" i="39"/>
  <c r="P15" i="39"/>
  <c r="O13" i="39"/>
  <c r="N12" i="39"/>
  <c r="M11" i="39"/>
  <c r="L9" i="39"/>
  <c r="O15" i="39"/>
  <c r="N13" i="39"/>
  <c r="L11" i="39"/>
  <c r="Q9" i="39"/>
  <c r="P8" i="39"/>
  <c r="L15" i="39"/>
  <c r="Q11" i="39"/>
  <c r="P9" i="39"/>
  <c r="O8" i="39"/>
  <c r="Q8" i="39"/>
  <c r="K15" i="39"/>
  <c r="Q12" i="39"/>
  <c r="P11" i="39"/>
  <c r="O9" i="39"/>
  <c r="N8" i="39"/>
  <c r="K11" i="39"/>
  <c r="G12" i="43"/>
  <c r="R21" i="43"/>
  <c r="M16" i="43"/>
  <c r="N11" i="43"/>
  <c r="M11" i="43"/>
  <c r="M15" i="43"/>
  <c r="G15" i="43"/>
  <c r="N21" i="43"/>
  <c r="P11" i="43"/>
  <c r="Q12" i="43"/>
  <c r="O22" i="43"/>
  <c r="R12" i="43"/>
  <c r="K24" i="43"/>
  <c r="G16" i="43"/>
  <c r="O10" i="43"/>
  <c r="L22" i="43"/>
  <c r="R17" i="43"/>
  <c r="N12" i="43"/>
  <c r="I16" i="43"/>
  <c r="I24" i="43"/>
  <c r="Q15" i="43"/>
  <c r="M10" i="43"/>
  <c r="P24" i="43"/>
  <c r="L16" i="43"/>
  <c r="H11" i="43"/>
  <c r="P23" i="43"/>
  <c r="G22" i="43"/>
  <c r="O13" i="43"/>
  <c r="M24" i="43"/>
  <c r="R25" i="43"/>
  <c r="N17" i="43"/>
  <c r="J12" i="43"/>
  <c r="L9" i="40"/>
  <c r="K9" i="40"/>
  <c r="P9" i="40"/>
  <c r="O9" i="40"/>
  <c r="Q9" i="40"/>
  <c r="I10" i="43"/>
  <c r="Q11" i="43"/>
  <c r="O8" i="43"/>
  <c r="K11" i="43"/>
  <c r="J13" i="43"/>
  <c r="I11" i="43"/>
  <c r="N8" i="43"/>
  <c r="G16" i="44"/>
  <c r="O23" i="43"/>
  <c r="K15" i="43"/>
  <c r="G10" i="43"/>
  <c r="N25" i="43"/>
  <c r="J17" i="43"/>
  <c r="R11" i="43"/>
  <c r="I14" i="43"/>
  <c r="M23" i="43"/>
  <c r="I15" i="43"/>
  <c r="Q8" i="43"/>
  <c r="H24" i="43"/>
  <c r="P15" i="43"/>
  <c r="L10" i="43"/>
  <c r="H21" i="43"/>
  <c r="K21" i="43"/>
  <c r="G13" i="43"/>
  <c r="I23" i="43"/>
  <c r="J25" i="43"/>
  <c r="R16" i="43"/>
  <c r="J25" i="44"/>
  <c r="I25" i="43"/>
  <c r="L12" i="43"/>
  <c r="H23" i="43"/>
  <c r="O16" i="43"/>
  <c r="H17" i="43"/>
  <c r="K14" i="43"/>
  <c r="H16" i="43"/>
  <c r="P10" i="43"/>
  <c r="H14" i="43"/>
  <c r="H10" i="43"/>
  <c r="L11" i="43"/>
  <c r="L13" i="43"/>
  <c r="L8" i="43"/>
  <c r="P12" i="43"/>
  <c r="I36" i="44"/>
  <c r="H12" i="43"/>
  <c r="G23" i="43"/>
  <c r="O14" i="43"/>
  <c r="K8" i="43"/>
  <c r="R24" i="43"/>
  <c r="N16" i="43"/>
  <c r="J11" i="43"/>
  <c r="M8" i="43"/>
  <c r="Q22" i="43"/>
  <c r="M14" i="43"/>
  <c r="I8" i="43"/>
  <c r="L23" i="43"/>
  <c r="H15" i="43"/>
  <c r="P8" i="43"/>
  <c r="P16" i="43"/>
  <c r="O17" i="43"/>
  <c r="K12" i="43"/>
  <c r="Q14" i="43"/>
  <c r="N24" i="43"/>
  <c r="J16" i="43"/>
  <c r="R10" i="43"/>
  <c r="K17" i="43"/>
  <c r="R13" i="43"/>
  <c r="M25" i="43"/>
  <c r="P17" i="43"/>
  <c r="N13" i="43"/>
  <c r="Q21" i="43"/>
  <c r="L25" i="43"/>
  <c r="J21" i="43"/>
  <c r="K22" i="43"/>
  <c r="G14" i="43"/>
  <c r="M22" i="43"/>
  <c r="J24" i="43"/>
  <c r="R15" i="43"/>
  <c r="N10" i="43"/>
  <c r="P25" i="43"/>
  <c r="I22" i="43"/>
  <c r="Q13" i="43"/>
  <c r="Q25" i="43"/>
  <c r="P22" i="43"/>
  <c r="L14" i="43"/>
  <c r="H8" i="43"/>
  <c r="K25" i="43"/>
  <c r="G17" i="43"/>
  <c r="O11" i="43"/>
  <c r="M13" i="43"/>
  <c r="R23" i="43"/>
  <c r="N15" i="43"/>
  <c r="J10" i="43"/>
  <c r="K23" i="43"/>
  <c r="G25" i="43"/>
  <c r="H25" i="43"/>
  <c r="Q24" i="43"/>
  <c r="P14" i="43"/>
  <c r="O21" i="43"/>
  <c r="K13" i="43"/>
  <c r="M17" i="43"/>
  <c r="N23" i="43"/>
  <c r="J15" i="43"/>
  <c r="R8" i="43"/>
  <c r="P21" i="43"/>
  <c r="M21" i="43"/>
  <c r="I13" i="43"/>
  <c r="Q23" i="43"/>
  <c r="H22" i="43"/>
  <c r="P13" i="43"/>
  <c r="G8" i="43"/>
  <c r="O24" i="43"/>
  <c r="K16" i="43"/>
  <c r="G11" i="43"/>
  <c r="Q10" i="43"/>
  <c r="J23" i="43"/>
  <c r="R14" i="43"/>
  <c r="L15" i="43"/>
  <c r="J22" i="43"/>
  <c r="I17" i="43"/>
  <c r="G21" i="43"/>
  <c r="O12" i="43"/>
  <c r="I12" i="43"/>
  <c r="R22" i="43"/>
  <c r="N14" i="43"/>
  <c r="J8" i="43"/>
  <c r="L17" i="43"/>
  <c r="Q17" i="43"/>
  <c r="M12" i="43"/>
  <c r="Q16" i="43"/>
  <c r="L21" i="43"/>
  <c r="H13" i="43"/>
  <c r="I21" i="43"/>
  <c r="G24" i="43"/>
  <c r="O15" i="43"/>
  <c r="K10" i="43"/>
  <c r="L24" i="43"/>
  <c r="N22" i="43"/>
  <c r="J14" i="43"/>
  <c r="O25" i="43"/>
  <c r="N37" i="44"/>
  <c r="F37" i="44"/>
  <c r="J36" i="44"/>
  <c r="I33" i="44"/>
  <c r="Q33" i="44"/>
  <c r="J33" i="44"/>
  <c r="M36" i="44"/>
  <c r="M37" i="44"/>
  <c r="Q36" i="44"/>
  <c r="L37" i="44"/>
  <c r="P36" i="44"/>
  <c r="H36" i="44"/>
  <c r="K33" i="44"/>
  <c r="J37" i="44"/>
  <c r="F36" i="44"/>
  <c r="Q37" i="44"/>
  <c r="F33" i="44"/>
  <c r="K37" i="44"/>
  <c r="O36" i="44"/>
  <c r="G36" i="44"/>
  <c r="L33" i="44"/>
  <c r="N36" i="44"/>
  <c r="M33" i="44"/>
  <c r="I37" i="44"/>
  <c r="N33" i="44"/>
  <c r="P37" i="44"/>
  <c r="H37" i="44"/>
  <c r="L36" i="44"/>
  <c r="G33" i="44"/>
  <c r="O33" i="44"/>
  <c r="O37" i="44"/>
  <c r="G37" i="44"/>
  <c r="K36" i="44"/>
  <c r="H33" i="44"/>
  <c r="P33" i="44"/>
  <c r="F12" i="44"/>
  <c r="J17" i="44"/>
  <c r="N22" i="44"/>
  <c r="F28" i="44"/>
  <c r="N14" i="44"/>
  <c r="N12" i="44"/>
  <c r="F18" i="44"/>
  <c r="J23" i="44"/>
  <c r="N28" i="44"/>
  <c r="G8" i="44"/>
  <c r="J13" i="44"/>
  <c r="N18" i="44"/>
  <c r="F24" i="44"/>
  <c r="J29" i="44"/>
  <c r="K9" i="44"/>
  <c r="O8" i="44"/>
  <c r="F14" i="44"/>
  <c r="J19" i="44"/>
  <c r="N24" i="44"/>
  <c r="F30" i="44"/>
  <c r="N30" i="44"/>
  <c r="O10" i="44"/>
  <c r="J15" i="44"/>
  <c r="N20" i="44"/>
  <c r="F26" i="44"/>
  <c r="J31" i="44"/>
  <c r="G10" i="44"/>
  <c r="F16" i="44"/>
  <c r="J21" i="44"/>
  <c r="N26" i="44"/>
  <c r="F32" i="44"/>
  <c r="F20" i="44"/>
  <c r="J11" i="44"/>
  <c r="N16" i="44"/>
  <c r="F22" i="44"/>
  <c r="J27" i="44"/>
  <c r="H8" i="44"/>
  <c r="K11" i="44"/>
  <c r="O12" i="44"/>
  <c r="G14" i="44"/>
  <c r="O14" i="44"/>
  <c r="K15" i="44"/>
  <c r="O18" i="44"/>
  <c r="K19" i="44"/>
  <c r="G20" i="44"/>
  <c r="O20" i="44"/>
  <c r="K21" i="44"/>
  <c r="G22" i="44"/>
  <c r="O22" i="44"/>
  <c r="K23" i="44"/>
  <c r="G24" i="44"/>
  <c r="O24" i="44"/>
  <c r="K25" i="44"/>
  <c r="G26" i="44"/>
  <c r="O26" i="44"/>
  <c r="K27" i="44"/>
  <c r="G28" i="44"/>
  <c r="O28" i="44"/>
  <c r="K29" i="44"/>
  <c r="G30" i="44"/>
  <c r="O30" i="44"/>
  <c r="K31" i="44"/>
  <c r="G32" i="44"/>
  <c r="O32" i="44"/>
  <c r="P8" i="44"/>
  <c r="O16" i="44"/>
  <c r="I8" i="44"/>
  <c r="Q8" i="44"/>
  <c r="M9" i="44"/>
  <c r="I10" i="44"/>
  <c r="Q10" i="44"/>
  <c r="L11" i="44"/>
  <c r="H12" i="44"/>
  <c r="P12" i="44"/>
  <c r="L13" i="44"/>
  <c r="H14" i="44"/>
  <c r="P14" i="44"/>
  <c r="L15" i="44"/>
  <c r="H16" i="44"/>
  <c r="P16" i="44"/>
  <c r="L17" i="44"/>
  <c r="H18" i="44"/>
  <c r="P18" i="44"/>
  <c r="L19" i="44"/>
  <c r="H20" i="44"/>
  <c r="P20" i="44"/>
  <c r="L21" i="44"/>
  <c r="H22" i="44"/>
  <c r="P22" i="44"/>
  <c r="L23" i="44"/>
  <c r="H24" i="44"/>
  <c r="P24" i="44"/>
  <c r="L25" i="44"/>
  <c r="H26" i="44"/>
  <c r="P26" i="44"/>
  <c r="L27" i="44"/>
  <c r="H28" i="44"/>
  <c r="P28" i="44"/>
  <c r="L29" i="44"/>
  <c r="H30" i="44"/>
  <c r="P30" i="44"/>
  <c r="L31" i="44"/>
  <c r="H32" i="44"/>
  <c r="P32" i="44"/>
  <c r="L9" i="44"/>
  <c r="K13" i="44"/>
  <c r="J8" i="44"/>
  <c r="F9" i="44"/>
  <c r="N9" i="44"/>
  <c r="J10" i="44"/>
  <c r="M11" i="44"/>
  <c r="I12" i="44"/>
  <c r="Q12" i="44"/>
  <c r="M13" i="44"/>
  <c r="I14" i="44"/>
  <c r="Q14" i="44"/>
  <c r="M15" i="44"/>
  <c r="I16" i="44"/>
  <c r="Q16" i="44"/>
  <c r="M17" i="44"/>
  <c r="I18" i="44"/>
  <c r="Q18" i="44"/>
  <c r="M19" i="44"/>
  <c r="I20" i="44"/>
  <c r="Q20" i="44"/>
  <c r="M21" i="44"/>
  <c r="I22" i="44"/>
  <c r="Q22" i="44"/>
  <c r="M23" i="44"/>
  <c r="I24" i="44"/>
  <c r="Q24" i="44"/>
  <c r="M25" i="44"/>
  <c r="I26" i="44"/>
  <c r="Q26" i="44"/>
  <c r="M27" i="44"/>
  <c r="I28" i="44"/>
  <c r="Q28" i="44"/>
  <c r="M29" i="44"/>
  <c r="I30" i="44"/>
  <c r="Q30" i="44"/>
  <c r="M31" i="44"/>
  <c r="I32" i="44"/>
  <c r="Q32" i="44"/>
  <c r="P10" i="44"/>
  <c r="G18" i="44"/>
  <c r="K8" i="44"/>
  <c r="G9" i="44"/>
  <c r="O9" i="44"/>
  <c r="K10" i="44"/>
  <c r="F11" i="44"/>
  <c r="N11" i="44"/>
  <c r="J12" i="44"/>
  <c r="F13" i="44"/>
  <c r="N13" i="44"/>
  <c r="J14" i="44"/>
  <c r="F15" i="44"/>
  <c r="N15" i="44"/>
  <c r="J16" i="44"/>
  <c r="F17" i="44"/>
  <c r="N17" i="44"/>
  <c r="J18" i="44"/>
  <c r="F19" i="44"/>
  <c r="N19" i="44"/>
  <c r="J20" i="44"/>
  <c r="F21" i="44"/>
  <c r="N21" i="44"/>
  <c r="J22" i="44"/>
  <c r="F23" i="44"/>
  <c r="N23" i="44"/>
  <c r="J24" i="44"/>
  <c r="F25" i="44"/>
  <c r="N25" i="44"/>
  <c r="J26" i="44"/>
  <c r="F27" i="44"/>
  <c r="N27" i="44"/>
  <c r="J28" i="44"/>
  <c r="F29" i="44"/>
  <c r="N29" i="44"/>
  <c r="J30" i="44"/>
  <c r="F31" i="44"/>
  <c r="N31" i="44"/>
  <c r="J32" i="44"/>
  <c r="G12" i="44"/>
  <c r="K17" i="44"/>
  <c r="L8" i="44"/>
  <c r="H9" i="44"/>
  <c r="P9" i="44"/>
  <c r="L10" i="44"/>
  <c r="G11" i="44"/>
  <c r="O11" i="44"/>
  <c r="K12" i="44"/>
  <c r="G13" i="44"/>
  <c r="O13" i="44"/>
  <c r="K14" i="44"/>
  <c r="G15" i="44"/>
  <c r="O15" i="44"/>
  <c r="K16" i="44"/>
  <c r="G17" i="44"/>
  <c r="O17" i="44"/>
  <c r="K18" i="44"/>
  <c r="G19" i="44"/>
  <c r="O19" i="44"/>
  <c r="K20" i="44"/>
  <c r="G21" i="44"/>
  <c r="O21" i="44"/>
  <c r="K22" i="44"/>
  <c r="G23" i="44"/>
  <c r="O23" i="44"/>
  <c r="K24" i="44"/>
  <c r="G25" i="44"/>
  <c r="O25" i="44"/>
  <c r="K26" i="44"/>
  <c r="G27" i="44"/>
  <c r="O27" i="44"/>
  <c r="K28" i="44"/>
  <c r="G29" i="44"/>
  <c r="O29" i="44"/>
  <c r="K30" i="44"/>
  <c r="G31" i="44"/>
  <c r="O31" i="44"/>
  <c r="K32" i="44"/>
  <c r="H10" i="44"/>
  <c r="M8" i="44"/>
  <c r="I9" i="44"/>
  <c r="Q9" i="44"/>
  <c r="M10" i="44"/>
  <c r="H11" i="44"/>
  <c r="P11" i="44"/>
  <c r="L12" i="44"/>
  <c r="H13" i="44"/>
  <c r="P13" i="44"/>
  <c r="L14" i="44"/>
  <c r="H15" i="44"/>
  <c r="P15" i="44"/>
  <c r="L16" i="44"/>
  <c r="H17" i="44"/>
  <c r="P17" i="44"/>
  <c r="L18" i="44"/>
  <c r="H19" i="44"/>
  <c r="P19" i="44"/>
  <c r="L20" i="44"/>
  <c r="H21" i="44"/>
  <c r="P21" i="44"/>
  <c r="L22" i="44"/>
  <c r="H23" i="44"/>
  <c r="P23" i="44"/>
  <c r="L24" i="44"/>
  <c r="H25" i="44"/>
  <c r="P25" i="44"/>
  <c r="L26" i="44"/>
  <c r="H27" i="44"/>
  <c r="P27" i="44"/>
  <c r="L28" i="44"/>
  <c r="H29" i="44"/>
  <c r="P29" i="44"/>
  <c r="L30" i="44"/>
  <c r="H31" i="44"/>
  <c r="P31" i="44"/>
  <c r="L32" i="44"/>
  <c r="F8" i="44"/>
  <c r="N8" i="44"/>
  <c r="J9" i="44"/>
  <c r="F10" i="44"/>
  <c r="N10" i="44"/>
  <c r="I11" i="44"/>
  <c r="Q11" i="44"/>
  <c r="M12" i="44"/>
  <c r="I13" i="44"/>
  <c r="Q13" i="44"/>
  <c r="M14" i="44"/>
  <c r="I15" i="44"/>
  <c r="Q15" i="44"/>
  <c r="M16" i="44"/>
  <c r="I17" i="44"/>
  <c r="Q17" i="44"/>
  <c r="M18" i="44"/>
  <c r="I19" i="44"/>
  <c r="Q19" i="44"/>
  <c r="M20" i="44"/>
  <c r="I21" i="44"/>
  <c r="Q21" i="44"/>
  <c r="M22" i="44"/>
  <c r="I23" i="44"/>
  <c r="Q23" i="44"/>
  <c r="M24" i="44"/>
  <c r="I25" i="44"/>
  <c r="Q25" i="44"/>
  <c r="M26" i="44"/>
  <c r="I27" i="44"/>
  <c r="Q27" i="44"/>
  <c r="M28" i="44"/>
  <c r="I29" i="44"/>
  <c r="Q29" i="44"/>
  <c r="M30" i="44"/>
  <c r="I31" i="44"/>
  <c r="Q31" i="44"/>
  <c r="M32" i="44"/>
  <c r="N32" i="44"/>
  <c r="S38" i="43"/>
  <c r="S39" i="43"/>
  <c r="Q2828" i="36"/>
  <c r="T39" i="43"/>
  <c r="T38" i="43"/>
  <c r="T45" i="43"/>
  <c r="L197" i="33"/>
  <c r="E197" i="33"/>
  <c r="L195" i="33"/>
  <c r="E195" i="33"/>
  <c r="L232" i="33"/>
  <c r="E232" i="33"/>
  <c r="L53" i="43"/>
  <c r="L144" i="33"/>
  <c r="E144" i="33"/>
  <c r="L127" i="33"/>
  <c r="E127" i="33"/>
  <c r="L125" i="33"/>
  <c r="E125" i="33"/>
  <c r="L123" i="33"/>
  <c r="E123" i="33"/>
  <c r="L121" i="33"/>
  <c r="E121" i="33"/>
  <c r="L33" i="33"/>
  <c r="E33" i="33"/>
  <c r="L22" i="33"/>
  <c r="E22" i="33"/>
  <c r="L13" i="33"/>
  <c r="E13" i="33"/>
  <c r="M56" i="43"/>
  <c r="L259" i="33"/>
  <c r="L258" i="33"/>
  <c r="L257" i="33"/>
  <c r="L256" i="33"/>
  <c r="L255" i="33"/>
  <c r="L254" i="33"/>
  <c r="L253" i="33"/>
  <c r="L252" i="33"/>
  <c r="L251" i="33"/>
  <c r="L250" i="33"/>
  <c r="L249" i="33"/>
  <c r="L248" i="33"/>
  <c r="L247" i="33"/>
  <c r="L246" i="33"/>
  <c r="L245" i="33"/>
  <c r="L244" i="33"/>
  <c r="L243" i="33"/>
  <c r="L242" i="33"/>
  <c r="L241" i="33"/>
  <c r="L240" i="33"/>
  <c r="L239" i="33"/>
  <c r="L238" i="33"/>
  <c r="L237" i="33"/>
  <c r="L236" i="33"/>
  <c r="L235" i="33"/>
  <c r="L234" i="33"/>
  <c r="L233" i="33"/>
  <c r="L231" i="33"/>
  <c r="L230" i="33"/>
  <c r="L229" i="33"/>
  <c r="L228" i="33"/>
  <c r="L227" i="33"/>
  <c r="L226" i="33"/>
  <c r="L225" i="33"/>
  <c r="L224" i="33"/>
  <c r="L223" i="33"/>
  <c r="L222" i="33"/>
  <c r="L221" i="33"/>
  <c r="L220" i="33"/>
  <c r="L219" i="33"/>
  <c r="L218" i="33"/>
  <c r="L217" i="33"/>
  <c r="L216" i="33"/>
  <c r="L215" i="33"/>
  <c r="L214" i="33"/>
  <c r="L213" i="33"/>
  <c r="L212" i="33"/>
  <c r="L211" i="33"/>
  <c r="L210" i="33"/>
  <c r="L209" i="33"/>
  <c r="L208" i="33"/>
  <c r="L207" i="33"/>
  <c r="L206" i="33"/>
  <c r="L205" i="33"/>
  <c r="L204" i="33"/>
  <c r="L203" i="33"/>
  <c r="L202" i="33"/>
  <c r="L201" i="33"/>
  <c r="L200" i="33"/>
  <c r="L199" i="33"/>
  <c r="L198" i="33"/>
  <c r="L196" i="33"/>
  <c r="L194" i="33"/>
  <c r="L193" i="33"/>
  <c r="L192" i="33"/>
  <c r="L191" i="33"/>
  <c r="L190" i="33"/>
  <c r="L189" i="33"/>
  <c r="L188" i="33"/>
  <c r="L187" i="33"/>
  <c r="L186" i="33"/>
  <c r="L185" i="33"/>
  <c r="L184" i="33"/>
  <c r="L183" i="33"/>
  <c r="L182" i="33"/>
  <c r="L181" i="33"/>
  <c r="L180" i="33"/>
  <c r="L179" i="33"/>
  <c r="L178" i="33"/>
  <c r="L177" i="33"/>
  <c r="L176" i="33"/>
  <c r="L175" i="33"/>
  <c r="L174" i="33"/>
  <c r="L173" i="33"/>
  <c r="L172" i="33"/>
  <c r="L171" i="33"/>
  <c r="L170" i="33"/>
  <c r="L169" i="33"/>
  <c r="L168" i="33"/>
  <c r="L167" i="33"/>
  <c r="L166" i="33"/>
  <c r="L165" i="33"/>
  <c r="L164" i="33"/>
  <c r="L163" i="33"/>
  <c r="L162" i="33"/>
  <c r="L161" i="33"/>
  <c r="L160" i="33"/>
  <c r="L159" i="33"/>
  <c r="L158" i="33"/>
  <c r="L157" i="33"/>
  <c r="L156" i="33"/>
  <c r="L155" i="33"/>
  <c r="L154" i="33"/>
  <c r="L153" i="33"/>
  <c r="L152" i="33"/>
  <c r="L151" i="33"/>
  <c r="L150" i="33"/>
  <c r="L149" i="33"/>
  <c r="L148" i="33"/>
  <c r="L147" i="33"/>
  <c r="L146" i="33"/>
  <c r="L145" i="33"/>
  <c r="L143" i="33"/>
  <c r="L142" i="33"/>
  <c r="L141" i="33"/>
  <c r="L140" i="33"/>
  <c r="L139" i="33"/>
  <c r="L138" i="33"/>
  <c r="L137" i="33"/>
  <c r="L136" i="33"/>
  <c r="L135" i="33"/>
  <c r="L134" i="33"/>
  <c r="L133" i="33"/>
  <c r="L132" i="33"/>
  <c r="L131" i="33"/>
  <c r="L130" i="33"/>
  <c r="L129" i="33"/>
  <c r="L128" i="33"/>
  <c r="L126" i="33"/>
  <c r="L124" i="33"/>
  <c r="L122" i="33"/>
  <c r="L120" i="33"/>
  <c r="L119" i="33"/>
  <c r="L118" i="33"/>
  <c r="L117" i="33"/>
  <c r="L116" i="33"/>
  <c r="L115" i="33"/>
  <c r="L114" i="33"/>
  <c r="L113" i="33"/>
  <c r="L112" i="33"/>
  <c r="L111" i="33"/>
  <c r="L110" i="33"/>
  <c r="L109" i="33"/>
  <c r="L108" i="33"/>
  <c r="L107" i="33"/>
  <c r="L106" i="33"/>
  <c r="L105" i="33"/>
  <c r="L104" i="33"/>
  <c r="L103" i="33"/>
  <c r="L102" i="33"/>
  <c r="L101" i="33"/>
  <c r="L100" i="33"/>
  <c r="L99" i="33"/>
  <c r="L98" i="33"/>
  <c r="L97" i="33"/>
  <c r="L96" i="33"/>
  <c r="L95" i="33"/>
  <c r="L94" i="33"/>
  <c r="L93" i="33"/>
  <c r="L92" i="33"/>
  <c r="L91" i="33"/>
  <c r="L90" i="33"/>
  <c r="L89" i="33"/>
  <c r="L88" i="33"/>
  <c r="L87" i="33"/>
  <c r="L86" i="33"/>
  <c r="L85" i="33"/>
  <c r="L84" i="33"/>
  <c r="L83" i="33"/>
  <c r="L82" i="33"/>
  <c r="L81" i="33"/>
  <c r="L80" i="33"/>
  <c r="L79" i="33"/>
  <c r="L78" i="33"/>
  <c r="L77" i="33"/>
  <c r="L76" i="33"/>
  <c r="L75" i="33"/>
  <c r="L74" i="33"/>
  <c r="L73" i="33"/>
  <c r="L72" i="33"/>
  <c r="L71" i="33"/>
  <c r="L70" i="33"/>
  <c r="L69" i="33"/>
  <c r="L68" i="33"/>
  <c r="L67" i="33"/>
  <c r="L66" i="33"/>
  <c r="L65" i="33"/>
  <c r="L64" i="33"/>
  <c r="L63" i="33"/>
  <c r="L62" i="33"/>
  <c r="L61" i="33"/>
  <c r="L60" i="33"/>
  <c r="L59" i="33"/>
  <c r="L58" i="33"/>
  <c r="L57" i="33"/>
  <c r="L56" i="33"/>
  <c r="L55" i="33"/>
  <c r="L54" i="33"/>
  <c r="L53" i="33"/>
  <c r="L52" i="33"/>
  <c r="L51" i="33"/>
  <c r="L50" i="33"/>
  <c r="L49" i="33"/>
  <c r="L48" i="33"/>
  <c r="L47" i="33"/>
  <c r="L46" i="33"/>
  <c r="L45" i="33"/>
  <c r="L44" i="33"/>
  <c r="L43" i="33"/>
  <c r="L42" i="33"/>
  <c r="L41" i="33"/>
  <c r="L40" i="33"/>
  <c r="L39" i="33"/>
  <c r="L38" i="33"/>
  <c r="L37" i="33"/>
  <c r="L36" i="33"/>
  <c r="L35" i="33"/>
  <c r="L34" i="33"/>
  <c r="L32" i="33"/>
  <c r="L31" i="33"/>
  <c r="L30" i="33"/>
  <c r="L29" i="33"/>
  <c r="L28" i="33"/>
  <c r="L27" i="33"/>
  <c r="L26" i="33"/>
  <c r="L25" i="33"/>
  <c r="L24" i="33"/>
  <c r="L23" i="33"/>
  <c r="L21" i="33"/>
  <c r="L20" i="33"/>
  <c r="L19" i="33"/>
  <c r="L18" i="33"/>
  <c r="L17" i="33"/>
  <c r="L16" i="33"/>
  <c r="L15" i="33"/>
  <c r="L14" i="33"/>
  <c r="L12" i="33"/>
  <c r="L11" i="33"/>
  <c r="L10" i="33"/>
  <c r="L9" i="33"/>
  <c r="L8" i="33"/>
  <c r="L7" i="33"/>
  <c r="L6" i="33"/>
  <c r="L5" i="33"/>
  <c r="L4" i="33"/>
  <c r="L3" i="33"/>
  <c r="L2" i="33"/>
  <c r="L260" i="33"/>
  <c r="E260" i="33"/>
  <c r="E259" i="33"/>
  <c r="E258" i="33"/>
  <c r="E257" i="33"/>
  <c r="E256" i="33"/>
  <c r="E255" i="33"/>
  <c r="E254" i="33"/>
  <c r="E253" i="33"/>
  <c r="E252" i="33"/>
  <c r="E251" i="33"/>
  <c r="E250" i="33"/>
  <c r="E249" i="33"/>
  <c r="E248" i="33"/>
  <c r="E247" i="33"/>
  <c r="E246" i="33"/>
  <c r="E245" i="33"/>
  <c r="E244" i="33"/>
  <c r="E243" i="33"/>
  <c r="E242" i="33"/>
  <c r="E241" i="33"/>
  <c r="E240" i="33"/>
  <c r="E239" i="33"/>
  <c r="E238" i="33"/>
  <c r="E237" i="33"/>
  <c r="E236" i="33"/>
  <c r="E235" i="33"/>
  <c r="E234" i="33"/>
  <c r="E233" i="33"/>
  <c r="E231" i="33"/>
  <c r="E230" i="33"/>
  <c r="E229" i="33"/>
  <c r="E228" i="33"/>
  <c r="E227" i="33"/>
  <c r="E226" i="33"/>
  <c r="E225" i="33"/>
  <c r="E224" i="33"/>
  <c r="E223" i="33"/>
  <c r="E222" i="33"/>
  <c r="E221" i="33"/>
  <c r="E220" i="33"/>
  <c r="E219" i="33"/>
  <c r="E218" i="33"/>
  <c r="E217" i="33"/>
  <c r="E216" i="33"/>
  <c r="E215" i="33"/>
  <c r="E214" i="33"/>
  <c r="E213" i="33"/>
  <c r="E212" i="33"/>
  <c r="E211" i="33"/>
  <c r="E210" i="33"/>
  <c r="E209" i="33"/>
  <c r="E208" i="33"/>
  <c r="E207" i="33"/>
  <c r="E206" i="33"/>
  <c r="E205" i="33"/>
  <c r="E204" i="33"/>
  <c r="E203" i="33"/>
  <c r="E202" i="33"/>
  <c r="E201" i="33"/>
  <c r="E200" i="33"/>
  <c r="E199" i="33"/>
  <c r="E198" i="33"/>
  <c r="E196" i="33"/>
  <c r="E194" i="33"/>
  <c r="E193" i="33"/>
  <c r="E192" i="33"/>
  <c r="E191" i="33"/>
  <c r="E190" i="33"/>
  <c r="E189" i="33"/>
  <c r="E188" i="33"/>
  <c r="E187" i="33"/>
  <c r="E186" i="33"/>
  <c r="E185" i="33"/>
  <c r="E184" i="33"/>
  <c r="E183" i="33"/>
  <c r="E182" i="33"/>
  <c r="E181" i="33"/>
  <c r="E180" i="33"/>
  <c r="E179" i="33"/>
  <c r="E178" i="33"/>
  <c r="E177" i="33"/>
  <c r="E176" i="33"/>
  <c r="E175" i="33"/>
  <c r="E174" i="33"/>
  <c r="E173" i="33"/>
  <c r="E172" i="33"/>
  <c r="E171" i="33"/>
  <c r="E170" i="33"/>
  <c r="E169" i="33"/>
  <c r="E168" i="33"/>
  <c r="E167" i="33"/>
  <c r="E166" i="33"/>
  <c r="E165" i="33"/>
  <c r="E164" i="33"/>
  <c r="E163" i="33"/>
  <c r="E162" i="33"/>
  <c r="E161" i="33"/>
  <c r="E160" i="33"/>
  <c r="E159" i="33"/>
  <c r="E158" i="33"/>
  <c r="E157" i="33"/>
  <c r="E156" i="33"/>
  <c r="E155" i="33"/>
  <c r="E154" i="33"/>
  <c r="E153" i="33"/>
  <c r="E152" i="33"/>
  <c r="E151" i="33"/>
  <c r="E150" i="33"/>
  <c r="E149" i="33"/>
  <c r="E148" i="33"/>
  <c r="E147" i="33"/>
  <c r="E146" i="33"/>
  <c r="E145" i="33"/>
  <c r="E143" i="33"/>
  <c r="E142" i="33"/>
  <c r="E141" i="33"/>
  <c r="E140" i="33"/>
  <c r="E139" i="33"/>
  <c r="E138" i="33"/>
  <c r="E137" i="33"/>
  <c r="E136" i="33"/>
  <c r="E135" i="33"/>
  <c r="E134" i="33"/>
  <c r="E133" i="33"/>
  <c r="E132" i="33"/>
  <c r="E131" i="33"/>
  <c r="E130" i="33"/>
  <c r="E129" i="33"/>
  <c r="E128" i="33"/>
  <c r="E126" i="33"/>
  <c r="E124" i="33"/>
  <c r="E122" i="33"/>
  <c r="E120" i="33"/>
  <c r="E119" i="33"/>
  <c r="E118" i="33"/>
  <c r="E117" i="33"/>
  <c r="E116" i="33"/>
  <c r="E115" i="33"/>
  <c r="E114" i="33"/>
  <c r="E113" i="33"/>
  <c r="E112" i="33"/>
  <c r="E111" i="33"/>
  <c r="E110" i="33"/>
  <c r="E109" i="33"/>
  <c r="E108" i="33"/>
  <c r="E107" i="33"/>
  <c r="E106" i="33"/>
  <c r="E105" i="33"/>
  <c r="E104" i="33"/>
  <c r="E103" i="33"/>
  <c r="E102" i="33"/>
  <c r="E101" i="33"/>
  <c r="E100" i="33"/>
  <c r="E99" i="33"/>
  <c r="E98" i="33"/>
  <c r="E97" i="33"/>
  <c r="E96" i="33"/>
  <c r="E95" i="33"/>
  <c r="E94" i="33"/>
  <c r="E93" i="33"/>
  <c r="E92" i="33"/>
  <c r="E91" i="33"/>
  <c r="E90" i="33"/>
  <c r="E89" i="33"/>
  <c r="E88" i="33"/>
  <c r="E87" i="33"/>
  <c r="E86" i="33"/>
  <c r="E85" i="33"/>
  <c r="E84" i="33"/>
  <c r="E83" i="33"/>
  <c r="E82" i="33"/>
  <c r="E81" i="33"/>
  <c r="E80" i="33"/>
  <c r="E79" i="33"/>
  <c r="E78" i="33"/>
  <c r="E77" i="33"/>
  <c r="E76" i="33"/>
  <c r="E75" i="33"/>
  <c r="E74" i="33"/>
  <c r="E73" i="33"/>
  <c r="E72" i="33"/>
  <c r="E71" i="33"/>
  <c r="E70" i="33"/>
  <c r="E69" i="33"/>
  <c r="E68" i="33"/>
  <c r="E67" i="33"/>
  <c r="E66" i="33"/>
  <c r="E65" i="33"/>
  <c r="E64" i="33"/>
  <c r="E63" i="33"/>
  <c r="E62" i="33"/>
  <c r="E61" i="33"/>
  <c r="E60" i="33"/>
  <c r="E59" i="33"/>
  <c r="E58" i="33"/>
  <c r="E57" i="33"/>
  <c r="E56" i="33"/>
  <c r="E55" i="33"/>
  <c r="E54" i="33"/>
  <c r="E53" i="33"/>
  <c r="E52" i="33"/>
  <c r="E51" i="33"/>
  <c r="E50" i="33"/>
  <c r="E49" i="33"/>
  <c r="E48" i="33"/>
  <c r="E47" i="33"/>
  <c r="E46" i="33"/>
  <c r="E45" i="33"/>
  <c r="E44" i="33"/>
  <c r="E43" i="33"/>
  <c r="E42" i="33"/>
  <c r="E41" i="33"/>
  <c r="E40" i="33"/>
  <c r="E39" i="33"/>
  <c r="E38" i="33"/>
  <c r="E37" i="33"/>
  <c r="E36" i="33"/>
  <c r="E35" i="33"/>
  <c r="E34" i="33"/>
  <c r="E32" i="33"/>
  <c r="E31" i="33"/>
  <c r="E30" i="33"/>
  <c r="E29" i="33"/>
  <c r="E28" i="33"/>
  <c r="E27" i="33"/>
  <c r="E26" i="33"/>
  <c r="E25" i="33"/>
  <c r="E24" i="33"/>
  <c r="E23" i="33"/>
  <c r="E21" i="33"/>
  <c r="E20" i="33"/>
  <c r="E19" i="33"/>
  <c r="E18" i="33"/>
  <c r="E17" i="33"/>
  <c r="E16" i="33"/>
  <c r="E15" i="33"/>
  <c r="E14" i="33"/>
  <c r="E12" i="33"/>
  <c r="E11" i="33"/>
  <c r="E10" i="33"/>
  <c r="E9" i="33"/>
  <c r="E8" i="33"/>
  <c r="E7" i="33"/>
  <c r="E6" i="33"/>
  <c r="E5" i="33"/>
  <c r="E4" i="33"/>
  <c r="E3" i="33"/>
  <c r="E2" i="33"/>
  <c r="O52" i="43"/>
  <c r="P55" i="43"/>
  <c r="N8" i="47" l="1"/>
  <c r="P9" i="47"/>
  <c r="K8" i="47"/>
  <c r="O9" i="47"/>
  <c r="N9" i="47"/>
  <c r="M9" i="47"/>
  <c r="L8" i="47"/>
  <c r="P8" i="47"/>
  <c r="L9" i="47"/>
  <c r="Q9" i="47"/>
  <c r="K9" i="47"/>
  <c r="Q8" i="47"/>
  <c r="O8" i="47"/>
  <c r="M8" i="47"/>
  <c r="I38" i="44"/>
  <c r="P58" i="43"/>
  <c r="M55" i="43"/>
  <c r="K8" i="40"/>
  <c r="K10" i="40" s="1"/>
  <c r="K13" i="40" s="1"/>
  <c r="L11" i="40" s="1"/>
  <c r="K50" i="43"/>
  <c r="H57" i="43"/>
  <c r="O55" i="43"/>
  <c r="S51" i="43"/>
  <c r="N52" i="43"/>
  <c r="L50" i="43"/>
  <c r="K54" i="43"/>
  <c r="J52" i="43"/>
  <c r="J53" i="43"/>
  <c r="P54" i="43"/>
  <c r="R54" i="43"/>
  <c r="L56" i="43"/>
  <c r="J57" i="43"/>
  <c r="N55" i="43"/>
  <c r="K53" i="43"/>
  <c r="O58" i="43"/>
  <c r="I52" i="43"/>
  <c r="M52" i="43"/>
  <c r="Q54" i="43"/>
  <c r="G55" i="43"/>
  <c r="H54" i="43"/>
  <c r="L41" i="43"/>
  <c r="P41" i="43"/>
  <c r="K41" i="43"/>
  <c r="H41" i="43"/>
  <c r="R41" i="43"/>
  <c r="J41" i="43"/>
  <c r="Q41" i="43"/>
  <c r="I41" i="43"/>
  <c r="O41" i="43"/>
  <c r="G41" i="43"/>
  <c r="N41" i="43"/>
  <c r="M41" i="43"/>
  <c r="I50" i="43"/>
  <c r="N58" i="43"/>
  <c r="G54" i="43"/>
  <c r="L49" i="43"/>
  <c r="Q50" i="43"/>
  <c r="I56" i="43"/>
  <c r="R50" i="43"/>
  <c r="J56" i="43"/>
  <c r="K56" i="43"/>
  <c r="L52" i="43"/>
  <c r="P57" i="43"/>
  <c r="I53" i="43"/>
  <c r="M58" i="43"/>
  <c r="R53" i="43"/>
  <c r="K49" i="43"/>
  <c r="O54" i="43"/>
  <c r="H50" i="43"/>
  <c r="L55" i="43"/>
  <c r="O49" i="43"/>
  <c r="Q56" i="43"/>
  <c r="R56" i="43"/>
  <c r="G57" i="43"/>
  <c r="H53" i="43"/>
  <c r="L58" i="43"/>
  <c r="Q53" i="43"/>
  <c r="J49" i="43"/>
  <c r="N54" i="43"/>
  <c r="G50" i="43"/>
  <c r="K55" i="43"/>
  <c r="P50" i="43"/>
  <c r="H56" i="43"/>
  <c r="N49" i="43"/>
  <c r="N57" i="43"/>
  <c r="K52" i="43"/>
  <c r="O57" i="43"/>
  <c r="P53" i="43"/>
  <c r="I49" i="43"/>
  <c r="M54" i="43"/>
  <c r="R49" i="43"/>
  <c r="J55" i="43"/>
  <c r="O50" i="43"/>
  <c r="G56" i="43"/>
  <c r="P56" i="43"/>
  <c r="R57" i="43"/>
  <c r="Q57" i="43"/>
  <c r="M57" i="43"/>
  <c r="T51" i="43"/>
  <c r="Q52" i="43"/>
  <c r="I58" i="43"/>
  <c r="R52" i="43"/>
  <c r="J58" i="43"/>
  <c r="G53" i="43"/>
  <c r="K58" i="43"/>
  <c r="L54" i="43"/>
  <c r="Q49" i="43"/>
  <c r="I55" i="43"/>
  <c r="N50" i="43"/>
  <c r="R55" i="43"/>
  <c r="O56" i="43"/>
  <c r="H52" i="43"/>
  <c r="L57" i="43"/>
  <c r="P40" i="43"/>
  <c r="H40" i="43"/>
  <c r="O40" i="43"/>
  <c r="G40" i="43"/>
  <c r="N40" i="43"/>
  <c r="M40" i="43"/>
  <c r="K40" i="43"/>
  <c r="R40" i="43"/>
  <c r="J40" i="43"/>
  <c r="Q40" i="43"/>
  <c r="I40" i="43"/>
  <c r="L40" i="43"/>
  <c r="P44" i="43"/>
  <c r="H44" i="43"/>
  <c r="L44" i="43"/>
  <c r="O44" i="43"/>
  <c r="G44" i="43"/>
  <c r="N44" i="43"/>
  <c r="M44" i="43"/>
  <c r="K44" i="43"/>
  <c r="R44" i="43"/>
  <c r="J44" i="43"/>
  <c r="Q44" i="43"/>
  <c r="I44" i="43"/>
  <c r="P42" i="43"/>
  <c r="H42" i="43"/>
  <c r="L42" i="43"/>
  <c r="O42" i="43"/>
  <c r="G42" i="43"/>
  <c r="N42" i="43"/>
  <c r="M42" i="43"/>
  <c r="K42" i="43"/>
  <c r="R42" i="43"/>
  <c r="J42" i="43"/>
  <c r="Q42" i="43"/>
  <c r="I42" i="43"/>
  <c r="L43" i="43"/>
  <c r="K43" i="43"/>
  <c r="R43" i="43"/>
  <c r="J43" i="43"/>
  <c r="H43" i="43"/>
  <c r="Q43" i="43"/>
  <c r="I43" i="43"/>
  <c r="O43" i="43"/>
  <c r="G43" i="43"/>
  <c r="N43" i="43"/>
  <c r="M43" i="43"/>
  <c r="P43" i="43"/>
  <c r="M53" i="43"/>
  <c r="Q58" i="43"/>
  <c r="N53" i="43"/>
  <c r="R58" i="43"/>
  <c r="O53" i="43"/>
  <c r="P49" i="43"/>
  <c r="H55" i="43"/>
  <c r="M50" i="43"/>
  <c r="Q55" i="43"/>
  <c r="N56" i="43"/>
  <c r="G52" i="43"/>
  <c r="K57" i="43"/>
  <c r="P52" i="43"/>
  <c r="H58" i="43"/>
  <c r="M49" i="43"/>
  <c r="I57" i="43"/>
  <c r="J50" i="43"/>
  <c r="I54" i="43"/>
  <c r="H49" i="43"/>
  <c r="J54" i="43"/>
  <c r="G49" i="43"/>
  <c r="G58" i="43"/>
  <c r="M16" i="39"/>
  <c r="R36" i="44"/>
  <c r="N38" i="44"/>
  <c r="R12" i="44"/>
  <c r="R20" i="44"/>
  <c r="S14" i="44"/>
  <c r="M38" i="44"/>
  <c r="R24" i="44"/>
  <c r="R13" i="44"/>
  <c r="S12" i="44"/>
  <c r="R17" i="44"/>
  <c r="S22" i="44"/>
  <c r="O34" i="44"/>
  <c r="J34" i="44"/>
  <c r="K34" i="44"/>
  <c r="S18" i="44"/>
  <c r="R33" i="44"/>
  <c r="R37" i="44"/>
  <c r="S24" i="44"/>
  <c r="R9" i="44"/>
  <c r="S20" i="44"/>
  <c r="R18" i="44"/>
  <c r="R29" i="44"/>
  <c r="S36" i="44"/>
  <c r="S33" i="44"/>
  <c r="R22" i="44"/>
  <c r="S28" i="44"/>
  <c r="S17" i="44"/>
  <c r="S37" i="44"/>
  <c r="F38" i="44"/>
  <c r="S32" i="44"/>
  <c r="S27" i="44"/>
  <c r="R16" i="44"/>
  <c r="S11" i="44"/>
  <c r="L38" i="44"/>
  <c r="G38" i="44"/>
  <c r="H38" i="44"/>
  <c r="R31" i="44"/>
  <c r="S26" i="44"/>
  <c r="S15" i="44"/>
  <c r="R10" i="44"/>
  <c r="L34" i="44"/>
  <c r="O38" i="44"/>
  <c r="P38" i="44"/>
  <c r="J38" i="44"/>
  <c r="K38" i="44"/>
  <c r="Q38" i="44"/>
  <c r="R28" i="44"/>
  <c r="R23" i="44"/>
  <c r="H34" i="44"/>
  <c r="P34" i="44"/>
  <c r="S16" i="44"/>
  <c r="I34" i="44"/>
  <c r="R25" i="44"/>
  <c r="N34" i="44"/>
  <c r="R27" i="44"/>
  <c r="M34" i="44"/>
  <c r="R30" i="44"/>
  <c r="S25" i="44"/>
  <c r="R14" i="44"/>
  <c r="R19" i="44"/>
  <c r="S19" i="44"/>
  <c r="S13" i="44"/>
  <c r="S21" i="44"/>
  <c r="R11" i="44"/>
  <c r="R21" i="44"/>
  <c r="Q34" i="44"/>
  <c r="R15" i="44"/>
  <c r="R26" i="44"/>
  <c r="S31" i="44"/>
  <c r="S10" i="44"/>
  <c r="S29" i="44"/>
  <c r="S23" i="44"/>
  <c r="R32" i="44"/>
  <c r="S30" i="44"/>
  <c r="S9" i="44"/>
  <c r="S12" i="43"/>
  <c r="T14" i="43"/>
  <c r="T25" i="43"/>
  <c r="T15" i="43"/>
  <c r="S22" i="43"/>
  <c r="S17" i="43"/>
  <c r="T12" i="43"/>
  <c r="S15" i="43"/>
  <c r="S14" i="43"/>
  <c r="T24" i="43"/>
  <c r="T16" i="43"/>
  <c r="S21" i="43"/>
  <c r="T23" i="43"/>
  <c r="S25" i="43"/>
  <c r="T11" i="43"/>
  <c r="T17" i="43"/>
  <c r="T22" i="43"/>
  <c r="S13" i="43"/>
  <c r="S23" i="43"/>
  <c r="S11" i="43"/>
  <c r="S16" i="43"/>
  <c r="T21" i="43"/>
  <c r="S24" i="43"/>
  <c r="T13" i="43"/>
  <c r="S10" i="43"/>
  <c r="T10" i="43"/>
  <c r="R8" i="44"/>
  <c r="S8" i="44"/>
  <c r="T8" i="43"/>
  <c r="S8" i="43"/>
  <c r="G34" i="44"/>
  <c r="F34" i="44"/>
  <c r="S8" i="47" l="1"/>
  <c r="R8" i="47"/>
  <c r="K12" i="47"/>
  <c r="R9" i="47"/>
  <c r="S9" i="47"/>
  <c r="S55" i="43"/>
  <c r="M59" i="43"/>
  <c r="L46" i="43"/>
  <c r="H59" i="43"/>
  <c r="O59" i="43"/>
  <c r="O46" i="43"/>
  <c r="S56" i="43"/>
  <c r="T56" i="43"/>
  <c r="I46" i="43"/>
  <c r="Q46" i="43"/>
  <c r="H46" i="43"/>
  <c r="Q59" i="43"/>
  <c r="N59" i="43"/>
  <c r="J59" i="43"/>
  <c r="S52" i="43"/>
  <c r="T52" i="43"/>
  <c r="S44" i="43"/>
  <c r="T44" i="43"/>
  <c r="J46" i="43"/>
  <c r="P46" i="43"/>
  <c r="R59" i="43"/>
  <c r="S54" i="43"/>
  <c r="T54" i="43"/>
  <c r="R46" i="43"/>
  <c r="T57" i="43"/>
  <c r="S57" i="43"/>
  <c r="K59" i="43"/>
  <c r="K46" i="43"/>
  <c r="S53" i="43"/>
  <c r="T53" i="43"/>
  <c r="I59" i="43"/>
  <c r="T41" i="43"/>
  <c r="S41" i="43"/>
  <c r="T58" i="43"/>
  <c r="S58" i="43"/>
  <c r="P59" i="43"/>
  <c r="M46" i="43"/>
  <c r="T50" i="43"/>
  <c r="S50" i="43"/>
  <c r="S40" i="43"/>
  <c r="G46" i="43"/>
  <c r="T40" i="43"/>
  <c r="T49" i="43"/>
  <c r="G59" i="43"/>
  <c r="S49" i="43"/>
  <c r="T43" i="43"/>
  <c r="S43" i="43"/>
  <c r="T42" i="43"/>
  <c r="S42" i="43"/>
  <c r="N46" i="43"/>
  <c r="T55" i="43"/>
  <c r="L59" i="43"/>
  <c r="R38" i="44"/>
  <c r="S38" i="44"/>
  <c r="R34" i="44"/>
  <c r="S34" i="44"/>
  <c r="Q16" i="40"/>
  <c r="Q18" i="40" s="1"/>
  <c r="Q22" i="40" s="1"/>
  <c r="P16" i="40"/>
  <c r="P18" i="40" s="1"/>
  <c r="P22" i="40" s="1"/>
  <c r="O16" i="40"/>
  <c r="O18" i="40" s="1"/>
  <c r="N16" i="40"/>
  <c r="N18" i="40" s="1"/>
  <c r="N20" i="40" s="1"/>
  <c r="M16" i="40"/>
  <c r="M18" i="40" s="1"/>
  <c r="M20" i="40" s="1"/>
  <c r="L16" i="40"/>
  <c r="L18" i="40" s="1"/>
  <c r="L20" i="40" s="1"/>
  <c r="K16" i="40"/>
  <c r="K18" i="40" s="1"/>
  <c r="Q8" i="40"/>
  <c r="P8" i="40"/>
  <c r="O8" i="40"/>
  <c r="N8" i="40"/>
  <c r="N10" i="40" s="1"/>
  <c r="M8" i="40"/>
  <c r="M10" i="40" s="1"/>
  <c r="L8" i="40"/>
  <c r="Q19" i="39"/>
  <c r="P19" i="39"/>
  <c r="O19" i="39"/>
  <c r="N19" i="39"/>
  <c r="M19" i="39"/>
  <c r="L19" i="39"/>
  <c r="K19" i="39"/>
  <c r="Q18" i="39"/>
  <c r="Q11" i="47" s="1"/>
  <c r="Q12" i="47" s="1"/>
  <c r="Q15" i="47" s="1"/>
  <c r="P18" i="39"/>
  <c r="P11" i="47" s="1"/>
  <c r="P12" i="47" s="1"/>
  <c r="P15" i="47" s="1"/>
  <c r="O18" i="39"/>
  <c r="O11" i="47" s="1"/>
  <c r="N18" i="39"/>
  <c r="N11" i="47" s="1"/>
  <c r="M18" i="39"/>
  <c r="M11" i="47" s="1"/>
  <c r="M12" i="47" s="1"/>
  <c r="M15" i="47" s="1"/>
  <c r="M20" i="47" s="1"/>
  <c r="L18" i="39"/>
  <c r="L11" i="47" s="1"/>
  <c r="L12" i="47" s="1"/>
  <c r="L15" i="47" s="1"/>
  <c r="Q17" i="39"/>
  <c r="Q10" i="47" s="1"/>
  <c r="Q17" i="47" s="1"/>
  <c r="Q19" i="47" s="1"/>
  <c r="P17" i="39"/>
  <c r="P10" i="47" s="1"/>
  <c r="P17" i="47" s="1"/>
  <c r="P19" i="47" s="1"/>
  <c r="O17" i="39"/>
  <c r="O10" i="47" s="1"/>
  <c r="O17" i="47" s="1"/>
  <c r="O19" i="47" s="1"/>
  <c r="L17" i="39"/>
  <c r="L10" i="47" s="1"/>
  <c r="L17" i="47" s="1"/>
  <c r="L19" i="47" s="1"/>
  <c r="K17" i="39"/>
  <c r="K10" i="47" s="1"/>
  <c r="S19" i="40"/>
  <c r="R19" i="40"/>
  <c r="J18" i="40"/>
  <c r="J20" i="40" s="1"/>
  <c r="I18" i="40"/>
  <c r="I20" i="40" s="1"/>
  <c r="H18" i="40"/>
  <c r="H20" i="40" s="1"/>
  <c r="G18" i="40"/>
  <c r="G20" i="40" s="1"/>
  <c r="F18" i="40"/>
  <c r="F20" i="40" s="1"/>
  <c r="S17" i="40"/>
  <c r="R17" i="40"/>
  <c r="S12" i="40"/>
  <c r="R12" i="40"/>
  <c r="I10" i="40"/>
  <c r="I13" i="40" s="1"/>
  <c r="H10" i="40"/>
  <c r="H13" i="40" s="1"/>
  <c r="G10" i="40"/>
  <c r="G13" i="40" s="1"/>
  <c r="F10" i="40"/>
  <c r="D10" i="40"/>
  <c r="R5" i="40"/>
  <c r="J20" i="39"/>
  <c r="I20" i="39"/>
  <c r="H20" i="39"/>
  <c r="G20" i="39"/>
  <c r="F20" i="39"/>
  <c r="J16" i="39"/>
  <c r="I16" i="39"/>
  <c r="H16" i="39"/>
  <c r="G16" i="39"/>
  <c r="F16" i="39"/>
  <c r="R5" i="39"/>
  <c r="R429" i="33"/>
  <c r="O429" i="33"/>
  <c r="O12" i="47" l="1"/>
  <c r="O15" i="47" s="1"/>
  <c r="O20" i="47" s="1"/>
  <c r="N12" i="47"/>
  <c r="N22" i="40"/>
  <c r="M22" i="40"/>
  <c r="Q20" i="47"/>
  <c r="N20" i="39"/>
  <c r="L20" i="47"/>
  <c r="K17" i="47"/>
  <c r="S10" i="47"/>
  <c r="R10" i="47"/>
  <c r="P20" i="47"/>
  <c r="K15" i="47"/>
  <c r="L61" i="43"/>
  <c r="L47" i="43" s="1"/>
  <c r="L60" i="43" s="1"/>
  <c r="M61" i="43"/>
  <c r="M47" i="43" s="1"/>
  <c r="M60" i="43" s="1"/>
  <c r="R61" i="43"/>
  <c r="R60" i="43" s="1"/>
  <c r="H61" i="43"/>
  <c r="H47" i="43" s="1"/>
  <c r="T59" i="43"/>
  <c r="N61" i="43"/>
  <c r="P61" i="43"/>
  <c r="J61" i="43"/>
  <c r="I61" i="43"/>
  <c r="I47" i="43" s="1"/>
  <c r="O61" i="43"/>
  <c r="K61" i="43"/>
  <c r="S59" i="43"/>
  <c r="Q61" i="43"/>
  <c r="Q60" i="43" s="1"/>
  <c r="H15" i="40"/>
  <c r="P20" i="39"/>
  <c r="O20" i="39"/>
  <c r="Q20" i="39"/>
  <c r="R17" i="39"/>
  <c r="R18" i="40"/>
  <c r="L20" i="39"/>
  <c r="M20" i="39"/>
  <c r="S17" i="39"/>
  <c r="I22" i="40"/>
  <c r="I15" i="40"/>
  <c r="J15" i="40"/>
  <c r="G22" i="40"/>
  <c r="J22" i="40"/>
  <c r="R19" i="39"/>
  <c r="O20" i="40"/>
  <c r="F13" i="40"/>
  <c r="S8" i="40"/>
  <c r="R8" i="40"/>
  <c r="S16" i="40"/>
  <c r="R16" i="40"/>
  <c r="S19" i="39"/>
  <c r="P20" i="40"/>
  <c r="H22" i="40"/>
  <c r="S18" i="40"/>
  <c r="K20" i="40"/>
  <c r="K22" i="40" s="1"/>
  <c r="R18" i="39"/>
  <c r="S18" i="39"/>
  <c r="Q20" i="40"/>
  <c r="R12" i="47" l="1"/>
  <c r="N15" i="47"/>
  <c r="N20" i="47" s="1"/>
  <c r="S12" i="47"/>
  <c r="K19" i="47"/>
  <c r="K20" i="47" s="1"/>
  <c r="S17" i="47"/>
  <c r="R17" i="47"/>
  <c r="R47" i="43"/>
  <c r="R18" i="43" s="1"/>
  <c r="H60" i="43"/>
  <c r="H26" i="43" s="1"/>
  <c r="R26" i="43"/>
  <c r="R27" i="43"/>
  <c r="M27" i="43"/>
  <c r="M26" i="43"/>
  <c r="O47" i="43"/>
  <c r="O60" i="43" s="1"/>
  <c r="P60" i="43"/>
  <c r="P47" i="43"/>
  <c r="I60" i="43"/>
  <c r="I19" i="43"/>
  <c r="I18" i="43"/>
  <c r="L27" i="43"/>
  <c r="L26" i="43"/>
  <c r="K47" i="43"/>
  <c r="K60" i="43"/>
  <c r="Q47" i="43"/>
  <c r="L18" i="43"/>
  <c r="L19" i="43"/>
  <c r="Q26" i="43"/>
  <c r="Q27" i="43"/>
  <c r="M19" i="43"/>
  <c r="M18" i="43"/>
  <c r="N47" i="43"/>
  <c r="J47" i="43"/>
  <c r="J60" i="43"/>
  <c r="H18" i="43"/>
  <c r="H19" i="43"/>
  <c r="L22" i="40"/>
  <c r="G15" i="40"/>
  <c r="R20" i="40"/>
  <c r="S20" i="40"/>
  <c r="S15" i="47" l="1"/>
  <c r="H27" i="43"/>
  <c r="H29" i="43" s="1"/>
  <c r="R20" i="47"/>
  <c r="S20" i="47"/>
  <c r="R19" i="47"/>
  <c r="S19" i="47"/>
  <c r="O27" i="43"/>
  <c r="O26" i="43"/>
  <c r="M29" i="43"/>
  <c r="R19" i="43"/>
  <c r="R29" i="43" s="1"/>
  <c r="L29" i="43"/>
  <c r="I27" i="43"/>
  <c r="I26" i="43"/>
  <c r="K27" i="43"/>
  <c r="K26" i="43"/>
  <c r="J27" i="43"/>
  <c r="J26" i="43"/>
  <c r="K19" i="43"/>
  <c r="K18" i="43"/>
  <c r="P19" i="43"/>
  <c r="P18" i="43"/>
  <c r="J19" i="43"/>
  <c r="J18" i="43"/>
  <c r="P26" i="43"/>
  <c r="P27" i="43"/>
  <c r="N19" i="43"/>
  <c r="N18" i="43"/>
  <c r="Q19" i="43"/>
  <c r="Q18" i="43"/>
  <c r="O18" i="43"/>
  <c r="O19" i="43"/>
  <c r="N60" i="43"/>
  <c r="Q429" i="33"/>
  <c r="I29" i="43" l="1"/>
  <c r="O29" i="43"/>
  <c r="Q29" i="43"/>
  <c r="N26" i="43"/>
  <c r="N27" i="43"/>
  <c r="J29" i="43"/>
  <c r="P29" i="43"/>
  <c r="K29" i="43"/>
  <c r="Q10" i="40"/>
  <c r="O10" i="40"/>
  <c r="M13" i="40"/>
  <c r="L10" i="40"/>
  <c r="L13" i="40" s="1"/>
  <c r="P10" i="40"/>
  <c r="P429" i="33"/>
  <c r="M15" i="40" l="1"/>
  <c r="N29" i="43"/>
  <c r="Q16" i="39"/>
  <c r="R11" i="39"/>
  <c r="S11" i="39"/>
  <c r="S9" i="39"/>
  <c r="R9" i="39"/>
  <c r="O13" i="40"/>
  <c r="O15" i="40"/>
  <c r="P16" i="39"/>
  <c r="S13" i="39"/>
  <c r="R13" i="39"/>
  <c r="S12" i="39"/>
  <c r="R12" i="39"/>
  <c r="Q13" i="40"/>
  <c r="Q15" i="40"/>
  <c r="N13" i="40"/>
  <c r="N15" i="40" s="1"/>
  <c r="R9" i="40"/>
  <c r="S9" i="40"/>
  <c r="K16" i="39"/>
  <c r="R15" i="39"/>
  <c r="S15" i="39"/>
  <c r="S8" i="39"/>
  <c r="R8" i="39"/>
  <c r="P13" i="40"/>
  <c r="P15" i="40"/>
  <c r="L16" i="39"/>
  <c r="S10" i="40" l="1"/>
  <c r="R10" i="40"/>
  <c r="I430" i="33"/>
  <c r="K15" i="40" l="1"/>
  <c r="S11" i="40" l="1"/>
  <c r="R11" i="40"/>
  <c r="L15" i="40" l="1"/>
  <c r="R13" i="40"/>
  <c r="S13" i="40"/>
  <c r="S37" i="43" l="1"/>
  <c r="S46" i="43" s="1"/>
  <c r="T37" i="43"/>
  <c r="T46" i="43" s="1"/>
  <c r="T61" i="43" l="1"/>
  <c r="S61" i="43"/>
  <c r="S47" i="43" l="1"/>
  <c r="S60" i="43" s="1"/>
  <c r="T47" i="43"/>
  <c r="T60" i="43" s="1"/>
  <c r="T27" i="43" l="1"/>
  <c r="T26" i="43"/>
  <c r="S26" i="43"/>
  <c r="S27" i="43"/>
  <c r="S19" i="43"/>
  <c r="S18" i="43"/>
  <c r="T18" i="43"/>
  <c r="T19" i="43"/>
  <c r="S29" i="43" l="1"/>
  <c r="T29" i="43"/>
  <c r="G61" i="43" l="1"/>
  <c r="G60" i="43" s="1"/>
  <c r="G27" i="43" l="1"/>
  <c r="G26" i="43"/>
  <c r="G47" i="43"/>
  <c r="G19" i="43" l="1"/>
  <c r="G18" i="43"/>
  <c r="G29" i="4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6B7E66C-46B9-424E-8FDF-E7945DD61895}" keepAlive="1" name="Consulta - DATA" description="Conexión a la consulta 'DATA' en el libro." type="5" refreshedVersion="0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<sst xmlns="http://schemas.openxmlformats.org/spreadsheetml/2006/main" count="44087" uniqueCount="9951">
  <si>
    <t>FORMATO ADMINISTRATIVO DE GESTION</t>
  </si>
  <si>
    <t>COD: S/N</t>
  </si>
  <si>
    <t>DETERMINACION DE IMPUESTOS - PDT 621 (INGRESOS Y GASTOS)</t>
  </si>
  <si>
    <t>VERSIÓN:01</t>
  </si>
  <si>
    <t>AREÁ: Contabilidad</t>
  </si>
  <si>
    <t>CONTABILIDAD</t>
  </si>
  <si>
    <t>N°</t>
  </si>
  <si>
    <t>CONCEPTO</t>
  </si>
  <si>
    <t>DESCRIPCIÓN</t>
  </si>
  <si>
    <t>MEDIDA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</si>
  <si>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</si>
  <si>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</si>
  <si>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</si>
  <si>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</si>
  <si>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</si>
  <si>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</si>
  <si>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</si>
  <si>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</si>
  <si>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SETIEMBRE</t>
  </si>
  <si>
    <t>OCTUBRE</t>
  </si>
  <si>
    <t>NOVIEMBRE</t>
  </si>
  <si>
    <t>DICIEMBRE</t>
  </si>
  <si>
    <t>TOTAL</t>
  </si>
  <si>
    <t>PROMEDIO</t>
  </si>
  <si>
    <t>COMPRAS</t>
  </si>
  <si>
    <t>Base Imponible</t>
  </si>
  <si>
    <t>S/</t>
  </si>
  <si>
    <t>IGV 18%</t>
  </si>
  <si>
    <t>VENTAS</t>
  </si>
  <si>
    <t xml:space="preserve">IGV </t>
  </si>
  <si>
    <t>Diferencia de IGV</t>
  </si>
  <si>
    <t xml:space="preserve">Saldo de IGV </t>
  </si>
  <si>
    <t>(-) Retenciones</t>
  </si>
  <si>
    <t xml:space="preserve"> IGV a Pagar</t>
  </si>
  <si>
    <t>RENTA</t>
  </si>
  <si>
    <t>Coeficiente</t>
  </si>
  <si>
    <t>%</t>
  </si>
  <si>
    <t>Bruta</t>
  </si>
  <si>
    <t>Saldo de Renta</t>
  </si>
  <si>
    <t>Renta a Pagar</t>
  </si>
  <si>
    <t>U. TRIBUTARIA</t>
  </si>
  <si>
    <t>DESPUES DE IMPUESTOS</t>
  </si>
  <si>
    <t>INDICADOR</t>
  </si>
  <si>
    <t>FORMULA</t>
  </si>
  <si>
    <t>IGV</t>
  </si>
  <si>
    <t>IGV de las ventas</t>
  </si>
  <si>
    <t>Numero</t>
  </si>
  <si>
    <t>IGV de las compras</t>
  </si>
  <si>
    <t>(-) Saldo a Favor del Periodo Anterior</t>
  </si>
  <si>
    <t>(-) Reteciones del Periodo</t>
  </si>
  <si>
    <t>IGV por Pagar</t>
  </si>
  <si>
    <t>Método de pago</t>
  </si>
  <si>
    <t>Letra</t>
  </si>
  <si>
    <t xml:space="preserve"> Pagado con B.Nación</t>
  </si>
  <si>
    <t xml:space="preserve"> Pagado con B.Nación/BCP</t>
  </si>
  <si>
    <t>Crédito a favor</t>
  </si>
  <si>
    <t>IGV justo</t>
  </si>
  <si>
    <t>Indicador</t>
  </si>
  <si>
    <t>Ingresos Netos</t>
  </si>
  <si>
    <t>Factor</t>
  </si>
  <si>
    <t>Renta Bruta</t>
  </si>
  <si>
    <t>Renta Por Pagar</t>
  </si>
  <si>
    <t>RESUMEN COMPRAS Y VENTAS 2025</t>
  </si>
  <si>
    <t>Base Imponible (18%)</t>
  </si>
  <si>
    <t>Moneda</t>
  </si>
  <si>
    <t>Base Imponible (10%)</t>
  </si>
  <si>
    <t>Base Imponible NC (18%)</t>
  </si>
  <si>
    <t xml:space="preserve"> </t>
  </si>
  <si>
    <t>Compras No gravadas</t>
  </si>
  <si>
    <t>IGV de las compras (18%)</t>
  </si>
  <si>
    <t>IGV de las compras (10%)</t>
  </si>
  <si>
    <t>IGV de las compras NC (18%)</t>
  </si>
  <si>
    <t>Total Compras</t>
  </si>
  <si>
    <t>Total Ventas</t>
  </si>
  <si>
    <t>INDICADORES DE GESTION - GASTOS OPERATIVOS</t>
  </si>
  <si>
    <t>AREÁ: Gerencia</t>
  </si>
  <si>
    <t>KPI</t>
  </si>
  <si>
    <t>DETALLE</t>
  </si>
  <si>
    <r>
      <t xml:space="preserve">I.3.1
</t>
    </r>
    <r>
      <rPr>
        <b/>
        <sz val="8"/>
        <color rgb="FF7030A0"/>
        <rFont val="Arial Nova"/>
        <family val="2"/>
      </rPr>
      <t>(Det. Anexo 4)</t>
    </r>
  </si>
  <si>
    <t>COMPRA DE RESIDUOS</t>
  </si>
  <si>
    <t>Materias Primas - RRSS</t>
  </si>
  <si>
    <t>GASTOS OPERATIVOS</t>
  </si>
  <si>
    <t>GASTOS INCURRIDOS PARA LA VENTA DE RESIDUOS</t>
  </si>
  <si>
    <t>Transporte de Carga  - Ventas</t>
  </si>
  <si>
    <t>Transporte peajes - Ventas</t>
  </si>
  <si>
    <t>Balanza - Ventas</t>
  </si>
  <si>
    <t>Montacarga - Ventas</t>
  </si>
  <si>
    <t>Maquinaria Pesada - Ventas</t>
  </si>
  <si>
    <t>Disposición Final de RR.SS - Peligrosos</t>
  </si>
  <si>
    <t>Disposición Final de RR.SS - No Aprovechables</t>
  </si>
  <si>
    <t>Disposición Final de RR.SS - SS</t>
  </si>
  <si>
    <t>Gastos Variables</t>
  </si>
  <si>
    <t>Gastos Operativos Fijos</t>
  </si>
  <si>
    <t>GASTOS INCURRIDOS PARA LOS SERVICIOS DE TRANSPORTE Y DISPOSICIÓN</t>
  </si>
  <si>
    <t>Transporte de Carga - Servicios</t>
  </si>
  <si>
    <t>Transporte peajes - Servicios</t>
  </si>
  <si>
    <t>Balanza - Servicios</t>
  </si>
  <si>
    <t>Montacarga - Servicios</t>
  </si>
  <si>
    <t>Maquinaria Pesada - Servicios</t>
  </si>
  <si>
    <t>INDICADORES DE GESTION - VENTAS</t>
  </si>
  <si>
    <r>
      <t xml:space="preserve">I.3.2
</t>
    </r>
    <r>
      <rPr>
        <b/>
        <sz val="8"/>
        <color rgb="FF7030A0"/>
        <rFont val="Arial Nova"/>
        <family val="2"/>
      </rPr>
      <t>(Det. Anexo 5)</t>
    </r>
  </si>
  <si>
    <t>RESIDUOS FACTURADOS</t>
  </si>
  <si>
    <t>E001</t>
  </si>
  <si>
    <t>FE02</t>
  </si>
  <si>
    <t>FE05</t>
  </si>
  <si>
    <t>FF02</t>
  </si>
  <si>
    <t>FF04</t>
  </si>
  <si>
    <t>FF05</t>
  </si>
  <si>
    <t>FF07</t>
  </si>
  <si>
    <t>FFN5</t>
  </si>
  <si>
    <t>Descuentos y Rebajas</t>
  </si>
  <si>
    <t>TOTAL RESIDUOS FACTURADOS</t>
  </si>
  <si>
    <t>% SOBRE LA VENTA TOTAL</t>
  </si>
  <si>
    <t>SERVICIOS FACTURADOS</t>
  </si>
  <si>
    <t>Residuos Peligrosos</t>
  </si>
  <si>
    <t>Residuos No Peligrosos</t>
  </si>
  <si>
    <t>Residuos Biocontaminados</t>
  </si>
  <si>
    <t>RAEE</t>
  </si>
  <si>
    <t>RCD</t>
  </si>
  <si>
    <t>Limpieza de Caja Trampa</t>
  </si>
  <si>
    <t>Limpieza de Biodigestores</t>
  </si>
  <si>
    <t>Destrucción de merma y desmedro</t>
  </si>
  <si>
    <t>Transporte de Carga - Local</t>
  </si>
  <si>
    <t>Transporte de Carga - Nacional</t>
  </si>
  <si>
    <t>TOTAL SERVICIOS FACTURADOS</t>
  </si>
  <si>
    <t>INDICADORES DE GESTION - GASTOS VARIABLES Y GASTOS OPERATIVOS FIJOS</t>
  </si>
  <si>
    <t>GASTOS VARIABLES</t>
  </si>
  <si>
    <t>Transporte de Personal</t>
  </si>
  <si>
    <t>Transporte de Personal (Viajes)</t>
  </si>
  <si>
    <t>Transporte parqueo (Cochera)</t>
  </si>
  <si>
    <t>Transporte lavado (Higienización)</t>
  </si>
  <si>
    <t>Encomienda (Envío de documentación)</t>
  </si>
  <si>
    <t>Alojamiento (Operativo)</t>
  </si>
  <si>
    <t>Alimentacion (Operativo)</t>
  </si>
  <si>
    <t>GPS</t>
  </si>
  <si>
    <t>Fabricación de Contenedores</t>
  </si>
  <si>
    <t>Revisión Técnica Vehicular</t>
  </si>
  <si>
    <t>Mantenimiento Vehicular (Correctivo)</t>
  </si>
  <si>
    <t>Mantenimiento Vehicular (Preventivo)</t>
  </si>
  <si>
    <t>Accesorios Vehiculares</t>
  </si>
  <si>
    <t>Mantenimiento Correctivo (Montacarga)</t>
  </si>
  <si>
    <t>Mantenimiento Preventivo (Montacarga)</t>
  </si>
  <si>
    <t>Impresión de manifiestos</t>
  </si>
  <si>
    <t>Mantenimiento de Motobombas</t>
  </si>
  <si>
    <t>Stockas</t>
  </si>
  <si>
    <t>Mantenimiento de Balanzas</t>
  </si>
  <si>
    <t>Apoyo operativo (Maquinaria)</t>
  </si>
  <si>
    <t>Impresión de fichas de servicio / Check List</t>
  </si>
  <si>
    <t>Impresión de formatos</t>
  </si>
  <si>
    <t>Combustible (Vehiculos)</t>
  </si>
  <si>
    <t>Combustible (Montacarga)</t>
  </si>
  <si>
    <t>Gastos de Ferreteria</t>
  </si>
  <si>
    <t>Otros Gastos de Gestion</t>
  </si>
  <si>
    <t>TOTAL GASTOS VARIABLES</t>
  </si>
  <si>
    <t>Vigilancia Médica</t>
  </si>
  <si>
    <t>Ingreso</t>
  </si>
  <si>
    <t>TOTAL GASTOS OPERATIVOS FIJOS</t>
  </si>
  <si>
    <t>ÁREA: Contabilidad</t>
  </si>
  <si>
    <t>PERIODO</t>
  </si>
  <si>
    <t>CUENTA</t>
  </si>
  <si>
    <t>DESCRIPCION</t>
  </si>
  <si>
    <t>01/06/2025</t>
  </si>
  <si>
    <t>001</t>
  </si>
  <si>
    <t>06_000001</t>
  </si>
  <si>
    <t>94.01</t>
  </si>
  <si>
    <t>Administracion</t>
  </si>
  <si>
    <t>Vigilancia (Cámaras de Seguridad)</t>
  </si>
  <si>
    <t>20549068201</t>
  </si>
  <si>
    <t>VERISURE PERU S.A.C.</t>
  </si>
  <si>
    <t>01</t>
  </si>
  <si>
    <t>FE26</t>
  </si>
  <si>
    <t/>
  </si>
  <si>
    <t>63.6.9.1</t>
  </si>
  <si>
    <t>02/06/2025</t>
  </si>
  <si>
    <t>06_000002</t>
  </si>
  <si>
    <t>91.06.02.01</t>
  </si>
  <si>
    <t>V9R_903</t>
  </si>
  <si>
    <t>Balanza 24414</t>
  </si>
  <si>
    <t>20124952850</t>
  </si>
  <si>
    <t>ALIMENTOS Y SERVICIOS AGROPECUARIOS SRL.</t>
  </si>
  <si>
    <t>F002</t>
  </si>
  <si>
    <t>24414</t>
  </si>
  <si>
    <t>63.1.1.7.02</t>
  </si>
  <si>
    <t>06_000003</t>
  </si>
  <si>
    <t>Balanza 24416</t>
  </si>
  <si>
    <t>24416</t>
  </si>
  <si>
    <t>06_000004</t>
  </si>
  <si>
    <t>Balanza 24415</t>
  </si>
  <si>
    <t>24415</t>
  </si>
  <si>
    <t>06_000005</t>
  </si>
  <si>
    <t>94.03</t>
  </si>
  <si>
    <t>Logistica</t>
  </si>
  <si>
    <t>Envío de documentación / paquetería</t>
  </si>
  <si>
    <t>20512528458</t>
  </si>
  <si>
    <t>SHALOM EMPRESARIAL S.A.C.</t>
  </si>
  <si>
    <t>F207</t>
  </si>
  <si>
    <t>63.1.2.1.01</t>
  </si>
  <si>
    <t>06_000006</t>
  </si>
  <si>
    <t>95.01</t>
  </si>
  <si>
    <t>Comercial</t>
  </si>
  <si>
    <t>Merchandising promocional RQ.COM.325</t>
  </si>
  <si>
    <t>20454726473</t>
  </si>
  <si>
    <t>PUBLICIDAD DIGITAL PERU E.I.R.L. - PD PERU E.I.R.L.</t>
  </si>
  <si>
    <t>63.7.1.2</t>
  </si>
  <si>
    <t>06_000009</t>
  </si>
  <si>
    <t>Internet _ villa esperanza _ Junio</t>
  </si>
  <si>
    <t>20608587803</t>
  </si>
  <si>
    <t>FF AQP E.I.R.L.</t>
  </si>
  <si>
    <t>FFF1</t>
  </si>
  <si>
    <t>63.6.5.1</t>
  </si>
  <si>
    <t>03/06/2025</t>
  </si>
  <si>
    <t>06_000010</t>
  </si>
  <si>
    <t>Internet _ junio</t>
  </si>
  <si>
    <t>20609368773</t>
  </si>
  <si>
    <t>FIXER TELECOMUNICACIONES SOCIEDAD ANONIMA CERRADA</t>
  </si>
  <si>
    <t>04/06/2025</t>
  </si>
  <si>
    <t>06_000011</t>
  </si>
  <si>
    <t>91.06.02.03</t>
  </si>
  <si>
    <t>BKL_739</t>
  </si>
  <si>
    <t>Mantenimiento Vehicular (Preventivo) RQ.OPE.1183 _ OS 006 _ 138</t>
  </si>
  <si>
    <t>20602441165</t>
  </si>
  <si>
    <t>VOLVO ENGINE AQP E.I.R.L.</t>
  </si>
  <si>
    <t>F001</t>
  </si>
  <si>
    <t>63.4.3.2.02</t>
  </si>
  <si>
    <t>06_000012</t>
  </si>
  <si>
    <t>06_000013</t>
  </si>
  <si>
    <t>Revisión Técnica Vehicular RQ.OPE.1190 _ OS 006 _ 137</t>
  </si>
  <si>
    <t>20602484425</t>
  </si>
  <si>
    <t>CENTRO DE INSPECCIONES TECNICAS DEL SUR S.A.C.</t>
  </si>
  <si>
    <t>63.4.3.1.01</t>
  </si>
  <si>
    <t>06_000014</t>
  </si>
  <si>
    <t>20558275082</t>
  </si>
  <si>
    <t>GRUPO LAMH S.R.L.</t>
  </si>
  <si>
    <t>4302</t>
  </si>
  <si>
    <t>06_000015</t>
  </si>
  <si>
    <t>91.06.02.07</t>
  </si>
  <si>
    <t>VDJ_872</t>
  </si>
  <si>
    <t>10297014752</t>
  </si>
  <si>
    <t>SACA CHALLCO RENEE</t>
  </si>
  <si>
    <t>03</t>
  </si>
  <si>
    <t>002</t>
  </si>
  <si>
    <t>63.4.3.2.01</t>
  </si>
  <si>
    <t>06_000016</t>
  </si>
  <si>
    <t>Matenimiento de Contenedores RQ.COM.323</t>
  </si>
  <si>
    <t>10400177851</t>
  </si>
  <si>
    <t>KCANA ALVAREZ MARIA TERESA</t>
  </si>
  <si>
    <t>63.4.1.1.02</t>
  </si>
  <si>
    <t>06_000017</t>
  </si>
  <si>
    <t>91.05.01</t>
  </si>
  <si>
    <t>Residuos Aprovechables</t>
  </si>
  <si>
    <t>RR SS OC 144</t>
  </si>
  <si>
    <t>20412524218</t>
  </si>
  <si>
    <t>D.C.R. MINERIA Y CONSTRUCCION S.A.C.</t>
  </si>
  <si>
    <t>F601</t>
  </si>
  <si>
    <t>272209065</t>
  </si>
  <si>
    <t>6/06/2025</t>
  </si>
  <si>
    <t>60.2.1.1</t>
  </si>
  <si>
    <t>06_000018</t>
  </si>
  <si>
    <t>20100210909</t>
  </si>
  <si>
    <t>LA POSITIVA SEGUROS Y REASEGUROS S.A.A.</t>
  </si>
  <si>
    <t>F040</t>
  </si>
  <si>
    <t>456467</t>
  </si>
  <si>
    <t>06_000019</t>
  </si>
  <si>
    <t>Peaje 24437</t>
  </si>
  <si>
    <t>20517252558</t>
  </si>
  <si>
    <t>CONCESIONARIA VIAL DEL SUR S.A.- COVISUR S.A.</t>
  </si>
  <si>
    <t>F112</t>
  </si>
  <si>
    <t>24437</t>
  </si>
  <si>
    <t>63.1.1.3.03</t>
  </si>
  <si>
    <t>06_000020</t>
  </si>
  <si>
    <t>Peaje 24436</t>
  </si>
  <si>
    <t>F212</t>
  </si>
  <si>
    <t>24436</t>
  </si>
  <si>
    <t>06_000021</t>
  </si>
  <si>
    <t>Peaje 24439</t>
  </si>
  <si>
    <t>F111</t>
  </si>
  <si>
    <t>24439</t>
  </si>
  <si>
    <t>06_000022</t>
  </si>
  <si>
    <t>Peaje 24438</t>
  </si>
  <si>
    <t>F114</t>
  </si>
  <si>
    <t>24438</t>
  </si>
  <si>
    <t>06_000023</t>
  </si>
  <si>
    <t>Peaje 24440</t>
  </si>
  <si>
    <t>24440</t>
  </si>
  <si>
    <t>06_000024</t>
  </si>
  <si>
    <t>Balanza 24441</t>
  </si>
  <si>
    <t>20454058187</t>
  </si>
  <si>
    <t>ZONA ESPECIAL DE DESARROLLO ZED MATARANI</t>
  </si>
  <si>
    <t>24441</t>
  </si>
  <si>
    <t>06_000025</t>
  </si>
  <si>
    <t>Balanza 24442</t>
  </si>
  <si>
    <t>24442</t>
  </si>
  <si>
    <t>06_000026</t>
  </si>
  <si>
    <t>20602884962</t>
  </si>
  <si>
    <t>LUJAN 7 SOCIEDAD ANONIMA CERRADA - LUJAN 7 S.A.C.</t>
  </si>
  <si>
    <t>05/06/2025</t>
  </si>
  <si>
    <t>06_000027</t>
  </si>
  <si>
    <t>Peaje 24463</t>
  </si>
  <si>
    <t>20511465061</t>
  </si>
  <si>
    <t>CONCESIONARIA VIAL DEL PERU S.A.</t>
  </si>
  <si>
    <t>F204</t>
  </si>
  <si>
    <t>24463</t>
  </si>
  <si>
    <t>63.1.1.3.02</t>
  </si>
  <si>
    <t>06_000028</t>
  </si>
  <si>
    <t>Peaje 24452</t>
  </si>
  <si>
    <t>20550033519</t>
  </si>
  <si>
    <t>CONCESIONARIA PERUANA DE VIAS-COVINCA S.A.</t>
  </si>
  <si>
    <t>FG01</t>
  </si>
  <si>
    <t>24452</t>
  </si>
  <si>
    <t>07/06/2025</t>
  </si>
  <si>
    <t>06_000029</t>
  </si>
  <si>
    <t>Peaje 24480</t>
  </si>
  <si>
    <t>20550372640</t>
  </si>
  <si>
    <t>RUTAS DE LIMA S.A.C.</t>
  </si>
  <si>
    <t>F203</t>
  </si>
  <si>
    <t>24480</t>
  </si>
  <si>
    <t>06/06/2025</t>
  </si>
  <si>
    <t>06_000030</t>
  </si>
  <si>
    <t>Peaje 24476</t>
  </si>
  <si>
    <t>F604</t>
  </si>
  <si>
    <t>24476</t>
  </si>
  <si>
    <t>08/06/2025</t>
  </si>
  <si>
    <t>06_000031</t>
  </si>
  <si>
    <t>Peaje 24489</t>
  </si>
  <si>
    <t>F302</t>
  </si>
  <si>
    <t>24489</t>
  </si>
  <si>
    <t>06_000032</t>
  </si>
  <si>
    <t>Peaje 24481</t>
  </si>
  <si>
    <t>F103</t>
  </si>
  <si>
    <t>24481</t>
  </si>
  <si>
    <t>06_000033</t>
  </si>
  <si>
    <t>Peaje 24491</t>
  </si>
  <si>
    <t>20503503639</t>
  </si>
  <si>
    <t>PROYECTO ESPECIAL DE INFRAESTRUCTURA DE TRANSPORTE NACIONAL - PROVIAS NACIONAL</t>
  </si>
  <si>
    <t>12</t>
  </si>
  <si>
    <t>A3YA1P</t>
  </si>
  <si>
    <t>24491</t>
  </si>
  <si>
    <t>06_000034</t>
  </si>
  <si>
    <t>Peaje 24490</t>
  </si>
  <si>
    <t>A3NA1P</t>
  </si>
  <si>
    <t>24490</t>
  </si>
  <si>
    <t>06_000035</t>
  </si>
  <si>
    <t>Peaje 24493</t>
  </si>
  <si>
    <t>FA02</t>
  </si>
  <si>
    <t>24493</t>
  </si>
  <si>
    <t>06_000036</t>
  </si>
  <si>
    <t>Peaje 24492</t>
  </si>
  <si>
    <t>A3AT1P</t>
  </si>
  <si>
    <t>24492</t>
  </si>
  <si>
    <t>09/06/2025</t>
  </si>
  <si>
    <t>06_000037</t>
  </si>
  <si>
    <t>Peaje 24495</t>
  </si>
  <si>
    <t>F213</t>
  </si>
  <si>
    <t>24495</t>
  </si>
  <si>
    <t>06_000038</t>
  </si>
  <si>
    <t>91.06.01</t>
  </si>
  <si>
    <t>Operaciones</t>
  </si>
  <si>
    <t>Alimentacion 24459</t>
  </si>
  <si>
    <t>10435753120</t>
  </si>
  <si>
    <t>DELGADO HUANCA NEILA</t>
  </si>
  <si>
    <t>24459</t>
  </si>
  <si>
    <t>63.1.4.1.01</t>
  </si>
  <si>
    <t>06_000039</t>
  </si>
  <si>
    <t>Alimentacion 24474</t>
  </si>
  <si>
    <t>24474</t>
  </si>
  <si>
    <t>06_000040</t>
  </si>
  <si>
    <t>Alimentacion 24457</t>
  </si>
  <si>
    <t>10215629193</t>
  </si>
  <si>
    <t>LAVADO OCHOA JAIME ANDRES</t>
  </si>
  <si>
    <t>003</t>
  </si>
  <si>
    <t>24457</t>
  </si>
  <si>
    <t>06_000041</t>
  </si>
  <si>
    <t>Alojamiento 24461</t>
  </si>
  <si>
    <t>20611670151</t>
  </si>
  <si>
    <t>C &amp; D PADMOT E.I.R.L.</t>
  </si>
  <si>
    <t>24461</t>
  </si>
  <si>
    <t>63.1.3.1.01</t>
  </si>
  <si>
    <t>06_000042</t>
  </si>
  <si>
    <t>Peaje 24426</t>
  </si>
  <si>
    <t>F214</t>
  </si>
  <si>
    <t>24426</t>
  </si>
  <si>
    <t>06_000043</t>
  </si>
  <si>
    <t>Balanza 24424</t>
  </si>
  <si>
    <t>20259858934</t>
  </si>
  <si>
    <t>COMERCIALIZACION Y SERVICIOS EL EDEN S.A.C.</t>
  </si>
  <si>
    <t>24424</t>
  </si>
  <si>
    <t>63.1.1.7.01</t>
  </si>
  <si>
    <t>06_000044</t>
  </si>
  <si>
    <t>Balanza 24425</t>
  </si>
  <si>
    <t>24425</t>
  </si>
  <si>
    <t>06_000045</t>
  </si>
  <si>
    <t>91.06.02.02</t>
  </si>
  <si>
    <t>BKK_849</t>
  </si>
  <si>
    <t>Balanza 24407</t>
  </si>
  <si>
    <t>24407</t>
  </si>
  <si>
    <t>06_000046</t>
  </si>
  <si>
    <t>Peaje 24406</t>
  </si>
  <si>
    <t>24406</t>
  </si>
  <si>
    <t>06_000047</t>
  </si>
  <si>
    <t>Peaje 24405</t>
  </si>
  <si>
    <t>24405</t>
  </si>
  <si>
    <t>06_000048</t>
  </si>
  <si>
    <t>Peaje 24445</t>
  </si>
  <si>
    <t>24445</t>
  </si>
  <si>
    <t>06_000049</t>
  </si>
  <si>
    <t>Peaje 24423</t>
  </si>
  <si>
    <t>F211</t>
  </si>
  <si>
    <t>24423</t>
  </si>
  <si>
    <t>06_000050</t>
  </si>
  <si>
    <t>Peaje 24471</t>
  </si>
  <si>
    <t>24471</t>
  </si>
  <si>
    <t>06_000051</t>
  </si>
  <si>
    <t>Peaje 24446</t>
  </si>
  <si>
    <t>24446</t>
  </si>
  <si>
    <t>06_000052</t>
  </si>
  <si>
    <t>Peaje 24472</t>
  </si>
  <si>
    <t>24472</t>
  </si>
  <si>
    <t>06_000053</t>
  </si>
  <si>
    <t>91.06.02.11</t>
  </si>
  <si>
    <t>Tercerizados</t>
  </si>
  <si>
    <t>Balanza 24469</t>
  </si>
  <si>
    <t>FE01</t>
  </si>
  <si>
    <t>24469</t>
  </si>
  <si>
    <t>06_000054</t>
  </si>
  <si>
    <t>Balanza 24421</t>
  </si>
  <si>
    <t>24421</t>
  </si>
  <si>
    <t>06_000055</t>
  </si>
  <si>
    <t>Peaje 24444</t>
  </si>
  <si>
    <t>24444</t>
  </si>
  <si>
    <t>06_000056</t>
  </si>
  <si>
    <t>Peaje 24443</t>
  </si>
  <si>
    <t>24443</t>
  </si>
  <si>
    <t>06_000057</t>
  </si>
  <si>
    <t>Peaje 24470</t>
  </si>
  <si>
    <t>24470</t>
  </si>
  <si>
    <t>06_000058</t>
  </si>
  <si>
    <t>Internet _ Lima</t>
  </si>
  <si>
    <t>20100017491</t>
  </si>
  <si>
    <t>TELEFONICA DEL PERU SAA</t>
  </si>
  <si>
    <t>14</t>
  </si>
  <si>
    <t>S9AA</t>
  </si>
  <si>
    <t>06_000059</t>
  </si>
  <si>
    <t>94.05</t>
  </si>
  <si>
    <t>SSOMA</t>
  </si>
  <si>
    <t>Recarga de extintores RQ.SSO.239</t>
  </si>
  <si>
    <t>20609123762</t>
  </si>
  <si>
    <t>VULCANO EXTINTORES Y SEGURIDAD E.I.R.L.</t>
  </si>
  <si>
    <t>65.9.9.4.03</t>
  </si>
  <si>
    <t>06_000060</t>
  </si>
  <si>
    <t>91.06.02.04</t>
  </si>
  <si>
    <t>VBB_840</t>
  </si>
  <si>
    <t>Gasolina</t>
  </si>
  <si>
    <t>20127765279</t>
  </si>
  <si>
    <t>COESTI S.A.</t>
  </si>
  <si>
    <t>F867</t>
  </si>
  <si>
    <t>65.6.1.1.01</t>
  </si>
  <si>
    <t>91.06.02.06</t>
  </si>
  <si>
    <t>VBW_889</t>
  </si>
  <si>
    <t>91.06.02.10</t>
  </si>
  <si>
    <t>BDQ_458</t>
  </si>
  <si>
    <t>06_000061</t>
  </si>
  <si>
    <t>F864</t>
  </si>
  <si>
    <t>06_000062</t>
  </si>
  <si>
    <t>Transporte tercerizado _ Compra de residuos RQ.OPE.1193 _ OS 005 _ 625</t>
  </si>
  <si>
    <t>10736055631</t>
  </si>
  <si>
    <t>HUAMANI MAMANI HUBER ANTHONY</t>
  </si>
  <si>
    <t>273238065</t>
  </si>
  <si>
    <t>19/06/2025</t>
  </si>
  <si>
    <t>63.1.1.1.02</t>
  </si>
  <si>
    <t>06_000063</t>
  </si>
  <si>
    <t>Revisión Técnica Vehicular RQ.OPE.1189  _ OS 006 _ 140</t>
  </si>
  <si>
    <t>06_000064</t>
  </si>
  <si>
    <t>Revisión Técnica Vehicular RQ.OPE.1189 _ OS 006 _ 140</t>
  </si>
  <si>
    <t>06_000065</t>
  </si>
  <si>
    <t>97.01</t>
  </si>
  <si>
    <t>Gastos Financieros</t>
  </si>
  <si>
    <t>Comision _ pago de detraccion</t>
  </si>
  <si>
    <t>20100047218</t>
  </si>
  <si>
    <t>BANCO DE CREDITO DEL PERU</t>
  </si>
  <si>
    <t>FN01</t>
  </si>
  <si>
    <t>63.9.1.1.06</t>
  </si>
  <si>
    <t>06_000066</t>
  </si>
  <si>
    <t>Comision _ giros y transf.</t>
  </si>
  <si>
    <t>63.9.1.1.05</t>
  </si>
  <si>
    <t>06_000067</t>
  </si>
  <si>
    <t>Peaje 24511</t>
  </si>
  <si>
    <t>24511</t>
  </si>
  <si>
    <t>06_000068</t>
  </si>
  <si>
    <t>Peaje 24510</t>
  </si>
  <si>
    <t>24510</t>
  </si>
  <si>
    <t>06_000069</t>
  </si>
  <si>
    <t>Peaje 24513</t>
  </si>
  <si>
    <t>24513</t>
  </si>
  <si>
    <t>06_000070</t>
  </si>
  <si>
    <t>Peaje 24512</t>
  </si>
  <si>
    <t>24512</t>
  </si>
  <si>
    <t>06_000071</t>
  </si>
  <si>
    <t>Peaje 24515</t>
  </si>
  <si>
    <t>24515</t>
  </si>
  <si>
    <t>06_000072</t>
  </si>
  <si>
    <t>Peaje 24514</t>
  </si>
  <si>
    <t>24514</t>
  </si>
  <si>
    <t>06_000073</t>
  </si>
  <si>
    <t>Lavado 24516</t>
  </si>
  <si>
    <t>10705628331</t>
  </si>
  <si>
    <t>LARICO APAZA NANCY ROSSMARY</t>
  </si>
  <si>
    <t>24516</t>
  </si>
  <si>
    <t>63.1.1.5.01</t>
  </si>
  <si>
    <t>06_000074</t>
  </si>
  <si>
    <t>Balanza 24517</t>
  </si>
  <si>
    <t>24517</t>
  </si>
  <si>
    <t>06_000075</t>
  </si>
  <si>
    <t>Peaje 24410</t>
  </si>
  <si>
    <t>24410</t>
  </si>
  <si>
    <t>06_000076</t>
  </si>
  <si>
    <t>Peaje 24409</t>
  </si>
  <si>
    <t>24409</t>
  </si>
  <si>
    <t>06_000077</t>
  </si>
  <si>
    <t>Peaje 24412</t>
  </si>
  <si>
    <t>F113</t>
  </si>
  <si>
    <t>24412</t>
  </si>
  <si>
    <t>06_000078</t>
  </si>
  <si>
    <t>Peaje 24411</t>
  </si>
  <si>
    <t>24411</t>
  </si>
  <si>
    <t>06_000079</t>
  </si>
  <si>
    <t>Lavado 24448</t>
  </si>
  <si>
    <t>24448</t>
  </si>
  <si>
    <t>06_000080</t>
  </si>
  <si>
    <t>Balanza 24429</t>
  </si>
  <si>
    <t>20612112500</t>
  </si>
  <si>
    <t>RECICLADORA LAS LOMAS E.I.R.L.</t>
  </si>
  <si>
    <t>FT01</t>
  </si>
  <si>
    <t>24429</t>
  </si>
  <si>
    <t>10/06/2025</t>
  </si>
  <si>
    <t>06_000081</t>
  </si>
  <si>
    <t>RRSS OC 162</t>
  </si>
  <si>
    <t>20100055237</t>
  </si>
  <si>
    <t>ALICORP SAA</t>
  </si>
  <si>
    <t>F313</t>
  </si>
  <si>
    <t>272575751</t>
  </si>
  <si>
    <t>11/06/2025</t>
  </si>
  <si>
    <t>06_000082</t>
  </si>
  <si>
    <t>RRSS OC 163</t>
  </si>
  <si>
    <t>272575750</t>
  </si>
  <si>
    <t>06_000083</t>
  </si>
  <si>
    <t>RRSS OC 164</t>
  </si>
  <si>
    <t>272575749</t>
  </si>
  <si>
    <t>06_000084</t>
  </si>
  <si>
    <t>RRSS OC 165</t>
  </si>
  <si>
    <t>272575748</t>
  </si>
  <si>
    <t>06_000085</t>
  </si>
  <si>
    <t>RRSS OC 166</t>
  </si>
  <si>
    <t>272575747</t>
  </si>
  <si>
    <t>06_000086</t>
  </si>
  <si>
    <t>RRSS OC 167</t>
  </si>
  <si>
    <t>272575745</t>
  </si>
  <si>
    <t>06_000087</t>
  </si>
  <si>
    <t>RRSS OC 168</t>
  </si>
  <si>
    <t>272575744</t>
  </si>
  <si>
    <t>06_000088</t>
  </si>
  <si>
    <t>RRSS OC 169</t>
  </si>
  <si>
    <t>272575743</t>
  </si>
  <si>
    <t>06_000089</t>
  </si>
  <si>
    <t>RRSS OC 170</t>
  </si>
  <si>
    <t>272575742</t>
  </si>
  <si>
    <t>06_000090</t>
  </si>
  <si>
    <t>RRSS OC 171</t>
  </si>
  <si>
    <t>272575741</t>
  </si>
  <si>
    <t>06_000091</t>
  </si>
  <si>
    <t>RRSS OC 172</t>
  </si>
  <si>
    <t>272575740</t>
  </si>
  <si>
    <t>06_000092</t>
  </si>
  <si>
    <t>RRSS OC 173</t>
  </si>
  <si>
    <t>272575739</t>
  </si>
  <si>
    <t>06_000093</t>
  </si>
  <si>
    <t>RRSS OC 174</t>
  </si>
  <si>
    <t>272575738</t>
  </si>
  <si>
    <t>06_000094</t>
  </si>
  <si>
    <t>Balanza 24413</t>
  </si>
  <si>
    <t>06_000095</t>
  </si>
  <si>
    <t>Balanza 24447</t>
  </si>
  <si>
    <t>24447</t>
  </si>
  <si>
    <t>06_000096</t>
  </si>
  <si>
    <t>Peaje 24507</t>
  </si>
  <si>
    <t>24507</t>
  </si>
  <si>
    <t>06_000097</t>
  </si>
  <si>
    <t>Peaje 24506</t>
  </si>
  <si>
    <t>24506</t>
  </si>
  <si>
    <t>06_000098</t>
  </si>
  <si>
    <t>Balanza 24505</t>
  </si>
  <si>
    <t>24505</t>
  </si>
  <si>
    <t>06_000099</t>
  </si>
  <si>
    <t>91.06.02.08</t>
  </si>
  <si>
    <t>Montacarga</t>
  </si>
  <si>
    <t>Mantenimiento Preventivo RQ.OPE.1199</t>
  </si>
  <si>
    <t>10297207330</t>
  </si>
  <si>
    <t>CRUZ HUARACHA CARMEN</t>
  </si>
  <si>
    <t>63.4.3.3.02</t>
  </si>
  <si>
    <t>06_000100</t>
  </si>
  <si>
    <t>Mantenimiento Vehicular (Preventivo) RQ.OPE.1201 _ OS 006 _ 139</t>
  </si>
  <si>
    <t>20602810497</t>
  </si>
  <si>
    <t>TRENTO MULTISERVICIOS S.R.L.</t>
  </si>
  <si>
    <t>06_000101</t>
  </si>
  <si>
    <t>Mantenimiento Vehicular (Preventivo) RQ.OPE.1180  _ OS 006 _ 142</t>
  </si>
  <si>
    <t>20413666130</t>
  </si>
  <si>
    <t>CONCESIONARIOS AUTORIZADOS S.A.C.</t>
  </si>
  <si>
    <t>F152</t>
  </si>
  <si>
    <t>06_000102</t>
  </si>
  <si>
    <t>Lavado</t>
  </si>
  <si>
    <t>20601775051</t>
  </si>
  <si>
    <t>M &amp; MOTORS SERVICIOS GENERALES E.I.R.L.</t>
  </si>
  <si>
    <t>06_000103</t>
  </si>
  <si>
    <t>06_000104</t>
  </si>
  <si>
    <t>RRSS OC 152</t>
  </si>
  <si>
    <t>20539387104</t>
  </si>
  <si>
    <t>APMINAC PULPERA S.A.</t>
  </si>
  <si>
    <t>273238063</t>
  </si>
  <si>
    <t>06_000105</t>
  </si>
  <si>
    <t>RRSS OC 149</t>
  </si>
  <si>
    <t>20538593053</t>
  </si>
  <si>
    <t>AEROPUERTOS ANDINOS DEL PERU S.A.</t>
  </si>
  <si>
    <t>FA21</t>
  </si>
  <si>
    <t>273238062</t>
  </si>
  <si>
    <t>06_000106</t>
  </si>
  <si>
    <t>RRSS OC 160</t>
  </si>
  <si>
    <t>20100192064</t>
  </si>
  <si>
    <t>MOLY-COP ADESUR S.A.</t>
  </si>
  <si>
    <t>273238064</t>
  </si>
  <si>
    <t>06_000107</t>
  </si>
  <si>
    <t>20608579274</t>
  </si>
  <si>
    <t>TURNEE TRANSPORTES &amp; MULTISERVICIOS PERU E.I.R.L.</t>
  </si>
  <si>
    <t>F006</t>
  </si>
  <si>
    <t>06_000108</t>
  </si>
  <si>
    <t>Alimentacion</t>
  </si>
  <si>
    <t>10483602893</t>
  </si>
  <si>
    <t>SANTI AQUINO ROSMERI</t>
  </si>
  <si>
    <t>06_000109</t>
  </si>
  <si>
    <t>Envío de documentación</t>
  </si>
  <si>
    <t>20558053691</t>
  </si>
  <si>
    <t>GRUPO GARCIA TOLEDO S.A.C</t>
  </si>
  <si>
    <t>F549</t>
  </si>
  <si>
    <t>06_000110</t>
  </si>
  <si>
    <t>Alquiler de montacarga RQ.OPE.1203</t>
  </si>
  <si>
    <t>20603974817</t>
  </si>
  <si>
    <t>TRANSPORTES, GRUAS Y MONTACARGAS AREQUIPA EMPRESA INDIVIDUAL DE RESPONSABILIDAD LIMITADA</t>
  </si>
  <si>
    <t>63.5.4.1.01</t>
  </si>
  <si>
    <t>06_000111</t>
  </si>
  <si>
    <t>Alquiler de montacarga RQ.OPE.1202</t>
  </si>
  <si>
    <t>63.5.4.1.03</t>
  </si>
  <si>
    <t>06_000112</t>
  </si>
  <si>
    <t>94.04</t>
  </si>
  <si>
    <t>Gestion Humana</t>
  </si>
  <si>
    <t>Exámenes Médicos _ Periódico RQ.GH.195</t>
  </si>
  <si>
    <t>20517035964</t>
  </si>
  <si>
    <t>SIGSO CONSULTORES LABORALES SOCIEDAD ANONIMA CERRADA - SIGSO CONSULTORES LABORALES S.A.C.</t>
  </si>
  <si>
    <t>F200</t>
  </si>
  <si>
    <t>62.5.1.2.02</t>
  </si>
  <si>
    <t>06_000113</t>
  </si>
  <si>
    <t>Peaje 24518</t>
  </si>
  <si>
    <t>24518</t>
  </si>
  <si>
    <t>06_000114</t>
  </si>
  <si>
    <t>Peaje 24509</t>
  </si>
  <si>
    <t>24509</t>
  </si>
  <si>
    <t>06_000115</t>
  </si>
  <si>
    <t>Peaje 24545</t>
  </si>
  <si>
    <t>24545</t>
  </si>
  <si>
    <t>06_000116</t>
  </si>
  <si>
    <t>Peaje 24519</t>
  </si>
  <si>
    <t>24519</t>
  </si>
  <si>
    <t>06_000117</t>
  </si>
  <si>
    <t>Peaje 24521</t>
  </si>
  <si>
    <t>24521</t>
  </si>
  <si>
    <t>06_000118</t>
  </si>
  <si>
    <t>Peaje 24520</t>
  </si>
  <si>
    <t>24520</t>
  </si>
  <si>
    <t>06_000119</t>
  </si>
  <si>
    <t>Peaje 24529</t>
  </si>
  <si>
    <t>24529</t>
  </si>
  <si>
    <t>06_000120</t>
  </si>
  <si>
    <t>Peaje 24527</t>
  </si>
  <si>
    <t>24527</t>
  </si>
  <si>
    <t>06_000121</t>
  </si>
  <si>
    <t>20604269815</t>
  </si>
  <si>
    <t>PAISAJISTA PICANTERIA EMPRESA INDIVIDUAL DE RESPONSABILIDAD LIMITADA</t>
  </si>
  <si>
    <t>65.9.9.1.01</t>
  </si>
  <si>
    <t>12/06/2025</t>
  </si>
  <si>
    <t>06_000122</t>
  </si>
  <si>
    <t>RRSS OC 139</t>
  </si>
  <si>
    <t>20539627938</t>
  </si>
  <si>
    <t>LA JOYA MINING SOCIEDAD ANONIMA CERRADA</t>
  </si>
  <si>
    <t>273238068</t>
  </si>
  <si>
    <t>06_000123</t>
  </si>
  <si>
    <t>Transporte tercerizado RQ.OPE.1194 OS 005 _ 626</t>
  </si>
  <si>
    <t>273238069</t>
  </si>
  <si>
    <t>06_000124</t>
  </si>
  <si>
    <t>4319</t>
  </si>
  <si>
    <t>06_000125</t>
  </si>
  <si>
    <t>4320</t>
  </si>
  <si>
    <t>06_000126</t>
  </si>
  <si>
    <t>20600967291</t>
  </si>
  <si>
    <t>ALEXANDER COMPUTER S.R.L. - ALECOM S.R.L.</t>
  </si>
  <si>
    <t>2160</t>
  </si>
  <si>
    <t>06_000127</t>
  </si>
  <si>
    <t>Lavado RQ.OPE.1181 OS 006 _ 143</t>
  </si>
  <si>
    <t>20601833191</t>
  </si>
  <si>
    <t>SERVICIOS AUTOMOTRICES FALCAR SOCIEDAD COMERCIAL DE RESPONSABILIDAD LIMITADA - FALCAR S.R.L.</t>
  </si>
  <si>
    <t>06_000128</t>
  </si>
  <si>
    <t>Confeccion de fundas _ RQ.OPE.1181 OS 006 _ 143</t>
  </si>
  <si>
    <t>20558627299</t>
  </si>
  <si>
    <t>TAPICENTER TORRES HERMANOS S.R.L. - TAPTOR S.R.L.</t>
  </si>
  <si>
    <t>63.4.3.2.03</t>
  </si>
  <si>
    <t>06_000129</t>
  </si>
  <si>
    <t>RRSS OC 176</t>
  </si>
  <si>
    <t>273238070</t>
  </si>
  <si>
    <t>06_000130</t>
  </si>
  <si>
    <t>RRSS OC 177</t>
  </si>
  <si>
    <t>273238071</t>
  </si>
  <si>
    <t>06_000131</t>
  </si>
  <si>
    <t>RRSS OC 178</t>
  </si>
  <si>
    <t>273238072</t>
  </si>
  <si>
    <t>06_000132</t>
  </si>
  <si>
    <t>Peaje 24552</t>
  </si>
  <si>
    <t>24552</t>
  </si>
  <si>
    <t>06_000133</t>
  </si>
  <si>
    <t>Peaje 24551</t>
  </si>
  <si>
    <t>24551</t>
  </si>
  <si>
    <t>06_000134</t>
  </si>
  <si>
    <t>Peaje 24546</t>
  </si>
  <si>
    <t>24546</t>
  </si>
  <si>
    <t>06_000135</t>
  </si>
  <si>
    <t>Peaje 24553</t>
  </si>
  <si>
    <t>24553</t>
  </si>
  <si>
    <t>06_000136</t>
  </si>
  <si>
    <t>Balanza 24548</t>
  </si>
  <si>
    <t>24548</t>
  </si>
  <si>
    <t>06_000137</t>
  </si>
  <si>
    <t>Balanza 24556</t>
  </si>
  <si>
    <t>24556</t>
  </si>
  <si>
    <t>13/06/2025</t>
  </si>
  <si>
    <t>06_000138</t>
  </si>
  <si>
    <t>Balanza 24568</t>
  </si>
  <si>
    <t>24568</t>
  </si>
  <si>
    <t>06_000139</t>
  </si>
  <si>
    <t>Peaje 24569</t>
  </si>
  <si>
    <t>24569</t>
  </si>
  <si>
    <t>06_000140</t>
  </si>
  <si>
    <t>Peaje 24567</t>
  </si>
  <si>
    <t>24567</t>
  </si>
  <si>
    <t>06_000141</t>
  </si>
  <si>
    <t>Peaje 24575</t>
  </si>
  <si>
    <t>24575</t>
  </si>
  <si>
    <t>06_000142</t>
  </si>
  <si>
    <t>Peaje 24574</t>
  </si>
  <si>
    <t>24574</t>
  </si>
  <si>
    <t>06_000143</t>
  </si>
  <si>
    <t>Peaje 24555</t>
  </si>
  <si>
    <t>24555</t>
  </si>
  <si>
    <t>06_000144</t>
  </si>
  <si>
    <t>Peaje 24554</t>
  </si>
  <si>
    <t>24554</t>
  </si>
  <si>
    <t>06_000145</t>
  </si>
  <si>
    <t>Peaje 24547</t>
  </si>
  <si>
    <t>24547</t>
  </si>
  <si>
    <t>15/06/2025</t>
  </si>
  <si>
    <t>06_000146</t>
  </si>
  <si>
    <t>Combustible</t>
  </si>
  <si>
    <t>06_000147</t>
  </si>
  <si>
    <t>06_000148</t>
  </si>
  <si>
    <t>Transporte tercerizado _ Transporte tercerizado RQ.OPE.1215 OS 005 _ 635</t>
  </si>
  <si>
    <t>10410687491</t>
  </si>
  <si>
    <t>TORRES CARDENAS MARIA LIDIA</t>
  </si>
  <si>
    <t>273238073</t>
  </si>
  <si>
    <t>06_000149</t>
  </si>
  <si>
    <t>Transporte tercerizado _ Compra de residuos RQ,OPE.1218 OS 005 _ 636</t>
  </si>
  <si>
    <t>273238074</t>
  </si>
  <si>
    <t>06_000150</t>
  </si>
  <si>
    <t>Movilidad _ gasolina</t>
  </si>
  <si>
    <t>20498469591</t>
  </si>
  <si>
    <t>INVERSIONES KM&amp;H S.A.C.</t>
  </si>
  <si>
    <t>63.1.1.2.01</t>
  </si>
  <si>
    <t>06_000151</t>
  </si>
  <si>
    <t>Peaje 24535</t>
  </si>
  <si>
    <t>24535</t>
  </si>
  <si>
    <t>06_000152</t>
  </si>
  <si>
    <t>Peaje 24534</t>
  </si>
  <si>
    <t>24534</t>
  </si>
  <si>
    <t>06_000153</t>
  </si>
  <si>
    <t>Peaje 24537</t>
  </si>
  <si>
    <t>24537</t>
  </si>
  <si>
    <t>06_000154</t>
  </si>
  <si>
    <t>Peaje 24536</t>
  </si>
  <si>
    <t>24536</t>
  </si>
  <si>
    <t>06_000155</t>
  </si>
  <si>
    <t>Peaje 24539</t>
  </si>
  <si>
    <t>24539</t>
  </si>
  <si>
    <t>06_000156</t>
  </si>
  <si>
    <t>Peaje 24538</t>
  </si>
  <si>
    <t>24538</t>
  </si>
  <si>
    <t>06_000157</t>
  </si>
  <si>
    <t>Peaje 24541</t>
  </si>
  <si>
    <t>24541</t>
  </si>
  <si>
    <t>06_000158</t>
  </si>
  <si>
    <t>Peaje 24540</t>
  </si>
  <si>
    <t>24540</t>
  </si>
  <si>
    <t>06_000159</t>
  </si>
  <si>
    <t>Peaje 24577</t>
  </si>
  <si>
    <t>24577</t>
  </si>
  <si>
    <t>06_000160</t>
  </si>
  <si>
    <t>Peaje 24576</t>
  </si>
  <si>
    <t>24576</t>
  </si>
  <si>
    <t>06_000161</t>
  </si>
  <si>
    <t>Peaje 24579</t>
  </si>
  <si>
    <t>24579</t>
  </si>
  <si>
    <t>06_000162</t>
  </si>
  <si>
    <t>Peaje 24578</t>
  </si>
  <si>
    <t>24578</t>
  </si>
  <si>
    <t>06_000163</t>
  </si>
  <si>
    <t>Balanza 24581</t>
  </si>
  <si>
    <t>24581</t>
  </si>
  <si>
    <t>06_000164</t>
  </si>
  <si>
    <t>Balanza 24580</t>
  </si>
  <si>
    <t>24580</t>
  </si>
  <si>
    <t>06_000165</t>
  </si>
  <si>
    <t>94.06</t>
  </si>
  <si>
    <t>Gerencia</t>
  </si>
  <si>
    <t>Donaciones padres de la PNP RQ.LOG.321</t>
  </si>
  <si>
    <t>20612516899</t>
  </si>
  <si>
    <t>ALIBABA AREQUIPA E.I.R.L.</t>
  </si>
  <si>
    <t>FX01</t>
  </si>
  <si>
    <t>65.9.1.1</t>
  </si>
  <si>
    <t>06_000166</t>
  </si>
  <si>
    <t>DONACIONES PADRES DE LA PNP RQ.LOG.321</t>
  </si>
  <si>
    <t>20455502650</t>
  </si>
  <si>
    <t>IMPORTACION Y EXPORTACION GRUPO RIVEROS S.A.C.</t>
  </si>
  <si>
    <t>06_000167</t>
  </si>
  <si>
    <t>Transporte tercerizado _ Compra de residuos RQ.OPE.1213 OS 005 _ 634</t>
  </si>
  <si>
    <t>273238076</t>
  </si>
  <si>
    <t>06_000168</t>
  </si>
  <si>
    <t>Mantenimiento Vehicular (Preventivo) RQ.OPE.1165 OS 006 _ 144</t>
  </si>
  <si>
    <t>10402383548</t>
  </si>
  <si>
    <t>HUALLA SANCHEZ GUSTAVO PAUL</t>
  </si>
  <si>
    <t>16/06/2025</t>
  </si>
  <si>
    <t>06_000169</t>
  </si>
  <si>
    <t>EPPS adicional RQ.SSO.227</t>
  </si>
  <si>
    <t>20602484344</t>
  </si>
  <si>
    <t>FERSEIND PERU SOCIEDAD ANONIMA CERRADA - FERSEIND PERU S.A.C.</t>
  </si>
  <si>
    <t>60.3.5.1</t>
  </si>
  <si>
    <t>06_000170</t>
  </si>
  <si>
    <t>EPPS adicionales RQ.SSO.242</t>
  </si>
  <si>
    <t>06_000171</t>
  </si>
  <si>
    <t>Disposición Final de RR.SS</t>
  </si>
  <si>
    <t>20553255709</t>
  </si>
  <si>
    <t>KANAY S.A.C.</t>
  </si>
  <si>
    <t>273238075</t>
  </si>
  <si>
    <t>63.9.9.1.04.01</t>
  </si>
  <si>
    <t>06_000172</t>
  </si>
  <si>
    <t>Servicios Básicos _ Internet junio</t>
  </si>
  <si>
    <t>17/06/2025</t>
  </si>
  <si>
    <t>06_000175</t>
  </si>
  <si>
    <t>RRSS OC 183</t>
  </si>
  <si>
    <t>273238086</t>
  </si>
  <si>
    <t>06_000176</t>
  </si>
  <si>
    <t>RRSS OC 184</t>
  </si>
  <si>
    <t>273238088</t>
  </si>
  <si>
    <t>06_000177</t>
  </si>
  <si>
    <t>RRSS OC 185</t>
  </si>
  <si>
    <t>273238087</t>
  </si>
  <si>
    <t>06_000178</t>
  </si>
  <si>
    <t>RRSS OC 186</t>
  </si>
  <si>
    <t>273238089</t>
  </si>
  <si>
    <t>06_000179</t>
  </si>
  <si>
    <t>RRSS OC 187</t>
  </si>
  <si>
    <t>273238090</t>
  </si>
  <si>
    <t>06_000180</t>
  </si>
  <si>
    <t>RRSS OC 188</t>
  </si>
  <si>
    <t>273238091</t>
  </si>
  <si>
    <t>06_000181</t>
  </si>
  <si>
    <t>RRSS OC 189</t>
  </si>
  <si>
    <t>273238083</t>
  </si>
  <si>
    <t>06_000182</t>
  </si>
  <si>
    <t>Filtro de cadena _ Kit básico de herramientas</t>
  </si>
  <si>
    <t>20497914885</t>
  </si>
  <si>
    <t>REPUESTOS Y MAQUINARIAS S.A.</t>
  </si>
  <si>
    <t>60.3.2.1</t>
  </si>
  <si>
    <t>06_000183</t>
  </si>
  <si>
    <t>Accesorios Vehiculares RQ.OPE.1115 OC 007 _ 39</t>
  </si>
  <si>
    <t>20455911401</t>
  </si>
  <si>
    <t>SKY HIGH SOCIEDAD ANONIMA CERRADA - SKY HIGH S.A.C.</t>
  </si>
  <si>
    <t>06_000184</t>
  </si>
  <si>
    <t>Mantenimiento Vehicular (Preventivo) RQ.OPE.1216 OS 006 _ 145</t>
  </si>
  <si>
    <t>06_000185</t>
  </si>
  <si>
    <t>Transporte tercerizado _ Disposición Final RQ.OPE.1211 OS 005 _ 633</t>
  </si>
  <si>
    <t>273238080</t>
  </si>
  <si>
    <t>63.1.1.1.01</t>
  </si>
  <si>
    <t>06_000186</t>
  </si>
  <si>
    <t>Transporte tercerizado _ Compra de Residuos RQ.OPE.1207 OS 005 _ 632</t>
  </si>
  <si>
    <t>273238079</t>
  </si>
  <si>
    <t>06_000187</t>
  </si>
  <si>
    <t>Recarga de agua _ Arequipa RQ.LOG.322</t>
  </si>
  <si>
    <t>10706063426</t>
  </si>
  <si>
    <t>FARFAN RIEGA YESENIA ELIZABETH</t>
  </si>
  <si>
    <t>63.6.3.2.01</t>
  </si>
  <si>
    <t>16/04/2025</t>
  </si>
  <si>
    <t>06_000188</t>
  </si>
  <si>
    <t>20455788286</t>
  </si>
  <si>
    <t>RESTAURANT CAMPESTRE SULÚ E.I.R.L.</t>
  </si>
  <si>
    <t>2668</t>
  </si>
  <si>
    <t>09/01/2025</t>
  </si>
  <si>
    <t>06_000189</t>
  </si>
  <si>
    <t>10470065147</t>
  </si>
  <si>
    <t>SORIA CRISTOBAL LORENA IVANKA</t>
  </si>
  <si>
    <t>353</t>
  </si>
  <si>
    <t>273238078</t>
  </si>
  <si>
    <t>28/05/2025</t>
  </si>
  <si>
    <t>06_000190</t>
  </si>
  <si>
    <t>16173</t>
  </si>
  <si>
    <t>273238082</t>
  </si>
  <si>
    <t>06_000191</t>
  </si>
  <si>
    <t>16171</t>
  </si>
  <si>
    <t>273238081</t>
  </si>
  <si>
    <t>31/05/2025</t>
  </si>
  <si>
    <t>06_000192</t>
  </si>
  <si>
    <t>16209</t>
  </si>
  <si>
    <t>273238085</t>
  </si>
  <si>
    <t>30/05/2025</t>
  </si>
  <si>
    <t>06_000193</t>
  </si>
  <si>
    <t>16181</t>
  </si>
  <si>
    <t>273238084</t>
  </si>
  <si>
    <t>18/06/2025</t>
  </si>
  <si>
    <t>06_000194</t>
  </si>
  <si>
    <t>Balanza</t>
  </si>
  <si>
    <t>06_000195</t>
  </si>
  <si>
    <t>Transporte tercerizado _ Compra de Residuos RQ.OPE.1195 OS 005 _ 627</t>
  </si>
  <si>
    <t>10295492908</t>
  </si>
  <si>
    <t>UGARTE MENDOZA GREGORIO NACIANSENO</t>
  </si>
  <si>
    <t>273238092</t>
  </si>
  <si>
    <t>06_000196</t>
  </si>
  <si>
    <t>20602978274</t>
  </si>
  <si>
    <t>ESTACION DE SERVICIOS MI GRIFO S.R.L. - ESTACION MG S.R.L.</t>
  </si>
  <si>
    <t>F135</t>
  </si>
  <si>
    <t>06_000197</t>
  </si>
  <si>
    <t>Conbustible</t>
  </si>
  <si>
    <t>F136</t>
  </si>
  <si>
    <t>06_000198</t>
  </si>
  <si>
    <t>06_000199</t>
  </si>
  <si>
    <t>Mantenimiento Vehicular (Correctivo) RQ.OPE.1229 OS 006 _ 146</t>
  </si>
  <si>
    <t>20609908492</t>
  </si>
  <si>
    <t>CLUB PREMIUM AUTOMOTRIZ S.R.L.</t>
  </si>
  <si>
    <t>06_000200</t>
  </si>
  <si>
    <t>20265681299</t>
  </si>
  <si>
    <t>EQUIFAX PERU S.A.</t>
  </si>
  <si>
    <t>1041465</t>
  </si>
  <si>
    <t>06_000201</t>
  </si>
  <si>
    <t>94.08</t>
  </si>
  <si>
    <t>Sig</t>
  </si>
  <si>
    <t>Consultoría / asesoría RQ.SIG.030</t>
  </si>
  <si>
    <t>20498380931</t>
  </si>
  <si>
    <t>E QUELLE E.I.R.L.</t>
  </si>
  <si>
    <t>63.2.2.1.02</t>
  </si>
  <si>
    <t>06_000202</t>
  </si>
  <si>
    <t>Alquiler de montacarga RQ.OPE.1206</t>
  </si>
  <si>
    <t>06_000203</t>
  </si>
  <si>
    <t>Alquiler de montarga RQ.OPE.1204 OS 005 _ 630</t>
  </si>
  <si>
    <t>06_000204</t>
  </si>
  <si>
    <t>Alquiler de montacarga RQ.OPE.1217 OS 005 _ 631</t>
  </si>
  <si>
    <t>273540081</t>
  </si>
  <si>
    <t>25/06/2025</t>
  </si>
  <si>
    <t>06_000205</t>
  </si>
  <si>
    <t>Alquiler de montacarga RQ.OPE.1212</t>
  </si>
  <si>
    <t>06_000206</t>
  </si>
  <si>
    <t>Lineas Corporativas</t>
  </si>
  <si>
    <t>20467534026</t>
  </si>
  <si>
    <t>AMERICA MOVIL PERU S.A.C.</t>
  </si>
  <si>
    <t>F015</t>
  </si>
  <si>
    <t>63.6.4.2</t>
  </si>
  <si>
    <t>06_000207</t>
  </si>
  <si>
    <t>Correo Corporativo (Plan de Servicios de Valor Agregado)</t>
  </si>
  <si>
    <t>63.6.8.1</t>
  </si>
  <si>
    <t>06_000208</t>
  </si>
  <si>
    <t>RRSS OC 179</t>
  </si>
  <si>
    <t>20454186002</t>
  </si>
  <si>
    <t>ALSUR PERU S.A.C.</t>
  </si>
  <si>
    <t>F003</t>
  </si>
  <si>
    <t>273540082</t>
  </si>
  <si>
    <t>06_000209</t>
  </si>
  <si>
    <t>RRSS OC 193</t>
  </si>
  <si>
    <t>273540083</t>
  </si>
  <si>
    <t>06_000210</t>
  </si>
  <si>
    <t>RRSS OC 150</t>
  </si>
  <si>
    <t>273540084</t>
  </si>
  <si>
    <t>06_000211</t>
  </si>
  <si>
    <t>20604947520</t>
  </si>
  <si>
    <t>MINIMARKET LAS BERMUDAS E.I.R.L.</t>
  </si>
  <si>
    <t>23/06/2025</t>
  </si>
  <si>
    <t>06_000212</t>
  </si>
  <si>
    <t>F553</t>
  </si>
  <si>
    <t>20/06/2025</t>
  </si>
  <si>
    <t>06_000213</t>
  </si>
  <si>
    <t>10305624930</t>
  </si>
  <si>
    <t>RODRIGUEZ CCOMPI NATTY</t>
  </si>
  <si>
    <t>06_000214</t>
  </si>
  <si>
    <t>273540092</t>
  </si>
  <si>
    <t>06_000215</t>
  </si>
  <si>
    <t>RRSS OC 159</t>
  </si>
  <si>
    <t>20537921464</t>
  </si>
  <si>
    <t>RESITER PERU S.A.C.</t>
  </si>
  <si>
    <t>274253093</t>
  </si>
  <si>
    <t>1/07/2025</t>
  </si>
  <si>
    <t>06_000216</t>
  </si>
  <si>
    <t>RRSS OC 192</t>
  </si>
  <si>
    <t>274253094</t>
  </si>
  <si>
    <t>06_000217</t>
  </si>
  <si>
    <t>RRSS OC 195</t>
  </si>
  <si>
    <t>273540087</t>
  </si>
  <si>
    <t>06_000218</t>
  </si>
  <si>
    <t>RRSS OC 196</t>
  </si>
  <si>
    <t>273540088</t>
  </si>
  <si>
    <t>06_000219</t>
  </si>
  <si>
    <t>RRSS OC 197</t>
  </si>
  <si>
    <t>273540089</t>
  </si>
  <si>
    <t>14/06/2025</t>
  </si>
  <si>
    <t>06_000220</t>
  </si>
  <si>
    <t>RRSS OC 198</t>
  </si>
  <si>
    <t>273540090</t>
  </si>
  <si>
    <t>06_000221</t>
  </si>
  <si>
    <t>RRSS OC 199</t>
  </si>
  <si>
    <t>273540091</t>
  </si>
  <si>
    <t>06_000222</t>
  </si>
  <si>
    <t>94.02</t>
  </si>
  <si>
    <t>Contabilidad y Finanzas</t>
  </si>
  <si>
    <t>Sistema ERP RQ.GER.070</t>
  </si>
  <si>
    <t>20454819137</t>
  </si>
  <si>
    <t>SOLUCIONES DE INFORMACION NEXTSOFT S.A.C.</t>
  </si>
  <si>
    <t>273540086</t>
  </si>
  <si>
    <t>63.9.9.1.05.01</t>
  </si>
  <si>
    <t>06_000223</t>
  </si>
  <si>
    <t>Sistema ERP RQ.GER.069</t>
  </si>
  <si>
    <t>20551520634</t>
  </si>
  <si>
    <t>INVESTIGACION Y DESARROLLO DE SOLUCIONES INFORMATICAS E.I.R.L.</t>
  </si>
  <si>
    <t>273540085</t>
  </si>
  <si>
    <t>06_000224</t>
  </si>
  <si>
    <t>Exámenes Médicos _ Periódico RQ.GH.198</t>
  </si>
  <si>
    <t>F100</t>
  </si>
  <si>
    <t>06_000225</t>
  </si>
  <si>
    <t>Teléfono Fijo</t>
  </si>
  <si>
    <t>S5AA</t>
  </si>
  <si>
    <t>63.6.4.1</t>
  </si>
  <si>
    <t>06_000226</t>
  </si>
  <si>
    <t>SB01</t>
  </si>
  <si>
    <t>06_000227</t>
  </si>
  <si>
    <t>F809</t>
  </si>
  <si>
    <t>367430</t>
  </si>
  <si>
    <t>06_000228</t>
  </si>
  <si>
    <t>367435</t>
  </si>
  <si>
    <t>22/06/2025</t>
  </si>
  <si>
    <t>06_000229</t>
  </si>
  <si>
    <t>F865</t>
  </si>
  <si>
    <t>06_000230</t>
  </si>
  <si>
    <t>06_000231</t>
  </si>
  <si>
    <t>Insumos / Materiales de Limpieza en general RQ.LOG.306</t>
  </si>
  <si>
    <t>20546153372</t>
  </si>
  <si>
    <t>GLOBAL PERLA´S CAR S.A.C.</t>
  </si>
  <si>
    <t>F004</t>
  </si>
  <si>
    <t>60.3.2.4</t>
  </si>
  <si>
    <t>06_000232</t>
  </si>
  <si>
    <t>Cono de seguridad RQ.LOG.324</t>
  </si>
  <si>
    <t>60.3.2.5</t>
  </si>
  <si>
    <t>06_000233</t>
  </si>
  <si>
    <t>Placas domiliciarias RQ.LOG.319</t>
  </si>
  <si>
    <t>10416031679</t>
  </si>
  <si>
    <t>ALARCON ZAIRA ABRAHAM JESUS</t>
  </si>
  <si>
    <t>65.6.1.1.03</t>
  </si>
  <si>
    <t>06_000234</t>
  </si>
  <si>
    <t>Alquiler de montacarga RQ.OPE.1224</t>
  </si>
  <si>
    <t>20609764261</t>
  </si>
  <si>
    <t>MGM MONTACARGAS &amp; GRUAS S.A.C.</t>
  </si>
  <si>
    <t>06_000235</t>
  </si>
  <si>
    <t>Alquiler de montacarga RQ.OPE.1225</t>
  </si>
  <si>
    <t>06_000236</t>
  </si>
  <si>
    <t>Servicio de transporte RQ.OPE.1223 OS 005 _ 642</t>
  </si>
  <si>
    <t>273540094</t>
  </si>
  <si>
    <t>06_000237</t>
  </si>
  <si>
    <t>Actividades Corporativas RQ.GH.194</t>
  </si>
  <si>
    <t>10433864293</t>
  </si>
  <si>
    <t>LAYME YOVANNA NELLY</t>
  </si>
  <si>
    <t>06_000238</t>
  </si>
  <si>
    <t>10454946486</t>
  </si>
  <si>
    <t>AMANQUI QUISPE WALTER MARCOS</t>
  </si>
  <si>
    <t>06_000239</t>
  </si>
  <si>
    <t>20610156445</t>
  </si>
  <si>
    <t>INVERSIONES LIVER GROUP E.I.R.L. - INVERLIG E.I.R.L.</t>
  </si>
  <si>
    <t>06_000240</t>
  </si>
  <si>
    <t>10094111230</t>
  </si>
  <si>
    <t>BENDEZU MORA JOSE ANTONIO</t>
  </si>
  <si>
    <t>06_000241</t>
  </si>
  <si>
    <t>20455885214</t>
  </si>
  <si>
    <t>BUFFETES GASPARIN PIÑATERIA E.I.R.L.</t>
  </si>
  <si>
    <t>06_000242</t>
  </si>
  <si>
    <t>Actividades Corporativas}</t>
  </si>
  <si>
    <t>20610143688</t>
  </si>
  <si>
    <t>SUPER DECORACIONES S.R.L.</t>
  </si>
  <si>
    <t>06_000243</t>
  </si>
  <si>
    <t>10738553921</t>
  </si>
  <si>
    <t>PIZARRO COILA KENDALL HIARA</t>
  </si>
  <si>
    <t>06_000244</t>
  </si>
  <si>
    <t>Merchandising promocional RQ.COM.338</t>
  </si>
  <si>
    <t>06_000245</t>
  </si>
  <si>
    <t>20605797696</t>
  </si>
  <si>
    <t>VIVERO LAS ASTROMELIAS AREQUIPA E.I.R.L.</t>
  </si>
  <si>
    <t>06_000246</t>
  </si>
  <si>
    <t>RRSS OC 180</t>
  </si>
  <si>
    <t>20419158462</t>
  </si>
  <si>
    <t>GRANJA RINCONADA DEL SUR S.A.</t>
  </si>
  <si>
    <t>F102</t>
  </si>
  <si>
    <t>273540093</t>
  </si>
  <si>
    <t>06_000247</t>
  </si>
  <si>
    <t>Alquiler de montacarga RQ.OPE.1205</t>
  </si>
  <si>
    <t>06_000248</t>
  </si>
  <si>
    <t>Alquiler de montacarga RQ.OPE.1230 OS 005 _ 640</t>
  </si>
  <si>
    <t>06_000249</t>
  </si>
  <si>
    <t>Lavado 24597</t>
  </si>
  <si>
    <t>24597</t>
  </si>
  <si>
    <t>06_000250</t>
  </si>
  <si>
    <t>Peaje 24587</t>
  </si>
  <si>
    <t>24587</t>
  </si>
  <si>
    <t>06_000251</t>
  </si>
  <si>
    <t>Peaje 24610</t>
  </si>
  <si>
    <t>24610</t>
  </si>
  <si>
    <t>06_000252</t>
  </si>
  <si>
    <t>Balanza 24613</t>
  </si>
  <si>
    <t>24613</t>
  </si>
  <si>
    <t>06_000253</t>
  </si>
  <si>
    <t>Balanza 24612</t>
  </si>
  <si>
    <t>24612</t>
  </si>
  <si>
    <t>06_000254</t>
  </si>
  <si>
    <t>Lavado 24637</t>
  </si>
  <si>
    <t>24637</t>
  </si>
  <si>
    <t>06_000255</t>
  </si>
  <si>
    <t>Peaje 24627</t>
  </si>
  <si>
    <t>24627</t>
  </si>
  <si>
    <t>06_000256</t>
  </si>
  <si>
    <t>Peaje 24626</t>
  </si>
  <si>
    <t>24626</t>
  </si>
  <si>
    <t>06_000257</t>
  </si>
  <si>
    <t>Peaje 24599</t>
  </si>
  <si>
    <t>24599</t>
  </si>
  <si>
    <t>06_000258</t>
  </si>
  <si>
    <t>Peaje 24600</t>
  </si>
  <si>
    <t>24600</t>
  </si>
  <si>
    <t>06_000259</t>
  </si>
  <si>
    <t>Balanza 24588</t>
  </si>
  <si>
    <t>24588</t>
  </si>
  <si>
    <t>06_000260</t>
  </si>
  <si>
    <t>Lavado 24595</t>
  </si>
  <si>
    <t>24595</t>
  </si>
  <si>
    <t>06_000261</t>
  </si>
  <si>
    <t>Peaje 24611</t>
  </si>
  <si>
    <t>24611</t>
  </si>
  <si>
    <t>06_000262</t>
  </si>
  <si>
    <t>Balanza 24636</t>
  </si>
  <si>
    <t>24636</t>
  </si>
  <si>
    <t>06_000263</t>
  </si>
  <si>
    <t>Balanza 24634</t>
  </si>
  <si>
    <t>24634</t>
  </si>
  <si>
    <t>06_000264</t>
  </si>
  <si>
    <t>Balanza 24633</t>
  </si>
  <si>
    <t>24633</t>
  </si>
  <si>
    <t>06_000265</t>
  </si>
  <si>
    <t>RRSS OC 206</t>
  </si>
  <si>
    <t>273540100</t>
  </si>
  <si>
    <t>06_000266</t>
  </si>
  <si>
    <t>RRSS OC 201</t>
  </si>
  <si>
    <t>273540099</t>
  </si>
  <si>
    <t>06_000267</t>
  </si>
  <si>
    <t>RRSS OC 202</t>
  </si>
  <si>
    <t>273540098</t>
  </si>
  <si>
    <t>06_000268</t>
  </si>
  <si>
    <t>RRSS OC203</t>
  </si>
  <si>
    <t>273540097</t>
  </si>
  <si>
    <t>06_000269</t>
  </si>
  <si>
    <t>RRSS OC 204</t>
  </si>
  <si>
    <t>273540096</t>
  </si>
  <si>
    <t>06_000270</t>
  </si>
  <si>
    <t>RRSS OC 205</t>
  </si>
  <si>
    <t>273540095</t>
  </si>
  <si>
    <t>06_000271</t>
  </si>
  <si>
    <t>Lavado 24652</t>
  </si>
  <si>
    <t>10296416423</t>
  </si>
  <si>
    <t>FLORES SIAS EDWIN EDWARDS</t>
  </si>
  <si>
    <t>24652</t>
  </si>
  <si>
    <t>24/06/2025</t>
  </si>
  <si>
    <t>06_000272</t>
  </si>
  <si>
    <t>06_000273</t>
  </si>
  <si>
    <t>Peaje 24661</t>
  </si>
  <si>
    <t>24661</t>
  </si>
  <si>
    <t>06_000274</t>
  </si>
  <si>
    <t>Balanza 24660</t>
  </si>
  <si>
    <t>24660</t>
  </si>
  <si>
    <t>06_000275</t>
  </si>
  <si>
    <t>Combustible _ Gasolina (Montacarga)</t>
  </si>
  <si>
    <t>06_000276</t>
  </si>
  <si>
    <t>Combustible _ GLP (Montacarga)</t>
  </si>
  <si>
    <t>06_000277</t>
  </si>
  <si>
    <t>RRSS OC 207</t>
  </si>
  <si>
    <t>274253119</t>
  </si>
  <si>
    <t>06_000278</t>
  </si>
  <si>
    <t>RRSS OC 208</t>
  </si>
  <si>
    <t>274253120</t>
  </si>
  <si>
    <t>06_000279</t>
  </si>
  <si>
    <t>274253098</t>
  </si>
  <si>
    <t>06_000280</t>
  </si>
  <si>
    <t>Transporte tercerizado _ Venta de Residuos RQ.COM.342 OS 005 _ 651</t>
  </si>
  <si>
    <t>20429640939</t>
  </si>
  <si>
    <t>EMPRESA DE TRANSPORTES DE CARGA COSISE S.A.C.</t>
  </si>
  <si>
    <t>274253096</t>
  </si>
  <si>
    <t>06_000281</t>
  </si>
  <si>
    <t>Transporte tercerizado _ Compra de Residuos RQ.OPE.1214 OS 005 650</t>
  </si>
  <si>
    <t>274253097</t>
  </si>
  <si>
    <t>06_000282</t>
  </si>
  <si>
    <t>Transporte tercerizado _ Compra de Residuos RQ.OPE.1192 OS 005 _ 643</t>
  </si>
  <si>
    <t>274253095</t>
  </si>
  <si>
    <t>06_000283</t>
  </si>
  <si>
    <t>Actividades Corporativas RQ.GH.199</t>
  </si>
  <si>
    <t>06_000284</t>
  </si>
  <si>
    <t>Disposición Final de RR.SS _ peligrosos</t>
  </si>
  <si>
    <t>20302891452</t>
  </si>
  <si>
    <t>INNOVA AMBIENTAL S.A.</t>
  </si>
  <si>
    <t>NRO.DET 275134919</t>
  </si>
  <si>
    <t>06_000285</t>
  </si>
  <si>
    <t>NRO.DET275134918</t>
  </si>
  <si>
    <t>21/06/2025</t>
  </si>
  <si>
    <t>06_000286</t>
  </si>
  <si>
    <t>Disposición Final de RR.SS _ No Aprovechables</t>
  </si>
  <si>
    <t>20608970909</t>
  </si>
  <si>
    <t>BIRRAK 360 S.A.C.</t>
  </si>
  <si>
    <t>63.9.9.1.04.02</t>
  </si>
  <si>
    <t>06_000287</t>
  </si>
  <si>
    <t>RRSS OC 210</t>
  </si>
  <si>
    <t>274253117</t>
  </si>
  <si>
    <t>06_000288</t>
  </si>
  <si>
    <t>274253115</t>
  </si>
  <si>
    <t>06_000289</t>
  </si>
  <si>
    <t>RRSS OC 200</t>
  </si>
  <si>
    <t>274253116</t>
  </si>
  <si>
    <t>06_000290</t>
  </si>
  <si>
    <t>Transporte tercerizado _ Disposición Fina RQ.OPE.1237 OS 005 _ 646</t>
  </si>
  <si>
    <t>20601279666</t>
  </si>
  <si>
    <t>EMPRESA DE TRANSPORTES UNIENDO DESTINOS SOCIEDAD ANÓNIMA CERRADA - TRANSPORTES UNIDEST S.A.C.</t>
  </si>
  <si>
    <t>274253113</t>
  </si>
  <si>
    <t>06_000291</t>
  </si>
  <si>
    <t>Exámenes Médicos _ Periódico RQ.GH.200</t>
  </si>
  <si>
    <t>06_000292</t>
  </si>
  <si>
    <t>Reconocimiento e incentivos  al personal</t>
  </si>
  <si>
    <t>20469090460</t>
  </si>
  <si>
    <t>A. CONSTELLATION E.I.R.L.</t>
  </si>
  <si>
    <t>FQ01</t>
  </si>
  <si>
    <t>06_000293</t>
  </si>
  <si>
    <t>06_000294</t>
  </si>
  <si>
    <t>Alquiler de montacarga  RQ.OPE.1226</t>
  </si>
  <si>
    <t>06_000295</t>
  </si>
  <si>
    <t>Alquiler de montacarga RQ.OPE.1232 OS 005 _ 641</t>
  </si>
  <si>
    <t>06_000296</t>
  </si>
  <si>
    <t>Transporte tercerizado _ Compra de Residuos RQ.OPE.122 OS 005 _ 644</t>
  </si>
  <si>
    <t>20554299441</t>
  </si>
  <si>
    <t>SOLUCIONES LOGISTICAS MEJGHIM E.I.R.L.</t>
  </si>
  <si>
    <t>274253114</t>
  </si>
  <si>
    <t>06_000297</t>
  </si>
  <si>
    <t>Revisión Técnica Vehicular RQ.OPE.1158</t>
  </si>
  <si>
    <t>06_000298</t>
  </si>
  <si>
    <t>Gastos propios del área RQ.COM.340</t>
  </si>
  <si>
    <t>20536557858</t>
  </si>
  <si>
    <t>HOMECENTERS PERUANOS S.A.</t>
  </si>
  <si>
    <t>FA26</t>
  </si>
  <si>
    <t>06_000299</t>
  </si>
  <si>
    <t>06_000300</t>
  </si>
  <si>
    <t>06_000301</t>
  </si>
  <si>
    <t>Peaje</t>
  </si>
  <si>
    <t>20228985237</t>
  </si>
  <si>
    <t>ESTACION DE SERVICIOS SAN JOSE ESPINAR-CUSCO SRL</t>
  </si>
  <si>
    <t>FVT1</t>
  </si>
  <si>
    <t>06_000302</t>
  </si>
  <si>
    <t>Balanza 24710</t>
  </si>
  <si>
    <t>24710</t>
  </si>
  <si>
    <t>06_000303</t>
  </si>
  <si>
    <t>Balanza 24692</t>
  </si>
  <si>
    <t>24692</t>
  </si>
  <si>
    <t>06_000304</t>
  </si>
  <si>
    <t>Balanza 24608</t>
  </si>
  <si>
    <t>24608</t>
  </si>
  <si>
    <t>06_000305</t>
  </si>
  <si>
    <t>Balanza 24607</t>
  </si>
  <si>
    <t>24607</t>
  </si>
  <si>
    <t>06_000306</t>
  </si>
  <si>
    <t>Balanza 24711</t>
  </si>
  <si>
    <t>24711</t>
  </si>
  <si>
    <t>06_000307</t>
  </si>
  <si>
    <t>Balanza 24712</t>
  </si>
  <si>
    <t>24712</t>
  </si>
  <si>
    <t>06_000308</t>
  </si>
  <si>
    <t>Balanza 24713</t>
  </si>
  <si>
    <t>24713</t>
  </si>
  <si>
    <t>06_000309</t>
  </si>
  <si>
    <t>Balanza 24706</t>
  </si>
  <si>
    <t>24706</t>
  </si>
  <si>
    <t>06_000310</t>
  </si>
  <si>
    <t>Balanza 24707</t>
  </si>
  <si>
    <t>24707</t>
  </si>
  <si>
    <t>06_000311</t>
  </si>
  <si>
    <t>Balanza 24708</t>
  </si>
  <si>
    <t>24708</t>
  </si>
  <si>
    <t>06_000312</t>
  </si>
  <si>
    <t>Balanza 24709</t>
  </si>
  <si>
    <t>24709</t>
  </si>
  <si>
    <t>06_000313</t>
  </si>
  <si>
    <t>Balanza 24630</t>
  </si>
  <si>
    <t>24630</t>
  </si>
  <si>
    <t>06_000314</t>
  </si>
  <si>
    <t>Balanza 24631</t>
  </si>
  <si>
    <t>24631</t>
  </si>
  <si>
    <t>06_000315</t>
  </si>
  <si>
    <t>Peaje 24704</t>
  </si>
  <si>
    <t>24704</t>
  </si>
  <si>
    <t>06_000316</t>
  </si>
  <si>
    <t>Peaje 24703</t>
  </si>
  <si>
    <t>24703</t>
  </si>
  <si>
    <t>06_000317</t>
  </si>
  <si>
    <t>Peaje 24702</t>
  </si>
  <si>
    <t>24702</t>
  </si>
  <si>
    <t>06_000318</t>
  </si>
  <si>
    <t>Peaje 24662</t>
  </si>
  <si>
    <t>24662</t>
  </si>
  <si>
    <t>06_000319</t>
  </si>
  <si>
    <t>Peaje 24604</t>
  </si>
  <si>
    <t>24604</t>
  </si>
  <si>
    <t>06_000320</t>
  </si>
  <si>
    <t>Peaje 24603</t>
  </si>
  <si>
    <t>24603</t>
  </si>
  <si>
    <t>06_000321</t>
  </si>
  <si>
    <t>Peaje 24629</t>
  </si>
  <si>
    <t>24329</t>
  </si>
  <si>
    <t>06_000322</t>
  </si>
  <si>
    <t>Peaje 24628</t>
  </si>
  <si>
    <t>24628</t>
  </si>
  <si>
    <t>06_000323</t>
  </si>
  <si>
    <t>Peaje 24606</t>
  </si>
  <si>
    <t>24606</t>
  </si>
  <si>
    <t>06_000324</t>
  </si>
  <si>
    <t>Peaje 24605</t>
  </si>
  <si>
    <t>24605</t>
  </si>
  <si>
    <t>06_000325</t>
  </si>
  <si>
    <t>Peaje 24635</t>
  </si>
  <si>
    <t>24635</t>
  </si>
  <si>
    <t>06_000326</t>
  </si>
  <si>
    <t>Peaje 24632</t>
  </si>
  <si>
    <t>24632</t>
  </si>
  <si>
    <t>06_000327</t>
  </si>
  <si>
    <t>Peaje 24602</t>
  </si>
  <si>
    <t>24602</t>
  </si>
  <si>
    <t>06_000328</t>
  </si>
  <si>
    <t>Peaje 24601</t>
  </si>
  <si>
    <t>24601</t>
  </si>
  <si>
    <t>06_000329</t>
  </si>
  <si>
    <t>Insumos / materiales</t>
  </si>
  <si>
    <t>20455841357</t>
  </si>
  <si>
    <t>NEGOCIACIONES MULTIPLES D.E.M. &amp; LAS GEMELITAS SOCIEDAD COMERCIAL DE RESPONSABILIDAD LIMITADA</t>
  </si>
  <si>
    <t>06_000330</t>
  </si>
  <si>
    <t>94.07</t>
  </si>
  <si>
    <t>Sistemas y TI</t>
  </si>
  <si>
    <t>Mantenimiento de software RQ.STI.092</t>
  </si>
  <si>
    <t>10802636143</t>
  </si>
  <si>
    <t>NARVAEZ PACHECO JUAN SERGIO</t>
  </si>
  <si>
    <t>63.4.4.1.01</t>
  </si>
  <si>
    <t>06_000331</t>
  </si>
  <si>
    <t>Mantenimiento de Equipos RQ.OPE.1208</t>
  </si>
  <si>
    <t>20604615594</t>
  </si>
  <si>
    <t>EDTSA GROUP S.A.C.</t>
  </si>
  <si>
    <t>63.4.3.4.02</t>
  </si>
  <si>
    <t>06_000332</t>
  </si>
  <si>
    <t>27/06/2025</t>
  </si>
  <si>
    <t>06_000333</t>
  </si>
  <si>
    <t>RRSS OC 218</t>
  </si>
  <si>
    <t>274253099</t>
  </si>
  <si>
    <t>06_000334</t>
  </si>
  <si>
    <t>RRSS OC 219</t>
  </si>
  <si>
    <t>274253100</t>
  </si>
  <si>
    <t>06_000335</t>
  </si>
  <si>
    <t>RRSS OC 220</t>
  </si>
  <si>
    <t>274253101</t>
  </si>
  <si>
    <t>06_000336</t>
  </si>
  <si>
    <t>RRSS OC 221</t>
  </si>
  <si>
    <t>274253102</t>
  </si>
  <si>
    <t>06_000337</t>
  </si>
  <si>
    <t>RRSS OC 222</t>
  </si>
  <si>
    <t>274253103</t>
  </si>
  <si>
    <t>06_000338</t>
  </si>
  <si>
    <t>RRSS OC 217</t>
  </si>
  <si>
    <t>274253104</t>
  </si>
  <si>
    <t>06_000339</t>
  </si>
  <si>
    <t>RRSS OC 216</t>
  </si>
  <si>
    <t>274253105</t>
  </si>
  <si>
    <t>06_000340</t>
  </si>
  <si>
    <t>RRSS OC 223</t>
  </si>
  <si>
    <t>274253106</t>
  </si>
  <si>
    <t>06_000341</t>
  </si>
  <si>
    <t>RRSS OC 224</t>
  </si>
  <si>
    <t>274253107</t>
  </si>
  <si>
    <t>06_000342</t>
  </si>
  <si>
    <t>RRSS OC 225</t>
  </si>
  <si>
    <t>274253108</t>
  </si>
  <si>
    <t>06_000343</t>
  </si>
  <si>
    <t>RRSS OC 226</t>
  </si>
  <si>
    <t>274253109</t>
  </si>
  <si>
    <t>06_000344</t>
  </si>
  <si>
    <t>RRSS OC 227</t>
  </si>
  <si>
    <t>274253110</t>
  </si>
  <si>
    <t>06_000345</t>
  </si>
  <si>
    <t>RRSS OC 214</t>
  </si>
  <si>
    <t>274253111</t>
  </si>
  <si>
    <t>06_000346</t>
  </si>
  <si>
    <t>RRSS OC 215</t>
  </si>
  <si>
    <t>274253112</t>
  </si>
  <si>
    <t>06_000347</t>
  </si>
  <si>
    <t>Balanza 24731</t>
  </si>
  <si>
    <t>24731</t>
  </si>
  <si>
    <t>06_000348</t>
  </si>
  <si>
    <t>Peaje 24725</t>
  </si>
  <si>
    <t>24725</t>
  </si>
  <si>
    <t>06_000349</t>
  </si>
  <si>
    <t>Peaje 24726</t>
  </si>
  <si>
    <t>24726</t>
  </si>
  <si>
    <t>26/06/2025</t>
  </si>
  <si>
    <t>06_000350</t>
  </si>
  <si>
    <t>Peaje 24716</t>
  </si>
  <si>
    <t>24716</t>
  </si>
  <si>
    <t>06_000351</t>
  </si>
  <si>
    <t>Peaje 24721</t>
  </si>
  <si>
    <t>24721</t>
  </si>
  <si>
    <t>06_000352</t>
  </si>
  <si>
    <t>Peaje 24701</t>
  </si>
  <si>
    <t>24701</t>
  </si>
  <si>
    <t>06_000353</t>
  </si>
  <si>
    <t>Peaje 24700</t>
  </si>
  <si>
    <t>24700</t>
  </si>
  <si>
    <t>06_000354</t>
  </si>
  <si>
    <t>Balanza 24573</t>
  </si>
  <si>
    <t>10773382439</t>
  </si>
  <si>
    <t>PAUCAR PRADO ALEXIS LORENZO</t>
  </si>
  <si>
    <t>24573</t>
  </si>
  <si>
    <t>06_000355</t>
  </si>
  <si>
    <t>Balanza 24566</t>
  </si>
  <si>
    <t>24566</t>
  </si>
  <si>
    <t>06_000356</t>
  </si>
  <si>
    <t>Balanza 24565</t>
  </si>
  <si>
    <t>24565</t>
  </si>
  <si>
    <t>06_000357</t>
  </si>
  <si>
    <t>Balanza 24564</t>
  </si>
  <si>
    <t>24564</t>
  </si>
  <si>
    <t>06_000358</t>
  </si>
  <si>
    <t>Peaje 24658</t>
  </si>
  <si>
    <t>F209</t>
  </si>
  <si>
    <t>24658</t>
  </si>
  <si>
    <t>06_000359</t>
  </si>
  <si>
    <t>Peaje 24656</t>
  </si>
  <si>
    <t>F602</t>
  </si>
  <si>
    <t>24656</t>
  </si>
  <si>
    <t>06_000360</t>
  </si>
  <si>
    <t>Peaje 24679</t>
  </si>
  <si>
    <t>24679</t>
  </si>
  <si>
    <t>06_000361</t>
  </si>
  <si>
    <t>Peaje 24643</t>
  </si>
  <si>
    <t>F205</t>
  </si>
  <si>
    <t>24643</t>
  </si>
  <si>
    <t>06_000362</t>
  </si>
  <si>
    <t>Peaje 24622</t>
  </si>
  <si>
    <t>F603</t>
  </si>
  <si>
    <t>24622</t>
  </si>
  <si>
    <t>06_000363</t>
  </si>
  <si>
    <t>Peaje 24655</t>
  </si>
  <si>
    <t>F226</t>
  </si>
  <si>
    <t>24655</t>
  </si>
  <si>
    <t>06_000364</t>
  </si>
  <si>
    <t>Peaje 24644</t>
  </si>
  <si>
    <t>F611</t>
  </si>
  <si>
    <t>24644</t>
  </si>
  <si>
    <t>06_000365</t>
  </si>
  <si>
    <t>Peaje 24619</t>
  </si>
  <si>
    <t>F210</t>
  </si>
  <si>
    <t>24619</t>
  </si>
  <si>
    <t>06_000366</t>
  </si>
  <si>
    <t>Peaje 24572</t>
  </si>
  <si>
    <t>F600</t>
  </si>
  <si>
    <t>24572</t>
  </si>
  <si>
    <t>06_000367</t>
  </si>
  <si>
    <t>Peaje 24621</t>
  </si>
  <si>
    <t>24621</t>
  </si>
  <si>
    <t>06_000368</t>
  </si>
  <si>
    <t>Peaje 24620</t>
  </si>
  <si>
    <t>24620</t>
  </si>
  <si>
    <t>06_000369</t>
  </si>
  <si>
    <t>Peaje 24562</t>
  </si>
  <si>
    <t>24562</t>
  </si>
  <si>
    <t>06_000370</t>
  </si>
  <si>
    <t>Peaje 24561</t>
  </si>
  <si>
    <t>24561</t>
  </si>
  <si>
    <t>06_000371</t>
  </si>
  <si>
    <t>Peaje 24571</t>
  </si>
  <si>
    <t>F206</t>
  </si>
  <si>
    <t>24571</t>
  </si>
  <si>
    <t>06_000372</t>
  </si>
  <si>
    <t>Peaje 24563</t>
  </si>
  <si>
    <t>24563</t>
  </si>
  <si>
    <t>06_000373</t>
  </si>
  <si>
    <t>Peaje 24558</t>
  </si>
  <si>
    <t>24558</t>
  </si>
  <si>
    <t>06_000374</t>
  </si>
  <si>
    <t>Peaje 24468</t>
  </si>
  <si>
    <t>24468</t>
  </si>
  <si>
    <t>06_000375</t>
  </si>
  <si>
    <t>Peaje 24560</t>
  </si>
  <si>
    <t>24560</t>
  </si>
  <si>
    <t>06_000376</t>
  </si>
  <si>
    <t>Peaje 24559</t>
  </si>
  <si>
    <t>24559</t>
  </si>
  <si>
    <t>06_000377</t>
  </si>
  <si>
    <t>Peaje 24466</t>
  </si>
  <si>
    <t>24466</t>
  </si>
  <si>
    <t>06_000378</t>
  </si>
  <si>
    <t>Peaje 24465</t>
  </si>
  <si>
    <t>24465</t>
  </si>
  <si>
    <t>06_000379</t>
  </si>
  <si>
    <t>Peaje 24467</t>
  </si>
  <si>
    <t>24467</t>
  </si>
  <si>
    <t>06_000380</t>
  </si>
  <si>
    <t>Alojamiento 24698</t>
  </si>
  <si>
    <t>10433026492</t>
  </si>
  <si>
    <t>HUAYLLA ARHUIRI FELICITAS</t>
  </si>
  <si>
    <t>24698</t>
  </si>
  <si>
    <t>06_000381</t>
  </si>
  <si>
    <t>Peaje 24729</t>
  </si>
  <si>
    <t>24729</t>
  </si>
  <si>
    <t>06_000382</t>
  </si>
  <si>
    <t>Balanza 24730</t>
  </si>
  <si>
    <t>24730</t>
  </si>
  <si>
    <t>06_000383</t>
  </si>
  <si>
    <t>Peaje 24719</t>
  </si>
  <si>
    <t>24719</t>
  </si>
  <si>
    <t>06_000384</t>
  </si>
  <si>
    <t>Peaje 24718</t>
  </si>
  <si>
    <t>F314</t>
  </si>
  <si>
    <t>24718</t>
  </si>
  <si>
    <t>06_000385</t>
  </si>
  <si>
    <t>Peaje 24672</t>
  </si>
  <si>
    <t>20517216241</t>
  </si>
  <si>
    <t>CARRETERA ANDINA DEL SUR S.A.C.</t>
  </si>
  <si>
    <t>F411</t>
  </si>
  <si>
    <t>24672</t>
  </si>
  <si>
    <t>06_000386</t>
  </si>
  <si>
    <t>Peaje 24671</t>
  </si>
  <si>
    <t>F412</t>
  </si>
  <si>
    <t>24671</t>
  </si>
  <si>
    <t>06_000387</t>
  </si>
  <si>
    <t>Peaje 24665</t>
  </si>
  <si>
    <t>F312</t>
  </si>
  <si>
    <t>24665</t>
  </si>
  <si>
    <t>06_000388</t>
  </si>
  <si>
    <t>20485592556</t>
  </si>
  <si>
    <t>SERVICENTRO SANTA MARTHA E.I.R.LTDA.</t>
  </si>
  <si>
    <t>24678</t>
  </si>
  <si>
    <t>06_000389</t>
  </si>
  <si>
    <t>Balanza 24586</t>
  </si>
  <si>
    <t>24586</t>
  </si>
  <si>
    <t>06_000390</t>
  </si>
  <si>
    <t>Balanza 24639</t>
  </si>
  <si>
    <t>24639</t>
  </si>
  <si>
    <t>06_000391</t>
  </si>
  <si>
    <t>Balanza 24618</t>
  </si>
  <si>
    <t>24618</t>
  </si>
  <si>
    <t>06_000392</t>
  </si>
  <si>
    <t>Balanza 24617</t>
  </si>
  <si>
    <t>24617</t>
  </si>
  <si>
    <t>06_000393</t>
  </si>
  <si>
    <t>Peaje 24616</t>
  </si>
  <si>
    <t>24616</t>
  </si>
  <si>
    <t>06_000394</t>
  </si>
  <si>
    <t>Peaje 24615</t>
  </si>
  <si>
    <t>24615</t>
  </si>
  <si>
    <t>06_000395</t>
  </si>
  <si>
    <t>Peaje 24638</t>
  </si>
  <si>
    <t>24638</t>
  </si>
  <si>
    <t>06_000396</t>
  </si>
  <si>
    <t>Peaje 24596</t>
  </si>
  <si>
    <t>24596</t>
  </si>
  <si>
    <t>06_000397</t>
  </si>
  <si>
    <t>Peaje 24594</t>
  </si>
  <si>
    <t>24594</t>
  </si>
  <si>
    <t>06_000398</t>
  </si>
  <si>
    <t>Peaje 24573</t>
  </si>
  <si>
    <t>06_000399</t>
  </si>
  <si>
    <t>Peaje 24592</t>
  </si>
  <si>
    <t>24592</t>
  </si>
  <si>
    <t>06_000400</t>
  </si>
  <si>
    <t>Exámenes Médicos _ Ingreso RQ.GH.201</t>
  </si>
  <si>
    <t>62.5.1.2.01</t>
  </si>
  <si>
    <t>06_000401</t>
  </si>
  <si>
    <t>20293774308</t>
  </si>
  <si>
    <t>TRACTO CAMIONES USA S.A.C.</t>
  </si>
  <si>
    <t>FF20</t>
  </si>
  <si>
    <t>1025</t>
  </si>
  <si>
    <t>06_000402</t>
  </si>
  <si>
    <t>Spray cinta 24433</t>
  </si>
  <si>
    <t>10413228722</t>
  </si>
  <si>
    <t>LLAMO FLORES CARLOS MANUEL</t>
  </si>
  <si>
    <t>24433</t>
  </si>
  <si>
    <t>06_000403</t>
  </si>
  <si>
    <t>Spray cinta lija de fierro 24549</t>
  </si>
  <si>
    <t>24549</t>
  </si>
  <si>
    <t>06_000404</t>
  </si>
  <si>
    <t>Alojamiento 24676</t>
  </si>
  <si>
    <t>20604583307</t>
  </si>
  <si>
    <t>INVERSIONES OP EXTREMOS SOCIEDAD COMERCIAL DE RESPONSABILIDAD LIMITADA</t>
  </si>
  <si>
    <t>24676</t>
  </si>
  <si>
    <t>06_000405</t>
  </si>
  <si>
    <t>Mantenimiento Correctivos</t>
  </si>
  <si>
    <t>30/06/2025</t>
  </si>
  <si>
    <t>06_000406</t>
  </si>
  <si>
    <t>RRSS OC 228</t>
  </si>
  <si>
    <t>275528065</t>
  </si>
  <si>
    <t>10/07/2025</t>
  </si>
  <si>
    <t>06_000407</t>
  </si>
  <si>
    <t>Balanza 24690</t>
  </si>
  <si>
    <t>24690</t>
  </si>
  <si>
    <t>06_000408</t>
  </si>
  <si>
    <t>Balanza 24689</t>
  </si>
  <si>
    <t>24689</t>
  </si>
  <si>
    <t>06_000409</t>
  </si>
  <si>
    <t>Balanza 24647</t>
  </si>
  <si>
    <t>24647</t>
  </si>
  <si>
    <t>06_000410</t>
  </si>
  <si>
    <t>Peaje 24755</t>
  </si>
  <si>
    <t>24755</t>
  </si>
  <si>
    <t>06_000411</t>
  </si>
  <si>
    <t>Peaje 24754</t>
  </si>
  <si>
    <t>24754</t>
  </si>
  <si>
    <t>06_000412</t>
  </si>
  <si>
    <t>Peaje 24746</t>
  </si>
  <si>
    <t>24746</t>
  </si>
  <si>
    <t>06_000413</t>
  </si>
  <si>
    <t>Peaje 24745</t>
  </si>
  <si>
    <t>24745</t>
  </si>
  <si>
    <t>06_000414</t>
  </si>
  <si>
    <t>Peaje 24688</t>
  </si>
  <si>
    <t>24688</t>
  </si>
  <si>
    <t>06_000415</t>
  </si>
  <si>
    <t>Peaje 24651</t>
  </si>
  <si>
    <t>24651</t>
  </si>
  <si>
    <t>06_000416</t>
  </si>
  <si>
    <t>Peaje 24646</t>
  </si>
  <si>
    <t>24646</t>
  </si>
  <si>
    <t>06_000417</t>
  </si>
  <si>
    <t>Peaje 24645</t>
  </si>
  <si>
    <t>24645</t>
  </si>
  <si>
    <t>06_000418</t>
  </si>
  <si>
    <t>Peaje 24749</t>
  </si>
  <si>
    <t>24749</t>
  </si>
  <si>
    <t>06_000419</t>
  </si>
  <si>
    <t>Peaje 24743</t>
  </si>
  <si>
    <t>24743</t>
  </si>
  <si>
    <t>06_000420</t>
  </si>
  <si>
    <t>Peaje 24739</t>
  </si>
  <si>
    <t>24739</t>
  </si>
  <si>
    <t>06_000421</t>
  </si>
  <si>
    <t>Peaje 24738</t>
  </si>
  <si>
    <t>24738</t>
  </si>
  <si>
    <t>06_000422</t>
  </si>
  <si>
    <t>Peaje 24727</t>
  </si>
  <si>
    <t>24737</t>
  </si>
  <si>
    <t>06_000423</t>
  </si>
  <si>
    <t>Peaje 24735</t>
  </si>
  <si>
    <t>24735</t>
  </si>
  <si>
    <t>06_000424</t>
  </si>
  <si>
    <t>Balanza 24717</t>
  </si>
  <si>
    <t>24717</t>
  </si>
  <si>
    <t>06_000425</t>
  </si>
  <si>
    <t>Peaje 24752</t>
  </si>
  <si>
    <t>24752</t>
  </si>
  <si>
    <t>06_000426</t>
  </si>
  <si>
    <t>Impresión de fichas de servicio / Check List RQ.OPE.1240 OS 006 _ 149</t>
  </si>
  <si>
    <t>10296695781</t>
  </si>
  <si>
    <t>BUSTAMANTE HERRERA NESTOR MOISES</t>
  </si>
  <si>
    <t>63.9.9.1.01.04</t>
  </si>
  <si>
    <t>06_000427</t>
  </si>
  <si>
    <t>Servicio de imprenta RQ.OPE.1250 OS 006 _ 150</t>
  </si>
  <si>
    <t>06_000428</t>
  </si>
  <si>
    <t>06_000429</t>
  </si>
  <si>
    <t>Balanza 24715</t>
  </si>
  <si>
    <t>20162554167</t>
  </si>
  <si>
    <t>AUTORIDAD AUTONOMA DE MAJES</t>
  </si>
  <si>
    <t>24715</t>
  </si>
  <si>
    <t>06_000430</t>
  </si>
  <si>
    <t>Balanza 24742</t>
  </si>
  <si>
    <t>24742</t>
  </si>
  <si>
    <t>06_000431</t>
  </si>
  <si>
    <t>Balanza 24736</t>
  </si>
  <si>
    <t>24736</t>
  </si>
  <si>
    <t>06_000432</t>
  </si>
  <si>
    <t>Balanza 24747</t>
  </si>
  <si>
    <t>24747</t>
  </si>
  <si>
    <t>06_000433</t>
  </si>
  <si>
    <t>Transporte tercerizado RQ.OPE.1239</t>
  </si>
  <si>
    <t>10489531963</t>
  </si>
  <si>
    <t>APAZA MENDOZA GIAN FRANCO</t>
  </si>
  <si>
    <t>275528063</t>
  </si>
  <si>
    <t>06_000434</t>
  </si>
  <si>
    <t>Transporte tercerizado RQ.OPE.1254 OS 005 _ 654</t>
  </si>
  <si>
    <t>20549334874</t>
  </si>
  <si>
    <t>EMPRESA DE TRANSPORTES MANN SOCIEDAD ANONIMA CERRADA TRANSPMANN</t>
  </si>
  <si>
    <t>275528064</t>
  </si>
  <si>
    <t>28/06/2025</t>
  </si>
  <si>
    <t>06_000435</t>
  </si>
  <si>
    <t>Transporte tercerizado RQ.OPE.1257 OS 005 _ 656</t>
  </si>
  <si>
    <t>06_000436</t>
  </si>
  <si>
    <t>Transporte tercerizado RQ.OPE.1245 OS 005 _ 650</t>
  </si>
  <si>
    <t>275528066</t>
  </si>
  <si>
    <t>06_000437</t>
  </si>
  <si>
    <t>Transporte tercerizado RQ.OPE.1249 OS 005 _ 651</t>
  </si>
  <si>
    <t>275528067</t>
  </si>
  <si>
    <t>06_000438</t>
  </si>
  <si>
    <t>Transporte tercerizado RQ.OPE.1227</t>
  </si>
  <si>
    <t>20602499481</t>
  </si>
  <si>
    <t>RESIDUOS MAYTA DEL SUR SOCIEDAD ANONIMA CERRADA - RESIDUOS MAYTA DEL SUR S.A.C.</t>
  </si>
  <si>
    <t>06_000439</t>
  </si>
  <si>
    <t>Comisión _ Giros y transferencias</t>
  </si>
  <si>
    <t>06_000440</t>
  </si>
  <si>
    <t>06_000441</t>
  </si>
  <si>
    <t>Intereses _ Credito vehicular</t>
  </si>
  <si>
    <t>20375361991</t>
  </si>
  <si>
    <t>MITSUI AUTO FINANCE PERU S.A.</t>
  </si>
  <si>
    <t>63.9.1.1.04</t>
  </si>
  <si>
    <t>06_000442</t>
  </si>
  <si>
    <t>20100053455</t>
  </si>
  <si>
    <t>BANCO INTERNACIONAL DEL PERU-INTERBANK</t>
  </si>
  <si>
    <t>FCT1</t>
  </si>
  <si>
    <t>06_000443</t>
  </si>
  <si>
    <t>06_000444</t>
  </si>
  <si>
    <t>06_000445</t>
  </si>
  <si>
    <t>Comisiones varias</t>
  </si>
  <si>
    <t>06_000446</t>
  </si>
  <si>
    <t>20100130204</t>
  </si>
  <si>
    <t>BANCO BBVA PERU</t>
  </si>
  <si>
    <t>FB22</t>
  </si>
  <si>
    <t>06_000447</t>
  </si>
  <si>
    <t>Consultoría / asesoría</t>
  </si>
  <si>
    <t>20611523450</t>
  </si>
  <si>
    <t>DRIVEN CAPITAL S.A.C.S.</t>
  </si>
  <si>
    <t>FTR1</t>
  </si>
  <si>
    <t>274253118</t>
  </si>
  <si>
    <t>63.2.1.1</t>
  </si>
  <si>
    <t>06_000448</t>
  </si>
  <si>
    <t>06_000449</t>
  </si>
  <si>
    <t>Balanza 24762</t>
  </si>
  <si>
    <t>24762</t>
  </si>
  <si>
    <t>06_000450</t>
  </si>
  <si>
    <t>Exámenes Médicos _ Ingreso RQ.GH.204</t>
  </si>
  <si>
    <t>06_000451</t>
  </si>
  <si>
    <t>06_000452</t>
  </si>
  <si>
    <t>06_000453</t>
  </si>
  <si>
    <t>Balanza 24753</t>
  </si>
  <si>
    <t>24753</t>
  </si>
  <si>
    <t>06_000454</t>
  </si>
  <si>
    <t>Balanza 24723</t>
  </si>
  <si>
    <t>24723</t>
  </si>
  <si>
    <t>06_000455</t>
  </si>
  <si>
    <t>Balanza 24724</t>
  </si>
  <si>
    <t>24724</t>
  </si>
  <si>
    <t>06_000456</t>
  </si>
  <si>
    <t>Lavado 24727</t>
  </si>
  <si>
    <t>24727</t>
  </si>
  <si>
    <t>06_000457</t>
  </si>
  <si>
    <t>RRSS OC 233</t>
  </si>
  <si>
    <t>276124038</t>
  </si>
  <si>
    <t>18/07/2025</t>
  </si>
  <si>
    <t>06_000458</t>
  </si>
  <si>
    <t>RRSS OC 232</t>
  </si>
  <si>
    <t>20605447814</t>
  </si>
  <si>
    <t>LONCCOS Y CCALAS SOCIEDAD ANONIMA CERRADA - LONCCOS Y CCALAS S.A.C.</t>
  </si>
  <si>
    <t>277160601</t>
  </si>
  <si>
    <t>1/08/2025</t>
  </si>
  <si>
    <t>06_000459</t>
  </si>
  <si>
    <t>Alquiler de montacarga RQ.OPE.1228</t>
  </si>
  <si>
    <t>06_000460</t>
  </si>
  <si>
    <t>Alquiler de montacarega RQ.OPE.1238</t>
  </si>
  <si>
    <t>06_000461</t>
  </si>
  <si>
    <t>Alquiler de montacarga RQ.OPE.1235</t>
  </si>
  <si>
    <t>06_000462</t>
  </si>
  <si>
    <t>Alquiler de montacarga RQ.OPE.1252 OS 005 _ 648</t>
  </si>
  <si>
    <t>275528068</t>
  </si>
  <si>
    <t>06_000463</t>
  </si>
  <si>
    <t>Alquiler de montacarga RQ.OPE.1256</t>
  </si>
  <si>
    <t>06_000464</t>
  </si>
  <si>
    <t>Alquiler de montacarga RQ.OPE.1243</t>
  </si>
  <si>
    <t>275528069</t>
  </si>
  <si>
    <t>06_000465</t>
  </si>
  <si>
    <t>Alquiler de montacarga RQ.OPE.1236</t>
  </si>
  <si>
    <t>06_000466</t>
  </si>
  <si>
    <t>Alquiler de montacarga RQ.OPE.1251</t>
  </si>
  <si>
    <t>06_000467</t>
  </si>
  <si>
    <t>Gastos propios del área</t>
  </si>
  <si>
    <t>06_000468</t>
  </si>
  <si>
    <t>Mantenimiento Vehicular (Preventivo) RQ.OPE.1209 OS 006 _ 151</t>
  </si>
  <si>
    <t>15609125303</t>
  </si>
  <si>
    <t>QUERALES RIVERO ELVIS ENRIQUE</t>
  </si>
  <si>
    <t>06_000469</t>
  </si>
  <si>
    <t>23/05/2025</t>
  </si>
  <si>
    <t>06_000470</t>
  </si>
  <si>
    <t>20612783871</t>
  </si>
  <si>
    <t>GROUP LUMIMART PERU E.I.R.L.</t>
  </si>
  <si>
    <t>217</t>
  </si>
  <si>
    <t>RQ.LOG310</t>
  </si>
  <si>
    <t>06_000471</t>
  </si>
  <si>
    <t>20610616675</t>
  </si>
  <si>
    <t>MAGMA PERU E.I.R.L.</t>
  </si>
  <si>
    <t>450</t>
  </si>
  <si>
    <t>26/05/2025</t>
  </si>
  <si>
    <t>06_000472</t>
  </si>
  <si>
    <t>20603679025</t>
  </si>
  <si>
    <t>TRIMAX APC INVERSIONES EMPRESA INDIVIDUAL DE RESPONSABILIDAD LIMITADA</t>
  </si>
  <si>
    <t>1014</t>
  </si>
  <si>
    <t>29/05/2025</t>
  </si>
  <si>
    <t>06_000473</t>
  </si>
  <si>
    <t>20100049181</t>
  </si>
  <si>
    <t>TAI LOY S.A.</t>
  </si>
  <si>
    <t>F561</t>
  </si>
  <si>
    <t>164498</t>
  </si>
  <si>
    <t>002-2352</t>
  </si>
  <si>
    <t>06_000474</t>
  </si>
  <si>
    <t>Utiles de escritorio _ RQ.LOG.308</t>
  </si>
  <si>
    <t>20603045638</t>
  </si>
  <si>
    <t>CORPORACION IMPORTADORA ELIDA EMP. INDIV. DE RESP. LIMITADA - CORPORACION IMPORTADORA ELIDA E.I.R.L.</t>
  </si>
  <si>
    <t>RQ.LOG.308</t>
  </si>
  <si>
    <t>60.3.1.1</t>
  </si>
  <si>
    <t>06_000475</t>
  </si>
  <si>
    <t>Plastico, envases y alimento OC 181</t>
  </si>
  <si>
    <t>275601540</t>
  </si>
  <si>
    <t>11/07/2025</t>
  </si>
  <si>
    <t>OC 181</t>
  </si>
  <si>
    <t>06_000476</t>
  </si>
  <si>
    <t>Residuos de soya OC 182</t>
  </si>
  <si>
    <t>275601539</t>
  </si>
  <si>
    <t>OC 182</t>
  </si>
  <si>
    <t>06_000477</t>
  </si>
  <si>
    <t>Crédito vehicular cuota N°57</t>
  </si>
  <si>
    <t>06_000478</t>
  </si>
  <si>
    <t>Plancha galva _ RQ.COM.292 _ RQ.COM.323 _ RQ.COM.328</t>
  </si>
  <si>
    <t>20100241022</t>
  </si>
  <si>
    <t>ACEROS COMERCIALES S C R L</t>
  </si>
  <si>
    <t>F016</t>
  </si>
  <si>
    <t>RQ.COM.292 - RQ.COM.323 - RQ.COM.328</t>
  </si>
  <si>
    <t>06_000479</t>
  </si>
  <si>
    <t>F591</t>
  </si>
  <si>
    <t>06_000480</t>
  </si>
  <si>
    <t>DISCO, THINNER, GLOSS_ RQ.COM.292 _RQ.COM.323 _ RE.COM.328</t>
  </si>
  <si>
    <t>RQ.COM.292 -RQ.COM.323 - RE.COM.328</t>
  </si>
  <si>
    <t>06_000481</t>
  </si>
  <si>
    <t>RRSS_ Factura anulada NC F102_471</t>
  </si>
  <si>
    <t>06_000482</t>
  </si>
  <si>
    <t>RRSS OC 212</t>
  </si>
  <si>
    <t>276124043</t>
  </si>
  <si>
    <t>OC 212</t>
  </si>
  <si>
    <t>06_000483</t>
  </si>
  <si>
    <t>RRSS OC 244</t>
  </si>
  <si>
    <t>276124044</t>
  </si>
  <si>
    <t>OC 244</t>
  </si>
  <si>
    <t>06_000484</t>
  </si>
  <si>
    <t>RRSS OC 211</t>
  </si>
  <si>
    <t>276124045</t>
  </si>
  <si>
    <t>OC 211</t>
  </si>
  <si>
    <t>13/05/2025</t>
  </si>
  <si>
    <t>06_000485</t>
  </si>
  <si>
    <t>15708</t>
  </si>
  <si>
    <t>06_000486</t>
  </si>
  <si>
    <t>RRSS OC 209</t>
  </si>
  <si>
    <t>276124048</t>
  </si>
  <si>
    <t>06_000487</t>
  </si>
  <si>
    <t>Induccion RQ.SSO.246</t>
  </si>
  <si>
    <t>20601369622</t>
  </si>
  <si>
    <t>SERVICONSTRUYE S.A.C.</t>
  </si>
  <si>
    <t>63.2.5.3</t>
  </si>
  <si>
    <t>06_000488</t>
  </si>
  <si>
    <t>Consultoría / asesoría _ Administrativa RQ.GER.064</t>
  </si>
  <si>
    <t>20601423058</t>
  </si>
  <si>
    <t>MARNIC MARKETING CONSULTING E.I.R.L.</t>
  </si>
  <si>
    <t>NRO DET 273255869</t>
  </si>
  <si>
    <t>06_000489</t>
  </si>
  <si>
    <t>Anulacion de operacion _ no tiene IGV</t>
  </si>
  <si>
    <t>10703649535</t>
  </si>
  <si>
    <t>MIRANDA VILLENA KARLA GIULIANA</t>
  </si>
  <si>
    <t>07</t>
  </si>
  <si>
    <t>110</t>
  </si>
  <si>
    <t>06_000490</t>
  </si>
  <si>
    <t>Devolucion de ITEM FT_ FA02_1123</t>
  </si>
  <si>
    <t>FC02</t>
  </si>
  <si>
    <t>1123</t>
  </si>
  <si>
    <t>06_000491</t>
  </si>
  <si>
    <t>Utiles de escritorios</t>
  </si>
  <si>
    <t>06_000492</t>
  </si>
  <si>
    <t>Anulacion de operacion FT _ FF02_2638</t>
  </si>
  <si>
    <t>FF01</t>
  </si>
  <si>
    <t>2638</t>
  </si>
  <si>
    <t>06_000493</t>
  </si>
  <si>
    <t>Utiles de escritorios R.Q.LOG.308</t>
  </si>
  <si>
    <t>01/07/2025</t>
  </si>
  <si>
    <t>07-000001</t>
  </si>
  <si>
    <t>FE27</t>
  </si>
  <si>
    <t>07-000002</t>
  </si>
  <si>
    <t>Mantenimiento Vehicular (Preventivo) RQ.OPE.1234 OS 006 _ 152</t>
  </si>
  <si>
    <t>07-000003</t>
  </si>
  <si>
    <t>04/07/2025</t>
  </si>
  <si>
    <t>07-000004</t>
  </si>
  <si>
    <t>RRSS OC 237</t>
  </si>
  <si>
    <t>275474594</t>
  </si>
  <si>
    <t>9/07/2025</t>
  </si>
  <si>
    <t>07-000005</t>
  </si>
  <si>
    <t>RRSS OC 238</t>
  </si>
  <si>
    <t>275474595</t>
  </si>
  <si>
    <t>07-000006</t>
  </si>
  <si>
    <t>RRSS OC 239</t>
  </si>
  <si>
    <t>275474596</t>
  </si>
  <si>
    <t>07-000007</t>
  </si>
  <si>
    <t>RRSS OC 240</t>
  </si>
  <si>
    <t>275474597</t>
  </si>
  <si>
    <t>07-000008</t>
  </si>
  <si>
    <t>RRSS OC 241</t>
  </si>
  <si>
    <t>275474598</t>
  </si>
  <si>
    <t>07-000009</t>
  </si>
  <si>
    <t>RRSS OC 242</t>
  </si>
  <si>
    <t>275474599</t>
  </si>
  <si>
    <t>07-000010</t>
  </si>
  <si>
    <t>10420945511</t>
  </si>
  <si>
    <t>COAQUIRA PAUCAR MARK FRANK</t>
  </si>
  <si>
    <t>4329</t>
  </si>
  <si>
    <t>07-000011</t>
  </si>
  <si>
    <t>292</t>
  </si>
  <si>
    <t>07-000012</t>
  </si>
  <si>
    <t>20434853428</t>
  </si>
  <si>
    <t>GRUPO LLANTOY S.R.L.</t>
  </si>
  <si>
    <t>2184</t>
  </si>
  <si>
    <t>07-000013</t>
  </si>
  <si>
    <t>10418275788</t>
  </si>
  <si>
    <t>SOSA QUISPE DE MEZA MARLENE ELIZABETH</t>
  </si>
  <si>
    <t>3588</t>
  </si>
  <si>
    <t>07-000014</t>
  </si>
  <si>
    <t>10470946054</t>
  </si>
  <si>
    <t>AYMACHOQUE MENDO MILY RUTH</t>
  </si>
  <si>
    <t>6063</t>
  </si>
  <si>
    <t>07-000017</t>
  </si>
  <si>
    <t>16740</t>
  </si>
  <si>
    <t>07-000022</t>
  </si>
  <si>
    <t>20608300393</t>
  </si>
  <si>
    <t>COMPAÑIA FOOD RETAIL S.A.C.</t>
  </si>
  <si>
    <t>FA06</t>
  </si>
  <si>
    <t>2350462</t>
  </si>
  <si>
    <t>07-000023</t>
  </si>
  <si>
    <t>285896</t>
  </si>
  <si>
    <t>07-000025</t>
  </si>
  <si>
    <t>20611525568</t>
  </si>
  <si>
    <t>DISTRIBUCIONES Y MULTISERVICIOS COROPUNA E.I.R.L.</t>
  </si>
  <si>
    <t>8919</t>
  </si>
  <si>
    <t>07-000026</t>
  </si>
  <si>
    <t>20454067682</t>
  </si>
  <si>
    <t>FERRETERIA Y MATERIALES DE CONSTRUCCION S.R.L. - FEMACO S.R.L.</t>
  </si>
  <si>
    <t>F410</t>
  </si>
  <si>
    <t>8789</t>
  </si>
  <si>
    <t>07-000029</t>
  </si>
  <si>
    <t>10776582331</t>
  </si>
  <si>
    <t>ALCCA QUISPE THALIA JACKELINE</t>
  </si>
  <si>
    <t>21501</t>
  </si>
  <si>
    <t>07-000030</t>
  </si>
  <si>
    <t>10</t>
  </si>
  <si>
    <t>275528071</t>
  </si>
  <si>
    <t>07-000031</t>
  </si>
  <si>
    <t>492</t>
  </si>
  <si>
    <t>07-000032</t>
  </si>
  <si>
    <t>458</t>
  </si>
  <si>
    <t>07-000033</t>
  </si>
  <si>
    <t>16705</t>
  </si>
  <si>
    <t>07-000034</t>
  </si>
  <si>
    <t>1426</t>
  </si>
  <si>
    <t>07-000035</t>
  </si>
  <si>
    <t>1322</t>
  </si>
  <si>
    <t>07-000037</t>
  </si>
  <si>
    <t>1403</t>
  </si>
  <si>
    <t>07-000038</t>
  </si>
  <si>
    <t>1588</t>
  </si>
  <si>
    <t>03/07/2025</t>
  </si>
  <si>
    <t>07-000039</t>
  </si>
  <si>
    <t>Pata de sensor de plataforma RQ.LOG.331</t>
  </si>
  <si>
    <t>20603001461</t>
  </si>
  <si>
    <t>BALANZAS WARTON S.R.L.</t>
  </si>
  <si>
    <t>63.4.3.4.03</t>
  </si>
  <si>
    <t>07-000040</t>
  </si>
  <si>
    <t>Peaje 24792</t>
  </si>
  <si>
    <t>24792</t>
  </si>
  <si>
    <t>07-000041</t>
  </si>
  <si>
    <t>Peaje 24793</t>
  </si>
  <si>
    <t>24793</t>
  </si>
  <si>
    <t>07-000042</t>
  </si>
  <si>
    <t>Lavado 24795</t>
  </si>
  <si>
    <t>10251876211</t>
  </si>
  <si>
    <t>MELENDEZ CHALLCO ALBERTO</t>
  </si>
  <si>
    <t>24795</t>
  </si>
  <si>
    <t>07-000043</t>
  </si>
  <si>
    <t>Balanza 24794</t>
  </si>
  <si>
    <t>24794</t>
  </si>
  <si>
    <t>07/07/2025</t>
  </si>
  <si>
    <t>07-000044</t>
  </si>
  <si>
    <t>Balanza 24800</t>
  </si>
  <si>
    <t>24800</t>
  </si>
  <si>
    <t>02/07/2025</t>
  </si>
  <si>
    <t>07-000045</t>
  </si>
  <si>
    <t>Peaje 24781</t>
  </si>
  <si>
    <t>24781</t>
  </si>
  <si>
    <t>07-000046</t>
  </si>
  <si>
    <t>Peaje 24797</t>
  </si>
  <si>
    <t>07-000047</t>
  </si>
  <si>
    <t>Peaje 24780</t>
  </si>
  <si>
    <t>24780</t>
  </si>
  <si>
    <t>07-000048</t>
  </si>
  <si>
    <t>Peaje 24799</t>
  </si>
  <si>
    <t>24799</t>
  </si>
  <si>
    <t>07-000049</t>
  </si>
  <si>
    <t>Peaje 24798</t>
  </si>
  <si>
    <t>07-000050</t>
  </si>
  <si>
    <t>Peaje 24769</t>
  </si>
  <si>
    <t>24769</t>
  </si>
  <si>
    <t>07-000051</t>
  </si>
  <si>
    <t>Peaje 24768</t>
  </si>
  <si>
    <t>24768</t>
  </si>
  <si>
    <t>07-000052</t>
  </si>
  <si>
    <t>Peaje 24778</t>
  </si>
  <si>
    <t>24778</t>
  </si>
  <si>
    <t>07-000053</t>
  </si>
  <si>
    <t>Balanza 24775</t>
  </si>
  <si>
    <t>24775</t>
  </si>
  <si>
    <t>07-000054</t>
  </si>
  <si>
    <t>Balanza 24776</t>
  </si>
  <si>
    <t>24776</t>
  </si>
  <si>
    <t>07-000057</t>
  </si>
  <si>
    <t>117018</t>
  </si>
  <si>
    <t>002-2355</t>
  </si>
  <si>
    <t>07-000058</t>
  </si>
  <si>
    <t>20100686814</t>
  </si>
  <si>
    <t>OLVA COURIER S.A.C</t>
  </si>
  <si>
    <t>F353</t>
  </si>
  <si>
    <t>34915</t>
  </si>
  <si>
    <t>002-2366</t>
  </si>
  <si>
    <t>07-000059</t>
  </si>
  <si>
    <t>117807</t>
  </si>
  <si>
    <t>002-2367</t>
  </si>
  <si>
    <t>07-000060</t>
  </si>
  <si>
    <t>117980</t>
  </si>
  <si>
    <t>002-2370</t>
  </si>
  <si>
    <t>07-000061</t>
  </si>
  <si>
    <t>F352</t>
  </si>
  <si>
    <t>76779</t>
  </si>
  <si>
    <t>002-2374</t>
  </si>
  <si>
    <t>07-000062</t>
  </si>
  <si>
    <t>118445</t>
  </si>
  <si>
    <t>07-000063</t>
  </si>
  <si>
    <t>35002</t>
  </si>
  <si>
    <t>002-2380</t>
  </si>
  <si>
    <t>07-000064</t>
  </si>
  <si>
    <t>F605</t>
  </si>
  <si>
    <t>1570248</t>
  </si>
  <si>
    <t>24751</t>
  </si>
  <si>
    <t>07-000065</t>
  </si>
  <si>
    <t>1172243</t>
  </si>
  <si>
    <t>24750</t>
  </si>
  <si>
    <t>07-000066</t>
  </si>
  <si>
    <t>Peaje 24789</t>
  </si>
  <si>
    <t>24789</t>
  </si>
  <si>
    <t>07-000067</t>
  </si>
  <si>
    <t>Peajes 24790</t>
  </si>
  <si>
    <t>24790</t>
  </si>
  <si>
    <t>07-000068</t>
  </si>
  <si>
    <t>Lavado 24791</t>
  </si>
  <si>
    <t>20514148539</t>
  </si>
  <si>
    <t>NEGOCIACIONES ABBYCORP E.I.R.L.</t>
  </si>
  <si>
    <t>24791</t>
  </si>
  <si>
    <t>07-000069</t>
  </si>
  <si>
    <t>Peaje 24802</t>
  </si>
  <si>
    <t>24802</t>
  </si>
  <si>
    <t>07-000070</t>
  </si>
  <si>
    <t>Peaje 24803</t>
  </si>
  <si>
    <t>24803</t>
  </si>
  <si>
    <t>07-000071</t>
  </si>
  <si>
    <t>Peaje 24804</t>
  </si>
  <si>
    <t>24804</t>
  </si>
  <si>
    <t>07-000072</t>
  </si>
  <si>
    <t>Peaje 24805</t>
  </si>
  <si>
    <t>24805</t>
  </si>
  <si>
    <t>07-000073</t>
  </si>
  <si>
    <t>Peaje 24806</t>
  </si>
  <si>
    <t>24806</t>
  </si>
  <si>
    <t>07-000074</t>
  </si>
  <si>
    <t>Balanza 24807</t>
  </si>
  <si>
    <t>24807</t>
  </si>
  <si>
    <t>08/07/2025</t>
  </si>
  <si>
    <t>07-000075</t>
  </si>
  <si>
    <t>Caja de electricidad</t>
  </si>
  <si>
    <t>0505003</t>
  </si>
  <si>
    <t>06/07/2025</t>
  </si>
  <si>
    <t>07-000076</t>
  </si>
  <si>
    <t>Bocaditos</t>
  </si>
  <si>
    <t>20508565934</t>
  </si>
  <si>
    <t>HIPERMERCADOS TOTTUS S.A</t>
  </si>
  <si>
    <t>FA18</t>
  </si>
  <si>
    <t>07-000077</t>
  </si>
  <si>
    <t>0307004</t>
  </si>
  <si>
    <t>07-000078</t>
  </si>
  <si>
    <t>Bandeja HDPE RQ.COM.3583</t>
  </si>
  <si>
    <t>20454029918</t>
  </si>
  <si>
    <t>CCALLPA S.A.C.</t>
  </si>
  <si>
    <t>RQ.COM.353</t>
  </si>
  <si>
    <t>07-000079</t>
  </si>
  <si>
    <t>Evaluacion medica anual _ RQ.GH.207</t>
  </si>
  <si>
    <t>RQ.GH.207</t>
  </si>
  <si>
    <t>07-000080</t>
  </si>
  <si>
    <t>Lavado y engrase de montacarga</t>
  </si>
  <si>
    <t>07-000081</t>
  </si>
  <si>
    <t>Lavado de camioneta VBW_889</t>
  </si>
  <si>
    <t>20614269309</t>
  </si>
  <si>
    <t>MULTISERVICIOS NUESTRA SRA. DE LOURDES E.I.R.L.</t>
  </si>
  <si>
    <t>0302007</t>
  </si>
  <si>
    <t>07-000082</t>
  </si>
  <si>
    <t>Peaje 24770</t>
  </si>
  <si>
    <t>24770</t>
  </si>
  <si>
    <t>07-000083</t>
  </si>
  <si>
    <t>Peaje 24771</t>
  </si>
  <si>
    <t>24771</t>
  </si>
  <si>
    <t>07-000084</t>
  </si>
  <si>
    <t>Peaje 24783</t>
  </si>
  <si>
    <t>24783</t>
  </si>
  <si>
    <t>07-000085</t>
  </si>
  <si>
    <t>Peaje 24784</t>
  </si>
  <si>
    <t>24784</t>
  </si>
  <si>
    <t>07-000086</t>
  </si>
  <si>
    <t>Balanza 24787</t>
  </si>
  <si>
    <t>24787</t>
  </si>
  <si>
    <t>07-000087</t>
  </si>
  <si>
    <t>Balanza 24772</t>
  </si>
  <si>
    <t>24772</t>
  </si>
  <si>
    <t>07-000088</t>
  </si>
  <si>
    <t>Bocaditos 0607005</t>
  </si>
  <si>
    <t>FA55</t>
  </si>
  <si>
    <t>0607005</t>
  </si>
  <si>
    <t>07-000089</t>
  </si>
  <si>
    <t>Alineamiento Mantenimiento preventivo</t>
  </si>
  <si>
    <t>20609286564</t>
  </si>
  <si>
    <t>NEUMA CENTER AMAZON S.A.C.</t>
  </si>
  <si>
    <t>0303002</t>
  </si>
  <si>
    <t>07-000090</t>
  </si>
  <si>
    <t>Internet _ Arequipa 3</t>
  </si>
  <si>
    <t>07-000091</t>
  </si>
  <si>
    <t>Evaluación medica _RQ.GH.206</t>
  </si>
  <si>
    <t>RQ.GH.206</t>
  </si>
  <si>
    <t>07-000092</t>
  </si>
  <si>
    <t>Resorte ISUZU 0302003</t>
  </si>
  <si>
    <t>20609629739</t>
  </si>
  <si>
    <t>CIFREN E.I.R.L.</t>
  </si>
  <si>
    <t>0302003</t>
  </si>
  <si>
    <t>07-000093</t>
  </si>
  <si>
    <t>Rodaje, reten, grasa 0302003</t>
  </si>
  <si>
    <t>10294003881</t>
  </si>
  <si>
    <t>VALENCIA GUTIERREZ ZOILA VIRGINIA</t>
  </si>
  <si>
    <t>07-000094</t>
  </si>
  <si>
    <t>Rodaje NTN</t>
  </si>
  <si>
    <t>20498619232</t>
  </si>
  <si>
    <t>JOSE MARCELO REPRESENTACIONES E.I.R.L.</t>
  </si>
  <si>
    <t>07-000096</t>
  </si>
  <si>
    <t>Envases, plastico y chatarra metalica OC 231</t>
  </si>
  <si>
    <t>275601526</t>
  </si>
  <si>
    <t>OC 231</t>
  </si>
  <si>
    <t>07-000098</t>
  </si>
  <si>
    <t>Envases, plastico OC 128</t>
  </si>
  <si>
    <t>275601527</t>
  </si>
  <si>
    <t>OC 128</t>
  </si>
  <si>
    <t>07-000099</t>
  </si>
  <si>
    <t>Madera chatarra OC 32</t>
  </si>
  <si>
    <t>275601528</t>
  </si>
  <si>
    <t>OC 32</t>
  </si>
  <si>
    <t>07-000100</t>
  </si>
  <si>
    <t>Plastico, envases, chatarra OC 142 FT anulada  NC F102_472</t>
  </si>
  <si>
    <t>OC 142</t>
  </si>
  <si>
    <t>07-000101</t>
  </si>
  <si>
    <t>Mamelucos, pantalon y polos _RQ.SSO.230</t>
  </si>
  <si>
    <t>20609155303</t>
  </si>
  <si>
    <t>HERLIZ CONFECCIONES E.I.R.L.</t>
  </si>
  <si>
    <t>RQ.SSO.230</t>
  </si>
  <si>
    <t>07-000102</t>
  </si>
  <si>
    <t>RRSS OC 67</t>
  </si>
  <si>
    <t>275601530</t>
  </si>
  <si>
    <t>07-000103</t>
  </si>
  <si>
    <t>RRSS OC 127</t>
  </si>
  <si>
    <t>275601531</t>
  </si>
  <si>
    <t>07-000104</t>
  </si>
  <si>
    <t>RRSS OC 250</t>
  </si>
  <si>
    <t>275601532</t>
  </si>
  <si>
    <t>07-000105</t>
  </si>
  <si>
    <t>RRSS OC 251</t>
  </si>
  <si>
    <t>275601533</t>
  </si>
  <si>
    <t>07-000106</t>
  </si>
  <si>
    <t>RRSS OC 252</t>
  </si>
  <si>
    <t>275601534</t>
  </si>
  <si>
    <t>07-000107</t>
  </si>
  <si>
    <t>RRSS OC 253</t>
  </si>
  <si>
    <t>275601535</t>
  </si>
  <si>
    <t>07-000108</t>
  </si>
  <si>
    <t>RRSS OC 254</t>
  </si>
  <si>
    <t>275601536</t>
  </si>
  <si>
    <t>07-000109</t>
  </si>
  <si>
    <t>RRSS OC 255</t>
  </si>
  <si>
    <t>275601537</t>
  </si>
  <si>
    <t>07-000110</t>
  </si>
  <si>
    <t>RRSS OC 256</t>
  </si>
  <si>
    <t>275601538</t>
  </si>
  <si>
    <t>12/07/2025</t>
  </si>
  <si>
    <t>07-000111</t>
  </si>
  <si>
    <t>Anulacion de factura F102_6921</t>
  </si>
  <si>
    <t>6921</t>
  </si>
  <si>
    <t>07-000112</t>
  </si>
  <si>
    <t>Anulacion de factura F102_6942</t>
  </si>
  <si>
    <t>6942</t>
  </si>
  <si>
    <t>07-000113</t>
  </si>
  <si>
    <t>RRSS OC 143</t>
  </si>
  <si>
    <t>275601529</t>
  </si>
  <si>
    <t>OC 143</t>
  </si>
  <si>
    <t>07-000114</t>
  </si>
  <si>
    <t>RRSS OC 246</t>
  </si>
  <si>
    <t>276124039</t>
  </si>
  <si>
    <t>OC 246</t>
  </si>
  <si>
    <t>07-000115</t>
  </si>
  <si>
    <t>RRSS OC 260</t>
  </si>
  <si>
    <t>276124040</t>
  </si>
  <si>
    <t>OC 260</t>
  </si>
  <si>
    <t>07-000116</t>
  </si>
  <si>
    <t>RRSS OC 258</t>
  </si>
  <si>
    <t>276124041</t>
  </si>
  <si>
    <t>OC 258</t>
  </si>
  <si>
    <t>09/07/2025</t>
  </si>
  <si>
    <t>07-000117</t>
  </si>
  <si>
    <t>RRSS OC 257</t>
  </si>
  <si>
    <t>276124042</t>
  </si>
  <si>
    <t>OC 257</t>
  </si>
  <si>
    <t>07-000118</t>
  </si>
  <si>
    <t>Peaje 24872</t>
  </si>
  <si>
    <t>24872</t>
  </si>
  <si>
    <t>07-000119</t>
  </si>
  <si>
    <t>Peaje 24873</t>
  </si>
  <si>
    <t>24873</t>
  </si>
  <si>
    <t>07-000120</t>
  </si>
  <si>
    <t>Peaje 24843</t>
  </si>
  <si>
    <t>24843</t>
  </si>
  <si>
    <t>07-000121</t>
  </si>
  <si>
    <t>Peaje 24845</t>
  </si>
  <si>
    <t>24845</t>
  </si>
  <si>
    <t>07-000122</t>
  </si>
  <si>
    <t>Peaje 24829</t>
  </si>
  <si>
    <t>24829</t>
  </si>
  <si>
    <t>07-000123</t>
  </si>
  <si>
    <t>Peaje 24830</t>
  </si>
  <si>
    <t>24830</t>
  </si>
  <si>
    <t>07-000124</t>
  </si>
  <si>
    <t>Peaje 24812</t>
  </si>
  <si>
    <t>24812</t>
  </si>
  <si>
    <t>07-000125</t>
  </si>
  <si>
    <t>Peaje 24821</t>
  </si>
  <si>
    <t>24821</t>
  </si>
  <si>
    <t>07-000126</t>
  </si>
  <si>
    <t>Peaje 24810</t>
  </si>
  <si>
    <t>24810</t>
  </si>
  <si>
    <t>07-000127</t>
  </si>
  <si>
    <t>Peaje 24811</t>
  </si>
  <si>
    <t>FH01</t>
  </si>
  <si>
    <t>24811</t>
  </si>
  <si>
    <t>07-000128</t>
  </si>
  <si>
    <t>Combustible 24822</t>
  </si>
  <si>
    <t>20601584001</t>
  </si>
  <si>
    <t>GRUPO EMPRESARIAL MDM E.I.R.L.</t>
  </si>
  <si>
    <t>F013</t>
  </si>
  <si>
    <t>24822</t>
  </si>
  <si>
    <t>07-000129</t>
  </si>
  <si>
    <t>Balanza 24874</t>
  </si>
  <si>
    <t>24874</t>
  </si>
  <si>
    <t>07-000130</t>
  </si>
  <si>
    <t>Balanza 24825</t>
  </si>
  <si>
    <t>24825</t>
  </si>
  <si>
    <t>07-000131</t>
  </si>
  <si>
    <t>Balanza 24831</t>
  </si>
  <si>
    <t>24831</t>
  </si>
  <si>
    <t>07-000132</t>
  </si>
  <si>
    <t>Balanza 24819</t>
  </si>
  <si>
    <t>24819</t>
  </si>
  <si>
    <t>07-000133</t>
  </si>
  <si>
    <t>Balanza 24824</t>
  </si>
  <si>
    <t>24824</t>
  </si>
  <si>
    <t>07-000134</t>
  </si>
  <si>
    <t>Balanza 24848</t>
  </si>
  <si>
    <t>24848</t>
  </si>
  <si>
    <t>07-000135</t>
  </si>
  <si>
    <t>Balanza 24813</t>
  </si>
  <si>
    <t>24813</t>
  </si>
  <si>
    <t>07-000136</t>
  </si>
  <si>
    <t>Servicios Básicos _ internet villa</t>
  </si>
  <si>
    <t>07-000137</t>
  </si>
  <si>
    <t>466228</t>
  </si>
  <si>
    <t>07-000138</t>
  </si>
  <si>
    <t>Útiles de escritorio en general</t>
  </si>
  <si>
    <t>07-000139</t>
  </si>
  <si>
    <t>07-000140</t>
  </si>
  <si>
    <t>Banners impreso RQ.COM.355</t>
  </si>
  <si>
    <t>65.9.9.9.01</t>
  </si>
  <si>
    <t>07-000141</t>
  </si>
  <si>
    <t>Mantenimiento Vehicular (Preventivo) RQ.OPE.1246 OS 006 _ 154</t>
  </si>
  <si>
    <t>07-000142</t>
  </si>
  <si>
    <t>07-000143</t>
  </si>
  <si>
    <t>Desinfeccion. desratizacion RQ.SSO.243</t>
  </si>
  <si>
    <t>20456147781</t>
  </si>
  <si>
    <t>RIFUSE SANEAMIENTO AMBIENTAL S.R.L.</t>
  </si>
  <si>
    <t>276124046</t>
  </si>
  <si>
    <t>63.2.5.1</t>
  </si>
  <si>
    <t>07-000144</t>
  </si>
  <si>
    <t>07-000145</t>
  </si>
  <si>
    <t>Desenllante 24868</t>
  </si>
  <si>
    <t>10434937391</t>
  </si>
  <si>
    <t>REVOLLO BUSTINZA JORGE LUIS</t>
  </si>
  <si>
    <t>24868</t>
  </si>
  <si>
    <t>07-000146</t>
  </si>
  <si>
    <t>Reparacion de llanta 24851</t>
  </si>
  <si>
    <t>10449376124</t>
  </si>
  <si>
    <t>TRELLES MAMANI ELMER</t>
  </si>
  <si>
    <t>24851</t>
  </si>
  <si>
    <t>07-000147</t>
  </si>
  <si>
    <t>Accesorios vehiculares 24869</t>
  </si>
  <si>
    <t>24869</t>
  </si>
  <si>
    <t>07-000148</t>
  </si>
  <si>
    <t>Liquido de freno 24870</t>
  </si>
  <si>
    <t>20610943625</t>
  </si>
  <si>
    <t>G Y A MULTISERVICIOS EL TREBOL S.R.L.</t>
  </si>
  <si>
    <t>24870</t>
  </si>
  <si>
    <t>14/07/2025</t>
  </si>
  <si>
    <t>07-000149</t>
  </si>
  <si>
    <t>Rodaje accesorio vehiculares 24882</t>
  </si>
  <si>
    <t>20453904971</t>
  </si>
  <si>
    <t>REPUESTOS NUEVA ERA E.I.R.L.</t>
  </si>
  <si>
    <t>24882</t>
  </si>
  <si>
    <t>07-000150</t>
  </si>
  <si>
    <t>Foco accesorio vehicular 24883</t>
  </si>
  <si>
    <t>20608545591</t>
  </si>
  <si>
    <t>REPUESTOS ELIBEM IMPORTACIONES S.R.L.</t>
  </si>
  <si>
    <t>24883</t>
  </si>
  <si>
    <t>07-000151</t>
  </si>
  <si>
    <t>Liquido de freno 24786</t>
  </si>
  <si>
    <t>24786</t>
  </si>
  <si>
    <t>07-000152</t>
  </si>
  <si>
    <t>Urea accesorio vehicular 24757</t>
  </si>
  <si>
    <t>20602593593</t>
  </si>
  <si>
    <t>SP TRANSPORT LOGISTIC SOCIEDAD ANONIMA CERRADA - SP TRANSPORT LOGISTIC S.A.C.</t>
  </si>
  <si>
    <t>24757</t>
  </si>
  <si>
    <t>07-000153</t>
  </si>
  <si>
    <t>Rodaje accesorio vehicular 24881</t>
  </si>
  <si>
    <t>20600725417</t>
  </si>
  <si>
    <t>DISTRIBUIDORA AREQUIPA MAJES E.I.R.L.</t>
  </si>
  <si>
    <t>24881</t>
  </si>
  <si>
    <t>07-000154</t>
  </si>
  <si>
    <t>Foco accesorio vehicular 24884</t>
  </si>
  <si>
    <t>20603219377</t>
  </si>
  <si>
    <t>REPUESTOS Y MANGUERAS INDUSTRIALES DEL SUR S.R.L. - REMINSUR S.R.L.</t>
  </si>
  <si>
    <t>24884</t>
  </si>
  <si>
    <t>07-000155</t>
  </si>
  <si>
    <t>Peaje 24857</t>
  </si>
  <si>
    <t>24857</t>
  </si>
  <si>
    <t>07-000156</t>
  </si>
  <si>
    <t>Peaje 24856</t>
  </si>
  <si>
    <t>24856</t>
  </si>
  <si>
    <t>07-000157</t>
  </si>
  <si>
    <t>Peaje 24859</t>
  </si>
  <si>
    <t>24859</t>
  </si>
  <si>
    <t>07-000158</t>
  </si>
  <si>
    <t>Peaje 24858</t>
  </si>
  <si>
    <t>24858</t>
  </si>
  <si>
    <t>07-000159</t>
  </si>
  <si>
    <t>Peaje 24861</t>
  </si>
  <si>
    <t>24861</t>
  </si>
  <si>
    <t>07-000160</t>
  </si>
  <si>
    <t>Peaje 24860</t>
  </si>
  <si>
    <t>24860</t>
  </si>
  <si>
    <t>07-000161</t>
  </si>
  <si>
    <t>Peaje 24863</t>
  </si>
  <si>
    <t>24863</t>
  </si>
  <si>
    <t>07-000162</t>
  </si>
  <si>
    <t>Peaje 24862</t>
  </si>
  <si>
    <t>24862</t>
  </si>
  <si>
    <t>07-000163</t>
  </si>
  <si>
    <t>Peaje 24864</t>
  </si>
  <si>
    <t>24864</t>
  </si>
  <si>
    <t>07-000164</t>
  </si>
  <si>
    <t>Peaje 24865</t>
  </si>
  <si>
    <t>24865</t>
  </si>
  <si>
    <t>07-000165</t>
  </si>
  <si>
    <t>Peaje 24880</t>
  </si>
  <si>
    <t>24880</t>
  </si>
  <si>
    <t>07-000166</t>
  </si>
  <si>
    <t>Balanza 24836</t>
  </si>
  <si>
    <t>24836</t>
  </si>
  <si>
    <t>07-000167</t>
  </si>
  <si>
    <t>Lavado 24877</t>
  </si>
  <si>
    <t>24877</t>
  </si>
  <si>
    <t>07-000168</t>
  </si>
  <si>
    <t>Balanza 24837</t>
  </si>
  <si>
    <t>24837</t>
  </si>
  <si>
    <t>07-000169</t>
  </si>
  <si>
    <t>Consultoría / asesoría _ Otros RQ.GER.073</t>
  </si>
  <si>
    <t>20612973530</t>
  </si>
  <si>
    <t>IGNITE LABS SOCIEDAD ANONIMA CERRADA</t>
  </si>
  <si>
    <t>275528062</t>
  </si>
  <si>
    <t>07-000170</t>
  </si>
  <si>
    <t>378395</t>
  </si>
  <si>
    <t>07-000171</t>
  </si>
  <si>
    <t>Alimentacion _ botellas de agua  RQ.COM.356</t>
  </si>
  <si>
    <t>10309622885</t>
  </si>
  <si>
    <t>QUISPE GUTIERREZ EUFRACIA</t>
  </si>
  <si>
    <t>07-000172</t>
  </si>
  <si>
    <t>Examen medico _ periodico RQ.GH.209</t>
  </si>
  <si>
    <t>07-000173</t>
  </si>
  <si>
    <t>Piedra chancada RQ.LOG.333</t>
  </si>
  <si>
    <t>20611396121</t>
  </si>
  <si>
    <t>AGREGADOS DARWIN E.I.R.L.</t>
  </si>
  <si>
    <t>276124047</t>
  </si>
  <si>
    <t>65.9.9.5.01</t>
  </si>
  <si>
    <t>07-000174</t>
  </si>
  <si>
    <t>Gabinete, bandeja metalica _ Instalaciones en general RQ.LOG.334</t>
  </si>
  <si>
    <t>10450776578</t>
  </si>
  <si>
    <t>ROQUE BORDIJUELA GROVER</t>
  </si>
  <si>
    <t>07-000175</t>
  </si>
  <si>
    <t>Monitoreo GPS RQ.OPE.1007 OS 006 _ 156</t>
  </si>
  <si>
    <t>20609580292</t>
  </si>
  <si>
    <t>GPSFOX S.A.C</t>
  </si>
  <si>
    <t>63.9.9.1.03.01</t>
  </si>
  <si>
    <t>07-000176</t>
  </si>
  <si>
    <t>Capacitaciones para el personal RQ.OPE.1275</t>
  </si>
  <si>
    <t>20606109963</t>
  </si>
  <si>
    <t>AZUL SOSTENIBLE S.A.C BIC</t>
  </si>
  <si>
    <t>63.2.8.1</t>
  </si>
  <si>
    <t>15/07/2025</t>
  </si>
  <si>
    <t>07-000177</t>
  </si>
  <si>
    <t>001-12519</t>
  </si>
  <si>
    <t>07-000178</t>
  </si>
  <si>
    <t>Mantenimiento Vehicular (Preventivo) RQ.OPE.1197 OS 006 _ 155</t>
  </si>
  <si>
    <t>07-000179</t>
  </si>
  <si>
    <t>07-000180</t>
  </si>
  <si>
    <t>Consultoría / asesoría _ Legal  julio RQ.GER.072</t>
  </si>
  <si>
    <t>20613747096</t>
  </si>
  <si>
    <t>FLORES &amp; BANDA ABOGADOS S.A.C.</t>
  </si>
  <si>
    <t>07-000181</t>
  </si>
  <si>
    <t>Emo preocupacional conductor RQ.COM.348</t>
  </si>
  <si>
    <t>20455823880</t>
  </si>
  <si>
    <t>PULSO CORPORACION MEDICA SOCIEDAD ANONIMA CERRADA</t>
  </si>
  <si>
    <t>NRO.DET 278512790</t>
  </si>
  <si>
    <t>62.5.1.1.01</t>
  </si>
  <si>
    <t>07-000182</t>
  </si>
  <si>
    <t>Pintado de oficina _ Mantenimiento de infraestructura RQ.LOG.325</t>
  </si>
  <si>
    <t>20602818161</t>
  </si>
  <si>
    <t>DINAMICA MASIVA SOCIEDAD ANONIMA CERRADA</t>
  </si>
  <si>
    <t>05/07/2025</t>
  </si>
  <si>
    <t>07-000183</t>
  </si>
  <si>
    <t>Riel de ventana, plancha de vidrio silicona RQ.LOG.318 OS 007 _ 37</t>
  </si>
  <si>
    <t>20600922310</t>
  </si>
  <si>
    <t>SERVICIOS GENERALES H Y M LA COLINA AQP E.I.R.L.</t>
  </si>
  <si>
    <t>07-000184</t>
  </si>
  <si>
    <t>Tubo cuadrado, tubo rectangular RQ.LOG.318 OS 007 _ 37</t>
  </si>
  <si>
    <t>07-000185</t>
  </si>
  <si>
    <t>Parantes,riel,planchas de yeso RQ.LOG.318 OS 007 _ 37</t>
  </si>
  <si>
    <t>07-000186</t>
  </si>
  <si>
    <t>Tubo rectangular, cuadrado RQ.LOG.318 OS 007 _ 37</t>
  </si>
  <si>
    <t>07-000187</t>
  </si>
  <si>
    <t>Fabricación de Contenedores RQ.COM.292</t>
  </si>
  <si>
    <t>20498218831</t>
  </si>
  <si>
    <t>MADE S.C.R.L.</t>
  </si>
  <si>
    <t>63.4.1.1.01</t>
  </si>
  <si>
    <t>07-000188</t>
  </si>
  <si>
    <t>466043</t>
  </si>
  <si>
    <t>07-000189</t>
  </si>
  <si>
    <t>Disposicion final</t>
  </si>
  <si>
    <t>278568674</t>
  </si>
  <si>
    <t>12/08/2025</t>
  </si>
  <si>
    <t>07-000190</t>
  </si>
  <si>
    <t>Lavado 24875</t>
  </si>
  <si>
    <t>24875</t>
  </si>
  <si>
    <t>07-000191</t>
  </si>
  <si>
    <t>Peaje 24815</t>
  </si>
  <si>
    <t>24815</t>
  </si>
  <si>
    <t>07-000192</t>
  </si>
  <si>
    <t>Peaje 24826</t>
  </si>
  <si>
    <t>24826</t>
  </si>
  <si>
    <t>07-000193</t>
  </si>
  <si>
    <t>Peaje 24814</t>
  </si>
  <si>
    <t>F228</t>
  </si>
  <si>
    <t>24814</t>
  </si>
  <si>
    <t>07-000194</t>
  </si>
  <si>
    <t>Peaje 24853</t>
  </si>
  <si>
    <t>24853</t>
  </si>
  <si>
    <t>07-000195</t>
  </si>
  <si>
    <t>Peaje 24854</t>
  </si>
  <si>
    <t>24854</t>
  </si>
  <si>
    <t>07-000196</t>
  </si>
  <si>
    <t>Peaje 24838</t>
  </si>
  <si>
    <t>24838</t>
  </si>
  <si>
    <t>07-000197</t>
  </si>
  <si>
    <t>Peaje 24847</t>
  </si>
  <si>
    <t>24847</t>
  </si>
  <si>
    <t>07-000198</t>
  </si>
  <si>
    <t>Peaje 24852</t>
  </si>
  <si>
    <t>24852</t>
  </si>
  <si>
    <t>07-000199</t>
  </si>
  <si>
    <t>Peaje 24867</t>
  </si>
  <si>
    <t>24867</t>
  </si>
  <si>
    <t>07-000200</t>
  </si>
  <si>
    <t>Peaje 24879</t>
  </si>
  <si>
    <t>24879</t>
  </si>
  <si>
    <t>07-000201</t>
  </si>
  <si>
    <t>Balanza 24801</t>
  </si>
  <si>
    <t>24801</t>
  </si>
  <si>
    <t>07-000202</t>
  </si>
  <si>
    <t>Balanza 24833</t>
  </si>
  <si>
    <t>24833</t>
  </si>
  <si>
    <t>07-000203</t>
  </si>
  <si>
    <t>Balanza 24834</t>
  </si>
  <si>
    <t>24834</t>
  </si>
  <si>
    <t>07-000204</t>
  </si>
  <si>
    <t>Balanza 24835</t>
  </si>
  <si>
    <t>24835</t>
  </si>
  <si>
    <t>07-000205</t>
  </si>
  <si>
    <t>Botellas en desuso chatarra metalica y vidrio OC 248</t>
  </si>
  <si>
    <t>276124049</t>
  </si>
  <si>
    <t>OC 248</t>
  </si>
  <si>
    <t>07-000206</t>
  </si>
  <si>
    <t>Alquiler de maquinaria RQ.OPE.1268 OS 005 _ 659</t>
  </si>
  <si>
    <t>276124050</t>
  </si>
  <si>
    <t>07-000207</t>
  </si>
  <si>
    <t>Alquiler de montacarga RQ.OPE.1276 OS 005 _ 661</t>
  </si>
  <si>
    <t>07-000208</t>
  </si>
  <si>
    <t>Alquiler de montacarga RQ.OPE.1279 OS 005 _ 662</t>
  </si>
  <si>
    <t>16/07/2025</t>
  </si>
  <si>
    <t>07-000209</t>
  </si>
  <si>
    <t>Internet Almacen 3</t>
  </si>
  <si>
    <t>07-000210</t>
  </si>
  <si>
    <t>Mantenimiento _ Equipos de cómputo (hardware)</t>
  </si>
  <si>
    <t>10409596865</t>
  </si>
  <si>
    <t>CUADROS AHUMADA JUSTINA</t>
  </si>
  <si>
    <t>63.4.3.5.01</t>
  </si>
  <si>
    <t>07-000211</t>
  </si>
  <si>
    <t>Scaneos</t>
  </si>
  <si>
    <t>10460064592</t>
  </si>
  <si>
    <t>MARQUEZ RAMOS RAMIRO</t>
  </si>
  <si>
    <t>17/07/2025</t>
  </si>
  <si>
    <t>07-000212</t>
  </si>
  <si>
    <t>Carton y bolsas de papel inservibles OC 262</t>
  </si>
  <si>
    <t>276124051</t>
  </si>
  <si>
    <t>07-000213</t>
  </si>
  <si>
    <t>Films strech usado OC 263</t>
  </si>
  <si>
    <t>276124052</t>
  </si>
  <si>
    <t>07-000214</t>
  </si>
  <si>
    <t>Sco polis inserv manufactura OC 265</t>
  </si>
  <si>
    <t>276124053</t>
  </si>
  <si>
    <t>07-000215</t>
  </si>
  <si>
    <t>Chatarra mad OC 264</t>
  </si>
  <si>
    <t>276124054</t>
  </si>
  <si>
    <t>07-000216</t>
  </si>
  <si>
    <t>Retén de cigüeñal posterior _ Accesorio vehicular 24896</t>
  </si>
  <si>
    <t>20434848262</t>
  </si>
  <si>
    <t>JLU REPRESENTACIONES E.I.R.L</t>
  </si>
  <si>
    <t>24896</t>
  </si>
  <si>
    <t>07-000217</t>
  </si>
  <si>
    <t>Compra de urea 6,67 Litros_ Accesorio vehicular  24839</t>
  </si>
  <si>
    <t>20602819834</t>
  </si>
  <si>
    <t>GRIFOS PEBSA S.A.</t>
  </si>
  <si>
    <t>F105</t>
  </si>
  <si>
    <t>24839</t>
  </si>
  <si>
    <t>07-000218</t>
  </si>
  <si>
    <t>Evaluacion medica _ ingreso RQ.GH.211</t>
  </si>
  <si>
    <t>07-000219</t>
  </si>
  <si>
    <t>Transporte de carga _ Compra de residuos RQ.OPE.1281 OS 005 _ 666</t>
  </si>
  <si>
    <t>10410162551</t>
  </si>
  <si>
    <t>PAUCCARA CONDORI ALFREDO JULIAN</t>
  </si>
  <si>
    <t>276124055</t>
  </si>
  <si>
    <t>07-000220</t>
  </si>
  <si>
    <t>07-000221</t>
  </si>
  <si>
    <t>Alquiler de montacarga RQ.OPE.1282</t>
  </si>
  <si>
    <t>10425371652</t>
  </si>
  <si>
    <t>PALOMINO DAVILA MARCOS ANTONIO</t>
  </si>
  <si>
    <t>07-000222</t>
  </si>
  <si>
    <t>Transporte de carga RQ.OPE.1270 OS 005 _ 664</t>
  </si>
  <si>
    <t>276124056</t>
  </si>
  <si>
    <t>07-000223</t>
  </si>
  <si>
    <t>Transporte de carga RQ.OPE.1273 OS 005 _ 665</t>
  </si>
  <si>
    <t>20602075177</t>
  </si>
  <si>
    <t>TRANSPORTES CARLOS KAYRO E.I.R.L.</t>
  </si>
  <si>
    <t>276124057</t>
  </si>
  <si>
    <t>07-000224</t>
  </si>
  <si>
    <t>Transporte de carga RQ.OPE.1266 OS 005 _ 663</t>
  </si>
  <si>
    <t>276124058</t>
  </si>
  <si>
    <t>07-000225</t>
  </si>
  <si>
    <t>Consultoría / asesoría  RQ.GER.075</t>
  </si>
  <si>
    <t>20612108651</t>
  </si>
  <si>
    <t>ASIRI MARKET RESEARCH INSIGHTS E.I.R.L.</t>
  </si>
  <si>
    <t>275528070</t>
  </si>
  <si>
    <t>07-000226</t>
  </si>
  <si>
    <t>07-000227</t>
  </si>
  <si>
    <t>Evaluacion medica _ ingreso RQ.GH.214</t>
  </si>
  <si>
    <t>07-000228</t>
  </si>
  <si>
    <t>Alquiler de montacarga RQ.OPE.1272 OS 005 _ 660</t>
  </si>
  <si>
    <t>07-000229</t>
  </si>
  <si>
    <t>Alquiler de montacarga RQ.OPE.1265 OS 005 _ 658</t>
  </si>
  <si>
    <t>07-000230</t>
  </si>
  <si>
    <t>Gasolina (Montacarga)</t>
  </si>
  <si>
    <t>07-000231</t>
  </si>
  <si>
    <t>07-000232</t>
  </si>
  <si>
    <t>07-000233</t>
  </si>
  <si>
    <t>07-000234</t>
  </si>
  <si>
    <t>Lavado 24895</t>
  </si>
  <si>
    <t>24895</t>
  </si>
  <si>
    <t>07-000235</t>
  </si>
  <si>
    <t>Alojamiento 24817</t>
  </si>
  <si>
    <t>10426317511</t>
  </si>
  <si>
    <t>JAHUIRA CALDERON HELGA DANITZA</t>
  </si>
  <si>
    <t>24817</t>
  </si>
  <si>
    <t>07-000236</t>
  </si>
  <si>
    <t>Balanza 24889</t>
  </si>
  <si>
    <t>24889</t>
  </si>
  <si>
    <t>07-000237</t>
  </si>
  <si>
    <t>Peaje 24894</t>
  </si>
  <si>
    <t>24894</t>
  </si>
  <si>
    <t>07-000238</t>
  </si>
  <si>
    <t>Peaje 24893</t>
  </si>
  <si>
    <t>24893</t>
  </si>
  <si>
    <t>07-000239</t>
  </si>
  <si>
    <t>Peaje 24887</t>
  </si>
  <si>
    <t>24887</t>
  </si>
  <si>
    <t>07-000240</t>
  </si>
  <si>
    <t>Peaje 24888</t>
  </si>
  <si>
    <t>24888</t>
  </si>
  <si>
    <t>07-000241</t>
  </si>
  <si>
    <t>Bolsas de aluminio,bolsas de papel,plastico OC 194</t>
  </si>
  <si>
    <t>276124059</t>
  </si>
  <si>
    <t>OC 194</t>
  </si>
  <si>
    <t>07-000242</t>
  </si>
  <si>
    <t>Alquiler de montacarga RQ.OPE.1278</t>
  </si>
  <si>
    <t>07-000243</t>
  </si>
  <si>
    <t>Alquiler de montacarga RQ.OPE.1277</t>
  </si>
  <si>
    <t>07-000244</t>
  </si>
  <si>
    <t>Trasporte de carga RQ.OPE.1284 OS 005 _ 668</t>
  </si>
  <si>
    <t>276642061</t>
  </si>
  <si>
    <t>25/07/2025</t>
  </si>
  <si>
    <t>07-000245</t>
  </si>
  <si>
    <t>Alambron OC 269</t>
  </si>
  <si>
    <t>277160605</t>
  </si>
  <si>
    <t>OC 269</t>
  </si>
  <si>
    <t>07-000246</t>
  </si>
  <si>
    <t>Alambron OC 270</t>
  </si>
  <si>
    <t>277160606</t>
  </si>
  <si>
    <t>OC 270</t>
  </si>
  <si>
    <t>07-000247</t>
  </si>
  <si>
    <t>Alambron OC 271</t>
  </si>
  <si>
    <t>277160608</t>
  </si>
  <si>
    <t>OC 271</t>
  </si>
  <si>
    <t>21/07/2025</t>
  </si>
  <si>
    <t>07-000248</t>
  </si>
  <si>
    <t>Bidones,vidrios en desuso,botas de jebe OC 266</t>
  </si>
  <si>
    <t>276642062</t>
  </si>
  <si>
    <t>OC 266</t>
  </si>
  <si>
    <t>19/07/2025</t>
  </si>
  <si>
    <t>07-000249</t>
  </si>
  <si>
    <t>Disco de embrague _ Accesorio vehicular</t>
  </si>
  <si>
    <t>07-000250</t>
  </si>
  <si>
    <t>Intereses de Credito vehicular N 58</t>
  </si>
  <si>
    <t>07-000251</t>
  </si>
  <si>
    <t>07-000252</t>
  </si>
  <si>
    <t>Mantenimiento Vehicular (Preventivo) RQ.OPE.1280 OS 006 _ 159</t>
  </si>
  <si>
    <t>07-000253</t>
  </si>
  <si>
    <t>381043</t>
  </si>
  <si>
    <t>07-000254</t>
  </si>
  <si>
    <t>Alquiler de maquinaria RQ.OPE.1287 OS 005 _ 670</t>
  </si>
  <si>
    <t>63.5.4.1.04</t>
  </si>
  <si>
    <t>07-000255</t>
  </si>
  <si>
    <t>Balanza 24934</t>
  </si>
  <si>
    <t>24934</t>
  </si>
  <si>
    <t>07-000256</t>
  </si>
  <si>
    <t>Balanza 24933</t>
  </si>
  <si>
    <t>24933</t>
  </si>
  <si>
    <t>07-000257</t>
  </si>
  <si>
    <t>Peaje 24931</t>
  </si>
  <si>
    <t>24931</t>
  </si>
  <si>
    <t>07-000258</t>
  </si>
  <si>
    <t>Peaje 24932</t>
  </si>
  <si>
    <t>24932</t>
  </si>
  <si>
    <t>07-000259</t>
  </si>
  <si>
    <t>Balanza 24946</t>
  </si>
  <si>
    <t>24946</t>
  </si>
  <si>
    <t>07-000260</t>
  </si>
  <si>
    <t>Balanza 24918</t>
  </si>
  <si>
    <t>24918</t>
  </si>
  <si>
    <t>07-000261</t>
  </si>
  <si>
    <t>Peaje 24914</t>
  </si>
  <si>
    <t>24914</t>
  </si>
  <si>
    <t>07-000262</t>
  </si>
  <si>
    <t>Peaje 24915</t>
  </si>
  <si>
    <t>24915</t>
  </si>
  <si>
    <t>07-000263</t>
  </si>
  <si>
    <t>Peaje 24943</t>
  </si>
  <si>
    <t>24943</t>
  </si>
  <si>
    <t>07-000264</t>
  </si>
  <si>
    <t>Peaje 24944</t>
  </si>
  <si>
    <t>24944</t>
  </si>
  <si>
    <t>07-000265</t>
  </si>
  <si>
    <t>Balanza 24945</t>
  </si>
  <si>
    <t>24945</t>
  </si>
  <si>
    <t>07-000266</t>
  </si>
  <si>
    <t>Peaje 24916</t>
  </si>
  <si>
    <t>24916</t>
  </si>
  <si>
    <t>07-000267</t>
  </si>
  <si>
    <t>Peaje 24917</t>
  </si>
  <si>
    <t>24917</t>
  </si>
  <si>
    <t>07-000268</t>
  </si>
  <si>
    <t>Balanza 24936</t>
  </si>
  <si>
    <t>24936</t>
  </si>
  <si>
    <t>07-000269</t>
  </si>
  <si>
    <t>Balanza 24937</t>
  </si>
  <si>
    <t>24937</t>
  </si>
  <si>
    <t>07-000270</t>
  </si>
  <si>
    <t>Peaje 24900</t>
  </si>
  <si>
    <t>24900</t>
  </si>
  <si>
    <t>07-000271</t>
  </si>
  <si>
    <t>Peaje 24901</t>
  </si>
  <si>
    <t>24901</t>
  </si>
  <si>
    <t>07-000272</t>
  </si>
  <si>
    <t>Peaje 24902</t>
  </si>
  <si>
    <t>24902</t>
  </si>
  <si>
    <t>07-000273</t>
  </si>
  <si>
    <t>Peaje 24907</t>
  </si>
  <si>
    <t>24907</t>
  </si>
  <si>
    <t>07-000274</t>
  </si>
  <si>
    <t>Peaje 24903</t>
  </si>
  <si>
    <t>24903</t>
  </si>
  <si>
    <t>07-000275</t>
  </si>
  <si>
    <t>Peaje 24909</t>
  </si>
  <si>
    <t>24909</t>
  </si>
  <si>
    <t>07-000276</t>
  </si>
  <si>
    <t>Peaje 24910</t>
  </si>
  <si>
    <t>24910</t>
  </si>
  <si>
    <t>07-000277</t>
  </si>
  <si>
    <t>Peaje 24911</t>
  </si>
  <si>
    <t>24911</t>
  </si>
  <si>
    <t>07-000278</t>
  </si>
  <si>
    <t>Peaje 24938</t>
  </si>
  <si>
    <t>24938</t>
  </si>
  <si>
    <t>07-000279</t>
  </si>
  <si>
    <t>Peaje 24941</t>
  </si>
  <si>
    <t>24941</t>
  </si>
  <si>
    <t>07-000280</t>
  </si>
  <si>
    <t>Peaje 24960</t>
  </si>
  <si>
    <t>24960</t>
  </si>
  <si>
    <t>07-000281</t>
  </si>
  <si>
    <t>Balanza 24904</t>
  </si>
  <si>
    <t>24904</t>
  </si>
  <si>
    <t>07-000282</t>
  </si>
  <si>
    <t>Balanza 24905</t>
  </si>
  <si>
    <t>24905</t>
  </si>
  <si>
    <t>07-000283</t>
  </si>
  <si>
    <t>Balanza 24906</t>
  </si>
  <si>
    <t>24906</t>
  </si>
  <si>
    <t>22/07/2025</t>
  </si>
  <si>
    <t>07-000284</t>
  </si>
  <si>
    <t>Sco polis inserv OC 276</t>
  </si>
  <si>
    <t>276642063</t>
  </si>
  <si>
    <t>OC 276</t>
  </si>
  <si>
    <t>07-000285</t>
  </si>
  <si>
    <t>Film strech usado OC 277</t>
  </si>
  <si>
    <t>276642064</t>
  </si>
  <si>
    <t>OC 277</t>
  </si>
  <si>
    <t>07-000286</t>
  </si>
  <si>
    <t>Cilindros usado x  55 gl plas OC 278</t>
  </si>
  <si>
    <t>276642065</t>
  </si>
  <si>
    <t>OC 278</t>
  </si>
  <si>
    <t>07-000287</t>
  </si>
  <si>
    <t>Tubos de carton OC 279</t>
  </si>
  <si>
    <t>276642066</t>
  </si>
  <si>
    <t>OC 279</t>
  </si>
  <si>
    <t>07-000288</t>
  </si>
  <si>
    <t>Galleta rota sucia 30kg OC 280</t>
  </si>
  <si>
    <t>276642067</t>
  </si>
  <si>
    <t>OC 280</t>
  </si>
  <si>
    <t>07-000289</t>
  </si>
  <si>
    <t>Carton y bolsas papel inservibles OC 275</t>
  </si>
  <si>
    <t>276642068</t>
  </si>
  <si>
    <t>OC 275</t>
  </si>
  <si>
    <t>07-000290</t>
  </si>
  <si>
    <t>Separadores y cajas de carton en desuso OC 274</t>
  </si>
  <si>
    <t>276642069</t>
  </si>
  <si>
    <t>OC 274</t>
  </si>
  <si>
    <t>07-000291</t>
  </si>
  <si>
    <t>Strech fill transparente en desuso OC 273</t>
  </si>
  <si>
    <t>276642070</t>
  </si>
  <si>
    <t>OC 273</t>
  </si>
  <si>
    <t>07-000292</t>
  </si>
  <si>
    <t>Strech fill de negro en desuso OC 272</t>
  </si>
  <si>
    <t>276642071</t>
  </si>
  <si>
    <t>OC 272</t>
  </si>
  <si>
    <t>07-000293</t>
  </si>
  <si>
    <t>Frascos de vidrio 1020 ml en desuso OC 267</t>
  </si>
  <si>
    <t>276642072</t>
  </si>
  <si>
    <t>OC 267</t>
  </si>
  <si>
    <t>07-000294</t>
  </si>
  <si>
    <t>Alambron OC 281</t>
  </si>
  <si>
    <t>277160609</t>
  </si>
  <si>
    <t>OC 281</t>
  </si>
  <si>
    <t>07-000295</t>
  </si>
  <si>
    <t>Alambron OC 282</t>
  </si>
  <si>
    <t>277160611</t>
  </si>
  <si>
    <t>OC 282</t>
  </si>
  <si>
    <t>07-000296</t>
  </si>
  <si>
    <t>Alambron OC 283</t>
  </si>
  <si>
    <t>277160613</t>
  </si>
  <si>
    <t>OC 283</t>
  </si>
  <si>
    <t>07-000297</t>
  </si>
  <si>
    <t>Alambron OC 284</t>
  </si>
  <si>
    <t>277160615</t>
  </si>
  <si>
    <t>OC 284</t>
  </si>
  <si>
    <t>24/07/2025</t>
  </si>
  <si>
    <t>07-000298</t>
  </si>
  <si>
    <t>Aluminio,chatarra metalica OC 243</t>
  </si>
  <si>
    <t>276642073</t>
  </si>
  <si>
    <t>OC 243</t>
  </si>
  <si>
    <t>07-000299</t>
  </si>
  <si>
    <t>Madera,chatarra OC 143</t>
  </si>
  <si>
    <t>276642074</t>
  </si>
  <si>
    <t>07-000300</t>
  </si>
  <si>
    <t>Hojalata en desuso OC 1686</t>
  </si>
  <si>
    <t>276642075</t>
  </si>
  <si>
    <t>OC 1686</t>
  </si>
  <si>
    <t>07-000301</t>
  </si>
  <si>
    <t>Lineas corporativas</t>
  </si>
  <si>
    <t>07-000302</t>
  </si>
  <si>
    <t>07-000303</t>
  </si>
  <si>
    <t>Telefono corporativo</t>
  </si>
  <si>
    <t>07-000304</t>
  </si>
  <si>
    <t>07-000305</t>
  </si>
  <si>
    <t>4001</t>
  </si>
  <si>
    <t>07-000306</t>
  </si>
  <si>
    <t>Examen medico _ Ingreso RQ.GH.217</t>
  </si>
  <si>
    <t>07-000307</t>
  </si>
  <si>
    <t>Examen medico _ Ingreso RQ.GH.216</t>
  </si>
  <si>
    <t>07-000308</t>
  </si>
  <si>
    <t>Examen medico _ Ingreso RQ.GH.215</t>
  </si>
  <si>
    <t>07-000309</t>
  </si>
  <si>
    <t>Actualizacion de requisitos legales RQ.SIG.031</t>
  </si>
  <si>
    <t>07-000310</t>
  </si>
  <si>
    <t>Constatacion notarial RQ.COM.357</t>
  </si>
  <si>
    <t>10295259634</t>
  </si>
  <si>
    <t>LINARES RIVEROS MIGUEL ANGEL</t>
  </si>
  <si>
    <t>277160617</t>
  </si>
  <si>
    <t>63.2.2.1.01</t>
  </si>
  <si>
    <t>07-000311</t>
  </si>
  <si>
    <t>Alquiler de montacarga RQ.OPE.1269</t>
  </si>
  <si>
    <t>07-000312</t>
  </si>
  <si>
    <t>29/06/2025</t>
  </si>
  <si>
    <t>07-000313</t>
  </si>
  <si>
    <t>20610760008</t>
  </si>
  <si>
    <t>VEMINS SERVICIOS GASTRONOMICOS E.I.R.L.</t>
  </si>
  <si>
    <t>07-000314</t>
  </si>
  <si>
    <t>Alquiler de montacarga RQ.OPE.1299</t>
  </si>
  <si>
    <t>07-000315</t>
  </si>
  <si>
    <t>Alquiler de montacarga RQ.OPE.1298</t>
  </si>
  <si>
    <t>07-000316</t>
  </si>
  <si>
    <t>Alquiler de montacarga RQ.OPE.1295 OS 005_668</t>
  </si>
  <si>
    <t>07-000317</t>
  </si>
  <si>
    <t>Alquiler de montacarga RQ.OPE.1290</t>
  </si>
  <si>
    <t>07-000318</t>
  </si>
  <si>
    <t>Alquiler de montacarga RQ.OPE.1301 OS 005_669</t>
  </si>
  <si>
    <t>07-000319</t>
  </si>
  <si>
    <t>Alimentacion canino</t>
  </si>
  <si>
    <t>20492092313</t>
  </si>
  <si>
    <t>MAKRO SUPERMAYORISTA S.A.</t>
  </si>
  <si>
    <t>FA05</t>
  </si>
  <si>
    <t>07-000320</t>
  </si>
  <si>
    <t>Broca,arandela,tarugo,broca</t>
  </si>
  <si>
    <t>07-000321</t>
  </si>
  <si>
    <t>Plato opresor, insumos _ Mantenimiento Vehicular (Preventivo) RQ.OPE.1184 OS 006_161</t>
  </si>
  <si>
    <t>07-000322</t>
  </si>
  <si>
    <t>Cambio de kit de embrague Mantenimiento Vehicular (Preventivo) RQ.OPE.1184 OS 006 _ 161</t>
  </si>
  <si>
    <t>07-000323</t>
  </si>
  <si>
    <t>20515659324</t>
  </si>
  <si>
    <t>TURISMO INTERNACIONAL PALOMINO SOCIEDAD ANONIMA CERRADA - TURISMO INTERNACIONAL PALOMINO S.A.C.</t>
  </si>
  <si>
    <t>F399</t>
  </si>
  <si>
    <t>07-000324</t>
  </si>
  <si>
    <t>GPS RQ.OPE.1263 OS 006_162</t>
  </si>
  <si>
    <t>20604304831</t>
  </si>
  <si>
    <t>360 GPS S.A.C.</t>
  </si>
  <si>
    <t>07-000325</t>
  </si>
  <si>
    <t>Servicio de plataforma 360 corporativo RQ.OPE.1263 OS 006_162</t>
  </si>
  <si>
    <t>07-000326</t>
  </si>
  <si>
    <t>Peaje 24979</t>
  </si>
  <si>
    <t>24979</t>
  </si>
  <si>
    <t>07-000327</t>
  </si>
  <si>
    <t>Peaje 24980</t>
  </si>
  <si>
    <t>24980</t>
  </si>
  <si>
    <t>07-000328</t>
  </si>
  <si>
    <t>Peaje 24976</t>
  </si>
  <si>
    <t>24976</t>
  </si>
  <si>
    <t>07-000329</t>
  </si>
  <si>
    <t>Peaje 24977</t>
  </si>
  <si>
    <t>24977</t>
  </si>
  <si>
    <t>07-000330</t>
  </si>
  <si>
    <t>Peaje 24974</t>
  </si>
  <si>
    <t>24974</t>
  </si>
  <si>
    <t>07-000331</t>
  </si>
  <si>
    <t>Peaje 24975</t>
  </si>
  <si>
    <t>24975</t>
  </si>
  <si>
    <t>07-000332</t>
  </si>
  <si>
    <t>Peaje 24978</t>
  </si>
  <si>
    <t>24978</t>
  </si>
  <si>
    <t>07-000333</t>
  </si>
  <si>
    <t>Balanza 24981</t>
  </si>
  <si>
    <t>24981</t>
  </si>
  <si>
    <t>07-000334</t>
  </si>
  <si>
    <t>Peaje 24927</t>
  </si>
  <si>
    <t>24927</t>
  </si>
  <si>
    <t>07-000335</t>
  </si>
  <si>
    <t>Peaje 24928</t>
  </si>
  <si>
    <t>24928</t>
  </si>
  <si>
    <t>07-000336</t>
  </si>
  <si>
    <t>Peaje 24925</t>
  </si>
  <si>
    <t>24925</t>
  </si>
  <si>
    <t>07-000337</t>
  </si>
  <si>
    <t>Peaje 24926</t>
  </si>
  <si>
    <t>24926</t>
  </si>
  <si>
    <t>07-000338</t>
  </si>
  <si>
    <t>Peaje 24846</t>
  </si>
  <si>
    <t>24846</t>
  </si>
  <si>
    <t>07-000339</t>
  </si>
  <si>
    <t>Peaje 24913</t>
  </si>
  <si>
    <t>24913</t>
  </si>
  <si>
    <t>07-000340</t>
  </si>
  <si>
    <t>Peaje 24842</t>
  </si>
  <si>
    <t>24842</t>
  </si>
  <si>
    <t>07-000341</t>
  </si>
  <si>
    <t>Peaje 24844</t>
  </si>
  <si>
    <t>24844</t>
  </si>
  <si>
    <t>07-000342</t>
  </si>
  <si>
    <t>Balanza 25002</t>
  </si>
  <si>
    <t>25002</t>
  </si>
  <si>
    <t>07-000343</t>
  </si>
  <si>
    <t>Balanza 25009</t>
  </si>
  <si>
    <t>25009</t>
  </si>
  <si>
    <t>07-000344</t>
  </si>
  <si>
    <t>Balanza 24962</t>
  </si>
  <si>
    <t>24962</t>
  </si>
  <si>
    <t>07-000345</t>
  </si>
  <si>
    <t>Balanza 24850</t>
  </si>
  <si>
    <t>24850</t>
  </si>
  <si>
    <t>07-000346</t>
  </si>
  <si>
    <t>Balanza 24849</t>
  </si>
  <si>
    <t>24849</t>
  </si>
  <si>
    <t>07-000347</t>
  </si>
  <si>
    <t>07-000348</t>
  </si>
  <si>
    <t>07-000349</t>
  </si>
  <si>
    <t>Mantenimiento Correctivo: Soldadura de la caja de herramientas</t>
  </si>
  <si>
    <t>10704693015</t>
  </si>
  <si>
    <t>RODRIGUEZ PUTAPAÑA JUAN LUIS</t>
  </si>
  <si>
    <t>07-000350</t>
  </si>
  <si>
    <t>Balanza 24991</t>
  </si>
  <si>
    <t>24991</t>
  </si>
  <si>
    <t>07-000351</t>
  </si>
  <si>
    <t>Peaje 25017</t>
  </si>
  <si>
    <t>25017</t>
  </si>
  <si>
    <t>07-000352</t>
  </si>
  <si>
    <t>Balanza 24959</t>
  </si>
  <si>
    <t>24959</t>
  </si>
  <si>
    <t>07-000353</t>
  </si>
  <si>
    <t>Peaje 25016</t>
  </si>
  <si>
    <t>25016</t>
  </si>
  <si>
    <t>07-000354</t>
  </si>
  <si>
    <t>Peaje 25015</t>
  </si>
  <si>
    <t>25015</t>
  </si>
  <si>
    <t>07-000355</t>
  </si>
  <si>
    <t>Peaje 24998</t>
  </si>
  <si>
    <t>24998</t>
  </si>
  <si>
    <t>07-000356</t>
  </si>
  <si>
    <t>Peaje 24997</t>
  </si>
  <si>
    <t>24997</t>
  </si>
  <si>
    <t>23/07/2025</t>
  </si>
  <si>
    <t>07-000357</t>
  </si>
  <si>
    <t>Alojamiento 25024</t>
  </si>
  <si>
    <t>10089085042</t>
  </si>
  <si>
    <t>GUEVARA PEREZ MARIA</t>
  </si>
  <si>
    <t>25024</t>
  </si>
  <si>
    <t>07-000358</t>
  </si>
  <si>
    <t>Combustible 25028</t>
  </si>
  <si>
    <t>25028</t>
  </si>
  <si>
    <t>07-000359</t>
  </si>
  <si>
    <t>07-000360</t>
  </si>
  <si>
    <t>Balanza 24990</t>
  </si>
  <si>
    <t>24990</t>
  </si>
  <si>
    <t>07-000361</t>
  </si>
  <si>
    <t>Peaje 25036</t>
  </si>
  <si>
    <t>25036</t>
  </si>
  <si>
    <t>07-000362</t>
  </si>
  <si>
    <t>Peaje 25027</t>
  </si>
  <si>
    <t>25027</t>
  </si>
  <si>
    <t>07-000363</t>
  </si>
  <si>
    <t>Peaje 25020</t>
  </si>
  <si>
    <t>25020</t>
  </si>
  <si>
    <t>07-000364</t>
  </si>
  <si>
    <t>Peaje 25005</t>
  </si>
  <si>
    <t>F311</t>
  </si>
  <si>
    <t>25005</t>
  </si>
  <si>
    <t>07-000365</t>
  </si>
  <si>
    <t>30/07/2025</t>
  </si>
  <si>
    <t>07-000366</t>
  </si>
  <si>
    <t>07-000367</t>
  </si>
  <si>
    <t>07-000368</t>
  </si>
  <si>
    <t>07-000369</t>
  </si>
  <si>
    <t>Transporte de carga RQ.OPE.1318 OS 005_683</t>
  </si>
  <si>
    <t>277160619</t>
  </si>
  <si>
    <t>29/07/2025</t>
  </si>
  <si>
    <t>07-000370</t>
  </si>
  <si>
    <t>Transporte de carga RQ.OPE.1307 OS 005_676</t>
  </si>
  <si>
    <t>277160621</t>
  </si>
  <si>
    <t>07-000371</t>
  </si>
  <si>
    <t>Transporte de carga RQ.OPE.1304 OS 005 _ 675</t>
  </si>
  <si>
    <t>277160624</t>
  </si>
  <si>
    <t>07-000372</t>
  </si>
  <si>
    <t>Transporte de carga RQ.COM.359 OS 005_682</t>
  </si>
  <si>
    <t>277160626</t>
  </si>
  <si>
    <t>07-000373</t>
  </si>
  <si>
    <t>Transporte de carga RQ.OPE.1303 OS 005_674</t>
  </si>
  <si>
    <t>277160629</t>
  </si>
  <si>
    <t>07-000374</t>
  </si>
  <si>
    <t>Madera,chatarra metalica OC_259</t>
  </si>
  <si>
    <t>277160631</t>
  </si>
  <si>
    <t>OC 259</t>
  </si>
  <si>
    <t>31/07/2025</t>
  </si>
  <si>
    <t>07-000375</t>
  </si>
  <si>
    <t>Sacos de proplip, bolsa de papel,plastico,carton,bolsas de aluminio OC 286</t>
  </si>
  <si>
    <t>277160632</t>
  </si>
  <si>
    <t>OC 286</t>
  </si>
  <si>
    <t>07-000376</t>
  </si>
  <si>
    <t>Madera,chatarra metalica OC268</t>
  </si>
  <si>
    <t>277160634</t>
  </si>
  <si>
    <t>OC 268</t>
  </si>
  <si>
    <t>07-000377</t>
  </si>
  <si>
    <t>Alambron OC 296</t>
  </si>
  <si>
    <t>277160635</t>
  </si>
  <si>
    <t>OC 296</t>
  </si>
  <si>
    <t>07-000378</t>
  </si>
  <si>
    <t>Alambron OC 297</t>
  </si>
  <si>
    <t>277160637</t>
  </si>
  <si>
    <t>OC 297</t>
  </si>
  <si>
    <t>07-000379</t>
  </si>
  <si>
    <t>Alambron OC 298</t>
  </si>
  <si>
    <t>277160639</t>
  </si>
  <si>
    <t>OC 298</t>
  </si>
  <si>
    <t>07-000380</t>
  </si>
  <si>
    <t>Examen medico _ ingreso RQ.GH.219</t>
  </si>
  <si>
    <t>07-000381</t>
  </si>
  <si>
    <t>Filtro aceite,filtro separador _ Mantenimiento Vehicular (Preventivo) RQ.OPE.1260 OS 006_153</t>
  </si>
  <si>
    <t>20611593920</t>
  </si>
  <si>
    <t>GRUPO HUAMCO PERU S.A.C.</t>
  </si>
  <si>
    <t>07-000382</t>
  </si>
  <si>
    <t>Transporte de carga RQ.OPE.1302 OS 005_673</t>
  </si>
  <si>
    <t>07-000383</t>
  </si>
  <si>
    <t>Alquiler de montacarga RQ.OPE.1310</t>
  </si>
  <si>
    <t>07-000384</t>
  </si>
  <si>
    <t>Transporte de carga RQ.OPE.1309 OS 005_678</t>
  </si>
  <si>
    <t>277450128</t>
  </si>
  <si>
    <t>5/08/2025</t>
  </si>
  <si>
    <t>07-000385</t>
  </si>
  <si>
    <t>Carton, chatarra,IBC´S plastico OC 294</t>
  </si>
  <si>
    <t>277450129</t>
  </si>
  <si>
    <t>OC 294</t>
  </si>
  <si>
    <t>07-000386</t>
  </si>
  <si>
    <t>Chatarra metalica,carton,IBC´s platico OC 295</t>
  </si>
  <si>
    <t>277450130</t>
  </si>
  <si>
    <t>OC 295</t>
  </si>
  <si>
    <t>07-000387</t>
  </si>
  <si>
    <t>Carton en desuso,plastico film OC 306</t>
  </si>
  <si>
    <t>277450131</t>
  </si>
  <si>
    <t>OC 306</t>
  </si>
  <si>
    <t>07-000388</t>
  </si>
  <si>
    <t>Lavado 24939</t>
  </si>
  <si>
    <t>24939</t>
  </si>
  <si>
    <t>07-000389</t>
  </si>
  <si>
    <t>Peaje 24989</t>
  </si>
  <si>
    <t>24989</t>
  </si>
  <si>
    <t>07-000390</t>
  </si>
  <si>
    <t>Peaje 24988</t>
  </si>
  <si>
    <t>24988</t>
  </si>
  <si>
    <t>07-000391</t>
  </si>
  <si>
    <t>07-000392</t>
  </si>
  <si>
    <t>07-000393</t>
  </si>
  <si>
    <t>07-000394</t>
  </si>
  <si>
    <t>07-000395</t>
  </si>
  <si>
    <t>07-000396</t>
  </si>
  <si>
    <t>07-000397</t>
  </si>
  <si>
    <t>07-000398</t>
  </si>
  <si>
    <t>07-000399</t>
  </si>
  <si>
    <t>Alimentacion 24921</t>
  </si>
  <si>
    <t>10438189560</t>
  </si>
  <si>
    <t>MOROCCO HUANCA DORIS</t>
  </si>
  <si>
    <t>07-000400</t>
  </si>
  <si>
    <t>Lavado 24951</t>
  </si>
  <si>
    <t>10154270642</t>
  </si>
  <si>
    <t>HURTADO HUAMAN CARMINA AUDELIA</t>
  </si>
  <si>
    <t>24951</t>
  </si>
  <si>
    <t>07-000401</t>
  </si>
  <si>
    <t>Cochera 24968</t>
  </si>
  <si>
    <t>20552302932</t>
  </si>
  <si>
    <t>PERUVIAN GROUP FREDAL SOCIEDAD ANONIMA CERRADA-PERUVIAN GROUP FREDAL S.A.C</t>
  </si>
  <si>
    <t>24968</t>
  </si>
  <si>
    <t>63.1.1.4.01</t>
  </si>
  <si>
    <t>07-000402</t>
  </si>
  <si>
    <t>Alimentacion 24993</t>
  </si>
  <si>
    <t>10773806239</t>
  </si>
  <si>
    <t>MENDEZ MAMANI EDUARDO VICTOR GABRIEL</t>
  </si>
  <si>
    <t>24993</t>
  </si>
  <si>
    <t>07-000403</t>
  </si>
  <si>
    <t>Balanza 24969</t>
  </si>
  <si>
    <t>10218062186</t>
  </si>
  <si>
    <t>YATACO FLORES JUAN DE DIOS</t>
  </si>
  <si>
    <t>24969</t>
  </si>
  <si>
    <t>07-000404</t>
  </si>
  <si>
    <t>Balanza 24891</t>
  </si>
  <si>
    <t>20606567856</t>
  </si>
  <si>
    <t>RECICLAJE TOTAL Y SANEAMIENTO SOCIEDAD DE RESPONSABILIDAD LIMITADA - R.E.T. &amp; SAN S.R.L.</t>
  </si>
  <si>
    <t>24891</t>
  </si>
  <si>
    <t>07-000405</t>
  </si>
  <si>
    <t>Peaje 24994</t>
  </si>
  <si>
    <t>24994</t>
  </si>
  <si>
    <t>07-000406</t>
  </si>
  <si>
    <t>Peaje 25089</t>
  </si>
  <si>
    <t>25089</t>
  </si>
  <si>
    <t>07-000407</t>
  </si>
  <si>
    <t>Peaje 25088</t>
  </si>
  <si>
    <t>25088</t>
  </si>
  <si>
    <t>07-000408</t>
  </si>
  <si>
    <t>Peaje 25087</t>
  </si>
  <si>
    <t>25087</t>
  </si>
  <si>
    <t>07-000409</t>
  </si>
  <si>
    <t>Peaje 25086</t>
  </si>
  <si>
    <t>25086</t>
  </si>
  <si>
    <t>07-000410</t>
  </si>
  <si>
    <t>Peaje 25085</t>
  </si>
  <si>
    <t>25085</t>
  </si>
  <si>
    <t>07-000411</t>
  </si>
  <si>
    <t>Peaje 25012</t>
  </si>
  <si>
    <t>25012</t>
  </si>
  <si>
    <t>07-000412</t>
  </si>
  <si>
    <t>Peaje 25011</t>
  </si>
  <si>
    <t>25011</t>
  </si>
  <si>
    <t>07-000413</t>
  </si>
  <si>
    <t>Peaje 25010</t>
  </si>
  <si>
    <t>25010</t>
  </si>
  <si>
    <t>07-000414</t>
  </si>
  <si>
    <t>Peaje 24995</t>
  </si>
  <si>
    <t>24995</t>
  </si>
  <si>
    <t>07-000415</t>
  </si>
  <si>
    <t>Peaje 24985</t>
  </si>
  <si>
    <t>A3YA</t>
  </si>
  <si>
    <t>24985</t>
  </si>
  <si>
    <t>07-000416</t>
  </si>
  <si>
    <t>Peaje 24984</t>
  </si>
  <si>
    <t>A3NA</t>
  </si>
  <si>
    <t>24984</t>
  </si>
  <si>
    <t>07-000417</t>
  </si>
  <si>
    <t>Peaje 24992</t>
  </si>
  <si>
    <t>A3AT</t>
  </si>
  <si>
    <t>24992</t>
  </si>
  <si>
    <t>07-000418</t>
  </si>
  <si>
    <t>Peaje 24972</t>
  </si>
  <si>
    <t>F301</t>
  </si>
  <si>
    <t>24972</t>
  </si>
  <si>
    <t>07-000419</t>
  </si>
  <si>
    <t>Peaje 24971</t>
  </si>
  <si>
    <t>24971</t>
  </si>
  <si>
    <t>07-000420</t>
  </si>
  <si>
    <t>Peaje 24929</t>
  </si>
  <si>
    <t>24929</t>
  </si>
  <si>
    <t>07-000421</t>
  </si>
  <si>
    <t>Peaje 24920</t>
  </si>
  <si>
    <t>24920</t>
  </si>
  <si>
    <t>07-000422</t>
  </si>
  <si>
    <t>Peaje 24970</t>
  </si>
  <si>
    <t>24970</t>
  </si>
  <si>
    <t>07-000423</t>
  </si>
  <si>
    <t>Peaje 24949</t>
  </si>
  <si>
    <t>24949</t>
  </si>
  <si>
    <t>07-000424</t>
  </si>
  <si>
    <t>Peaje 24898</t>
  </si>
  <si>
    <t>24898</t>
  </si>
  <si>
    <t>07-000425</t>
  </si>
  <si>
    <t>Peaje 24886</t>
  </si>
  <si>
    <t>24886</t>
  </si>
  <si>
    <t>07-000426</t>
  </si>
  <si>
    <t>Peaje 24885</t>
  </si>
  <si>
    <t>24885</t>
  </si>
  <si>
    <t>07-000427</t>
  </si>
  <si>
    <t>Peaje 25076</t>
  </si>
  <si>
    <t>25076</t>
  </si>
  <si>
    <t>07-000428</t>
  </si>
  <si>
    <t>Balanza 24964</t>
  </si>
  <si>
    <t>24964</t>
  </si>
  <si>
    <t>07-000429</t>
  </si>
  <si>
    <t>Peaje 24963</t>
  </si>
  <si>
    <t>24963</t>
  </si>
  <si>
    <t>07-000430</t>
  </si>
  <si>
    <t>Peaje 24961</t>
  </si>
  <si>
    <t>24961</t>
  </si>
  <si>
    <t>07-000431</t>
  </si>
  <si>
    <t>Balanza 25056</t>
  </si>
  <si>
    <t>25056</t>
  </si>
  <si>
    <t>07-000432</t>
  </si>
  <si>
    <t>Balanza 25055</t>
  </si>
  <si>
    <t>25255</t>
  </si>
  <si>
    <t>07-000433</t>
  </si>
  <si>
    <t>Lavado 25007</t>
  </si>
  <si>
    <t>25007</t>
  </si>
  <si>
    <t>07-000434</t>
  </si>
  <si>
    <t>Peaje 25054</t>
  </si>
  <si>
    <t>25054</t>
  </si>
  <si>
    <t>07-000435</t>
  </si>
  <si>
    <t>Peaje 25053</t>
  </si>
  <si>
    <t>25053</t>
  </si>
  <si>
    <t>07-000437</t>
  </si>
  <si>
    <t>2294</t>
  </si>
  <si>
    <t>07-000438</t>
  </si>
  <si>
    <t>Disposicion de residuos peligrosos</t>
  </si>
  <si>
    <t>NRO.DET 278079688</t>
  </si>
  <si>
    <t>07-000439</t>
  </si>
  <si>
    <t>10296171315</t>
  </si>
  <si>
    <t>SALCEDO ARMUTO DE DELGADO BENIGNA</t>
  </si>
  <si>
    <t>07-000440</t>
  </si>
  <si>
    <t>20601978572</t>
  </si>
  <si>
    <t>LA POSITIVA S.A. ENTIDAD PRESTADORA DE SALUD</t>
  </si>
  <si>
    <t>536940</t>
  </si>
  <si>
    <t>07-000441</t>
  </si>
  <si>
    <t>20454073143</t>
  </si>
  <si>
    <t>LA POSITIVA VIDA SEGUROS Y REASEGUROS</t>
  </si>
  <si>
    <t>687187</t>
  </si>
  <si>
    <t>07-000442</t>
  </si>
  <si>
    <t>20332970411</t>
  </si>
  <si>
    <t>PACIFICO COMPAÑIA DE SEGUROS Y REASEGUROS</t>
  </si>
  <si>
    <t>F050</t>
  </si>
  <si>
    <t>1832633</t>
  </si>
  <si>
    <t>07-000443</t>
  </si>
  <si>
    <t>Mantenimiento Preventivo RQ.OPE.1169 OS 006_163</t>
  </si>
  <si>
    <t>10440377497</t>
  </si>
  <si>
    <t>GONZALES CABRERA JUAN MIGUEL</t>
  </si>
  <si>
    <t>07-000444</t>
  </si>
  <si>
    <t>Alquiler de montacarga RQ.OPE.1324</t>
  </si>
  <si>
    <t>07-000445</t>
  </si>
  <si>
    <t>07-000446</t>
  </si>
  <si>
    <t>Alquiler de montacarga RQ.OPE.1293</t>
  </si>
  <si>
    <t>07-000447</t>
  </si>
  <si>
    <t>2338</t>
  </si>
  <si>
    <t>07-000448</t>
  </si>
  <si>
    <t>2337</t>
  </si>
  <si>
    <t>07-000449</t>
  </si>
  <si>
    <t>1802</t>
  </si>
  <si>
    <t>278568676</t>
  </si>
  <si>
    <t>07-000450</t>
  </si>
  <si>
    <t>20601883270</t>
  </si>
  <si>
    <t>GRUPO TRANSPORTES SIVER S.A.C.</t>
  </si>
  <si>
    <t>419</t>
  </si>
  <si>
    <t>279414465</t>
  </si>
  <si>
    <t>20/08/2025</t>
  </si>
  <si>
    <t>07-000451</t>
  </si>
  <si>
    <t>20327998413</t>
  </si>
  <si>
    <t>UNIVERSIDAD CATOLICA SAN PABLO</t>
  </si>
  <si>
    <t>4183</t>
  </si>
  <si>
    <t>07-000452</t>
  </si>
  <si>
    <t>Alquiler de montacarga RQ.OPE.1327</t>
  </si>
  <si>
    <t>07-000453</t>
  </si>
  <si>
    <t>Alquiler de montacraga RQ.OPE.1267</t>
  </si>
  <si>
    <t>07-000454</t>
  </si>
  <si>
    <t>Mantenimiento Vehicular (Preventivo) RQ.OPE.1317 OS 006_164</t>
  </si>
  <si>
    <t>07-000455</t>
  </si>
  <si>
    <t>Mantenimiento Vehicular (Preventivo) RQ.OPE.1317</t>
  </si>
  <si>
    <t>07-000456</t>
  </si>
  <si>
    <t>07-000457</t>
  </si>
  <si>
    <t>Alquiler de montacarga RQ.OPE.1319</t>
  </si>
  <si>
    <t>07-000458</t>
  </si>
  <si>
    <t>Alquiler de montacarga RQ.OPE.1311 OS 005_681</t>
  </si>
  <si>
    <t>07-000459</t>
  </si>
  <si>
    <t>Alquiler de montacarga RQ.OPE.1322 OS 005_680</t>
  </si>
  <si>
    <t>07-000460</t>
  </si>
  <si>
    <t>Transporte de carga RQ.COM.354  OS 005_675</t>
  </si>
  <si>
    <t>278568677</t>
  </si>
  <si>
    <t>07-000461</t>
  </si>
  <si>
    <t>Alambron OC 316</t>
  </si>
  <si>
    <t>278568678</t>
  </si>
  <si>
    <t>OC 316</t>
  </si>
  <si>
    <t>07-000462</t>
  </si>
  <si>
    <t>Alambron OC 315</t>
  </si>
  <si>
    <t>278568679</t>
  </si>
  <si>
    <t>OC 315</t>
  </si>
  <si>
    <t>07-000463</t>
  </si>
  <si>
    <t>Transporte de carga RQ.OPE.1291 OS 005_679</t>
  </si>
  <si>
    <t>278568681</t>
  </si>
  <si>
    <t>07-000464</t>
  </si>
  <si>
    <t>2243</t>
  </si>
  <si>
    <t>07-000465</t>
  </si>
  <si>
    <t>EPPS_ Zapatos RQ.SS0.256</t>
  </si>
  <si>
    <t>07-000466</t>
  </si>
  <si>
    <t>EPPS _ cuelleras,barbiquejos,lentes,tapon,casco,bloqueador RQ.SSO.237/255/254/251</t>
  </si>
  <si>
    <t>07-000467</t>
  </si>
  <si>
    <t>Transporte de carga RQ.OPE.1308 OS 005_691</t>
  </si>
  <si>
    <t>278568682</t>
  </si>
  <si>
    <t>07-000468</t>
  </si>
  <si>
    <t>Peaje 25067</t>
  </si>
  <si>
    <t>25067</t>
  </si>
  <si>
    <t>07-000469</t>
  </si>
  <si>
    <t>Peaje 25066</t>
  </si>
  <si>
    <t>25066</t>
  </si>
  <si>
    <t>07-000470</t>
  </si>
  <si>
    <t>Peaje 25068</t>
  </si>
  <si>
    <t>25068</t>
  </si>
  <si>
    <t>07-000471</t>
  </si>
  <si>
    <t>Peaje 25069</t>
  </si>
  <si>
    <t>25069</t>
  </si>
  <si>
    <t>07-000472</t>
  </si>
  <si>
    <t>07-000473</t>
  </si>
  <si>
    <t>07-000474</t>
  </si>
  <si>
    <t>Lavado 25014</t>
  </si>
  <si>
    <t>20600910010</t>
  </si>
  <si>
    <t>SAN FRANCISCO JR SAC</t>
  </si>
  <si>
    <t>25014</t>
  </si>
  <si>
    <t>07-000475</t>
  </si>
  <si>
    <t>Balanza 25071</t>
  </si>
  <si>
    <t>25071</t>
  </si>
  <si>
    <t>07-000476</t>
  </si>
  <si>
    <t>Balanza 25070</t>
  </si>
  <si>
    <t>25070</t>
  </si>
  <si>
    <t>07-000477</t>
  </si>
  <si>
    <t>Balanza 25044</t>
  </si>
  <si>
    <t>25044</t>
  </si>
  <si>
    <t>07-000478</t>
  </si>
  <si>
    <t>Balanza 25043</t>
  </si>
  <si>
    <t>25043</t>
  </si>
  <si>
    <t>07-000479</t>
  </si>
  <si>
    <t>Cilindro de plastico,bidon,plastico duro,carton, chatarra OC 287</t>
  </si>
  <si>
    <t>278568683</t>
  </si>
  <si>
    <t>OC 287</t>
  </si>
  <si>
    <t>07-000480</t>
  </si>
  <si>
    <t>Carton OC 288</t>
  </si>
  <si>
    <t>278568684</t>
  </si>
  <si>
    <t>OC 288</t>
  </si>
  <si>
    <t>07-000481</t>
  </si>
  <si>
    <t>Carton OC 289</t>
  </si>
  <si>
    <t>278568685</t>
  </si>
  <si>
    <t>OC 289</t>
  </si>
  <si>
    <t>07-000482</t>
  </si>
  <si>
    <t>Trasporte de carga</t>
  </si>
  <si>
    <t>20608686747</t>
  </si>
  <si>
    <t>TRANSPORTES ALBERTO MAMANI E.I.R.L.</t>
  </si>
  <si>
    <t>278568688</t>
  </si>
  <si>
    <t>07-000483</t>
  </si>
  <si>
    <t>Guantes badana 002_2385</t>
  </si>
  <si>
    <t>002-2385</t>
  </si>
  <si>
    <t>07-000484</t>
  </si>
  <si>
    <t>Encomienda 002_2413</t>
  </si>
  <si>
    <t>002-2413</t>
  </si>
  <si>
    <t>07-000485</t>
  </si>
  <si>
    <t>Encomienda 002_2392</t>
  </si>
  <si>
    <t>002-2392</t>
  </si>
  <si>
    <t>07-000486</t>
  </si>
  <si>
    <t>Guantes badana 002_2403</t>
  </si>
  <si>
    <t>002-2403</t>
  </si>
  <si>
    <t>07-000487</t>
  </si>
  <si>
    <t>Vidrio, silicona 002_2389</t>
  </si>
  <si>
    <t>10431647287</t>
  </si>
  <si>
    <t>RODRIGUEZ ROJAS WILDER CARLOS</t>
  </si>
  <si>
    <t>002-2389</t>
  </si>
  <si>
    <t>07-000488</t>
  </si>
  <si>
    <t>Encomienda 002_2387</t>
  </si>
  <si>
    <t>002-2387</t>
  </si>
  <si>
    <t>07-000489</t>
  </si>
  <si>
    <t>Encomienda 002_2399</t>
  </si>
  <si>
    <t>002-2399</t>
  </si>
  <si>
    <t>07-000490</t>
  </si>
  <si>
    <t>Guantes badana blanco 002_2395</t>
  </si>
  <si>
    <t>002-2395</t>
  </si>
  <si>
    <t>07-000491</t>
  </si>
  <si>
    <t>Encomienda 002_2406</t>
  </si>
  <si>
    <t>002-2406</t>
  </si>
  <si>
    <t>07-000492</t>
  </si>
  <si>
    <t>07-000493</t>
  </si>
  <si>
    <t>Accesorios Vehiculares: Compra de cintas de cono 25001</t>
  </si>
  <si>
    <t>10429073796</t>
  </si>
  <si>
    <t>MAQUERA NAVEZ OSCAR NICANOR</t>
  </si>
  <si>
    <t>25001</t>
  </si>
  <si>
    <t>07-000494</t>
  </si>
  <si>
    <t>Accesorios Vehiculares: Compra 7 spray de pintura para la carrocería 25000</t>
  </si>
  <si>
    <t>25000</t>
  </si>
  <si>
    <t>07-000495</t>
  </si>
  <si>
    <t>07-000496</t>
  </si>
  <si>
    <t>F180</t>
  </si>
  <si>
    <t>91984</t>
  </si>
  <si>
    <t>07-000497</t>
  </si>
  <si>
    <t>Sistema de Cobranzas y Reportes</t>
  </si>
  <si>
    <t>07-000498</t>
  </si>
  <si>
    <t>Trabajos de construcción_ Fabricacion e instalacion de muebles RQ.LOG.326  OS 005_686</t>
  </si>
  <si>
    <t>20613525093</t>
  </si>
  <si>
    <t>LOGAL GROUP AQP S.R.L.</t>
  </si>
  <si>
    <t>NRO.DET 276891091</t>
  </si>
  <si>
    <t>07-000499</t>
  </si>
  <si>
    <t>Comisión _ Detracción</t>
  </si>
  <si>
    <t>07-000500</t>
  </si>
  <si>
    <t>07-000501</t>
  </si>
  <si>
    <t>07-000502</t>
  </si>
  <si>
    <t>07-000503</t>
  </si>
  <si>
    <t>07-000504</t>
  </si>
  <si>
    <t>07-000505</t>
  </si>
  <si>
    <t>07-000506</t>
  </si>
  <si>
    <t>07-000507</t>
  </si>
  <si>
    <t>07-000508</t>
  </si>
  <si>
    <t>07-000509</t>
  </si>
  <si>
    <t>07-000510</t>
  </si>
  <si>
    <t>07-000511</t>
  </si>
  <si>
    <t>07-000512</t>
  </si>
  <si>
    <t>07-000513</t>
  </si>
  <si>
    <t>07-000514</t>
  </si>
  <si>
    <t>Mantenimiento</t>
  </si>
  <si>
    <t>63.9.1.1.03</t>
  </si>
  <si>
    <t>23/01/2025</t>
  </si>
  <si>
    <t>07-000515</t>
  </si>
  <si>
    <t>20109072177</t>
  </si>
  <si>
    <t>CENCOSUD RETAIL PERU S.A.</t>
  </si>
  <si>
    <t>F762</t>
  </si>
  <si>
    <t>16413</t>
  </si>
  <si>
    <t>07-000516</t>
  </si>
  <si>
    <t>EPPS buzoz RQ.SSO.248</t>
  </si>
  <si>
    <t>27/07/2025</t>
  </si>
  <si>
    <t>07-000517</t>
  </si>
  <si>
    <t>13/07/2025</t>
  </si>
  <si>
    <t>07-000519</t>
  </si>
  <si>
    <t>07-000520</t>
  </si>
  <si>
    <t>Factoring _ Comisión</t>
  </si>
  <si>
    <t>20606100893</t>
  </si>
  <si>
    <t>FACTORING PRESTAMYPE S.A.C.</t>
  </si>
  <si>
    <t>63.9.1.1.07</t>
  </si>
  <si>
    <t>07-000521</t>
  </si>
  <si>
    <t>Factoring _ Descuento</t>
  </si>
  <si>
    <t>67.5</t>
  </si>
  <si>
    <t>07-000522</t>
  </si>
  <si>
    <t>07-000523</t>
  </si>
  <si>
    <t>07-000524</t>
  </si>
  <si>
    <t>Tratamiento / Disposición No Aprovechables</t>
  </si>
  <si>
    <t>07-000525</t>
  </si>
  <si>
    <t>10416055411</t>
  </si>
  <si>
    <t>HERRERA PORTUGAL MILTON MAURICIO</t>
  </si>
  <si>
    <t>338</t>
  </si>
  <si>
    <t>07-000526</t>
  </si>
  <si>
    <t>340</t>
  </si>
  <si>
    <t>07-000527</t>
  </si>
  <si>
    <t>10294286000</t>
  </si>
  <si>
    <t>PACCHA QUISPE MIGUEL ANGEL</t>
  </si>
  <si>
    <t>14640</t>
  </si>
  <si>
    <t>07-000528</t>
  </si>
  <si>
    <t>FI01</t>
  </si>
  <si>
    <t>07-000529</t>
  </si>
  <si>
    <t>07-000530</t>
  </si>
  <si>
    <t>Comisión _ Telecrédito</t>
  </si>
  <si>
    <t>63.9.1.1.01</t>
  </si>
  <si>
    <t>07-000531</t>
  </si>
  <si>
    <t>20602751326</t>
  </si>
  <si>
    <t>KIKAI &amp; SABISU S.A.C.</t>
  </si>
  <si>
    <t>F005</t>
  </si>
  <si>
    <t>1220</t>
  </si>
  <si>
    <t>07-000532</t>
  </si>
  <si>
    <t>1192</t>
  </si>
  <si>
    <t>07-000533</t>
  </si>
  <si>
    <t>Examen medico _ Ingreso RQ.GH.227</t>
  </si>
  <si>
    <t>07-000534</t>
  </si>
  <si>
    <t>Lavado 25040</t>
  </si>
  <si>
    <t>07-000535</t>
  </si>
  <si>
    <t>Administrativa</t>
  </si>
  <si>
    <t>Verificacion del estado situacional de los conductores RQ.GER.081</t>
  </si>
  <si>
    <t>20558309831</t>
  </si>
  <si>
    <t>A &amp; M SOLUCIONES E.I.R.L.</t>
  </si>
  <si>
    <t>falta</t>
  </si>
  <si>
    <t>07-000536</t>
  </si>
  <si>
    <t>20610912070</t>
  </si>
  <si>
    <t>CRECE NEGOCIOS S.A.C.</t>
  </si>
  <si>
    <t>07-000537</t>
  </si>
  <si>
    <t>Actividades Corporativas</t>
  </si>
  <si>
    <t>Alojamiento gerencia</t>
  </si>
  <si>
    <t>20547154127</t>
  </si>
  <si>
    <t>DREAMS INVERSIONES CORPORATIVAS E.I.R.L.</t>
  </si>
  <si>
    <t>07-000538</t>
  </si>
  <si>
    <t>Viaticos gerencia</t>
  </si>
  <si>
    <t>20553410283</t>
  </si>
  <si>
    <t>EL CUSQUEÑITO DEL BUEN SAZON EMPRESA INDIVIDUAL DE RESPONSABILIDAD LIMITADA - EL CUSQUEÑITO DEL BUEN</t>
  </si>
  <si>
    <t>07-000539</t>
  </si>
  <si>
    <t>07-000540</t>
  </si>
  <si>
    <t>Tickets aereos via latam - capacitacion</t>
  </si>
  <si>
    <t>10413506536</t>
  </si>
  <si>
    <t>SONAPO CORONADO LIZ</t>
  </si>
  <si>
    <t>07-000541</t>
  </si>
  <si>
    <t>Silla top plomo RQ.LOG.335 OC 004_175</t>
  </si>
  <si>
    <t>20602460143</t>
  </si>
  <si>
    <t>KEROS AQP EMPRESA INDIVIDUAL DE RESPONSABILIDAD LIMITADA - KEROS AQP E.I.R.L.</t>
  </si>
  <si>
    <t>07-000542</t>
  </si>
  <si>
    <t>20606664088</t>
  </si>
  <si>
    <t>CREATALENTO CAPACITACION ESPECIALIZADA E.I.R.L.</t>
  </si>
  <si>
    <t>NRO.DET277297310</t>
  </si>
  <si>
    <t>07-000543</t>
  </si>
  <si>
    <t>20609649519</t>
  </si>
  <si>
    <t>CORPORACION INDUSTRIAL CES S.A.C.</t>
  </si>
  <si>
    <t>07-000544</t>
  </si>
  <si>
    <t>20601780543</t>
  </si>
  <si>
    <t>JNB PERU S.A.C.</t>
  </si>
  <si>
    <t>07-000545</t>
  </si>
  <si>
    <t>Alquiler de montacarga RQ.OPE.1294</t>
  </si>
  <si>
    <t>01/08/2025</t>
  </si>
  <si>
    <t>08-000001</t>
  </si>
  <si>
    <t>Aceite usado,cilindro metalico OC 291</t>
  </si>
  <si>
    <t>277160641</t>
  </si>
  <si>
    <t>OC 291</t>
  </si>
  <si>
    <t>08-000002</t>
  </si>
  <si>
    <t>Cilindros usados OC 305</t>
  </si>
  <si>
    <t>277450122</t>
  </si>
  <si>
    <t>OC 305</t>
  </si>
  <si>
    <t>08-000003</t>
  </si>
  <si>
    <t>Sco polis inserv OC 304</t>
  </si>
  <si>
    <t>277450123</t>
  </si>
  <si>
    <t>OC 304</t>
  </si>
  <si>
    <t>08-000004</t>
  </si>
  <si>
    <t>Chatarra OC 303</t>
  </si>
  <si>
    <t>277450124</t>
  </si>
  <si>
    <t>OC 303</t>
  </si>
  <si>
    <t>08-000005</t>
  </si>
  <si>
    <t>Galleta rota 30kg OC 302</t>
  </si>
  <si>
    <t>277450125</t>
  </si>
  <si>
    <t>OC 302</t>
  </si>
  <si>
    <t>08-000006</t>
  </si>
  <si>
    <t>Film strech usado OC 301</t>
  </si>
  <si>
    <t>277450126</t>
  </si>
  <si>
    <t>OC 301</t>
  </si>
  <si>
    <t>08-000007</t>
  </si>
  <si>
    <t>Carton y bolsas papel inservibles OC 300</t>
  </si>
  <si>
    <t>277450127</t>
  </si>
  <si>
    <t>OC 300</t>
  </si>
  <si>
    <t>08-000008</t>
  </si>
  <si>
    <t>Tucos de carton OC 299</t>
  </si>
  <si>
    <t>278530555</t>
  </si>
  <si>
    <t>OC 299</t>
  </si>
  <si>
    <t>08-000009</t>
  </si>
  <si>
    <t>Alimentacion canino RQ.LOG.337</t>
  </si>
  <si>
    <t>08-000010</t>
  </si>
  <si>
    <t>Peaje 25059</t>
  </si>
  <si>
    <t>25059</t>
  </si>
  <si>
    <t>08-000011</t>
  </si>
  <si>
    <t>Peaje 25058</t>
  </si>
  <si>
    <t>25058</t>
  </si>
  <si>
    <t>05/08/2025</t>
  </si>
  <si>
    <t>08-000013</t>
  </si>
  <si>
    <t>Frascos de vidrio,hojalatas OC 308</t>
  </si>
  <si>
    <t>278568675</t>
  </si>
  <si>
    <t>OC 308</t>
  </si>
  <si>
    <t>07/08/2025</t>
  </si>
  <si>
    <t>08-000014</t>
  </si>
  <si>
    <t>Carton y bolsas papel OC 309</t>
  </si>
  <si>
    <t>278530556</t>
  </si>
  <si>
    <t>OC 309</t>
  </si>
  <si>
    <t>08-000015</t>
  </si>
  <si>
    <t>Tucos de carton OC 310</t>
  </si>
  <si>
    <t>278530557</t>
  </si>
  <si>
    <t>OC 310</t>
  </si>
  <si>
    <t>08-000016</t>
  </si>
  <si>
    <t>Films strech usado OC 311</t>
  </si>
  <si>
    <t>278530558</t>
  </si>
  <si>
    <t>OC 311</t>
  </si>
  <si>
    <t>08-000017</t>
  </si>
  <si>
    <t>Chatarra mad OC 312</t>
  </si>
  <si>
    <t>278530559</t>
  </si>
  <si>
    <t>OC 312</t>
  </si>
  <si>
    <t>08-000018</t>
  </si>
  <si>
    <t>Cilindro usado x 55 GL OC 313</t>
  </si>
  <si>
    <t>278530560</t>
  </si>
  <si>
    <t>OC 313</t>
  </si>
  <si>
    <t>03/08/2025</t>
  </si>
  <si>
    <t>08-000019</t>
  </si>
  <si>
    <t>Internet _  agosto</t>
  </si>
  <si>
    <t>08-000020</t>
  </si>
  <si>
    <t>08-000021</t>
  </si>
  <si>
    <t>Galleta rota sucia 30 gk OC 314</t>
  </si>
  <si>
    <t>278530561</t>
  </si>
  <si>
    <t>OC 314</t>
  </si>
  <si>
    <t>08-000022</t>
  </si>
  <si>
    <t>08-000023</t>
  </si>
  <si>
    <t>08-000024</t>
  </si>
  <si>
    <t>04/08/2025</t>
  </si>
  <si>
    <t>08-000025</t>
  </si>
  <si>
    <t>08-000026</t>
  </si>
  <si>
    <t>08-000027</t>
  </si>
  <si>
    <t>Transporte de carga RQ.OPE.1328 OS 005_684</t>
  </si>
  <si>
    <t>20606259116</t>
  </si>
  <si>
    <t>GRUPO TERAN SOCIEDAD ANONIMA CERRADA - GRUPO TERAN S.A.C</t>
  </si>
  <si>
    <t>08-000028</t>
  </si>
  <si>
    <t>386030</t>
  </si>
  <si>
    <t>08-000029</t>
  </si>
  <si>
    <t>06/08/2025</t>
  </si>
  <si>
    <t>08-000030</t>
  </si>
  <si>
    <t>Transporte de carga RQ.COM.361 OS 005_689</t>
  </si>
  <si>
    <t>278568680</t>
  </si>
  <si>
    <t>08/08/2025</t>
  </si>
  <si>
    <t>08-000031</t>
  </si>
  <si>
    <t>08-000032</t>
  </si>
  <si>
    <t>Internet _ villa esperanza</t>
  </si>
  <si>
    <t>08-000033</t>
  </si>
  <si>
    <t>Examen medico _ ingreso RQ.GH.224</t>
  </si>
  <si>
    <t>08-000034</t>
  </si>
  <si>
    <t>Examen medico _ ingreso RQ.GH.221</t>
  </si>
  <si>
    <t>02/08/2025</t>
  </si>
  <si>
    <t>08-000035</t>
  </si>
  <si>
    <t>Examen medico RQ.GH.220</t>
  </si>
  <si>
    <t>08-000036</t>
  </si>
  <si>
    <t>Capacitaciones RQ.SSO.261</t>
  </si>
  <si>
    <t>20514464881</t>
  </si>
  <si>
    <t>ORGANIZACION IBEROAMERICANA DE SEGURIDAD</t>
  </si>
  <si>
    <t>08-000037</t>
  </si>
  <si>
    <t>Mantenimiento_Impresoras y fotocopiadoras (hardware) RQ.ST.099</t>
  </si>
  <si>
    <t>20498041567</t>
  </si>
  <si>
    <t>LA FERIA DEL SUR S.A.C.</t>
  </si>
  <si>
    <t>08-000038</t>
  </si>
  <si>
    <t>Mantenimiento Vehicular (Preventivo) RQ.OPE.1314 OS 006_166</t>
  </si>
  <si>
    <t>08-000039</t>
  </si>
  <si>
    <t>Accesorios para laptop RQ.STI.097</t>
  </si>
  <si>
    <t>08-000040</t>
  </si>
  <si>
    <t>4465</t>
  </si>
  <si>
    <t>08-000041</t>
  </si>
  <si>
    <t>Peaje 25111</t>
  </si>
  <si>
    <t>25111</t>
  </si>
  <si>
    <t>08-000042</t>
  </si>
  <si>
    <t>Peaje 25102</t>
  </si>
  <si>
    <t>25102</t>
  </si>
  <si>
    <t>08-000043</t>
  </si>
  <si>
    <t>Peaje 25100</t>
  </si>
  <si>
    <t>25100</t>
  </si>
  <si>
    <t>08-000044</t>
  </si>
  <si>
    <t>Peaje 25101</t>
  </si>
  <si>
    <t>25101</t>
  </si>
  <si>
    <t>08-000045</t>
  </si>
  <si>
    <t>Peaje 25075</t>
  </si>
  <si>
    <t>25075</t>
  </si>
  <si>
    <t>08-000046</t>
  </si>
  <si>
    <t>Peaje 25048</t>
  </si>
  <si>
    <t>25048</t>
  </si>
  <si>
    <t>08-000047</t>
  </si>
  <si>
    <t>Peaje 25049</t>
  </si>
  <si>
    <t>25049</t>
  </si>
  <si>
    <t>11/08/2025</t>
  </si>
  <si>
    <t>08-000048</t>
  </si>
  <si>
    <t>Peaje 25116</t>
  </si>
  <si>
    <t>25116</t>
  </si>
  <si>
    <t>08-000049</t>
  </si>
  <si>
    <t>Peaje 25115</t>
  </si>
  <si>
    <t>25115</t>
  </si>
  <si>
    <t>08-000050</t>
  </si>
  <si>
    <t>Peaje 25093</t>
  </si>
  <si>
    <t>25093</t>
  </si>
  <si>
    <t>08-000051</t>
  </si>
  <si>
    <t>Peaje 25078</t>
  </si>
  <si>
    <t>25078</t>
  </si>
  <si>
    <t>08-000052</t>
  </si>
  <si>
    <t>Peaje 25046</t>
  </si>
  <si>
    <t>25046</t>
  </si>
  <si>
    <t>08-000053</t>
  </si>
  <si>
    <t>Peaje 25064</t>
  </si>
  <si>
    <t>25064</t>
  </si>
  <si>
    <t>08-000054</t>
  </si>
  <si>
    <t>Balanza 25042</t>
  </si>
  <si>
    <t>25042</t>
  </si>
  <si>
    <t>08-000055</t>
  </si>
  <si>
    <t>Transporte de carga RQ.OPE.1331 OS 005_693</t>
  </si>
  <si>
    <t>278568686</t>
  </si>
  <si>
    <t>08-000056</t>
  </si>
  <si>
    <t>Trasporte de carga RQ.OPE.1332 OS 005_694</t>
  </si>
  <si>
    <t>278568687</t>
  </si>
  <si>
    <t>08-000057</t>
  </si>
  <si>
    <t>Transporte de carga</t>
  </si>
  <si>
    <t>278568689</t>
  </si>
  <si>
    <t>08-000058</t>
  </si>
  <si>
    <t>Alimentacion_ Charla</t>
  </si>
  <si>
    <t>10709491461</t>
  </si>
  <si>
    <t>GENOVEZ BERNO ESTEFANI ADRIANA</t>
  </si>
  <si>
    <t>08-000059</t>
  </si>
  <si>
    <t>08-000060</t>
  </si>
  <si>
    <t>Transporte de carga RQ.OPE.1333 OS 005_695</t>
  </si>
  <si>
    <t>10801606542</t>
  </si>
  <si>
    <t>CONDORI SUPO PABLO VIRGILIO</t>
  </si>
  <si>
    <t>279466707</t>
  </si>
  <si>
    <t>21/08/2025</t>
  </si>
  <si>
    <t>08-000061</t>
  </si>
  <si>
    <t>Alambron OC 325</t>
  </si>
  <si>
    <t>OC 325</t>
  </si>
  <si>
    <t>08-000062</t>
  </si>
  <si>
    <t>Boltellas pet,carton,chatarra,madera en desuso OC 234</t>
  </si>
  <si>
    <t>20505675836</t>
  </si>
  <si>
    <t>FLSMIDTH S.A.C.</t>
  </si>
  <si>
    <t>FF03</t>
  </si>
  <si>
    <t>279466708</t>
  </si>
  <si>
    <t>OC 234</t>
  </si>
  <si>
    <t>08-000063</t>
  </si>
  <si>
    <t>Chatarra metalica,carton,chatarra metalica viruta OC</t>
  </si>
  <si>
    <t>279466709</t>
  </si>
  <si>
    <t>OC 145</t>
  </si>
  <si>
    <t>08-000064</t>
  </si>
  <si>
    <t>Chatarra metalica viruta,madera,carton en desuso,botella OC 146</t>
  </si>
  <si>
    <t>279466710</t>
  </si>
  <si>
    <t>OC 146</t>
  </si>
  <si>
    <t>08-000065</t>
  </si>
  <si>
    <t>Chatarra metalica,carton,botella pet en desuso</t>
  </si>
  <si>
    <t>279466711</t>
  </si>
  <si>
    <t>OC 292</t>
  </si>
  <si>
    <t>08-000066</t>
  </si>
  <si>
    <t>Carton,botella,chatarra metalica,madera OC 293</t>
  </si>
  <si>
    <t>279466712</t>
  </si>
  <si>
    <t>OC 293</t>
  </si>
  <si>
    <t>08-000067</t>
  </si>
  <si>
    <t>Carton,botella.chatarra metalica viruta OC 235</t>
  </si>
  <si>
    <t>279466713</t>
  </si>
  <si>
    <t>OC 235</t>
  </si>
  <si>
    <t>08-000068</t>
  </si>
  <si>
    <t>09/08/2025</t>
  </si>
  <si>
    <t>08-000069</t>
  </si>
  <si>
    <t>08-000070</t>
  </si>
  <si>
    <t>14/08/2025</t>
  </si>
  <si>
    <t>08-000071</t>
  </si>
  <si>
    <t>Carton y bolsas papel inservibles OC 326</t>
  </si>
  <si>
    <t>279466714</t>
  </si>
  <si>
    <t>OC 326</t>
  </si>
  <si>
    <t>08-000072</t>
  </si>
  <si>
    <t>Galleta rota sucia 30kg OC 327</t>
  </si>
  <si>
    <t>279466715</t>
  </si>
  <si>
    <t>OC 327</t>
  </si>
  <si>
    <t>08-000073</t>
  </si>
  <si>
    <t>Film strech usado OC 328</t>
  </si>
  <si>
    <t>279466716</t>
  </si>
  <si>
    <t>OC 328</t>
  </si>
  <si>
    <t>08-000074</t>
  </si>
  <si>
    <t>Tucos de carton OC 329</t>
  </si>
  <si>
    <t>279466717</t>
  </si>
  <si>
    <t>OC 329</t>
  </si>
  <si>
    <t>08-000075</t>
  </si>
  <si>
    <t>Cilindros usados x 55 GL plas OC 330</t>
  </si>
  <si>
    <t>279466718</t>
  </si>
  <si>
    <t>OC 330</t>
  </si>
  <si>
    <t>08-000076</t>
  </si>
  <si>
    <t>Sco polis inserv. OC 331</t>
  </si>
  <si>
    <t>279466719</t>
  </si>
  <si>
    <t>OC 331</t>
  </si>
  <si>
    <t>08-000077</t>
  </si>
  <si>
    <t>Capacitaciones_Inducciones Externas RQ.SSO.262</t>
  </si>
  <si>
    <t>08-000078</t>
  </si>
  <si>
    <t>08-000079</t>
  </si>
  <si>
    <t>Alojamiento</t>
  </si>
  <si>
    <t>10742353911</t>
  </si>
  <si>
    <t>SANCHEZ ORMACHEA MAGDALENA RAISA</t>
  </si>
  <si>
    <t>EB01</t>
  </si>
  <si>
    <t>08-000080</t>
  </si>
  <si>
    <t>08-000081</t>
  </si>
  <si>
    <t>08-000082</t>
  </si>
  <si>
    <t>08-000083</t>
  </si>
  <si>
    <t>10409010488</t>
  </si>
  <si>
    <t>RAMIREZ CARDENAS ARMANDO ANGEL</t>
  </si>
  <si>
    <t>08-000084</t>
  </si>
  <si>
    <t>08-000085</t>
  </si>
  <si>
    <t>08-000086</t>
  </si>
  <si>
    <t>08-000087</t>
  </si>
  <si>
    <t>10710506634</t>
  </si>
  <si>
    <t>LAZARTE QUISPE ELVIS WALDIR</t>
  </si>
  <si>
    <t>08-000088</t>
  </si>
  <si>
    <t>10425073121</t>
  </si>
  <si>
    <t>CABANA VALDIVIA DAVID SALOMON</t>
  </si>
  <si>
    <t>13/08/2025</t>
  </si>
  <si>
    <t>08-000089</t>
  </si>
  <si>
    <t>Peaje 25153</t>
  </si>
  <si>
    <t>25153</t>
  </si>
  <si>
    <t>08-000090</t>
  </si>
  <si>
    <t>Peaje 25152</t>
  </si>
  <si>
    <t>25152</t>
  </si>
  <si>
    <t>08-000091</t>
  </si>
  <si>
    <t>Peaje 25144</t>
  </si>
  <si>
    <t>25144</t>
  </si>
  <si>
    <t>08-000092</t>
  </si>
  <si>
    <t>Peaje 25143</t>
  </si>
  <si>
    <t>25143</t>
  </si>
  <si>
    <t>08-000093</t>
  </si>
  <si>
    <t>Peaje 25124</t>
  </si>
  <si>
    <t>25124</t>
  </si>
  <si>
    <t>08-000094</t>
  </si>
  <si>
    <t>Peaje 25123</t>
  </si>
  <si>
    <t>25123</t>
  </si>
  <si>
    <t>08-000095</t>
  </si>
  <si>
    <t>Peaje 25107</t>
  </si>
  <si>
    <t>25107</t>
  </si>
  <si>
    <t>08-000096</t>
  </si>
  <si>
    <t>Peaje 25141</t>
  </si>
  <si>
    <t>25141</t>
  </si>
  <si>
    <t>08-000097</t>
  </si>
  <si>
    <t>Peaje 25080</t>
  </si>
  <si>
    <t>25080</t>
  </si>
  <si>
    <t>08-000098</t>
  </si>
  <si>
    <t>Peaje 25082</t>
  </si>
  <si>
    <t>25082</t>
  </si>
  <si>
    <t>08-000099</t>
  </si>
  <si>
    <t>Peaje 25097</t>
  </si>
  <si>
    <t>25097</t>
  </si>
  <si>
    <t>08-000100</t>
  </si>
  <si>
    <t>Peaje 25096</t>
  </si>
  <si>
    <t>25096</t>
  </si>
  <si>
    <t>08-000101</t>
  </si>
  <si>
    <t>Peaje 25113</t>
  </si>
  <si>
    <t>25113</t>
  </si>
  <si>
    <t>08-000102</t>
  </si>
  <si>
    <t>Peaje 25114</t>
  </si>
  <si>
    <t>25114</t>
  </si>
  <si>
    <t>08-000103</t>
  </si>
  <si>
    <t>Peaje 25104</t>
  </si>
  <si>
    <t>25104</t>
  </si>
  <si>
    <t>08-000104</t>
  </si>
  <si>
    <t>Peaje 25105</t>
  </si>
  <si>
    <t>25105</t>
  </si>
  <si>
    <t>08-000105</t>
  </si>
  <si>
    <t>Balanza 25083</t>
  </si>
  <si>
    <t>25083</t>
  </si>
  <si>
    <t>08-000106</t>
  </si>
  <si>
    <t>Balanza 25098</t>
  </si>
  <si>
    <t>25098</t>
  </si>
  <si>
    <t>08-000107</t>
  </si>
  <si>
    <t>Balanza 25099</t>
  </si>
  <si>
    <t>25099</t>
  </si>
  <si>
    <t>08-000108</t>
  </si>
  <si>
    <t>Balanza 25125</t>
  </si>
  <si>
    <t>25125</t>
  </si>
  <si>
    <t>08-000109</t>
  </si>
  <si>
    <t>Balanza 25109</t>
  </si>
  <si>
    <t>25109</t>
  </si>
  <si>
    <t>08-000110</t>
  </si>
  <si>
    <t>Lavada 25142</t>
  </si>
  <si>
    <t>25142</t>
  </si>
  <si>
    <t>08-000111</t>
  </si>
  <si>
    <t>Alambron OC 333</t>
  </si>
  <si>
    <t>OC 333</t>
  </si>
  <si>
    <t>08-000112</t>
  </si>
  <si>
    <t>Alambron OC 335</t>
  </si>
  <si>
    <t>OC 335</t>
  </si>
  <si>
    <t>08-000113</t>
  </si>
  <si>
    <t>Alambron OC 336</t>
  </si>
  <si>
    <t>OC 336</t>
  </si>
  <si>
    <t>08-000114</t>
  </si>
  <si>
    <t>Alambron OC 334</t>
  </si>
  <si>
    <t>OC 334</t>
  </si>
  <si>
    <t>08-000115</t>
  </si>
  <si>
    <t>Alambron OC 337</t>
  </si>
  <si>
    <t>OC 337</t>
  </si>
  <si>
    <t>08-000116</t>
  </si>
  <si>
    <t>Alambron OC 338</t>
  </si>
  <si>
    <t>OC 338</t>
  </si>
  <si>
    <t>18/08/2025</t>
  </si>
  <si>
    <t>08-000117</t>
  </si>
  <si>
    <t>Balanza 25108</t>
  </si>
  <si>
    <t>25108</t>
  </si>
  <si>
    <t>08-000118</t>
  </si>
  <si>
    <t>EPPS Buzo RQ.SSO.248</t>
  </si>
  <si>
    <t>08-000119</t>
  </si>
  <si>
    <t>Balanza 25133</t>
  </si>
  <si>
    <t>08-000120</t>
  </si>
  <si>
    <t>Peaje 25134</t>
  </si>
  <si>
    <t>25134</t>
  </si>
  <si>
    <t>08-000121</t>
  </si>
  <si>
    <t>Peaje 25126</t>
  </si>
  <si>
    <t>25126</t>
  </si>
  <si>
    <t>08-000122</t>
  </si>
  <si>
    <t>Balanza 25135</t>
  </si>
  <si>
    <t>25135</t>
  </si>
  <si>
    <t>08-000123</t>
  </si>
  <si>
    <t>Peaje 25127</t>
  </si>
  <si>
    <t>25127</t>
  </si>
  <si>
    <t>08-000124</t>
  </si>
  <si>
    <t>Balanza 25128</t>
  </si>
  <si>
    <t>25128</t>
  </si>
  <si>
    <t>08-000125</t>
  </si>
  <si>
    <t>Balanza 25130</t>
  </si>
  <si>
    <t>25130</t>
  </si>
  <si>
    <t>08-000126</t>
  </si>
  <si>
    <t>Peaje 25129</t>
  </si>
  <si>
    <t>25129</t>
  </si>
  <si>
    <t>08-000127</t>
  </si>
  <si>
    <t>Peaje 25131</t>
  </si>
  <si>
    <t>25131</t>
  </si>
  <si>
    <t>08-000128</t>
  </si>
  <si>
    <t>Peaje 25132</t>
  </si>
  <si>
    <t>25132</t>
  </si>
  <si>
    <t>08-000129</t>
  </si>
  <si>
    <t>474181</t>
  </si>
  <si>
    <t>08-000130</t>
  </si>
  <si>
    <t>474397</t>
  </si>
  <si>
    <t>08-000131</t>
  </si>
  <si>
    <t>Interes _ Préstamo Bancario cuota NRO 59</t>
  </si>
  <si>
    <t>08-000132</t>
  </si>
  <si>
    <t>Consultoría / asesoría RQ.SIG.032</t>
  </si>
  <si>
    <t>08-000133</t>
  </si>
  <si>
    <t>Inducciones Externas Capacitacion ambiental RQ.SSO.273</t>
  </si>
  <si>
    <t>20603912838</t>
  </si>
  <si>
    <t>CFC GROUP S.A.C.</t>
  </si>
  <si>
    <t>08-000134</t>
  </si>
  <si>
    <t>Papel mixto OC 320</t>
  </si>
  <si>
    <t>20456565353</t>
  </si>
  <si>
    <t>ASOCIACION DE AYUDA AL NINO QUEMADO</t>
  </si>
  <si>
    <t>OC 320</t>
  </si>
  <si>
    <t>08-000135</t>
  </si>
  <si>
    <t>Alambron OC 340</t>
  </si>
  <si>
    <t>OC 340</t>
  </si>
  <si>
    <t>08-000136</t>
  </si>
  <si>
    <t>Alambron OC 341</t>
  </si>
  <si>
    <t>OC 341</t>
  </si>
  <si>
    <t>08-000137</t>
  </si>
  <si>
    <t>Alambron OC 342</t>
  </si>
  <si>
    <t>OC 342</t>
  </si>
  <si>
    <t>15/08/2025</t>
  </si>
  <si>
    <t>08-000138</t>
  </si>
  <si>
    <t>Inducciones Externas_seguridad pesuqera diamante RQ.SSO.271</t>
  </si>
  <si>
    <t>08-000139</t>
  </si>
  <si>
    <t>Inducciones Externas_Curso de materiales peligrosos RQ.SSO.272</t>
  </si>
  <si>
    <t>08-000140</t>
  </si>
  <si>
    <t>Inducciones Externas_curso de materiales peligrosos RQ.SSO.272</t>
  </si>
  <si>
    <t>08-000141</t>
  </si>
  <si>
    <t>08-000142</t>
  </si>
  <si>
    <t>Examen medico_ ingreso RQ.SSO.228</t>
  </si>
  <si>
    <t>08-000143</t>
  </si>
  <si>
    <t>Transporte de carga RQ.OPE.1364 OS 005_705</t>
  </si>
  <si>
    <t>08-000144</t>
  </si>
  <si>
    <t>Publicidad e impresión rq.ope.1362</t>
  </si>
  <si>
    <t>10725531368</t>
  </si>
  <si>
    <t>HINOSTROZA RAMIREZ JOEL ALEXANDER</t>
  </si>
  <si>
    <t>63.9.9.1.01.03</t>
  </si>
  <si>
    <t>08-000145</t>
  </si>
  <si>
    <t>Alquiler de montacarga RQ.OPE.1358</t>
  </si>
  <si>
    <t>08-000146</t>
  </si>
  <si>
    <t>Alquiler de montacarga RQ.OPE.1349</t>
  </si>
  <si>
    <t>08-000147</t>
  </si>
  <si>
    <t>Alquiler de maquinaria tercero RQ.OPE.1353</t>
  </si>
  <si>
    <t>08-000148</t>
  </si>
  <si>
    <t>Alquiler de montacarga RQ.OPE.1356</t>
  </si>
  <si>
    <t>08-000149</t>
  </si>
  <si>
    <t>Lavado 25117</t>
  </si>
  <si>
    <t>10738983659</t>
  </si>
  <si>
    <t>MAMANI PACCO ERICK ROMULO</t>
  </si>
  <si>
    <t>25117</t>
  </si>
  <si>
    <t>08-000150</t>
  </si>
  <si>
    <t>Lavado 25077</t>
  </si>
  <si>
    <t>25077</t>
  </si>
  <si>
    <t>08-000151</t>
  </si>
  <si>
    <t>Balanza 25074</t>
  </si>
  <si>
    <t>25074</t>
  </si>
  <si>
    <t>08-000152</t>
  </si>
  <si>
    <t>Peaje 25065</t>
  </si>
  <si>
    <t>25065</t>
  </si>
  <si>
    <t>08-000153</t>
  </si>
  <si>
    <t>Peaje 25072</t>
  </si>
  <si>
    <t>25072</t>
  </si>
  <si>
    <t>08-000154</t>
  </si>
  <si>
    <t>Peaje 25084</t>
  </si>
  <si>
    <t>25084</t>
  </si>
  <si>
    <t>08-000155</t>
  </si>
  <si>
    <t>Peaje 25062</t>
  </si>
  <si>
    <t>25062</t>
  </si>
  <si>
    <t>08-000156</t>
  </si>
  <si>
    <t>Peaje 25094</t>
  </si>
  <si>
    <t>25094</t>
  </si>
  <si>
    <t>08-000157</t>
  </si>
  <si>
    <t>Peaje 25063</t>
  </si>
  <si>
    <t>25063</t>
  </si>
  <si>
    <t>08-000158</t>
  </si>
  <si>
    <t>Peaje 25138</t>
  </si>
  <si>
    <t>25138</t>
  </si>
  <si>
    <t>08-000159</t>
  </si>
  <si>
    <t>Peaje 25136</t>
  </si>
  <si>
    <t>25136</t>
  </si>
  <si>
    <t>08-000160</t>
  </si>
  <si>
    <t>Peaje 25137</t>
  </si>
  <si>
    <t>25137</t>
  </si>
  <si>
    <t>08-000161</t>
  </si>
  <si>
    <t>Peaje 25139</t>
  </si>
  <si>
    <t>25139</t>
  </si>
  <si>
    <t>08-000162</t>
  </si>
  <si>
    <t>Balanza 25147</t>
  </si>
  <si>
    <t>25147</t>
  </si>
  <si>
    <t>08-000163</t>
  </si>
  <si>
    <t>Peaje 25148</t>
  </si>
  <si>
    <t>25148</t>
  </si>
  <si>
    <t>08-000164</t>
  </si>
  <si>
    <t>Balanza 25120</t>
  </si>
  <si>
    <t>25120</t>
  </si>
  <si>
    <t>08-000165</t>
  </si>
  <si>
    <t>Balanza 25119</t>
  </si>
  <si>
    <t>25119</t>
  </si>
  <si>
    <t>08-000166</t>
  </si>
  <si>
    <t>Peaje 25155</t>
  </si>
  <si>
    <t>25155</t>
  </si>
  <si>
    <t>08-000167</t>
  </si>
  <si>
    <t>Peaje 25154</t>
  </si>
  <si>
    <t>25154</t>
  </si>
  <si>
    <t>08-000168</t>
  </si>
  <si>
    <t>Peaje 25146</t>
  </si>
  <si>
    <t>25146</t>
  </si>
  <si>
    <t>08-000169</t>
  </si>
  <si>
    <t>Peaje 25145</t>
  </si>
  <si>
    <t>25145</t>
  </si>
  <si>
    <t>08-000170</t>
  </si>
  <si>
    <t>20454537743</t>
  </si>
  <si>
    <t>AUTOMOTRIZ CISNE S.R.L.</t>
  </si>
  <si>
    <t>1229</t>
  </si>
  <si>
    <t>2276</t>
  </si>
  <si>
    <t>08-000171</t>
  </si>
  <si>
    <t>08-000172</t>
  </si>
  <si>
    <t>19/08/2025</t>
  </si>
  <si>
    <t>08-000173</t>
  </si>
  <si>
    <t>Bandeja _ Otros gastos RQ.COM.372</t>
  </si>
  <si>
    <t>08-000174</t>
  </si>
  <si>
    <t>08-000175</t>
  </si>
  <si>
    <t>FE28</t>
  </si>
  <si>
    <t>08-000176</t>
  </si>
  <si>
    <t>08-000177</t>
  </si>
  <si>
    <t>8006</t>
  </si>
  <si>
    <t>08-000178</t>
  </si>
  <si>
    <t>08-000179</t>
  </si>
  <si>
    <t>08-000180</t>
  </si>
  <si>
    <t>08-000181</t>
  </si>
  <si>
    <t>08-000182</t>
  </si>
  <si>
    <t>Alquiler de montacarga RQ.OPE.1367</t>
  </si>
  <si>
    <t>08-000183</t>
  </si>
  <si>
    <t>Transporte de carga RQ.OPE.1343 OS 005_704</t>
  </si>
  <si>
    <t>08-000184</t>
  </si>
  <si>
    <t>Alquiler de montacarga RQ.OPE.1346</t>
  </si>
  <si>
    <t>08-000185</t>
  </si>
  <si>
    <t>Alquiler de montacarga RQ.OPE.1354</t>
  </si>
  <si>
    <t>08-000186</t>
  </si>
  <si>
    <t>Alquiler de montacarga RQ.OPE.1350</t>
  </si>
  <si>
    <t>08-000187</t>
  </si>
  <si>
    <t>Alquiler de montacarga RQ.OPE.1347</t>
  </si>
  <si>
    <t>08-000188</t>
  </si>
  <si>
    <t>Peaje 25188</t>
  </si>
  <si>
    <t>25188</t>
  </si>
  <si>
    <t>08-000189</t>
  </si>
  <si>
    <t>Balanza 25189</t>
  </si>
  <si>
    <t>25189</t>
  </si>
  <si>
    <t>08-000190</t>
  </si>
  <si>
    <t>Lavado 25218</t>
  </si>
  <si>
    <t>25218</t>
  </si>
  <si>
    <t>08-000191</t>
  </si>
  <si>
    <t>Balanza 25207</t>
  </si>
  <si>
    <t>25207</t>
  </si>
  <si>
    <t>08-000192</t>
  </si>
  <si>
    <t>Balanza 25206</t>
  </si>
  <si>
    <t>252026</t>
  </si>
  <si>
    <t>08-000193</t>
  </si>
  <si>
    <t>Balanza 25192</t>
  </si>
  <si>
    <t>25192</t>
  </si>
  <si>
    <t>08-000194</t>
  </si>
  <si>
    <t>Balanza 25168</t>
  </si>
  <si>
    <t>25168</t>
  </si>
  <si>
    <t>08-000195</t>
  </si>
  <si>
    <t>Balanza 25169</t>
  </si>
  <si>
    <t>25169</t>
  </si>
  <si>
    <t>08-000196</t>
  </si>
  <si>
    <t>Balanza 25171</t>
  </si>
  <si>
    <t>25171</t>
  </si>
  <si>
    <t>08-000197</t>
  </si>
  <si>
    <t>Peaje 25209</t>
  </si>
  <si>
    <t>25209</t>
  </si>
  <si>
    <t>08-000198</t>
  </si>
  <si>
    <t>Balanza 25208</t>
  </si>
  <si>
    <t>25208</t>
  </si>
  <si>
    <t>08-000199</t>
  </si>
  <si>
    <t>Peaje 25159</t>
  </si>
  <si>
    <t>25459</t>
  </si>
  <si>
    <t>08-000200</t>
  </si>
  <si>
    <t>Peaje 25158</t>
  </si>
  <si>
    <t>25158</t>
  </si>
  <si>
    <t>08-000201</t>
  </si>
  <si>
    <t>Peaje 25175</t>
  </si>
  <si>
    <t>25175</t>
  </si>
  <si>
    <t>08-000202</t>
  </si>
  <si>
    <t>Peaje 25174</t>
  </si>
  <si>
    <t>25174</t>
  </si>
  <si>
    <t>08-000203</t>
  </si>
  <si>
    <t>Peaje 25191</t>
  </si>
  <si>
    <t>25191</t>
  </si>
  <si>
    <t>08-000204</t>
  </si>
  <si>
    <t>Peaje 25190</t>
  </si>
  <si>
    <t>25190</t>
  </si>
  <si>
    <t>08-000205</t>
  </si>
  <si>
    <t>Peaje 25184</t>
  </si>
  <si>
    <t>25184</t>
  </si>
  <si>
    <t>08-000206</t>
  </si>
  <si>
    <t>Peaje 25183</t>
  </si>
  <si>
    <t>25183</t>
  </si>
  <si>
    <t>08-000207</t>
  </si>
  <si>
    <t>Peaje 25187</t>
  </si>
  <si>
    <t>25187</t>
  </si>
  <si>
    <t>08-000208</t>
  </si>
  <si>
    <t>Balanza 25162</t>
  </si>
  <si>
    <t>25162</t>
  </si>
  <si>
    <t>08-000209</t>
  </si>
  <si>
    <t>Lavado 25204</t>
  </si>
  <si>
    <t>10735413185</t>
  </si>
  <si>
    <t>ROMERO AROCUTIPA BRIGIDA MARGOTT</t>
  </si>
  <si>
    <t>25204</t>
  </si>
  <si>
    <t>08-000210</t>
  </si>
  <si>
    <t>lavado 25163</t>
  </si>
  <si>
    <t>10460411195</t>
  </si>
  <si>
    <t>ROMERO CAMA ROXANA</t>
  </si>
  <si>
    <t>25163</t>
  </si>
  <si>
    <t>08-000211</t>
  </si>
  <si>
    <t>Peaje 25185</t>
  </si>
  <si>
    <t>25185</t>
  </si>
  <si>
    <t>08-000212</t>
  </si>
  <si>
    <t>Peaje 25150</t>
  </si>
  <si>
    <t>25150</t>
  </si>
  <si>
    <t>08-000213</t>
  </si>
  <si>
    <t>10735178607</t>
  </si>
  <si>
    <t>QUISPE MONTES ARTEMIO ULISES</t>
  </si>
  <si>
    <t>08-000214</t>
  </si>
  <si>
    <t>3913</t>
  </si>
  <si>
    <t>08-000215</t>
  </si>
  <si>
    <t>3959</t>
  </si>
  <si>
    <t>08-000216</t>
  </si>
  <si>
    <t>Alquiler de montacarga RQ.OPE.1360 OS 005_708</t>
  </si>
  <si>
    <t>08-000217</t>
  </si>
  <si>
    <t>Alquiler de montacarga RQ.OPE.1366 OS 005_710</t>
  </si>
  <si>
    <t>08-000218</t>
  </si>
  <si>
    <t>Alquiler de montacarga RQ.OPE.1361 OS 005_709</t>
  </si>
  <si>
    <t>08-000219</t>
  </si>
  <si>
    <t>Alquiler de montacarga RQ.OPE.1359 OS 005_706</t>
  </si>
  <si>
    <t>08-000220</t>
  </si>
  <si>
    <t>Alquiler de montacarga RQ.OPE.1352</t>
  </si>
  <si>
    <t>08-000221</t>
  </si>
  <si>
    <t>Equipos de cómputo y accesorios_ Tintas RQ.STI.097</t>
  </si>
  <si>
    <t>10456105896</t>
  </si>
  <si>
    <t>CASAVILCA DE LA CRUZ WALTER</t>
  </si>
  <si>
    <t>65.6.1.1.04</t>
  </si>
  <si>
    <t>08-000222</t>
  </si>
  <si>
    <t>Cartuchos de toner RQ.STI.103</t>
  </si>
  <si>
    <t>08-000223</t>
  </si>
  <si>
    <t>Trasporte de carga RQ.OPE.1342 OS 005_707</t>
  </si>
  <si>
    <t>08-000224</t>
  </si>
  <si>
    <t>Alquiler de montacarga R.Q.OPE.1344 OS 005_702</t>
  </si>
  <si>
    <t>08-000225</t>
  </si>
  <si>
    <t>Alquiler de montacarga RQ.OPE.1345 OS 005_703</t>
  </si>
  <si>
    <t>08-000226</t>
  </si>
  <si>
    <t>Alquiler de montacarga RQ.OPE.1348</t>
  </si>
  <si>
    <t>08-000227</t>
  </si>
  <si>
    <t>Alquiler de montacarga RQ.OPE.1351 OS 005_700</t>
  </si>
  <si>
    <t>08-000228</t>
  </si>
  <si>
    <t>Internet</t>
  </si>
  <si>
    <t>08-000229</t>
  </si>
  <si>
    <t>Consultoría / asesoría _ Legal / Tributaria RQ.GER.080</t>
  </si>
  <si>
    <t>08-000230</t>
  </si>
  <si>
    <t>Balanza 25223</t>
  </si>
  <si>
    <t>25223</t>
  </si>
  <si>
    <t>08-000231</t>
  </si>
  <si>
    <t>08-000232</t>
  </si>
  <si>
    <t>08-000233</t>
  </si>
  <si>
    <t>08-000234</t>
  </si>
  <si>
    <t>08-000235</t>
  </si>
  <si>
    <t>08-000236</t>
  </si>
  <si>
    <t>08-000237</t>
  </si>
  <si>
    <t>08-000238</t>
  </si>
  <si>
    <t>08-000239</t>
  </si>
  <si>
    <t>08-000240</t>
  </si>
  <si>
    <t>Peaje 25220</t>
  </si>
  <si>
    <t>25220</t>
  </si>
  <si>
    <t>08-000241</t>
  </si>
  <si>
    <t>Peaje 25219</t>
  </si>
  <si>
    <t>25219</t>
  </si>
  <si>
    <t>08-000242</t>
  </si>
  <si>
    <t>Balanza 25224</t>
  </si>
  <si>
    <t>25224</t>
  </si>
  <si>
    <t>08-000243</t>
  </si>
  <si>
    <t>Madera,marcos,parihuelas,separadores OC 317</t>
  </si>
  <si>
    <t>OC 317</t>
  </si>
  <si>
    <t>08-000244</t>
  </si>
  <si>
    <t>Parihuelas,cauchos en desuso OC 321</t>
  </si>
  <si>
    <t>OC 321</t>
  </si>
  <si>
    <t>22/08/2025</t>
  </si>
  <si>
    <t>08-000245</t>
  </si>
  <si>
    <t>Hojalata,envase de vidrio,bidones de detergente OC 332</t>
  </si>
  <si>
    <t>OC 332</t>
  </si>
  <si>
    <t>08-000246</t>
  </si>
  <si>
    <t>Hojalata,separadores y cajas de carton OC 343</t>
  </si>
  <si>
    <t>OC 343</t>
  </si>
  <si>
    <t>08-000247</t>
  </si>
  <si>
    <t>Alambron OC 345</t>
  </si>
  <si>
    <t>OC 345</t>
  </si>
  <si>
    <t>08-000248</t>
  </si>
  <si>
    <t>Alimentacion de mascota</t>
  </si>
  <si>
    <t>08-000249</t>
  </si>
  <si>
    <t>Panel led _ Mantenimiento de infraestructura RQ.LOG.341</t>
  </si>
  <si>
    <t>10431742069</t>
  </si>
  <si>
    <t>CONSA HUAYTAPUMA AGUSTIN</t>
  </si>
  <si>
    <t>63.4.3.6.01</t>
  </si>
  <si>
    <t>08-000250</t>
  </si>
  <si>
    <t>Alquiler de montacarga RQ.OPE.1371 OS 005_713</t>
  </si>
  <si>
    <t>08-000251</t>
  </si>
  <si>
    <t>Slainer,micas otros gastos</t>
  </si>
  <si>
    <t>20610217762</t>
  </si>
  <si>
    <t>LIBRERIAS PANDORA E.I.R.L.</t>
  </si>
  <si>
    <t>08-000252</t>
  </si>
  <si>
    <t>Bateria _ accesorios vehicular</t>
  </si>
  <si>
    <t>20612785130</t>
  </si>
  <si>
    <t>ESPINOZA BRITTO TRADING PERU E.I.R.L.</t>
  </si>
  <si>
    <t>08-000253</t>
  </si>
  <si>
    <t>08-000254</t>
  </si>
  <si>
    <t>Accesorios Vehiculares_ Cono de seguridad</t>
  </si>
  <si>
    <t>20610059393</t>
  </si>
  <si>
    <t>HARET CORPORACIÓN CHALHUAYANI E.I.R.L.</t>
  </si>
  <si>
    <t>08-000255</t>
  </si>
  <si>
    <t>Disco de corte _ Herramientas en general RQ.LOG.340 OS 004_179</t>
  </si>
  <si>
    <t>08-000256</t>
  </si>
  <si>
    <t>Juego de stickers reflectivo_ accesorio vehiculares RQ.OPE.1261 OS 006_168</t>
  </si>
  <si>
    <t>20605533125</t>
  </si>
  <si>
    <t>E &amp; M SEÑALIZACIONES S.A.C.</t>
  </si>
  <si>
    <t>FA01</t>
  </si>
  <si>
    <t>08-000257</t>
  </si>
  <si>
    <t>Circulana,pertiga,faro e instalacion</t>
  </si>
  <si>
    <t>08-000258</t>
  </si>
  <si>
    <t>Mantenimiento ajuste de plataforma,cambio de conector hembra RQ.OPE.1380 OS 005_715</t>
  </si>
  <si>
    <t>08-000259</t>
  </si>
  <si>
    <t>Examen medico _ ingreso RQ.GH.230</t>
  </si>
  <si>
    <t>08-000260</t>
  </si>
  <si>
    <t>Alquiler de montacarga RQ.OPE.1373</t>
  </si>
  <si>
    <t>08-000261</t>
  </si>
  <si>
    <t>Mantenimiento Vehicular (Preventivo) RQ.OPE.1335 OC 007_40</t>
  </si>
  <si>
    <t>20371310160</t>
  </si>
  <si>
    <t>LIDER CRUZ E.I.R.L.</t>
  </si>
  <si>
    <t>08-000262</t>
  </si>
  <si>
    <t>Rotulos,señaleticas RQ.LOG.343 OC 004_177</t>
  </si>
  <si>
    <t>08-000263</t>
  </si>
  <si>
    <t>Impresion y laminado de vinil RQ.COM.364</t>
  </si>
  <si>
    <t>08-000264</t>
  </si>
  <si>
    <t>744</t>
  </si>
  <si>
    <t>08-000265</t>
  </si>
  <si>
    <t>Transporte de carga RQ.OPE.1378 OS 005_714</t>
  </si>
  <si>
    <t>10439205666</t>
  </si>
  <si>
    <t>PFOCCO ZUNIGA YASMINA</t>
  </si>
  <si>
    <t>08-000266</t>
  </si>
  <si>
    <t>Alquiler de montacarga RQ.OPE.1370</t>
  </si>
  <si>
    <t>08-000267</t>
  </si>
  <si>
    <t>Peaje 25239</t>
  </si>
  <si>
    <t>25239</t>
  </si>
  <si>
    <t>08-000268</t>
  </si>
  <si>
    <t>Peaje 25290</t>
  </si>
  <si>
    <t>25290</t>
  </si>
  <si>
    <t>08-000269</t>
  </si>
  <si>
    <t>Balanza 25238</t>
  </si>
  <si>
    <t>25238</t>
  </si>
  <si>
    <t>08-000270</t>
  </si>
  <si>
    <t>Balanza 25237</t>
  </si>
  <si>
    <t>25237</t>
  </si>
  <si>
    <t>08-000271</t>
  </si>
  <si>
    <t>Peaje 25228</t>
  </si>
  <si>
    <t>25228</t>
  </si>
  <si>
    <t>08-000272</t>
  </si>
  <si>
    <t>Peaje 25227</t>
  </si>
  <si>
    <t>25227</t>
  </si>
  <si>
    <t>08-000273</t>
  </si>
  <si>
    <t>Balanza 25222</t>
  </si>
  <si>
    <t>25222</t>
  </si>
  <si>
    <t>08-000274</t>
  </si>
  <si>
    <t>Balanza 25232</t>
  </si>
  <si>
    <t>25232</t>
  </si>
  <si>
    <t>08-000275</t>
  </si>
  <si>
    <t>08-000276</t>
  </si>
  <si>
    <t>08-000277</t>
  </si>
  <si>
    <t>25/08/2025</t>
  </si>
  <si>
    <t>08-000278</t>
  </si>
  <si>
    <t>Alambron OC 360</t>
  </si>
  <si>
    <t>OC 360</t>
  </si>
  <si>
    <t>08-000279</t>
  </si>
  <si>
    <t>Carton y papel OC 249</t>
  </si>
  <si>
    <t>OC 249</t>
  </si>
  <si>
    <t>08-000280</t>
  </si>
  <si>
    <t>Revisión Técnica Vehicular RQ.OPE.1316 OS 006_170</t>
  </si>
  <si>
    <t>08-000281</t>
  </si>
  <si>
    <t>08-000282</t>
  </si>
  <si>
    <t>Transporte de servicio RQ.OPE.1383 OS 005_716</t>
  </si>
  <si>
    <t>20606866861</t>
  </si>
  <si>
    <t>TRANSPORTES PACORI J &amp; G EMPRESA INDIVIDUAL DE RESPONSABILIDAD LIMITADA</t>
  </si>
  <si>
    <t>08-000283</t>
  </si>
  <si>
    <t>Transporte de carga RQ.OPE.1378 OS 005_717</t>
  </si>
  <si>
    <t>10211014194</t>
  </si>
  <si>
    <t>CAPARACHIN BALDEON TEODOMIRO</t>
  </si>
  <si>
    <t>08-000284</t>
  </si>
  <si>
    <t>Encomiendo 002_2419</t>
  </si>
  <si>
    <t>08-000285</t>
  </si>
  <si>
    <t>Encomienda 002_2419</t>
  </si>
  <si>
    <t>08-000286</t>
  </si>
  <si>
    <t>Peaje 25166</t>
  </si>
  <si>
    <t>25166</t>
  </si>
  <si>
    <t>08-000287</t>
  </si>
  <si>
    <t>Peaje 25165</t>
  </si>
  <si>
    <t>25165</t>
  </si>
  <si>
    <t>08-000288</t>
  </si>
  <si>
    <t>Peaje 25235</t>
  </si>
  <si>
    <t>25235</t>
  </si>
  <si>
    <t>08-000289</t>
  </si>
  <si>
    <t>Peaje 25234</t>
  </si>
  <si>
    <t>25234</t>
  </si>
  <si>
    <t>08-000290</t>
  </si>
  <si>
    <t>Lavado 25200</t>
  </si>
  <si>
    <t>25200</t>
  </si>
  <si>
    <t>08-000291</t>
  </si>
  <si>
    <t>F218</t>
  </si>
  <si>
    <t>1665602</t>
  </si>
  <si>
    <t>25201</t>
  </si>
  <si>
    <t>08-000292</t>
  </si>
  <si>
    <t>3775877</t>
  </si>
  <si>
    <t>25202</t>
  </si>
  <si>
    <t>08-000293</t>
  </si>
  <si>
    <t xml:space="preserve">                                -  </t>
  </si>
  <si>
    <t>26/08/2025</t>
  </si>
  <si>
    <t>08-000294</t>
  </si>
  <si>
    <t>08-000295</t>
  </si>
  <si>
    <t>08-000296</t>
  </si>
  <si>
    <t>08-000297</t>
  </si>
  <si>
    <t>23/08/2025</t>
  </si>
  <si>
    <t>08-000298</t>
  </si>
  <si>
    <t>Vigilancia Médica  Julio_Agosto RQ.GH.232</t>
  </si>
  <si>
    <t>10295579221</t>
  </si>
  <si>
    <t>BERNAL TODCO LUIS ALBERTO</t>
  </si>
  <si>
    <t>08-000299</t>
  </si>
  <si>
    <t>Swich _ Equipos de cómputo y accesorios RQ.STI.105</t>
  </si>
  <si>
    <t>20539522320</t>
  </si>
  <si>
    <t>WIRELESS CONEXION E.I.R.L.</t>
  </si>
  <si>
    <t>08-000300</t>
  </si>
  <si>
    <t>Inducciones Externas Basica de seguridad RQ.SSO.268</t>
  </si>
  <si>
    <t>08-000301</t>
  </si>
  <si>
    <t>Inducciones Externas Basica de seguridad RQ.SSO.267</t>
  </si>
  <si>
    <t>08-000302</t>
  </si>
  <si>
    <t>Inducciones Externas Basica de seguridad RQ.SSO.274</t>
  </si>
  <si>
    <t>08-000303</t>
  </si>
  <si>
    <t>08-000304</t>
  </si>
  <si>
    <t>08-000305</t>
  </si>
  <si>
    <t>08-000306</t>
  </si>
  <si>
    <t>08-000307</t>
  </si>
  <si>
    <t>08-000308</t>
  </si>
  <si>
    <t>08-000309</t>
  </si>
  <si>
    <t>08-000310</t>
  </si>
  <si>
    <t>63.9.1.1.02</t>
  </si>
  <si>
    <t>08-000311</t>
  </si>
  <si>
    <t>08-000312</t>
  </si>
  <si>
    <t>08-000313</t>
  </si>
  <si>
    <t>08-000314</t>
  </si>
  <si>
    <t>08-000315</t>
  </si>
  <si>
    <t>08-000316</t>
  </si>
  <si>
    <t>08-000317</t>
  </si>
  <si>
    <t>08-000318</t>
  </si>
  <si>
    <t>10405939504</t>
  </si>
  <si>
    <t>SILVA ACHTAR ROGER KONRRAC</t>
  </si>
  <si>
    <t>08-000319</t>
  </si>
  <si>
    <t>Trasporte de personal _viajes</t>
  </si>
  <si>
    <t>20219774207</t>
  </si>
  <si>
    <t>EMP CAPLINA TRANSP TURISTIC INTERNAC SRL</t>
  </si>
  <si>
    <t>FA09</t>
  </si>
  <si>
    <t>63.1.1.2.03</t>
  </si>
  <si>
    <t>08-000320</t>
  </si>
  <si>
    <t>Transporte de personal_viajes</t>
  </si>
  <si>
    <t>08-000321</t>
  </si>
  <si>
    <t>08-000322</t>
  </si>
  <si>
    <t>08-000323</t>
  </si>
  <si>
    <t>Transporte de personal _viajes</t>
  </si>
  <si>
    <t>20106076635</t>
  </si>
  <si>
    <t>EMPRESA DE TRANSPORTES PERU BUS S.A.</t>
  </si>
  <si>
    <t>FG08</t>
  </si>
  <si>
    <t>08-000324</t>
  </si>
  <si>
    <t>Transporte de perosnal_ viajes</t>
  </si>
  <si>
    <t>08-000325</t>
  </si>
  <si>
    <t>Reparacion de llanta 25180</t>
  </si>
  <si>
    <t>10294164630</t>
  </si>
  <si>
    <t>FLORES FLORES DOLORES MARIA</t>
  </si>
  <si>
    <t>25180</t>
  </si>
  <si>
    <t>08-000326</t>
  </si>
  <si>
    <t>Servicio de rotacion 25181</t>
  </si>
  <si>
    <t>25181</t>
  </si>
  <si>
    <t>08-000327</t>
  </si>
  <si>
    <t>Accesorios Vehiculares: Compra de insumos de pintado 25176</t>
  </si>
  <si>
    <t>25176</t>
  </si>
  <si>
    <t>08-000328</t>
  </si>
  <si>
    <t>Accesorios Vehiculares: Compra de soplete y base de pintura 25177</t>
  </si>
  <si>
    <t>25177</t>
  </si>
  <si>
    <t>08-000329</t>
  </si>
  <si>
    <t>Accesorios Vehiculares: Compra de manguera, acople rápido, acople macho, acople hembra, abrazaderas</t>
  </si>
  <si>
    <t>20601292727</t>
  </si>
  <si>
    <t>H &amp; P MANGUERAS Y CONEXIONES S.A.C.</t>
  </si>
  <si>
    <t>25178</t>
  </si>
  <si>
    <t>08-000330</t>
  </si>
  <si>
    <t>Accesorios Vehiculares: Compra de manguera y acople rápido espiga 25179</t>
  </si>
  <si>
    <t>25179</t>
  </si>
  <si>
    <t>08-000331</t>
  </si>
  <si>
    <t>Accesorios Vehiculares: Abastecimiento de UREA 25205</t>
  </si>
  <si>
    <t>20611135271</t>
  </si>
  <si>
    <t>GASOLINERA LA PARCELA 45 S.A.C.</t>
  </si>
  <si>
    <t>FS04</t>
  </si>
  <si>
    <t>25205</t>
  </si>
  <si>
    <t>08-000332</t>
  </si>
  <si>
    <t>Accesorios Vehiculares: Cambio de foco de luz baja (lado derecho) 25257</t>
  </si>
  <si>
    <t>25257</t>
  </si>
  <si>
    <t>08-000333</t>
  </si>
  <si>
    <t>Accesorios Vehiculares: Compra de imantados para sticker de codificación 25164</t>
  </si>
  <si>
    <t>25164</t>
  </si>
  <si>
    <t>08-000334</t>
  </si>
  <si>
    <t>Accesorios Vehiculares: Compra de base de pintura 25266</t>
  </si>
  <si>
    <t>25226</t>
  </si>
  <si>
    <t>08-000335</t>
  </si>
  <si>
    <t>Mantenimiento Correctivo: Cambio de foco delantero 25193</t>
  </si>
  <si>
    <t>20601014956</t>
  </si>
  <si>
    <t>ELIBEM IMPORT E.I.R.L.</t>
  </si>
  <si>
    <t>F043</t>
  </si>
  <si>
    <t>25193</t>
  </si>
  <si>
    <t>08-000336</t>
  </si>
  <si>
    <t>Peaje 25233</t>
  </si>
  <si>
    <t>25233</t>
  </si>
  <si>
    <t>08-000337</t>
  </si>
  <si>
    <t>Peaje 25225</t>
  </si>
  <si>
    <t>25225</t>
  </si>
  <si>
    <t>27/08/2025</t>
  </si>
  <si>
    <t>08-000338</t>
  </si>
  <si>
    <t>08-000339</t>
  </si>
  <si>
    <t>08-000340</t>
  </si>
  <si>
    <t>Balanza 25060</t>
  </si>
  <si>
    <t>25060</t>
  </si>
  <si>
    <t>08-000341</t>
  </si>
  <si>
    <t>Combutible 25243</t>
  </si>
  <si>
    <t>25243</t>
  </si>
  <si>
    <t>08-000342</t>
  </si>
  <si>
    <t>Peaje 25250</t>
  </si>
  <si>
    <t>25250</t>
  </si>
  <si>
    <t>08-000343</t>
  </si>
  <si>
    <t>Peaje 25195</t>
  </si>
  <si>
    <t>25195</t>
  </si>
  <si>
    <t>08-000344</t>
  </si>
  <si>
    <t>Peaje 25172</t>
  </si>
  <si>
    <t>25172</t>
  </si>
  <si>
    <t>08-000345</t>
  </si>
  <si>
    <t>Peaje 25197</t>
  </si>
  <si>
    <t>25197</t>
  </si>
  <si>
    <t>08-000346</t>
  </si>
  <si>
    <t>Peaje 25196</t>
  </si>
  <si>
    <t>25196</t>
  </si>
  <si>
    <t>08-000347</t>
  </si>
  <si>
    <t>25244</t>
  </si>
  <si>
    <t>08-000348</t>
  </si>
  <si>
    <t>Peaje 25217</t>
  </si>
  <si>
    <t>25217</t>
  </si>
  <si>
    <t>08-000349</t>
  </si>
  <si>
    <t>Alojamiento 25245</t>
  </si>
  <si>
    <t>10478277046</t>
  </si>
  <si>
    <t>MENDOZA SANCHEZ DEYSI</t>
  </si>
  <si>
    <t>25245</t>
  </si>
  <si>
    <t>08-000350</t>
  </si>
  <si>
    <t>Balanza 25173</t>
  </si>
  <si>
    <t>25173</t>
  </si>
  <si>
    <t>08-000351</t>
  </si>
  <si>
    <t>Clindros usados OC 369</t>
  </si>
  <si>
    <t>OC 369</t>
  </si>
  <si>
    <t>08-000352</t>
  </si>
  <si>
    <t>Chatarra mad OC 368</t>
  </si>
  <si>
    <t>OC 368</t>
  </si>
  <si>
    <t>08-000353</t>
  </si>
  <si>
    <t>Tucos de carton OC 367</t>
  </si>
  <si>
    <t>OC 367</t>
  </si>
  <si>
    <t>08-000354</t>
  </si>
  <si>
    <t>Film strech usado OC 366</t>
  </si>
  <si>
    <t>OC 366</t>
  </si>
  <si>
    <t>08-000355</t>
  </si>
  <si>
    <t>Sco polis inserv manufactura OC 365</t>
  </si>
  <si>
    <t>OC 365</t>
  </si>
  <si>
    <t>08-000356</t>
  </si>
  <si>
    <t>Carton y bolsas papel inservibles OC 364</t>
  </si>
  <si>
    <t>OC 364</t>
  </si>
  <si>
    <t>08-000357</t>
  </si>
  <si>
    <t>Film strech usado OC 363</t>
  </si>
  <si>
    <t>OC 363</t>
  </si>
  <si>
    <t>08-000358</t>
  </si>
  <si>
    <t>Sco polis inservible manufactrura OC 362</t>
  </si>
  <si>
    <t>OC 362</t>
  </si>
  <si>
    <t>08-000359</t>
  </si>
  <si>
    <t>Carton y bolsas papel inservibles OC 361</t>
  </si>
  <si>
    <t>OC 361</t>
  </si>
  <si>
    <t>08-000360</t>
  </si>
  <si>
    <t>Gallleta rota sucia 30kg OC 356</t>
  </si>
  <si>
    <t>OC 356</t>
  </si>
  <si>
    <t>08-000361</t>
  </si>
  <si>
    <t>Chatarra mad OC 355</t>
  </si>
  <si>
    <t>OC 355</t>
  </si>
  <si>
    <t>08-000362</t>
  </si>
  <si>
    <t>Tucos de carton OC 354</t>
  </si>
  <si>
    <t>OC 354</t>
  </si>
  <si>
    <t>08-000363</t>
  </si>
  <si>
    <t>Cilindro usados x 55 GL plas OC 353</t>
  </si>
  <si>
    <t>OC 353</t>
  </si>
  <si>
    <t>08-000364</t>
  </si>
  <si>
    <t>Film strech usado OC 352</t>
  </si>
  <si>
    <t>OC 352</t>
  </si>
  <si>
    <t>08-000365</t>
  </si>
  <si>
    <t>Sco polis inservible manufactura OC 351</t>
  </si>
  <si>
    <t>OC 351</t>
  </si>
  <si>
    <t>08-000366</t>
  </si>
  <si>
    <t>Carton y bolsas papel inservible OC 350</t>
  </si>
  <si>
    <t>OC 350</t>
  </si>
  <si>
    <t>08-000367</t>
  </si>
  <si>
    <t>Carton OC 307</t>
  </si>
  <si>
    <t>281448589</t>
  </si>
  <si>
    <t>3/09/2025</t>
  </si>
  <si>
    <t>OC 307</t>
  </si>
  <si>
    <t>08-000368</t>
  </si>
  <si>
    <t>Carton,bidon plastico azul,papel mixto,chatarra OC 319</t>
  </si>
  <si>
    <t>281448590</t>
  </si>
  <si>
    <t>OC 319</t>
  </si>
  <si>
    <t>08-000369</t>
  </si>
  <si>
    <t>Bidon,plastico duro, caucho,carton,aluminio OC 339</t>
  </si>
  <si>
    <t>281448591</t>
  </si>
  <si>
    <t>OC 339</t>
  </si>
  <si>
    <t>28/08/2025</t>
  </si>
  <si>
    <t>08-000370</t>
  </si>
  <si>
    <t>Strech film transparente en desuso OC 357</t>
  </si>
  <si>
    <t>281033690</t>
  </si>
  <si>
    <t>1/09/2025</t>
  </si>
  <si>
    <t>OC 357</t>
  </si>
  <si>
    <t>08-000371</t>
  </si>
  <si>
    <t>Alambron OC 370</t>
  </si>
  <si>
    <t>281448592</t>
  </si>
  <si>
    <t>OC 370</t>
  </si>
  <si>
    <t>08-000372</t>
  </si>
  <si>
    <t>DIESEL B5 S50 UV / Gasolina</t>
  </si>
  <si>
    <t>08-000373</t>
  </si>
  <si>
    <t>DIESEL B5 S50 UV / Gasolina; GLP (Montacarga)</t>
  </si>
  <si>
    <t>08-000374</t>
  </si>
  <si>
    <t>91.01.02</t>
  </si>
  <si>
    <t>Tratamiento / Disposición_ No Aprovechables Chilca</t>
  </si>
  <si>
    <t>08-000375</t>
  </si>
  <si>
    <t>91.01.01</t>
  </si>
  <si>
    <t>Tratamiento / Disposición_ peligrosos,liq.semisol,no peligrosos</t>
  </si>
  <si>
    <t>08-000376</t>
  </si>
  <si>
    <t>Tratamiento / Disposición _ Peligrosos</t>
  </si>
  <si>
    <t>281033691</t>
  </si>
  <si>
    <t>08-000377</t>
  </si>
  <si>
    <t>Curso induccion, materiales peligrosos, evaluacion de prevencionista</t>
  </si>
  <si>
    <t>08-000378</t>
  </si>
  <si>
    <t>20600012828</t>
  </si>
  <si>
    <t>TRANSPORTES EXPRESS Y TURISMO JEAN BUSS SOCIEDAD COMERCIAL DE RESPONSABILIDAD LIMITADA</t>
  </si>
  <si>
    <t>08-000379</t>
  </si>
  <si>
    <t>Vidrio para gabinete de extintor, recarga de extintor</t>
  </si>
  <si>
    <t>08-000380</t>
  </si>
  <si>
    <t>Peaje 25297</t>
  </si>
  <si>
    <t>25297</t>
  </si>
  <si>
    <t>08-000381</t>
  </si>
  <si>
    <t>Peaje 25296</t>
  </si>
  <si>
    <t>25296</t>
  </si>
  <si>
    <t>08-000382</t>
  </si>
  <si>
    <t>Balanza 25295</t>
  </si>
  <si>
    <t>25295</t>
  </si>
  <si>
    <t>08-000383</t>
  </si>
  <si>
    <t>Peaje 25275</t>
  </si>
  <si>
    <t>25275</t>
  </si>
  <si>
    <t>08-000384</t>
  </si>
  <si>
    <t>Peaje 25276</t>
  </si>
  <si>
    <t>25276</t>
  </si>
  <si>
    <t>08-000385</t>
  </si>
  <si>
    <t>Lavado 25274</t>
  </si>
  <si>
    <t>25274</t>
  </si>
  <si>
    <t>08-000386</t>
  </si>
  <si>
    <t>Peaje 25259</t>
  </si>
  <si>
    <t>25259</t>
  </si>
  <si>
    <t>08-000387</t>
  </si>
  <si>
    <t>Peaje 25279</t>
  </si>
  <si>
    <t>25279</t>
  </si>
  <si>
    <t>08-000388</t>
  </si>
  <si>
    <t>Balanza 25268</t>
  </si>
  <si>
    <t>25268</t>
  </si>
  <si>
    <t>08-000389</t>
  </si>
  <si>
    <t>Balanza 25278</t>
  </si>
  <si>
    <t>25278</t>
  </si>
  <si>
    <t>08-000390</t>
  </si>
  <si>
    <t>Balde rojo 20L RQ.LOG.347</t>
  </si>
  <si>
    <t>10410928421</t>
  </si>
  <si>
    <t xml:space="preserve"> QUISPE CALDERON LUCILA </t>
  </si>
  <si>
    <t>08-000391</t>
  </si>
  <si>
    <t>Mantenimiento Vehicular (Preventivo) RQ.OPE.1341 OS 006_172</t>
  </si>
  <si>
    <t xml:space="preserve"> TRENTO MULTISERVICIOS S.R.L. </t>
  </si>
  <si>
    <t>08-000392</t>
  </si>
  <si>
    <t>Accesorios Vehiculares RQ.OPE.1313 OS 006_171</t>
  </si>
  <si>
    <t>10207191685</t>
  </si>
  <si>
    <t xml:space="preserve"> GARCIA RAMOS HOTMAR PEDRO </t>
  </si>
  <si>
    <t>29/08/2025</t>
  </si>
  <si>
    <t>08-000393</t>
  </si>
  <si>
    <t xml:space="preserve"> GRUPO GARCIA TOLEDO S.A.C </t>
  </si>
  <si>
    <t>08-000394</t>
  </si>
  <si>
    <t>Accesorios Vehiculares RQ.OPE.1381 OS 006_173</t>
  </si>
  <si>
    <t xml:space="preserve"> GRUPO HUAMCO PERU S.A.C. </t>
  </si>
  <si>
    <t>08-000395</t>
  </si>
  <si>
    <t xml:space="preserve"> BANCO DE CREDITO DEL PERU </t>
  </si>
  <si>
    <t>08-000396</t>
  </si>
  <si>
    <t>Mantenimiento Vehicular (Preventivo) RQ.OPE.1385 OS 006_174</t>
  </si>
  <si>
    <t xml:space="preserve"> HUALLA SANCHEZ GUSTAVO PAUL </t>
  </si>
  <si>
    <t>08-000397</t>
  </si>
  <si>
    <t>Alquiler de montacarga RQ.OPE.1393</t>
  </si>
  <si>
    <t xml:space="preserve"> PALOMINO DAVILA MARCOS ANTONIO </t>
  </si>
  <si>
    <t>08-000398</t>
  </si>
  <si>
    <t>Alquiler de montacarga RQ.OPE.1392 OS 005_718</t>
  </si>
  <si>
    <t xml:space="preserve"> TRANSPORTES, GRUAS Y MONTACARGAS AREQUIPA EMPRESA INDIVIDUAL DE RESPONSABILIDAD LIMITADA </t>
  </si>
  <si>
    <t>08-000399</t>
  </si>
  <si>
    <t>Alquiler de montacarga RQ.OPE.1390</t>
  </si>
  <si>
    <t xml:space="preserve"> MGM MONTACARGAS &amp; GRUAS S.A.C. </t>
  </si>
  <si>
    <t>08-000400</t>
  </si>
  <si>
    <t>Alquiler de montacarga RQ.OPE.1391</t>
  </si>
  <si>
    <t>08-000401</t>
  </si>
  <si>
    <t>Alquiler de montacarga RQ.OPE.1396</t>
  </si>
  <si>
    <t>08-000402</t>
  </si>
  <si>
    <t>Alquiler de montacarga RQ.OPE.1395</t>
  </si>
  <si>
    <t>08-000403</t>
  </si>
  <si>
    <t>Peaje 25315</t>
  </si>
  <si>
    <t xml:space="preserve"> CONCESIONARIA VIAL DEL SUR S.A.- COVISUR S.A. </t>
  </si>
  <si>
    <t>25315</t>
  </si>
  <si>
    <t>08-000404</t>
  </si>
  <si>
    <t>Peaje 25314</t>
  </si>
  <si>
    <t>25314</t>
  </si>
  <si>
    <t>08-000405</t>
  </si>
  <si>
    <t>Peaje 25308</t>
  </si>
  <si>
    <t>25308</t>
  </si>
  <si>
    <t>08-000406</t>
  </si>
  <si>
    <t>Peaje 25304</t>
  </si>
  <si>
    <t>25304</t>
  </si>
  <si>
    <t>08-000407</t>
  </si>
  <si>
    <t>Peaje 25294</t>
  </si>
  <si>
    <t>25294</t>
  </si>
  <si>
    <t>08-000408</t>
  </si>
  <si>
    <t>Peaje 25310</t>
  </si>
  <si>
    <t>25310</t>
  </si>
  <si>
    <t>30/08/2025</t>
  </si>
  <si>
    <t>08-000409</t>
  </si>
  <si>
    <t>Peaje 25324</t>
  </si>
  <si>
    <t>25324</t>
  </si>
  <si>
    <t>08-000410</t>
  </si>
  <si>
    <t>Balanza 25311</t>
  </si>
  <si>
    <t xml:space="preserve"> ALIMENTOS Y SERVICIOS AGROPECUARIOS SRL. </t>
  </si>
  <si>
    <t>25311</t>
  </si>
  <si>
    <t>08-000411</t>
  </si>
  <si>
    <t>GLP (Montacarga)</t>
  </si>
  <si>
    <t xml:space="preserve"> ESTACION DE SERVICIOS MI GRIFO S.R.L. - ESTACION MG S.R.L. </t>
  </si>
  <si>
    <t>08-000412</t>
  </si>
  <si>
    <t>Llanta para carretilla</t>
  </si>
  <si>
    <t>10449756199</t>
  </si>
  <si>
    <t xml:space="preserve"> LLAIQUI CHUQUIPUMA MARTHA PATRICIA </t>
  </si>
  <si>
    <t>08-000413</t>
  </si>
  <si>
    <t>Examen medico_ ingreso RQ.GH.234</t>
  </si>
  <si>
    <t xml:space="preserve"> SIGSO CONSULTORES LABORALES SOCIEDAD ANONIMA CERRADA - SIGSO CONSULTORES LABORALES S.A.C. </t>
  </si>
  <si>
    <t>08-000414</t>
  </si>
  <si>
    <t xml:space="preserve"> MULTISERVICIOS NUESTRA SRA. DE LOURDES E.I.R.L. </t>
  </si>
  <si>
    <t>08-000415</t>
  </si>
  <si>
    <t>08-000416</t>
  </si>
  <si>
    <t>Tratamiento / Disposición _ No Aprovechables</t>
  </si>
  <si>
    <t xml:space="preserve"> BIRRAK 360 S.A.C. </t>
  </si>
  <si>
    <t>08-000417</t>
  </si>
  <si>
    <t>Valorizacion de residuos _ disposicion final</t>
  </si>
  <si>
    <t>08-000418</t>
  </si>
  <si>
    <t>Valorizacion de residuos_ disposicion final</t>
  </si>
  <si>
    <t>281448600</t>
  </si>
  <si>
    <t>08-000419</t>
  </si>
  <si>
    <t>08-000420</t>
  </si>
  <si>
    <t>Recarga de agua _ Arequipa RQ.LOG.352</t>
  </si>
  <si>
    <t xml:space="preserve"> FARFAN RIEGA YESENIA ELIZABETH </t>
  </si>
  <si>
    <t>08-000421</t>
  </si>
  <si>
    <t>Recarga de agua _ Arequipa RQ.LOG.353</t>
  </si>
  <si>
    <t>08-000422</t>
  </si>
  <si>
    <t>514</t>
  </si>
  <si>
    <t>08-000423</t>
  </si>
  <si>
    <t>Ficha de servicios,tamaño oficio, impresiones RQ.LOG.350</t>
  </si>
  <si>
    <t xml:space="preserve"> BUSTAMANTE HERRERA NESTOR MOISES </t>
  </si>
  <si>
    <t>08-000424</t>
  </si>
  <si>
    <t xml:space="preserve"> COMERCIALIZACION Y SERVICIOS EL EDEN S.A.C. </t>
  </si>
  <si>
    <t>08-000425</t>
  </si>
  <si>
    <t>Alfajores</t>
  </si>
  <si>
    <t xml:space="preserve"> INVERSIONES LIVER GROUP E.I.R.L. - INVERLIG E.I.R.L. </t>
  </si>
  <si>
    <t>08-000426</t>
  </si>
  <si>
    <t>10705731956</t>
  </si>
  <si>
    <t xml:space="preserve"> TORRES QUISPE MEDALY XIMENA </t>
  </si>
  <si>
    <t>08-000427</t>
  </si>
  <si>
    <t xml:space="preserve"> EL CUSQUEÑITO DEL BUEN SAZON EMPRESA INDIVIDUAL DE RESPONSABILIDAD LIMITADA - EL CUSQUEÑITO DEL BUEN </t>
  </si>
  <si>
    <t>08-000428</t>
  </si>
  <si>
    <t>Compra / Venta de Residuos (Balanzas)</t>
  </si>
  <si>
    <t>08-000429</t>
  </si>
  <si>
    <t>08-000430</t>
  </si>
  <si>
    <t>08-000431</t>
  </si>
  <si>
    <t>Lavado y engrase 25313</t>
  </si>
  <si>
    <t xml:space="preserve"> LARICO APAZA NANCY ROSSMARY </t>
  </si>
  <si>
    <t>25313</t>
  </si>
  <si>
    <t>08-000432</t>
  </si>
  <si>
    <t>Peaje 25269</t>
  </si>
  <si>
    <t>25269</t>
  </si>
  <si>
    <t>08-000433</t>
  </si>
  <si>
    <t>Peaje 25283</t>
  </si>
  <si>
    <t>25283</t>
  </si>
  <si>
    <t>08-000434</t>
  </si>
  <si>
    <t>Peaje 25284</t>
  </si>
  <si>
    <t>25284</t>
  </si>
  <si>
    <t>08-000435</t>
  </si>
  <si>
    <t>Peaje 25316</t>
  </si>
  <si>
    <t>25316</t>
  </si>
  <si>
    <t>08-000436</t>
  </si>
  <si>
    <t>Peaje 25317</t>
  </si>
  <si>
    <t>25317</t>
  </si>
  <si>
    <t>08-000437</t>
  </si>
  <si>
    <t>Lavado 25268</t>
  </si>
  <si>
    <t>08-000438</t>
  </si>
  <si>
    <t>Peaje 25299</t>
  </si>
  <si>
    <t>25299</t>
  </si>
  <si>
    <t>08-000439</t>
  </si>
  <si>
    <t>Peaje 25298</t>
  </si>
  <si>
    <t>25298</t>
  </si>
  <si>
    <t>08-000440</t>
  </si>
  <si>
    <t>Balanza 25300</t>
  </si>
  <si>
    <t>25300</t>
  </si>
  <si>
    <t>08-000441</t>
  </si>
  <si>
    <t>Peaje 25285</t>
  </si>
  <si>
    <t>25285</t>
  </si>
  <si>
    <t>08-000442</t>
  </si>
  <si>
    <t>Peaje 25264</t>
  </si>
  <si>
    <t>25264</t>
  </si>
  <si>
    <t>08-000443</t>
  </si>
  <si>
    <t>Peaje 25265</t>
  </si>
  <si>
    <t>25265</t>
  </si>
  <si>
    <t>08-000444</t>
  </si>
  <si>
    <t>Peaje 25241</t>
  </si>
  <si>
    <t>25241</t>
  </si>
  <si>
    <t>08-000445</t>
  </si>
  <si>
    <t>Balanza 25267</t>
  </si>
  <si>
    <t>25267</t>
  </si>
  <si>
    <t>08-000446</t>
  </si>
  <si>
    <t>Balanza 25266</t>
  </si>
  <si>
    <t xml:space="preserve"> ZONA ESPECIAL DE DESARROLLO ZED MATARANI </t>
  </si>
  <si>
    <t>25266</t>
  </si>
  <si>
    <t>08-000447</t>
  </si>
  <si>
    <t>Balanza 25293</t>
  </si>
  <si>
    <t>25293</t>
  </si>
  <si>
    <t>08-000448</t>
  </si>
  <si>
    <t>Balanza 25320</t>
  </si>
  <si>
    <t>25320</t>
  </si>
  <si>
    <t>08-000449</t>
  </si>
  <si>
    <t>Peaje 25230</t>
  </si>
  <si>
    <t>25230</t>
  </si>
  <si>
    <t>08-000450</t>
  </si>
  <si>
    <t>Peaje 25318</t>
  </si>
  <si>
    <t>25318</t>
  </si>
  <si>
    <t>08-000451</t>
  </si>
  <si>
    <t>Peaje 25231</t>
  </si>
  <si>
    <t>25231</t>
  </si>
  <si>
    <t>08-000452</t>
  </si>
  <si>
    <t>Peaje 25254</t>
  </si>
  <si>
    <t>25254</t>
  </si>
  <si>
    <t>08-000453</t>
  </si>
  <si>
    <t>Peaje 25261</t>
  </si>
  <si>
    <t>25261</t>
  </si>
  <si>
    <t>08-000454</t>
  </si>
  <si>
    <t>Peaje 25262</t>
  </si>
  <si>
    <t>25262</t>
  </si>
  <si>
    <t>08-000455</t>
  </si>
  <si>
    <t>Balanza 25287</t>
  </si>
  <si>
    <t>25287</t>
  </si>
  <si>
    <t>08-000456</t>
  </si>
  <si>
    <t>Balanza 25286</t>
  </si>
  <si>
    <t>25286</t>
  </si>
  <si>
    <t>08-000457</t>
  </si>
  <si>
    <t>Alambron OC 383</t>
  </si>
  <si>
    <t xml:space="preserve"> MOLY-COP ADESUR S.A. </t>
  </si>
  <si>
    <t>OC 383</t>
  </si>
  <si>
    <t>31/08/2025</t>
  </si>
  <si>
    <t>08-000458</t>
  </si>
  <si>
    <t>Chatarrra metalico,alambron,viruta,madera sacas OC 349</t>
  </si>
  <si>
    <t>OC 349</t>
  </si>
  <si>
    <t>08-000459</t>
  </si>
  <si>
    <t>Carton,chatarra metalica,plastico duro color_caucho,sacas big bag rotas OC 348</t>
  </si>
  <si>
    <t>OC 348</t>
  </si>
  <si>
    <t>08_000460</t>
  </si>
  <si>
    <t>Alambron OC 386</t>
  </si>
  <si>
    <t>16730</t>
  </si>
  <si>
    <t>08_000461</t>
  </si>
  <si>
    <t>1068769</t>
  </si>
  <si>
    <t>08-000462</t>
  </si>
  <si>
    <t>Seguros vehiculares BKK-849,BKL-739,VDJ-872,V9R-903,VBB-840</t>
  </si>
  <si>
    <t xml:space="preserve"> LA POSITIVA SEGUROS Y REASEGUROS S.A.A. </t>
  </si>
  <si>
    <t>479167</t>
  </si>
  <si>
    <t>08_000463</t>
  </si>
  <si>
    <t>Transporte de carga RQ.OPE.1417 OS 005-719</t>
  </si>
  <si>
    <t>702</t>
  </si>
  <si>
    <t>08_000464</t>
  </si>
  <si>
    <t>Consultoria en marketing, investigacion de mercado,posicionamiento RQ.GER.086</t>
  </si>
  <si>
    <t>11</t>
  </si>
  <si>
    <t>08-000465</t>
  </si>
  <si>
    <t>Insumos / Materiales de Limpieza en general  RQ.LOG.223 OC 004-166</t>
  </si>
  <si>
    <t>20559236803</t>
  </si>
  <si>
    <t xml:space="preserve"> GLOBAL ACTIVA S.R.L. </t>
  </si>
  <si>
    <t>1559</t>
  </si>
  <si>
    <t>08-000466</t>
  </si>
  <si>
    <t>EPPS- pantalon RQ.SSO.245 OC 004-163</t>
  </si>
  <si>
    <t>20563648113</t>
  </si>
  <si>
    <t xml:space="preserve"> CONFECCIONES SUKER JEANS S.A.C. </t>
  </si>
  <si>
    <t>365</t>
  </si>
  <si>
    <t>08_000467</t>
  </si>
  <si>
    <t>Calibracion de balanzas RQ.SIG.033</t>
  </si>
  <si>
    <t>20413815071</t>
  </si>
  <si>
    <t>LO JUSTO S.A.C.</t>
  </si>
  <si>
    <t>35714</t>
  </si>
  <si>
    <t>08_000468</t>
  </si>
  <si>
    <t>Piedra chancada RQ.LOG.339</t>
  </si>
  <si>
    <t>567</t>
  </si>
  <si>
    <t>08_000469</t>
  </si>
  <si>
    <t>BKL-739</t>
  </si>
  <si>
    <t>Peaje 25346</t>
  </si>
  <si>
    <t>1115890</t>
  </si>
  <si>
    <t>RCO-18</t>
  </si>
  <si>
    <t>08_000470</t>
  </si>
  <si>
    <t>Peaje 25345</t>
  </si>
  <si>
    <t>499855</t>
  </si>
  <si>
    <t>08_000471</t>
  </si>
  <si>
    <t>7217</t>
  </si>
  <si>
    <t>08_000472</t>
  </si>
  <si>
    <t>7218</t>
  </si>
  <si>
    <t>08_000473</t>
  </si>
  <si>
    <t>Transporte de carga RQ.OPE.1377 OS 005-726</t>
  </si>
  <si>
    <t>1888</t>
  </si>
  <si>
    <t>08-000474</t>
  </si>
  <si>
    <t xml:space="preserve"> COESTI S.A. </t>
  </si>
  <si>
    <t>150575</t>
  </si>
  <si>
    <t>08_000475</t>
  </si>
  <si>
    <t>Celulares y accesorios RQ.STI.1007</t>
  </si>
  <si>
    <t>10749040918</t>
  </si>
  <si>
    <t>SUCASACA SUCAPUCA WILLIAMS</t>
  </si>
  <si>
    <t>923</t>
  </si>
  <si>
    <t>08_000476</t>
  </si>
  <si>
    <t>Balanza 25322</t>
  </si>
  <si>
    <t>136235</t>
  </si>
  <si>
    <t>08_000477</t>
  </si>
  <si>
    <t>Balanza 25321</t>
  </si>
  <si>
    <t>136227</t>
  </si>
  <si>
    <t>08_000478</t>
  </si>
  <si>
    <t>VBB-840</t>
  </si>
  <si>
    <t>Peaje 25271</t>
  </si>
  <si>
    <t>F201</t>
  </si>
  <si>
    <t>3851742</t>
  </si>
  <si>
    <t>RCO-17</t>
  </si>
  <si>
    <t>08_000479</t>
  </si>
  <si>
    <t>Peaje 25255</t>
  </si>
  <si>
    <t>2019123</t>
  </si>
  <si>
    <t>08_000480</t>
  </si>
  <si>
    <t>Peaje 25288</t>
  </si>
  <si>
    <t>3500577</t>
  </si>
  <si>
    <t>08_000481</t>
  </si>
  <si>
    <t>Peaje 25272</t>
  </si>
  <si>
    <t>3217536</t>
  </si>
  <si>
    <t>08_000482</t>
  </si>
  <si>
    <t>Peaje 25305</t>
  </si>
  <si>
    <t>3856042</t>
  </si>
  <si>
    <t>08_000483</t>
  </si>
  <si>
    <t>Peaje 25270</t>
  </si>
  <si>
    <t>3217535</t>
  </si>
  <si>
    <t>08_000484</t>
  </si>
  <si>
    <t>618812</t>
  </si>
  <si>
    <t>08_000485</t>
  </si>
  <si>
    <t>Peaje 25307</t>
  </si>
  <si>
    <t>3220266</t>
  </si>
  <si>
    <t>RCO-19</t>
  </si>
  <si>
    <t>08-000486</t>
  </si>
  <si>
    <t>EMO operarios copasi RQ.COM.373</t>
  </si>
  <si>
    <t xml:space="preserve"> PULSO CORPORACION MEDICA SOCIEDAD ANONIMA CERRADA </t>
  </si>
  <si>
    <t>17315</t>
  </si>
  <si>
    <t>08-000487</t>
  </si>
  <si>
    <t>Examen medico- ingreso RQ.GH.242</t>
  </si>
  <si>
    <t>16273</t>
  </si>
  <si>
    <t>08/04/2025</t>
  </si>
  <si>
    <t>08-000488</t>
  </si>
  <si>
    <t>Sistema ERP RQ.GER.047</t>
  </si>
  <si>
    <t xml:space="preserve"> SOLUCIONES DE INFORMACION NEXTSOFT S.A.C. </t>
  </si>
  <si>
    <t>7604</t>
  </si>
  <si>
    <t>08-000489</t>
  </si>
  <si>
    <t>7681</t>
  </si>
  <si>
    <t>08-000490</t>
  </si>
  <si>
    <t>179531</t>
  </si>
  <si>
    <t>08-000491</t>
  </si>
  <si>
    <t>VBW-889</t>
  </si>
  <si>
    <t>179605</t>
  </si>
  <si>
    <t>08-000492</t>
  </si>
  <si>
    <t>180928</t>
  </si>
  <si>
    <t>02/01/2025</t>
  </si>
  <si>
    <t>08-000493</t>
  </si>
  <si>
    <t xml:space="preserve"> RUTAS DE LIMA S.A.C. </t>
  </si>
  <si>
    <t>3574668</t>
  </si>
  <si>
    <t>08-000494</t>
  </si>
  <si>
    <t>3260710</t>
  </si>
  <si>
    <t>22/05/2025</t>
  </si>
  <si>
    <t>08-000495</t>
  </si>
  <si>
    <t>10283065524</t>
  </si>
  <si>
    <t xml:space="preserve"> CONGACHI GOMEZ VICTORIA </t>
  </si>
  <si>
    <t>15</t>
  </si>
  <si>
    <t>08-000496</t>
  </si>
  <si>
    <t>Transporte de carga RQ.OPE.1431 OS 005-731</t>
  </si>
  <si>
    <t xml:space="preserve"> EMPRESA DE TRANSPORTES DE CARGA COSISE S.A.C. </t>
  </si>
  <si>
    <t>1887</t>
  </si>
  <si>
    <t>08-000497</t>
  </si>
  <si>
    <t>Fuente de alimentacion,regleta extencion de corriente RQ.GER.093</t>
  </si>
  <si>
    <t xml:space="preserve"> ROQUE BORDIJUELA GROVER </t>
  </si>
  <si>
    <t>1487</t>
  </si>
  <si>
    <t>08-000498</t>
  </si>
  <si>
    <t>Transporte de ica a lima</t>
  </si>
  <si>
    <t xml:space="preserve"> EMPRESA DE TRANSPORTES PERU BUS S.A. </t>
  </si>
  <si>
    <t>F09L</t>
  </si>
  <si>
    <t>7437</t>
  </si>
  <si>
    <t>08-000499</t>
  </si>
  <si>
    <t>Transporte de lima a ica</t>
  </si>
  <si>
    <t>20604599564</t>
  </si>
  <si>
    <t xml:space="preserve"> CORPORACION VIA UNOO SOCIEDAD ANONIMA CERRADA </t>
  </si>
  <si>
    <t>2333</t>
  </si>
  <si>
    <t>08-000500</t>
  </si>
  <si>
    <t>20535045233</t>
  </si>
  <si>
    <t xml:space="preserve"> INVERSIONES AYRVAN E.I.R.L. </t>
  </si>
  <si>
    <t>6530</t>
  </si>
  <si>
    <t>08-000501</t>
  </si>
  <si>
    <t>Insumos de limpieza - sede lima</t>
  </si>
  <si>
    <t xml:space="preserve"> GLOBAL PERLA´S CAR S.A.C. </t>
  </si>
  <si>
    <t>120587</t>
  </si>
  <si>
    <t>08-000502</t>
  </si>
  <si>
    <t>Agua san luis - sede lima</t>
  </si>
  <si>
    <t xml:space="preserve"> COMPAÑIA FOOD RETAIL S.A.C. </t>
  </si>
  <si>
    <t>2920862</t>
  </si>
  <si>
    <t>63.6.3.2.03</t>
  </si>
  <si>
    <t>08-000503</t>
  </si>
  <si>
    <t>Transporte de chincha a lima</t>
  </si>
  <si>
    <t>FG98</t>
  </si>
  <si>
    <t>439</t>
  </si>
  <si>
    <t>08-000504</t>
  </si>
  <si>
    <t>438</t>
  </si>
  <si>
    <t>08-000505</t>
  </si>
  <si>
    <t>Peaje 25325</t>
  </si>
  <si>
    <t>136146</t>
  </si>
  <si>
    <t>08-000506</t>
  </si>
  <si>
    <t>Balanza 25170</t>
  </si>
  <si>
    <t>17377</t>
  </si>
  <si>
    <t>08-000507</t>
  </si>
  <si>
    <t>Balanza 25256</t>
  </si>
  <si>
    <t>17471</t>
  </si>
  <si>
    <t>08-000508</t>
  </si>
  <si>
    <t>Alquiler de montacarga RQ.OPE.1357 OS 005-733</t>
  </si>
  <si>
    <t>4106</t>
  </si>
  <si>
    <t>01/09/2025</t>
  </si>
  <si>
    <t>09-000001</t>
  </si>
  <si>
    <t>GPS- 360 CORPORATIVOS RQ.OPE.1382 OS 006-175 VEI-822</t>
  </si>
  <si>
    <t xml:space="preserve"> 360 GPS S.A.C. </t>
  </si>
  <si>
    <t>1463</t>
  </si>
  <si>
    <t>09-000002</t>
  </si>
  <si>
    <t>EQUIPO GPS RQ.OPE.1382 OS 006-175 VEI-822</t>
  </si>
  <si>
    <t>1462</t>
  </si>
  <si>
    <t>09-000003</t>
  </si>
  <si>
    <t>Cable patch -Equipos de cómputo y accesorios RQ.STI.106</t>
  </si>
  <si>
    <t>20606656620</t>
  </si>
  <si>
    <t xml:space="preserve"> ICOMPUTEC EMPRESA INDIVIDUAL DE RESPONSABILIDAD LIMITADA </t>
  </si>
  <si>
    <t>493</t>
  </si>
  <si>
    <t>09-000004</t>
  </si>
  <si>
    <t>Disco solido- Equipos de cómputo y accesorios RQ.STI.106</t>
  </si>
  <si>
    <t>20601185203</t>
  </si>
  <si>
    <t xml:space="preserve"> S &amp; M ELECTRONICS EMPRESA INDIVIDUAL DE RESPONSABILIDAD LIMITADA - S &amp; M ELECTRONICS E.I.R.L. </t>
  </si>
  <si>
    <t>FFFI</t>
  </si>
  <si>
    <t>150</t>
  </si>
  <si>
    <t>02/09/2025</t>
  </si>
  <si>
    <t>09-000005</t>
  </si>
  <si>
    <t>Galleta rota sucia 30kg OC 375</t>
  </si>
  <si>
    <t xml:space="preserve"> ALICORP SAA </t>
  </si>
  <si>
    <t>6840</t>
  </si>
  <si>
    <t>281448593</t>
  </si>
  <si>
    <t>OC 375</t>
  </si>
  <si>
    <t>09-000006</t>
  </si>
  <si>
    <t>Film strech usado OC 376</t>
  </si>
  <si>
    <t>6841</t>
  </si>
  <si>
    <t>281448594</t>
  </si>
  <si>
    <t>OC 376</t>
  </si>
  <si>
    <t>09-000007</t>
  </si>
  <si>
    <t>Sco polis inserv manufactura OC 377</t>
  </si>
  <si>
    <t>6842</t>
  </si>
  <si>
    <t>281448595</t>
  </si>
  <si>
    <t>OC 377</t>
  </si>
  <si>
    <t>09-000008</t>
  </si>
  <si>
    <t>Carton y bolsas papel inservibles OC 378</t>
  </si>
  <si>
    <t>6843</t>
  </si>
  <si>
    <t>281448596</t>
  </si>
  <si>
    <t>OC 378</t>
  </si>
  <si>
    <t>09-000009</t>
  </si>
  <si>
    <t>Cilindro usado x 55 gl plas OC 379</t>
  </si>
  <si>
    <t>6844</t>
  </si>
  <si>
    <t>281448597</t>
  </si>
  <si>
    <t>OC 379</t>
  </si>
  <si>
    <t>09-000010</t>
  </si>
  <si>
    <t>Mezcla de granos (descarte trigo) OC 380</t>
  </si>
  <si>
    <t>6845</t>
  </si>
  <si>
    <t>281448598</t>
  </si>
  <si>
    <t>OC 380</t>
  </si>
  <si>
    <t>09-000011</t>
  </si>
  <si>
    <t>Mezcla de granos (descarte trigo) OC 381</t>
  </si>
  <si>
    <t>6846</t>
  </si>
  <si>
    <t>281448599</t>
  </si>
  <si>
    <t>OC 381</t>
  </si>
  <si>
    <t>09-000012</t>
  </si>
  <si>
    <t>Laminadora, mica enmicado RQ.LOG.351</t>
  </si>
  <si>
    <t>20456127917</t>
  </si>
  <si>
    <t xml:space="preserve"> CHOPERS DISTRIBUCIONES E.I.R.L. </t>
  </si>
  <si>
    <t>138480</t>
  </si>
  <si>
    <t>09-000013</t>
  </si>
  <si>
    <t>Alimentacion gerencia</t>
  </si>
  <si>
    <t xml:space="preserve"> QUISPE GUTIERREZ EUFRACIA </t>
  </si>
  <si>
    <t>188</t>
  </si>
  <si>
    <t>09-000014</t>
  </si>
  <si>
    <t>BKK-849</t>
  </si>
  <si>
    <t>Mantenimiento Vehicular (Correctivo) RQ.OPE.1292</t>
  </si>
  <si>
    <t xml:space="preserve"> VOLVO ENGINE AQP E.I.R.L. </t>
  </si>
  <si>
    <t>523</t>
  </si>
  <si>
    <t>09-000015</t>
  </si>
  <si>
    <t>Vaso, cucharitas</t>
  </si>
  <si>
    <t>10419394004</t>
  </si>
  <si>
    <t xml:space="preserve"> MAMANI COLQUEHUANCA MIRIAM </t>
  </si>
  <si>
    <t>125</t>
  </si>
  <si>
    <t>09-000016</t>
  </si>
  <si>
    <t>VDJ-872</t>
  </si>
  <si>
    <t>Peaje 25327</t>
  </si>
  <si>
    <t>501363</t>
  </si>
  <si>
    <t>25327</t>
  </si>
  <si>
    <t>09-000017</t>
  </si>
  <si>
    <t>Peaje 25328</t>
  </si>
  <si>
    <t>1828122</t>
  </si>
  <si>
    <t>25328</t>
  </si>
  <si>
    <t>09-000018</t>
  </si>
  <si>
    <t>Peaje 25343</t>
  </si>
  <si>
    <t>2164521</t>
  </si>
  <si>
    <t>25343</t>
  </si>
  <si>
    <t>09-000019</t>
  </si>
  <si>
    <t>Peaje 25344</t>
  </si>
  <si>
    <t>1119150</t>
  </si>
  <si>
    <t>25344</t>
  </si>
  <si>
    <t>09-000020</t>
  </si>
  <si>
    <t>Balanza 25326</t>
  </si>
  <si>
    <t>136299</t>
  </si>
  <si>
    <t>25326</t>
  </si>
  <si>
    <t>03/09/2025</t>
  </si>
  <si>
    <t>09-000021</t>
  </si>
  <si>
    <t>Envases en desuso OC 384</t>
  </si>
  <si>
    <t>20100226902</t>
  </si>
  <si>
    <t xml:space="preserve"> ALIMENTOS PROCESADOS SA </t>
  </si>
  <si>
    <t>36450</t>
  </si>
  <si>
    <t>282817171</t>
  </si>
  <si>
    <t>10/09/2025</t>
  </si>
  <si>
    <t>OC 384</t>
  </si>
  <si>
    <t>05/09/2025</t>
  </si>
  <si>
    <t>09-000022</t>
  </si>
  <si>
    <t>Parihuelas de madera,marcos, madera en desuso leña OC 374</t>
  </si>
  <si>
    <t xml:space="preserve"> ALSUR PERU S.A.C. </t>
  </si>
  <si>
    <t>1722</t>
  </si>
  <si>
    <t>282817176</t>
  </si>
  <si>
    <t>OC 374</t>
  </si>
  <si>
    <t>09-000023</t>
  </si>
  <si>
    <t>Transporte de carga Sabandia a sachaca RQ.OPE.1409  OS 005-720</t>
  </si>
  <si>
    <t xml:space="preserve"> APAZA MENDOZA GIAN FRANCO </t>
  </si>
  <si>
    <t>146</t>
  </si>
  <si>
    <t>09-000024</t>
  </si>
  <si>
    <t>Internet- Villa esperanza</t>
  </si>
  <si>
    <t xml:space="preserve"> FF AQP E.I.R.L. </t>
  </si>
  <si>
    <t>278</t>
  </si>
  <si>
    <t>04/09/2025</t>
  </si>
  <si>
    <t>09-000025</t>
  </si>
  <si>
    <t>14349</t>
  </si>
  <si>
    <t>09-000026</t>
  </si>
  <si>
    <t>1119564</t>
  </si>
  <si>
    <t>09-000027</t>
  </si>
  <si>
    <t>1023236</t>
  </si>
  <si>
    <t>09-000028</t>
  </si>
  <si>
    <t>18302</t>
  </si>
  <si>
    <t>09-000029</t>
  </si>
  <si>
    <t>17575</t>
  </si>
  <si>
    <t>09-000030</t>
  </si>
  <si>
    <t>Responsabilidad civil</t>
  </si>
  <si>
    <t>480392</t>
  </si>
  <si>
    <t>09-000031</t>
  </si>
  <si>
    <t xml:space="preserve"> FIXER TELECOMUNICACIONES SOCIEDAD ANONIMA CERRADA </t>
  </si>
  <si>
    <t>502</t>
  </si>
  <si>
    <t>09-000032</t>
  </si>
  <si>
    <t>Examen medico - ingreso RQ.GH.236</t>
  </si>
  <si>
    <t>16567</t>
  </si>
  <si>
    <t>09-000033</t>
  </si>
  <si>
    <t>Impresion de chapas de identificacion personal RQ.SSO.279</t>
  </si>
  <si>
    <t>10294459419</t>
  </si>
  <si>
    <t xml:space="preserve"> INFANTES COAGUILA FELIX OCTAVIO </t>
  </si>
  <si>
    <t>3580</t>
  </si>
  <si>
    <t>09-000034</t>
  </si>
  <si>
    <t>Equipos de cómputo y accesorios RQ.STI.108</t>
  </si>
  <si>
    <t xml:space="preserve"> ALEXANDER COMPUTER S.R.L. - ALECOM S.R.L. </t>
  </si>
  <si>
    <t>2231</t>
  </si>
  <si>
    <t>09-000035</t>
  </si>
  <si>
    <t xml:space="preserve"> GRUPO LAMH S.R.L. </t>
  </si>
  <si>
    <t>4539</t>
  </si>
  <si>
    <t>09-000036</t>
  </si>
  <si>
    <t>Balanza 25330</t>
  </si>
  <si>
    <t>18298</t>
  </si>
  <si>
    <t>25330</t>
  </si>
  <si>
    <t>09-000037</t>
  </si>
  <si>
    <t>Balanza 25364</t>
  </si>
  <si>
    <t>17572</t>
  </si>
  <si>
    <t>25364</t>
  </si>
  <si>
    <t>09-000038</t>
  </si>
  <si>
    <t>Balanza 25365</t>
  </si>
  <si>
    <t>136407</t>
  </si>
  <si>
    <t>25365</t>
  </si>
  <si>
    <t>09-000039</t>
  </si>
  <si>
    <t>Peaje 25371</t>
  </si>
  <si>
    <t>1851472</t>
  </si>
  <si>
    <t>25371</t>
  </si>
  <si>
    <t>09-000040</t>
  </si>
  <si>
    <t>Peaje 25366</t>
  </si>
  <si>
    <t>1830275</t>
  </si>
  <si>
    <t>25366</t>
  </si>
  <si>
    <t>09-000041</t>
  </si>
  <si>
    <t>Peaje 25363</t>
  </si>
  <si>
    <t>1850576</t>
  </si>
  <si>
    <t>25363</t>
  </si>
  <si>
    <t>09-000042</t>
  </si>
  <si>
    <t>Peaje 25360</t>
  </si>
  <si>
    <t>1829206</t>
  </si>
  <si>
    <t>25360</t>
  </si>
  <si>
    <t>09-000043</t>
  </si>
  <si>
    <t>Alojamiento 25381</t>
  </si>
  <si>
    <t>10218664615</t>
  </si>
  <si>
    <t xml:space="preserve"> DE LA CRUZ AVALOS BALTAZAR </t>
  </si>
  <si>
    <t>1623</t>
  </si>
  <si>
    <t>25381</t>
  </si>
  <si>
    <t>09-000044</t>
  </si>
  <si>
    <t>Alimentacion 25374</t>
  </si>
  <si>
    <t>10440693577</t>
  </si>
  <si>
    <t xml:space="preserve"> GUADALUPE VEGA ROSA ALVINA </t>
  </si>
  <si>
    <t>520</t>
  </si>
  <si>
    <t>25374</t>
  </si>
  <si>
    <t>09-000045</t>
  </si>
  <si>
    <t>V9R-903</t>
  </si>
  <si>
    <t>Peaje 25355</t>
  </si>
  <si>
    <t xml:space="preserve"> CONCESIONARIA VIAL DEL PERU S.A. </t>
  </si>
  <si>
    <t>2883693</t>
  </si>
  <si>
    <t>25355</t>
  </si>
  <si>
    <t>09-000046</t>
  </si>
  <si>
    <t>Alimentacion 25353</t>
  </si>
  <si>
    <t xml:space="preserve"> LAVADO OCHOA JAIME ANDRES </t>
  </si>
  <si>
    <t>35137</t>
  </si>
  <si>
    <t>25353</t>
  </si>
  <si>
    <t>09-000047</t>
  </si>
  <si>
    <t>Peaje 25379</t>
  </si>
  <si>
    <t>20523621212</t>
  </si>
  <si>
    <t xml:space="preserve"> LIMA EXPRESA S.A.C. </t>
  </si>
  <si>
    <t>F253</t>
  </si>
  <si>
    <t>5241297</t>
  </si>
  <si>
    <t>25379</t>
  </si>
  <si>
    <t>09-000048</t>
  </si>
  <si>
    <t>Peaje 25380</t>
  </si>
  <si>
    <t>F104</t>
  </si>
  <si>
    <t>1703253</t>
  </si>
  <si>
    <t>25380</t>
  </si>
  <si>
    <t>09-000049</t>
  </si>
  <si>
    <t>Peaje 25378</t>
  </si>
  <si>
    <t>F806</t>
  </si>
  <si>
    <t>1729164</t>
  </si>
  <si>
    <t>25378</t>
  </si>
  <si>
    <t>09-000050</t>
  </si>
  <si>
    <t>Peaje 25377</t>
  </si>
  <si>
    <t>750754</t>
  </si>
  <si>
    <t>25377</t>
  </si>
  <si>
    <t>09-000051</t>
  </si>
  <si>
    <t>Peaje 25376</t>
  </si>
  <si>
    <t>3861657</t>
  </si>
  <si>
    <t>25376</t>
  </si>
  <si>
    <t>09-000052</t>
  </si>
  <si>
    <t>Peaje 25391</t>
  </si>
  <si>
    <t>2224868</t>
  </si>
  <si>
    <t>25391</t>
  </si>
  <si>
    <t>09-000053</t>
  </si>
  <si>
    <t>Alojamiento - cochera 25402</t>
  </si>
  <si>
    <t>10304221271</t>
  </si>
  <si>
    <t xml:space="preserve"> MENDOZA JUSTO YNES ERODITA </t>
  </si>
  <si>
    <t>669</t>
  </si>
  <si>
    <t>25402</t>
  </si>
  <si>
    <t>09-000054</t>
  </si>
  <si>
    <t>Peaje 25409</t>
  </si>
  <si>
    <t xml:space="preserve"> CONCESIONARIA PERUANA DE VIAS-COVINCA S.A. </t>
  </si>
  <si>
    <t>843193</t>
  </si>
  <si>
    <t>25409</t>
  </si>
  <si>
    <t>09-000055</t>
  </si>
  <si>
    <t>Peaje 25336</t>
  </si>
  <si>
    <t>671220</t>
  </si>
  <si>
    <t>25336</t>
  </si>
  <si>
    <t>09-000056</t>
  </si>
  <si>
    <t>Peaje 25335</t>
  </si>
  <si>
    <t>1828441</t>
  </si>
  <si>
    <t>25335</t>
  </si>
  <si>
    <t>09-000057</t>
  </si>
  <si>
    <t>Peaje 25356</t>
  </si>
  <si>
    <t>3812573</t>
  </si>
  <si>
    <t>25356</t>
  </si>
  <si>
    <t>09-000058</t>
  </si>
  <si>
    <t>Alojamiento, cochera 25337</t>
  </si>
  <si>
    <t>667</t>
  </si>
  <si>
    <t>25337</t>
  </si>
  <si>
    <t>09-000059</t>
  </si>
  <si>
    <t>Alambron OC 390</t>
  </si>
  <si>
    <t>16763</t>
  </si>
  <si>
    <t>283326167</t>
  </si>
  <si>
    <t>19/09/2025</t>
  </si>
  <si>
    <t>OC 390</t>
  </si>
  <si>
    <t>09-000060</t>
  </si>
  <si>
    <t>Alambron OC 391</t>
  </si>
  <si>
    <t>16771</t>
  </si>
  <si>
    <t>283326168</t>
  </si>
  <si>
    <t>OC 391</t>
  </si>
  <si>
    <t>09-000061</t>
  </si>
  <si>
    <t>Alambron OC 392</t>
  </si>
  <si>
    <t>16786</t>
  </si>
  <si>
    <t>283326169</t>
  </si>
  <si>
    <t>OC 392</t>
  </si>
  <si>
    <t>09-000062</t>
  </si>
  <si>
    <t>Alambron OC 393</t>
  </si>
  <si>
    <t>16781</t>
  </si>
  <si>
    <t>283326170</t>
  </si>
  <si>
    <t>OC 393</t>
  </si>
  <si>
    <t>08/09/2025</t>
  </si>
  <si>
    <t>09-000063</t>
  </si>
  <si>
    <t>Alambron OC 394</t>
  </si>
  <si>
    <t>16797</t>
  </si>
  <si>
    <t>283326171</t>
  </si>
  <si>
    <t>OC 394</t>
  </si>
  <si>
    <t>09-000064</t>
  </si>
  <si>
    <t>Carton,chatarra metalica,botella pet OC 387</t>
  </si>
  <si>
    <t xml:space="preserve"> APMINAC PULPERA S.A. </t>
  </si>
  <si>
    <t>1355</t>
  </si>
  <si>
    <t>282817179</t>
  </si>
  <si>
    <t>OC 387</t>
  </si>
  <si>
    <t>09-000065</t>
  </si>
  <si>
    <t>192</t>
  </si>
  <si>
    <t>09-000066</t>
  </si>
  <si>
    <t>Transporte de carga RQ.OPE.1406 OS 005-721</t>
  </si>
  <si>
    <t xml:space="preserve"> TRANSPORTES PACORI J &amp; G EMPRESA INDIVIDUAL DE RESPONSABILIDAD LIMITADA </t>
  </si>
  <si>
    <t>356</t>
  </si>
  <si>
    <t>282817181</t>
  </si>
  <si>
    <t>06/09/2025</t>
  </si>
  <si>
    <t>09-000067</t>
  </si>
  <si>
    <t>Transporte de carga RQ.OPE.1421 OS 005-725</t>
  </si>
  <si>
    <t xml:space="preserve"> TRANSPORTES ALBERTO MAMANI E.I.R.L. </t>
  </si>
  <si>
    <t>709</t>
  </si>
  <si>
    <t>282817182</t>
  </si>
  <si>
    <t>09-000068</t>
  </si>
  <si>
    <t>Celulares y accesorios (hardware) RQ.STI.109</t>
  </si>
  <si>
    <t xml:space="preserve"> SUCASACA SUCAPUCA WILLIAMS </t>
  </si>
  <si>
    <t>932</t>
  </si>
  <si>
    <t>09-000069</t>
  </si>
  <si>
    <t>Alquiler de montacarga RQ.OPE.1411</t>
  </si>
  <si>
    <t>5345</t>
  </si>
  <si>
    <t>09-000070</t>
  </si>
  <si>
    <t>Balanza 25342</t>
  </si>
  <si>
    <t>17561</t>
  </si>
  <si>
    <t>25342</t>
  </si>
  <si>
    <t>09-000071</t>
  </si>
  <si>
    <t>Balanza 25414</t>
  </si>
  <si>
    <t xml:space="preserve"> RECICLADORA LAS LOMAS E.I.R.L. </t>
  </si>
  <si>
    <t>2528</t>
  </si>
  <si>
    <t>25414</t>
  </si>
  <si>
    <t>09-000072</t>
  </si>
  <si>
    <t>Lavado 25370</t>
  </si>
  <si>
    <t>19583</t>
  </si>
  <si>
    <t>25370</t>
  </si>
  <si>
    <t>09-000073</t>
  </si>
  <si>
    <t>Balanza 25412</t>
  </si>
  <si>
    <t>136554</t>
  </si>
  <si>
    <t>25412</t>
  </si>
  <si>
    <t>09-000074</t>
  </si>
  <si>
    <t>Peaje 25341</t>
  </si>
  <si>
    <t>1828179</t>
  </si>
  <si>
    <t>25341</t>
  </si>
  <si>
    <t>09-000075</t>
  </si>
  <si>
    <t>Peaje 25340</t>
  </si>
  <si>
    <t>2164301</t>
  </si>
  <si>
    <t>25340</t>
  </si>
  <si>
    <t>09-000076</t>
  </si>
  <si>
    <t>Peaje 25385</t>
  </si>
  <si>
    <t>1852479</t>
  </si>
  <si>
    <t>25385</t>
  </si>
  <si>
    <t>09-000077</t>
  </si>
  <si>
    <t>Peaje 25384</t>
  </si>
  <si>
    <t>1831329</t>
  </si>
  <si>
    <t>25384</t>
  </si>
  <si>
    <t>09-000078</t>
  </si>
  <si>
    <t>Peaje 25367</t>
  </si>
  <si>
    <t>1830320</t>
  </si>
  <si>
    <t>25367</t>
  </si>
  <si>
    <t>09-000079</t>
  </si>
  <si>
    <t>Peaje 25369</t>
  </si>
  <si>
    <t>1851483</t>
  </si>
  <si>
    <t>25369</t>
  </si>
  <si>
    <t>09/09/2025</t>
  </si>
  <si>
    <t>09-000080</t>
  </si>
  <si>
    <t>Aceite usado OC 388</t>
  </si>
  <si>
    <t>20517932346</t>
  </si>
  <si>
    <t xml:space="preserve"> TUBERIAS Y GEOSISTEMAS DEL PERU SA </t>
  </si>
  <si>
    <t>1731</t>
  </si>
  <si>
    <t>282817183</t>
  </si>
  <si>
    <t>09-000081</t>
  </si>
  <si>
    <t>Transporte de carga RQ.OPE.1422 OS 005-727</t>
  </si>
  <si>
    <t>20613536184</t>
  </si>
  <si>
    <t xml:space="preserve"> TRANSPORTES MOSCOSO ITZEL E.I.R.L. </t>
  </si>
  <si>
    <t>74</t>
  </si>
  <si>
    <t>283326172</t>
  </si>
  <si>
    <t>09-000082</t>
  </si>
  <si>
    <t>Extintores,Botiquin RQ.SSO.290</t>
  </si>
  <si>
    <t>20601981255</t>
  </si>
  <si>
    <t xml:space="preserve"> FUMISERVIS SOLUCIONES J &amp; E E.I.R.L. </t>
  </si>
  <si>
    <t>2424</t>
  </si>
  <si>
    <t>65.9.9.4.04</t>
  </si>
  <si>
    <t>09-000083</t>
  </si>
  <si>
    <t>Transporte de carga RQ.OPE.1407 OS 005-723</t>
  </si>
  <si>
    <t xml:space="preserve"> UGARTE MENDOZA GREGORIO NACIANSENO </t>
  </si>
  <si>
    <t>554</t>
  </si>
  <si>
    <t>283326173</t>
  </si>
  <si>
    <t>09-000084</t>
  </si>
  <si>
    <t>Transporte de carga RQ.OPE.1408 OS 005-722</t>
  </si>
  <si>
    <t>555</t>
  </si>
  <si>
    <t>283326174</t>
  </si>
  <si>
    <t>09-000085</t>
  </si>
  <si>
    <t>EMO operario cosapi RQ.COM.370</t>
  </si>
  <si>
    <t>17595</t>
  </si>
  <si>
    <t>09-000086</t>
  </si>
  <si>
    <t>Examen medico ocupacional RQ.COM.363</t>
  </si>
  <si>
    <t>17597</t>
  </si>
  <si>
    <t>09-000087</t>
  </si>
  <si>
    <t>157147</t>
  </si>
  <si>
    <t>09-000088</t>
  </si>
  <si>
    <t>182199</t>
  </si>
  <si>
    <t>BDQ-458</t>
  </si>
  <si>
    <t>09-000089</t>
  </si>
  <si>
    <t>Energia electrica- Arequipa</t>
  </si>
  <si>
    <t>20100188628</t>
  </si>
  <si>
    <t xml:space="preserve"> SOCIEDAD ELECTRICA DEL SUR OESTE S A </t>
  </si>
  <si>
    <t>S001</t>
  </si>
  <si>
    <t>32272229</t>
  </si>
  <si>
    <t>63.6.1.1</t>
  </si>
  <si>
    <t>09-000090</t>
  </si>
  <si>
    <t>16415708</t>
  </si>
  <si>
    <t>09-000091</t>
  </si>
  <si>
    <t>16485598</t>
  </si>
  <si>
    <t>09-000092</t>
  </si>
  <si>
    <t>FV17</t>
  </si>
  <si>
    <t>1161020</t>
  </si>
  <si>
    <t>09-000093</t>
  </si>
  <si>
    <t>Comisión - Detracción</t>
  </si>
  <si>
    <t>36366365</t>
  </si>
  <si>
    <t>09-000094</t>
  </si>
  <si>
    <t>36511655</t>
  </si>
  <si>
    <t>09-000095</t>
  </si>
  <si>
    <t>Comisión - Giros y transferencias</t>
  </si>
  <si>
    <t>36610024</t>
  </si>
  <si>
    <t>09-000096</t>
  </si>
  <si>
    <t>36561557</t>
  </si>
  <si>
    <t>09-000097</t>
  </si>
  <si>
    <t>36538707</t>
  </si>
  <si>
    <t>09-000098</t>
  </si>
  <si>
    <t>36421736</t>
  </si>
  <si>
    <t>09-000099</t>
  </si>
  <si>
    <t>Lavado 25396</t>
  </si>
  <si>
    <t xml:space="preserve"> NEGOCIACIONES ABBYCORP E.I.R.L. </t>
  </si>
  <si>
    <t>43066</t>
  </si>
  <si>
    <t>25396</t>
  </si>
  <si>
    <t>09-000100</t>
  </si>
  <si>
    <t>Peaje 25349</t>
  </si>
  <si>
    <t>2025053</t>
  </si>
  <si>
    <t>25349</t>
  </si>
  <si>
    <t>09-000101</t>
  </si>
  <si>
    <t>Peaje 25351</t>
  </si>
  <si>
    <t>3102224</t>
  </si>
  <si>
    <t>25351</t>
  </si>
  <si>
    <t>09-000102</t>
  </si>
  <si>
    <t>Peaje 25401</t>
  </si>
  <si>
    <t>1197629</t>
  </si>
  <si>
    <t>25401</t>
  </si>
  <si>
    <t>09-000103</t>
  </si>
  <si>
    <t>Peaje 25407</t>
  </si>
  <si>
    <t>621974</t>
  </si>
  <si>
    <t>25407</t>
  </si>
  <si>
    <t>09-000104</t>
  </si>
  <si>
    <t>Peaje 25394</t>
  </si>
  <si>
    <t>3225095</t>
  </si>
  <si>
    <t>25394</t>
  </si>
  <si>
    <t>09-000105</t>
  </si>
  <si>
    <t>Peaje 25395</t>
  </si>
  <si>
    <t>1197238</t>
  </si>
  <si>
    <t>25395</t>
  </si>
  <si>
    <t>09-000106</t>
  </si>
  <si>
    <t>Peaje 25331</t>
  </si>
  <si>
    <t>2455947</t>
  </si>
  <si>
    <t>25331</t>
  </si>
  <si>
    <t>09-000107</t>
  </si>
  <si>
    <t>Peaje 25387</t>
  </si>
  <si>
    <t>1831570</t>
  </si>
  <si>
    <t>25387</t>
  </si>
  <si>
    <t>09-000108</t>
  </si>
  <si>
    <t>Peaje 25372</t>
  </si>
  <si>
    <t>1851613</t>
  </si>
  <si>
    <t>25372</t>
  </si>
  <si>
    <t>09-000109</t>
  </si>
  <si>
    <t>Balanza 25411</t>
  </si>
  <si>
    <t>2527</t>
  </si>
  <si>
    <t>25411</t>
  </si>
  <si>
    <t>09-000110</t>
  </si>
  <si>
    <t>Balanza 25332</t>
  </si>
  <si>
    <t>17562</t>
  </si>
  <si>
    <t>25332</t>
  </si>
  <si>
    <t>11/09/2025</t>
  </si>
  <si>
    <t>09-000111</t>
  </si>
  <si>
    <t>Galleta rota 30kg OC 400</t>
  </si>
  <si>
    <t>6886</t>
  </si>
  <si>
    <t>283041196</t>
  </si>
  <si>
    <t>15/09/2025</t>
  </si>
  <si>
    <t>OC 400</t>
  </si>
  <si>
    <t>09-000112</t>
  </si>
  <si>
    <t>Film strech usado OC 401</t>
  </si>
  <si>
    <t>6887</t>
  </si>
  <si>
    <t>283041197</t>
  </si>
  <si>
    <t>OC 401</t>
  </si>
  <si>
    <t>09-000113</t>
  </si>
  <si>
    <t>Sco polis inserv manufactura OC 402</t>
  </si>
  <si>
    <t>6888</t>
  </si>
  <si>
    <t>283041198</t>
  </si>
  <si>
    <t>OC 402</t>
  </si>
  <si>
    <t>09-000114</t>
  </si>
  <si>
    <t>Residuos reciclables tubos de carton apq OC 403</t>
  </si>
  <si>
    <t>6889</t>
  </si>
  <si>
    <t>283041199</t>
  </si>
  <si>
    <t>OC 403</t>
  </si>
  <si>
    <t>09-000115</t>
  </si>
  <si>
    <t>Cilindros usados x 55 gl plas OC 404</t>
  </si>
  <si>
    <t>6891</t>
  </si>
  <si>
    <t>283041200</t>
  </si>
  <si>
    <t>OC 404</t>
  </si>
  <si>
    <t>09-000116</t>
  </si>
  <si>
    <t>Chatarra mad OC 405</t>
  </si>
  <si>
    <t>6892</t>
  </si>
  <si>
    <t>283041201</t>
  </si>
  <si>
    <t>OC 405</t>
  </si>
  <si>
    <t>09-000117</t>
  </si>
  <si>
    <t>Carton y bolsas papel inservibles OC 406</t>
  </si>
  <si>
    <t>6890</t>
  </si>
  <si>
    <t>283041202</t>
  </si>
  <si>
    <t>OC 406</t>
  </si>
  <si>
    <t>09-000118</t>
  </si>
  <si>
    <t>Alambron OC 407</t>
  </si>
  <si>
    <t>16809</t>
  </si>
  <si>
    <t>283326175</t>
  </si>
  <si>
    <t>OC 407</t>
  </si>
  <si>
    <t>12/09/2025</t>
  </si>
  <si>
    <t>09-000119</t>
  </si>
  <si>
    <t>Envases en desuso OC 408</t>
  </si>
  <si>
    <t>36571</t>
  </si>
  <si>
    <t>283326176</t>
  </si>
  <si>
    <t>OC 408</t>
  </si>
  <si>
    <t>09-000120</t>
  </si>
  <si>
    <t>36672665</t>
  </si>
  <si>
    <t>13/09/2025</t>
  </si>
  <si>
    <t>09-000121</t>
  </si>
  <si>
    <t>Madera en desuso leña OC 409</t>
  </si>
  <si>
    <t>1727</t>
  </si>
  <si>
    <t>283326177</t>
  </si>
  <si>
    <t>OC 409</t>
  </si>
  <si>
    <t>09-000122</t>
  </si>
  <si>
    <t>Hojalata en desuso OC 399</t>
  </si>
  <si>
    <t>1726</t>
  </si>
  <si>
    <t>283326178</t>
  </si>
  <si>
    <t>OC 399</t>
  </si>
  <si>
    <t>09-000123</t>
  </si>
  <si>
    <t>Parihuelas de madera,marcos,carton en desuso OC 398</t>
  </si>
  <si>
    <t>1725</t>
  </si>
  <si>
    <t>283326179</t>
  </si>
  <si>
    <t>OC 398</t>
  </si>
  <si>
    <t>09-000124</t>
  </si>
  <si>
    <t>Strech film transparente en desuso OC 396</t>
  </si>
  <si>
    <t>1724</t>
  </si>
  <si>
    <t>283326180</t>
  </si>
  <si>
    <t>OC 396</t>
  </si>
  <si>
    <t>09-000125</t>
  </si>
  <si>
    <t>Strech film negro en desuso OC 395</t>
  </si>
  <si>
    <t>1723</t>
  </si>
  <si>
    <t>283326181</t>
  </si>
  <si>
    <t>OC 395</t>
  </si>
  <si>
    <t>09-000126</t>
  </si>
  <si>
    <t>Lavado e higienización</t>
  </si>
  <si>
    <t>191</t>
  </si>
  <si>
    <t>09-000127</t>
  </si>
  <si>
    <t>Alquiler de montacarga RQ.OPE.1414</t>
  </si>
  <si>
    <t>4186</t>
  </si>
  <si>
    <t>283326183</t>
  </si>
  <si>
    <t>09-000128</t>
  </si>
  <si>
    <t>Transporte de carga arequipa- lima RQ.COM.378 OS 005-729</t>
  </si>
  <si>
    <t>20600066324</t>
  </si>
  <si>
    <t xml:space="preserve"> MULTISERVICIOS FRANK H &amp; B S.A.C. </t>
  </si>
  <si>
    <t>604</t>
  </si>
  <si>
    <t>283326184</t>
  </si>
  <si>
    <t>09-000129</t>
  </si>
  <si>
    <t xml:space="preserve"> VERISURE PERU S.A.C. </t>
  </si>
  <si>
    <t>FE29</t>
  </si>
  <si>
    <t>16690</t>
  </si>
  <si>
    <t>09-000130</t>
  </si>
  <si>
    <t>Consultoría / asesoría Auditoria interna base normas ISO 9001,ISO 2015,ISO 14001 RQ.SIG.038</t>
  </si>
  <si>
    <t xml:space="preserve"> E QUELLE E.I.R.L. </t>
  </si>
  <si>
    <t>509</t>
  </si>
  <si>
    <t>283326185</t>
  </si>
  <si>
    <t>63.2.3.1</t>
  </si>
  <si>
    <t>09-000131</t>
  </si>
  <si>
    <t>Examen medico-ingreso RQ.GH.243</t>
  </si>
  <si>
    <t>16642</t>
  </si>
  <si>
    <t>09-000132</t>
  </si>
  <si>
    <t>Viaticos</t>
  </si>
  <si>
    <t>194</t>
  </si>
  <si>
    <t>09-000133</t>
  </si>
  <si>
    <t>Bocaditos - auditoria interna</t>
  </si>
  <si>
    <t>544</t>
  </si>
  <si>
    <t>09-000134</t>
  </si>
  <si>
    <t>Transporte de snta rita a gytres - auditoria interna</t>
  </si>
  <si>
    <t>10464543631</t>
  </si>
  <si>
    <t xml:space="preserve"> QUISPE QUISPE MIGUEL DAVID </t>
  </si>
  <si>
    <t>564</t>
  </si>
  <si>
    <t>09-000135</t>
  </si>
  <si>
    <t>Menu- auditoria interna</t>
  </si>
  <si>
    <t xml:space="preserve"> RESTAURANT CAMPESTRE SULÚ E.I.R.L. </t>
  </si>
  <si>
    <t>3083</t>
  </si>
  <si>
    <t>09-000136</t>
  </si>
  <si>
    <t>Alimentacion - auditoria interna</t>
  </si>
  <si>
    <t>09-000137</t>
  </si>
  <si>
    <t>Agua - auditoria interna</t>
  </si>
  <si>
    <t>190</t>
  </si>
  <si>
    <t>09-000138</t>
  </si>
  <si>
    <t>Menu - auditoria interna</t>
  </si>
  <si>
    <t>3077</t>
  </si>
  <si>
    <t>09-000139</t>
  </si>
  <si>
    <t>Balanza 25436</t>
  </si>
  <si>
    <t>136663</t>
  </si>
  <si>
    <t>25436</t>
  </si>
  <si>
    <t>09-000140</t>
  </si>
  <si>
    <t>Balanza 25448</t>
  </si>
  <si>
    <t>136822</t>
  </si>
  <si>
    <t>25448</t>
  </si>
  <si>
    <t>09-000141</t>
  </si>
  <si>
    <t>Balanza 25438</t>
  </si>
  <si>
    <t>136661</t>
  </si>
  <si>
    <t>25438</t>
  </si>
  <si>
    <t>09-000142</t>
  </si>
  <si>
    <t>Peaje 25446</t>
  </si>
  <si>
    <t>2470232</t>
  </si>
  <si>
    <t>25446</t>
  </si>
  <si>
    <t>07/09/2025</t>
  </si>
  <si>
    <t>09-000143</t>
  </si>
  <si>
    <t>Peaje 25927</t>
  </si>
  <si>
    <t>2170864</t>
  </si>
  <si>
    <t>25927</t>
  </si>
  <si>
    <t>09-000144</t>
  </si>
  <si>
    <t>Peaje 25440</t>
  </si>
  <si>
    <t>2175609</t>
  </si>
  <si>
    <t>25440</t>
  </si>
  <si>
    <t>09-000145</t>
  </si>
  <si>
    <t>Peaje 25447</t>
  </si>
  <si>
    <t>2176752</t>
  </si>
  <si>
    <t>25447</t>
  </si>
  <si>
    <t>09-000146</t>
  </si>
  <si>
    <t>Peaje 25441</t>
  </si>
  <si>
    <t>2468944</t>
  </si>
  <si>
    <t>25441</t>
  </si>
  <si>
    <t>09-000147</t>
  </si>
  <si>
    <t>Lavado 25424</t>
  </si>
  <si>
    <t>19694</t>
  </si>
  <si>
    <t>25424</t>
  </si>
  <si>
    <t>09-000148</t>
  </si>
  <si>
    <t>Peaje 25429</t>
  </si>
  <si>
    <t>1857552</t>
  </si>
  <si>
    <t>25429</t>
  </si>
  <si>
    <t>09-000149</t>
  </si>
  <si>
    <t>Peaje 25425</t>
  </si>
  <si>
    <t>2466432</t>
  </si>
  <si>
    <t>25425</t>
  </si>
  <si>
    <t>09-000150</t>
  </si>
  <si>
    <t>Balanza 25415</t>
  </si>
  <si>
    <t xml:space="preserve"> RECICLAJE TOTAL Y SANEAMIENTO SOCIEDAD DE RESPONSABILIDAD LIMITADA - R.E.T. &amp; SAN S.R.L. </t>
  </si>
  <si>
    <t>12982</t>
  </si>
  <si>
    <t>25415</t>
  </si>
  <si>
    <t>09-000151</t>
  </si>
  <si>
    <t>Peaje 25399</t>
  </si>
  <si>
    <t>1852727</t>
  </si>
  <si>
    <t>25399</t>
  </si>
  <si>
    <t>09-000152</t>
  </si>
  <si>
    <t>Peaje 25398</t>
  </si>
  <si>
    <t>2460346</t>
  </si>
  <si>
    <t>25398</t>
  </si>
  <si>
    <t>09-000153</t>
  </si>
  <si>
    <t>Peaje 25400</t>
  </si>
  <si>
    <t>2461233</t>
  </si>
  <si>
    <t>25400</t>
  </si>
  <si>
    <t>09-000154</t>
  </si>
  <si>
    <t>Peaje 25416</t>
  </si>
  <si>
    <t>1121798</t>
  </si>
  <si>
    <t>25416</t>
  </si>
  <si>
    <t>09-000155</t>
  </si>
  <si>
    <t>Peaje 25418</t>
  </si>
  <si>
    <t>1853941</t>
  </si>
  <si>
    <t>25418</t>
  </si>
  <si>
    <t>09-000156</t>
  </si>
  <si>
    <t>Peaje 25417</t>
  </si>
  <si>
    <t>502543</t>
  </si>
  <si>
    <t>25417</t>
  </si>
  <si>
    <t>09-000157</t>
  </si>
  <si>
    <t>Peaje 25433</t>
  </si>
  <si>
    <t>2173255</t>
  </si>
  <si>
    <t>25433</t>
  </si>
  <si>
    <t>09-000158</t>
  </si>
  <si>
    <t>Peaje 25432</t>
  </si>
  <si>
    <t>1858501</t>
  </si>
  <si>
    <t>25432</t>
  </si>
  <si>
    <t>09-000159</t>
  </si>
  <si>
    <t>Balanza 25419</t>
  </si>
  <si>
    <t>136637</t>
  </si>
  <si>
    <t>25419</t>
  </si>
  <si>
    <t>09-000160</t>
  </si>
  <si>
    <t>Balanza 25437</t>
  </si>
  <si>
    <t>136670</t>
  </si>
  <si>
    <t>25437</t>
  </si>
  <si>
    <t>09-000161</t>
  </si>
  <si>
    <t>Peaje 25439</t>
  </si>
  <si>
    <t>1859423</t>
  </si>
  <si>
    <t>25439</t>
  </si>
  <si>
    <t>09-000162</t>
  </si>
  <si>
    <t>Peaje 25426</t>
  </si>
  <si>
    <t>1834877</t>
  </si>
  <si>
    <t>25426</t>
  </si>
  <si>
    <t>16/09/2025</t>
  </si>
  <si>
    <t>09-000163</t>
  </si>
  <si>
    <t>Desayuno junta electoral</t>
  </si>
  <si>
    <t>195</t>
  </si>
  <si>
    <t>09-000164</t>
  </si>
  <si>
    <t>Transporte de carga RQ.OPE.1423 OS 005-732</t>
  </si>
  <si>
    <t>1913</t>
  </si>
  <si>
    <t>283326186</t>
  </si>
  <si>
    <t>09-000165</t>
  </si>
  <si>
    <t>Transporte de carga RQ.OPE.1191 OS 005-730</t>
  </si>
  <si>
    <t xml:space="preserve"> EMPRESA DE TRANSPORTES UNIENDO DESTINOS SOCIEDAD ANÓNIMA CERRADA - TRANSPORTES UNIDEST S.A.C. </t>
  </si>
  <si>
    <t>835</t>
  </si>
  <si>
    <t>283326187</t>
  </si>
  <si>
    <t>09-000166</t>
  </si>
  <si>
    <t>Transporte de carga RQ.OPE.1441 OS 005-735</t>
  </si>
  <si>
    <t>1919</t>
  </si>
  <si>
    <t>283326188</t>
  </si>
  <si>
    <t>09-000167</t>
  </si>
  <si>
    <t>Alquiler de maquinaria RQ.OPE.1439</t>
  </si>
  <si>
    <t>20607192872</t>
  </si>
  <si>
    <t xml:space="preserve"> HIGHER E.I.R.L. </t>
  </si>
  <si>
    <t>413</t>
  </si>
  <si>
    <t>09-000168</t>
  </si>
  <si>
    <t>Alquiler de montcarga RQ.OPE.1440</t>
  </si>
  <si>
    <t>414</t>
  </si>
  <si>
    <t>09-000169</t>
  </si>
  <si>
    <t>Carton y bolsas papel inservibles OC 412</t>
  </si>
  <si>
    <t>6914</t>
  </si>
  <si>
    <t>283326189</t>
  </si>
  <si>
    <t>OC 412</t>
  </si>
  <si>
    <t>09-000170</t>
  </si>
  <si>
    <t>Film strech usado OC 413</t>
  </si>
  <si>
    <t>6913</t>
  </si>
  <si>
    <t>283326190</t>
  </si>
  <si>
    <t>OC 413</t>
  </si>
  <si>
    <t>09-000171</t>
  </si>
  <si>
    <t>Cilindros usados x 55 gl plas OC 414</t>
  </si>
  <si>
    <t>6916</t>
  </si>
  <si>
    <t>283326191</t>
  </si>
  <si>
    <t>OC 414</t>
  </si>
  <si>
    <t>09-000172</t>
  </si>
  <si>
    <t>Tucos de carton AQP OC 415</t>
  </si>
  <si>
    <t>6915</t>
  </si>
  <si>
    <t>OC 415</t>
  </si>
  <si>
    <t>09-000173</t>
  </si>
  <si>
    <t>Chatarra mad OC 416</t>
  </si>
  <si>
    <t>6917</t>
  </si>
  <si>
    <t>283326192</t>
  </si>
  <si>
    <t>OC 416</t>
  </si>
  <si>
    <t>09-000174</t>
  </si>
  <si>
    <t>Galleta rota sucia 30 kg OC 417</t>
  </si>
  <si>
    <t>6912</t>
  </si>
  <si>
    <t>283326193</t>
  </si>
  <si>
    <t>OC 417</t>
  </si>
  <si>
    <t>09-000175</t>
  </si>
  <si>
    <t>182742</t>
  </si>
  <si>
    <t>09-000176</t>
  </si>
  <si>
    <t>157829</t>
  </si>
  <si>
    <t>09-000177</t>
  </si>
  <si>
    <t>36414788</t>
  </si>
  <si>
    <t>09-000178</t>
  </si>
  <si>
    <t>Alimentacion - carguio de chatarra metalica -la joya</t>
  </si>
  <si>
    <t xml:space="preserve"> MINIMARKET LAS BERMUDAS E.I.R.L. </t>
  </si>
  <si>
    <t>7479</t>
  </si>
  <si>
    <t>09-000179</t>
  </si>
  <si>
    <t>Alimentacion- cargui de viruta metalica la joya</t>
  </si>
  <si>
    <t>7383</t>
  </si>
  <si>
    <t>09-000180</t>
  </si>
  <si>
    <t>Combustible GLP (Montacarga)</t>
  </si>
  <si>
    <t>11551</t>
  </si>
  <si>
    <t>09-000181</t>
  </si>
  <si>
    <t>F131</t>
  </si>
  <si>
    <t>37049</t>
  </si>
  <si>
    <t>09-000182</t>
  </si>
  <si>
    <t>Balanza 25463</t>
  </si>
  <si>
    <t>13055</t>
  </si>
  <si>
    <t>25463</t>
  </si>
  <si>
    <t>09-000183</t>
  </si>
  <si>
    <t>Bocaditos-reunion contabilidad y finanzas</t>
  </si>
  <si>
    <t>193</t>
  </si>
  <si>
    <t>09-000184</t>
  </si>
  <si>
    <t>Micas de IPERC para el personal</t>
  </si>
  <si>
    <t>10248626688</t>
  </si>
  <si>
    <t xml:space="preserve"> CCALLO CCAHUANA MARCIAL </t>
  </si>
  <si>
    <t>25</t>
  </si>
  <si>
    <t>09-000185</t>
  </si>
  <si>
    <t>PC compatible: intel coe ultra 5 225 sn/ laptop lenovo v15 g4 iru 83a RQ.STI.098 RQ.STI.113</t>
  </si>
  <si>
    <t>4570</t>
  </si>
  <si>
    <t>09-000186</t>
  </si>
  <si>
    <t>EPPS camisas,blusas,casacas corporativas RQ.SSO.266 RQ.SSO.263 OC 004-171</t>
  </si>
  <si>
    <t xml:space="preserve"> HERLIZ CONFECCIONES E.I.R.L. </t>
  </si>
  <si>
    <t>864</t>
  </si>
  <si>
    <t>09-000187</t>
  </si>
  <si>
    <t>1860815</t>
  </si>
  <si>
    <t>09-000188</t>
  </si>
  <si>
    <t>1839222</t>
  </si>
  <si>
    <t>09-000189</t>
  </si>
  <si>
    <t>Bocaditos- capacitacion villa</t>
  </si>
  <si>
    <t>7455</t>
  </si>
  <si>
    <t>09-000190</t>
  </si>
  <si>
    <t>Alambron OC 418</t>
  </si>
  <si>
    <t>16825</t>
  </si>
  <si>
    <t>OC 418</t>
  </si>
  <si>
    <t>09-000191</t>
  </si>
  <si>
    <t>Señalización de Seguridad RQ.LOG.354 OC 004-188</t>
  </si>
  <si>
    <t>793</t>
  </si>
  <si>
    <t>65.9.9.4.01</t>
  </si>
  <si>
    <t>09-000192</t>
  </si>
  <si>
    <t>Transporte de carga RQ.OPE.1426 OS 005-736</t>
  </si>
  <si>
    <t xml:space="preserve"> TORRES CARDENAS MARIA LIDIA </t>
  </si>
  <si>
    <t>67</t>
  </si>
  <si>
    <t>283326194</t>
  </si>
  <si>
    <t>09-000193</t>
  </si>
  <si>
    <t>Plancha A3 de sticker con logotipo a color RQ.LOG.355 OC 004-189</t>
  </si>
  <si>
    <t>791</t>
  </si>
  <si>
    <t>09-000194</t>
  </si>
  <si>
    <t>Alquiler de montacarga RQ.OPE.1394</t>
  </si>
  <si>
    <t>2568</t>
  </si>
  <si>
    <t>09-000195</t>
  </si>
  <si>
    <t>Alquiler de montacarga RQ.OPE.1434 OS 005-734</t>
  </si>
  <si>
    <t>4206</t>
  </si>
  <si>
    <t>09-000196</t>
  </si>
  <si>
    <t>Alquiler de montacarga RQ.OPE.1397 OC 005-729</t>
  </si>
  <si>
    <t>4167</t>
  </si>
  <si>
    <t>09-000197</t>
  </si>
  <si>
    <t>Alquiler de montacarga RQ.OPE.1412</t>
  </si>
  <si>
    <t>2570</t>
  </si>
  <si>
    <t>09-000198</t>
  </si>
  <si>
    <t>Alquiler de montacarga RQ.OPE.1413</t>
  </si>
  <si>
    <t>2569</t>
  </si>
  <si>
    <t>09-000199</t>
  </si>
  <si>
    <t>EPPS Polos talla M,L,XL RQ.SSO.253 OC 004-169</t>
  </si>
  <si>
    <t>865</t>
  </si>
  <si>
    <t>09-000200</t>
  </si>
  <si>
    <t>Alcoholimetro marca: sentech, modelo: iblow 10 pro con n/s RQ.SSO.259</t>
  </si>
  <si>
    <t>20601162165</t>
  </si>
  <si>
    <t xml:space="preserve"> COMPAÑIA DE INGENIERIA Y SISTEMAS TECNOLOGICOS SOCIEDAD ANONIMA CERRADA - CISTEC S.A.C. </t>
  </si>
  <si>
    <t>1907</t>
  </si>
  <si>
    <t>09-000201</t>
  </si>
  <si>
    <t>Seguridad y Salud Ocupacional - Curso brigada primeros auxilios RQ.SSO.277</t>
  </si>
  <si>
    <t xml:space="preserve"> CFC GROUP S.A.C. </t>
  </si>
  <si>
    <t>1575</t>
  </si>
  <si>
    <t>63.2.8.2</t>
  </si>
  <si>
    <t>09-000202</t>
  </si>
  <si>
    <t>37044016</t>
  </si>
  <si>
    <t>09-000203</t>
  </si>
  <si>
    <t>1830380</t>
  </si>
  <si>
    <t>09-000204</t>
  </si>
  <si>
    <t>1851493</t>
  </si>
  <si>
    <t>09-000205</t>
  </si>
  <si>
    <t>Encomienda</t>
  </si>
  <si>
    <t xml:space="preserve"> OLVA COURIER S.A.C </t>
  </si>
  <si>
    <t>77130</t>
  </si>
  <si>
    <t>09-000206</t>
  </si>
  <si>
    <t>20605360565</t>
  </si>
  <si>
    <t xml:space="preserve"> JDP INVERSIONES MINERA S.A.C. </t>
  </si>
  <si>
    <t>8581</t>
  </si>
  <si>
    <t>09-000207</t>
  </si>
  <si>
    <t>FH80</t>
  </si>
  <si>
    <t>470</t>
  </si>
  <si>
    <t>09-000208</t>
  </si>
  <si>
    <t>6704</t>
  </si>
  <si>
    <t>09-000209</t>
  </si>
  <si>
    <t>2411</t>
  </si>
  <si>
    <t>09-000210</t>
  </si>
  <si>
    <t>Consultoria - inicio de la implementacion de cashflow RQ.GER.097</t>
  </si>
  <si>
    <t xml:space="preserve"> IGNITE LABS SOCIEDAD ANONIMA CERRADA </t>
  </si>
  <si>
    <t>283326195</t>
  </si>
  <si>
    <t>09-000211</t>
  </si>
  <si>
    <t>Peaje 25458</t>
  </si>
  <si>
    <t>2179991</t>
  </si>
  <si>
    <t>25458</t>
  </si>
  <si>
    <t>09-000212</t>
  </si>
  <si>
    <t>Peaje 25457</t>
  </si>
  <si>
    <t>2473437</t>
  </si>
  <si>
    <t>25457</t>
  </si>
  <si>
    <t>09-000213</t>
  </si>
  <si>
    <t>Peaje 25461</t>
  </si>
  <si>
    <t>2470087</t>
  </si>
  <si>
    <t>25461</t>
  </si>
  <si>
    <t>09-000214</t>
  </si>
  <si>
    <t>Peaje 25455</t>
  </si>
  <si>
    <t>2177031</t>
  </si>
  <si>
    <t>25455</t>
  </si>
  <si>
    <t>09-000215</t>
  </si>
  <si>
    <t>Balanza 25452</t>
  </si>
  <si>
    <t>17683</t>
  </si>
  <si>
    <t>25452</t>
  </si>
  <si>
    <t>09-000216</t>
  </si>
  <si>
    <t>Balanza 25456</t>
  </si>
  <si>
    <t>17714</t>
  </si>
  <si>
    <t>25456</t>
  </si>
  <si>
    <t>09-000217</t>
  </si>
  <si>
    <t>Balanza 25454</t>
  </si>
  <si>
    <t>17687</t>
  </si>
  <si>
    <t>25454</t>
  </si>
  <si>
    <t>09-000218</t>
  </si>
  <si>
    <t>Balanza 25453</t>
  </si>
  <si>
    <t>17686</t>
  </si>
  <si>
    <t>25453</t>
  </si>
  <si>
    <t>09-000219</t>
  </si>
  <si>
    <t>Carton,plastico film transparente en desuso OC 373</t>
  </si>
  <si>
    <t xml:space="preserve"> LONCCOS Y CCALAS SOCIEDAD ANONIMA CERRADA - LONCCOS Y CCALAS S.A.C. </t>
  </si>
  <si>
    <t>914</t>
  </si>
  <si>
    <t>OC 373</t>
  </si>
  <si>
    <t>09-000220</t>
  </si>
  <si>
    <t>Botellas pet 760 kg OC 359</t>
  </si>
  <si>
    <t xml:space="preserve"> AEROPUERTOS ANDINOS DEL PERU S.A. </t>
  </si>
  <si>
    <t>986</t>
  </si>
  <si>
    <t>OC359</t>
  </si>
  <si>
    <t>09-000221</t>
  </si>
  <si>
    <t>Carton OC 359</t>
  </si>
  <si>
    <t xml:space="preserve"> ASOCIACION DE AYUDA AL NINO QUEMADO </t>
  </si>
  <si>
    <t>2976</t>
  </si>
  <si>
    <t>OC 359</t>
  </si>
  <si>
    <t>09-000222</t>
  </si>
  <si>
    <t>Consultoria- analisis y optimizacion de procesos RQ.GER.096</t>
  </si>
  <si>
    <t>24</t>
  </si>
  <si>
    <t>09-000223</t>
  </si>
  <si>
    <t>09-000224</t>
  </si>
  <si>
    <t xml:space="preserve"> CORPORACION INDUSTRIAL CES S.A.C. </t>
  </si>
  <si>
    <t>415</t>
  </si>
  <si>
    <t>09-000226</t>
  </si>
  <si>
    <t>20256211310</t>
  </si>
  <si>
    <t xml:space="preserve"> MITSUI AUTOMOTRIZ S A </t>
  </si>
  <si>
    <t>F053</t>
  </si>
  <si>
    <t>44663</t>
  </si>
  <si>
    <t>09-000227</t>
  </si>
  <si>
    <t>3068</t>
  </si>
  <si>
    <t>09-000228</t>
  </si>
  <si>
    <t>Transporte de carga R.Q.OPE.1450 OS 005-737</t>
  </si>
  <si>
    <t>10405211179</t>
  </si>
  <si>
    <t>CRISTOBAL CARHUACHIN LEONCIO JOSE</t>
  </si>
  <si>
    <t>425</t>
  </si>
  <si>
    <t>09-000229</t>
  </si>
  <si>
    <t>Transporte de carga RQ.OPE.1451 OS 005-738</t>
  </si>
  <si>
    <t>359</t>
  </si>
  <si>
    <t>09-000230</t>
  </si>
  <si>
    <t>Transporte de carga RQ.OPE.1452 OS 005-739</t>
  </si>
  <si>
    <t>358</t>
  </si>
  <si>
    <t>09-000231</t>
  </si>
  <si>
    <t>Alquiler de montacarga RQ.OPE.1438</t>
  </si>
  <si>
    <t>5417</t>
  </si>
  <si>
    <t>23/09/2025</t>
  </si>
  <si>
    <t>09-000232</t>
  </si>
  <si>
    <t>Constatacion notarial</t>
  </si>
  <si>
    <t>17213</t>
  </si>
  <si>
    <t>22/09/2025</t>
  </si>
  <si>
    <t>09-000233</t>
  </si>
  <si>
    <t>Inducciones Externas - Basica de seguridad RQ.SSO.284</t>
  </si>
  <si>
    <t>109</t>
  </si>
  <si>
    <t>09-000234</t>
  </si>
  <si>
    <t>Mantenimiento Preventivo (Montacarga) Lavado y engrase RQ.OPE,1384 OS 006-178</t>
  </si>
  <si>
    <t>1801</t>
  </si>
  <si>
    <t>17/09/2025</t>
  </si>
  <si>
    <t>09-000235</t>
  </si>
  <si>
    <t>91.06.02.12</t>
  </si>
  <si>
    <t>VEI-822</t>
  </si>
  <si>
    <t>Accesorios Vehiculares - Puesta piso cabina RQ.OPE.1446 OS 006-177</t>
  </si>
  <si>
    <t>GARCIA RAMOS HOTMAR PEDRO</t>
  </si>
  <si>
    <t>221</t>
  </si>
  <si>
    <t>09-000236</t>
  </si>
  <si>
    <t>Accesorios Vehiculares - Aros acero RQ.OPE.1442 OS 007-42</t>
  </si>
  <si>
    <t>20456141235</t>
  </si>
  <si>
    <t>GRUPO MD LIDER CRUZ S.A.C.</t>
  </si>
  <si>
    <t>4624</t>
  </si>
  <si>
    <t>09-000237</t>
  </si>
  <si>
    <t>Accesorios Vehiculares - Llanta RQ.OPE.1442 OS 007-42</t>
  </si>
  <si>
    <t>49603</t>
  </si>
  <si>
    <t>09-000238</t>
  </si>
  <si>
    <t>Celulares y accesorios - carcasas transparentes,protector de pantalla RQ.STI.112</t>
  </si>
  <si>
    <t>0001</t>
  </si>
  <si>
    <t>936</t>
  </si>
  <si>
    <t>65.9.9.6</t>
  </si>
  <si>
    <t>09-000239</t>
  </si>
  <si>
    <t>Alimentacion y bocaditos</t>
  </si>
  <si>
    <t>20610537902</t>
  </si>
  <si>
    <t>DON TORIBIO S.A.C.</t>
  </si>
  <si>
    <t>10843</t>
  </si>
  <si>
    <t>09-000240</t>
  </si>
  <si>
    <t>856</t>
  </si>
  <si>
    <t>09-000241</t>
  </si>
  <si>
    <t>8109</t>
  </si>
  <si>
    <t>09-000242</t>
  </si>
  <si>
    <t>Sistema ERP RQ.GER.095</t>
  </si>
  <si>
    <t>8209</t>
  </si>
  <si>
    <t>09-000243</t>
  </si>
  <si>
    <t>Capacitaciones - Seguridad y Salud Ocupacional, curso de manejo RQ.SSO.269</t>
  </si>
  <si>
    <t>09-000244</t>
  </si>
  <si>
    <t>566480060</t>
  </si>
  <si>
    <t>09-000245</t>
  </si>
  <si>
    <t>318743</t>
  </si>
  <si>
    <t>09-000246</t>
  </si>
  <si>
    <t>Mantenimiento - Equipos de cómputo (software) laptop RQ.STI.114</t>
  </si>
  <si>
    <t>457</t>
  </si>
  <si>
    <t>09-000247</t>
  </si>
  <si>
    <t>20610818693</t>
  </si>
  <si>
    <t>GRUPO CONDOR SKC E.I.R.L.</t>
  </si>
  <si>
    <t>264</t>
  </si>
  <si>
    <t>09-000248</t>
  </si>
  <si>
    <t>Tratamiento / Disposición - Peligrosos</t>
  </si>
  <si>
    <t>15353</t>
  </si>
  <si>
    <t>09-000249</t>
  </si>
  <si>
    <t>189</t>
  </si>
  <si>
    <t>06/02/2025</t>
  </si>
  <si>
    <t>09-000250</t>
  </si>
  <si>
    <t>Lineas corporativas - Arequipa 01 Mes febrero</t>
  </si>
  <si>
    <t xml:space="preserve"> AMERICA MOVIL PERU S.A.C. </t>
  </si>
  <si>
    <t>520109127</t>
  </si>
  <si>
    <t>09-000251</t>
  </si>
  <si>
    <t>Accesorios Vehiculares: Compra de foco (luz baja) 25362</t>
  </si>
  <si>
    <t xml:space="preserve"> REPUESTOS ELIBEM IMPORTACIONES S.R.L. </t>
  </si>
  <si>
    <t>46486</t>
  </si>
  <si>
    <t>09-000252</t>
  </si>
  <si>
    <t>Mantenimiento Correctivo: Parchado de neumático delantero izquierdo 25383</t>
  </si>
  <si>
    <t>10706873584</t>
  </si>
  <si>
    <t xml:space="preserve"> ANCCASI QUISPE ROSMERY </t>
  </si>
  <si>
    <t>2610</t>
  </si>
  <si>
    <t>18/09/2025</t>
  </si>
  <si>
    <t>09-000253</t>
  </si>
  <si>
    <t>Guantes badana 002-2467</t>
  </si>
  <si>
    <t>123228</t>
  </si>
  <si>
    <t>09-000254</t>
  </si>
  <si>
    <t>Encomienda 002-2439</t>
  </si>
  <si>
    <t>77178</t>
  </si>
  <si>
    <t>09-000255</t>
  </si>
  <si>
    <t>Alimentacion 002-2465</t>
  </si>
  <si>
    <t>20608280333</t>
  </si>
  <si>
    <t xml:space="preserve"> COMPAÑIA HARD DISCOUNT S.A.C. </t>
  </si>
  <si>
    <t>FBE9</t>
  </si>
  <si>
    <t>85</t>
  </si>
  <si>
    <t>09-000256</t>
  </si>
  <si>
    <t>Alimentacion 002-2458</t>
  </si>
  <si>
    <t>70</t>
  </si>
  <si>
    <t>09-000257</t>
  </si>
  <si>
    <t>Brocha,cinta de tres cuartos 002-2457</t>
  </si>
  <si>
    <t xml:space="preserve"> LLAMO FLORES CARLOS MANUEL </t>
  </si>
  <si>
    <t>8025</t>
  </si>
  <si>
    <t>09-000258</t>
  </si>
  <si>
    <t>77269</t>
  </si>
  <si>
    <t>09-000259</t>
  </si>
  <si>
    <t>Encomienda 002-2445</t>
  </si>
  <si>
    <t>35319</t>
  </si>
  <si>
    <t>09-000260</t>
  </si>
  <si>
    <t>Hoja bond 002-2448</t>
  </si>
  <si>
    <t>10410128921</t>
  </si>
  <si>
    <t xml:space="preserve"> GUILLEN HUAMAN LUZ MARINA </t>
  </si>
  <si>
    <t>3362</t>
  </si>
  <si>
    <t>09-000261</t>
  </si>
  <si>
    <t>Foco philips 002-2454</t>
  </si>
  <si>
    <t>10100455248</t>
  </si>
  <si>
    <t xml:space="preserve"> VALDIVIA VALDERRAMA JOSE MANUEL </t>
  </si>
  <si>
    <t>376</t>
  </si>
  <si>
    <t>09-000262</t>
  </si>
  <si>
    <t>Strech film transparente ,negro en desuso OC 421</t>
  </si>
  <si>
    <t>1730</t>
  </si>
  <si>
    <t>09-000263</t>
  </si>
  <si>
    <t>Frascos de vidrio 1020ml, hojalata en desuso OC 420</t>
  </si>
  <si>
    <t>1729</t>
  </si>
  <si>
    <t>09-000264</t>
  </si>
  <si>
    <t>Carton,hojalata en desuso OC 419</t>
  </si>
  <si>
    <t>1728</t>
  </si>
  <si>
    <t>09-000265</t>
  </si>
  <si>
    <t>F de 190 ml c-309; F de 580 ml C-080 OC 429</t>
  </si>
  <si>
    <t>09-000266</t>
  </si>
  <si>
    <t>F de 580 ML C-080;F de 1700 ML C-143 OC 430</t>
  </si>
  <si>
    <t>1732</t>
  </si>
  <si>
    <t>09-000267</t>
  </si>
  <si>
    <t>Peaje 25523</t>
  </si>
  <si>
    <t>3233978</t>
  </si>
  <si>
    <t>09-000268</t>
  </si>
  <si>
    <t>Peaje 25522</t>
  </si>
  <si>
    <t>3523564</t>
  </si>
  <si>
    <t>09-000269</t>
  </si>
  <si>
    <t>Peaje 25423</t>
  </si>
  <si>
    <t>3108906</t>
  </si>
  <si>
    <t>09-000270</t>
  </si>
  <si>
    <t>Peaje 25421</t>
  </si>
  <si>
    <t>3868347</t>
  </si>
  <si>
    <t>09-000271</t>
  </si>
  <si>
    <t>Peaje 25464</t>
  </si>
  <si>
    <t>3521094</t>
  </si>
  <si>
    <t>09-000272</t>
  </si>
  <si>
    <t>Peaje 25504</t>
  </si>
  <si>
    <t>3826837</t>
  </si>
  <si>
    <t>09-000273</t>
  </si>
  <si>
    <t>Peaje 25459</t>
  </si>
  <si>
    <t>1301609</t>
  </si>
  <si>
    <t>09-000274</t>
  </si>
  <si>
    <t>Peaje 25460</t>
  </si>
  <si>
    <t>3821632</t>
  </si>
  <si>
    <t>09-000275</t>
  </si>
  <si>
    <t>Lavado 25505</t>
  </si>
  <si>
    <t>43316</t>
  </si>
  <si>
    <t>09-000276</t>
  </si>
  <si>
    <t>Lavado 25484</t>
  </si>
  <si>
    <t>19709</t>
  </si>
  <si>
    <t>09-000277</t>
  </si>
  <si>
    <t>Balanza 25485</t>
  </si>
  <si>
    <t>136735</t>
  </si>
  <si>
    <t>09-000278</t>
  </si>
  <si>
    <t>Balanza 25538</t>
  </si>
  <si>
    <t>137240</t>
  </si>
  <si>
    <t>09-000279</t>
  </si>
  <si>
    <t>Balanza 25525</t>
  </si>
  <si>
    <t>137098</t>
  </si>
  <si>
    <t>09-000280</t>
  </si>
  <si>
    <t>Balanza 25527</t>
  </si>
  <si>
    <t>17768</t>
  </si>
  <si>
    <t>09-000281</t>
  </si>
  <si>
    <t>Balanza 25486</t>
  </si>
  <si>
    <t>35577</t>
  </si>
  <si>
    <t>09-000282</t>
  </si>
  <si>
    <t>Balanza 25487</t>
  </si>
  <si>
    <t>35578</t>
  </si>
  <si>
    <t>09-000283</t>
  </si>
  <si>
    <t>Peaje 25488</t>
  </si>
  <si>
    <t>1857677</t>
  </si>
  <si>
    <t>09-000284</t>
  </si>
  <si>
    <t>Peaje 25489</t>
  </si>
  <si>
    <t>1837060</t>
  </si>
  <si>
    <t>09-000285</t>
  </si>
  <si>
    <t>Peaje 25490</t>
  </si>
  <si>
    <t>1836121</t>
  </si>
  <si>
    <t>09-000286</t>
  </si>
  <si>
    <t>Peaje 25491</t>
  </si>
  <si>
    <t>1858373</t>
  </si>
  <si>
    <t>09-000287</t>
  </si>
  <si>
    <t>Peaje 25513</t>
  </si>
  <si>
    <t>1844851</t>
  </si>
  <si>
    <t>09-000288</t>
  </si>
  <si>
    <t>Peaje 25530</t>
  </si>
  <si>
    <t>1868061</t>
  </si>
  <si>
    <t>09-000289</t>
  </si>
  <si>
    <t>Peaje 25528</t>
  </si>
  <si>
    <t>506458</t>
  </si>
  <si>
    <t>09-000290</t>
  </si>
  <si>
    <t>Peaje 25526</t>
  </si>
  <si>
    <t>1845890</t>
  </si>
  <si>
    <t>09-000291</t>
  </si>
  <si>
    <t>Peaje 25519</t>
  </si>
  <si>
    <t>1866720</t>
  </si>
  <si>
    <t>09-000292</t>
  </si>
  <si>
    <t>Balanza 25466</t>
  </si>
  <si>
    <t>136949</t>
  </si>
  <si>
    <t>09-000293</t>
  </si>
  <si>
    <t>Balanza 25469</t>
  </si>
  <si>
    <t>136990</t>
  </si>
  <si>
    <t>09-000294</t>
  </si>
  <si>
    <t>Peaje 25475</t>
  </si>
  <si>
    <t>2476346</t>
  </si>
  <si>
    <t>09-000295</t>
  </si>
  <si>
    <t>Peaje 25503</t>
  </si>
  <si>
    <t>1865709</t>
  </si>
  <si>
    <t>09-000296</t>
  </si>
  <si>
    <t>Peaje 25514</t>
  </si>
  <si>
    <t>2477607</t>
  </si>
  <si>
    <t>09-000297</t>
  </si>
  <si>
    <t>Peaje 25521</t>
  </si>
  <si>
    <t>2183424</t>
  </si>
  <si>
    <t>09-000298</t>
  </si>
  <si>
    <t>Balanza 25515</t>
  </si>
  <si>
    <t xml:space="preserve"> AUTORIDAD AUTONOMA DE MAJES </t>
  </si>
  <si>
    <t>17013</t>
  </si>
  <si>
    <t>09-000299</t>
  </si>
  <si>
    <t>Lavado 25508</t>
  </si>
  <si>
    <t>19850</t>
  </si>
  <si>
    <t>09-000300</t>
  </si>
  <si>
    <t>Peaje 25482</t>
  </si>
  <si>
    <t>1842671</t>
  </si>
  <si>
    <t>09-000301</t>
  </si>
  <si>
    <t>Peaje 25479</t>
  </si>
  <si>
    <t>1864700</t>
  </si>
  <si>
    <t>09-000302</t>
  </si>
  <si>
    <t>Peaje 25476</t>
  </si>
  <si>
    <t>1843674</t>
  </si>
  <si>
    <t>09-000303</t>
  </si>
  <si>
    <t>Peaje 25501</t>
  </si>
  <si>
    <t>405787</t>
  </si>
  <si>
    <t>09-000304</t>
  </si>
  <si>
    <t>Peaje 25502</t>
  </si>
  <si>
    <t>1865773</t>
  </si>
  <si>
    <t>09-000305</t>
  </si>
  <si>
    <t>Peaje 25493</t>
  </si>
  <si>
    <t>505838</t>
  </si>
  <si>
    <t>09-000306</t>
  </si>
  <si>
    <t>Balanza 25478</t>
  </si>
  <si>
    <t>136997</t>
  </si>
  <si>
    <t>09-000307</t>
  </si>
  <si>
    <t>Balanza 25498</t>
  </si>
  <si>
    <t>18396</t>
  </si>
  <si>
    <t>09-000308</t>
  </si>
  <si>
    <t>Balanza 25481</t>
  </si>
  <si>
    <t>17725</t>
  </si>
  <si>
    <t>09-000309</t>
  </si>
  <si>
    <t>Balanza 25480</t>
  </si>
  <si>
    <t>17727</t>
  </si>
  <si>
    <t>09-000310</t>
  </si>
  <si>
    <t>Peaje 25556</t>
  </si>
  <si>
    <t>2184563</t>
  </si>
  <si>
    <t>09-000311</t>
  </si>
  <si>
    <t>Peaje 25548</t>
  </si>
  <si>
    <t>1836095</t>
  </si>
  <si>
    <t>09-000312</t>
  </si>
  <si>
    <t>Peaje 25549</t>
  </si>
  <si>
    <t>1839294</t>
  </si>
  <si>
    <t>09-000313</t>
  </si>
  <si>
    <t>Peaje 25550</t>
  </si>
  <si>
    <t>1861097</t>
  </si>
  <si>
    <t>09-000314</t>
  </si>
  <si>
    <t>Peaje 25551</t>
  </si>
  <si>
    <t>2476431</t>
  </si>
  <si>
    <t>09-000315</t>
  </si>
  <si>
    <t>Peaje 25552</t>
  </si>
  <si>
    <t>1865608</t>
  </si>
  <si>
    <t>09-000316</t>
  </si>
  <si>
    <t>Peaje 25553</t>
  </si>
  <si>
    <t>1844924</t>
  </si>
  <si>
    <t>09-000317</t>
  </si>
  <si>
    <t>Peaje 25554</t>
  </si>
  <si>
    <t>1866752</t>
  </si>
  <si>
    <t>09-000318</t>
  </si>
  <si>
    <t>Peaje 25555</t>
  </si>
  <si>
    <t>1845952</t>
  </si>
  <si>
    <t>09-000319</t>
  </si>
  <si>
    <t>Lavado 25543</t>
  </si>
  <si>
    <t>19713</t>
  </si>
  <si>
    <t>09-000320</t>
  </si>
  <si>
    <t>Balanza 25540</t>
  </si>
  <si>
    <t>136806</t>
  </si>
  <si>
    <t>09-000321</t>
  </si>
  <si>
    <t>Balanza 25541</t>
  </si>
  <si>
    <t>136814</t>
  </si>
  <si>
    <t>09-000322</t>
  </si>
  <si>
    <t>Balanza 25542</t>
  </si>
  <si>
    <t>136813</t>
  </si>
  <si>
    <t>09-000323</t>
  </si>
  <si>
    <t>Balanza 25547</t>
  </si>
  <si>
    <t>17692</t>
  </si>
  <si>
    <t>09-000324</t>
  </si>
  <si>
    <t>Balanza 25470</t>
  </si>
  <si>
    <t>136976</t>
  </si>
  <si>
    <t>09-000325</t>
  </si>
  <si>
    <t>Peaje 25520</t>
  </si>
  <si>
    <t>2183347</t>
  </si>
  <si>
    <t>09-000326</t>
  </si>
  <si>
    <t>Peaje 25517</t>
  </si>
  <si>
    <t>1865739</t>
  </si>
  <si>
    <t>09-000327</t>
  </si>
  <si>
    <t>Peaje 25516</t>
  </si>
  <si>
    <t>2477630</t>
  </si>
  <si>
    <t>09-000328</t>
  </si>
  <si>
    <t>Peaje 25496</t>
  </si>
  <si>
    <t>2476163</t>
  </si>
  <si>
    <t>09-000329</t>
  </si>
  <si>
    <t>Peaje 25471</t>
  </si>
  <si>
    <t>1864614</t>
  </si>
  <si>
    <t>09-000330</t>
  </si>
  <si>
    <t>Peaje 25472</t>
  </si>
  <si>
    <t>2475294</t>
  </si>
  <si>
    <t>09-000331</t>
  </si>
  <si>
    <t>Balanza 25495</t>
  </si>
  <si>
    <t>17741</t>
  </si>
  <si>
    <t>09-000332</t>
  </si>
  <si>
    <t>Balanza 25518</t>
  </si>
  <si>
    <t>17753</t>
  </si>
  <si>
    <t>09-000333</t>
  </si>
  <si>
    <t>Peaje 25532</t>
  </si>
  <si>
    <t>2478754</t>
  </si>
  <si>
    <t>09-000334</t>
  </si>
  <si>
    <t>Peaje 25533</t>
  </si>
  <si>
    <t>1868073</t>
  </si>
  <si>
    <t>09-000335</t>
  </si>
  <si>
    <t>Balanza 25531</t>
  </si>
  <si>
    <t>17765</t>
  </si>
  <si>
    <t>09-000336</t>
  </si>
  <si>
    <t>Transporte de carga RQ.OPE.1449</t>
  </si>
  <si>
    <t xml:space="preserve"> TRANSPORTES CARLOS KAYRO E.I.R.L. </t>
  </si>
  <si>
    <t>866</t>
  </si>
  <si>
    <t>09-000337</t>
  </si>
  <si>
    <t>184368</t>
  </si>
  <si>
    <t>09-000338</t>
  </si>
  <si>
    <t>184240</t>
  </si>
  <si>
    <t>09-000339</t>
  </si>
  <si>
    <t xml:space="preserve"> BANCO INTERNACIONAL DEL PERU-INTERBANK </t>
  </si>
  <si>
    <t>3769189</t>
  </si>
  <si>
    <t>09-000340</t>
  </si>
  <si>
    <t>Alambron 442</t>
  </si>
  <si>
    <t>16862</t>
  </si>
  <si>
    <t>20/09/2025</t>
  </si>
  <si>
    <t>09-000341</t>
  </si>
  <si>
    <t>Alambron OC 439</t>
  </si>
  <si>
    <t>16843</t>
  </si>
  <si>
    <t>09-000342</t>
  </si>
  <si>
    <t>318744</t>
  </si>
  <si>
    <t>09-000343</t>
  </si>
  <si>
    <t>318745</t>
  </si>
  <si>
    <t>09-000344</t>
  </si>
  <si>
    <t>3534818</t>
  </si>
  <si>
    <t>09-000345</t>
  </si>
  <si>
    <t>Celulares y accesorios (hardware) carcasas,fibra,protectore RQ.STI.118</t>
  </si>
  <si>
    <t>943</t>
  </si>
  <si>
    <t>09-000346</t>
  </si>
  <si>
    <t>EPPS buzo con capucha - adicionales RQ.SSO.248 OC 173</t>
  </si>
  <si>
    <t xml:space="preserve"> SKY HIGH SOCIEDAD ANONIMA CERRADA - SKY HIGH S.A.C. </t>
  </si>
  <si>
    <t>2264</t>
  </si>
  <si>
    <t>09-000347</t>
  </si>
  <si>
    <t>406273</t>
  </si>
  <si>
    <t>31/01/2025</t>
  </si>
  <si>
    <t>09-000348</t>
  </si>
  <si>
    <t xml:space="preserve"> BANCO BBVA PERU </t>
  </si>
  <si>
    <t>FB20</t>
  </si>
  <si>
    <t>20247751</t>
  </si>
  <si>
    <t>09-000349</t>
  </si>
  <si>
    <t>Servicios Básicos-Internet</t>
  </si>
  <si>
    <t>510</t>
  </si>
  <si>
    <t>09-000350</t>
  </si>
  <si>
    <t>Recarga de agua - Arequipa</t>
  </si>
  <si>
    <t>621</t>
  </si>
  <si>
    <t>09-000351</t>
  </si>
  <si>
    <t>600</t>
  </si>
  <si>
    <t>09-000352</t>
  </si>
  <si>
    <t>647</t>
  </si>
  <si>
    <t>09-000353</t>
  </si>
  <si>
    <t>Consultoría / asesoría - Legal / Tributaria RQ.GER.098</t>
  </si>
  <si>
    <t xml:space="preserve"> FLORES &amp; BANDA ABOGADOS S.A.C. </t>
  </si>
  <si>
    <t>3</t>
  </si>
  <si>
    <t>25/09/2025</t>
  </si>
  <si>
    <t>09-000354</t>
  </si>
  <si>
    <t>Impresoras y fotocopiadoras (hardware) RQ.STI.115</t>
  </si>
  <si>
    <t xml:space="preserve"> LA FERIA DEL SUR S.A.C. </t>
  </si>
  <si>
    <t>8766</t>
  </si>
  <si>
    <t>09-000355</t>
  </si>
  <si>
    <t>Impresoras y fotocopiadoras (hardware), chartucho RQ.STI.116</t>
  </si>
  <si>
    <t>8765</t>
  </si>
  <si>
    <t>24/09/2025</t>
  </si>
  <si>
    <t>09-000356</t>
  </si>
  <si>
    <t xml:space="preserve"> CENTRO DE INSPECCIONES TECNICAS DEL SUR S.A.C. </t>
  </si>
  <si>
    <t>38128</t>
  </si>
  <si>
    <t>09-000357</t>
  </si>
  <si>
    <t>Accesorios Vehiculares: Compra de faros y focos 25442</t>
  </si>
  <si>
    <t>260791</t>
  </si>
  <si>
    <t>09-000358</t>
  </si>
  <si>
    <t>Mantenimiento Preventivo: Rotación de neumático</t>
  </si>
  <si>
    <t>10414841371</t>
  </si>
  <si>
    <t xml:space="preserve"> AYALA SARMIENTO ANA LUISA </t>
  </si>
  <si>
    <t>11939</t>
  </si>
  <si>
    <t>09-000359</t>
  </si>
  <si>
    <t>Mantenimiento Correctivo: Parchado de neumático</t>
  </si>
  <si>
    <t>11946</t>
  </si>
  <si>
    <t>09-000360</t>
  </si>
  <si>
    <t>Mantenimiento Correctivo: Soldadura de dos puntos de la carrocería</t>
  </si>
  <si>
    <t>15614030931</t>
  </si>
  <si>
    <t xml:space="preserve"> URIBE INFANTE ANTONIO JOSE </t>
  </si>
  <si>
    <t>09-000361</t>
  </si>
  <si>
    <t>Mantenimiento preventivo: engrase del vehículo en general</t>
  </si>
  <si>
    <t>43317</t>
  </si>
  <si>
    <t>09-000362</t>
  </si>
  <si>
    <t>Accesorios Vehiculares: compra de cinta reflectiva (8 metros) y 01 foco</t>
  </si>
  <si>
    <t>47427</t>
  </si>
  <si>
    <t>09-000363</t>
  </si>
  <si>
    <t>Accesorios Vehiculares: Compra de cinta reflectiva (2 metros)</t>
  </si>
  <si>
    <t>46558</t>
  </si>
  <si>
    <t>09-000364</t>
  </si>
  <si>
    <t>Accesorios Vehiculares: Abastecimiento de UREA</t>
  </si>
  <si>
    <t>20100075858</t>
  </si>
  <si>
    <t xml:space="preserve"> GRIFO SAN IGNACIO S.A.C. </t>
  </si>
  <si>
    <t>FJ02</t>
  </si>
  <si>
    <t>41845</t>
  </si>
  <si>
    <t>09-000365</t>
  </si>
  <si>
    <t>20613689215</t>
  </si>
  <si>
    <t xml:space="preserve"> ALLE ESTACIONES S.A.C. </t>
  </si>
  <si>
    <t>F085</t>
  </si>
  <si>
    <t>3243</t>
  </si>
  <si>
    <t>09-000366</t>
  </si>
  <si>
    <t>Peaje 25594</t>
  </si>
  <si>
    <t>2484890</t>
  </si>
  <si>
    <t>09-000367</t>
  </si>
  <si>
    <t>Peaje 25561</t>
  </si>
  <si>
    <t>1870836</t>
  </si>
  <si>
    <t>09-000368</t>
  </si>
  <si>
    <t>Peaje 25562</t>
  </si>
  <si>
    <t>2482437</t>
  </si>
  <si>
    <t>09-000369</t>
  </si>
  <si>
    <t>Peaje 25579</t>
  </si>
  <si>
    <t>2483870</t>
  </si>
  <si>
    <t>09-000370</t>
  </si>
  <si>
    <t>Peaje 25577</t>
  </si>
  <si>
    <t>2188733</t>
  </si>
  <si>
    <t>09-000371</t>
  </si>
  <si>
    <t>Peaje 25580</t>
  </si>
  <si>
    <t>2486275</t>
  </si>
  <si>
    <t>09-000372</t>
  </si>
  <si>
    <t>Balanza 25578</t>
  </si>
  <si>
    <t>137319</t>
  </si>
  <si>
    <t>09-000373</t>
  </si>
  <si>
    <t>Balanza 25563</t>
  </si>
  <si>
    <t>17795</t>
  </si>
  <si>
    <t>09-000374</t>
  </si>
  <si>
    <t>Balanza 25574</t>
  </si>
  <si>
    <t>17827</t>
  </si>
  <si>
    <t>09-000375</t>
  </si>
  <si>
    <t>Balanza 25575</t>
  </si>
  <si>
    <t>17821</t>
  </si>
  <si>
    <t>09-000376</t>
  </si>
  <si>
    <t>Balanza 25580</t>
  </si>
  <si>
    <t>17839</t>
  </si>
  <si>
    <t>09-000377</t>
  </si>
  <si>
    <t>Peaje 25587</t>
  </si>
  <si>
    <t>1873689</t>
  </si>
  <si>
    <t>09-000378</t>
  </si>
  <si>
    <t>17695</t>
  </si>
  <si>
    <t>63.2.9.1</t>
  </si>
  <si>
    <t>26/09/2025</t>
  </si>
  <si>
    <t>09-000379</t>
  </si>
  <si>
    <t>Alambron OC 445</t>
  </si>
  <si>
    <t>16876</t>
  </si>
  <si>
    <t>29/09/2025</t>
  </si>
  <si>
    <t>09-000380</t>
  </si>
  <si>
    <t>Bocaditos para la presentacion de analista de costos</t>
  </si>
  <si>
    <t>197</t>
  </si>
  <si>
    <t>09-000381</t>
  </si>
  <si>
    <t>Bocaditos presentacion de analista de costos</t>
  </si>
  <si>
    <t>198</t>
  </si>
  <si>
    <t>09-000382</t>
  </si>
  <si>
    <t>Consultoría / asesoría Actualizacion de la matriz de requisitos legales RQ.SIG.039</t>
  </si>
  <si>
    <t>512</t>
  </si>
  <si>
    <t>09-000383</t>
  </si>
  <si>
    <t>Transporte de carga AQP la joya- santa anita RQ.COM.387 OS 005-740</t>
  </si>
  <si>
    <t>20602778861</t>
  </si>
  <si>
    <t xml:space="preserve"> GRUPO LIDER AQP SOCIEDAD ANONIMA CERRADA </t>
  </si>
  <si>
    <t>3969</t>
  </si>
  <si>
    <t>09-000384</t>
  </si>
  <si>
    <t>F305</t>
  </si>
  <si>
    <t>155099</t>
  </si>
  <si>
    <t>09-000385</t>
  </si>
  <si>
    <t>855634</t>
  </si>
  <si>
    <t>09-000386</t>
  </si>
  <si>
    <t>Transporte peronal viajes</t>
  </si>
  <si>
    <t>20121662737</t>
  </si>
  <si>
    <t xml:space="preserve"> TRANSPORTES TRANSZELA S.R.L.T.D.A. </t>
  </si>
  <si>
    <t>FV08</t>
  </si>
  <si>
    <t>14541</t>
  </si>
  <si>
    <t>09-000387</t>
  </si>
  <si>
    <t>3875609</t>
  </si>
  <si>
    <t>09-000388</t>
  </si>
  <si>
    <t>F606</t>
  </si>
  <si>
    <t>1107957</t>
  </si>
  <si>
    <t>09-000389</t>
  </si>
  <si>
    <t xml:space="preserve"> PAUCAR PRADO ALEXIS LORENZO </t>
  </si>
  <si>
    <t>7898</t>
  </si>
  <si>
    <t>09-000390</t>
  </si>
  <si>
    <t>3876642</t>
  </si>
  <si>
    <t>09-000391</t>
  </si>
  <si>
    <t>3115740</t>
  </si>
  <si>
    <t>09-000392</t>
  </si>
  <si>
    <t>Cochera santa anita</t>
  </si>
  <si>
    <t>20612893005</t>
  </si>
  <si>
    <t xml:space="preserve"> COCHERA DON PEDRO E.I.R.L. </t>
  </si>
  <si>
    <t>FI02</t>
  </si>
  <si>
    <t>118</t>
  </si>
  <si>
    <t>09-000393</t>
  </si>
  <si>
    <t>Cochera</t>
  </si>
  <si>
    <t xml:space="preserve"> PERUVIAN GROUP FREDAL SOCIEDAD ANONIMA CERRADA-PERUVIAN GROUP FREDAL S.A.C </t>
  </si>
  <si>
    <t>62988</t>
  </si>
  <si>
    <t>09-000394</t>
  </si>
  <si>
    <t>7911</t>
  </si>
  <si>
    <t>09-000395</t>
  </si>
  <si>
    <t>3147932</t>
  </si>
  <si>
    <t>09-000396</t>
  </si>
  <si>
    <t>2759627</t>
  </si>
  <si>
    <t>09-000397</t>
  </si>
  <si>
    <t>2526167</t>
  </si>
  <si>
    <t>09-000398</t>
  </si>
  <si>
    <t>1619253</t>
  </si>
  <si>
    <t>09-000399</t>
  </si>
  <si>
    <t>Peaje 25566</t>
  </si>
  <si>
    <t>1870794</t>
  </si>
  <si>
    <t>09-000400</t>
  </si>
  <si>
    <t>Peaje 25565</t>
  </si>
  <si>
    <t>1848835</t>
  </si>
  <si>
    <t>09-000401</t>
  </si>
  <si>
    <t>1963973</t>
  </si>
  <si>
    <t>09-000402</t>
  </si>
  <si>
    <t>Peaje 25611</t>
  </si>
  <si>
    <t xml:space="preserve"> CARRETERA ANDINA DEL SUR S.A.C. </t>
  </si>
  <si>
    <t>674086</t>
  </si>
  <si>
    <t>09-000403</t>
  </si>
  <si>
    <t>Peaje 25610</t>
  </si>
  <si>
    <t>660755</t>
  </si>
  <si>
    <t>09-000404</t>
  </si>
  <si>
    <t>Peaje 25609</t>
  </si>
  <si>
    <t>1911464</t>
  </si>
  <si>
    <t>09-000405</t>
  </si>
  <si>
    <t xml:space="preserve"> SERVICENTRO SANTA MARTHA E.I.R.LTDA. </t>
  </si>
  <si>
    <t>48399</t>
  </si>
  <si>
    <t>09-000406</t>
  </si>
  <si>
    <t>Lavado 25567</t>
  </si>
  <si>
    <t>19915</t>
  </si>
  <si>
    <t>09-000407</t>
  </si>
  <si>
    <t>Memoria microsd 128 gb sandisk RQ.GER.102</t>
  </si>
  <si>
    <t>1496</t>
  </si>
  <si>
    <t>09-000408</t>
  </si>
  <si>
    <t>Tratamiento / Disposición - No Aprovechables,peligrosos</t>
  </si>
  <si>
    <t xml:space="preserve"> INNOVA AMBIENTAL S.A. </t>
  </si>
  <si>
    <t>21277</t>
  </si>
  <si>
    <t>09-000409</t>
  </si>
  <si>
    <t>Mantenimiento Vehicular (Preventivo) Bateria alfa-RQ.OPE.1404</t>
  </si>
  <si>
    <t>20601579295</t>
  </si>
  <si>
    <t xml:space="preserve"> BATERIAS GLOBAL EMPRESA INDIVIDUAL DE RESPONSABILIDAD LIMITADA - BATERIAS GLOBAL E.I.R.L. </t>
  </si>
  <si>
    <t>9952</t>
  </si>
  <si>
    <t>09-000410</t>
  </si>
  <si>
    <t>Mantenimiento Vehicular (Preventivo) RQ.OPE.1386 OS 006-179</t>
  </si>
  <si>
    <t>21210</t>
  </si>
  <si>
    <t>09-000411</t>
  </si>
  <si>
    <t>Mantenimiento Vehicular (Preventivo) RQ.OPE.1387  OS 006-180</t>
  </si>
  <si>
    <t>21258</t>
  </si>
  <si>
    <t>09-000412</t>
  </si>
  <si>
    <t>Confeccion de fundas para camion RQ.OPE.1454 OS 006-181</t>
  </si>
  <si>
    <t xml:space="preserve"> TAPICENTER TORRES HERMANOS S.R.L. - TAPTOR S.R.L. </t>
  </si>
  <si>
    <t>2244</t>
  </si>
  <si>
    <t>09-000413</t>
  </si>
  <si>
    <t>Accesorios Vehiculares malla nylon RQ.OPE.1473  OC 007-44</t>
  </si>
  <si>
    <t>20225372706</t>
  </si>
  <si>
    <t xml:space="preserve"> COMERCIAL JUANA COMERCIALIZADORA Y SERVICIOS DE EMPRESA INDIVIDUAL DE RESPONSABILIDAD LIMITADA </t>
  </si>
  <si>
    <t>2330</t>
  </si>
  <si>
    <t>09-000414</t>
  </si>
  <si>
    <t>Impresiones de banner con tubos de PVC RQ.COM.381</t>
  </si>
  <si>
    <t xml:space="preserve"> ALARCON ZAIRA ABRAHAM JESUS </t>
  </si>
  <si>
    <t>323</t>
  </si>
  <si>
    <t>09-000415</t>
  </si>
  <si>
    <t>Vigilancia Médica RQ.GH.246</t>
  </si>
  <si>
    <t xml:space="preserve"> BERNAL TODCO LUIS ALBERTO </t>
  </si>
  <si>
    <t>52</t>
  </si>
  <si>
    <t>09-000416</t>
  </si>
  <si>
    <t>Recarga de agua - Lima RQ.LOG.359</t>
  </si>
  <si>
    <t>2905241</t>
  </si>
  <si>
    <t>09-000417</t>
  </si>
  <si>
    <t>Alimentación para mascota RQ.LOG.367</t>
  </si>
  <si>
    <t>20612760412</t>
  </si>
  <si>
    <t xml:space="preserve"> IMPORT DISTRIBUIDORA SENOVIA E.I.R.L. </t>
  </si>
  <si>
    <t>44</t>
  </si>
  <si>
    <t>09-000418</t>
  </si>
  <si>
    <t>Alimentacion cargio papel krost</t>
  </si>
  <si>
    <t>7615</t>
  </si>
  <si>
    <t>09-000419</t>
  </si>
  <si>
    <t>Accesorios Vehiculares cintas, conos,tacos,cinta reflectica</t>
  </si>
  <si>
    <t>20535554031</t>
  </si>
  <si>
    <t xml:space="preserve"> CORPORACION MALLQUI R&amp;A S.A.C </t>
  </si>
  <si>
    <t>3735</t>
  </si>
  <si>
    <t>09-000420</t>
  </si>
  <si>
    <t>Accesorios Vehiculares Hidrolina</t>
  </si>
  <si>
    <t>3522</t>
  </si>
  <si>
    <t>09-000421</t>
  </si>
  <si>
    <t>1855403</t>
  </si>
  <si>
    <t>09-000422</t>
  </si>
  <si>
    <t>20006</t>
  </si>
  <si>
    <t>09-000423</t>
  </si>
  <si>
    <t>1852888</t>
  </si>
  <si>
    <t>09-000424</t>
  </si>
  <si>
    <t>1841750</t>
  </si>
  <si>
    <t>09-000425</t>
  </si>
  <si>
    <t>2180014</t>
  </si>
  <si>
    <t>09-000426</t>
  </si>
  <si>
    <t>2175626</t>
  </si>
  <si>
    <t>09-000427</t>
  </si>
  <si>
    <t>1123784</t>
  </si>
  <si>
    <t>09-000428</t>
  </si>
  <si>
    <t>1026917</t>
  </si>
  <si>
    <t>30/09/2025</t>
  </si>
  <si>
    <t>09-000429</t>
  </si>
  <si>
    <t>1878414</t>
  </si>
  <si>
    <t>09-000430</t>
  </si>
  <si>
    <t>17664</t>
  </si>
  <si>
    <t>09-000431</t>
  </si>
  <si>
    <t>18340</t>
  </si>
  <si>
    <t>09-000432</t>
  </si>
  <si>
    <t>17645</t>
  </si>
  <si>
    <t>09-000433</t>
  </si>
  <si>
    <t>17646</t>
  </si>
  <si>
    <t>09-000434</t>
  </si>
  <si>
    <t>2464811</t>
  </si>
  <si>
    <t>09-000435</t>
  </si>
  <si>
    <t>Celulares y accesorios (software)</t>
  </si>
  <si>
    <t>F129</t>
  </si>
  <si>
    <t>31667</t>
  </si>
  <si>
    <t>09-000436</t>
  </si>
  <si>
    <t>185927</t>
  </si>
  <si>
    <t>09-000437</t>
  </si>
  <si>
    <t>185651</t>
  </si>
  <si>
    <t>09-000438</t>
  </si>
  <si>
    <t>186742</t>
  </si>
  <si>
    <t>09-000439</t>
  </si>
  <si>
    <t>186709</t>
  </si>
  <si>
    <t>09-000440</t>
  </si>
  <si>
    <t>Servicios Básicos-Teléfono Fijo</t>
  </si>
  <si>
    <t xml:space="preserve"> TELEFONICA DEL PERU SAA </t>
  </si>
  <si>
    <t>74428686</t>
  </si>
  <si>
    <t>09-000441</t>
  </si>
  <si>
    <t>36859816</t>
  </si>
  <si>
    <t>09-000442</t>
  </si>
  <si>
    <t>37383160</t>
  </si>
  <si>
    <t>09-000443</t>
  </si>
  <si>
    <t>37207119</t>
  </si>
  <si>
    <t>09-000444</t>
  </si>
  <si>
    <t>Comisión - Telecrédito</t>
  </si>
  <si>
    <t>2477192</t>
  </si>
  <si>
    <t>09-000445</t>
  </si>
  <si>
    <t>37251729</t>
  </si>
  <si>
    <t>09-000446</t>
  </si>
  <si>
    <t>37216567</t>
  </si>
  <si>
    <t>09-000447</t>
  </si>
  <si>
    <t>37216544</t>
  </si>
  <si>
    <t>09-000448</t>
  </si>
  <si>
    <t>Tratamiento / Disposición-No Aprovechables</t>
  </si>
  <si>
    <t>21276</t>
  </si>
  <si>
    <t>09-000449</t>
  </si>
  <si>
    <t>Alimentacion Revision de KPI con areas</t>
  </si>
  <si>
    <t>701</t>
  </si>
  <si>
    <t>09-000450</t>
  </si>
  <si>
    <t>Carton, plastico film transparente en desuso OC 458</t>
  </si>
  <si>
    <t>09-000451</t>
  </si>
  <si>
    <t>Hojalata en desuso OC 428</t>
  </si>
  <si>
    <t>1735</t>
  </si>
  <si>
    <t>09-000452</t>
  </si>
  <si>
    <t>Parihuelas,marcos,madera,bidones en desuso OC 424</t>
  </si>
  <si>
    <t>1734</t>
  </si>
  <si>
    <t>09-000453</t>
  </si>
  <si>
    <t>Peaje 25631</t>
  </si>
  <si>
    <t>1856416</t>
  </si>
  <si>
    <t>09-000454</t>
  </si>
  <si>
    <t>Peaje 25669</t>
  </si>
  <si>
    <t>1878903</t>
  </si>
  <si>
    <t>09-000455</t>
  </si>
  <si>
    <t>Balanza 25664</t>
  </si>
  <si>
    <t>17905</t>
  </si>
  <si>
    <t>09-000456</t>
  </si>
  <si>
    <t>Balanza 25645</t>
  </si>
  <si>
    <t>17903</t>
  </si>
  <si>
    <t>09-000457</t>
  </si>
  <si>
    <t>Balanza 25632</t>
  </si>
  <si>
    <t>17895</t>
  </si>
  <si>
    <t>21/09/2025</t>
  </si>
  <si>
    <t>09-000458</t>
  </si>
  <si>
    <t>Transporte de carga RQ.OPE.1453</t>
  </si>
  <si>
    <t xml:space="preserve"> CRISTOBAL CARHUACHIN LEONCIO JOSE </t>
  </si>
  <si>
    <t>428</t>
  </si>
  <si>
    <t>09-000459</t>
  </si>
  <si>
    <t>Alquiler de montacarga  RQ.OPE.1432</t>
  </si>
  <si>
    <t>2593</t>
  </si>
  <si>
    <t>09-000460</t>
  </si>
  <si>
    <t>Alquiler de montacarga RQ.OPE.1435</t>
  </si>
  <si>
    <t>2592</t>
  </si>
  <si>
    <t>09-000461</t>
  </si>
  <si>
    <t>Alquiler de montacarga RQ.OPE.1433</t>
  </si>
  <si>
    <t>2591</t>
  </si>
  <si>
    <t>09-000462</t>
  </si>
  <si>
    <t>Gestión de contenedores-Fabricación de Contenedores RQ.COM.375</t>
  </si>
  <si>
    <t>20455273791</t>
  </si>
  <si>
    <t xml:space="preserve"> COMERSUR AREQUIPA S.A.C. </t>
  </si>
  <si>
    <t>29604</t>
  </si>
  <si>
    <t>09-000463</t>
  </si>
  <si>
    <t>73346</t>
  </si>
  <si>
    <t>09-000464</t>
  </si>
  <si>
    <t>20602592929</t>
  </si>
  <si>
    <t xml:space="preserve"> J &amp; S JOANSEBAS PAINT PERU E.I.R.L. </t>
  </si>
  <si>
    <t>11513</t>
  </si>
  <si>
    <t>09-000465</t>
  </si>
  <si>
    <t>36  vasos de frepe-cumpleaños</t>
  </si>
  <si>
    <t>20456298720</t>
  </si>
  <si>
    <t xml:space="preserve"> PRODUCTOS CADYPLASTIC E.I.R.L. </t>
  </si>
  <si>
    <t>F018</t>
  </si>
  <si>
    <t>7263</t>
  </si>
  <si>
    <t>09-000466</t>
  </si>
  <si>
    <t>Bocaditos dulces- cumpleaños trabajadores</t>
  </si>
  <si>
    <t>10295409270</t>
  </si>
  <si>
    <t xml:space="preserve"> LARICO QUISPE MARIA JULIA </t>
  </si>
  <si>
    <t>184</t>
  </si>
  <si>
    <t>09-000467</t>
  </si>
  <si>
    <t>8648</t>
  </si>
  <si>
    <t>09-000468</t>
  </si>
  <si>
    <t xml:space="preserve"> EMP CAPLINA TRANSP TURISTIC INTERNAC SRL </t>
  </si>
  <si>
    <t>F092</t>
  </si>
  <si>
    <t>8984</t>
  </si>
  <si>
    <t>09-000469</t>
  </si>
  <si>
    <t>8985</t>
  </si>
  <si>
    <t>09-000470</t>
  </si>
  <si>
    <t xml:space="preserve"> YATACO FLORES JUAN DE DIOS </t>
  </si>
  <si>
    <t>1915</t>
  </si>
  <si>
    <t>09-000471</t>
  </si>
  <si>
    <t xml:space="preserve"> SILVA ACHTAR ROGER KONRRAC </t>
  </si>
  <si>
    <t>2023</t>
  </si>
  <si>
    <t>09-000472</t>
  </si>
  <si>
    <t>20452694698</t>
  </si>
  <si>
    <t xml:space="preserve"> SERVICENTRO POSBEN S.A.C. </t>
  </si>
  <si>
    <t>FP01</t>
  </si>
  <si>
    <t>1268</t>
  </si>
  <si>
    <t>09-000473</t>
  </si>
  <si>
    <t>Transporte ica a lima</t>
  </si>
  <si>
    <t>F18M</t>
  </si>
  <si>
    <t>7976</t>
  </si>
  <si>
    <t>09-000474</t>
  </si>
  <si>
    <t>7977</t>
  </si>
  <si>
    <t>09-000475</t>
  </si>
  <si>
    <t>20495019196</t>
  </si>
  <si>
    <t xml:space="preserve"> NEGOCIOS ANA S.R.L. </t>
  </si>
  <si>
    <t>2960</t>
  </si>
  <si>
    <t>09-000476</t>
  </si>
  <si>
    <t>10428575194</t>
  </si>
  <si>
    <t xml:space="preserve"> GUTIERREZ MANTARI EDISON </t>
  </si>
  <si>
    <t>281</t>
  </si>
  <si>
    <t>09-000477</t>
  </si>
  <si>
    <t>Transporte lima a ica</t>
  </si>
  <si>
    <t>FB06</t>
  </si>
  <si>
    <t>09-000478</t>
  </si>
  <si>
    <t>45</t>
  </si>
  <si>
    <t>09-000480</t>
  </si>
  <si>
    <t>Cubitan Valorizacion de cubiques,cilindro,cartones de cajas explosivos</t>
  </si>
  <si>
    <t>20605931457</t>
  </si>
  <si>
    <t xml:space="preserve"> ENVASES Y SOLUCIONES LOGISTICAS W &amp; R S.A.C. </t>
  </si>
  <si>
    <t>09-000481</t>
  </si>
  <si>
    <t>Valorizacion de cubitanques de plastico</t>
  </si>
  <si>
    <t>148</t>
  </si>
  <si>
    <t>09-000482</t>
  </si>
  <si>
    <t>Valorizacion de cubitanques,envases de agroquimicos</t>
  </si>
  <si>
    <t>147</t>
  </si>
  <si>
    <t>09-000483</t>
  </si>
  <si>
    <t>Tortas</t>
  </si>
  <si>
    <t xml:space="preserve"> LAYME YOVANNA NELLY </t>
  </si>
  <si>
    <t>2459</t>
  </si>
  <si>
    <t>09-000484</t>
  </si>
  <si>
    <t>Canastitas de pollo</t>
  </si>
  <si>
    <t>558</t>
  </si>
  <si>
    <t>09-000485</t>
  </si>
  <si>
    <t>Papel seda,brocheta,papel crepe</t>
  </si>
  <si>
    <t>20455306478</t>
  </si>
  <si>
    <t xml:space="preserve"> LIBRERIA VICTORIA S.R.L. </t>
  </si>
  <si>
    <t>26089</t>
  </si>
  <si>
    <t>09-000486</t>
  </si>
  <si>
    <t>Blobo 7 ballon</t>
  </si>
  <si>
    <t>20558565676</t>
  </si>
  <si>
    <t xml:space="preserve"> CODISAR IMPORT E.I.R.L. </t>
  </si>
  <si>
    <t>F500</t>
  </si>
  <si>
    <t>1653</t>
  </si>
  <si>
    <t>09-000487</t>
  </si>
  <si>
    <t>Vasos,plato,tenedores</t>
  </si>
  <si>
    <t>7264</t>
  </si>
  <si>
    <t>09-000488</t>
  </si>
  <si>
    <t>Decoraciones</t>
  </si>
  <si>
    <t>10296497725</t>
  </si>
  <si>
    <t xml:space="preserve"> CAHUANA VIZCARRA MARIA TERESA </t>
  </si>
  <si>
    <t>3121</t>
  </si>
  <si>
    <t>09-000489</t>
  </si>
  <si>
    <t>Pallet de madera,papel y carton,plastico film OC 465</t>
  </si>
  <si>
    <t>20519212162</t>
  </si>
  <si>
    <t xml:space="preserve"> INDUSTRIAS IGGAM S.A.C. </t>
  </si>
  <si>
    <t>7010</t>
  </si>
  <si>
    <t>09-000490</t>
  </si>
  <si>
    <t>Sacas big bag cuarzo,cemento blanco OC 464</t>
  </si>
  <si>
    <t>7009</t>
  </si>
  <si>
    <t>09-000491</t>
  </si>
  <si>
    <t>Pallet de madera,sacas big bag cuarzo,cmento blanco OC 463</t>
  </si>
  <si>
    <t>7008</t>
  </si>
  <si>
    <t>09-000492</t>
  </si>
  <si>
    <t>20100123330</t>
  </si>
  <si>
    <t xml:space="preserve"> DELOSI S.A. </t>
  </si>
  <si>
    <t>4140</t>
  </si>
  <si>
    <t>09-000493</t>
  </si>
  <si>
    <t>20492922014</t>
  </si>
  <si>
    <t xml:space="preserve"> HOSTAL EL CLICK SOCIEDAD ANONIMA CERRADA </t>
  </si>
  <si>
    <t>FW01</t>
  </si>
  <si>
    <t>09-000494</t>
  </si>
  <si>
    <t>Gaseosas para oprerativos lima</t>
  </si>
  <si>
    <t>FF41</t>
  </si>
  <si>
    <t>500905</t>
  </si>
  <si>
    <t>09-000495</t>
  </si>
  <si>
    <t>Peaje 25667</t>
  </si>
  <si>
    <t>1878876</t>
  </si>
  <si>
    <t>09-000496</t>
  </si>
  <si>
    <t>Peaje 25668</t>
  </si>
  <si>
    <t>1856394</t>
  </si>
  <si>
    <t>09-000497</t>
  </si>
  <si>
    <t>Peaje 25620</t>
  </si>
  <si>
    <t>2195783</t>
  </si>
  <si>
    <t>09-000498</t>
  </si>
  <si>
    <t>Peaje 25621</t>
  </si>
  <si>
    <t>2491116</t>
  </si>
  <si>
    <t>09-000499</t>
  </si>
  <si>
    <t>Peaje 25593</t>
  </si>
  <si>
    <t>2487625</t>
  </si>
  <si>
    <t>09-000500</t>
  </si>
  <si>
    <t>Balanza 25623</t>
  </si>
  <si>
    <t>17880</t>
  </si>
  <si>
    <t>09-000501</t>
  </si>
  <si>
    <t>Balanza 25624</t>
  </si>
  <si>
    <t>17862</t>
  </si>
  <si>
    <t>09-000502</t>
  </si>
  <si>
    <t>Balanza 25665</t>
  </si>
  <si>
    <t>17902</t>
  </si>
  <si>
    <t>09-000503</t>
  </si>
  <si>
    <t>Balanza 25666</t>
  </si>
  <si>
    <t>17893</t>
  </si>
  <si>
    <t>09-000504</t>
  </si>
  <si>
    <t>Alojamiento 25658</t>
  </si>
  <si>
    <t xml:space="preserve"> MENDOZA SANCHEZ DEYSI </t>
  </si>
  <si>
    <t>3456</t>
  </si>
  <si>
    <t>09-000505</t>
  </si>
  <si>
    <t xml:space="preserve"> LAZARTE QUISPE ELVIS WALDIR </t>
  </si>
  <si>
    <t>201</t>
  </si>
  <si>
    <t>09-000506</t>
  </si>
  <si>
    <t>Alojamiento 25654</t>
  </si>
  <si>
    <t xml:space="preserve"> GUEVARA PEREZ MARIA </t>
  </si>
  <si>
    <t>2229</t>
  </si>
  <si>
    <t>09-000507</t>
  </si>
  <si>
    <t>Lavado 25663</t>
  </si>
  <si>
    <t>20073</t>
  </si>
  <si>
    <t>09-000508</t>
  </si>
  <si>
    <t>Peaje 25640</t>
  </si>
  <si>
    <t>1855645</t>
  </si>
  <si>
    <t>09-000509</t>
  </si>
  <si>
    <t>Peaje 25641</t>
  </si>
  <si>
    <t>1877747</t>
  </si>
  <si>
    <t>09-000510</t>
  </si>
  <si>
    <t>Lavado 25603</t>
  </si>
  <si>
    <t>19992</t>
  </si>
  <si>
    <t>09-000511</t>
  </si>
  <si>
    <t>Balanza 25602</t>
  </si>
  <si>
    <t>137513</t>
  </si>
  <si>
    <t>09-000512</t>
  </si>
  <si>
    <t>Balanza 25601</t>
  </si>
  <si>
    <t>137519</t>
  </si>
  <si>
    <t>09-000513</t>
  </si>
  <si>
    <t>Peaje 25590</t>
  </si>
  <si>
    <t>2486371</t>
  </si>
  <si>
    <t>09-000514</t>
  </si>
  <si>
    <t>Peaje 25589</t>
  </si>
  <si>
    <t>1873645</t>
  </si>
  <si>
    <t>09-000515</t>
  </si>
  <si>
    <t>Peaje 25560</t>
  </si>
  <si>
    <t>1870615</t>
  </si>
  <si>
    <t>09-000516</t>
  </si>
  <si>
    <t>Peaje 25559</t>
  </si>
  <si>
    <t>2482435</t>
  </si>
  <si>
    <t>09-000517</t>
  </si>
  <si>
    <t>Peaje 25557</t>
  </si>
  <si>
    <t>1870755</t>
  </si>
  <si>
    <t>09-000518</t>
  </si>
  <si>
    <t>Peaje 25539</t>
  </si>
  <si>
    <t>1848525</t>
  </si>
  <si>
    <t>09-000519</t>
  </si>
  <si>
    <t>Lavado 25544</t>
  </si>
  <si>
    <t xml:space="preserve"> CRUZ HUARACHA CARMEN </t>
  </si>
  <si>
    <t>1830</t>
  </si>
  <si>
    <t>09-000520</t>
  </si>
  <si>
    <t>Peaje 25583</t>
  </si>
  <si>
    <t>3124002</t>
  </si>
  <si>
    <t>09-000521</t>
  </si>
  <si>
    <t>Peaje 25582</t>
  </si>
  <si>
    <t>1706931</t>
  </si>
  <si>
    <t>09-000522</t>
  </si>
  <si>
    <t>Peaje 25584</t>
  </si>
  <si>
    <t>626711</t>
  </si>
  <si>
    <t>09-000523</t>
  </si>
  <si>
    <t>Parihuela,marcos de madera en desuso OC 410</t>
  </si>
  <si>
    <t>1736</t>
  </si>
  <si>
    <t>OC 410</t>
  </si>
  <si>
    <t>09-000524</t>
  </si>
  <si>
    <t>Remodelacion del area comercial RQ.LOG.377 OS 005-746</t>
  </si>
  <si>
    <t xml:space="preserve"> DINAMICA MASIVA SOCIEDAD ANONIMA CERRADA </t>
  </si>
  <si>
    <t>263</t>
  </si>
  <si>
    <t>09-000525</t>
  </si>
  <si>
    <t>Mantenimiento Vehicular (Preventivo) RQ.OPE.1455 OS 006-183</t>
  </si>
  <si>
    <t>20600384423</t>
  </si>
  <si>
    <t xml:space="preserve"> MULTI SERVICE AMERICA S.A.C. </t>
  </si>
  <si>
    <t>3001</t>
  </si>
  <si>
    <t>09-000526</t>
  </si>
  <si>
    <t>Mantenimiento Preventivo (Montacarga) RQ.OPE.1470 OS 006-184</t>
  </si>
  <si>
    <t xml:space="preserve"> GONZALES CABRERA JUAN MIGUEL </t>
  </si>
  <si>
    <t>228</t>
  </si>
  <si>
    <t>09-000527</t>
  </si>
  <si>
    <t>Accesorios para ceular motorola G04 RQ.STI.119</t>
  </si>
  <si>
    <t>10465142524</t>
  </si>
  <si>
    <t xml:space="preserve"> PEÑA FLORES LISBETH </t>
  </si>
  <si>
    <t>0002</t>
  </si>
  <si>
    <t>3093</t>
  </si>
  <si>
    <t>09-000528</t>
  </si>
  <si>
    <t>Refrigerio para capacitacion brigada emergencia RQ.SSO.277</t>
  </si>
  <si>
    <t xml:space="preserve"> HIPERMERCADOS TOTTUS S.A </t>
  </si>
  <si>
    <t>FA62</t>
  </si>
  <si>
    <t>27550</t>
  </si>
  <si>
    <t>09-000529</t>
  </si>
  <si>
    <t>Recarga extintores PQS ABC de 6KG,12KG RQ.SSO.274</t>
  </si>
  <si>
    <t xml:space="preserve"> VULCANO EXTINTORES Y SEGURIDAD E.I.R.L. </t>
  </si>
  <si>
    <t>3153</t>
  </si>
  <si>
    <t>09-000530</t>
  </si>
  <si>
    <t>Peaje 25627</t>
  </si>
  <si>
    <t>2491259</t>
  </si>
  <si>
    <t>25627</t>
  </si>
  <si>
    <t>09-000531</t>
  </si>
  <si>
    <t>Peaje 25628</t>
  </si>
  <si>
    <t>2195756</t>
  </si>
  <si>
    <t>25628</t>
  </si>
  <si>
    <t>09-000532</t>
  </si>
  <si>
    <t>Peaje 25672</t>
  </si>
  <si>
    <t>2196941</t>
  </si>
  <si>
    <t>25672</t>
  </si>
  <si>
    <t>09-000533</t>
  </si>
  <si>
    <t>Peaje 25644</t>
  </si>
  <si>
    <t>1856631</t>
  </si>
  <si>
    <t>25644</t>
  </si>
  <si>
    <t>09-000534</t>
  </si>
  <si>
    <t>Balanza 25643</t>
  </si>
  <si>
    <t>17896</t>
  </si>
  <si>
    <t>25643</t>
  </si>
  <si>
    <t>09-000535</t>
  </si>
  <si>
    <t>Alimentacion carguio de chatarra</t>
  </si>
  <si>
    <t>7669</t>
  </si>
  <si>
    <t>09-000536</t>
  </si>
  <si>
    <t>Transporte de carga RQ.OPE.1472 OS 005-742</t>
  </si>
  <si>
    <t>285968061</t>
  </si>
  <si>
    <t>15/10/2025</t>
  </si>
  <si>
    <t>09-000537</t>
  </si>
  <si>
    <t>Carton,chatarra metalica,viruta,madera OC 444</t>
  </si>
  <si>
    <t>16906</t>
  </si>
  <si>
    <t>OC 444</t>
  </si>
  <si>
    <t>09-000538</t>
  </si>
  <si>
    <t>Carton,chatarra metalica,IBC´S plastico,madera,papel,sacas OC 443</t>
  </si>
  <si>
    <t>16905</t>
  </si>
  <si>
    <t>OC 443</t>
  </si>
  <si>
    <t>09-000539</t>
  </si>
  <si>
    <t>Peaje 25595</t>
  </si>
  <si>
    <t>1850188</t>
  </si>
  <si>
    <t>25595</t>
  </si>
  <si>
    <t>09-000540</t>
  </si>
  <si>
    <t>Peaje 25596</t>
  </si>
  <si>
    <t>2188452</t>
  </si>
  <si>
    <t>25596</t>
  </si>
  <si>
    <t>09-000541</t>
  </si>
  <si>
    <t>Peaje 25597</t>
  </si>
  <si>
    <t>2190700</t>
  </si>
  <si>
    <t>25597</t>
  </si>
  <si>
    <t>09-000542</t>
  </si>
  <si>
    <t>Peaje 25600</t>
  </si>
  <si>
    <t>1852293</t>
  </si>
  <si>
    <t>25600</t>
  </si>
  <si>
    <t>09-000543</t>
  </si>
  <si>
    <t>Peaje 25670</t>
  </si>
  <si>
    <t>2195564</t>
  </si>
  <si>
    <t>25670</t>
  </si>
  <si>
    <t>09-000544</t>
  </si>
  <si>
    <t>Peaje 25671</t>
  </si>
  <si>
    <t>2491790</t>
  </si>
  <si>
    <t>25671</t>
  </si>
  <si>
    <t>09-000545</t>
  </si>
  <si>
    <t>Seguro vehicular  BKL-739,BKK-849,VDJ-872, VBB-840, V9R-903</t>
  </si>
  <si>
    <t>488227</t>
  </si>
  <si>
    <t>09-000546</t>
  </si>
  <si>
    <t>falta  2 Copas para Campeonato Interno</t>
  </si>
  <si>
    <t>20454160381</t>
  </si>
  <si>
    <t xml:space="preserve"> PLAYER S SPORT SOCIEDAD COMERCIAL DE RESPONSABILIDAD LIMITADA </t>
  </si>
  <si>
    <t>7023</t>
  </si>
  <si>
    <t>09-000547</t>
  </si>
  <si>
    <t>falta  Compartir - Personal Operativo</t>
  </si>
  <si>
    <t>7519</t>
  </si>
  <si>
    <t>09-000548</t>
  </si>
  <si>
    <t>falta  Cena Corporativo - Personal Operativo</t>
  </si>
  <si>
    <t>20613249568</t>
  </si>
  <si>
    <t xml:space="preserve"> CORTEZA RESTAURANT S.R.L. </t>
  </si>
  <si>
    <t>114</t>
  </si>
  <si>
    <t>09-000549</t>
  </si>
  <si>
    <t>falta Compartir - Personal Operativo</t>
  </si>
  <si>
    <t>7357</t>
  </si>
  <si>
    <t>09-000550</t>
  </si>
  <si>
    <t>falta  Gestión Comercial - Cena</t>
  </si>
  <si>
    <t>FC60</t>
  </si>
  <si>
    <t>25393</t>
  </si>
  <si>
    <t>09-000551</t>
  </si>
  <si>
    <t>falta  Cena Corporativo - Personal Administrativo</t>
  </si>
  <si>
    <t>20613500503</t>
  </si>
  <si>
    <t xml:space="preserve"> PARADA XPRESS 48 S.A.C. </t>
  </si>
  <si>
    <t>2898</t>
  </si>
  <si>
    <t>09-000552</t>
  </si>
  <si>
    <t>falta Almuerzo Corporativo - Personal Operativo</t>
  </si>
  <si>
    <t>20608636588</t>
  </si>
  <si>
    <t xml:space="preserve"> PARADA 48 S.A.C. </t>
  </si>
  <si>
    <t>16588</t>
  </si>
  <si>
    <t>20/05/2025</t>
  </si>
  <si>
    <t>09-000553</t>
  </si>
  <si>
    <t>falta  Almuerzo Corporativo - Personal Administrativo</t>
  </si>
  <si>
    <t>20498187936</t>
  </si>
  <si>
    <t xml:space="preserve"> GREAT SERVICE SERVICIOS TURISTICOS EL TABLON SOCIEDAD ANONIMA CERRADA </t>
  </si>
  <si>
    <t>F154</t>
  </si>
  <si>
    <t>6509</t>
  </si>
  <si>
    <t>17/04/2025</t>
  </si>
  <si>
    <t>09-000554</t>
  </si>
  <si>
    <t>20610293493</t>
  </si>
  <si>
    <t xml:space="preserve"> COMPLEJO TURISTICO DON PIERO E.I.R.L, </t>
  </si>
  <si>
    <t>1880</t>
  </si>
  <si>
    <t>06/03/2025</t>
  </si>
  <si>
    <t>09-000555</t>
  </si>
  <si>
    <t>falta Gestión Comercial - Almuerzo</t>
  </si>
  <si>
    <t>2554</t>
  </si>
  <si>
    <t>02/03/2025</t>
  </si>
  <si>
    <t>09-000556</t>
  </si>
  <si>
    <t>falta Cerradura de baño  (Almacen - Villa Esperanza)</t>
  </si>
  <si>
    <t>20112273922</t>
  </si>
  <si>
    <t xml:space="preserve"> TIENDAS DEL MEJORAMIENTO DEL HOGAR S.A. </t>
  </si>
  <si>
    <t>F195</t>
  </si>
  <si>
    <t>34622</t>
  </si>
  <si>
    <t>09-000557</t>
  </si>
  <si>
    <t>926966</t>
  </si>
  <si>
    <t>09-000558</t>
  </si>
  <si>
    <t>36627067</t>
  </si>
  <si>
    <t>09-000559</t>
  </si>
  <si>
    <t>36654037</t>
  </si>
  <si>
    <t>09-000560</t>
  </si>
  <si>
    <t>37117075</t>
  </si>
  <si>
    <t>09-000561</t>
  </si>
  <si>
    <t>37123676</t>
  </si>
  <si>
    <t>09-000562</t>
  </si>
  <si>
    <t>37388975</t>
  </si>
  <si>
    <t>09-000563</t>
  </si>
  <si>
    <t>37414056</t>
  </si>
  <si>
    <t>09-000564</t>
  </si>
  <si>
    <t>37465650</t>
  </si>
  <si>
    <t>09-000565</t>
  </si>
  <si>
    <t>Transporte de carga RQ.OPE.1474</t>
  </si>
  <si>
    <t>868</t>
  </si>
  <si>
    <t>09-000566</t>
  </si>
  <si>
    <t>Alojamiento en Lima</t>
  </si>
  <si>
    <t>HOSTAL EL CLICK SOCIEDAD ANONIMA CERRADA</t>
  </si>
  <si>
    <t>534</t>
  </si>
  <si>
    <t>09-000567</t>
  </si>
  <si>
    <t>522</t>
  </si>
  <si>
    <t>09-000568</t>
  </si>
  <si>
    <t>Viaje de Arequipa a Lima</t>
  </si>
  <si>
    <t>TRANSPORTES TRANSZELA S.R.L.T.D.A.</t>
  </si>
  <si>
    <t>14540</t>
  </si>
  <si>
    <t>09-000569</t>
  </si>
  <si>
    <t>SCTR RQ.GH.235</t>
  </si>
  <si>
    <t>557314</t>
  </si>
  <si>
    <t>09-000570</t>
  </si>
  <si>
    <t>SCTR Accidentes de trabajo e enferm prof RQ.GH.235</t>
  </si>
  <si>
    <t>716579</t>
  </si>
  <si>
    <t>09-000571</t>
  </si>
  <si>
    <t>SCTR RQ.GH.234</t>
  </si>
  <si>
    <t>558135</t>
  </si>
  <si>
    <t>09-000572</t>
  </si>
  <si>
    <t>Alquiler de montacarga RQ.OPE.1437</t>
  </si>
  <si>
    <t>2605</t>
  </si>
  <si>
    <t>09-000573</t>
  </si>
  <si>
    <t>Peaje 25673</t>
  </si>
  <si>
    <t>631635</t>
  </si>
  <si>
    <t>09-000574</t>
  </si>
  <si>
    <t>Mortero,badilejo,esmalte,brocha,rodillo,masilla 002-2474</t>
  </si>
  <si>
    <t>FA17</t>
  </si>
  <si>
    <t>2120652</t>
  </si>
  <si>
    <t>09-000575</t>
  </si>
  <si>
    <t>Sacudidor de tela,papel toalla 002-2471</t>
  </si>
  <si>
    <t>1934716</t>
  </si>
  <si>
    <t>27/09/2025</t>
  </si>
  <si>
    <t>09-000576</t>
  </si>
  <si>
    <t>Envio de encomienda 002-2479</t>
  </si>
  <si>
    <t>77437</t>
  </si>
  <si>
    <t>09-000577</t>
  </si>
  <si>
    <t>Envio de encomienda 002-2470</t>
  </si>
  <si>
    <t>77384</t>
  </si>
  <si>
    <t>09-000578</t>
  </si>
  <si>
    <t>Envio de encomienda 002-2269</t>
  </si>
  <si>
    <t>77383</t>
  </si>
  <si>
    <t>09-000579</t>
  </si>
  <si>
    <t>Spray,masilla,cinta de tres cuartos 002-2431</t>
  </si>
  <si>
    <t>8100</t>
  </si>
  <si>
    <t>01/10/2025</t>
  </si>
  <si>
    <t>10-000001</t>
  </si>
  <si>
    <t>Alimentacion o bocaditos para charla de valorizacion de residuos</t>
  </si>
  <si>
    <t>10-000002</t>
  </si>
  <si>
    <t>Cilindros usado OC 456</t>
  </si>
  <si>
    <t>7012</t>
  </si>
  <si>
    <t>284619140</t>
  </si>
  <si>
    <t>3/10/2025</t>
  </si>
  <si>
    <t>10-000003</t>
  </si>
  <si>
    <t>Residuos reciclables tucos de carton OC 455</t>
  </si>
  <si>
    <t>7014</t>
  </si>
  <si>
    <t>284619141</t>
  </si>
  <si>
    <t>OC 455</t>
  </si>
  <si>
    <t>10-000004</t>
  </si>
  <si>
    <t>Sco polis inserv manufactura OC 459</t>
  </si>
  <si>
    <t>7013</t>
  </si>
  <si>
    <t>284619142</t>
  </si>
  <si>
    <t>OC 459</t>
  </si>
  <si>
    <t>10-000005</t>
  </si>
  <si>
    <t>Film strech usado OC453</t>
  </si>
  <si>
    <t>7011</t>
  </si>
  <si>
    <t>284619143</t>
  </si>
  <si>
    <t>OC 453</t>
  </si>
  <si>
    <t>10-000006</t>
  </si>
  <si>
    <t>Carton,bolsas papel inservibles OC452</t>
  </si>
  <si>
    <t>284619144</t>
  </si>
  <si>
    <t>10-000007</t>
  </si>
  <si>
    <t>Chatarra mad OC 457</t>
  </si>
  <si>
    <t>284619145</t>
  </si>
  <si>
    <t>OC 457</t>
  </si>
  <si>
    <t>10-000008</t>
  </si>
  <si>
    <t>Galleta rota sucia OC 449</t>
  </si>
  <si>
    <t>7007</t>
  </si>
  <si>
    <t>284619146</t>
  </si>
  <si>
    <t>OC 449</t>
  </si>
  <si>
    <t>10-000009</t>
  </si>
  <si>
    <t>Cilindros usados OC 450</t>
  </si>
  <si>
    <t>284619147</t>
  </si>
  <si>
    <t>OC 450</t>
  </si>
  <si>
    <t>10-000010</t>
  </si>
  <si>
    <t>Mezcla de granos- descarte de trigo OC 451</t>
  </si>
  <si>
    <t>7015</t>
  </si>
  <si>
    <t>284619148</t>
  </si>
  <si>
    <t>OC 451</t>
  </si>
  <si>
    <t>10-000011</t>
  </si>
  <si>
    <t>Film strech usado OC 431</t>
  </si>
  <si>
    <t>6999</t>
  </si>
  <si>
    <t>284619149</t>
  </si>
  <si>
    <t>OC 431</t>
  </si>
  <si>
    <t>10-000012</t>
  </si>
  <si>
    <t>Carton y bolsas papel inservibles OC 432</t>
  </si>
  <si>
    <t>7000</t>
  </si>
  <si>
    <t>284619150</t>
  </si>
  <si>
    <t>OC 432</t>
  </si>
  <si>
    <t>10-000013</t>
  </si>
  <si>
    <t>Sco polis inserv manufactura OC 433</t>
  </si>
  <si>
    <t>7001</t>
  </si>
  <si>
    <t>284619151</t>
  </si>
  <si>
    <t>OC 433</t>
  </si>
  <si>
    <t>10-000014</t>
  </si>
  <si>
    <t>Film strech usado OC 434</t>
  </si>
  <si>
    <t>7002</t>
  </si>
  <si>
    <t>284619152</t>
  </si>
  <si>
    <t>OC 434</t>
  </si>
  <si>
    <t>10-000015</t>
  </si>
  <si>
    <t>Carton y bolsas papel inservibles OC 435</t>
  </si>
  <si>
    <t>7003</t>
  </si>
  <si>
    <t>284619153</t>
  </si>
  <si>
    <t>OC 435</t>
  </si>
  <si>
    <t>10-000016</t>
  </si>
  <si>
    <t>Residuos reciclables tucos de carton apq OC 436</t>
  </si>
  <si>
    <t>7004</t>
  </si>
  <si>
    <t>284619154</t>
  </si>
  <si>
    <t>OC 436</t>
  </si>
  <si>
    <t>10-000017</t>
  </si>
  <si>
    <t>Sco polis inserv manufactura OC 437</t>
  </si>
  <si>
    <t>7005</t>
  </si>
  <si>
    <t>284619155</t>
  </si>
  <si>
    <t>OC 437</t>
  </si>
  <si>
    <t>10-000018</t>
  </si>
  <si>
    <t>Cilindro usado OC 438</t>
  </si>
  <si>
    <t>7006</t>
  </si>
  <si>
    <t>284619156</t>
  </si>
  <si>
    <t>OC 438</t>
  </si>
  <si>
    <t>10-000019</t>
  </si>
  <si>
    <t>Chalecos en dril tecnologia, color naranja-corporativo RQ.SSO.296 OC 004-198</t>
  </si>
  <si>
    <t>10466320973</t>
  </si>
  <si>
    <t xml:space="preserve"> ZELA MANCHA CARMENCITA </t>
  </si>
  <si>
    <t>7</t>
  </si>
  <si>
    <t>04/10/2025</t>
  </si>
  <si>
    <t>10-000020</t>
  </si>
  <si>
    <t>Chatarra metalica,acero OC 422</t>
  </si>
  <si>
    <t>1747</t>
  </si>
  <si>
    <t>286467690</t>
  </si>
  <si>
    <t>21/10/2025</t>
  </si>
  <si>
    <t>OC 422</t>
  </si>
  <si>
    <t>10-000021</t>
  </si>
  <si>
    <t>Mantenimiento de infraestructura, ventanas con vidrio RQ.LOG.375  OS 005-744</t>
  </si>
  <si>
    <t>20604400865</t>
  </si>
  <si>
    <t xml:space="preserve"> KANUN GLASS SOCIEDAD COMERCIAL DE RESPONSABILIDAD LIMITADA </t>
  </si>
  <si>
    <t>401</t>
  </si>
  <si>
    <t>03/10/2025</t>
  </si>
  <si>
    <t>10-000022</t>
  </si>
  <si>
    <t>Transporte de carga RQ.OPE.1475 OS 005-743</t>
  </si>
  <si>
    <t>20600571541</t>
  </si>
  <si>
    <t xml:space="preserve"> EMPRESA DE TRANSPORTES FRESCIA'S EXPRESS S.A.C. </t>
  </si>
  <si>
    <t>518</t>
  </si>
  <si>
    <t>10-000023</t>
  </si>
  <si>
    <t>Mantenimiento,router tplink,swith,cable de red RQ.LOG.376</t>
  </si>
  <si>
    <t>1502</t>
  </si>
  <si>
    <t>10-000024</t>
  </si>
  <si>
    <t>526</t>
  </si>
  <si>
    <t>02/10/2025</t>
  </si>
  <si>
    <t>10-000025</t>
  </si>
  <si>
    <t>Bocaditod para capacitacion de la consultora FAREL</t>
  </si>
  <si>
    <t>703</t>
  </si>
  <si>
    <t>10-000026</t>
  </si>
  <si>
    <t>Bocaditos para capacitacion de la consultora FAREL</t>
  </si>
  <si>
    <t>704</t>
  </si>
  <si>
    <t>06/10/2025</t>
  </si>
  <si>
    <t>10-000027</t>
  </si>
  <si>
    <t>Cables para la oficina comercial RQ.STI.120</t>
  </si>
  <si>
    <t xml:space="preserve"> WIRELESS CONEXION E.I.R.L. </t>
  </si>
  <si>
    <t>3102</t>
  </si>
  <si>
    <t>10-000028</t>
  </si>
  <si>
    <t>F501</t>
  </si>
  <si>
    <t>25964</t>
  </si>
  <si>
    <t>10-000029</t>
  </si>
  <si>
    <t>Mantenimiento Vehicular (Preventivo) RQ.OPE.1468 OS 006-185</t>
  </si>
  <si>
    <t>21327</t>
  </si>
  <si>
    <t>10-000030</t>
  </si>
  <si>
    <t>Examen medico pre-ocupacional/evaluacion medico anual RQ.GH.249</t>
  </si>
  <si>
    <t>16810</t>
  </si>
  <si>
    <t>10-000031</t>
  </si>
  <si>
    <t>Publicidad e impresión-Merchandising promocional  bolsa de lona RQ.COM.390</t>
  </si>
  <si>
    <t>20559169774</t>
  </si>
  <si>
    <t xml:space="preserve"> MAVI PLASTIC EIRL </t>
  </si>
  <si>
    <t>3222</t>
  </si>
  <si>
    <t>10-000032</t>
  </si>
  <si>
    <t>Capacitaciones-Inducciones Externas Funciones y respons comite de seg.RQ.SSO.295</t>
  </si>
  <si>
    <t>1610</t>
  </si>
  <si>
    <t>10-000033</t>
  </si>
  <si>
    <t>Lavado 25707</t>
  </si>
  <si>
    <t xml:space="preserve"> KIKAI &amp; SABISU S.A.C. </t>
  </si>
  <si>
    <t>1848</t>
  </si>
  <si>
    <t>25707</t>
  </si>
  <si>
    <t>10-000034</t>
  </si>
  <si>
    <t>Accesorios Vehiculares: abastecimiento de UREA</t>
  </si>
  <si>
    <t>20454131101</t>
  </si>
  <si>
    <t xml:space="preserve"> MULTISERVICIOS AVE FENIX S.A.C. </t>
  </si>
  <si>
    <t>1482</t>
  </si>
  <si>
    <t>25684</t>
  </si>
  <si>
    <t>10-000035</t>
  </si>
  <si>
    <t>Accesorios Vehiculares: Compra de foco LED intermitente para pértiga</t>
  </si>
  <si>
    <t>1847</t>
  </si>
  <si>
    <t>25677</t>
  </si>
  <si>
    <t>10-000036</t>
  </si>
  <si>
    <t>Accesorios Vehiculares: Compra de líquido de freno</t>
  </si>
  <si>
    <t>20601657814</t>
  </si>
  <si>
    <t xml:space="preserve"> MULTISERVICIOS GRAN PODER E.I.R.L. </t>
  </si>
  <si>
    <t>2547</t>
  </si>
  <si>
    <t>25675</t>
  </si>
  <si>
    <t>10-000037</t>
  </si>
  <si>
    <t>Accesorios Vehiculares: Compra de unión completa de bronce</t>
  </si>
  <si>
    <t>20603351500</t>
  </si>
  <si>
    <t xml:space="preserve"> M &amp; E CUSQUEÑO EMPRESA INDIVIDUAL DE RESPONSABILIDAD LIMITADA - M &amp; E CUSQUEÑO E.I.R.L. </t>
  </si>
  <si>
    <t>10443</t>
  </si>
  <si>
    <t>25674</t>
  </si>
  <si>
    <t>10-000038</t>
  </si>
  <si>
    <t>Balanza 25705</t>
  </si>
  <si>
    <t>137755</t>
  </si>
  <si>
    <t>25705</t>
  </si>
  <si>
    <t>10-000039</t>
  </si>
  <si>
    <t>Balanza 25704</t>
  </si>
  <si>
    <t>137768</t>
  </si>
  <si>
    <t>25704</t>
  </si>
  <si>
    <t>10-000040</t>
  </si>
  <si>
    <t>Peaje 25703</t>
  </si>
  <si>
    <t>1881970</t>
  </si>
  <si>
    <t>25703</t>
  </si>
  <si>
    <t>10-000041</t>
  </si>
  <si>
    <t>Peaje 25702</t>
  </si>
  <si>
    <t>2496621</t>
  </si>
  <si>
    <t>25702</t>
  </si>
  <si>
    <t>10-000042</t>
  </si>
  <si>
    <t>Peaje 25687</t>
  </si>
  <si>
    <t>510210</t>
  </si>
  <si>
    <t>25687</t>
  </si>
  <si>
    <t>10-000043</t>
  </si>
  <si>
    <t>Peaje 25686</t>
  </si>
  <si>
    <t>408950</t>
  </si>
  <si>
    <t>25686</t>
  </si>
  <si>
    <t>10-000044</t>
  </si>
  <si>
    <t>Peaje 25688</t>
  </si>
  <si>
    <t>1881023</t>
  </si>
  <si>
    <t>25688</t>
  </si>
  <si>
    <t>10-000045</t>
  </si>
  <si>
    <t>Balanza 25682</t>
  </si>
  <si>
    <t>17930</t>
  </si>
  <si>
    <t>25682</t>
  </si>
  <si>
    <t>07/10/2025</t>
  </si>
  <si>
    <t>10-000046</t>
  </si>
  <si>
    <t>Personal - Ingreso Evaluacion medico pre-ocupacional RQ.GH.251</t>
  </si>
  <si>
    <t>16850</t>
  </si>
  <si>
    <t>10-000047</t>
  </si>
  <si>
    <t>Examen medico preocupacional - ingreso RQ.GH.250</t>
  </si>
  <si>
    <t>16841</t>
  </si>
  <si>
    <t>10-000048</t>
  </si>
  <si>
    <t>Celulares y accesorios, cambio de pantalla de cel</t>
  </si>
  <si>
    <t>958</t>
  </si>
  <si>
    <t>10-000049</t>
  </si>
  <si>
    <t>Parihuela de madera, carton en desuso OC 466</t>
  </si>
  <si>
    <t>1750</t>
  </si>
  <si>
    <t>286467691</t>
  </si>
  <si>
    <t>OC 466</t>
  </si>
  <si>
    <t>10-000050</t>
  </si>
  <si>
    <t>Parihuelas metalprent, marcos en desuso OC 460</t>
  </si>
  <si>
    <t>1749</t>
  </si>
  <si>
    <t>286467692</t>
  </si>
  <si>
    <t>OC 460</t>
  </si>
  <si>
    <t>10-000051</t>
  </si>
  <si>
    <t>Strech film transparente en desuso OC 459</t>
  </si>
  <si>
    <t>1748</t>
  </si>
  <si>
    <t>286467693</t>
  </si>
  <si>
    <t>10-000052</t>
  </si>
  <si>
    <t>Mantenimiento Vehicular (Correctivo) RQ.OPE.1403 OS 006-182</t>
  </si>
  <si>
    <t xml:space="preserve"> TRACTO CAMIONES USA S.A.C. </t>
  </si>
  <si>
    <t>FF19</t>
  </si>
  <si>
    <t>8570</t>
  </si>
  <si>
    <t>10-000053</t>
  </si>
  <si>
    <t>2200441</t>
  </si>
  <si>
    <t>10-000054</t>
  </si>
  <si>
    <t>1859727</t>
  </si>
  <si>
    <t>10-000055</t>
  </si>
  <si>
    <t>Equipos de cómputo y accesorios Patch cord</t>
  </si>
  <si>
    <t>3097</t>
  </si>
  <si>
    <t>10/10/2025</t>
  </si>
  <si>
    <t>10-000056</t>
  </si>
  <si>
    <t>Galleta rota sucia 30kg OC 473</t>
  </si>
  <si>
    <t>7056</t>
  </si>
  <si>
    <t>285968062</t>
  </si>
  <si>
    <t>OC 473</t>
  </si>
  <si>
    <t>10-000057</t>
  </si>
  <si>
    <t>Film strech usado OC 474</t>
  </si>
  <si>
    <t>7058</t>
  </si>
  <si>
    <t>285968063</t>
  </si>
  <si>
    <t>OC 474</t>
  </si>
  <si>
    <t>10-000058</t>
  </si>
  <si>
    <t>Carton y bolsas papel inservibles OC 475</t>
  </si>
  <si>
    <t>7057</t>
  </si>
  <si>
    <t>285968064</t>
  </si>
  <si>
    <t>OC 475</t>
  </si>
  <si>
    <t>10-000059</t>
  </si>
  <si>
    <t>Tucos de carton OC 476</t>
  </si>
  <si>
    <t>7059</t>
  </si>
  <si>
    <t>285968065</t>
  </si>
  <si>
    <t>OC 476</t>
  </si>
  <si>
    <t>10-000060</t>
  </si>
  <si>
    <t>Transporte de carga RQ.COM.388 OS 005-748</t>
  </si>
  <si>
    <t>1953</t>
  </si>
  <si>
    <t>08/10/2025</t>
  </si>
  <si>
    <t>10-000061</t>
  </si>
  <si>
    <t>Transporte de carga R.Q.OPE.1478 OS 005-749</t>
  </si>
  <si>
    <t>10435010062</t>
  </si>
  <si>
    <t xml:space="preserve"> CONDORI QUISPE NELIDA GRACIELA </t>
  </si>
  <si>
    <t>627</t>
  </si>
  <si>
    <t>286467694</t>
  </si>
  <si>
    <t>09/10/2025</t>
  </si>
  <si>
    <t>10-000062</t>
  </si>
  <si>
    <t>Placa acrilica, renovacion de rotulos de la empresa RQ.LOG.379</t>
  </si>
  <si>
    <t>20612092878</t>
  </si>
  <si>
    <t xml:space="preserve"> INDUSTRIES CENTRALGRAF E.I.R.L. </t>
  </si>
  <si>
    <t>692</t>
  </si>
  <si>
    <t>10-000063</t>
  </si>
  <si>
    <t>305</t>
  </si>
  <si>
    <t>10-000064</t>
  </si>
  <si>
    <t>Servicios Básicos-Luz</t>
  </si>
  <si>
    <t>32788621</t>
  </si>
  <si>
    <t>10-000065</t>
  </si>
  <si>
    <t>FE30</t>
  </si>
  <si>
    <t>8488</t>
  </si>
  <si>
    <t>10-000066</t>
  </si>
  <si>
    <t>187812</t>
  </si>
  <si>
    <t>10-000067</t>
  </si>
  <si>
    <t>188255</t>
  </si>
  <si>
    <t>10-000068</t>
  </si>
  <si>
    <t>37623591</t>
  </si>
  <si>
    <t>10-000069</t>
  </si>
  <si>
    <t>37751076</t>
  </si>
  <si>
    <t>10-000070</t>
  </si>
  <si>
    <t>Peaje 25678</t>
  </si>
  <si>
    <t>1858223</t>
  </si>
  <si>
    <t>25678</t>
  </si>
  <si>
    <t>10-000071</t>
  </si>
  <si>
    <t>Peaje 25698</t>
  </si>
  <si>
    <t>1139817</t>
  </si>
  <si>
    <t>25698</t>
  </si>
  <si>
    <t>10-000072</t>
  </si>
  <si>
    <t>Peaje 25699</t>
  </si>
  <si>
    <t>1040871</t>
  </si>
  <si>
    <t>25699</t>
  </si>
  <si>
    <t>10-000073</t>
  </si>
  <si>
    <t>Balanza 25685</t>
  </si>
  <si>
    <t>17931</t>
  </si>
  <si>
    <t>25685</t>
  </si>
  <si>
    <t>10-000074</t>
  </si>
  <si>
    <t>Balanza 25700</t>
  </si>
  <si>
    <t>18513</t>
  </si>
  <si>
    <t>25700</t>
  </si>
  <si>
    <t>10-000075</t>
  </si>
  <si>
    <t>Peaje 25733</t>
  </si>
  <si>
    <t>2503749</t>
  </si>
  <si>
    <t>25733</t>
  </si>
  <si>
    <t>10-000076</t>
  </si>
  <si>
    <t>Peaje 25732</t>
  </si>
  <si>
    <t>2206591</t>
  </si>
  <si>
    <t>25732</t>
  </si>
  <si>
    <t>10-000077</t>
  </si>
  <si>
    <t>Peaje 25680</t>
  </si>
  <si>
    <t>1857621</t>
  </si>
  <si>
    <t>25680</t>
  </si>
  <si>
    <t>10-000078</t>
  </si>
  <si>
    <t>Peaje 25679</t>
  </si>
  <si>
    <t>1879889</t>
  </si>
  <si>
    <t>25679</t>
  </si>
  <si>
    <t>10-000079</t>
  </si>
  <si>
    <t>Peaje 25690</t>
  </si>
  <si>
    <t>1880899</t>
  </si>
  <si>
    <t>25690</t>
  </si>
  <si>
    <t>10-000080</t>
  </si>
  <si>
    <t>Peaje 25706</t>
  </si>
  <si>
    <t>2200513</t>
  </si>
  <si>
    <t>25706</t>
  </si>
  <si>
    <t>10-000081</t>
  </si>
  <si>
    <t>Peaje 25709</t>
  </si>
  <si>
    <t>2499864</t>
  </si>
  <si>
    <t>25709</t>
  </si>
  <si>
    <t>10-000082</t>
  </si>
  <si>
    <t>Peaje 25719</t>
  </si>
  <si>
    <t>1884682</t>
  </si>
  <si>
    <t>25719</t>
  </si>
  <si>
    <t>10-000083</t>
  </si>
  <si>
    <t>Balanza 25728</t>
  </si>
  <si>
    <t>138017</t>
  </si>
  <si>
    <t>25728</t>
  </si>
  <si>
    <t>10-000084</t>
  </si>
  <si>
    <t>Balanza 25689</t>
  </si>
  <si>
    <t>17933</t>
  </si>
  <si>
    <t>25689</t>
  </si>
  <si>
    <t>10-000085</t>
  </si>
  <si>
    <t>Balanza 25708</t>
  </si>
  <si>
    <t>17970</t>
  </si>
  <si>
    <t>25708</t>
  </si>
  <si>
    <t>10-000086</t>
  </si>
  <si>
    <t>Balanza 25713</t>
  </si>
  <si>
    <t>17974</t>
  </si>
  <si>
    <t>25713</t>
  </si>
  <si>
    <t>10-000087</t>
  </si>
  <si>
    <t>Balanza 25729</t>
  </si>
  <si>
    <t>10414394944</t>
  </si>
  <si>
    <t xml:space="preserve"> RODRIGUEZ CRUZ RICHARD MANUEL </t>
  </si>
  <si>
    <t>643</t>
  </si>
  <si>
    <t>35729</t>
  </si>
  <si>
    <t>10-000088</t>
  </si>
  <si>
    <t>Acondicionamiento de NFU</t>
  </si>
  <si>
    <t>20523363337</t>
  </si>
  <si>
    <t xml:space="preserve"> FIERROS CENTER &amp; METALES INDUSTRIALES SOCIEDAD ANONIMA CERRADA-FICEMIN S.A.C. </t>
  </si>
  <si>
    <t>254</t>
  </si>
  <si>
    <t>10-000089</t>
  </si>
  <si>
    <t>Seguro responsabilidad civil</t>
  </si>
  <si>
    <t>490613</t>
  </si>
  <si>
    <t>14/10/2025</t>
  </si>
  <si>
    <t>10-000090</t>
  </si>
  <si>
    <t>Almuerzo auditoria - Personal Administrativo</t>
  </si>
  <si>
    <t>20613141619</t>
  </si>
  <si>
    <t xml:space="preserve"> GRUPO MILANO K.A E.I.R.L. </t>
  </si>
  <si>
    <t>13/10/2025</t>
  </si>
  <si>
    <t>10-000091</t>
  </si>
  <si>
    <t>falta Almuerzo Corporativo - Comercial</t>
  </si>
  <si>
    <t>1</t>
  </si>
  <si>
    <t>10-000092</t>
  </si>
  <si>
    <t>EPPs Pantalon Jean 2 Und.</t>
  </si>
  <si>
    <t>20100128056</t>
  </si>
  <si>
    <t xml:space="preserve"> SAGA FALABELLA S A </t>
  </si>
  <si>
    <t>FAVQ</t>
  </si>
  <si>
    <t>4928</t>
  </si>
  <si>
    <t>10-000093</t>
  </si>
  <si>
    <t>falta  Compartir - Personal Administrativo</t>
  </si>
  <si>
    <t>26456</t>
  </si>
  <si>
    <t>10-000094</t>
  </si>
  <si>
    <t>falta Almuerzo Corporativo - Personal Administrativo</t>
  </si>
  <si>
    <t>3165</t>
  </si>
  <si>
    <t>05/10/2025</t>
  </si>
  <si>
    <t>10-000095</t>
  </si>
  <si>
    <t>falta  EPPs Camisa + Pantalon + Casaca (Gerencia)</t>
  </si>
  <si>
    <t>FAXJ</t>
  </si>
  <si>
    <t>3070</t>
  </si>
  <si>
    <t>10-000096</t>
  </si>
  <si>
    <t>Carton,chartarra metalica viruta,plastico OC 470</t>
  </si>
  <si>
    <t xml:space="preserve"> FLSMIDTH S.A.C. </t>
  </si>
  <si>
    <t>44957</t>
  </si>
  <si>
    <t>10-000097</t>
  </si>
  <si>
    <t>Plastico film,botella pet,carton,chatarra metalica,madera OC 469</t>
  </si>
  <si>
    <t>44956</t>
  </si>
  <si>
    <t>OC 469</t>
  </si>
  <si>
    <t>10-000098</t>
  </si>
  <si>
    <t>Carton en deduso, chatarra metalica viruta,plastico,madera OC 372</t>
  </si>
  <si>
    <t>44955</t>
  </si>
  <si>
    <t>OC 372</t>
  </si>
  <si>
    <t>10-000099</t>
  </si>
  <si>
    <t>Botellas pet,carton,chatarra metalica viruta,madera OC 371</t>
  </si>
  <si>
    <t>44954</t>
  </si>
  <si>
    <t>OC 371</t>
  </si>
  <si>
    <t>10-000100</t>
  </si>
  <si>
    <t>Impresion de IPERC y laminado RQ.SSO.288</t>
  </si>
  <si>
    <t>330</t>
  </si>
  <si>
    <t>10-000101</t>
  </si>
  <si>
    <t>Examen periodico RQ.GH.252</t>
  </si>
  <si>
    <t>16871</t>
  </si>
  <si>
    <t>11/10/2025</t>
  </si>
  <si>
    <t>10-000102</t>
  </si>
  <si>
    <t>314</t>
  </si>
  <si>
    <t>10-000103</t>
  </si>
  <si>
    <t>37598621</t>
  </si>
  <si>
    <t>10-000104</t>
  </si>
  <si>
    <t>37771594</t>
  </si>
  <si>
    <t>10-000105</t>
  </si>
  <si>
    <t>11785</t>
  </si>
  <si>
    <t>10-000106</t>
  </si>
  <si>
    <t>9359</t>
  </si>
  <si>
    <t>10-000107</t>
  </si>
  <si>
    <t>11797</t>
  </si>
  <si>
    <t>10-000108</t>
  </si>
  <si>
    <t>Fabricacion de contenedores - Bandeja HDPE</t>
  </si>
  <si>
    <t xml:space="preserve"> CCALLPA S.A.C. </t>
  </si>
  <si>
    <t>1987</t>
  </si>
  <si>
    <t>10-000109</t>
  </si>
  <si>
    <t>Transporte de carga RQ.OPE.1471</t>
  </si>
  <si>
    <t>876</t>
  </si>
  <si>
    <t>10-000110</t>
  </si>
  <si>
    <t>944005</t>
  </si>
  <si>
    <t>10-000111</t>
  </si>
  <si>
    <t>37826030</t>
  </si>
  <si>
    <t>10-000112</t>
  </si>
  <si>
    <t>2529778</t>
  </si>
  <si>
    <t>10-000113</t>
  </si>
  <si>
    <t>14583</t>
  </si>
  <si>
    <t>10-000114</t>
  </si>
  <si>
    <t>Mantenimiento de infraestructura - Remodelacion y pintado de oficina RQ.LOG.373</t>
  </si>
  <si>
    <t>269</t>
  </si>
  <si>
    <t>10-000115</t>
  </si>
  <si>
    <t>Mantenimiento de infraestructura - Remodelacion y pintado de oficina RQ.LOG.374</t>
  </si>
  <si>
    <t>271</t>
  </si>
  <si>
    <t>10-000116</t>
  </si>
  <si>
    <t>Notebook lenovo v15 g4 IRU, Mouse,estuche RQ.STI.120</t>
  </si>
  <si>
    <t>4630</t>
  </si>
  <si>
    <t>10-000117</t>
  </si>
  <si>
    <t>Bocaditos para el personal administrativo</t>
  </si>
  <si>
    <t>706</t>
  </si>
  <si>
    <t>10-000118</t>
  </si>
  <si>
    <t>Peaje 25717</t>
  </si>
  <si>
    <t>1884875</t>
  </si>
  <si>
    <t>25717</t>
  </si>
  <si>
    <t>10-000119</t>
  </si>
  <si>
    <t>Peaje 25692</t>
  </si>
  <si>
    <t>1857782</t>
  </si>
  <si>
    <t>25692</t>
  </si>
  <si>
    <t>10-000120</t>
  </si>
  <si>
    <t>Peaje 25734</t>
  </si>
  <si>
    <t>2504075</t>
  </si>
  <si>
    <t>25734</t>
  </si>
  <si>
    <t>10-000121</t>
  </si>
  <si>
    <t>Peaje 25741</t>
  </si>
  <si>
    <t>2206984</t>
  </si>
  <si>
    <t>25741</t>
  </si>
  <si>
    <t>10-000122</t>
  </si>
  <si>
    <t>Peaje 25716</t>
  </si>
  <si>
    <t>2499892</t>
  </si>
  <si>
    <t>25716</t>
  </si>
  <si>
    <t>10-000123</t>
  </si>
  <si>
    <t>Peaje 25752</t>
  </si>
  <si>
    <t>1866264</t>
  </si>
  <si>
    <t>25752</t>
  </si>
  <si>
    <t>10-000124</t>
  </si>
  <si>
    <t>Peaje 25751</t>
  </si>
  <si>
    <t>2207838</t>
  </si>
  <si>
    <t>25751</t>
  </si>
  <si>
    <t>10-000125</t>
  </si>
  <si>
    <t>Peaje 25731</t>
  </si>
  <si>
    <t>1885568</t>
  </si>
  <si>
    <t>25731</t>
  </si>
  <si>
    <t>10-000126</t>
  </si>
  <si>
    <t>Peaje 25730</t>
  </si>
  <si>
    <t>1863324</t>
  </si>
  <si>
    <t>25730</t>
  </si>
  <si>
    <t>10-000127</t>
  </si>
  <si>
    <t>Peaje 2593</t>
  </si>
  <si>
    <t>1879569</t>
  </si>
  <si>
    <t>25693</t>
  </si>
  <si>
    <t>10-000128</t>
  </si>
  <si>
    <t>Balanza 25695</t>
  </si>
  <si>
    <t>3018</t>
  </si>
  <si>
    <t>25695</t>
  </si>
  <si>
    <t>10-000129</t>
  </si>
  <si>
    <t>Balanza 25694</t>
  </si>
  <si>
    <t>3011</t>
  </si>
  <si>
    <t>25694</t>
  </si>
  <si>
    <t>10-000130</t>
  </si>
  <si>
    <t>Lavado 25753</t>
  </si>
  <si>
    <t>20209</t>
  </si>
  <si>
    <t>25753</t>
  </si>
  <si>
    <t>10-000131</t>
  </si>
  <si>
    <t>Lavado 25691</t>
  </si>
  <si>
    <t>20097</t>
  </si>
  <si>
    <t>25691</t>
  </si>
  <si>
    <t>10-000132</t>
  </si>
  <si>
    <t>Lavado 25720</t>
  </si>
  <si>
    <t>20166</t>
  </si>
  <si>
    <t>25720</t>
  </si>
  <si>
    <t>10-000133</t>
  </si>
  <si>
    <t>Balanza 25754</t>
  </si>
  <si>
    <t>138085</t>
  </si>
  <si>
    <t>25754</t>
  </si>
  <si>
    <t>10-000134</t>
  </si>
  <si>
    <t>Balanza 25742</t>
  </si>
  <si>
    <t>138024</t>
  </si>
  <si>
    <t>25742</t>
  </si>
  <si>
    <t>10-000135</t>
  </si>
  <si>
    <t>Balanza 25718</t>
  </si>
  <si>
    <t>17976</t>
  </si>
  <si>
    <t>25718</t>
  </si>
  <si>
    <t>10-000136</t>
  </si>
  <si>
    <t>Examen medico - Periodico RQ.GH.254</t>
  </si>
  <si>
    <t>16875</t>
  </si>
  <si>
    <t>10-000137</t>
  </si>
  <si>
    <t>SCTR accident trab y enferm prof RQ.GH.239</t>
  </si>
  <si>
    <t xml:space="preserve"> LA POSITIVA VIDA SEGUROS Y REASEGUROS </t>
  </si>
  <si>
    <t>727959</t>
  </si>
  <si>
    <t>10-000138</t>
  </si>
  <si>
    <t>74754879</t>
  </si>
  <si>
    <t>10-000139</t>
  </si>
  <si>
    <t>573422304</t>
  </si>
  <si>
    <t>10-000140</t>
  </si>
  <si>
    <t>Examen medico - ingreso RQ.GH.260</t>
  </si>
  <si>
    <t>11966</t>
  </si>
  <si>
    <t>10-000141</t>
  </si>
  <si>
    <t>Cinta de 2 pulgadas 002-2492</t>
  </si>
  <si>
    <t>8144</t>
  </si>
  <si>
    <t>10-000142</t>
  </si>
  <si>
    <t>Bolsas 002-2491</t>
  </si>
  <si>
    <t>2905412</t>
  </si>
  <si>
    <t>10-000143</t>
  </si>
  <si>
    <t>Guantes badana blanco 002-2490</t>
  </si>
  <si>
    <t>124443</t>
  </si>
  <si>
    <t>10-000144</t>
  </si>
  <si>
    <t>Lavado 25788</t>
  </si>
  <si>
    <t>20306</t>
  </si>
  <si>
    <t>25788</t>
  </si>
  <si>
    <t>10-000145</t>
  </si>
  <si>
    <t>Balanza 25766</t>
  </si>
  <si>
    <t>138178</t>
  </si>
  <si>
    <t>25766</t>
  </si>
  <si>
    <t>10-000146</t>
  </si>
  <si>
    <t>Balanza 25746</t>
  </si>
  <si>
    <t>138072</t>
  </si>
  <si>
    <t>25746</t>
  </si>
  <si>
    <t>10-000147</t>
  </si>
  <si>
    <t>Peaje 25778</t>
  </si>
  <si>
    <t>1891383</t>
  </si>
  <si>
    <t>25778</t>
  </si>
  <si>
    <t>10-000148</t>
  </si>
  <si>
    <t>Peaje 25785</t>
  </si>
  <si>
    <t>2212477</t>
  </si>
  <si>
    <t>25785</t>
  </si>
  <si>
    <t>10-000149</t>
  </si>
  <si>
    <t>Peaje 25783</t>
  </si>
  <si>
    <t>2510230</t>
  </si>
  <si>
    <t>25783</t>
  </si>
  <si>
    <t>10-000150</t>
  </si>
  <si>
    <t>Peaje 25748</t>
  </si>
  <si>
    <t>1045125</t>
  </si>
  <si>
    <t>25748</t>
  </si>
  <si>
    <t>10-000151</t>
  </si>
  <si>
    <t>Peaje 25760</t>
  </si>
  <si>
    <t>1888655</t>
  </si>
  <si>
    <t>25760</t>
  </si>
  <si>
    <t>10-000152</t>
  </si>
  <si>
    <t>Peaje 25761</t>
  </si>
  <si>
    <t>410607</t>
  </si>
  <si>
    <t>25761</t>
  </si>
  <si>
    <t>10-000153</t>
  </si>
  <si>
    <t>Peaje 25747</t>
  </si>
  <si>
    <t>2505061</t>
  </si>
  <si>
    <t>25747</t>
  </si>
  <si>
    <t>10-000154</t>
  </si>
  <si>
    <t>Peaje 25777</t>
  </si>
  <si>
    <t>2508523</t>
  </si>
  <si>
    <t>25777</t>
  </si>
  <si>
    <t>10-000155</t>
  </si>
  <si>
    <t>Peaje 25793</t>
  </si>
  <si>
    <t>1870918</t>
  </si>
  <si>
    <t>25793</t>
  </si>
  <si>
    <t>10-000156</t>
  </si>
  <si>
    <t>Peaje 25794</t>
  </si>
  <si>
    <t>2213513</t>
  </si>
  <si>
    <t>25794</t>
  </si>
  <si>
    <t>10-000157</t>
  </si>
  <si>
    <t>Balanza 25792</t>
  </si>
  <si>
    <t>138267</t>
  </si>
  <si>
    <t>25792</t>
  </si>
  <si>
    <t>18/10/2025</t>
  </si>
  <si>
    <t>10-000158</t>
  </si>
  <si>
    <t>Galleta sucia OC 483</t>
  </si>
  <si>
    <t>7080</t>
  </si>
  <si>
    <t>286467696</t>
  </si>
  <si>
    <t>OC 483</t>
  </si>
  <si>
    <t>10-000159</t>
  </si>
  <si>
    <t>Carton y bolsas papel inservibles OC 484</t>
  </si>
  <si>
    <t>7081</t>
  </si>
  <si>
    <t>286467697</t>
  </si>
  <si>
    <t>OC 484</t>
  </si>
  <si>
    <t>10-000160</t>
  </si>
  <si>
    <t>Film strech usado OC 485</t>
  </si>
  <si>
    <t>7082</t>
  </si>
  <si>
    <t>286467698</t>
  </si>
  <si>
    <t>OC 485</t>
  </si>
  <si>
    <t>10-000161</t>
  </si>
  <si>
    <t>Sco polis inservible OC 486</t>
  </si>
  <si>
    <t>7083</t>
  </si>
  <si>
    <t>286467699</t>
  </si>
  <si>
    <t>OC 486</t>
  </si>
  <si>
    <t>10-000162</t>
  </si>
  <si>
    <t>Tucos de carton OC 487</t>
  </si>
  <si>
    <t>7084</t>
  </si>
  <si>
    <t>286467700</t>
  </si>
  <si>
    <t>OC 487</t>
  </si>
  <si>
    <t>10-000163</t>
  </si>
  <si>
    <t>Cilindros usados OC 488</t>
  </si>
  <si>
    <t>7085</t>
  </si>
  <si>
    <t>286467701</t>
  </si>
  <si>
    <t>OC 488</t>
  </si>
  <si>
    <t>10-000164</t>
  </si>
  <si>
    <t>Carton y bolsas papel inservibles OC 489</t>
  </si>
  <si>
    <t>7086</t>
  </si>
  <si>
    <t>286467702</t>
  </si>
  <si>
    <t>OC 489</t>
  </si>
  <si>
    <t>10-000165</t>
  </si>
  <si>
    <t>Film strech usado OC 490</t>
  </si>
  <si>
    <t>7087</t>
  </si>
  <si>
    <t>286467703</t>
  </si>
  <si>
    <t>OC 490</t>
  </si>
  <si>
    <t>10-000166</t>
  </si>
  <si>
    <t>Tucos de carton OC 491</t>
  </si>
  <si>
    <t>7088</t>
  </si>
  <si>
    <t>OC 491</t>
  </si>
  <si>
    <t>10-000167</t>
  </si>
  <si>
    <t>Chatarra OC 492</t>
  </si>
  <si>
    <t>7089</t>
  </si>
  <si>
    <t>286467704</t>
  </si>
  <si>
    <t>OC 492</t>
  </si>
  <si>
    <t>10-000168</t>
  </si>
  <si>
    <t>Cilindros usados OC 493</t>
  </si>
  <si>
    <t>7090</t>
  </si>
  <si>
    <t>286467705</t>
  </si>
  <si>
    <t>OC 493</t>
  </si>
  <si>
    <t>17/10/2025</t>
  </si>
  <si>
    <t>10-000169</t>
  </si>
  <si>
    <t>Aceite usado,cilindro metalico OC 468</t>
  </si>
  <si>
    <t>1366</t>
  </si>
  <si>
    <t>286898006</t>
  </si>
  <si>
    <t>27/10/2025</t>
  </si>
  <si>
    <t>OC 468</t>
  </si>
  <si>
    <t>10-000170</t>
  </si>
  <si>
    <t>Servicios Básicos - Internet</t>
  </si>
  <si>
    <t>535</t>
  </si>
  <si>
    <t>10-000171</t>
  </si>
  <si>
    <t>Alquiler montacarga RQ.OPE.1509 OS 005-758</t>
  </si>
  <si>
    <t>10-000172</t>
  </si>
  <si>
    <t>Alquiler de montacarga RQ.OPE.1508  OS 005-759</t>
  </si>
  <si>
    <t>426</t>
  </si>
  <si>
    <t>10-000173</t>
  </si>
  <si>
    <t>Capacitaciones - En gestion integral de residuos y economia circular</t>
  </si>
  <si>
    <t>20602057365</t>
  </si>
  <si>
    <t xml:space="preserve"> EMPRESA ECOTHANI PERU SOCIEDAD ANONIMA CERRADA - ECOTHANI PERU S.A.C. </t>
  </si>
  <si>
    <t>40</t>
  </si>
  <si>
    <t>10-000174</t>
  </si>
  <si>
    <t>Accesorios Vehiculares - Pintura,malla,chinche RQ.OPE.1401</t>
  </si>
  <si>
    <t>20559133311</t>
  </si>
  <si>
    <t xml:space="preserve"> JORVICK E.I.R.L. </t>
  </si>
  <si>
    <t>8037</t>
  </si>
  <si>
    <t>10-000175</t>
  </si>
  <si>
    <t>SCTR RQ.GH.229</t>
  </si>
  <si>
    <t xml:space="preserve"> LA POSITIVA S.A. ENTIDAD PRESTADORA DE SALUD </t>
  </si>
  <si>
    <t>557455</t>
  </si>
  <si>
    <t>10-000176</t>
  </si>
  <si>
    <t>Accidente trabajo y enfermedad profesional  RQ.GH.229</t>
  </si>
  <si>
    <t>716357</t>
  </si>
  <si>
    <t>10-000177</t>
  </si>
  <si>
    <t>Vida ley RQ.GH.229</t>
  </si>
  <si>
    <t xml:space="preserve"> PACIFICO COMPAÑIA DE SEGUROS Y REASEGUROS </t>
  </si>
  <si>
    <t>1892610</t>
  </si>
  <si>
    <t>16/10/2025</t>
  </si>
  <si>
    <t>10-000178</t>
  </si>
  <si>
    <t>Examen medico - Periódico RQ.GH.262</t>
  </si>
  <si>
    <t>16925</t>
  </si>
  <si>
    <t>10-000179</t>
  </si>
  <si>
    <t>Examen medico - Ingreso, Periódico RQ.GH.259</t>
  </si>
  <si>
    <t>16917</t>
  </si>
  <si>
    <t>10-000180</t>
  </si>
  <si>
    <t>Alquiler de montacarga RQ.OPE.1510 OS 005-760</t>
  </si>
  <si>
    <t>423</t>
  </si>
  <si>
    <t>10-000181</t>
  </si>
  <si>
    <t>Alquiler de montacarga RQ.OPE.1497</t>
  </si>
  <si>
    <t>2671</t>
  </si>
  <si>
    <t>10-000182</t>
  </si>
  <si>
    <t>Mantenimiento de infraestructura - Gln american colors,lijar,gln sellador  RQ.LOG.381</t>
  </si>
  <si>
    <t>20456123253</t>
  </si>
  <si>
    <t xml:space="preserve"> MATIZADOS ZELITA AQP E.I.R.L. </t>
  </si>
  <si>
    <t>22217</t>
  </si>
  <si>
    <t>10-000183</t>
  </si>
  <si>
    <t>Film negro en desuso, hojalata, separadores y cajas e carton en desuso OC 481</t>
  </si>
  <si>
    <t>1753</t>
  </si>
  <si>
    <t>286467706</t>
  </si>
  <si>
    <t>OC 481</t>
  </si>
  <si>
    <t>10-000184</t>
  </si>
  <si>
    <t>Separadores y cajas de carton,leña,parihuelas,marcos OC480</t>
  </si>
  <si>
    <t>1752</t>
  </si>
  <si>
    <t>286467707</t>
  </si>
  <si>
    <t>OC 480</t>
  </si>
  <si>
    <t>10-000185</t>
  </si>
  <si>
    <t>Hojalata en desuso,vidrio,botellas pet OC 467</t>
  </si>
  <si>
    <t>1751</t>
  </si>
  <si>
    <t>286467708</t>
  </si>
  <si>
    <t>OC 467</t>
  </si>
  <si>
    <t>10-000186</t>
  </si>
  <si>
    <t>Alquiler de montacarga RQ.OPE.1491 OS 005-754</t>
  </si>
  <si>
    <t>4265</t>
  </si>
  <si>
    <t>10-000187</t>
  </si>
  <si>
    <t>Alquiler de montacarga RQ.OPE.1489</t>
  </si>
  <si>
    <t>4284</t>
  </si>
  <si>
    <t>10-000188</t>
  </si>
  <si>
    <t>Alquiler de montacarga RQ.OPE.1492 OS 005-755</t>
  </si>
  <si>
    <t>4285</t>
  </si>
  <si>
    <t>286467709</t>
  </si>
  <si>
    <t>10-000189</t>
  </si>
  <si>
    <t>Alquiler de montacarga RQ.OPE.1488</t>
  </si>
  <si>
    <t>4240</t>
  </si>
  <si>
    <t>10-000190</t>
  </si>
  <si>
    <t>Alquiler de montacarga RQ.OPE.1485 OS 005-752</t>
  </si>
  <si>
    <t>4227</t>
  </si>
  <si>
    <t>10-000191</t>
  </si>
  <si>
    <t>Alquiler de montarcarga RQ.OPE.1484 OS 005-751</t>
  </si>
  <si>
    <t>4226</t>
  </si>
  <si>
    <t>10-000192</t>
  </si>
  <si>
    <t>Alquiler de montacarga RQ.OPE.1486 OS 005-750</t>
  </si>
  <si>
    <t>4237</t>
  </si>
  <si>
    <t>10-000193</t>
  </si>
  <si>
    <t>Alquiler de montacarga RQ.OPE.1487 OS 005-757</t>
  </si>
  <si>
    <t>4238</t>
  </si>
  <si>
    <t>10-000194</t>
  </si>
  <si>
    <t>Recarga de agua RQ.LOG.382</t>
  </si>
  <si>
    <t>679</t>
  </si>
  <si>
    <t>10-000195</t>
  </si>
  <si>
    <t>Cambio de pantalla redmi, cargadores RQ.STI.124 RQ.STI.125</t>
  </si>
  <si>
    <t>965</t>
  </si>
  <si>
    <t>10-000196</t>
  </si>
  <si>
    <t>Mantenimiento de impresora EPSON RQ.STI.123</t>
  </si>
  <si>
    <t>10409988135</t>
  </si>
  <si>
    <t xml:space="preserve"> ORDOÑEZ ARENAS NORMA </t>
  </si>
  <si>
    <t>8539</t>
  </si>
  <si>
    <t>10-000197</t>
  </si>
  <si>
    <t>Bocaditos - cierre de auditoria</t>
  </si>
  <si>
    <t>10292710424</t>
  </si>
  <si>
    <t xml:space="preserve"> ARMUTO PALMA FORTUNATA </t>
  </si>
  <si>
    <t>1022</t>
  </si>
  <si>
    <t>10-000198</t>
  </si>
  <si>
    <t>F06R</t>
  </si>
  <si>
    <t>56125</t>
  </si>
  <si>
    <t>10-000199</t>
  </si>
  <si>
    <t>Balanza 25779</t>
  </si>
  <si>
    <t>138233</t>
  </si>
  <si>
    <t>25779</t>
  </si>
  <si>
    <t>10-000200</t>
  </si>
  <si>
    <t>Balanza 25780</t>
  </si>
  <si>
    <t>138247</t>
  </si>
  <si>
    <t>25780</t>
  </si>
  <si>
    <t>10-000201</t>
  </si>
  <si>
    <t>Balanza 25801</t>
  </si>
  <si>
    <t>138315</t>
  </si>
  <si>
    <t>25801</t>
  </si>
  <si>
    <t>10-000202</t>
  </si>
  <si>
    <t>Balanza 25802</t>
  </si>
  <si>
    <t>138325</t>
  </si>
  <si>
    <t>25802</t>
  </si>
  <si>
    <t>10-000203</t>
  </si>
  <si>
    <t>Balanza 25789</t>
  </si>
  <si>
    <t>18072</t>
  </si>
  <si>
    <t>25789</t>
  </si>
  <si>
    <t>10-000204</t>
  </si>
  <si>
    <t>Peaje 25800</t>
  </si>
  <si>
    <t>1893429</t>
  </si>
  <si>
    <t>25800</t>
  </si>
  <si>
    <t>10-000205</t>
  </si>
  <si>
    <t>Peaje 25799</t>
  </si>
  <si>
    <t>2511436</t>
  </si>
  <si>
    <t>25799</t>
  </si>
  <si>
    <t>10-000206</t>
  </si>
  <si>
    <t>Peaje 25790</t>
  </si>
  <si>
    <t>2510327</t>
  </si>
  <si>
    <t>25790</t>
  </si>
  <si>
    <t>10-000207</t>
  </si>
  <si>
    <t>Peaje 25764</t>
  </si>
  <si>
    <t>1888690</t>
  </si>
  <si>
    <t>25764</t>
  </si>
  <si>
    <t>10-000208</t>
  </si>
  <si>
    <t>Peaje 25763</t>
  </si>
  <si>
    <t>2505666</t>
  </si>
  <si>
    <t>25763</t>
  </si>
  <si>
    <t>10-000209</t>
  </si>
  <si>
    <t>Peaje 25769</t>
  </si>
  <si>
    <t>2508713</t>
  </si>
  <si>
    <t>25769</t>
  </si>
  <si>
    <t>10-000210</t>
  </si>
  <si>
    <t>Peaje 25768</t>
  </si>
  <si>
    <t>1891145</t>
  </si>
  <si>
    <t>25768</t>
  </si>
  <si>
    <t>10-000211</t>
  </si>
  <si>
    <t>Alquiler de montacarga RQ.OPE.1502</t>
  </si>
  <si>
    <t>2655</t>
  </si>
  <si>
    <t>10-000212</t>
  </si>
  <si>
    <t>Alquiler de montacarga RQ.OPE.1501</t>
  </si>
  <si>
    <t>2652</t>
  </si>
  <si>
    <t>10-000213</t>
  </si>
  <si>
    <t>Alquiler de montacarga RQ.OPE.1503</t>
  </si>
  <si>
    <t>2654</t>
  </si>
  <si>
    <t>10-000214</t>
  </si>
  <si>
    <t>Insumos / Materiales de Limpieza en general  RQ.LOG.385</t>
  </si>
  <si>
    <t>10-000215</t>
  </si>
  <si>
    <t>Mantenimiento de infraestructura - Pintado de paredes RQ.LOG.384</t>
  </si>
  <si>
    <t>270</t>
  </si>
  <si>
    <t>10-000216</t>
  </si>
  <si>
    <t>Alquiler de montacarga RQ.OPE.1496</t>
  </si>
  <si>
    <t>2672</t>
  </si>
  <si>
    <t>10-000217</t>
  </si>
  <si>
    <t>Alquiler de montacarga RQ.OPE.1483 OS 005-756</t>
  </si>
  <si>
    <t>4207</t>
  </si>
  <si>
    <t>10-000218</t>
  </si>
  <si>
    <t>Alquiler de montacarga RQ.OPE.1399</t>
  </si>
  <si>
    <t>2549</t>
  </si>
  <si>
    <t>10-000219</t>
  </si>
  <si>
    <t>Alquiler de montacarga RQ.OPE.1490 OS 005-753</t>
  </si>
  <si>
    <t>4249</t>
  </si>
  <si>
    <t>10-000220</t>
  </si>
  <si>
    <t>Alquiler de montacarga RQ.OPE.1504</t>
  </si>
  <si>
    <t>5441</t>
  </si>
  <si>
    <t>10-000221</t>
  </si>
  <si>
    <t>Alquiler de montacarga RQ.OPE.1499</t>
  </si>
  <si>
    <t>5506</t>
  </si>
  <si>
    <t>10-000222</t>
  </si>
  <si>
    <t>Alquiler de montacarga RQ.OPE.1500</t>
  </si>
  <si>
    <t>5495</t>
  </si>
  <si>
    <t>20/10/2025</t>
  </si>
  <si>
    <t>10-000223</t>
  </si>
  <si>
    <t>Consultoría / asesoría -Actualizacion de matriz de requisitos legales RQ.SIG.041</t>
  </si>
  <si>
    <t>519</t>
  </si>
  <si>
    <t>10-000224</t>
  </si>
  <si>
    <t>Interes - Préstamo Bancario cuota NRO 61</t>
  </si>
  <si>
    <t xml:space="preserve"> MITSUI AUTO FINANCE PERU S.A. </t>
  </si>
  <si>
    <t>183757</t>
  </si>
  <si>
    <t>10-000225</t>
  </si>
  <si>
    <t>Sistema ERP</t>
  </si>
  <si>
    <t>8314</t>
  </si>
  <si>
    <t>14/09/2025</t>
  </si>
  <si>
    <t>10-000226</t>
  </si>
  <si>
    <t>Carton,cilindro de plasticos,chatarra OC 347</t>
  </si>
  <si>
    <t xml:space="preserve"> GRANJA RINCONADA DEL SUR S.A. </t>
  </si>
  <si>
    <t>6980</t>
  </si>
  <si>
    <t>286898009</t>
  </si>
  <si>
    <t>10-000227</t>
  </si>
  <si>
    <t>Botellas pet plastico chatarra OC 462</t>
  </si>
  <si>
    <t>286897994</t>
  </si>
  <si>
    <t>10-000228</t>
  </si>
  <si>
    <t>Plastico duro ,caucho OC 478</t>
  </si>
  <si>
    <t>20513294574</t>
  </si>
  <si>
    <t xml:space="preserve"> CAMPO LIMPIO </t>
  </si>
  <si>
    <t>3592</t>
  </si>
  <si>
    <t>OC 478</t>
  </si>
  <si>
    <t>10-000229</t>
  </si>
  <si>
    <t>EPPs - casco,guantes,lentes,sobrelentes,sombrero,visera RQ.SSO.264/265 OC 004-172</t>
  </si>
  <si>
    <t xml:space="preserve"> FERSEIND PERU SOCIEDAD ANONIMA CERRADA - FERSEIND PERU S.A.C. </t>
  </si>
  <si>
    <t>17296</t>
  </si>
  <si>
    <t>10-000230</t>
  </si>
  <si>
    <t>EPPS - Orejeras adaptables RQ.SSO.254 OC 004-174</t>
  </si>
  <si>
    <t>17430</t>
  </si>
  <si>
    <t>10-000231</t>
  </si>
  <si>
    <t>Fabricación de Contenedores RQ.COM.389</t>
  </si>
  <si>
    <t>818</t>
  </si>
  <si>
    <t>10-000232</t>
  </si>
  <si>
    <t>Transporte de carga RQ.COM.387 OS 005-762</t>
  </si>
  <si>
    <t>3985</t>
  </si>
  <si>
    <t>10-000233</t>
  </si>
  <si>
    <t>Anulacion de factura E001-3969 Error de monto</t>
  </si>
  <si>
    <t>60</t>
  </si>
  <si>
    <t>10-000234</t>
  </si>
  <si>
    <t>Peaje auditoria en campo</t>
  </si>
  <si>
    <t>2213316</t>
  </si>
  <si>
    <t>10-000235</t>
  </si>
  <si>
    <t>Peaje auditoria campo</t>
  </si>
  <si>
    <t>1870917</t>
  </si>
  <si>
    <t>10-000236</t>
  </si>
  <si>
    <t>Falta Alimentacion auditoria 3</t>
  </si>
  <si>
    <t>3188</t>
  </si>
  <si>
    <t>10-000237</t>
  </si>
  <si>
    <t>Desayuno auditoria dia 3</t>
  </si>
  <si>
    <t>4292</t>
  </si>
  <si>
    <t>10-000238</t>
  </si>
  <si>
    <t>Bocaditos auditoria dia 2</t>
  </si>
  <si>
    <t>584</t>
  </si>
  <si>
    <t>10-000239</t>
  </si>
  <si>
    <t>24 botellas de agua auditoria</t>
  </si>
  <si>
    <t>705</t>
  </si>
  <si>
    <t>10-000240</t>
  </si>
  <si>
    <t>Mantenimiento preventivo: Rotación del neumático 25599</t>
  </si>
  <si>
    <t>10600593663</t>
  </si>
  <si>
    <t xml:space="preserve"> DIAZ SUCASAIRE GEANELLA </t>
  </si>
  <si>
    <t>448</t>
  </si>
  <si>
    <t>25599</t>
  </si>
  <si>
    <t>10-000241</t>
  </si>
  <si>
    <t>Mantenimiento preventivo: Soldadura de 6 puntos de la carrocería 25630</t>
  </si>
  <si>
    <t>13</t>
  </si>
  <si>
    <t>25630</t>
  </si>
  <si>
    <t>10-000242</t>
  </si>
  <si>
    <t>Transporte de carga RQ.OPE.1523 OS 005-766</t>
  </si>
  <si>
    <t>722</t>
  </si>
  <si>
    <t>286898011</t>
  </si>
  <si>
    <t>10-000243</t>
  </si>
  <si>
    <t>Transporte de carga RQ.OPE.1522 OS 005-767</t>
  </si>
  <si>
    <t>718</t>
  </si>
  <si>
    <t>286898012</t>
  </si>
  <si>
    <t>10-000244</t>
  </si>
  <si>
    <t>Transporte de carga RQ.OPE.1520 OS 005-764</t>
  </si>
  <si>
    <t>80</t>
  </si>
  <si>
    <t>286898010</t>
  </si>
  <si>
    <t>10-000245</t>
  </si>
  <si>
    <t>1895463</t>
  </si>
  <si>
    <t>10-000246</t>
  </si>
  <si>
    <t>20614826704</t>
  </si>
  <si>
    <t xml:space="preserve"> BIOSOLUCIONES SGH E.I.R.L. </t>
  </si>
  <si>
    <t>76</t>
  </si>
  <si>
    <t>10-000247</t>
  </si>
  <si>
    <t>1875697</t>
  </si>
  <si>
    <t>10-000248</t>
  </si>
  <si>
    <t>119</t>
  </si>
  <si>
    <t>10-000249</t>
  </si>
  <si>
    <t>2519345</t>
  </si>
  <si>
    <t>10-000250</t>
  </si>
  <si>
    <t>515752</t>
  </si>
  <si>
    <t>10-000251</t>
  </si>
  <si>
    <t>413180</t>
  </si>
  <si>
    <t>10-000252</t>
  </si>
  <si>
    <t>188831</t>
  </si>
  <si>
    <t>10-000253</t>
  </si>
  <si>
    <t>189168</t>
  </si>
  <si>
    <t>10-000254</t>
  </si>
  <si>
    <t>Matenimiento de Contenedores RQ.COM.396</t>
  </si>
  <si>
    <t>10704739279</t>
  </si>
  <si>
    <t xml:space="preserve"> ESPINOZA APAZA JOSE CARLOS </t>
  </si>
  <si>
    <t>1778</t>
  </si>
  <si>
    <t>10-000255</t>
  </si>
  <si>
    <t>Inducciones Externas RQ.SSO.291</t>
  </si>
  <si>
    <t xml:space="preserve"> SERVICONSTRUYE S.A.C. </t>
  </si>
  <si>
    <t>3013</t>
  </si>
  <si>
    <t>10-000256</t>
  </si>
  <si>
    <t>Compra de chip por reposicion</t>
  </si>
  <si>
    <t>31714</t>
  </si>
  <si>
    <t>10-000257</t>
  </si>
  <si>
    <t>31715</t>
  </si>
  <si>
    <t>10-000258</t>
  </si>
  <si>
    <t>31713</t>
  </si>
  <si>
    <t>10-000259</t>
  </si>
  <si>
    <t>Chip</t>
  </si>
  <si>
    <t>31712</t>
  </si>
  <si>
    <t>10-000260</t>
  </si>
  <si>
    <t>Chip para renovacion adm y op</t>
  </si>
  <si>
    <t>92592</t>
  </si>
  <si>
    <t>10-000261</t>
  </si>
  <si>
    <t xml:space="preserve"> CORPORACION IMPORTADORA ELIDA EMP. INDIV. DE RESP. LIMITADA - CORPORACION IMPORTADORA ELIDA E.I.R.L. </t>
  </si>
  <si>
    <t>883</t>
  </si>
  <si>
    <t>10-000262</t>
  </si>
  <si>
    <t>325705</t>
  </si>
  <si>
    <t>10-000263</t>
  </si>
  <si>
    <t>325704</t>
  </si>
  <si>
    <t>10-000264</t>
  </si>
  <si>
    <t>325702</t>
  </si>
  <si>
    <t>10-000265</t>
  </si>
  <si>
    <t>75303273</t>
  </si>
  <si>
    <t>10-000266</t>
  </si>
  <si>
    <t>Botiquines - Venda,guante,cloruro RQ.SSO.299</t>
  </si>
  <si>
    <t>20608430301</t>
  </si>
  <si>
    <t xml:space="preserve"> BOTICAS IP S.A.C. </t>
  </si>
  <si>
    <t>FEQ6</t>
  </si>
  <si>
    <t>2211</t>
  </si>
  <si>
    <t>10-000267</t>
  </si>
  <si>
    <t>Botiquines venda elstica RQ.SSO.299</t>
  </si>
  <si>
    <t>FFU7</t>
  </si>
  <si>
    <t>4333</t>
  </si>
  <si>
    <t>10-000268</t>
  </si>
  <si>
    <t>Botiquines Yodo RQ.SSO.299</t>
  </si>
  <si>
    <t>20607707074</t>
  </si>
  <si>
    <t xml:space="preserve"> BOTICA FARMAHORRO S.R.L. </t>
  </si>
  <si>
    <t>55</t>
  </si>
  <si>
    <t>10-000269</t>
  </si>
  <si>
    <t>Botiquines venda RQ.SSO.299</t>
  </si>
  <si>
    <t>54</t>
  </si>
  <si>
    <t>10-000270</t>
  </si>
  <si>
    <t>Botiquines yodopovidona RQ.SSO.299</t>
  </si>
  <si>
    <t>20609873648</t>
  </si>
  <si>
    <t xml:space="preserve"> BOTICA CORAZON DE JESUS E &amp; M S.R.L. </t>
  </si>
  <si>
    <t>576</t>
  </si>
  <si>
    <t>10-000271</t>
  </si>
  <si>
    <t>Lavado e higienización y compra de hidrolina 25629</t>
  </si>
  <si>
    <t>3002</t>
  </si>
  <si>
    <t>25629</t>
  </si>
  <si>
    <t>10-000272</t>
  </si>
  <si>
    <t>Mantenimiento Correctivo: Cambio de cono guía de la manguera de aire 25743</t>
  </si>
  <si>
    <t>541</t>
  </si>
  <si>
    <t>25743</t>
  </si>
  <si>
    <t>10-000273</t>
  </si>
  <si>
    <t>Accesorios Vehiculares: Compra de funda para circulina 25835</t>
  </si>
  <si>
    <t>1941</t>
  </si>
  <si>
    <t>25835</t>
  </si>
  <si>
    <t>10-000274</t>
  </si>
  <si>
    <t>Accesorios Vehiculares: Compra de funda para circulina 25834</t>
  </si>
  <si>
    <t>1942</t>
  </si>
  <si>
    <t>25834</t>
  </si>
  <si>
    <t>10-000275</t>
  </si>
  <si>
    <t>Accesorios Vehiculares: Compra de funda para circulina 25833</t>
  </si>
  <si>
    <t>1943</t>
  </si>
  <si>
    <t>25833</t>
  </si>
  <si>
    <t>10-000276</t>
  </si>
  <si>
    <t>Mantenimiento Correctivo: Cambio de 2 llantas posteriores 25836</t>
  </si>
  <si>
    <t>10744190172</t>
  </si>
  <si>
    <t xml:space="preserve"> ÑAUPA CALCINA EDIRSON GINO </t>
  </si>
  <si>
    <t>1714</t>
  </si>
  <si>
    <t>25836</t>
  </si>
  <si>
    <t>10-000277</t>
  </si>
  <si>
    <t>Accesorios Vehiculares: compra de pegamento 25837</t>
  </si>
  <si>
    <t>1712</t>
  </si>
  <si>
    <t>25837</t>
  </si>
  <si>
    <t>10-000278</t>
  </si>
  <si>
    <t>Accesorios Vehiculares: Compra de agarradera (lado piloto) 25832</t>
  </si>
  <si>
    <t>FF18</t>
  </si>
  <si>
    <t>36099</t>
  </si>
  <si>
    <t>25832</t>
  </si>
  <si>
    <t>10-000279</t>
  </si>
  <si>
    <t>Peaje 25839</t>
  </si>
  <si>
    <t>2518014</t>
  </si>
  <si>
    <t>25839</t>
  </si>
  <si>
    <t>10-000280</t>
  </si>
  <si>
    <t>Peaje 25850</t>
  </si>
  <si>
    <t>2220606</t>
  </si>
  <si>
    <t>25850</t>
  </si>
  <si>
    <t>10-000281</t>
  </si>
  <si>
    <t>Peaje 25849</t>
  </si>
  <si>
    <t>2519250</t>
  </si>
  <si>
    <t>25849</t>
  </si>
  <si>
    <t>10-000282</t>
  </si>
  <si>
    <t>Peaje 25838</t>
  </si>
  <si>
    <t>1898456</t>
  </si>
  <si>
    <t>25838</t>
  </si>
  <si>
    <t>10-000283</t>
  </si>
  <si>
    <t>Balanza 25791</t>
  </si>
  <si>
    <t>17987</t>
  </si>
  <si>
    <t>25791</t>
  </si>
  <si>
    <t>10-000284</t>
  </si>
  <si>
    <t>Lavado 25822</t>
  </si>
  <si>
    <t>20357</t>
  </si>
  <si>
    <t>25822</t>
  </si>
  <si>
    <t>10-000285</t>
  </si>
  <si>
    <t>Balanza 25813</t>
  </si>
  <si>
    <t>138323</t>
  </si>
  <si>
    <t>25813</t>
  </si>
  <si>
    <t>10-000286</t>
  </si>
  <si>
    <t>Balanza 25812</t>
  </si>
  <si>
    <t>138346</t>
  </si>
  <si>
    <t>25812</t>
  </si>
  <si>
    <t>10-000287</t>
  </si>
  <si>
    <t>Peaje 25810</t>
  </si>
  <si>
    <t>1872438</t>
  </si>
  <si>
    <t>25810</t>
  </si>
  <si>
    <t>10-000288</t>
  </si>
  <si>
    <t>Peaje 25770</t>
  </si>
  <si>
    <t>2508567</t>
  </si>
  <si>
    <t>25770</t>
  </si>
  <si>
    <t>10-000289</t>
  </si>
  <si>
    <t>Peaje 25811</t>
  </si>
  <si>
    <t>1894643</t>
  </si>
  <si>
    <t>25811</t>
  </si>
  <si>
    <t>10-000290</t>
  </si>
  <si>
    <t>Peaje 25776</t>
  </si>
  <si>
    <t>2211425</t>
  </si>
  <si>
    <t>25776</t>
  </si>
  <si>
    <t>10-000291</t>
  </si>
  <si>
    <t>Peaje 25847</t>
  </si>
  <si>
    <t>1895857</t>
  </si>
  <si>
    <t>25847</t>
  </si>
  <si>
    <t>10-000292</t>
  </si>
  <si>
    <t>Peaje 25825</t>
  </si>
  <si>
    <t>2514390</t>
  </si>
  <si>
    <t>25825</t>
  </si>
  <si>
    <t>10-000293</t>
  </si>
  <si>
    <t>Peaje 25807</t>
  </si>
  <si>
    <t>2512923</t>
  </si>
  <si>
    <t>25807</t>
  </si>
  <si>
    <t>10-000294</t>
  </si>
  <si>
    <t>Peaje 25809</t>
  </si>
  <si>
    <t>1894454</t>
  </si>
  <si>
    <t>25809</t>
  </si>
  <si>
    <t>24/10/2025</t>
  </si>
  <si>
    <t>10-000295</t>
  </si>
  <si>
    <t>Cilidros usados OC 508</t>
  </si>
  <si>
    <t>7132</t>
  </si>
  <si>
    <t>286897995</t>
  </si>
  <si>
    <t>OC 508</t>
  </si>
  <si>
    <t>10-000296</t>
  </si>
  <si>
    <t>Scos polis OC 507</t>
  </si>
  <si>
    <t>7131</t>
  </si>
  <si>
    <t>286897996</t>
  </si>
  <si>
    <t>OC 507</t>
  </si>
  <si>
    <t>10-000297</t>
  </si>
  <si>
    <t>Tucos de carton OC 506</t>
  </si>
  <si>
    <t>7130</t>
  </si>
  <si>
    <t>286897997</t>
  </si>
  <si>
    <t>OC 506</t>
  </si>
  <si>
    <t>10-000298</t>
  </si>
  <si>
    <t>Film strech usado OC 505</t>
  </si>
  <si>
    <t>7129</t>
  </si>
  <si>
    <t>286897998</t>
  </si>
  <si>
    <t>OC 505</t>
  </si>
  <si>
    <t>10-000299</t>
  </si>
  <si>
    <t>Carton y bolsas papel inservibles OC 504</t>
  </si>
  <si>
    <t>7128</t>
  </si>
  <si>
    <t>286897999</t>
  </si>
  <si>
    <t>10-000300</t>
  </si>
  <si>
    <t>Galleta rota sucia OC 503</t>
  </si>
  <si>
    <t>7127</t>
  </si>
  <si>
    <t>286898000</t>
  </si>
  <si>
    <t>OC 503</t>
  </si>
  <si>
    <t>10-000301</t>
  </si>
  <si>
    <t>Sco polis inserv OC 502</t>
  </si>
  <si>
    <t>7126</t>
  </si>
  <si>
    <t>286898001</t>
  </si>
  <si>
    <t>OC 502</t>
  </si>
  <si>
    <t>10-000302</t>
  </si>
  <si>
    <t>Chatarra OC 501</t>
  </si>
  <si>
    <t>7125</t>
  </si>
  <si>
    <t>286898002</t>
  </si>
  <si>
    <t>OC 501</t>
  </si>
  <si>
    <t>10-000303</t>
  </si>
  <si>
    <t>Film strech usado OC 500</t>
  </si>
  <si>
    <t>7124</t>
  </si>
  <si>
    <t>286898003</t>
  </si>
  <si>
    <t>OC 500</t>
  </si>
  <si>
    <t>10-000304</t>
  </si>
  <si>
    <t>Carton y bolsas papel inser OC 499</t>
  </si>
  <si>
    <t>7123</t>
  </si>
  <si>
    <t>286898004</t>
  </si>
  <si>
    <t>OC 499</t>
  </si>
  <si>
    <t>10-000305</t>
  </si>
  <si>
    <t>Accesorios Vehiculares - Maletin para kit antiderrame, candado RQ.OPE.1480 OC 007-48</t>
  </si>
  <si>
    <t>2873</t>
  </si>
  <si>
    <t>10-000306</t>
  </si>
  <si>
    <t>Kit antiderrame - pico antichispa, pala de aluminio RQ.OPE.1495</t>
  </si>
  <si>
    <t>2877</t>
  </si>
  <si>
    <t>10-000307</t>
  </si>
  <si>
    <t>Accesorios Vehiculares - cono de seguridad RQ.OPE.1477 OC 007-47</t>
  </si>
  <si>
    <t>2846</t>
  </si>
  <si>
    <t>10-000308</t>
  </si>
  <si>
    <t>Kit básico de herramientas - llave,alicate,destornillador,llave francesa RQ.OPE.1467 OC 007-46</t>
  </si>
  <si>
    <t>2848</t>
  </si>
  <si>
    <t>10-000309</t>
  </si>
  <si>
    <t>Kit antiderrame RQ.OPE.1466 OC 007-45</t>
  </si>
  <si>
    <t>2849</t>
  </si>
  <si>
    <t>10-000310</t>
  </si>
  <si>
    <t>Alquiler de montcarga RQ.OPE.1524</t>
  </si>
  <si>
    <t>5414</t>
  </si>
  <si>
    <t>10-000311</t>
  </si>
  <si>
    <t>Transporte de carga RQ.OPE.1518 OS 005-761</t>
  </si>
  <si>
    <t>1952</t>
  </si>
  <si>
    <t>286898008</t>
  </si>
  <si>
    <t>10-000312</t>
  </si>
  <si>
    <t>Transporte de carga RQ.LOG.386  OS 005-768</t>
  </si>
  <si>
    <t xml:space="preserve"> SOLUCIONES LOGISTICAS MEJGHIM E.I.R.L. </t>
  </si>
  <si>
    <t>969</t>
  </si>
  <si>
    <t>23/10/2025</t>
  </si>
  <si>
    <t>10-000313</t>
  </si>
  <si>
    <t>Revisión Técnica Vehicular, inspeccion vehicular peligrosos</t>
  </si>
  <si>
    <t>20606497165</t>
  </si>
  <si>
    <t xml:space="preserve"> CENTRO DE INSPECCIONES TECNICO VEHICULARES J&amp;L SOCIEDAD ANONIMA CERRADA - C.I.T.V GRUPO J&amp;L S.A.C. </t>
  </si>
  <si>
    <t>F007</t>
  </si>
  <si>
    <t>175</t>
  </si>
  <si>
    <t>10-000314</t>
  </si>
  <si>
    <t>Examen medico- ingreso RQ.GH.265</t>
  </si>
  <si>
    <t>12023</t>
  </si>
  <si>
    <t>10-000315</t>
  </si>
  <si>
    <t>Auditoría externa - Recertificacioncon SGS RQ.SIG.042</t>
  </si>
  <si>
    <t>20100114349</t>
  </si>
  <si>
    <t xml:space="preserve"> SGS DEL PERU S.A.C. </t>
  </si>
  <si>
    <t>F710</t>
  </si>
  <si>
    <t>452263</t>
  </si>
  <si>
    <t>10-000316</t>
  </si>
  <si>
    <t>Bolsas para envio de muestras posible cliente</t>
  </si>
  <si>
    <t>FC63</t>
  </si>
  <si>
    <t>15407</t>
  </si>
  <si>
    <t>22/10/2025</t>
  </si>
  <si>
    <t>10-000317</t>
  </si>
  <si>
    <t>Envio de muestras de barrido lima</t>
  </si>
  <si>
    <t xml:space="preserve"> SHALOM EMPRESARIAL S.A.C. </t>
  </si>
  <si>
    <t>301466</t>
  </si>
  <si>
    <t>10-000318</t>
  </si>
  <si>
    <t>4</t>
  </si>
  <si>
    <t>10-000319</t>
  </si>
  <si>
    <t>Anulacion de operacion - por falta de pago</t>
  </si>
  <si>
    <t>10-000320</t>
  </si>
  <si>
    <t>1877807</t>
  </si>
  <si>
    <t>10-000321</t>
  </si>
  <si>
    <t>658</t>
  </si>
  <si>
    <t>10-000322</t>
  </si>
  <si>
    <t>Strech film transparente en desuso OC 494</t>
  </si>
  <si>
    <t>1755</t>
  </si>
  <si>
    <t>OC 494</t>
  </si>
  <si>
    <t>10-000323</t>
  </si>
  <si>
    <t>Estabiliador,teclado, monitor teros RQ.ST.127/128</t>
  </si>
  <si>
    <t>4669</t>
  </si>
  <si>
    <t>10-000324</t>
  </si>
  <si>
    <t>Base genius/notebook-tablet RQ.STI.127</t>
  </si>
  <si>
    <t>2269</t>
  </si>
  <si>
    <t>10-000325</t>
  </si>
  <si>
    <t>20449</t>
  </si>
  <si>
    <t>10-000326</t>
  </si>
  <si>
    <t>1900506</t>
  </si>
  <si>
    <t>10-000327</t>
  </si>
  <si>
    <t>Alquiler de montacaega RQ.OPE.1526 OS 005-770</t>
  </si>
  <si>
    <t>433</t>
  </si>
  <si>
    <t>10-000328</t>
  </si>
  <si>
    <t>Alquiler de montacarga RQ.OPE.1527 OS 005-771</t>
  </si>
  <si>
    <t>434</t>
  </si>
  <si>
    <t>10-000329</t>
  </si>
  <si>
    <t>Valorizacion de cubitanques</t>
  </si>
  <si>
    <t>237</t>
  </si>
  <si>
    <t>10-000330</t>
  </si>
  <si>
    <t>Alquiler de montacarga RQ.OPE.1400</t>
  </si>
  <si>
    <t>5362</t>
  </si>
  <si>
    <t>10-000331</t>
  </si>
  <si>
    <t>Transporte de carga RQ.OPE.1325  OS 005-769</t>
  </si>
  <si>
    <t>875</t>
  </si>
  <si>
    <t>286898013</t>
  </si>
  <si>
    <t>10-000332</t>
  </si>
  <si>
    <t>Galleta sucia OC 510</t>
  </si>
  <si>
    <t>7133</t>
  </si>
  <si>
    <t>287095696</t>
  </si>
  <si>
    <t>30/10/2025</t>
  </si>
  <si>
    <t>OC 510</t>
  </si>
  <si>
    <t>10-000333</t>
  </si>
  <si>
    <t>Celulares y accesorios- paño microfibra RQ.STI.128</t>
  </si>
  <si>
    <t>10803233549</t>
  </si>
  <si>
    <t xml:space="preserve"> CAYPA FERNANDEZ DAVID JESUS </t>
  </si>
  <si>
    <t>7896</t>
  </si>
  <si>
    <t>10-000334</t>
  </si>
  <si>
    <t>Celulares y accesorios- protector 360,fibras RQ.STI.128</t>
  </si>
  <si>
    <t>972</t>
  </si>
  <si>
    <t>10-000335</t>
  </si>
  <si>
    <t>18176</t>
  </si>
  <si>
    <t>10-000336</t>
  </si>
  <si>
    <t>18178</t>
  </si>
  <si>
    <t>10-000337</t>
  </si>
  <si>
    <t xml:space="preserve"> INVERSIONES KM&amp;H S.A.C. </t>
  </si>
  <si>
    <t>58317</t>
  </si>
  <si>
    <t>10-000338</t>
  </si>
  <si>
    <t>17844</t>
  </si>
  <si>
    <t>10-000339</t>
  </si>
  <si>
    <t>17894</t>
  </si>
  <si>
    <t>10-000340</t>
  </si>
  <si>
    <t>Bocaditos - capacitacion sobre valorizaciones</t>
  </si>
  <si>
    <t>707</t>
  </si>
  <si>
    <t>10-000341</t>
  </si>
  <si>
    <t>20470</t>
  </si>
  <si>
    <t>10-000342</t>
  </si>
  <si>
    <t>Alimentacion - actividad cargio de cahtarra viruta</t>
  </si>
  <si>
    <t>7861</t>
  </si>
  <si>
    <t>10-000343</t>
  </si>
  <si>
    <t>Transporte de carga RQ.OPE.1540  OS-005-774</t>
  </si>
  <si>
    <t>10-000344</t>
  </si>
  <si>
    <t>Fabricacion e instalacion de casetas en molycop RQ.OPE.1374</t>
  </si>
  <si>
    <t>10293458184</t>
  </si>
  <si>
    <t xml:space="preserve"> SMALL MUÑOZ JOSE ALBERTO </t>
  </si>
  <si>
    <t>779</t>
  </si>
  <si>
    <t>10-000345</t>
  </si>
  <si>
    <t>Mantenimiento preventivo: Engrase general del vehículo</t>
  </si>
  <si>
    <t xml:space="preserve"> ROMERO CAMA ROXANA </t>
  </si>
  <si>
    <t>2749</t>
  </si>
  <si>
    <t>25905</t>
  </si>
  <si>
    <t>10-000346</t>
  </si>
  <si>
    <t>Mantenimiento Correctivo: Parchado 2 llantas posteriores</t>
  </si>
  <si>
    <t>10421407148</t>
  </si>
  <si>
    <t xml:space="preserve"> CUSI PUMA PERCY </t>
  </si>
  <si>
    <t>3626</t>
  </si>
  <si>
    <t>25919</t>
  </si>
  <si>
    <t>10-000347</t>
  </si>
  <si>
    <t>Vigilancia Médica RQ.GH.266</t>
  </si>
  <si>
    <t>10-000348</t>
  </si>
  <si>
    <t>Mantenimiento Preventivo: Engrase general del vehículo</t>
  </si>
  <si>
    <t>20471</t>
  </si>
  <si>
    <t>25903</t>
  </si>
  <si>
    <t>10-000349</t>
  </si>
  <si>
    <t>Accesorios Vehiculares: Compra de cable pasa corriente y cuñas de madera</t>
  </si>
  <si>
    <t>2878</t>
  </si>
  <si>
    <t>25906</t>
  </si>
  <si>
    <t>10-000350</t>
  </si>
  <si>
    <t>Accesorios Vehiculares: Compra de martillo de goma</t>
  </si>
  <si>
    <t>2938</t>
  </si>
  <si>
    <t>25907</t>
  </si>
  <si>
    <t>10-000351</t>
  </si>
  <si>
    <t>Accesorios Vehiculares: Compra de martillo de goma y set de cuñas de madera</t>
  </si>
  <si>
    <t>2937</t>
  </si>
  <si>
    <t>25908</t>
  </si>
  <si>
    <t>10-000352</t>
  </si>
  <si>
    <t>Accesorios Vehiculares: compra de recogedor y escoba de plástico pequeños</t>
  </si>
  <si>
    <t>2944</t>
  </si>
  <si>
    <t>25909</t>
  </si>
  <si>
    <t>10-000353</t>
  </si>
  <si>
    <t>Mantenimiento Correctivo: compra e instalación de 2 focos delanteros</t>
  </si>
  <si>
    <t>107</t>
  </si>
  <si>
    <t>25910</t>
  </si>
  <si>
    <t>10-000354</t>
  </si>
  <si>
    <t>Revisión técnica vehicular: Emisión del certificado de modificación.</t>
  </si>
  <si>
    <t>20231363255</t>
  </si>
  <si>
    <t xml:space="preserve"> SOFTWARE Y HARDWARE INGENIEROS S.R.LTDA. </t>
  </si>
  <si>
    <t>22422</t>
  </si>
  <si>
    <t>25914</t>
  </si>
  <si>
    <t>10-000355</t>
  </si>
  <si>
    <t>Pasaje Arequipa - lima 25701</t>
  </si>
  <si>
    <t>20534857153</t>
  </si>
  <si>
    <t xml:space="preserve"> EMPRESA DE TRANSPORTES MOQUEGUA TURISMO SOCIEDAD DE RESPONSABILIDAD LIMITADA </t>
  </si>
  <si>
    <t>FP67</t>
  </si>
  <si>
    <t>1781</t>
  </si>
  <si>
    <t>25701</t>
  </si>
  <si>
    <t>10-000356</t>
  </si>
  <si>
    <t>Balanza 25806</t>
  </si>
  <si>
    <t>10100525998</t>
  </si>
  <si>
    <t xml:space="preserve"> TORRES CARDENAS CARLOS ANTONIO </t>
  </si>
  <si>
    <t>13761</t>
  </si>
  <si>
    <t>25806</t>
  </si>
  <si>
    <t>10-000357</t>
  </si>
  <si>
    <t>Balanza 25804</t>
  </si>
  <si>
    <t>13766</t>
  </si>
  <si>
    <t>25804</t>
  </si>
  <si>
    <t>10-000358</t>
  </si>
  <si>
    <t>Balanza 25805</t>
  </si>
  <si>
    <t>13764</t>
  </si>
  <si>
    <t>25805</t>
  </si>
  <si>
    <t>10-000359</t>
  </si>
  <si>
    <t>Peaje 25774</t>
  </si>
  <si>
    <t>3548987</t>
  </si>
  <si>
    <t>25774</t>
  </si>
  <si>
    <t>10-000360</t>
  </si>
  <si>
    <t>Peaje 25775</t>
  </si>
  <si>
    <t>642929</t>
  </si>
  <si>
    <t>25775</t>
  </si>
  <si>
    <t>10-000361</t>
  </si>
  <si>
    <t>Peaje 25796</t>
  </si>
  <si>
    <t>2559633</t>
  </si>
  <si>
    <t>25796</t>
  </si>
  <si>
    <t>10-000362</t>
  </si>
  <si>
    <t>Peaje 25726</t>
  </si>
  <si>
    <t>3136825</t>
  </si>
  <si>
    <t>25726</t>
  </si>
  <si>
    <t>10-000363</t>
  </si>
  <si>
    <t>Peaje 25797</t>
  </si>
  <si>
    <t>3856095</t>
  </si>
  <si>
    <t>25797</t>
  </si>
  <si>
    <t>10-000364</t>
  </si>
  <si>
    <t>Peaje 25815</t>
  </si>
  <si>
    <t>3144578</t>
  </si>
  <si>
    <t>25815</t>
  </si>
  <si>
    <t>10-000365</t>
  </si>
  <si>
    <t>Peaje 25816</t>
  </si>
  <si>
    <t>1722039</t>
  </si>
  <si>
    <t>25816</t>
  </si>
  <si>
    <t>10-000366</t>
  </si>
  <si>
    <t>Peaje 25725</t>
  </si>
  <si>
    <t>631941</t>
  </si>
  <si>
    <t>25725</t>
  </si>
  <si>
    <t>10-000367</t>
  </si>
  <si>
    <t>Lavado 25904</t>
  </si>
  <si>
    <t>2748</t>
  </si>
  <si>
    <t>25904</t>
  </si>
  <si>
    <t>10-000368</t>
  </si>
  <si>
    <t>Lavado 25759</t>
  </si>
  <si>
    <t>43747</t>
  </si>
  <si>
    <t>25759</t>
  </si>
  <si>
    <t>10-000369</t>
  </si>
  <si>
    <t>Lavado 25820</t>
  </si>
  <si>
    <t>43885</t>
  </si>
  <si>
    <t>25820</t>
  </si>
  <si>
    <t>10-000370</t>
  </si>
  <si>
    <t>Peaje 25897</t>
  </si>
  <si>
    <t>1877957</t>
  </si>
  <si>
    <t>25897</t>
  </si>
  <si>
    <t>10-000371</t>
  </si>
  <si>
    <t>Peaje 25899</t>
  </si>
  <si>
    <t>1877078</t>
  </si>
  <si>
    <t>25899</t>
  </si>
  <si>
    <t>10-000372</t>
  </si>
  <si>
    <t>Peaje 25921</t>
  </si>
  <si>
    <t>2526687</t>
  </si>
  <si>
    <t>25921</t>
  </si>
  <si>
    <t>10-000373</t>
  </si>
  <si>
    <t>Balanza 25637</t>
  </si>
  <si>
    <t>2754</t>
  </si>
  <si>
    <t>25637</t>
  </si>
  <si>
    <t>10-000374</t>
  </si>
  <si>
    <t>Balanza 25634</t>
  </si>
  <si>
    <t>137606</t>
  </si>
  <si>
    <t>25634</t>
  </si>
  <si>
    <t>10-000375</t>
  </si>
  <si>
    <t>Balanza 25633</t>
  </si>
  <si>
    <t>137629</t>
  </si>
  <si>
    <t>25633</t>
  </si>
  <si>
    <t>10-000376</t>
  </si>
  <si>
    <t>Balanza 25636</t>
  </si>
  <si>
    <t>137476</t>
  </si>
  <si>
    <t>25636</t>
  </si>
  <si>
    <t>10-000377</t>
  </si>
  <si>
    <t>Balanza 25635</t>
  </si>
  <si>
    <t>137361</t>
  </si>
  <si>
    <t>25635</t>
  </si>
  <si>
    <t>10-000378</t>
  </si>
  <si>
    <t>Balanza 25891</t>
  </si>
  <si>
    <t>138379</t>
  </si>
  <si>
    <t>25891</t>
  </si>
  <si>
    <t>10-000379</t>
  </si>
  <si>
    <t>Balanza 25890</t>
  </si>
  <si>
    <t>138382</t>
  </si>
  <si>
    <t>25890</t>
  </si>
  <si>
    <t>10-000380</t>
  </si>
  <si>
    <t>Balanza 25893</t>
  </si>
  <si>
    <t>138465</t>
  </si>
  <si>
    <t>25893</t>
  </si>
  <si>
    <t>10-000381</t>
  </si>
  <si>
    <t>Balanza 25894</t>
  </si>
  <si>
    <t>138526</t>
  </si>
  <si>
    <t>25894</t>
  </si>
  <si>
    <t>10-000382</t>
  </si>
  <si>
    <t>Balanza 25782</t>
  </si>
  <si>
    <t>137880</t>
  </si>
  <si>
    <t>25782</t>
  </si>
  <si>
    <t>10-000383</t>
  </si>
  <si>
    <t>Balanza 25892</t>
  </si>
  <si>
    <t>138568</t>
  </si>
  <si>
    <t>25892</t>
  </si>
  <si>
    <t>10-000384</t>
  </si>
  <si>
    <t>Balanza 25895</t>
  </si>
  <si>
    <t>138494</t>
  </si>
  <si>
    <t>25895</t>
  </si>
  <si>
    <t>28/10/2025</t>
  </si>
  <si>
    <t>10-000385</t>
  </si>
  <si>
    <t>Balanza 25922</t>
  </si>
  <si>
    <t>138836</t>
  </si>
  <si>
    <t>25922</t>
  </si>
  <si>
    <t>10-000386</t>
  </si>
  <si>
    <t>Balanza 25781</t>
  </si>
  <si>
    <t>18483</t>
  </si>
  <si>
    <t>25781</t>
  </si>
  <si>
    <t>10-000387</t>
  </si>
  <si>
    <t>Balanza 25639</t>
  </si>
  <si>
    <t>18434</t>
  </si>
  <si>
    <t>25639</t>
  </si>
  <si>
    <t>10-000388</t>
  </si>
  <si>
    <t>Balanza 25818</t>
  </si>
  <si>
    <t>138365</t>
  </si>
  <si>
    <t>25818</t>
  </si>
  <si>
    <t>10-000389</t>
  </si>
  <si>
    <t>Balanza 25880</t>
  </si>
  <si>
    <t>138655</t>
  </si>
  <si>
    <t>25880</t>
  </si>
  <si>
    <t>10-000390</t>
  </si>
  <si>
    <t>Balanza 25912</t>
  </si>
  <si>
    <t>138778</t>
  </si>
  <si>
    <t>25912</t>
  </si>
  <si>
    <t>10-000391</t>
  </si>
  <si>
    <t>Balanza 25808</t>
  </si>
  <si>
    <t>138348</t>
  </si>
  <si>
    <t>25808</t>
  </si>
  <si>
    <t>10-000392</t>
  </si>
  <si>
    <t>Balanza 25913</t>
  </si>
  <si>
    <t>138698</t>
  </si>
  <si>
    <t>25913</t>
  </si>
  <si>
    <t>10-000393</t>
  </si>
  <si>
    <t>Peaje 25882</t>
  </si>
  <si>
    <t>2521843</t>
  </si>
  <si>
    <t>25882</t>
  </si>
  <si>
    <t>10-000394</t>
  </si>
  <si>
    <t>Peaje 25881</t>
  </si>
  <si>
    <t>1901690</t>
  </si>
  <si>
    <t>25881</t>
  </si>
  <si>
    <t>10-000395</t>
  </si>
  <si>
    <t>Peaje 25866</t>
  </si>
  <si>
    <t>2221926</t>
  </si>
  <si>
    <t>25866</t>
  </si>
  <si>
    <t>10-000396</t>
  </si>
  <si>
    <t>Peaje 25865</t>
  </si>
  <si>
    <t>2520545</t>
  </si>
  <si>
    <t>25865</t>
  </si>
  <si>
    <t>10-000397</t>
  </si>
  <si>
    <t>Peaje 25870</t>
  </si>
  <si>
    <t>1901367</t>
  </si>
  <si>
    <t>25870</t>
  </si>
  <si>
    <t>10-000398</t>
  </si>
  <si>
    <t>Peaje 25886</t>
  </si>
  <si>
    <t>2523111</t>
  </si>
  <si>
    <t>25886</t>
  </si>
  <si>
    <t>10-000399</t>
  </si>
  <si>
    <t>Peaje 25887</t>
  </si>
  <si>
    <t>1902331</t>
  </si>
  <si>
    <t>25887</t>
  </si>
  <si>
    <t>10-000400</t>
  </si>
  <si>
    <t>Peaje 25869</t>
  </si>
  <si>
    <t>25869</t>
  </si>
  <si>
    <t>10-000401</t>
  </si>
  <si>
    <t>Peaje 25844</t>
  </si>
  <si>
    <t>2219708</t>
  </si>
  <si>
    <t>25844</t>
  </si>
  <si>
    <t>10-000402</t>
  </si>
  <si>
    <t>Peaje 25843</t>
  </si>
  <si>
    <t>1875914</t>
  </si>
  <si>
    <t>25843</t>
  </si>
  <si>
    <t>10-000403</t>
  </si>
  <si>
    <t>Peaje 25873</t>
  </si>
  <si>
    <t>516350</t>
  </si>
  <si>
    <t>25873</t>
  </si>
  <si>
    <t>10-000404</t>
  </si>
  <si>
    <t>Peaje 25872</t>
  </si>
  <si>
    <t>1153449</t>
  </si>
  <si>
    <t>25872</t>
  </si>
  <si>
    <t>10-000405</t>
  </si>
  <si>
    <t>Peaje 25884</t>
  </si>
  <si>
    <t>1879871</t>
  </si>
  <si>
    <t>25884</t>
  </si>
  <si>
    <t>10-000406</t>
  </si>
  <si>
    <t>Peaje 25915</t>
  </si>
  <si>
    <t>1882525</t>
  </si>
  <si>
    <t>25915</t>
  </si>
  <si>
    <t>10-000407</t>
  </si>
  <si>
    <t>Peaje 25916</t>
  </si>
  <si>
    <t>1905305</t>
  </si>
  <si>
    <t>25916</t>
  </si>
  <si>
    <t>10-000408</t>
  </si>
  <si>
    <t>Balanza 25874</t>
  </si>
  <si>
    <t>18659</t>
  </si>
  <si>
    <t>25874</t>
  </si>
  <si>
    <t>10-000409</t>
  </si>
  <si>
    <t>Peaje 25824</t>
  </si>
  <si>
    <t>1895854</t>
  </si>
  <si>
    <t>25824</t>
  </si>
  <si>
    <t>10-000410</t>
  </si>
  <si>
    <t>Peaje 25819</t>
  </si>
  <si>
    <t>2514192</t>
  </si>
  <si>
    <t>25819</t>
  </si>
  <si>
    <t>10-000411</t>
  </si>
  <si>
    <t>Balanza 25867</t>
  </si>
  <si>
    <t>652</t>
  </si>
  <si>
    <t>25867</t>
  </si>
  <si>
    <t>10-000412</t>
  </si>
  <si>
    <t>Balanza 25878</t>
  </si>
  <si>
    <t>18175</t>
  </si>
  <si>
    <t>25878</t>
  </si>
  <si>
    <t>10-000413</t>
  </si>
  <si>
    <t>Balanza 25879</t>
  </si>
  <si>
    <t>18180</t>
  </si>
  <si>
    <t>25879</t>
  </si>
  <si>
    <t>10-000414</t>
  </si>
  <si>
    <t>Balanza 25845</t>
  </si>
  <si>
    <t>18123</t>
  </si>
  <si>
    <t>25845</t>
  </si>
  <si>
    <t>10-000415</t>
  </si>
  <si>
    <t>Balanza 25876</t>
  </si>
  <si>
    <t>18182</t>
  </si>
  <si>
    <t>25876</t>
  </si>
  <si>
    <t>10-000416</t>
  </si>
  <si>
    <t>Balanza 25877</t>
  </si>
  <si>
    <t>18187</t>
  </si>
  <si>
    <t>25877</t>
  </si>
  <si>
    <t>10-000417</t>
  </si>
  <si>
    <t>Balanza 25920</t>
  </si>
  <si>
    <t>18231</t>
  </si>
  <si>
    <t>25920</t>
  </si>
  <si>
    <t>10-000418</t>
  </si>
  <si>
    <t>Balanza 25638</t>
  </si>
  <si>
    <t>35716</t>
  </si>
  <si>
    <t>25638</t>
  </si>
  <si>
    <t>29/10/2025</t>
  </si>
  <si>
    <t>10-000419</t>
  </si>
  <si>
    <t>Parihuelas,marcos,separadores,hojalata OC 509</t>
  </si>
  <si>
    <t>1756</t>
  </si>
  <si>
    <t>OC 509</t>
  </si>
  <si>
    <t>10-000420</t>
  </si>
  <si>
    <t>Bocaditos - reunion con comite hostigamiento sexual</t>
  </si>
  <si>
    <t>708</t>
  </si>
  <si>
    <t>10-000421</t>
  </si>
  <si>
    <t>Bocaditos - capacitacion externa alcances de  normas</t>
  </si>
  <si>
    <t>20606109343</t>
  </si>
  <si>
    <t xml:space="preserve"> SOLANA COMERCIAL S.A.C. </t>
  </si>
  <si>
    <t>F2O1</t>
  </si>
  <si>
    <t>8467</t>
  </si>
  <si>
    <t>10-000422</t>
  </si>
  <si>
    <t>Bocaditos - capacitacion externa alcances de trinorma</t>
  </si>
  <si>
    <t>14302</t>
  </si>
  <si>
    <t>10-000423</t>
  </si>
  <si>
    <t>Bocaditos - capacitacion sobre certificados adm</t>
  </si>
  <si>
    <t>10-000424</t>
  </si>
  <si>
    <t>325703</t>
  </si>
  <si>
    <t>10-000425</t>
  </si>
  <si>
    <t>Accesorios Vehiculares - stickert codif,pertiga,circulina RQ.OPE.1469 OS 006-186</t>
  </si>
  <si>
    <t>1922</t>
  </si>
  <si>
    <t>10-000426</t>
  </si>
  <si>
    <t>Mantenimiento Vehicular (Preventivo) RQ.OPE.1479  OS 006-187</t>
  </si>
  <si>
    <t xml:space="preserve"> CONCESIONARIOS AUTORIZADOS S.A.C. </t>
  </si>
  <si>
    <t>27696</t>
  </si>
  <si>
    <t>10-000427</t>
  </si>
  <si>
    <t>Accesorios Vehiculares - llanta RQ.OPE.1511 OC 007-50</t>
  </si>
  <si>
    <t xml:space="preserve"> LIDER CRUZ E.I.R.L. </t>
  </si>
  <si>
    <t>49639</t>
  </si>
  <si>
    <t>10-000428</t>
  </si>
  <si>
    <t>Inducciones Externas RQ.SSO.268</t>
  </si>
  <si>
    <t xml:space="preserve"> CRECE NEGOCIOS S.A.C. </t>
  </si>
  <si>
    <t>72</t>
  </si>
  <si>
    <t>10-000429</t>
  </si>
  <si>
    <t>Inducciones Externas RQ.SSO.293</t>
  </si>
  <si>
    <t>112</t>
  </si>
  <si>
    <t>10-000430</t>
  </si>
  <si>
    <t>Revisión Técnica Vehicular RQ.OPE.1514 OS 006-189</t>
  </si>
  <si>
    <t>38694</t>
  </si>
  <si>
    <t>10-000431</t>
  </si>
  <si>
    <t>SOAT - VBW-889 RQ.OPE.1515 OS 006-190</t>
  </si>
  <si>
    <t>430649</t>
  </si>
  <si>
    <t>10-000432</t>
  </si>
  <si>
    <t>Certificacion del programa de especializacion  gestion y manejo de residuos solidos</t>
  </si>
  <si>
    <t>20613215043</t>
  </si>
  <si>
    <t xml:space="preserve"> INSTITUTO TECNOLOGICO STRATTON S.A.C. </t>
  </si>
  <si>
    <t>136</t>
  </si>
  <si>
    <t>10-000433</t>
  </si>
  <si>
    <t>Examen medico - Ingreso RQ.GH.267</t>
  </si>
  <si>
    <t>17026</t>
  </si>
  <si>
    <t>10-000434</t>
  </si>
  <si>
    <t>No Aprovechables</t>
  </si>
  <si>
    <t>21511</t>
  </si>
  <si>
    <t>10-000435</t>
  </si>
  <si>
    <t>Disposicion peligrosos y no peligrosos</t>
  </si>
  <si>
    <t>21510</t>
  </si>
  <si>
    <t>10-000436</t>
  </si>
  <si>
    <t>9692</t>
  </si>
  <si>
    <t>10-000437</t>
  </si>
  <si>
    <t>12038</t>
  </si>
  <si>
    <t>10-000438</t>
  </si>
  <si>
    <t>189841</t>
  </si>
  <si>
    <t>10-000439</t>
  </si>
  <si>
    <t>189857</t>
  </si>
  <si>
    <t>10-000440</t>
  </si>
  <si>
    <t>37940659</t>
  </si>
  <si>
    <t>10-000441</t>
  </si>
  <si>
    <t>38110567</t>
  </si>
  <si>
    <t>10-000442</t>
  </si>
  <si>
    <t>16696339</t>
  </si>
  <si>
    <t>10-000443</t>
  </si>
  <si>
    <t>16696385</t>
  </si>
  <si>
    <t>10-000444</t>
  </si>
  <si>
    <t>FV14</t>
  </si>
  <si>
    <t>1177232</t>
  </si>
  <si>
    <t>10-000445</t>
  </si>
  <si>
    <t>38231609</t>
  </si>
  <si>
    <t>10-000446</t>
  </si>
  <si>
    <t>38380964</t>
  </si>
  <si>
    <t>10-000447</t>
  </si>
  <si>
    <t>38314334</t>
  </si>
  <si>
    <t>10-000448</t>
  </si>
  <si>
    <t>38392267</t>
  </si>
  <si>
    <t>10-000449</t>
  </si>
  <si>
    <t>414643</t>
  </si>
  <si>
    <t>10-000450</t>
  </si>
  <si>
    <t>517443</t>
  </si>
  <si>
    <t>10-000451</t>
  </si>
  <si>
    <t>517717</t>
  </si>
  <si>
    <t>10-000452</t>
  </si>
  <si>
    <t>2527940</t>
  </si>
  <si>
    <t>10-000453</t>
  </si>
  <si>
    <t>414931</t>
  </si>
  <si>
    <t>10-000454</t>
  </si>
  <si>
    <t>2529418</t>
  </si>
  <si>
    <t>10-000455</t>
  </si>
  <si>
    <t>1866654</t>
  </si>
  <si>
    <t>10-000456</t>
  </si>
  <si>
    <t>411143</t>
  </si>
  <si>
    <t>10-000457</t>
  </si>
  <si>
    <t>513345</t>
  </si>
  <si>
    <t>10-000458</t>
  </si>
  <si>
    <t>2207611</t>
  </si>
  <si>
    <t>10-000459</t>
  </si>
  <si>
    <t>35806</t>
  </si>
  <si>
    <t>10-000460</t>
  </si>
  <si>
    <t>17994</t>
  </si>
  <si>
    <t>10-000461</t>
  </si>
  <si>
    <t>18053</t>
  </si>
  <si>
    <t>10-000462</t>
  </si>
  <si>
    <t>35807</t>
  </si>
  <si>
    <t>10-000463</t>
  </si>
  <si>
    <t>17992</t>
  </si>
  <si>
    <t>10-000464</t>
  </si>
  <si>
    <t>18587</t>
  </si>
  <si>
    <t>09/04/2025</t>
  </si>
  <si>
    <t>10-000465</t>
  </si>
  <si>
    <t>Constatacion notarial desmedro</t>
  </si>
  <si>
    <t xml:space="preserve"> LINARES RIVEROS MIGUEL ANGEL </t>
  </si>
  <si>
    <t>15800</t>
  </si>
  <si>
    <t>31/10/2025</t>
  </si>
  <si>
    <t>10-000466</t>
  </si>
  <si>
    <t>Contatacion notarial</t>
  </si>
  <si>
    <t>17564</t>
  </si>
  <si>
    <t>10-000467</t>
  </si>
  <si>
    <t>5906</t>
  </si>
  <si>
    <t>10-000468</t>
  </si>
  <si>
    <t>Estacionamiento - visita comercial</t>
  </si>
  <si>
    <t>20511315922</t>
  </si>
  <si>
    <t xml:space="preserve"> REAL PLAZA S.R.L. </t>
  </si>
  <si>
    <t>F021</t>
  </si>
  <si>
    <t>10-000469</t>
  </si>
  <si>
    <t>Alimentacion- capacitacion villa esperanza</t>
  </si>
  <si>
    <t>8072</t>
  </si>
  <si>
    <t>10-000470</t>
  </si>
  <si>
    <t>139031</t>
  </si>
  <si>
    <t>10-000471</t>
  </si>
  <si>
    <t>1887042</t>
  </si>
  <si>
    <t>10-000472</t>
  </si>
  <si>
    <t>20598</t>
  </si>
  <si>
    <t>10-000473</t>
  </si>
  <si>
    <t>Capacitaciones- Inducciones Externas RQ.SSO.306</t>
  </si>
  <si>
    <t>3513</t>
  </si>
  <si>
    <t>10-000474</t>
  </si>
  <si>
    <t>Capacitaciones-Inducciones Externas RQ.SSO.285</t>
  </si>
  <si>
    <t>2830</t>
  </si>
  <si>
    <t>10-000475</t>
  </si>
  <si>
    <t>Transporte de carga RQ.OPE.1547</t>
  </si>
  <si>
    <t>10485507120</t>
  </si>
  <si>
    <t xml:space="preserve"> DOLORIER FLORES SENNA THALIA </t>
  </si>
  <si>
    <t>160</t>
  </si>
  <si>
    <t>10-000476</t>
  </si>
  <si>
    <t>Pasaje: Juber Monteza Ruta: Lima - Arequipa</t>
  </si>
  <si>
    <t>20600352840</t>
  </si>
  <si>
    <t xml:space="preserve"> EMPRESA DE TRANSPORTES TERRESTRES ISSA S.A.C. - ETTISSA </t>
  </si>
  <si>
    <t>3800</t>
  </si>
  <si>
    <t>25853</t>
  </si>
  <si>
    <t>10-000477</t>
  </si>
  <si>
    <t>Pasaje de Maleta Lima -Arequipa 25863</t>
  </si>
  <si>
    <t>FY75</t>
  </si>
  <si>
    <t>25863</t>
  </si>
  <si>
    <t>10-000478</t>
  </si>
  <si>
    <t>Peaje 25940</t>
  </si>
  <si>
    <t>1908400</t>
  </si>
  <si>
    <t>25940</t>
  </si>
  <si>
    <t>10-000479</t>
  </si>
  <si>
    <t>Peaje 25930</t>
  </si>
  <si>
    <t>414923</t>
  </si>
  <si>
    <t>25930</t>
  </si>
  <si>
    <t>10-000480</t>
  </si>
  <si>
    <t>Peaje 25929</t>
  </si>
  <si>
    <t>517701</t>
  </si>
  <si>
    <t>25929</t>
  </si>
  <si>
    <t>10-000481</t>
  </si>
  <si>
    <t>Balanza 25952</t>
  </si>
  <si>
    <t>258</t>
  </si>
  <si>
    <t>25952</t>
  </si>
  <si>
    <t>10-000482</t>
  </si>
  <si>
    <t>Peaje 25950</t>
  </si>
  <si>
    <t>2530706</t>
  </si>
  <si>
    <t>25950</t>
  </si>
  <si>
    <t>10-000483</t>
  </si>
  <si>
    <t>Peaje 25951</t>
  </si>
  <si>
    <t>2231233</t>
  </si>
  <si>
    <t>25951</t>
  </si>
  <si>
    <t>10-000484</t>
  </si>
  <si>
    <t>Peaje 25933</t>
  </si>
  <si>
    <t>1906870</t>
  </si>
  <si>
    <t>25933</t>
  </si>
  <si>
    <t>10-000485</t>
  </si>
  <si>
    <t>Peaje 25934</t>
  </si>
  <si>
    <t>2528008</t>
  </si>
  <si>
    <t>25934</t>
  </si>
  <si>
    <t>10-000486</t>
  </si>
  <si>
    <t>Peaje 25911</t>
  </si>
  <si>
    <t>1902747</t>
  </si>
  <si>
    <t>25911</t>
  </si>
  <si>
    <t>10-000487</t>
  </si>
  <si>
    <t>Transporte de carga RQ.OPE.1548 OS 005-777</t>
  </si>
  <si>
    <t>10-000488</t>
  </si>
  <si>
    <t>Transporte de carga RQ.OPE.1549 OS 005-778</t>
  </si>
  <si>
    <t>873</t>
  </si>
  <si>
    <t>10-000489</t>
  </si>
  <si>
    <t>Capacitaciones-Inducciones Externas RQ.SSO.275</t>
  </si>
  <si>
    <t>2744</t>
  </si>
  <si>
    <t>10-000490</t>
  </si>
  <si>
    <t>Carton,chatarra,sacas,pallet,madera OC 515</t>
  </si>
  <si>
    <t>17082</t>
  </si>
  <si>
    <t>OC 515</t>
  </si>
  <si>
    <t>10-000491</t>
  </si>
  <si>
    <t>Carton,chatarra, IBC, madera,sacas big bag OC</t>
  </si>
  <si>
    <t>17081</t>
  </si>
  <si>
    <t>OC 513</t>
  </si>
  <si>
    <t>10-000492</t>
  </si>
  <si>
    <t>Carton en desuso OC 519</t>
  </si>
  <si>
    <t>950</t>
  </si>
  <si>
    <t>OC 519</t>
  </si>
  <si>
    <t>10-000493</t>
  </si>
  <si>
    <t>Cilindros,bidon,caucho,chatarra,aluminio OC 497</t>
  </si>
  <si>
    <t>OC 497</t>
  </si>
  <si>
    <t>10-000494</t>
  </si>
  <si>
    <t>Cilindro,bidon de plastico,chatarra OC 471</t>
  </si>
  <si>
    <t>OC 471</t>
  </si>
  <si>
    <t>10-000495</t>
  </si>
  <si>
    <t>Cilindro,bidon,carton,chatarra metalica OC 427</t>
  </si>
  <si>
    <t>OC 427</t>
  </si>
  <si>
    <t>10-000496</t>
  </si>
  <si>
    <t>Caucho OC 426</t>
  </si>
  <si>
    <t>6998</t>
  </si>
  <si>
    <t>OC 426</t>
  </si>
  <si>
    <t>10-000497</t>
  </si>
  <si>
    <t>Cilindro,bidon,caucho OC 389</t>
  </si>
  <si>
    <t>6997</t>
  </si>
  <si>
    <t>OC 389</t>
  </si>
  <si>
    <t>10-000498</t>
  </si>
  <si>
    <t>Disposicion final de residuos solidos, maniobra de descarga montacarga</t>
  </si>
  <si>
    <t>1443</t>
  </si>
  <si>
    <t>10-000499</t>
  </si>
  <si>
    <t>Disposicion final de residuos solidos, Montacarga</t>
  </si>
  <si>
    <t>1444</t>
  </si>
  <si>
    <t>10-000500</t>
  </si>
  <si>
    <t>Dispocision final de residuos solidos - Montacarga</t>
  </si>
  <si>
    <t>1445</t>
  </si>
  <si>
    <t>10-000501</t>
  </si>
  <si>
    <t>191247</t>
  </si>
  <si>
    <t>10-000502</t>
  </si>
  <si>
    <t>164317</t>
  </si>
  <si>
    <t>10-000503</t>
  </si>
  <si>
    <t>Alquiler de montacarga RQ.OPE.1507</t>
  </si>
  <si>
    <t>2607</t>
  </si>
  <si>
    <t>10-000504</t>
  </si>
  <si>
    <t>Alimentacion - cargui de alambron viruta</t>
  </si>
  <si>
    <t>8059</t>
  </si>
  <si>
    <t>10-000505</t>
  </si>
  <si>
    <t>Bocaditos capacitacion estandarizacion en registro de entradas</t>
  </si>
  <si>
    <t>710</t>
  </si>
  <si>
    <t>10-000506</t>
  </si>
  <si>
    <t xml:space="preserve"> EQUIFAX PERU S.A. </t>
  </si>
  <si>
    <t>1075421</t>
  </si>
  <si>
    <t>10-000507</t>
  </si>
  <si>
    <t>Alquiler de montacarga RQ.OPE.1482</t>
  </si>
  <si>
    <t>4187</t>
  </si>
  <si>
    <t>10-000508</t>
  </si>
  <si>
    <t>Alquiler de montacarga RQ.OPE.1538 OS 005-776</t>
  </si>
  <si>
    <t>4093</t>
  </si>
  <si>
    <t>10-000509</t>
  </si>
  <si>
    <t>Alquiler de montacarga  RQ.OPE.1539</t>
  </si>
  <si>
    <t>2653</t>
  </si>
  <si>
    <t>10-000510</t>
  </si>
  <si>
    <t>Consultoría / asesoría interpretacion de normas ISO</t>
  </si>
  <si>
    <t>10-000511</t>
  </si>
  <si>
    <t>Accesorios Vehiculares: Compra de foco LED rojo intermitente para pértiga</t>
  </si>
  <si>
    <t>2036</t>
  </si>
  <si>
    <t>25948</t>
  </si>
  <si>
    <t>10-000512</t>
  </si>
  <si>
    <t>38505702</t>
  </si>
  <si>
    <t>10-000513</t>
  </si>
  <si>
    <t>38479023</t>
  </si>
  <si>
    <t>10-000514</t>
  </si>
  <si>
    <t>38568890</t>
  </si>
  <si>
    <t>10-000515</t>
  </si>
  <si>
    <t>38609343</t>
  </si>
  <si>
    <t>10-000516</t>
  </si>
  <si>
    <t>38391723</t>
  </si>
  <si>
    <t>10-000517</t>
  </si>
  <si>
    <t>Peaje 25856</t>
  </si>
  <si>
    <t>F155</t>
  </si>
  <si>
    <t>4682615</t>
  </si>
  <si>
    <t>25856</t>
  </si>
  <si>
    <t>10-000518</t>
  </si>
  <si>
    <t>Peaje 25858</t>
  </si>
  <si>
    <t>648744</t>
  </si>
  <si>
    <t>25858</t>
  </si>
  <si>
    <t>10-000519</t>
  </si>
  <si>
    <t>Peaje 25857</t>
  </si>
  <si>
    <t>636933</t>
  </si>
  <si>
    <t>25857</t>
  </si>
  <si>
    <t>10-000520</t>
  </si>
  <si>
    <t>Peaje 25854</t>
  </si>
  <si>
    <t>630054</t>
  </si>
  <si>
    <t>25854</t>
  </si>
  <si>
    <t>10-000521</t>
  </si>
  <si>
    <t>Peaje 25855</t>
  </si>
  <si>
    <t>3243566</t>
  </si>
  <si>
    <t>25855</t>
  </si>
  <si>
    <t>10-000522</t>
  </si>
  <si>
    <t>Peaje 25889</t>
  </si>
  <si>
    <t>2391626</t>
  </si>
  <si>
    <t>25889</t>
  </si>
  <si>
    <t>10-000523</t>
  </si>
  <si>
    <t>Peaje 25888</t>
  </si>
  <si>
    <t>638264</t>
  </si>
  <si>
    <t>25888</t>
  </si>
  <si>
    <t>10-000524</t>
  </si>
  <si>
    <t>Chatarra metalica OC 496</t>
  </si>
  <si>
    <t xml:space="preserve"> D.C.R. MINERIA Y CONSTRUCCION S.A.C. </t>
  </si>
  <si>
    <t>20595</t>
  </si>
  <si>
    <t>OC 496</t>
  </si>
  <si>
    <t>10-000525</t>
  </si>
  <si>
    <t>Alquiler de montacarga RQ.OPE.1505</t>
  </si>
  <si>
    <t>2606</t>
  </si>
  <si>
    <t>10-000526</t>
  </si>
  <si>
    <t>2004</t>
  </si>
  <si>
    <t>10-000527</t>
  </si>
  <si>
    <t>Transporte de personal viajes</t>
  </si>
  <si>
    <t>20267269565</t>
  </si>
  <si>
    <t xml:space="preserve"> TURISMO J.A.K.S.A </t>
  </si>
  <si>
    <t>F215</t>
  </si>
  <si>
    <t>139</t>
  </si>
  <si>
    <t>10-000528</t>
  </si>
  <si>
    <t>Pasajes viajes</t>
  </si>
  <si>
    <t>138</t>
  </si>
  <si>
    <t>10-000529</t>
  </si>
  <si>
    <t>2039</t>
  </si>
  <si>
    <t>10-000530</t>
  </si>
  <si>
    <t>Balanza - BKI-716</t>
  </si>
  <si>
    <t>2469</t>
  </si>
  <si>
    <t>10-000531</t>
  </si>
  <si>
    <t>Pasajes - viajes</t>
  </si>
  <si>
    <t>F07L</t>
  </si>
  <si>
    <t>16820</t>
  </si>
  <si>
    <t>12/10/2025</t>
  </si>
  <si>
    <t>10-000532</t>
  </si>
  <si>
    <t>FH98</t>
  </si>
  <si>
    <t>543</t>
  </si>
  <si>
    <t>10-000533</t>
  </si>
  <si>
    <t>10414417146</t>
  </si>
  <si>
    <t xml:space="preserve"> CASTRO PACHECO ALFONSO </t>
  </si>
  <si>
    <t>6070</t>
  </si>
  <si>
    <t>10-000534</t>
  </si>
  <si>
    <t>Peaje 25926</t>
  </si>
  <si>
    <t>653256</t>
  </si>
  <si>
    <t>25926</t>
  </si>
  <si>
    <t>10-000535</t>
  </si>
  <si>
    <t>Peaje 25925</t>
  </si>
  <si>
    <t>3566202</t>
  </si>
  <si>
    <t>25925</t>
  </si>
  <si>
    <t>10-000536</t>
  </si>
  <si>
    <t>Peaje 25932</t>
  </si>
  <si>
    <t>2529349</t>
  </si>
  <si>
    <t>25932</t>
  </si>
  <si>
    <t>10-000537</t>
  </si>
  <si>
    <t>Peaje 25947</t>
  </si>
  <si>
    <t>1907786</t>
  </si>
  <si>
    <t>25947</t>
  </si>
  <si>
    <t>10-000538</t>
  </si>
  <si>
    <t>Balanza 25931</t>
  </si>
  <si>
    <t>138896</t>
  </si>
  <si>
    <t>25931</t>
  </si>
  <si>
    <t>10-000539</t>
  </si>
  <si>
    <t>Mantenimiento de infraestructura - Escritorios RQ.LOG.362 OC 004-199</t>
  </si>
  <si>
    <t xml:space="preserve"> LOGAL GROUP AQP S.R.L. </t>
  </si>
  <si>
    <t>5</t>
  </si>
  <si>
    <t>10-000540</t>
  </si>
  <si>
    <t>Transporte de carga RQ.OPE.1550 OS005-779</t>
  </si>
  <si>
    <t>390</t>
  </si>
  <si>
    <t>10-000541</t>
  </si>
  <si>
    <t>Disposición Peligrosos</t>
  </si>
  <si>
    <t xml:space="preserve"> KANAY S.A.C. </t>
  </si>
  <si>
    <t>15524</t>
  </si>
  <si>
    <t>10-000542</t>
  </si>
  <si>
    <t>Impresion de vinil a color RQ.LOG.389</t>
  </si>
  <si>
    <t>833</t>
  </si>
  <si>
    <t>10-000543</t>
  </si>
  <si>
    <t>Alquiler de montacarga RQ.OPE.1554</t>
  </si>
  <si>
    <t>4386</t>
  </si>
  <si>
    <t>10-000544</t>
  </si>
  <si>
    <t>Alquiler de montacarga RQ.OPE.1529</t>
  </si>
  <si>
    <t>2725</t>
  </si>
  <si>
    <t>10-000545</t>
  </si>
  <si>
    <t>Alquiler de montacarga RQ.OPE.1530</t>
  </si>
  <si>
    <t>2724</t>
  </si>
  <si>
    <t>10-000546</t>
  </si>
  <si>
    <t>163819</t>
  </si>
  <si>
    <t>10-000547</t>
  </si>
  <si>
    <t>163861</t>
  </si>
  <si>
    <t>10-000548</t>
  </si>
  <si>
    <t>Transporte de carga RQ.OPE.1561  OS 005-781</t>
  </si>
  <si>
    <t xml:space="preserve"> EMPRESA DE TRANSPORTES MANN SOCIEDAD ANONIMA CERRADA TRANSPMANN </t>
  </si>
  <si>
    <t>236</t>
  </si>
  <si>
    <t>10-000549</t>
  </si>
  <si>
    <t>Recarga de agua - Arequipa RQ.LOG.393</t>
  </si>
  <si>
    <t>711</t>
  </si>
  <si>
    <t>10-000550</t>
  </si>
  <si>
    <t>falta Banner + roll</t>
  </si>
  <si>
    <t>20563165074</t>
  </si>
  <si>
    <t xml:space="preserve"> CORPORACION EBENEZER S &amp; S S.A.C. </t>
  </si>
  <si>
    <t>4010</t>
  </si>
  <si>
    <t>10-000551</t>
  </si>
  <si>
    <t>falta Almuerzo corporativo</t>
  </si>
  <si>
    <t>2701</t>
  </si>
  <si>
    <t>25/10/2025</t>
  </si>
  <si>
    <t>10-000552</t>
  </si>
  <si>
    <t>Falta Viveres donaciones</t>
  </si>
  <si>
    <t xml:space="preserve"> CENCOSUD RETAIL PERU S.A. </t>
  </si>
  <si>
    <t>F754</t>
  </si>
  <si>
    <t>18595</t>
  </si>
  <si>
    <t>10-000553</t>
  </si>
  <si>
    <t>Falta Alimentacion capacitacion comercial</t>
  </si>
  <si>
    <t>FC61</t>
  </si>
  <si>
    <t>27848</t>
  </si>
  <si>
    <t>10-000554</t>
  </si>
  <si>
    <t>Falta Maceta cuadrada estilo piedra y geraneo elegante</t>
  </si>
  <si>
    <t>20601762944</t>
  </si>
  <si>
    <t xml:space="preserve"> VIERDES GRASS SOCIEDAD ANONIMA CERRADA - VIERDES GRASS S.A.C. </t>
  </si>
  <si>
    <t>FV01</t>
  </si>
  <si>
    <t>1460</t>
  </si>
  <si>
    <t>10-000555</t>
  </si>
  <si>
    <t>Falta Diesel - B5 S50 UV</t>
  </si>
  <si>
    <t>20611284412</t>
  </si>
  <si>
    <t xml:space="preserve"> MULTISERVICIOS PAISAJISTA S.A.C. </t>
  </si>
  <si>
    <t>84752</t>
  </si>
  <si>
    <t>10-000556</t>
  </si>
  <si>
    <t>Silicona 002-2515</t>
  </si>
  <si>
    <t>229</t>
  </si>
  <si>
    <t>10-000557</t>
  </si>
  <si>
    <t>Alimentacion 002-2509</t>
  </si>
  <si>
    <t>153</t>
  </si>
  <si>
    <t>10-000558</t>
  </si>
  <si>
    <t>Impresiones 002-2504</t>
  </si>
  <si>
    <t>10407292834</t>
  </si>
  <si>
    <t xml:space="preserve"> SANTOS MEDINA ZULIN JHULISA </t>
  </si>
  <si>
    <t>301</t>
  </si>
  <si>
    <t>10-000559</t>
  </si>
  <si>
    <t>Alimentacion 002-2512</t>
  </si>
  <si>
    <t>2806011</t>
  </si>
  <si>
    <t>10-000560</t>
  </si>
  <si>
    <t>Envio de documentacion 002-2493</t>
  </si>
  <si>
    <t>77511</t>
  </si>
  <si>
    <t>10-000561</t>
  </si>
  <si>
    <t>Guantes badana 002-2511</t>
  </si>
  <si>
    <t>20612170127</t>
  </si>
  <si>
    <t xml:space="preserve"> CENTRALCAR AUTOMOTRIZ S.A.C. </t>
  </si>
  <si>
    <t>6423</t>
  </si>
  <si>
    <t>10-000562</t>
  </si>
  <si>
    <t>Envio de documentacion 002-2500</t>
  </si>
  <si>
    <t>77572</t>
  </si>
  <si>
    <t>10-000563</t>
  </si>
  <si>
    <t>Alimentacion 002-2502</t>
  </si>
  <si>
    <t>142</t>
  </si>
  <si>
    <t>10-000564</t>
  </si>
  <si>
    <t>Alimentacion 002-2507</t>
  </si>
  <si>
    <t>151</t>
  </si>
  <si>
    <t>10-000565</t>
  </si>
  <si>
    <t>Alimentacion 002-2505</t>
  </si>
  <si>
    <t>10-000566</t>
  </si>
  <si>
    <t>Temple,ridullo,lija,esponja 002-2516</t>
  </si>
  <si>
    <t>20607451835</t>
  </si>
  <si>
    <t xml:space="preserve"> MAGENTA COLORS SOLUCIONES INDUSTRIALES E.I.R.L. </t>
  </si>
  <si>
    <t>3229</t>
  </si>
  <si>
    <t>10-000567</t>
  </si>
  <si>
    <t>Encomienda 002-2513</t>
  </si>
  <si>
    <t>35558</t>
  </si>
  <si>
    <t>10-000568</t>
  </si>
  <si>
    <t>Tinner,monocapa blanco 002-2524</t>
  </si>
  <si>
    <t>8250</t>
  </si>
  <si>
    <t>10-000569</t>
  </si>
  <si>
    <t>Base preimer,lija 002-2523</t>
  </si>
  <si>
    <t>8249</t>
  </si>
  <si>
    <t>10-000570</t>
  </si>
  <si>
    <t>Cinta de 2 pulgadas 002-2517</t>
  </si>
  <si>
    <t>8236</t>
  </si>
  <si>
    <t>10-000571</t>
  </si>
  <si>
    <t>Gloss pintura 002-2518</t>
  </si>
  <si>
    <t>8237</t>
  </si>
  <si>
    <t>10-000572</t>
  </si>
  <si>
    <t>Lavado de prendas 002-2519</t>
  </si>
  <si>
    <t>20612788881</t>
  </si>
  <si>
    <t xml:space="preserve"> FAMILIA ELMILA SOCIEDAD ANONIMA CERRADA </t>
  </si>
  <si>
    <t>10-000573</t>
  </si>
  <si>
    <t>Peaje 25945</t>
  </si>
  <si>
    <t>1886664</t>
  </si>
  <si>
    <t>25945</t>
  </si>
  <si>
    <t>10-000574</t>
  </si>
  <si>
    <t>Balanza 25918</t>
  </si>
  <si>
    <t>138798</t>
  </si>
  <si>
    <t>25918</t>
  </si>
  <si>
    <t>10-000575</t>
  </si>
  <si>
    <t>Balanza 25917</t>
  </si>
  <si>
    <t>138790</t>
  </si>
  <si>
    <t>25917</t>
  </si>
  <si>
    <t>10-000576</t>
  </si>
  <si>
    <t>Balanza 25953</t>
  </si>
  <si>
    <t>261</t>
  </si>
  <si>
    <t>25953</t>
  </si>
  <si>
    <t>10-000577</t>
  </si>
  <si>
    <t>Peaje 25942</t>
  </si>
  <si>
    <t>1886027</t>
  </si>
  <si>
    <t>25942</t>
  </si>
  <si>
    <t>10-000578</t>
  </si>
  <si>
    <t>Peaje 25943</t>
  </si>
  <si>
    <t>1908926</t>
  </si>
  <si>
    <t>25943</t>
  </si>
  <si>
    <t>10-000579</t>
  </si>
  <si>
    <t>Peaje 25936</t>
  </si>
  <si>
    <t>1907787</t>
  </si>
  <si>
    <t>25936</t>
  </si>
  <si>
    <t>10-000580</t>
  </si>
  <si>
    <t>Peaje 25937</t>
  </si>
  <si>
    <t>1885097</t>
  </si>
  <si>
    <t>25937</t>
  </si>
  <si>
    <t>10-000581</t>
  </si>
  <si>
    <t>Balanza 25939</t>
  </si>
  <si>
    <t>18264</t>
  </si>
  <si>
    <t>25939</t>
  </si>
  <si>
    <t>10-000582</t>
  </si>
  <si>
    <t>Balanza 25938</t>
  </si>
  <si>
    <t>18265</t>
  </si>
  <si>
    <t>25938</t>
  </si>
  <si>
    <t>10-000583</t>
  </si>
  <si>
    <t>F77L</t>
  </si>
  <si>
    <t>12661</t>
  </si>
  <si>
    <t>10-000584</t>
  </si>
  <si>
    <t>12662</t>
  </si>
  <si>
    <t>10-000585</t>
  </si>
  <si>
    <t>Balanza BEJ-879</t>
  </si>
  <si>
    <t>2275</t>
  </si>
  <si>
    <t>10-000586</t>
  </si>
  <si>
    <t>2279</t>
  </si>
  <si>
    <t>10-000587</t>
  </si>
  <si>
    <t>2270</t>
  </si>
  <si>
    <t>10-000588</t>
  </si>
  <si>
    <t>Transporte de lima a chincha</t>
  </si>
  <si>
    <t>FG32</t>
  </si>
  <si>
    <t>10-000589</t>
  </si>
  <si>
    <t>Transporte viajes de lima a chincha</t>
  </si>
  <si>
    <t>513</t>
  </si>
  <si>
    <t>10-000590</t>
  </si>
  <si>
    <t>Hospedaje</t>
  </si>
  <si>
    <t>2064</t>
  </si>
  <si>
    <t>10-000591</t>
  </si>
  <si>
    <t>Alquiler de maquinaria RQ.1533  OS 005-784</t>
  </si>
  <si>
    <t>4343</t>
  </si>
  <si>
    <t>10-000592</t>
  </si>
  <si>
    <t>Alquiler de maquinaria RQ.OPE.1569</t>
  </si>
  <si>
    <t>4387</t>
  </si>
  <si>
    <t>10-000593</t>
  </si>
  <si>
    <t>Alquiler de montacarga RQ.OPE.1568 OS 005-785</t>
  </si>
  <si>
    <t>4332</t>
  </si>
  <si>
    <t>10-000594</t>
  </si>
  <si>
    <t>Alquiler de montacarga RQ.OPE.1552</t>
  </si>
  <si>
    <t>2608</t>
  </si>
  <si>
    <t>10-000595</t>
  </si>
  <si>
    <t>EPPS - Adicionales RQ.SSO.301 OS 004-203</t>
  </si>
  <si>
    <t>2020</t>
  </si>
  <si>
    <t>10-000596</t>
  </si>
  <si>
    <t>Fabricación de Contenedores RQ.COM.407</t>
  </si>
  <si>
    <t xml:space="preserve"> MADE S.C.R.L. </t>
  </si>
  <si>
    <t>789</t>
  </si>
  <si>
    <t>10-000597</t>
  </si>
  <si>
    <t>Strech film en desuso OC 516</t>
  </si>
  <si>
    <t>1757</t>
  </si>
  <si>
    <t>OC 516</t>
  </si>
  <si>
    <t>10-000598</t>
  </si>
  <si>
    <t>Emo para el personal operarios solicitado STRACON RQ.COM.391</t>
  </si>
  <si>
    <t>18011</t>
  </si>
  <si>
    <t>10-000599</t>
  </si>
  <si>
    <t>17988</t>
  </si>
  <si>
    <t>10-000600</t>
  </si>
  <si>
    <t>34101482</t>
  </si>
  <si>
    <t>10-000601</t>
  </si>
  <si>
    <t>34142180</t>
  </si>
  <si>
    <t>10-000602</t>
  </si>
  <si>
    <t>33970646</t>
  </si>
  <si>
    <t>10-000603</t>
  </si>
  <si>
    <t>33464337</t>
  </si>
  <si>
    <t>10-000604</t>
  </si>
  <si>
    <t>33329855</t>
  </si>
  <si>
    <t>10-000605</t>
  </si>
  <si>
    <t>33202793</t>
  </si>
  <si>
    <t>10-000606</t>
  </si>
  <si>
    <t>FD01</t>
  </si>
  <si>
    <t>623709</t>
  </si>
  <si>
    <t>10-000607</t>
  </si>
  <si>
    <t>FB23</t>
  </si>
  <si>
    <t>23345866</t>
  </si>
  <si>
    <t>10-000608</t>
  </si>
  <si>
    <t>23808012</t>
  </si>
  <si>
    <t>10-000609</t>
  </si>
  <si>
    <t>138539</t>
  </si>
  <si>
    <t>10-000610</t>
  </si>
  <si>
    <t>138516</t>
  </si>
  <si>
    <t>10-000611</t>
  </si>
  <si>
    <t>1873609</t>
  </si>
  <si>
    <t>10-000612</t>
  </si>
  <si>
    <t>2216217</t>
  </si>
  <si>
    <t>10-000613</t>
  </si>
  <si>
    <t>1877195</t>
  </si>
  <si>
    <t>10-000614</t>
  </si>
  <si>
    <t>1898928</t>
  </si>
  <si>
    <t>Total</t>
  </si>
  <si>
    <t>S</t>
  </si>
  <si>
    <t>V</t>
  </si>
  <si>
    <t>A</t>
  </si>
  <si>
    <t>RESIDUOS PELIGROSOS</t>
  </si>
  <si>
    <t>00</t>
  </si>
  <si>
    <t>OTROS</t>
  </si>
  <si>
    <t>FACTURA</t>
  </si>
  <si>
    <t>91.01.03</t>
  </si>
  <si>
    <t>02</t>
  </si>
  <si>
    <t>RECIBO POR HONORARIOS</t>
  </si>
  <si>
    <t>91.01.04</t>
  </si>
  <si>
    <t>BOLETA DE VENTA</t>
  </si>
  <si>
    <t>91.01.05</t>
  </si>
  <si>
    <t>NOTA DE CREDITO</t>
  </si>
  <si>
    <t>91.02.01</t>
  </si>
  <si>
    <t>TICKET DE MAQ. REGISTRADORA</t>
  </si>
  <si>
    <t>91.02.02</t>
  </si>
  <si>
    <t>Limpieza de biodigestores</t>
  </si>
  <si>
    <t>RECIBO POR SERV. PUBLICOS</t>
  </si>
  <si>
    <t>91.03.01</t>
  </si>
  <si>
    <t>Destruccion de merma y desmedro</t>
  </si>
  <si>
    <t>46</t>
  </si>
  <si>
    <t>FORMULARIO SUNAT</t>
  </si>
  <si>
    <t>91.04.01</t>
  </si>
  <si>
    <t>223</t>
  </si>
  <si>
    <t>PROVISIONES DE GASTO</t>
  </si>
  <si>
    <t>91.04.02</t>
  </si>
  <si>
    <t>91.06.02.05</t>
  </si>
  <si>
    <t>BKK-916</t>
  </si>
  <si>
    <t>63.4.3.3.01</t>
  </si>
  <si>
    <t>91.06.02.09</t>
  </si>
  <si>
    <t>Motobomba</t>
  </si>
  <si>
    <t>63.4.3.4.01</t>
  </si>
  <si>
    <t>63.5.4.1.02</t>
  </si>
  <si>
    <t>63.5.4.1.99</t>
  </si>
  <si>
    <t>63.9.9.1.01.05</t>
  </si>
  <si>
    <t>63.9.9.1.04.03</t>
  </si>
  <si>
    <t>65.6.1.1.02</t>
  </si>
  <si>
    <t>62.1.1.1.01</t>
  </si>
  <si>
    <t>Sueldos y Salarios - Operarios</t>
  </si>
  <si>
    <t>62.1.4.2.01</t>
  </si>
  <si>
    <t>Gratificaciones Truncas - Operativos</t>
  </si>
  <si>
    <t>62.1.5.1.01</t>
  </si>
  <si>
    <t>Vacaciones - Operarios</t>
  </si>
  <si>
    <t>62.1.5.2.01</t>
  </si>
  <si>
    <t>Vacaciones Truncas - Operativos</t>
  </si>
  <si>
    <t>62.2.1.1.01</t>
  </si>
  <si>
    <t>Asignacion Familiar - Operarios</t>
  </si>
  <si>
    <t>62.2.2.1.01</t>
  </si>
  <si>
    <t>Trabajo Sobretiempo 25% - Operarios</t>
  </si>
  <si>
    <t>62.2.2.2.01</t>
  </si>
  <si>
    <t>Trabajo Sobretiempo 35% - Operarios</t>
  </si>
  <si>
    <t>62.2.3.2.01</t>
  </si>
  <si>
    <t>Bonificación Extraordinaria Proporcional - Operari</t>
  </si>
  <si>
    <t>62.2.4.1.01</t>
  </si>
  <si>
    <t>Bono De Productividad - Operarios</t>
  </si>
  <si>
    <t>62.2.4.2.01</t>
  </si>
  <si>
    <t>Alimentación Principal En Dinero - Operarios</t>
  </si>
  <si>
    <t>62.2.4.3.01</t>
  </si>
  <si>
    <t>Bono por Viaje - Operarios</t>
  </si>
  <si>
    <t>62.2.4.4.01</t>
  </si>
  <si>
    <t>Trabajo en Dia Feriado o Descanso - Operarios</t>
  </si>
  <si>
    <t>62.7.1.1.01</t>
  </si>
  <si>
    <t>EsSalud - Operarios</t>
  </si>
  <si>
    <t>62.9.1.1.01</t>
  </si>
  <si>
    <t>Compensación por tiempo de servicio - Operarios</t>
  </si>
  <si>
    <t>63.1.1.2.05</t>
  </si>
  <si>
    <t>Transporte de Personal (Viajes) - SS</t>
  </si>
  <si>
    <t>63.1.1.7.03</t>
  </si>
  <si>
    <t>Balanza - SS</t>
  </si>
  <si>
    <t>63.1.3.1.02</t>
  </si>
  <si>
    <t>Alojamiento (Operativo) - SS</t>
  </si>
  <si>
    <t>VENTAS KPI</t>
  </si>
  <si>
    <t>06-000001</t>
  </si>
  <si>
    <t>Costo Operativo - Residuos Peligrosos</t>
  </si>
  <si>
    <t>20204621242</t>
  </si>
  <si>
    <t>TALMA SERVICIOS AEROPORTUARIOS S.A</t>
  </si>
  <si>
    <t>103</t>
  </si>
  <si>
    <t>70.3.2.1.01.01</t>
  </si>
  <si>
    <t>06-000002</t>
  </si>
  <si>
    <t>Pallet de madera</t>
  </si>
  <si>
    <t>70.2.2.1.01</t>
  </si>
  <si>
    <t>06-000003</t>
  </si>
  <si>
    <t>Plancha de cartón cuadrado</t>
  </si>
  <si>
    <t>20100235138</t>
  </si>
  <si>
    <t>METALURGICA QUIMICA S.A.C.</t>
  </si>
  <si>
    <t>53</t>
  </si>
  <si>
    <t>06-000004</t>
  </si>
  <si>
    <t>Chatarra metálica - alambrón</t>
  </si>
  <si>
    <t>20607388416</t>
  </si>
  <si>
    <t>ALEACIONES FERROSAS Y METALICAS S.A.C.</t>
  </si>
  <si>
    <t>30</t>
  </si>
  <si>
    <t>06-000005</t>
  </si>
  <si>
    <t>Costo de Transporte - Transporte de Carga - Local</t>
  </si>
  <si>
    <t>104</t>
  </si>
  <si>
    <t>70.3.2.1.04.01</t>
  </si>
  <si>
    <t>06-000006</t>
  </si>
  <si>
    <t>Bonificación por venta</t>
  </si>
  <si>
    <t>20402885549</t>
  </si>
  <si>
    <t>EMPRESA SIDERURGICA DEL PERU S.A.A.</t>
  </si>
  <si>
    <t>74.1.1</t>
  </si>
  <si>
    <t>06-000007</t>
  </si>
  <si>
    <t>Aceite usado</t>
  </si>
  <si>
    <t>20514133931</t>
  </si>
  <si>
    <t>CORPORACION MEDIOAMBIENTAL AMPCO PERU SOCIEDAD ANONIMA CERRADA - CM AMPCO PERU S.A.C.</t>
  </si>
  <si>
    <t>06-000008</t>
  </si>
  <si>
    <t>56</t>
  </si>
  <si>
    <t>06-000009</t>
  </si>
  <si>
    <t>57</t>
  </si>
  <si>
    <t>06-000010</t>
  </si>
  <si>
    <t>Costo de Transporte - Transporte de Carga - Nacional</t>
  </si>
  <si>
    <t>20100199743</t>
  </si>
  <si>
    <t>INCA TOPS S.A.</t>
  </si>
  <si>
    <t>105</t>
  </si>
  <si>
    <t>70.3.2.1.04.02</t>
  </si>
  <si>
    <t>06-000011</t>
  </si>
  <si>
    <t>Costo Operativo - Residuos No Peligrosos</t>
  </si>
  <si>
    <t>20170040938</t>
  </si>
  <si>
    <t>DANPER TRUJILLO S.A.C.</t>
  </si>
  <si>
    <t>106</t>
  </si>
  <si>
    <t>70.3.2.1.01.02</t>
  </si>
  <si>
    <t>70.3.2.1.03.01</t>
  </si>
  <si>
    <t>06-000012</t>
  </si>
  <si>
    <t>20141637941</t>
  </si>
  <si>
    <t>UNIVERSIDAD CATOLICA DE SANTA MARIA</t>
  </si>
  <si>
    <t>06-000013</t>
  </si>
  <si>
    <t>Costo Administrativo - Residuos Peligrosos</t>
  </si>
  <si>
    <t>20456012427</t>
  </si>
  <si>
    <t>J. CH. COMERCIALIZADORA DE RESIDUOS SOLIDOS S.R.L.</t>
  </si>
  <si>
    <t>108</t>
  </si>
  <si>
    <t>06-000014</t>
  </si>
  <si>
    <t>Costo de Disposición - Residuos Peligrosos</t>
  </si>
  <si>
    <t>20546530184</t>
  </si>
  <si>
    <t>INGENIERIA SERVICIOS Y SOLUCIONES APLICADAS ISSA PERU S.A.C. - ISSA PERU S.A.C.</t>
  </si>
  <si>
    <t>06-000015</t>
  </si>
  <si>
    <t>Madera gruesa</t>
  </si>
  <si>
    <t>20613110586</t>
  </si>
  <si>
    <t>ACTIVA SERVICIOS GASTRONOMICOS S.R.L.</t>
  </si>
  <si>
    <t>58</t>
  </si>
  <si>
    <t>06-000016</t>
  </si>
  <si>
    <t>31</t>
  </si>
  <si>
    <t>06-000017</t>
  </si>
  <si>
    <t>20603536569</t>
  </si>
  <si>
    <t>ANTILLA COPPER SOCIEDAD ANONIMA</t>
  </si>
  <si>
    <t>06-000018</t>
  </si>
  <si>
    <t>Costo de Disposición - Residuos Peligrosos menor a 600 Kg</t>
  </si>
  <si>
    <t>111</t>
  </si>
  <si>
    <t>06-000019</t>
  </si>
  <si>
    <t xml:space="preserve">Costo de Disposición - Residuos Peligrosos menor a 600 Kg.
</t>
  </si>
  <si>
    <t>06-000020</t>
  </si>
  <si>
    <t>Costo Operativo - Limpieza y succión de pozo de sedimentación</t>
  </si>
  <si>
    <t>113</t>
  </si>
  <si>
    <t>70.3.2.1.02.02</t>
  </si>
  <si>
    <t>06-000021</t>
  </si>
  <si>
    <t>Costo Operativo - Residuos No Peligrosos - Planta UCSM</t>
  </si>
  <si>
    <t>06-000022</t>
  </si>
  <si>
    <t>Pallet de madera lupuna 1.50 x 1.12 - taco</t>
  </si>
  <si>
    <t>20558203332</t>
  </si>
  <si>
    <t>ISC INGENIERIA DEL SUR S.A.C.</t>
  </si>
  <si>
    <t>59</t>
  </si>
  <si>
    <t>06-000023</t>
  </si>
  <si>
    <t>IBC s plástico vacío cap. 1,000 litros - transparente</t>
  </si>
  <si>
    <t>20607095788</t>
  </si>
  <si>
    <t>TJM EQUIPOS Y CONSTRUCCION SOCIEDAD COMERCIAL DE RESPONSABILIDAD LIMITADA</t>
  </si>
  <si>
    <t>06-000024</t>
  </si>
  <si>
    <t>32</t>
  </si>
  <si>
    <t>06-000025</t>
  </si>
  <si>
    <t>20603065906</t>
  </si>
  <si>
    <t>COMERCIO SERVICIOS E INVERSIONES YANCE E.I.R.L.</t>
  </si>
  <si>
    <t>33</t>
  </si>
  <si>
    <t>06-000026</t>
  </si>
  <si>
    <t>17</t>
  </si>
  <si>
    <t>06-000027</t>
  </si>
  <si>
    <t>Costo de Disposición - Residuos No Peligrosos menor a 3 TN</t>
  </si>
  <si>
    <t>115</t>
  </si>
  <si>
    <t>06-000028</t>
  </si>
  <si>
    <t>Costo Administrativo - Residuos Peligrosos    Transportes Libertad S.A.C.</t>
  </si>
  <si>
    <t>116</t>
  </si>
  <si>
    <t>06-000029</t>
  </si>
  <si>
    <t>Costo Operativo por servicio</t>
  </si>
  <si>
    <t>20120858425</t>
  </si>
  <si>
    <t>POWER S.A.C.</t>
  </si>
  <si>
    <t>117</t>
  </si>
  <si>
    <t>06-000030</t>
  </si>
  <si>
    <t>Costo de Disposición - Residuos No Peligrosos</t>
  </si>
  <si>
    <t>06-000031</t>
  </si>
  <si>
    <t>06-000032</t>
  </si>
  <si>
    <t>120</t>
  </si>
  <si>
    <t>06-000033</t>
  </si>
  <si>
    <t>FFN1</t>
  </si>
  <si>
    <t>8</t>
  </si>
  <si>
    <t>06-000034</t>
  </si>
  <si>
    <t>9</t>
  </si>
  <si>
    <t>06-000035</t>
  </si>
  <si>
    <t>Servicio de disposición de residuos según OC 270-OC00007331</t>
  </si>
  <si>
    <t>121</t>
  </si>
  <si>
    <t>06-000036</t>
  </si>
  <si>
    <t>Costo Operativo - Residuos Peligrosos según OC 270-OC00007332</t>
  </si>
  <si>
    <t>123</t>
  </si>
  <si>
    <t>06-000037</t>
  </si>
  <si>
    <t>Madera</t>
  </si>
  <si>
    <t>61</t>
  </si>
  <si>
    <t>06-000038</t>
  </si>
  <si>
    <t>34</t>
  </si>
  <si>
    <t>06-000039</t>
  </si>
  <si>
    <t>124</t>
  </si>
  <si>
    <t>06-000040</t>
  </si>
  <si>
    <t>Chatarra metálica - viruta</t>
  </si>
  <si>
    <t>62</t>
  </si>
  <si>
    <t>06-000041</t>
  </si>
  <si>
    <t>20603577079</t>
  </si>
  <si>
    <t>ENVASES CAROLINA S.A.C.</t>
  </si>
  <si>
    <t>63</t>
  </si>
  <si>
    <t>06-000042</t>
  </si>
  <si>
    <t>Cartón</t>
  </si>
  <si>
    <t>20455283915</t>
  </si>
  <si>
    <t>EMPRESA CONSERVADORA AMBIENTAL DEL SUR E.I.R.L. - ECA SUR E.I.R.L.</t>
  </si>
  <si>
    <t>64</t>
  </si>
  <si>
    <t>06-000043</t>
  </si>
  <si>
    <t>Tucos - conos</t>
  </si>
  <si>
    <t>65</t>
  </si>
  <si>
    <t>06-000044</t>
  </si>
  <si>
    <t>66</t>
  </si>
  <si>
    <t>06-000045</t>
  </si>
  <si>
    <t>06-000046</t>
  </si>
  <si>
    <t>68</t>
  </si>
  <si>
    <t>06-000047</t>
  </si>
  <si>
    <t>69</t>
  </si>
  <si>
    <t>06-000048</t>
  </si>
  <si>
    <t>06-000049</t>
  </si>
  <si>
    <t>71</t>
  </si>
  <si>
    <t>06-000050</t>
  </si>
  <si>
    <t>Plástico film transparente</t>
  </si>
  <si>
    <t>20558698048</t>
  </si>
  <si>
    <t>J&amp;R FAST CARGO E.I.R.L.</t>
  </si>
  <si>
    <t>06-000051</t>
  </si>
  <si>
    <t>Chatarra metálica - pesada</t>
  </si>
  <si>
    <t>35</t>
  </si>
  <si>
    <t>06-000052</t>
  </si>
  <si>
    <t>20100172543</t>
  </si>
  <si>
    <t>MOVITECNICA S A</t>
  </si>
  <si>
    <t>06-000053</t>
  </si>
  <si>
    <t>126</t>
  </si>
  <si>
    <t>06-000054</t>
  </si>
  <si>
    <t xml:space="preserve">Botella recicladora de malla metálica 800L
</t>
  </si>
  <si>
    <t>TUBERIAS Y GEOSISTEMAS DEL PERU SA</t>
  </si>
  <si>
    <t>73</t>
  </si>
  <si>
    <t>06-000055</t>
  </si>
  <si>
    <t>06-000056</t>
  </si>
  <si>
    <t>36</t>
  </si>
  <si>
    <t>06-000057</t>
  </si>
  <si>
    <t>20601119600</t>
  </si>
  <si>
    <t>INVERSIONES W.J.M. S.A.C.</t>
  </si>
  <si>
    <t>37</t>
  </si>
  <si>
    <t>06-000058</t>
  </si>
  <si>
    <t>38</t>
  </si>
  <si>
    <t>06-000059</t>
  </si>
  <si>
    <t>127</t>
  </si>
  <si>
    <t>06-000060</t>
  </si>
  <si>
    <t>20159473148</t>
  </si>
  <si>
    <t>PESQUERA DIAMANTE S.A.</t>
  </si>
  <si>
    <t>128</t>
  </si>
  <si>
    <t>06-000061</t>
  </si>
  <si>
    <t>20496535066</t>
  </si>
  <si>
    <t>CORP.ELECTROMECANICA EN ING.Y CONSTR.SAC</t>
  </si>
  <si>
    <t>129</t>
  </si>
  <si>
    <t>06-000062</t>
  </si>
  <si>
    <t>130</t>
  </si>
  <si>
    <t>06-000063</t>
  </si>
  <si>
    <t>131</t>
  </si>
  <si>
    <t>06-000064</t>
  </si>
  <si>
    <t>75</t>
  </si>
  <si>
    <t>06-000065</t>
  </si>
  <si>
    <t>06-000066</t>
  </si>
  <si>
    <t>Chatarra metálica - liviana</t>
  </si>
  <si>
    <t>06-000067</t>
  </si>
  <si>
    <t>39</t>
  </si>
  <si>
    <t>06-000068</t>
  </si>
  <si>
    <t>06-000069</t>
  </si>
  <si>
    <t>132</t>
  </si>
  <si>
    <t>06-000070</t>
  </si>
  <si>
    <t>Servicio de disposición de residuos según OC</t>
  </si>
  <si>
    <t>133</t>
  </si>
  <si>
    <t>06-000071</t>
  </si>
  <si>
    <t>77</t>
  </si>
  <si>
    <t>06-000072</t>
  </si>
  <si>
    <t>78</t>
  </si>
  <si>
    <t>06-000073</t>
  </si>
  <si>
    <t>79</t>
  </si>
  <si>
    <t>06-000074</t>
  </si>
  <si>
    <t>06-000075</t>
  </si>
  <si>
    <t>134</t>
  </si>
  <si>
    <t>06-000076</t>
  </si>
  <si>
    <t>20455825742</t>
  </si>
  <si>
    <t>LIVIGUI PERU S.A.C.</t>
  </si>
  <si>
    <t>135</t>
  </si>
  <si>
    <t>06-000077</t>
  </si>
  <si>
    <t>06-000078</t>
  </si>
  <si>
    <t>20100211115</t>
  </si>
  <si>
    <t>FAB DE CHOCOLATES LA IBERICA S A</t>
  </si>
  <si>
    <t>137</t>
  </si>
  <si>
    <t>06-000079</t>
  </si>
  <si>
    <t>06-000080</t>
  </si>
  <si>
    <t>06-000081</t>
  </si>
  <si>
    <t>Pallet de madera pino curvo 1.25 x 1.12</t>
  </si>
  <si>
    <t>20454205660</t>
  </si>
  <si>
    <t>AQP NEGOCIOS GENERALES S.A.</t>
  </si>
  <si>
    <t>81</t>
  </si>
  <si>
    <t>06-000082</t>
  </si>
  <si>
    <t>82</t>
  </si>
  <si>
    <t>06-000083</t>
  </si>
  <si>
    <t>140</t>
  </si>
  <si>
    <t>06-000084</t>
  </si>
  <si>
    <t>141</t>
  </si>
  <si>
    <t>06-000085</t>
  </si>
  <si>
    <t>Pallet de madera curvo 1.05 x 1.05</t>
  </si>
  <si>
    <t>20206432692</t>
  </si>
  <si>
    <t>LATINOAMERICANA EIR LTDA</t>
  </si>
  <si>
    <t>83</t>
  </si>
  <si>
    <t>06-000086</t>
  </si>
  <si>
    <t>84</t>
  </si>
  <si>
    <t>06-000087</t>
  </si>
  <si>
    <t>Botella PET</t>
  </si>
  <si>
    <t>20606592494</t>
  </si>
  <si>
    <t>RESIGRALE S.R.L.</t>
  </si>
  <si>
    <t>6</t>
  </si>
  <si>
    <t>06-000088</t>
  </si>
  <si>
    <t>06-000089</t>
  </si>
  <si>
    <t>Chatarra metálica</t>
  </si>
  <si>
    <t>06-000090</t>
  </si>
  <si>
    <t>Papel blanco</t>
  </si>
  <si>
    <t>41</t>
  </si>
  <si>
    <t>42</t>
  </si>
  <si>
    <t>43</t>
  </si>
  <si>
    <t>20553956324</t>
  </si>
  <si>
    <t>ALQUIMODUL SOCIEDAD ANONIMA CERRADA</t>
  </si>
  <si>
    <t>143</t>
  </si>
  <si>
    <t>20523573226</t>
  </si>
  <si>
    <t>CBB PERU S.A.</t>
  </si>
  <si>
    <t>144</t>
  </si>
  <si>
    <t>145</t>
  </si>
  <si>
    <t>149</t>
  </si>
  <si>
    <t>86</t>
  </si>
  <si>
    <t>07-000015</t>
  </si>
  <si>
    <t>07-000016</t>
  </si>
  <si>
    <t>152</t>
  </si>
  <si>
    <t>07-000018</t>
  </si>
  <si>
    <t>154</t>
  </si>
  <si>
    <t>07-000019</t>
  </si>
  <si>
    <t>155</t>
  </si>
  <si>
    <t>07-000020</t>
  </si>
  <si>
    <t>156</t>
  </si>
  <si>
    <t>07-000021</t>
  </si>
  <si>
    <t>157</t>
  </si>
  <si>
    <t>158</t>
  </si>
  <si>
    <t>159</t>
  </si>
  <si>
    <t>07-000024</t>
  </si>
  <si>
    <t>Costo Operativo - Limpieza de Caja Trampa</t>
  </si>
  <si>
    <t>161</t>
  </si>
  <si>
    <t>70.3.2.1.02.01</t>
  </si>
  <si>
    <t>162</t>
  </si>
  <si>
    <t>07-000027</t>
  </si>
  <si>
    <t>163</t>
  </si>
  <si>
    <t>07-000028</t>
  </si>
  <si>
    <t>164</t>
  </si>
  <si>
    <t>165</t>
  </si>
  <si>
    <t>166</t>
  </si>
  <si>
    <t>20505897812</t>
  </si>
  <si>
    <t>CORPORACION PERUANA DE RESTAURANTES S.A.C.</t>
  </si>
  <si>
    <t>167</t>
  </si>
  <si>
    <t>168</t>
  </si>
  <si>
    <t>87</t>
  </si>
  <si>
    <t>Costo Operativo - Transporte de Carga - Local</t>
  </si>
  <si>
    <t>169</t>
  </si>
  <si>
    <t>07-000036</t>
  </si>
  <si>
    <t>170</t>
  </si>
  <si>
    <t>Costo Operativo - Alquiler de Maquinaria</t>
  </si>
  <si>
    <t>20454603479</t>
  </si>
  <si>
    <t>TRANSPORTES HERMAN S.R.L.</t>
  </si>
  <si>
    <t>171</t>
  </si>
  <si>
    <t>10740730628</t>
  </si>
  <si>
    <t>GUZMAN ZUÑIGA KATHIA DANIELA</t>
  </si>
  <si>
    <t>172</t>
  </si>
  <si>
    <t>173</t>
  </si>
  <si>
    <t>20548863571</t>
  </si>
  <si>
    <t>COMPAÑIA DE INGENIERIA ESPECIALIZADA S.A.C.</t>
  </si>
  <si>
    <t>174</t>
  </si>
  <si>
    <t>20120788389</t>
  </si>
  <si>
    <t>CARMEN INMUEBLES S.A.</t>
  </si>
  <si>
    <t>176</t>
  </si>
  <si>
    <t>177</t>
  </si>
  <si>
    <t>178</t>
  </si>
  <si>
    <t>88</t>
  </si>
  <si>
    <t>89</t>
  </si>
  <si>
    <t>90</t>
  </si>
  <si>
    <t>91</t>
  </si>
  <si>
    <t>93</t>
  </si>
  <si>
    <t>92</t>
  </si>
  <si>
    <t>94</t>
  </si>
  <si>
    <t>47</t>
  </si>
  <si>
    <t>07-000055</t>
  </si>
  <si>
    <t>179</t>
  </si>
  <si>
    <t>07-000056</t>
  </si>
  <si>
    <t>180</t>
  </si>
  <si>
    <t>95</t>
  </si>
  <si>
    <t>96</t>
  </si>
  <si>
    <t>181</t>
  </si>
  <si>
    <t>97</t>
  </si>
  <si>
    <t>98</t>
  </si>
  <si>
    <t>20498309713</t>
  </si>
  <si>
    <t>SCOMAR S.R.L.</t>
  </si>
  <si>
    <t>99</t>
  </si>
  <si>
    <t>182</t>
  </si>
  <si>
    <t>183</t>
  </si>
  <si>
    <t>20424092941</t>
  </si>
  <si>
    <t>TRANSPORTES PEREDA S.R.L.</t>
  </si>
  <si>
    <t>100</t>
  </si>
  <si>
    <t>48</t>
  </si>
  <si>
    <t>49</t>
  </si>
  <si>
    <t>185</t>
  </si>
  <si>
    <t>50</t>
  </si>
  <si>
    <t>Vidrio reciclado - transparente</t>
  </si>
  <si>
    <t>20550891086</t>
  </si>
  <si>
    <t>SANTOS CHAVARRIA VEGA E.I.R.L.</t>
  </si>
  <si>
    <t>101</t>
  </si>
  <si>
    <t>20121393736</t>
  </si>
  <si>
    <t>EMPRESA YURA SRL</t>
  </si>
  <si>
    <t>186</t>
  </si>
  <si>
    <t>20604044082</t>
  </si>
  <si>
    <t>KONTROL R &amp; M PERU S.A.C.</t>
  </si>
  <si>
    <t>187</t>
  </si>
  <si>
    <t>20454377011</t>
  </si>
  <si>
    <t>ROHA CONSTRUCCION Y MINERIA S.A.C.</t>
  </si>
  <si>
    <t>20138861300</t>
  </si>
  <si>
    <t>ADRA PERU</t>
  </si>
  <si>
    <t>102</t>
  </si>
  <si>
    <t>51</t>
  </si>
  <si>
    <t>196</t>
  </si>
  <si>
    <t>199</t>
  </si>
  <si>
    <t>200</t>
  </si>
  <si>
    <t>202</t>
  </si>
  <si>
    <t>08-000012</t>
  </si>
  <si>
    <t>203</t>
  </si>
  <si>
    <t>204</t>
  </si>
  <si>
    <t>205</t>
  </si>
  <si>
    <t>206</t>
  </si>
  <si>
    <t>207</t>
  </si>
  <si>
    <t>20100383919</t>
  </si>
  <si>
    <t>STIERLIFT S.A.</t>
  </si>
  <si>
    <t>208</t>
  </si>
  <si>
    <t>20552714378</t>
  </si>
  <si>
    <t>COSAPI MINERIA S.A.C.</t>
  </si>
  <si>
    <t>209</t>
  </si>
  <si>
    <t>20612478920</t>
  </si>
  <si>
    <t>SAFECON PERU E.I.R.L.</t>
  </si>
  <si>
    <t>210</t>
  </si>
  <si>
    <t>20515758659</t>
  </si>
  <si>
    <t>ESTRELLA GOLD PERU S.A.C.</t>
  </si>
  <si>
    <t>211</t>
  </si>
  <si>
    <t>20565347099</t>
  </si>
  <si>
    <t>HAM CRIOGENICA PERU S.A.C.</t>
  </si>
  <si>
    <t>212</t>
  </si>
  <si>
    <t>213</t>
  </si>
  <si>
    <t>20477233458</t>
  </si>
  <si>
    <t>SANCHEZ RICO INGENIERIA Y CONSTRUCCION S.A.C.</t>
  </si>
  <si>
    <t>214</t>
  </si>
  <si>
    <t>Costo Operativo - RCD</t>
  </si>
  <si>
    <t>20558353814</t>
  </si>
  <si>
    <t>TACONSER E.I.R.L.</t>
  </si>
  <si>
    <t>215</t>
  </si>
  <si>
    <t>70.3.2.1.01.05</t>
  </si>
  <si>
    <t>20161541991</t>
  </si>
  <si>
    <t>ASOCIACION TECSUP Nº2</t>
  </si>
  <si>
    <t>216</t>
  </si>
  <si>
    <t>Costo Operativo - RAEE</t>
  </si>
  <si>
    <t>70.3.2.1.01.04</t>
  </si>
  <si>
    <t>218</t>
  </si>
  <si>
    <t>219</t>
  </si>
  <si>
    <t>220</t>
  </si>
  <si>
    <t>222</t>
  </si>
  <si>
    <t>224</t>
  </si>
  <si>
    <t>225</t>
  </si>
  <si>
    <t>226</t>
  </si>
  <si>
    <t>122</t>
  </si>
  <si>
    <t>227</t>
  </si>
  <si>
    <t>botella Pet</t>
  </si>
  <si>
    <t>Cartón en Desuso</t>
  </si>
  <si>
    <t>Chatarra Metalica</t>
  </si>
  <si>
    <t>Papel Blanco</t>
  </si>
  <si>
    <t>Papel Mixto</t>
  </si>
  <si>
    <t xml:space="preserve"> UNIVERSIDAD CATOLICA DE SANTA MARIA </t>
  </si>
  <si>
    <t>230</t>
  </si>
  <si>
    <t>231</t>
  </si>
  <si>
    <t>20549457879</t>
  </si>
  <si>
    <t xml:space="preserve"> ELEO ARQUITECTURA Y CONSTRUCCION S.A.C </t>
  </si>
  <si>
    <t>232</t>
  </si>
  <si>
    <t xml:space="preserve"> ALEACIONES FERROSAS Y METALICAS S.A.C. </t>
  </si>
  <si>
    <t xml:space="preserve"> PESQUERA DIAMANTE S.A. </t>
  </si>
  <si>
    <t>233</t>
  </si>
  <si>
    <t xml:space="preserve"> TACONSER E.I.R.L. </t>
  </si>
  <si>
    <t>234</t>
  </si>
  <si>
    <t xml:space="preserve"> CARMEN INMUEBLES S.A. </t>
  </si>
  <si>
    <t>235</t>
  </si>
  <si>
    <t>20462509236</t>
  </si>
  <si>
    <t xml:space="preserve"> UNIVERSIDAD TECNOLOGICA DEL PERU S.A.C. O UTP S.A.C. </t>
  </si>
  <si>
    <t xml:space="preserve"> ANTILLA COPPER SOCIEDAD ANONIMA </t>
  </si>
  <si>
    <t>238</t>
  </si>
  <si>
    <t>Chatarra metálica - mixta</t>
  </si>
  <si>
    <t xml:space="preserve"> COMERCIO SERVICIOS E INVERSIONES YANCE E.I.R.L. </t>
  </si>
  <si>
    <t>26</t>
  </si>
  <si>
    <t>239</t>
  </si>
  <si>
    <t>240</t>
  </si>
  <si>
    <t>241</t>
  </si>
  <si>
    <t xml:space="preserve"> TRANSPORTES PEREDA S.R.L. </t>
  </si>
  <si>
    <t xml:space="preserve"> COSAPI MINERIA S.A.C. </t>
  </si>
  <si>
    <t>242</t>
  </si>
  <si>
    <t>243</t>
  </si>
  <si>
    <t xml:space="preserve"> ESTRELLA GOLD PERU S.A.C. </t>
  </si>
  <si>
    <t>244</t>
  </si>
  <si>
    <t xml:space="preserve"> EMPRESA SIDERURGICA DEL PERU S.A.A. </t>
  </si>
  <si>
    <t xml:space="preserve"> ISC INGENIERIA DEL SUR S.A.C. </t>
  </si>
  <si>
    <t xml:space="preserve"> ACTIVA SERVICIOS GASTRONOMICOS S.R.L. </t>
  </si>
  <si>
    <t>245</t>
  </si>
  <si>
    <t>246</t>
  </si>
  <si>
    <t>247</t>
  </si>
  <si>
    <t>248</t>
  </si>
  <si>
    <t xml:space="preserve"> INCA TOPS S.A. </t>
  </si>
  <si>
    <t>249</t>
  </si>
  <si>
    <t>16</t>
  </si>
  <si>
    <t>20611781777</t>
  </si>
  <si>
    <t xml:space="preserve"> ZELIG INGENIEROS S.A.C. </t>
  </si>
  <si>
    <t>250</t>
  </si>
  <si>
    <t>251</t>
  </si>
  <si>
    <t>252</t>
  </si>
  <si>
    <t>253</t>
  </si>
  <si>
    <t xml:space="preserve"> SANTOS CHAVARRIA VEGA E.I.R.L. </t>
  </si>
  <si>
    <t xml:space="preserve"> LATINOAMERICANA EIR LTDA </t>
  </si>
  <si>
    <t>255</t>
  </si>
  <si>
    <t>256</t>
  </si>
  <si>
    <t>257</t>
  </si>
  <si>
    <t>259</t>
  </si>
  <si>
    <t>260</t>
  </si>
  <si>
    <t>FFN2</t>
  </si>
  <si>
    <t>262</t>
  </si>
  <si>
    <t>20326811662</t>
  </si>
  <si>
    <t xml:space="preserve"> INCOP INGENIEROS SOCIEDAD COMERCIAL DE RESPONSABILIDAD LIMITADA - INCOP INGENIEROS S.R.L. </t>
  </si>
  <si>
    <t>20510495781</t>
  </si>
  <si>
    <t xml:space="preserve"> EXCEL: SERVICIOS GENERALES Y ACONDICIONAMIENTO S.A.C. </t>
  </si>
  <si>
    <t>265</t>
  </si>
  <si>
    <t>20455278750</t>
  </si>
  <si>
    <t xml:space="preserve"> CONTRATISTAS OBRAS INGENIERIA MINERIA Y SERVICIOS S.A.C. - COIMSER S.A.C. </t>
  </si>
  <si>
    <t>266</t>
  </si>
  <si>
    <t xml:space="preserve"> EMPRESA CONSERVADORA AMBIENTAL DEL SUR E.I.R.L. - ECA SUR E.I.R.L. </t>
  </si>
  <si>
    <t>267</t>
  </si>
  <si>
    <t>268</t>
  </si>
  <si>
    <t xml:space="preserve"> FAB DE CHOCOLATES LA IBERICA S A </t>
  </si>
  <si>
    <t>272</t>
  </si>
  <si>
    <t>273</t>
  </si>
  <si>
    <t xml:space="preserve"> DANPER TRUJILLO S.A.C. </t>
  </si>
  <si>
    <t>274</t>
  </si>
  <si>
    <t>275</t>
  </si>
  <si>
    <t>276</t>
  </si>
  <si>
    <t xml:space="preserve"> J&amp;R FAST CARGO E.I.R.L. </t>
  </si>
  <si>
    <t>20498459791</t>
  </si>
  <si>
    <t xml:space="preserve"> INDUSTRIA DEL REENCAUCHE S.A.C. </t>
  </si>
  <si>
    <t>277</t>
  </si>
  <si>
    <t>279</t>
  </si>
  <si>
    <t>280</t>
  </si>
  <si>
    <t>282</t>
  </si>
  <si>
    <t>283</t>
  </si>
  <si>
    <t xml:space="preserve"> INGENIERIA SERVICIOS Y SOLUCIONES APLICADAS ISSA PERU S.A.C. - ISSA PERU S.A.C. </t>
  </si>
  <si>
    <t>284</t>
  </si>
  <si>
    <t>20454430868</t>
  </si>
  <si>
    <t xml:space="preserve"> TRANSPORTES HERMANOS CHASQUI S.R.L. </t>
  </si>
  <si>
    <t>18</t>
  </si>
  <si>
    <t>285</t>
  </si>
  <si>
    <t>286</t>
  </si>
  <si>
    <t>287</t>
  </si>
  <si>
    <t xml:space="preserve"> J. CH. COMERCIALIZADORA DE RESIDUOS SOLIDOS S.R.L. </t>
  </si>
  <si>
    <t>288</t>
  </si>
  <si>
    <t>289</t>
  </si>
  <si>
    <t>Pallet de madera 1.20 x 1.00</t>
  </si>
  <si>
    <t>290</t>
  </si>
  <si>
    <t>291</t>
  </si>
  <si>
    <t>2</t>
  </si>
  <si>
    <t xml:space="preserve"> INVERSIONES W.J.M. S.A.C. </t>
  </si>
  <si>
    <t>293</t>
  </si>
  <si>
    <t>294</t>
  </si>
  <si>
    <t>295</t>
  </si>
  <si>
    <t xml:space="preserve"> CORPORACION PERUANA DE RESTAURANTES S.A.C. </t>
  </si>
  <si>
    <t>296</t>
  </si>
  <si>
    <t>20100322456</t>
  </si>
  <si>
    <t xml:space="preserve"> IMPORTADORA DE RODAMIENTOS S.A.C. </t>
  </si>
  <si>
    <t>297</t>
  </si>
  <si>
    <t xml:space="preserve"> ASOCIACION TECSUP Nº2 </t>
  </si>
  <si>
    <t>298</t>
  </si>
  <si>
    <t>20610105620</t>
  </si>
  <si>
    <t xml:space="preserve"> STRACON PERÚ S.A. </t>
  </si>
  <si>
    <t>299</t>
  </si>
  <si>
    <t>300</t>
  </si>
  <si>
    <t xml:space="preserve"> SCOMAR S.R.L. </t>
  </si>
  <si>
    <t>Costo Operativo - Residuos Biocontaminados</t>
  </si>
  <si>
    <t xml:space="preserve"> HAM CRIOGENICA PERU S.A.C. </t>
  </si>
  <si>
    <t>303</t>
  </si>
  <si>
    <t xml:space="preserve"> MOVITECNICA S A </t>
  </si>
  <si>
    <t>304</t>
  </si>
  <si>
    <t xml:space="preserve"> GUZMAN ZUÑIGA KATHIA DANIELA </t>
  </si>
  <si>
    <t>19</t>
  </si>
  <si>
    <t xml:space="preserve"> LIVIGUI PERU S.A.C. </t>
  </si>
  <si>
    <t>20454422253</t>
  </si>
  <si>
    <t xml:space="preserve"> INGENIERIA ELECTROMECANICA Y MAQUINAS G &amp; R SOCIEDAD ANONIMA CERRADA - G &amp; R MAQUINAS S.A.C. </t>
  </si>
  <si>
    <t>20</t>
  </si>
  <si>
    <t>302</t>
  </si>
  <si>
    <t>306</t>
  </si>
  <si>
    <t>307</t>
  </si>
  <si>
    <t>21</t>
  </si>
  <si>
    <t>22</t>
  </si>
  <si>
    <t>20545697697</t>
  </si>
  <si>
    <t>SERVICIOS COMPARTIDOS DE RESTAURANTES S.A.C.</t>
  </si>
  <si>
    <t>308</t>
  </si>
  <si>
    <t>309</t>
  </si>
  <si>
    <t>310</t>
  </si>
  <si>
    <t>311</t>
  </si>
  <si>
    <t>23</t>
  </si>
  <si>
    <t>Plástico film color</t>
  </si>
  <si>
    <t>312</t>
  </si>
  <si>
    <t>Caja Envaplaster</t>
  </si>
  <si>
    <t>20498513833</t>
  </si>
  <si>
    <t>ALIMENTOS BALANCEADOS DEL PERU S.A.C.</t>
  </si>
  <si>
    <t>315</t>
  </si>
  <si>
    <t>316</t>
  </si>
  <si>
    <t>317</t>
  </si>
  <si>
    <t>318</t>
  </si>
  <si>
    <t>Productos Terminados - RRSS</t>
  </si>
  <si>
    <t>70.3.2.1.01.03</t>
  </si>
  <si>
    <t>Anexo_4</t>
  </si>
  <si>
    <t>Analisis de datos</t>
  </si>
  <si>
    <t>Datos generales</t>
  </si>
  <si>
    <t>Cantidad por tipo de gasto</t>
  </si>
  <si>
    <t>Cantidad IGV compras</t>
  </si>
  <si>
    <t>Agosto</t>
  </si>
  <si>
    <t>tab 9</t>
  </si>
  <si>
    <t>Cantidad de compras total</t>
  </si>
  <si>
    <t>tab 4</t>
  </si>
  <si>
    <t>tab 7</t>
  </si>
  <si>
    <t>Etiquetas de fila</t>
  </si>
  <si>
    <t>Suma de TOTAL</t>
  </si>
  <si>
    <t>tab 3</t>
  </si>
  <si>
    <t>Etiquetas de columna</t>
  </si>
  <si>
    <t>Suma de IGV (18%)</t>
  </si>
  <si>
    <t>Suma de IGV (10%)</t>
  </si>
  <si>
    <t>G. ADMINISTRACIÓN</t>
  </si>
  <si>
    <t>G. FINANCIEROS</t>
  </si>
  <si>
    <t>G. VENTAS</t>
  </si>
  <si>
    <t>OPERACIONES</t>
  </si>
  <si>
    <t>Total general</t>
  </si>
  <si>
    <t>Junio</t>
  </si>
  <si>
    <t>Julio</t>
  </si>
  <si>
    <t>G.OPERACIONES</t>
  </si>
  <si>
    <t>Residuos facturados</t>
  </si>
  <si>
    <t>Servicios Facturados</t>
  </si>
  <si>
    <t>Mejores clientes</t>
  </si>
  <si>
    <t>Anexo_5</t>
  </si>
  <si>
    <t xml:space="preserve">ventas </t>
  </si>
  <si>
    <t>(Todas)</t>
  </si>
  <si>
    <t>Suma de BASE IMPONIBLE (18%)</t>
  </si>
  <si>
    <t>BASE IMPONIBLE</t>
  </si>
  <si>
    <t>fecha</t>
  </si>
  <si>
    <t>periodo</t>
  </si>
  <si>
    <t>reg</t>
  </si>
  <si>
    <t>asiento</t>
  </si>
  <si>
    <t>area</t>
  </si>
  <si>
    <t>c_costos</t>
  </si>
  <si>
    <t>area_solicitante</t>
  </si>
  <si>
    <t>glosa</t>
  </si>
  <si>
    <t>ruc</t>
  </si>
  <si>
    <t>razon_social</t>
  </si>
  <si>
    <t>cod_doc</t>
  </si>
  <si>
    <t>descrip_cod</t>
  </si>
  <si>
    <t>serie</t>
  </si>
  <si>
    <t>numero</t>
  </si>
  <si>
    <t>base_imponible_18</t>
  </si>
  <si>
    <t>base_imponible_10</t>
  </si>
  <si>
    <t>igv_18</t>
  </si>
  <si>
    <t>igv_10</t>
  </si>
  <si>
    <t>base_no_grabada</t>
  </si>
  <si>
    <t>total</t>
  </si>
  <si>
    <t>nro_detraccion</t>
  </si>
  <si>
    <t>fecha_detraccion</t>
  </si>
  <si>
    <t>tipo_doc_ref</t>
  </si>
  <si>
    <t>serie_ref</t>
  </si>
  <si>
    <t>doc_ref</t>
  </si>
  <si>
    <t>cuenta</t>
  </si>
  <si>
    <t>descripcion</t>
  </si>
  <si>
    <t>gastos_operativos_kpi</t>
  </si>
  <si>
    <t>descrip_doc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</si>
</sst>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S/&quot;\ * #,##0.00_-;\-&quot;S/&quot;\ * #,##0.00_-;_-&quot;S/&quot;\ * &quot;-&quot;??_-;_-@_-"/>
    <numFmt numFmtId="43" formatCode="_-* #,##0.00_-;\-* #,##0.00_-;_-* &quot;-&quot;??_-;_-@_-"/>
    <numFmt numFmtId="164" formatCode="_ &quot;S/&quot;* #,##0.00_ ;_ &quot;S/&quot;* \-#,##0.00_ ;_ &quot;S/&quot;* &quot;-&quot;??_ ;_ @_ "/>
    <numFmt numFmtId="165" formatCode="_ * #,##0.00_ ;_ * \-#,##0.00_ ;_ * &quot;-&quot;??_ ;_ @_ "/>
    <numFmt numFmtId="166" formatCode="&quot;S/&quot;\ #,##0.00"/>
    <numFmt numFmtId="167" formatCode="#,##0.00_ ;\-#,##0.00\ "/>
    <numFmt numFmtId="168" formatCode="0.000"/>
    <numFmt numFmtId="169" formatCode="#,##0.000"/>
    <numFmt numFmtId="170" formatCode="_-&quot;S/&quot;\ * #,##0_-;\-&quot;S/&quot;\ * #,##0_-;_-&quot;S/&quot;\ * &quot;-&quot;??_-;_-@_-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Arial Nova"/>
      <family val="2"/>
    </font>
    <font>
      <i/>
      <sz val="12"/>
      <color theme="1"/>
      <name val="Arial Nova"/>
      <family val="2"/>
    </font>
    <font>
      <i/>
      <sz val="9"/>
      <color theme="1"/>
      <name val="Arial Nova"/>
      <family val="2"/>
    </font>
    <font>
      <b/>
      <i/>
      <sz val="14"/>
      <color theme="1"/>
      <name val="Arial Nova"/>
      <family val="2"/>
    </font>
    <font>
      <b/>
      <i/>
      <sz val="11"/>
      <color theme="1"/>
      <name val="Arial Nova"/>
      <family val="2"/>
    </font>
    <font>
      <sz val="11"/>
      <color theme="1"/>
      <name val="Calibri"/>
      <family val="2"/>
      <scheme val="minor"/>
    </font>
    <font>
      <b/>
      <i/>
      <sz val="9"/>
      <name val="Arial Nova"/>
      <family val="2"/>
    </font>
    <font>
      <sz val="9"/>
      <color theme="1"/>
      <name val="Arial Nova"/>
      <family val="2"/>
    </font>
    <font>
      <i/>
      <sz val="9"/>
      <color theme="1"/>
      <name val="Arial"/>
      <family val="2"/>
    </font>
    <font>
      <b/>
      <i/>
      <sz val="11"/>
      <color theme="0"/>
      <name val="Arial Nova"/>
      <family val="2"/>
    </font>
    <font>
      <b/>
      <i/>
      <sz val="9"/>
      <color theme="1"/>
      <name val="Arial"/>
      <family val="2"/>
    </font>
    <font>
      <sz val="8"/>
      <color theme="1"/>
      <name val="Arial Nova"/>
      <family val="2"/>
    </font>
    <font>
      <b/>
      <sz val="8"/>
      <color theme="1"/>
      <name val="Arial Nova"/>
      <family val="2"/>
    </font>
    <font>
      <b/>
      <sz val="9"/>
      <color theme="1"/>
      <name val="Arial Nova"/>
      <family val="2"/>
    </font>
    <font>
      <b/>
      <sz val="8"/>
      <color rgb="FF7030A0"/>
      <name val="Arial Nova"/>
      <family val="2"/>
    </font>
    <font>
      <sz val="8"/>
      <name val="Calibri"/>
      <family val="2"/>
      <scheme val="minor"/>
    </font>
    <font>
      <b/>
      <sz val="8"/>
      <name val="Arial Nova"/>
      <family val="2"/>
    </font>
    <font>
      <sz val="11"/>
      <color theme="0"/>
      <name val="Arial Nova"/>
      <family val="2"/>
    </font>
    <font>
      <sz val="9"/>
      <color theme="1"/>
      <name val="Arial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b/>
      <i/>
      <sz val="9"/>
      <name val="Arial"/>
      <family val="2"/>
    </font>
    <font>
      <sz val="9"/>
      <color theme="0"/>
      <name val="Arial"/>
      <family val="2"/>
    </font>
    <font>
      <sz val="11"/>
      <color theme="0"/>
      <name val="Calibri"/>
      <family val="2"/>
      <scheme val="minor"/>
    </font>
    <font>
      <sz val="9"/>
      <color theme="0"/>
      <name val="Arial Nova"/>
      <family val="2"/>
    </font>
    <font>
      <sz val="9"/>
      <color rgb="FF000000"/>
      <name val="Arial"/>
      <family val="2"/>
    </font>
    <font>
      <sz val="11"/>
      <name val="Arial Nova"/>
      <family val="2"/>
    </font>
    <font>
      <sz val="11"/>
      <color theme="0" tint="-4.9989318521683403E-2"/>
      <name val="Arial Nova"/>
      <family val="2"/>
    </font>
    <font>
      <sz val="9"/>
      <name val="Arial"/>
      <family val="2"/>
    </font>
    <font>
      <sz val="11"/>
      <name val="Calibri"/>
      <family val="2"/>
      <scheme val="minor"/>
    </font>
    <font>
      <b/>
      <i/>
      <sz val="11"/>
      <color rgb="FFD9D9D9"/>
      <name val="Arial Nova"/>
      <family val="2"/>
    </font>
  </fonts>
  <fills count="13">
    <fill>
      <patternFill patternType="none"/>
    </fill>
    <fill>
      <patternFill patternType="gray125"/>
    </fill>
    <fill>
      <patternFill patternType="solid">
        <fgColor rgb="FF11680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72B73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72B730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7">
    <border>
      <left/>
      <right/>
      <top/>
      <bottom/>
      <diagonal/>
    </border>
    <border>
      <left style="thin">
        <color rgb="FF11680F"/>
      </left>
      <right/>
      <top style="thin">
        <color rgb="FF11680F"/>
      </top>
      <bottom style="thin">
        <color rgb="FF11680F"/>
      </bottom>
      <diagonal/>
    </border>
    <border>
      <left/>
      <right/>
      <top style="thin">
        <color rgb="FF11680F"/>
      </top>
      <bottom/>
      <diagonal/>
    </border>
    <border>
      <left style="thin">
        <color rgb="FF0B7536"/>
      </left>
      <right style="thin">
        <color rgb="FF0B7536"/>
      </right>
      <top style="thin">
        <color rgb="FF0B7536"/>
      </top>
      <bottom style="thin">
        <color rgb="FF0B7536"/>
      </bottom>
      <diagonal/>
    </border>
    <border>
      <left style="thin">
        <color rgb="FF11680F"/>
      </left>
      <right style="thin">
        <color rgb="FF11680F"/>
      </right>
      <top style="thin">
        <color rgb="FF11680F"/>
      </top>
      <bottom style="thin">
        <color rgb="FF11680F"/>
      </bottom>
      <diagonal/>
    </border>
    <border>
      <left/>
      <right style="thin">
        <color rgb="FF0B7536"/>
      </right>
      <top style="thin">
        <color rgb="FF0B7536"/>
      </top>
      <bottom style="thin">
        <color rgb="FF0B7536"/>
      </bottom>
      <diagonal/>
    </border>
    <border>
      <left style="thin">
        <color rgb="FF11680F"/>
      </left>
      <right style="thin">
        <color rgb="FF11680F"/>
      </right>
      <top style="thin">
        <color rgb="FF11680F"/>
      </top>
      <bottom/>
      <diagonal/>
    </border>
    <border>
      <left style="thin">
        <color rgb="FF11680F"/>
      </left>
      <right style="thin">
        <color rgb="FF11680F"/>
      </right>
      <top/>
      <bottom/>
      <diagonal/>
    </border>
    <border>
      <left style="thin">
        <color rgb="FF11680F"/>
      </left>
      <right style="thin">
        <color rgb="FF11680F"/>
      </right>
      <top/>
      <bottom style="thin">
        <color rgb="FF11680F"/>
      </bottom>
      <diagonal/>
    </border>
    <border>
      <left style="thin">
        <color rgb="FF11680F"/>
      </left>
      <right/>
      <top/>
      <bottom/>
      <diagonal/>
    </border>
    <border>
      <left/>
      <right style="thin">
        <color rgb="FF11680F"/>
      </right>
      <top style="thin">
        <color rgb="FF11680F"/>
      </top>
      <bottom style="thin">
        <color rgb="FF11680F"/>
      </bottom>
      <diagonal/>
    </border>
    <border>
      <left style="thin">
        <color rgb="FF0B7536"/>
      </left>
      <right/>
      <top style="thin">
        <color rgb="FF0B7536"/>
      </top>
      <bottom/>
      <diagonal/>
    </border>
    <border>
      <left/>
      <right/>
      <top style="thin">
        <color rgb="FF0B7536"/>
      </top>
      <bottom/>
      <diagonal/>
    </border>
    <border>
      <left/>
      <right style="thin">
        <color rgb="FF0B7536"/>
      </right>
      <top style="thin">
        <color rgb="FF0B7536"/>
      </top>
      <bottom/>
      <diagonal/>
    </border>
    <border>
      <left style="thin">
        <color rgb="FF0B7536"/>
      </left>
      <right/>
      <top/>
      <bottom/>
      <diagonal/>
    </border>
    <border>
      <left/>
      <right style="thin">
        <color rgb="FF0B7536"/>
      </right>
      <top/>
      <bottom/>
      <diagonal/>
    </border>
    <border>
      <left style="thin">
        <color rgb="FF0B7536"/>
      </left>
      <right/>
      <top/>
      <bottom style="thin">
        <color rgb="FF0B7536"/>
      </bottom>
      <diagonal/>
    </border>
    <border>
      <left/>
      <right/>
      <top/>
      <bottom style="thin">
        <color rgb="FF0B7536"/>
      </bottom>
      <diagonal/>
    </border>
    <border>
      <left/>
      <right style="thin">
        <color rgb="FF0B7536"/>
      </right>
      <top/>
      <bottom style="thin">
        <color rgb="FF0B7536"/>
      </bottom>
      <diagonal/>
    </border>
    <border>
      <left style="thin">
        <color rgb="FF11680F"/>
      </left>
      <right/>
      <top style="thin">
        <color rgb="FF11680F"/>
      </top>
      <bottom/>
      <diagonal/>
    </border>
    <border>
      <left/>
      <right style="thin">
        <color rgb="FF11680F"/>
      </right>
      <top style="thin">
        <color rgb="FF11680F"/>
      </top>
      <bottom/>
      <diagonal/>
    </border>
    <border>
      <left/>
      <right style="thin">
        <color rgb="FF11680F"/>
      </right>
      <top/>
      <bottom/>
      <diagonal/>
    </border>
    <border>
      <left style="thin">
        <color rgb="FF11680F"/>
      </left>
      <right/>
      <top/>
      <bottom style="thin">
        <color rgb="FF11680F"/>
      </bottom>
      <diagonal/>
    </border>
    <border>
      <left/>
      <right style="thin">
        <color rgb="FF11680F"/>
      </right>
      <top/>
      <bottom style="thin">
        <color rgb="FF11680F"/>
      </bottom>
      <diagonal/>
    </border>
    <border>
      <left/>
      <right/>
      <top style="thin">
        <color rgb="FF11680F"/>
      </top>
      <bottom style="thin">
        <color rgb="FF11680F"/>
      </bottom>
      <diagonal/>
    </border>
    <border>
      <left/>
      <right/>
      <top style="thin">
        <color rgb="FF0B7536"/>
      </top>
      <bottom style="thin">
        <color rgb="FF0B7536"/>
      </bottom>
      <diagonal/>
    </border>
    <border>
      <left style="thin">
        <color rgb="FF0B7536"/>
      </left>
      <right style="thin">
        <color rgb="FF0B7536"/>
      </right>
      <top style="thin">
        <color rgb="FF0B7536"/>
      </top>
      <bottom/>
      <diagonal/>
    </border>
    <border>
      <left style="thin">
        <color rgb="FF0B7536"/>
      </left>
      <right style="thin">
        <color rgb="FF0B7536"/>
      </right>
      <top/>
      <bottom style="thin">
        <color rgb="FF0B7536"/>
      </bottom>
      <diagonal/>
    </border>
    <border>
      <left style="thin">
        <color rgb="FF0B7536"/>
      </left>
      <right style="thin">
        <color rgb="FF0B7536"/>
      </right>
      <top/>
      <bottom/>
      <diagonal/>
    </border>
    <border>
      <left style="medium">
        <color rgb="FF0B7536"/>
      </left>
      <right style="thin">
        <color rgb="FF0B7536"/>
      </right>
      <top style="medium">
        <color rgb="FF0B7536"/>
      </top>
      <bottom style="thin">
        <color rgb="FF0B7536"/>
      </bottom>
      <diagonal/>
    </border>
    <border>
      <left style="thin">
        <color rgb="FF0B7536"/>
      </left>
      <right style="thin">
        <color rgb="FF0B7536"/>
      </right>
      <top style="medium">
        <color rgb="FF0B7536"/>
      </top>
      <bottom style="thin">
        <color rgb="FF0B7536"/>
      </bottom>
      <diagonal/>
    </border>
    <border>
      <left style="thin">
        <color rgb="FF0B7536"/>
      </left>
      <right style="medium">
        <color rgb="FF0B7536"/>
      </right>
      <top style="medium">
        <color rgb="FF0B7536"/>
      </top>
      <bottom style="thin">
        <color rgb="FF0B7536"/>
      </bottom>
      <diagonal/>
    </border>
    <border>
      <left style="medium">
        <color rgb="FF0B7536"/>
      </left>
      <right style="thin">
        <color rgb="FF0B7536"/>
      </right>
      <top style="thin">
        <color rgb="FF0B7536"/>
      </top>
      <bottom style="thin">
        <color rgb="FF0B7536"/>
      </bottom>
      <diagonal/>
    </border>
    <border>
      <left style="thin">
        <color rgb="FF0B7536"/>
      </left>
      <right style="medium">
        <color rgb="FF0B7536"/>
      </right>
      <top style="thin">
        <color rgb="FF0B7536"/>
      </top>
      <bottom style="thin">
        <color rgb="FF0B7536"/>
      </bottom>
      <diagonal/>
    </border>
    <border>
      <left style="medium">
        <color rgb="FF0B7536"/>
      </left>
      <right style="thin">
        <color rgb="FF0B7536"/>
      </right>
      <top style="thin">
        <color rgb="FF0B7536"/>
      </top>
      <bottom style="medium">
        <color rgb="FF0B7536"/>
      </bottom>
      <diagonal/>
    </border>
    <border>
      <left style="thin">
        <color rgb="FF0B7536"/>
      </left>
      <right style="thin">
        <color rgb="FF0B7536"/>
      </right>
      <top style="thin">
        <color rgb="FF0B7536"/>
      </top>
      <bottom style="medium">
        <color rgb="FF0B7536"/>
      </bottom>
      <diagonal/>
    </border>
    <border>
      <left style="thin">
        <color rgb="FF0B7536"/>
      </left>
      <right style="medium">
        <color rgb="FF0B7536"/>
      </right>
      <top style="thin">
        <color rgb="FF0B7536"/>
      </top>
      <bottom style="medium">
        <color rgb="FF0B7536"/>
      </bottom>
      <diagonal/>
    </border>
  </borders>
  <cellStyleXfs count="17">
    <xf numFmtId="0" fontId="0" fillId="0" borderId="0"/>
    <xf numFmtId="9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211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/>
    <xf numFmtId="166" fontId="1" fillId="0" borderId="0" xfId="1" applyNumberFormat="1" applyFont="1" applyAlignment="1">
      <alignment horizont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9" fillId="0" borderId="0" xfId="0" applyFont="1"/>
    <xf numFmtId="0" fontId="9" fillId="0" borderId="3" xfId="0" applyFont="1" applyBorder="1" applyAlignment="1">
      <alignment horizontal="left" vertical="center" wrapText="1"/>
    </xf>
    <xf numFmtId="1" fontId="9" fillId="0" borderId="3" xfId="0" applyNumberFormat="1" applyFont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11" fillId="5" borderId="3" xfId="0" applyFont="1" applyFill="1" applyBorder="1" applyAlignment="1">
      <alignment horizontal="center" vertical="center" wrapText="1"/>
    </xf>
    <xf numFmtId="10" fontId="11" fillId="5" borderId="3" xfId="1" applyNumberFormat="1" applyFont="1" applyFill="1" applyBorder="1" applyAlignment="1">
      <alignment horizontal="center" vertical="center" wrapText="1"/>
    </xf>
    <xf numFmtId="1" fontId="11" fillId="0" borderId="3" xfId="0" applyNumberFormat="1" applyFont="1" applyBorder="1" applyAlignment="1">
      <alignment horizontal="center" vertical="center" wrapText="1"/>
    </xf>
    <xf numFmtId="164" fontId="9" fillId="0" borderId="3" xfId="3" applyFont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164" fontId="12" fillId="0" borderId="4" xfId="3" applyFont="1" applyBorder="1" applyAlignment="1">
      <alignment horizontal="center" vertical="center"/>
    </xf>
    <xf numFmtId="164" fontId="13" fillId="4" borderId="4" xfId="3" applyFont="1" applyFill="1" applyBorder="1" applyAlignment="1">
      <alignment horizontal="center" vertical="center"/>
    </xf>
    <xf numFmtId="0" fontId="12" fillId="0" borderId="4" xfId="0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8" fillId="0" borderId="4" xfId="0" applyFont="1" applyBorder="1" applyAlignment="1">
      <alignment horizontal="left" vertical="center"/>
    </xf>
    <xf numFmtId="164" fontId="13" fillId="0" borderId="4" xfId="3" applyFont="1" applyBorder="1" applyAlignment="1">
      <alignment horizontal="center" vertical="center"/>
    </xf>
    <xf numFmtId="164" fontId="11" fillId="0" borderId="3" xfId="3" applyFont="1" applyBorder="1" applyAlignment="1">
      <alignment horizontal="center" vertical="center" wrapText="1"/>
    </xf>
    <xf numFmtId="49" fontId="0" fillId="0" borderId="0" xfId="0" applyNumberFormat="1" applyAlignment="1">
      <alignment horizontal="left"/>
    </xf>
    <xf numFmtId="0" fontId="18" fillId="0" borderId="0" xfId="0" applyFont="1" applyAlignment="1">
      <alignment horizontal="center" vertical="center"/>
    </xf>
    <xf numFmtId="0" fontId="21" fillId="4" borderId="4" xfId="0" applyFont="1" applyFill="1" applyBorder="1" applyAlignment="1">
      <alignment horizontal="center" vertical="center"/>
    </xf>
    <xf numFmtId="165" fontId="21" fillId="4" borderId="4" xfId="0" applyNumberFormat="1" applyFont="1" applyFill="1" applyBorder="1" applyAlignment="1">
      <alignment vertical="center"/>
    </xf>
    <xf numFmtId="0" fontId="21" fillId="4" borderId="4" xfId="0" applyFont="1" applyFill="1" applyBorder="1" applyAlignment="1">
      <alignment vertical="center"/>
    </xf>
    <xf numFmtId="49" fontId="19" fillId="0" borderId="19" xfId="0" applyNumberFormat="1" applyFont="1" applyBorder="1" applyAlignment="1">
      <alignment horizontal="center" vertical="center"/>
    </xf>
    <xf numFmtId="49" fontId="19" fillId="0" borderId="4" xfId="0" applyNumberFormat="1" applyFont="1" applyBorder="1" applyAlignment="1">
      <alignment horizontal="center" vertical="center"/>
    </xf>
    <xf numFmtId="49" fontId="19" fillId="0" borderId="1" xfId="0" applyNumberFormat="1" applyFont="1" applyBorder="1" applyAlignment="1">
      <alignment horizontal="center" vertical="center"/>
    </xf>
    <xf numFmtId="0" fontId="22" fillId="4" borderId="8" xfId="0" applyFont="1" applyFill="1" applyBorder="1" applyAlignment="1">
      <alignment horizontal="center" vertical="center" wrapText="1"/>
    </xf>
    <xf numFmtId="2" fontId="19" fillId="0" borderId="4" xfId="0" applyNumberFormat="1" applyFont="1" applyBorder="1" applyAlignment="1">
      <alignment horizontal="center" vertical="center"/>
    </xf>
    <xf numFmtId="2" fontId="19" fillId="0" borderId="19" xfId="0" applyNumberFormat="1" applyFont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18" fillId="0" borderId="0" xfId="0" applyFont="1" applyAlignment="1">
      <alignment horizontal="left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24" fillId="0" borderId="0" xfId="0" applyFont="1"/>
    <xf numFmtId="165" fontId="18" fillId="0" borderId="0" xfId="0" applyNumberFormat="1" applyFont="1" applyAlignment="1">
      <alignment vertical="center"/>
    </xf>
    <xf numFmtId="4" fontId="21" fillId="4" borderId="4" xfId="0" applyNumberFormat="1" applyFont="1" applyFill="1" applyBorder="1" applyAlignment="1">
      <alignment horizontal="center" vertical="center"/>
    </xf>
    <xf numFmtId="3" fontId="9" fillId="0" borderId="3" xfId="0" applyNumberFormat="1" applyFont="1" applyBorder="1" applyAlignment="1">
      <alignment horizontal="center" vertical="center" wrapText="1"/>
    </xf>
    <xf numFmtId="49" fontId="24" fillId="0" borderId="0" xfId="0" applyNumberFormat="1" applyFont="1" applyAlignment="1">
      <alignment horizontal="left"/>
    </xf>
    <xf numFmtId="167" fontId="19" fillId="0" borderId="1" xfId="0" applyNumberFormat="1" applyFont="1" applyBorder="1" applyAlignment="1">
      <alignment horizontal="center" vertical="center"/>
    </xf>
    <xf numFmtId="167" fontId="19" fillId="0" borderId="4" xfId="0" applyNumberFormat="1" applyFont="1" applyBorder="1" applyAlignment="1">
      <alignment horizontal="center" vertical="center"/>
    </xf>
    <xf numFmtId="167" fontId="20" fillId="0" borderId="4" xfId="0" applyNumberFormat="1" applyFont="1" applyBorder="1" applyAlignment="1">
      <alignment horizontal="center" vertical="center"/>
    </xf>
    <xf numFmtId="0" fontId="21" fillId="7" borderId="6" xfId="0" applyFont="1" applyFill="1" applyBorder="1" applyAlignment="1">
      <alignment vertical="center"/>
    </xf>
    <xf numFmtId="49" fontId="19" fillId="0" borderId="8" xfId="0" applyNumberFormat="1" applyFont="1" applyBorder="1" applyAlignment="1">
      <alignment horizontal="center" vertical="center"/>
    </xf>
    <xf numFmtId="2" fontId="26" fillId="0" borderId="8" xfId="0" applyNumberFormat="1" applyFont="1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0" fontId="28" fillId="0" borderId="0" xfId="0" applyFont="1" applyAlignment="1">
      <alignment vertical="center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0" fontId="21" fillId="4" borderId="6" xfId="0" applyFont="1" applyFill="1" applyBorder="1" applyAlignment="1">
      <alignment horizontal="center" vertical="center"/>
    </xf>
    <xf numFmtId="165" fontId="21" fillId="4" borderId="6" xfId="0" applyNumberFormat="1" applyFont="1" applyFill="1" applyBorder="1" applyAlignment="1">
      <alignment vertical="center"/>
    </xf>
    <xf numFmtId="0" fontId="21" fillId="4" borderId="6" xfId="0" applyFont="1" applyFill="1" applyBorder="1" applyAlignment="1">
      <alignment vertical="center"/>
    </xf>
    <xf numFmtId="4" fontId="21" fillId="4" borderId="6" xfId="0" applyNumberFormat="1" applyFont="1" applyFill="1" applyBorder="1" applyAlignment="1">
      <alignment horizontal="center" vertical="center"/>
    </xf>
    <xf numFmtId="0" fontId="21" fillId="7" borderId="6" xfId="0" applyFont="1" applyFill="1" applyBorder="1"/>
    <xf numFmtId="9" fontId="11" fillId="5" borderId="3" xfId="1" applyFont="1" applyFill="1" applyBorder="1" applyAlignment="1">
      <alignment horizontal="center" vertical="center" wrapText="1"/>
    </xf>
    <xf numFmtId="43" fontId="1" fillId="0" borderId="0" xfId="15" applyFont="1"/>
    <xf numFmtId="0" fontId="9" fillId="0" borderId="0" xfId="0" applyFont="1" applyAlignment="1">
      <alignment wrapText="1"/>
    </xf>
    <xf numFmtId="2" fontId="9" fillId="0" borderId="3" xfId="3" applyNumberFormat="1" applyFont="1" applyBorder="1" applyAlignment="1">
      <alignment horizontal="center" vertical="center" wrapText="1"/>
    </xf>
    <xf numFmtId="168" fontId="9" fillId="0" borderId="3" xfId="3" applyNumberFormat="1" applyFont="1" applyBorder="1" applyAlignment="1">
      <alignment horizontal="center" vertical="center" wrapText="1"/>
    </xf>
    <xf numFmtId="49" fontId="19" fillId="0" borderId="6" xfId="0" applyNumberFormat="1" applyFont="1" applyBorder="1" applyAlignment="1">
      <alignment horizontal="center" vertical="center"/>
    </xf>
    <xf numFmtId="49" fontId="19" fillId="0" borderId="7" xfId="0" applyNumberFormat="1" applyFont="1" applyBorder="1" applyAlignment="1">
      <alignment horizontal="center" vertical="center"/>
    </xf>
    <xf numFmtId="167" fontId="20" fillId="0" borderId="6" xfId="0" applyNumberFormat="1" applyFont="1" applyBorder="1" applyAlignment="1">
      <alignment horizontal="center" vertical="center"/>
    </xf>
    <xf numFmtId="0" fontId="13" fillId="4" borderId="7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49" fontId="19" fillId="9" borderId="1" xfId="0" applyNumberFormat="1" applyFont="1" applyFill="1" applyBorder="1" applyAlignment="1">
      <alignment horizontal="center" vertical="center"/>
    </xf>
    <xf numFmtId="2" fontId="19" fillId="9" borderId="4" xfId="0" applyNumberFormat="1" applyFont="1" applyFill="1" applyBorder="1" applyAlignment="1">
      <alignment horizontal="center" vertical="center"/>
    </xf>
    <xf numFmtId="49" fontId="19" fillId="9" borderId="4" xfId="0" applyNumberFormat="1" applyFont="1" applyFill="1" applyBorder="1" applyAlignment="1">
      <alignment horizontal="center" vertical="center"/>
    </xf>
    <xf numFmtId="2" fontId="19" fillId="9" borderId="19" xfId="0" applyNumberFormat="1" applyFont="1" applyFill="1" applyBorder="1" applyAlignment="1">
      <alignment horizontal="center" vertical="center"/>
    </xf>
    <xf numFmtId="49" fontId="19" fillId="9" borderId="19" xfId="0" applyNumberFormat="1" applyFont="1" applyFill="1" applyBorder="1" applyAlignment="1">
      <alignment horizontal="center" vertical="center"/>
    </xf>
    <xf numFmtId="167" fontId="19" fillId="9" borderId="1" xfId="0" applyNumberFormat="1" applyFont="1" applyFill="1" applyBorder="1" applyAlignment="1">
      <alignment horizontal="center" vertical="center"/>
    </xf>
    <xf numFmtId="167" fontId="19" fillId="9" borderId="4" xfId="0" applyNumberFormat="1" applyFont="1" applyFill="1" applyBorder="1" applyAlignment="1">
      <alignment horizontal="center" vertical="center"/>
    </xf>
    <xf numFmtId="167" fontId="20" fillId="9" borderId="4" xfId="0" applyNumberFormat="1" applyFont="1" applyFill="1" applyBorder="1" applyAlignment="1">
      <alignment horizontal="center" vertical="center"/>
    </xf>
    <xf numFmtId="49" fontId="19" fillId="9" borderId="8" xfId="0" applyNumberFormat="1" applyFont="1" applyFill="1" applyBorder="1" applyAlignment="1">
      <alignment horizontal="center" vertical="center"/>
    </xf>
    <xf numFmtId="0" fontId="1" fillId="9" borderId="0" xfId="0" applyFont="1" applyFill="1" applyAlignment="1">
      <alignment vertical="center"/>
    </xf>
    <xf numFmtId="49" fontId="19" fillId="9" borderId="6" xfId="0" applyNumberFormat="1" applyFont="1" applyFill="1" applyBorder="1" applyAlignment="1">
      <alignment horizontal="center" vertical="center"/>
    </xf>
    <xf numFmtId="167" fontId="19" fillId="9" borderId="19" xfId="0" applyNumberFormat="1" applyFont="1" applyFill="1" applyBorder="1" applyAlignment="1">
      <alignment horizontal="center" vertical="center"/>
    </xf>
    <xf numFmtId="167" fontId="19" fillId="9" borderId="6" xfId="0" applyNumberFormat="1" applyFont="1" applyFill="1" applyBorder="1" applyAlignment="1">
      <alignment horizontal="center" vertical="center"/>
    </xf>
    <xf numFmtId="167" fontId="20" fillId="9" borderId="6" xfId="0" applyNumberFormat="1" applyFont="1" applyFill="1" applyBorder="1" applyAlignment="1">
      <alignment horizontal="center" vertical="center"/>
    </xf>
    <xf numFmtId="0" fontId="29" fillId="0" borderId="0" xfId="0" applyFont="1" applyAlignment="1">
      <alignment vertical="center"/>
    </xf>
    <xf numFmtId="4" fontId="29" fillId="0" borderId="0" xfId="0" applyNumberFormat="1" applyFont="1" applyAlignment="1">
      <alignment vertical="center"/>
    </xf>
    <xf numFmtId="49" fontId="30" fillId="0" borderId="0" xfId="0" applyNumberFormat="1" applyFont="1" applyAlignment="1">
      <alignment horizontal="left"/>
    </xf>
    <xf numFmtId="0" fontId="13" fillId="0" borderId="1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164" fontId="12" fillId="0" borderId="24" xfId="3" applyFont="1" applyBorder="1" applyAlignment="1">
      <alignment horizontal="center" vertical="center"/>
    </xf>
    <xf numFmtId="164" fontId="13" fillId="0" borderId="24" xfId="3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9" fontId="13" fillId="0" borderId="4" xfId="1" applyFont="1" applyBorder="1" applyAlignment="1">
      <alignment horizontal="center" vertical="center"/>
    </xf>
    <xf numFmtId="0" fontId="14" fillId="0" borderId="24" xfId="0" applyFont="1" applyBorder="1" applyAlignment="1">
      <alignment horizontal="left" vertical="center"/>
    </xf>
    <xf numFmtId="164" fontId="13" fillId="0" borderId="2" xfId="3" applyFont="1" applyBorder="1" applyAlignment="1">
      <alignment horizontal="center" vertical="center"/>
    </xf>
    <xf numFmtId="2" fontId="29" fillId="0" borderId="24" xfId="0" applyNumberFormat="1" applyFont="1" applyBorder="1" applyAlignment="1">
      <alignment horizontal="center" vertical="center"/>
    </xf>
    <xf numFmtId="2" fontId="29" fillId="9" borderId="24" xfId="0" applyNumberFormat="1" applyFont="1" applyFill="1" applyBorder="1" applyAlignment="1">
      <alignment horizontal="center" vertical="center"/>
    </xf>
    <xf numFmtId="2" fontId="26" fillId="9" borderId="8" xfId="0" applyNumberFormat="1" applyFont="1" applyFill="1" applyBorder="1" applyAlignment="1">
      <alignment horizontal="center" vertical="center"/>
    </xf>
    <xf numFmtId="49" fontId="19" fillId="9" borderId="7" xfId="0" applyNumberFormat="1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49" fontId="19" fillId="0" borderId="4" xfId="0" quotePrefix="1" applyNumberFormat="1" applyFont="1" applyBorder="1" applyAlignment="1">
      <alignment horizontal="center" vertical="center"/>
    </xf>
    <xf numFmtId="0" fontId="0" fillId="0" borderId="0" xfId="0" applyAlignment="1">
      <alignment wrapText="1"/>
    </xf>
    <xf numFmtId="167" fontId="0" fillId="0" borderId="0" xfId="0" applyNumberFormat="1"/>
    <xf numFmtId="0" fontId="0" fillId="2" borderId="0" xfId="0" applyFill="1"/>
    <xf numFmtId="0" fontId="0" fillId="0" borderId="0" xfId="0" applyAlignment="1">
      <alignment horizont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23" fillId="0" borderId="0" xfId="0" applyFont="1"/>
    <xf numFmtId="3" fontId="1" fillId="0" borderId="0" xfId="0" applyNumberFormat="1" applyFont="1"/>
    <xf numFmtId="2" fontId="26" fillId="0" borderId="7" xfId="0" applyNumberFormat="1" applyFont="1" applyBorder="1" applyAlignment="1">
      <alignment horizontal="center" vertical="center"/>
    </xf>
    <xf numFmtId="3" fontId="9" fillId="9" borderId="3" xfId="0" applyNumberFormat="1" applyFont="1" applyFill="1" applyBorder="1" applyAlignment="1">
      <alignment horizontal="center" vertical="center" wrapText="1"/>
    </xf>
    <xf numFmtId="2" fontId="19" fillId="9" borderId="6" xfId="0" applyNumberFormat="1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3" fontId="9" fillId="11" borderId="3" xfId="0" applyNumberFormat="1" applyFont="1" applyFill="1" applyBorder="1" applyAlignment="1">
      <alignment horizontal="center" vertical="center" wrapText="1"/>
    </xf>
    <xf numFmtId="164" fontId="11" fillId="11" borderId="3" xfId="3" applyFont="1" applyFill="1" applyBorder="1" applyAlignment="1">
      <alignment horizontal="center" vertical="center" wrapText="1"/>
    </xf>
    <xf numFmtId="1" fontId="11" fillId="11" borderId="3" xfId="0" applyNumberFormat="1" applyFont="1" applyFill="1" applyBorder="1" applyAlignment="1">
      <alignment horizontal="center" vertical="center" wrapText="1"/>
    </xf>
    <xf numFmtId="4" fontId="9" fillId="0" borderId="3" xfId="0" applyNumberFormat="1" applyFont="1" applyBorder="1" applyAlignment="1">
      <alignment horizontal="center" vertical="center" wrapText="1"/>
    </xf>
    <xf numFmtId="0" fontId="11" fillId="11" borderId="3" xfId="0" applyFont="1" applyFill="1" applyBorder="1" applyAlignment="1">
      <alignment horizontal="center" vertical="center" wrapText="1"/>
    </xf>
    <xf numFmtId="4" fontId="11" fillId="11" borderId="3" xfId="1" applyNumberFormat="1" applyFont="1" applyFill="1" applyBorder="1" applyAlignment="1">
      <alignment horizontal="center" vertical="center" wrapText="1"/>
    </xf>
    <xf numFmtId="0" fontId="11" fillId="12" borderId="3" xfId="0" applyFont="1" applyFill="1" applyBorder="1" applyAlignment="1">
      <alignment horizontal="center" vertical="center" wrapText="1"/>
    </xf>
    <xf numFmtId="4" fontId="11" fillId="12" borderId="3" xfId="1" applyNumberFormat="1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3" fontId="9" fillId="4" borderId="3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169" fontId="9" fillId="0" borderId="3" xfId="0" applyNumberFormat="1" applyFont="1" applyBorder="1" applyAlignment="1">
      <alignment horizontal="center" vertical="center" wrapText="1"/>
    </xf>
    <xf numFmtId="44" fontId="11" fillId="12" borderId="3" xfId="1" applyNumberFormat="1" applyFont="1" applyFill="1" applyBorder="1" applyAlignment="1">
      <alignment horizontal="center" vertical="center" wrapText="1"/>
    </xf>
    <xf numFmtId="170" fontId="9" fillId="4" borderId="3" xfId="0" applyNumberFormat="1" applyFont="1" applyFill="1" applyBorder="1" applyAlignment="1">
      <alignment horizontal="center" vertical="center" wrapText="1"/>
    </xf>
    <xf numFmtId="0" fontId="22" fillId="4" borderId="8" xfId="0" applyFont="1" applyFill="1" applyBorder="1" applyAlignment="1">
      <alignment horizontal="left" vertical="center" wrapText="1"/>
    </xf>
    <xf numFmtId="49" fontId="19" fillId="0" borderId="4" xfId="0" applyNumberFormat="1" applyFont="1" applyBorder="1" applyAlignment="1">
      <alignment horizontal="left" vertical="center"/>
    </xf>
    <xf numFmtId="49" fontId="19" fillId="9" borderId="4" xfId="0" applyNumberFormat="1" applyFont="1" applyFill="1" applyBorder="1" applyAlignment="1">
      <alignment horizontal="left" vertical="center"/>
    </xf>
    <xf numFmtId="0" fontId="21" fillId="4" borderId="4" xfId="0" applyFont="1" applyFill="1" applyBorder="1" applyAlignment="1">
      <alignment horizontal="left" vertical="center"/>
    </xf>
    <xf numFmtId="0" fontId="23" fillId="0" borderId="0" xfId="0" applyFont="1" applyAlignment="1">
      <alignment horizontal="left"/>
    </xf>
    <xf numFmtId="2" fontId="19" fillId="0" borderId="4" xfId="0" applyNumberFormat="1" applyFont="1" applyBorder="1" applyAlignment="1">
      <alignment horizontal="left" vertical="center"/>
    </xf>
    <xf numFmtId="2" fontId="19" fillId="9" borderId="4" xfId="0" applyNumberFormat="1" applyFont="1" applyFill="1" applyBorder="1" applyAlignment="1">
      <alignment horizontal="left" vertical="center"/>
    </xf>
    <xf numFmtId="165" fontId="21" fillId="4" borderId="4" xfId="0" applyNumberFormat="1" applyFont="1" applyFill="1" applyBorder="1" applyAlignment="1">
      <alignment horizontal="left" vertical="center"/>
    </xf>
    <xf numFmtId="49" fontId="23" fillId="0" borderId="0" xfId="0" applyNumberFormat="1" applyFont="1" applyAlignment="1">
      <alignment horizontal="left" vertical="center"/>
    </xf>
    <xf numFmtId="49" fontId="19" fillId="0" borderId="19" xfId="0" applyNumberFormat="1" applyFont="1" applyBorder="1" applyAlignment="1">
      <alignment horizontal="left" vertical="center"/>
    </xf>
    <xf numFmtId="49" fontId="19" fillId="9" borderId="19" xfId="0" applyNumberFormat="1" applyFont="1" applyFill="1" applyBorder="1" applyAlignment="1">
      <alignment horizontal="left" vertical="center"/>
    </xf>
    <xf numFmtId="165" fontId="21" fillId="4" borderId="6" xfId="0" applyNumberFormat="1" applyFont="1" applyFill="1" applyBorder="1" applyAlignment="1">
      <alignment horizontal="left" vertical="center"/>
    </xf>
    <xf numFmtId="0" fontId="24" fillId="0" borderId="0" xfId="0" applyFont="1" applyAlignment="1">
      <alignment horizontal="left"/>
    </xf>
    <xf numFmtId="49" fontId="19" fillId="9" borderId="4" xfId="0" applyNumberFormat="1" applyFont="1" applyFill="1" applyBorder="1" applyAlignment="1">
      <alignment horizontal="left" vertical="center" wrapText="1"/>
    </xf>
    <xf numFmtId="49" fontId="19" fillId="9" borderId="6" xfId="0" applyNumberFormat="1" applyFont="1" applyFill="1" applyBorder="1" applyAlignment="1">
      <alignment horizontal="left" vertical="center"/>
    </xf>
    <xf numFmtId="2" fontId="19" fillId="9" borderId="6" xfId="0" applyNumberFormat="1" applyFont="1" applyFill="1" applyBorder="1" applyAlignment="1">
      <alignment horizontal="left" vertical="center"/>
    </xf>
    <xf numFmtId="0" fontId="21" fillId="4" borderId="6" xfId="0" applyFont="1" applyFill="1" applyBorder="1" applyAlignment="1">
      <alignment horizontal="left" vertical="center"/>
    </xf>
    <xf numFmtId="165" fontId="18" fillId="0" borderId="0" xfId="0" applyNumberFormat="1" applyFont="1" applyAlignment="1">
      <alignment horizontal="left" vertical="center"/>
    </xf>
    <xf numFmtId="4" fontId="9" fillId="10" borderId="3" xfId="0" applyNumberFormat="1" applyFont="1" applyFill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31" fillId="2" borderId="30" xfId="0" applyFont="1" applyFill="1" applyBorder="1" applyAlignment="1">
      <alignment horizontal="center" vertical="center" wrapText="1"/>
    </xf>
    <xf numFmtId="0" fontId="3" fillId="3" borderId="30" xfId="0" applyFont="1" applyFill="1" applyBorder="1" applyAlignment="1">
      <alignment horizontal="center" vertical="center" wrapText="1"/>
    </xf>
    <xf numFmtId="0" fontId="3" fillId="3" borderId="31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33" xfId="0" applyFont="1" applyFill="1" applyBorder="1" applyAlignment="1">
      <alignment horizontal="center" vertical="center" wrapText="1"/>
    </xf>
    <xf numFmtId="0" fontId="5" fillId="4" borderId="35" xfId="0" applyFont="1" applyFill="1" applyBorder="1" applyAlignment="1">
      <alignment horizontal="center" vertical="center" wrapText="1"/>
    </xf>
    <xf numFmtId="14" fontId="3" fillId="3" borderId="35" xfId="0" applyNumberFormat="1" applyFont="1" applyFill="1" applyBorder="1" applyAlignment="1">
      <alignment horizontal="center" vertical="center" wrapText="1"/>
    </xf>
    <xf numFmtId="14" fontId="3" fillId="3" borderId="36" xfId="0" applyNumberFormat="1" applyFont="1" applyFill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14" fontId="3" fillId="3" borderId="3" xfId="0" applyNumberFormat="1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13" fillId="4" borderId="6" xfId="0" applyFont="1" applyFill="1" applyBorder="1" applyAlignment="1">
      <alignment horizontal="center" vertical="center" wrapText="1"/>
    </xf>
    <xf numFmtId="0" fontId="13" fillId="4" borderId="7" xfId="0" applyFont="1" applyFill="1" applyBorder="1" applyAlignment="1">
      <alignment horizontal="center" vertical="center" wrapText="1"/>
    </xf>
    <xf numFmtId="0" fontId="13" fillId="4" borderId="8" xfId="0" applyFont="1" applyFill="1" applyBorder="1" applyAlignment="1">
      <alignment horizontal="center" vertical="center" wrapText="1"/>
    </xf>
    <xf numFmtId="0" fontId="13" fillId="6" borderId="19" xfId="4" applyFont="1" applyFill="1" applyBorder="1" applyAlignment="1">
      <alignment horizontal="center" vertical="center" wrapText="1"/>
    </xf>
    <xf numFmtId="0" fontId="13" fillId="6" borderId="20" xfId="4" applyFont="1" applyFill="1" applyBorder="1" applyAlignment="1">
      <alignment horizontal="center" vertical="center" wrapText="1"/>
    </xf>
    <xf numFmtId="0" fontId="13" fillId="6" borderId="9" xfId="4" applyFont="1" applyFill="1" applyBorder="1" applyAlignment="1">
      <alignment horizontal="center" vertical="center" wrapText="1"/>
    </xf>
    <xf numFmtId="0" fontId="13" fillId="6" borderId="21" xfId="4" applyFont="1" applyFill="1" applyBorder="1" applyAlignment="1">
      <alignment horizontal="center" vertical="center" wrapText="1"/>
    </xf>
    <xf numFmtId="0" fontId="13" fillId="6" borderId="22" xfId="4" applyFont="1" applyFill="1" applyBorder="1" applyAlignment="1">
      <alignment horizontal="center" vertical="center" wrapText="1"/>
    </xf>
    <xf numFmtId="0" fontId="13" fillId="6" borderId="23" xfId="4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6" borderId="6" xfId="0" applyFont="1" applyFill="1" applyBorder="1" applyAlignment="1">
      <alignment horizontal="center" vertical="center" wrapText="1"/>
    </xf>
    <xf numFmtId="0" fontId="13" fillId="6" borderId="7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7" fillId="6" borderId="6" xfId="0" applyFont="1" applyFill="1" applyBorder="1" applyAlignment="1">
      <alignment horizontal="center" vertical="center" wrapText="1"/>
    </xf>
    <xf numFmtId="0" fontId="17" fillId="6" borderId="7" xfId="0" applyFont="1" applyFill="1" applyBorder="1" applyAlignment="1">
      <alignment horizontal="center" vertical="center" wrapText="1"/>
    </xf>
    <xf numFmtId="0" fontId="17" fillId="6" borderId="8" xfId="0" applyFont="1" applyFill="1" applyBorder="1" applyAlignment="1">
      <alignment horizontal="center" vertical="center" wrapText="1"/>
    </xf>
    <xf numFmtId="0" fontId="22" fillId="4" borderId="8" xfId="0" applyFont="1" applyFill="1" applyBorder="1" applyAlignment="1">
      <alignment horizontal="center" vertical="center"/>
    </xf>
    <xf numFmtId="0" fontId="22" fillId="4" borderId="8" xfId="0" applyFont="1" applyFill="1" applyBorder="1" applyAlignment="1">
      <alignment horizontal="left" vertical="center"/>
    </xf>
    <xf numFmtId="0" fontId="22" fillId="8" borderId="8" xfId="0" applyFont="1" applyFill="1" applyBorder="1" applyAlignment="1">
      <alignment horizontal="center" vertical="center"/>
    </xf>
  </cellXfs>
  <cellStyles count="17">
    <cellStyle name="Comma" xfId="15" builtinId="3"/>
    <cellStyle name="Currency" xfId="3" builtinId="4"/>
    <cellStyle name="Millares 2" xfId="5" xr:uid="{13D699CE-0412-47D2-8724-AA5561FEDEA1}"/>
    <cellStyle name="Millares 3" xfId="7" xr:uid="{43B3B05C-CFB0-4574-84F9-7C82C166845E}"/>
    <cellStyle name="Millares 4" xfId="9" xr:uid="{3A7E7813-305A-4B26-9382-CAB9B151F9E4}"/>
    <cellStyle name="Millares 5" xfId="11" xr:uid="{426BF405-3F9B-4C0C-A2FC-D57FFBDBA93C}"/>
    <cellStyle name="Millares 6" xfId="13" xr:uid="{89EEC3BD-D593-40AD-B280-5D253E5D59EA}"/>
    <cellStyle name="Millares 7" xfId="16" xr:uid="{4ABDDFEF-877F-42D0-9384-EDA7FAEAC94F}"/>
    <cellStyle name="Moneda 2" xfId="2" xr:uid="{48F1111E-4760-4AD9-900F-0AF1D9D0371E}"/>
    <cellStyle name="Moneda 3" xfId="6" xr:uid="{236B6655-57F6-4B8B-8520-828D380A0267}"/>
    <cellStyle name="Moneda 4" xfId="8" xr:uid="{7AD0614C-7E1B-487E-8E99-F5BB9EACD590}"/>
    <cellStyle name="Moneda 5" xfId="10" xr:uid="{A4AE736B-1E7C-4BEF-BFA2-2208E2550DE2}"/>
    <cellStyle name="Moneda 6" xfId="12" xr:uid="{5754C71E-B21F-44D8-AF39-A451B24C61C0}"/>
    <cellStyle name="Moneda 7" xfId="14" xr:uid="{B47A1D54-CF9D-4318-8F23-89F041B1A731}"/>
    <cellStyle name="Normal" xfId="0" builtinId="0"/>
    <cellStyle name="Normal 2" xfId="4" xr:uid="{8F46BAA3-026D-4BB0-9F06-B8871E47BD32}"/>
    <cellStyle name="Percent" xfId="1" builtinId="5"/>
  </cellStyles>
  <dxfs count="116"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rgb="FF000000"/>
          <bgColor rgb="FF72B730"/>
        </patternFill>
      </fill>
      <border diagonalUp="0" diagonalDown="0" outline="0">
        <left style="thin">
          <color rgb="FF11680F"/>
        </left>
        <right style="thin">
          <color rgb="FF11680F"/>
        </right>
        <top style="thin">
          <color rgb="FF11680F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rgb="FF000000"/>
          <bgColor rgb="FF72B730"/>
        </patternFill>
      </fill>
      <border diagonalUp="0" diagonalDown="0" outline="0">
        <left style="thin">
          <color rgb="FF11680F"/>
        </left>
        <right style="thin">
          <color rgb="FF11680F"/>
        </right>
        <top style="thin">
          <color rgb="FF11680F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rgb="FF000000"/>
          <bgColor rgb="FF72B730"/>
        </patternFill>
      </fill>
      <border diagonalUp="0" diagonalDown="0" outline="0">
        <left style="thin">
          <color rgb="FF11680F"/>
        </left>
        <right style="thin">
          <color rgb="FF11680F"/>
        </right>
        <top style="thin">
          <color rgb="FF11680F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rgb="FF000000"/>
          <bgColor rgb="FF72B730"/>
        </patternFill>
      </fill>
      <border diagonalUp="0" diagonalDown="0" outline="0">
        <left style="thin">
          <color rgb="FF11680F"/>
        </left>
        <right style="thin">
          <color rgb="FF11680F"/>
        </right>
        <top style="thin">
          <color rgb="FF11680F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rgb="FF000000"/>
          <bgColor rgb="FF72B730"/>
        </patternFill>
      </fill>
      <border diagonalUp="0" diagonalDown="0" outline="0">
        <left style="thin">
          <color rgb="FF11680F"/>
        </left>
        <right style="thin">
          <color rgb="FF11680F"/>
        </right>
        <top style="thin">
          <color rgb="FF11680F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rgb="FF000000"/>
          <bgColor rgb="FF72B730"/>
        </patternFill>
      </fill>
      <border diagonalUp="0" diagonalDown="0" outline="0">
        <left style="thin">
          <color rgb="FF11680F"/>
        </left>
        <right style="thin">
          <color rgb="FF11680F"/>
        </right>
        <top style="thin">
          <color rgb="FF11680F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4" formatCode="#,##0.00"/>
      <fill>
        <patternFill patternType="solid">
          <fgColor indexed="64"/>
          <bgColor rgb="FF72B73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11680F"/>
        </left>
        <right style="thin">
          <color rgb="FF11680F"/>
        </right>
        <top style="thin">
          <color rgb="FF11680F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4" formatCode="#,##0.00"/>
      <fill>
        <patternFill patternType="solid">
          <fgColor indexed="64"/>
          <bgColor rgb="FF72B73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11680F"/>
        </left>
        <right style="thin">
          <color rgb="FF11680F"/>
        </right>
        <top style="thin">
          <color rgb="FF11680F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4" formatCode="#,##0.00"/>
      <fill>
        <patternFill patternType="solid">
          <fgColor indexed="64"/>
          <bgColor rgb="FF72B73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11680F"/>
        </left>
        <right style="thin">
          <color rgb="FF11680F"/>
        </right>
        <top style="thin">
          <color rgb="FF11680F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4" formatCode="#,##0.00"/>
      <fill>
        <patternFill patternType="solid">
          <fgColor indexed="64"/>
          <bgColor rgb="FF72B73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11680F"/>
        </left>
        <right style="thin">
          <color rgb="FF11680F"/>
        </right>
        <top style="thin">
          <color rgb="FF11680F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rgb="FF72B73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11680F"/>
        </left>
        <right style="thin">
          <color rgb="FF11680F"/>
        </right>
        <top style="thin">
          <color rgb="FF11680F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rgb="FF72B73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11680F"/>
        </left>
        <right style="thin">
          <color rgb="FF11680F"/>
        </right>
        <top style="thin">
          <color rgb="FF11680F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rgb="FF72B73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11680F"/>
        </left>
        <right style="thin">
          <color rgb="FF11680F"/>
        </right>
        <top style="thin">
          <color rgb="FF11680F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rgb="FF72B73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11680F"/>
        </left>
        <right style="thin">
          <color rgb="FF11680F"/>
        </right>
        <top style="thin">
          <color rgb="FF11680F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rgb="FF72B73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11680F"/>
        </left>
        <right style="thin">
          <color rgb="FF11680F"/>
        </right>
        <top style="thin">
          <color rgb="FF11680F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rgb="FF72B73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11680F"/>
        </left>
        <right style="thin">
          <color rgb="FF11680F"/>
        </right>
        <top style="thin">
          <color rgb="FF11680F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5" formatCode="_ * #,##0.00_ ;_ * \-#,##0.00_ ;_ * &quot;-&quot;??_ ;_ @_ "/>
      <fill>
        <patternFill patternType="solid">
          <fgColor indexed="64"/>
          <bgColor rgb="FF72B73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11680F"/>
        </left>
        <right style="thin">
          <color rgb="FF11680F"/>
        </right>
        <top style="thin">
          <color rgb="FF11680F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5" formatCode="_ * #,##0.00_ ;_ * \-#,##0.00_ ;_ * &quot;-&quot;??_ ;_ @_ "/>
      <fill>
        <patternFill patternType="solid">
          <fgColor indexed="64"/>
          <bgColor rgb="FF72B73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11680F"/>
        </left>
        <right style="thin">
          <color rgb="FF11680F"/>
        </right>
        <top style="thin">
          <color rgb="FF11680F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5" formatCode="_ * #,##0.00_ ;_ * \-#,##0.00_ ;_ * &quot;-&quot;??_ ;_ @_ "/>
      <fill>
        <patternFill patternType="solid">
          <fgColor indexed="64"/>
          <bgColor rgb="FF72B73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11680F"/>
        </left>
        <right style="thin">
          <color rgb="FF11680F"/>
        </right>
        <top style="thin">
          <color rgb="FF11680F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rgb="FF72B73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11680F"/>
        </left>
        <right style="thin">
          <color rgb="FF11680F"/>
        </right>
        <top style="thin">
          <color rgb="FF11680F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rgb="FF72B73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11680F"/>
        </left>
        <right style="thin">
          <color rgb="FF11680F"/>
        </right>
        <top style="thin">
          <color rgb="FF11680F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rgb="FF72B73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11680F"/>
        </left>
        <right style="thin">
          <color rgb="FF11680F"/>
        </right>
        <top style="thin">
          <color rgb="FF11680F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rgb="FF72B73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11680F"/>
        </left>
        <right style="thin">
          <color rgb="FF11680F"/>
        </right>
        <top style="thin">
          <color rgb="FF11680F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rgb="FF72B73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11680F"/>
        </left>
        <right style="thin">
          <color rgb="FF11680F"/>
        </right>
        <top style="thin">
          <color rgb="FF11680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rgb="FF11680F"/>
        </left>
        <right style="thin">
          <color rgb="FF11680F"/>
        </right>
        <top/>
        <bottom style="thin">
          <color rgb="FF11680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rgb="FF11680F"/>
        </left>
        <right style="thin">
          <color rgb="FF11680F"/>
        </right>
        <top style="thin">
          <color rgb="FF11680F"/>
        </top>
        <bottom style="thin">
          <color rgb="FF11680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rgb="FF11680F"/>
        </left>
        <right style="thin">
          <color rgb="FF11680F"/>
        </right>
        <top style="thin">
          <color rgb="FF11680F"/>
        </top>
        <bottom style="thin">
          <color rgb="FF11680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rgb="FF11680F"/>
        </left>
        <right style="thin">
          <color rgb="FF11680F"/>
        </right>
        <top style="thin">
          <color rgb="FF11680F"/>
        </top>
        <bottom style="thin">
          <color rgb="FF11680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7" formatCode="#,##0.00_ ;\-#,##0.00\ "/>
      <alignment horizontal="center" vertical="center" textRotation="0" wrapText="0" indent="0" justifyLastLine="0" shrinkToFit="0" readingOrder="0"/>
      <border diagonalUp="0" diagonalDown="0">
        <left style="thin">
          <color rgb="FF11680F"/>
        </left>
        <right style="thin">
          <color rgb="FF11680F"/>
        </right>
        <top style="thin">
          <color rgb="FF11680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167" formatCode="#,##0.00_ ;\-#,##0.00\ "/>
      <alignment horizontal="center" vertical="center" textRotation="0" wrapText="0" indent="0" justifyLastLine="0" shrinkToFit="0" readingOrder="0"/>
      <border diagonalUp="0" diagonalDown="0">
        <left style="thin">
          <color rgb="FF11680F"/>
        </left>
        <right/>
        <top style="thin">
          <color rgb="FF11680F"/>
        </top>
        <bottom style="thin">
          <color rgb="FF11680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7" formatCode="#,##0.00_ ;\-#,##0.00\ "/>
      <alignment horizontal="center" vertical="center" textRotation="0" wrapText="0" indent="0" justifyLastLine="0" shrinkToFit="0" readingOrder="0"/>
      <border diagonalUp="0" diagonalDown="0">
        <left style="thin">
          <color rgb="FF11680F"/>
        </left>
        <right style="thin">
          <color rgb="FF11680F"/>
        </right>
        <top style="thin">
          <color rgb="FF11680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7" formatCode="#,##0.00_ ;\-#,##0.00\ "/>
      <alignment horizontal="center" vertical="center" textRotation="0" wrapText="0" indent="0" justifyLastLine="0" shrinkToFit="0" readingOrder="0"/>
      <border diagonalUp="0" diagonalDown="0">
        <left style="thin">
          <color rgb="FF11680F"/>
        </left>
        <right/>
        <top style="thin">
          <color rgb="FF11680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rgb="FF11680F"/>
        </left>
        <right/>
        <top style="thin">
          <color rgb="FF11680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rgb="FF11680F"/>
        </left>
        <right style="thin">
          <color rgb="FF11680F"/>
        </right>
        <top style="thin">
          <color rgb="FF11680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rgb="FF11680F"/>
        </left>
        <right style="thin">
          <color rgb="FF11680F"/>
        </right>
        <top style="thin">
          <color rgb="FF11680F"/>
        </top>
        <bottom style="thin">
          <color rgb="FF11680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rgb="FF11680F"/>
        </left>
        <right style="thin">
          <color rgb="FF11680F"/>
        </right>
        <top style="thin">
          <color rgb="FF11680F"/>
        </top>
        <bottom style="thin">
          <color rgb="FF11680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2" formatCode="0.00"/>
      <alignment horizontal="left" vertical="center" textRotation="0" wrapText="0" indent="0" justifyLastLine="0" shrinkToFit="0" readingOrder="0"/>
      <border diagonalUp="0" diagonalDown="0" outline="0">
        <left style="thin">
          <color rgb="FF11680F"/>
        </left>
        <right style="thin">
          <color rgb="FF11680F"/>
        </right>
        <top style="thin">
          <color rgb="FF11680F"/>
        </top>
        <bottom style="thin">
          <color rgb="FF11680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rgb="FF11680F"/>
        </left>
        <right style="thin">
          <color rgb="FF11680F"/>
        </right>
        <top style="thin">
          <color rgb="FF11680F"/>
        </top>
        <bottom style="thin">
          <color rgb="FF11680F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 outline="0">
        <left style="thin">
          <color rgb="FF11680F"/>
        </left>
        <right style="thin">
          <color rgb="FF11680F"/>
        </right>
        <top style="thin">
          <color rgb="FF11680F"/>
        </top>
        <bottom style="thin">
          <color rgb="FF11680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 outline="0">
        <left style="thin">
          <color rgb="FF11680F"/>
        </left>
        <right/>
        <top style="thin">
          <color rgb="FF11680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rgb="FF11680F"/>
        </left>
        <right/>
        <top style="thin">
          <color rgb="FF11680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rgb="FF11680F"/>
        </left>
        <right/>
        <top style="thin">
          <color rgb="FF11680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rgb="FF11680F"/>
        </left>
        <right style="thin">
          <color rgb="FF11680F"/>
        </right>
        <top style="thin">
          <color rgb="FF11680F"/>
        </top>
        <bottom style="thin">
          <color rgb="FF11680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rgb="FF11680F"/>
        </left>
        <right style="thin">
          <color rgb="FF11680F"/>
        </right>
        <top style="thin">
          <color rgb="FF11680F"/>
        </top>
        <bottom style="thin">
          <color rgb="FF11680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rgb="FF11680F"/>
        </left>
        <right style="thin">
          <color rgb="FF11680F"/>
        </right>
        <top style="thin">
          <color rgb="FF11680F"/>
        </top>
        <bottom style="thin">
          <color rgb="FF11680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fill>
        <patternFill patternType="solid">
          <fgColor indexed="64"/>
          <bgColor rgb="FF72B73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rgb="FF000000"/>
          <bgColor rgb="FF72B730"/>
        </patternFill>
      </fill>
      <border diagonalUp="0" diagonalDown="0" outline="0">
        <left style="thin">
          <color rgb="FF11680F"/>
        </left>
        <right style="thin">
          <color rgb="FF11680F"/>
        </right>
        <top style="thin">
          <color rgb="FF11680F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rgb="FF000000"/>
          <bgColor rgb="FF72B730"/>
        </patternFill>
      </fill>
      <border diagonalUp="0" diagonalDown="0" outline="0">
        <left style="thin">
          <color rgb="FF11680F"/>
        </left>
        <right style="thin">
          <color rgb="FF11680F"/>
        </right>
        <top style="thin">
          <color rgb="FF11680F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rgb="FF000000"/>
          <bgColor rgb="FF72B730"/>
        </patternFill>
      </fill>
      <border diagonalUp="0" diagonalDown="0" outline="0">
        <left style="thin">
          <color rgb="FF11680F"/>
        </left>
        <right style="thin">
          <color rgb="FF11680F"/>
        </right>
        <top style="thin">
          <color rgb="FF11680F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rgb="FF000000"/>
          <bgColor rgb="FF72B730"/>
        </patternFill>
      </fill>
      <border diagonalUp="0" diagonalDown="0" outline="0">
        <left style="thin">
          <color rgb="FF11680F"/>
        </left>
        <right style="thin">
          <color rgb="FF11680F"/>
        </right>
        <top style="thin">
          <color rgb="FF11680F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rgb="FF000000"/>
          <bgColor rgb="FF72B730"/>
        </patternFill>
      </fill>
      <border diagonalUp="0" diagonalDown="0" outline="0">
        <left style="thin">
          <color rgb="FF11680F"/>
        </left>
        <right style="thin">
          <color rgb="FF11680F"/>
        </right>
        <top style="thin">
          <color rgb="FF11680F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rgb="FF000000"/>
          <bgColor rgb="FF72B730"/>
        </patternFill>
      </fill>
      <border diagonalUp="0" diagonalDown="0" outline="0">
        <left style="thin">
          <color rgb="FF11680F"/>
        </left>
        <right style="thin">
          <color rgb="FF11680F"/>
        </right>
        <top style="thin">
          <color rgb="FF11680F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rgb="FF000000"/>
          <bgColor rgb="FF72B73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11680F"/>
        </left>
        <right style="thin">
          <color rgb="FF11680F"/>
        </right>
        <top style="thin">
          <color rgb="FF11680F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rgb="FF000000"/>
          <bgColor rgb="FF72B73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11680F"/>
        </left>
        <right style="thin">
          <color rgb="FF11680F"/>
        </right>
        <top style="thin">
          <color rgb="FF11680F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4" formatCode="#,##0.00"/>
      <fill>
        <patternFill patternType="solid">
          <fgColor indexed="64"/>
          <bgColor rgb="FF72B73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11680F"/>
        </left>
        <right style="thin">
          <color rgb="FF11680F"/>
        </right>
        <top style="thin">
          <color rgb="FF11680F"/>
        </top>
        <bottom style="thin">
          <color rgb="FF11680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4" formatCode="#,##0.00"/>
      <fill>
        <patternFill patternType="solid">
          <fgColor indexed="64"/>
          <bgColor rgb="FF72B73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11680F"/>
        </left>
        <right style="thin">
          <color rgb="FF11680F"/>
        </right>
        <top style="thin">
          <color rgb="FF11680F"/>
        </top>
        <bottom style="thin">
          <color rgb="FF11680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4" formatCode="#,##0.00"/>
      <fill>
        <patternFill patternType="solid">
          <fgColor indexed="64"/>
          <bgColor rgb="FF72B73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11680F"/>
        </left>
        <right style="thin">
          <color rgb="FF11680F"/>
        </right>
        <top style="thin">
          <color rgb="FF11680F"/>
        </top>
        <bottom style="thin">
          <color rgb="FF11680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4" formatCode="#,##0.00"/>
      <fill>
        <patternFill patternType="solid">
          <fgColor indexed="64"/>
          <bgColor rgb="FF72B73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11680F"/>
        </left>
        <right style="thin">
          <color rgb="FF11680F"/>
        </right>
        <top style="thin">
          <color rgb="FF11680F"/>
        </top>
        <bottom style="thin">
          <color rgb="FF11680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4" formatCode="#,##0.00"/>
      <fill>
        <patternFill patternType="solid">
          <fgColor indexed="64"/>
          <bgColor rgb="FF72B73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11680F"/>
        </left>
        <right style="thin">
          <color rgb="FF11680F"/>
        </right>
        <top style="thin">
          <color rgb="FF11680F"/>
        </top>
        <bottom style="thin">
          <color rgb="FF11680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4" formatCode="#,##0.00"/>
      <fill>
        <patternFill patternType="solid">
          <fgColor indexed="64"/>
          <bgColor rgb="FF72B73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11680F"/>
        </left>
        <right style="thin">
          <color rgb="FF11680F"/>
        </right>
        <top style="thin">
          <color rgb="FF11680F"/>
        </top>
        <bottom style="thin">
          <color rgb="FF11680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rgb="FF72B73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11680F"/>
        </left>
        <right style="thin">
          <color rgb="FF11680F"/>
        </right>
        <top style="thin">
          <color rgb="FF11680F"/>
        </top>
        <bottom style="thin">
          <color rgb="FF11680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rgb="FF72B73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11680F"/>
        </left>
        <right style="thin">
          <color rgb="FF11680F"/>
        </right>
        <top style="thin">
          <color rgb="FF11680F"/>
        </top>
        <bottom style="thin">
          <color rgb="FF11680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rgb="FF72B73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11680F"/>
        </left>
        <right style="thin">
          <color rgb="FF11680F"/>
        </right>
        <top style="thin">
          <color rgb="FF11680F"/>
        </top>
        <bottom style="thin">
          <color rgb="FF11680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rgb="FF72B73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11680F"/>
        </left>
        <right style="thin">
          <color rgb="FF11680F"/>
        </right>
        <top style="thin">
          <color rgb="FF11680F"/>
        </top>
        <bottom style="thin">
          <color rgb="FF11680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5" formatCode="_ * #,##0.00_ ;_ * \-#,##0.00_ ;_ * &quot;-&quot;??_ ;_ @_ "/>
      <fill>
        <patternFill patternType="solid">
          <fgColor indexed="64"/>
          <bgColor rgb="FF72B73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11680F"/>
        </left>
        <right style="thin">
          <color rgb="FF11680F"/>
        </right>
        <top style="thin">
          <color rgb="FF11680F"/>
        </top>
        <bottom style="thin">
          <color rgb="FF11680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5" formatCode="_ * #,##0.00_ ;_ * \-#,##0.00_ ;_ * &quot;-&quot;??_ ;_ @_ "/>
      <fill>
        <patternFill patternType="solid">
          <fgColor indexed="64"/>
          <bgColor rgb="FF72B73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11680F"/>
        </left>
        <right style="thin">
          <color rgb="FF11680F"/>
        </right>
        <top style="thin">
          <color rgb="FF11680F"/>
        </top>
        <bottom style="thin">
          <color rgb="FF11680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rgb="FF72B73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11680F"/>
        </left>
        <right style="thin">
          <color rgb="FF11680F"/>
        </right>
        <top style="thin">
          <color rgb="FF11680F"/>
        </top>
        <bottom style="thin">
          <color rgb="FF11680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rgb="FF72B73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11680F"/>
        </left>
        <right style="thin">
          <color rgb="FF11680F"/>
        </right>
        <top style="thin">
          <color rgb="FF11680F"/>
        </top>
        <bottom style="thin">
          <color rgb="FF11680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rgb="FF72B73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11680F"/>
        </left>
        <right style="thin">
          <color rgb="FF11680F"/>
        </right>
        <top style="thin">
          <color rgb="FF11680F"/>
        </top>
        <bottom style="thin">
          <color rgb="FF11680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rgb="FF72B73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11680F"/>
        </left>
        <right style="thin">
          <color rgb="FF11680F"/>
        </right>
        <top style="thin">
          <color rgb="FF11680F"/>
        </top>
        <bottom style="thin">
          <color rgb="FF11680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rgb="FF72B73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11680F"/>
        </left>
        <right style="thin">
          <color rgb="FF11680F"/>
        </right>
        <top style="thin">
          <color rgb="FF11680F"/>
        </top>
        <bottom style="thin">
          <color rgb="FF11680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rgb="FF72B73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11680F"/>
        </left>
        <right style="thin">
          <color rgb="FF11680F"/>
        </right>
        <top style="thin">
          <color rgb="FF11680F"/>
        </top>
        <bottom style="thin">
          <color rgb="FF11680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rgb="FF72B73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11680F"/>
        </left>
        <right style="thin">
          <color rgb="FF11680F"/>
        </right>
        <top style="thin">
          <color rgb="FF11680F"/>
        </top>
        <bottom style="thin">
          <color rgb="FF11680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rgb="FF72B73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11680F"/>
        </left>
        <right style="thin">
          <color rgb="FF11680F"/>
        </right>
        <top style="thin">
          <color rgb="FF11680F"/>
        </top>
        <bottom style="thin">
          <color rgb="FF11680F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72B73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11680F"/>
        </left>
        <right style="thin">
          <color rgb="FF11680F"/>
        </right>
        <top/>
        <bottom/>
      </border>
    </dxf>
    <dxf>
      <border>
        <top style="thin">
          <color rgb="FF11680F"/>
        </top>
      </border>
    </dxf>
    <dxf>
      <font>
        <b/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rgb="FF000000"/>
          <bgColor rgb="FF72B730"/>
        </patternFill>
      </fill>
      <border diagonalUp="0" diagonalDown="0" outline="0">
        <left style="thin">
          <color rgb="FF11680F"/>
        </left>
        <right style="thin">
          <color rgb="FF11680F"/>
        </right>
        <top/>
        <bottom/>
      </border>
    </dxf>
    <dxf>
      <border outline="0">
        <top style="thin">
          <color rgb="FF11680F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rgb="FF11680F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72B73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11680F"/>
        </left>
        <right style="thin">
          <color rgb="FF11680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rgb="FF11680F"/>
        </left>
        <right style="thin">
          <color rgb="FF11680F"/>
        </right>
        <top/>
        <bottom style="thin">
          <color rgb="FF11680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rgb="FF11680F"/>
        </left>
        <right style="thin">
          <color rgb="FF11680F"/>
        </right>
        <top/>
        <bottom style="thin">
          <color rgb="FF11680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rgb="FF11680F"/>
        </left>
        <right style="thin">
          <color rgb="FF11680F"/>
        </right>
        <top style="thin">
          <color rgb="FF11680F"/>
        </top>
        <bottom style="thin">
          <color rgb="FF11680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rgb="FF11680F"/>
        </left>
        <right/>
        <top style="thin">
          <color rgb="FF11680F"/>
        </top>
        <bottom style="thin">
          <color rgb="FF11680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rgb="FF11680F"/>
        </left>
        <right style="thin">
          <color rgb="FF11680F"/>
        </right>
        <top style="thin">
          <color rgb="FF11680F"/>
        </top>
        <bottom style="thin">
          <color rgb="FF11680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rgb="FF11680F"/>
        </left>
        <right style="thin">
          <color rgb="FF11680F"/>
        </right>
        <top style="thin">
          <color rgb="FF11680F"/>
        </top>
        <bottom style="thin">
          <color rgb="FF11680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rgb="FF11680F"/>
        </left>
        <right/>
        <top style="thin">
          <color rgb="FF11680F"/>
        </top>
        <bottom style="thin">
          <color rgb="FF11680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rgb="FF11680F"/>
        </left>
        <right style="thin">
          <color rgb="FF11680F"/>
        </right>
        <top style="thin">
          <color rgb="FF11680F"/>
        </top>
        <bottom style="thin">
          <color rgb="FF11680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7" formatCode="#,##0.00_ ;\-#,##0.00\ "/>
      <alignment horizontal="center" vertical="center" textRotation="0" wrapText="0" indent="0" justifyLastLine="0" shrinkToFit="0" readingOrder="0"/>
      <border diagonalUp="0" diagonalDown="0">
        <left style="thin">
          <color rgb="FF11680F"/>
        </left>
        <right style="thin">
          <color rgb="FF11680F"/>
        </right>
        <top style="thin">
          <color rgb="FF11680F"/>
        </top>
        <bottom style="thin">
          <color rgb="FF11680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7" formatCode="#,##0.00_ ;\-#,##0.00\ "/>
      <alignment horizontal="center" vertical="center" textRotation="0" wrapText="0" indent="0" justifyLastLine="0" shrinkToFit="0" readingOrder="0"/>
      <border diagonalUp="0" diagonalDown="0">
        <left style="thin">
          <color rgb="FF11680F"/>
        </left>
        <right/>
        <top style="thin">
          <color rgb="FF11680F"/>
        </top>
        <bottom style="thin">
          <color rgb="FF11680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7" formatCode="#,##0.00_ ;\-#,##0.00\ "/>
      <fill>
        <patternFill patternType="solid">
          <fgColor indexed="64"/>
          <bgColor rgb="FF72B73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11680F"/>
        </left>
        <right/>
        <top style="thin">
          <color rgb="FF11680F"/>
        </top>
        <bottom style="thin">
          <color rgb="FF11680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7" formatCode="#,##0.00_ ;\-#,##0.00\ "/>
      <fill>
        <patternFill patternType="solid">
          <fgColor indexed="64"/>
          <bgColor rgb="FF72B73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11680F"/>
        </left>
        <right style="thin">
          <color rgb="FF11680F"/>
        </right>
        <top style="thin">
          <color rgb="FF11680F"/>
        </top>
        <bottom style="thin">
          <color rgb="FF11680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7" formatCode="#,##0.00_ ;\-#,##0.00\ "/>
      <alignment horizontal="center" vertical="center" textRotation="0" wrapText="0" indent="0" justifyLastLine="0" shrinkToFit="0" readingOrder="0"/>
      <border diagonalUp="0" diagonalDown="0">
        <left style="thin">
          <color rgb="FF11680F"/>
        </left>
        <right style="thin">
          <color rgb="FF11680F"/>
        </right>
        <top style="thin">
          <color rgb="FF11680F"/>
        </top>
        <bottom style="thin">
          <color rgb="FF11680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7" formatCode="#,##0.00_ ;\-#,##0.00\ "/>
      <alignment horizontal="center" vertical="center" textRotation="0" wrapText="0" indent="0" justifyLastLine="0" shrinkToFit="0" readingOrder="0"/>
      <border diagonalUp="0" diagonalDown="0">
        <left style="thin">
          <color rgb="FF11680F"/>
        </left>
        <right/>
        <top style="thin">
          <color rgb="FF11680F"/>
        </top>
        <bottom style="thin">
          <color rgb="FF11680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rgb="FF72B73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11680F"/>
        </left>
        <right/>
        <top style="thin">
          <color rgb="FF11680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rgb="FF72B73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11680F"/>
        </right>
        <top style="thin">
          <color rgb="FF11680F"/>
        </top>
        <bottom style="thin">
          <color rgb="FF11680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11680F"/>
        </top>
        <bottom style="thin">
          <color rgb="FF11680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71" formatCode="#,###,###,##0.00"/>
      <fill>
        <patternFill patternType="solid">
          <fgColor indexed="64"/>
          <bgColor rgb="FF72B730"/>
        </patternFill>
      </fill>
      <alignment horizontal="left" vertical="center" textRotation="0" wrapText="0" indent="0" justifyLastLine="0" shrinkToFit="0" readingOrder="0"/>
      <border outline="0">
        <left style="thin">
          <color rgb="FF11680F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" formatCode="0"/>
      <fill>
        <patternFill patternType="solid">
          <fgColor indexed="64"/>
          <bgColor rgb="FF72B73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71" formatCode="#,###,###,##0.00"/>
      <fill>
        <patternFill patternType="solid">
          <fgColor indexed="64"/>
          <bgColor rgb="FF72B730"/>
        </patternFill>
      </fill>
      <alignment horizontal="left" vertical="center" textRotation="0" wrapText="0" indent="0" justifyLastLine="0" shrinkToFit="0" readingOrder="0"/>
      <border outline="0">
        <right style="thin">
          <color rgb="FF11680F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fill>
        <patternFill patternType="solid">
          <fgColor indexed="64"/>
          <bgColor rgb="FF72B73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fill>
        <patternFill patternType="solid">
          <fgColor indexed="64"/>
          <bgColor rgb="FF72B73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rgb="FF11680F"/>
        </left>
        <right/>
        <top style="thin">
          <color rgb="FF11680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fill>
        <patternFill patternType="solid">
          <fgColor indexed="64"/>
          <bgColor rgb="FF72B73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2" formatCode="0.00"/>
      <fill>
        <patternFill patternType="solid">
          <fgColor indexed="64"/>
          <bgColor rgb="FF72B73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11680F"/>
        </left>
        <right style="thin">
          <color rgb="FF11680F"/>
        </right>
        <top style="thin">
          <color rgb="FF11680F"/>
        </top>
        <bottom style="thin">
          <color rgb="FF11680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fill>
        <patternFill patternType="solid">
          <fgColor indexed="64"/>
          <bgColor rgb="FF72B730"/>
        </patternFill>
      </fill>
      <alignment horizontal="center" vertical="center" textRotation="0" wrapText="0" indent="0" justifyLastLine="0" shrinkToFit="0" readingOrder="0"/>
    </dxf>
    <dxf>
      <border>
        <top style="thin">
          <color rgb="FF11680F"/>
        </top>
      </border>
    </dxf>
    <dxf>
      <font>
        <b/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rgb="FF000000"/>
          <bgColor rgb="FF72B730"/>
        </patternFill>
      </fill>
      <border diagonalUp="0" diagonalDown="0" outline="0">
        <left style="thin">
          <color rgb="FF11680F"/>
        </left>
        <right style="thin">
          <color rgb="FF11680F"/>
        </right>
        <top/>
        <bottom/>
      </border>
    </dxf>
    <dxf>
      <border outline="0">
        <top style="thin">
          <color rgb="FF11680F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rgb="FF11680F"/>
        </bottom>
      </border>
    </dxf>
  </dxfs>
  <tableStyles count="0" defaultTableStyle="TableStyleMedium2" defaultPivotStyle="PivotStyleLight16"/>
  <colors>
    <mruColors>
      <color rgb="FF72B730"/>
      <color rgb="FFD9D9D9"/>
      <color rgb="FF0B7536"/>
      <color rgb="FF11680F"/>
      <color rgb="FF669900"/>
      <color rgb="FF008000"/>
      <color rgb="FFFFFFFF"/>
      <color rgb="FF75FF75"/>
      <color rgb="FF93FF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IGV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DASHBOARD!$N$23</c:f>
              <c:strCache>
                <c:ptCount val="1"/>
                <c:pt idx="0">
                  <c:v>IGV 18%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DASHBOARD!$M$24:$M$26</c:f>
              <c:strCache>
                <c:ptCount val="3"/>
                <c:pt idx="0">
                  <c:v>Junio</c:v>
                </c:pt>
                <c:pt idx="1">
                  <c:v>Julio</c:v>
                </c:pt>
                <c:pt idx="2">
                  <c:v>Agosto</c:v>
                </c:pt>
              </c:strCache>
            </c:strRef>
          </c:cat>
          <c:val>
            <c:numRef>
              <c:f>DASHBOARD!$N$24:$N$26</c:f>
              <c:numCache>
                <c:formatCode>General</c:formatCode>
                <c:ptCount val="3"/>
                <c:pt idx="0">
                  <c:v>49104.051399999938</c:v>
                </c:pt>
                <c:pt idx="1">
                  <c:v>31931.18539999998</c:v>
                </c:pt>
                <c:pt idx="2">
                  <c:v>9439.2752000000237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0-45A0-A689-973BA8C94D2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4"/>
        <c:axId val="91695280"/>
        <c:axId val="91692400"/>
      </c:barChart>
      <c:catAx>
        <c:axId val="91695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1692400"/>
        <c:crosses val="autoZero"/>
        <c:auto val="1"/>
        <c:lblAlgn val="ctr"/>
        <c:lblOffset val="100"/>
        <c:noMultiLvlLbl val="0"/>
      </c:catAx>
      <c:valAx>
        <c:axId val="916924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1695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s-PE" b="1"/>
              <a:t>GASTOS POR ÁREA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>
        <c:manualLayout>
          <c:layoutTarget val="inner"/>
          <c:xMode val="edge"/>
          <c:yMode val="edge"/>
          <c:x val="0.10714257527254825"/>
          <c:y val="0.14971730818396922"/>
          <c:w val="0.86954740569583067"/>
          <c:h val="0.697215546924422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DASHBOARD!$T$26</c:f>
              <c:strCache>
                <c:ptCount val="1"/>
                <c:pt idx="0">
                  <c:v>G. ADMINISTRACIÓN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DASHBOARD!$S$27:$S$28</c:f>
              <c:strCache>
                <c:ptCount val="2"/>
                <c:pt idx="0">
                  <c:v>01</c:v>
                </c:pt>
                <c:pt idx="1">
                  <c:v>07</c:v>
                </c:pt>
              </c:strCache>
            </c:strRef>
          </c:cat>
          <c:val>
            <c:numRef>
              <c:f>DASHBOARD!$T$27:$T$28</c:f>
              <c:numCache>
                <c:formatCode>General</c:formatCode>
                <c:ptCount val="2"/>
                <c:pt idx="0">
                  <c:v>41691.42</c:v>
                </c:pt>
                <c:pt idx="1">
                  <c:v>-76546.64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F0-4D4D-B572-9DADF925ABD4}"/>
            </c:ext>
          </c:extLst>
        </c:ser>
        <c:ser>
          <c:idx val="1"/>
          <c:order val="1"/>
          <c:tx>
            <c:strRef>
              <c:f>DASHBOARD!$U$26</c:f>
              <c:strCache>
                <c:ptCount val="1"/>
                <c:pt idx="0">
                  <c:v>G. FINANCIEROS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DASHBOARD!$S$27:$S$28</c:f>
              <c:strCache>
                <c:ptCount val="2"/>
                <c:pt idx="0">
                  <c:v>01</c:v>
                </c:pt>
                <c:pt idx="1">
                  <c:v>07</c:v>
                </c:pt>
              </c:strCache>
            </c:strRef>
          </c:cat>
          <c:val>
            <c:numRef>
              <c:f>DASHBOARD!$U$27:$U$28</c:f>
              <c:numCache>
                <c:formatCode>General</c:formatCode>
                <c:ptCount val="2"/>
                <c:pt idx="0">
                  <c:v>296.62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F0-4D4D-B572-9DADF925ABD4}"/>
            </c:ext>
          </c:extLst>
        </c:ser>
        <c:ser>
          <c:idx val="2"/>
          <c:order val="2"/>
          <c:tx>
            <c:strRef>
              <c:f>DASHBOARD!$V$26</c:f>
              <c:strCache>
                <c:ptCount val="1"/>
                <c:pt idx="0">
                  <c:v>G. VENTAS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DASHBOARD!$S$27:$S$28</c:f>
              <c:strCache>
                <c:ptCount val="2"/>
                <c:pt idx="0">
                  <c:v>01</c:v>
                </c:pt>
                <c:pt idx="1">
                  <c:v>07</c:v>
                </c:pt>
              </c:strCache>
            </c:strRef>
          </c:cat>
          <c:val>
            <c:numRef>
              <c:f>DASHBOARD!$V$27:$V$28</c:f>
              <c:numCache>
                <c:formatCode>General</c:formatCode>
                <c:ptCount val="2"/>
                <c:pt idx="0">
                  <c:v>8421.16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F0-4D4D-B572-9DADF925ABD4}"/>
            </c:ext>
          </c:extLst>
        </c:ser>
        <c:ser>
          <c:idx val="3"/>
          <c:order val="3"/>
          <c:tx>
            <c:strRef>
              <c:f>DASHBOARD!$W$26</c:f>
              <c:strCache>
                <c:ptCount val="1"/>
                <c:pt idx="0">
                  <c:v>G.OPERACIONES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DASHBOARD!$S$27:$S$28</c:f>
              <c:strCache>
                <c:ptCount val="2"/>
                <c:pt idx="0">
                  <c:v>01</c:v>
                </c:pt>
                <c:pt idx="1">
                  <c:v>07</c:v>
                </c:pt>
              </c:strCache>
            </c:strRef>
          </c:cat>
          <c:val>
            <c:numRef>
              <c:f>DASHBOARD!$W$27:$W$28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8F0-4D4D-B572-9DADF925ABD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7660288"/>
        <c:axId val="97645888"/>
      </c:barChart>
      <c:catAx>
        <c:axId val="97660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7645888"/>
        <c:crosses val="autoZero"/>
        <c:auto val="1"/>
        <c:lblAlgn val="ctr"/>
        <c:lblOffset val="100"/>
        <c:noMultiLvlLbl val="0"/>
      </c:catAx>
      <c:valAx>
        <c:axId val="976458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7660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s-PE" b="1"/>
              <a:t>CANTIDAD POR TIPO DE GASTO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DASHBOARD!$H$47:$H$72</c:f>
              <c:strCache>
                <c:ptCount val="26"/>
                <c:pt idx="1">
                  <c:v>Disposición Final de RR.SS - Peligrosos</c:v>
                </c:pt>
                <c:pt idx="2">
                  <c:v>Combustible (Vehiculos)</c:v>
                </c:pt>
                <c:pt idx="3">
                  <c:v>Transporte de Carga  - Ventas</c:v>
                </c:pt>
                <c:pt idx="4">
                  <c:v>Transporte de Carga - Servicios</c:v>
                </c:pt>
                <c:pt idx="5">
                  <c:v>Montacarga - Servicios</c:v>
                </c:pt>
                <c:pt idx="6">
                  <c:v>Mantenimiento Vehicular (Preventivo)</c:v>
                </c:pt>
                <c:pt idx="7">
                  <c:v>Accesorios Vehiculares</c:v>
                </c:pt>
                <c:pt idx="8">
                  <c:v>Disposición Final de RR.SS - No Aprovechables</c:v>
                </c:pt>
                <c:pt idx="9">
                  <c:v>Montacarga - Ventas</c:v>
                </c:pt>
                <c:pt idx="10">
                  <c:v>Ingreso</c:v>
                </c:pt>
                <c:pt idx="11">
                  <c:v>Mantenimiento de Balanzas</c:v>
                </c:pt>
                <c:pt idx="12">
                  <c:v>Vigilancia Médica</c:v>
                </c:pt>
                <c:pt idx="13">
                  <c:v>Transporte peajes - Servicios</c:v>
                </c:pt>
                <c:pt idx="14">
                  <c:v>Otros Gastos de Gestion</c:v>
                </c:pt>
                <c:pt idx="15">
                  <c:v>Balanza - Servicios</c:v>
                </c:pt>
                <c:pt idx="16">
                  <c:v>Alojamiento (Operativo)</c:v>
                </c:pt>
                <c:pt idx="17">
                  <c:v>Transporte lavado (Higienización)</c:v>
                </c:pt>
                <c:pt idx="18">
                  <c:v>Transporte peajes - Ventas</c:v>
                </c:pt>
                <c:pt idx="19">
                  <c:v>Balanza - Ventas</c:v>
                </c:pt>
                <c:pt idx="20">
                  <c:v>Revisión Técnica Vehicular</c:v>
                </c:pt>
                <c:pt idx="21">
                  <c:v>Alimentacion (Operativo)</c:v>
                </c:pt>
                <c:pt idx="22">
                  <c:v>Encomienda (Envío de documentación)</c:v>
                </c:pt>
                <c:pt idx="23">
                  <c:v>Transporte de Personal (Viajes)</c:v>
                </c:pt>
                <c:pt idx="24">
                  <c:v>Gastos de Ferreteria</c:v>
                </c:pt>
                <c:pt idx="25">
                  <c:v>Mantenimiento Vehicular (Correctivo)</c:v>
                </c:pt>
              </c:strCache>
            </c:strRef>
          </c:cat>
          <c:val>
            <c:numRef>
              <c:f>DASHBOARD!$I$47:$I$72</c:f>
              <c:numCache>
                <c:formatCode>General</c:formatCode>
                <c:ptCount val="26"/>
                <c:pt idx="1">
                  <c:v>27629.79</c:v>
                </c:pt>
                <c:pt idx="2">
                  <c:v>22971.21</c:v>
                </c:pt>
                <c:pt idx="3">
                  <c:v>8636</c:v>
                </c:pt>
                <c:pt idx="4">
                  <c:v>7251</c:v>
                </c:pt>
                <c:pt idx="5">
                  <c:v>6904.31</c:v>
                </c:pt>
                <c:pt idx="6">
                  <c:v>5280.42</c:v>
                </c:pt>
                <c:pt idx="7">
                  <c:v>3572.36</c:v>
                </c:pt>
                <c:pt idx="8">
                  <c:v>2958.67</c:v>
                </c:pt>
                <c:pt idx="9">
                  <c:v>2065</c:v>
                </c:pt>
                <c:pt idx="10">
                  <c:v>1786.52</c:v>
                </c:pt>
                <c:pt idx="11">
                  <c:v>1267.97</c:v>
                </c:pt>
                <c:pt idx="12">
                  <c:v>1200</c:v>
                </c:pt>
                <c:pt idx="13">
                  <c:v>1142.4000000000001</c:v>
                </c:pt>
                <c:pt idx="14">
                  <c:v>844.95999999999992</c:v>
                </c:pt>
                <c:pt idx="15">
                  <c:v>598.6</c:v>
                </c:pt>
                <c:pt idx="16">
                  <c:v>440</c:v>
                </c:pt>
                <c:pt idx="17">
                  <c:v>386.11</c:v>
                </c:pt>
                <c:pt idx="18">
                  <c:v>300</c:v>
                </c:pt>
                <c:pt idx="19">
                  <c:v>244</c:v>
                </c:pt>
                <c:pt idx="20">
                  <c:v>220</c:v>
                </c:pt>
                <c:pt idx="21">
                  <c:v>107</c:v>
                </c:pt>
                <c:pt idx="22">
                  <c:v>87.98</c:v>
                </c:pt>
                <c:pt idx="23">
                  <c:v>76</c:v>
                </c:pt>
                <c:pt idx="24">
                  <c:v>50</c:v>
                </c:pt>
                <c:pt idx="25">
                  <c:v>42.5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2B-4BE2-9C79-2C53535BF81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073656864"/>
        <c:axId val="1809054416"/>
      </c:barChart>
      <c:catAx>
        <c:axId val="20736568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809054416"/>
        <c:crosses val="autoZero"/>
        <c:auto val="1"/>
        <c:lblAlgn val="ctr"/>
        <c:lblOffset val="100"/>
        <c:noMultiLvlLbl val="0"/>
      </c:catAx>
      <c:valAx>
        <c:axId val="1809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73656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s-PE" b="1"/>
              <a:t>RESIDUOS FACTURADOS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DASHBOARD!$M$112</c:f>
              <c:strCache>
                <c:ptCount val="1"/>
                <c:pt idx="0">
                  <c:v>FF01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DASHBOARD!$N$111:$O$111</c:f>
              <c:strCache>
                <c:ptCount val="2"/>
                <c:pt idx="0">
                  <c:v>BASE IMPONIBLE</c:v>
                </c:pt>
                <c:pt idx="1">
                  <c:v>IGV </c:v>
                </c:pt>
              </c:strCache>
            </c:strRef>
          </c:cat>
          <c:val>
            <c:numRef>
              <c:f>DASHBOARD!$N$112:$O$112</c:f>
              <c:numCache>
                <c:formatCode>General</c:formatCode>
                <c:ptCount val="2"/>
                <c:pt idx="0">
                  <c:v>518700.55000000034</c:v>
                </c:pt>
                <c:pt idx="1">
                  <c:v>93366.09659999999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72-4941-868B-FEC6F1DAB052}"/>
            </c:ext>
          </c:extLst>
        </c:ser>
        <c:ser>
          <c:idx val="1"/>
          <c:order val="1"/>
          <c:tx>
            <c:strRef>
              <c:f>DASHBOARD!$M$113</c:f>
              <c:strCache>
                <c:ptCount val="1"/>
                <c:pt idx="0">
                  <c:v>FF02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DASHBOARD!$N$111:$O$111</c:f>
              <c:strCache>
                <c:ptCount val="2"/>
                <c:pt idx="0">
                  <c:v>BASE IMPONIBLE</c:v>
                </c:pt>
                <c:pt idx="1">
                  <c:v>IGV </c:v>
                </c:pt>
              </c:strCache>
            </c:strRef>
          </c:cat>
          <c:val>
            <c:numRef>
              <c:f>DASHBOARD!$N$113:$O$113</c:f>
              <c:numCache>
                <c:formatCode>General</c:formatCode>
                <c:ptCount val="2"/>
                <c:pt idx="0">
                  <c:v>216607.79</c:v>
                </c:pt>
                <c:pt idx="1">
                  <c:v>38989.410000000018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72-4941-868B-FEC6F1DAB052}"/>
            </c:ext>
          </c:extLst>
        </c:ser>
        <c:ser>
          <c:idx val="2"/>
          <c:order val="2"/>
          <c:tx>
            <c:strRef>
              <c:f>DASHBOARD!$M$114</c:f>
              <c:strCache>
                <c:ptCount val="1"/>
                <c:pt idx="0">
                  <c:v>FF04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DASHBOARD!$N$111:$O$111</c:f>
              <c:strCache>
                <c:ptCount val="2"/>
                <c:pt idx="0">
                  <c:v>BASE IMPONIBLE</c:v>
                </c:pt>
                <c:pt idx="1">
                  <c:v>IGV </c:v>
                </c:pt>
              </c:strCache>
            </c:strRef>
          </c:cat>
          <c:val>
            <c:numRef>
              <c:f>DASHBOARD!$N$114:$O$114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72-4941-868B-FEC6F1DAB052}"/>
            </c:ext>
          </c:extLst>
        </c:ser>
        <c:ser>
          <c:idx val="3"/>
          <c:order val="3"/>
          <c:tx>
            <c:strRef>
              <c:f>DASHBOARD!$M$115</c:f>
              <c:strCache>
                <c:ptCount val="1"/>
                <c:pt idx="0">
                  <c:v>FF05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DASHBOARD!$N$111:$O$111</c:f>
              <c:strCache>
                <c:ptCount val="2"/>
                <c:pt idx="0">
                  <c:v>BASE IMPONIBLE</c:v>
                </c:pt>
                <c:pt idx="1">
                  <c:v>IGV </c:v>
                </c:pt>
              </c:strCache>
            </c:strRef>
          </c:cat>
          <c:val>
            <c:numRef>
              <c:f>DASHBOARD!$N$115:$O$115</c:f>
              <c:numCache>
                <c:formatCode>General</c:formatCode>
                <c:ptCount val="2"/>
                <c:pt idx="0">
                  <c:v>44954.909999999996</c:v>
                </c:pt>
                <c:pt idx="1">
                  <c:v>8091.88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772-4941-868B-FEC6F1DAB052}"/>
            </c:ext>
          </c:extLst>
        </c:ser>
        <c:ser>
          <c:idx val="4"/>
          <c:order val="4"/>
          <c:tx>
            <c:strRef>
              <c:f>DASHBOARD!$M$116</c:f>
              <c:strCache>
                <c:ptCount val="1"/>
                <c:pt idx="0">
                  <c:v>FF07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DASHBOARD!$N$111:$O$111</c:f>
              <c:strCache>
                <c:ptCount val="2"/>
                <c:pt idx="0">
                  <c:v>BASE IMPONIBLE</c:v>
                </c:pt>
                <c:pt idx="1">
                  <c:v>IGV </c:v>
                </c:pt>
              </c:strCache>
            </c:strRef>
          </c:cat>
          <c:val>
            <c:numRef>
              <c:f>DASHBOARD!$N$116:$O$116</c:f>
              <c:numCache>
                <c:formatCode>General</c:formatCode>
                <c:ptCount val="2"/>
                <c:pt idx="0">
                  <c:v>28250</c:v>
                </c:pt>
                <c:pt idx="1">
                  <c:v>5085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772-4941-868B-FEC6F1DAB052}"/>
            </c:ext>
          </c:extLst>
        </c:ser>
        <c:ser>
          <c:idx val="5"/>
          <c:order val="5"/>
          <c:tx>
            <c:strRef>
              <c:f>DASHBOARD!$M$117</c:f>
              <c:strCache>
                <c:ptCount val="1"/>
                <c:pt idx="0">
                  <c:v>FFN1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DASHBOARD!$N$111:$O$111</c:f>
              <c:strCache>
                <c:ptCount val="2"/>
                <c:pt idx="0">
                  <c:v>BASE IMPONIBLE</c:v>
                </c:pt>
                <c:pt idx="1">
                  <c:v>IGV </c:v>
                </c:pt>
              </c:strCache>
            </c:strRef>
          </c:cat>
          <c:val>
            <c:numRef>
              <c:f>DASHBOARD!$N$117:$O$117</c:f>
              <c:numCache>
                <c:formatCode>General</c:formatCode>
                <c:ptCount val="2"/>
                <c:pt idx="0">
                  <c:v>-5310.41</c:v>
                </c:pt>
                <c:pt idx="1">
                  <c:v>-955.87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772-4941-868B-FEC6F1DAB05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85081216"/>
        <c:axId val="485082656"/>
      </c:barChart>
      <c:catAx>
        <c:axId val="485081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85082656"/>
        <c:crosses val="autoZero"/>
        <c:auto val="1"/>
        <c:lblAlgn val="ctr"/>
        <c:lblOffset val="100"/>
        <c:noMultiLvlLbl val="0"/>
      </c:catAx>
      <c:valAx>
        <c:axId val="485082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85081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noFill/>
                </a:ln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s-PE" b="1"/>
              <a:t>SERVICIOS FACTURADOS</a:t>
            </a:r>
          </a:p>
        </c:rich>
      </c:tx>
      <c:layout>
        <c:manualLayout>
          <c:xMode val="edge"/>
          <c:yMode val="edge"/>
          <c:x val="0.32309256469295122"/>
          <c:y val="1.41467635750913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noFill/>
              </a:ln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DASHBOARD!$R$115</c:f>
              <c:strCache>
                <c:ptCount val="1"/>
                <c:pt idx="0">
                  <c:v>BASE IMPONIBLE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DASHBOARD!$Q$116:$Q$126</c:f>
              <c:strCache>
                <c:ptCount val="7"/>
                <c:pt idx="0">
                  <c:v>Descuentos y Rebajas</c:v>
                </c:pt>
                <c:pt idx="1">
                  <c:v>Destrucción de merma y desmedro</c:v>
                </c:pt>
                <c:pt idx="2">
                  <c:v>Limpieza de Biodigestores</c:v>
                </c:pt>
                <c:pt idx="3">
                  <c:v>Limpieza de Caja Trampa</c:v>
                </c:pt>
                <c:pt idx="4">
                  <c:v>Productos Terminados - RRSS</c:v>
                </c:pt>
                <c:pt idx="5">
                  <c:v>RAEE</c:v>
                </c:pt>
                <c:pt idx="6">
                  <c:v>RCD</c:v>
                </c:pt>
              </c:strCache>
            </c:strRef>
          </c:cat>
          <c:val>
            <c:numRef>
              <c:f>DASHBOARD!$R$116:$R$126</c:f>
              <c:numCache>
                <c:formatCode>General</c:formatCode>
                <c:ptCount val="11"/>
                <c:pt idx="0">
                  <c:v>6419.76</c:v>
                </c:pt>
                <c:pt idx="1">
                  <c:v>2500</c:v>
                </c:pt>
                <c:pt idx="2">
                  <c:v>2790</c:v>
                </c:pt>
                <c:pt idx="3">
                  <c:v>11553.099999999999</c:v>
                </c:pt>
                <c:pt idx="4">
                  <c:v>281523.94</c:v>
                </c:pt>
                <c:pt idx="5">
                  <c:v>199</c:v>
                </c:pt>
                <c:pt idx="6">
                  <c:v>4224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0B-48C6-AD40-222ED6C17BE5}"/>
            </c:ext>
          </c:extLst>
        </c:ser>
        <c:ser>
          <c:idx val="1"/>
          <c:order val="1"/>
          <c:tx>
            <c:strRef>
              <c:f>DASHBOARD!$S$115</c:f>
              <c:strCache>
                <c:ptCount val="1"/>
                <c:pt idx="0">
                  <c:v>IGV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DASHBOARD!$Q$116:$Q$126</c:f>
              <c:strCache>
                <c:ptCount val="7"/>
                <c:pt idx="0">
                  <c:v>Descuentos y Rebajas</c:v>
                </c:pt>
                <c:pt idx="1">
                  <c:v>Destrucción de merma y desmedro</c:v>
                </c:pt>
                <c:pt idx="2">
                  <c:v>Limpieza de Biodigestores</c:v>
                </c:pt>
                <c:pt idx="3">
                  <c:v>Limpieza de Caja Trampa</c:v>
                </c:pt>
                <c:pt idx="4">
                  <c:v>Productos Terminados - RRSS</c:v>
                </c:pt>
                <c:pt idx="5">
                  <c:v>RAEE</c:v>
                </c:pt>
                <c:pt idx="6">
                  <c:v>RCD</c:v>
                </c:pt>
              </c:strCache>
            </c:strRef>
          </c:cat>
          <c:val>
            <c:numRef>
              <c:f>DASHBOARD!$S$116:$S$126</c:f>
              <c:numCache>
                <c:formatCode>General</c:formatCode>
                <c:ptCount val="11"/>
                <c:pt idx="0">
                  <c:v>1155.56</c:v>
                </c:pt>
                <c:pt idx="1">
                  <c:v>450</c:v>
                </c:pt>
                <c:pt idx="2">
                  <c:v>502.2</c:v>
                </c:pt>
                <c:pt idx="3">
                  <c:v>2079.5699999999997</c:v>
                </c:pt>
                <c:pt idx="4">
                  <c:v>50674.30999999999</c:v>
                </c:pt>
                <c:pt idx="5">
                  <c:v>35.82</c:v>
                </c:pt>
                <c:pt idx="6">
                  <c:v>760.31999999999994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0B-48C6-AD40-222ED6C17BE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06457248"/>
        <c:axId val="406460128"/>
      </c:barChart>
      <c:catAx>
        <c:axId val="406457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06460128"/>
        <c:crosses val="autoZero"/>
        <c:auto val="1"/>
        <c:lblAlgn val="ctr"/>
        <c:lblOffset val="100"/>
        <c:noMultiLvlLbl val="0"/>
      </c:catAx>
      <c:valAx>
        <c:axId val="406460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06457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noFill/>
              </a:ln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n>
            <a:noFill/>
          </a:ln>
          <a:solidFill>
            <a:schemeClr val="bg1"/>
          </a:solidFill>
        </a:defRPr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noFill/>
                </a:ln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s-PE" b="1"/>
              <a:t>10 mejores Clientes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noFill/>
              </a:ln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DASHBOARD!$U$115:$U$124</c:f>
              <c:strCache>
                <c:ptCount val="10"/>
                <c:pt idx="0">
                  <c:v>MOLY-COP ADESUR S.A.</c:v>
                </c:pt>
                <c:pt idx="1">
                  <c:v>EMPRESA SIDERURGICA DEL PERU S.A.A.</c:v>
                </c:pt>
                <c:pt idx="2">
                  <c:v>FLSMIDTH S.A.C.</c:v>
                </c:pt>
                <c:pt idx="3">
                  <c:v>ENVASES CAROLINA S.A.C.</c:v>
                </c:pt>
                <c:pt idx="4">
                  <c:v>GRANJA RINCONADA DEL SUR S.A.</c:v>
                </c:pt>
                <c:pt idx="5">
                  <c:v>CORP.ELECTROMECANICA EN ING.Y CONSTR.SAC</c:v>
                </c:pt>
                <c:pt idx="6">
                  <c:v>RESIGRALE S.R.L.</c:v>
                </c:pt>
                <c:pt idx="7">
                  <c:v>UNIVERSIDAD CATOLICA DE SANTA MARIA</c:v>
                </c:pt>
                <c:pt idx="8">
                  <c:v>FAB DE CHOCOLATES LA IBERICA S A</c:v>
                </c:pt>
                <c:pt idx="9">
                  <c:v>COMERCIO SERVICIOS E INVERSIONES YANCE E.I.R.L.</c:v>
                </c:pt>
              </c:strCache>
            </c:strRef>
          </c:cat>
          <c:val>
            <c:numRef>
              <c:f>DASHBOARD!$V$115:$V$124</c:f>
              <c:numCache>
                <c:formatCode>General</c:formatCode>
                <c:ptCount val="10"/>
                <c:pt idx="0">
                  <c:v>230717.49999999997</c:v>
                </c:pt>
                <c:pt idx="1">
                  <c:v>148456.76</c:v>
                </c:pt>
                <c:pt idx="2">
                  <c:v>76335.086200000005</c:v>
                </c:pt>
                <c:pt idx="3">
                  <c:v>57792</c:v>
                </c:pt>
                <c:pt idx="4">
                  <c:v>41742.960000000006</c:v>
                </c:pt>
                <c:pt idx="5">
                  <c:v>38800.612399999991</c:v>
                </c:pt>
                <c:pt idx="6">
                  <c:v>33335</c:v>
                </c:pt>
                <c:pt idx="7">
                  <c:v>30455.559999999998</c:v>
                </c:pt>
                <c:pt idx="8">
                  <c:v>27007.38</c:v>
                </c:pt>
                <c:pt idx="9">
                  <c:v>21781.030000000002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7C-4070-8D4B-AAA2BE2A24D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60552928"/>
        <c:axId val="460563488"/>
      </c:barChart>
      <c:catAx>
        <c:axId val="460552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60563488"/>
        <c:crosses val="autoZero"/>
        <c:auto val="1"/>
        <c:lblAlgn val="ctr"/>
        <c:lblOffset val="100"/>
        <c:noMultiLvlLbl val="0"/>
      </c:catAx>
      <c:valAx>
        <c:axId val="460563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60552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n>
            <a:noFill/>
          </a:ln>
          <a:solidFill>
            <a:schemeClr val="bg1"/>
          </a:solidFill>
        </a:defRPr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noFill/>
                </a:ln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s-PE" b="1"/>
              <a:t>IGV NETO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noFill/>
              </a:ln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DASHBOARD!$Y$108:$Y$110</c:f>
              <c:strCache>
                <c:ptCount val="3"/>
                <c:pt idx="0">
                  <c:v>Junio</c:v>
                </c:pt>
                <c:pt idx="1">
                  <c:v>Julio</c:v>
                </c:pt>
                <c:pt idx="2">
                  <c:v>Agosto</c:v>
                </c:pt>
              </c:strCache>
            </c:strRef>
          </c:cat>
          <c:val>
            <c:numRef>
              <c:f>DASHBOARD!$Z$108:$Z$110</c:f>
              <c:numCache>
                <c:formatCode>General</c:formatCode>
                <c:ptCount val="3"/>
                <c:pt idx="0">
                  <c:v>58515.386399999988</c:v>
                </c:pt>
                <c:pt idx="1">
                  <c:v>46188.157400000004</c:v>
                </c:pt>
                <c:pt idx="2">
                  <c:v>39536.552799999998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B5-42A9-B958-6CC49B8B924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70187504"/>
        <c:axId val="470181264"/>
      </c:barChart>
      <c:catAx>
        <c:axId val="4701875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70181264"/>
        <c:crosses val="autoZero"/>
        <c:auto val="1"/>
        <c:lblAlgn val="ctr"/>
        <c:lblOffset val="100"/>
        <c:noMultiLvlLbl val="0"/>
      </c:catAx>
      <c:valAx>
        <c:axId val="470181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7018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n>
            <a:noFill/>
          </a:ln>
          <a:solidFill>
            <a:schemeClr val="bg1"/>
          </a:solidFill>
        </a:defRPr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IGV NETO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DASHBOARD!$N$23</c:f>
              <c:strCache>
                <c:ptCount val="1"/>
                <c:pt idx="0">
                  <c:v>IGV 18%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DASHBOARD!$M$24:$M$26</c:f>
              <c:strCache>
                <c:ptCount val="3"/>
                <c:pt idx="0">
                  <c:v>Junio</c:v>
                </c:pt>
                <c:pt idx="1">
                  <c:v>Julio</c:v>
                </c:pt>
                <c:pt idx="2">
                  <c:v>Agosto</c:v>
                </c:pt>
              </c:strCache>
            </c:strRef>
          </c:cat>
          <c:val>
            <c:numRef>
              <c:f>DASHBOARD!$N$24:$N$26</c:f>
              <c:numCache>
                <c:formatCode>General</c:formatCode>
                <c:ptCount val="3"/>
                <c:pt idx="0">
                  <c:v>49104.051399999938</c:v>
                </c:pt>
                <c:pt idx="1">
                  <c:v>31931.18539999998</c:v>
                </c:pt>
                <c:pt idx="2">
                  <c:v>9439.2752000000237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DB-4163-BAEA-42162D862D7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14"/>
        <c:axId val="91695280"/>
        <c:axId val="91692400"/>
      </c:barChart>
      <c:catAx>
        <c:axId val="916952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1692400"/>
        <c:crosses val="autoZero"/>
        <c:auto val="1"/>
        <c:lblAlgn val="ctr"/>
        <c:lblOffset val="100"/>
        <c:noMultiLvlLbl val="0"/>
      </c:catAx>
      <c:valAx>
        <c:axId val="91692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1695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GASTOS</a:t>
            </a:r>
            <a:r>
              <a:rPr lang="es-PE" baseline="0"/>
              <a:t> POR ÁREA</a:t>
            </a:r>
            <a:endParaRPr lang="es-P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>
        <c:manualLayout>
          <c:layoutTarget val="inner"/>
          <c:xMode val="edge"/>
          <c:yMode val="edge"/>
          <c:x val="0.10714257527254825"/>
          <c:y val="0.14971730818396922"/>
          <c:w val="0.86954740569583067"/>
          <c:h val="0.697215546924422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DASHBOARD!$T$26</c:f>
              <c:strCache>
                <c:ptCount val="1"/>
                <c:pt idx="0">
                  <c:v>G. ADMINISTRACIÓN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DASHBOARD!$S$27:$S$28</c:f>
              <c:strCache>
                <c:ptCount val="2"/>
                <c:pt idx="0">
                  <c:v>01</c:v>
                </c:pt>
                <c:pt idx="1">
                  <c:v>07</c:v>
                </c:pt>
              </c:strCache>
            </c:strRef>
          </c:cat>
          <c:val>
            <c:numRef>
              <c:f>DASHBOARD!$T$27:$T$28</c:f>
              <c:numCache>
                <c:formatCode>General</c:formatCode>
                <c:ptCount val="2"/>
                <c:pt idx="0">
                  <c:v>41691.42</c:v>
                </c:pt>
                <c:pt idx="1">
                  <c:v>-76546.64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FA-4D03-8EE9-AA33F29551F0}"/>
            </c:ext>
          </c:extLst>
        </c:ser>
        <c:ser>
          <c:idx val="1"/>
          <c:order val="1"/>
          <c:tx>
            <c:strRef>
              <c:f>DASHBOARD!$U$26</c:f>
              <c:strCache>
                <c:ptCount val="1"/>
                <c:pt idx="0">
                  <c:v>G. FINANCIEROS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DASHBOARD!$S$27:$S$28</c:f>
              <c:strCache>
                <c:ptCount val="2"/>
                <c:pt idx="0">
                  <c:v>01</c:v>
                </c:pt>
                <c:pt idx="1">
                  <c:v>07</c:v>
                </c:pt>
              </c:strCache>
            </c:strRef>
          </c:cat>
          <c:val>
            <c:numRef>
              <c:f>DASHBOARD!$U$27:$U$28</c:f>
              <c:numCache>
                <c:formatCode>General</c:formatCode>
                <c:ptCount val="2"/>
                <c:pt idx="0">
                  <c:v>296.62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FA-4D03-8EE9-AA33F29551F0}"/>
            </c:ext>
          </c:extLst>
        </c:ser>
        <c:ser>
          <c:idx val="2"/>
          <c:order val="2"/>
          <c:tx>
            <c:strRef>
              <c:f>DASHBOARD!$V$26</c:f>
              <c:strCache>
                <c:ptCount val="1"/>
                <c:pt idx="0">
                  <c:v>G. VENTAS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DASHBOARD!$S$27:$S$28</c:f>
              <c:strCache>
                <c:ptCount val="2"/>
                <c:pt idx="0">
                  <c:v>01</c:v>
                </c:pt>
                <c:pt idx="1">
                  <c:v>07</c:v>
                </c:pt>
              </c:strCache>
            </c:strRef>
          </c:cat>
          <c:val>
            <c:numRef>
              <c:f>DASHBOARD!$V$27:$V$28</c:f>
              <c:numCache>
                <c:formatCode>General</c:formatCode>
                <c:ptCount val="2"/>
                <c:pt idx="0">
                  <c:v>8421.16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FA-4D03-8EE9-AA33F29551F0}"/>
            </c:ext>
          </c:extLst>
        </c:ser>
        <c:ser>
          <c:idx val="3"/>
          <c:order val="3"/>
          <c:tx>
            <c:strRef>
              <c:f>DASHBOARD!$W$26</c:f>
              <c:strCache>
                <c:ptCount val="1"/>
                <c:pt idx="0">
                  <c:v>G.OPERACIONES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DASHBOARD!$S$27:$S$28</c:f>
              <c:strCache>
                <c:ptCount val="2"/>
                <c:pt idx="0">
                  <c:v>01</c:v>
                </c:pt>
                <c:pt idx="1">
                  <c:v>07</c:v>
                </c:pt>
              </c:strCache>
            </c:strRef>
          </c:cat>
          <c:val>
            <c:numRef>
              <c:f>DASHBOARD!$W$27:$W$28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9FA-4D03-8EE9-AA33F29551F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7660288"/>
        <c:axId val="97645888"/>
      </c:barChart>
      <c:catAx>
        <c:axId val="97660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7645888"/>
        <c:crosses val="autoZero"/>
        <c:auto val="1"/>
        <c:lblAlgn val="ctr"/>
        <c:lblOffset val="100"/>
        <c:noMultiLvlLbl val="0"/>
      </c:catAx>
      <c:valAx>
        <c:axId val="976458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7660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RESIDUOS</a:t>
            </a:r>
            <a:r>
              <a:rPr lang="es-PE" baseline="0"/>
              <a:t> FACTURADOS</a:t>
            </a:r>
            <a:endParaRPr lang="es-P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DASHBOARD!$M$112</c:f>
              <c:strCache>
                <c:ptCount val="1"/>
                <c:pt idx="0">
                  <c:v>FF01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DASHBOARD!$N$111:$O$111</c:f>
              <c:strCache>
                <c:ptCount val="2"/>
                <c:pt idx="0">
                  <c:v>BASE IMPONIBLE</c:v>
                </c:pt>
                <c:pt idx="1">
                  <c:v>IGV </c:v>
                </c:pt>
              </c:strCache>
            </c:strRef>
          </c:cat>
          <c:val>
            <c:numRef>
              <c:f>DASHBOARD!$N$112:$O$112</c:f>
              <c:numCache>
                <c:formatCode>General</c:formatCode>
                <c:ptCount val="2"/>
                <c:pt idx="0">
                  <c:v>518700.55000000034</c:v>
                </c:pt>
                <c:pt idx="1">
                  <c:v>93366.09659999999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4A-449D-9A91-F9B479E88B07}"/>
            </c:ext>
          </c:extLst>
        </c:ser>
        <c:ser>
          <c:idx val="1"/>
          <c:order val="1"/>
          <c:tx>
            <c:strRef>
              <c:f>DASHBOARD!$M$113</c:f>
              <c:strCache>
                <c:ptCount val="1"/>
                <c:pt idx="0">
                  <c:v>FF02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DASHBOARD!$N$111:$O$111</c:f>
              <c:strCache>
                <c:ptCount val="2"/>
                <c:pt idx="0">
                  <c:v>BASE IMPONIBLE</c:v>
                </c:pt>
                <c:pt idx="1">
                  <c:v>IGV </c:v>
                </c:pt>
              </c:strCache>
            </c:strRef>
          </c:cat>
          <c:val>
            <c:numRef>
              <c:f>DASHBOARD!$N$113:$O$113</c:f>
              <c:numCache>
                <c:formatCode>General</c:formatCode>
                <c:ptCount val="2"/>
                <c:pt idx="0">
                  <c:v>216607.79</c:v>
                </c:pt>
                <c:pt idx="1">
                  <c:v>38989.410000000018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4A-449D-9A91-F9B479E88B07}"/>
            </c:ext>
          </c:extLst>
        </c:ser>
        <c:ser>
          <c:idx val="2"/>
          <c:order val="2"/>
          <c:tx>
            <c:strRef>
              <c:f>DASHBOARD!$M$114</c:f>
              <c:strCache>
                <c:ptCount val="1"/>
                <c:pt idx="0">
                  <c:v>FF04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DASHBOARD!$N$111:$O$111</c:f>
              <c:strCache>
                <c:ptCount val="2"/>
                <c:pt idx="0">
                  <c:v>BASE IMPONIBLE</c:v>
                </c:pt>
                <c:pt idx="1">
                  <c:v>IGV </c:v>
                </c:pt>
              </c:strCache>
            </c:strRef>
          </c:cat>
          <c:val>
            <c:numRef>
              <c:f>DASHBOARD!$N$114:$O$114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4A-449D-9A91-F9B479E88B07}"/>
            </c:ext>
          </c:extLst>
        </c:ser>
        <c:ser>
          <c:idx val="3"/>
          <c:order val="3"/>
          <c:tx>
            <c:strRef>
              <c:f>DASHBOARD!$M$115</c:f>
              <c:strCache>
                <c:ptCount val="1"/>
                <c:pt idx="0">
                  <c:v>FF05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DASHBOARD!$N$111:$O$111</c:f>
              <c:strCache>
                <c:ptCount val="2"/>
                <c:pt idx="0">
                  <c:v>BASE IMPONIBLE</c:v>
                </c:pt>
                <c:pt idx="1">
                  <c:v>IGV </c:v>
                </c:pt>
              </c:strCache>
            </c:strRef>
          </c:cat>
          <c:val>
            <c:numRef>
              <c:f>DASHBOARD!$N$115:$O$115</c:f>
              <c:numCache>
                <c:formatCode>General</c:formatCode>
                <c:ptCount val="2"/>
                <c:pt idx="0">
                  <c:v>44954.909999999996</c:v>
                </c:pt>
                <c:pt idx="1">
                  <c:v>8091.88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74A-449D-9A91-F9B479E88B07}"/>
            </c:ext>
          </c:extLst>
        </c:ser>
        <c:ser>
          <c:idx val="4"/>
          <c:order val="4"/>
          <c:tx>
            <c:strRef>
              <c:f>DASHBOARD!$M$116</c:f>
              <c:strCache>
                <c:ptCount val="1"/>
                <c:pt idx="0">
                  <c:v>FF07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DASHBOARD!$N$111:$O$111</c:f>
              <c:strCache>
                <c:ptCount val="2"/>
                <c:pt idx="0">
                  <c:v>BASE IMPONIBLE</c:v>
                </c:pt>
                <c:pt idx="1">
                  <c:v>IGV </c:v>
                </c:pt>
              </c:strCache>
            </c:strRef>
          </c:cat>
          <c:val>
            <c:numRef>
              <c:f>DASHBOARD!$N$116:$O$116</c:f>
              <c:numCache>
                <c:formatCode>General</c:formatCode>
                <c:ptCount val="2"/>
                <c:pt idx="0">
                  <c:v>28250</c:v>
                </c:pt>
                <c:pt idx="1">
                  <c:v>5085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74A-449D-9A91-F9B479E88B07}"/>
            </c:ext>
          </c:extLst>
        </c:ser>
        <c:ser>
          <c:idx val="5"/>
          <c:order val="5"/>
          <c:tx>
            <c:strRef>
              <c:f>DASHBOARD!$M$117</c:f>
              <c:strCache>
                <c:ptCount val="1"/>
                <c:pt idx="0">
                  <c:v>FFN1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DASHBOARD!$N$111:$O$111</c:f>
              <c:strCache>
                <c:ptCount val="2"/>
                <c:pt idx="0">
                  <c:v>BASE IMPONIBLE</c:v>
                </c:pt>
                <c:pt idx="1">
                  <c:v>IGV </c:v>
                </c:pt>
              </c:strCache>
            </c:strRef>
          </c:cat>
          <c:val>
            <c:numRef>
              <c:f>DASHBOARD!$N$117:$O$117</c:f>
              <c:numCache>
                <c:formatCode>General</c:formatCode>
                <c:ptCount val="2"/>
                <c:pt idx="0">
                  <c:v>-5310.41</c:v>
                </c:pt>
                <c:pt idx="1">
                  <c:v>-955.87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74A-449D-9A91-F9B479E88B07}"/>
            </c:ext>
          </c:extLst>
        </c:ser>
        <c:ser>
          <c:idx val="6"/>
          <c:order val="6"/>
          <c:tx>
            <c:strRef>
              <c:f>DASHBOARD!$M$118</c:f>
              <c:strCache>
                <c:ptCount val="1"/>
                <c:pt idx="0">
                  <c:v>FFN5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DASHBOARD!$N$111:$O$111</c:f>
              <c:strCache>
                <c:ptCount val="2"/>
                <c:pt idx="0">
                  <c:v>BASE IMPONIBLE</c:v>
                </c:pt>
                <c:pt idx="1">
                  <c:v>IGV </c:v>
                </c:pt>
              </c:strCache>
            </c:strRef>
          </c:cat>
          <c:val>
            <c:numRef>
              <c:f>DASHBOARD!$N$118:$O$118</c:f>
              <c:numCache>
                <c:formatCode>General</c:formatCode>
                <c:ptCount val="2"/>
                <c:pt idx="0">
                  <c:v>-1869</c:v>
                </c:pt>
                <c:pt idx="1">
                  <c:v>-336.42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74A-449D-9A91-F9B479E88B0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85081216"/>
        <c:axId val="485082656"/>
      </c:barChart>
      <c:catAx>
        <c:axId val="485081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85082656"/>
        <c:crosses val="autoZero"/>
        <c:auto val="1"/>
        <c:lblAlgn val="ctr"/>
        <c:lblOffset val="100"/>
        <c:noMultiLvlLbl val="0"/>
      </c:catAx>
      <c:valAx>
        <c:axId val="485082656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extTo"/>
        <c:crossAx val="485081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SERVICIOS</a:t>
            </a:r>
            <a:r>
              <a:rPr lang="es-PE" baseline="0"/>
              <a:t> FACTURADOS</a:t>
            </a:r>
            <a:endParaRPr lang="es-P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DASHBOARD!$R$115</c:f>
              <c:strCache>
                <c:ptCount val="1"/>
                <c:pt idx="0">
                  <c:v>BASE IMPONIBLE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DASHBOARD!$Q$116:$Q$122</c:f>
              <c:strCache>
                <c:ptCount val="7"/>
                <c:pt idx="0">
                  <c:v>Descuentos y Rebajas</c:v>
                </c:pt>
                <c:pt idx="1">
                  <c:v>Destrucción de merma y desmedro</c:v>
                </c:pt>
                <c:pt idx="2">
                  <c:v>Limpieza de Biodigestores</c:v>
                </c:pt>
                <c:pt idx="3">
                  <c:v>Limpieza de Caja Trampa</c:v>
                </c:pt>
                <c:pt idx="4">
                  <c:v>Productos Terminados - RRSS</c:v>
                </c:pt>
                <c:pt idx="5">
                  <c:v>RAEE</c:v>
                </c:pt>
                <c:pt idx="6">
                  <c:v>RCD</c:v>
                </c:pt>
              </c:strCache>
            </c:strRef>
          </c:cat>
          <c:val>
            <c:numRef>
              <c:f>DASHBOARD!$R$116:$R$122</c:f>
              <c:numCache>
                <c:formatCode>General</c:formatCode>
                <c:ptCount val="7"/>
                <c:pt idx="0">
                  <c:v>6419.76</c:v>
                </c:pt>
                <c:pt idx="1">
                  <c:v>2500</c:v>
                </c:pt>
                <c:pt idx="2">
                  <c:v>2790</c:v>
                </c:pt>
                <c:pt idx="3">
                  <c:v>11553.099999999999</c:v>
                </c:pt>
                <c:pt idx="4">
                  <c:v>281523.94</c:v>
                </c:pt>
                <c:pt idx="5">
                  <c:v>199</c:v>
                </c:pt>
                <c:pt idx="6">
                  <c:v>4224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9A-4635-9743-4C09A6177AB2}"/>
            </c:ext>
          </c:extLst>
        </c:ser>
        <c:ser>
          <c:idx val="1"/>
          <c:order val="1"/>
          <c:tx>
            <c:strRef>
              <c:f>DASHBOARD!$S$115</c:f>
              <c:strCache>
                <c:ptCount val="1"/>
                <c:pt idx="0">
                  <c:v>IGV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DASHBOARD!$Q$116:$Q$122</c:f>
              <c:strCache>
                <c:ptCount val="7"/>
                <c:pt idx="0">
                  <c:v>Descuentos y Rebajas</c:v>
                </c:pt>
                <c:pt idx="1">
                  <c:v>Destrucción de merma y desmedro</c:v>
                </c:pt>
                <c:pt idx="2">
                  <c:v>Limpieza de Biodigestores</c:v>
                </c:pt>
                <c:pt idx="3">
                  <c:v>Limpieza de Caja Trampa</c:v>
                </c:pt>
                <c:pt idx="4">
                  <c:v>Productos Terminados - RRSS</c:v>
                </c:pt>
                <c:pt idx="5">
                  <c:v>RAEE</c:v>
                </c:pt>
                <c:pt idx="6">
                  <c:v>RCD</c:v>
                </c:pt>
              </c:strCache>
            </c:strRef>
          </c:cat>
          <c:val>
            <c:numRef>
              <c:f>DASHBOARD!$S$116:$S$122</c:f>
              <c:numCache>
                <c:formatCode>General</c:formatCode>
                <c:ptCount val="7"/>
                <c:pt idx="0">
                  <c:v>1155.56</c:v>
                </c:pt>
                <c:pt idx="1">
                  <c:v>450</c:v>
                </c:pt>
                <c:pt idx="2">
                  <c:v>502.2</c:v>
                </c:pt>
                <c:pt idx="3">
                  <c:v>2079.5699999999997</c:v>
                </c:pt>
                <c:pt idx="4">
                  <c:v>50674.30999999999</c:v>
                </c:pt>
                <c:pt idx="5">
                  <c:v>35.82</c:v>
                </c:pt>
                <c:pt idx="6">
                  <c:v>760.31999999999994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9A-4635-9743-4C09A6177AB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06457248"/>
        <c:axId val="406460128"/>
      </c:barChart>
      <c:catAx>
        <c:axId val="406457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06460128"/>
        <c:crosses val="autoZero"/>
        <c:auto val="1"/>
        <c:lblAlgn val="ctr"/>
        <c:lblOffset val="100"/>
        <c:noMultiLvlLbl val="0"/>
      </c:catAx>
      <c:valAx>
        <c:axId val="406460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06457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10</a:t>
            </a:r>
            <a:r>
              <a:rPr lang="es-PE" baseline="0"/>
              <a:t> mejores Clientes</a:t>
            </a:r>
            <a:endParaRPr lang="es-P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DASHBOARD!$U$115:$U$124</c:f>
              <c:strCache>
                <c:ptCount val="10"/>
                <c:pt idx="0">
                  <c:v>MOLY-COP ADESUR S.A.</c:v>
                </c:pt>
                <c:pt idx="1">
                  <c:v>EMPRESA SIDERURGICA DEL PERU S.A.A.</c:v>
                </c:pt>
                <c:pt idx="2">
                  <c:v>FLSMIDTH S.A.C.</c:v>
                </c:pt>
                <c:pt idx="3">
                  <c:v>ENVASES CAROLINA S.A.C.</c:v>
                </c:pt>
                <c:pt idx="4">
                  <c:v>GRANJA RINCONADA DEL SUR S.A.</c:v>
                </c:pt>
                <c:pt idx="5">
                  <c:v>CORP.ELECTROMECANICA EN ING.Y CONSTR.SAC</c:v>
                </c:pt>
                <c:pt idx="6">
                  <c:v>RESIGRALE S.R.L.</c:v>
                </c:pt>
                <c:pt idx="7">
                  <c:v>UNIVERSIDAD CATOLICA DE SANTA MARIA</c:v>
                </c:pt>
                <c:pt idx="8">
                  <c:v>FAB DE CHOCOLATES LA IBERICA S A</c:v>
                </c:pt>
                <c:pt idx="9">
                  <c:v>COMERCIO SERVICIOS E INVERSIONES YANCE E.I.R.L.</c:v>
                </c:pt>
              </c:strCache>
            </c:strRef>
          </c:cat>
          <c:val>
            <c:numRef>
              <c:f>DASHBOARD!$V$115:$V$124</c:f>
              <c:numCache>
                <c:formatCode>General</c:formatCode>
                <c:ptCount val="10"/>
                <c:pt idx="0">
                  <c:v>230717.49999999997</c:v>
                </c:pt>
                <c:pt idx="1">
                  <c:v>148456.76</c:v>
                </c:pt>
                <c:pt idx="2">
                  <c:v>76335.086200000005</c:v>
                </c:pt>
                <c:pt idx="3">
                  <c:v>57792</c:v>
                </c:pt>
                <c:pt idx="4">
                  <c:v>41742.960000000006</c:v>
                </c:pt>
                <c:pt idx="5">
                  <c:v>38800.612399999991</c:v>
                </c:pt>
                <c:pt idx="6">
                  <c:v>33335</c:v>
                </c:pt>
                <c:pt idx="7">
                  <c:v>30455.559999999998</c:v>
                </c:pt>
                <c:pt idx="8">
                  <c:v>27007.38</c:v>
                </c:pt>
                <c:pt idx="9">
                  <c:v>21781.030000000002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B5-4950-B14A-2659788190E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60552928"/>
        <c:axId val="460563488"/>
      </c:barChart>
      <c:catAx>
        <c:axId val="460552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60563488"/>
        <c:crosses val="autoZero"/>
        <c:auto val="1"/>
        <c:lblAlgn val="ctr"/>
        <c:lblOffset val="100"/>
        <c:noMultiLvlLbl val="0"/>
      </c:catAx>
      <c:valAx>
        <c:axId val="460563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60552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CANTIDAD</a:t>
            </a:r>
            <a:r>
              <a:rPr lang="es-PE" baseline="0"/>
              <a:t> POR TIPO DE GASTO</a:t>
            </a:r>
            <a:endParaRPr lang="es-P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DASHBOARD!$H$47:$H$72</c:f>
              <c:strCache>
                <c:ptCount val="26"/>
                <c:pt idx="1">
                  <c:v>Disposición Final de RR.SS - Peligrosos</c:v>
                </c:pt>
                <c:pt idx="2">
                  <c:v>Combustible (Vehiculos)</c:v>
                </c:pt>
                <c:pt idx="3">
                  <c:v>Transporte de Carga  - Ventas</c:v>
                </c:pt>
                <c:pt idx="4">
                  <c:v>Transporte de Carga - Servicios</c:v>
                </c:pt>
                <c:pt idx="5">
                  <c:v>Montacarga - Servicios</c:v>
                </c:pt>
                <c:pt idx="6">
                  <c:v>Mantenimiento Vehicular (Preventivo)</c:v>
                </c:pt>
                <c:pt idx="7">
                  <c:v>Accesorios Vehiculares</c:v>
                </c:pt>
                <c:pt idx="8">
                  <c:v>Disposición Final de RR.SS - No Aprovechables</c:v>
                </c:pt>
                <c:pt idx="9">
                  <c:v>Montacarga - Ventas</c:v>
                </c:pt>
                <c:pt idx="10">
                  <c:v>Ingreso</c:v>
                </c:pt>
                <c:pt idx="11">
                  <c:v>Mantenimiento de Balanzas</c:v>
                </c:pt>
                <c:pt idx="12">
                  <c:v>Vigilancia Médica</c:v>
                </c:pt>
                <c:pt idx="13">
                  <c:v>Transporte peajes - Servicios</c:v>
                </c:pt>
                <c:pt idx="14">
                  <c:v>Otros Gastos de Gestion</c:v>
                </c:pt>
                <c:pt idx="15">
                  <c:v>Balanza - Servicios</c:v>
                </c:pt>
                <c:pt idx="16">
                  <c:v>Alojamiento (Operativo)</c:v>
                </c:pt>
                <c:pt idx="17">
                  <c:v>Transporte lavado (Higienización)</c:v>
                </c:pt>
                <c:pt idx="18">
                  <c:v>Transporte peajes - Ventas</c:v>
                </c:pt>
                <c:pt idx="19">
                  <c:v>Balanza - Ventas</c:v>
                </c:pt>
                <c:pt idx="20">
                  <c:v>Revisión Técnica Vehicular</c:v>
                </c:pt>
                <c:pt idx="21">
                  <c:v>Alimentacion (Operativo)</c:v>
                </c:pt>
                <c:pt idx="22">
                  <c:v>Encomienda (Envío de documentación)</c:v>
                </c:pt>
                <c:pt idx="23">
                  <c:v>Transporte de Personal (Viajes)</c:v>
                </c:pt>
                <c:pt idx="24">
                  <c:v>Gastos de Ferreteria</c:v>
                </c:pt>
                <c:pt idx="25">
                  <c:v>Mantenimiento Vehicular (Correctivo)</c:v>
                </c:pt>
              </c:strCache>
            </c:strRef>
          </c:cat>
          <c:val>
            <c:numRef>
              <c:f>DASHBOARD!$I$47:$I$72</c:f>
              <c:numCache>
                <c:formatCode>General</c:formatCode>
                <c:ptCount val="26"/>
                <c:pt idx="1">
                  <c:v>27629.79</c:v>
                </c:pt>
                <c:pt idx="2">
                  <c:v>22971.21</c:v>
                </c:pt>
                <c:pt idx="3">
                  <c:v>8636</c:v>
                </c:pt>
                <c:pt idx="4">
                  <c:v>7251</c:v>
                </c:pt>
                <c:pt idx="5">
                  <c:v>6904.31</c:v>
                </c:pt>
                <c:pt idx="6">
                  <c:v>5280.42</c:v>
                </c:pt>
                <c:pt idx="7">
                  <c:v>3572.36</c:v>
                </c:pt>
                <c:pt idx="8">
                  <c:v>2958.67</c:v>
                </c:pt>
                <c:pt idx="9">
                  <c:v>2065</c:v>
                </c:pt>
                <c:pt idx="10">
                  <c:v>1786.52</c:v>
                </c:pt>
                <c:pt idx="11">
                  <c:v>1267.97</c:v>
                </c:pt>
                <c:pt idx="12">
                  <c:v>1200</c:v>
                </c:pt>
                <c:pt idx="13">
                  <c:v>1142.4000000000001</c:v>
                </c:pt>
                <c:pt idx="14">
                  <c:v>844.95999999999992</c:v>
                </c:pt>
                <c:pt idx="15">
                  <c:v>598.6</c:v>
                </c:pt>
                <c:pt idx="16">
                  <c:v>440</c:v>
                </c:pt>
                <c:pt idx="17">
                  <c:v>386.11</c:v>
                </c:pt>
                <c:pt idx="18">
                  <c:v>300</c:v>
                </c:pt>
                <c:pt idx="19">
                  <c:v>244</c:v>
                </c:pt>
                <c:pt idx="20">
                  <c:v>220</c:v>
                </c:pt>
                <c:pt idx="21">
                  <c:v>107</c:v>
                </c:pt>
                <c:pt idx="22">
                  <c:v>87.98</c:v>
                </c:pt>
                <c:pt idx="23">
                  <c:v>76</c:v>
                </c:pt>
                <c:pt idx="24">
                  <c:v>50</c:v>
                </c:pt>
                <c:pt idx="25">
                  <c:v>42.5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66-4275-8994-81B2F3D4575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073656864"/>
        <c:axId val="1809054416"/>
      </c:barChart>
      <c:catAx>
        <c:axId val="20736568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809054416"/>
        <c:crosses val="autoZero"/>
        <c:auto val="1"/>
        <c:lblAlgn val="ctr"/>
        <c:lblOffset val="100"/>
        <c:noMultiLvlLbl val="0"/>
      </c:catAx>
      <c:valAx>
        <c:axId val="1809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73656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IGV NETO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DASHBOARD!$Y$108:$Y$110</c:f>
              <c:strCache>
                <c:ptCount val="3"/>
                <c:pt idx="0">
                  <c:v>Junio</c:v>
                </c:pt>
                <c:pt idx="1">
                  <c:v>Julio</c:v>
                </c:pt>
                <c:pt idx="2">
                  <c:v>Agosto</c:v>
                </c:pt>
              </c:strCache>
            </c:strRef>
          </c:cat>
          <c:val>
            <c:numRef>
              <c:f>DASHBOARD!$Z$108:$Z$110</c:f>
              <c:numCache>
                <c:formatCode>General</c:formatCode>
                <c:ptCount val="3"/>
                <c:pt idx="0">
                  <c:v>58515.386399999988</c:v>
                </c:pt>
                <c:pt idx="1">
                  <c:v>46188.157400000004</c:v>
                </c:pt>
                <c:pt idx="2">
                  <c:v>39536.552799999998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C0-4F13-B06B-63594E1984E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70187504"/>
        <c:axId val="470181264"/>
      </c:barChart>
      <c:catAx>
        <c:axId val="4701875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70181264"/>
        <c:crosses val="autoZero"/>
        <c:auto val="1"/>
        <c:lblAlgn val="ctr"/>
        <c:lblOffset val="100"/>
        <c:noMultiLvlLbl val="0"/>
      </c:catAx>
      <c:valAx>
        <c:axId val="470181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7018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CANTIDAD</a:t>
            </a:r>
            <a:r>
              <a:rPr lang="es-PE" baseline="0"/>
              <a:t> POR TIPO DE GASTO</a:t>
            </a:r>
            <a:endParaRPr lang="es-P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DASHBOARD!$H$47:$H$72</c:f>
              <c:strCache>
                <c:ptCount val="26"/>
                <c:pt idx="1">
                  <c:v>Disposición Final de RR.SS - Peligrosos</c:v>
                </c:pt>
                <c:pt idx="2">
                  <c:v>Combustible (Vehiculos)</c:v>
                </c:pt>
                <c:pt idx="3">
                  <c:v>Transporte de Carga  - Ventas</c:v>
                </c:pt>
                <c:pt idx="4">
                  <c:v>Transporte de Carga - Servicios</c:v>
                </c:pt>
                <c:pt idx="5">
                  <c:v>Montacarga - Servicios</c:v>
                </c:pt>
                <c:pt idx="6">
                  <c:v>Mantenimiento Vehicular (Preventivo)</c:v>
                </c:pt>
                <c:pt idx="7">
                  <c:v>Accesorios Vehiculares</c:v>
                </c:pt>
                <c:pt idx="8">
                  <c:v>Disposición Final de RR.SS - No Aprovechables</c:v>
                </c:pt>
                <c:pt idx="9">
                  <c:v>Montacarga - Ventas</c:v>
                </c:pt>
                <c:pt idx="10">
                  <c:v>Ingreso</c:v>
                </c:pt>
                <c:pt idx="11">
                  <c:v>Mantenimiento de Balanzas</c:v>
                </c:pt>
                <c:pt idx="12">
                  <c:v>Vigilancia Médica</c:v>
                </c:pt>
                <c:pt idx="13">
                  <c:v>Transporte peajes - Servicios</c:v>
                </c:pt>
                <c:pt idx="14">
                  <c:v>Otros Gastos de Gestion</c:v>
                </c:pt>
                <c:pt idx="15">
                  <c:v>Balanza - Servicios</c:v>
                </c:pt>
                <c:pt idx="16">
                  <c:v>Alojamiento (Operativo)</c:v>
                </c:pt>
                <c:pt idx="17">
                  <c:v>Transporte lavado (Higienización)</c:v>
                </c:pt>
                <c:pt idx="18">
                  <c:v>Transporte peajes - Ventas</c:v>
                </c:pt>
                <c:pt idx="19">
                  <c:v>Balanza - Ventas</c:v>
                </c:pt>
                <c:pt idx="20">
                  <c:v>Revisión Técnica Vehicular</c:v>
                </c:pt>
                <c:pt idx="21">
                  <c:v>Alimentacion (Operativo)</c:v>
                </c:pt>
                <c:pt idx="22">
                  <c:v>Encomienda (Envío de documentación)</c:v>
                </c:pt>
                <c:pt idx="23">
                  <c:v>Transporte de Personal (Viajes)</c:v>
                </c:pt>
                <c:pt idx="24">
                  <c:v>Gastos de Ferreteria</c:v>
                </c:pt>
                <c:pt idx="25">
                  <c:v>Mantenimiento Vehicular (Correctivo)</c:v>
                </c:pt>
              </c:strCache>
            </c:strRef>
          </c:cat>
          <c:val>
            <c:numRef>
              <c:f>DASHBOARD!$I$47:$I$72</c:f>
              <c:numCache>
                <c:formatCode>General</c:formatCode>
                <c:ptCount val="26"/>
                <c:pt idx="1">
                  <c:v>27629.79</c:v>
                </c:pt>
                <c:pt idx="2">
                  <c:v>22971.21</c:v>
                </c:pt>
                <c:pt idx="3">
                  <c:v>8636</c:v>
                </c:pt>
                <c:pt idx="4">
                  <c:v>7251</c:v>
                </c:pt>
                <c:pt idx="5">
                  <c:v>6904.31</c:v>
                </c:pt>
                <c:pt idx="6">
                  <c:v>5280.42</c:v>
                </c:pt>
                <c:pt idx="7">
                  <c:v>3572.36</c:v>
                </c:pt>
                <c:pt idx="8">
                  <c:v>2958.67</c:v>
                </c:pt>
                <c:pt idx="9">
                  <c:v>2065</c:v>
                </c:pt>
                <c:pt idx="10">
                  <c:v>1786.52</c:v>
                </c:pt>
                <c:pt idx="11">
                  <c:v>1267.97</c:v>
                </c:pt>
                <c:pt idx="12">
                  <c:v>1200</c:v>
                </c:pt>
                <c:pt idx="13">
                  <c:v>1142.4000000000001</c:v>
                </c:pt>
                <c:pt idx="14">
                  <c:v>844.95999999999992</c:v>
                </c:pt>
                <c:pt idx="15">
                  <c:v>598.6</c:v>
                </c:pt>
                <c:pt idx="16">
                  <c:v>440</c:v>
                </c:pt>
                <c:pt idx="17">
                  <c:v>386.11</c:v>
                </c:pt>
                <c:pt idx="18">
                  <c:v>300</c:v>
                </c:pt>
                <c:pt idx="19">
                  <c:v>244</c:v>
                </c:pt>
                <c:pt idx="20">
                  <c:v>220</c:v>
                </c:pt>
                <c:pt idx="21">
                  <c:v>107</c:v>
                </c:pt>
                <c:pt idx="22">
                  <c:v>87.98</c:v>
                </c:pt>
                <c:pt idx="23">
                  <c:v>76</c:v>
                </c:pt>
                <c:pt idx="24">
                  <c:v>50</c:v>
                </c:pt>
                <c:pt idx="25">
                  <c:v>42.5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69-4F1C-A1A1-D52B24309D6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073656864"/>
        <c:axId val="1809054416"/>
      </c:barChart>
      <c:catAx>
        <c:axId val="20736568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809054416"/>
        <c:crosses val="autoZero"/>
        <c:auto val="1"/>
        <c:lblAlgn val="ctr"/>
        <c:lblOffset val="100"/>
        <c:noMultiLvlLbl val="0"/>
      </c:catAx>
      <c:valAx>
        <c:axId val="1809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73656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png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image" Target="../media/image3.sv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5.xml"/><Relationship Id="rId3" Type="http://schemas.openxmlformats.org/officeDocument/2006/relationships/chart" Target="../charts/chart10.xml"/><Relationship Id="rId7" Type="http://schemas.openxmlformats.org/officeDocument/2006/relationships/chart" Target="../charts/chart14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117231</xdr:colOff>
      <xdr:row>1</xdr:row>
      <xdr:rowOff>146540</xdr:rowOff>
    </xdr:from>
    <xdr:to>
      <xdr:col>2</xdr:col>
      <xdr:colOff>675966</xdr:colOff>
      <xdr:row>4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B8C4919-B2E1-4DCA-86EF-47C8AE356E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55" t="33826" r="11155" b="34596"/>
        <a:stretch/>
      </xdr:blipFill>
      <xdr:spPr>
        <a:xfrm>
          <a:off x="364881" y="327515"/>
          <a:ext cx="1235010" cy="4249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60081</xdr:colOff>
      <xdr:row>1</xdr:row>
      <xdr:rowOff>146539</xdr:rowOff>
    </xdr:from>
    <xdr:to>
      <xdr:col>2</xdr:col>
      <xdr:colOff>681166</xdr:colOff>
      <xdr:row>4</xdr:row>
      <xdr:rowOff>28574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19750C6-5E70-41C6-A7A0-9697BA50BF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55" t="33826" r="11155" b="34596"/>
        <a:stretch/>
      </xdr:blipFill>
      <xdr:spPr>
        <a:xfrm>
          <a:off x="307731" y="327514"/>
          <a:ext cx="1297360" cy="4535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117231</xdr:colOff>
      <xdr:row>1</xdr:row>
      <xdr:rowOff>146539</xdr:rowOff>
    </xdr:from>
    <xdr:to>
      <xdr:col>2</xdr:col>
      <xdr:colOff>1025769</xdr:colOff>
      <xdr:row>4</xdr:row>
      <xdr:rowOff>38353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501C55E-CAF5-4A5C-BAA3-23F8A50BED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55" t="33826" r="11155" b="34596"/>
        <a:stretch/>
      </xdr:blipFill>
      <xdr:spPr>
        <a:xfrm>
          <a:off x="307731" y="337039"/>
          <a:ext cx="1422888" cy="43473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195672</xdr:colOff>
      <xdr:row>1</xdr:row>
      <xdr:rowOff>146539</xdr:rowOff>
    </xdr:from>
    <xdr:to>
      <xdr:col>2</xdr:col>
      <xdr:colOff>1092304</xdr:colOff>
      <xdr:row>3</xdr:row>
      <xdr:rowOff>172823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84595CE-9090-49DF-B3A6-B41D319E9B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55" t="33826" r="11155" b="34596"/>
        <a:stretch/>
      </xdr:blipFill>
      <xdr:spPr>
        <a:xfrm>
          <a:off x="386172" y="337039"/>
          <a:ext cx="1420507" cy="426334"/>
        </a:xfrm>
        <a:prstGeom prst="rect">
          <a:avLst/>
        </a:prstGeom>
      </xdr:spPr>
    </xdr:pic>
    <xdr:clientData/>
  </xdr:twoCellAnchor>
  <xdr:oneCellAnchor>
    <xdr:from>
      <xdr:col>1</xdr:col>
      <xdr:colOff>195672</xdr:colOff>
      <xdr:row>30</xdr:row>
      <xdr:rowOff>146539</xdr:rowOff>
    </xdr:from>
    <xdr:ext cx="1420507" cy="426334"/>
    <xdr:pic>
      <xdr:nvPicPr>
        <xdr:cNvPr id="3" name="Imagen 2">
          <a:extLst>
            <a:ext uri="{FF2B5EF4-FFF2-40B4-BE49-F238E27FC236}">
              <a16:creationId xmlns:a16="http://schemas.microsoft.com/office/drawing/2014/main" id="{98914CDC-CDC9-4F89-89EC-B084E5223E0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55" t="33826" r="11155" b="34596"/>
        <a:stretch/>
      </xdr:blipFill>
      <xdr:spPr>
        <a:xfrm>
          <a:off x="386172" y="8138014"/>
          <a:ext cx="1420507" cy="426334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195672</xdr:colOff>
      <xdr:row>1</xdr:row>
      <xdr:rowOff>146539</xdr:rowOff>
    </xdr:from>
    <xdr:to>
      <xdr:col>2</xdr:col>
      <xdr:colOff>1092304</xdr:colOff>
      <xdr:row>3</xdr:row>
      <xdr:rowOff>172823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B05690D-09A3-4210-9CB0-F7AFBB743D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55" t="33826" r="11155" b="34596"/>
        <a:stretch/>
      </xdr:blipFill>
      <xdr:spPr>
        <a:xfrm>
          <a:off x="386172" y="337039"/>
          <a:ext cx="1420507" cy="42633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3</xdr:row>
      <xdr:rowOff>123825</xdr:rowOff>
    </xdr:from>
    <xdr:to>
      <xdr:col>4</xdr:col>
      <xdr:colOff>95250</xdr:colOff>
      <xdr:row>20</xdr:row>
      <xdr:rowOff>95250</xdr:rowOff>
    </xdr:to>
    <xdr:sp macro="" textlink="">
      <xdr:nvSpPr>
        <xdr:cNvPr id="15" name="Rectángulo: esquinas redondeadas 14">
          <a:extLst>
            <a:ext uri="{FF2B5EF4-FFF2-40B4-BE49-F238E27FC236}">
              <a16:creationId xmlns:a16="http://schemas.microsoft.com/office/drawing/2014/main" id="{28133276-62A8-4FA1-B564-07CBD60741E2}"/>
            </a:ext>
          </a:extLst>
        </xdr:cNvPr>
        <xdr:cNvSpPr/>
      </xdr:nvSpPr>
      <xdr:spPr>
        <a:xfrm>
          <a:off x="238125" y="695325"/>
          <a:ext cx="2905125" cy="3209925"/>
        </a:xfrm>
        <a:prstGeom prst="roundRect">
          <a:avLst/>
        </a:prstGeom>
        <a:solidFill>
          <a:srgbClr val="0B7536"/>
        </a:solidFill>
        <a:ln>
          <a:solidFill>
            <a:srgbClr val="0B753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0</xdr:col>
      <xdr:colOff>485774</xdr:colOff>
      <xdr:row>4</xdr:row>
      <xdr:rowOff>0</xdr:rowOff>
    </xdr:from>
    <xdr:to>
      <xdr:col>3</xdr:col>
      <xdr:colOff>285749</xdr:colOff>
      <xdr:row>5</xdr:row>
      <xdr:rowOff>171450</xdr:rowOff>
    </xdr:to>
    <xdr:sp macro="" textlink="">
      <xdr:nvSpPr>
        <xdr:cNvPr id="16" name="Rectángulo: esquinas redondeadas 15">
          <a:extLst>
            <a:ext uri="{FF2B5EF4-FFF2-40B4-BE49-F238E27FC236}">
              <a16:creationId xmlns:a16="http://schemas.microsoft.com/office/drawing/2014/main" id="{6493AA58-26F0-46F6-8016-18FC7B3EC11A}"/>
            </a:ext>
          </a:extLst>
        </xdr:cNvPr>
        <xdr:cNvSpPr/>
      </xdr:nvSpPr>
      <xdr:spPr>
        <a:xfrm>
          <a:off x="485774" y="762000"/>
          <a:ext cx="2085975" cy="3619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1200" b="1"/>
            <a:t>Datos generales compras</a:t>
          </a:r>
        </a:p>
      </xdr:txBody>
    </xdr:sp>
    <xdr:clientData/>
  </xdr:twoCellAnchor>
  <xdr:twoCellAnchor>
    <xdr:from>
      <xdr:col>0</xdr:col>
      <xdr:colOff>209550</xdr:colOff>
      <xdr:row>5</xdr:row>
      <xdr:rowOff>66675</xdr:rowOff>
    </xdr:from>
    <xdr:to>
      <xdr:col>2</xdr:col>
      <xdr:colOff>104775</xdr:colOff>
      <xdr:row>6</xdr:row>
      <xdr:rowOff>171449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840A6556-2B62-495E-97C3-6A6DD0DE1997}"/>
            </a:ext>
          </a:extLst>
        </xdr:cNvPr>
        <xdr:cNvSpPr/>
      </xdr:nvSpPr>
      <xdr:spPr>
        <a:xfrm>
          <a:off x="209550" y="1019175"/>
          <a:ext cx="1419225" cy="295274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1100" b="1"/>
            <a:t>Cantidad</a:t>
          </a:r>
          <a:r>
            <a:rPr lang="es-PE" sz="1100" b="1" baseline="0"/>
            <a:t> total</a:t>
          </a:r>
          <a:endParaRPr lang="es-PE" sz="1100" b="1"/>
        </a:p>
      </xdr:txBody>
    </xdr:sp>
    <xdr:clientData/>
  </xdr:twoCellAnchor>
  <xdr:twoCellAnchor>
    <xdr:from>
      <xdr:col>0</xdr:col>
      <xdr:colOff>514350</xdr:colOff>
      <xdr:row>7</xdr:row>
      <xdr:rowOff>57150</xdr:rowOff>
    </xdr:from>
    <xdr:to>
      <xdr:col>1</xdr:col>
      <xdr:colOff>485776</xdr:colOff>
      <xdr:row>8</xdr:row>
      <xdr:rowOff>161924</xdr:rowOff>
    </xdr:to>
    <xdr:sp macro="" textlink="">
      <xdr:nvSpPr>
        <xdr:cNvPr id="28" name="Rectángulo: esquinas redondeadas 27">
          <a:extLst>
            <a:ext uri="{FF2B5EF4-FFF2-40B4-BE49-F238E27FC236}">
              <a16:creationId xmlns:a16="http://schemas.microsoft.com/office/drawing/2014/main" id="{5750A6F1-69FA-401E-AB7C-B069DDB6F6B4}"/>
            </a:ext>
          </a:extLst>
        </xdr:cNvPr>
        <xdr:cNvSpPr/>
      </xdr:nvSpPr>
      <xdr:spPr>
        <a:xfrm>
          <a:off x="514350" y="1390650"/>
          <a:ext cx="733426" cy="295274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1100"/>
            <a:t>Facturas</a:t>
          </a:r>
        </a:p>
      </xdr:txBody>
    </xdr:sp>
    <xdr:clientData/>
  </xdr:twoCellAnchor>
  <xdr:twoCellAnchor>
    <xdr:from>
      <xdr:col>0</xdr:col>
      <xdr:colOff>523875</xdr:colOff>
      <xdr:row>8</xdr:row>
      <xdr:rowOff>152400</xdr:rowOff>
    </xdr:from>
    <xdr:to>
      <xdr:col>1</xdr:col>
      <xdr:colOff>466726</xdr:colOff>
      <xdr:row>10</xdr:row>
      <xdr:rowOff>66674</xdr:rowOff>
    </xdr:to>
    <xdr:sp macro="" textlink="">
      <xdr:nvSpPr>
        <xdr:cNvPr id="29" name="Rectángulo: esquinas redondeadas 28">
          <a:extLst>
            <a:ext uri="{FF2B5EF4-FFF2-40B4-BE49-F238E27FC236}">
              <a16:creationId xmlns:a16="http://schemas.microsoft.com/office/drawing/2014/main" id="{D866F55B-E44B-44B4-8BC3-CB137EBC376D}"/>
            </a:ext>
          </a:extLst>
        </xdr:cNvPr>
        <xdr:cNvSpPr/>
      </xdr:nvSpPr>
      <xdr:spPr>
        <a:xfrm>
          <a:off x="523875" y="1676400"/>
          <a:ext cx="704851" cy="295274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1100"/>
            <a:t>NC</a:t>
          </a:r>
        </a:p>
      </xdr:txBody>
    </xdr:sp>
    <xdr:clientData/>
  </xdr:twoCellAnchor>
  <xdr:twoCellAnchor>
    <xdr:from>
      <xdr:col>0</xdr:col>
      <xdr:colOff>447676</xdr:colOff>
      <xdr:row>10</xdr:row>
      <xdr:rowOff>47625</xdr:rowOff>
    </xdr:from>
    <xdr:to>
      <xdr:col>1</xdr:col>
      <xdr:colOff>457200</xdr:colOff>
      <xdr:row>11</xdr:row>
      <xdr:rowOff>152399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2F9FCC91-F75B-4965-9F25-54E0171AD6F2}"/>
            </a:ext>
          </a:extLst>
        </xdr:cNvPr>
        <xdr:cNvSpPr/>
      </xdr:nvSpPr>
      <xdr:spPr>
        <a:xfrm>
          <a:off x="447676" y="1952625"/>
          <a:ext cx="771524" cy="295274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1100"/>
            <a:t>S.Basicos</a:t>
          </a:r>
        </a:p>
      </xdr:txBody>
    </xdr:sp>
    <xdr:clientData/>
  </xdr:twoCellAnchor>
  <xdr:twoCellAnchor>
    <xdr:from>
      <xdr:col>1</xdr:col>
      <xdr:colOff>438150</xdr:colOff>
      <xdr:row>10</xdr:row>
      <xdr:rowOff>57149</xdr:rowOff>
    </xdr:from>
    <xdr:to>
      <xdr:col>2</xdr:col>
      <xdr:colOff>581025</xdr:colOff>
      <xdr:row>11</xdr:row>
      <xdr:rowOff>104774</xdr:rowOff>
    </xdr:to>
    <xdr:sp macro="" textlink="DASHBOARD!AC20">
      <xdr:nvSpPr>
        <xdr:cNvPr id="31" name="Diagrama de flujo: terminador 30">
          <a:extLst>
            <a:ext uri="{FF2B5EF4-FFF2-40B4-BE49-F238E27FC236}">
              <a16:creationId xmlns:a16="http://schemas.microsoft.com/office/drawing/2014/main" id="{0FC970A6-0DC5-4D2B-A7FC-B33EBBD2D018}"/>
            </a:ext>
          </a:extLst>
        </xdr:cNvPr>
        <xdr:cNvSpPr/>
      </xdr:nvSpPr>
      <xdr:spPr>
        <a:xfrm>
          <a:off x="1200150" y="1962149"/>
          <a:ext cx="904875" cy="238125"/>
        </a:xfrm>
        <a:prstGeom prst="flowChartTerminator">
          <a:avLst/>
        </a:prstGeom>
        <a:solidFill>
          <a:schemeClr val="bg1"/>
        </a:solidFill>
        <a:ln>
          <a:solidFill>
            <a:srgbClr val="0B753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fld id="{7AE3ECEA-ADBF-4E1A-9DF8-F617EE5C1285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pPr algn="l"/>
            <a:t>1180.26</a:t>
          </a:fld>
          <a:endParaRPr lang="en-US" sz="1100"/>
        </a:p>
      </xdr:txBody>
    </xdr:sp>
    <xdr:clientData/>
  </xdr:twoCellAnchor>
  <xdr:twoCellAnchor>
    <xdr:from>
      <xdr:col>1</xdr:col>
      <xdr:colOff>438149</xdr:colOff>
      <xdr:row>8</xdr:row>
      <xdr:rowOff>171449</xdr:rowOff>
    </xdr:from>
    <xdr:to>
      <xdr:col>2</xdr:col>
      <xdr:colOff>581025</xdr:colOff>
      <xdr:row>10</xdr:row>
      <xdr:rowOff>28574</xdr:rowOff>
    </xdr:to>
    <xdr:sp macro="" textlink="DASHBOARD!AC18">
      <xdr:nvSpPr>
        <xdr:cNvPr id="32" name="Diagrama de flujo: terminador 31">
          <a:extLst>
            <a:ext uri="{FF2B5EF4-FFF2-40B4-BE49-F238E27FC236}">
              <a16:creationId xmlns:a16="http://schemas.microsoft.com/office/drawing/2014/main" id="{08AD74F9-970E-4B36-803F-0C0CBD9B61C5}"/>
            </a:ext>
          </a:extLst>
        </xdr:cNvPr>
        <xdr:cNvSpPr/>
      </xdr:nvSpPr>
      <xdr:spPr>
        <a:xfrm>
          <a:off x="1200149" y="1695449"/>
          <a:ext cx="904876" cy="238125"/>
        </a:xfrm>
        <a:prstGeom prst="flowChartTerminator">
          <a:avLst/>
        </a:prstGeom>
        <a:solidFill>
          <a:schemeClr val="bg1"/>
        </a:solidFill>
        <a:ln>
          <a:solidFill>
            <a:srgbClr val="0B753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fld id="{F50EBE9C-2151-47C2-86EC-CCBB1D424A0F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pPr algn="l"/>
            <a:t>-76546.64</a:t>
          </a:fld>
          <a:endParaRPr lang="en-US" sz="1100"/>
        </a:p>
      </xdr:txBody>
    </xdr:sp>
    <xdr:clientData/>
  </xdr:twoCellAnchor>
  <xdr:twoCellAnchor>
    <xdr:from>
      <xdr:col>1</xdr:col>
      <xdr:colOff>438150</xdr:colOff>
      <xdr:row>7</xdr:row>
      <xdr:rowOff>95249</xdr:rowOff>
    </xdr:from>
    <xdr:to>
      <xdr:col>2</xdr:col>
      <xdr:colOff>609600</xdr:colOff>
      <xdr:row>8</xdr:row>
      <xdr:rowOff>142874</xdr:rowOff>
    </xdr:to>
    <xdr:sp macro="" textlink="DASHBOARD!AC16">
      <xdr:nvSpPr>
        <xdr:cNvPr id="33" name="Diagrama de flujo: terminador 32">
          <a:extLst>
            <a:ext uri="{FF2B5EF4-FFF2-40B4-BE49-F238E27FC236}">
              <a16:creationId xmlns:a16="http://schemas.microsoft.com/office/drawing/2014/main" id="{EFD7DBA5-6904-4C9B-B3B7-17AC294CCD8C}"/>
            </a:ext>
          </a:extLst>
        </xdr:cNvPr>
        <xdr:cNvSpPr/>
      </xdr:nvSpPr>
      <xdr:spPr>
        <a:xfrm>
          <a:off x="1200150" y="1428749"/>
          <a:ext cx="933450" cy="238125"/>
        </a:xfrm>
        <a:prstGeom prst="flowChartTerminator">
          <a:avLst/>
        </a:prstGeom>
        <a:solidFill>
          <a:schemeClr val="bg1"/>
        </a:solidFill>
        <a:ln>
          <a:solidFill>
            <a:srgbClr val="0B753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fld id="{D59555A2-7381-4B7C-95F8-26BD337670FC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pPr algn="l"/>
            <a:t>165802.41</a:t>
          </a:fld>
          <a:endParaRPr lang="en-US" sz="1100"/>
        </a:p>
      </xdr:txBody>
    </xdr:sp>
    <xdr:clientData/>
  </xdr:twoCellAnchor>
  <xdr:twoCellAnchor>
    <xdr:from>
      <xdr:col>4</xdr:col>
      <xdr:colOff>314325</xdr:colOff>
      <xdr:row>2</xdr:row>
      <xdr:rowOff>104775</xdr:rowOff>
    </xdr:from>
    <xdr:to>
      <xdr:col>10</xdr:col>
      <xdr:colOff>219075</xdr:colOff>
      <xdr:row>23</xdr:row>
      <xdr:rowOff>95250</xdr:rowOff>
    </xdr:to>
    <xdr:sp macro="" textlink="">
      <xdr:nvSpPr>
        <xdr:cNvPr id="54" name="Rectángulo: esquinas redondeadas 53">
          <a:extLst>
            <a:ext uri="{FF2B5EF4-FFF2-40B4-BE49-F238E27FC236}">
              <a16:creationId xmlns:a16="http://schemas.microsoft.com/office/drawing/2014/main" id="{90E1964E-645B-4F25-99EC-3394E880EC58}"/>
            </a:ext>
          </a:extLst>
        </xdr:cNvPr>
        <xdr:cNvSpPr/>
      </xdr:nvSpPr>
      <xdr:spPr>
        <a:xfrm>
          <a:off x="3362325" y="485775"/>
          <a:ext cx="4476750" cy="3990975"/>
        </a:xfrm>
        <a:prstGeom prst="roundRect">
          <a:avLst/>
        </a:prstGeom>
        <a:solidFill>
          <a:srgbClr val="0B7536"/>
        </a:solidFill>
        <a:ln>
          <a:solidFill>
            <a:srgbClr val="0B753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>
            <a:ln>
              <a:noFill/>
            </a:ln>
          </a:endParaRPr>
        </a:p>
      </xdr:txBody>
    </xdr:sp>
    <xdr:clientData/>
  </xdr:twoCellAnchor>
  <xdr:twoCellAnchor>
    <xdr:from>
      <xdr:col>10</xdr:col>
      <xdr:colOff>304800</xdr:colOff>
      <xdr:row>4</xdr:row>
      <xdr:rowOff>57150</xdr:rowOff>
    </xdr:from>
    <xdr:to>
      <xdr:col>16</xdr:col>
      <xdr:colOff>171450</xdr:colOff>
      <xdr:row>19</xdr:row>
      <xdr:rowOff>180975</xdr:rowOff>
    </xdr:to>
    <xdr:sp macro="" textlink="">
      <xdr:nvSpPr>
        <xdr:cNvPr id="56" name="Rectángulo: esquinas redondeadas 55">
          <a:extLst>
            <a:ext uri="{FF2B5EF4-FFF2-40B4-BE49-F238E27FC236}">
              <a16:creationId xmlns:a16="http://schemas.microsoft.com/office/drawing/2014/main" id="{3A92B4BC-9698-420F-81BD-EC82D5D65B86}"/>
            </a:ext>
          </a:extLst>
        </xdr:cNvPr>
        <xdr:cNvSpPr/>
      </xdr:nvSpPr>
      <xdr:spPr>
        <a:xfrm>
          <a:off x="7924800" y="819150"/>
          <a:ext cx="4438650" cy="2981325"/>
        </a:xfrm>
        <a:prstGeom prst="roundRect">
          <a:avLst/>
        </a:prstGeom>
        <a:solidFill>
          <a:srgbClr val="0B7536"/>
        </a:solidFill>
        <a:ln>
          <a:solidFill>
            <a:srgbClr val="0B753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10</xdr:col>
      <xdr:colOff>419100</xdr:colOff>
      <xdr:row>5</xdr:row>
      <xdr:rowOff>104777</xdr:rowOff>
    </xdr:from>
    <xdr:to>
      <xdr:col>16</xdr:col>
      <xdr:colOff>57150</xdr:colOff>
      <xdr:row>17</xdr:row>
      <xdr:rowOff>76201</xdr:rowOff>
    </xdr:to>
    <xdr:graphicFrame macro="">
      <xdr:nvGraphicFramePr>
        <xdr:cNvPr id="59" name="Gráfico 58">
          <a:extLst>
            <a:ext uri="{FF2B5EF4-FFF2-40B4-BE49-F238E27FC236}">
              <a16:creationId xmlns:a16="http://schemas.microsoft.com/office/drawing/2014/main" id="{24E162DD-1125-4B57-82D1-F4DDB9AAB6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276224</xdr:colOff>
      <xdr:row>4</xdr:row>
      <xdr:rowOff>95250</xdr:rowOff>
    </xdr:from>
    <xdr:to>
      <xdr:col>23</xdr:col>
      <xdr:colOff>380999</xdr:colOff>
      <xdr:row>20</xdr:row>
      <xdr:rowOff>28575</xdr:rowOff>
    </xdr:to>
    <xdr:sp macro="" textlink="">
      <xdr:nvSpPr>
        <xdr:cNvPr id="60" name="Rectángulo: esquinas redondeadas 59">
          <a:extLst>
            <a:ext uri="{FF2B5EF4-FFF2-40B4-BE49-F238E27FC236}">
              <a16:creationId xmlns:a16="http://schemas.microsoft.com/office/drawing/2014/main" id="{C1735032-9934-4261-8234-E7052D231E15}"/>
            </a:ext>
          </a:extLst>
        </xdr:cNvPr>
        <xdr:cNvSpPr/>
      </xdr:nvSpPr>
      <xdr:spPr>
        <a:xfrm>
          <a:off x="12468224" y="857250"/>
          <a:ext cx="5438775" cy="2981325"/>
        </a:xfrm>
        <a:prstGeom prst="roundRect">
          <a:avLst/>
        </a:prstGeom>
        <a:solidFill>
          <a:srgbClr val="0B7536"/>
        </a:solidFill>
        <a:ln>
          <a:solidFill>
            <a:srgbClr val="0B753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16</xdr:col>
      <xdr:colOff>400049</xdr:colOff>
      <xdr:row>5</xdr:row>
      <xdr:rowOff>9525</xdr:rowOff>
    </xdr:from>
    <xdr:to>
      <xdr:col>23</xdr:col>
      <xdr:colOff>123824</xdr:colOff>
      <xdr:row>19</xdr:row>
      <xdr:rowOff>104775</xdr:rowOff>
    </xdr:to>
    <xdr:graphicFrame macro="">
      <xdr:nvGraphicFramePr>
        <xdr:cNvPr id="61" name="Gráfico 60">
          <a:extLst>
            <a:ext uri="{FF2B5EF4-FFF2-40B4-BE49-F238E27FC236}">
              <a16:creationId xmlns:a16="http://schemas.microsoft.com/office/drawing/2014/main" id="{9F95EEE9-7D5B-43D6-B9A5-C73D67A3E6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666750</xdr:colOff>
      <xdr:row>12</xdr:row>
      <xdr:rowOff>123825</xdr:rowOff>
    </xdr:from>
    <xdr:to>
      <xdr:col>3</xdr:col>
      <xdr:colOff>333375</xdr:colOff>
      <xdr:row>19</xdr:row>
      <xdr:rowOff>19051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5" name="PERIODO 1">
              <a:extLst>
                <a:ext uri="{FF2B5EF4-FFF2-40B4-BE49-F238E27FC236}">
                  <a16:creationId xmlns:a16="http://schemas.microsoft.com/office/drawing/2014/main" id="{BC9BE410-CE50-458A-8E89-9013C4C1E6C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ERIOD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6750" y="2409825"/>
              <a:ext cx="1952625" cy="122872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0</xdr:col>
      <xdr:colOff>114300</xdr:colOff>
      <xdr:row>29</xdr:row>
      <xdr:rowOff>114300</xdr:rowOff>
    </xdr:from>
    <xdr:to>
      <xdr:col>3</xdr:col>
      <xdr:colOff>733425</xdr:colOff>
      <xdr:row>46</xdr:row>
      <xdr:rowOff>85725</xdr:rowOff>
    </xdr:to>
    <xdr:sp macro="" textlink="">
      <xdr:nvSpPr>
        <xdr:cNvPr id="3" name="Rectángulo: esquinas redondeadas 66">
          <a:extLst>
            <a:ext uri="{FF2B5EF4-FFF2-40B4-BE49-F238E27FC236}">
              <a16:creationId xmlns:a16="http://schemas.microsoft.com/office/drawing/2014/main" id="{13D38AFB-8955-45B0-A9FC-3D4F9A716C04}"/>
            </a:ext>
          </a:extLst>
        </xdr:cNvPr>
        <xdr:cNvSpPr/>
      </xdr:nvSpPr>
      <xdr:spPr>
        <a:xfrm>
          <a:off x="114300" y="5638800"/>
          <a:ext cx="2905125" cy="3209925"/>
        </a:xfrm>
        <a:prstGeom prst="roundRect">
          <a:avLst/>
        </a:prstGeom>
        <a:solidFill>
          <a:srgbClr val="0B7536"/>
        </a:solidFill>
        <a:ln>
          <a:solidFill>
            <a:srgbClr val="0B753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0</xdr:col>
      <xdr:colOff>485775</xdr:colOff>
      <xdr:row>30</xdr:row>
      <xdr:rowOff>171450</xdr:rowOff>
    </xdr:from>
    <xdr:to>
      <xdr:col>2</xdr:col>
      <xdr:colOff>752475</xdr:colOff>
      <xdr:row>32</xdr:row>
      <xdr:rowOff>152400</xdr:rowOff>
    </xdr:to>
    <xdr:sp macro="" textlink="">
      <xdr:nvSpPr>
        <xdr:cNvPr id="10" name="Rectángulo: esquinas redondeadas 73">
          <a:extLst>
            <a:ext uri="{FF2B5EF4-FFF2-40B4-BE49-F238E27FC236}">
              <a16:creationId xmlns:a16="http://schemas.microsoft.com/office/drawing/2014/main" id="{88A62E50-DF51-4EE5-A53C-CCFFB5E12DA8}"/>
            </a:ext>
          </a:extLst>
        </xdr:cNvPr>
        <xdr:cNvSpPr/>
      </xdr:nvSpPr>
      <xdr:spPr>
        <a:xfrm>
          <a:off x="485775" y="5886450"/>
          <a:ext cx="1790700" cy="3619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1200" b="1"/>
            <a:t>Datos generales Ventas</a:t>
          </a:r>
        </a:p>
      </xdr:txBody>
    </xdr:sp>
    <xdr:clientData/>
  </xdr:twoCellAnchor>
  <xdr:twoCellAnchor>
    <xdr:from>
      <xdr:col>0</xdr:col>
      <xdr:colOff>485775</xdr:colOff>
      <xdr:row>32</xdr:row>
      <xdr:rowOff>47625</xdr:rowOff>
    </xdr:from>
    <xdr:to>
      <xdr:col>2</xdr:col>
      <xdr:colOff>381000</xdr:colOff>
      <xdr:row>33</xdr:row>
      <xdr:rowOff>152399</xdr:rowOff>
    </xdr:to>
    <xdr:sp macro="" textlink="">
      <xdr:nvSpPr>
        <xdr:cNvPr id="5" name="Rectángulo: esquinas redondeadas 74">
          <a:extLst>
            <a:ext uri="{FF2B5EF4-FFF2-40B4-BE49-F238E27FC236}">
              <a16:creationId xmlns:a16="http://schemas.microsoft.com/office/drawing/2014/main" id="{9C0481ED-3C92-4409-9C0F-B32659A20359}"/>
            </a:ext>
          </a:extLst>
        </xdr:cNvPr>
        <xdr:cNvSpPr/>
      </xdr:nvSpPr>
      <xdr:spPr>
        <a:xfrm>
          <a:off x="485775" y="6143625"/>
          <a:ext cx="1419225" cy="295274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1100"/>
            <a:t>Cantidad</a:t>
          </a:r>
          <a:r>
            <a:rPr lang="es-PE" sz="1100" baseline="0"/>
            <a:t> total</a:t>
          </a:r>
          <a:endParaRPr lang="es-PE" sz="1100"/>
        </a:p>
      </xdr:txBody>
    </xdr:sp>
    <xdr:clientData/>
  </xdr:twoCellAnchor>
  <xdr:twoCellAnchor>
    <xdr:from>
      <xdr:col>0</xdr:col>
      <xdr:colOff>523875</xdr:colOff>
      <xdr:row>33</xdr:row>
      <xdr:rowOff>123825</xdr:rowOff>
    </xdr:from>
    <xdr:to>
      <xdr:col>1</xdr:col>
      <xdr:colOff>495301</xdr:colOff>
      <xdr:row>35</xdr:row>
      <xdr:rowOff>38099</xdr:rowOff>
    </xdr:to>
    <xdr:sp macro="" textlink="">
      <xdr:nvSpPr>
        <xdr:cNvPr id="6" name="Rectángulo: esquinas redondeadas 75">
          <a:extLst>
            <a:ext uri="{FF2B5EF4-FFF2-40B4-BE49-F238E27FC236}">
              <a16:creationId xmlns:a16="http://schemas.microsoft.com/office/drawing/2014/main" id="{0E776FB8-B97C-4D11-99B9-6CE8949C825B}"/>
            </a:ext>
          </a:extLst>
        </xdr:cNvPr>
        <xdr:cNvSpPr/>
      </xdr:nvSpPr>
      <xdr:spPr>
        <a:xfrm>
          <a:off x="523875" y="6410325"/>
          <a:ext cx="733426" cy="295274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1100"/>
            <a:t>Facturas</a:t>
          </a:r>
        </a:p>
      </xdr:txBody>
    </xdr:sp>
    <xdr:clientData/>
  </xdr:twoCellAnchor>
  <xdr:twoCellAnchor>
    <xdr:from>
      <xdr:col>0</xdr:col>
      <xdr:colOff>533400</xdr:colOff>
      <xdr:row>34</xdr:row>
      <xdr:rowOff>180975</xdr:rowOff>
    </xdr:from>
    <xdr:to>
      <xdr:col>1</xdr:col>
      <xdr:colOff>476251</xdr:colOff>
      <xdr:row>36</xdr:row>
      <xdr:rowOff>95249</xdr:rowOff>
    </xdr:to>
    <xdr:sp macro="" textlink="">
      <xdr:nvSpPr>
        <xdr:cNvPr id="7" name="Rectángulo: esquinas redondeadas 76">
          <a:extLst>
            <a:ext uri="{FF2B5EF4-FFF2-40B4-BE49-F238E27FC236}">
              <a16:creationId xmlns:a16="http://schemas.microsoft.com/office/drawing/2014/main" id="{62B6878B-4C10-4E0E-9007-CA7C2C197771}"/>
            </a:ext>
          </a:extLst>
        </xdr:cNvPr>
        <xdr:cNvSpPr/>
      </xdr:nvSpPr>
      <xdr:spPr>
        <a:xfrm>
          <a:off x="533400" y="6657975"/>
          <a:ext cx="704851" cy="295274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1100"/>
            <a:t>NC</a:t>
          </a:r>
        </a:p>
      </xdr:txBody>
    </xdr:sp>
    <xdr:clientData/>
  </xdr:twoCellAnchor>
  <xdr:twoCellAnchor>
    <xdr:from>
      <xdr:col>1</xdr:col>
      <xdr:colOff>457199</xdr:colOff>
      <xdr:row>35</xdr:row>
      <xdr:rowOff>38099</xdr:rowOff>
    </xdr:from>
    <xdr:to>
      <xdr:col>2</xdr:col>
      <xdr:colOff>571500</xdr:colOff>
      <xdr:row>36</xdr:row>
      <xdr:rowOff>85724</xdr:rowOff>
    </xdr:to>
    <xdr:sp macro="" textlink="DASHBOARD!AC18">
      <xdr:nvSpPr>
        <xdr:cNvPr id="8" name="Diagrama de flujo: terminador 77">
          <a:extLst>
            <a:ext uri="{FF2B5EF4-FFF2-40B4-BE49-F238E27FC236}">
              <a16:creationId xmlns:a16="http://schemas.microsoft.com/office/drawing/2014/main" id="{A457A953-C432-49AD-B356-C450A5683D7A}"/>
            </a:ext>
          </a:extLst>
        </xdr:cNvPr>
        <xdr:cNvSpPr/>
      </xdr:nvSpPr>
      <xdr:spPr>
        <a:xfrm>
          <a:off x="1219199" y="6705599"/>
          <a:ext cx="876301" cy="238125"/>
        </a:xfrm>
        <a:prstGeom prst="flowChartTerminator">
          <a:avLst/>
        </a:prstGeom>
        <a:solidFill>
          <a:schemeClr val="bg1"/>
        </a:solidFill>
        <a:ln>
          <a:solidFill>
            <a:srgbClr val="0B753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fld id="{F50EBE9C-2151-47C2-86EC-CCBB1D424A0F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pPr algn="l"/>
            <a:t>-76546.64</a:t>
          </a:fld>
          <a:endParaRPr lang="en-US" sz="1100"/>
        </a:p>
      </xdr:txBody>
    </xdr:sp>
    <xdr:clientData/>
  </xdr:twoCellAnchor>
  <xdr:twoCellAnchor>
    <xdr:from>
      <xdr:col>1</xdr:col>
      <xdr:colOff>457200</xdr:colOff>
      <xdr:row>33</xdr:row>
      <xdr:rowOff>152399</xdr:rowOff>
    </xdr:from>
    <xdr:to>
      <xdr:col>2</xdr:col>
      <xdr:colOff>628650</xdr:colOff>
      <xdr:row>35</xdr:row>
      <xdr:rowOff>9524</xdr:rowOff>
    </xdr:to>
    <xdr:sp macro="" textlink="DASHBOARD!AC16">
      <xdr:nvSpPr>
        <xdr:cNvPr id="9" name="Diagrama de flujo: terminador 78">
          <a:extLst>
            <a:ext uri="{FF2B5EF4-FFF2-40B4-BE49-F238E27FC236}">
              <a16:creationId xmlns:a16="http://schemas.microsoft.com/office/drawing/2014/main" id="{AC679548-6D55-4811-9FDB-45FE570C62AC}"/>
            </a:ext>
          </a:extLst>
        </xdr:cNvPr>
        <xdr:cNvSpPr/>
      </xdr:nvSpPr>
      <xdr:spPr>
        <a:xfrm>
          <a:off x="1219200" y="6438899"/>
          <a:ext cx="933450" cy="238125"/>
        </a:xfrm>
        <a:prstGeom prst="flowChartTerminator">
          <a:avLst/>
        </a:prstGeom>
        <a:solidFill>
          <a:schemeClr val="bg1"/>
        </a:solidFill>
        <a:ln>
          <a:solidFill>
            <a:srgbClr val="0B753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fld id="{D59555A2-7381-4B7C-95F8-26BD337670FC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pPr algn="l"/>
            <a:t>165802.41</a:t>
          </a:fld>
          <a:endParaRPr lang="en-US" sz="1100"/>
        </a:p>
      </xdr:txBody>
    </xdr:sp>
    <xdr:clientData/>
  </xdr:twoCellAnchor>
  <xdr:twoCellAnchor>
    <xdr:from>
      <xdr:col>4</xdr:col>
      <xdr:colOff>476249</xdr:colOff>
      <xdr:row>30</xdr:row>
      <xdr:rowOff>0</xdr:rowOff>
    </xdr:from>
    <xdr:to>
      <xdr:col>10</xdr:col>
      <xdr:colOff>123824</xdr:colOff>
      <xdr:row>48</xdr:row>
      <xdr:rowOff>133350</xdr:rowOff>
    </xdr:to>
    <xdr:sp macro="" textlink="">
      <xdr:nvSpPr>
        <xdr:cNvPr id="11" name="Rectángulo: esquinas redondeadas 79">
          <a:extLst>
            <a:ext uri="{FF2B5EF4-FFF2-40B4-BE49-F238E27FC236}">
              <a16:creationId xmlns:a16="http://schemas.microsoft.com/office/drawing/2014/main" id="{1E0DD58D-4210-4156-BCE8-202DDCFF7704}"/>
            </a:ext>
          </a:extLst>
        </xdr:cNvPr>
        <xdr:cNvSpPr/>
      </xdr:nvSpPr>
      <xdr:spPr>
        <a:xfrm>
          <a:off x="3524249" y="5715000"/>
          <a:ext cx="4219575" cy="3562350"/>
        </a:xfrm>
        <a:prstGeom prst="roundRect">
          <a:avLst/>
        </a:prstGeom>
        <a:solidFill>
          <a:srgbClr val="0B7536"/>
        </a:solidFill>
        <a:ln>
          <a:solidFill>
            <a:srgbClr val="0B753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10</xdr:col>
      <xdr:colOff>485774</xdr:colOff>
      <xdr:row>29</xdr:row>
      <xdr:rowOff>85725</xdr:rowOff>
    </xdr:from>
    <xdr:to>
      <xdr:col>17</xdr:col>
      <xdr:colOff>552449</xdr:colOff>
      <xdr:row>61</xdr:row>
      <xdr:rowOff>66675</xdr:rowOff>
    </xdr:to>
    <xdr:sp macro="" textlink="">
      <xdr:nvSpPr>
        <xdr:cNvPr id="13" name="Rectángulo: esquinas redondeadas 80">
          <a:extLst>
            <a:ext uri="{FF2B5EF4-FFF2-40B4-BE49-F238E27FC236}">
              <a16:creationId xmlns:a16="http://schemas.microsoft.com/office/drawing/2014/main" id="{E0EAAEEC-B67C-49DE-8727-13A9F307310F}"/>
            </a:ext>
          </a:extLst>
        </xdr:cNvPr>
        <xdr:cNvSpPr/>
      </xdr:nvSpPr>
      <xdr:spPr>
        <a:xfrm>
          <a:off x="8105774" y="5610225"/>
          <a:ext cx="5400675" cy="6076950"/>
        </a:xfrm>
        <a:prstGeom prst="roundRect">
          <a:avLst/>
        </a:prstGeom>
        <a:solidFill>
          <a:srgbClr val="0B7536"/>
        </a:solidFill>
        <a:ln>
          <a:solidFill>
            <a:srgbClr val="0B753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18</xdr:col>
      <xdr:colOff>28575</xdr:colOff>
      <xdr:row>30</xdr:row>
      <xdr:rowOff>19050</xdr:rowOff>
    </xdr:from>
    <xdr:to>
      <xdr:col>24</xdr:col>
      <xdr:colOff>466725</xdr:colOff>
      <xdr:row>46</xdr:row>
      <xdr:rowOff>38100</xdr:rowOff>
    </xdr:to>
    <xdr:sp macro="" textlink="">
      <xdr:nvSpPr>
        <xdr:cNvPr id="14" name="Rectángulo: esquinas redondeadas 81">
          <a:extLst>
            <a:ext uri="{FF2B5EF4-FFF2-40B4-BE49-F238E27FC236}">
              <a16:creationId xmlns:a16="http://schemas.microsoft.com/office/drawing/2014/main" id="{520E151F-55C9-45B3-98CB-A228782C496A}"/>
            </a:ext>
          </a:extLst>
        </xdr:cNvPr>
        <xdr:cNvSpPr/>
      </xdr:nvSpPr>
      <xdr:spPr>
        <a:xfrm>
          <a:off x="13744575" y="5734050"/>
          <a:ext cx="5010150" cy="3067050"/>
        </a:xfrm>
        <a:prstGeom prst="roundRect">
          <a:avLst/>
        </a:prstGeom>
        <a:solidFill>
          <a:srgbClr val="0B7536"/>
        </a:solidFill>
        <a:ln>
          <a:solidFill>
            <a:srgbClr val="0B753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4</xdr:col>
      <xdr:colOff>476250</xdr:colOff>
      <xdr:row>3</xdr:row>
      <xdr:rowOff>66675</xdr:rowOff>
    </xdr:from>
    <xdr:to>
      <xdr:col>9</xdr:col>
      <xdr:colOff>676275</xdr:colOff>
      <xdr:row>22</xdr:row>
      <xdr:rowOff>133350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5939B1B4-A108-45FB-83E6-89D2247B07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581025</xdr:colOff>
      <xdr:row>30</xdr:row>
      <xdr:rowOff>123825</xdr:rowOff>
    </xdr:from>
    <xdr:to>
      <xdr:col>9</xdr:col>
      <xdr:colOff>752475</xdr:colOff>
      <xdr:row>46</xdr:row>
      <xdr:rowOff>185738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AF0682A4-8F78-44BC-8C8F-ACBE0558D5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552450</xdr:colOff>
      <xdr:row>31</xdr:row>
      <xdr:rowOff>57150</xdr:rowOff>
    </xdr:from>
    <xdr:to>
      <xdr:col>17</xdr:col>
      <xdr:colOff>495300</xdr:colOff>
      <xdr:row>59</xdr:row>
      <xdr:rowOff>109541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D1A27F13-BB9D-4E5E-816D-5801154FD8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142875</xdr:colOff>
      <xdr:row>30</xdr:row>
      <xdr:rowOff>123825</xdr:rowOff>
    </xdr:from>
    <xdr:to>
      <xdr:col>23</xdr:col>
      <xdr:colOff>638175</xdr:colOff>
      <xdr:row>45</xdr:row>
      <xdr:rowOff>61913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0E6DEB23-E133-4444-84A7-CCE93CE095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25</xdr:col>
      <xdr:colOff>114300</xdr:colOff>
      <xdr:row>30</xdr:row>
      <xdr:rowOff>28575</xdr:rowOff>
    </xdr:from>
    <xdr:to>
      <xdr:col>31</xdr:col>
      <xdr:colOff>552450</xdr:colOff>
      <xdr:row>46</xdr:row>
      <xdr:rowOff>47625</xdr:rowOff>
    </xdr:to>
    <xdr:sp macro="" textlink="">
      <xdr:nvSpPr>
        <xdr:cNvPr id="23" name="Rectángulo: esquinas redondeadas 81">
          <a:extLst>
            <a:ext uri="{FF2B5EF4-FFF2-40B4-BE49-F238E27FC236}">
              <a16:creationId xmlns:a16="http://schemas.microsoft.com/office/drawing/2014/main" id="{D25E3C17-44E4-429E-AAB6-80FAB05F552C}"/>
            </a:ext>
          </a:extLst>
        </xdr:cNvPr>
        <xdr:cNvSpPr/>
      </xdr:nvSpPr>
      <xdr:spPr>
        <a:xfrm>
          <a:off x="19164300" y="5743575"/>
          <a:ext cx="5010150" cy="3067050"/>
        </a:xfrm>
        <a:prstGeom prst="roundRect">
          <a:avLst/>
        </a:prstGeom>
        <a:solidFill>
          <a:srgbClr val="0B7536"/>
        </a:solidFill>
        <a:ln>
          <a:solidFill>
            <a:srgbClr val="0B753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25</xdr:col>
      <xdr:colOff>428625</xdr:colOff>
      <xdr:row>31</xdr:row>
      <xdr:rowOff>0</xdr:rowOff>
    </xdr:from>
    <xdr:to>
      <xdr:col>31</xdr:col>
      <xdr:colOff>428625</xdr:colOff>
      <xdr:row>45</xdr:row>
      <xdr:rowOff>76200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533A536E-03E6-4A8D-ACA3-D7F584525C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0</xdr:col>
      <xdr:colOff>466725</xdr:colOff>
      <xdr:row>37</xdr:row>
      <xdr:rowOff>142875</xdr:rowOff>
    </xdr:from>
    <xdr:to>
      <xdr:col>3</xdr:col>
      <xdr:colOff>9525</xdr:colOff>
      <xdr:row>44</xdr:row>
      <xdr:rowOff>28575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5" name="PERIODO 3">
              <a:extLst>
                <a:ext uri="{FF2B5EF4-FFF2-40B4-BE49-F238E27FC236}">
                  <a16:creationId xmlns:a16="http://schemas.microsoft.com/office/drawing/2014/main" id="{11E55F8C-B27B-4219-A803-9E23BEB4F3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ERIODO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6725" y="7191375"/>
              <a:ext cx="1828800" cy="1219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276225</xdr:colOff>
      <xdr:row>7</xdr:row>
      <xdr:rowOff>47624</xdr:rowOff>
    </xdr:from>
    <xdr:to>
      <xdr:col>0</xdr:col>
      <xdr:colOff>581026</xdr:colOff>
      <xdr:row>8</xdr:row>
      <xdr:rowOff>161925</xdr:rowOff>
    </xdr:to>
    <xdr:pic>
      <xdr:nvPicPr>
        <xdr:cNvPr id="27" name="Gráfico 26" descr="Documento con relleno sólido">
          <a:extLst>
            <a:ext uri="{FF2B5EF4-FFF2-40B4-BE49-F238E27FC236}">
              <a16:creationId xmlns:a16="http://schemas.microsoft.com/office/drawing/2014/main" id="{0AC0F6F9-A31F-828E-EE4E-5C5288AA9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276225" y="1381124"/>
          <a:ext cx="304801" cy="304801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</xdr:colOff>
      <xdr:row>8</xdr:row>
      <xdr:rowOff>133349</xdr:rowOff>
    </xdr:from>
    <xdr:to>
      <xdr:col>0</xdr:col>
      <xdr:colOff>571501</xdr:colOff>
      <xdr:row>10</xdr:row>
      <xdr:rowOff>57150</xdr:rowOff>
    </xdr:to>
    <xdr:pic>
      <xdr:nvPicPr>
        <xdr:cNvPr id="34" name="Gráfico 33" descr="Documento con relleno sólido">
          <a:extLst>
            <a:ext uri="{FF2B5EF4-FFF2-40B4-BE49-F238E27FC236}">
              <a16:creationId xmlns:a16="http://schemas.microsoft.com/office/drawing/2014/main" id="{07A700E6-6859-4A5F-B92C-281D95CA9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266700" y="1657349"/>
          <a:ext cx="304801" cy="304801"/>
        </a:xfrm>
        <a:prstGeom prst="rect">
          <a:avLst/>
        </a:prstGeom>
      </xdr:spPr>
    </xdr:pic>
    <xdr:clientData/>
  </xdr:twoCellAnchor>
  <xdr:twoCellAnchor editAs="oneCell">
    <xdr:from>
      <xdr:col>0</xdr:col>
      <xdr:colOff>257175</xdr:colOff>
      <xdr:row>10</xdr:row>
      <xdr:rowOff>28574</xdr:rowOff>
    </xdr:from>
    <xdr:to>
      <xdr:col>0</xdr:col>
      <xdr:colOff>561976</xdr:colOff>
      <xdr:row>11</xdr:row>
      <xdr:rowOff>142875</xdr:rowOff>
    </xdr:to>
    <xdr:pic>
      <xdr:nvPicPr>
        <xdr:cNvPr id="36" name="Gráfico 35" descr="Documento con relleno sólido">
          <a:extLst>
            <a:ext uri="{FF2B5EF4-FFF2-40B4-BE49-F238E27FC236}">
              <a16:creationId xmlns:a16="http://schemas.microsoft.com/office/drawing/2014/main" id="{DC830411-5621-43FB-8F22-2C5D39EDCA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257175" y="1933574"/>
          <a:ext cx="304801" cy="304801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285750</xdr:colOff>
      <xdr:row>33</xdr:row>
      <xdr:rowOff>85725</xdr:rowOff>
    </xdr:from>
    <xdr:to>
      <xdr:col>0</xdr:col>
      <xdr:colOff>590551</xdr:colOff>
      <xdr:row>35</xdr:row>
      <xdr:rowOff>9526</xdr:rowOff>
    </xdr:to>
    <xdr:pic>
      <xdr:nvPicPr>
        <xdr:cNvPr id="37" name="Gráfico 36" descr="Documento con relleno sólido">
          <a:extLst>
            <a:ext uri="{FF2B5EF4-FFF2-40B4-BE49-F238E27FC236}">
              <a16:creationId xmlns:a16="http://schemas.microsoft.com/office/drawing/2014/main" id="{C76E2902-DAD7-4C19-8A5D-228C9E821A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285750" y="6372225"/>
          <a:ext cx="304801" cy="304801"/>
        </a:xfrm>
        <a:prstGeom prst="rect">
          <a:avLst/>
        </a:prstGeom>
      </xdr:spPr>
    </xdr:pic>
    <xdr:clientData/>
  </xdr:twoCellAnchor>
  <xdr:twoCellAnchor editAs="oneCell">
    <xdr:from>
      <xdr:col>0</xdr:col>
      <xdr:colOff>295275</xdr:colOff>
      <xdr:row>35</xdr:row>
      <xdr:rowOff>0</xdr:rowOff>
    </xdr:from>
    <xdr:to>
      <xdr:col>0</xdr:col>
      <xdr:colOff>600076</xdr:colOff>
      <xdr:row>36</xdr:row>
      <xdr:rowOff>114301</xdr:rowOff>
    </xdr:to>
    <xdr:pic>
      <xdr:nvPicPr>
        <xdr:cNvPr id="41" name="Gráfico 40" descr="Documento con relleno sólido">
          <a:extLst>
            <a:ext uri="{FF2B5EF4-FFF2-40B4-BE49-F238E27FC236}">
              <a16:creationId xmlns:a16="http://schemas.microsoft.com/office/drawing/2014/main" id="{0A940752-D3E4-4117-9116-2E4F32A0EA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295275" y="6667500"/>
          <a:ext cx="304801" cy="30480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666750</xdr:colOff>
      <xdr:row>27</xdr:row>
      <xdr:rowOff>80962</xdr:rowOff>
    </xdr:from>
    <xdr:to>
      <xdr:col>15</xdr:col>
      <xdr:colOff>1552575</xdr:colOff>
      <xdr:row>39</xdr:row>
      <xdr:rowOff>157162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BA31E4F-5378-AC43-765D-1A4EDDE5BD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1847849</xdr:colOff>
      <xdr:row>31</xdr:row>
      <xdr:rowOff>4761</xdr:rowOff>
    </xdr:from>
    <xdr:to>
      <xdr:col>23</xdr:col>
      <xdr:colOff>47625</xdr:colOff>
      <xdr:row>44</xdr:row>
      <xdr:rowOff>123824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044C8A6-DFC5-E57D-E587-65486135C1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23</xdr:col>
      <xdr:colOff>514350</xdr:colOff>
      <xdr:row>30</xdr:row>
      <xdr:rowOff>152400</xdr:rowOff>
    </xdr:from>
    <xdr:to>
      <xdr:col>25</xdr:col>
      <xdr:colOff>333375</xdr:colOff>
      <xdr:row>37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6" name="PERIODO">
              <a:extLst>
                <a:ext uri="{FF2B5EF4-FFF2-40B4-BE49-F238E27FC236}">
                  <a16:creationId xmlns:a16="http://schemas.microsoft.com/office/drawing/2014/main" id="{1331D8AF-197B-104B-82BF-E2D07625C7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ERIOD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127075" y="4724400"/>
              <a:ext cx="1828800" cy="12858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12</xdr:col>
      <xdr:colOff>95249</xdr:colOff>
      <xdr:row>119</xdr:row>
      <xdr:rowOff>4761</xdr:rowOff>
    </xdr:from>
    <xdr:to>
      <xdr:col>15</xdr:col>
      <xdr:colOff>1009650</xdr:colOff>
      <xdr:row>135</xdr:row>
      <xdr:rowOff>66674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E727D09-81A7-B8EC-1F6F-2AE327E364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28575</xdr:colOff>
      <xdr:row>127</xdr:row>
      <xdr:rowOff>138109</xdr:rowOff>
    </xdr:from>
    <xdr:to>
      <xdr:col>19</xdr:col>
      <xdr:colOff>0</xdr:colOff>
      <xdr:row>156</xdr:row>
      <xdr:rowOff>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BD6AD072-5CC9-8BC1-0A51-8578676072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57150</xdr:colOff>
      <xdr:row>126</xdr:row>
      <xdr:rowOff>128587</xdr:rowOff>
    </xdr:from>
    <xdr:to>
      <xdr:col>22</xdr:col>
      <xdr:colOff>895350</xdr:colOff>
      <xdr:row>141</xdr:row>
      <xdr:rowOff>66675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BFE52B59-502F-7727-33F8-6402ADF32D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438149</xdr:colOff>
      <xdr:row>72</xdr:row>
      <xdr:rowOff>176211</xdr:rowOff>
    </xdr:from>
    <xdr:to>
      <xdr:col>9</xdr:col>
      <xdr:colOff>685799</xdr:colOff>
      <xdr:row>96</xdr:row>
      <xdr:rowOff>9524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52DA4E9F-462B-7330-308E-C755A35BE2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23</xdr:col>
      <xdr:colOff>523875</xdr:colOff>
      <xdr:row>111</xdr:row>
      <xdr:rowOff>166687</xdr:rowOff>
    </xdr:from>
    <xdr:to>
      <xdr:col>27</xdr:col>
      <xdr:colOff>723900</xdr:colOff>
      <xdr:row>126</xdr:row>
      <xdr:rowOff>52387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8C6DD148-2BBF-E88A-4B67-990A2B6679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23</xdr:col>
      <xdr:colOff>533400</xdr:colOff>
      <xdr:row>127</xdr:row>
      <xdr:rowOff>38100</xdr:rowOff>
    </xdr:from>
    <xdr:to>
      <xdr:col>25</xdr:col>
      <xdr:colOff>352425</xdr:colOff>
      <xdr:row>133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PERIODO 2">
              <a:extLst>
                <a:ext uri="{FF2B5EF4-FFF2-40B4-BE49-F238E27FC236}">
                  <a16:creationId xmlns:a16="http://schemas.microsoft.com/office/drawing/2014/main" id="{3B7C0485-A5FE-397F-061B-212D00984D0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ERIODO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146125" y="23088600"/>
              <a:ext cx="1828800" cy="1219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9</xdr:col>
      <xdr:colOff>781050</xdr:colOff>
      <xdr:row>72</xdr:row>
      <xdr:rowOff>171450</xdr:rowOff>
    </xdr:from>
    <xdr:to>
      <xdr:col>14</xdr:col>
      <xdr:colOff>142875</xdr:colOff>
      <xdr:row>96</xdr:row>
      <xdr:rowOff>4763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1CE0543D-AF67-4F19-87D5-1B3015BF3F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ytres" refreshedDate="45910.593819560185" createdVersion="8" refreshedVersion="8" minRefreshableVersion="3" recordCount="259" xr:uid="{39846497-E84C-45B3-9989-3A77791CC005}">
  <cacheSource type="worksheet">
    <worksheetSource name="Anexo_5"/>
  </cacheSource>
  <cacheFields count="25">
    <cacheField name="FECHA" numFmtId="49">
      <sharedItems/>
    </cacheField>
    <cacheField name="PERIODO" numFmtId="2">
      <sharedItems count="3">
        <s v="Junio"/>
        <s v="Julio"/>
        <s v="Agosto"/>
      </sharedItems>
    </cacheField>
    <cacheField name="REG" numFmtId="49">
      <sharedItems/>
    </cacheField>
    <cacheField name="ASIENTO" numFmtId="49">
      <sharedItems/>
    </cacheField>
    <cacheField name="ÁREA" numFmtId="2">
      <sharedItems/>
    </cacheField>
    <cacheField name="CCOSTOS" numFmtId="49">
      <sharedItems/>
    </cacheField>
    <cacheField name="ÁREA SOLICITANTE" numFmtId="49">
      <sharedItems/>
    </cacheField>
    <cacheField name="GLOSA" numFmtId="49">
      <sharedItems/>
    </cacheField>
    <cacheField name="RUC" numFmtId="49">
      <sharedItems/>
    </cacheField>
    <cacheField name="RAZON SOCIAL" numFmtId="2">
      <sharedItems count="56">
        <s v="TALMA SERVICIOS AEROPORTUARIOS S.A"/>
        <s v="MOLY-COP ADESUR S.A."/>
        <s v="METALURGICA QUIMICA S.A.C."/>
        <s v="ALEACIONES FERROSAS Y METALICAS S.A.C."/>
        <s v="ALICORP SAA"/>
        <s v="EMPRESA SIDERURGICA DEL PERU S.A.A."/>
        <s v="CORPORACION MEDIOAMBIENTAL AMPCO PERU SOCIEDAD ANONIMA CERRADA - CM AMPCO PERU S.A.C."/>
        <s v="INCA TOPS S.A."/>
        <s v="DANPER TRUJILLO S.A.C."/>
        <s v="UNIVERSIDAD CATOLICA DE SANTA MARIA"/>
        <s v="J. CH. COMERCIALIZADORA DE RESIDUOS SOLIDOS S.R.L."/>
        <s v="INGENIERIA SERVICIOS Y SOLUCIONES APLICADAS ISSA PERU S.A.C. - ISSA PERU S.A.C."/>
        <s v="ACTIVA SERVICIOS GASTRONOMICOS S.R.L."/>
        <s v="ANTILLA COPPER SOCIEDAD ANONIMA"/>
        <s v="FLSMIDTH S.A.C."/>
        <s v="ISC INGENIERIA DEL SUR S.A.C."/>
        <s v="TJM EQUIPOS Y CONSTRUCCION SOCIEDAD COMERCIAL DE RESPONSABILIDAD LIMITADA"/>
        <s v="COMERCIO SERVICIOS E INVERSIONES YANCE E.I.R.L."/>
        <s v="ALSUR PERU S.A.C."/>
        <s v="POWER S.A.C."/>
        <s v="ENVASES CAROLINA S.A.C."/>
        <s v="EMPRESA CONSERVADORA AMBIENTAL DEL SUR E.I.R.L. - ECA SUR E.I.R.L."/>
        <s v="J&amp;R FAST CARGO E.I.R.L."/>
        <s v="MOVITECNICA S A"/>
        <s v="TUBERIAS Y GEOSISTEMAS DEL PERU SA"/>
        <s v="INVERSIONES W.J.M. S.A.C."/>
        <s v="PESQUERA DIAMANTE S.A."/>
        <s v="CORP.ELECTROMECANICA EN ING.Y CONSTR.SAC"/>
        <s v="LIVIGUI PERU S.A.C."/>
        <s v="FAB DE CHOCOLATES LA IBERICA S A"/>
        <s v="AQP NEGOCIOS GENERALES S.A."/>
        <s v="LATINOAMERICANA EIR LTDA"/>
        <s v="RESIGRALE S.R.L."/>
        <s v="ALQUIMODUL SOCIEDAD ANONIMA CERRADA"/>
        <s v="CBB PERU S.A."/>
        <s v="GRANJA RINCONADA DEL SUR S.A."/>
        <s v="CORPORACION PERUANA DE RESTAURANTES S.A.C."/>
        <s v="TRANSPORTES HERMAN S.R.L."/>
        <s v="GUZMAN ZUÑIGA KATHIA DANIELA"/>
        <s v="COMPAÑIA DE INGENIERIA ESPECIALIZADA S.A.C."/>
        <s v="CARMEN INMUEBLES S.A."/>
        <s v="SCOMAR S.R.L."/>
        <s v="TRANSPORTES PEREDA S.R.L."/>
        <s v="SANTOS CHAVARRIA VEGA E.I.R.L."/>
        <s v="EMPRESA YURA SRL"/>
        <s v="KONTROL R &amp; M PERU S.A.C."/>
        <s v="ROHA CONSTRUCCION Y MINERIA S.A.C."/>
        <s v="ADRA PERU"/>
        <s v="STIERLIFT S.A."/>
        <s v="COSAPI MINERIA S.A.C."/>
        <s v="SAFECON PERU E.I.R.L."/>
        <s v="ESTRELLA GOLD PERU S.A.C."/>
        <s v="HAM CRIOGENICA PERU S.A.C."/>
        <s v="SANCHEZ RICO INGENIERIA Y CONSTRUCCION S.A.C."/>
        <s v="TACONSER E.I.R.L."/>
        <s v="ASOCIACION TECSUP Nº2"/>
      </sharedItems>
    </cacheField>
    <cacheField name="COD DOC" numFmtId="49">
      <sharedItems count="2">
        <s v="01"/>
        <s v="07"/>
      </sharedItems>
    </cacheField>
    <cacheField name="DESCRIP. COD" numFmtId="2">
      <sharedItems/>
    </cacheField>
    <cacheField name="SERIE" numFmtId="49">
      <sharedItems count="7">
        <s v="FF01"/>
        <s v="FF02"/>
        <s v="FF05"/>
        <s v="FFN5"/>
        <s v="FFN1"/>
        <s v="FF04"/>
        <s v="FF07"/>
      </sharedItems>
    </cacheField>
    <cacheField name="NÚMERO" numFmtId="49">
      <sharedItems/>
    </cacheField>
    <cacheField name="BASE IMPONIBLE (18%)" numFmtId="167">
      <sharedItems containsSemiMixedTypes="0" containsString="0" containsNumber="1" minValue="-2117.39" maxValue="31267.06"/>
    </cacheField>
    <cacheField name="BASE IMPONIBLE (10%)" numFmtId="167">
      <sharedItems containsNonDate="0" containsString="0" containsBlank="1"/>
    </cacheField>
    <cacheField name="IGV (18%)" numFmtId="167">
      <sharedItems containsSemiMixedTypes="0" containsString="0" containsNumber="1" minValue="-381.13" maxValue="5628.07"/>
    </cacheField>
    <cacheField name="BASE NO GRAVADA" numFmtId="167">
      <sharedItems containsNonDate="0" containsString="0" containsBlank="1"/>
    </cacheField>
    <cacheField name="TOTAL" numFmtId="167">
      <sharedItems containsSemiMixedTypes="0" containsString="0" containsNumber="1" minValue="-2498.52" maxValue="36895.129999999997"/>
    </cacheField>
    <cacheField name="TIPO DOC REF." numFmtId="49">
      <sharedItems containsBlank="1"/>
    </cacheField>
    <cacheField name="SERIE REF" numFmtId="49">
      <sharedItems containsBlank="1" count="3">
        <m/>
        <s v="FF05"/>
        <s v="FF01"/>
      </sharedItems>
    </cacheField>
    <cacheField name="DOC REF." numFmtId="49">
      <sharedItems containsBlank="1"/>
    </cacheField>
    <cacheField name="CUENTA" numFmtId="49">
      <sharedItems/>
    </cacheField>
    <cacheField name="DESCRIPCION" numFmtId="49">
      <sharedItems containsNonDate="0" containsString="0" containsBlank="1"/>
    </cacheField>
    <cacheField name="VENTAS KPI" numFmtId="2">
      <sharedItems count="11">
        <s v="Residuos Peligrosos"/>
        <s v="Productos Terminados - RRSS"/>
        <s v="Transporte de Carga - Local"/>
        <s v="Descuentos y Rebajas"/>
        <s v="Transporte de Carga - Nacional"/>
        <s v="Residuos No Peligrosos"/>
        <s v="Destrucción de merma y desmedro"/>
        <s v="Limpieza de Biodigestores"/>
        <s v="Limpieza de Caja Trampa"/>
        <s v="RCD"/>
        <s v="RAEE"/>
      </sharedItems>
    </cacheField>
  </cacheFields>
  <extLst>
    <ext xmlns:x14="http://schemas.microsoft.com/office/spreadsheetml/2009/9/main" uri="{725AE2AE-9491-48be-B2B4-4EB974FC3084}">
      <x14:pivotCacheDefinition pivotCacheId="357733333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ytres" refreshedDate="45910.63119537037" createdVersion="8" refreshedVersion="8" minRefreshableVersion="3" recordCount="1578" xr:uid="{1C1CFA2C-3ABD-4D04-BE89-53E279C55B05}">
  <cacheSource type="worksheet">
    <worksheetSource name="Anexo_4"/>
  </cacheSource>
  <cacheFields count="28">
    <cacheField name="FECHA" numFmtId="49">
      <sharedItems/>
    </cacheField>
    <cacheField name="PERIODO" numFmtId="2">
      <sharedItems count="3">
        <s v="Junio"/>
        <s v="Julio"/>
        <s v="Agosto"/>
      </sharedItems>
    </cacheField>
    <cacheField name="REG" numFmtId="49">
      <sharedItems/>
    </cacheField>
    <cacheField name="ASIENTO" numFmtId="49">
      <sharedItems/>
    </cacheField>
    <cacheField name="ÁREA" numFmtId="2">
      <sharedItems count="4">
        <s v="G. ADMINISTRACIÓN"/>
        <s v="OPERACIONES"/>
        <s v="G. VENTAS"/>
        <s v="G. FINANCIEROS"/>
      </sharedItems>
    </cacheField>
    <cacheField name="CCOSTOS" numFmtId="49">
      <sharedItems containsBlank="1"/>
    </cacheField>
    <cacheField name="ÁREA SOLICITANTE" numFmtId="49">
      <sharedItems containsBlank="1"/>
    </cacheField>
    <cacheField name="GLOSA" numFmtId="49">
      <sharedItems containsBlank="1"/>
    </cacheField>
    <cacheField name="RUC" numFmtId="49">
      <sharedItems/>
    </cacheField>
    <cacheField name="RAZON SOCIAL" numFmtId="2">
      <sharedItems/>
    </cacheField>
    <cacheField name="COD DOC" numFmtId="49">
      <sharedItems count="5">
        <s v="01"/>
        <s v="03"/>
        <s v="12"/>
        <s v="14"/>
        <s v="07"/>
      </sharedItems>
    </cacheField>
    <cacheField name="DESCRIP. COD" numFmtId="2">
      <sharedItems/>
    </cacheField>
    <cacheField name="SERIE" numFmtId="49">
      <sharedItems containsBlank="1" containsMixedTypes="1" containsNumber="1" containsInteger="1" minValue="2000" maxValue="2000"/>
    </cacheField>
    <cacheField name="NÚMERO" numFmtId="49">
      <sharedItems containsBlank="1" containsMixedTypes="1" containsNumber="1" containsInteger="1" minValue="1" maxValue="559624262"/>
    </cacheField>
    <cacheField name="BASE IMPONIBLE (18%)" numFmtId="167">
      <sharedItems containsBlank="1" containsMixedTypes="1" containsNumber="1" minValue="-64870.04" maxValue="112975.42"/>
    </cacheField>
    <cacheField name="BASE IMPONIBLE (10%)" numFmtId="167">
      <sharedItems containsBlank="1" containsMixedTypes="1" containsNumber="1" minValue="45.45" maxValue="400"/>
    </cacheField>
    <cacheField name="IGV (18%)" numFmtId="167">
      <sharedItems containsBlank="1" containsMixedTypes="1" containsNumber="1" minValue="-11676.6" maxValue="20335.580000000002"/>
    </cacheField>
    <cacheField name="IGV (10%)" numFmtId="167">
      <sharedItems containsBlank="1" containsMixedTypes="1" containsNumber="1" minValue="4.55" maxValue="40"/>
    </cacheField>
    <cacheField name="BASE NO GRAVADA" numFmtId="167">
      <sharedItems containsBlank="1" containsMixedTypes="1" containsNumber="1" minValue="-230" maxValue="500"/>
    </cacheField>
    <cacheField name="TOTAL" numFmtId="167">
      <sharedItems containsSemiMixedTypes="0" containsString="0" containsNumber="1" minValue="-76546.64" maxValue="133311"/>
    </cacheField>
    <cacheField name="NRO. DETRACC" numFmtId="49">
      <sharedItems containsBlank="1"/>
    </cacheField>
    <cacheField name="FECHA DETRACC" numFmtId="49">
      <sharedItems containsBlank="1"/>
    </cacheField>
    <cacheField name="TIPO DOC REF." numFmtId="49">
      <sharedItems containsBlank="1"/>
    </cacheField>
    <cacheField name="SERIE REF" numFmtId="49">
      <sharedItems containsBlank="1"/>
    </cacheField>
    <cacheField name="DOC REF." numFmtId="49">
      <sharedItems containsBlank="1"/>
    </cacheField>
    <cacheField name="CUENTA" numFmtId="49">
      <sharedItems containsBlank="1"/>
    </cacheField>
    <cacheField name="DESCRIPCION" numFmtId="49">
      <sharedItems containsBlank="1"/>
    </cacheField>
    <cacheField name="GASTOS OPERATIVOS KPI" numFmtId="2">
      <sharedItems count="36">
        <s v="-"/>
        <s v="Balanza - Ventas"/>
        <s v="Encomienda (Envío de documentación)"/>
        <s v="Mantenimiento Vehicular (Preventivo)"/>
        <s v="Revisión Técnica Vehicular"/>
        <s v="Mantenimiento Vehicular (Correctivo)"/>
        <s v="Materias Primas - RRSS"/>
        <s v="Transporte peajes - Ventas"/>
        <s v="Transporte peajes - Servicios"/>
        <s v="Alimentacion (Operativo)"/>
        <s v="Alojamiento (Operativo)"/>
        <s v="Balanza - Servicios"/>
        <s v="Combustible (Vehiculos)"/>
        <s v="Transporte de Carga  - Ventas"/>
        <s v="Transporte lavado (Higienización)"/>
        <s v="Mantenimiento Preventivo (Montacarga)"/>
        <s v="Montacarga - Servicios"/>
        <s v="Montacarga - Ventas"/>
        <s v="Accesorios Vehiculares"/>
        <s v="Transporte de Personal"/>
        <s v="Disposición Final de RR.SS - Peligrosos"/>
        <s v="Transporte de Carga - Servicios"/>
        <s v="Gastos de Ferreteria"/>
        <s v="Disposición Final de RR.SS - No Aprovechables"/>
        <s v="Stockas"/>
        <s v="Ingreso"/>
        <s v="Impresión de fichas de servicio / Check List"/>
        <s v="Mantenimiento de Balanzas"/>
        <s v="Otros Gastos de Gestion"/>
        <s v="GPS"/>
        <s v="Vigilancia Médica"/>
        <s v="Fabricación de Contenedores"/>
        <s v="Maquinaria Pesada - Ventas"/>
        <s v="Transporte parqueo (Cochera)"/>
        <s v="Impresión de manifiestos"/>
        <s v="Transporte de Personal (Viajes)"/>
      </sharedItems>
    </cacheField>
  </cacheFields>
  <extLst>
    <ext xmlns:x14="http://schemas.microsoft.com/office/spreadsheetml/2009/9/main" uri="{725AE2AE-9491-48be-B2B4-4EB974FC3084}">
      <x14:pivotCacheDefinition pivotCacheId="86832665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9">
  <r>
    <s v="03/06/2025"/>
    <x v="0"/>
    <s v="002"/>
    <s v="06-000001"/>
    <s v="OPERACIONES"/>
    <s v="91.01.01"/>
    <s v="Residuos Peligrosos"/>
    <s v="Costo Operativo - Residuos Peligrosos"/>
    <s v="20204621242"/>
    <x v="0"/>
    <x v="0"/>
    <s v="FACTURA"/>
    <x v="0"/>
    <s v="103"/>
    <n v="1215.72"/>
    <m/>
    <n v="218.83"/>
    <m/>
    <n v="1434.55"/>
    <m/>
    <x v="0"/>
    <m/>
    <s v="70.3.2.1.01.01"/>
    <m/>
    <x v="0"/>
  </r>
  <r>
    <s v="03/06/2025"/>
    <x v="0"/>
    <s v="002"/>
    <s v="06-000002"/>
    <s v="OPERACIONES"/>
    <s v="91.05.01"/>
    <s v="Residuos Aprovechables"/>
    <s v="Pallet de madera"/>
    <s v="20100192064"/>
    <x v="1"/>
    <x v="0"/>
    <s v="FACTURA"/>
    <x v="1"/>
    <s v="52"/>
    <n v="670"/>
    <m/>
    <n v="120.6"/>
    <m/>
    <n v="790.6"/>
    <m/>
    <x v="0"/>
    <m/>
    <s v="70.2.2.1.01"/>
    <m/>
    <x v="1"/>
  </r>
  <r>
    <s v="03/06/2025"/>
    <x v="0"/>
    <s v="002"/>
    <s v="06-000003"/>
    <s v="OPERACIONES"/>
    <s v="91.05.01"/>
    <s v="Residuos Aprovechables"/>
    <s v="Plancha de cartón cuadrado"/>
    <s v="20100235138"/>
    <x v="2"/>
    <x v="0"/>
    <s v="FACTURA"/>
    <x v="1"/>
    <s v="53"/>
    <n v="309.39999999999998"/>
    <m/>
    <n v="55.69"/>
    <m/>
    <n v="365.09"/>
    <m/>
    <x v="0"/>
    <m/>
    <s v="70.2.2.1.01"/>
    <m/>
    <x v="1"/>
  </r>
  <r>
    <s v="04/06/2025"/>
    <x v="0"/>
    <s v="002"/>
    <s v="06-000004"/>
    <s v="OPERACIONES"/>
    <s v="91.05.01"/>
    <s v="Residuos Aprovechables"/>
    <s v="Chatarra metálica - alambrón"/>
    <s v="20607388416"/>
    <x v="3"/>
    <x v="0"/>
    <s v="FACTURA"/>
    <x v="2"/>
    <s v="30"/>
    <n v="1016"/>
    <m/>
    <n v="182.88"/>
    <m/>
    <n v="1198.8800000000001"/>
    <m/>
    <x v="0"/>
    <m/>
    <s v="70.2.2.1.01"/>
    <m/>
    <x v="1"/>
  </r>
  <r>
    <s v="04/06/2025"/>
    <x v="0"/>
    <s v="002"/>
    <s v="06-000005"/>
    <s v="OPERACIONES"/>
    <s v="91.04.01"/>
    <s v="Transporte de Carga - Local"/>
    <s v="Costo de Transporte - Transporte de Carga - Local"/>
    <s v="20100055237"/>
    <x v="4"/>
    <x v="0"/>
    <s v="FACTURA"/>
    <x v="0"/>
    <s v="104"/>
    <n v="2383.7600000000002"/>
    <m/>
    <n v="429.08"/>
    <m/>
    <n v="2812.84"/>
    <m/>
    <x v="0"/>
    <m/>
    <s v="70.3.2.1.04.01"/>
    <m/>
    <x v="2"/>
  </r>
  <r>
    <s v="05/06/2025"/>
    <x v="0"/>
    <s v="002"/>
    <s v="06-000006"/>
    <s v="OPERACIONES"/>
    <s v="91.05.01"/>
    <s v="Residuos Aprovechables"/>
    <s v="Bonificación por venta"/>
    <s v="20402885549"/>
    <x v="5"/>
    <x v="0"/>
    <s v="FACTURA"/>
    <x v="1"/>
    <s v="54"/>
    <n v="4490.16"/>
    <m/>
    <n v="808.23"/>
    <m/>
    <n v="5298.39"/>
    <m/>
    <x v="0"/>
    <m/>
    <s v="74.1.1"/>
    <m/>
    <x v="3"/>
  </r>
  <r>
    <s v="05/06/2025"/>
    <x v="0"/>
    <s v="002"/>
    <s v="06-000007"/>
    <s v="OPERACIONES"/>
    <s v="91.05.01"/>
    <s v="Residuos Aprovechables"/>
    <s v="Aceite usado"/>
    <s v="20514133931"/>
    <x v="6"/>
    <x v="0"/>
    <s v="FACTURA"/>
    <x v="1"/>
    <s v="55"/>
    <n v="2538.1999999999998"/>
    <m/>
    <n v="456.88"/>
    <m/>
    <n v="2995.08"/>
    <m/>
    <x v="0"/>
    <m/>
    <s v="70.2.2.1.01"/>
    <m/>
    <x v="1"/>
  </r>
  <r>
    <s v="05/06/2025"/>
    <x v="0"/>
    <s v="002"/>
    <s v="06-000008"/>
    <s v="OPERACIONES"/>
    <s v="91.05.01"/>
    <s v="Residuos Aprovechables"/>
    <s v="Aceite usado"/>
    <s v="20514133931"/>
    <x v="6"/>
    <x v="0"/>
    <s v="FACTURA"/>
    <x v="1"/>
    <s v="56"/>
    <n v="115.37"/>
    <m/>
    <n v="20.77"/>
    <m/>
    <n v="136.13999999999999"/>
    <m/>
    <x v="0"/>
    <m/>
    <s v="70.2.2.1.01"/>
    <m/>
    <x v="1"/>
  </r>
  <r>
    <s v="05/06/2025"/>
    <x v="0"/>
    <s v="002"/>
    <s v="06-000009"/>
    <s v="OPERACIONES"/>
    <s v="91.05.01"/>
    <s v="Residuos Aprovechables"/>
    <s v="Aceite usado"/>
    <s v="20514133931"/>
    <x v="6"/>
    <x v="0"/>
    <s v="FACTURA"/>
    <x v="1"/>
    <s v="57"/>
    <n v="653.78"/>
    <m/>
    <n v="117.68"/>
    <m/>
    <n v="771.46"/>
    <m/>
    <x v="0"/>
    <m/>
    <s v="70.2.2.1.01"/>
    <m/>
    <x v="1"/>
  </r>
  <r>
    <s v="05/06/2025"/>
    <x v="0"/>
    <s v="002"/>
    <s v="06-000010"/>
    <s v="OPERACIONES"/>
    <s v="91.04.02"/>
    <s v="Transporte de Carga - Nacional"/>
    <s v="Costo de Transporte - Transporte de Carga - Nacional"/>
    <s v="20100199743"/>
    <x v="7"/>
    <x v="0"/>
    <s v="FACTURA"/>
    <x v="0"/>
    <s v="105"/>
    <n v="6099"/>
    <m/>
    <n v="1097.82"/>
    <m/>
    <n v="7196.82"/>
    <m/>
    <x v="0"/>
    <m/>
    <s v="70.3.2.1.04.02"/>
    <m/>
    <x v="4"/>
  </r>
  <r>
    <s v="05/06/2025"/>
    <x v="0"/>
    <s v="002"/>
    <s v="06-000011"/>
    <s v="OPERACIONES"/>
    <s v="91.01.02"/>
    <s v="Residuos No Peligrosos"/>
    <s v="Costo Operativo - Residuos No Peligrosos"/>
    <s v="20170040938"/>
    <x v="8"/>
    <x v="0"/>
    <s v="FACTURA"/>
    <x v="0"/>
    <s v="106"/>
    <n v="7201.4"/>
    <m/>
    <n v="1296.252"/>
    <m/>
    <n v="8497.652"/>
    <m/>
    <x v="0"/>
    <m/>
    <s v="70.3.2.1.01.02"/>
    <m/>
    <x v="5"/>
  </r>
  <r>
    <s v="05/06/2025"/>
    <x v="0"/>
    <s v="002"/>
    <s v="06-000011"/>
    <s v="OPERACIONES"/>
    <s v="91.03.01"/>
    <s v="Destrucción de merma y desmedro"/>
    <s v="Costo Operativo - Residuos No Peligrosos"/>
    <s v="20170040938"/>
    <x v="8"/>
    <x v="0"/>
    <s v="FACTURA"/>
    <x v="0"/>
    <s v="106"/>
    <n v="2500"/>
    <m/>
    <n v="450"/>
    <m/>
    <n v="2950"/>
    <m/>
    <x v="0"/>
    <m/>
    <s v="70.3.2.1.03.01"/>
    <m/>
    <x v="6"/>
  </r>
  <r>
    <s v="05/06/2025"/>
    <x v="0"/>
    <s v="002"/>
    <s v="06-000012"/>
    <s v="OPERACIONES"/>
    <s v="91.01.02"/>
    <s v="Residuos No Peligrosos"/>
    <s v="Costo Operativo - Residuos No Peligrosos"/>
    <s v="20141637941"/>
    <x v="9"/>
    <x v="0"/>
    <s v="FACTURA"/>
    <x v="0"/>
    <s v="107"/>
    <n v="1804"/>
    <m/>
    <n v="324.72000000000003"/>
    <m/>
    <n v="2128.7199999999998"/>
    <m/>
    <x v="0"/>
    <m/>
    <s v="70.3.2.1.01.02"/>
    <m/>
    <x v="5"/>
  </r>
  <r>
    <s v="05/06/2025"/>
    <x v="0"/>
    <s v="002"/>
    <s v="06-000013"/>
    <s v="OPERACIONES"/>
    <s v="91.01.01"/>
    <s v="Residuos Peligrosos"/>
    <s v="Costo Administrativo - Residuos Peligrosos"/>
    <s v="20456012427"/>
    <x v="10"/>
    <x v="0"/>
    <s v="FACTURA"/>
    <x v="0"/>
    <s v="108"/>
    <n v="1740"/>
    <m/>
    <n v="313.2"/>
    <m/>
    <n v="2053.1999999999998"/>
    <m/>
    <x v="0"/>
    <m/>
    <s v="70.3.2.1.01.01"/>
    <m/>
    <x v="0"/>
  </r>
  <r>
    <s v="05/06/2025"/>
    <x v="0"/>
    <s v="002"/>
    <s v="06-000014"/>
    <s v="OPERACIONES"/>
    <s v="91.01.01"/>
    <s v="Residuos Peligrosos"/>
    <s v="Costo de Disposición - Residuos Peligrosos"/>
    <s v="20546530184"/>
    <x v="11"/>
    <x v="0"/>
    <s v="FACTURA"/>
    <x v="0"/>
    <s v="109"/>
    <n v="5850.02"/>
    <m/>
    <n v="1053"/>
    <m/>
    <n v="6903.02"/>
    <m/>
    <x v="0"/>
    <m/>
    <s v="70.3.2.1.01.01"/>
    <m/>
    <x v="0"/>
  </r>
  <r>
    <s v="06/06/2025"/>
    <x v="0"/>
    <s v="002"/>
    <s v="06-000015"/>
    <s v="OPERACIONES"/>
    <s v="91.05.01"/>
    <s v="Residuos Aprovechables"/>
    <s v="Madera gruesa"/>
    <s v="20613110586"/>
    <x v="12"/>
    <x v="0"/>
    <s v="FACTURA"/>
    <x v="1"/>
    <s v="58"/>
    <n v="550"/>
    <m/>
    <n v="99"/>
    <m/>
    <n v="649"/>
    <m/>
    <x v="0"/>
    <m/>
    <s v="70.2.2.1.01"/>
    <m/>
    <x v="1"/>
  </r>
  <r>
    <s v="06/06/2025"/>
    <x v="0"/>
    <s v="002"/>
    <s v="06-000016"/>
    <s v="OPERACIONES"/>
    <s v="91.05.01"/>
    <s v="Residuos Aprovechables"/>
    <s v="Chatarra metálica - alambrón"/>
    <s v="20607388416"/>
    <x v="3"/>
    <x v="0"/>
    <s v="FACTURA"/>
    <x v="2"/>
    <s v="31"/>
    <n v="1424"/>
    <m/>
    <n v="256.32"/>
    <m/>
    <n v="1680.32"/>
    <m/>
    <x v="0"/>
    <m/>
    <s v="70.2.2.1.01"/>
    <m/>
    <x v="1"/>
  </r>
  <r>
    <s v="09/06/2025"/>
    <x v="0"/>
    <s v="002"/>
    <s v="06-000017"/>
    <s v="OPERACIONES"/>
    <s v="91.01.02"/>
    <s v="Residuos No Peligrosos"/>
    <s v="Costo Operativo - Residuos No Peligrosos"/>
    <s v="20603536569"/>
    <x v="13"/>
    <x v="0"/>
    <s v="FACTURA"/>
    <x v="0"/>
    <s v="110"/>
    <n v="3880.35"/>
    <m/>
    <n v="698.46"/>
    <m/>
    <n v="4578.8100000000004"/>
    <m/>
    <x v="0"/>
    <m/>
    <s v="70.3.2.1.01.02"/>
    <m/>
    <x v="5"/>
  </r>
  <r>
    <s v="10/06/2025"/>
    <x v="0"/>
    <s v="002"/>
    <s v="06-000018"/>
    <s v="OPERACIONES"/>
    <s v="91.01.01"/>
    <s v="Residuos Peligrosos"/>
    <s v="Costo de Disposición - Residuos Peligrosos menor a 600 Kg"/>
    <s v="20505675836"/>
    <x v="14"/>
    <x v="0"/>
    <s v="FACTURA"/>
    <x v="0"/>
    <s v="111"/>
    <n v="2095.0500000000002"/>
    <m/>
    <n v="377.11"/>
    <m/>
    <n v="2472.16"/>
    <m/>
    <x v="0"/>
    <m/>
    <s v="70.3.2.1.01.01"/>
    <m/>
    <x v="0"/>
  </r>
  <r>
    <s v="10/06/2025"/>
    <x v="0"/>
    <s v="002"/>
    <s v="06-000019"/>
    <s v="OPERACIONES"/>
    <s v="91.01.01"/>
    <s v="Residuos Peligrosos"/>
    <s v="Costo de Disposición - Residuos Peligrosos menor a 600 Kg._x000a_"/>
    <s v="20505675836"/>
    <x v="14"/>
    <x v="0"/>
    <s v="FACTURA"/>
    <x v="0"/>
    <s v="112"/>
    <n v="5240.6000000000004"/>
    <m/>
    <n v="943.30799999999999"/>
    <m/>
    <n v="6183.9080000000004"/>
    <m/>
    <x v="0"/>
    <m/>
    <s v="70.3.2.1.01.01"/>
    <m/>
    <x v="0"/>
  </r>
  <r>
    <s v="10/06/2025"/>
    <x v="0"/>
    <s v="002"/>
    <s v="06-000019"/>
    <s v="OPERACIONES"/>
    <s v="91.01.02"/>
    <s v="Residuos No Peligrosos"/>
    <s v="Costo de Disposición - Residuos Peligrosos menor a 600 Kg._x000a_"/>
    <s v="20505675836"/>
    <x v="14"/>
    <x v="0"/>
    <s v="FACTURA"/>
    <x v="0"/>
    <s v="112"/>
    <n v="1105.78"/>
    <m/>
    <n v="199.04039999999998"/>
    <m/>
    <n v="1304.8204000000001"/>
    <m/>
    <x v="0"/>
    <m/>
    <s v="70.3.2.1.01.02"/>
    <m/>
    <x v="5"/>
  </r>
  <r>
    <s v="10/06/2025"/>
    <x v="0"/>
    <s v="002"/>
    <s v="06-000020"/>
    <s v="OPERACIONES"/>
    <s v="91.02.02"/>
    <s v="Limpieza de biodigestores"/>
    <s v="Costo Operativo - Limpieza y succión de pozo de sedimentación"/>
    <s v="20505675836"/>
    <x v="14"/>
    <x v="0"/>
    <s v="FACTURA"/>
    <x v="0"/>
    <s v="113"/>
    <n v="2790"/>
    <m/>
    <n v="502.2"/>
    <m/>
    <n v="3292.2"/>
    <m/>
    <x v="0"/>
    <m/>
    <s v="70.3.2.1.02.02"/>
    <m/>
    <x v="7"/>
  </r>
  <r>
    <s v="10/06/2025"/>
    <x v="0"/>
    <s v="002"/>
    <s v="06-000021"/>
    <s v="OPERACIONES"/>
    <s v="91.01.02"/>
    <s v="Residuos No Peligrosos"/>
    <s v="Costo Operativo - Residuos No Peligrosos - Planta UCSM"/>
    <s v="20141637941"/>
    <x v="9"/>
    <x v="0"/>
    <s v="FACTURA"/>
    <x v="0"/>
    <s v="114"/>
    <n v="1777"/>
    <m/>
    <n v="319.86"/>
    <m/>
    <n v="2096.86"/>
    <m/>
    <x v="0"/>
    <m/>
    <s v="70.3.2.1.01.02"/>
    <m/>
    <x v="5"/>
  </r>
  <r>
    <s v="11/06/2025"/>
    <x v="0"/>
    <s v="002"/>
    <s v="06-000022"/>
    <s v="OPERACIONES"/>
    <s v="91.05.01"/>
    <s v="Residuos Aprovechables"/>
    <s v="Pallet de madera lupuna 1.50 x 1.12 - taco"/>
    <s v="20558203332"/>
    <x v="15"/>
    <x v="0"/>
    <s v="FACTURA"/>
    <x v="1"/>
    <s v="59"/>
    <n v="120"/>
    <m/>
    <n v="21.6"/>
    <m/>
    <n v="141.6"/>
    <m/>
    <x v="0"/>
    <m/>
    <s v="70.2.2.1.01"/>
    <m/>
    <x v="1"/>
  </r>
  <r>
    <s v="11/06/2025"/>
    <x v="0"/>
    <s v="002"/>
    <s v="06-000023"/>
    <s v="OPERACIONES"/>
    <s v="91.05.01"/>
    <s v="Residuos Aprovechables"/>
    <s v="IBC s plástico vacío cap. 1,000 litros - transparente"/>
    <s v="20607095788"/>
    <x v="16"/>
    <x v="0"/>
    <s v="FACTURA"/>
    <x v="1"/>
    <s v="60"/>
    <n v="700"/>
    <m/>
    <n v="126"/>
    <m/>
    <n v="826"/>
    <m/>
    <x v="0"/>
    <m/>
    <s v="70.2.2.1.01"/>
    <m/>
    <x v="1"/>
  </r>
  <r>
    <s v="11/06/2025"/>
    <x v="0"/>
    <s v="002"/>
    <s v="06-000024"/>
    <s v="OPERACIONES"/>
    <s v="91.05.01"/>
    <s v="Residuos Aprovechables"/>
    <s v="Chatarra metálica - alambrón"/>
    <s v="20607388416"/>
    <x v="3"/>
    <x v="0"/>
    <s v="FACTURA"/>
    <x v="2"/>
    <s v="32"/>
    <n v="680"/>
    <m/>
    <n v="122.4"/>
    <m/>
    <n v="802.4"/>
    <m/>
    <x v="0"/>
    <m/>
    <s v="70.2.2.1.01"/>
    <m/>
    <x v="1"/>
  </r>
  <r>
    <s v="11/06/2025"/>
    <x v="0"/>
    <s v="002"/>
    <s v="06-000025"/>
    <s v="OPERACIONES"/>
    <s v="91.05.01"/>
    <s v="Residuos Aprovechables"/>
    <s v="Chatarra metálica - alambrón"/>
    <s v="20603065906"/>
    <x v="17"/>
    <x v="0"/>
    <s v="FACTURA"/>
    <x v="2"/>
    <s v="33"/>
    <n v="1869"/>
    <m/>
    <n v="336.42"/>
    <m/>
    <n v="2205.42"/>
    <m/>
    <x v="0"/>
    <m/>
    <s v="70.2.2.1.01"/>
    <m/>
    <x v="1"/>
  </r>
  <r>
    <s v="11/06/2025"/>
    <x v="0"/>
    <s v="002"/>
    <s v="06-000026"/>
    <s v="OPERACIONES"/>
    <s v="91.05.01"/>
    <s v="Residuos Aprovechables"/>
    <s v="Chatarra metálica - alambrón"/>
    <s v="20603065906"/>
    <x v="17"/>
    <x v="1"/>
    <s v="NOTA DE CREDITO"/>
    <x v="3"/>
    <s v="1"/>
    <n v="-1869"/>
    <m/>
    <n v="-336.42"/>
    <m/>
    <n v="-2205.42"/>
    <s v="001"/>
    <x v="1"/>
    <s v="17"/>
    <s v="70.2.2.1.01"/>
    <m/>
    <x v="1"/>
  </r>
  <r>
    <s v="12/06/2025"/>
    <x v="0"/>
    <s v="002"/>
    <s v="06-000027"/>
    <s v="OPERACIONES"/>
    <s v="91.01.02"/>
    <s v="Residuos No Peligrosos"/>
    <s v="Costo de Disposición - Residuos No Peligrosos menor a 3 TN"/>
    <s v="20454186002"/>
    <x v="18"/>
    <x v="0"/>
    <s v="FACTURA"/>
    <x v="0"/>
    <s v="115"/>
    <n v="2073.02"/>
    <m/>
    <n v="373.14"/>
    <m/>
    <n v="2446.16"/>
    <m/>
    <x v="0"/>
    <m/>
    <s v="70.3.2.1.01.02"/>
    <m/>
    <x v="5"/>
  </r>
  <r>
    <s v="12/06/2025"/>
    <x v="0"/>
    <s v="002"/>
    <s v="06-000028"/>
    <s v="OPERACIONES"/>
    <s v="91.01.01"/>
    <s v="Residuos Peligrosos"/>
    <s v="Costo Administrativo - Residuos Peligrosos    Transportes Libertad S.A.C."/>
    <s v="20456012427"/>
    <x v="10"/>
    <x v="0"/>
    <s v="FACTURA"/>
    <x v="0"/>
    <s v="116"/>
    <n v="850"/>
    <m/>
    <n v="153"/>
    <m/>
    <n v="1003"/>
    <m/>
    <x v="0"/>
    <m/>
    <s v="70.3.2.1.01.01"/>
    <m/>
    <x v="0"/>
  </r>
  <r>
    <s v="12/06/2025"/>
    <x v="0"/>
    <s v="002"/>
    <s v="06-000029"/>
    <s v="OPERACIONES"/>
    <s v="91.01.01"/>
    <s v="Residuos Peligrosos"/>
    <s v="Costo Operativo por servicio"/>
    <s v="20120858425"/>
    <x v="19"/>
    <x v="0"/>
    <s v="FACTURA"/>
    <x v="0"/>
    <s v="117"/>
    <n v="960.3"/>
    <m/>
    <n v="172.85399999999998"/>
    <m/>
    <n v="1133.154"/>
    <m/>
    <x v="0"/>
    <m/>
    <s v="70.3.2.1.01.01"/>
    <m/>
    <x v="0"/>
  </r>
  <r>
    <s v="12/06/2025"/>
    <x v="0"/>
    <s v="002"/>
    <s v="06-000029"/>
    <s v="OPERACIONES"/>
    <s v="91.01.02"/>
    <s v="Residuos No Peligrosos"/>
    <s v="Costo Operativo por servicio"/>
    <s v="20120858425"/>
    <x v="19"/>
    <x v="0"/>
    <s v="FACTURA"/>
    <x v="0"/>
    <s v="117"/>
    <n v="80.400000000000006"/>
    <m/>
    <n v="14.472000000000001"/>
    <m/>
    <n v="94.872000000000014"/>
    <m/>
    <x v="0"/>
    <m/>
    <s v="70.3.2.1.01.02"/>
    <m/>
    <x v="5"/>
  </r>
  <r>
    <s v="12/06/2025"/>
    <x v="0"/>
    <s v="002"/>
    <s v="06-000030"/>
    <s v="OPERACIONES"/>
    <s v="91.01.02"/>
    <s v="Residuos No Peligrosos"/>
    <s v="Costo de Disposición - Residuos No Peligrosos"/>
    <s v="20454186002"/>
    <x v="18"/>
    <x v="0"/>
    <s v="FACTURA"/>
    <x v="0"/>
    <s v="118"/>
    <n v="1921.12"/>
    <m/>
    <n v="345.8"/>
    <m/>
    <n v="2266.92"/>
    <m/>
    <x v="0"/>
    <m/>
    <s v="70.3.2.1.01.02"/>
    <m/>
    <x v="5"/>
  </r>
  <r>
    <s v="12/06/2025"/>
    <x v="0"/>
    <s v="002"/>
    <s v="06-000031"/>
    <s v="OPERACIONES"/>
    <s v="91.01.01"/>
    <s v="Residuos Peligrosos"/>
    <s v="Costo Administrativo - Residuos Peligrosos"/>
    <s v="20456012427"/>
    <x v="10"/>
    <x v="0"/>
    <s v="FACTURA"/>
    <x v="0"/>
    <s v="119"/>
    <n v="850"/>
    <m/>
    <n v="153"/>
    <m/>
    <n v="1003"/>
    <m/>
    <x v="0"/>
    <m/>
    <s v="70.3.2.1.01.01"/>
    <m/>
    <x v="0"/>
  </r>
  <r>
    <s v="12/06/2025"/>
    <x v="0"/>
    <s v="002"/>
    <s v="06-000032"/>
    <s v="OPERACIONES"/>
    <s v="91.04.01"/>
    <s v="Transporte de Carga - Local"/>
    <s v="Costo de Transporte - Transporte de Carga - Local"/>
    <s v="20100055237"/>
    <x v="4"/>
    <x v="0"/>
    <s v="FACTURA"/>
    <x v="0"/>
    <s v="120"/>
    <n v="2383.36"/>
    <m/>
    <n v="429"/>
    <m/>
    <n v="2812.36"/>
    <m/>
    <x v="0"/>
    <m/>
    <s v="70.3.2.1.04.01"/>
    <m/>
    <x v="2"/>
  </r>
  <r>
    <s v="12/06/2025"/>
    <x v="0"/>
    <s v="002"/>
    <s v="06-000033"/>
    <s v="OPERACIONES"/>
    <s v="91.01.01"/>
    <s v="Residuos Peligrosos"/>
    <s v="Costo Administrativo - Residuos Peligrosos    Transportes Libertad S.A.C."/>
    <s v="20456012427"/>
    <x v="10"/>
    <x v="1"/>
    <s v="NOTA DE CREDITO"/>
    <x v="4"/>
    <s v="8"/>
    <n v="-850"/>
    <m/>
    <n v="-153"/>
    <m/>
    <n v="-1003"/>
    <s v="001"/>
    <x v="2"/>
    <s v="116"/>
    <s v="70.3.2.1.01.01"/>
    <m/>
    <x v="0"/>
  </r>
  <r>
    <s v="12/06/2025"/>
    <x v="0"/>
    <s v="002"/>
    <s v="06-000034"/>
    <s v="OPERACIONES"/>
    <s v="91.01.02"/>
    <s v="Residuos No Peligrosos"/>
    <s v="Costo de Disposición - Residuos No Peligrosos menor a 3 TN"/>
    <s v="20454186002"/>
    <x v="18"/>
    <x v="1"/>
    <s v="NOTA DE CREDITO"/>
    <x v="4"/>
    <s v="9"/>
    <n v="-2073.02"/>
    <m/>
    <n v="-373.14"/>
    <m/>
    <n v="-2446.16"/>
    <s v="001"/>
    <x v="2"/>
    <s v="115"/>
    <s v="70.3.2.1.01.02"/>
    <m/>
    <x v="5"/>
  </r>
  <r>
    <s v="13/06/2025"/>
    <x v="0"/>
    <s v="002"/>
    <s v="06-000035"/>
    <s v="OPERACIONES"/>
    <s v="91.01.01"/>
    <s v="Residuos Peligrosos"/>
    <s v="Servicio de disposición de residuos según OC 270-OC00007331"/>
    <s v="20100192064"/>
    <x v="1"/>
    <x v="0"/>
    <s v="FACTURA"/>
    <x v="0"/>
    <s v="121"/>
    <n v="8401.7999999999993"/>
    <m/>
    <n v="1512.32"/>
    <m/>
    <n v="9914.1200000000008"/>
    <m/>
    <x v="0"/>
    <m/>
    <s v="70.3.2.1.01.01"/>
    <m/>
    <x v="0"/>
  </r>
  <r>
    <s v="13/06/2025"/>
    <x v="0"/>
    <s v="002"/>
    <s v="06-000036"/>
    <s v="OPERACIONES"/>
    <s v="91.01.01"/>
    <s v="Residuos Peligrosos"/>
    <s v="Costo Operativo - Residuos Peligrosos según OC 270-OC00007332"/>
    <s v="20100192064"/>
    <x v="1"/>
    <x v="0"/>
    <s v="FACTURA"/>
    <x v="0"/>
    <s v="123"/>
    <n v="17993.2"/>
    <m/>
    <n v="3238.78"/>
    <m/>
    <n v="21231.98"/>
    <m/>
    <x v="0"/>
    <m/>
    <s v="70.3.2.1.01.01"/>
    <m/>
    <x v="0"/>
  </r>
  <r>
    <s v="16/06/2025"/>
    <x v="0"/>
    <s v="002"/>
    <s v="06-000037"/>
    <s v="OPERACIONES"/>
    <s v="91.05.01"/>
    <s v="Residuos Aprovechables"/>
    <s v="Madera"/>
    <s v="20613110586"/>
    <x v="12"/>
    <x v="0"/>
    <s v="FACTURA"/>
    <x v="1"/>
    <s v="61"/>
    <n v="505"/>
    <m/>
    <n v="90.9"/>
    <m/>
    <n v="595.9"/>
    <m/>
    <x v="0"/>
    <m/>
    <s v="70.2.2.1.01"/>
    <m/>
    <x v="1"/>
  </r>
  <r>
    <s v="16/06/2025"/>
    <x v="0"/>
    <s v="002"/>
    <s v="06-000038"/>
    <s v="OPERACIONES"/>
    <s v="91.05.01"/>
    <s v="Residuos Aprovechables"/>
    <s v="Chatarra metálica - alambrón"/>
    <s v="20607388416"/>
    <x v="3"/>
    <x v="0"/>
    <s v="FACTURA"/>
    <x v="2"/>
    <s v="34"/>
    <n v="704"/>
    <m/>
    <n v="126.72"/>
    <m/>
    <n v="830.72"/>
    <m/>
    <x v="0"/>
    <m/>
    <s v="70.2.2.1.01"/>
    <m/>
    <x v="1"/>
  </r>
  <r>
    <s v="17/06/2025"/>
    <x v="0"/>
    <s v="002"/>
    <s v="06-000039"/>
    <s v="OPERACIONES"/>
    <s v="91.01.02"/>
    <s v="Residuos No Peligrosos"/>
    <s v="Costo Operativo - Residuos No Peligrosos"/>
    <s v="20141637941"/>
    <x v="9"/>
    <x v="0"/>
    <s v="FACTURA"/>
    <x v="0"/>
    <s v="124"/>
    <n v="1802"/>
    <m/>
    <n v="324.36"/>
    <m/>
    <n v="2126.36"/>
    <m/>
    <x v="0"/>
    <m/>
    <s v="70.3.2.1.01.02"/>
    <m/>
    <x v="5"/>
  </r>
  <r>
    <s v="17/06/2025"/>
    <x v="0"/>
    <s v="002"/>
    <s v="06-000040"/>
    <s v="OPERACIONES"/>
    <s v="91.05.01"/>
    <s v="Residuos Aprovechables"/>
    <s v="Chatarra metálica - viruta"/>
    <s v="20402885549"/>
    <x v="5"/>
    <x v="0"/>
    <s v="FACTURA"/>
    <x v="1"/>
    <s v="62"/>
    <n v="28268.2"/>
    <m/>
    <n v="5088.28"/>
    <m/>
    <n v="33356.480000000003"/>
    <m/>
    <x v="0"/>
    <m/>
    <s v="70.2.2.1.01"/>
    <m/>
    <x v="1"/>
  </r>
  <r>
    <s v="17/06/2025"/>
    <x v="0"/>
    <s v="002"/>
    <s v="06-000041"/>
    <s v="OPERACIONES"/>
    <s v="91.05.01"/>
    <s v="Residuos Aprovechables"/>
    <s v="IBC s plástico vacío cap. 1,000 litros - transparente"/>
    <s v="20603577079"/>
    <x v="20"/>
    <x v="0"/>
    <s v="FACTURA"/>
    <x v="1"/>
    <s v="63"/>
    <n v="11400"/>
    <m/>
    <n v="2052"/>
    <m/>
    <n v="13452"/>
    <m/>
    <x v="0"/>
    <m/>
    <s v="70.2.2.1.01"/>
    <m/>
    <x v="1"/>
  </r>
  <r>
    <s v="17/06/2025"/>
    <x v="0"/>
    <s v="002"/>
    <s v="06-000042"/>
    <s v="OPERACIONES"/>
    <s v="91.05.01"/>
    <s v="Residuos Aprovechables"/>
    <s v="Cartón"/>
    <s v="20455283915"/>
    <x v="21"/>
    <x v="0"/>
    <s v="FACTURA"/>
    <x v="1"/>
    <s v="64"/>
    <n v="423"/>
    <m/>
    <n v="76.14"/>
    <m/>
    <n v="499.14"/>
    <m/>
    <x v="0"/>
    <m/>
    <s v="70.2.2.1.01"/>
    <m/>
    <x v="1"/>
  </r>
  <r>
    <s v="17/06/2025"/>
    <x v="0"/>
    <s v="002"/>
    <s v="06-000043"/>
    <s v="OPERACIONES"/>
    <s v="91.05.01"/>
    <s v="Residuos Aprovechables"/>
    <s v="Tucos - conos"/>
    <s v="20455283915"/>
    <x v="21"/>
    <x v="0"/>
    <s v="FACTURA"/>
    <x v="1"/>
    <s v="65"/>
    <n v="369"/>
    <m/>
    <n v="66.42"/>
    <m/>
    <n v="435.42"/>
    <m/>
    <x v="0"/>
    <m/>
    <s v="70.2.2.1.01"/>
    <m/>
    <x v="1"/>
  </r>
  <r>
    <s v="17/06/2025"/>
    <x v="0"/>
    <s v="002"/>
    <s v="06-000044"/>
    <s v="OPERACIONES"/>
    <s v="91.05.01"/>
    <s v="Residuos Aprovechables"/>
    <s v="Cartón"/>
    <s v="20455283915"/>
    <x v="21"/>
    <x v="0"/>
    <s v="FACTURA"/>
    <x v="1"/>
    <s v="66"/>
    <n v="408"/>
    <m/>
    <n v="73.44"/>
    <m/>
    <n v="481.44"/>
    <m/>
    <x v="0"/>
    <m/>
    <s v="70.2.2.1.01"/>
    <m/>
    <x v="1"/>
  </r>
  <r>
    <s v="17/06/2025"/>
    <x v="0"/>
    <s v="002"/>
    <s v="06-000045"/>
    <s v="OPERACIONES"/>
    <s v="91.05.01"/>
    <s v="Residuos Aprovechables"/>
    <s v="Cartón"/>
    <s v="20455283915"/>
    <x v="21"/>
    <x v="0"/>
    <s v="FACTURA"/>
    <x v="1"/>
    <s v="67"/>
    <n v="243"/>
    <m/>
    <n v="43.74"/>
    <m/>
    <n v="286.74"/>
    <m/>
    <x v="0"/>
    <m/>
    <s v="70.2.2.1.01"/>
    <m/>
    <x v="1"/>
  </r>
  <r>
    <s v="17/06/2025"/>
    <x v="0"/>
    <s v="002"/>
    <s v="06-000046"/>
    <s v="OPERACIONES"/>
    <s v="91.05.01"/>
    <s v="Residuos Aprovechables"/>
    <s v="Tucos - conos"/>
    <s v="20455283915"/>
    <x v="21"/>
    <x v="0"/>
    <s v="FACTURA"/>
    <x v="1"/>
    <s v="68"/>
    <n v="211.5"/>
    <m/>
    <n v="38.07"/>
    <m/>
    <n v="249.57"/>
    <m/>
    <x v="0"/>
    <m/>
    <s v="70.2.2.1.01"/>
    <m/>
    <x v="1"/>
  </r>
  <r>
    <s v="17/06/2025"/>
    <x v="0"/>
    <s v="002"/>
    <s v="06-000047"/>
    <s v="OPERACIONES"/>
    <s v="91.05.01"/>
    <s v="Residuos Aprovechables"/>
    <s v="Cartón"/>
    <s v="20455283915"/>
    <x v="21"/>
    <x v="0"/>
    <s v="FACTURA"/>
    <x v="1"/>
    <s v="69"/>
    <n v="441"/>
    <m/>
    <n v="79.38"/>
    <m/>
    <n v="520.38"/>
    <m/>
    <x v="0"/>
    <m/>
    <s v="70.2.2.1.01"/>
    <m/>
    <x v="1"/>
  </r>
  <r>
    <s v="17/06/2025"/>
    <x v="0"/>
    <s v="002"/>
    <s v="06-000048"/>
    <s v="OPERACIONES"/>
    <s v="91.05.01"/>
    <s v="Residuos Aprovechables"/>
    <s v="Cartón"/>
    <s v="20455283915"/>
    <x v="21"/>
    <x v="0"/>
    <s v="FACTURA"/>
    <x v="1"/>
    <s v="70"/>
    <n v="288"/>
    <m/>
    <n v="51.84"/>
    <m/>
    <n v="339.84"/>
    <m/>
    <x v="0"/>
    <m/>
    <s v="70.2.2.1.01"/>
    <m/>
    <x v="1"/>
  </r>
  <r>
    <s v="17/06/2025"/>
    <x v="0"/>
    <s v="002"/>
    <s v="06-000049"/>
    <s v="OPERACIONES"/>
    <s v="91.05.01"/>
    <s v="Residuos Aprovechables"/>
    <s v="Cartón"/>
    <s v="20455283915"/>
    <x v="21"/>
    <x v="0"/>
    <s v="FACTURA"/>
    <x v="1"/>
    <s v="71"/>
    <n v="532.5"/>
    <m/>
    <n v="95.85"/>
    <m/>
    <n v="628.35"/>
    <m/>
    <x v="0"/>
    <m/>
    <s v="70.2.2.1.01"/>
    <m/>
    <x v="1"/>
  </r>
  <r>
    <s v="18/06/2025"/>
    <x v="0"/>
    <s v="002"/>
    <s v="06-000050"/>
    <s v="OPERACIONES"/>
    <s v="91.05.01"/>
    <s v="Residuos Aprovechables"/>
    <s v="Plástico film transparente"/>
    <s v="20558698048"/>
    <x v="22"/>
    <x v="0"/>
    <s v="FACTURA"/>
    <x v="1"/>
    <s v="72"/>
    <n v="690"/>
    <m/>
    <n v="124.2"/>
    <m/>
    <n v="814.2"/>
    <m/>
    <x v="0"/>
    <m/>
    <s v="70.2.2.1.01"/>
    <m/>
    <x v="1"/>
  </r>
  <r>
    <s v="18/06/2025"/>
    <x v="0"/>
    <s v="002"/>
    <s v="06-000051"/>
    <s v="OPERACIONES"/>
    <s v="91.05.01"/>
    <s v="Residuos Aprovechables"/>
    <s v="Chatarra metálica - pesada"/>
    <s v="20603065906"/>
    <x v="17"/>
    <x v="0"/>
    <s v="FACTURA"/>
    <x v="2"/>
    <s v="35"/>
    <n v="2133"/>
    <m/>
    <n v="383.94"/>
    <m/>
    <n v="2516.94"/>
    <m/>
    <x v="0"/>
    <m/>
    <s v="70.2.2.1.01"/>
    <m/>
    <x v="1"/>
  </r>
  <r>
    <s v="19/06/2025"/>
    <x v="0"/>
    <s v="002"/>
    <s v="06-000052"/>
    <s v="OPERACIONES"/>
    <s v="91.01.01"/>
    <s v="Residuos Peligrosos"/>
    <s v="Costo Operativo - Residuos Peligrosos"/>
    <s v="20100172543"/>
    <x v="23"/>
    <x v="0"/>
    <s v="FACTURA"/>
    <x v="0"/>
    <s v="125"/>
    <n v="1210.6199999999999"/>
    <m/>
    <n v="217.91"/>
    <m/>
    <n v="1428.53"/>
    <m/>
    <x v="0"/>
    <m/>
    <s v="70.3.2.1.01.01"/>
    <m/>
    <x v="0"/>
  </r>
  <r>
    <s v="19/06/2025"/>
    <x v="0"/>
    <s v="002"/>
    <s v="06-000053"/>
    <s v="OPERACIONES"/>
    <s v="91.01.02"/>
    <s v="Residuos No Peligrosos"/>
    <s v="Costo Operativo - Residuos No Peligrosos"/>
    <s v="20141637941"/>
    <x v="9"/>
    <x v="0"/>
    <s v="FACTURA"/>
    <x v="0"/>
    <s v="126"/>
    <n v="1174"/>
    <m/>
    <n v="211.32"/>
    <m/>
    <n v="1385.32"/>
    <m/>
    <x v="0"/>
    <m/>
    <s v="70.3.2.1.01.02"/>
    <m/>
    <x v="5"/>
  </r>
  <r>
    <s v="19/06/2025"/>
    <x v="0"/>
    <s v="002"/>
    <s v="06-000054"/>
    <s v="OPERACIONES"/>
    <s v="91.05.01"/>
    <s v="Residuos Aprovechables"/>
    <s v="Botella recicladora de malla metálica 800L_x000a_"/>
    <s v="20517932346"/>
    <x v="24"/>
    <x v="0"/>
    <s v="FACTURA"/>
    <x v="1"/>
    <s v="73"/>
    <n v="1356"/>
    <m/>
    <n v="244.08"/>
    <m/>
    <n v="1600.08"/>
    <m/>
    <x v="0"/>
    <m/>
    <s v="70.2.2.1.01"/>
    <m/>
    <x v="1"/>
  </r>
  <r>
    <s v="20/06/2025"/>
    <x v="0"/>
    <s v="002"/>
    <s v="06-000055"/>
    <s v="OPERACIONES"/>
    <s v="91.05.01"/>
    <s v="Residuos Aprovechables"/>
    <s v="Plástico film transparente"/>
    <s v="20558698048"/>
    <x v="22"/>
    <x v="0"/>
    <s v="FACTURA"/>
    <x v="1"/>
    <s v="74"/>
    <n v="2151"/>
    <m/>
    <n v="387.18"/>
    <m/>
    <n v="2538.1799999999998"/>
    <m/>
    <x v="0"/>
    <m/>
    <s v="70.2.2.1.01"/>
    <m/>
    <x v="1"/>
  </r>
  <r>
    <s v="20/06/2025"/>
    <x v="0"/>
    <s v="002"/>
    <s v="06-000056"/>
    <s v="OPERACIONES"/>
    <s v="91.05.01"/>
    <s v="Residuos Aprovechables"/>
    <s v="Chatarra metálica - alambrón"/>
    <s v="20603065906"/>
    <x v="17"/>
    <x v="0"/>
    <s v="FACTURA"/>
    <x v="2"/>
    <s v="36"/>
    <n v="1638"/>
    <m/>
    <n v="294.83999999999997"/>
    <m/>
    <n v="1932.84"/>
    <m/>
    <x v="0"/>
    <m/>
    <s v="70.2.2.1.01"/>
    <m/>
    <x v="1"/>
  </r>
  <r>
    <s v="20/06/2025"/>
    <x v="0"/>
    <s v="002"/>
    <s v="06-000057"/>
    <s v="OPERACIONES"/>
    <s v="91.05.01"/>
    <s v="Residuos Aprovechables"/>
    <s v="Chatarra metálica - alambrón"/>
    <s v="20601119600"/>
    <x v="25"/>
    <x v="0"/>
    <s v="FACTURA"/>
    <x v="2"/>
    <s v="37"/>
    <n v="1887.29"/>
    <m/>
    <n v="339.71"/>
    <m/>
    <n v="2227"/>
    <m/>
    <x v="0"/>
    <m/>
    <s v="70.2.2.1.01"/>
    <m/>
    <x v="1"/>
  </r>
  <r>
    <s v="20/06/2025"/>
    <x v="0"/>
    <s v="002"/>
    <s v="06-000058"/>
    <s v="OPERACIONES"/>
    <s v="91.05.01"/>
    <s v="Residuos Aprovechables"/>
    <s v="Chatarra metálica - pesada"/>
    <s v="20603065906"/>
    <x v="17"/>
    <x v="0"/>
    <s v="FACTURA"/>
    <x v="2"/>
    <s v="38"/>
    <n v="2619"/>
    <m/>
    <n v="471.42"/>
    <m/>
    <n v="3090.42"/>
    <m/>
    <x v="0"/>
    <m/>
    <s v="70.2.2.1.01"/>
    <m/>
    <x v="1"/>
  </r>
  <r>
    <s v="23/06/2025"/>
    <x v="0"/>
    <s v="002"/>
    <s v="06-000059"/>
    <s v="OPERACIONES"/>
    <s v="91.04.02"/>
    <s v="Transporte de Carga - Nacional"/>
    <s v="Costo de Transporte - Transporte de Carga - Nacional"/>
    <s v="20100199743"/>
    <x v="7"/>
    <x v="0"/>
    <s v="FACTURA"/>
    <x v="0"/>
    <s v="127"/>
    <n v="4990"/>
    <m/>
    <n v="898.2"/>
    <m/>
    <n v="5888.2"/>
    <m/>
    <x v="0"/>
    <m/>
    <s v="70.3.2.1.04.02"/>
    <m/>
    <x v="4"/>
  </r>
  <r>
    <s v="23/06/2025"/>
    <x v="0"/>
    <s v="002"/>
    <s v="06-000060"/>
    <s v="OPERACIONES"/>
    <s v="91.04.01"/>
    <s v="Transporte de Carga - Local"/>
    <s v="Costo de Transporte - Transporte de Carga - Local"/>
    <s v="20159473148"/>
    <x v="26"/>
    <x v="0"/>
    <s v="FACTURA"/>
    <x v="0"/>
    <s v="128"/>
    <n v="0"/>
    <m/>
    <n v="0"/>
    <m/>
    <n v="0"/>
    <m/>
    <x v="0"/>
    <m/>
    <s v="70.3.2.1.04.01"/>
    <m/>
    <x v="2"/>
  </r>
  <r>
    <s v="23/06/2025"/>
    <x v="0"/>
    <s v="002"/>
    <s v="06-000061"/>
    <s v="OPERACIONES"/>
    <s v="91.01.02"/>
    <s v="Residuos No Peligrosos"/>
    <s v="Costo Operativo - Residuos No Peligrosos"/>
    <s v="20496535066"/>
    <x v="27"/>
    <x v="0"/>
    <s v="FACTURA"/>
    <x v="0"/>
    <s v="129"/>
    <n v="14867.8"/>
    <m/>
    <n v="2676.2"/>
    <m/>
    <n v="17544"/>
    <m/>
    <x v="0"/>
    <m/>
    <s v="70.3.2.1.01.02"/>
    <m/>
    <x v="5"/>
  </r>
  <r>
    <s v="23/06/2025"/>
    <x v="0"/>
    <s v="002"/>
    <s v="06-000062"/>
    <s v="OPERACIONES"/>
    <s v="91.01.02"/>
    <s v="Residuos No Peligrosos"/>
    <s v="Costo Operativo - Residuos No Peligrosos"/>
    <s v="20496535066"/>
    <x v="27"/>
    <x v="0"/>
    <s v="FACTURA"/>
    <x v="0"/>
    <s v="130"/>
    <n v="16236.4"/>
    <m/>
    <n v="2922.55"/>
    <m/>
    <n v="19158.95"/>
    <m/>
    <x v="0"/>
    <m/>
    <s v="70.3.2.1.01.02"/>
    <m/>
    <x v="5"/>
  </r>
  <r>
    <s v="23/06/2025"/>
    <x v="0"/>
    <s v="002"/>
    <s v="06-000063"/>
    <s v="OPERACIONES"/>
    <s v="91.04.01"/>
    <s v="Transporte de Carga - Local"/>
    <s v="Costo de Transporte - Transporte de Carga - Local"/>
    <s v="20159473148"/>
    <x v="26"/>
    <x v="0"/>
    <s v="FACTURA"/>
    <x v="0"/>
    <s v="131"/>
    <n v="3578.9"/>
    <m/>
    <n v="644.20000000000005"/>
    <m/>
    <n v="4223.1000000000004"/>
    <m/>
    <x v="0"/>
    <m/>
    <s v="70.3.2.1.04.01"/>
    <m/>
    <x v="2"/>
  </r>
  <r>
    <s v="24/06/2025"/>
    <x v="0"/>
    <s v="002"/>
    <s v="06-000064"/>
    <s v="OPERACIONES"/>
    <s v="91.05.01"/>
    <s v="Residuos Aprovechables"/>
    <s v="Pallet de madera"/>
    <s v="20558203332"/>
    <x v="15"/>
    <x v="0"/>
    <s v="FACTURA"/>
    <x v="1"/>
    <s v="75"/>
    <n v="144"/>
    <m/>
    <n v="25.92"/>
    <m/>
    <n v="169.92"/>
    <m/>
    <x v="0"/>
    <m/>
    <s v="70.2.2.1.01"/>
    <m/>
    <x v="1"/>
  </r>
  <r>
    <s v="24/06/2025"/>
    <x v="0"/>
    <s v="002"/>
    <s v="06-000065"/>
    <s v="OPERACIONES"/>
    <s v="91.05.01"/>
    <s v="Residuos Aprovechables"/>
    <s v="Pallet de madera"/>
    <s v="20100192064"/>
    <x v="1"/>
    <x v="0"/>
    <s v="FACTURA"/>
    <x v="1"/>
    <s v="76"/>
    <n v="1340"/>
    <m/>
    <n v="241.2"/>
    <m/>
    <n v="1581.2"/>
    <m/>
    <x v="0"/>
    <m/>
    <s v="70.2.2.1.01"/>
    <m/>
    <x v="1"/>
  </r>
  <r>
    <s v="25/06/2025"/>
    <x v="0"/>
    <s v="002"/>
    <s v="06-000066"/>
    <s v="OPERACIONES"/>
    <s v="91.05.01"/>
    <s v="Residuos Aprovechables"/>
    <s v="Chatarra metálica - liviana"/>
    <s v="20603065906"/>
    <x v="17"/>
    <x v="0"/>
    <s v="FACTURA"/>
    <x v="5"/>
    <s v="1"/>
    <n v="0"/>
    <m/>
    <n v="0"/>
    <m/>
    <n v="0"/>
    <m/>
    <x v="0"/>
    <m/>
    <s v="70.2.2.1.01"/>
    <m/>
    <x v="1"/>
  </r>
  <r>
    <s v="25/06/2025"/>
    <x v="0"/>
    <s v="002"/>
    <s v="06-000067"/>
    <s v="OPERACIONES"/>
    <s v="91.05.01"/>
    <s v="Residuos Aprovechables"/>
    <s v="Chatarra metálica - liviana"/>
    <s v="20603065906"/>
    <x v="17"/>
    <x v="0"/>
    <s v="FACTURA"/>
    <x v="2"/>
    <s v="39"/>
    <n v="1206"/>
    <m/>
    <n v="217.08"/>
    <m/>
    <n v="1423.08"/>
    <m/>
    <x v="0"/>
    <m/>
    <s v="70.2.2.1.01"/>
    <m/>
    <x v="1"/>
  </r>
  <r>
    <s v="25/06/2025"/>
    <x v="0"/>
    <s v="002"/>
    <s v="06-000068"/>
    <s v="OPERACIONES"/>
    <s v="91.05.01"/>
    <s v="Residuos Aprovechables"/>
    <s v="Chatarra metálica - alambrón"/>
    <s v="20607388416"/>
    <x v="3"/>
    <x v="0"/>
    <s v="FACTURA"/>
    <x v="2"/>
    <s v="40"/>
    <n v="760"/>
    <m/>
    <n v="136.80000000000001"/>
    <m/>
    <n v="896.8"/>
    <m/>
    <x v="0"/>
    <m/>
    <s v="70.2.2.1.01"/>
    <m/>
    <x v="1"/>
  </r>
  <r>
    <s v="26/06/2025"/>
    <x v="0"/>
    <s v="002"/>
    <s v="06-000069"/>
    <s v="OPERACIONES"/>
    <s v="91.01.02"/>
    <s v="Residuos No Peligrosos"/>
    <s v="Costo de Disposición - Residuos No Peligrosos"/>
    <s v="20454186002"/>
    <x v="18"/>
    <x v="0"/>
    <s v="FACTURA"/>
    <x v="0"/>
    <s v="132"/>
    <n v="1999.52"/>
    <m/>
    <n v="359.91"/>
    <m/>
    <n v="2359.4299999999998"/>
    <m/>
    <x v="0"/>
    <m/>
    <s v="70.3.2.1.01.02"/>
    <m/>
    <x v="5"/>
  </r>
  <r>
    <s v="26/06/2025"/>
    <x v="0"/>
    <s v="002"/>
    <s v="06-000070"/>
    <s v="OPERACIONES"/>
    <s v="91.01.01"/>
    <s v="Residuos Peligrosos"/>
    <s v="Servicio de disposición de residuos según OC"/>
    <s v="20100192064"/>
    <x v="1"/>
    <x v="0"/>
    <s v="FACTURA"/>
    <x v="0"/>
    <s v="133"/>
    <n v="4503"/>
    <m/>
    <n v="810.54"/>
    <m/>
    <n v="5313.54"/>
    <m/>
    <x v="0"/>
    <m/>
    <s v="70.3.2.1.01.01"/>
    <m/>
    <x v="0"/>
  </r>
  <r>
    <s v="26/06/2025"/>
    <x v="0"/>
    <s v="002"/>
    <s v="06-000071"/>
    <s v="OPERACIONES"/>
    <s v="91.05.01"/>
    <s v="Residuos Aprovechables"/>
    <s v="Cartón"/>
    <s v="20455283915"/>
    <x v="21"/>
    <x v="0"/>
    <s v="FACTURA"/>
    <x v="1"/>
    <s v="77"/>
    <n v="891"/>
    <m/>
    <n v="160.38"/>
    <m/>
    <n v="1051.3800000000001"/>
    <m/>
    <x v="0"/>
    <m/>
    <s v="70.2.2.1.01"/>
    <m/>
    <x v="1"/>
  </r>
  <r>
    <s v="26/06/2025"/>
    <x v="0"/>
    <s v="002"/>
    <s v="06-000072"/>
    <s v="OPERACIONES"/>
    <s v="91.05.01"/>
    <s v="Residuos Aprovechables"/>
    <s v="Tucos - conos"/>
    <s v="20455283915"/>
    <x v="21"/>
    <x v="0"/>
    <s v="FACTURA"/>
    <x v="1"/>
    <s v="78"/>
    <n v="105"/>
    <m/>
    <n v="18.899999999999999"/>
    <m/>
    <n v="123.9"/>
    <m/>
    <x v="0"/>
    <m/>
    <s v="70.2.2.1.01"/>
    <m/>
    <x v="1"/>
  </r>
  <r>
    <s v="26/06/2025"/>
    <x v="0"/>
    <s v="002"/>
    <s v="06-000073"/>
    <s v="OPERACIONES"/>
    <s v="91.05.01"/>
    <s v="Residuos Aprovechables"/>
    <s v="Cartón"/>
    <s v="20455283915"/>
    <x v="21"/>
    <x v="0"/>
    <s v="FACTURA"/>
    <x v="1"/>
    <s v="79"/>
    <n v="875"/>
    <m/>
    <n v="157.5"/>
    <m/>
    <n v="1032.5"/>
    <m/>
    <x v="0"/>
    <m/>
    <s v="70.2.2.1.01"/>
    <m/>
    <x v="1"/>
  </r>
  <r>
    <s v="26/06/2025"/>
    <x v="0"/>
    <s v="002"/>
    <s v="06-000074"/>
    <s v="OPERACIONES"/>
    <s v="91.05.01"/>
    <s v="Residuos Aprovechables"/>
    <s v="Chatarra metálica - viruta"/>
    <s v="20402885549"/>
    <x v="5"/>
    <x v="0"/>
    <s v="FACTURA"/>
    <x v="1"/>
    <s v="80"/>
    <n v="27491.1"/>
    <m/>
    <n v="4948.3999999999996"/>
    <m/>
    <n v="32439.5"/>
    <m/>
    <x v="0"/>
    <m/>
    <s v="70.2.2.1.01"/>
    <m/>
    <x v="1"/>
  </r>
  <r>
    <s v="27/06/2025"/>
    <x v="0"/>
    <s v="002"/>
    <s v="06-000075"/>
    <s v="OPERACIONES"/>
    <s v="91.01.01"/>
    <s v="Residuos Peligrosos"/>
    <s v="Servicio de disposición de residuos según OC"/>
    <s v="20100192064"/>
    <x v="1"/>
    <x v="0"/>
    <s v="FACTURA"/>
    <x v="0"/>
    <s v="134"/>
    <n v="27807.439999999999"/>
    <m/>
    <n v="5005.34"/>
    <m/>
    <n v="32812.78"/>
    <m/>
    <x v="0"/>
    <m/>
    <s v="70.3.2.1.01.01"/>
    <m/>
    <x v="0"/>
  </r>
  <r>
    <s v="27/06/2025"/>
    <x v="0"/>
    <s v="002"/>
    <s v="06-000076"/>
    <s v="OPERACIONES"/>
    <s v="91.01.01"/>
    <s v="Residuos Peligrosos"/>
    <s v="Costo Operativo - Residuos Peligrosos"/>
    <s v="20455825742"/>
    <x v="28"/>
    <x v="0"/>
    <s v="FACTURA"/>
    <x v="0"/>
    <s v="135"/>
    <n v="2272.4"/>
    <m/>
    <n v="409.03"/>
    <m/>
    <n v="2681.43"/>
    <m/>
    <x v="0"/>
    <m/>
    <s v="70.3.2.1.01.01"/>
    <m/>
    <x v="0"/>
  </r>
  <r>
    <s v="27/06/2025"/>
    <x v="0"/>
    <s v="002"/>
    <s v="06-000077"/>
    <s v="OPERACIONES"/>
    <s v="91.01.02"/>
    <s v="Residuos No Peligrosos"/>
    <s v="Costo Operativo - Residuos No Peligrosos"/>
    <s v="20141637941"/>
    <x v="9"/>
    <x v="0"/>
    <s v="FACTURA"/>
    <x v="0"/>
    <s v="136"/>
    <n v="4568"/>
    <m/>
    <n v="822.24"/>
    <m/>
    <n v="5390.24"/>
    <m/>
    <x v="0"/>
    <m/>
    <s v="70.3.2.1.01.02"/>
    <m/>
    <x v="5"/>
  </r>
  <r>
    <s v="27/06/2025"/>
    <x v="0"/>
    <s v="002"/>
    <s v="06-000078"/>
    <s v="OPERACIONES"/>
    <s v="91.01.02"/>
    <s v="Residuos No Peligrosos"/>
    <s v="Costo de Disposición - Residuos No Peligrosos"/>
    <s v="20100211115"/>
    <x v="29"/>
    <x v="0"/>
    <s v="FACTURA"/>
    <x v="0"/>
    <s v="137"/>
    <n v="4878.8999999999996"/>
    <m/>
    <n v="878.2"/>
    <m/>
    <n v="5757.1"/>
    <m/>
    <x v="0"/>
    <m/>
    <s v="70.3.2.1.01.02"/>
    <m/>
    <x v="5"/>
  </r>
  <r>
    <s v="27/06/2025"/>
    <x v="0"/>
    <s v="002"/>
    <s v="06-000079"/>
    <s v="OPERACIONES"/>
    <s v="91.01.02"/>
    <s v="Residuos No Peligrosos"/>
    <s v="Costo de Disposición - Residuos No Peligrosos"/>
    <s v="20100211115"/>
    <x v="29"/>
    <x v="0"/>
    <s v="FACTURA"/>
    <x v="0"/>
    <s v="138"/>
    <n v="1571.04"/>
    <m/>
    <n v="282.79000000000002"/>
    <m/>
    <n v="1853.83"/>
    <m/>
    <x v="0"/>
    <m/>
    <s v="70.3.2.1.01.02"/>
    <m/>
    <x v="5"/>
  </r>
  <r>
    <s v="27/06/2025"/>
    <x v="0"/>
    <s v="002"/>
    <s v="06-000080"/>
    <s v="OPERACIONES"/>
    <s v="91.01.01"/>
    <s v="Residuos Peligrosos"/>
    <s v="Costo de Disposición - Residuos Peligrosos"/>
    <s v="20100211115"/>
    <x v="29"/>
    <x v="0"/>
    <s v="FACTURA"/>
    <x v="0"/>
    <s v="139"/>
    <n v="265.06"/>
    <m/>
    <n v="47.71"/>
    <m/>
    <n v="312.77"/>
    <m/>
    <x v="0"/>
    <m/>
    <s v="70.3.2.1.01.01"/>
    <m/>
    <x v="0"/>
  </r>
  <r>
    <s v="27/06/2025"/>
    <x v="0"/>
    <s v="002"/>
    <s v="06-000081"/>
    <s v="OPERACIONES"/>
    <s v="91.05.01"/>
    <s v="Residuos Aprovechables"/>
    <s v="Pallet de madera pino curvo 1.25 x 1.12"/>
    <s v="20454205660"/>
    <x v="30"/>
    <x v="0"/>
    <s v="FACTURA"/>
    <x v="1"/>
    <s v="81"/>
    <n v="183.05"/>
    <m/>
    <n v="32.950000000000003"/>
    <m/>
    <n v="216"/>
    <m/>
    <x v="0"/>
    <m/>
    <s v="70.2.2.1.01"/>
    <m/>
    <x v="1"/>
  </r>
  <r>
    <s v="27/06/2025"/>
    <x v="0"/>
    <s v="002"/>
    <s v="06-000082"/>
    <s v="OPERACIONES"/>
    <s v="91.05.01"/>
    <s v="Residuos Aprovechables"/>
    <s v="Cartón"/>
    <s v="20455283915"/>
    <x v="21"/>
    <x v="0"/>
    <s v="FACTURA"/>
    <x v="1"/>
    <s v="82"/>
    <n v="459"/>
    <m/>
    <n v="82.62"/>
    <m/>
    <n v="541.62"/>
    <m/>
    <x v="0"/>
    <m/>
    <s v="70.2.2.1.01"/>
    <m/>
    <x v="1"/>
  </r>
  <r>
    <s v="30/06/2025"/>
    <x v="0"/>
    <s v="002"/>
    <s v="06-000083"/>
    <s v="OPERACIONES"/>
    <s v="91.01.01"/>
    <s v="Residuos Peligrosos"/>
    <s v="Servicio de disposición de residuos según OC"/>
    <s v="20100192064"/>
    <x v="1"/>
    <x v="0"/>
    <s v="FACTURA"/>
    <x v="0"/>
    <s v="140"/>
    <n v="14143.95"/>
    <m/>
    <n v="2545.9"/>
    <m/>
    <n v="16689.849999999999"/>
    <m/>
    <x v="0"/>
    <m/>
    <s v="70.3.2.1.01.01"/>
    <m/>
    <x v="0"/>
  </r>
  <r>
    <s v="30/06/2025"/>
    <x v="0"/>
    <s v="002"/>
    <s v="06-000084"/>
    <s v="OPERACIONES"/>
    <s v="91.01.01"/>
    <s v="Residuos Peligrosos"/>
    <s v="Servicio de disposición de residuos según OC"/>
    <s v="20100192064"/>
    <x v="1"/>
    <x v="0"/>
    <s v="FACTURA"/>
    <x v="0"/>
    <s v="141"/>
    <n v="9803.99"/>
    <m/>
    <n v="1764.7"/>
    <m/>
    <n v="11568.69"/>
    <m/>
    <x v="0"/>
    <m/>
    <s v="70.3.2.1.01.01"/>
    <m/>
    <x v="0"/>
  </r>
  <r>
    <s v="30/06/2025"/>
    <x v="0"/>
    <s v="002"/>
    <s v="06-000085"/>
    <s v="OPERACIONES"/>
    <s v="91.05.01"/>
    <s v="Residuos Aprovechables"/>
    <s v="Pallet de madera curvo 1.05 x 1.05"/>
    <s v="20206432692"/>
    <x v="31"/>
    <x v="0"/>
    <s v="FACTURA"/>
    <x v="1"/>
    <s v="83"/>
    <n v="75"/>
    <m/>
    <n v="13.5"/>
    <m/>
    <n v="88.5"/>
    <m/>
    <x v="0"/>
    <m/>
    <s v="70.2.2.1.01"/>
    <m/>
    <x v="1"/>
  </r>
  <r>
    <s v="30/06/2025"/>
    <x v="0"/>
    <s v="002"/>
    <s v="06-000086"/>
    <s v="OPERACIONES"/>
    <s v="91.05.01"/>
    <s v="Residuos Aprovechables"/>
    <s v="IBC s plástico vacío cap. 1,000 litros - transparente"/>
    <s v="20603577079"/>
    <x v="20"/>
    <x v="0"/>
    <s v="FACTURA"/>
    <x v="1"/>
    <s v="84"/>
    <n v="12576.27"/>
    <m/>
    <n v="2263.73"/>
    <m/>
    <n v="14840"/>
    <m/>
    <x v="0"/>
    <m/>
    <s v="70.2.2.1.01"/>
    <m/>
    <x v="1"/>
  </r>
  <r>
    <s v="27/06/2025"/>
    <x v="0"/>
    <s v="002"/>
    <s v="06-000087"/>
    <s v="OPERACIONES"/>
    <s v="91.05.01"/>
    <s v="Residuos Aprovechables"/>
    <s v="Botella PET"/>
    <s v="20606592494"/>
    <x v="32"/>
    <x v="0"/>
    <s v="FACTURA"/>
    <x v="6"/>
    <s v="6"/>
    <n v="8000"/>
    <m/>
    <n v="1440"/>
    <m/>
    <n v="9440"/>
    <m/>
    <x v="0"/>
    <m/>
    <s v="70.2.2.1.01"/>
    <m/>
    <x v="1"/>
  </r>
  <r>
    <s v="27/06/2025"/>
    <x v="0"/>
    <s v="002"/>
    <s v="06-000088"/>
    <s v="OPERACIONES"/>
    <s v="91.05.01"/>
    <s v="Residuos Aprovechables"/>
    <s v="Cartón"/>
    <s v="20606592494"/>
    <x v="32"/>
    <x v="0"/>
    <s v="FACTURA"/>
    <x v="6"/>
    <s v="7"/>
    <n v="1500"/>
    <m/>
    <n v="270"/>
    <m/>
    <n v="1770"/>
    <m/>
    <x v="0"/>
    <m/>
    <s v="70.2.2.1.01"/>
    <m/>
    <x v="1"/>
  </r>
  <r>
    <s v="27/06/2025"/>
    <x v="0"/>
    <s v="002"/>
    <s v="06-000089"/>
    <s v="OPERACIONES"/>
    <s v="91.05.01"/>
    <s v="Residuos Aprovechables"/>
    <s v="Chatarra metálica"/>
    <s v="20606592494"/>
    <x v="32"/>
    <x v="0"/>
    <s v="FACTURA"/>
    <x v="6"/>
    <s v="8"/>
    <n v="3000"/>
    <m/>
    <n v="540"/>
    <m/>
    <n v="3540"/>
    <m/>
    <x v="0"/>
    <m/>
    <s v="70.2.2.1.01"/>
    <m/>
    <x v="1"/>
  </r>
  <r>
    <s v="27/06/2025"/>
    <x v="0"/>
    <s v="002"/>
    <s v="06-000090"/>
    <s v="OPERACIONES"/>
    <s v="91.05.01"/>
    <s v="Residuos Aprovechables"/>
    <s v="Papel blanco"/>
    <s v="20606592494"/>
    <x v="32"/>
    <x v="0"/>
    <s v="FACTURA"/>
    <x v="6"/>
    <s v="9"/>
    <n v="3000"/>
    <m/>
    <n v="540"/>
    <m/>
    <n v="3540"/>
    <m/>
    <x v="0"/>
    <m/>
    <s v="70.2.2.1.01"/>
    <m/>
    <x v="1"/>
  </r>
  <r>
    <s v="02/07/2025"/>
    <x v="1"/>
    <s v="002"/>
    <s v="07-000001"/>
    <s v="OPERACIONES"/>
    <s v="91.04.01"/>
    <s v="Transporte de Carga - Local"/>
    <s v="Costo de Transporte - Transporte de Carga - Local"/>
    <s v="20100055237"/>
    <x v="4"/>
    <x v="0"/>
    <s v="FACTURA"/>
    <x v="0"/>
    <s v="142"/>
    <n v="1787.52"/>
    <m/>
    <n v="321.75"/>
    <m/>
    <n v="2109.27"/>
    <m/>
    <x v="0"/>
    <m/>
    <s v="70.3.2.1.04.01"/>
    <m/>
    <x v="2"/>
  </r>
  <r>
    <s v="02/07/2025"/>
    <x v="1"/>
    <s v="002"/>
    <s v="07-000002"/>
    <s v="OPERACIONES"/>
    <s v="91.05.01"/>
    <s v="Residuos Aprovechables"/>
    <s v="Madera gruesa"/>
    <s v="20613110586"/>
    <x v="12"/>
    <x v="0"/>
    <s v="FACTURA"/>
    <x v="1"/>
    <s v="85"/>
    <n v="505"/>
    <m/>
    <n v="90.9"/>
    <m/>
    <n v="595.9"/>
    <m/>
    <x v="0"/>
    <m/>
    <s v="70.2.2.1.01"/>
    <m/>
    <x v="1"/>
  </r>
  <r>
    <s v="02/07/2025"/>
    <x v="1"/>
    <s v="002"/>
    <s v="07-000003"/>
    <s v="OPERACIONES"/>
    <s v="91.05.01"/>
    <s v="Residuos Aprovechables"/>
    <s v="Chatarra metálica - liviana"/>
    <s v="20603065906"/>
    <x v="17"/>
    <x v="0"/>
    <s v="FACTURA"/>
    <x v="2"/>
    <s v="41"/>
    <n v="6089.5"/>
    <m/>
    <n v="1096.1099999999999"/>
    <m/>
    <n v="7185.61"/>
    <m/>
    <x v="0"/>
    <m/>
    <s v="70.2.2.1.01"/>
    <m/>
    <x v="1"/>
  </r>
  <r>
    <s v="02/07/2025"/>
    <x v="1"/>
    <s v="002"/>
    <s v="07-000004"/>
    <s v="OPERACIONES"/>
    <s v="91.05.01"/>
    <s v="Residuos Aprovechables"/>
    <s v="Chatarra metálica - alambrón"/>
    <s v="20607388416"/>
    <x v="3"/>
    <x v="0"/>
    <s v="FACTURA"/>
    <x v="2"/>
    <s v="42"/>
    <n v="2325"/>
    <m/>
    <n v="418.5"/>
    <m/>
    <n v="2743.5"/>
    <m/>
    <x v="0"/>
    <m/>
    <s v="70.2.2.1.01"/>
    <m/>
    <x v="1"/>
  </r>
  <r>
    <s v="03/07/2025"/>
    <x v="1"/>
    <s v="002"/>
    <s v="07-000005"/>
    <s v="OPERACIONES"/>
    <s v="91.05.01"/>
    <s v="Residuos Aprovechables"/>
    <s v="Chatarra metálica - alambrón"/>
    <s v="20601119600"/>
    <x v="25"/>
    <x v="0"/>
    <s v="FACTURA"/>
    <x v="2"/>
    <s v="43"/>
    <n v="453.81"/>
    <m/>
    <n v="81.69"/>
    <m/>
    <n v="535.5"/>
    <m/>
    <x v="0"/>
    <m/>
    <s v="70.2.2.1.01"/>
    <m/>
    <x v="1"/>
  </r>
  <r>
    <s v="07/07/2025"/>
    <x v="1"/>
    <s v="002"/>
    <s v="07-000006"/>
    <s v="OPERACIONES"/>
    <s v="91.01.02"/>
    <s v="Residuos No Peligrosos"/>
    <s v="Costo Operativo - Residuos No Peligrosos"/>
    <s v="20553956324"/>
    <x v="33"/>
    <x v="0"/>
    <s v="FACTURA"/>
    <x v="0"/>
    <s v="143"/>
    <n v="4484.5"/>
    <m/>
    <n v="807.21"/>
    <m/>
    <n v="5291.71"/>
    <m/>
    <x v="0"/>
    <m/>
    <s v="70.3.2.1.01.02"/>
    <m/>
    <x v="5"/>
  </r>
  <r>
    <s v="07/07/2025"/>
    <x v="1"/>
    <s v="002"/>
    <s v="07-000007"/>
    <s v="OPERACIONES"/>
    <s v="91.01.01"/>
    <s v="Residuos Peligrosos"/>
    <s v="Costo de Disposición - Residuos Peligrosos"/>
    <s v="20523573226"/>
    <x v="34"/>
    <x v="0"/>
    <s v="FACTURA"/>
    <x v="0"/>
    <s v="144"/>
    <n v="4874.2"/>
    <m/>
    <n v="877.36"/>
    <m/>
    <n v="5751.56"/>
    <m/>
    <x v="0"/>
    <m/>
    <s v="70.3.2.1.01.01"/>
    <m/>
    <x v="0"/>
  </r>
  <r>
    <s v="07/07/2025"/>
    <x v="1"/>
    <s v="002"/>
    <s v="07-000008"/>
    <s v="OPERACIONES"/>
    <s v="91.01.01"/>
    <s v="Residuos Peligrosos"/>
    <s v="Servicio de disposición de residuos según OC"/>
    <s v="20100192064"/>
    <x v="1"/>
    <x v="0"/>
    <s v="FACTURA"/>
    <x v="0"/>
    <s v="145"/>
    <n v="13319.9"/>
    <m/>
    <n v="2397.58"/>
    <m/>
    <n v="15717.48"/>
    <m/>
    <x v="0"/>
    <m/>
    <s v="70.3.2.1.01.01"/>
    <m/>
    <x v="0"/>
  </r>
  <r>
    <s v="07/07/2025"/>
    <x v="1"/>
    <s v="002"/>
    <s v="07-000009"/>
    <s v="OPERACIONES"/>
    <s v="91.01.02"/>
    <s v="Residuos No Peligrosos"/>
    <s v="Costo Operativo - Residuos No Peligrosos"/>
    <s v="20419158462"/>
    <x v="35"/>
    <x v="0"/>
    <s v="FACTURA"/>
    <x v="0"/>
    <s v="146"/>
    <n v="1429.7"/>
    <m/>
    <n v="257.35000000000002"/>
    <m/>
    <n v="1687.05"/>
    <m/>
    <x v="0"/>
    <m/>
    <s v="70.3.2.1.01.02"/>
    <m/>
    <x v="5"/>
  </r>
  <r>
    <s v="07/07/2025"/>
    <x v="1"/>
    <s v="002"/>
    <s v="07-000010"/>
    <s v="OPERACIONES"/>
    <s v="91.01.02"/>
    <s v="Residuos No Peligrosos"/>
    <s v="Costo de Disposición - Residuos No Peligrosos"/>
    <s v="20419158462"/>
    <x v="35"/>
    <x v="0"/>
    <s v="FACTURA"/>
    <x v="0"/>
    <s v="147"/>
    <n v="1710.7"/>
    <m/>
    <n v="307.93"/>
    <m/>
    <n v="2018.63"/>
    <m/>
    <x v="0"/>
    <m/>
    <s v="70.3.2.1.01.02"/>
    <m/>
    <x v="5"/>
  </r>
  <r>
    <s v="07/07/2025"/>
    <x v="1"/>
    <s v="002"/>
    <s v="07-000011"/>
    <s v="OPERACIONES"/>
    <s v="91.01.02"/>
    <s v="Residuos No Peligrosos"/>
    <s v="Costo Operativo - Residuos No Peligrosos"/>
    <s v="20419158462"/>
    <x v="35"/>
    <x v="0"/>
    <s v="FACTURA"/>
    <x v="0"/>
    <s v="148"/>
    <n v="1429.7"/>
    <m/>
    <n v="257.35000000000002"/>
    <m/>
    <n v="1687.05"/>
    <m/>
    <x v="0"/>
    <m/>
    <s v="70.3.2.1.01.02"/>
    <m/>
    <x v="5"/>
  </r>
  <r>
    <s v="07/07/2025"/>
    <x v="1"/>
    <s v="002"/>
    <s v="07-000012"/>
    <s v="OPERACIONES"/>
    <s v="91.01.02"/>
    <s v="Residuos No Peligrosos"/>
    <s v="Costo Operativo - Residuos No Peligrosos"/>
    <s v="20419158462"/>
    <x v="35"/>
    <x v="0"/>
    <s v="FACTURA"/>
    <x v="0"/>
    <s v="149"/>
    <n v="1429.7"/>
    <m/>
    <n v="257.35000000000002"/>
    <m/>
    <n v="1687.05"/>
    <m/>
    <x v="0"/>
    <m/>
    <s v="70.3.2.1.01.02"/>
    <m/>
    <x v="5"/>
  </r>
  <r>
    <s v="07/07/2025"/>
    <x v="1"/>
    <s v="002"/>
    <s v="07-000013"/>
    <s v="OPERACIONES"/>
    <s v="91.01.02"/>
    <s v="Residuos No Peligrosos"/>
    <s v="Costo de Disposición - Residuos No Peligrosos"/>
    <s v="20419158462"/>
    <x v="35"/>
    <x v="0"/>
    <s v="FACTURA"/>
    <x v="0"/>
    <s v="150"/>
    <n v="1429.7"/>
    <m/>
    <n v="257.35000000000002"/>
    <m/>
    <n v="1687.05"/>
    <m/>
    <x v="0"/>
    <m/>
    <s v="70.3.2.1.01.02"/>
    <m/>
    <x v="5"/>
  </r>
  <r>
    <s v="07/07/2025"/>
    <x v="1"/>
    <s v="002"/>
    <s v="07-000014"/>
    <s v="OPERACIONES"/>
    <s v="91.05.01"/>
    <s v="Residuos Aprovechables"/>
    <s v="Bonificación por venta"/>
    <s v="20402885549"/>
    <x v="5"/>
    <x v="0"/>
    <s v="FACTURA"/>
    <x v="1"/>
    <s v="86"/>
    <n v="1929.6"/>
    <m/>
    <n v="347.33"/>
    <m/>
    <n v="2276.9299999999998"/>
    <m/>
    <x v="0"/>
    <m/>
    <s v="74.1.1"/>
    <m/>
    <x v="3"/>
  </r>
  <r>
    <s v="08/07/2025"/>
    <x v="1"/>
    <s v="002"/>
    <s v="07-000015"/>
    <s v="OPERACIONES"/>
    <s v="91.01.02"/>
    <s v="Residuos No Peligrosos"/>
    <s v="Costo Operativo - Residuos No Peligrosos"/>
    <s v="20419158462"/>
    <x v="35"/>
    <x v="0"/>
    <s v="FACTURA"/>
    <x v="0"/>
    <s v="151"/>
    <n v="1429.7"/>
    <m/>
    <n v="257.35000000000002"/>
    <m/>
    <n v="1687.05"/>
    <m/>
    <x v="0"/>
    <m/>
    <s v="70.3.2.1.01.02"/>
    <m/>
    <x v="5"/>
  </r>
  <r>
    <s v="08/07/2025"/>
    <x v="1"/>
    <s v="002"/>
    <s v="07-000016"/>
    <s v="OPERACIONES"/>
    <s v="91.01.02"/>
    <s v="Residuos No Peligrosos"/>
    <s v="Costo de Disposición - Residuos No Peligrosos"/>
    <s v="20419158462"/>
    <x v="35"/>
    <x v="0"/>
    <s v="FACTURA"/>
    <x v="0"/>
    <s v="152"/>
    <n v="1879.54"/>
    <m/>
    <n v="338.32"/>
    <m/>
    <n v="2217.86"/>
    <m/>
    <x v="0"/>
    <m/>
    <s v="70.3.2.1.01.02"/>
    <m/>
    <x v="5"/>
  </r>
  <r>
    <s v="08/07/2025"/>
    <x v="1"/>
    <s v="002"/>
    <s v="07-000017"/>
    <s v="OPERACIONES"/>
    <s v="91.01.02"/>
    <s v="Residuos No Peligrosos"/>
    <s v="Costo Operativo - Residuos No Peligrosos"/>
    <s v="20419158462"/>
    <x v="35"/>
    <x v="0"/>
    <s v="FACTURA"/>
    <x v="0"/>
    <s v="153"/>
    <n v="1429.7"/>
    <m/>
    <n v="257.35000000000002"/>
    <m/>
    <n v="1687.05"/>
    <m/>
    <x v="0"/>
    <m/>
    <s v="70.3.2.1.01.02"/>
    <m/>
    <x v="5"/>
  </r>
  <r>
    <s v="08/07/2025"/>
    <x v="1"/>
    <s v="002"/>
    <s v="07-000018"/>
    <s v="OPERACIONES"/>
    <s v="91.01.02"/>
    <s v="Residuos No Peligrosos"/>
    <s v="Costo Operativo - Residuos No Peligrosos"/>
    <s v="20419158462"/>
    <x v="35"/>
    <x v="0"/>
    <s v="FACTURA"/>
    <x v="0"/>
    <s v="154"/>
    <n v="1429.7"/>
    <m/>
    <n v="257.35000000000002"/>
    <m/>
    <n v="1687.05"/>
    <m/>
    <x v="0"/>
    <m/>
    <s v="70.3.2.1.01.02"/>
    <m/>
    <x v="5"/>
  </r>
  <r>
    <s v="08/07/2025"/>
    <x v="1"/>
    <s v="002"/>
    <s v="07-000019"/>
    <s v="OPERACIONES"/>
    <s v="91.01.02"/>
    <s v="Residuos No Peligrosos"/>
    <s v="Costo Operativo - Residuos No Peligrosos"/>
    <s v="20419158462"/>
    <x v="35"/>
    <x v="0"/>
    <s v="FACTURA"/>
    <x v="0"/>
    <s v="155"/>
    <n v="1429.7"/>
    <m/>
    <n v="257.35000000000002"/>
    <m/>
    <n v="1687.05"/>
    <m/>
    <x v="0"/>
    <m/>
    <s v="70.3.2.1.01.02"/>
    <m/>
    <x v="5"/>
  </r>
  <r>
    <s v="08/07/2025"/>
    <x v="1"/>
    <s v="002"/>
    <s v="07-000020"/>
    <s v="OPERACIONES"/>
    <s v="91.01.02"/>
    <s v="Residuos No Peligrosos"/>
    <s v="Costo de Disposición - Residuos No Peligrosos"/>
    <s v="20419158462"/>
    <x v="35"/>
    <x v="0"/>
    <s v="FACTURA"/>
    <x v="0"/>
    <s v="156"/>
    <n v="2117.39"/>
    <m/>
    <n v="381.13"/>
    <m/>
    <n v="2498.52"/>
    <m/>
    <x v="0"/>
    <m/>
    <s v="70.3.2.1.01.02"/>
    <m/>
    <x v="5"/>
  </r>
  <r>
    <s v="08/07/2025"/>
    <x v="1"/>
    <s v="002"/>
    <s v="07-000021"/>
    <s v="OPERACIONES"/>
    <s v="91.01.02"/>
    <s v="Residuos No Peligrosos"/>
    <s v="Costo Operativo - Residuos No Peligrosos"/>
    <s v="20419158462"/>
    <x v="35"/>
    <x v="0"/>
    <s v="FACTURA"/>
    <x v="0"/>
    <s v="157"/>
    <n v="2597.6999999999998"/>
    <m/>
    <n v="467.59"/>
    <m/>
    <n v="3065.29"/>
    <m/>
    <x v="0"/>
    <m/>
    <s v="70.3.2.1.01.02"/>
    <m/>
    <x v="5"/>
  </r>
  <r>
    <s v="08/07/2025"/>
    <x v="1"/>
    <s v="002"/>
    <s v="07-000022"/>
    <s v="OPERACIONES"/>
    <s v="91.01.02"/>
    <s v="Residuos No Peligrosos"/>
    <s v="Costo Operativo - Residuos No Peligrosos"/>
    <s v="20419158462"/>
    <x v="35"/>
    <x v="0"/>
    <s v="FACTURA"/>
    <x v="0"/>
    <s v="158"/>
    <n v="2597.6999999999998"/>
    <m/>
    <n v="467.59"/>
    <m/>
    <n v="3065.29"/>
    <m/>
    <x v="0"/>
    <m/>
    <s v="70.3.2.1.01.02"/>
    <m/>
    <x v="5"/>
  </r>
  <r>
    <s v="08/07/2025"/>
    <x v="1"/>
    <s v="002"/>
    <s v="07-000023"/>
    <s v="OPERACIONES"/>
    <s v="91.01.01"/>
    <s v="Residuos Peligrosos"/>
    <s v="Costo de Disposición - Residuos Peligrosos"/>
    <s v="20419158462"/>
    <x v="35"/>
    <x v="0"/>
    <s v="FACTURA"/>
    <x v="0"/>
    <s v="159"/>
    <n v="3745.5"/>
    <m/>
    <n v="674.19"/>
    <m/>
    <n v="4419.6899999999996"/>
    <m/>
    <x v="0"/>
    <m/>
    <s v="70.3.2.1.01.01"/>
    <m/>
    <x v="0"/>
  </r>
  <r>
    <s v="08/07/2025"/>
    <x v="1"/>
    <s v="002"/>
    <s v="07-000024"/>
    <s v="OPERACIONES"/>
    <s v="91.01.02"/>
    <s v="Residuos No Peligrosos"/>
    <s v="Costo de Disposición - Residuos No Peligrosos"/>
    <s v="20419158462"/>
    <x v="35"/>
    <x v="0"/>
    <s v="FACTURA"/>
    <x v="0"/>
    <s v="160"/>
    <n v="3559.9"/>
    <m/>
    <n v="640.78"/>
    <m/>
    <n v="4200.68"/>
    <m/>
    <x v="0"/>
    <m/>
    <s v="70.3.2.1.01.02"/>
    <m/>
    <x v="5"/>
  </r>
  <r>
    <s v="08/07/2025"/>
    <x v="1"/>
    <s v="002"/>
    <s v="07-000025"/>
    <s v="OPERACIONES"/>
    <s v="91.02.01"/>
    <s v="Limpieza de Caja Trampa"/>
    <s v="Costo Operativo - Limpieza de Caja Trampa"/>
    <s v="20505675836"/>
    <x v="14"/>
    <x v="0"/>
    <s v="FACTURA"/>
    <x v="0"/>
    <s v="161"/>
    <n v="396.7"/>
    <m/>
    <n v="71.41"/>
    <m/>
    <n v="468.11"/>
    <m/>
    <x v="0"/>
    <m/>
    <s v="70.3.2.1.02.01"/>
    <m/>
    <x v="8"/>
  </r>
  <r>
    <s v="08/07/2025"/>
    <x v="1"/>
    <s v="002"/>
    <s v="07-000026"/>
    <s v="OPERACIONES"/>
    <s v="91.01.01"/>
    <s v="Residuos Peligrosos"/>
    <s v="Costo de Disposición - Residuos Peligrosos"/>
    <s v="20505675836"/>
    <x v="14"/>
    <x v="0"/>
    <s v="FACTURA"/>
    <x v="0"/>
    <s v="162"/>
    <n v="2882.2"/>
    <m/>
    <n v="518.79599999999994"/>
    <m/>
    <n v="3400.9959999999996"/>
    <m/>
    <x v="0"/>
    <m/>
    <s v="70.3.2.1.01.01"/>
    <m/>
    <x v="0"/>
  </r>
  <r>
    <s v="08/07/2025"/>
    <x v="1"/>
    <s v="002"/>
    <s v="07-000026"/>
    <s v="OPERACIONES"/>
    <s v="91.01.02"/>
    <s v="Residuos No Peligrosos"/>
    <s v="Costo de Disposición - Residuos Peligrosos"/>
    <s v="20505675836"/>
    <x v="14"/>
    <x v="0"/>
    <s v="FACTURA"/>
    <x v="0"/>
    <s v="162"/>
    <n v="1038.78"/>
    <m/>
    <n v="186.98039999999997"/>
    <m/>
    <n v="1225.7603999999999"/>
    <m/>
    <x v="0"/>
    <m/>
    <s v="70.3.2.1.01.02"/>
    <m/>
    <x v="5"/>
  </r>
  <r>
    <s v="08/07/2025"/>
    <x v="1"/>
    <s v="002"/>
    <s v="07-000027"/>
    <s v="OPERACIONES"/>
    <s v="91.01.01"/>
    <s v="Residuos Peligrosos"/>
    <s v="Costo de Disposición - Residuos Peligrosos"/>
    <s v="20505675836"/>
    <x v="14"/>
    <x v="0"/>
    <s v="FACTURA"/>
    <x v="0"/>
    <s v="163"/>
    <n v="1988.35"/>
    <m/>
    <n v="357.90299999999996"/>
    <m/>
    <n v="2346.2529999999997"/>
    <m/>
    <x v="0"/>
    <m/>
    <s v="70.3.2.1.01.01"/>
    <m/>
    <x v="0"/>
  </r>
  <r>
    <s v="08/07/2025"/>
    <x v="1"/>
    <s v="002"/>
    <s v="07-000027"/>
    <s v="OPERACIONES"/>
    <s v="91.01.02"/>
    <s v="Residuos No Peligrosos"/>
    <s v="Costo de Disposición - Residuos Peligrosos"/>
    <s v="20505675836"/>
    <x v="14"/>
    <x v="0"/>
    <s v="FACTURA"/>
    <x v="0"/>
    <s v="163"/>
    <n v="1401.23"/>
    <m/>
    <n v="252.22139999999999"/>
    <m/>
    <n v="1653.4513999999999"/>
    <m/>
    <x v="0"/>
    <m/>
    <s v="70.3.2.1.01.02"/>
    <m/>
    <x v="5"/>
  </r>
  <r>
    <s v="08/07/2025"/>
    <x v="1"/>
    <s v="002"/>
    <s v="07-000028"/>
    <s v="OPERACIONES"/>
    <s v="91.01.01"/>
    <s v="Residuos Peligrosos"/>
    <s v="Costo de Disposición - Residuos Peligrosos"/>
    <s v="20505675836"/>
    <x v="14"/>
    <x v="0"/>
    <s v="FACTURA"/>
    <x v="0"/>
    <s v="164"/>
    <n v="5133.8999999999996"/>
    <m/>
    <n v="924.10199999999986"/>
    <m/>
    <n v="6058.0019999999995"/>
    <m/>
    <x v="0"/>
    <m/>
    <s v="70.3.2.1.01.01"/>
    <m/>
    <x v="0"/>
  </r>
  <r>
    <s v="08/07/2025"/>
    <x v="1"/>
    <s v="002"/>
    <s v="07-000028"/>
    <s v="OPERACIONES"/>
    <s v="91.01.02"/>
    <s v="Residuos No Peligrosos"/>
    <s v="Costo de Disposición - Residuos Peligrosos"/>
    <s v="20505675836"/>
    <x v="14"/>
    <x v="0"/>
    <s v="FACTURA"/>
    <x v="0"/>
    <s v="164"/>
    <n v="2157.96"/>
    <m/>
    <n v="388.43279999999999"/>
    <m/>
    <n v="2546.3928000000001"/>
    <m/>
    <x v="0"/>
    <m/>
    <s v="70.3.2.1.01.02"/>
    <m/>
    <x v="5"/>
  </r>
  <r>
    <s v="08/07/2025"/>
    <x v="1"/>
    <s v="002"/>
    <s v="07-000029"/>
    <s v="OPERACIONES"/>
    <s v="91.01.01"/>
    <s v="Residuos Peligrosos"/>
    <s v="Costo de Disposición - Residuos Peligrosos"/>
    <s v="20505675836"/>
    <x v="14"/>
    <x v="0"/>
    <s v="FACTURA"/>
    <x v="0"/>
    <s v="165"/>
    <n v="4112.5"/>
    <m/>
    <n v="740.25"/>
    <m/>
    <n v="4852.75"/>
    <m/>
    <x v="0"/>
    <m/>
    <s v="70.3.2.1.01.01"/>
    <m/>
    <x v="0"/>
  </r>
  <r>
    <s v="08/07/2025"/>
    <x v="1"/>
    <s v="002"/>
    <s v="07-000029"/>
    <s v="OPERACIONES"/>
    <s v="91.01.02"/>
    <s v="Residuos No Peligrosos"/>
    <s v="Costo de Disposición - Residuos Peligrosos"/>
    <s v="20505675836"/>
    <x v="14"/>
    <x v="0"/>
    <s v="FACTURA"/>
    <x v="0"/>
    <s v="165"/>
    <n v="1387.83"/>
    <m/>
    <n v="249.80939999999998"/>
    <m/>
    <n v="1637.6394"/>
    <m/>
    <x v="0"/>
    <m/>
    <s v="70.3.2.1.01.02"/>
    <m/>
    <x v="5"/>
  </r>
  <r>
    <s v="08/07/2025"/>
    <x v="1"/>
    <s v="002"/>
    <s v="07-000030"/>
    <s v="OPERACIONES"/>
    <s v="91.05.01"/>
    <s v="Residuos Aprovechables"/>
    <s v="Chatarra metálica"/>
    <s v="20603065906"/>
    <x v="17"/>
    <x v="0"/>
    <s v="FACTURA"/>
    <x v="2"/>
    <s v="44"/>
    <n v="2029.5"/>
    <m/>
    <n v="365.31"/>
    <m/>
    <n v="2394.81"/>
    <m/>
    <x v="0"/>
    <m/>
    <s v="70.2.2.1.01"/>
    <m/>
    <x v="1"/>
  </r>
  <r>
    <s v="08/07/2025"/>
    <x v="1"/>
    <s v="002"/>
    <s v="07-000031"/>
    <s v="OPERACIONES"/>
    <s v="91.01.02"/>
    <s v="Residuos No Peligrosos"/>
    <s v="Costo Operativo - Residuos No Peligrosos"/>
    <s v="20419158462"/>
    <x v="35"/>
    <x v="0"/>
    <s v="FACTURA"/>
    <x v="0"/>
    <s v="166"/>
    <n v="2597.6999999999998"/>
    <m/>
    <n v="467.59"/>
    <m/>
    <n v="3065.29"/>
    <m/>
    <x v="0"/>
    <m/>
    <s v="70.3.2.1.01.02"/>
    <m/>
    <x v="5"/>
  </r>
  <r>
    <s v="09/07/2025"/>
    <x v="1"/>
    <s v="002"/>
    <s v="07-000032"/>
    <s v="OPERACIONES"/>
    <s v="91.01.02"/>
    <s v="Residuos No Peligrosos"/>
    <s v="Costo Operativo - Residuos No Peligrosos"/>
    <s v="20505897812"/>
    <x v="36"/>
    <x v="0"/>
    <s v="FACTURA"/>
    <x v="0"/>
    <s v="167"/>
    <n v="4588.3"/>
    <m/>
    <n v="825.89"/>
    <m/>
    <n v="5414.19"/>
    <m/>
    <x v="0"/>
    <m/>
    <s v="70.3.2.1.01.02"/>
    <m/>
    <x v="5"/>
  </r>
  <r>
    <s v="09/07/2025"/>
    <x v="1"/>
    <s v="002"/>
    <s v="07-000033"/>
    <s v="OPERACIONES"/>
    <s v="91.01.02"/>
    <s v="Residuos No Peligrosos"/>
    <s v="Costo Operativo - Residuos No Peligrosos"/>
    <s v="20141637941"/>
    <x v="9"/>
    <x v="0"/>
    <s v="FACTURA"/>
    <x v="0"/>
    <s v="168"/>
    <n v="1843.2"/>
    <m/>
    <n v="331.78"/>
    <m/>
    <n v="2174.98"/>
    <m/>
    <x v="0"/>
    <m/>
    <s v="70.3.2.1.01.02"/>
    <m/>
    <x v="5"/>
  </r>
  <r>
    <s v="09/07/2025"/>
    <x v="1"/>
    <s v="002"/>
    <s v="07-000034"/>
    <s v="OPERACIONES"/>
    <s v="91.05.01"/>
    <s v="Residuos Aprovechables"/>
    <s v="Pallet de madera"/>
    <s v="20206432692"/>
    <x v="31"/>
    <x v="0"/>
    <s v="FACTURA"/>
    <x v="1"/>
    <s v="87"/>
    <n v="381.36"/>
    <m/>
    <n v="68.64"/>
    <m/>
    <n v="450"/>
    <m/>
    <x v="0"/>
    <m/>
    <s v="70.2.2.1.01"/>
    <m/>
    <x v="1"/>
  </r>
  <r>
    <s v="10/07/2025"/>
    <x v="1"/>
    <s v="002"/>
    <s v="07-000035"/>
    <s v="OPERACIONES"/>
    <s v="91.04.01"/>
    <s v="Transporte de Carga - Local"/>
    <s v="Costo Operativo - Transporte de Carga - Local"/>
    <s v="20100055237"/>
    <x v="4"/>
    <x v="0"/>
    <s v="FACTURA"/>
    <x v="0"/>
    <s v="169"/>
    <n v="1787.52"/>
    <m/>
    <n v="321.75"/>
    <m/>
    <n v="2109.27"/>
    <m/>
    <x v="0"/>
    <m/>
    <s v="70.3.2.1.04.01"/>
    <m/>
    <x v="2"/>
  </r>
  <r>
    <s v="10/07/2025"/>
    <x v="1"/>
    <s v="002"/>
    <s v="07-000036"/>
    <s v="OPERACIONES"/>
    <s v="91.02.01"/>
    <s v="Limpieza de Caja Trampa"/>
    <s v="Costo Operativo - Limpieza de Caja Trampa"/>
    <s v="20505675836"/>
    <x v="14"/>
    <x v="0"/>
    <s v="FACTURA"/>
    <x v="0"/>
    <s v="170"/>
    <n v="396.7"/>
    <m/>
    <n v="71.41"/>
    <m/>
    <n v="468.11"/>
    <m/>
    <x v="0"/>
    <m/>
    <s v="70.3.2.1.02.01"/>
    <m/>
    <x v="8"/>
  </r>
  <r>
    <s v="11/07/2025"/>
    <x v="1"/>
    <s v="002"/>
    <s v="07-000037"/>
    <s v="OPERACIONES"/>
    <s v="91.01.02"/>
    <s v="Residuos No Peligrosos"/>
    <s v="Costo Operativo - Alquiler de Maquinaria"/>
    <s v="20454603479"/>
    <x v="37"/>
    <x v="0"/>
    <s v="FACTURA"/>
    <x v="0"/>
    <s v="171"/>
    <n v="100"/>
    <m/>
    <n v="18"/>
    <m/>
    <n v="118"/>
    <m/>
    <x v="0"/>
    <m/>
    <s v="70.3.2.1.01.02"/>
    <m/>
    <x v="5"/>
  </r>
  <r>
    <s v="11/07/2025"/>
    <x v="1"/>
    <s v="002"/>
    <s v="07-000038"/>
    <s v="OPERACIONES"/>
    <s v="91.01.01"/>
    <s v="Residuos Peligrosos"/>
    <s v="Costo de Disposición - Residuos Peligrosos"/>
    <s v="10740730628"/>
    <x v="38"/>
    <x v="0"/>
    <s v="FACTURA"/>
    <x v="0"/>
    <s v="172"/>
    <n v="560"/>
    <m/>
    <n v="100.8"/>
    <m/>
    <n v="660.8"/>
    <m/>
    <x v="0"/>
    <m/>
    <s v="70.3.2.1.01.01"/>
    <m/>
    <x v="0"/>
  </r>
  <r>
    <s v="11/07/2025"/>
    <x v="1"/>
    <s v="002"/>
    <s v="07-000039"/>
    <s v="OPERACIONES"/>
    <s v="91.01.02"/>
    <s v="Residuos No Peligrosos"/>
    <s v="Costo Operativo - Residuos No Peligrosos"/>
    <s v="20141637941"/>
    <x v="9"/>
    <x v="0"/>
    <s v="FACTURA"/>
    <x v="0"/>
    <s v="173"/>
    <n v="1824"/>
    <m/>
    <n v="328.32"/>
    <m/>
    <n v="2152.3200000000002"/>
    <m/>
    <x v="0"/>
    <m/>
    <s v="70.3.2.1.01.02"/>
    <m/>
    <x v="5"/>
  </r>
  <r>
    <s v="11/07/2025"/>
    <x v="1"/>
    <s v="002"/>
    <s v="07-000040"/>
    <s v="OPERACIONES"/>
    <s v="91.01.01"/>
    <s v="Residuos Peligrosos"/>
    <s v="Costo Operativo - Residuos Peligrosos"/>
    <s v="20548863571"/>
    <x v="39"/>
    <x v="0"/>
    <s v="FACTURA"/>
    <x v="0"/>
    <s v="174"/>
    <n v="2947.78"/>
    <m/>
    <n v="530.6"/>
    <m/>
    <n v="3478.38"/>
    <m/>
    <x v="0"/>
    <m/>
    <s v="70.3.2.1.01.01"/>
    <m/>
    <x v="0"/>
  </r>
  <r>
    <s v="11/07/2025"/>
    <x v="1"/>
    <s v="002"/>
    <s v="07-000041"/>
    <s v="OPERACIONES"/>
    <s v="91.01.02"/>
    <s v="Residuos No Peligrosos"/>
    <s v="Costo Operativo - Residuos No Peligrosos"/>
    <s v="20603536569"/>
    <x v="13"/>
    <x v="0"/>
    <s v="FACTURA"/>
    <x v="0"/>
    <s v="175"/>
    <n v="4063.95"/>
    <m/>
    <n v="731.51"/>
    <m/>
    <n v="4795.46"/>
    <m/>
    <x v="0"/>
    <m/>
    <s v="70.3.2.1.01.02"/>
    <m/>
    <x v="5"/>
  </r>
  <r>
    <s v="11/07/2025"/>
    <x v="1"/>
    <s v="002"/>
    <s v="07-000042"/>
    <s v="OPERACIONES"/>
    <s v="91.01.02"/>
    <s v="Residuos No Peligrosos"/>
    <s v="Costo de Disposición - Residuos No Peligrosos"/>
    <s v="20120788389"/>
    <x v="40"/>
    <x v="0"/>
    <s v="FACTURA"/>
    <x v="0"/>
    <s v="176"/>
    <n v="670.43"/>
    <m/>
    <n v="120.68"/>
    <m/>
    <n v="791.11"/>
    <m/>
    <x v="0"/>
    <m/>
    <s v="70.3.2.1.01.02"/>
    <m/>
    <x v="5"/>
  </r>
  <r>
    <s v="11/07/2025"/>
    <x v="1"/>
    <s v="002"/>
    <s v="07-000043"/>
    <s v="OPERACIONES"/>
    <s v="91.05.01"/>
    <s v="Residuos Aprovechables"/>
    <s v="Chatarra metálica - alambrón"/>
    <s v="20601119600"/>
    <x v="25"/>
    <x v="0"/>
    <s v="FACTURA"/>
    <x v="2"/>
    <s v="45"/>
    <n v="1037.28"/>
    <m/>
    <n v="186.71"/>
    <m/>
    <n v="1223.99"/>
    <m/>
    <x v="0"/>
    <m/>
    <s v="70.2.2.1.01"/>
    <m/>
    <x v="1"/>
  </r>
  <r>
    <s v="14/07/2025"/>
    <x v="1"/>
    <s v="002"/>
    <s v="07-000044"/>
    <s v="OPERACIONES"/>
    <s v="91.01.02"/>
    <s v="Residuos No Peligrosos"/>
    <s v="Costo Operativo - Residuos No Peligrosos"/>
    <s v="20141637941"/>
    <x v="9"/>
    <x v="0"/>
    <s v="FACTURA"/>
    <x v="0"/>
    <s v="177"/>
    <n v="2740.8"/>
    <m/>
    <n v="493.34"/>
    <m/>
    <n v="3234.14"/>
    <m/>
    <x v="0"/>
    <m/>
    <s v="70.3.2.1.01.02"/>
    <m/>
    <x v="5"/>
  </r>
  <r>
    <s v="14/07/2025"/>
    <x v="1"/>
    <s v="002"/>
    <s v="07-000045"/>
    <s v="OPERACIONES"/>
    <s v="91.01.01"/>
    <s v="Residuos Peligrosos"/>
    <s v="Costo Operativo - Residuos No Peligrosos"/>
    <s v="20496535066"/>
    <x v="27"/>
    <x v="0"/>
    <s v="FACTURA"/>
    <x v="0"/>
    <s v="178"/>
    <n v="240"/>
    <m/>
    <n v="43.199999999999996"/>
    <m/>
    <n v="283.2"/>
    <m/>
    <x v="0"/>
    <m/>
    <s v="70.3.2.1.01.01"/>
    <m/>
    <x v="0"/>
  </r>
  <r>
    <s v="14/07/2025"/>
    <x v="1"/>
    <s v="002"/>
    <s v="07-000045"/>
    <s v="OPERACIONES"/>
    <s v="91.01.02"/>
    <s v="Residuos No Peligrosos"/>
    <s v="Costo Operativo - Residuos No Peligrosos"/>
    <s v="20496535066"/>
    <x v="27"/>
    <x v="0"/>
    <s v="FACTURA"/>
    <x v="0"/>
    <s v="178"/>
    <n v="1537.68"/>
    <m/>
    <n v="276.7824"/>
    <m/>
    <n v="1814.4624000000001"/>
    <m/>
    <x v="0"/>
    <m/>
    <s v="70.3.2.1.01.02"/>
    <m/>
    <x v="5"/>
  </r>
  <r>
    <s v="14/07/2025"/>
    <x v="1"/>
    <s v="002"/>
    <s v="07-000046"/>
    <s v="OPERACIONES"/>
    <s v="91.05.01"/>
    <s v="Residuos Aprovechables"/>
    <s v="IBC s plástico vacío cap. 1,000 litros - transparente"/>
    <s v="20603577079"/>
    <x v="20"/>
    <x v="0"/>
    <s v="FACTURA"/>
    <x v="1"/>
    <s v="88"/>
    <n v="13050.85"/>
    <m/>
    <n v="2349.15"/>
    <m/>
    <n v="15400"/>
    <m/>
    <x v="0"/>
    <m/>
    <s v="70.2.2.1.01"/>
    <m/>
    <x v="1"/>
  </r>
  <r>
    <s v="14/07/2025"/>
    <x v="1"/>
    <s v="002"/>
    <s v="07-000047"/>
    <s v="OPERACIONES"/>
    <s v="91.05.01"/>
    <s v="Residuos Aprovechables"/>
    <s v="Cartón"/>
    <s v="20455283915"/>
    <x v="21"/>
    <x v="0"/>
    <s v="FACTURA"/>
    <x v="1"/>
    <s v="89"/>
    <n v="351"/>
    <m/>
    <n v="63.18"/>
    <m/>
    <n v="414.18"/>
    <m/>
    <x v="0"/>
    <m/>
    <s v="70.2.2.1.01"/>
    <m/>
    <x v="1"/>
  </r>
  <r>
    <s v="14/07/2025"/>
    <x v="1"/>
    <s v="002"/>
    <s v="07-000048"/>
    <s v="OPERACIONES"/>
    <s v="91.05.01"/>
    <s v="Residuos Aprovechables"/>
    <s v="Cartón"/>
    <s v="20455283915"/>
    <x v="21"/>
    <x v="0"/>
    <s v="FACTURA"/>
    <x v="1"/>
    <s v="90"/>
    <n v="504"/>
    <m/>
    <n v="90.72"/>
    <m/>
    <n v="594.72"/>
    <m/>
    <x v="0"/>
    <m/>
    <s v="70.2.2.1.01"/>
    <m/>
    <x v="1"/>
  </r>
  <r>
    <s v="14/07/2025"/>
    <x v="1"/>
    <s v="002"/>
    <s v="07-000049"/>
    <s v="OPERACIONES"/>
    <s v="91.05.01"/>
    <s v="Residuos Aprovechables"/>
    <s v="Cartón"/>
    <s v="20455283915"/>
    <x v="21"/>
    <x v="0"/>
    <s v="FACTURA"/>
    <x v="1"/>
    <s v="91"/>
    <n v="889"/>
    <m/>
    <n v="160.02000000000001"/>
    <m/>
    <n v="1049.02"/>
    <m/>
    <x v="0"/>
    <m/>
    <s v="70.2.2.1.01"/>
    <m/>
    <x v="1"/>
  </r>
  <r>
    <s v="15/07/2025"/>
    <x v="1"/>
    <s v="002"/>
    <s v="07-000050"/>
    <s v="OPERACIONES"/>
    <s v="91.05.01"/>
    <s v="Residuos Aprovechables"/>
    <s v="Chatarra metálica"/>
    <s v="20402885549"/>
    <x v="5"/>
    <x v="0"/>
    <s v="FACTURA"/>
    <x v="1"/>
    <s v="93"/>
    <n v="21124"/>
    <m/>
    <n v="3802.32"/>
    <m/>
    <n v="24926.32"/>
    <m/>
    <x v="0"/>
    <m/>
    <s v="70.2.2.1.01"/>
    <m/>
    <x v="1"/>
  </r>
  <r>
    <s v="15/07/2025"/>
    <x v="1"/>
    <s v="002"/>
    <s v="07-000051"/>
    <s v="OPERACIONES"/>
    <s v="91.05.01"/>
    <s v="Residuos Aprovechables"/>
    <s v="Chatarra metálica"/>
    <s v="20402885549"/>
    <x v="5"/>
    <x v="0"/>
    <s v="FACTURA"/>
    <x v="1"/>
    <s v="92"/>
    <n v="0"/>
    <m/>
    <n v="0"/>
    <m/>
    <n v="0"/>
    <m/>
    <x v="0"/>
    <m/>
    <s v="70.2.2.1.01"/>
    <m/>
    <x v="1"/>
  </r>
  <r>
    <s v="17/07/2025"/>
    <x v="1"/>
    <s v="002"/>
    <s v="07-000052"/>
    <s v="OPERACIONES"/>
    <s v="91.05.01"/>
    <s v="Residuos Aprovechables"/>
    <s v="Madera gruesa"/>
    <s v="20613110586"/>
    <x v="12"/>
    <x v="0"/>
    <s v="FACTURA"/>
    <x v="1"/>
    <s v="94"/>
    <n v="580"/>
    <m/>
    <n v="104.4"/>
    <m/>
    <n v="684.4"/>
    <m/>
    <x v="0"/>
    <m/>
    <s v="70.2.2.1.01"/>
    <m/>
    <x v="1"/>
  </r>
  <r>
    <s v="17/07/2025"/>
    <x v="1"/>
    <s v="002"/>
    <s v="07-000053"/>
    <s v="OPERACIONES"/>
    <s v="91.05.01"/>
    <s v="Residuos Aprovechables"/>
    <s v="Chatarra metálica - alambrón"/>
    <s v="20601119600"/>
    <x v="25"/>
    <x v="0"/>
    <s v="FACTURA"/>
    <x v="2"/>
    <s v="46"/>
    <n v="1094.9100000000001"/>
    <m/>
    <n v="197.08"/>
    <m/>
    <n v="1291.99"/>
    <m/>
    <x v="0"/>
    <m/>
    <s v="70.2.2.1.01"/>
    <m/>
    <x v="1"/>
  </r>
  <r>
    <s v="17/07/2025"/>
    <x v="1"/>
    <s v="002"/>
    <s v="07-000054"/>
    <s v="OPERACIONES"/>
    <s v="91.05.01"/>
    <s v="Residuos Aprovechables"/>
    <s v="Chatarra metálica - alambrón"/>
    <s v="20601119600"/>
    <x v="25"/>
    <x v="0"/>
    <s v="FACTURA"/>
    <x v="2"/>
    <s v="47"/>
    <n v="777.96"/>
    <m/>
    <n v="140.03"/>
    <m/>
    <n v="917.99"/>
    <m/>
    <x v="0"/>
    <m/>
    <s v="70.2.2.1.01"/>
    <m/>
    <x v="1"/>
  </r>
  <r>
    <s v="18/07/2025"/>
    <x v="1"/>
    <s v="002"/>
    <s v="07-000055"/>
    <s v="OPERACIONES"/>
    <s v="91.01.02"/>
    <s v="Residuos No Peligrosos"/>
    <s v="Costo de Disposición - Residuos No Peligrosos"/>
    <s v="20454186002"/>
    <x v="18"/>
    <x v="0"/>
    <s v="FACTURA"/>
    <x v="0"/>
    <s v="179"/>
    <n v="2487.7399999999998"/>
    <m/>
    <n v="447.79"/>
    <m/>
    <n v="2935.53"/>
    <m/>
    <x v="0"/>
    <m/>
    <s v="70.3.2.1.01.02"/>
    <m/>
    <x v="5"/>
  </r>
  <r>
    <s v="18/07/2025"/>
    <x v="1"/>
    <s v="002"/>
    <s v="07-000056"/>
    <s v="OPERACIONES"/>
    <s v="91.01.01"/>
    <s v="Residuos Peligrosos"/>
    <s v="Costo Operativo - Residuos Peligrosos"/>
    <s v="20454186002"/>
    <x v="18"/>
    <x v="0"/>
    <s v="FACTURA"/>
    <x v="0"/>
    <s v="180"/>
    <n v="3339"/>
    <m/>
    <n v="601.02"/>
    <m/>
    <n v="3940.02"/>
    <m/>
    <x v="0"/>
    <m/>
    <s v="70.3.2.1.01.01"/>
    <m/>
    <x v="0"/>
  </r>
  <r>
    <s v="18/07/2025"/>
    <x v="1"/>
    <s v="002"/>
    <s v="07-000057"/>
    <s v="OPERACIONES"/>
    <s v="91.05.01"/>
    <s v="Residuos Aprovechables"/>
    <s v="Pallet de madera"/>
    <s v="20206432692"/>
    <x v="31"/>
    <x v="0"/>
    <s v="FACTURA"/>
    <x v="1"/>
    <s v="95"/>
    <n v="317.8"/>
    <m/>
    <n v="57.2"/>
    <m/>
    <n v="375"/>
    <m/>
    <x v="0"/>
    <m/>
    <s v="70.2.2.1.01"/>
    <m/>
    <x v="1"/>
  </r>
  <r>
    <s v="18/07/2025"/>
    <x v="1"/>
    <s v="002"/>
    <s v="07-000058"/>
    <s v="OPERACIONES"/>
    <s v="91.05.01"/>
    <s v="Residuos Aprovechables"/>
    <s v="Plástico film transparente"/>
    <s v="20558698048"/>
    <x v="22"/>
    <x v="0"/>
    <s v="FACTURA"/>
    <x v="1"/>
    <s v="96"/>
    <n v="903"/>
    <m/>
    <n v="162.54"/>
    <m/>
    <n v="1065.54"/>
    <m/>
    <x v="0"/>
    <m/>
    <s v="70.2.2.1.01"/>
    <m/>
    <x v="1"/>
  </r>
  <r>
    <s v="21/07/2025"/>
    <x v="1"/>
    <s v="002"/>
    <s v="07-000059"/>
    <s v="OPERACIONES"/>
    <s v="91.01.02"/>
    <s v="Residuos No Peligrosos"/>
    <s v="Costo Operativo - Residuos No Peligrosos"/>
    <s v="20141637941"/>
    <x v="9"/>
    <x v="0"/>
    <s v="FACTURA"/>
    <x v="0"/>
    <s v="181"/>
    <n v="2736"/>
    <m/>
    <n v="492.48"/>
    <m/>
    <n v="3228.48"/>
    <m/>
    <x v="0"/>
    <m/>
    <s v="70.3.2.1.01.02"/>
    <m/>
    <x v="5"/>
  </r>
  <r>
    <s v="21/07/2025"/>
    <x v="1"/>
    <s v="002"/>
    <s v="07-000060"/>
    <s v="OPERACIONES"/>
    <s v="91.05.01"/>
    <s v="Residuos Aprovechables"/>
    <s v="Cartón"/>
    <s v="20455283915"/>
    <x v="21"/>
    <x v="0"/>
    <s v="FACTURA"/>
    <x v="1"/>
    <s v="97"/>
    <n v="554.5"/>
    <m/>
    <n v="99.81"/>
    <m/>
    <n v="654.30999999999995"/>
    <m/>
    <x v="0"/>
    <m/>
    <s v="70.2.2.1.01"/>
    <m/>
    <x v="1"/>
  </r>
  <r>
    <s v="21/07/2025"/>
    <x v="1"/>
    <s v="002"/>
    <s v="07-000061"/>
    <s v="OPERACIONES"/>
    <s v="91.05.01"/>
    <s v="Residuos Aprovechables"/>
    <s v="Cartón"/>
    <s v="20455283915"/>
    <x v="21"/>
    <x v="0"/>
    <s v="FACTURA"/>
    <x v="1"/>
    <s v="98"/>
    <n v="504"/>
    <m/>
    <n v="90.72"/>
    <m/>
    <n v="594.72"/>
    <m/>
    <x v="0"/>
    <m/>
    <s v="70.2.2.1.01"/>
    <m/>
    <x v="1"/>
  </r>
  <r>
    <s v="21/07/2025"/>
    <x v="1"/>
    <s v="002"/>
    <s v="07-000062"/>
    <s v="OPERACIONES"/>
    <s v="91.05.01"/>
    <s v="Residuos Aprovechables"/>
    <s v="Papel blanco"/>
    <s v="20498309713"/>
    <x v="41"/>
    <x v="0"/>
    <s v="FACTURA"/>
    <x v="1"/>
    <s v="99"/>
    <n v="549"/>
    <m/>
    <n v="98.82"/>
    <m/>
    <n v="647.82000000000005"/>
    <m/>
    <x v="0"/>
    <m/>
    <s v="70.2.2.1.01"/>
    <m/>
    <x v="1"/>
  </r>
  <r>
    <s v="21/07/2025"/>
    <x v="1"/>
    <s v="002"/>
    <s v="07-000063"/>
    <s v="OPERACIONES"/>
    <s v="91.01.02"/>
    <s v="Residuos No Peligrosos"/>
    <s v="Costo de Disposición - Residuos No Peligrosos"/>
    <s v="20419158462"/>
    <x v="35"/>
    <x v="1"/>
    <s v="NOTA DE CREDITO"/>
    <x v="4"/>
    <s v="10"/>
    <n v="-2117.39"/>
    <m/>
    <n v="-381.13"/>
    <m/>
    <n v="-2498.52"/>
    <s v="001"/>
    <x v="2"/>
    <s v="156"/>
    <s v="70.3.2.1.01.02"/>
    <m/>
    <x v="5"/>
  </r>
  <r>
    <s v="22/07/2025"/>
    <x v="1"/>
    <s v="002"/>
    <s v="07-000064"/>
    <s v="OPERACIONES"/>
    <s v="91.01.02"/>
    <s v="Residuos No Peligrosos"/>
    <s v="Costo de Disposición - Residuos No Peligrosos"/>
    <s v="20454186002"/>
    <x v="18"/>
    <x v="0"/>
    <s v="FACTURA"/>
    <x v="0"/>
    <s v="182"/>
    <n v="1862.32"/>
    <m/>
    <n v="335.22"/>
    <m/>
    <n v="2197.54"/>
    <m/>
    <x v="0"/>
    <m/>
    <s v="70.3.2.1.01.02"/>
    <m/>
    <x v="5"/>
  </r>
  <r>
    <s v="22/07/2025"/>
    <x v="1"/>
    <s v="002"/>
    <s v="07-000065"/>
    <s v="OPERACIONES"/>
    <s v="91.01.02"/>
    <s v="Residuos No Peligrosos"/>
    <s v="Costo de Disposición - Residuos No Peligrosos"/>
    <s v="20454186002"/>
    <x v="18"/>
    <x v="0"/>
    <s v="FACTURA"/>
    <x v="0"/>
    <s v="183"/>
    <n v="1485.02"/>
    <m/>
    <n v="267.3"/>
    <m/>
    <n v="1752.32"/>
    <m/>
    <x v="0"/>
    <m/>
    <s v="70.3.2.1.01.02"/>
    <m/>
    <x v="5"/>
  </r>
  <r>
    <s v="22/07/2025"/>
    <x v="1"/>
    <s v="002"/>
    <s v="07-000066"/>
    <s v="OPERACIONES"/>
    <s v="91.05.01"/>
    <s v="Residuos Aprovechables"/>
    <s v="Pallet de madera"/>
    <s v="20424092941"/>
    <x v="42"/>
    <x v="0"/>
    <s v="FACTURA"/>
    <x v="1"/>
    <s v="100"/>
    <n v="322.02999999999997"/>
    <m/>
    <n v="57.97"/>
    <m/>
    <n v="380"/>
    <m/>
    <x v="0"/>
    <m/>
    <s v="70.2.2.1.01"/>
    <m/>
    <x v="1"/>
  </r>
  <r>
    <s v="22/07/2025"/>
    <x v="1"/>
    <s v="002"/>
    <s v="07-000067"/>
    <s v="OPERACIONES"/>
    <s v="91.05.01"/>
    <s v="Residuos Aprovechables"/>
    <s v="Chatarra metálica - alambrón"/>
    <s v="20601119600"/>
    <x v="25"/>
    <x v="0"/>
    <s v="FACTURA"/>
    <x v="2"/>
    <s v="48"/>
    <n v="511.44"/>
    <m/>
    <n v="92.06"/>
    <m/>
    <n v="603.5"/>
    <m/>
    <x v="0"/>
    <m/>
    <s v="70.2.2.1.01"/>
    <m/>
    <x v="1"/>
  </r>
  <r>
    <s v="22/07/2025"/>
    <x v="1"/>
    <s v="002"/>
    <s v="07-000068"/>
    <s v="OPERACIONES"/>
    <s v="91.05.01"/>
    <s v="Residuos Aprovechables"/>
    <s v="Chatarra metálica - alambrón"/>
    <s v="20601119600"/>
    <x v="25"/>
    <x v="0"/>
    <s v="FACTURA"/>
    <x v="2"/>
    <s v="49"/>
    <n v="1238.97"/>
    <m/>
    <n v="223.02"/>
    <m/>
    <n v="1461.99"/>
    <m/>
    <x v="0"/>
    <m/>
    <s v="70.2.2.1.01"/>
    <m/>
    <x v="1"/>
  </r>
  <r>
    <s v="24/07/2025"/>
    <x v="1"/>
    <s v="002"/>
    <s v="07-000069"/>
    <s v="OPERACIONES"/>
    <s v="91.01.01"/>
    <s v="Residuos Peligrosos"/>
    <s v="Costo de Disposición - Residuos Peligrosos"/>
    <s v="20546530184"/>
    <x v="11"/>
    <x v="0"/>
    <s v="FACTURA"/>
    <x v="0"/>
    <s v="184"/>
    <n v="6359.53"/>
    <m/>
    <n v="1144.72"/>
    <m/>
    <n v="7504.25"/>
    <m/>
    <x v="0"/>
    <m/>
    <s v="70.3.2.1.01.01"/>
    <m/>
    <x v="0"/>
  </r>
  <r>
    <s v="24/07/2025"/>
    <x v="1"/>
    <s v="002"/>
    <s v="07-000070"/>
    <s v="OPERACIONES"/>
    <s v="91.01.01"/>
    <s v="Residuos Peligrosos"/>
    <s v="Servicio de disposición de residuos según OC"/>
    <s v="20100192064"/>
    <x v="1"/>
    <x v="0"/>
    <s v="FACTURA"/>
    <x v="0"/>
    <s v="185"/>
    <n v="9605.83"/>
    <m/>
    <n v="1729.05"/>
    <m/>
    <n v="11334.88"/>
    <m/>
    <x v="0"/>
    <m/>
    <s v="70.3.2.1.01.01"/>
    <m/>
    <x v="0"/>
  </r>
  <r>
    <s v="24/07/2025"/>
    <x v="1"/>
    <s v="002"/>
    <s v="07-000071"/>
    <s v="OPERACIONES"/>
    <s v="91.05.01"/>
    <s v="Residuos Aprovechables"/>
    <s v="Chatarra metálica - alambrón"/>
    <s v="20601119600"/>
    <x v="25"/>
    <x v="0"/>
    <s v="FACTURA"/>
    <x v="2"/>
    <s v="50"/>
    <n v="1707.19"/>
    <m/>
    <n v="307.29000000000002"/>
    <m/>
    <n v="2014.48"/>
    <m/>
    <x v="0"/>
    <m/>
    <s v="70.2.2.1.01"/>
    <m/>
    <x v="1"/>
  </r>
  <r>
    <s v="30/07/2025"/>
    <x v="1"/>
    <s v="002"/>
    <s v="07-000072"/>
    <s v="OPERACIONES"/>
    <s v="91.05.01"/>
    <s v="Residuos Aprovechables"/>
    <s v="Vidrio reciclado - transparente"/>
    <s v="20550891086"/>
    <x v="43"/>
    <x v="0"/>
    <s v="FACTURA"/>
    <x v="1"/>
    <s v="101"/>
    <n v="5796"/>
    <m/>
    <n v="1043.28"/>
    <m/>
    <n v="6839.28"/>
    <m/>
    <x v="0"/>
    <m/>
    <s v="70.2.2.1.01"/>
    <m/>
    <x v="1"/>
  </r>
  <r>
    <s v="31/07/2025"/>
    <x v="1"/>
    <s v="002"/>
    <s v="07-000073"/>
    <s v="OPERACIONES"/>
    <s v="91.01.01"/>
    <s v="Residuos Peligrosos"/>
    <s v="Costo Operativo - Residuos Peligrosos"/>
    <s v="20121393736"/>
    <x v="44"/>
    <x v="0"/>
    <s v="FACTURA"/>
    <x v="0"/>
    <s v="186"/>
    <n v="839"/>
    <m/>
    <n v="151.02000000000001"/>
    <m/>
    <n v="990.02"/>
    <m/>
    <x v="0"/>
    <m/>
    <s v="70.3.2.1.01.01"/>
    <m/>
    <x v="0"/>
  </r>
  <r>
    <s v="31/07/2025"/>
    <x v="1"/>
    <s v="002"/>
    <s v="07-000074"/>
    <s v="OPERACIONES"/>
    <s v="91.01.01"/>
    <s v="Residuos Peligrosos"/>
    <s v="Costo Operativo - Residuos Peligrosos"/>
    <s v="20604044082"/>
    <x v="45"/>
    <x v="0"/>
    <s v="FACTURA"/>
    <x v="0"/>
    <s v="187"/>
    <n v="769.5"/>
    <m/>
    <n v="138.51"/>
    <m/>
    <n v="908.01"/>
    <m/>
    <x v="0"/>
    <m/>
    <s v="70.3.2.1.01.01"/>
    <m/>
    <x v="0"/>
  </r>
  <r>
    <s v="31/07/2025"/>
    <x v="1"/>
    <s v="002"/>
    <s v="07-000075"/>
    <s v="OPERACIONES"/>
    <s v="91.01.01"/>
    <s v="Residuos Peligrosos"/>
    <s v="Costo Operativo - Residuos Peligrosos"/>
    <s v="20454377011"/>
    <x v="46"/>
    <x v="0"/>
    <s v="FACTURA"/>
    <x v="0"/>
    <s v="188"/>
    <n v="2252.5"/>
    <m/>
    <n v="405.45"/>
    <m/>
    <n v="2657.95"/>
    <m/>
    <x v="0"/>
    <m/>
    <s v="70.3.2.1.01.01"/>
    <m/>
    <x v="0"/>
  </r>
  <r>
    <s v="31/07/2025"/>
    <x v="1"/>
    <s v="002"/>
    <s v="07-000076"/>
    <s v="OPERACIONES"/>
    <s v="91.01.01"/>
    <s v="Residuos Peligrosos"/>
    <s v="Servicio de disposición de residuos según OC"/>
    <s v="20100192064"/>
    <x v="1"/>
    <x v="0"/>
    <s v="FACTURA"/>
    <x v="0"/>
    <s v="189"/>
    <n v="31267.06"/>
    <m/>
    <n v="5628.07"/>
    <m/>
    <n v="36895.129999999997"/>
    <m/>
    <x v="0"/>
    <m/>
    <s v="70.3.2.1.01.01"/>
    <m/>
    <x v="0"/>
  </r>
  <r>
    <s v="31/07/2025"/>
    <x v="1"/>
    <s v="002"/>
    <s v="07-000077"/>
    <s v="OPERACIONES"/>
    <s v="91.01.01"/>
    <s v="Residuos Peligrosos"/>
    <s v="Servicio de disposición de residuos según OC"/>
    <s v="20100192064"/>
    <x v="1"/>
    <x v="0"/>
    <s v="FACTURA"/>
    <x v="0"/>
    <s v="190"/>
    <n v="18822.75"/>
    <m/>
    <n v="3388.11"/>
    <m/>
    <n v="22210.86"/>
    <m/>
    <x v="0"/>
    <m/>
    <s v="70.3.2.1.01.01"/>
    <m/>
    <x v="0"/>
  </r>
  <r>
    <s v="31/07/2025"/>
    <x v="1"/>
    <s v="002"/>
    <s v="07-000078"/>
    <s v="OPERACIONES"/>
    <s v="91.01.02"/>
    <s v="Residuos No Peligrosos"/>
    <s v="Costo de Disposición - Residuos No Peligrosos"/>
    <s v="20100211115"/>
    <x v="29"/>
    <x v="0"/>
    <s v="FACTURA"/>
    <x v="0"/>
    <s v="191"/>
    <n v="4503.6000000000004"/>
    <m/>
    <n v="810.65"/>
    <m/>
    <n v="5314.25"/>
    <m/>
    <x v="0"/>
    <m/>
    <s v="70.3.2.1.01.02"/>
    <m/>
    <x v="5"/>
  </r>
  <r>
    <s v="31/07/2025"/>
    <x v="1"/>
    <s v="002"/>
    <s v="07-000079"/>
    <s v="OPERACIONES"/>
    <s v="91.01.02"/>
    <s v="Residuos No Peligrosos"/>
    <s v="Costo de Disposición - Residuos No Peligrosos"/>
    <s v="20100211115"/>
    <x v="29"/>
    <x v="0"/>
    <s v="FACTURA"/>
    <x v="0"/>
    <s v="192"/>
    <n v="1333.44"/>
    <m/>
    <n v="240.02"/>
    <m/>
    <n v="1573.46"/>
    <m/>
    <x v="0"/>
    <m/>
    <s v="70.3.2.1.01.02"/>
    <m/>
    <x v="5"/>
  </r>
  <r>
    <s v="31/07/2025"/>
    <x v="1"/>
    <s v="002"/>
    <s v="07-000080"/>
    <s v="OPERACIONES"/>
    <s v="91.01.01"/>
    <s v="Residuos Peligrosos"/>
    <s v="Costo de Disposición - Residuos Peligrosos"/>
    <s v="20100192064"/>
    <x v="1"/>
    <x v="0"/>
    <s v="FACTURA"/>
    <x v="0"/>
    <s v="193"/>
    <n v="415.87"/>
    <m/>
    <n v="74.86"/>
    <m/>
    <n v="490.73"/>
    <m/>
    <x v="0"/>
    <m/>
    <s v="70.3.2.1.01.01"/>
    <m/>
    <x v="0"/>
  </r>
  <r>
    <s v="31/07/2025"/>
    <x v="1"/>
    <s v="002"/>
    <s v="07-000081"/>
    <s v="OPERACIONES"/>
    <s v="91.01.01"/>
    <s v="Residuos Peligrosos"/>
    <s v="Costo de Disposición - Residuos Peligrosos"/>
    <s v="20100211115"/>
    <x v="29"/>
    <x v="0"/>
    <s v="FACTURA"/>
    <x v="0"/>
    <s v="194"/>
    <n v="415.87"/>
    <m/>
    <n v="74.86"/>
    <m/>
    <n v="490.73"/>
    <m/>
    <x v="0"/>
    <m/>
    <s v="70.3.2.1.01.01"/>
    <m/>
    <x v="0"/>
  </r>
  <r>
    <s v="31/07/2025"/>
    <x v="1"/>
    <s v="002"/>
    <s v="07-000082"/>
    <s v="OPERACIONES"/>
    <s v="91.04.01"/>
    <s v="Transporte de Carga - Local"/>
    <s v="Costo Operativo - Transporte de Carga - Local"/>
    <s v="20138861300"/>
    <x v="47"/>
    <x v="0"/>
    <s v="FACTURA"/>
    <x v="0"/>
    <s v="195"/>
    <n v="270"/>
    <m/>
    <n v="48.6"/>
    <m/>
    <n v="318.60000000000002"/>
    <m/>
    <x v="0"/>
    <m/>
    <s v="70.3.2.1.04.01"/>
    <m/>
    <x v="2"/>
  </r>
  <r>
    <s v="31/07/2025"/>
    <x v="1"/>
    <s v="002"/>
    <s v="07-000083"/>
    <s v="OPERACIONES"/>
    <s v="91.05.01"/>
    <s v="Residuos Aprovechables"/>
    <s v="Cartón"/>
    <s v="20455283915"/>
    <x v="21"/>
    <x v="0"/>
    <s v="FACTURA"/>
    <x v="1"/>
    <s v="102"/>
    <n v="639"/>
    <m/>
    <n v="115.02"/>
    <m/>
    <n v="754.02"/>
    <m/>
    <x v="0"/>
    <m/>
    <s v="70.2.2.1.01"/>
    <m/>
    <x v="1"/>
  </r>
  <r>
    <s v="31/07/2025"/>
    <x v="1"/>
    <s v="002"/>
    <s v="07-000084"/>
    <s v="OPERACIONES"/>
    <s v="91.05.01"/>
    <s v="Residuos Aprovechables"/>
    <s v="Cartón"/>
    <s v="20455283915"/>
    <x v="21"/>
    <x v="0"/>
    <s v="FACTURA"/>
    <x v="1"/>
    <s v="103"/>
    <n v="301.5"/>
    <m/>
    <n v="54.27"/>
    <m/>
    <n v="355.77"/>
    <m/>
    <x v="0"/>
    <m/>
    <s v="70.2.2.1.01"/>
    <m/>
    <x v="1"/>
  </r>
  <r>
    <s v="31/07/2025"/>
    <x v="1"/>
    <s v="002"/>
    <s v="07-000085"/>
    <s v="OPERACIONES"/>
    <s v="91.05.01"/>
    <s v="Residuos Aprovechables"/>
    <s v="Cartón"/>
    <s v="20455283915"/>
    <x v="21"/>
    <x v="0"/>
    <s v="FACTURA"/>
    <x v="1"/>
    <s v="104"/>
    <n v="409.5"/>
    <m/>
    <n v="73.709999999999994"/>
    <m/>
    <n v="483.21"/>
    <m/>
    <x v="0"/>
    <m/>
    <s v="70.2.2.1.01"/>
    <m/>
    <x v="1"/>
  </r>
  <r>
    <s v="31/07/2025"/>
    <x v="1"/>
    <s v="002"/>
    <s v="07-000086"/>
    <s v="OPERACIONES"/>
    <s v="91.05.01"/>
    <s v="Residuos Aprovechables"/>
    <s v="Cartón"/>
    <s v="20455283915"/>
    <x v="21"/>
    <x v="0"/>
    <s v="FACTURA"/>
    <x v="1"/>
    <s v="105"/>
    <n v="157.5"/>
    <m/>
    <n v="28.35"/>
    <m/>
    <n v="185.85"/>
    <m/>
    <x v="0"/>
    <m/>
    <s v="70.2.2.1.01"/>
    <m/>
    <x v="1"/>
  </r>
  <r>
    <s v="31/07/2025"/>
    <x v="1"/>
    <s v="002"/>
    <s v="07-000087"/>
    <s v="OPERACIONES"/>
    <s v="91.05.01"/>
    <s v="Residuos Aprovechables"/>
    <s v="Chatarra metálica - alambrón"/>
    <s v="20607388416"/>
    <x v="3"/>
    <x v="0"/>
    <s v="FACTURA"/>
    <x v="2"/>
    <s v="51"/>
    <n v="620.5"/>
    <m/>
    <n v="111.69"/>
    <m/>
    <n v="732.19"/>
    <m/>
    <x v="0"/>
    <m/>
    <s v="70.2.2.1.01"/>
    <m/>
    <x v="1"/>
  </r>
  <r>
    <s v="31/07/2025"/>
    <x v="1"/>
    <s v="002"/>
    <s v="07-000088"/>
    <s v="OPERACIONES"/>
    <s v="91.05.01"/>
    <s v="Residuos Aprovechables"/>
    <s v="Chatarra metálica - alambrón"/>
    <s v="20607388416"/>
    <x v="3"/>
    <x v="0"/>
    <s v="FACTURA"/>
    <x v="2"/>
    <s v="52"/>
    <n v="554.79999999999995"/>
    <m/>
    <n v="99.86"/>
    <m/>
    <n v="654.66"/>
    <m/>
    <x v="0"/>
    <m/>
    <s v="70.2.2.1.01"/>
    <m/>
    <x v="1"/>
  </r>
  <r>
    <s v="31/07/2025"/>
    <x v="1"/>
    <s v="002"/>
    <s v="07-000089"/>
    <s v="OPERACIONES"/>
    <s v="91.05.01"/>
    <s v="Residuos Aprovechables"/>
    <s v="Chatarra metálica - alambrón"/>
    <s v="20607388416"/>
    <x v="3"/>
    <x v="0"/>
    <s v="FACTURA"/>
    <x v="2"/>
    <s v="53"/>
    <n v="1233.7"/>
    <m/>
    <n v="222.07"/>
    <m/>
    <n v="1455.77"/>
    <m/>
    <x v="0"/>
    <m/>
    <s v="70.2.2.1.01"/>
    <m/>
    <x v="1"/>
  </r>
  <r>
    <s v="01/08/2025"/>
    <x v="2"/>
    <s v="002"/>
    <s v="08-000001"/>
    <s v="OPERACIONES"/>
    <s v="91.04.01"/>
    <s v="Transporte de Carga - Local"/>
    <s v="Costo de Transporte - Transporte de Carga - Local"/>
    <s v="20138861300"/>
    <x v="47"/>
    <x v="0"/>
    <s v="FACTURA"/>
    <x v="0"/>
    <s v="196"/>
    <n v="270"/>
    <m/>
    <n v="48.6"/>
    <m/>
    <n v="318.60000000000002"/>
    <m/>
    <x v="0"/>
    <m/>
    <s v="70.3.2.1.04.01"/>
    <m/>
    <x v="2"/>
  </r>
  <r>
    <s v="01/08/2025"/>
    <x v="2"/>
    <s v="002"/>
    <s v="08-000002"/>
    <s v="OPERACIONES"/>
    <s v="91.05.01"/>
    <s v="Residuos Aprovechables"/>
    <s v="Madera gruesa"/>
    <s v="20613110586"/>
    <x v="12"/>
    <x v="0"/>
    <s v="FACTURA"/>
    <x v="1"/>
    <s v="106"/>
    <n v="495"/>
    <m/>
    <n v="89.1"/>
    <m/>
    <n v="584.1"/>
    <m/>
    <x v="0"/>
    <m/>
    <s v="70.2.2.1.01"/>
    <m/>
    <x v="1"/>
  </r>
  <r>
    <s v="01/08/2025"/>
    <x v="2"/>
    <s v="002"/>
    <s v="08-000003"/>
    <s v="OPERACIONES"/>
    <s v="91.05.01"/>
    <s v="Residuos Aprovechables"/>
    <s v="Chatarra metálica - alambrón"/>
    <s v="20607388416"/>
    <x v="3"/>
    <x v="0"/>
    <s v="FACTURA"/>
    <x v="2"/>
    <s v="54"/>
    <n v="1306.7"/>
    <m/>
    <n v="235.21"/>
    <m/>
    <n v="1541.91"/>
    <m/>
    <x v="0"/>
    <m/>
    <s v="70.2.2.1.01"/>
    <m/>
    <x v="1"/>
  </r>
  <r>
    <s v="01/08/2025"/>
    <x v="2"/>
    <s v="002"/>
    <s v="08-000004"/>
    <s v="OPERACIONES"/>
    <s v="91.04.01"/>
    <s v="Transporte de Carga - Local"/>
    <s v="Costo Operativo - Transporte de Carga - Local"/>
    <s v="20138861300"/>
    <x v="47"/>
    <x v="1"/>
    <s v="NOTA DE CREDITO"/>
    <x v="4"/>
    <s v="11"/>
    <n v="-270"/>
    <m/>
    <n v="-48.6"/>
    <m/>
    <n v="-318.60000000000002"/>
    <s v="001"/>
    <x v="2"/>
    <s v="195"/>
    <s v="70.3.2.1.04.01"/>
    <m/>
    <x v="2"/>
  </r>
  <r>
    <s v="04/08/2025"/>
    <x v="2"/>
    <s v="002"/>
    <s v="08-000005"/>
    <s v="OPERACIONES"/>
    <s v="91.05.01"/>
    <s v="Residuos Aprovechables"/>
    <s v="Chatarra metálica - viruta"/>
    <s v="20402885549"/>
    <x v="5"/>
    <x v="0"/>
    <s v="FACTURA"/>
    <x v="1"/>
    <s v="107"/>
    <n v="22597.95"/>
    <m/>
    <n v="4067.63"/>
    <m/>
    <n v="26665.58"/>
    <m/>
    <x v="0"/>
    <m/>
    <s v="70.2.2.1.01"/>
    <m/>
    <x v="1"/>
  </r>
  <r>
    <s v="07/08/2025"/>
    <x v="2"/>
    <s v="002"/>
    <s v="08-000006"/>
    <s v="OPERACIONES"/>
    <s v="91.01.01"/>
    <s v="Residuos Peligrosos"/>
    <s v="Costo de Disposición - Residuos Peligrosos"/>
    <s v="20505675836"/>
    <x v="14"/>
    <x v="0"/>
    <s v="FACTURA"/>
    <x v="0"/>
    <s v="197"/>
    <n v="14447.2"/>
    <m/>
    <n v="2600.4960000000001"/>
    <m/>
    <n v="17047.696"/>
    <m/>
    <x v="0"/>
    <m/>
    <s v="70.3.2.1.01.01"/>
    <m/>
    <x v="0"/>
  </r>
  <r>
    <s v="07/08/2025"/>
    <x v="2"/>
    <s v="002"/>
    <s v="08-000006"/>
    <s v="OPERACIONES"/>
    <s v="91.01.02"/>
    <s v="Residuos No Peligrosos"/>
    <s v="Costo de Disposición - Residuos Peligrosos"/>
    <s v="20505675836"/>
    <x v="14"/>
    <x v="0"/>
    <s v="FACTURA"/>
    <x v="0"/>
    <s v="197"/>
    <n v="1206.28"/>
    <m/>
    <n v="217.13039999999998"/>
    <m/>
    <n v="1423.4104"/>
    <m/>
    <x v="0"/>
    <m/>
    <s v="70.3.2.1.01.02"/>
    <m/>
    <x v="5"/>
  </r>
  <r>
    <s v="07/08/2025"/>
    <x v="2"/>
    <s v="002"/>
    <s v="08-000007"/>
    <s v="OPERACIONES"/>
    <s v="91.01.01"/>
    <s v="Residuos Peligrosos"/>
    <s v="Costo de Disposición - Residuos Peligrosos"/>
    <s v="20505675836"/>
    <x v="14"/>
    <x v="0"/>
    <s v="FACTURA"/>
    <x v="0"/>
    <s v="198"/>
    <n v="4587.95"/>
    <m/>
    <n v="825.8309999999999"/>
    <m/>
    <n v="5413.7809999999999"/>
    <m/>
    <x v="0"/>
    <m/>
    <s v="70.3.2.1.01.01"/>
    <m/>
    <x v="0"/>
  </r>
  <r>
    <s v="07/08/2025"/>
    <x v="2"/>
    <s v="002"/>
    <s v="08-000007"/>
    <s v="OPERACIONES"/>
    <s v="91.01.02"/>
    <s v="Residuos No Peligrosos"/>
    <s v="Costo de Disposición - Residuos Peligrosos"/>
    <s v="20505675836"/>
    <x v="14"/>
    <x v="0"/>
    <s v="FACTURA"/>
    <x v="0"/>
    <s v="198"/>
    <n v="1562.03"/>
    <m/>
    <n v="281.16539999999998"/>
    <m/>
    <n v="1843.1954000000001"/>
    <m/>
    <x v="0"/>
    <m/>
    <s v="70.3.2.1.01.02"/>
    <m/>
    <x v="5"/>
  </r>
  <r>
    <s v="07/08/2025"/>
    <x v="2"/>
    <s v="002"/>
    <s v="08-000008"/>
    <s v="OPERACIONES"/>
    <s v="91.02.01"/>
    <s v="Limpieza de Caja Trampa"/>
    <s v="Costo Operativo - Limpieza de Caja Trampa"/>
    <s v="20505675836"/>
    <x v="14"/>
    <x v="0"/>
    <s v="FACTURA"/>
    <x v="0"/>
    <s v="199"/>
    <n v="3369.7"/>
    <m/>
    <n v="606.54999999999995"/>
    <m/>
    <n v="3976.25"/>
    <m/>
    <x v="0"/>
    <m/>
    <s v="70.3.2.1.02.01"/>
    <m/>
    <x v="8"/>
  </r>
  <r>
    <s v="07/08/2025"/>
    <x v="2"/>
    <s v="002"/>
    <s v="08-000009"/>
    <s v="OPERACIONES"/>
    <s v="91.02.01"/>
    <s v="Limpieza de Caja Trampa"/>
    <s v="Costo Operativo - Limpieza de Caja Trampa"/>
    <s v="20505675836"/>
    <x v="14"/>
    <x v="0"/>
    <s v="FACTURA"/>
    <x v="0"/>
    <s v="200"/>
    <n v="7390"/>
    <m/>
    <n v="1330.2"/>
    <m/>
    <n v="8720.2000000000007"/>
    <m/>
    <x v="0"/>
    <m/>
    <s v="70.3.2.1.02.01"/>
    <m/>
    <x v="8"/>
  </r>
  <r>
    <s v="07/08/2025"/>
    <x v="2"/>
    <s v="002"/>
    <s v="08-000010"/>
    <s v="OPERACIONES"/>
    <s v="91.01.02"/>
    <s v="Residuos No Peligrosos"/>
    <s v="Costo Operativo - Residuos No Peligrosos"/>
    <s v="20141637941"/>
    <x v="9"/>
    <x v="0"/>
    <s v="FACTURA"/>
    <x v="0"/>
    <s v="201"/>
    <n v="2804.8"/>
    <m/>
    <n v="504.86"/>
    <m/>
    <n v="3309.66"/>
    <m/>
    <x v="0"/>
    <m/>
    <s v="70.3.2.1.01.02"/>
    <m/>
    <x v="5"/>
  </r>
  <r>
    <s v="07/08/2025"/>
    <x v="2"/>
    <s v="002"/>
    <s v="08-000011"/>
    <s v="OPERACIONES"/>
    <s v="91.01.02"/>
    <s v="Residuos No Peligrosos"/>
    <s v="Costo de Disposición - Residuos No Peligrosos"/>
    <s v="20120788389"/>
    <x v="40"/>
    <x v="0"/>
    <s v="FACTURA"/>
    <x v="0"/>
    <s v="202"/>
    <n v="670.43"/>
    <m/>
    <n v="120.68"/>
    <m/>
    <n v="791.11"/>
    <m/>
    <x v="0"/>
    <m/>
    <s v="70.3.2.1.01.02"/>
    <m/>
    <x v="5"/>
  </r>
  <r>
    <s v="07/08/2025"/>
    <x v="2"/>
    <s v="002"/>
    <s v="08-000012"/>
    <s v="OPERACIONES"/>
    <s v="91.05.01"/>
    <s v="Residuos Aprovechables"/>
    <s v="IBC s plástico vacío cap. 1,000 litros - transparente"/>
    <s v="20603577079"/>
    <x v="20"/>
    <x v="0"/>
    <s v="FACTURA"/>
    <x v="1"/>
    <s v="108"/>
    <n v="11949.15"/>
    <m/>
    <n v="2150.85"/>
    <m/>
    <n v="14100"/>
    <m/>
    <x v="0"/>
    <m/>
    <s v="70.2.2.1.01"/>
    <m/>
    <x v="1"/>
  </r>
  <r>
    <s v="07/08/2025"/>
    <x v="2"/>
    <s v="002"/>
    <s v="08-000013"/>
    <s v="OPERACIONES"/>
    <s v="91.05.01"/>
    <s v="Residuos Aprovechables"/>
    <s v="Chatarra metálica - alambrón"/>
    <s v="20607388416"/>
    <x v="3"/>
    <x v="0"/>
    <s v="FACTURA"/>
    <x v="2"/>
    <s v="55"/>
    <n v="605.9"/>
    <m/>
    <n v="109.06"/>
    <m/>
    <n v="714.96"/>
    <m/>
    <x v="0"/>
    <m/>
    <s v="70.2.2.1.01"/>
    <m/>
    <x v="1"/>
  </r>
  <r>
    <s v="12/08/2025"/>
    <x v="2"/>
    <s v="002"/>
    <s v="08-000014"/>
    <s v="OPERACIONES"/>
    <s v="91.04.01"/>
    <s v="Transporte de Carga - Local"/>
    <s v="Costo de Transporte - Transporte de Carga - Local"/>
    <s v="20159473148"/>
    <x v="26"/>
    <x v="0"/>
    <s v="FACTURA"/>
    <x v="0"/>
    <s v="203"/>
    <n v="3953.72"/>
    <m/>
    <n v="711.67"/>
    <m/>
    <n v="4665.3900000000003"/>
    <m/>
    <x v="0"/>
    <m/>
    <s v="70.3.2.1.04.01"/>
    <m/>
    <x v="2"/>
  </r>
  <r>
    <s v="12/08/2025"/>
    <x v="2"/>
    <s v="002"/>
    <s v="08-000015"/>
    <s v="OPERACIONES"/>
    <s v="91.01.02"/>
    <s v="Residuos No Peligrosos"/>
    <s v="Costo Operativo - Residuos No Peligrosos"/>
    <s v="20141637941"/>
    <x v="9"/>
    <x v="0"/>
    <s v="FACTURA"/>
    <x v="0"/>
    <s v="204"/>
    <n v="2736"/>
    <m/>
    <n v="492.48"/>
    <m/>
    <n v="3228.48"/>
    <m/>
    <x v="0"/>
    <m/>
    <s v="70.3.2.1.01.02"/>
    <m/>
    <x v="5"/>
  </r>
  <r>
    <s v="12/08/2025"/>
    <x v="2"/>
    <s v="002"/>
    <s v="08-000016"/>
    <s v="OPERACIONES"/>
    <s v="91.05.01"/>
    <s v="Residuos Aprovechables"/>
    <s v="Pallet de madera"/>
    <s v="20424092941"/>
    <x v="42"/>
    <x v="0"/>
    <s v="FACTURA"/>
    <x v="1"/>
    <s v="109"/>
    <n v="540"/>
    <m/>
    <n v="97.2"/>
    <m/>
    <n v="637.20000000000005"/>
    <m/>
    <x v="0"/>
    <m/>
    <s v="70.2.2.1.01"/>
    <m/>
    <x v="1"/>
  </r>
  <r>
    <s v="13/08/2025"/>
    <x v="2"/>
    <s v="002"/>
    <s v="08-000017"/>
    <s v="OPERACIONES"/>
    <s v="91.05.01"/>
    <s v="Residuos Aprovechables"/>
    <s v="Pallet de madera"/>
    <s v="20424092941"/>
    <x v="42"/>
    <x v="0"/>
    <s v="FACTURA"/>
    <x v="1"/>
    <s v="110"/>
    <n v="900"/>
    <m/>
    <n v="162"/>
    <m/>
    <n v="1062"/>
    <m/>
    <x v="0"/>
    <m/>
    <s v="70.2.2.1.01"/>
    <m/>
    <x v="1"/>
  </r>
  <r>
    <s v="13/08/2025"/>
    <x v="2"/>
    <s v="002"/>
    <s v="08-000018"/>
    <s v="OPERACIONES"/>
    <s v="91.05.01"/>
    <s v="Residuos Aprovechables"/>
    <s v="Chatarra metálica - alambrón"/>
    <s v="20607388416"/>
    <x v="3"/>
    <x v="0"/>
    <s v="FACTURA"/>
    <x v="2"/>
    <s v="56"/>
    <n v="1036.5999999999999"/>
    <m/>
    <n v="186.59"/>
    <m/>
    <n v="1223.19"/>
    <m/>
    <x v="0"/>
    <m/>
    <s v="70.2.2.1.01"/>
    <m/>
    <x v="1"/>
  </r>
  <r>
    <s v="13/08/2025"/>
    <x v="2"/>
    <s v="002"/>
    <s v="08-000019"/>
    <s v="OPERACIONES"/>
    <s v="91.05.01"/>
    <s v="Residuos Aprovechables"/>
    <s v="Chatarra metálica - alambrón"/>
    <s v="20603065906"/>
    <x v="17"/>
    <x v="0"/>
    <s v="FACTURA"/>
    <x v="2"/>
    <s v="57"/>
    <n v="742.5"/>
    <m/>
    <n v="133.65"/>
    <m/>
    <n v="876.15"/>
    <m/>
    <x v="0"/>
    <m/>
    <s v="70.2.2.1.01"/>
    <m/>
    <x v="1"/>
  </r>
  <r>
    <s v="14/08/2025"/>
    <x v="2"/>
    <s v="002"/>
    <s v="08-000020"/>
    <s v="OPERACIONES"/>
    <s v="91.04.01"/>
    <s v="Transporte de Carga - Local"/>
    <s v="Costo de Transporte - Transporte de Carga - Local"/>
    <s v="20100055237"/>
    <x v="4"/>
    <x v="0"/>
    <s v="FACTURA"/>
    <x v="0"/>
    <s v="205"/>
    <n v="2681.28"/>
    <m/>
    <n v="482.63"/>
    <m/>
    <n v="3163.91"/>
    <m/>
    <x v="0"/>
    <m/>
    <s v="70.3.2.1.04.01"/>
    <m/>
    <x v="2"/>
  </r>
  <r>
    <s v="14/08/2025"/>
    <x v="2"/>
    <s v="002"/>
    <s v="08-000021"/>
    <s v="OPERACIONES"/>
    <s v="91.01.02"/>
    <s v="Residuos No Peligrosos"/>
    <s v="Costo Operativo - Residuos No Peligrosos"/>
    <s v="20603536569"/>
    <x v="13"/>
    <x v="0"/>
    <s v="FACTURA"/>
    <x v="0"/>
    <s v="206"/>
    <n v="8017.7"/>
    <m/>
    <n v="1443.19"/>
    <m/>
    <n v="9460.89"/>
    <m/>
    <x v="0"/>
    <m/>
    <s v="70.3.2.1.01.02"/>
    <m/>
    <x v="5"/>
  </r>
  <r>
    <s v="14/08/2025"/>
    <x v="2"/>
    <s v="002"/>
    <s v="08-000022"/>
    <s v="OPERACIONES"/>
    <s v="91.01.02"/>
    <s v="Residuos No Peligrosos"/>
    <s v="Costo de Disposición - Residuos No Peligrosos"/>
    <s v="20454186002"/>
    <x v="18"/>
    <x v="0"/>
    <s v="FACTURA"/>
    <x v="0"/>
    <s v="207"/>
    <n v="1935.82"/>
    <m/>
    <n v="348.45"/>
    <m/>
    <n v="2284.27"/>
    <m/>
    <x v="0"/>
    <m/>
    <s v="70.3.2.1.01.02"/>
    <m/>
    <x v="5"/>
  </r>
  <r>
    <s v="14/08/2025"/>
    <x v="2"/>
    <s v="002"/>
    <s v="08-000023"/>
    <s v="OPERACIONES"/>
    <s v="91.05.01"/>
    <s v="Residuos Aprovechables"/>
    <s v="Chatarra metálica - alambrón"/>
    <s v="20607388416"/>
    <x v="3"/>
    <x v="0"/>
    <s v="FACTURA"/>
    <x v="2"/>
    <s v="58"/>
    <n v="1781.2"/>
    <m/>
    <n v="320.62"/>
    <m/>
    <n v="2101.8200000000002"/>
    <m/>
    <x v="0"/>
    <m/>
    <s v="70.2.2.1.01"/>
    <m/>
    <x v="1"/>
  </r>
  <r>
    <s v="18/08/2025"/>
    <x v="2"/>
    <s v="002"/>
    <s v="08-000024"/>
    <s v="OPERACIONES"/>
    <s v="91.05.01"/>
    <s v="Residuos Aprovechables"/>
    <s v="Aceite usado"/>
    <s v="20514133931"/>
    <x v="6"/>
    <x v="0"/>
    <s v="FACTURA"/>
    <x v="1"/>
    <s v="111"/>
    <n v="1566.72"/>
    <m/>
    <n v="282.01"/>
    <m/>
    <n v="1848.73"/>
    <m/>
    <x v="0"/>
    <m/>
    <s v="70.2.2.1.01"/>
    <m/>
    <x v="1"/>
  </r>
  <r>
    <s v="19/08/2025"/>
    <x v="2"/>
    <s v="002"/>
    <s v="08-000025"/>
    <s v="OPERACIONES"/>
    <s v="91.01.02"/>
    <s v="Residuos No Peligrosos"/>
    <s v="Costo de Disposición - Residuos No Peligrosos"/>
    <s v="20100383919"/>
    <x v="48"/>
    <x v="0"/>
    <s v="FACTURA"/>
    <x v="0"/>
    <s v="208"/>
    <n v="1028.8"/>
    <m/>
    <n v="185.18"/>
    <m/>
    <n v="1213.98"/>
    <m/>
    <x v="0"/>
    <m/>
    <s v="70.3.2.1.01.02"/>
    <m/>
    <x v="5"/>
  </r>
  <r>
    <s v="19/08/2025"/>
    <x v="2"/>
    <s v="002"/>
    <s v="08-000026"/>
    <s v="OPERACIONES"/>
    <s v="91.01.01"/>
    <s v="Residuos Peligrosos"/>
    <s v="Costo Operativo - Residuos Peligrosos"/>
    <s v="20552714378"/>
    <x v="49"/>
    <x v="0"/>
    <s v="FACTURA"/>
    <x v="0"/>
    <s v="209"/>
    <n v="889.58"/>
    <m/>
    <n v="160.12"/>
    <m/>
    <n v="1049.7"/>
    <m/>
    <x v="0"/>
    <m/>
    <s v="70.3.2.1.01.01"/>
    <m/>
    <x v="0"/>
  </r>
  <r>
    <s v="19/08/2025"/>
    <x v="2"/>
    <s v="002"/>
    <s v="08-000027"/>
    <s v="OPERACIONES"/>
    <s v="91.05.01"/>
    <s v="Residuos Aprovechables"/>
    <s v="Cartón"/>
    <s v="20455283915"/>
    <x v="21"/>
    <x v="0"/>
    <s v="FACTURA"/>
    <x v="1"/>
    <s v="112"/>
    <n v="598.5"/>
    <m/>
    <n v="107.73"/>
    <m/>
    <n v="706.23"/>
    <m/>
    <x v="0"/>
    <m/>
    <s v="70.2.2.1.01"/>
    <m/>
    <x v="1"/>
  </r>
  <r>
    <s v="19/08/2025"/>
    <x v="2"/>
    <s v="002"/>
    <s v="08-000028"/>
    <s v="OPERACIONES"/>
    <s v="91.05.01"/>
    <s v="Residuos Aprovechables"/>
    <s v="Cartón"/>
    <s v="20455283915"/>
    <x v="21"/>
    <x v="0"/>
    <s v="FACTURA"/>
    <x v="1"/>
    <s v="113"/>
    <n v="363"/>
    <m/>
    <n v="65.34"/>
    <m/>
    <n v="428.34"/>
    <m/>
    <x v="0"/>
    <m/>
    <s v="70.2.2.1.01"/>
    <m/>
    <x v="1"/>
  </r>
  <r>
    <s v="19/08/2025"/>
    <x v="2"/>
    <s v="002"/>
    <s v="08-000029"/>
    <s v="OPERACIONES"/>
    <s v="91.05.01"/>
    <s v="Residuos Aprovechables"/>
    <s v="Cartón"/>
    <s v="20455283915"/>
    <x v="21"/>
    <x v="0"/>
    <s v="FACTURA"/>
    <x v="1"/>
    <s v="114"/>
    <n v="184.5"/>
    <m/>
    <n v="33.21"/>
    <m/>
    <n v="217.71"/>
    <m/>
    <x v="0"/>
    <m/>
    <s v="70.2.2.1.01"/>
    <m/>
    <x v="1"/>
  </r>
  <r>
    <s v="19/08/2025"/>
    <x v="2"/>
    <s v="002"/>
    <s v="08-000030"/>
    <s v="OPERACIONES"/>
    <s v="91.05.01"/>
    <s v="Residuos Aprovechables"/>
    <s v="Cartón"/>
    <s v="20455283915"/>
    <x v="21"/>
    <x v="0"/>
    <s v="FACTURA"/>
    <x v="1"/>
    <s v="115"/>
    <n v="577.5"/>
    <m/>
    <n v="103.95"/>
    <m/>
    <n v="681.45"/>
    <m/>
    <x v="0"/>
    <m/>
    <s v="70.2.2.1.01"/>
    <m/>
    <x v="1"/>
  </r>
  <r>
    <s v="19/08/2025"/>
    <x v="2"/>
    <s v="002"/>
    <s v="08-000031"/>
    <s v="OPERACIONES"/>
    <s v="91.05.01"/>
    <s v="Residuos Aprovechables"/>
    <s v="Cartón"/>
    <s v="20455283915"/>
    <x v="21"/>
    <x v="0"/>
    <s v="FACTURA"/>
    <x v="1"/>
    <s v="116"/>
    <n v="396"/>
    <m/>
    <n v="71.28"/>
    <m/>
    <n v="467.28"/>
    <m/>
    <x v="0"/>
    <m/>
    <s v="70.2.2.1.01"/>
    <m/>
    <x v="1"/>
  </r>
  <r>
    <s v="19/08/2025"/>
    <x v="2"/>
    <s v="002"/>
    <s v="08-000032"/>
    <s v="OPERACIONES"/>
    <s v="91.05.01"/>
    <s v="Residuos Aprovechables"/>
    <s v="Pallet de madera"/>
    <s v="20424092941"/>
    <x v="42"/>
    <x v="0"/>
    <s v="FACTURA"/>
    <x v="1"/>
    <s v="117"/>
    <n v="360"/>
    <m/>
    <n v="64.8"/>
    <m/>
    <n v="424.8"/>
    <m/>
    <x v="0"/>
    <m/>
    <s v="70.2.2.1.01"/>
    <m/>
    <x v="1"/>
  </r>
  <r>
    <s v="19/08/2025"/>
    <x v="2"/>
    <s v="002"/>
    <s v="08-000033"/>
    <s v="OPERACIONES"/>
    <s v="91.05.01"/>
    <s v="Residuos Aprovechables"/>
    <s v="Pallet de madera"/>
    <s v="20612478920"/>
    <x v="50"/>
    <x v="0"/>
    <s v="FACTURA"/>
    <x v="1"/>
    <s v="118"/>
    <n v="45"/>
    <m/>
    <n v="8.1"/>
    <m/>
    <n v="53.1"/>
    <m/>
    <x v="0"/>
    <m/>
    <s v="70.2.2.1.01"/>
    <m/>
    <x v="1"/>
  </r>
  <r>
    <s v="21/08/2025"/>
    <x v="2"/>
    <s v="002"/>
    <s v="08-000034"/>
    <s v="OPERACIONES"/>
    <s v="91.01.02"/>
    <s v="Residuos No Peligrosos"/>
    <s v="Costo Operativo - Residuos No Peligrosos"/>
    <s v="20419158462"/>
    <x v="35"/>
    <x v="0"/>
    <s v="FACTURA"/>
    <x v="0"/>
    <s v="210"/>
    <n v="2597.6999999999998"/>
    <m/>
    <n v="467.59"/>
    <m/>
    <n v="3065.29"/>
    <m/>
    <x v="0"/>
    <m/>
    <s v="70.3.2.1.01.02"/>
    <m/>
    <x v="5"/>
  </r>
  <r>
    <s v="21/08/2025"/>
    <x v="2"/>
    <s v="002"/>
    <s v="08-000035"/>
    <s v="OPERACIONES"/>
    <s v="91.05.01"/>
    <s v="Residuos Aprovechables"/>
    <s v="Madera gruesa"/>
    <s v="20613110586"/>
    <x v="12"/>
    <x v="0"/>
    <s v="FACTURA"/>
    <x v="1"/>
    <s v="119"/>
    <n v="590"/>
    <m/>
    <n v="106.2"/>
    <m/>
    <n v="696.2"/>
    <m/>
    <x v="0"/>
    <m/>
    <s v="70.2.2.1.01"/>
    <m/>
    <x v="1"/>
  </r>
  <r>
    <s v="21/08/2025"/>
    <x v="2"/>
    <s v="002"/>
    <s v="08-000036"/>
    <s v="OPERACIONES"/>
    <s v="91.05.01"/>
    <s v="Residuos Aprovechables"/>
    <s v="Chatarra metálica"/>
    <s v="20603065906"/>
    <x v="17"/>
    <x v="0"/>
    <s v="FACTURA"/>
    <x v="2"/>
    <s v="59"/>
    <n v="2001"/>
    <m/>
    <n v="360.18"/>
    <m/>
    <n v="2361.1799999999998"/>
    <m/>
    <x v="0"/>
    <m/>
    <s v="70.2.2.1.01"/>
    <m/>
    <x v="1"/>
  </r>
  <r>
    <s v="22/08/2025"/>
    <x v="2"/>
    <s v="002"/>
    <s v="08-000037"/>
    <s v="OPERACIONES"/>
    <s v="91.01.02"/>
    <s v="Residuos No Peligrosos"/>
    <s v="Costo Operativo - Residuos No Peligrosos"/>
    <s v="20515758659"/>
    <x v="51"/>
    <x v="0"/>
    <s v="FACTURA"/>
    <x v="0"/>
    <s v="211"/>
    <n v="5199.95"/>
    <m/>
    <n v="935.99"/>
    <m/>
    <n v="6135.94"/>
    <m/>
    <x v="0"/>
    <m/>
    <s v="70.3.2.1.01.02"/>
    <m/>
    <x v="5"/>
  </r>
  <r>
    <s v="22/08/2025"/>
    <x v="2"/>
    <s v="002"/>
    <s v="08-000038"/>
    <s v="OPERACIONES"/>
    <s v="91.01.01"/>
    <s v="Residuos Peligrosos"/>
    <s v="Costo Operativo - Residuos Peligrosos"/>
    <s v="20565347099"/>
    <x v="52"/>
    <x v="0"/>
    <s v="FACTURA"/>
    <x v="0"/>
    <s v="212"/>
    <n v="1804.8"/>
    <m/>
    <n v="324.86"/>
    <m/>
    <n v="2129.66"/>
    <m/>
    <x v="0"/>
    <m/>
    <s v="70.3.2.1.01.01"/>
    <m/>
    <x v="0"/>
  </r>
  <r>
    <s v="22/08/2025"/>
    <x v="2"/>
    <s v="002"/>
    <s v="08-000039"/>
    <s v="OPERACIONES"/>
    <s v="91.01.01"/>
    <s v="Residuos Peligrosos"/>
    <s v="Costo Administrativo - Residuos Peligrosos"/>
    <s v="20456012427"/>
    <x v="10"/>
    <x v="0"/>
    <s v="FACTURA"/>
    <x v="0"/>
    <s v="213"/>
    <n v="830"/>
    <m/>
    <n v="149.4"/>
    <m/>
    <n v="979.4"/>
    <m/>
    <x v="0"/>
    <m/>
    <s v="70.3.2.1.01.01"/>
    <m/>
    <x v="0"/>
  </r>
  <r>
    <s v="22/08/2025"/>
    <x v="2"/>
    <s v="002"/>
    <s v="08-000040"/>
    <s v="OPERACIONES"/>
    <s v="91.01.02"/>
    <s v="Residuos No Peligrosos"/>
    <s v="Costo Operativo - Residuos No Peligrosos"/>
    <s v="20477233458"/>
    <x v="53"/>
    <x v="0"/>
    <s v="FACTURA"/>
    <x v="0"/>
    <s v="214"/>
    <n v="1783"/>
    <m/>
    <n v="320.94"/>
    <m/>
    <n v="2103.94"/>
    <m/>
    <x v="0"/>
    <m/>
    <s v="70.3.2.1.01.02"/>
    <m/>
    <x v="5"/>
  </r>
  <r>
    <s v="25/08/2025"/>
    <x v="2"/>
    <s v="002"/>
    <s v="08-000041"/>
    <s v="OPERACIONES"/>
    <s v="91.01.02"/>
    <s v="Residuos No Peligrosos"/>
    <s v="Costo Operativo - RCD"/>
    <s v="20558353814"/>
    <x v="54"/>
    <x v="0"/>
    <s v="FACTURA"/>
    <x v="0"/>
    <s v="215"/>
    <n v="45.5"/>
    <m/>
    <n v="8.19"/>
    <m/>
    <n v="53.69"/>
    <m/>
    <x v="0"/>
    <m/>
    <s v="70.3.2.1.01.02"/>
    <m/>
    <x v="5"/>
  </r>
  <r>
    <s v="25/08/2025"/>
    <x v="2"/>
    <s v="002"/>
    <s v="08-000041"/>
    <s v="OPERACIONES"/>
    <s v="91.01.05"/>
    <s v="RCD"/>
    <s v="Costo Operativo - RCD"/>
    <s v="20558353814"/>
    <x v="54"/>
    <x v="0"/>
    <s v="FACTURA"/>
    <x v="0"/>
    <s v="215"/>
    <n v="4224"/>
    <m/>
    <n v="760.31999999999994"/>
    <m/>
    <n v="4984.32"/>
    <m/>
    <x v="0"/>
    <m/>
    <s v="70.3.2.1.01.05"/>
    <m/>
    <x v="9"/>
  </r>
  <r>
    <s v="25/08/2025"/>
    <x v="2"/>
    <s v="002"/>
    <s v="08-000042"/>
    <s v="OPERACIONES"/>
    <s v="91.01.01"/>
    <s v="Residuos Peligrosos"/>
    <s v="Costo Operativo - Residuos Peligrosos"/>
    <s v="20161541991"/>
    <x v="55"/>
    <x v="0"/>
    <s v="FACTURA"/>
    <x v="0"/>
    <s v="216"/>
    <n v="1021.2"/>
    <m/>
    <n v="183.82"/>
    <m/>
    <n v="1205.02"/>
    <m/>
    <x v="0"/>
    <m/>
    <s v="70.3.2.1.01.01"/>
    <m/>
    <x v="0"/>
  </r>
  <r>
    <s v="25/08/2025"/>
    <x v="2"/>
    <s v="002"/>
    <s v="08-000043"/>
    <s v="OPERACIONES"/>
    <s v="91.01.04"/>
    <s v="RAEE"/>
    <s v="Costo Operativo - RAEE"/>
    <s v="20161541991"/>
    <x v="55"/>
    <x v="0"/>
    <s v="FACTURA"/>
    <x v="0"/>
    <s v="217"/>
    <n v="199"/>
    <m/>
    <n v="35.82"/>
    <m/>
    <n v="234.82"/>
    <m/>
    <x v="0"/>
    <m/>
    <s v="70.3.2.1.01.04"/>
    <m/>
    <x v="10"/>
  </r>
  <r>
    <s v="25/08/2025"/>
    <x v="2"/>
    <s v="002"/>
    <s v="08-000044"/>
    <s v="OPERACIONES"/>
    <s v="91.01.02"/>
    <s v="Residuos No Peligrosos"/>
    <s v="Costo Operativo - Residuos No Peligrosos"/>
    <s v="20419158462"/>
    <x v="35"/>
    <x v="0"/>
    <s v="FACTURA"/>
    <x v="0"/>
    <s v="218"/>
    <n v="1221.5999999999999"/>
    <m/>
    <n v="219.89"/>
    <m/>
    <n v="1441.49"/>
    <m/>
    <x v="0"/>
    <m/>
    <s v="70.3.2.1.01.02"/>
    <m/>
    <x v="5"/>
  </r>
  <r>
    <s v="25/08/2025"/>
    <x v="2"/>
    <s v="002"/>
    <s v="08-000045"/>
    <s v="OPERACIONES"/>
    <s v="91.01.02"/>
    <s v="Residuos No Peligrosos"/>
    <s v="Costo Operativo - Residuos No Peligrosos"/>
    <s v="20419158462"/>
    <x v="35"/>
    <x v="0"/>
    <s v="FACTURA"/>
    <x v="0"/>
    <s v="219"/>
    <n v="1429.7"/>
    <m/>
    <n v="257.35000000000002"/>
    <m/>
    <n v="1687.05"/>
    <m/>
    <x v="0"/>
    <m/>
    <s v="70.3.2.1.01.02"/>
    <m/>
    <x v="5"/>
  </r>
  <r>
    <s v="25/08/2025"/>
    <x v="2"/>
    <s v="002"/>
    <s v="08-000046"/>
    <s v="OPERACIONES"/>
    <s v="91.05.01"/>
    <s v="Residuos Aprovechables"/>
    <s v="Chatarra metálica - alambrón"/>
    <s v="20402885549"/>
    <x v="5"/>
    <x v="0"/>
    <s v="FACTURA"/>
    <x v="1"/>
    <s v="120"/>
    <n v="19909.8"/>
    <m/>
    <n v="3583.76"/>
    <m/>
    <n v="23493.56"/>
    <m/>
    <x v="0"/>
    <m/>
    <s v="70.2.2.1.01"/>
    <m/>
    <x v="1"/>
  </r>
  <r>
    <s v="26/08/2025"/>
    <x v="2"/>
    <s v="002"/>
    <s v="08-000047"/>
    <s v="OPERACIONES"/>
    <s v="91.01.01"/>
    <s v="Residuos Peligrosos"/>
    <s v="Servicio de disposición de residuos según OC"/>
    <s v="20100192064"/>
    <x v="1"/>
    <x v="0"/>
    <s v="FACTURA"/>
    <x v="0"/>
    <s v="220"/>
    <n v="15407.98"/>
    <m/>
    <n v="2773.42"/>
    <m/>
    <n v="18181.400000000001"/>
    <m/>
    <x v="0"/>
    <m/>
    <s v="70.3.2.1.01.01"/>
    <m/>
    <x v="0"/>
  </r>
  <r>
    <s v="26/08/2025"/>
    <x v="2"/>
    <s v="002"/>
    <s v="08-000048"/>
    <s v="OPERACIONES"/>
    <s v="91.01.01"/>
    <s v="Residuos Peligrosos"/>
    <s v="Servicio de disposición de residuos según OC"/>
    <s v="20100192064"/>
    <x v="1"/>
    <x v="0"/>
    <s v="FACTURA"/>
    <x v="0"/>
    <s v="221"/>
    <n v="5194.3"/>
    <m/>
    <n v="934.97"/>
    <m/>
    <n v="6129.27"/>
    <m/>
    <x v="0"/>
    <m/>
    <s v="70.3.2.1.01.01"/>
    <m/>
    <x v="0"/>
  </r>
  <r>
    <s v="26/08/2025"/>
    <x v="2"/>
    <s v="002"/>
    <s v="08-000049"/>
    <s v="OPERACIONES"/>
    <s v="91.05.01"/>
    <s v="Residuos Aprovechables"/>
    <s v="Pallet de madera"/>
    <s v="20424092941"/>
    <x v="42"/>
    <x v="0"/>
    <s v="FACTURA"/>
    <x v="1"/>
    <s v="121"/>
    <n v="800"/>
    <m/>
    <n v="144"/>
    <m/>
    <n v="944"/>
    <m/>
    <x v="0"/>
    <m/>
    <s v="70.2.2.1.01"/>
    <m/>
    <x v="1"/>
  </r>
  <r>
    <s v="26/08/2025"/>
    <x v="2"/>
    <s v="002"/>
    <s v="08-000050"/>
    <s v="OPERACIONES"/>
    <s v="91.01.02"/>
    <s v="Residuos No Peligrosos"/>
    <s v="Costo de Disposición - Residuos No Peligrosos"/>
    <s v="20454186002"/>
    <x v="18"/>
    <x v="0"/>
    <s v="FACTURA"/>
    <x v="0"/>
    <s v="222"/>
    <n v="1548.72"/>
    <m/>
    <n v="278.77"/>
    <m/>
    <n v="1827.49"/>
    <m/>
    <x v="0"/>
    <m/>
    <s v="70.3.2.1.01.02"/>
    <m/>
    <x v="5"/>
  </r>
  <r>
    <s v="26/08/2025"/>
    <x v="2"/>
    <s v="002"/>
    <s v="08-000051"/>
    <s v="OPERACIONES"/>
    <s v="91.01.01"/>
    <s v="Residuos Peligrosos"/>
    <s v="Costo Operativo - Residuos Peligrosos"/>
    <s v="20100172543"/>
    <x v="23"/>
    <x v="0"/>
    <s v="FACTURA"/>
    <x v="0"/>
    <s v="223"/>
    <n v="1244.22"/>
    <m/>
    <n v="223.96"/>
    <m/>
    <n v="1468.18"/>
    <m/>
    <x v="0"/>
    <m/>
    <s v="70.3.2.1.01.01"/>
    <m/>
    <x v="0"/>
  </r>
  <r>
    <s v="27/08/2025"/>
    <x v="2"/>
    <s v="002"/>
    <s v="08-000052"/>
    <s v="OPERACIONES"/>
    <s v="91.01.02"/>
    <s v="Residuos No Peligrosos"/>
    <s v="Costo de Disposición - Residuos No Peligrosos"/>
    <s v="20100211115"/>
    <x v="29"/>
    <x v="0"/>
    <s v="FACTURA"/>
    <x v="0"/>
    <s v="224"/>
    <n v="3753"/>
    <m/>
    <n v="675.54"/>
    <m/>
    <n v="4428.54"/>
    <m/>
    <x v="0"/>
    <m/>
    <s v="70.3.2.1.01.02"/>
    <m/>
    <x v="5"/>
  </r>
  <r>
    <s v="27/08/2025"/>
    <x v="2"/>
    <s v="002"/>
    <s v="08-000053"/>
    <s v="OPERACIONES"/>
    <s v="91.01.01"/>
    <s v="Residuos Peligrosos"/>
    <s v="Costo de Disposición - Residuos Peligrosos"/>
    <s v="20100211115"/>
    <x v="29"/>
    <x v="0"/>
    <s v="FACTURA"/>
    <x v="0"/>
    <s v="225"/>
    <n v="4775.6499999999996"/>
    <m/>
    <n v="859.62"/>
    <m/>
    <n v="5635.27"/>
    <m/>
    <x v="0"/>
    <m/>
    <s v="70.3.2.1.01.01"/>
    <m/>
    <x v="0"/>
  </r>
  <r>
    <s v="27/08/2025"/>
    <x v="2"/>
    <s v="002"/>
    <s v="08-000054"/>
    <s v="OPERACIONES"/>
    <s v="91.01.02"/>
    <s v="Residuos No Peligrosos"/>
    <s v="Costo de Disposición - Residuos No Peligrosos"/>
    <s v="20100211115"/>
    <x v="29"/>
    <x v="0"/>
    <s v="FACTURA"/>
    <x v="0"/>
    <s v="226"/>
    <n v="1391.04"/>
    <m/>
    <n v="250.39"/>
    <m/>
    <n v="1641.43"/>
    <m/>
    <x v="0"/>
    <m/>
    <s v="70.3.2.1.01.02"/>
    <m/>
    <x v="5"/>
  </r>
  <r>
    <s v="27/08/2025"/>
    <x v="2"/>
    <s v="002"/>
    <s v="08-000055"/>
    <s v="OPERACIONES"/>
    <s v="91.05.01"/>
    <s v="Residuos Aprovechables"/>
    <s v="Chatarra metálica - alambrón"/>
    <s v="20601119600"/>
    <x v="25"/>
    <x v="0"/>
    <s v="FACTURA"/>
    <x v="2"/>
    <s v="60"/>
    <n v="986.86"/>
    <m/>
    <n v="177.63"/>
    <m/>
    <n v="1164.49"/>
    <m/>
    <x v="0"/>
    <m/>
    <s v="70.2.2.1.01"/>
    <m/>
    <x v="1"/>
  </r>
  <r>
    <s v="28/08/2025"/>
    <x v="2"/>
    <s v="002"/>
    <s v="08-000056"/>
    <s v="OPERACIONES"/>
    <s v="91.05.01"/>
    <s v="Residuos Aprovechables"/>
    <s v="Cartón"/>
    <s v="20455283915"/>
    <x v="21"/>
    <x v="0"/>
    <s v="FACTURA"/>
    <x v="1"/>
    <s v="122"/>
    <n v="898.5"/>
    <m/>
    <n v="161.72999999999999"/>
    <m/>
    <n v="1060.23"/>
    <m/>
    <x v="0"/>
    <m/>
    <s v="70.2.2.1.01"/>
    <m/>
    <x v="1"/>
  </r>
  <r>
    <s v="28/08/2025"/>
    <x v="2"/>
    <s v="002"/>
    <s v="08-000057"/>
    <s v="OPERACIONES"/>
    <s v="91.05.01"/>
    <s v="Residuos Aprovechables"/>
    <s v="Cartón"/>
    <s v="20455283915"/>
    <x v="21"/>
    <x v="0"/>
    <s v="FACTURA"/>
    <x v="1"/>
    <s v="123"/>
    <n v="499.5"/>
    <m/>
    <n v="89.91"/>
    <m/>
    <n v="589.41"/>
    <m/>
    <x v="0"/>
    <m/>
    <s v="70.2.2.1.01"/>
    <m/>
    <x v="1"/>
  </r>
  <r>
    <s v="28/08/2025"/>
    <x v="2"/>
    <s v="002"/>
    <s v="08-000058"/>
    <s v="OPERACIONES"/>
    <s v="91.05.01"/>
    <s v="Residuos Aprovechables"/>
    <s v="Cartón"/>
    <s v="20455283915"/>
    <x v="21"/>
    <x v="0"/>
    <s v="FACTURA"/>
    <x v="1"/>
    <s v="124"/>
    <n v="306"/>
    <m/>
    <n v="55.08"/>
    <m/>
    <n v="361.08"/>
    <m/>
    <x v="0"/>
    <m/>
    <s v="70.2.2.1.01"/>
    <m/>
    <x v="1"/>
  </r>
  <r>
    <s v="28/08/2025"/>
    <x v="2"/>
    <s v="002"/>
    <s v="08-000059"/>
    <s v="OPERACIONES"/>
    <s v="91.05.01"/>
    <s v="Residuos Aprovechables"/>
    <s v="Cartón"/>
    <s v="20455283915"/>
    <x v="21"/>
    <x v="0"/>
    <s v="FACTURA"/>
    <x v="1"/>
    <s v="125"/>
    <n v="388.5"/>
    <m/>
    <n v="69.930000000000007"/>
    <m/>
    <n v="458.43"/>
    <m/>
    <x v="0"/>
    <m/>
    <s v="70.2.2.1.01"/>
    <m/>
    <x v="1"/>
  </r>
  <r>
    <s v="28/08/2025"/>
    <x v="2"/>
    <s v="002"/>
    <s v="08-000060"/>
    <s v="OPERACIONES"/>
    <s v="91.05.01"/>
    <s v="Residuos Aprovechables"/>
    <s v="Papel blanco"/>
    <s v="20498309713"/>
    <x v="41"/>
    <x v="0"/>
    <s v="FACTURA"/>
    <x v="1"/>
    <s v="126"/>
    <n v="1301"/>
    <m/>
    <n v="234.18"/>
    <m/>
    <n v="1535.18"/>
    <m/>
    <x v="0"/>
    <m/>
    <s v="70.2.2.1.01"/>
    <m/>
    <x v="1"/>
  </r>
  <r>
    <s v="29/08/2025"/>
    <x v="2"/>
    <s v="002"/>
    <s v="08-000061"/>
    <s v="OPERACIONES"/>
    <s v="91.01.02"/>
    <s v="Residuos No Peligrosos"/>
    <s v="Costo de Disposición - Residuos No Peligrosos"/>
    <s v="20523573226"/>
    <x v="34"/>
    <x v="0"/>
    <s v="FACTURA"/>
    <x v="0"/>
    <s v="227"/>
    <n v="3424.8"/>
    <m/>
    <n v="616.46"/>
    <m/>
    <n v="4041.26"/>
    <m/>
    <x v="0"/>
    <m/>
    <s v="70.3.2.1.01.02"/>
    <m/>
    <x v="5"/>
  </r>
  <r>
    <s v="29/08/2025"/>
    <x v="2"/>
    <s v="002"/>
    <s v="08-000062"/>
    <s v="OPERACIONES"/>
    <s v="91.01.02"/>
    <s v="Residuos No Peligrosos"/>
    <s v="Costo de Disposición - Residuos No Peligrosos"/>
    <s v="20523573226"/>
    <x v="34"/>
    <x v="0"/>
    <s v="FACTURA"/>
    <x v="0"/>
    <s v="228"/>
    <n v="1083.24"/>
    <m/>
    <n v="194.98"/>
    <m/>
    <n v="1278.22"/>
    <m/>
    <x v="0"/>
    <m/>
    <s v="70.3.2.1.01.02"/>
    <m/>
    <x v="5"/>
  </r>
  <r>
    <s v="29/08/2025"/>
    <x v="2"/>
    <s v="002"/>
    <s v="08-000063"/>
    <s v="OPERACIONES"/>
    <s v="91.01.01"/>
    <s v="Residuos Peligrosos"/>
    <s v="Servicio de disposición de residuos según OC"/>
    <s v="20100192064"/>
    <x v="1"/>
    <x v="0"/>
    <s v="FACTURA"/>
    <x v="0"/>
    <s v="229"/>
    <n v="16826.27"/>
    <m/>
    <n v="3028.72"/>
    <m/>
    <n v="19854.990000000002"/>
    <m/>
    <x v="0"/>
    <m/>
    <s v="70.3.2.1.01.01"/>
    <m/>
    <x v="0"/>
  </r>
  <r>
    <s v="29/08/2025"/>
    <x v="2"/>
    <s v="002"/>
    <s v="08-000064"/>
    <s v="OPERACIONES"/>
    <s v="91.05.01"/>
    <s v="Residuos Aprovechables"/>
    <s v="Chatarra metálica - alambrón"/>
    <s v="20607388416"/>
    <x v="3"/>
    <x v="0"/>
    <s v="FACTURA"/>
    <x v="2"/>
    <s v="61"/>
    <n v="883.3"/>
    <m/>
    <n v="158.99"/>
    <m/>
    <n v="1042.29"/>
    <m/>
    <x v="0"/>
    <m/>
    <s v="70.2.2.1.01"/>
    <m/>
    <x v="1"/>
  </r>
  <r>
    <s v="29/08/2025"/>
    <x v="2"/>
    <s v="002"/>
    <s v="08-000065"/>
    <s v="OPERACIONES"/>
    <s v="91.05.01"/>
    <s v="Residuos Aprovechables"/>
    <s v="botella Pet"/>
    <s v="20606592494"/>
    <x v="32"/>
    <x v="0"/>
    <s v="FACTURA"/>
    <x v="6"/>
    <s v="10"/>
    <n v="4400"/>
    <m/>
    <n v="792"/>
    <m/>
    <n v="5192"/>
    <m/>
    <x v="0"/>
    <m/>
    <s v="70.2.2.1.01"/>
    <m/>
    <x v="1"/>
  </r>
  <r>
    <s v="29/08/2025"/>
    <x v="2"/>
    <s v="002"/>
    <s v="08-000066"/>
    <s v="OPERACIONES"/>
    <s v="91.05.01"/>
    <s v="Residuos Aprovechables"/>
    <s v="Cartón en Desuso"/>
    <s v="20606592494"/>
    <x v="32"/>
    <x v="0"/>
    <s v="FACTURA"/>
    <x v="6"/>
    <s v="11"/>
    <n v="2400"/>
    <m/>
    <n v="432"/>
    <m/>
    <n v="2832"/>
    <m/>
    <x v="0"/>
    <m/>
    <s v="70.2.2.1.01"/>
    <m/>
    <x v="1"/>
  </r>
  <r>
    <s v="29/08/2025"/>
    <x v="2"/>
    <s v="002"/>
    <s v="08-000067"/>
    <s v="OPERACIONES"/>
    <s v="91.05.01"/>
    <s v="Residuos Aprovechables"/>
    <s v="Chatarra Metalica"/>
    <s v="20606592494"/>
    <x v="32"/>
    <x v="0"/>
    <s v="FACTURA"/>
    <x v="6"/>
    <s v="12"/>
    <n v="2700"/>
    <m/>
    <n v="486"/>
    <m/>
    <n v="3186"/>
    <m/>
    <x v="0"/>
    <m/>
    <s v="70.2.2.1.01"/>
    <m/>
    <x v="1"/>
  </r>
  <r>
    <s v="29/08/2025"/>
    <x v="2"/>
    <s v="002"/>
    <s v="08-000068"/>
    <s v="OPERACIONES"/>
    <s v="91.05.01"/>
    <s v="Residuos Aprovechables"/>
    <s v="Papel Blanco"/>
    <s v="20606592494"/>
    <x v="32"/>
    <x v="0"/>
    <s v="FACTURA"/>
    <x v="6"/>
    <s v="13"/>
    <n v="2250"/>
    <m/>
    <n v="405"/>
    <m/>
    <n v="2655"/>
    <m/>
    <x v="0"/>
    <m/>
    <s v="70.2.2.1.01"/>
    <m/>
    <x v="1"/>
  </r>
  <r>
    <s v="29/08/2025"/>
    <x v="2"/>
    <s v="002"/>
    <s v="08-000069"/>
    <s v="OPERACIONES"/>
    <s v="91.05.01"/>
    <s v="Residuos Aprovechables"/>
    <s v="Papel Mixto"/>
    <s v="20606592494"/>
    <x v="32"/>
    <x v="0"/>
    <s v="FACTURA"/>
    <x v="6"/>
    <s v="14"/>
    <n v="1000"/>
    <m/>
    <n v="180"/>
    <m/>
    <n v="1180"/>
    <m/>
    <x v="0"/>
    <m/>
    <s v="70.2.2.1.01"/>
    <m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78">
  <r>
    <s v="01/06/2025"/>
    <x v="0"/>
    <s v="001"/>
    <s v="06_000001"/>
    <x v="0"/>
    <s v="94.01"/>
    <s v="Administracion"/>
    <s v="Vigilancia (Cámaras de Seguridad)"/>
    <s v="20549068201"/>
    <s v="VERISURE PERU S.A.C."/>
    <x v="0"/>
    <s v="FACTURA"/>
    <s v="FE26"/>
    <n v="10638"/>
    <n v="166.54"/>
    <s v=""/>
    <n v="29.977199999999996"/>
    <s v=""/>
    <n v="0"/>
    <n v="196.52"/>
    <m/>
    <m/>
    <m/>
    <m/>
    <m/>
    <s v="63.6.9.1"/>
    <s v="Vigilancia (Cámaras de Seguridad)"/>
    <x v="0"/>
  </r>
  <r>
    <s v="02/06/2025"/>
    <x v="0"/>
    <s v="001"/>
    <s v="06_000002"/>
    <x v="1"/>
    <s v="91.06.02.01"/>
    <s v="V9R_903"/>
    <s v="Balanza 24414"/>
    <s v="20124952850"/>
    <s v="ALIMENTOS Y SERVICIOS AGROPECUARIOS SRL."/>
    <x v="0"/>
    <s v="FACTURA"/>
    <s v="F002"/>
    <n v="132626"/>
    <n v="8.4700000000000006"/>
    <s v=""/>
    <n v="1.5246"/>
    <s v=""/>
    <n v="0"/>
    <n v="10"/>
    <m/>
    <m/>
    <m/>
    <m/>
    <s v="24414"/>
    <s v="63.1.1.7.02"/>
    <s v="Balanza 24414"/>
    <x v="1"/>
  </r>
  <r>
    <s v="02/06/2025"/>
    <x v="0"/>
    <s v="001"/>
    <s v="06_000003"/>
    <x v="1"/>
    <s v="91.06.02.01"/>
    <s v="V9R_903"/>
    <s v="Balanza 24416"/>
    <s v="20124952850"/>
    <s v="ALIMENTOS Y SERVICIOS AGROPECUARIOS SRL."/>
    <x v="0"/>
    <s v="FACTURA"/>
    <s v="F002"/>
    <n v="132625"/>
    <n v="8.4700000000000006"/>
    <s v=""/>
    <n v="1.5246"/>
    <s v=""/>
    <n v="0"/>
    <n v="10"/>
    <m/>
    <m/>
    <m/>
    <m/>
    <s v="24416"/>
    <s v="63.1.1.7.02"/>
    <s v="Balanza 24416"/>
    <x v="1"/>
  </r>
  <r>
    <s v="02/06/2025"/>
    <x v="0"/>
    <s v="001"/>
    <s v="06_000004"/>
    <x v="1"/>
    <s v="91.06.02.01"/>
    <s v="V9R_903"/>
    <s v="Balanza 24415"/>
    <s v="20124952850"/>
    <s v="ALIMENTOS Y SERVICIOS AGROPECUARIOS SRL."/>
    <x v="0"/>
    <s v="FACTURA"/>
    <s v="F002"/>
    <n v="132631"/>
    <n v="8.4700000000000006"/>
    <s v=""/>
    <n v="1.5246"/>
    <s v=""/>
    <n v="0"/>
    <n v="10"/>
    <m/>
    <m/>
    <m/>
    <m/>
    <s v="24415"/>
    <s v="63.1.1.7.02"/>
    <s v="Balanza 24415"/>
    <x v="1"/>
  </r>
  <r>
    <s v="02/06/2025"/>
    <x v="0"/>
    <s v="001"/>
    <s v="06_000005"/>
    <x v="0"/>
    <s v="94.03"/>
    <s v="Logistica"/>
    <s v="Envío de documentación / paquetería"/>
    <s v="20512528458"/>
    <s v="SHALOM EMPRESARIAL S.A.C."/>
    <x v="0"/>
    <s v="FACTURA"/>
    <s v="F207"/>
    <n v="283349"/>
    <n v="37.29"/>
    <s v=""/>
    <n v="6.7121999999999993"/>
    <s v=""/>
    <n v="0"/>
    <n v="44"/>
    <m/>
    <m/>
    <m/>
    <m/>
    <m/>
    <s v="63.1.2.1.01"/>
    <s v="Envío de documentación / paquetería"/>
    <x v="2"/>
  </r>
  <r>
    <s v="02/06/2025"/>
    <x v="0"/>
    <s v="001"/>
    <s v="06_000006"/>
    <x v="2"/>
    <s v="95.01"/>
    <s v="Comercial"/>
    <s v="Merchandising promocional RQ.COM.325"/>
    <s v="20454726473"/>
    <s v="PUBLICIDAD DIGITAL PERU E.I.R.L. - PD PERU E.I.R.L."/>
    <x v="0"/>
    <s v="FACTURA"/>
    <s v="E001"/>
    <n v="2546"/>
    <n v="701.69"/>
    <s v=""/>
    <n v="126.30420000000001"/>
    <s v=""/>
    <n v="0"/>
    <n v="828"/>
    <m/>
    <m/>
    <m/>
    <m/>
    <m/>
    <s v="63.7.1.2"/>
    <s v="Merchandising promocional RQ.COM.325"/>
    <x v="0"/>
  </r>
  <r>
    <s v="01/06/2025"/>
    <x v="0"/>
    <s v="001"/>
    <s v="06_000009"/>
    <x v="0"/>
    <s v="94.01"/>
    <s v="Administracion"/>
    <s v="Internet _ villa esperanza _ Junio"/>
    <s v="20608587803"/>
    <s v="FF AQP E.I.R.L."/>
    <x v="0"/>
    <s v="FACTURA"/>
    <s v="FFF1"/>
    <n v="203"/>
    <n v="152.54"/>
    <s v=""/>
    <n v="27.457199999999997"/>
    <s v=""/>
    <n v="0"/>
    <n v="180"/>
    <m/>
    <m/>
    <m/>
    <m/>
    <m/>
    <s v="63.6.5.1"/>
    <s v="Internet _ villa esperanza _ Junio"/>
    <x v="0"/>
  </r>
  <r>
    <s v="03/06/2025"/>
    <x v="0"/>
    <s v="001"/>
    <s v="06_000010"/>
    <x v="0"/>
    <s v="94.01"/>
    <s v="Administracion"/>
    <s v="Internet _ junio"/>
    <s v="20609368773"/>
    <s v="FIXER TELECOMUNICACIONES SOCIEDAD ANONIMA CERRADA"/>
    <x v="0"/>
    <s v="FACTURA"/>
    <s v="E001"/>
    <n v="429"/>
    <n v="79.900000000000006"/>
    <s v=""/>
    <n v="14.382"/>
    <s v=""/>
    <n v="0"/>
    <n v="94.28"/>
    <m/>
    <m/>
    <m/>
    <m/>
    <m/>
    <s v="63.6.5.1"/>
    <s v="Internet _ junio"/>
    <x v="0"/>
  </r>
  <r>
    <s v="04/06/2025"/>
    <x v="0"/>
    <s v="001"/>
    <s v="06_000011"/>
    <x v="1"/>
    <s v="91.06.02.03"/>
    <s v="BKL_739"/>
    <s v="Mantenimiento Vehicular (Preventivo) RQ.OPE.1183 _ OS 006 _ 138"/>
    <s v="20602441165"/>
    <s v="VOLVO ENGINE AQP E.I.R.L."/>
    <x v="0"/>
    <s v="FACTURA"/>
    <s v="F001"/>
    <n v="482"/>
    <n v="240"/>
    <s v=""/>
    <n v="43.199999999999996"/>
    <s v=""/>
    <n v="0"/>
    <n v="283.2"/>
    <m/>
    <m/>
    <m/>
    <m/>
    <m/>
    <s v="63.4.3.2.02"/>
    <s v="Mantenimiento Vehicular (Preventivo) RQ.OPE.1183 _ OS 006 _ 138"/>
    <x v="3"/>
  </r>
  <r>
    <s v="04/06/2025"/>
    <x v="0"/>
    <s v="001"/>
    <s v="06_000012"/>
    <x v="1"/>
    <s v="91.06.02.03"/>
    <s v="BKL_739"/>
    <s v="Mantenimiento Vehicular (Preventivo) RQ.OPE.1183 _ OS 006 _ 138"/>
    <s v="20602441165"/>
    <s v="VOLVO ENGINE AQP E.I.R.L."/>
    <x v="0"/>
    <s v="FACTURA"/>
    <s v="F001"/>
    <n v="483"/>
    <n v="733.05"/>
    <s v=""/>
    <n v="131.94899999999998"/>
    <s v=""/>
    <n v="0"/>
    <n v="865"/>
    <m/>
    <m/>
    <m/>
    <m/>
    <m/>
    <s v="63.4.3.2.02"/>
    <s v="Mantenimiento Vehicular (Preventivo) RQ.OPE.1183 _ OS 006 _ 138"/>
    <x v="3"/>
  </r>
  <r>
    <s v="04/06/2025"/>
    <x v="0"/>
    <s v="001"/>
    <s v="06_000013"/>
    <x v="1"/>
    <s v="91.06.02.01"/>
    <s v="V9R_903"/>
    <s v="Revisión Técnica Vehicular RQ.OPE.1190 _ OS 006 _ 137"/>
    <s v="20602484425"/>
    <s v="CENTRO DE INSPECCIONES TECNICAS DEL SUR S.A.C."/>
    <x v="0"/>
    <s v="FACTURA"/>
    <s v="F001"/>
    <n v="35937"/>
    <n v="101.69"/>
    <s v=""/>
    <n v="18.304199999999998"/>
    <s v=""/>
    <n v="0"/>
    <n v="120"/>
    <m/>
    <m/>
    <m/>
    <m/>
    <m/>
    <s v="63.4.3.1.01"/>
    <s v="Revisión Técnica Vehicular RQ.OPE.1190 _ OS 006 _ 137"/>
    <x v="4"/>
  </r>
  <r>
    <s v="04/06/2025"/>
    <x v="0"/>
    <s v="001"/>
    <s v="06_000014"/>
    <x v="0"/>
    <m/>
    <m/>
    <m/>
    <s v="20558275082"/>
    <s v="GRUPO LAMH S.R.L."/>
    <x v="0"/>
    <s v="FACTURA"/>
    <s v="E001"/>
    <s v="4302"/>
    <n v="1701.69"/>
    <s v=""/>
    <n v="306.31"/>
    <s v=""/>
    <n v="0"/>
    <n v="2008"/>
    <m/>
    <m/>
    <m/>
    <m/>
    <m/>
    <m/>
    <m/>
    <x v="0"/>
  </r>
  <r>
    <s v="02/06/2025"/>
    <x v="0"/>
    <s v="001"/>
    <s v="06_000015"/>
    <x v="1"/>
    <s v="91.06.02.07"/>
    <s v="VDJ_872"/>
    <s v="Mantenimiento Vehicular (Correctivo)"/>
    <s v="10297014752"/>
    <s v="SACA CHALLCO RENEE"/>
    <x v="1"/>
    <s v="BOLETA DE VENTA"/>
    <s v="002"/>
    <n v="372"/>
    <m/>
    <s v=""/>
    <n v="0"/>
    <s v=""/>
    <n v="170"/>
    <n v="170"/>
    <m/>
    <m/>
    <m/>
    <m/>
    <m/>
    <s v="63.4.3.2.01"/>
    <s v="Mantenimiento Vehicular (Correctivo)"/>
    <x v="5"/>
  </r>
  <r>
    <s v="04/06/2025"/>
    <x v="0"/>
    <s v="001"/>
    <s v="06_000016"/>
    <x v="2"/>
    <s v="95.01"/>
    <s v="Comercial"/>
    <s v="Matenimiento de Contenedores RQ.COM.323"/>
    <s v="10400177851"/>
    <s v="KCANA ALVAREZ MARIA TERESA"/>
    <x v="1"/>
    <s v="BOLETA DE VENTA"/>
    <s v="001"/>
    <n v="8318"/>
    <m/>
    <s v=""/>
    <n v="0"/>
    <s v=""/>
    <n v="12"/>
    <n v="12"/>
    <m/>
    <m/>
    <m/>
    <m/>
    <m/>
    <s v="63.4.1.1.02"/>
    <s v="Matenimiento de Contenedores RQ.COM.323"/>
    <x v="0"/>
  </r>
  <r>
    <s v="03/06/2025"/>
    <x v="0"/>
    <s v="001"/>
    <s v="06_000017"/>
    <x v="1"/>
    <s v="91.05.01"/>
    <s v="Residuos Aprovechables"/>
    <s v="RR SS OC 144"/>
    <s v="20412524218"/>
    <s v="D.C.R. MINERIA Y CONSTRUCCION S.A.C."/>
    <x v="0"/>
    <s v="FACTURA"/>
    <s v="F601"/>
    <n v="19288"/>
    <n v="549.15"/>
    <s v=""/>
    <n v="98.846999999999994"/>
    <s v=""/>
    <n v="0"/>
    <n v="648"/>
    <s v="272209065"/>
    <s v="6/06/2025"/>
    <m/>
    <m/>
    <m/>
    <s v="60.2.1.1"/>
    <s v="RR SS OC 144"/>
    <x v="6"/>
  </r>
  <r>
    <s v="03/06/2025"/>
    <x v="0"/>
    <s v="001"/>
    <s v="06_000018"/>
    <x v="0"/>
    <m/>
    <m/>
    <m/>
    <s v="20100210909"/>
    <s v="LA POSITIVA SEGUROS Y REASEGUROS S.A.A."/>
    <x v="0"/>
    <s v="FACTURA"/>
    <s v="F040"/>
    <s v="456467"/>
    <n v="314.47000000000003"/>
    <s v=""/>
    <n v="56.59"/>
    <s v=""/>
    <n v="0"/>
    <n v="371.06"/>
    <m/>
    <m/>
    <m/>
    <m/>
    <m/>
    <m/>
    <m/>
    <x v="0"/>
  </r>
  <r>
    <s v="03/06/2025"/>
    <x v="0"/>
    <s v="001"/>
    <s v="06_000019"/>
    <x v="1"/>
    <s v="91.06.02.03"/>
    <s v="BKL_739"/>
    <s v="Peaje 24437"/>
    <s v="20517252558"/>
    <s v="CONCESIONARIA VIAL DEL SUR S.A.- COVISUR S.A."/>
    <x v="0"/>
    <s v="FACTURA"/>
    <s v="F112"/>
    <n v="478106"/>
    <n v="6.78"/>
    <s v=""/>
    <n v="1.2203999999999999"/>
    <s v=""/>
    <n v="0"/>
    <n v="8"/>
    <m/>
    <m/>
    <m/>
    <m/>
    <s v="24437"/>
    <s v="63.1.1.3.03"/>
    <s v="Peaje 24437"/>
    <x v="7"/>
  </r>
  <r>
    <s v="03/06/2025"/>
    <x v="0"/>
    <s v="001"/>
    <s v="06_000020"/>
    <x v="1"/>
    <s v="91.06.02.03"/>
    <s v="BKL_739"/>
    <s v="Peaje 24436"/>
    <s v="20517252558"/>
    <s v="CONCESIONARIA VIAL DEL SUR S.A.- COVISUR S.A."/>
    <x v="0"/>
    <s v="FACTURA"/>
    <s v="F212"/>
    <n v="1748397"/>
    <n v="6.78"/>
    <s v=""/>
    <n v="1.2203999999999999"/>
    <s v=""/>
    <n v="0"/>
    <n v="8"/>
    <m/>
    <m/>
    <m/>
    <m/>
    <s v="24436"/>
    <s v="63.1.1.3.03"/>
    <s v="Peaje 24436"/>
    <x v="7"/>
  </r>
  <r>
    <s v="03/06/2025"/>
    <x v="0"/>
    <s v="001"/>
    <s v="06_000021"/>
    <x v="1"/>
    <s v="91.06.02.03"/>
    <s v="BKL_739"/>
    <s v="Peaje 24439"/>
    <s v="20517252558"/>
    <s v="CONCESIONARIA VIAL DEL SUR S.A.- COVISUR S.A."/>
    <x v="0"/>
    <s v="FACTURA"/>
    <s v="F111"/>
    <n v="977336"/>
    <n v="6.78"/>
    <s v=""/>
    <n v="1.2203999999999999"/>
    <s v=""/>
    <n v="0"/>
    <n v="8"/>
    <m/>
    <m/>
    <m/>
    <m/>
    <s v="24439"/>
    <s v="63.1.1.3.03"/>
    <s v="Peaje 24439"/>
    <x v="7"/>
  </r>
  <r>
    <s v="03/06/2025"/>
    <x v="0"/>
    <s v="001"/>
    <s v="06_000022"/>
    <x v="1"/>
    <s v="91.06.02.03"/>
    <s v="BKL_739"/>
    <s v="Peaje 24438"/>
    <s v="20517252558"/>
    <s v="CONCESIONARIA VIAL DEL SUR S.A.- COVISUR S.A."/>
    <x v="0"/>
    <s v="FACTURA"/>
    <s v="F114"/>
    <n v="1066340"/>
    <n v="6.78"/>
    <s v=""/>
    <n v="1.2203999999999999"/>
    <s v=""/>
    <n v="0"/>
    <n v="8"/>
    <m/>
    <m/>
    <m/>
    <m/>
    <s v="24438"/>
    <s v="63.1.1.3.03"/>
    <s v="Peaje 24438"/>
    <x v="7"/>
  </r>
  <r>
    <s v="03/06/2025"/>
    <x v="0"/>
    <s v="001"/>
    <s v="06_000023"/>
    <x v="1"/>
    <s v="91.06.02.03"/>
    <s v="BKL_739"/>
    <s v="Peaje 24440"/>
    <s v="20517252558"/>
    <s v="CONCESIONARIA VIAL DEL SUR S.A.- COVISUR S.A."/>
    <x v="0"/>
    <s v="FACTURA"/>
    <s v="F114"/>
    <n v="1066503"/>
    <n v="6.78"/>
    <s v=""/>
    <n v="1.2203999999999999"/>
    <s v=""/>
    <n v="0"/>
    <n v="8"/>
    <m/>
    <m/>
    <m/>
    <m/>
    <s v="24440"/>
    <s v="63.1.1.3.03"/>
    <s v="Peaje 24440"/>
    <x v="7"/>
  </r>
  <r>
    <s v="03/06/2025"/>
    <x v="0"/>
    <s v="001"/>
    <s v="06_000024"/>
    <x v="1"/>
    <s v="91.06.02.03"/>
    <s v="BKL_739"/>
    <s v="Balanza 24441"/>
    <s v="20454058187"/>
    <s v="ZONA ESPECIAL DE DESARROLLO ZED MATARANI"/>
    <x v="0"/>
    <s v="FACTURA"/>
    <s v="F001"/>
    <n v="17681"/>
    <m/>
    <s v=""/>
    <n v="0"/>
    <s v=""/>
    <n v="11"/>
    <n v="11"/>
    <m/>
    <m/>
    <m/>
    <m/>
    <s v="24441"/>
    <s v="63.1.1.7.02"/>
    <s v="Balanza 24441"/>
    <x v="1"/>
  </r>
  <r>
    <s v="03/06/2025"/>
    <x v="0"/>
    <s v="001"/>
    <s v="06_000025"/>
    <x v="1"/>
    <s v="91.06.02.03"/>
    <s v="BKL_739"/>
    <s v="Balanza 24442"/>
    <s v="20454058187"/>
    <s v="ZONA ESPECIAL DE DESARROLLO ZED MATARANI"/>
    <x v="0"/>
    <s v="FACTURA"/>
    <s v="F001"/>
    <n v="17687"/>
    <m/>
    <s v=""/>
    <n v="0"/>
    <s v=""/>
    <n v="11"/>
    <n v="11"/>
    <m/>
    <m/>
    <m/>
    <m/>
    <s v="24442"/>
    <s v="63.1.1.7.02"/>
    <s v="Balanza 24442"/>
    <x v="1"/>
  </r>
  <r>
    <s v="03/06/2025"/>
    <x v="0"/>
    <s v="001"/>
    <s v="06_000026"/>
    <x v="2"/>
    <s v="95.01"/>
    <s v="Comercial"/>
    <s v="Merchandising promocional RQ.COM.325"/>
    <s v="20602884962"/>
    <s v="LUJAN 7 SOCIEDAD ANONIMA CERRADA - LUJAN 7 S.A.C."/>
    <x v="0"/>
    <s v="FACTURA"/>
    <s v="E001"/>
    <n v="4203"/>
    <n v="80.510000000000005"/>
    <s v=""/>
    <n v="14.4918"/>
    <s v=""/>
    <n v="0"/>
    <n v="95"/>
    <m/>
    <m/>
    <m/>
    <m/>
    <m/>
    <s v="63.7.1.2"/>
    <s v="Merchandising promocional RQ.COM.325"/>
    <x v="0"/>
  </r>
  <r>
    <s v="05/06/2025"/>
    <x v="0"/>
    <s v="001"/>
    <s v="06_000027"/>
    <x v="1"/>
    <s v="91.06.02.01"/>
    <s v="V9R_903"/>
    <s v="Peaje 24463"/>
    <s v="20511465061"/>
    <s v="CONCESIONARIA VIAL DEL PERU S.A."/>
    <x v="0"/>
    <s v="FACTURA"/>
    <s v="F204"/>
    <n v="2874740"/>
    <n v="49.32"/>
    <s v=""/>
    <n v="8.8775999999999993"/>
    <s v=""/>
    <n v="0"/>
    <n v="58.2"/>
    <m/>
    <m/>
    <m/>
    <m/>
    <s v="24463"/>
    <s v="63.1.1.3.02"/>
    <s v="Peaje 24463"/>
    <x v="8"/>
  </r>
  <r>
    <s v="04/06/2025"/>
    <x v="0"/>
    <s v="001"/>
    <s v="06_000028"/>
    <x v="1"/>
    <s v="91.06.02.01"/>
    <s v="V9R_903"/>
    <s v="Peaje 24452"/>
    <s v="20550033519"/>
    <s v="CONCESIONARIA PERUANA DE VIAS-COVINCA S.A."/>
    <x v="0"/>
    <s v="FACTURA"/>
    <s v="FG01"/>
    <n v="604479"/>
    <n v="20"/>
    <s v=""/>
    <n v="3.5999999999999996"/>
    <s v=""/>
    <n v="0"/>
    <n v="23.6"/>
    <m/>
    <m/>
    <m/>
    <m/>
    <s v="24452"/>
    <s v="63.1.1.3.02"/>
    <s v="Peaje 24452"/>
    <x v="8"/>
  </r>
  <r>
    <s v="07/06/2025"/>
    <x v="0"/>
    <s v="001"/>
    <s v="06_000029"/>
    <x v="1"/>
    <s v="91.06.02.01"/>
    <s v="V9R_903"/>
    <s v="Peaje 24480"/>
    <s v="20550372640"/>
    <s v="RUTAS DE LIMA S.A.C."/>
    <x v="0"/>
    <s v="FACTURA"/>
    <s v="F203"/>
    <n v="2668429"/>
    <n v="19.07"/>
    <s v=""/>
    <n v="3.4325999999999999"/>
    <s v=""/>
    <n v="0"/>
    <n v="22.5"/>
    <m/>
    <m/>
    <m/>
    <m/>
    <s v="24480"/>
    <s v="63.1.1.3.02"/>
    <s v="Peaje 24480"/>
    <x v="8"/>
  </r>
  <r>
    <s v="06/06/2025"/>
    <x v="0"/>
    <s v="001"/>
    <s v="06_000030"/>
    <x v="1"/>
    <s v="91.06.02.01"/>
    <s v="V9R_903"/>
    <s v="Peaje 24476"/>
    <s v="20550372640"/>
    <s v="RUTAS DE LIMA S.A.C."/>
    <x v="0"/>
    <s v="FACTURA"/>
    <s v="F604"/>
    <n v="2281580"/>
    <n v="19.07"/>
    <s v=""/>
    <n v="3.4325999999999999"/>
    <s v=""/>
    <n v="0"/>
    <n v="22.5"/>
    <m/>
    <m/>
    <m/>
    <m/>
    <s v="24476"/>
    <s v="63.1.1.3.02"/>
    <s v="Peaje 24476"/>
    <x v="8"/>
  </r>
  <r>
    <s v="08/06/2025"/>
    <x v="0"/>
    <s v="001"/>
    <s v="06_000031"/>
    <x v="1"/>
    <s v="91.06.02.01"/>
    <s v="V9R_903"/>
    <s v="Peaje 24489"/>
    <s v="20511465061"/>
    <s v="CONCESIONARIA VIAL DEL PERU S.A."/>
    <x v="0"/>
    <s v="FACTURA"/>
    <s v="F302"/>
    <n v="2153527"/>
    <n v="49.32"/>
    <s v=""/>
    <n v="8.8775999999999993"/>
    <s v=""/>
    <n v="0"/>
    <n v="58.2"/>
    <m/>
    <m/>
    <m/>
    <m/>
    <s v="24489"/>
    <s v="63.1.1.3.02"/>
    <s v="Peaje 24489"/>
    <x v="8"/>
  </r>
  <r>
    <s v="07/06/2025"/>
    <x v="0"/>
    <s v="001"/>
    <s v="06_000032"/>
    <x v="1"/>
    <s v="91.06.02.01"/>
    <s v="V9R_903"/>
    <s v="Peaje 24481"/>
    <s v="20511465061"/>
    <s v="CONCESIONARIA VIAL DEL PERU S.A."/>
    <x v="0"/>
    <s v="FACTURA"/>
    <s v="F103"/>
    <n v="2203923"/>
    <n v="49.32"/>
    <s v=""/>
    <n v="8.8775999999999993"/>
    <s v=""/>
    <n v="0"/>
    <n v="58.2"/>
    <m/>
    <m/>
    <m/>
    <m/>
    <s v="24481"/>
    <s v="63.1.1.3.02"/>
    <s v="Peaje 24481"/>
    <x v="8"/>
  </r>
  <r>
    <s v="08/06/2025"/>
    <x v="0"/>
    <s v="001"/>
    <s v="06_000033"/>
    <x v="1"/>
    <s v="91.06.02.01"/>
    <s v="V9R_903"/>
    <s v="Peaje 24491"/>
    <s v="20503503639"/>
    <s v="PROYECTO ESPECIAL DE INFRAESTRUCTURA DE TRANSPORTE NACIONAL - PROVIAS NACIONAL"/>
    <x v="2"/>
    <s v="TICKET DE MAQ. REGISTRADORA"/>
    <s v="A3YA1P"/>
    <n v="325033609"/>
    <m/>
    <s v=""/>
    <n v="0"/>
    <s v=""/>
    <n v="19.5"/>
    <n v="19.5"/>
    <m/>
    <m/>
    <m/>
    <m/>
    <s v="24491"/>
    <s v="63.1.1.3.02"/>
    <s v="Peaje 24491"/>
    <x v="8"/>
  </r>
  <r>
    <s v="08/06/2025"/>
    <x v="0"/>
    <s v="001"/>
    <s v="06_000034"/>
    <x v="1"/>
    <s v="91.06.02.01"/>
    <s v="V9R_903"/>
    <s v="Peaje 24490"/>
    <s v="20503503639"/>
    <s v="PROYECTO ESPECIAL DE INFRAESTRUCTURA DE TRANSPORTE NACIONAL - PROVIAS NACIONAL"/>
    <x v="2"/>
    <s v="TICKET DE MAQ. REGISTRADORA"/>
    <s v="A3NA1P"/>
    <n v="325030850"/>
    <m/>
    <s v=""/>
    <n v="0"/>
    <s v=""/>
    <n v="19.5"/>
    <n v="19.5"/>
    <m/>
    <m/>
    <m/>
    <m/>
    <s v="24490"/>
    <s v="63.1.1.3.02"/>
    <s v="Peaje 24490"/>
    <x v="8"/>
  </r>
  <r>
    <s v="08/06/2025"/>
    <x v="0"/>
    <s v="001"/>
    <s v="06_000035"/>
    <x v="1"/>
    <s v="91.06.02.01"/>
    <s v="V9R_903"/>
    <s v="Peaje 24493"/>
    <s v="20550033519"/>
    <s v="CONCESIONARIA PERUANA DE VIAS-COVINCA S.A."/>
    <x v="0"/>
    <s v="FACTURA"/>
    <s v="FA02"/>
    <n v="774194"/>
    <n v="20"/>
    <s v=""/>
    <n v="3.5999999999999996"/>
    <s v=""/>
    <n v="0"/>
    <n v="23.6"/>
    <m/>
    <m/>
    <m/>
    <m/>
    <s v="24493"/>
    <s v="63.1.1.3.02"/>
    <s v="Peaje 24493"/>
    <x v="8"/>
  </r>
  <r>
    <s v="08/06/2025"/>
    <x v="0"/>
    <s v="001"/>
    <s v="06_000036"/>
    <x v="1"/>
    <s v="91.06.02.01"/>
    <s v="V9R_903"/>
    <s v="Peaje 24492"/>
    <s v="20503503639"/>
    <s v="PROYECTO ESPECIAL DE INFRAESTRUCTURA DE TRANSPORTE NACIONAL - PROVIAS NACIONAL"/>
    <x v="2"/>
    <s v="TICKET DE MAQ. REGISTRADORA"/>
    <s v="A3AT1P"/>
    <n v="325029943"/>
    <m/>
    <s v=""/>
    <n v="0"/>
    <s v=""/>
    <n v="19.5"/>
    <n v="19.5"/>
    <m/>
    <m/>
    <m/>
    <m/>
    <s v="24492"/>
    <s v="63.1.1.3.02"/>
    <s v="Peaje 24492"/>
    <x v="8"/>
  </r>
  <r>
    <s v="09/06/2025"/>
    <x v="0"/>
    <s v="001"/>
    <s v="06_000037"/>
    <x v="1"/>
    <s v="91.06.02.01"/>
    <s v="V9R_903"/>
    <s v="Peaje 24495"/>
    <s v="20517252558"/>
    <s v="CONCESIONARIA VIAL DEL SUR S.A.- COVISUR S.A."/>
    <x v="0"/>
    <s v="FACTURA"/>
    <s v="F213"/>
    <n v="1773203"/>
    <n v="10.17"/>
    <s v=""/>
    <n v="1.8306"/>
    <s v=""/>
    <n v="0"/>
    <n v="12"/>
    <m/>
    <m/>
    <m/>
    <m/>
    <s v="24495"/>
    <s v="63.1.1.3.02"/>
    <s v="Peaje 24495"/>
    <x v="8"/>
  </r>
  <r>
    <s v="05/06/2025"/>
    <x v="0"/>
    <s v="001"/>
    <s v="06_000038"/>
    <x v="1"/>
    <s v="91.06.01"/>
    <s v="Operaciones"/>
    <s v="Alimentacion 24459"/>
    <s v="10435753120"/>
    <s v="DELGADO HUANCA NEILA"/>
    <x v="1"/>
    <s v="BOLETA DE VENTA"/>
    <s v="001"/>
    <n v="731"/>
    <m/>
    <s v=""/>
    <n v="0"/>
    <s v=""/>
    <n v="15"/>
    <n v="15"/>
    <m/>
    <m/>
    <m/>
    <m/>
    <s v="24459"/>
    <s v="63.1.4.1.01"/>
    <s v="Alimentacion 24459"/>
    <x v="9"/>
  </r>
  <r>
    <s v="06/06/2025"/>
    <x v="0"/>
    <s v="001"/>
    <s v="06_000039"/>
    <x v="1"/>
    <s v="91.06.01"/>
    <s v="Operaciones"/>
    <s v="Alimentacion 24474"/>
    <s v="10435753120"/>
    <s v="DELGADO HUANCA NEILA"/>
    <x v="1"/>
    <s v="BOLETA DE VENTA"/>
    <s v="001"/>
    <n v="735"/>
    <m/>
    <s v=""/>
    <n v="0"/>
    <s v=""/>
    <n v="30"/>
    <n v="30"/>
    <m/>
    <m/>
    <m/>
    <m/>
    <s v="24474"/>
    <s v="63.1.4.1.01"/>
    <s v="Alimentacion 24474"/>
    <x v="9"/>
  </r>
  <r>
    <s v="05/06/2025"/>
    <x v="0"/>
    <s v="001"/>
    <s v="06_000040"/>
    <x v="1"/>
    <s v="91.06.01"/>
    <s v="Operaciones"/>
    <s v="Alimentacion 24457"/>
    <s v="10215629193"/>
    <s v="LAVADO OCHOA JAIME ANDRES"/>
    <x v="1"/>
    <s v="BOLETA DE VENTA"/>
    <s v="003"/>
    <n v="34526"/>
    <m/>
    <s v=""/>
    <n v="0"/>
    <s v=""/>
    <n v="15"/>
    <n v="15"/>
    <m/>
    <m/>
    <m/>
    <m/>
    <s v="24457"/>
    <s v="63.1.4.1.01"/>
    <s v="Alimentacion 24457"/>
    <x v="9"/>
  </r>
  <r>
    <s v="05/06/2025"/>
    <x v="0"/>
    <s v="001"/>
    <s v="06_000041"/>
    <x v="1"/>
    <s v="91.06.01"/>
    <s v="Operaciones"/>
    <s v="Alojamiento 24461"/>
    <s v="20611670151"/>
    <s v="C &amp; D PADMOT E.I.R.L."/>
    <x v="0"/>
    <s v="FACTURA"/>
    <s v="E001"/>
    <n v="171"/>
    <n v="59.32"/>
    <s v=""/>
    <n v="10.6776"/>
    <s v=""/>
    <n v="0"/>
    <n v="70"/>
    <m/>
    <m/>
    <m/>
    <m/>
    <s v="24461"/>
    <s v="63.1.3.1.01"/>
    <s v="Alojamiento 24461"/>
    <x v="10"/>
  </r>
  <r>
    <s v="03/06/2025"/>
    <x v="0"/>
    <s v="001"/>
    <s v="06_000042"/>
    <x v="1"/>
    <s v="91.06.02.07"/>
    <s v="VDJ_872"/>
    <s v="Peaje 24426"/>
    <s v="20517252558"/>
    <s v="CONCESIONARIA VIAL DEL SUR S.A.- COVISUR S.A."/>
    <x v="0"/>
    <s v="FACTURA"/>
    <s v="F214"/>
    <n v="2070460"/>
    <n v="6.78"/>
    <s v=""/>
    <n v="1.2203999999999999"/>
    <s v=""/>
    <n v="0"/>
    <n v="8"/>
    <m/>
    <m/>
    <m/>
    <m/>
    <s v="24426"/>
    <s v="63.1.1.3.02"/>
    <s v="Peaje 24426"/>
    <x v="8"/>
  </r>
  <r>
    <s v="03/06/2025"/>
    <x v="0"/>
    <s v="001"/>
    <s v="06_000043"/>
    <x v="1"/>
    <s v="91.06.02.07"/>
    <s v="VDJ_872"/>
    <s v="Balanza 24424"/>
    <s v="20259858934"/>
    <s v="COMERCIALIZACION Y SERVICIOS EL EDEN S.A.C."/>
    <x v="0"/>
    <s v="FACTURA"/>
    <s v="FE02"/>
    <n v="16559"/>
    <n v="16.95"/>
    <s v=""/>
    <n v="3.0509999999999997"/>
    <s v=""/>
    <n v="0"/>
    <n v="20"/>
    <m/>
    <m/>
    <m/>
    <m/>
    <s v="24424"/>
    <s v="63.1.1.7.01"/>
    <s v="Balanza 24424"/>
    <x v="11"/>
  </r>
  <r>
    <s v="03/06/2025"/>
    <x v="0"/>
    <s v="001"/>
    <s v="06_000044"/>
    <x v="1"/>
    <s v="91.06.02.07"/>
    <s v="VDJ_872"/>
    <s v="Balanza 24425"/>
    <s v="20259858934"/>
    <s v="COMERCIALIZACION Y SERVICIOS EL EDEN S.A.C."/>
    <x v="0"/>
    <s v="FACTURA"/>
    <s v="FE02"/>
    <n v="16558"/>
    <n v="16.95"/>
    <s v=""/>
    <n v="3.0509999999999997"/>
    <s v=""/>
    <n v="0"/>
    <n v="20"/>
    <m/>
    <m/>
    <m/>
    <m/>
    <s v="24425"/>
    <s v="63.1.1.7.01"/>
    <s v="Balanza 24425"/>
    <x v="11"/>
  </r>
  <r>
    <s v="02/06/2025"/>
    <x v="0"/>
    <s v="001"/>
    <s v="06_000045"/>
    <x v="1"/>
    <s v="91.06.02.02"/>
    <s v="BKK_849"/>
    <s v="Balanza 24407"/>
    <s v="20259858934"/>
    <s v="COMERCIALIZACION Y SERVICIOS EL EDEN S.A.C."/>
    <x v="0"/>
    <s v="FACTURA"/>
    <s v="FE02"/>
    <n v="16551"/>
    <n v="16.95"/>
    <s v=""/>
    <n v="3.0509999999999997"/>
    <s v=""/>
    <n v="0"/>
    <n v="20"/>
    <m/>
    <m/>
    <m/>
    <m/>
    <s v="24407"/>
    <s v="63.1.1.7.02"/>
    <s v="Balanza 24407"/>
    <x v="1"/>
  </r>
  <r>
    <s v="02/06/2025"/>
    <x v="0"/>
    <s v="001"/>
    <s v="06_000046"/>
    <x v="1"/>
    <s v="91.06.02.02"/>
    <s v="BKK_849"/>
    <s v="Peaje 24406"/>
    <s v="20517252558"/>
    <s v="CONCESIONARIA VIAL DEL SUR S.A.- COVISUR S.A."/>
    <x v="0"/>
    <s v="FACTURA"/>
    <s v="F212"/>
    <n v="1747456"/>
    <n v="6.78"/>
    <s v=""/>
    <n v="1.2203999999999999"/>
    <s v=""/>
    <n v="0"/>
    <n v="8"/>
    <m/>
    <m/>
    <m/>
    <m/>
    <s v="24406"/>
    <s v="63.1.1.3.03"/>
    <s v="Peaje 24406"/>
    <x v="7"/>
  </r>
  <r>
    <s v="02/06/2025"/>
    <x v="0"/>
    <s v="001"/>
    <s v="06_000047"/>
    <x v="1"/>
    <s v="91.06.02.02"/>
    <s v="BKK_849"/>
    <s v="Peaje 24405"/>
    <s v="20517252558"/>
    <s v="CONCESIONARIA VIAL DEL SUR S.A.- COVISUR S.A."/>
    <x v="0"/>
    <s v="FACTURA"/>
    <s v="F213"/>
    <n v="1767428"/>
    <n v="6.78"/>
    <s v=""/>
    <n v="1.2203999999999999"/>
    <s v=""/>
    <n v="0"/>
    <n v="8"/>
    <m/>
    <m/>
    <m/>
    <m/>
    <s v="24405"/>
    <s v="63.1.1.3.03"/>
    <s v="Peaje 24405"/>
    <x v="7"/>
  </r>
  <r>
    <s v="04/06/2025"/>
    <x v="0"/>
    <s v="001"/>
    <s v="06_000048"/>
    <x v="1"/>
    <s v="91.06.02.02"/>
    <s v="BKK_849"/>
    <s v="Peaje 24445"/>
    <s v="20517252558"/>
    <s v="CONCESIONARIA VIAL DEL SUR S.A.- COVISUR S.A."/>
    <x v="0"/>
    <s v="FACTURA"/>
    <s v="F213"/>
    <n v="1769284"/>
    <n v="6.78"/>
    <s v=""/>
    <n v="1.2203999999999999"/>
    <s v=""/>
    <n v="0"/>
    <n v="8"/>
    <m/>
    <m/>
    <m/>
    <m/>
    <s v="24445"/>
    <s v="63.1.1.3.03"/>
    <s v="Peaje 24445"/>
    <x v="7"/>
  </r>
  <r>
    <s v="03/06/2025"/>
    <x v="0"/>
    <s v="001"/>
    <s v="06_000049"/>
    <x v="1"/>
    <s v="91.06.02.07"/>
    <s v="VDJ_872"/>
    <s v="Peaje 24423"/>
    <s v="20517252558"/>
    <s v="CONCESIONARIA VIAL DEL SUR S.A.- COVISUR S.A."/>
    <x v="0"/>
    <s v="FACTURA"/>
    <s v="F211"/>
    <n v="2353590"/>
    <n v="6.78"/>
    <s v=""/>
    <n v="1.2203999999999999"/>
    <s v=""/>
    <n v="0"/>
    <n v="8"/>
    <m/>
    <m/>
    <m/>
    <m/>
    <s v="24423"/>
    <s v="63.1.1.3.02"/>
    <s v="Peaje 24423"/>
    <x v="8"/>
  </r>
  <r>
    <s v="06/06/2025"/>
    <x v="0"/>
    <s v="001"/>
    <s v="06_000050"/>
    <x v="1"/>
    <s v="91.06.02.07"/>
    <s v="VDJ_872"/>
    <s v="Peaje 24471"/>
    <s v="20517252558"/>
    <s v="CONCESIONARIA VIAL DEL SUR S.A.- COVISUR S.A."/>
    <x v="0"/>
    <s v="FACTURA"/>
    <s v="F213"/>
    <n v="1771273"/>
    <n v="6.78"/>
    <s v=""/>
    <n v="1.2203999999999999"/>
    <s v=""/>
    <n v="0"/>
    <n v="8"/>
    <m/>
    <m/>
    <m/>
    <m/>
    <s v="24471"/>
    <s v="63.1.1.3.02"/>
    <s v="Peaje 24471"/>
    <x v="8"/>
  </r>
  <r>
    <s v="04/06/2025"/>
    <x v="0"/>
    <s v="001"/>
    <s v="06_000051"/>
    <x v="1"/>
    <s v="91.06.02.02"/>
    <s v="BKK_849"/>
    <s v="Peaje 24446"/>
    <s v="20517252558"/>
    <s v="CONCESIONARIA VIAL DEL SUR S.A.- COVISUR S.A."/>
    <x v="0"/>
    <s v="FACTURA"/>
    <s v="F212"/>
    <n v="1749412"/>
    <n v="6.78"/>
    <s v=""/>
    <n v="1.2203999999999999"/>
    <s v=""/>
    <n v="0"/>
    <n v="8"/>
    <m/>
    <m/>
    <m/>
    <m/>
    <s v="24446"/>
    <s v="63.1.1.3.02"/>
    <s v="Peaje 24446"/>
    <x v="8"/>
  </r>
  <r>
    <s v="06/06/2025"/>
    <x v="0"/>
    <s v="001"/>
    <s v="06_000052"/>
    <x v="1"/>
    <s v="91.06.02.02"/>
    <s v="BKK_849"/>
    <s v="Peaje 24472"/>
    <s v="20517252558"/>
    <s v="CONCESIONARIA VIAL DEL SUR S.A.- COVISUR S.A."/>
    <x v="0"/>
    <s v="FACTURA"/>
    <s v="F212"/>
    <n v="1751406"/>
    <n v="6.78"/>
    <s v=""/>
    <n v="1.2203999999999999"/>
    <s v=""/>
    <n v="0"/>
    <n v="8"/>
    <m/>
    <m/>
    <m/>
    <m/>
    <s v="24472"/>
    <s v="63.1.1.3.02"/>
    <s v="Peaje 24472"/>
    <x v="8"/>
  </r>
  <r>
    <s v="06/06/2025"/>
    <x v="0"/>
    <s v="001"/>
    <s v="06_000053"/>
    <x v="1"/>
    <s v="91.06.02.11"/>
    <s v="Tercerizados"/>
    <s v="Balanza 24469"/>
    <s v="20259858934"/>
    <s v="COMERCIALIZACION Y SERVICIOS EL EDEN S.A.C."/>
    <x v="0"/>
    <s v="FACTURA"/>
    <s v="FE01"/>
    <n v="34843"/>
    <n v="8.4700000000000006"/>
    <s v=""/>
    <n v="1.5246"/>
    <s v=""/>
    <n v="0"/>
    <n v="10"/>
    <m/>
    <m/>
    <m/>
    <m/>
    <s v="24469"/>
    <s v="63.1.1.7.01"/>
    <s v="Balanza 24469"/>
    <x v="11"/>
  </r>
  <r>
    <s v="03/06/2025"/>
    <x v="0"/>
    <s v="001"/>
    <s v="06_000054"/>
    <x v="1"/>
    <s v="91.06.02.01"/>
    <s v="V9R_903"/>
    <s v="Balanza 24421"/>
    <s v="20259858934"/>
    <s v="COMERCIALIZACION Y SERVICIOS EL EDEN S.A.C."/>
    <x v="0"/>
    <s v="FACTURA"/>
    <s v="FE01"/>
    <n v="34819"/>
    <n v="8.4700000000000006"/>
    <s v=""/>
    <n v="1.5246"/>
    <s v=""/>
    <n v="0"/>
    <n v="10"/>
    <m/>
    <m/>
    <m/>
    <m/>
    <s v="24421"/>
    <s v="63.1.1.7.02"/>
    <s v="Balanza 24421"/>
    <x v="1"/>
  </r>
  <r>
    <s v="04/06/2025"/>
    <x v="0"/>
    <s v="001"/>
    <s v="06_000055"/>
    <x v="1"/>
    <s v="91.06.02.03"/>
    <s v="BKL_739"/>
    <s v="Peaje 24444"/>
    <s v="20517252558"/>
    <s v="CONCESIONARIA VIAL DEL SUR S.A.- COVISUR S.A."/>
    <x v="0"/>
    <s v="FACTURA"/>
    <s v="F214"/>
    <n v="2071359"/>
    <n v="6.78"/>
    <s v=""/>
    <n v="1.2203999999999999"/>
    <s v=""/>
    <n v="0"/>
    <n v="8"/>
    <m/>
    <m/>
    <m/>
    <m/>
    <s v="24444"/>
    <s v="63.1.1.3.03"/>
    <s v="Peaje 24444"/>
    <x v="7"/>
  </r>
  <r>
    <s v="04/06/2025"/>
    <x v="0"/>
    <s v="001"/>
    <s v="06_000056"/>
    <x v="1"/>
    <s v="91.06.02.01"/>
    <s v="V9R_903"/>
    <s v="Peaje 24443"/>
    <s v="20517252558"/>
    <s v="CONCESIONARIA VIAL DEL SUR S.A.- COVISUR S.A."/>
    <x v="0"/>
    <s v="FACTURA"/>
    <s v="F212"/>
    <n v="1749519"/>
    <n v="10.17"/>
    <s v=""/>
    <n v="1.8306"/>
    <s v=""/>
    <n v="0"/>
    <n v="12"/>
    <m/>
    <m/>
    <m/>
    <m/>
    <s v="24443"/>
    <s v="63.1.1.3.02"/>
    <s v="Peaje 24443"/>
    <x v="8"/>
  </r>
  <r>
    <s v="06/06/2025"/>
    <x v="0"/>
    <s v="001"/>
    <s v="06_000057"/>
    <x v="1"/>
    <s v="91.06.02.11"/>
    <s v="Tercerizados"/>
    <s v="Peaje 24470"/>
    <s v="20517252558"/>
    <s v="CONCESIONARIA VIAL DEL SUR S.A.- COVISUR S.A."/>
    <x v="0"/>
    <s v="FACTURA"/>
    <s v="F211"/>
    <n v="2357240"/>
    <n v="6.78"/>
    <s v=""/>
    <n v="1.2203999999999999"/>
    <s v=""/>
    <n v="0"/>
    <n v="8"/>
    <m/>
    <m/>
    <m/>
    <m/>
    <s v="24470"/>
    <s v="63.1.1.3.02"/>
    <s v="Peaje 24470"/>
    <x v="8"/>
  </r>
  <r>
    <s v="01/06/2025"/>
    <x v="0"/>
    <s v="001"/>
    <s v="06_000058"/>
    <x v="0"/>
    <s v="94.01"/>
    <s v="Administracion"/>
    <s v="Internet _ Lima"/>
    <s v="20100017491"/>
    <s v="TELEFONICA DEL PERU SAA"/>
    <x v="3"/>
    <s v="RECIBO POR SERV. PUBLICOS"/>
    <s v="S9AA"/>
    <n v="70410182"/>
    <n v="67.709999999999994"/>
    <s v=""/>
    <n v="12.187799999999999"/>
    <s v=""/>
    <n v="0"/>
    <n v="79.900000000000006"/>
    <m/>
    <m/>
    <m/>
    <m/>
    <m/>
    <s v="63.6.5.1"/>
    <s v="Internet _ Lima"/>
    <x v="0"/>
  </r>
  <r>
    <s v="06/06/2025"/>
    <x v="0"/>
    <s v="001"/>
    <s v="06_000059"/>
    <x v="0"/>
    <s v="94.05"/>
    <s v="SSOMA"/>
    <s v="Recarga de extintores RQ.SSO.239"/>
    <s v="20609123762"/>
    <s v="VULCANO EXTINTORES Y SEGURIDAD E.I.R.L."/>
    <x v="0"/>
    <s v="FACTURA"/>
    <s v="E001"/>
    <n v="2841"/>
    <n v="254.24"/>
    <s v=""/>
    <n v="45.763199999999998"/>
    <s v=""/>
    <n v="0"/>
    <n v="300"/>
    <m/>
    <m/>
    <m/>
    <m/>
    <m/>
    <s v="65.9.9.4.03"/>
    <s v="Recarga de extintores RQ.SSO.239"/>
    <x v="0"/>
  </r>
  <r>
    <s v="08/06/2025"/>
    <x v="0"/>
    <s v="001"/>
    <s v="06_000060"/>
    <x v="1"/>
    <s v="91.06.02.04"/>
    <s v="VBB_840"/>
    <s v="Gasolina"/>
    <s v="20127765279"/>
    <s v="COESTI S.A."/>
    <x v="0"/>
    <s v="FACTURA"/>
    <s v="F867"/>
    <n v="165424"/>
    <n v="375.79"/>
    <s v=""/>
    <n v="67.642200000000003"/>
    <s v=""/>
    <n v="0"/>
    <n v="926.16"/>
    <m/>
    <m/>
    <m/>
    <m/>
    <m/>
    <s v="65.6.1.1.01"/>
    <s v="Gasolina"/>
    <x v="12"/>
  </r>
  <r>
    <s v="08/06/2025"/>
    <x v="0"/>
    <s v="001"/>
    <s v="06_000060"/>
    <x v="1"/>
    <s v="91.06.02.06"/>
    <s v="VBW_889"/>
    <s v="Gasolina"/>
    <s v="20127765279"/>
    <s v="COESTI S.A."/>
    <x v="0"/>
    <s v="FACTURA"/>
    <s v="F867"/>
    <n v="165424"/>
    <n v="214.18"/>
    <s v=""/>
    <n v="38.552399999999999"/>
    <s v=""/>
    <n v="0"/>
    <n v="926.16"/>
    <m/>
    <m/>
    <m/>
    <m/>
    <m/>
    <s v="65.6.1.1.01"/>
    <s v="Gasolina"/>
    <x v="12"/>
  </r>
  <r>
    <s v="08/06/2025"/>
    <x v="0"/>
    <s v="001"/>
    <s v="06_000060"/>
    <x v="1"/>
    <s v="91.06.02.07"/>
    <s v="VDJ_872"/>
    <s v="Gasolina"/>
    <s v="20127765279"/>
    <s v="COESTI S.A."/>
    <x v="0"/>
    <s v="FACTURA"/>
    <s v="F867"/>
    <n v="165424"/>
    <n v="159.5"/>
    <s v=""/>
    <n v="28.709999999999997"/>
    <s v=""/>
    <n v="0"/>
    <n v="926.16"/>
    <m/>
    <m/>
    <m/>
    <m/>
    <m/>
    <s v="65.6.1.1.01"/>
    <s v="Gasolina"/>
    <x v="12"/>
  </r>
  <r>
    <s v="08/06/2025"/>
    <x v="0"/>
    <s v="001"/>
    <s v="06_000060"/>
    <x v="1"/>
    <s v="91.06.02.10"/>
    <s v="BDQ_458"/>
    <s v="Gasolina"/>
    <s v="20127765279"/>
    <s v="COESTI S.A."/>
    <x v="0"/>
    <s v="FACTURA"/>
    <s v="F867"/>
    <n v="165424"/>
    <n v="35.409999999999997"/>
    <s v=""/>
    <n v="6.3737999999999992"/>
    <s v=""/>
    <n v="0"/>
    <n v="926.16"/>
    <m/>
    <m/>
    <m/>
    <m/>
    <m/>
    <s v="65.6.1.1.01"/>
    <s v="Gasolina"/>
    <x v="12"/>
  </r>
  <r>
    <s v="08/06/2025"/>
    <x v="0"/>
    <s v="001"/>
    <s v="06_000061"/>
    <x v="1"/>
    <s v="91.06.02.01"/>
    <s v="V9R_903"/>
    <s v="Gasolina"/>
    <s v="20127765279"/>
    <s v="COESTI S.A."/>
    <x v="0"/>
    <s v="FACTURA"/>
    <s v="F864"/>
    <n v="143089"/>
    <n v="2169.12"/>
    <s v=""/>
    <n v="390.44159999999999"/>
    <s v=""/>
    <n v="0"/>
    <n v="3460.86"/>
    <m/>
    <m/>
    <m/>
    <m/>
    <m/>
    <s v="65.6.1.1.01"/>
    <s v="Gasolina"/>
    <x v="12"/>
  </r>
  <r>
    <s v="08/06/2025"/>
    <x v="0"/>
    <s v="001"/>
    <s v="06_000061"/>
    <x v="1"/>
    <s v="91.06.02.02"/>
    <s v="BKK_849"/>
    <s v="Gasolina"/>
    <s v="20127765279"/>
    <s v="COESTI S.A."/>
    <x v="0"/>
    <s v="FACTURA"/>
    <s v="F864"/>
    <n v="143089"/>
    <n v="202.63"/>
    <s v=""/>
    <n v="36.473399999999998"/>
    <s v=""/>
    <n v="0"/>
    <n v="3460.86"/>
    <m/>
    <m/>
    <m/>
    <m/>
    <m/>
    <s v="65.6.1.1.01"/>
    <s v="Gasolina"/>
    <x v="12"/>
  </r>
  <r>
    <s v="08/06/2025"/>
    <x v="0"/>
    <s v="001"/>
    <s v="06_000061"/>
    <x v="1"/>
    <s v="91.06.02.03"/>
    <s v="BKL_739"/>
    <s v="Gasolina"/>
    <s v="20127765279"/>
    <s v="COESTI S.A."/>
    <x v="0"/>
    <s v="FACTURA"/>
    <s v="F864"/>
    <n v="143089"/>
    <n v="561.17999999999995"/>
    <s v=""/>
    <n v="101.01239999999999"/>
    <s v=""/>
    <n v="0"/>
    <n v="3460.86"/>
    <m/>
    <m/>
    <m/>
    <m/>
    <m/>
    <s v="65.6.1.1.01"/>
    <s v="Gasolina"/>
    <x v="12"/>
  </r>
  <r>
    <s v="02/06/2025"/>
    <x v="0"/>
    <s v="001"/>
    <s v="06_000062"/>
    <x v="2"/>
    <s v="95.01"/>
    <s v="Comercial"/>
    <s v="Transporte tercerizado _ Compra de residuos RQ.OPE.1193 _ OS 005 _ 625"/>
    <s v="10736055631"/>
    <s v="HUAMANI MAMANI HUBER ANTHONY"/>
    <x v="0"/>
    <s v="FACTURA"/>
    <s v="E001"/>
    <n v="1"/>
    <n v="400"/>
    <s v=""/>
    <n v="72"/>
    <s v=""/>
    <n v="0"/>
    <n v="472"/>
    <s v="273238065"/>
    <s v="19/06/2025"/>
    <m/>
    <m/>
    <m/>
    <s v="63.1.1.1.02"/>
    <s v="Transporte tercerizado _ Compra de residuos RQ.OPE.1193 _ OS 005 _ 625"/>
    <x v="13"/>
  </r>
  <r>
    <s v="06/06/2025"/>
    <x v="0"/>
    <s v="001"/>
    <s v="06_000063"/>
    <x v="1"/>
    <s v="91.06.02.03"/>
    <s v="BKL_739"/>
    <s v="Revisión Técnica Vehicular RQ.OPE.1189  _ OS 006 _ 140"/>
    <s v="20602484425"/>
    <s v="CENTRO DE INSPECCIONES TECNICAS DEL SUR S.A.C."/>
    <x v="0"/>
    <s v="FACTURA"/>
    <s v="F001"/>
    <n v="36013"/>
    <n v="84.75"/>
    <s v=""/>
    <n v="15.254999999999999"/>
    <s v=""/>
    <n v="0"/>
    <n v="100"/>
    <m/>
    <m/>
    <m/>
    <m/>
    <m/>
    <s v="63.4.3.1.01"/>
    <s v="Revisión Técnica Vehicular RQ.OPE.1189  _ OS 006 _ 140"/>
    <x v="4"/>
  </r>
  <r>
    <s v="06/06/2025"/>
    <x v="0"/>
    <s v="001"/>
    <s v="06_000064"/>
    <x v="1"/>
    <s v="91.06.02.03"/>
    <s v="BKL_739"/>
    <s v="Revisión Técnica Vehicular RQ.OPE.1189 _ OS 006 _ 140"/>
    <s v="20602484425"/>
    <s v="CENTRO DE INSPECCIONES TECNICAS DEL SUR S.A.C."/>
    <x v="0"/>
    <s v="FACTURA"/>
    <s v="F001"/>
    <n v="36014"/>
    <n v="101.69"/>
    <s v=""/>
    <n v="18.304199999999998"/>
    <s v=""/>
    <n v="0"/>
    <n v="120"/>
    <m/>
    <m/>
    <m/>
    <m/>
    <m/>
    <s v="63.4.3.1.01"/>
    <s v="Revisión Técnica Vehicular RQ.OPE.1189 _ OS 006 _ 140"/>
    <x v="4"/>
  </r>
  <r>
    <s v="02/06/2025"/>
    <x v="0"/>
    <s v="001"/>
    <s v="06_000065"/>
    <x v="3"/>
    <s v="97.01"/>
    <s v="Gastos Financieros"/>
    <s v="Comision _ pago de detraccion"/>
    <s v="20100047218"/>
    <s v="BANCO DE CREDITO DEL PERU"/>
    <x v="0"/>
    <s v="FACTURA"/>
    <s v="FN01"/>
    <n v="33142638"/>
    <m/>
    <s v=""/>
    <n v="0"/>
    <s v=""/>
    <n v="10"/>
    <n v="10"/>
    <m/>
    <m/>
    <m/>
    <m/>
    <m/>
    <s v="63.9.1.1.06"/>
    <s v="Comision _ pago de detraccion"/>
    <x v="0"/>
  </r>
  <r>
    <s v="02/06/2025"/>
    <x v="0"/>
    <s v="001"/>
    <s v="06_000066"/>
    <x v="3"/>
    <s v="97.01"/>
    <s v="Gastos Financieros"/>
    <s v="Comision _ giros y transf."/>
    <s v="20100047218"/>
    <s v="BANCO DE CREDITO DEL PERU"/>
    <x v="0"/>
    <s v="FACTURA"/>
    <s v="FN01"/>
    <n v="33158260"/>
    <m/>
    <s v=""/>
    <n v="0"/>
    <s v=""/>
    <n v="9.3000000000000007"/>
    <n v="9.3000000000000007"/>
    <m/>
    <m/>
    <m/>
    <m/>
    <m/>
    <s v="63.9.1.1.05"/>
    <s v="Comision _ giros y transf."/>
    <x v="0"/>
  </r>
  <r>
    <s v="05/06/2025"/>
    <x v="0"/>
    <s v="001"/>
    <s v="06_000067"/>
    <x v="1"/>
    <s v="91.06.02.03"/>
    <s v="BKL_739"/>
    <s v="Peaje 24511"/>
    <s v="20517252558"/>
    <s v="CONCESIONARIA VIAL DEL SUR S.A.- COVISUR S.A."/>
    <x v="0"/>
    <s v="FACTURA"/>
    <s v="F112"/>
    <n v="478653"/>
    <n v="6.78"/>
    <s v=""/>
    <n v="1.2203999999999999"/>
    <s v=""/>
    <n v="0"/>
    <n v="8"/>
    <m/>
    <m/>
    <m/>
    <m/>
    <s v="24511"/>
    <s v="63.1.1.3.02"/>
    <s v="Peaje 24511"/>
    <x v="8"/>
  </r>
  <r>
    <s v="05/06/2025"/>
    <x v="0"/>
    <s v="001"/>
    <s v="06_000068"/>
    <x v="1"/>
    <s v="91.06.02.03"/>
    <s v="BKL_739"/>
    <s v="Peaje 24510"/>
    <s v="20517252558"/>
    <s v="CONCESIONARIA VIAL DEL SUR S.A.- COVISUR S.A."/>
    <x v="0"/>
    <s v="FACTURA"/>
    <s v="F212"/>
    <n v="1750250"/>
    <n v="6.78"/>
    <s v=""/>
    <n v="1.2203999999999999"/>
    <s v=""/>
    <n v="0"/>
    <n v="8"/>
    <m/>
    <m/>
    <m/>
    <m/>
    <s v="24510"/>
    <s v="63.1.1.3.02"/>
    <s v="Peaje 24510"/>
    <x v="8"/>
  </r>
  <r>
    <s v="05/06/2025"/>
    <x v="0"/>
    <s v="001"/>
    <s v="06_000069"/>
    <x v="1"/>
    <s v="91.06.02.03"/>
    <s v="BKL_739"/>
    <s v="Peaje 24513"/>
    <s v="20517252558"/>
    <s v="CONCESIONARIA VIAL DEL SUR S.A.- COVISUR S.A."/>
    <x v="0"/>
    <s v="FACTURA"/>
    <s v="F213"/>
    <n v="1770412"/>
    <n v="6.78"/>
    <s v=""/>
    <n v="1.2203999999999999"/>
    <s v=""/>
    <n v="0"/>
    <n v="8"/>
    <m/>
    <m/>
    <m/>
    <m/>
    <s v="24513"/>
    <s v="63.1.1.3.02"/>
    <s v="Peaje 24513"/>
    <x v="8"/>
  </r>
  <r>
    <s v="05/06/2025"/>
    <x v="0"/>
    <s v="001"/>
    <s v="06_000070"/>
    <x v="1"/>
    <s v="91.06.02.03"/>
    <s v="BKL_739"/>
    <s v="Peaje 24512"/>
    <s v="20517252558"/>
    <s v="CONCESIONARIA VIAL DEL SUR S.A.- COVISUR S.A."/>
    <x v="0"/>
    <s v="FACTURA"/>
    <s v="F114"/>
    <n v="1067690"/>
    <n v="6.78"/>
    <s v=""/>
    <n v="1.2203999999999999"/>
    <s v=""/>
    <n v="0"/>
    <n v="8"/>
    <m/>
    <m/>
    <m/>
    <m/>
    <s v="24512"/>
    <s v="63.1.1.3.02"/>
    <s v="Peaje 24512"/>
    <x v="8"/>
  </r>
  <r>
    <s v="06/06/2025"/>
    <x v="0"/>
    <s v="001"/>
    <s v="06_000071"/>
    <x v="1"/>
    <s v="91.06.02.02"/>
    <s v="BKK_849"/>
    <s v="Peaje 24515"/>
    <s v="20517252558"/>
    <s v="CONCESIONARIA VIAL DEL SUR S.A.- COVISUR S.A."/>
    <x v="0"/>
    <s v="FACTURA"/>
    <s v="F213"/>
    <n v="1771105"/>
    <n v="6.78"/>
    <s v=""/>
    <n v="1.2203999999999999"/>
    <s v=""/>
    <n v="0"/>
    <n v="8"/>
    <m/>
    <m/>
    <m/>
    <m/>
    <s v="24515"/>
    <s v="63.1.1.3.02"/>
    <s v="Peaje 24515"/>
    <x v="8"/>
  </r>
  <r>
    <s v="06/06/2025"/>
    <x v="0"/>
    <s v="001"/>
    <s v="06_000072"/>
    <x v="1"/>
    <s v="91.06.02.07"/>
    <s v="VDJ_872"/>
    <s v="Peaje 24514"/>
    <s v="20517252558"/>
    <s v="CONCESIONARIA VIAL DEL SUR S.A.- COVISUR S.A."/>
    <x v="0"/>
    <s v="FACTURA"/>
    <s v="F212"/>
    <n v="1751405"/>
    <n v="6.78"/>
    <s v=""/>
    <n v="1.2203999999999999"/>
    <s v=""/>
    <n v="0"/>
    <n v="8"/>
    <m/>
    <m/>
    <m/>
    <m/>
    <s v="24514"/>
    <s v="63.1.1.3.02"/>
    <s v="Peaje 24514"/>
    <x v="8"/>
  </r>
  <r>
    <s v="06/06/2025"/>
    <x v="0"/>
    <s v="001"/>
    <s v="06_000073"/>
    <x v="1"/>
    <s v="91.06.02.02"/>
    <s v="BKK_849"/>
    <s v="Lavado 24516"/>
    <s v="10705628331"/>
    <s v="LARICO APAZA NANCY ROSSMARY"/>
    <x v="0"/>
    <s v="FACTURA"/>
    <s v="F001"/>
    <n v="18073"/>
    <n v="21.19"/>
    <s v=""/>
    <n v="3.8142"/>
    <s v=""/>
    <n v="0"/>
    <n v="25"/>
    <m/>
    <m/>
    <m/>
    <m/>
    <s v="24516"/>
    <s v="63.1.1.5.01"/>
    <s v="Lavado 24516"/>
    <x v="14"/>
  </r>
  <r>
    <s v="06/06/2025"/>
    <x v="0"/>
    <s v="001"/>
    <s v="06_000074"/>
    <x v="1"/>
    <s v="91.06.02.11"/>
    <s v="Tercerizados"/>
    <s v="Balanza 24517"/>
    <s v="20259858934"/>
    <s v="COMERCIALIZACION Y SERVICIOS EL EDEN S.A.C."/>
    <x v="0"/>
    <s v="FACTURA"/>
    <s v="FE02"/>
    <n v="16596"/>
    <n v="16.95"/>
    <s v=""/>
    <n v="3.0509999999999997"/>
    <s v=""/>
    <n v="0"/>
    <n v="20"/>
    <m/>
    <m/>
    <m/>
    <m/>
    <s v="24517"/>
    <s v="63.1.1.7.02"/>
    <s v="Balanza 24517"/>
    <x v="1"/>
  </r>
  <r>
    <s v="02/06/2025"/>
    <x v="0"/>
    <s v="001"/>
    <s v="06_000075"/>
    <x v="1"/>
    <s v="91.06.02.07"/>
    <s v="VDJ_872"/>
    <s v="Peaje 24410"/>
    <s v="20517252558"/>
    <s v="CONCESIONARIA VIAL DEL SUR S.A.- COVISUR S.A."/>
    <x v="0"/>
    <s v="FACTURA"/>
    <s v="F214"/>
    <n v="2069543"/>
    <n v="6.78"/>
    <s v=""/>
    <n v="1.2203999999999999"/>
    <s v=""/>
    <n v="0"/>
    <n v="8"/>
    <m/>
    <m/>
    <m/>
    <m/>
    <s v="24410"/>
    <s v="63.1.1.3.02"/>
    <s v="Peaje 24410"/>
    <x v="8"/>
  </r>
  <r>
    <s v="02/06/2025"/>
    <x v="0"/>
    <s v="001"/>
    <s v="06_000076"/>
    <x v="1"/>
    <s v="91.06.02.07"/>
    <s v="VDJ_872"/>
    <s v="Peaje 24409"/>
    <s v="20517252558"/>
    <s v="CONCESIONARIA VIAL DEL SUR S.A.- COVISUR S.A."/>
    <x v="0"/>
    <s v="FACTURA"/>
    <s v="F211"/>
    <n v="2352384"/>
    <n v="6.78"/>
    <s v=""/>
    <n v="1.2203999999999999"/>
    <s v=""/>
    <n v="0"/>
    <n v="8"/>
    <m/>
    <m/>
    <m/>
    <m/>
    <s v="24409"/>
    <s v="63.1.1.3.02"/>
    <s v="Peaje 24409"/>
    <x v="8"/>
  </r>
  <r>
    <s v="02/06/2025"/>
    <x v="0"/>
    <s v="001"/>
    <s v="06_000077"/>
    <x v="1"/>
    <s v="91.06.02.07"/>
    <s v="VDJ_872"/>
    <s v="Peaje 24412"/>
    <s v="20517252558"/>
    <s v="CONCESIONARIA VIAL DEL SUR S.A.- COVISUR S.A."/>
    <x v="0"/>
    <s v="FACTURA"/>
    <s v="F113"/>
    <n v="386548"/>
    <n v="6.78"/>
    <s v=""/>
    <n v="1.2203999999999999"/>
    <s v=""/>
    <n v="0"/>
    <n v="8"/>
    <m/>
    <m/>
    <m/>
    <m/>
    <s v="24412"/>
    <s v="63.1.1.3.03"/>
    <s v="Peaje 24412"/>
    <x v="7"/>
  </r>
  <r>
    <s v="02/06/2025"/>
    <x v="0"/>
    <s v="001"/>
    <s v="06_000078"/>
    <x v="1"/>
    <s v="91.06.02.07"/>
    <s v="VDJ_872"/>
    <s v="Peaje 24411"/>
    <s v="20517252558"/>
    <s v="CONCESIONARIA VIAL DEL SUR S.A.- COVISUR S.A."/>
    <x v="0"/>
    <s v="FACTURA"/>
    <s v="F112"/>
    <n v="477859"/>
    <n v="6.78"/>
    <s v=""/>
    <n v="1.2203999999999999"/>
    <s v=""/>
    <n v="0"/>
    <n v="8"/>
    <m/>
    <m/>
    <m/>
    <m/>
    <s v="24411"/>
    <s v="63.1.1.3.02"/>
    <s v="Peaje 24411"/>
    <x v="8"/>
  </r>
  <r>
    <s v="04/06/2025"/>
    <x v="0"/>
    <s v="001"/>
    <s v="06_000079"/>
    <x v="1"/>
    <s v="91.06.02.07"/>
    <s v="VDJ_872"/>
    <s v="Lavado 24448"/>
    <s v="10705628331"/>
    <s v="LARICO APAZA NANCY ROSSMARY"/>
    <x v="0"/>
    <s v="FACTURA"/>
    <s v="F001"/>
    <n v="18027"/>
    <n v="21.19"/>
    <s v=""/>
    <n v="3.8142"/>
    <s v=""/>
    <n v="0"/>
    <n v="25"/>
    <m/>
    <m/>
    <m/>
    <m/>
    <s v="24448"/>
    <s v="63.1.1.5.01"/>
    <s v="Lavado 24448"/>
    <x v="14"/>
  </r>
  <r>
    <s v="03/06/2025"/>
    <x v="0"/>
    <s v="001"/>
    <s v="06_000080"/>
    <x v="1"/>
    <s v="91.06.02.02"/>
    <s v="BKK_849"/>
    <s v="Balanza 24429"/>
    <s v="20612112500"/>
    <s v="RECICLADORA LAS LOMAS E.I.R.L."/>
    <x v="0"/>
    <s v="FACTURA"/>
    <s v="FT01"/>
    <n v="1161"/>
    <n v="8.4700000000000006"/>
    <s v=""/>
    <n v="1.5246"/>
    <s v=""/>
    <n v="0"/>
    <n v="10"/>
    <m/>
    <m/>
    <m/>
    <m/>
    <s v="24429"/>
    <s v="63.1.1.7.02"/>
    <s v="Balanza 24429"/>
    <x v="1"/>
  </r>
  <r>
    <s v="10/06/2025"/>
    <x v="0"/>
    <s v="001"/>
    <s v="06_000081"/>
    <x v="1"/>
    <s v="91.05.01"/>
    <s v="Residuos Aprovechables"/>
    <s v="RRSS OC 162"/>
    <s v="20100055237"/>
    <s v="ALICORP SAA"/>
    <x v="0"/>
    <s v="FACTURA"/>
    <s v="F313"/>
    <n v="6456"/>
    <n v="151.19999999999999"/>
    <s v=""/>
    <n v="27.215999999999998"/>
    <s v=""/>
    <n v="0"/>
    <n v="178.42"/>
    <s v="272575751"/>
    <s v="11/06/2025"/>
    <m/>
    <m/>
    <m/>
    <s v="60.2.1.1"/>
    <s v="RRSS OC 162"/>
    <x v="6"/>
  </r>
  <r>
    <s v="10/06/2025"/>
    <x v="0"/>
    <s v="001"/>
    <s v="06_000082"/>
    <x v="1"/>
    <s v="91.05.01"/>
    <s v="Residuos Aprovechables"/>
    <s v="RRSS OC 163"/>
    <s v="20100055237"/>
    <s v="ALICORP SAA"/>
    <x v="0"/>
    <s v="FACTURA"/>
    <s v="F313"/>
    <n v="6457"/>
    <n v="416"/>
    <s v=""/>
    <n v="74.88"/>
    <s v=""/>
    <n v="0"/>
    <n v="490.88"/>
    <s v="272575750"/>
    <s v="11/06/2025"/>
    <m/>
    <m/>
    <m/>
    <s v="60.2.1.1"/>
    <s v="RRSS OC 163"/>
    <x v="6"/>
  </r>
  <r>
    <s v="10/06/2025"/>
    <x v="0"/>
    <s v="001"/>
    <s v="06_000083"/>
    <x v="1"/>
    <s v="91.05.01"/>
    <s v="Residuos Aprovechables"/>
    <s v="RRSS OC 164"/>
    <s v="20100055237"/>
    <s v="ALICORP SAA"/>
    <x v="0"/>
    <s v="FACTURA"/>
    <s v="F313"/>
    <n v="6455"/>
    <n v="333"/>
    <s v=""/>
    <n v="59.94"/>
    <s v=""/>
    <n v="0"/>
    <n v="392.94"/>
    <s v="272575749"/>
    <s v="11/06/2025"/>
    <m/>
    <m/>
    <m/>
    <s v="60.2.1.1"/>
    <s v="RRSS OC 164"/>
    <x v="6"/>
  </r>
  <r>
    <s v="10/06/2025"/>
    <x v="0"/>
    <s v="001"/>
    <s v="06_000084"/>
    <x v="1"/>
    <s v="91.05.01"/>
    <s v="Residuos Aprovechables"/>
    <s v="RRSS OC 165"/>
    <s v="20100055237"/>
    <s v="ALICORP SAA"/>
    <x v="0"/>
    <s v="FACTURA"/>
    <s v="F313"/>
    <n v="6453"/>
    <n v="9.9"/>
    <s v=""/>
    <n v="1.782"/>
    <s v=""/>
    <n v="0"/>
    <n v="11.68"/>
    <s v="272575748"/>
    <s v="11/06/2025"/>
    <m/>
    <m/>
    <m/>
    <s v="60.2.1.1"/>
    <s v="RRSS OC 165"/>
    <x v="6"/>
  </r>
  <r>
    <s v="10/06/2025"/>
    <x v="0"/>
    <s v="001"/>
    <s v="06_000085"/>
    <x v="1"/>
    <s v="91.05.01"/>
    <s v="Residuos Aprovechables"/>
    <s v="RRSS OC 166"/>
    <s v="20100055237"/>
    <s v="ALICORP SAA"/>
    <x v="0"/>
    <s v="FACTURA"/>
    <s v="F313"/>
    <n v="6454"/>
    <n v="63"/>
    <s v=""/>
    <n v="11.34"/>
    <s v=""/>
    <n v="0"/>
    <n v="74.34"/>
    <s v="272575747"/>
    <s v="11/06/2025"/>
    <m/>
    <m/>
    <m/>
    <s v="60.2.1.1"/>
    <s v="RRSS OC 166"/>
    <x v="6"/>
  </r>
  <r>
    <s v="10/06/2025"/>
    <x v="0"/>
    <s v="001"/>
    <s v="06_000086"/>
    <x v="1"/>
    <s v="91.05.01"/>
    <s v="Residuos Aprovechables"/>
    <s v="RRSS OC 167"/>
    <s v="20100055237"/>
    <s v="ALICORP SAA"/>
    <x v="0"/>
    <s v="FACTURA"/>
    <s v="F313"/>
    <n v="6452"/>
    <n v="215"/>
    <s v=""/>
    <n v="38.699999999999996"/>
    <s v=""/>
    <n v="0"/>
    <n v="253.7"/>
    <s v="272575745"/>
    <s v="11/06/2025"/>
    <m/>
    <m/>
    <m/>
    <s v="60.2.1.1"/>
    <s v="RRSS OC 167"/>
    <x v="6"/>
  </r>
  <r>
    <s v="10/06/2025"/>
    <x v="0"/>
    <s v="001"/>
    <s v="06_000087"/>
    <x v="1"/>
    <s v="91.05.01"/>
    <s v="Residuos Aprovechables"/>
    <s v="RRSS OC 168"/>
    <s v="20100055237"/>
    <s v="ALICORP SAA"/>
    <x v="0"/>
    <s v="FACTURA"/>
    <s v="F313"/>
    <n v="6450"/>
    <n v="99.5"/>
    <s v=""/>
    <n v="17.91"/>
    <s v=""/>
    <n v="0"/>
    <n v="117.41"/>
    <s v="272575744"/>
    <s v="11/06/2025"/>
    <m/>
    <m/>
    <m/>
    <s v="60.2.1.1"/>
    <s v="RRSS OC 168"/>
    <x v="6"/>
  </r>
  <r>
    <s v="10/06/2025"/>
    <x v="0"/>
    <s v="001"/>
    <s v="06_000088"/>
    <x v="1"/>
    <s v="91.05.01"/>
    <s v="Residuos Aprovechables"/>
    <s v="RRSS OC 169"/>
    <s v="20100055237"/>
    <s v="ALICORP SAA"/>
    <x v="0"/>
    <s v="FACTURA"/>
    <s v="F313"/>
    <n v="6451"/>
    <n v="78.3"/>
    <s v=""/>
    <n v="14.093999999999999"/>
    <s v=""/>
    <n v="0"/>
    <n v="92.39"/>
    <s v="272575743"/>
    <s v="11/06/2025"/>
    <m/>
    <m/>
    <m/>
    <s v="60.2.1.1"/>
    <s v="RRSS OC 169"/>
    <x v="6"/>
  </r>
  <r>
    <s v="10/06/2025"/>
    <x v="0"/>
    <s v="001"/>
    <s v="06_000089"/>
    <x v="1"/>
    <s v="91.05.01"/>
    <s v="Residuos Aprovechables"/>
    <s v="RRSS OC 170"/>
    <s v="20100055237"/>
    <s v="ALICORP SAA"/>
    <x v="0"/>
    <s v="FACTURA"/>
    <s v="F313"/>
    <n v="6449"/>
    <n v="556"/>
    <s v=""/>
    <n v="100.08"/>
    <s v=""/>
    <n v="0"/>
    <n v="656.08"/>
    <s v="272575742"/>
    <s v="11/06/2025"/>
    <m/>
    <m/>
    <m/>
    <s v="60.2.1.1"/>
    <s v="RRSS OC 170"/>
    <x v="6"/>
  </r>
  <r>
    <s v="10/06/2025"/>
    <x v="0"/>
    <s v="001"/>
    <s v="06_000090"/>
    <x v="1"/>
    <s v="91.05.01"/>
    <s v="Residuos Aprovechables"/>
    <s v="RRSS OC 171"/>
    <s v="20100055237"/>
    <s v="ALICORP SAA"/>
    <x v="0"/>
    <s v="FACTURA"/>
    <s v="F313"/>
    <n v="6448"/>
    <n v="86.4"/>
    <s v=""/>
    <n v="15.552"/>
    <s v=""/>
    <n v="0"/>
    <n v="101.95"/>
    <s v="272575741"/>
    <s v="11/06/2025"/>
    <m/>
    <m/>
    <m/>
    <s v="60.2.1.1"/>
    <s v="RRSS OC 171"/>
    <x v="6"/>
  </r>
  <r>
    <s v="10/06/2025"/>
    <x v="0"/>
    <s v="001"/>
    <s v="06_000091"/>
    <x v="1"/>
    <s v="91.05.01"/>
    <s v="Residuos Aprovechables"/>
    <s v="RRSS OC 172"/>
    <s v="20100055237"/>
    <s v="ALICORP SAA"/>
    <x v="0"/>
    <s v="FACTURA"/>
    <s v="F313"/>
    <n v="6447"/>
    <n v="387"/>
    <s v=""/>
    <n v="69.66"/>
    <s v=""/>
    <n v="0"/>
    <n v="456.66"/>
    <s v="272575740"/>
    <s v="11/06/2025"/>
    <m/>
    <m/>
    <m/>
    <s v="60.2.1.1"/>
    <s v="RRSS OC 172"/>
    <x v="6"/>
  </r>
  <r>
    <s v="10/06/2025"/>
    <x v="0"/>
    <s v="001"/>
    <s v="06_000092"/>
    <x v="1"/>
    <s v="91.05.01"/>
    <s v="Residuos Aprovechables"/>
    <s v="RRSS OC 173"/>
    <s v="20100055237"/>
    <s v="ALICORP SAA"/>
    <x v="0"/>
    <s v="FACTURA"/>
    <s v="F313"/>
    <n v="6446"/>
    <n v="52.5"/>
    <s v=""/>
    <n v="9.4499999999999993"/>
    <s v=""/>
    <n v="0"/>
    <n v="61.95"/>
    <s v="272575739"/>
    <s v="11/06/2025"/>
    <m/>
    <m/>
    <m/>
    <s v="60.2.1.1"/>
    <s v="RRSS OC 173"/>
    <x v="6"/>
  </r>
  <r>
    <s v="10/06/2025"/>
    <x v="0"/>
    <s v="001"/>
    <s v="06_000093"/>
    <x v="1"/>
    <s v="91.05.01"/>
    <s v="Residuos Aprovechables"/>
    <s v="RRSS OC 174"/>
    <s v="20100055237"/>
    <s v="ALICORP SAA"/>
    <x v="0"/>
    <s v="FACTURA"/>
    <s v="F313"/>
    <n v="6445"/>
    <n v="344"/>
    <s v=""/>
    <n v="61.919999999999995"/>
    <s v=""/>
    <n v="0"/>
    <n v="405.92"/>
    <s v="272575738"/>
    <s v="11/06/2025"/>
    <m/>
    <m/>
    <m/>
    <s v="60.2.1.1"/>
    <s v="RRSS OC 174"/>
    <x v="6"/>
  </r>
  <r>
    <s v="02/06/2025"/>
    <x v="0"/>
    <s v="001"/>
    <s v="06_000094"/>
    <x v="1"/>
    <s v="91.06.02.07"/>
    <s v="VDJ_872"/>
    <s v="Balanza 24413"/>
    <s v="20454058187"/>
    <s v="ZONA ESPECIAL DE DESARROLLO ZED MATARANI"/>
    <x v="0"/>
    <s v="FACTURA"/>
    <s v="F001"/>
    <n v="17645"/>
    <m/>
    <s v=""/>
    <n v="0"/>
    <s v=""/>
    <n v="22"/>
    <n v="22"/>
    <m/>
    <m/>
    <m/>
    <m/>
    <m/>
    <s v="63.1.1.7.01"/>
    <s v="Balanza 24413"/>
    <x v="11"/>
  </r>
  <r>
    <s v="04/06/2025"/>
    <x v="0"/>
    <s v="001"/>
    <s v="06_000095"/>
    <x v="1"/>
    <s v="91.06.02.07"/>
    <s v="VDJ_872"/>
    <s v="Balanza 24447"/>
    <s v="20259858934"/>
    <s v="COMERCIALIZACION Y SERVICIOS EL EDEN S.A.C."/>
    <x v="0"/>
    <s v="FACTURA"/>
    <s v="FE01"/>
    <n v="34832"/>
    <n v="8.4700000000000006"/>
    <s v=""/>
    <n v="1.5246"/>
    <s v=""/>
    <n v="0"/>
    <n v="10"/>
    <m/>
    <m/>
    <m/>
    <m/>
    <s v="24447"/>
    <s v="63.1.1.7.01"/>
    <s v="Balanza 24447"/>
    <x v="11"/>
  </r>
  <r>
    <s v="06/06/2025"/>
    <x v="0"/>
    <s v="001"/>
    <s v="06_000096"/>
    <x v="1"/>
    <s v="91.06.02.03"/>
    <s v="BKL_739"/>
    <s v="Peaje 24507"/>
    <s v="20517252558"/>
    <s v="CONCESIONARIA VIAL DEL SUR S.A.- COVISUR S.A."/>
    <x v="0"/>
    <s v="FACTURA"/>
    <s v="F211"/>
    <n v="2356987"/>
    <n v="6.78"/>
    <s v=""/>
    <n v="1.2203999999999999"/>
    <s v=""/>
    <n v="0"/>
    <n v="8"/>
    <m/>
    <m/>
    <m/>
    <m/>
    <s v="24507"/>
    <s v="63.1.1.3.03"/>
    <s v="Peaje 24507"/>
    <x v="7"/>
  </r>
  <r>
    <s v="06/06/2025"/>
    <x v="0"/>
    <s v="001"/>
    <s v="06_000097"/>
    <x v="1"/>
    <s v="91.06.02.03"/>
    <s v="BKL_739"/>
    <s v="Peaje 24506"/>
    <s v="20517252558"/>
    <s v="CONCESIONARIA VIAL DEL SUR S.A.- COVISUR S.A."/>
    <x v="0"/>
    <s v="FACTURA"/>
    <s v="F213"/>
    <n v="1771106"/>
    <n v="6.78"/>
    <s v=""/>
    <n v="1.2203999999999999"/>
    <s v=""/>
    <n v="0"/>
    <n v="8"/>
    <m/>
    <m/>
    <m/>
    <m/>
    <s v="24506"/>
    <s v="63.1.1.3.03"/>
    <s v="Peaje 24506"/>
    <x v="7"/>
  </r>
  <r>
    <s v="03/06/2025"/>
    <x v="0"/>
    <s v="001"/>
    <s v="06_000098"/>
    <x v="1"/>
    <s v="91.06.02.02"/>
    <s v="BKK_849"/>
    <s v="Balanza 24505"/>
    <s v="20612112500"/>
    <s v="RECICLADORA LAS LOMAS E.I.R.L."/>
    <x v="0"/>
    <s v="FACTURA"/>
    <s v="FT01"/>
    <n v="1157"/>
    <n v="8.4700000000000006"/>
    <s v=""/>
    <n v="1.5246"/>
    <s v=""/>
    <n v="0"/>
    <n v="10"/>
    <m/>
    <m/>
    <m/>
    <m/>
    <s v="24505"/>
    <s v="63.1.1.7.02"/>
    <s v="Balanza 24505"/>
    <x v="1"/>
  </r>
  <r>
    <s v="09/06/2025"/>
    <x v="0"/>
    <s v="001"/>
    <s v="06_000099"/>
    <x v="1"/>
    <s v="91.06.02.08"/>
    <s v="Montacarga"/>
    <s v="Mantenimiento Preventivo RQ.OPE.1199"/>
    <s v="10297207330"/>
    <s v="CRUZ HUARACHA CARMEN"/>
    <x v="0"/>
    <s v="FACTURA"/>
    <s v="E001"/>
    <n v="1682"/>
    <n v="76.27"/>
    <s v=""/>
    <n v="13.728599999999998"/>
    <s v=""/>
    <n v="0"/>
    <n v="90"/>
    <m/>
    <m/>
    <m/>
    <m/>
    <m/>
    <s v="63.4.3.3.02"/>
    <s v="Mantenimiento Preventivo RQ.OPE.1199"/>
    <x v="15"/>
  </r>
  <r>
    <s v="06/06/2025"/>
    <x v="0"/>
    <s v="001"/>
    <s v="06_000100"/>
    <x v="1"/>
    <s v="91.06.02.03"/>
    <s v="BKL_739"/>
    <s v="Mantenimiento Vehicular (Preventivo) RQ.OPE.1201 _ OS 006 _ 139"/>
    <s v="20602810497"/>
    <s v="TRENTO MULTISERVICIOS S.R.L."/>
    <x v="0"/>
    <s v="FACTURA"/>
    <s v="F002"/>
    <n v="19737"/>
    <n v="427.96"/>
    <s v=""/>
    <n v="77.032799999999995"/>
    <s v=""/>
    <n v="0"/>
    <n v="505"/>
    <m/>
    <m/>
    <m/>
    <m/>
    <m/>
    <s v="63.4.3.2.02"/>
    <s v="Mantenimiento Vehicular (Preventivo) RQ.OPE.1201 _ OS 006 _ 139"/>
    <x v="3"/>
  </r>
  <r>
    <s v="09/06/2025"/>
    <x v="0"/>
    <s v="001"/>
    <s v="06_000101"/>
    <x v="1"/>
    <s v="91.06.02.01"/>
    <s v="V9R_903"/>
    <s v="Mantenimiento Vehicular (Preventivo) RQ.OPE.1180  _ OS 006 _ 142"/>
    <s v="20413666130"/>
    <s v="CONCESIONARIOS AUTORIZADOS S.A.C."/>
    <x v="0"/>
    <s v="FACTURA"/>
    <s v="F152"/>
    <n v="26653"/>
    <n v="1662.22"/>
    <s v=""/>
    <n v="299.19959999999998"/>
    <s v=""/>
    <n v="0"/>
    <n v="1961.42"/>
    <m/>
    <m/>
    <m/>
    <m/>
    <m/>
    <s v="63.4.3.2.02"/>
    <s v="Mantenimiento Vehicular (Preventivo) RQ.OPE.1180  _ OS 006 _ 142"/>
    <x v="3"/>
  </r>
  <r>
    <s v="09/06/2025"/>
    <x v="0"/>
    <s v="001"/>
    <s v="06_000102"/>
    <x v="1"/>
    <s v="91.06.02.06"/>
    <s v="VBW_889"/>
    <s v="Lavado"/>
    <s v="20601775051"/>
    <s v="M &amp; MOTORS SERVICIOS GENERALES E.I.R.L."/>
    <x v="0"/>
    <s v="FACTURA"/>
    <s v="E001"/>
    <n v="2103"/>
    <n v="42.37"/>
    <s v=""/>
    <n v="7.6265999999999989"/>
    <s v=""/>
    <n v="0"/>
    <n v="50"/>
    <m/>
    <m/>
    <m/>
    <m/>
    <m/>
    <s v="63.1.1.5.01"/>
    <s v="Lavado"/>
    <x v="14"/>
  </r>
  <r>
    <s v="06/06/2025"/>
    <x v="0"/>
    <s v="001"/>
    <s v="06_000103"/>
    <x v="2"/>
    <s v="95.01"/>
    <s v="Comercial"/>
    <s v="Matenimiento de Contenedores RQ.COM.323"/>
    <s v="10400177851"/>
    <s v="KCANA ALVAREZ MARIA TERESA"/>
    <x v="1"/>
    <s v="BOLETA DE VENTA"/>
    <s v="001"/>
    <n v="8319"/>
    <m/>
    <s v=""/>
    <n v="0"/>
    <s v=""/>
    <n v="6"/>
    <n v="6"/>
    <m/>
    <m/>
    <m/>
    <m/>
    <m/>
    <s v="63.4.1.1.02"/>
    <s v="Matenimiento de Contenedores RQ.COM.323"/>
    <x v="0"/>
  </r>
  <r>
    <s v="06/06/2025"/>
    <x v="0"/>
    <s v="001"/>
    <s v="06_000104"/>
    <x v="1"/>
    <s v="91.05.01"/>
    <s v="Residuos Aprovechables"/>
    <s v="RRSS OC 152"/>
    <s v="20539387104"/>
    <s v="APMINAC PULPERA S.A."/>
    <x v="0"/>
    <s v="FACTURA"/>
    <s v="E001"/>
    <n v="1322"/>
    <n v="2753.26"/>
    <s v=""/>
    <n v="495.58680000000004"/>
    <s v=""/>
    <n v="0"/>
    <n v="3248.85"/>
    <s v="273238063"/>
    <s v="19/06/2025"/>
    <m/>
    <m/>
    <m/>
    <s v="60.2.1.1"/>
    <s v="RRSS OC 152"/>
    <x v="6"/>
  </r>
  <r>
    <s v="09/06/2025"/>
    <x v="0"/>
    <s v="001"/>
    <s v="06_000105"/>
    <x v="1"/>
    <s v="91.05.01"/>
    <s v="Residuos Aprovechables"/>
    <s v="RRSS OC 149"/>
    <s v="20538593053"/>
    <s v="AEROPUERTOS ANDINOS DEL PERU S.A."/>
    <x v="0"/>
    <s v="FACTURA"/>
    <s v="FA21"/>
    <n v="865"/>
    <n v="180.07"/>
    <s v=""/>
    <n v="32.412599999999998"/>
    <s v=""/>
    <n v="0"/>
    <n v="212.48"/>
    <s v="273238062"/>
    <s v="19/06/2025"/>
    <m/>
    <m/>
    <m/>
    <s v="60.2.1.1"/>
    <s v="RRSS OC 149"/>
    <x v="6"/>
  </r>
  <r>
    <s v="03/06/2025"/>
    <x v="0"/>
    <s v="001"/>
    <s v="06_000106"/>
    <x v="1"/>
    <s v="91.05.01"/>
    <s v="Residuos Aprovechables"/>
    <s v="RRSS OC 160"/>
    <s v="20100192064"/>
    <s v="MOLY-COP ADESUR S.A."/>
    <x v="0"/>
    <s v="FACTURA"/>
    <s v="F002"/>
    <n v="16224"/>
    <n v="357.19"/>
    <s v=""/>
    <n v="64.294200000000004"/>
    <s v=""/>
    <n v="0"/>
    <n v="421.48"/>
    <s v="273238064"/>
    <s v="19/06/2025"/>
    <m/>
    <m/>
    <m/>
    <s v="60.2.1.1"/>
    <s v="RRSS OC 160"/>
    <x v="6"/>
  </r>
  <r>
    <s v="10/06/2025"/>
    <x v="0"/>
    <s v="001"/>
    <s v="06_000107"/>
    <x v="2"/>
    <s v="95.01"/>
    <s v="Comercial"/>
    <s v="Envío de documentación / paquetería"/>
    <s v="20608579274"/>
    <s v="TURNEE TRANSPORTES &amp; MULTISERVICIOS PERU E.I.R.L."/>
    <x v="0"/>
    <s v="FACTURA"/>
    <s v="F006"/>
    <n v="5383"/>
    <n v="5.08"/>
    <s v=""/>
    <n v="0.91439999999999999"/>
    <s v=""/>
    <n v="0"/>
    <n v="6"/>
    <m/>
    <m/>
    <m/>
    <m/>
    <m/>
    <s v="63.1.2.1.01"/>
    <s v="Envío de documentación / paquetería"/>
    <x v="2"/>
  </r>
  <r>
    <s v="05/06/2025"/>
    <x v="0"/>
    <s v="001"/>
    <s v="06_000108"/>
    <x v="1"/>
    <s v="91.06.01"/>
    <s v="Operaciones"/>
    <s v="Alimentacion"/>
    <s v="10483602893"/>
    <s v="SANTI AQUINO ROSMERI"/>
    <x v="0"/>
    <s v="FACTURA"/>
    <s v="E001"/>
    <n v="2705"/>
    <n v="13.56"/>
    <s v=""/>
    <n v="2.4407999999999999"/>
    <s v=""/>
    <n v="0"/>
    <n v="16"/>
    <m/>
    <m/>
    <m/>
    <m/>
    <m/>
    <s v="63.1.4.1.01"/>
    <s v="Alimentacion"/>
    <x v="9"/>
  </r>
  <r>
    <s v="10/06/2025"/>
    <x v="0"/>
    <s v="001"/>
    <s v="06_000109"/>
    <x v="2"/>
    <s v="95.01"/>
    <s v="Comercial"/>
    <s v="Envío de documentación"/>
    <s v="20558053691"/>
    <s v="GRUPO GARCIA TOLEDO S.A.C"/>
    <x v="0"/>
    <s v="FACTURA"/>
    <s v="F549"/>
    <n v="13788"/>
    <n v="16.95"/>
    <s v=""/>
    <n v="3.0509999999999997"/>
    <s v=""/>
    <n v="0"/>
    <n v="20"/>
    <m/>
    <m/>
    <m/>
    <m/>
    <m/>
    <s v="63.1.2.1.01"/>
    <s v="Envío de documentación"/>
    <x v="2"/>
  </r>
  <r>
    <s v="03/06/2025"/>
    <x v="0"/>
    <s v="001"/>
    <s v="06_000110"/>
    <x v="1"/>
    <s v="91.06.02.08"/>
    <s v="Montacarga"/>
    <s v="Alquiler de montacarga RQ.OPE.1203"/>
    <s v="20603974817"/>
    <s v="TRANSPORTES, GRUAS Y MONTACARGAS AREQUIPA EMPRESA INDIVIDUAL DE RESPONSABILIDAD LIMITADA"/>
    <x v="0"/>
    <s v="FACTURA"/>
    <s v="E001"/>
    <n v="3933"/>
    <n v="127.5"/>
    <s v=""/>
    <n v="22.95"/>
    <s v=""/>
    <n v="0"/>
    <n v="150.44999999999999"/>
    <m/>
    <m/>
    <m/>
    <m/>
    <m/>
    <s v="63.5.4.1.01"/>
    <s v="Alquiler de montacarga RQ.OPE.1203"/>
    <x v="16"/>
  </r>
  <r>
    <s v="03/06/2025"/>
    <x v="0"/>
    <s v="001"/>
    <s v="06_000111"/>
    <x v="2"/>
    <s v="95.01"/>
    <s v="Comercial"/>
    <s v="Alquiler de montacarga RQ.OPE.1202"/>
    <s v="20603974817"/>
    <s v="TRANSPORTES, GRUAS Y MONTACARGAS AREQUIPA EMPRESA INDIVIDUAL DE RESPONSABILIDAD LIMITADA"/>
    <x v="0"/>
    <s v="FACTURA"/>
    <s v="E001"/>
    <n v="3932"/>
    <n v="212.5"/>
    <s v=""/>
    <n v="38.25"/>
    <s v=""/>
    <n v="0"/>
    <n v="250.75"/>
    <m/>
    <m/>
    <m/>
    <m/>
    <m/>
    <s v="63.5.4.1.03"/>
    <s v="Alquiler de montacarga RQ.OPE.1202"/>
    <x v="17"/>
  </r>
  <r>
    <s v="10/06/2025"/>
    <x v="0"/>
    <s v="001"/>
    <s v="06_000112"/>
    <x v="0"/>
    <s v="94.04"/>
    <s v="Gestion Humana"/>
    <s v="Exámenes Médicos _ Periódico RQ.GH.195"/>
    <s v="20517035964"/>
    <s v="SIGSO CONSULTORES LABORALES SOCIEDAD ANONIMA CERRADA - SIGSO CONSULTORES LABORALES S.A.C."/>
    <x v="0"/>
    <s v="FACTURA"/>
    <s v="F200"/>
    <n v="15923"/>
    <n v="192"/>
    <s v=""/>
    <n v="34.56"/>
    <s v=""/>
    <n v="0"/>
    <n v="226.56"/>
    <m/>
    <m/>
    <m/>
    <m/>
    <m/>
    <s v="62.5.1.2.02"/>
    <s v="Exámenes Médicos _ Periódico RQ.GH.195"/>
    <x v="0"/>
  </r>
  <r>
    <s v="10/06/2025"/>
    <x v="0"/>
    <s v="001"/>
    <s v="06_000113"/>
    <x v="1"/>
    <s v="91.06.02.01"/>
    <s v="V9R_903"/>
    <s v="Peaje 24518"/>
    <s v="20517252558"/>
    <s v="CONCESIONARIA VIAL DEL SUR S.A.- COVISUR S.A."/>
    <x v="0"/>
    <s v="FACTURA"/>
    <s v="F112"/>
    <n v="479968"/>
    <n v="10.17"/>
    <s v=""/>
    <n v="1.8306"/>
    <s v=""/>
    <n v="0"/>
    <n v="12"/>
    <m/>
    <m/>
    <m/>
    <m/>
    <s v="24518"/>
    <s v="63.1.1.3.02"/>
    <s v="Peaje 24518"/>
    <x v="8"/>
  </r>
  <r>
    <s v="09/06/2025"/>
    <x v="0"/>
    <s v="001"/>
    <s v="06_000114"/>
    <x v="1"/>
    <s v="91.06.02.01"/>
    <s v="V9R_903"/>
    <s v="Peaje 24509"/>
    <s v="20517252558"/>
    <s v="CONCESIONARIA VIAL DEL SUR S.A.- COVISUR S.A."/>
    <x v="0"/>
    <s v="FACTURA"/>
    <s v="F212"/>
    <n v="1754186"/>
    <n v="10.17"/>
    <s v=""/>
    <n v="1.8306"/>
    <s v=""/>
    <n v="0"/>
    <n v="12"/>
    <m/>
    <m/>
    <m/>
    <m/>
    <s v="24509"/>
    <s v="63.1.1.3.02"/>
    <s v="Peaje 24509"/>
    <x v="8"/>
  </r>
  <r>
    <s v="11/06/2025"/>
    <x v="0"/>
    <s v="001"/>
    <s v="06_000115"/>
    <x v="1"/>
    <s v="91.06.02.01"/>
    <s v="V9R_903"/>
    <s v="Peaje 24545"/>
    <s v="20517252558"/>
    <s v="CONCESIONARIA VIAL DEL SUR S.A.- COVISUR S.A."/>
    <x v="0"/>
    <s v="FACTURA"/>
    <s v="F214"/>
    <n v="2078138"/>
    <n v="10.17"/>
    <s v=""/>
    <n v="1.8306"/>
    <s v=""/>
    <n v="0"/>
    <n v="12"/>
    <m/>
    <m/>
    <m/>
    <m/>
    <s v="24545"/>
    <s v="63.1.1.3.03"/>
    <s v="Peaje 24545"/>
    <x v="7"/>
  </r>
  <r>
    <s v="10/06/2025"/>
    <x v="0"/>
    <s v="001"/>
    <s v="06_000116"/>
    <x v="1"/>
    <s v="91.06.02.11"/>
    <s v="Tercerizados"/>
    <s v="Peaje 24519"/>
    <s v="20517252558"/>
    <s v="CONCESIONARIA VIAL DEL SUR S.A.- COVISUR S.A."/>
    <x v="0"/>
    <s v="FACTURA"/>
    <s v="F114"/>
    <n v="1070749"/>
    <n v="10.17"/>
    <s v=""/>
    <n v="1.8306"/>
    <s v=""/>
    <n v="0"/>
    <n v="12"/>
    <m/>
    <m/>
    <m/>
    <m/>
    <s v="24519"/>
    <s v="63.1.1.3.02"/>
    <s v="Peaje 24519"/>
    <x v="8"/>
  </r>
  <r>
    <s v="10/06/2025"/>
    <x v="0"/>
    <s v="001"/>
    <s v="06_000117"/>
    <x v="1"/>
    <s v="91.06.02.02"/>
    <s v="BKK_849"/>
    <s v="Peaje 24521"/>
    <s v="20517252558"/>
    <s v="CONCESIONARIA VIAL DEL SUR S.A.- COVISUR S.A."/>
    <x v="0"/>
    <s v="FACTURA"/>
    <s v="F212"/>
    <n v="1754625"/>
    <n v="6.78"/>
    <s v=""/>
    <n v="1.2203999999999999"/>
    <s v=""/>
    <n v="0"/>
    <n v="8"/>
    <m/>
    <m/>
    <m/>
    <m/>
    <s v="24521"/>
    <s v="63.1.1.3.02"/>
    <s v="Peaje 24521"/>
    <x v="8"/>
  </r>
  <r>
    <s v="10/06/2025"/>
    <x v="0"/>
    <s v="001"/>
    <s v="06_000118"/>
    <x v="1"/>
    <s v="91.06.02.02"/>
    <s v="BKK_849"/>
    <s v="Peaje 24520"/>
    <s v="20517252558"/>
    <s v="CONCESIONARIA VIAL DEL SUR S.A.- COVISUR S.A."/>
    <x v="0"/>
    <s v="FACTURA"/>
    <s v="F213"/>
    <n v="1774486"/>
    <n v="6.78"/>
    <s v=""/>
    <n v="1.2203999999999999"/>
    <s v=""/>
    <n v="0"/>
    <n v="8"/>
    <m/>
    <m/>
    <m/>
    <m/>
    <s v="24520"/>
    <s v="63.1.1.3.02"/>
    <s v="Peaje 24520"/>
    <x v="8"/>
  </r>
  <r>
    <s v="11/06/2025"/>
    <x v="0"/>
    <s v="001"/>
    <s v="06_000119"/>
    <x v="1"/>
    <s v="91.06.02.02"/>
    <s v="BKK_849"/>
    <s v="Peaje 24529"/>
    <s v="20517252558"/>
    <s v="CONCESIONARIA VIAL DEL SUR S.A.- COVISUR S.A."/>
    <x v="0"/>
    <s v="FACTURA"/>
    <s v="F213"/>
    <n v="1775395"/>
    <n v="6.78"/>
    <s v=""/>
    <n v="1.2203999999999999"/>
    <s v=""/>
    <n v="0"/>
    <n v="8"/>
    <m/>
    <m/>
    <m/>
    <m/>
    <s v="24529"/>
    <s v="63.1.1.3.02"/>
    <s v="Peaje 24529"/>
    <x v="8"/>
  </r>
  <r>
    <s v="11/06/2025"/>
    <x v="0"/>
    <s v="001"/>
    <s v="06_000120"/>
    <x v="1"/>
    <s v="91.06.02.02"/>
    <s v="BKK_849"/>
    <s v="Peaje 24527"/>
    <s v="20517252558"/>
    <s v="CONCESIONARIA VIAL DEL SUR S.A.- COVISUR S.A."/>
    <x v="0"/>
    <s v="FACTURA"/>
    <s v="F212"/>
    <n v="1755645"/>
    <n v="6.78"/>
    <s v=""/>
    <n v="1.2203999999999999"/>
    <s v=""/>
    <n v="0"/>
    <n v="8"/>
    <m/>
    <m/>
    <m/>
    <m/>
    <s v="24527"/>
    <s v="63.1.1.3.02"/>
    <s v="Peaje 24527"/>
    <x v="8"/>
  </r>
  <r>
    <s v="11/06/2025"/>
    <x v="0"/>
    <s v="001"/>
    <s v="06_000121"/>
    <x v="2"/>
    <s v="95.01"/>
    <s v="Comercial"/>
    <s v="Alimentacion"/>
    <s v="20604269815"/>
    <s v="PAISAJISTA PICANTERIA EMPRESA INDIVIDUAL DE RESPONSABILIDAD LIMITADA"/>
    <x v="0"/>
    <s v="FACTURA"/>
    <s v="F001"/>
    <n v="5118"/>
    <m/>
    <n v="61.82"/>
    <n v="0"/>
    <n v="6.18"/>
    <n v="0"/>
    <n v="68"/>
    <m/>
    <m/>
    <m/>
    <m/>
    <m/>
    <s v="65.9.9.1.01"/>
    <s v="Alimentacion"/>
    <x v="0"/>
  </r>
  <r>
    <s v="12/06/2025"/>
    <x v="0"/>
    <s v="001"/>
    <s v="06_000122"/>
    <x v="1"/>
    <s v="91.05.01"/>
    <s v="Residuos Aprovechables"/>
    <s v="RRSS OC 139"/>
    <s v="20539627938"/>
    <s v="LA JOYA MINING SOCIEDAD ANONIMA CERRADA"/>
    <x v="0"/>
    <s v="FACTURA"/>
    <s v="F001"/>
    <n v="1671"/>
    <n v="54.41"/>
    <s v=""/>
    <n v="9.7937999999999992"/>
    <s v=""/>
    <n v="0"/>
    <n v="64.2"/>
    <s v="273238068"/>
    <s v="19/06/2025"/>
    <m/>
    <m/>
    <m/>
    <s v="60.2.1.1"/>
    <s v="RRSS OC 139"/>
    <x v="6"/>
  </r>
  <r>
    <s v="04/06/2025"/>
    <x v="0"/>
    <s v="001"/>
    <s v="06_000123"/>
    <x v="1"/>
    <s v="91.06.01"/>
    <s v="Operaciones"/>
    <s v="Transporte tercerizado RQ.OPE.1194 OS 005 _ 626"/>
    <s v="10736055631"/>
    <s v="HUAMANI MAMANI HUBER ANTHONY"/>
    <x v="0"/>
    <s v="FACTURA"/>
    <s v="E001"/>
    <n v="2"/>
    <n v="762.72"/>
    <s v=""/>
    <n v="137.28960000000001"/>
    <s v=""/>
    <n v="0"/>
    <n v="900.01"/>
    <s v="273238069"/>
    <s v="19/06/2025"/>
    <m/>
    <m/>
    <m/>
    <s v="63.1.1.1.02"/>
    <s v="Transporte tercerizado RQ.OPE.1194 OS 005 _ 626"/>
    <x v="13"/>
  </r>
  <r>
    <s v="10/06/2025"/>
    <x v="0"/>
    <s v="001"/>
    <s v="06_000124"/>
    <x v="0"/>
    <m/>
    <m/>
    <m/>
    <s v="20558275082"/>
    <s v="GRUPO LAMH S.R.L."/>
    <x v="0"/>
    <s v="FACTURA"/>
    <s v="E001"/>
    <s v="4319"/>
    <n v="1601.69"/>
    <s v=""/>
    <n v="288.31"/>
    <s v=""/>
    <n v="0"/>
    <n v="1890"/>
    <m/>
    <m/>
    <m/>
    <m/>
    <m/>
    <m/>
    <m/>
    <x v="0"/>
  </r>
  <r>
    <s v="10/06/2025"/>
    <x v="0"/>
    <s v="001"/>
    <s v="06_000125"/>
    <x v="0"/>
    <m/>
    <m/>
    <m/>
    <s v="20558275082"/>
    <s v="GRUPO LAMH S.R.L."/>
    <x v="0"/>
    <s v="FACTURA"/>
    <s v="E001"/>
    <s v="4320"/>
    <n v="40.68"/>
    <s v=""/>
    <n v="7.32"/>
    <s v=""/>
    <n v="0"/>
    <n v="48"/>
    <m/>
    <m/>
    <m/>
    <m/>
    <m/>
    <m/>
    <m/>
    <x v="0"/>
  </r>
  <r>
    <s v="10/06/2025"/>
    <x v="0"/>
    <s v="001"/>
    <s v="06_000126"/>
    <x v="0"/>
    <m/>
    <m/>
    <m/>
    <s v="20600967291"/>
    <s v="ALEXANDER COMPUTER S.R.L. - ALECOM S.R.L."/>
    <x v="0"/>
    <s v="FACTURA"/>
    <s v="E001"/>
    <s v="2160"/>
    <n v="77.97"/>
    <s v=""/>
    <n v="14.03"/>
    <s v=""/>
    <n v="0"/>
    <n v="92"/>
    <m/>
    <m/>
    <m/>
    <m/>
    <m/>
    <m/>
    <m/>
    <x v="0"/>
  </r>
  <r>
    <s v="10/06/2025"/>
    <x v="0"/>
    <s v="001"/>
    <s v="06_000127"/>
    <x v="1"/>
    <s v="91.06.02.06"/>
    <s v="VBW_889"/>
    <s v="Lavado RQ.OPE.1181 OS 006 _ 143"/>
    <s v="20601833191"/>
    <s v="SERVICIOS AUTOMOTRICES FALCAR SOCIEDAD COMERCIAL DE RESPONSABILIDAD LIMITADA - FALCAR S.R.L."/>
    <x v="0"/>
    <s v="FACTURA"/>
    <s v="F001"/>
    <n v="3036"/>
    <n v="194.92"/>
    <s v=""/>
    <n v="35.085599999999999"/>
    <s v=""/>
    <n v="0"/>
    <n v="230"/>
    <m/>
    <m/>
    <m/>
    <m/>
    <m/>
    <s v="63.1.1.5.01"/>
    <s v="Lavado RQ.OPE.1181 OS 006 _ 143"/>
    <x v="14"/>
  </r>
  <r>
    <s v="11/06/2025"/>
    <x v="0"/>
    <s v="001"/>
    <s v="06_000128"/>
    <x v="1"/>
    <s v="91.06.02.06"/>
    <s v="VBW_889"/>
    <s v="Confeccion de fundas _ RQ.OPE.1181 OS 006 _ 143"/>
    <s v="20558627299"/>
    <s v="TAPICENTER TORRES HERMANOS S.R.L. - TAPTOR S.R.L."/>
    <x v="0"/>
    <s v="FACTURA"/>
    <s v="F001"/>
    <n v="2120"/>
    <n v="508.47"/>
    <s v=""/>
    <n v="91.524600000000007"/>
    <s v=""/>
    <n v="0"/>
    <n v="600"/>
    <m/>
    <m/>
    <m/>
    <m/>
    <m/>
    <s v="63.4.3.2.03"/>
    <s v="Confeccion de fundas _ RQ.OPE.1181 OS 006 _ 143"/>
    <x v="18"/>
  </r>
  <r>
    <s v="06/06/2025"/>
    <x v="0"/>
    <s v="001"/>
    <s v="06_000129"/>
    <x v="1"/>
    <s v="91.05.01"/>
    <s v="Residuos Aprovechables"/>
    <s v="RRSS OC 176"/>
    <s v="20100192064"/>
    <s v="MOLY-COP ADESUR S.A."/>
    <x v="0"/>
    <s v="FACTURA"/>
    <s v="F002"/>
    <n v="16247"/>
    <n v="348.29"/>
    <s v=""/>
    <n v="62.6922"/>
    <s v=""/>
    <n v="0"/>
    <n v="410.98"/>
    <s v="273238070"/>
    <s v="19/06/2025"/>
    <m/>
    <m/>
    <m/>
    <s v="60.2.1.1"/>
    <s v="RRSS OC 176"/>
    <x v="6"/>
  </r>
  <r>
    <s v="06/06/2025"/>
    <x v="0"/>
    <s v="001"/>
    <s v="06_000130"/>
    <x v="1"/>
    <s v="91.05.01"/>
    <s v="Residuos Aprovechables"/>
    <s v="RRSS OC 177"/>
    <s v="20100192064"/>
    <s v="MOLY-COP ADESUR S.A."/>
    <x v="0"/>
    <s v="FACTURA"/>
    <s v="F002"/>
    <n v="16242"/>
    <n v="182.85"/>
    <s v=""/>
    <n v="32.912999999999997"/>
    <s v=""/>
    <n v="0"/>
    <n v="215.76"/>
    <s v="273238071"/>
    <s v="19/06/2025"/>
    <m/>
    <m/>
    <m/>
    <s v="60.2.1.1"/>
    <s v="RRSS OC 177"/>
    <x v="6"/>
  </r>
  <r>
    <s v="09/06/2025"/>
    <x v="0"/>
    <s v="001"/>
    <s v="06_000131"/>
    <x v="1"/>
    <s v="91.05.01"/>
    <s v="Residuos Aprovechables"/>
    <s v="RRSS OC 178"/>
    <s v="20100192064"/>
    <s v="MOLY-COP ADESUR S.A."/>
    <x v="0"/>
    <s v="FACTURA"/>
    <s v="F002"/>
    <n v="16253"/>
    <n v="265.06"/>
    <s v=""/>
    <n v="47.710799999999999"/>
    <s v=""/>
    <n v="0"/>
    <n v="312.77999999999997"/>
    <s v="273238072"/>
    <s v="19/06/2025"/>
    <m/>
    <m/>
    <m/>
    <s v="60.2.1.1"/>
    <s v="RRSS OC 178"/>
    <x v="6"/>
  </r>
  <r>
    <s v="12/06/2025"/>
    <x v="0"/>
    <s v="001"/>
    <s v="06_000132"/>
    <x v="1"/>
    <s v="91.06.02.01"/>
    <s v="V9R_903"/>
    <s v="Peaje 24552"/>
    <s v="20517252558"/>
    <s v="CONCESIONARIA VIAL DEL SUR S.A.- COVISUR S.A."/>
    <x v="0"/>
    <s v="FACTURA"/>
    <s v="F111"/>
    <n v="981933"/>
    <n v="10.17"/>
    <s v=""/>
    <n v="1.8306"/>
    <s v=""/>
    <n v="0"/>
    <n v="12"/>
    <m/>
    <m/>
    <m/>
    <m/>
    <s v="24552"/>
    <s v="63.1.1.3.02"/>
    <s v="Peaje 24552"/>
    <x v="8"/>
  </r>
  <r>
    <s v="12/06/2025"/>
    <x v="0"/>
    <s v="001"/>
    <s v="06_000133"/>
    <x v="1"/>
    <s v="91.06.02.01"/>
    <s v="V9R_903"/>
    <s v="Peaje 24551"/>
    <s v="20517252558"/>
    <s v="CONCESIONARIA VIAL DEL SUR S.A.- COVISUR S.A."/>
    <x v="0"/>
    <s v="FACTURA"/>
    <s v="F212"/>
    <n v="1756688"/>
    <n v="10.17"/>
    <s v=""/>
    <n v="1.8306"/>
    <s v=""/>
    <n v="0"/>
    <n v="12"/>
    <m/>
    <m/>
    <m/>
    <m/>
    <s v="24551"/>
    <s v="63.1.1.3.02"/>
    <s v="Peaje 24551"/>
    <x v="8"/>
  </r>
  <r>
    <s v="11/06/2025"/>
    <x v="0"/>
    <s v="001"/>
    <s v="06_000134"/>
    <x v="1"/>
    <s v="91.06.02.07"/>
    <s v="VDJ_872"/>
    <s v="Peaje 24546"/>
    <s v="20517252558"/>
    <s v="CONCESIONARIA VIAL DEL SUR S.A.- COVISUR S.A."/>
    <x v="0"/>
    <s v="FACTURA"/>
    <s v="F212"/>
    <n v="1755714"/>
    <n v="3.39"/>
    <s v=""/>
    <n v="0.61019999999999996"/>
    <s v=""/>
    <n v="0"/>
    <n v="8"/>
    <m/>
    <m/>
    <m/>
    <m/>
    <s v="24546"/>
    <s v="63.1.1.3.02"/>
    <s v="Peaje 24546"/>
    <x v="8"/>
  </r>
  <r>
    <s v="11/06/2025"/>
    <x v="0"/>
    <s v="001"/>
    <s v="06_000134"/>
    <x v="1"/>
    <s v="91.06.02.07"/>
    <s v="VDJ_872"/>
    <s v="Peaje 24546"/>
    <s v="20517252558"/>
    <s v="CONCESIONARIA VIAL DEL SUR S.A.- COVISUR S.A."/>
    <x v="0"/>
    <s v="FACTURA"/>
    <s v="F212"/>
    <n v="1755714"/>
    <n v="3.39"/>
    <s v=""/>
    <n v="0.61019999999999996"/>
    <s v=""/>
    <n v="0"/>
    <n v="8"/>
    <m/>
    <m/>
    <m/>
    <m/>
    <s v="24546"/>
    <s v="63.1.1.3.03"/>
    <s v="Peaje 24546"/>
    <x v="7"/>
  </r>
  <r>
    <s v="12/06/2025"/>
    <x v="0"/>
    <s v="001"/>
    <s v="06_000135"/>
    <x v="1"/>
    <s v="91.06.02.01"/>
    <s v="V9R_903"/>
    <s v="Peaje 24553"/>
    <s v="20517252558"/>
    <s v="CONCESIONARIA VIAL DEL SUR S.A.- COVISUR S.A."/>
    <x v="0"/>
    <s v="FACTURA"/>
    <s v="F114"/>
    <n v="1072069"/>
    <n v="10.17"/>
    <s v=""/>
    <n v="1.8306"/>
    <s v=""/>
    <n v="0"/>
    <n v="12"/>
    <m/>
    <m/>
    <m/>
    <m/>
    <s v="24553"/>
    <s v="63.1.1.3.02"/>
    <s v="Peaje 24553"/>
    <x v="8"/>
  </r>
  <r>
    <s v="11/06/2025"/>
    <x v="0"/>
    <s v="001"/>
    <s v="06_000136"/>
    <x v="1"/>
    <s v="91.06.02.07"/>
    <s v="VDJ_872"/>
    <s v="Balanza 24548"/>
    <s v="20259858934"/>
    <s v="COMERCIALIZACION Y SERVICIOS EL EDEN S.A.C."/>
    <x v="0"/>
    <s v="FACTURA"/>
    <s v="FE02"/>
    <n v="16628"/>
    <n v="8.48"/>
    <s v=""/>
    <n v="1.5264"/>
    <s v=""/>
    <n v="0"/>
    <n v="20"/>
    <m/>
    <m/>
    <m/>
    <m/>
    <s v="24548"/>
    <s v="63.1.1.7.01"/>
    <s v="Balanza 24548"/>
    <x v="11"/>
  </r>
  <r>
    <s v="11/06/2025"/>
    <x v="0"/>
    <s v="001"/>
    <s v="06_000136"/>
    <x v="1"/>
    <s v="91.06.02.07"/>
    <s v="VDJ_872"/>
    <s v="Balanza 24548"/>
    <s v="20259858934"/>
    <s v="COMERCIALIZACION Y SERVICIOS EL EDEN S.A.C."/>
    <x v="0"/>
    <s v="FACTURA"/>
    <s v="FE02"/>
    <n v="16628"/>
    <n v="8.4700000000000006"/>
    <s v=""/>
    <n v="1.5246"/>
    <s v=""/>
    <n v="0"/>
    <n v="20"/>
    <m/>
    <m/>
    <m/>
    <m/>
    <s v="24548"/>
    <s v="63.1.1.7.02"/>
    <s v="Balanza 24548"/>
    <x v="1"/>
  </r>
  <r>
    <s v="12/06/2025"/>
    <x v="0"/>
    <s v="001"/>
    <s v="06_000137"/>
    <x v="1"/>
    <s v="91.06.02.02"/>
    <s v="BKK_849"/>
    <s v="Balanza 24556"/>
    <s v="20259858934"/>
    <s v="COMERCIALIZACION Y SERVICIOS EL EDEN S.A.C."/>
    <x v="0"/>
    <s v="FACTURA"/>
    <s v="FE02"/>
    <n v="16634"/>
    <n v="16.95"/>
    <s v=""/>
    <n v="3.0509999999999997"/>
    <s v=""/>
    <n v="0"/>
    <n v="20"/>
    <m/>
    <m/>
    <m/>
    <m/>
    <s v="24556"/>
    <s v="63.1.1.7.01"/>
    <s v="Balanza 24556"/>
    <x v="11"/>
  </r>
  <r>
    <s v="13/06/2025"/>
    <x v="0"/>
    <s v="001"/>
    <s v="06_000138"/>
    <x v="1"/>
    <s v="91.06.02.02"/>
    <s v="BKK_849"/>
    <s v="Balanza 24568"/>
    <s v="20259858934"/>
    <s v="COMERCIALIZACION Y SERVICIOS EL EDEN S.A.C."/>
    <x v="0"/>
    <s v="FACTURA"/>
    <s v="FE02"/>
    <n v="16640"/>
    <n v="16.95"/>
    <s v=""/>
    <n v="3.0509999999999997"/>
    <s v=""/>
    <n v="0"/>
    <n v="20"/>
    <m/>
    <m/>
    <m/>
    <m/>
    <s v="24568"/>
    <s v="63.1.1.7.01"/>
    <s v="Balanza 24568"/>
    <x v="11"/>
  </r>
  <r>
    <s v="13/06/2025"/>
    <x v="0"/>
    <s v="001"/>
    <s v="06_000139"/>
    <x v="1"/>
    <s v="91.06.02.02"/>
    <s v="BKK_849"/>
    <s v="Peaje 24569"/>
    <s v="20517252558"/>
    <s v="CONCESIONARIA VIAL DEL SUR S.A.- COVISUR S.A."/>
    <x v="0"/>
    <s v="FACTURA"/>
    <s v="F214"/>
    <n v="2081029"/>
    <n v="6.78"/>
    <s v=""/>
    <n v="1.2203999999999999"/>
    <s v=""/>
    <n v="0"/>
    <n v="8"/>
    <m/>
    <m/>
    <m/>
    <m/>
    <s v="24569"/>
    <s v="63.1.1.3.02"/>
    <s v="Peaje 24569"/>
    <x v="8"/>
  </r>
  <r>
    <s v="13/06/2025"/>
    <x v="0"/>
    <s v="001"/>
    <s v="06_000140"/>
    <x v="1"/>
    <s v="91.06.02.02"/>
    <s v="BKK_849"/>
    <s v="Peaje 24567"/>
    <s v="20517252558"/>
    <s v="CONCESIONARIA VIAL DEL SUR S.A.- COVISUR S.A."/>
    <x v="0"/>
    <s v="FACTURA"/>
    <s v="F212"/>
    <n v="1757907"/>
    <n v="6.78"/>
    <s v=""/>
    <n v="1.2203999999999999"/>
    <s v=""/>
    <n v="0"/>
    <n v="8"/>
    <m/>
    <m/>
    <m/>
    <m/>
    <s v="24567"/>
    <s v="63.1.1.3.02"/>
    <s v="Peaje 24567"/>
    <x v="8"/>
  </r>
  <r>
    <s v="13/06/2025"/>
    <x v="0"/>
    <s v="001"/>
    <s v="06_000141"/>
    <x v="1"/>
    <s v="91.06.02.07"/>
    <s v="VDJ_872"/>
    <s v="Peaje 24575"/>
    <s v="20517252558"/>
    <s v="CONCESIONARIA VIAL DEL SUR S.A.- COVISUR S.A."/>
    <x v="0"/>
    <s v="FACTURA"/>
    <s v="F214"/>
    <n v="2081057"/>
    <n v="6.78"/>
    <s v=""/>
    <n v="1.2203999999999999"/>
    <s v=""/>
    <n v="0"/>
    <n v="8"/>
    <m/>
    <m/>
    <m/>
    <m/>
    <s v="24575"/>
    <s v="63.1.1.3.02"/>
    <s v="Peaje 24575"/>
    <x v="8"/>
  </r>
  <r>
    <s v="13/06/2025"/>
    <x v="0"/>
    <s v="001"/>
    <s v="06_000142"/>
    <x v="1"/>
    <s v="91.06.02.07"/>
    <s v="VDJ_872"/>
    <s v="Peaje 24574"/>
    <s v="20517252558"/>
    <s v="CONCESIONARIA VIAL DEL SUR S.A.- COVISUR S.A."/>
    <x v="0"/>
    <s v="FACTURA"/>
    <s v="F212"/>
    <n v="1757810"/>
    <n v="6.78"/>
    <s v=""/>
    <n v="1.2203999999999999"/>
    <s v=""/>
    <n v="0"/>
    <n v="8"/>
    <m/>
    <m/>
    <m/>
    <m/>
    <s v="24574"/>
    <s v="63.1.1.3.02"/>
    <s v="Peaje 24574"/>
    <x v="8"/>
  </r>
  <r>
    <s v="12/06/2025"/>
    <x v="0"/>
    <s v="001"/>
    <s v="06_000143"/>
    <x v="1"/>
    <s v="91.06.02.02"/>
    <s v="BKK_849"/>
    <s v="Peaje 24555"/>
    <s v="20517252558"/>
    <s v="CONCESIONARIA VIAL DEL SUR S.A.- COVISUR S.A."/>
    <x v="0"/>
    <s v="FACTURA"/>
    <s v="F212"/>
    <n v="1756803"/>
    <n v="6.78"/>
    <s v=""/>
    <n v="1.2203999999999999"/>
    <s v=""/>
    <n v="0"/>
    <n v="8"/>
    <m/>
    <m/>
    <m/>
    <m/>
    <s v="24555"/>
    <s v="63.1.1.3.02"/>
    <s v="Peaje 24555"/>
    <x v="8"/>
  </r>
  <r>
    <s v="12/06/2025"/>
    <x v="0"/>
    <s v="001"/>
    <s v="06_000144"/>
    <x v="1"/>
    <s v="91.06.02.02"/>
    <s v="BKK_849"/>
    <s v="Peaje 24554"/>
    <s v="20517252558"/>
    <s v="CONCESIONARIA VIAL DEL SUR S.A.- COVISUR S.A."/>
    <x v="0"/>
    <s v="FACTURA"/>
    <s v="F213"/>
    <n v="1776609"/>
    <n v="6.78"/>
    <s v=""/>
    <n v="1.2203999999999999"/>
    <s v=""/>
    <n v="0"/>
    <n v="8"/>
    <m/>
    <m/>
    <m/>
    <m/>
    <s v="24554"/>
    <s v="63.1.1.3.02"/>
    <s v="Peaje 24554"/>
    <x v="8"/>
  </r>
  <r>
    <s v="11/06/2025"/>
    <x v="0"/>
    <s v="001"/>
    <s v="06_000145"/>
    <x v="1"/>
    <s v="91.06.02.07"/>
    <s v="VDJ_872"/>
    <s v="Peaje 24547"/>
    <s v="20517252558"/>
    <s v="CONCESIONARIA VIAL DEL SUR S.A.- COVISUR S.A."/>
    <x v="0"/>
    <s v="FACTURA"/>
    <s v="F213"/>
    <n v="1775595"/>
    <n v="3.39"/>
    <s v=""/>
    <n v="0.61019999999999996"/>
    <s v=""/>
    <n v="0"/>
    <n v="8"/>
    <m/>
    <m/>
    <m/>
    <m/>
    <s v="24547"/>
    <s v="63.1.1.3.02"/>
    <s v="Peaje 24547"/>
    <x v="8"/>
  </r>
  <r>
    <s v="11/06/2025"/>
    <x v="0"/>
    <s v="001"/>
    <s v="06_000145"/>
    <x v="1"/>
    <s v="91.06.02.07"/>
    <s v="VDJ_872"/>
    <s v="Peaje 24547"/>
    <s v="20517252558"/>
    <s v="CONCESIONARIA VIAL DEL SUR S.A.- COVISUR S.A."/>
    <x v="0"/>
    <s v="FACTURA"/>
    <s v="F213"/>
    <n v="1775595"/>
    <n v="3.39"/>
    <s v=""/>
    <n v="0.61019999999999996"/>
    <s v=""/>
    <n v="0"/>
    <n v="8"/>
    <m/>
    <m/>
    <m/>
    <m/>
    <s v="24547"/>
    <s v="63.1.1.3.03"/>
    <s v="Peaje 24547"/>
    <x v="7"/>
  </r>
  <r>
    <s v="15/06/2025"/>
    <x v="0"/>
    <s v="001"/>
    <s v="06_000146"/>
    <x v="1"/>
    <s v="91.06.02.01"/>
    <s v="V9R_903"/>
    <s v="Combustible"/>
    <s v="20127765279"/>
    <s v="COESTI S.A."/>
    <x v="0"/>
    <s v="FACTURA"/>
    <s v="F864"/>
    <n v="143945"/>
    <n v="778.19"/>
    <s v=""/>
    <n v="140.07419999999999"/>
    <s v=""/>
    <n v="0"/>
    <n v="1404.94"/>
    <m/>
    <m/>
    <m/>
    <m/>
    <m/>
    <s v="65.6.1.1.01"/>
    <s v="Combustible"/>
    <x v="12"/>
  </r>
  <r>
    <s v="15/06/2025"/>
    <x v="0"/>
    <s v="001"/>
    <s v="06_000146"/>
    <x v="1"/>
    <s v="91.06.02.02"/>
    <s v="BKK_849"/>
    <s v="Combustible"/>
    <s v="20127765279"/>
    <s v="COESTI S.A."/>
    <x v="0"/>
    <s v="FACTURA"/>
    <s v="F864"/>
    <n v="143945"/>
    <n v="195.09"/>
    <s v=""/>
    <n v="35.116199999999999"/>
    <s v=""/>
    <n v="0"/>
    <n v="1404.94"/>
    <m/>
    <m/>
    <m/>
    <m/>
    <m/>
    <s v="65.6.1.1.01"/>
    <s v="Combustible"/>
    <x v="12"/>
  </r>
  <r>
    <s v="15/06/2025"/>
    <x v="0"/>
    <s v="001"/>
    <s v="06_000146"/>
    <x v="1"/>
    <s v="91.06.02.03"/>
    <s v="BKL_739"/>
    <s v="Combustible"/>
    <s v="20127765279"/>
    <s v="COESTI S.A."/>
    <x v="0"/>
    <s v="FACTURA"/>
    <s v="F864"/>
    <n v="143945"/>
    <n v="217.35"/>
    <s v=""/>
    <n v="39.122999999999998"/>
    <s v=""/>
    <n v="0"/>
    <n v="1404.94"/>
    <m/>
    <m/>
    <m/>
    <m/>
    <m/>
    <s v="65.6.1.1.01"/>
    <s v="Combustible"/>
    <x v="12"/>
  </r>
  <r>
    <s v="15/06/2025"/>
    <x v="0"/>
    <s v="001"/>
    <s v="06_000147"/>
    <x v="1"/>
    <s v="91.06.02.04"/>
    <s v="VBB_840"/>
    <s v="Combustible"/>
    <s v="20127765279"/>
    <s v="COESTI S.A."/>
    <x v="0"/>
    <s v="FACTURA"/>
    <s v="F867"/>
    <n v="166460"/>
    <n v="367.36"/>
    <s v=""/>
    <n v="66.124799999999993"/>
    <s v=""/>
    <n v="0"/>
    <n v="1090.79"/>
    <m/>
    <m/>
    <m/>
    <m/>
    <m/>
    <s v="65.6.1.1.01"/>
    <s v="Combustible"/>
    <x v="12"/>
  </r>
  <r>
    <s v="15/06/2025"/>
    <x v="0"/>
    <s v="001"/>
    <s v="06_000147"/>
    <x v="1"/>
    <s v="91.06.02.06"/>
    <s v="VBW_889"/>
    <s v="Combustible"/>
    <s v="20127765279"/>
    <s v="COESTI S.A."/>
    <x v="0"/>
    <s v="FACTURA"/>
    <s v="F867"/>
    <n v="166460"/>
    <n v="180.85"/>
    <s v=""/>
    <n v="32.552999999999997"/>
    <s v=""/>
    <n v="0"/>
    <n v="1090.79"/>
    <m/>
    <m/>
    <m/>
    <m/>
    <m/>
    <s v="65.6.1.1.01"/>
    <s v="Combustible"/>
    <x v="12"/>
  </r>
  <r>
    <s v="15/06/2025"/>
    <x v="0"/>
    <s v="001"/>
    <s v="06_000147"/>
    <x v="1"/>
    <s v="91.06.02.07"/>
    <s v="VDJ_872"/>
    <s v="Combustible"/>
    <s v="20127765279"/>
    <s v="COESTI S.A."/>
    <x v="0"/>
    <s v="FACTURA"/>
    <s v="F867"/>
    <n v="166460"/>
    <n v="222.72"/>
    <s v=""/>
    <n v="40.089599999999997"/>
    <s v=""/>
    <n v="0"/>
    <n v="1090.79"/>
    <m/>
    <m/>
    <m/>
    <m/>
    <m/>
    <s v="65.6.1.1.01"/>
    <s v="Combustible"/>
    <x v="12"/>
  </r>
  <r>
    <s v="15/06/2025"/>
    <x v="0"/>
    <s v="001"/>
    <s v="06_000147"/>
    <x v="1"/>
    <s v="91.06.02.10"/>
    <s v="BDQ_458"/>
    <s v="Combustible"/>
    <s v="20127765279"/>
    <s v="COESTI S.A."/>
    <x v="0"/>
    <s v="FACTURA"/>
    <s v="F867"/>
    <n v="166460"/>
    <n v="68.72"/>
    <s v=""/>
    <n v="12.3696"/>
    <s v=""/>
    <n v="0"/>
    <n v="1090.79"/>
    <m/>
    <m/>
    <m/>
    <m/>
    <m/>
    <s v="65.6.1.1.01"/>
    <s v="Combustible"/>
    <x v="12"/>
  </r>
  <r>
    <s v="15/06/2025"/>
    <x v="0"/>
    <s v="001"/>
    <s v="06_000147"/>
    <x v="1"/>
    <s v="91.06.02.10"/>
    <s v="BDQ_458"/>
    <s v="Combustible"/>
    <s v="20127765279"/>
    <s v="COESTI S.A."/>
    <x v="0"/>
    <s v="FACTURA"/>
    <s v="F867"/>
    <n v="166460"/>
    <n v="84.75"/>
    <s v=""/>
    <n v="15.254999999999999"/>
    <s v=""/>
    <n v="0"/>
    <n v="1090.79"/>
    <m/>
    <m/>
    <m/>
    <m/>
    <m/>
    <s v="65.6.1.1.01"/>
    <s v="Combustible"/>
    <x v="12"/>
  </r>
  <r>
    <s v="09/06/2025"/>
    <x v="0"/>
    <s v="001"/>
    <s v="06_000148"/>
    <x v="2"/>
    <s v="95.01"/>
    <s v="Comercial"/>
    <s v="Transporte tercerizado _ Transporte tercerizado RQ.OPE.1215 OS 005 _ 635"/>
    <s v="10410687491"/>
    <s v="TORRES CARDENAS MARIA LIDIA"/>
    <x v="0"/>
    <s v="FACTURA"/>
    <s v="E001"/>
    <n v="37"/>
    <n v="450"/>
    <s v=""/>
    <n v="81"/>
    <s v=""/>
    <n v="0"/>
    <n v="531"/>
    <s v="273238073"/>
    <s v="19/06/2025"/>
    <m/>
    <m/>
    <m/>
    <s v="63.1.1.1.02"/>
    <s v="Transporte tercerizado _ Transporte tercerizado RQ.OPE.1215 OS 005 _ 635"/>
    <x v="13"/>
  </r>
  <r>
    <s v="09/06/2025"/>
    <x v="0"/>
    <s v="001"/>
    <s v="06_000149"/>
    <x v="1"/>
    <s v="91.06.01"/>
    <s v="Operaciones"/>
    <s v="Transporte tercerizado _ Compra de residuos RQ,OPE.1218 OS 005 _ 636"/>
    <s v="10736055631"/>
    <s v="HUAMANI MAMANI HUBER ANTHONY"/>
    <x v="0"/>
    <s v="FACTURA"/>
    <s v="E001"/>
    <n v="6"/>
    <n v="450"/>
    <s v=""/>
    <n v="81"/>
    <s v=""/>
    <n v="0"/>
    <n v="531"/>
    <s v="273238074"/>
    <s v="19/06/2025"/>
    <m/>
    <m/>
    <m/>
    <s v="63.1.1.1.02"/>
    <s v="Transporte tercerizado _ Compra de residuos RQ,OPE.1218 OS 005 _ 636"/>
    <x v="13"/>
  </r>
  <r>
    <s v="10/06/2025"/>
    <x v="0"/>
    <s v="001"/>
    <s v="06_000150"/>
    <x v="0"/>
    <s v="94.03"/>
    <s v="Logistica"/>
    <s v="Movilidad _ gasolina"/>
    <s v="20498469591"/>
    <s v="INVERSIONES KM&amp;H S.A.C."/>
    <x v="0"/>
    <s v="FACTURA"/>
    <s v="F001"/>
    <n v="52364"/>
    <n v="33.9"/>
    <s v=""/>
    <n v="6.1019999999999994"/>
    <s v=""/>
    <n v="0"/>
    <n v="40"/>
    <m/>
    <m/>
    <m/>
    <m/>
    <m/>
    <s v="63.1.1.2.01"/>
    <s v="Movilidad _ gasolina"/>
    <x v="19"/>
  </r>
  <r>
    <s v="09/06/2025"/>
    <x v="0"/>
    <s v="001"/>
    <s v="06_000151"/>
    <x v="1"/>
    <s v="91.06.02.03"/>
    <s v="BKL_739"/>
    <s v="Peaje 24535"/>
    <s v="20517252558"/>
    <s v="CONCESIONARIA VIAL DEL SUR S.A.- COVISUR S.A."/>
    <x v="0"/>
    <s v="FACTURA"/>
    <s v="F211"/>
    <n v="2360157"/>
    <n v="6.78"/>
    <s v=""/>
    <n v="1.2203999999999999"/>
    <s v=""/>
    <n v="0"/>
    <n v="8"/>
    <m/>
    <m/>
    <m/>
    <m/>
    <s v="24535"/>
    <s v="63.1.1.3.03"/>
    <s v="Peaje 24535"/>
    <x v="7"/>
  </r>
  <r>
    <s v="09/06/2025"/>
    <x v="0"/>
    <s v="001"/>
    <s v="06_000152"/>
    <x v="1"/>
    <s v="91.06.02.03"/>
    <s v="BKL_739"/>
    <s v="Peaje 24534"/>
    <s v="20517252558"/>
    <s v="CONCESIONARIA VIAL DEL SUR S.A.- COVISUR S.A."/>
    <x v="0"/>
    <s v="FACTURA"/>
    <s v="F213"/>
    <n v="1773643"/>
    <n v="6.78"/>
    <s v=""/>
    <n v="1.2203999999999999"/>
    <s v=""/>
    <n v="0"/>
    <n v="8"/>
    <m/>
    <m/>
    <m/>
    <m/>
    <s v="24534"/>
    <s v="63.1.1.3.03"/>
    <s v="Peaje 24534"/>
    <x v="7"/>
  </r>
  <r>
    <s v="10/06/2025"/>
    <x v="0"/>
    <s v="001"/>
    <s v="06_000153"/>
    <x v="1"/>
    <s v="91.06.02.03"/>
    <s v="BKL_739"/>
    <s v="Peaje 24537"/>
    <s v="20517252558"/>
    <s v="CONCESIONARIA VIAL DEL SUR S.A.- COVISUR S.A."/>
    <x v="0"/>
    <s v="FACTURA"/>
    <s v="F211"/>
    <n v="2361629"/>
    <n v="6.78"/>
    <s v=""/>
    <n v="1.2203999999999999"/>
    <s v=""/>
    <n v="0"/>
    <n v="8"/>
    <m/>
    <m/>
    <m/>
    <m/>
    <s v="24537"/>
    <s v="63.1.1.3.02"/>
    <s v="Peaje 24537"/>
    <x v="8"/>
  </r>
  <r>
    <s v="10/06/2025"/>
    <x v="0"/>
    <s v="001"/>
    <s v="06_000154"/>
    <x v="1"/>
    <s v="91.06.02.03"/>
    <s v="BKL_739"/>
    <s v="Peaje 24536"/>
    <s v="20517252558"/>
    <s v="CONCESIONARIA VIAL DEL SUR S.A.- COVISUR S.A."/>
    <x v="0"/>
    <s v="FACTURA"/>
    <s v="F214"/>
    <n v="2077542"/>
    <n v="6.78"/>
    <s v=""/>
    <n v="1.2203999999999999"/>
    <s v=""/>
    <n v="0"/>
    <n v="8"/>
    <m/>
    <m/>
    <m/>
    <m/>
    <s v="24536"/>
    <s v="63.1.1.3.02"/>
    <s v="Peaje 24536"/>
    <x v="8"/>
  </r>
  <r>
    <s v="10/06/2025"/>
    <x v="0"/>
    <s v="001"/>
    <s v="06_000155"/>
    <x v="1"/>
    <s v="91.06.02.03"/>
    <s v="BKL_739"/>
    <s v="Peaje 24539"/>
    <s v="20517252558"/>
    <s v="CONCESIONARIA VIAL DEL SUR S.A.- COVISUR S.A."/>
    <x v="0"/>
    <s v="FACTURA"/>
    <s v="F211"/>
    <n v="2361341"/>
    <n v="6.78"/>
    <s v=""/>
    <n v="1.2203999999999999"/>
    <s v=""/>
    <n v="0"/>
    <n v="8"/>
    <m/>
    <m/>
    <m/>
    <m/>
    <s v="24539"/>
    <s v="63.1.1.3.02"/>
    <s v="Peaje 24539"/>
    <x v="8"/>
  </r>
  <r>
    <s v="10/06/2025"/>
    <x v="0"/>
    <s v="001"/>
    <s v="06_000156"/>
    <x v="1"/>
    <s v="91.06.02.03"/>
    <s v="BKL_739"/>
    <s v="Peaje 24538"/>
    <s v="20517252558"/>
    <s v="CONCESIONARIA VIAL DEL SUR S.A.- COVISUR S.A."/>
    <x v="0"/>
    <s v="FACTURA"/>
    <s v="F213"/>
    <n v="1774271"/>
    <n v="6.78"/>
    <s v=""/>
    <n v="1.2203999999999999"/>
    <s v=""/>
    <n v="0"/>
    <n v="8"/>
    <m/>
    <m/>
    <m/>
    <m/>
    <s v="24538"/>
    <s v="63.1.1.3.02"/>
    <s v="Peaje 24538"/>
    <x v="8"/>
  </r>
  <r>
    <s v="11/06/2025"/>
    <x v="0"/>
    <s v="001"/>
    <s v="06_000157"/>
    <x v="1"/>
    <s v="91.06.02.03"/>
    <s v="BKL_739"/>
    <s v="Peaje 24541"/>
    <s v="20517252558"/>
    <s v="CONCESIONARIA VIAL DEL SUR S.A.- COVISUR S.A."/>
    <x v="0"/>
    <s v="FACTURA"/>
    <s v="F211"/>
    <n v="2362609"/>
    <n v="6.78"/>
    <s v=""/>
    <n v="1.2203999999999999"/>
    <s v=""/>
    <n v="0"/>
    <n v="8"/>
    <m/>
    <m/>
    <m/>
    <m/>
    <s v="24541"/>
    <s v="63.1.1.3.03"/>
    <s v="Peaje 24541"/>
    <x v="7"/>
  </r>
  <r>
    <s v="11/06/2025"/>
    <x v="0"/>
    <s v="001"/>
    <s v="06_000158"/>
    <x v="1"/>
    <s v="91.06.02.03"/>
    <s v="BKL_739"/>
    <s v="Peaje 24540"/>
    <s v="20517252558"/>
    <s v="CONCESIONARIA VIAL DEL SUR S.A.- COVISUR S.A."/>
    <x v="0"/>
    <s v="FACTURA"/>
    <s v="F214"/>
    <n v="2078583"/>
    <n v="6.78"/>
    <s v=""/>
    <n v="1.2203999999999999"/>
    <s v=""/>
    <n v="0"/>
    <n v="8"/>
    <m/>
    <m/>
    <m/>
    <m/>
    <s v="24540"/>
    <s v="63.1.1.3.03"/>
    <s v="Peaje 24540"/>
    <x v="7"/>
  </r>
  <r>
    <s v="12/06/2025"/>
    <x v="0"/>
    <s v="001"/>
    <s v="06_000159"/>
    <x v="1"/>
    <s v="91.06.02.03"/>
    <s v="BKL_739"/>
    <s v="Peaje 24577"/>
    <s v="20517252558"/>
    <s v="CONCESIONARIA VIAL DEL SUR S.A.- COVISUR S.A."/>
    <x v="0"/>
    <s v="FACTURA"/>
    <s v="F211"/>
    <n v="2363758"/>
    <n v="6.78"/>
    <s v=""/>
    <n v="1.2203999999999999"/>
    <s v=""/>
    <n v="0"/>
    <n v="8"/>
    <m/>
    <m/>
    <m/>
    <m/>
    <s v="24577"/>
    <s v="63.1.1.3.03"/>
    <s v="Peaje 24577"/>
    <x v="7"/>
  </r>
  <r>
    <s v="12/06/2025"/>
    <x v="0"/>
    <s v="001"/>
    <s v="06_000160"/>
    <x v="1"/>
    <s v="91.06.02.03"/>
    <s v="BKL_739"/>
    <s v="Peaje 24576"/>
    <s v="20517252558"/>
    <s v="CONCESIONARIA VIAL DEL SUR S.A.- COVISUR S.A."/>
    <x v="0"/>
    <s v="FACTURA"/>
    <s v="F214"/>
    <n v="2079878"/>
    <n v="6.78"/>
    <s v=""/>
    <n v="1.2203999999999999"/>
    <s v=""/>
    <n v="0"/>
    <n v="8"/>
    <m/>
    <m/>
    <m/>
    <m/>
    <s v="24576"/>
    <s v="63.1.1.3.03"/>
    <s v="Peaje 24576"/>
    <x v="7"/>
  </r>
  <r>
    <s v="13/06/2025"/>
    <x v="0"/>
    <s v="001"/>
    <s v="06_000161"/>
    <x v="1"/>
    <s v="91.06.02.03"/>
    <s v="BKL_739"/>
    <s v="Peaje 24579"/>
    <s v="20517252558"/>
    <s v="CONCESIONARIA VIAL DEL SUR S.A.- COVISUR S.A."/>
    <x v="0"/>
    <s v="FACTURA"/>
    <s v="F211"/>
    <n v="2365082"/>
    <n v="6.78"/>
    <s v=""/>
    <n v="1.2203999999999999"/>
    <s v=""/>
    <n v="0"/>
    <n v="8"/>
    <m/>
    <m/>
    <m/>
    <m/>
    <s v="24579"/>
    <s v="63.1.1.3.03"/>
    <s v="Peaje 24579"/>
    <x v="7"/>
  </r>
  <r>
    <s v="13/06/2025"/>
    <x v="0"/>
    <s v="001"/>
    <s v="06_000162"/>
    <x v="1"/>
    <s v="91.06.02.03"/>
    <s v="BKL_739"/>
    <s v="Peaje 24578"/>
    <s v="20517252558"/>
    <s v="CONCESIONARIA VIAL DEL SUR S.A.- COVISUR S.A."/>
    <x v="0"/>
    <s v="FACTURA"/>
    <s v="F213"/>
    <n v="1777760"/>
    <n v="6.78"/>
    <s v=""/>
    <n v="1.2203999999999999"/>
    <s v=""/>
    <n v="0"/>
    <n v="8"/>
    <m/>
    <m/>
    <m/>
    <m/>
    <s v="24578"/>
    <s v="63.1.1.3.03"/>
    <s v="Peaje 24578"/>
    <x v="7"/>
  </r>
  <r>
    <s v="12/06/2025"/>
    <x v="0"/>
    <s v="001"/>
    <s v="06_000163"/>
    <x v="1"/>
    <s v="91.06.02.03"/>
    <s v="BKL_739"/>
    <s v="Balanza 24581"/>
    <s v="20259858934"/>
    <s v="COMERCIALIZACION Y SERVICIOS EL EDEN S.A.C."/>
    <x v="0"/>
    <s v="FACTURA"/>
    <s v="FE02"/>
    <n v="16633"/>
    <n v="16.95"/>
    <s v=""/>
    <n v="3.0509999999999997"/>
    <s v=""/>
    <n v="0"/>
    <n v="20"/>
    <m/>
    <m/>
    <m/>
    <m/>
    <s v="24581"/>
    <s v="63.1.1.7.02"/>
    <s v="Balanza 24581"/>
    <x v="1"/>
  </r>
  <r>
    <s v="13/06/2025"/>
    <x v="0"/>
    <s v="001"/>
    <s v="06_000164"/>
    <x v="1"/>
    <s v="91.06.02.03"/>
    <s v="BKL_739"/>
    <s v="Balanza 24580"/>
    <s v="20259858934"/>
    <s v="COMERCIALIZACION Y SERVICIOS EL EDEN S.A.C."/>
    <x v="0"/>
    <s v="FACTURA"/>
    <s v="FE02"/>
    <n v="16639"/>
    <n v="16.95"/>
    <s v=""/>
    <n v="3.0509999999999997"/>
    <s v=""/>
    <n v="0"/>
    <n v="20"/>
    <m/>
    <m/>
    <m/>
    <m/>
    <s v="24580"/>
    <s v="63.1.1.7.01"/>
    <s v="Balanza 24580"/>
    <x v="11"/>
  </r>
  <r>
    <s v="10/06/2025"/>
    <x v="0"/>
    <s v="001"/>
    <s v="06_000165"/>
    <x v="0"/>
    <s v="94.06"/>
    <s v="Gerencia"/>
    <s v="Donaciones padres de la PNP RQ.LOG.321"/>
    <s v="20612516899"/>
    <s v="ALIBABA AREQUIPA E.I.R.L."/>
    <x v="0"/>
    <s v="FACTURA"/>
    <s v="FX01"/>
    <n v="656"/>
    <n v="101.69"/>
    <s v=""/>
    <n v="18.304199999999998"/>
    <s v=""/>
    <n v="0"/>
    <n v="120"/>
    <m/>
    <m/>
    <m/>
    <m/>
    <m/>
    <s v="65.9.1.1"/>
    <s v="Donaciones padres de la PNP RQ.LOG.321"/>
    <x v="0"/>
  </r>
  <r>
    <s v="10/06/2025"/>
    <x v="0"/>
    <s v="001"/>
    <s v="06_000166"/>
    <x v="0"/>
    <s v="94.06"/>
    <s v="Gerencia"/>
    <s v="DONACIONES PADRES DE LA PNP RQ.LOG.321"/>
    <s v="20455502650"/>
    <s v="IMPORTACION Y EXPORTACION GRUPO RIVEROS S.A.C."/>
    <x v="0"/>
    <s v="FACTURA"/>
    <s v="F001"/>
    <n v="1541"/>
    <n v="102.12"/>
    <s v=""/>
    <n v="18.381599999999999"/>
    <s v=""/>
    <n v="0"/>
    <n v="120.5"/>
    <m/>
    <m/>
    <m/>
    <m/>
    <m/>
    <s v="65.9.1.1"/>
    <s v="DONACIONES PADRES DE LA PNP RQ.LOG.321"/>
    <x v="0"/>
  </r>
  <r>
    <s v="07/06/2025"/>
    <x v="0"/>
    <s v="001"/>
    <s v="06_000167"/>
    <x v="1"/>
    <s v="91.06.01"/>
    <s v="Operaciones"/>
    <s v="Transporte tercerizado _ Compra de residuos RQ.OPE.1213 OS 005 _ 634"/>
    <s v="10736055631"/>
    <s v="HUAMANI MAMANI HUBER ANTHONY"/>
    <x v="0"/>
    <s v="FACTURA"/>
    <s v="E001"/>
    <n v="5"/>
    <n v="338.99"/>
    <s v=""/>
    <n v="61.0182"/>
    <s v=""/>
    <n v="0"/>
    <n v="400.01"/>
    <s v="273238076"/>
    <s v="19/06/2025"/>
    <m/>
    <m/>
    <m/>
    <s v="63.1.1.1.02"/>
    <s v="Transporte tercerizado _ Compra de residuos RQ.OPE.1213 OS 005 _ 634"/>
    <x v="13"/>
  </r>
  <r>
    <s v="11/06/2025"/>
    <x v="0"/>
    <s v="001"/>
    <s v="06_000168"/>
    <x v="1"/>
    <s v="91.06.01"/>
    <s v="Operaciones"/>
    <s v="Mantenimiento Vehicular (Preventivo) RQ.OPE.1165 OS 006 _ 144"/>
    <s v="10402383548"/>
    <s v="HUALLA SANCHEZ GUSTAVO PAUL"/>
    <x v="0"/>
    <s v="FACTURA"/>
    <s v="E001"/>
    <n v="3235"/>
    <n v="554.24"/>
    <s v=""/>
    <n v="99.763199999999998"/>
    <s v=""/>
    <n v="0"/>
    <n v="654"/>
    <m/>
    <m/>
    <m/>
    <m/>
    <m/>
    <s v="63.4.3.2.02"/>
    <s v="Mantenimiento Vehicular (Preventivo) RQ.OPE.1165 OS 006 _ 144"/>
    <x v="3"/>
  </r>
  <r>
    <s v="16/06/2025"/>
    <x v="0"/>
    <s v="001"/>
    <s v="06_000169"/>
    <x v="0"/>
    <s v="94.05"/>
    <s v="SSOMA"/>
    <s v="EPPS adicional RQ.SSO.227"/>
    <s v="20602484344"/>
    <s v="FERSEIND PERU SOCIEDAD ANONIMA CERRADA - FERSEIND PERU S.A.C."/>
    <x v="0"/>
    <s v="FACTURA"/>
    <s v="F001"/>
    <n v="16824"/>
    <n v="179.84"/>
    <s v=""/>
    <n v="32.371200000000002"/>
    <s v=""/>
    <n v="0"/>
    <n v="212.21"/>
    <m/>
    <m/>
    <m/>
    <m/>
    <m/>
    <s v="60.3.5.1"/>
    <s v="EPPS adicional RQ.SSO.227"/>
    <x v="0"/>
  </r>
  <r>
    <s v="16/06/2025"/>
    <x v="0"/>
    <s v="001"/>
    <s v="06_000170"/>
    <x v="0"/>
    <s v="94.05"/>
    <s v="SSOMA"/>
    <s v="EPPS adicionales RQ.SSO.242"/>
    <s v="20602484344"/>
    <s v="FERSEIND PERU SOCIEDAD ANONIMA CERRADA - FERSEIND PERU S.A.C."/>
    <x v="0"/>
    <s v="FACTURA"/>
    <s v="F001"/>
    <n v="16822"/>
    <n v="953"/>
    <s v=""/>
    <n v="171.54"/>
    <s v=""/>
    <n v="0"/>
    <n v="1124.54"/>
    <m/>
    <m/>
    <m/>
    <m/>
    <m/>
    <s v="60.3.5.1"/>
    <s v="EPPS adicionales RQ.SSO.242"/>
    <x v="0"/>
  </r>
  <r>
    <s v="12/06/2025"/>
    <x v="0"/>
    <s v="001"/>
    <s v="06_000171"/>
    <x v="1"/>
    <s v="91.06.01"/>
    <s v="Operaciones"/>
    <s v="Disposición Final de RR.SS"/>
    <s v="20553255709"/>
    <s v="KANAY S.A.C."/>
    <x v="0"/>
    <s v="FACTURA"/>
    <s v="F001"/>
    <n v="14497"/>
    <n v="7865.25"/>
    <s v=""/>
    <n v="1415.7449999999999"/>
    <s v=""/>
    <n v="0"/>
    <n v="9281"/>
    <s v="273238075"/>
    <s v="19/06/2025"/>
    <m/>
    <m/>
    <m/>
    <s v="63.9.9.1.04.01"/>
    <s v="Disposición Final de RR.SS"/>
    <x v="20"/>
  </r>
  <r>
    <s v="16/06/2025"/>
    <x v="0"/>
    <s v="001"/>
    <s v="06_000172"/>
    <x v="0"/>
    <s v="94.01"/>
    <s v="Administracion"/>
    <s v="Servicios Básicos _ Internet junio"/>
    <s v="20609368773"/>
    <s v="FIXER TELECOMUNICACIONES SOCIEDAD ANONIMA CERRADA"/>
    <x v="0"/>
    <s v="FACTURA"/>
    <s v="E001"/>
    <n v="438"/>
    <n v="59.9"/>
    <s v=""/>
    <n v="10.782"/>
    <s v=""/>
    <n v="0"/>
    <n v="70.680000000000007"/>
    <m/>
    <m/>
    <m/>
    <m/>
    <m/>
    <s v="63.6.5.1"/>
    <s v="Servicios Básicos _ Internet junio"/>
    <x v="0"/>
  </r>
  <r>
    <s v="17/06/2025"/>
    <x v="0"/>
    <s v="001"/>
    <s v="06_000175"/>
    <x v="1"/>
    <s v="91.05.01"/>
    <s v="Residuos Aprovechables"/>
    <s v="RRSS OC 183"/>
    <s v="20100055237"/>
    <s v="ALICORP SAA"/>
    <x v="0"/>
    <s v="FACTURA"/>
    <s v="F313"/>
    <n v="6492"/>
    <n v="162"/>
    <s v=""/>
    <n v="29.16"/>
    <s v=""/>
    <n v="0"/>
    <n v="191.16"/>
    <s v="273238086"/>
    <s v="19/06/2025"/>
    <m/>
    <m/>
    <m/>
    <s v="60.2.1.1"/>
    <s v="RRSS OC 183"/>
    <x v="6"/>
  </r>
  <r>
    <s v="17/06/2025"/>
    <x v="0"/>
    <s v="001"/>
    <s v="06_000176"/>
    <x v="1"/>
    <s v="91.05.01"/>
    <s v="Residuos Aprovechables"/>
    <s v="RRSS OC 184"/>
    <s v="20100055237"/>
    <s v="ALICORP SAA"/>
    <x v="0"/>
    <s v="FACTURA"/>
    <s v="F313"/>
    <n v="6494"/>
    <n v="77.5"/>
    <s v=""/>
    <n v="13.95"/>
    <s v=""/>
    <n v="0"/>
    <n v="91.45"/>
    <s v="273238088"/>
    <s v="19/06/2025"/>
    <m/>
    <m/>
    <m/>
    <s v="60.2.1.1"/>
    <s v="RRSS OC 184"/>
    <x v="6"/>
  </r>
  <r>
    <s v="17/06/2025"/>
    <x v="0"/>
    <s v="001"/>
    <s v="06_000177"/>
    <x v="1"/>
    <s v="91.05.01"/>
    <s v="Residuos Aprovechables"/>
    <s v="RRSS OC 185"/>
    <s v="20100055237"/>
    <s v="ALICORP SAA"/>
    <x v="0"/>
    <s v="FACTURA"/>
    <s v="F313"/>
    <n v="6493"/>
    <n v="351"/>
    <s v=""/>
    <n v="63.18"/>
    <s v=""/>
    <n v="0"/>
    <n v="414.18"/>
    <s v="273238087"/>
    <s v="19/06/2025"/>
    <m/>
    <m/>
    <m/>
    <s v="60.2.1.1"/>
    <s v="RRSS OC 185"/>
    <x v="6"/>
  </r>
  <r>
    <s v="17/06/2025"/>
    <x v="0"/>
    <s v="001"/>
    <s v="06_000178"/>
    <x v="1"/>
    <s v="91.05.01"/>
    <s v="Residuos Aprovechables"/>
    <s v="RRSS OC 186"/>
    <s v="20100055237"/>
    <s v="ALICORP SAA"/>
    <x v="0"/>
    <s v="FACTURA"/>
    <s v="F313"/>
    <n v="6495"/>
    <n v="301"/>
    <s v=""/>
    <n v="54.18"/>
    <s v=""/>
    <n v="0"/>
    <n v="355.18"/>
    <s v="273238089"/>
    <s v="19/06/2025"/>
    <m/>
    <m/>
    <m/>
    <s v="60.2.1.1"/>
    <s v="RRSS OC 186"/>
    <x v="6"/>
  </r>
  <r>
    <s v="17/06/2025"/>
    <x v="0"/>
    <s v="001"/>
    <s v="06_000179"/>
    <x v="1"/>
    <s v="91.05.01"/>
    <s v="Residuos Aprovechables"/>
    <s v="RRSS OC 187"/>
    <s v="20100055237"/>
    <s v="ALICORP SAA"/>
    <x v="0"/>
    <s v="FACTURA"/>
    <s v="F313"/>
    <n v="6496"/>
    <n v="41.5"/>
    <s v=""/>
    <n v="7.47"/>
    <s v=""/>
    <n v="0"/>
    <n v="48.97"/>
    <s v="273238090"/>
    <s v="19/06/2025"/>
    <m/>
    <m/>
    <m/>
    <s v="60.2.1.1"/>
    <s v="RRSS OC 187"/>
    <x v="6"/>
  </r>
  <r>
    <s v="17/06/2025"/>
    <x v="0"/>
    <s v="001"/>
    <s v="06_000180"/>
    <x v="1"/>
    <s v="91.05.01"/>
    <s v="Residuos Aprovechables"/>
    <s v="RRSS OC 188"/>
    <s v="20100055237"/>
    <s v="ALICORP SAA"/>
    <x v="0"/>
    <s v="FACTURA"/>
    <s v="F313"/>
    <n v="6497"/>
    <n v="1288"/>
    <s v=""/>
    <n v="231.84"/>
    <s v=""/>
    <n v="0"/>
    <n v="1519.84"/>
    <s v="273238091"/>
    <s v="19/06/2025"/>
    <m/>
    <m/>
    <m/>
    <s v="60.2.1.1"/>
    <s v="RRSS OC 188"/>
    <x v="6"/>
  </r>
  <r>
    <s v="09/06/2025"/>
    <x v="0"/>
    <s v="001"/>
    <s v="06_000181"/>
    <x v="1"/>
    <s v="91.05.01"/>
    <s v="Residuos Aprovechables"/>
    <s v="RRSS OC 189"/>
    <s v="20100192064"/>
    <s v="MOLY-COP ADESUR S.A."/>
    <x v="0"/>
    <s v="FACTURA"/>
    <s v="F002"/>
    <n v="16252"/>
    <n v="278.20999999999998"/>
    <s v=""/>
    <n v="50.077799999999996"/>
    <s v=""/>
    <n v="0"/>
    <n v="328.3"/>
    <s v="273238083"/>
    <s v="19/06/2025"/>
    <m/>
    <m/>
    <m/>
    <s v="60.2.1.1"/>
    <s v="RRSS OC 189"/>
    <x v="6"/>
  </r>
  <r>
    <s v="16/06/2025"/>
    <x v="0"/>
    <s v="001"/>
    <s v="06_000182"/>
    <x v="1"/>
    <s v="91.06.02.08"/>
    <s v="Montacarga"/>
    <s v="Filtro de cadena _ Kit básico de herramientas"/>
    <s v="20497914885"/>
    <s v="REPUESTOS Y MAQUINARIAS S.A."/>
    <x v="0"/>
    <s v="FACTURA"/>
    <s v="F001"/>
    <n v="70114"/>
    <n v="15.25"/>
    <s v=""/>
    <n v="2.7450000000000001"/>
    <s v=""/>
    <n v="0"/>
    <n v="18"/>
    <m/>
    <m/>
    <m/>
    <m/>
    <m/>
    <s v="60.3.2.1"/>
    <s v="Filtro de cadena _ Kit básico de herramientas"/>
    <x v="0"/>
  </r>
  <r>
    <s v="17/06/2025"/>
    <x v="0"/>
    <s v="001"/>
    <s v="06_000183"/>
    <x v="1"/>
    <s v="91.06.02.03"/>
    <s v="BKL_739"/>
    <s v="Accesorios Vehiculares RQ.OPE.1115 OC 007 _ 39"/>
    <s v="20455911401"/>
    <s v="SKY HIGH SOCIEDAD ANONIMA CERRADA - SKY HIGH S.A.C."/>
    <x v="0"/>
    <s v="FACTURA"/>
    <s v="FA02"/>
    <n v="1539"/>
    <n v="305.37"/>
    <s v=""/>
    <n v="54.9666"/>
    <s v=""/>
    <n v="0"/>
    <n v="720.69"/>
    <m/>
    <m/>
    <m/>
    <m/>
    <m/>
    <s v="63.4.3.2.03"/>
    <s v="Accesorios Vehiculares RQ.OPE.1115 OC 007 _ 39"/>
    <x v="18"/>
  </r>
  <r>
    <s v="17/06/2025"/>
    <x v="0"/>
    <s v="001"/>
    <s v="06_000183"/>
    <x v="1"/>
    <s v="91.06.02.04"/>
    <s v="VBB_840"/>
    <s v="Accesorios Vehiculares RQ.OPE.1115 OC 007 _ 39"/>
    <s v="20455911401"/>
    <s v="SKY HIGH SOCIEDAD ANONIMA CERRADA - SKY HIGH S.A.C."/>
    <x v="0"/>
    <s v="FACTURA"/>
    <s v="FA02"/>
    <n v="1539"/>
    <n v="305.38"/>
    <s v=""/>
    <n v="54.968399999999995"/>
    <s v=""/>
    <n v="0"/>
    <n v="720.69"/>
    <m/>
    <m/>
    <m/>
    <m/>
    <m/>
    <s v="63.4.3.2.03"/>
    <s v="Accesorios Vehiculares RQ.OPE.1115 OC 007 _ 39"/>
    <x v="18"/>
  </r>
  <r>
    <s v="17/06/2025"/>
    <x v="0"/>
    <s v="001"/>
    <s v="06_000184"/>
    <x v="1"/>
    <s v="91.06.02.01"/>
    <s v="V9R_903"/>
    <s v="Mantenimiento Vehicular (Preventivo) RQ.OPE.1216 OS 006 _ 145"/>
    <s v="20413666130"/>
    <s v="CONCESIONARIOS AUTORIZADOS S.A.C."/>
    <x v="0"/>
    <s v="FACTURA"/>
    <s v="F152"/>
    <n v="26715"/>
    <n v="1093.1600000000001"/>
    <s v=""/>
    <n v="196.7688"/>
    <s v=""/>
    <n v="0"/>
    <n v="1289.93"/>
    <m/>
    <m/>
    <m/>
    <m/>
    <m/>
    <s v="63.4.3.2.02"/>
    <s v="Mantenimiento Vehicular (Preventivo) RQ.OPE.1216 OS 006 _ 145"/>
    <x v="3"/>
  </r>
  <r>
    <s v="06/06/2025"/>
    <x v="0"/>
    <s v="001"/>
    <s v="06_000185"/>
    <x v="1"/>
    <s v="91.06.01"/>
    <s v="Operaciones"/>
    <s v="Transporte tercerizado _ Disposición Final RQ.OPE.1211 OS 005 _ 633"/>
    <s v="10736055631"/>
    <s v="HUAMANI MAMANI HUBER ANTHONY"/>
    <x v="0"/>
    <s v="FACTURA"/>
    <s v="E001"/>
    <n v="4"/>
    <n v="700"/>
    <s v=""/>
    <n v="126"/>
    <s v=""/>
    <n v="0"/>
    <n v="826"/>
    <s v="273238080"/>
    <s v="19/06/2025"/>
    <m/>
    <m/>
    <m/>
    <s v="63.1.1.1.01"/>
    <s v="Transporte tercerizado _ Disposición Final RQ.OPE.1211 OS 005 _ 633"/>
    <x v="21"/>
  </r>
  <r>
    <s v="05/06/2025"/>
    <x v="0"/>
    <s v="001"/>
    <s v="06_000186"/>
    <x v="2"/>
    <s v="95.01"/>
    <s v="Comercial"/>
    <s v="Transporte tercerizado _ Compra de Residuos RQ.OPE.1207 OS 005 _ 632"/>
    <s v="10736055631"/>
    <s v="HUAMANI MAMANI HUBER ANTHONY"/>
    <x v="0"/>
    <s v="FACTURA"/>
    <s v="E001"/>
    <n v="3"/>
    <n v="400"/>
    <s v=""/>
    <n v="72"/>
    <s v=""/>
    <n v="0"/>
    <n v="472"/>
    <s v="273238079"/>
    <s v="19/06/2025"/>
    <m/>
    <m/>
    <m/>
    <s v="63.1.1.1.02"/>
    <s v="Transporte tercerizado _ Compra de Residuos RQ.OPE.1207 OS 005 _ 632"/>
    <x v="13"/>
  </r>
  <r>
    <s v="16/06/2025"/>
    <x v="0"/>
    <s v="001"/>
    <s v="06_000187"/>
    <x v="0"/>
    <s v="94.03"/>
    <s v="Logistica"/>
    <s v="Recarga de agua _ Arequipa RQ.LOG.322"/>
    <s v="10706063426"/>
    <s v="FARFAN RIEGA YESENIA ELIZABETH"/>
    <x v="0"/>
    <s v="FACTURA"/>
    <s v="E001"/>
    <n v="473"/>
    <n v="161.02000000000001"/>
    <s v=""/>
    <n v="28.983599999999999"/>
    <s v=""/>
    <n v="0"/>
    <n v="190"/>
    <m/>
    <m/>
    <m/>
    <m/>
    <m/>
    <s v="63.6.3.2.01"/>
    <s v="Recarga de agua _ Arequipa RQ.LOG.322"/>
    <x v="0"/>
  </r>
  <r>
    <s v="16/04/2025"/>
    <x v="0"/>
    <s v="001"/>
    <s v="06_000188"/>
    <x v="0"/>
    <m/>
    <m/>
    <m/>
    <s v="20455788286"/>
    <s v="RESTAURANT CAMPESTRE SULÚ E.I.R.L."/>
    <x v="0"/>
    <s v="FACTURA"/>
    <s v="F002"/>
    <s v="2668"/>
    <m/>
    <n v="132.74"/>
    <n v="0"/>
    <n v="13.26"/>
    <n v="0"/>
    <n v="146"/>
    <m/>
    <m/>
    <m/>
    <m/>
    <m/>
    <m/>
    <m/>
    <x v="0"/>
  </r>
  <r>
    <s v="09/01/2025"/>
    <x v="0"/>
    <s v="001"/>
    <s v="06_000189"/>
    <x v="0"/>
    <m/>
    <m/>
    <m/>
    <s v="10470065147"/>
    <s v="SORIA CRISTOBAL LORENA IVANKA"/>
    <x v="0"/>
    <s v="FACTURA"/>
    <s v="E001"/>
    <s v="353"/>
    <n v="450"/>
    <s v=""/>
    <n v="81"/>
    <s v=""/>
    <n v="0"/>
    <n v="531"/>
    <s v="273238078"/>
    <s v="19/06/2025"/>
    <m/>
    <m/>
    <m/>
    <m/>
    <m/>
    <x v="0"/>
  </r>
  <r>
    <s v="28/05/2025"/>
    <x v="0"/>
    <s v="001"/>
    <s v="06_000190"/>
    <x v="1"/>
    <s v="91.05.01"/>
    <s v="Residuos Aprovechables"/>
    <m/>
    <s v="20100192064"/>
    <s v="MOLY-COP ADESUR S.A."/>
    <x v="0"/>
    <s v="FACTURA"/>
    <s v="F002"/>
    <s v="16173"/>
    <n v="221.19"/>
    <s v=""/>
    <n v="39.82"/>
    <s v=""/>
    <n v="0"/>
    <n v="261.01"/>
    <s v="273238082"/>
    <s v="19/06/2025"/>
    <m/>
    <m/>
    <m/>
    <m/>
    <m/>
    <x v="0"/>
  </r>
  <r>
    <s v="28/05/2025"/>
    <x v="0"/>
    <s v="001"/>
    <s v="06_000191"/>
    <x v="1"/>
    <s v="91.05.01"/>
    <s v="Residuos Aprovechables"/>
    <m/>
    <s v="20100192064"/>
    <s v="MOLY-COP ADESUR S.A."/>
    <x v="0"/>
    <s v="FACTURA"/>
    <s v="F002"/>
    <s v="16171"/>
    <n v="389.82"/>
    <s v=""/>
    <n v="70.150000000000006"/>
    <s v=""/>
    <n v="0"/>
    <n v="459.97"/>
    <s v="273238081"/>
    <s v="19/06/2025"/>
    <m/>
    <m/>
    <m/>
    <m/>
    <m/>
    <x v="0"/>
  </r>
  <r>
    <s v="31/05/2025"/>
    <x v="0"/>
    <s v="001"/>
    <s v="06_000192"/>
    <x v="1"/>
    <s v="91.05.01"/>
    <s v="Residuos Aprovechables"/>
    <m/>
    <s v="20100192064"/>
    <s v="MOLY-COP ADESUR S.A."/>
    <x v="0"/>
    <s v="FACTURA"/>
    <s v="F002"/>
    <s v="16209"/>
    <n v="6497.43"/>
    <s v=""/>
    <n v="1169.54"/>
    <s v=""/>
    <n v="0"/>
    <n v="7666.97"/>
    <s v="273238085"/>
    <s v="19/06/2025"/>
    <m/>
    <m/>
    <m/>
    <m/>
    <m/>
    <x v="0"/>
  </r>
  <r>
    <s v="30/05/2025"/>
    <x v="0"/>
    <s v="001"/>
    <s v="06_000193"/>
    <x v="1"/>
    <s v="91.05.01"/>
    <s v="Residuos Aprovechables"/>
    <m/>
    <s v="20100192064"/>
    <s v="MOLY-COP ADESUR S.A."/>
    <x v="0"/>
    <s v="FACTURA"/>
    <s v="F002"/>
    <s v="16181"/>
    <n v="3074.07"/>
    <s v=""/>
    <n v="553.34"/>
    <s v=""/>
    <n v="0"/>
    <n v="3627.41"/>
    <s v="273238084"/>
    <s v="19/06/2025"/>
    <m/>
    <m/>
    <m/>
    <m/>
    <m/>
    <x v="0"/>
  </r>
  <r>
    <s v="18/06/2025"/>
    <x v="0"/>
    <s v="001"/>
    <s v="06_000194"/>
    <x v="1"/>
    <s v="91.06.02.11"/>
    <s v="Tercerizados"/>
    <s v="Balanza"/>
    <s v="20124952850"/>
    <s v="ALIMENTOS Y SERVICIOS AGROPECUARIOS SRL."/>
    <x v="0"/>
    <s v="FACTURA"/>
    <s v="F002"/>
    <n v="133154"/>
    <n v="8.4700000000000006"/>
    <s v=""/>
    <n v="1.5246"/>
    <s v=""/>
    <n v="0"/>
    <n v="10"/>
    <m/>
    <m/>
    <m/>
    <m/>
    <m/>
    <s v="63.1.1.7.02"/>
    <s v="Balanza"/>
    <x v="1"/>
  </r>
  <r>
    <s v="04/06/2025"/>
    <x v="0"/>
    <s v="001"/>
    <s v="06_000195"/>
    <x v="2"/>
    <s v="95.01"/>
    <s v="Comercial"/>
    <s v="Transporte tercerizado _ Compra de Residuos RQ.OPE.1195 OS 005 _ 627"/>
    <s v="10295492908"/>
    <s v="UGARTE MENDOZA GREGORIO NACIANSENO"/>
    <x v="0"/>
    <s v="FACTURA"/>
    <s v="E001"/>
    <n v="497"/>
    <n v="400"/>
    <s v=""/>
    <n v="72"/>
    <s v=""/>
    <n v="0"/>
    <n v="472"/>
    <s v="273238092"/>
    <s v="19/06/2025"/>
    <m/>
    <m/>
    <m/>
    <s v="63.1.1.1.02"/>
    <s v="Transporte tercerizado _ Compra de Residuos RQ.OPE.1195 OS 005 _ 627"/>
    <x v="13"/>
  </r>
  <r>
    <s v="04/06/2025"/>
    <x v="0"/>
    <s v="001"/>
    <s v="06_000196"/>
    <x v="1"/>
    <s v="91.06.02.08"/>
    <s v="Montacarga"/>
    <s v="Combustible"/>
    <s v="20602978274"/>
    <s v="ESTACION DE SERVICIOS MI GRIFO S.R.L. - ESTACION MG S.R.L."/>
    <x v="0"/>
    <s v="FACTURA"/>
    <s v="F135"/>
    <n v="7894"/>
    <n v="242.13"/>
    <s v=""/>
    <n v="43.583399999999997"/>
    <s v=""/>
    <n v="0"/>
    <n v="285.70999999999998"/>
    <m/>
    <m/>
    <m/>
    <m/>
    <m/>
    <s v="65.6.1.1.01"/>
    <s v="Combustible"/>
    <x v="12"/>
  </r>
  <r>
    <s v="03/06/2025"/>
    <x v="0"/>
    <s v="001"/>
    <s v="06_000197"/>
    <x v="1"/>
    <s v="91.06.02.08"/>
    <s v="Montacarga"/>
    <s v="Conbustible"/>
    <s v="20602978274"/>
    <s v="ESTACION DE SERVICIOS MI GRIFO S.R.L. - ESTACION MG S.R.L."/>
    <x v="0"/>
    <s v="FACTURA"/>
    <s v="F136"/>
    <n v="10502"/>
    <n v="63.99"/>
    <s v=""/>
    <n v="11.5182"/>
    <s v=""/>
    <n v="0"/>
    <n v="75.510000000000005"/>
    <m/>
    <m/>
    <m/>
    <m/>
    <m/>
    <s v="65.6.1.1.01"/>
    <s v="Conbustible"/>
    <x v="12"/>
  </r>
  <r>
    <s v="04/06/2025"/>
    <x v="0"/>
    <s v="001"/>
    <s v="06_000198"/>
    <x v="1"/>
    <s v="91.06.02.08"/>
    <s v="Montacarga"/>
    <s v="Combustible"/>
    <s v="20602978274"/>
    <s v="ESTACION DE SERVICIOS MI GRIFO S.R.L. - ESTACION MG S.R.L."/>
    <x v="0"/>
    <s v="FACTURA"/>
    <s v="F136"/>
    <n v="10509"/>
    <n v="58.99"/>
    <s v=""/>
    <n v="10.6182"/>
    <s v=""/>
    <n v="0"/>
    <n v="69.61"/>
    <m/>
    <m/>
    <m/>
    <m/>
    <m/>
    <s v="65.6.1.1.01"/>
    <s v="Combustible"/>
    <x v="12"/>
  </r>
  <r>
    <s v="18/06/2025"/>
    <x v="0"/>
    <s v="001"/>
    <s v="06_000199"/>
    <x v="1"/>
    <s v="91.06.02.06"/>
    <s v="VBW_889"/>
    <s v="Mantenimiento Vehicular (Correctivo) RQ.OPE.1229 OS 006 _ 146"/>
    <s v="20609908492"/>
    <s v="CLUB PREMIUM AUTOMOTRIZ S.R.L."/>
    <x v="0"/>
    <s v="FACTURA"/>
    <s v="E001"/>
    <n v="306"/>
    <n v="186.44"/>
    <s v=""/>
    <n v="33.559199999999997"/>
    <s v=""/>
    <n v="0"/>
    <n v="220"/>
    <m/>
    <m/>
    <m/>
    <m/>
    <m/>
    <s v="63.4.3.2.01"/>
    <s v="Mantenimiento Vehicular (Correctivo) RQ.OPE.1229 OS 006 _ 146"/>
    <x v="5"/>
  </r>
  <r>
    <s v="31/05/2025"/>
    <x v="0"/>
    <s v="001"/>
    <s v="06_000200"/>
    <x v="0"/>
    <m/>
    <m/>
    <m/>
    <s v="20265681299"/>
    <s v="EQUIFAX PERU S.A."/>
    <x v="0"/>
    <s v="FACTURA"/>
    <s v="F001"/>
    <s v="1041465"/>
    <n v="102"/>
    <s v=""/>
    <n v="18.36"/>
    <s v=""/>
    <n v="0"/>
    <n v="120.36"/>
    <m/>
    <m/>
    <m/>
    <m/>
    <m/>
    <m/>
    <m/>
    <x v="0"/>
  </r>
  <r>
    <s v="18/06/2025"/>
    <x v="0"/>
    <s v="001"/>
    <s v="06_000201"/>
    <x v="0"/>
    <s v="94.08"/>
    <s v="Sig"/>
    <s v="Consultoría / asesoría RQ.SIG.030"/>
    <s v="20498380931"/>
    <s v="E QUELLE E.I.R.L."/>
    <x v="0"/>
    <s v="FACTURA"/>
    <s v="E001"/>
    <n v="479"/>
    <n v="300"/>
    <s v=""/>
    <n v="54"/>
    <s v=""/>
    <n v="0"/>
    <n v="354"/>
    <m/>
    <m/>
    <m/>
    <m/>
    <m/>
    <s v="63.2.2.1.02"/>
    <s v="Consultoría / asesoría RQ.SIG.030"/>
    <x v="0"/>
  </r>
  <r>
    <s v="05/06/2025"/>
    <x v="0"/>
    <s v="001"/>
    <s v="06_000202"/>
    <x v="2"/>
    <s v="95.01"/>
    <s v="Comercial"/>
    <s v="Alquiler de montacarga RQ.OPE.1206"/>
    <s v="20603974817"/>
    <s v="TRANSPORTES, GRUAS Y MONTACARGAS AREQUIPA EMPRESA INDIVIDUAL DE RESPONSABILIDAD LIMITADA"/>
    <x v="0"/>
    <s v="FACTURA"/>
    <s v="E001"/>
    <n v="3940"/>
    <n v="212.5"/>
    <s v=""/>
    <n v="38.25"/>
    <s v=""/>
    <n v="0"/>
    <n v="250.75"/>
    <m/>
    <m/>
    <m/>
    <m/>
    <m/>
    <s v="63.5.4.1.03"/>
    <s v="Alquiler de montacarga RQ.OPE.1206"/>
    <x v="17"/>
  </r>
  <r>
    <s v="04/06/2025"/>
    <x v="0"/>
    <s v="001"/>
    <s v="06_000203"/>
    <x v="1"/>
    <s v="91.06.01"/>
    <s v="Operaciones"/>
    <s v="Alquiler de montarga RQ.OPE.1204 OS 005 _ 630"/>
    <s v="20603974817"/>
    <s v="TRANSPORTES, GRUAS Y MONTACARGAS AREQUIPA EMPRESA INDIVIDUAL DE RESPONSABILIDAD LIMITADA"/>
    <x v="0"/>
    <s v="FACTURA"/>
    <s v="E001"/>
    <n v="3935"/>
    <n v="382.5"/>
    <s v=""/>
    <n v="68.849999999999994"/>
    <s v=""/>
    <n v="0"/>
    <n v="451.35"/>
    <m/>
    <m/>
    <m/>
    <m/>
    <m/>
    <s v="63.5.4.1.01"/>
    <s v="Alquiler de montarga RQ.OPE.1204 OS 005 _ 630"/>
    <x v="16"/>
  </r>
  <r>
    <s v="09/06/2025"/>
    <x v="0"/>
    <s v="001"/>
    <s v="06_000204"/>
    <x v="2"/>
    <s v="95.01"/>
    <s v="Comercial"/>
    <s v="Alquiler de montacarga RQ.OPE.1217 OS 005 _ 631"/>
    <s v="20603974817"/>
    <s v="TRANSPORTES, GRUAS Y MONTACARGAS AREQUIPA EMPRESA INDIVIDUAL DE RESPONSABILIDAD LIMITADA"/>
    <x v="0"/>
    <s v="FACTURA"/>
    <s v="E001"/>
    <n v="3947"/>
    <n v="595"/>
    <s v=""/>
    <n v="107.1"/>
    <s v=""/>
    <n v="0"/>
    <n v="702.1"/>
    <s v="273540081"/>
    <s v="25/06/2025"/>
    <m/>
    <m/>
    <m/>
    <s v="63.5.4.1.03"/>
    <s v="Alquiler de montacarga RQ.OPE.1217 OS 005 _ 631"/>
    <x v="17"/>
  </r>
  <r>
    <s v="06/06/2025"/>
    <x v="0"/>
    <s v="001"/>
    <s v="06_000205"/>
    <x v="2"/>
    <s v="95.01"/>
    <s v="Comercial"/>
    <s v="Alquiler de montacarga RQ.OPE.1212"/>
    <s v="20603974817"/>
    <s v="TRANSPORTES, GRUAS Y MONTACARGAS AREQUIPA EMPRESA INDIVIDUAL DE RESPONSABILIDAD LIMITADA"/>
    <x v="0"/>
    <s v="FACTURA"/>
    <s v="E001"/>
    <n v="3941"/>
    <n v="127.5"/>
    <s v=""/>
    <n v="22.95"/>
    <s v=""/>
    <n v="0"/>
    <n v="150.44999999999999"/>
    <m/>
    <m/>
    <m/>
    <m/>
    <m/>
    <s v="63.5.4.1.03"/>
    <s v="Alquiler de montacarga RQ.OPE.1212"/>
    <x v="17"/>
  </r>
  <r>
    <s v="16/06/2025"/>
    <x v="0"/>
    <s v="001"/>
    <s v="06_000206"/>
    <x v="0"/>
    <s v="94.01"/>
    <s v="Administracion"/>
    <s v="Lineas Corporativas"/>
    <s v="20467534026"/>
    <s v="AMERICA MOVIL PERU S.A.C."/>
    <x v="0"/>
    <s v="FACTURA"/>
    <s v="F015"/>
    <n v="299687"/>
    <n v="31"/>
    <s v=""/>
    <n v="5.58"/>
    <s v=""/>
    <n v="0"/>
    <n v="36.58"/>
    <m/>
    <m/>
    <m/>
    <m/>
    <m/>
    <s v="63.6.4.2"/>
    <s v="Lineas Corporativas"/>
    <x v="0"/>
  </r>
  <r>
    <s v="16/06/2025"/>
    <x v="0"/>
    <s v="001"/>
    <s v="06_000207"/>
    <x v="0"/>
    <s v="94.01"/>
    <s v="Administracion"/>
    <s v="Correo Corporativo (Plan de Servicios de Valor Agregado)"/>
    <s v="20467534026"/>
    <s v="AMERICA MOVIL PERU S.A.C."/>
    <x v="0"/>
    <s v="FACTURA"/>
    <s v="F015"/>
    <n v="299686"/>
    <n v="465"/>
    <s v=""/>
    <n v="83.7"/>
    <s v=""/>
    <n v="0"/>
    <n v="548.70000000000005"/>
    <m/>
    <m/>
    <m/>
    <m/>
    <m/>
    <s v="63.6.8.1"/>
    <s v="Correo Corporativo (Plan de Servicios de Valor Agregado)"/>
    <x v="0"/>
  </r>
  <r>
    <s v="19/06/2025"/>
    <x v="0"/>
    <s v="001"/>
    <s v="06_000208"/>
    <x v="1"/>
    <s v="91.05.01"/>
    <s v="Residuos Aprovechables"/>
    <s v="RRSS OC 179"/>
    <s v="20454186002"/>
    <s v="ALSUR PERU S.A.C."/>
    <x v="0"/>
    <s v="FACTURA"/>
    <s v="F003"/>
    <n v="1704"/>
    <n v="109.32"/>
    <s v=""/>
    <n v="19.677599999999998"/>
    <s v=""/>
    <n v="0"/>
    <n v="129"/>
    <s v="273540082"/>
    <s v="25/06/2025"/>
    <m/>
    <m/>
    <m/>
    <s v="60.2.1.1"/>
    <s v="RRSS OC 179"/>
    <x v="6"/>
  </r>
  <r>
    <s v="19/06/2025"/>
    <x v="0"/>
    <s v="001"/>
    <s v="06_000209"/>
    <x v="1"/>
    <s v="91.05.01"/>
    <s v="Residuos Aprovechables"/>
    <s v="RRSS OC 193"/>
    <s v="20454186002"/>
    <s v="ALSUR PERU S.A.C."/>
    <x v="0"/>
    <s v="FACTURA"/>
    <s v="F003"/>
    <n v="1705"/>
    <n v="663.73"/>
    <s v=""/>
    <n v="119.4714"/>
    <s v=""/>
    <n v="0"/>
    <n v="783.2"/>
    <s v="273540083"/>
    <s v="25/06/2025"/>
    <m/>
    <m/>
    <m/>
    <s v="60.2.1.1"/>
    <s v="RRSS OC 193"/>
    <x v="6"/>
  </r>
  <r>
    <s v="19/06/2025"/>
    <x v="0"/>
    <s v="001"/>
    <s v="06_000210"/>
    <x v="1"/>
    <s v="91.05.01"/>
    <s v="Residuos Aprovechables"/>
    <s v="RRSS OC 150"/>
    <s v="20454186002"/>
    <s v="ALSUR PERU S.A.C."/>
    <x v="0"/>
    <s v="FACTURA"/>
    <s v="F003"/>
    <n v="1706"/>
    <n v="352.53"/>
    <s v=""/>
    <n v="63.45539999999999"/>
    <s v=""/>
    <n v="0"/>
    <n v="415.99"/>
    <s v="273540084"/>
    <s v="25/06/2025"/>
    <m/>
    <m/>
    <m/>
    <s v="60.2.1.1"/>
    <s v="RRSS OC 150"/>
    <x v="6"/>
  </r>
  <r>
    <s v="16/06/2025"/>
    <x v="0"/>
    <s v="001"/>
    <s v="06_000211"/>
    <x v="1"/>
    <s v="91.06.01"/>
    <s v="Operaciones"/>
    <s v="Alimentacion"/>
    <s v="20604947520"/>
    <s v="MINIMARKET LAS BERMUDAS E.I.R.L."/>
    <x v="0"/>
    <s v="FACTURA"/>
    <s v="F001"/>
    <n v="6514"/>
    <n v="20.76"/>
    <s v=""/>
    <n v="3.7368000000000001"/>
    <s v=""/>
    <n v="0"/>
    <n v="24.5"/>
    <m/>
    <m/>
    <m/>
    <m/>
    <m/>
    <s v="63.1.4.1.01"/>
    <s v="Alimentacion"/>
    <x v="9"/>
  </r>
  <r>
    <s v="23/06/2025"/>
    <x v="0"/>
    <s v="001"/>
    <s v="06_000212"/>
    <x v="0"/>
    <s v="94.01"/>
    <s v="Administracion"/>
    <s v="Envío de documentación"/>
    <s v="20558053691"/>
    <s v="GRUPO GARCIA TOLEDO S.A.C"/>
    <x v="0"/>
    <s v="FACTURA"/>
    <s v="F553"/>
    <n v="5189"/>
    <n v="28.81"/>
    <s v=""/>
    <n v="5.1857999999999995"/>
    <s v=""/>
    <n v="0"/>
    <n v="34"/>
    <m/>
    <m/>
    <m/>
    <m/>
    <m/>
    <s v="63.1.2.1.01"/>
    <s v="Envío de documentación"/>
    <x v="2"/>
  </r>
  <r>
    <s v="20/06/2025"/>
    <x v="0"/>
    <s v="001"/>
    <s v="06_000213"/>
    <x v="1"/>
    <s v="91.06.02.06"/>
    <s v="VBW_889"/>
    <s v="Lavado"/>
    <s v="10305624930"/>
    <s v="RODRIGUEZ CCOMPI NATTY"/>
    <x v="0"/>
    <s v="FACTURA"/>
    <s v="E001"/>
    <n v="921"/>
    <n v="29.66"/>
    <s v=""/>
    <n v="5.3388"/>
    <s v=""/>
    <n v="0"/>
    <n v="35"/>
    <m/>
    <m/>
    <m/>
    <m/>
    <m/>
    <s v="63.1.1.5.01"/>
    <s v="Lavado"/>
    <x v="14"/>
  </r>
  <r>
    <s v="23/06/2025"/>
    <x v="0"/>
    <s v="001"/>
    <s v="06_000214"/>
    <x v="1"/>
    <s v="91.05.01"/>
    <s v="Residuos Aprovechables"/>
    <s v="RRSS OC 150"/>
    <s v="20454186002"/>
    <s v="ALSUR PERU S.A.C."/>
    <x v="0"/>
    <s v="FACTURA"/>
    <s v="F002"/>
    <n v="626"/>
    <n v="966.11"/>
    <s v=""/>
    <n v="173.8998"/>
    <s v=""/>
    <n v="0"/>
    <n v="1140.01"/>
    <s v="273540092"/>
    <s v="25/06/2025"/>
    <m/>
    <m/>
    <m/>
    <s v="60.2.1.1"/>
    <s v="RRSS OC 150"/>
    <x v="6"/>
  </r>
  <r>
    <s v="20/06/2025"/>
    <x v="0"/>
    <s v="001"/>
    <s v="06_000215"/>
    <x v="1"/>
    <s v="91.05.01"/>
    <s v="Residuos Aprovechables"/>
    <s v="RRSS OC 159"/>
    <s v="20537921464"/>
    <s v="RESITER PERU S.A.C."/>
    <x v="0"/>
    <s v="FACTURA"/>
    <s v="F002"/>
    <n v="21589"/>
    <n v="11186.44"/>
    <s v=""/>
    <n v="2013.5591999999999"/>
    <s v=""/>
    <n v="0"/>
    <n v="13200"/>
    <s v="274253093"/>
    <s v="1/07/2025"/>
    <m/>
    <m/>
    <m/>
    <s v="60.2.1.1"/>
    <s v="RRSS OC 159"/>
    <x v="6"/>
  </r>
  <r>
    <s v="20/06/2025"/>
    <x v="0"/>
    <s v="001"/>
    <s v="06_000216"/>
    <x v="1"/>
    <s v="91.05.01"/>
    <s v="Residuos Aprovechables"/>
    <s v="RRSS OC 192"/>
    <s v="20537921464"/>
    <s v="RESITER PERU S.A.C."/>
    <x v="0"/>
    <s v="FACTURA"/>
    <s v="F002"/>
    <n v="21588"/>
    <n v="6220.34"/>
    <s v=""/>
    <n v="1119.6612"/>
    <s v=""/>
    <n v="0"/>
    <n v="7340"/>
    <s v="274253094"/>
    <s v="1/07/2025"/>
    <m/>
    <m/>
    <m/>
    <s v="60.2.1.1"/>
    <s v="RRSS OC 192"/>
    <x v="6"/>
  </r>
  <r>
    <s v="18/06/2025"/>
    <x v="0"/>
    <s v="001"/>
    <s v="06_000217"/>
    <x v="1"/>
    <s v="91.05.01"/>
    <s v="Residuos Aprovechables"/>
    <s v="RRSS OC 195"/>
    <s v="20100192064"/>
    <s v="MOLY-COP ADESUR S.A."/>
    <x v="0"/>
    <s v="FACTURA"/>
    <s v="F002"/>
    <n v="16294"/>
    <n v="386.61"/>
    <s v=""/>
    <n v="69.589799999999997"/>
    <s v=""/>
    <n v="0"/>
    <n v="456.19"/>
    <s v="273540087"/>
    <s v="25/06/2025"/>
    <m/>
    <m/>
    <m/>
    <s v="60.2.1.1"/>
    <s v="RRSS OC 195"/>
    <x v="6"/>
  </r>
  <r>
    <s v="18/06/2025"/>
    <x v="0"/>
    <s v="001"/>
    <s v="06_000218"/>
    <x v="1"/>
    <s v="91.05.01"/>
    <s v="Residuos Aprovechables"/>
    <s v="RRSS OC 196"/>
    <s v="20100192064"/>
    <s v="MOLY-COP ADESUR S.A."/>
    <x v="0"/>
    <s v="FACTURA"/>
    <s v="F002"/>
    <n v="16298"/>
    <n v="167.24"/>
    <s v=""/>
    <n v="30.103200000000001"/>
    <s v=""/>
    <n v="0"/>
    <n v="197.36"/>
    <s v="273540088"/>
    <s v="25/06/2025"/>
    <m/>
    <m/>
    <m/>
    <s v="60.2.1.1"/>
    <s v="RRSS OC 196"/>
    <x v="6"/>
  </r>
  <r>
    <s v="11/06/2025"/>
    <x v="0"/>
    <s v="001"/>
    <s v="06_000219"/>
    <x v="1"/>
    <s v="91.05.01"/>
    <s v="Residuos Aprovechables"/>
    <s v="RRSS OC 197"/>
    <s v="20100192064"/>
    <s v="MOLY-COP ADESUR S.A."/>
    <x v="0"/>
    <s v="FACTURA"/>
    <s v="F002"/>
    <n v="16265"/>
    <n v="229.32"/>
    <s v=""/>
    <n v="41.2776"/>
    <s v=""/>
    <n v="0"/>
    <n v="270.60000000000002"/>
    <s v="273540089"/>
    <s v="25/06/2025"/>
    <m/>
    <m/>
    <m/>
    <s v="60.2.1.1"/>
    <s v="RRSS OC 197"/>
    <x v="6"/>
  </r>
  <r>
    <s v="14/06/2025"/>
    <x v="0"/>
    <s v="001"/>
    <s v="06_000220"/>
    <x v="1"/>
    <s v="91.05.01"/>
    <s v="Residuos Aprovechables"/>
    <s v="RRSS OC 198"/>
    <s v="20100192064"/>
    <s v="MOLY-COP ADESUR S.A."/>
    <x v="0"/>
    <s v="FACTURA"/>
    <s v="F002"/>
    <n v="16271"/>
    <n v="347.33"/>
    <s v=""/>
    <n v="62.519399999999997"/>
    <s v=""/>
    <n v="0"/>
    <n v="409.85"/>
    <s v="273540090"/>
    <s v="25/06/2025"/>
    <m/>
    <m/>
    <m/>
    <s v="60.2.1.1"/>
    <s v="RRSS OC 198"/>
    <x v="6"/>
  </r>
  <r>
    <s v="16/06/2025"/>
    <x v="0"/>
    <s v="001"/>
    <s v="06_000221"/>
    <x v="1"/>
    <s v="91.05.01"/>
    <s v="Residuos Aprovechables"/>
    <s v="RRSS OC 199"/>
    <s v="20100192064"/>
    <s v="MOLY-COP ADESUR S.A."/>
    <x v="0"/>
    <s v="FACTURA"/>
    <s v="F002"/>
    <n v="16283"/>
    <n v="295.23"/>
    <s v=""/>
    <n v="53.141400000000004"/>
    <s v=""/>
    <n v="0"/>
    <n v="348.38"/>
    <s v="273540091"/>
    <s v="25/06/2025"/>
    <m/>
    <m/>
    <m/>
    <s v="60.2.1.1"/>
    <s v="RRSS OC 199"/>
    <x v="6"/>
  </r>
  <r>
    <s v="17/06/2025"/>
    <x v="0"/>
    <s v="001"/>
    <s v="06_000222"/>
    <x v="0"/>
    <s v="94.02"/>
    <s v="Contabilidad y Finanzas"/>
    <s v="Sistema ERP RQ.GER.070"/>
    <s v="20454819137"/>
    <s v="SOLUCIONES DE INFORMACION NEXTSOFT S.A.C."/>
    <x v="0"/>
    <s v="FACTURA"/>
    <s v="F001"/>
    <n v="7911"/>
    <n v="975"/>
    <s v=""/>
    <n v="175.5"/>
    <s v=""/>
    <n v="0"/>
    <n v="1150.5"/>
    <s v="273540086"/>
    <s v="25/06/2025"/>
    <m/>
    <m/>
    <m/>
    <s v="63.9.9.1.05.01"/>
    <s v="Sistema ERP RQ.GER.070"/>
    <x v="0"/>
  </r>
  <r>
    <s v="12/06/2025"/>
    <x v="0"/>
    <s v="001"/>
    <s v="06_000223"/>
    <x v="0"/>
    <s v="94.02"/>
    <s v="Contabilidad y Finanzas"/>
    <s v="Sistema ERP RQ.GER.069"/>
    <s v="20551520634"/>
    <s v="INVESTIGACION Y DESARROLLO DE SOLUCIONES INFORMATICAS E.I.R.L."/>
    <x v="0"/>
    <s v="FACTURA"/>
    <s v="F001"/>
    <n v="347"/>
    <n v="814.47"/>
    <s v=""/>
    <n v="146.6046"/>
    <s v=""/>
    <n v="0"/>
    <n v="961.07"/>
    <s v="273540085"/>
    <s v="25/06/2025"/>
    <m/>
    <m/>
    <m/>
    <s v="63.9.9.1.05.01"/>
    <s v="Sistema ERP RQ.GER.069"/>
    <x v="0"/>
  </r>
  <r>
    <s v="20/06/2025"/>
    <x v="0"/>
    <s v="001"/>
    <s v="06_000224"/>
    <x v="0"/>
    <s v="94.04"/>
    <s v="Gestion Humana"/>
    <s v="Exámenes Médicos _ Periódico RQ.GH.198"/>
    <s v="20517035964"/>
    <s v="SIGSO CONSULTORES LABORALES SOCIEDAD ANONIMA CERRADA - SIGSO CONSULTORES LABORALES S.A.C."/>
    <x v="0"/>
    <s v="FACTURA"/>
    <s v="F100"/>
    <n v="11241"/>
    <n v="215"/>
    <s v=""/>
    <n v="38.699999999999996"/>
    <s v=""/>
    <n v="0"/>
    <n v="253.7"/>
    <m/>
    <m/>
    <m/>
    <m/>
    <m/>
    <s v="62.5.1.2.02"/>
    <s v="Exámenes Médicos _ Periódico RQ.GH.198"/>
    <x v="0"/>
  </r>
  <r>
    <s v="18/06/2025"/>
    <x v="0"/>
    <s v="001"/>
    <s v="06_000225"/>
    <x v="0"/>
    <s v="94.01"/>
    <s v="Administracion"/>
    <s v="Teléfono Fijo"/>
    <s v="20100017491"/>
    <s v="TELEFONICA DEL PERU SAA"/>
    <x v="3"/>
    <s v="RECIBO POR SERV. PUBLICOS"/>
    <s v="S5AA"/>
    <n v="71193322"/>
    <n v="121.1"/>
    <s v=""/>
    <n v="21.797999999999998"/>
    <s v=""/>
    <n v="0"/>
    <n v="142.9"/>
    <m/>
    <m/>
    <m/>
    <m/>
    <m/>
    <s v="63.6.4.1"/>
    <s v="Teléfono Fijo"/>
    <x v="0"/>
  </r>
  <r>
    <s v="06/06/2025"/>
    <x v="0"/>
    <s v="001"/>
    <s v="06_000226"/>
    <x v="0"/>
    <s v="94.01"/>
    <s v="Administracion"/>
    <s v="Lineas Corporativas"/>
    <s v="20467534026"/>
    <s v="AMERICA MOVIL PERU S.A.C."/>
    <x v="3"/>
    <s v="RECIBO POR SERV. PUBLICOS"/>
    <s v="SB01"/>
    <n v="546172223"/>
    <n v="913.18"/>
    <s v=""/>
    <n v="164.3724"/>
    <s v=""/>
    <n v="0"/>
    <n v="1077.55"/>
    <m/>
    <m/>
    <m/>
    <m/>
    <m/>
    <s v="63.6.4.2"/>
    <s v="Lineas Corporativas"/>
    <x v="0"/>
  </r>
  <r>
    <s v="17/06/2025"/>
    <x v="0"/>
    <s v="001"/>
    <s v="06_000227"/>
    <x v="0"/>
    <m/>
    <m/>
    <m/>
    <s v="20100210909"/>
    <s v="LA POSITIVA SEGUROS Y REASEGUROS S.A.A."/>
    <x v="0"/>
    <s v="FACTURA"/>
    <s v="F809"/>
    <s v="367430"/>
    <n v="129.66"/>
    <s v=""/>
    <n v="23.34"/>
    <s v=""/>
    <n v="0"/>
    <n v="153"/>
    <m/>
    <m/>
    <m/>
    <m/>
    <m/>
    <m/>
    <m/>
    <x v="0"/>
  </r>
  <r>
    <s v="17/06/2025"/>
    <x v="0"/>
    <s v="001"/>
    <s v="06_000228"/>
    <x v="0"/>
    <m/>
    <m/>
    <m/>
    <s v="20100210909"/>
    <s v="LA POSITIVA SEGUROS Y REASEGUROS S.A.A."/>
    <x v="0"/>
    <s v="FACTURA"/>
    <s v="F809"/>
    <s v="367435"/>
    <n v="129.66"/>
    <s v=""/>
    <n v="23.34"/>
    <s v=""/>
    <n v="0"/>
    <n v="153"/>
    <m/>
    <m/>
    <m/>
    <m/>
    <m/>
    <m/>
    <m/>
    <x v="0"/>
  </r>
  <r>
    <s v="22/06/2025"/>
    <x v="0"/>
    <s v="001"/>
    <s v="06_000229"/>
    <x v="1"/>
    <s v="91.06.02.01"/>
    <s v="V9R_903"/>
    <s v="Combustible"/>
    <s v="20127765279"/>
    <s v="COESTI S.A."/>
    <x v="0"/>
    <s v="FACTURA"/>
    <s v="F865"/>
    <n v="169531"/>
    <n v="398.37"/>
    <s v=""/>
    <n v="71.706599999999995"/>
    <s v=""/>
    <n v="0"/>
    <n v="915.32"/>
    <m/>
    <m/>
    <m/>
    <m/>
    <m/>
    <s v="65.6.1.1.01"/>
    <s v="Combustible"/>
    <x v="12"/>
  </r>
  <r>
    <s v="22/06/2025"/>
    <x v="0"/>
    <s v="001"/>
    <s v="06_000229"/>
    <x v="1"/>
    <s v="91.06.02.02"/>
    <s v="BKK_849"/>
    <s v="Combustible"/>
    <s v="20127765279"/>
    <s v="COESTI S.A."/>
    <x v="0"/>
    <s v="FACTURA"/>
    <s v="F865"/>
    <n v="169531"/>
    <n v="131.56"/>
    <s v=""/>
    <n v="23.680799999999998"/>
    <s v=""/>
    <n v="0"/>
    <n v="915.32"/>
    <m/>
    <m/>
    <m/>
    <m/>
    <m/>
    <s v="65.6.1.1.01"/>
    <s v="Combustible"/>
    <x v="12"/>
  </r>
  <r>
    <s v="22/06/2025"/>
    <x v="0"/>
    <s v="001"/>
    <s v="06_000229"/>
    <x v="1"/>
    <s v="91.06.02.03"/>
    <s v="BKL_739"/>
    <s v="Combustible"/>
    <s v="20127765279"/>
    <s v="COESTI S.A."/>
    <x v="0"/>
    <s v="FACTURA"/>
    <s v="F865"/>
    <n v="169531"/>
    <n v="245.76"/>
    <s v=""/>
    <n v="44.236799999999995"/>
    <s v=""/>
    <n v="0"/>
    <n v="915.32"/>
    <m/>
    <m/>
    <m/>
    <m/>
    <m/>
    <s v="65.6.1.1.01"/>
    <s v="Combustible"/>
    <x v="12"/>
  </r>
  <r>
    <s v="22/06/2025"/>
    <x v="0"/>
    <s v="001"/>
    <s v="06_000230"/>
    <x v="1"/>
    <s v="91.06.02.04"/>
    <s v="VBB_840"/>
    <s v="Combustible"/>
    <s v="20127765279"/>
    <s v="COESTI S.A."/>
    <x v="0"/>
    <s v="FACTURA"/>
    <s v="F865"/>
    <n v="169533"/>
    <n v="546.91999999999996"/>
    <s v=""/>
    <n v="98.445599999999985"/>
    <s v=""/>
    <n v="0"/>
    <n v="1257.49"/>
    <m/>
    <m/>
    <m/>
    <m/>
    <m/>
    <s v="65.6.1.1.01"/>
    <s v="Combustible"/>
    <x v="12"/>
  </r>
  <r>
    <s v="22/06/2025"/>
    <x v="0"/>
    <s v="001"/>
    <s v="06_000230"/>
    <x v="1"/>
    <s v="91.06.02.06"/>
    <s v="VBW_889"/>
    <s v="Combustible"/>
    <s v="20127765279"/>
    <s v="COESTI S.A."/>
    <x v="0"/>
    <s v="FACTURA"/>
    <s v="F865"/>
    <n v="169533"/>
    <n v="177.13"/>
    <s v=""/>
    <n v="31.883399999999998"/>
    <s v=""/>
    <n v="0"/>
    <n v="1257.49"/>
    <m/>
    <m/>
    <m/>
    <m/>
    <m/>
    <s v="65.6.1.1.01"/>
    <s v="Combustible"/>
    <x v="12"/>
  </r>
  <r>
    <s v="22/06/2025"/>
    <x v="0"/>
    <s v="001"/>
    <s v="06_000230"/>
    <x v="1"/>
    <s v="91.06.02.07"/>
    <s v="VDJ_872"/>
    <s v="Combustible"/>
    <s v="20127765279"/>
    <s v="COESTI S.A."/>
    <x v="0"/>
    <s v="FACTURA"/>
    <s v="F865"/>
    <n v="169533"/>
    <n v="307.47000000000003"/>
    <s v=""/>
    <n v="55.3446"/>
    <s v=""/>
    <n v="0"/>
    <n v="1257.49"/>
    <m/>
    <m/>
    <m/>
    <m/>
    <m/>
    <s v="65.6.1.1.01"/>
    <s v="Combustible"/>
    <x v="12"/>
  </r>
  <r>
    <s v="22/06/2025"/>
    <x v="0"/>
    <s v="001"/>
    <s v="06_000230"/>
    <x v="1"/>
    <s v="91.06.02.10"/>
    <s v="BDQ_458"/>
    <s v="Combustible"/>
    <s v="20127765279"/>
    <s v="COESTI S.A."/>
    <x v="0"/>
    <s v="FACTURA"/>
    <s v="F865"/>
    <n v="169533"/>
    <n v="34.15"/>
    <s v=""/>
    <n v="6.1469999999999994"/>
    <s v=""/>
    <n v="0"/>
    <n v="1257.49"/>
    <m/>
    <m/>
    <m/>
    <m/>
    <m/>
    <s v="65.6.1.1.01"/>
    <s v="Combustible"/>
    <x v="12"/>
  </r>
  <r>
    <s v="17/06/2025"/>
    <x v="0"/>
    <s v="001"/>
    <s v="06_000231"/>
    <x v="0"/>
    <s v="94.03"/>
    <s v="Logistica"/>
    <s v="Insumos / Materiales de Limpieza en general RQ.LOG.306"/>
    <s v="20546153372"/>
    <s v="GLOBAL PERLA´S CAR S.A.C."/>
    <x v="0"/>
    <s v="FACTURA"/>
    <s v="F004"/>
    <n v="117985"/>
    <n v="204.24"/>
    <s v=""/>
    <n v="36.763199999999998"/>
    <s v=""/>
    <n v="0"/>
    <n v="241"/>
    <m/>
    <m/>
    <m/>
    <m/>
    <m/>
    <s v="60.3.2.4"/>
    <s v="Insumos / Materiales de Limpieza en general RQ.LOG.306"/>
    <x v="0"/>
  </r>
  <r>
    <s v="23/06/2025"/>
    <x v="0"/>
    <s v="001"/>
    <s v="06_000232"/>
    <x v="1"/>
    <s v="91.06.01"/>
    <s v="Operaciones"/>
    <s v="Cono de seguridad RQ.LOG.324"/>
    <s v="20546153372"/>
    <s v="GLOBAL PERLA´S CAR S.A.C."/>
    <x v="0"/>
    <s v="FACTURA"/>
    <s v="F004"/>
    <n v="118349"/>
    <n v="211.02"/>
    <s v=""/>
    <n v="37.983600000000003"/>
    <s v=""/>
    <n v="0"/>
    <n v="249"/>
    <m/>
    <m/>
    <m/>
    <m/>
    <m/>
    <s v="60.3.2.5"/>
    <s v="Cono de seguridad RQ.LOG.324"/>
    <x v="0"/>
  </r>
  <r>
    <s v="18/06/2025"/>
    <x v="0"/>
    <s v="001"/>
    <s v="06_000233"/>
    <x v="0"/>
    <s v="94.03"/>
    <s v="Logistica"/>
    <s v="Placas domiliciarias RQ.LOG.319"/>
    <s v="10416031679"/>
    <s v="ALARCON ZAIRA ABRAHAM JESUS"/>
    <x v="0"/>
    <s v="FACTURA"/>
    <s v="E001"/>
    <n v="289"/>
    <n v="69.92"/>
    <s v=""/>
    <n v="12.585599999999999"/>
    <s v=""/>
    <n v="0"/>
    <n v="82.5"/>
    <m/>
    <m/>
    <m/>
    <m/>
    <m/>
    <s v="65.6.1.1.03"/>
    <s v="Placas domiliciarias RQ.LOG.319"/>
    <x v="22"/>
  </r>
  <r>
    <s v="10/06/2025"/>
    <x v="0"/>
    <s v="001"/>
    <s v="06_000234"/>
    <x v="1"/>
    <s v="91.06.01"/>
    <s v="Operaciones"/>
    <s v="Alquiler de montacarga RQ.OPE.1224"/>
    <s v="20609764261"/>
    <s v="MGM MONTACARGAS &amp; GRUAS S.A.C."/>
    <x v="0"/>
    <s v="FACTURA"/>
    <s v="E001"/>
    <n v="2282"/>
    <n v="90"/>
    <s v=""/>
    <n v="16.2"/>
    <s v=""/>
    <n v="0"/>
    <n v="106.2"/>
    <m/>
    <m/>
    <m/>
    <m/>
    <m/>
    <s v="63.5.4.1.01"/>
    <s v="Alquiler de montacarga RQ.OPE.1224"/>
    <x v="16"/>
  </r>
  <r>
    <s v="12/06/2025"/>
    <x v="0"/>
    <s v="001"/>
    <s v="06_000235"/>
    <x v="1"/>
    <s v="91.06.01"/>
    <s v="Operaciones"/>
    <s v="Alquiler de montacarga RQ.OPE.1225"/>
    <s v="20609764261"/>
    <s v="MGM MONTACARGAS &amp; GRUAS S.A.C."/>
    <x v="0"/>
    <s v="FACTURA"/>
    <s v="E001"/>
    <n v="2287"/>
    <n v="60"/>
    <s v=""/>
    <n v="10.799999999999999"/>
    <s v=""/>
    <n v="0"/>
    <n v="70.8"/>
    <m/>
    <m/>
    <m/>
    <m/>
    <m/>
    <s v="63.5.4.1.01"/>
    <s v="Alquiler de montacarga RQ.OPE.1225"/>
    <x v="16"/>
  </r>
  <r>
    <s v="12/06/2025"/>
    <x v="0"/>
    <s v="001"/>
    <s v="06_000236"/>
    <x v="2"/>
    <s v="95.01"/>
    <s v="Comercial"/>
    <s v="Servicio de transporte RQ.OPE.1223 OS 005 _ 642"/>
    <s v="10736055631"/>
    <s v="HUAMANI MAMANI HUBER ANTHONY"/>
    <x v="0"/>
    <s v="FACTURA"/>
    <s v="E001"/>
    <n v="7"/>
    <n v="762.72"/>
    <s v=""/>
    <n v="137.28960000000001"/>
    <s v=""/>
    <n v="0"/>
    <n v="900.01"/>
    <s v="273540094"/>
    <s v="25/06/2025"/>
    <m/>
    <m/>
    <m/>
    <s v="63.1.1.1.02"/>
    <s v="Servicio de transporte RQ.OPE.1223 OS 005 _ 642"/>
    <x v="13"/>
  </r>
  <r>
    <s v="12/06/2025"/>
    <x v="0"/>
    <s v="001"/>
    <s v="06_000237"/>
    <x v="0"/>
    <s v="94.04"/>
    <s v="Gestion Humana"/>
    <s v="Actividades Corporativas RQ.GH.194"/>
    <s v="10433864293"/>
    <s v="LAYME YOVANNA NELLY"/>
    <x v="1"/>
    <s v="BOLETA DE VENTA"/>
    <s v="001"/>
    <n v="2351"/>
    <m/>
    <s v=""/>
    <n v="0"/>
    <s v=""/>
    <n v="57"/>
    <n v="57"/>
    <m/>
    <m/>
    <m/>
    <m/>
    <m/>
    <s v="65.9.9.1.01"/>
    <s v="Actividades Corporativas RQ.GH.194"/>
    <x v="0"/>
  </r>
  <r>
    <s v="12/06/2025"/>
    <x v="0"/>
    <s v="001"/>
    <s v="06_000238"/>
    <x v="0"/>
    <s v="94.04"/>
    <s v="Gestion Humana"/>
    <s v="Actividades Corporativas RQ.GH.194"/>
    <s v="10454946486"/>
    <s v="AMANQUI QUISPE WALTER MARCOS"/>
    <x v="1"/>
    <s v="BOLETA DE VENTA"/>
    <s v="001"/>
    <n v="13"/>
    <m/>
    <s v=""/>
    <n v="0"/>
    <s v=""/>
    <n v="22.5"/>
    <n v="22.5"/>
    <m/>
    <m/>
    <m/>
    <m/>
    <m/>
    <s v="65.9.9.1.01"/>
    <s v="Actividades Corporativas RQ.GH.194"/>
    <x v="0"/>
  </r>
  <r>
    <s v="12/06/2025"/>
    <x v="0"/>
    <s v="001"/>
    <s v="06_000239"/>
    <x v="0"/>
    <s v="94.04"/>
    <s v="Gestion Humana"/>
    <s v="Actividades Corporativas RQ.GH.194"/>
    <s v="20610156445"/>
    <s v="INVERSIONES LIVER GROUP E.I.R.L. - INVERLIG E.I.R.L."/>
    <x v="0"/>
    <s v="FACTURA"/>
    <s v="E001"/>
    <n v="475"/>
    <m/>
    <n v="189.09"/>
    <n v="0"/>
    <n v="18.91"/>
    <n v="0"/>
    <n v="208"/>
    <m/>
    <m/>
    <m/>
    <m/>
    <m/>
    <s v="65.9.9.1.01"/>
    <s v="Actividades Corporativas RQ.GH.194"/>
    <x v="0"/>
  </r>
  <r>
    <s v="11/06/2025"/>
    <x v="0"/>
    <s v="001"/>
    <s v="06_000240"/>
    <x v="0"/>
    <s v="94.04"/>
    <s v="Gestion Humana"/>
    <s v="Actividades Corporativas RQ.GH.194"/>
    <s v="10094111230"/>
    <s v="BENDEZU MORA JOSE ANTONIO"/>
    <x v="0"/>
    <s v="FACTURA"/>
    <s v="F002"/>
    <n v="35"/>
    <n v="203.39"/>
    <s v=""/>
    <n v="36.610199999999999"/>
    <s v=""/>
    <n v="0"/>
    <n v="240"/>
    <m/>
    <m/>
    <m/>
    <m/>
    <m/>
    <s v="65.9.9.1.01"/>
    <s v="Actividades Corporativas RQ.GH.194"/>
    <x v="0"/>
  </r>
  <r>
    <s v="11/06/2025"/>
    <x v="0"/>
    <s v="001"/>
    <s v="06_000241"/>
    <x v="0"/>
    <s v="94.04"/>
    <s v="Gestion Humana"/>
    <s v="Actividades Corporativas RQ.GH.194"/>
    <s v="20455885214"/>
    <s v="BUFFETES GASPARIN PIÑATERIA E.I.R.L."/>
    <x v="0"/>
    <s v="FACTURA"/>
    <s v="F001"/>
    <n v="412"/>
    <n v="19.489999999999998"/>
    <s v=""/>
    <n v="3.5081999999999995"/>
    <s v=""/>
    <n v="0"/>
    <n v="23"/>
    <m/>
    <m/>
    <m/>
    <m/>
    <m/>
    <s v="65.9.9.1.01"/>
    <s v="Actividades Corporativas RQ.GH.194"/>
    <x v="0"/>
  </r>
  <r>
    <s v="11/06/2025"/>
    <x v="0"/>
    <s v="001"/>
    <s v="06_000242"/>
    <x v="0"/>
    <s v="94.04"/>
    <s v="Gestion Humana"/>
    <s v="Actividades Corporativas}"/>
    <s v="20610143688"/>
    <s v="SUPER DECORACIONES S.R.L."/>
    <x v="0"/>
    <s v="FACTURA"/>
    <s v="F001"/>
    <n v="3363"/>
    <n v="16.100000000000001"/>
    <s v=""/>
    <n v="2.8980000000000001"/>
    <s v=""/>
    <n v="0"/>
    <n v="19"/>
    <m/>
    <m/>
    <m/>
    <m/>
    <m/>
    <s v="65.9.9.1.01"/>
    <s v="Actividades Corporativas}"/>
    <x v="0"/>
  </r>
  <r>
    <s v="11/06/2025"/>
    <x v="0"/>
    <s v="001"/>
    <s v="06_000243"/>
    <x v="0"/>
    <s v="94.04"/>
    <s v="Gestion Humana"/>
    <s v="Actividades Corporativas RQ.GH.194"/>
    <s v="10738553921"/>
    <s v="PIZARRO COILA KENDALL HIARA"/>
    <x v="0"/>
    <s v="FACTURA"/>
    <s v="E001"/>
    <n v="442"/>
    <n v="87.71"/>
    <s v=""/>
    <n v="15.787799999999999"/>
    <s v=""/>
    <n v="0"/>
    <n v="103.5"/>
    <m/>
    <m/>
    <m/>
    <m/>
    <m/>
    <s v="65.9.9.1.01"/>
    <s v="Actividades Corporativas RQ.GH.194"/>
    <x v="0"/>
  </r>
  <r>
    <s v="11/06/2025"/>
    <x v="0"/>
    <s v="001"/>
    <s v="06_000244"/>
    <x v="2"/>
    <s v="95.01"/>
    <s v="Comercial"/>
    <s v="Merchandising promocional RQ.COM.338"/>
    <s v="20454726473"/>
    <s v="PUBLICIDAD DIGITAL PERU E.I.R.L. - PD PERU E.I.R.L."/>
    <x v="0"/>
    <s v="FACTURA"/>
    <s v="E001"/>
    <n v="2559"/>
    <n v="381.36"/>
    <s v=""/>
    <n v="68.644800000000004"/>
    <s v=""/>
    <n v="0"/>
    <n v="450"/>
    <m/>
    <m/>
    <m/>
    <m/>
    <m/>
    <s v="63.7.1.2"/>
    <s v="Merchandising promocional RQ.COM.338"/>
    <x v="0"/>
  </r>
  <r>
    <s v="09/06/2025"/>
    <x v="0"/>
    <s v="001"/>
    <s v="06_000245"/>
    <x v="2"/>
    <s v="95.01"/>
    <s v="Comercial"/>
    <s v="Merchandising promocional RQ.COM.338"/>
    <s v="20605797696"/>
    <s v="VIVERO LAS ASTROMELIAS AREQUIPA E.I.R.L."/>
    <x v="0"/>
    <s v="FACTURA"/>
    <s v="F001"/>
    <n v="33"/>
    <n v="71.19"/>
    <s v=""/>
    <n v="12.8142"/>
    <s v=""/>
    <n v="0"/>
    <n v="84"/>
    <m/>
    <m/>
    <m/>
    <m/>
    <m/>
    <s v="63.7.1.2"/>
    <s v="Merchandising promocional RQ.COM.338"/>
    <x v="0"/>
  </r>
  <r>
    <s v="20/06/2025"/>
    <x v="0"/>
    <s v="001"/>
    <s v="06_000246"/>
    <x v="1"/>
    <s v="91.05.01"/>
    <s v="Residuos Aprovechables"/>
    <s v="RRSS OC 180"/>
    <s v="20419158462"/>
    <s v="GRANJA RINCONADA DEL SUR S.A."/>
    <x v="0"/>
    <s v="FACTURA"/>
    <s v="F102"/>
    <n v="6924"/>
    <n v="593.61"/>
    <s v=""/>
    <n v="106.8498"/>
    <s v=""/>
    <n v="0"/>
    <n v="700.45"/>
    <s v="273540093"/>
    <s v="25/06/2025"/>
    <m/>
    <m/>
    <m/>
    <s v="60.2.1.1"/>
    <s v="RRSS OC 180"/>
    <x v="6"/>
  </r>
  <r>
    <s v="09/06/2025"/>
    <x v="0"/>
    <s v="001"/>
    <s v="06_000247"/>
    <x v="1"/>
    <s v="91.06.01"/>
    <s v="Operaciones"/>
    <s v="Alquiler de montacarga RQ.OPE.1205"/>
    <s v="20609764261"/>
    <s v="MGM MONTACARGAS &amp; GRUAS S.A.C."/>
    <x v="0"/>
    <s v="FACTURA"/>
    <s v="E001"/>
    <n v="2275"/>
    <n v="60"/>
    <s v=""/>
    <n v="10.799999999999999"/>
    <s v=""/>
    <n v="0"/>
    <n v="70.8"/>
    <m/>
    <m/>
    <m/>
    <m/>
    <m/>
    <s v="63.5.4.1.01"/>
    <s v="Alquiler de montacarga RQ.OPE.1205"/>
    <x v="16"/>
  </r>
  <r>
    <s v="16/06/2025"/>
    <x v="0"/>
    <s v="001"/>
    <s v="06_000248"/>
    <x v="2"/>
    <s v="95.01"/>
    <s v="Comercial"/>
    <s v="Alquiler de montacarga RQ.OPE.1230 OS 005 _ 640"/>
    <s v="20603974817"/>
    <s v="TRANSPORTES, GRUAS Y MONTACARGAS AREQUIPA EMPRESA INDIVIDUAL DE RESPONSABILIDAD LIMITADA"/>
    <x v="0"/>
    <s v="FACTURA"/>
    <s v="E001"/>
    <n v="3965"/>
    <n v="340"/>
    <s v=""/>
    <n v="61.199999999999996"/>
    <s v=""/>
    <n v="0"/>
    <n v="401.2"/>
    <m/>
    <m/>
    <m/>
    <m/>
    <m/>
    <s v="63.5.4.1.03"/>
    <s v="Alquiler de montacarga RQ.OPE.1230 OS 005 _ 640"/>
    <x v="17"/>
  </r>
  <r>
    <s v="17/06/2025"/>
    <x v="0"/>
    <s v="001"/>
    <s v="06_000249"/>
    <x v="1"/>
    <s v="91.06.02.02"/>
    <s v="BKK_849"/>
    <s v="Lavado 24597"/>
    <s v="10705628331"/>
    <s v="LARICO APAZA NANCY ROSSMARY"/>
    <x v="0"/>
    <s v="FACTURA"/>
    <s v="F001"/>
    <n v="18248"/>
    <n v="15.25"/>
    <s v=""/>
    <n v="2.7450000000000001"/>
    <s v=""/>
    <n v="0"/>
    <n v="18"/>
    <m/>
    <m/>
    <m/>
    <m/>
    <s v="24597"/>
    <s v="63.1.1.5.01"/>
    <s v="Lavado 24597"/>
    <x v="14"/>
  </r>
  <r>
    <s v="16/06/2025"/>
    <x v="0"/>
    <s v="001"/>
    <s v="06_000250"/>
    <x v="1"/>
    <s v="91.06.02.02"/>
    <s v="BKK_849"/>
    <s v="Peaje 24587"/>
    <s v="20517252558"/>
    <s v="CONCESIONARIA VIAL DEL SUR S.A.- COVISUR S.A."/>
    <x v="0"/>
    <s v="FACTURA"/>
    <s v="F213"/>
    <n v="1780270"/>
    <n v="6.78"/>
    <s v=""/>
    <n v="1.2203999999999999"/>
    <s v=""/>
    <n v="0"/>
    <n v="8"/>
    <m/>
    <m/>
    <m/>
    <m/>
    <s v="24587"/>
    <s v="63.1.1.3.03"/>
    <s v="Peaje 24587"/>
    <x v="7"/>
  </r>
  <r>
    <s v="18/06/2025"/>
    <x v="0"/>
    <s v="001"/>
    <s v="06_000251"/>
    <x v="1"/>
    <s v="91.06.02.02"/>
    <s v="BKK_849"/>
    <s v="Peaje 24610"/>
    <s v="20517252558"/>
    <s v="CONCESIONARIA VIAL DEL SUR S.A.- COVISUR S.A."/>
    <x v="0"/>
    <s v="FACTURA"/>
    <s v="F212"/>
    <n v="1762070"/>
    <n v="6.78"/>
    <s v=""/>
    <n v="1.2203999999999999"/>
    <s v=""/>
    <n v="0"/>
    <n v="8"/>
    <m/>
    <m/>
    <m/>
    <m/>
    <s v="24610"/>
    <s v="63.1.1.3.02"/>
    <s v="Peaje 24610"/>
    <x v="8"/>
  </r>
  <r>
    <s v="19/06/2025"/>
    <x v="0"/>
    <s v="001"/>
    <s v="06_000252"/>
    <x v="1"/>
    <s v="91.06.02.01"/>
    <s v="V9R_903"/>
    <s v="Balanza 24613"/>
    <s v="20259858934"/>
    <s v="COMERCIALIZACION Y SERVICIOS EL EDEN S.A.C."/>
    <x v="0"/>
    <s v="FACTURA"/>
    <s v="FE01"/>
    <n v="34952"/>
    <n v="8.4700000000000006"/>
    <s v=""/>
    <n v="1.5246"/>
    <s v=""/>
    <n v="0"/>
    <n v="10"/>
    <m/>
    <m/>
    <m/>
    <m/>
    <s v="24613"/>
    <s v="63.1.1.7.02"/>
    <s v="Balanza 24613"/>
    <x v="1"/>
  </r>
  <r>
    <s v="19/06/2025"/>
    <x v="0"/>
    <s v="001"/>
    <s v="06_000253"/>
    <x v="1"/>
    <s v="91.06.02.01"/>
    <s v="V9R_903"/>
    <s v="Balanza 24612"/>
    <s v="20259858934"/>
    <s v="COMERCIALIZACION Y SERVICIOS EL EDEN S.A.C."/>
    <x v="0"/>
    <s v="FACTURA"/>
    <s v="FE01"/>
    <n v="34951"/>
    <n v="8.4700000000000006"/>
    <s v=""/>
    <n v="1.5246"/>
    <s v=""/>
    <n v="0"/>
    <n v="10"/>
    <m/>
    <m/>
    <m/>
    <m/>
    <s v="24612"/>
    <s v="63.1.1.7.02"/>
    <s v="Balanza 24612"/>
    <x v="1"/>
  </r>
  <r>
    <s v="20/06/2025"/>
    <x v="0"/>
    <s v="001"/>
    <s v="06_000254"/>
    <x v="1"/>
    <s v="91.06.02.01"/>
    <s v="V9R_903"/>
    <s v="Lavado 24637"/>
    <s v="10705628331"/>
    <s v="LARICO APAZA NANCY ROSSMARY"/>
    <x v="0"/>
    <s v="FACTURA"/>
    <s v="F001"/>
    <n v="18312"/>
    <n v="29.66"/>
    <s v=""/>
    <n v="5.3388"/>
    <s v=""/>
    <n v="0"/>
    <n v="35"/>
    <m/>
    <m/>
    <m/>
    <m/>
    <s v="24637"/>
    <s v="63.1.1.5.01"/>
    <s v="Lavado 24637"/>
    <x v="14"/>
  </r>
  <r>
    <s v="20/06/2025"/>
    <x v="0"/>
    <s v="001"/>
    <s v="06_000255"/>
    <x v="1"/>
    <s v="91.06.02.01"/>
    <s v="V9R_903"/>
    <s v="Peaje 24627"/>
    <s v="20517252558"/>
    <s v="CONCESIONARIA VIAL DEL SUR S.A.- COVISUR S.A."/>
    <x v="0"/>
    <s v="FACTURA"/>
    <s v="F213"/>
    <n v="1784117"/>
    <n v="10.17"/>
    <s v=""/>
    <n v="1.8306"/>
    <s v=""/>
    <n v="0"/>
    <n v="12"/>
    <m/>
    <m/>
    <m/>
    <m/>
    <s v="24627"/>
    <s v="63.1.1.3.03"/>
    <s v="Peaje 24627"/>
    <x v="7"/>
  </r>
  <r>
    <s v="20/06/2025"/>
    <x v="0"/>
    <s v="001"/>
    <s v="06_000256"/>
    <x v="1"/>
    <s v="91.06.02.01"/>
    <s v="V9R_903"/>
    <s v="Peaje 24626"/>
    <s v="20517252558"/>
    <s v="CONCESIONARIA VIAL DEL SUR S.A.- COVISUR S.A."/>
    <x v="0"/>
    <s v="FACTURA"/>
    <s v="F211"/>
    <n v="2373219"/>
    <n v="10.17"/>
    <s v=""/>
    <n v="1.8306"/>
    <s v=""/>
    <n v="0"/>
    <n v="12"/>
    <m/>
    <m/>
    <m/>
    <m/>
    <s v="24626"/>
    <s v="63.1.1.3.03"/>
    <s v="Peaje 24626"/>
    <x v="7"/>
  </r>
  <r>
    <s v="18/06/2025"/>
    <x v="0"/>
    <s v="001"/>
    <s v="06_000257"/>
    <x v="1"/>
    <s v="91.06.02.01"/>
    <s v="V9R_903"/>
    <s v="Peaje 24599"/>
    <s v="20517252558"/>
    <s v="CONCESIONARIA VIAL DEL SUR S.A.- COVISUR S.A."/>
    <x v="0"/>
    <s v="FACTURA"/>
    <s v="F211"/>
    <n v="2370644"/>
    <n v="10.17"/>
    <s v=""/>
    <n v="1.8306"/>
    <s v=""/>
    <n v="0"/>
    <n v="12"/>
    <m/>
    <m/>
    <m/>
    <m/>
    <s v="24599"/>
    <s v="63.1.1.3.03"/>
    <s v="Peaje 24599"/>
    <x v="7"/>
  </r>
  <r>
    <s v="18/06/2025"/>
    <x v="0"/>
    <s v="001"/>
    <s v="06_000258"/>
    <x v="1"/>
    <s v="91.06.02.01"/>
    <s v="V9R_903"/>
    <s v="Peaje 24600"/>
    <s v="20517252558"/>
    <s v="CONCESIONARIA VIAL DEL SUR S.A.- COVISUR S.A."/>
    <x v="0"/>
    <s v="FACTURA"/>
    <s v="F214"/>
    <n v="2086038"/>
    <n v="10.17"/>
    <s v=""/>
    <n v="1.8306"/>
    <s v=""/>
    <n v="0"/>
    <n v="12"/>
    <m/>
    <m/>
    <m/>
    <m/>
    <s v="24600"/>
    <s v="63.1.1.3.03"/>
    <s v="Peaje 24600"/>
    <x v="7"/>
  </r>
  <r>
    <s v="16/06/2025"/>
    <x v="0"/>
    <s v="001"/>
    <s v="06_000259"/>
    <x v="1"/>
    <s v="91.06.02.02"/>
    <s v="BKK_849"/>
    <s v="Balanza 24588"/>
    <s v="20259858934"/>
    <s v="COMERCIALIZACION Y SERVICIOS EL EDEN S.A.C."/>
    <x v="0"/>
    <s v="FACTURA"/>
    <s v="FE02"/>
    <n v="16661"/>
    <n v="16.95"/>
    <s v=""/>
    <n v="3.0509999999999997"/>
    <s v=""/>
    <n v="0"/>
    <n v="20"/>
    <m/>
    <m/>
    <m/>
    <m/>
    <s v="24588"/>
    <s v="63.1.1.7.02"/>
    <s v="Balanza 24588"/>
    <x v="1"/>
  </r>
  <r>
    <s v="17/06/2025"/>
    <x v="0"/>
    <s v="001"/>
    <s v="06_000260"/>
    <x v="1"/>
    <s v="91.06.02.02"/>
    <s v="BKK_849"/>
    <s v="Lavado 24595"/>
    <s v="10705628331"/>
    <s v="LARICO APAZA NANCY ROSSMARY"/>
    <x v="0"/>
    <s v="FACTURA"/>
    <s v="F001"/>
    <n v="18247"/>
    <n v="21.19"/>
    <s v=""/>
    <n v="3.8142"/>
    <s v=""/>
    <n v="0"/>
    <n v="25"/>
    <m/>
    <m/>
    <m/>
    <m/>
    <s v="24595"/>
    <s v="63.1.1.5.01"/>
    <s v="Lavado 24595"/>
    <x v="14"/>
  </r>
  <r>
    <s v="18/06/2025"/>
    <x v="0"/>
    <s v="001"/>
    <s v="06_000261"/>
    <x v="1"/>
    <s v="91.06.02.02"/>
    <s v="BKK_849"/>
    <s v="Peaje 24611"/>
    <s v="20517252558"/>
    <s v="CONCESIONARIA VIAL DEL SUR S.A.- COVISUR S.A."/>
    <x v="0"/>
    <s v="FACTURA"/>
    <s v="F213"/>
    <n v="1782151"/>
    <n v="6.78"/>
    <s v=""/>
    <n v="1.2203999999999999"/>
    <s v=""/>
    <n v="0"/>
    <n v="8"/>
    <m/>
    <m/>
    <m/>
    <m/>
    <s v="24611"/>
    <s v="63.1.1.3.02"/>
    <s v="Peaje 24611"/>
    <x v="8"/>
  </r>
  <r>
    <s v="20/06/2025"/>
    <x v="0"/>
    <s v="001"/>
    <s v="06_000262"/>
    <x v="1"/>
    <s v="91.06.02.02"/>
    <s v="BKK_849"/>
    <s v="Balanza 24636"/>
    <s v="20124952850"/>
    <s v="ALIMENTOS Y SERVICIOS AGROPECUARIOS SRL."/>
    <x v="0"/>
    <s v="FACTURA"/>
    <s v="F002"/>
    <n v="133254"/>
    <n v="8.4700000000000006"/>
    <s v=""/>
    <n v="1.5246"/>
    <s v=""/>
    <n v="0"/>
    <n v="10"/>
    <m/>
    <m/>
    <m/>
    <m/>
    <s v="24636"/>
    <s v="63.1.1.7.01"/>
    <s v="Balanza 24636"/>
    <x v="11"/>
  </r>
  <r>
    <s v="20/06/2025"/>
    <x v="0"/>
    <s v="001"/>
    <s v="06_000263"/>
    <x v="1"/>
    <s v="91.06.02.02"/>
    <s v="BKK_849"/>
    <s v="Balanza 24634"/>
    <s v="20124952850"/>
    <s v="ALIMENTOS Y SERVICIOS AGROPECUARIOS SRL."/>
    <x v="0"/>
    <s v="FACTURA"/>
    <s v="F002"/>
    <n v="133240"/>
    <n v="8.4700000000000006"/>
    <s v=""/>
    <n v="1.5246"/>
    <s v=""/>
    <n v="0"/>
    <n v="10"/>
    <m/>
    <m/>
    <m/>
    <m/>
    <s v="24634"/>
    <s v="63.1.1.7.01"/>
    <s v="Balanza 24634"/>
    <x v="11"/>
  </r>
  <r>
    <s v="20/06/2025"/>
    <x v="0"/>
    <s v="001"/>
    <s v="06_000264"/>
    <x v="1"/>
    <s v="91.06.02.02"/>
    <s v="BKK_849"/>
    <s v="Balanza 24633"/>
    <s v="20124952850"/>
    <s v="ALIMENTOS Y SERVICIOS AGROPECUARIOS SRL."/>
    <x v="0"/>
    <s v="FACTURA"/>
    <s v="F002"/>
    <n v="133248"/>
    <n v="8.4700000000000006"/>
    <s v=""/>
    <n v="1.5246"/>
    <s v=""/>
    <n v="0"/>
    <n v="10"/>
    <m/>
    <m/>
    <m/>
    <m/>
    <s v="24633"/>
    <s v="63.1.1.7.01"/>
    <s v="Balanza 24633"/>
    <x v="11"/>
  </r>
  <r>
    <s v="17/06/2025"/>
    <x v="0"/>
    <s v="001"/>
    <s v="06_000265"/>
    <x v="1"/>
    <s v="91.05.01"/>
    <s v="Residuos Aprovechables"/>
    <s v="RRSS OC 206"/>
    <s v="20100055237"/>
    <s v="ALICORP SAA"/>
    <x v="0"/>
    <s v="FACTURA"/>
    <s v="F313"/>
    <n v="6490"/>
    <n v="258"/>
    <s v=""/>
    <n v="46.44"/>
    <s v=""/>
    <n v="0"/>
    <n v="304.44"/>
    <s v="273540100"/>
    <s v="25/06/2025"/>
    <m/>
    <m/>
    <m/>
    <s v="60.2.1.1"/>
    <s v="RRSS OC 206"/>
    <x v="6"/>
  </r>
  <r>
    <s v="17/06/2025"/>
    <x v="0"/>
    <s v="001"/>
    <s v="06_000266"/>
    <x v="1"/>
    <s v="91.05.01"/>
    <s v="Residuos Aprovechables"/>
    <s v="RRSS OC 201"/>
    <s v="20100055237"/>
    <s v="ALICORP SAA"/>
    <x v="0"/>
    <s v="FACTURA"/>
    <s v="F313"/>
    <n v="6486"/>
    <n v="210.6"/>
    <s v=""/>
    <n v="37.907999999999994"/>
    <s v=""/>
    <n v="0"/>
    <n v="248.51"/>
    <s v="273540099"/>
    <s v="25/06/2025"/>
    <m/>
    <m/>
    <m/>
    <s v="60.2.1.1"/>
    <s v="RRSS OC 201"/>
    <x v="6"/>
  </r>
  <r>
    <s v="17/06/2025"/>
    <x v="0"/>
    <s v="001"/>
    <s v="06_000267"/>
    <x v="1"/>
    <s v="91.05.01"/>
    <s v="Residuos Aprovechables"/>
    <s v="RRSS OC 202"/>
    <s v="20100055237"/>
    <s v="ALICORP SAA"/>
    <x v="0"/>
    <s v="FACTURA"/>
    <s v="F313"/>
    <n v="6489"/>
    <n v="13.5"/>
    <s v=""/>
    <n v="2.4299999999999997"/>
    <s v=""/>
    <n v="0"/>
    <n v="15.93"/>
    <s v="273540098"/>
    <s v="25/06/2025"/>
    <m/>
    <m/>
    <m/>
    <s v="60.2.1.1"/>
    <s v="RRSS OC 202"/>
    <x v="6"/>
  </r>
  <r>
    <s v="17/06/2025"/>
    <x v="0"/>
    <s v="001"/>
    <s v="06_000268"/>
    <x v="1"/>
    <s v="91.05.01"/>
    <s v="Residuos Aprovechables"/>
    <s v="RRSS OC203"/>
    <s v="20100055237"/>
    <s v="ALICORP SAA"/>
    <x v="0"/>
    <s v="FACTURA"/>
    <s v="F313"/>
    <n v="6488"/>
    <n v="120.75"/>
    <s v=""/>
    <n v="21.734999999999999"/>
    <s v=""/>
    <n v="0"/>
    <n v="142.49"/>
    <s v="273540097"/>
    <s v="25/06/2025"/>
    <m/>
    <m/>
    <m/>
    <s v="60.2.1.1"/>
    <s v="RRSS OC203"/>
    <x v="6"/>
  </r>
  <r>
    <s v="17/06/2025"/>
    <x v="0"/>
    <s v="001"/>
    <s v="06_000269"/>
    <x v="1"/>
    <s v="91.05.01"/>
    <s v="Residuos Aprovechables"/>
    <s v="RRSS OC 204"/>
    <s v="20100055237"/>
    <s v="ALICORP SAA"/>
    <x v="0"/>
    <s v="FACTURA"/>
    <s v="F313"/>
    <n v="6487"/>
    <n v="297"/>
    <s v=""/>
    <n v="53.46"/>
    <s v=""/>
    <n v="0"/>
    <n v="350.46"/>
    <s v="273540096"/>
    <s v="25/06/2025"/>
    <m/>
    <m/>
    <m/>
    <s v="60.2.1.1"/>
    <s v="RRSS OC 204"/>
    <x v="6"/>
  </r>
  <r>
    <s v="17/06/2025"/>
    <x v="0"/>
    <s v="001"/>
    <s v="06_000270"/>
    <x v="1"/>
    <s v="91.05.01"/>
    <s v="Residuos Aprovechables"/>
    <s v="RRSS OC 205"/>
    <s v="20100055237"/>
    <s v="ALICORP SAA"/>
    <x v="0"/>
    <s v="FACTURA"/>
    <s v="F313"/>
    <n v="6491"/>
    <n v="32"/>
    <s v=""/>
    <n v="5.76"/>
    <s v=""/>
    <n v="0"/>
    <n v="37.76"/>
    <s v="273540095"/>
    <s v="25/06/2025"/>
    <m/>
    <m/>
    <m/>
    <s v="60.2.1.1"/>
    <s v="RRSS OC 205"/>
    <x v="6"/>
  </r>
  <r>
    <s v="23/06/2025"/>
    <x v="0"/>
    <s v="001"/>
    <s v="06_000271"/>
    <x v="1"/>
    <s v="91.06.02.03"/>
    <s v="BKL_739"/>
    <s v="Lavado 24652"/>
    <s v="10296416423"/>
    <s v="FLORES SIAS EDWIN EDWARDS"/>
    <x v="0"/>
    <s v="FACTURA"/>
    <s v="F001"/>
    <n v="1793"/>
    <n v="25.42"/>
    <s v=""/>
    <n v="4.5756000000000006"/>
    <s v=""/>
    <n v="0"/>
    <n v="30"/>
    <m/>
    <m/>
    <m/>
    <m/>
    <s v="24652"/>
    <s v="63.1.1.5.01"/>
    <s v="Lavado 24652"/>
    <x v="14"/>
  </r>
  <r>
    <s v="24/06/2025"/>
    <x v="0"/>
    <s v="001"/>
    <s v="06_000272"/>
    <x v="0"/>
    <s v="94.01"/>
    <s v="Administracion"/>
    <s v="Envío de documentación"/>
    <s v="20558053691"/>
    <s v="GRUPO GARCIA TOLEDO S.A.C"/>
    <x v="0"/>
    <s v="FACTURA"/>
    <s v="F549"/>
    <n v="13862"/>
    <n v="18.64"/>
    <s v=""/>
    <n v="3.3552"/>
    <s v=""/>
    <n v="0"/>
    <n v="22"/>
    <m/>
    <m/>
    <m/>
    <m/>
    <m/>
    <s v="63.1.2.1.01"/>
    <s v="Envío de documentación"/>
    <x v="2"/>
  </r>
  <r>
    <s v="24/06/2025"/>
    <x v="0"/>
    <s v="001"/>
    <s v="06_000273"/>
    <x v="1"/>
    <s v="91.06.02.03"/>
    <s v="BKL_739"/>
    <s v="Peaje 24661"/>
    <s v="20517252558"/>
    <s v="CONCESIONARIA VIAL DEL SUR S.A.- COVISUR S.A."/>
    <x v="0"/>
    <s v="FACTURA"/>
    <s v="F214"/>
    <n v="2092409"/>
    <n v="6.78"/>
    <s v=""/>
    <n v="1.2203999999999999"/>
    <s v=""/>
    <n v="0"/>
    <n v="8"/>
    <m/>
    <m/>
    <m/>
    <m/>
    <s v="24661"/>
    <s v="63.1.1.3.03"/>
    <s v="Peaje 24661"/>
    <x v="7"/>
  </r>
  <r>
    <s v="24/06/2025"/>
    <x v="0"/>
    <s v="001"/>
    <s v="06_000274"/>
    <x v="1"/>
    <s v="91.06.02.03"/>
    <s v="BKL_739"/>
    <s v="Balanza 24660"/>
    <s v="20259858934"/>
    <s v="COMERCIALIZACION Y SERVICIOS EL EDEN S.A.C."/>
    <x v="0"/>
    <s v="FACTURA"/>
    <s v="FE02"/>
    <n v="16735"/>
    <n v="16.95"/>
    <s v=""/>
    <n v="3.0509999999999997"/>
    <s v=""/>
    <n v="0"/>
    <n v="20"/>
    <m/>
    <m/>
    <m/>
    <m/>
    <s v="24660"/>
    <s v="63.1.1.7.02"/>
    <s v="Balanza 24660"/>
    <x v="1"/>
  </r>
  <r>
    <s v="17/06/2025"/>
    <x v="0"/>
    <s v="001"/>
    <s v="06_000275"/>
    <x v="1"/>
    <s v="91.06.02.08"/>
    <s v="Montacarga"/>
    <s v="Combustible _ Gasolina (Montacarga)"/>
    <s v="20602978274"/>
    <s v="ESTACION DE SERVICIOS MI GRIFO S.R.L. - ESTACION MG S.R.L."/>
    <x v="0"/>
    <s v="FACTURA"/>
    <s v="F136"/>
    <n v="10626"/>
    <n v="252.28"/>
    <s v=""/>
    <n v="45.410399999999996"/>
    <s v=""/>
    <n v="0"/>
    <n v="297.69"/>
    <m/>
    <m/>
    <m/>
    <m/>
    <m/>
    <s v="65.6.1.1.01"/>
    <s v="Combustible _ Gasolina (Montacarga)"/>
    <x v="12"/>
  </r>
  <r>
    <s v="17/06/2025"/>
    <x v="0"/>
    <s v="001"/>
    <s v="06_000276"/>
    <x v="1"/>
    <s v="91.06.02.08"/>
    <s v="Montacarga"/>
    <s v="Combustible _ GLP (Montacarga)"/>
    <s v="20602978274"/>
    <s v="ESTACION DE SERVICIOS MI GRIFO S.R.L. - ESTACION MG S.R.L."/>
    <x v="0"/>
    <s v="FACTURA"/>
    <s v="F135"/>
    <n v="8037"/>
    <n v="164.38"/>
    <s v=""/>
    <n v="29.588399999999996"/>
    <s v=""/>
    <n v="0"/>
    <n v="193.97"/>
    <m/>
    <m/>
    <m/>
    <m/>
    <m/>
    <s v="65.6.1.1.01"/>
    <s v="Combustible _ GLP (Montacarga)"/>
    <x v="12"/>
  </r>
  <r>
    <s v="18/06/2025"/>
    <x v="0"/>
    <s v="001"/>
    <s v="06_000277"/>
    <x v="1"/>
    <s v="91.05.01"/>
    <s v="Residuos Aprovechables"/>
    <s v="RRSS OC 207"/>
    <s v="20100192064"/>
    <s v="MOLY-COP ADESUR S.A."/>
    <x v="0"/>
    <s v="FACTURA"/>
    <s v="F002"/>
    <n v="16295"/>
    <n v="191.14"/>
    <s v=""/>
    <n v="34.405199999999994"/>
    <s v=""/>
    <n v="0"/>
    <n v="225.53"/>
    <s v="274253119"/>
    <s v="1/07/2025"/>
    <m/>
    <m/>
    <m/>
    <s v="60.2.1.1"/>
    <s v="RRSS OC 207"/>
    <x v="6"/>
  </r>
  <r>
    <s v="12/06/2025"/>
    <x v="0"/>
    <s v="001"/>
    <s v="06_000278"/>
    <x v="1"/>
    <s v="91.05.01"/>
    <s v="Residuos Aprovechables"/>
    <s v="RRSS OC 208"/>
    <s v="20100192064"/>
    <s v="MOLY-COP ADESUR S.A."/>
    <x v="0"/>
    <s v="FACTURA"/>
    <s v="F002"/>
    <n v="16270"/>
    <n v="185.43"/>
    <s v=""/>
    <n v="33.377400000000002"/>
    <s v=""/>
    <n v="0"/>
    <n v="218.81"/>
    <s v="274253120"/>
    <s v="1/07/2025"/>
    <m/>
    <m/>
    <m/>
    <s v="60.2.1.1"/>
    <s v="RRSS OC 208"/>
    <x v="6"/>
  </r>
  <r>
    <s v="24/06/2025"/>
    <x v="0"/>
    <s v="001"/>
    <s v="06_000279"/>
    <x v="1"/>
    <s v="91.05.01"/>
    <s v="Residuos Aprovechables"/>
    <s v="RRSS OC 193"/>
    <s v="20454186002"/>
    <s v="ALSUR PERU S.A.C."/>
    <x v="0"/>
    <s v="FACTURA"/>
    <s v="F002"/>
    <n v="627"/>
    <n v="108.47"/>
    <s v=""/>
    <n v="19.5246"/>
    <s v=""/>
    <n v="0"/>
    <n v="127.99"/>
    <s v="274253098"/>
    <s v="1/07/2025"/>
    <m/>
    <m/>
    <m/>
    <s v="60.2.1.1"/>
    <s v="RRSS OC 193"/>
    <x v="6"/>
  </r>
  <r>
    <s v="16/06/2025"/>
    <x v="0"/>
    <s v="001"/>
    <s v="06_000280"/>
    <x v="2"/>
    <s v="95.01"/>
    <s v="Comercial"/>
    <s v="Transporte tercerizado _ Venta de Residuos RQ.COM.342 OS 005 _ 651"/>
    <s v="20429640939"/>
    <s v="EMPRESA DE TRANSPORTES DE CARGA COSISE S.A.C."/>
    <x v="0"/>
    <s v="FACTURA"/>
    <s v="F002"/>
    <n v="1788"/>
    <n v="2245.7600000000002"/>
    <s v=""/>
    <n v="404.23680000000002"/>
    <s v=""/>
    <n v="0"/>
    <n v="2650"/>
    <s v="274253096"/>
    <s v="1/07/2025"/>
    <m/>
    <m/>
    <m/>
    <s v="63.1.1.1.02"/>
    <s v="Transporte tercerizado _ Venta de Residuos RQ.COM.342 OS 005 _ 651"/>
    <x v="13"/>
  </r>
  <r>
    <s v="16/06/2025"/>
    <x v="0"/>
    <s v="001"/>
    <s v="06_000281"/>
    <x v="2"/>
    <s v="95.01"/>
    <s v="Comercial"/>
    <s v="Transporte tercerizado _ Compra de Residuos RQ.OPE.1214 OS 005 650"/>
    <s v="20429640939"/>
    <s v="EMPRESA DE TRANSPORTES DE CARGA COSISE S.A.C."/>
    <x v="0"/>
    <s v="FACTURA"/>
    <s v="F002"/>
    <n v="1787"/>
    <n v="1525.42"/>
    <s v=""/>
    <n v="274.57560000000001"/>
    <s v=""/>
    <n v="0"/>
    <n v="1800"/>
    <s v="274253097"/>
    <s v="1/07/2025"/>
    <m/>
    <m/>
    <m/>
    <s v="63.1.1.1.02"/>
    <s v="Transporte tercerizado _ Compra de Residuos RQ.OPE.1214 OS 005 650"/>
    <x v="13"/>
  </r>
  <r>
    <s v="05/06/2025"/>
    <x v="0"/>
    <s v="001"/>
    <s v="06_000282"/>
    <x v="2"/>
    <s v="95.01"/>
    <s v="Comercial"/>
    <s v="Transporte tercerizado _ Compra de Residuos RQ.OPE.1192 OS 005 _ 643"/>
    <s v="20429640939"/>
    <s v="EMPRESA DE TRANSPORTES DE CARGA COSISE S.A.C."/>
    <x v="0"/>
    <s v="FACTURA"/>
    <s v="F002"/>
    <n v="1767"/>
    <n v="1525.42"/>
    <s v=""/>
    <n v="274.57560000000001"/>
    <s v=""/>
    <n v="0"/>
    <n v="1800"/>
    <s v="274253095"/>
    <s v="1/07/2025"/>
    <m/>
    <m/>
    <m/>
    <s v="63.1.1.1.02"/>
    <s v="Transporte tercerizado _ Compra de Residuos RQ.OPE.1192 OS 005 _ 643"/>
    <x v="13"/>
  </r>
  <r>
    <s v="25/06/2025"/>
    <x v="0"/>
    <s v="001"/>
    <s v="06_000283"/>
    <x v="0"/>
    <s v="94.04"/>
    <s v="Gestion Humana"/>
    <s v="Actividades Corporativas RQ.GH.199"/>
    <s v="20610156445"/>
    <s v="INVERSIONES LIVER GROUP E.I.R.L. - INVERLIG E.I.R.L."/>
    <x v="0"/>
    <s v="FACTURA"/>
    <s v="E001"/>
    <n v="481"/>
    <m/>
    <n v="239.09"/>
    <n v="0"/>
    <n v="23.91"/>
    <n v="0"/>
    <n v="263"/>
    <m/>
    <m/>
    <m/>
    <m/>
    <m/>
    <s v="65.9.9.1.01"/>
    <s v="Actividades Corporativas RQ.GH.199"/>
    <x v="0"/>
  </r>
  <r>
    <s v="25/06/2025"/>
    <x v="0"/>
    <s v="001"/>
    <s v="06_000284"/>
    <x v="1"/>
    <s v="91.06.01"/>
    <s v="Operaciones"/>
    <s v="Disposición Final de RR.SS _ peligrosos"/>
    <s v="20302891452"/>
    <s v="INNOVA AMBIENTAL S.A."/>
    <x v="0"/>
    <s v="FACTURA"/>
    <s v="F001"/>
    <n v="20597"/>
    <n v="7908.1"/>
    <s v=""/>
    <n v="1423.4580000000001"/>
    <s v=""/>
    <n v="0"/>
    <n v="9331.56"/>
    <m/>
    <m/>
    <m/>
    <m/>
    <s v="NRO.DET 275134919"/>
    <s v="63.9.9.1.04.01"/>
    <s v="Disposición Final de RR.SS _ peligrosos"/>
    <x v="20"/>
  </r>
  <r>
    <s v="25/06/2025"/>
    <x v="0"/>
    <s v="001"/>
    <s v="06_000285"/>
    <x v="1"/>
    <s v="91.06.01"/>
    <s v="Operaciones"/>
    <s v="Disposición Final de RR.SS _ peligrosos"/>
    <s v="20302891452"/>
    <s v="INNOVA AMBIENTAL S.A."/>
    <x v="0"/>
    <s v="FACTURA"/>
    <s v="F001"/>
    <n v="20598"/>
    <n v="664.13"/>
    <s v=""/>
    <n v="119.54339999999999"/>
    <s v=""/>
    <n v="0"/>
    <n v="783.67"/>
    <m/>
    <m/>
    <m/>
    <m/>
    <s v="NRO.DET275134918"/>
    <s v="63.9.9.1.04.01"/>
    <s v="Disposición Final de RR.SS _ peligrosos"/>
    <x v="20"/>
  </r>
  <r>
    <s v="21/06/2025"/>
    <x v="0"/>
    <s v="001"/>
    <s v="06_000286"/>
    <x v="1"/>
    <s v="91.06.01"/>
    <s v="Operaciones"/>
    <s v="Disposición Final de RR.SS _ No Aprovechables"/>
    <s v="20608970909"/>
    <s v="BIRRAK 360 S.A.C."/>
    <x v="0"/>
    <s v="FACTURA"/>
    <s v="E001"/>
    <n v="1174"/>
    <n v="150"/>
    <s v=""/>
    <n v="27"/>
    <s v=""/>
    <n v="0"/>
    <n v="604.87"/>
    <m/>
    <m/>
    <m/>
    <m/>
    <m/>
    <s v="63.5.4.1.01"/>
    <s v="Disposición Final de RR.SS _ No Aprovechables"/>
    <x v="16"/>
  </r>
  <r>
    <s v="21/06/2025"/>
    <x v="0"/>
    <s v="001"/>
    <s v="06_000286"/>
    <x v="1"/>
    <s v="91.06.01"/>
    <s v="Operaciones"/>
    <s v="Disposición Final de RR.SS _ No Aprovechables"/>
    <s v="20608970909"/>
    <s v="BIRRAK 360 S.A.C."/>
    <x v="0"/>
    <s v="FACTURA"/>
    <s v="E001"/>
    <n v="1174"/>
    <n v="362.6"/>
    <s v=""/>
    <n v="65.268000000000001"/>
    <s v=""/>
    <n v="0"/>
    <n v="604.87"/>
    <m/>
    <m/>
    <m/>
    <m/>
    <m/>
    <s v="63.9.9.1.04.02"/>
    <s v="Disposición Final de RR.SS _ No Aprovechables"/>
    <x v="23"/>
  </r>
  <r>
    <s v="25/06/2025"/>
    <x v="0"/>
    <s v="001"/>
    <s v="06_000287"/>
    <x v="1"/>
    <s v="91.05.01"/>
    <s v="Residuos Aprovechables"/>
    <s v="RRSS OC 210"/>
    <s v="20100192064"/>
    <s v="MOLY-COP ADESUR S.A."/>
    <x v="0"/>
    <s v="FACTURA"/>
    <s v="F002"/>
    <n v="16328"/>
    <n v="201.97"/>
    <s v=""/>
    <n v="36.354599999999998"/>
    <s v=""/>
    <n v="0"/>
    <n v="238.32"/>
    <s v="274253117"/>
    <s v="1/07/2025"/>
    <m/>
    <m/>
    <m/>
    <s v="60.2.1.1"/>
    <s v="RRSS OC 210"/>
    <x v="6"/>
  </r>
  <r>
    <s v="25/06/2025"/>
    <x v="0"/>
    <s v="001"/>
    <s v="06_000288"/>
    <x v="1"/>
    <s v="91.05.01"/>
    <s v="Residuos Aprovechables"/>
    <s v="RRSS OC 193"/>
    <s v="20454186002"/>
    <s v="ALSUR PERU S.A.C."/>
    <x v="0"/>
    <s v="FACTURA"/>
    <s v="F003"/>
    <n v="1708"/>
    <n v="82.37"/>
    <s v=""/>
    <n v="14.826600000000001"/>
    <s v=""/>
    <n v="0"/>
    <n v="97.2"/>
    <s v="274253115"/>
    <s v="1/07/2025"/>
    <m/>
    <m/>
    <m/>
    <s v="60.2.1.1"/>
    <s v="RRSS OC 193"/>
    <x v="6"/>
  </r>
  <r>
    <s v="25/06/2025"/>
    <x v="0"/>
    <s v="001"/>
    <s v="06_000289"/>
    <x v="1"/>
    <s v="91.05.01"/>
    <s v="Residuos Aprovechables"/>
    <s v="RRSS OC 200"/>
    <s v="20454186002"/>
    <s v="ALSUR PERU S.A.C."/>
    <x v="0"/>
    <s v="FACTURA"/>
    <s v="F003"/>
    <n v="1707"/>
    <n v="443.22"/>
    <s v=""/>
    <n v="79.779600000000002"/>
    <s v=""/>
    <n v="0"/>
    <n v="523"/>
    <s v="274253116"/>
    <s v="1/07/2025"/>
    <m/>
    <m/>
    <m/>
    <s v="60.2.1.1"/>
    <s v="RRSS OC 200"/>
    <x v="6"/>
  </r>
  <r>
    <s v="24/06/2025"/>
    <x v="0"/>
    <s v="001"/>
    <s v="06_000290"/>
    <x v="1"/>
    <s v="91.06.01"/>
    <s v="Operaciones"/>
    <s v="Transporte tercerizado _ Disposición Fina RQ.OPE.1237 OS 005 _ 646"/>
    <s v="20601279666"/>
    <s v="EMPRESA DE TRANSPORTES UNIENDO DESTINOS SOCIEDAD ANÓNIMA CERRADA - TRANSPORTES UNIDEST S.A.C."/>
    <x v="0"/>
    <s v="FACTURA"/>
    <s v="E001"/>
    <n v="844"/>
    <n v="1610.17"/>
    <s v=""/>
    <n v="289.8306"/>
    <s v=""/>
    <n v="0"/>
    <n v="1900"/>
    <s v="274253113"/>
    <s v="1/07/2025"/>
    <m/>
    <m/>
    <m/>
    <s v="63.1.1.1.01"/>
    <s v="Transporte tercerizado _ Disposición Fina RQ.OPE.1237 OS 005 _ 646"/>
    <x v="21"/>
  </r>
  <r>
    <s v="24/06/2025"/>
    <x v="0"/>
    <s v="001"/>
    <s v="06_000291"/>
    <x v="0"/>
    <s v="94.04"/>
    <s v="Gestion Humana"/>
    <s v="Exámenes Médicos _ Periódico RQ.GH.200"/>
    <s v="20517035964"/>
    <s v="SIGSO CONSULTORES LABORALES SOCIEDAD ANONIMA CERRADA - SIGSO CONSULTORES LABORALES S.A.C."/>
    <x v="0"/>
    <s v="FACTURA"/>
    <s v="F200"/>
    <n v="16028"/>
    <n v="192"/>
    <s v=""/>
    <n v="34.56"/>
    <s v=""/>
    <n v="0"/>
    <n v="226.56"/>
    <m/>
    <m/>
    <m/>
    <m/>
    <m/>
    <s v="62.5.1.2.02"/>
    <s v="Exámenes Médicos _ Periódico RQ.GH.200"/>
    <x v="0"/>
  </r>
  <r>
    <s v="05/06/2025"/>
    <x v="0"/>
    <s v="001"/>
    <s v="06_000292"/>
    <x v="0"/>
    <s v="94.04"/>
    <s v="Gestion Humana"/>
    <s v="Reconocimiento e incentivos  al personal"/>
    <s v="20469090460"/>
    <s v="A. CONSTELLATION E.I.R.L."/>
    <x v="0"/>
    <s v="FACTURA"/>
    <s v="FQ01"/>
    <n v="2584"/>
    <n v="10.17"/>
    <s v=""/>
    <n v="1.8306"/>
    <s v=""/>
    <n v="0"/>
    <n v="12"/>
    <m/>
    <m/>
    <m/>
    <m/>
    <m/>
    <s v="65.9.9.1.01"/>
    <s v="Reconocimiento e incentivos  al personal"/>
    <x v="0"/>
  </r>
  <r>
    <s v="05/06/2025"/>
    <x v="0"/>
    <s v="001"/>
    <s v="06_000293"/>
    <x v="0"/>
    <s v="94.04"/>
    <s v="Gestion Humana"/>
    <s v="Reconocimiento e incentivos  al personal"/>
    <s v="20469090460"/>
    <s v="A. CONSTELLATION E.I.R.L."/>
    <x v="0"/>
    <s v="FACTURA"/>
    <s v="FQ01"/>
    <n v="2583"/>
    <n v="10"/>
    <s v=""/>
    <n v="1.7999999999999998"/>
    <s v=""/>
    <n v="0"/>
    <n v="11.8"/>
    <m/>
    <m/>
    <m/>
    <m/>
    <m/>
    <s v="65.9.9.1.01"/>
    <s v="Reconocimiento e incentivos  al personal"/>
    <x v="0"/>
  </r>
  <r>
    <s v="13/06/2025"/>
    <x v="0"/>
    <s v="001"/>
    <s v="06_000294"/>
    <x v="2"/>
    <s v="95.01"/>
    <s v="Comercial"/>
    <s v="Alquiler de montacarga  RQ.OPE.1226"/>
    <s v="20603974817"/>
    <s v="TRANSPORTES, GRUAS Y MONTACARGAS AREQUIPA EMPRESA INDIVIDUAL DE RESPONSABILIDAD LIMITADA"/>
    <x v="0"/>
    <s v="FACTURA"/>
    <s v="E001"/>
    <n v="3955"/>
    <n v="170"/>
    <s v=""/>
    <n v="30.599999999999998"/>
    <s v=""/>
    <n v="0"/>
    <n v="200.6"/>
    <m/>
    <m/>
    <m/>
    <m/>
    <m/>
    <s v="63.5.4.1.03"/>
    <s v="Alquiler de montacarga  RQ.OPE.1226"/>
    <x v="17"/>
  </r>
  <r>
    <s v="16/06/2025"/>
    <x v="0"/>
    <s v="001"/>
    <s v="06_000295"/>
    <x v="2"/>
    <s v="95.01"/>
    <s v="Comercial"/>
    <s v="Alquiler de montacarga RQ.OPE.1232 OS 005 _ 641"/>
    <s v="20603974817"/>
    <s v="TRANSPORTES, GRUAS Y MONTACARGAS AREQUIPA EMPRESA INDIVIDUAL DE RESPONSABILIDAD LIMITADA"/>
    <x v="0"/>
    <s v="FACTURA"/>
    <s v="E001"/>
    <n v="3967"/>
    <n v="340"/>
    <s v=""/>
    <n v="61.199999999999996"/>
    <s v=""/>
    <n v="0"/>
    <n v="401.2"/>
    <m/>
    <m/>
    <m/>
    <m/>
    <m/>
    <s v="63.5.4.1.03"/>
    <s v="Alquiler de montacarga RQ.OPE.1232 OS 005 _ 641"/>
    <x v="17"/>
  </r>
  <r>
    <s v="18/06/2025"/>
    <x v="0"/>
    <s v="001"/>
    <s v="06_000296"/>
    <x v="2"/>
    <s v="95.01"/>
    <s v="Comercial"/>
    <s v="Transporte tercerizado _ Compra de Residuos RQ.OPE.122 OS 005 _ 644"/>
    <s v="20554299441"/>
    <s v="SOLUCIONES LOGISTICAS MEJGHIM E.I.R.L."/>
    <x v="0"/>
    <s v="FACTURA"/>
    <s v="E001"/>
    <n v="888"/>
    <n v="1525.42"/>
    <s v=""/>
    <n v="274.57560000000001"/>
    <s v=""/>
    <n v="0"/>
    <n v="1800"/>
    <s v="274253114"/>
    <s v="1/07/2025"/>
    <m/>
    <m/>
    <m/>
    <s v="63.1.1.1.02"/>
    <s v="Transporte tercerizado _ Compra de Residuos RQ.OPE.122 OS 005 _ 644"/>
    <x v="13"/>
  </r>
  <r>
    <s v="25/06/2025"/>
    <x v="0"/>
    <s v="001"/>
    <s v="06_000297"/>
    <x v="1"/>
    <s v="91.06.02.06"/>
    <s v="VBW_889"/>
    <s v="Revisión Técnica Vehicular RQ.OPE.1158"/>
    <s v="20602484425"/>
    <s v="CENTRO DE INSPECCIONES TECNICAS DEL SUR S.A.C."/>
    <x v="0"/>
    <s v="FACTURA"/>
    <s v="F001"/>
    <n v="36342"/>
    <n v="67.8"/>
    <s v=""/>
    <n v="12.203999999999999"/>
    <s v=""/>
    <n v="0"/>
    <n v="80"/>
    <m/>
    <m/>
    <m/>
    <m/>
    <m/>
    <s v="63.4.3.1.01"/>
    <s v="Revisión Técnica Vehicular RQ.OPE.1158"/>
    <x v="4"/>
  </r>
  <r>
    <s v="11/06/2025"/>
    <x v="0"/>
    <s v="001"/>
    <s v="06_000298"/>
    <x v="2"/>
    <s v="95.01"/>
    <s v="Comercial"/>
    <s v="Gastos propios del área RQ.COM.340"/>
    <s v="20536557858"/>
    <s v="HOMECENTERS PERUANOS S.A."/>
    <x v="0"/>
    <s v="FACTURA"/>
    <s v="FA26"/>
    <n v="1429573"/>
    <n v="168.64"/>
    <s v=""/>
    <n v="30.355199999999996"/>
    <s v=""/>
    <n v="0"/>
    <n v="199"/>
    <m/>
    <m/>
    <m/>
    <m/>
    <m/>
    <s v="65.9.9.1.01"/>
    <s v="Gastos propios del área RQ.COM.340"/>
    <x v="0"/>
  </r>
  <r>
    <s v="25/06/2025"/>
    <x v="0"/>
    <s v="001"/>
    <s v="06_000299"/>
    <x v="2"/>
    <s v="95.01"/>
    <s v="Comercial"/>
    <s v="Envío de documentación / paquetería"/>
    <s v="20558053691"/>
    <s v="GRUPO GARCIA TOLEDO S.A.C"/>
    <x v="0"/>
    <s v="FACTURA"/>
    <s v="F549"/>
    <n v="13874"/>
    <n v="16.95"/>
    <s v=""/>
    <n v="3.0509999999999997"/>
    <s v=""/>
    <n v="0"/>
    <n v="20"/>
    <m/>
    <m/>
    <m/>
    <m/>
    <m/>
    <s v="63.1.2.1.01"/>
    <s v="Envío de documentación / paquetería"/>
    <x v="2"/>
  </r>
  <r>
    <s v="25/06/2025"/>
    <x v="0"/>
    <s v="001"/>
    <s v="06_000300"/>
    <x v="0"/>
    <s v="94.03"/>
    <s v="Logistica"/>
    <s v="Envío de documentación / paquetería"/>
    <s v="20512528458"/>
    <s v="SHALOM EMPRESARIAL S.A.C."/>
    <x v="0"/>
    <s v="FACTURA"/>
    <s v="F207"/>
    <n v="286505"/>
    <n v="16.95"/>
    <s v=""/>
    <n v="3.0509999999999997"/>
    <s v=""/>
    <n v="0"/>
    <n v="20"/>
    <m/>
    <m/>
    <m/>
    <m/>
    <m/>
    <s v="63.1.2.1.01"/>
    <s v="Envío de documentación / paquetería"/>
    <x v="2"/>
  </r>
  <r>
    <s v="25/06/2025"/>
    <x v="0"/>
    <s v="001"/>
    <s v="06_000301"/>
    <x v="1"/>
    <s v="91.06.02.11"/>
    <s v="Tercerizados"/>
    <s v="Peaje"/>
    <s v="20228985237"/>
    <s v="ESTACION DE SERVICIOS SAN JOSE ESPINAR-CUSCO SRL"/>
    <x v="0"/>
    <s v="FACTURA"/>
    <s v="FVT1"/>
    <n v="39254"/>
    <n v="25.42"/>
    <s v=""/>
    <n v="4.5756000000000006"/>
    <s v=""/>
    <n v="0"/>
    <n v="30"/>
    <m/>
    <m/>
    <m/>
    <m/>
    <m/>
    <s v="63.1.1.3.02"/>
    <s v="Peaje"/>
    <x v="8"/>
  </r>
  <r>
    <s v="23/06/2025"/>
    <x v="0"/>
    <s v="001"/>
    <s v="06_000302"/>
    <x v="1"/>
    <s v="91.06.02.11"/>
    <s v="Tercerizados"/>
    <s v="Balanza 24710"/>
    <s v="20259858934"/>
    <s v="COMERCIALIZACION Y SERVICIOS EL EDEN S.A.C."/>
    <x v="0"/>
    <s v="FACTURA"/>
    <s v="FE01"/>
    <n v="34986"/>
    <n v="8.4700000000000006"/>
    <s v=""/>
    <n v="1.5246"/>
    <s v=""/>
    <n v="0"/>
    <n v="10"/>
    <m/>
    <m/>
    <m/>
    <m/>
    <s v="24710"/>
    <s v="63.1.1.7.01"/>
    <s v="Balanza 24710"/>
    <x v="11"/>
  </r>
  <r>
    <s v="25/06/2025"/>
    <x v="0"/>
    <s v="001"/>
    <s v="06_000303"/>
    <x v="1"/>
    <s v="91.06.02.03"/>
    <s v="BKL_739"/>
    <s v="Balanza 24692"/>
    <s v="20259858934"/>
    <s v="COMERCIALIZACION Y SERVICIOS EL EDEN S.A.C."/>
    <x v="0"/>
    <s v="FACTURA"/>
    <s v="FE02"/>
    <n v="16746"/>
    <n v="16.95"/>
    <s v=""/>
    <n v="3.0509999999999997"/>
    <s v=""/>
    <n v="0"/>
    <n v="20"/>
    <m/>
    <m/>
    <m/>
    <m/>
    <s v="24692"/>
    <s v="63.1.1.7.02"/>
    <s v="Balanza 24692"/>
    <x v="1"/>
  </r>
  <r>
    <s v="17/06/2025"/>
    <x v="0"/>
    <s v="001"/>
    <s v="06_000304"/>
    <x v="1"/>
    <s v="91.06.02.03"/>
    <s v="BKL_739"/>
    <s v="Balanza 24608"/>
    <s v="20259858934"/>
    <s v="COMERCIALIZACION Y SERVICIOS EL EDEN S.A.C."/>
    <x v="0"/>
    <s v="FACTURA"/>
    <s v="FE02"/>
    <n v="16673"/>
    <n v="16.95"/>
    <s v=""/>
    <n v="3.0509999999999997"/>
    <s v=""/>
    <n v="0"/>
    <n v="20"/>
    <m/>
    <m/>
    <m/>
    <m/>
    <s v="24608"/>
    <s v="63.1.1.7.01"/>
    <s v="Balanza 24608"/>
    <x v="11"/>
  </r>
  <r>
    <s v="18/06/2025"/>
    <x v="0"/>
    <s v="001"/>
    <s v="06_000305"/>
    <x v="1"/>
    <s v="91.06.02.03"/>
    <s v="BKL_739"/>
    <s v="Balanza 24607"/>
    <s v="20259858934"/>
    <s v="COMERCIALIZACION Y SERVICIOS EL EDEN S.A.C."/>
    <x v="0"/>
    <s v="FACTURA"/>
    <s v="FE02"/>
    <n v="16693"/>
    <n v="16.95"/>
    <s v=""/>
    <n v="3.0509999999999997"/>
    <s v=""/>
    <n v="0"/>
    <n v="20"/>
    <m/>
    <m/>
    <m/>
    <m/>
    <s v="24607"/>
    <s v="63.1.1.7.01"/>
    <s v="Balanza 24607"/>
    <x v="11"/>
  </r>
  <r>
    <s v="24/06/2025"/>
    <x v="0"/>
    <s v="001"/>
    <s v="06_000306"/>
    <x v="1"/>
    <s v="91.06.02.07"/>
    <s v="VDJ_872"/>
    <s v="Balanza 24711"/>
    <s v="20259858934"/>
    <s v="COMERCIALIZACION Y SERVICIOS EL EDEN S.A.C."/>
    <x v="0"/>
    <s v="FACTURA"/>
    <s v="FE02"/>
    <n v="16737"/>
    <n v="16.95"/>
    <s v=""/>
    <n v="3.0509999999999997"/>
    <s v=""/>
    <n v="0"/>
    <n v="20"/>
    <m/>
    <m/>
    <m/>
    <m/>
    <s v="24711"/>
    <s v="63.1.1.7.01"/>
    <s v="Balanza 24711"/>
    <x v="11"/>
  </r>
  <r>
    <s v="24/06/2025"/>
    <x v="0"/>
    <s v="001"/>
    <s v="06_000307"/>
    <x v="1"/>
    <s v="91.06.02.07"/>
    <s v="VDJ_872"/>
    <s v="Balanza 24712"/>
    <s v="20259858934"/>
    <s v="COMERCIALIZACION Y SERVICIOS EL EDEN S.A.C."/>
    <x v="0"/>
    <s v="FACTURA"/>
    <s v="FE02"/>
    <n v="16736"/>
    <n v="16.95"/>
    <s v=""/>
    <n v="3.0509999999999997"/>
    <s v=""/>
    <n v="0"/>
    <n v="20"/>
    <m/>
    <m/>
    <m/>
    <m/>
    <s v="24712"/>
    <s v="63.1.1.7.01"/>
    <s v="Balanza 24712"/>
    <x v="11"/>
  </r>
  <r>
    <s v="24/06/2025"/>
    <x v="0"/>
    <s v="001"/>
    <s v="06_000308"/>
    <x v="1"/>
    <s v="91.06.02.11"/>
    <s v="Tercerizados"/>
    <s v="Balanza 24713"/>
    <s v="20454058187"/>
    <s v="ZONA ESPECIAL DE DESARROLLO ZED MATARANI"/>
    <x v="0"/>
    <s v="FACTURA"/>
    <s v="F001"/>
    <n v="17818"/>
    <m/>
    <s v=""/>
    <n v="0"/>
    <s v=""/>
    <n v="11"/>
    <n v="11"/>
    <m/>
    <m/>
    <m/>
    <m/>
    <s v="24713"/>
    <s v="63.1.1.7.02"/>
    <s v="Balanza 24713"/>
    <x v="1"/>
  </r>
  <r>
    <s v="20/06/2025"/>
    <x v="0"/>
    <s v="001"/>
    <s v="06_000309"/>
    <x v="1"/>
    <s v="91.06.02.06"/>
    <s v="VBW_889"/>
    <s v="Balanza 24706"/>
    <s v="20124952850"/>
    <s v="ALIMENTOS Y SERVICIOS AGROPECUARIOS SRL."/>
    <x v="0"/>
    <s v="FACTURA"/>
    <s v="F002"/>
    <n v="133227"/>
    <n v="8.4700000000000006"/>
    <s v=""/>
    <n v="1.5246"/>
    <s v=""/>
    <n v="0"/>
    <n v="10"/>
    <m/>
    <m/>
    <m/>
    <m/>
    <s v="24706"/>
    <s v="63.1.1.7.01"/>
    <s v="Balanza 24706"/>
    <x v="11"/>
  </r>
  <r>
    <s v="20/06/2025"/>
    <x v="0"/>
    <s v="001"/>
    <s v="06_000310"/>
    <x v="1"/>
    <s v="91.06.02.06"/>
    <s v="VBW_889"/>
    <s v="Balanza 24707"/>
    <s v="20124952850"/>
    <s v="ALIMENTOS Y SERVICIOS AGROPECUARIOS SRL."/>
    <x v="0"/>
    <s v="FACTURA"/>
    <s v="F002"/>
    <n v="133234"/>
    <n v="8.4700000000000006"/>
    <s v=""/>
    <n v="1.5246"/>
    <s v=""/>
    <n v="0"/>
    <n v="10"/>
    <m/>
    <m/>
    <m/>
    <m/>
    <s v="24707"/>
    <s v="63.1.1.7.01"/>
    <s v="Balanza 24707"/>
    <x v="11"/>
  </r>
  <r>
    <s v="20/06/2025"/>
    <x v="0"/>
    <s v="001"/>
    <s v="06_000311"/>
    <x v="1"/>
    <s v="91.06.02.06"/>
    <s v="VBW_889"/>
    <s v="Balanza 24708"/>
    <s v="20124952850"/>
    <s v="ALIMENTOS Y SERVICIOS AGROPECUARIOS SRL."/>
    <x v="0"/>
    <s v="FACTURA"/>
    <s v="F002"/>
    <n v="133243"/>
    <n v="8.4700000000000006"/>
    <s v=""/>
    <n v="1.5246"/>
    <s v=""/>
    <n v="0"/>
    <n v="10"/>
    <m/>
    <m/>
    <m/>
    <m/>
    <s v="24708"/>
    <s v="63.1.1.7.01"/>
    <s v="Balanza 24708"/>
    <x v="11"/>
  </r>
  <r>
    <s v="20/06/2025"/>
    <x v="0"/>
    <s v="001"/>
    <s v="06_000312"/>
    <x v="1"/>
    <s v="91.06.02.06"/>
    <s v="VBW_889"/>
    <s v="Balanza 24709"/>
    <s v="20124952850"/>
    <s v="ALIMENTOS Y SERVICIOS AGROPECUARIOS SRL."/>
    <x v="0"/>
    <s v="FACTURA"/>
    <s v="F002"/>
    <n v="133252"/>
    <n v="8.4700000000000006"/>
    <s v=""/>
    <n v="1.5246"/>
    <s v=""/>
    <n v="0"/>
    <n v="10"/>
    <m/>
    <m/>
    <m/>
    <m/>
    <s v="24709"/>
    <s v="63.1.1.7.01"/>
    <s v="Balanza 24709"/>
    <x v="11"/>
  </r>
  <r>
    <s v="19/06/2025"/>
    <x v="0"/>
    <s v="001"/>
    <s v="06_000313"/>
    <x v="1"/>
    <s v="91.06.02.03"/>
    <s v="BKL_739"/>
    <s v="Balanza 24630"/>
    <s v="20124952850"/>
    <s v="ALIMENTOS Y SERVICIOS AGROPECUARIOS SRL."/>
    <x v="0"/>
    <s v="FACTURA"/>
    <s v="F002"/>
    <n v="133173"/>
    <n v="8.4700000000000006"/>
    <s v=""/>
    <n v="1.5246"/>
    <s v=""/>
    <n v="0"/>
    <n v="10"/>
    <m/>
    <m/>
    <m/>
    <m/>
    <s v="24630"/>
    <s v="63.1.1.7.01"/>
    <s v="Balanza 24630"/>
    <x v="11"/>
  </r>
  <r>
    <s v="20/06/2025"/>
    <x v="0"/>
    <s v="001"/>
    <s v="06_000314"/>
    <x v="1"/>
    <s v="91.06.02.03"/>
    <s v="BKL_739"/>
    <s v="Balanza 24631"/>
    <s v="20124952850"/>
    <s v="ALIMENTOS Y SERVICIOS AGROPECUARIOS SRL."/>
    <x v="0"/>
    <s v="FACTURA"/>
    <s v="F002"/>
    <n v="133222"/>
    <n v="8.4700000000000006"/>
    <s v=""/>
    <n v="1.5246"/>
    <s v=""/>
    <n v="0"/>
    <n v="10"/>
    <m/>
    <m/>
    <m/>
    <m/>
    <s v="24631"/>
    <s v="63.1.1.7.01"/>
    <s v="Balanza 24631"/>
    <x v="11"/>
  </r>
  <r>
    <s v="24/06/2025"/>
    <x v="0"/>
    <s v="001"/>
    <s v="06_000315"/>
    <x v="1"/>
    <s v="91.06.02.07"/>
    <s v="VDJ_872"/>
    <s v="Peaje 24704"/>
    <s v="20517252558"/>
    <s v="CONCESIONARIA VIAL DEL SUR S.A.- COVISUR S.A."/>
    <x v="0"/>
    <s v="FACTURA"/>
    <s v="F212"/>
    <n v="1767402"/>
    <n v="6.78"/>
    <s v=""/>
    <n v="1.2203999999999999"/>
    <s v=""/>
    <n v="0"/>
    <n v="8"/>
    <m/>
    <m/>
    <m/>
    <m/>
    <s v="24704"/>
    <s v="63.1.1.3.02"/>
    <s v="Peaje 24704"/>
    <x v="8"/>
  </r>
  <r>
    <s v="12/06/2025"/>
    <x v="0"/>
    <s v="001"/>
    <s v="06_000316"/>
    <x v="1"/>
    <s v="91.06.02.07"/>
    <s v="VDJ_872"/>
    <s v="Peaje 24703"/>
    <s v="20517252558"/>
    <s v="CONCESIONARIA VIAL DEL SUR S.A.- COVISUR S.A."/>
    <x v="0"/>
    <s v="FACTURA"/>
    <s v="F214"/>
    <n v="2079916"/>
    <n v="6.78"/>
    <s v=""/>
    <n v="1.2203999999999999"/>
    <s v=""/>
    <n v="0"/>
    <n v="8"/>
    <m/>
    <m/>
    <m/>
    <m/>
    <s v="24703"/>
    <s v="63.1.1.3.03"/>
    <s v="Peaje 24703"/>
    <x v="7"/>
  </r>
  <r>
    <s v="12/06/2025"/>
    <x v="0"/>
    <s v="001"/>
    <s v="06_000317"/>
    <x v="1"/>
    <s v="91.06.02.07"/>
    <s v="VDJ_872"/>
    <s v="Peaje 24702"/>
    <s v="20517252558"/>
    <s v="CONCESIONARIA VIAL DEL SUR S.A.- COVISUR S.A."/>
    <x v="0"/>
    <s v="FACTURA"/>
    <s v="F211"/>
    <n v="2363852"/>
    <n v="6.78"/>
    <s v=""/>
    <n v="1.2203999999999999"/>
    <s v=""/>
    <n v="0"/>
    <n v="8"/>
    <m/>
    <m/>
    <m/>
    <m/>
    <s v="24702"/>
    <s v="63.1.1.3.03"/>
    <s v="Peaje 24702"/>
    <x v="7"/>
  </r>
  <r>
    <s v="24/06/2025"/>
    <x v="0"/>
    <s v="001"/>
    <s v="06_000318"/>
    <x v="1"/>
    <s v="91.06.02.03"/>
    <s v="BKL_739"/>
    <s v="Peaje 24662"/>
    <s v="20517252558"/>
    <s v="CONCESIONARIA VIAL DEL SUR S.A.- COVISUR S.A."/>
    <x v="0"/>
    <s v="FACTURA"/>
    <s v="F212"/>
    <n v="1768103"/>
    <n v="6.78"/>
    <s v=""/>
    <n v="1.2203999999999999"/>
    <s v=""/>
    <n v="0"/>
    <n v="8"/>
    <m/>
    <m/>
    <m/>
    <m/>
    <s v="24662"/>
    <s v="63.1.1.3.02"/>
    <s v="Peaje 24662"/>
    <x v="8"/>
  </r>
  <r>
    <s v="17/06/2025"/>
    <x v="0"/>
    <s v="001"/>
    <s v="06_000319"/>
    <x v="1"/>
    <s v="91.06.02.03"/>
    <s v="BKL_739"/>
    <s v="Peaje 24604"/>
    <s v="20517252558"/>
    <s v="CONCESIONARIA VIAL DEL SUR S.A.- COVISUR S.A."/>
    <x v="0"/>
    <s v="FACTURA"/>
    <s v="F211"/>
    <n v="2369393"/>
    <n v="6.78"/>
    <s v=""/>
    <n v="1.2203999999999999"/>
    <s v=""/>
    <n v="0"/>
    <n v="8"/>
    <m/>
    <m/>
    <m/>
    <m/>
    <s v="24604"/>
    <s v="63.1.1.3.02"/>
    <s v="Peaje 24604"/>
    <x v="8"/>
  </r>
  <r>
    <s v="17/06/2025"/>
    <x v="0"/>
    <s v="001"/>
    <s v="06_000320"/>
    <x v="1"/>
    <s v="91.06.02.03"/>
    <s v="BKL_739"/>
    <s v="Peaje 24603"/>
    <s v="20517252558"/>
    <s v="CONCESIONARIA VIAL DEL SUR S.A.- COVISUR S.A."/>
    <x v="0"/>
    <s v="FACTURA"/>
    <s v="F214"/>
    <n v="2085166"/>
    <n v="6.78"/>
    <s v=""/>
    <n v="1.2203999999999999"/>
    <s v=""/>
    <n v="0"/>
    <n v="8"/>
    <m/>
    <m/>
    <m/>
    <m/>
    <s v="24603"/>
    <s v="63.1.1.3.02"/>
    <s v="Peaje 24603"/>
    <x v="8"/>
  </r>
  <r>
    <s v="19/06/2025"/>
    <x v="0"/>
    <s v="001"/>
    <s v="06_000321"/>
    <x v="1"/>
    <s v="91.06.02.03"/>
    <s v="BKL_739"/>
    <s v="Peaje 24629"/>
    <s v="20517252558"/>
    <s v="CONCESIONARIA VIAL DEL SUR S.A.- COVISUR S.A."/>
    <x v="0"/>
    <s v="FACTURA"/>
    <s v="F211"/>
    <n v="2371883"/>
    <n v="6.78"/>
    <s v=""/>
    <n v="1.2203999999999999"/>
    <s v=""/>
    <n v="0"/>
    <n v="8"/>
    <m/>
    <m/>
    <m/>
    <m/>
    <s v="24329"/>
    <s v="63.1.1.3.02"/>
    <s v="Peaje 24629"/>
    <x v="8"/>
  </r>
  <r>
    <s v="19/06/2025"/>
    <x v="0"/>
    <s v="001"/>
    <s v="06_000322"/>
    <x v="1"/>
    <s v="91.06.02.03"/>
    <s v="BKL_739"/>
    <s v="Peaje 24628"/>
    <s v="20517252558"/>
    <s v="CONCESIONARIA VIAL DEL SUR S.A.- COVISUR S.A."/>
    <x v="0"/>
    <s v="FACTURA"/>
    <s v="F213"/>
    <n v="1783270"/>
    <n v="6.78"/>
    <s v=""/>
    <n v="1.2203999999999999"/>
    <s v=""/>
    <n v="0"/>
    <n v="8"/>
    <m/>
    <m/>
    <m/>
    <m/>
    <s v="24628"/>
    <s v="63.1.1.3.02"/>
    <s v="Peaje 24628"/>
    <x v="8"/>
  </r>
  <r>
    <s v="18/06/2025"/>
    <x v="0"/>
    <s v="001"/>
    <s v="06_000323"/>
    <x v="1"/>
    <s v="91.06.02.03"/>
    <s v="BKL_739"/>
    <s v="Peaje 24606"/>
    <s v="20517252558"/>
    <s v="CONCESIONARIA VIAL DEL SUR S.A.- COVISUR S.A."/>
    <x v="0"/>
    <s v="FACTURA"/>
    <s v="F212"/>
    <n v="1761998"/>
    <n v="3.39"/>
    <s v=""/>
    <n v="0.61019999999999996"/>
    <s v=""/>
    <n v="0"/>
    <n v="8"/>
    <m/>
    <m/>
    <m/>
    <m/>
    <s v="24606"/>
    <s v="63.1.1.3.02"/>
    <s v="Peaje 24606"/>
    <x v="8"/>
  </r>
  <r>
    <s v="18/06/2025"/>
    <x v="0"/>
    <s v="001"/>
    <s v="06_000323"/>
    <x v="1"/>
    <s v="91.06.02.03"/>
    <s v="BKL_739"/>
    <s v="Peaje 24606"/>
    <s v="20517252558"/>
    <s v="CONCESIONARIA VIAL DEL SUR S.A.- COVISUR S.A."/>
    <x v="0"/>
    <s v="FACTURA"/>
    <s v="F212"/>
    <n v="1761998"/>
    <n v="3.39"/>
    <s v=""/>
    <n v="0.61019999999999996"/>
    <s v=""/>
    <n v="0"/>
    <n v="8"/>
    <m/>
    <m/>
    <m/>
    <m/>
    <s v="24606"/>
    <s v="63.1.1.3.03"/>
    <s v="Peaje 24606"/>
    <x v="7"/>
  </r>
  <r>
    <s v="18/06/2025"/>
    <x v="0"/>
    <s v="001"/>
    <s v="06_000324"/>
    <x v="1"/>
    <s v="91.06.02.03"/>
    <s v="BKL_739"/>
    <s v="Peaje 24605"/>
    <s v="20517252558"/>
    <s v="CONCESIONARIA VIAL DEL SUR S.A.- COVISUR S.A."/>
    <x v="0"/>
    <s v="FACTURA"/>
    <s v="F213"/>
    <n v="1782190"/>
    <n v="3.39"/>
    <s v=""/>
    <n v="0.61019999999999996"/>
    <s v=""/>
    <n v="0"/>
    <n v="8"/>
    <m/>
    <m/>
    <m/>
    <m/>
    <s v="24605"/>
    <s v="63.1.1.3.02"/>
    <s v="Peaje 24605"/>
    <x v="8"/>
  </r>
  <r>
    <s v="18/06/2025"/>
    <x v="0"/>
    <s v="001"/>
    <s v="06_000324"/>
    <x v="1"/>
    <s v="91.06.02.03"/>
    <s v="BKL_739"/>
    <s v="Peaje 24605"/>
    <s v="20517252558"/>
    <s v="CONCESIONARIA VIAL DEL SUR S.A.- COVISUR S.A."/>
    <x v="0"/>
    <s v="FACTURA"/>
    <s v="F213"/>
    <n v="1782190"/>
    <n v="3.39"/>
    <s v=""/>
    <n v="0.61019999999999996"/>
    <s v=""/>
    <n v="0"/>
    <n v="8"/>
    <m/>
    <m/>
    <m/>
    <m/>
    <s v="24605"/>
    <s v="63.1.1.3.03"/>
    <s v="Peaje 24605"/>
    <x v="7"/>
  </r>
  <r>
    <s v="20/06/2025"/>
    <x v="0"/>
    <s v="001"/>
    <s v="06_000325"/>
    <x v="1"/>
    <s v="91.06.02.03"/>
    <s v="BKL_739"/>
    <s v="Peaje 24635"/>
    <s v="20517252558"/>
    <s v="CONCESIONARIA VIAL DEL SUR S.A.- COVISUR S.A."/>
    <x v="0"/>
    <s v="FACTURA"/>
    <s v="F214"/>
    <n v="2088457"/>
    <n v="6.78"/>
    <s v=""/>
    <n v="1.2203999999999999"/>
    <s v=""/>
    <n v="0"/>
    <n v="8"/>
    <m/>
    <m/>
    <m/>
    <m/>
    <s v="24635"/>
    <s v="63.1.1.3.03"/>
    <s v="Peaje 24635"/>
    <x v="7"/>
  </r>
  <r>
    <s v="20/06/2025"/>
    <x v="0"/>
    <s v="001"/>
    <s v="06_000326"/>
    <x v="1"/>
    <s v="91.06.02.03"/>
    <s v="BKL_739"/>
    <s v="Peaje 24632"/>
    <s v="20517252558"/>
    <s v="CONCESIONARIA VIAL DEL SUR S.A.- COVISUR S.A."/>
    <x v="0"/>
    <s v="FACTURA"/>
    <s v="F212"/>
    <n v="1764012"/>
    <n v="6.78"/>
    <s v=""/>
    <n v="1.2203999999999999"/>
    <s v=""/>
    <n v="0"/>
    <n v="8"/>
    <m/>
    <m/>
    <m/>
    <m/>
    <s v="24632"/>
    <s v="63.1.1.3.03"/>
    <s v="Peaje 24632"/>
    <x v="7"/>
  </r>
  <r>
    <s v="16/06/2025"/>
    <x v="0"/>
    <s v="001"/>
    <s v="06_000327"/>
    <x v="1"/>
    <s v="91.06.02.03"/>
    <s v="BKL_739"/>
    <s v="Peaje 24602"/>
    <s v="20517252558"/>
    <s v="CONCESIONARIA VIAL DEL SUR S.A.- COVISUR S.A."/>
    <x v="0"/>
    <s v="FACTURA"/>
    <s v="F211"/>
    <n v="2368130"/>
    <n v="6.78"/>
    <s v=""/>
    <n v="1.2203999999999999"/>
    <s v=""/>
    <n v="0"/>
    <n v="8"/>
    <m/>
    <m/>
    <m/>
    <m/>
    <s v="24602"/>
    <s v="63.1.1.3.03"/>
    <s v="Peaje 24602"/>
    <x v="7"/>
  </r>
  <r>
    <s v="16/06/2025"/>
    <x v="0"/>
    <s v="001"/>
    <s v="06_000328"/>
    <x v="1"/>
    <s v="91.06.02.03"/>
    <s v="BKL_739"/>
    <s v="Peaje 24601"/>
    <s v="20517252558"/>
    <s v="CONCESIONARIA VIAL DEL SUR S.A.- COVISUR S.A."/>
    <x v="0"/>
    <s v="FACTURA"/>
    <s v="F214"/>
    <n v="2083991"/>
    <n v="6.78"/>
    <s v=""/>
    <n v="1.2203999999999999"/>
    <s v=""/>
    <n v="0"/>
    <n v="8"/>
    <m/>
    <m/>
    <m/>
    <m/>
    <s v="24601"/>
    <s v="63.1.1.3.03"/>
    <s v="Peaje 24601"/>
    <x v="7"/>
  </r>
  <r>
    <s v="25/06/2025"/>
    <x v="0"/>
    <s v="001"/>
    <s v="06_000329"/>
    <x v="1"/>
    <s v="91.06.01"/>
    <s v="Operaciones"/>
    <s v="Insumos / materiales"/>
    <s v="20455841357"/>
    <s v="NEGOCIACIONES MULTIPLES D.E.M. &amp; LAS GEMELITAS SOCIEDAD COMERCIAL DE RESPONSABILIDAD LIMITADA"/>
    <x v="0"/>
    <s v="FACTURA"/>
    <s v="F001"/>
    <n v="947"/>
    <n v="5.51"/>
    <s v=""/>
    <n v="0.9917999999999999"/>
    <s v=""/>
    <n v="0"/>
    <n v="6.5"/>
    <m/>
    <m/>
    <m/>
    <m/>
    <m/>
    <s v="65.6.1.1.03"/>
    <s v="Insumos / materiales"/>
    <x v="22"/>
  </r>
  <r>
    <s v="17/06/2025"/>
    <x v="0"/>
    <s v="001"/>
    <s v="06_000330"/>
    <x v="0"/>
    <s v="94.07"/>
    <s v="Sistemas y TI"/>
    <s v="Mantenimiento de software RQ.STI.092"/>
    <s v="10802636143"/>
    <s v="NARVAEZ PACHECO JUAN SERGIO"/>
    <x v="0"/>
    <s v="FACTURA"/>
    <s v="E001"/>
    <n v="423"/>
    <n v="118.64"/>
    <s v=""/>
    <n v="21.3552"/>
    <s v=""/>
    <n v="0"/>
    <n v="140"/>
    <m/>
    <m/>
    <m/>
    <m/>
    <m/>
    <s v="63.4.4.1.01"/>
    <s v="Mantenimiento de software RQ.STI.092"/>
    <x v="0"/>
  </r>
  <r>
    <s v="25/06/2025"/>
    <x v="0"/>
    <s v="001"/>
    <s v="06_000331"/>
    <x v="1"/>
    <s v="91.06.01"/>
    <s v="Operaciones"/>
    <s v="Mantenimiento de Equipos RQ.OPE.1208"/>
    <s v="20604615594"/>
    <s v="EDTSA GROUP S.A.C."/>
    <x v="0"/>
    <s v="FACTURA"/>
    <s v="E001"/>
    <n v="660"/>
    <n v="565.85"/>
    <s v=""/>
    <n v="101.85299999999999"/>
    <s v=""/>
    <n v="0"/>
    <n v="667.7"/>
    <m/>
    <m/>
    <m/>
    <m/>
    <m/>
    <s v="63.4.3.4.02"/>
    <s v="Mantenimiento de Equipos RQ.OPE.1208"/>
    <x v="24"/>
  </r>
  <r>
    <s v="11/06/2025"/>
    <x v="0"/>
    <s v="001"/>
    <s v="06_000332"/>
    <x v="1"/>
    <s v="91.06.01"/>
    <s v="Operaciones"/>
    <s v="Mantenimiento de Equipos RQ.OPE.1208"/>
    <s v="20604615594"/>
    <s v="EDTSA GROUP S.A.C."/>
    <x v="0"/>
    <s v="FACTURA"/>
    <s v="E001"/>
    <n v="650"/>
    <n v="565.85"/>
    <s v=""/>
    <n v="101.85299999999999"/>
    <s v=""/>
    <n v="0"/>
    <n v="667.7"/>
    <m/>
    <m/>
    <m/>
    <m/>
    <m/>
    <s v="63.4.3.4.02"/>
    <s v="Mantenimiento de Equipos RQ.OPE.1208"/>
    <x v="24"/>
  </r>
  <r>
    <s v="27/06/2025"/>
    <x v="0"/>
    <s v="001"/>
    <s v="06_000333"/>
    <x v="1"/>
    <s v="91.05.01"/>
    <s v="Residuos Aprovechables"/>
    <s v="RRSS OC 218"/>
    <s v="20100055237"/>
    <s v="ALICORP SAA"/>
    <x v="0"/>
    <s v="FACTURA"/>
    <s v="F313"/>
    <n v="6528"/>
    <n v="100"/>
    <s v=""/>
    <n v="18"/>
    <s v=""/>
    <n v="0"/>
    <n v="118"/>
    <s v="274253099"/>
    <s v="1/07/2025"/>
    <m/>
    <m/>
    <m/>
    <s v="60.2.1.1"/>
    <s v="RRSS OC 218"/>
    <x v="6"/>
  </r>
  <r>
    <s v="27/06/2025"/>
    <x v="0"/>
    <s v="001"/>
    <s v="06_000334"/>
    <x v="1"/>
    <s v="91.05.01"/>
    <s v="Residuos Aprovechables"/>
    <s v="RRSS OC 219"/>
    <s v="20100055237"/>
    <s v="ALICORP SAA"/>
    <x v="0"/>
    <s v="FACTURA"/>
    <s v="F313"/>
    <n v="6529"/>
    <n v="15"/>
    <s v=""/>
    <n v="2.6999999999999997"/>
    <s v=""/>
    <n v="0"/>
    <n v="17.7"/>
    <s v="274253100"/>
    <s v="1/07/2025"/>
    <m/>
    <m/>
    <m/>
    <s v="60.2.1.1"/>
    <s v="RRSS OC 219"/>
    <x v="6"/>
  </r>
  <r>
    <s v="27/06/2025"/>
    <x v="0"/>
    <s v="001"/>
    <s v="06_000335"/>
    <x v="1"/>
    <s v="91.05.01"/>
    <s v="Residuos Aprovechables"/>
    <s v="RRSS OC 220"/>
    <s v="20100055237"/>
    <s v="ALICORP SAA"/>
    <x v="0"/>
    <s v="FACTURA"/>
    <s v="F313"/>
    <n v="6526"/>
    <n v="216"/>
    <s v=""/>
    <n v="38.879999999999995"/>
    <s v=""/>
    <n v="0"/>
    <n v="254.88"/>
    <s v="274253101"/>
    <s v="1/07/2025"/>
    <m/>
    <m/>
    <m/>
    <s v="60.2.1.1"/>
    <s v="RRSS OC 220"/>
    <x v="6"/>
  </r>
  <r>
    <s v="27/06/2025"/>
    <x v="0"/>
    <s v="001"/>
    <s v="06_000336"/>
    <x v="1"/>
    <s v="91.05.01"/>
    <s v="Residuos Aprovechables"/>
    <s v="RRSS OC 221"/>
    <s v="20100055237"/>
    <s v="ALICORP SAA"/>
    <x v="0"/>
    <s v="FACTURA"/>
    <s v="F313"/>
    <n v="6521"/>
    <n v="732"/>
    <s v=""/>
    <n v="131.76"/>
    <s v=""/>
    <n v="0"/>
    <n v="863.76"/>
    <s v="274253102"/>
    <s v="1/07/2025"/>
    <m/>
    <m/>
    <m/>
    <s v="60.2.1.1"/>
    <s v="RRSS OC 221"/>
    <x v="6"/>
  </r>
  <r>
    <s v="27/06/2025"/>
    <x v="0"/>
    <s v="001"/>
    <s v="06_000337"/>
    <x v="1"/>
    <s v="91.05.01"/>
    <s v="Residuos Aprovechables"/>
    <s v="RRSS OC 222"/>
    <s v="20100055237"/>
    <s v="ALICORP SAA"/>
    <x v="0"/>
    <s v="FACTURA"/>
    <s v="F313"/>
    <n v="6527"/>
    <n v="342"/>
    <s v=""/>
    <n v="61.559999999999995"/>
    <s v=""/>
    <n v="0"/>
    <n v="403.56"/>
    <s v="274253103"/>
    <s v="1/07/2025"/>
    <m/>
    <m/>
    <m/>
    <s v="60.2.1.1"/>
    <s v="RRSS OC 222"/>
    <x v="6"/>
  </r>
  <r>
    <s v="27/06/2025"/>
    <x v="0"/>
    <s v="001"/>
    <s v="06_000338"/>
    <x v="1"/>
    <s v="91.05.01"/>
    <s v="Residuos Aprovechables"/>
    <s v="RRSS OC 217"/>
    <s v="20100055237"/>
    <s v="ALICORP SAA"/>
    <x v="0"/>
    <s v="FACTURA"/>
    <s v="F313"/>
    <n v="6524"/>
    <n v="518.75"/>
    <s v=""/>
    <n v="93.375"/>
    <s v=""/>
    <n v="0"/>
    <n v="612.13"/>
    <s v="274253104"/>
    <s v="1/07/2025"/>
    <m/>
    <m/>
    <m/>
    <s v="60.2.1.1"/>
    <s v="RRSS OC 217"/>
    <x v="6"/>
  </r>
  <r>
    <s v="27/06/2025"/>
    <x v="0"/>
    <s v="001"/>
    <s v="06_000339"/>
    <x v="1"/>
    <s v="91.05.01"/>
    <s v="Residuos Aprovechables"/>
    <s v="RRSS OC 216"/>
    <s v="20100055237"/>
    <s v="ALICORP SAA"/>
    <x v="0"/>
    <s v="FACTURA"/>
    <s v="F313"/>
    <n v="6525"/>
    <n v="11.5"/>
    <s v=""/>
    <n v="2.0699999999999998"/>
    <s v=""/>
    <n v="0"/>
    <n v="13.57"/>
    <s v="274253105"/>
    <s v="1/07/2025"/>
    <m/>
    <m/>
    <m/>
    <s v="60.2.1.1"/>
    <s v="RRSS OC 216"/>
    <x v="6"/>
  </r>
  <r>
    <s v="27/06/2025"/>
    <x v="0"/>
    <s v="001"/>
    <s v="06_000340"/>
    <x v="1"/>
    <s v="91.05.01"/>
    <s v="Residuos Aprovechables"/>
    <s v="RRSS OC 223"/>
    <s v="20100055237"/>
    <s v="ALICORP SAA"/>
    <x v="0"/>
    <s v="FACTURA"/>
    <s v="F313"/>
    <n v="6522"/>
    <n v="148.5"/>
    <s v=""/>
    <n v="26.73"/>
    <s v=""/>
    <n v="0"/>
    <n v="175.23"/>
    <s v="274253106"/>
    <s v="1/07/2025"/>
    <m/>
    <m/>
    <m/>
    <s v="60.2.1.1"/>
    <s v="RRSS OC 223"/>
    <x v="6"/>
  </r>
  <r>
    <s v="27/06/2025"/>
    <x v="0"/>
    <s v="001"/>
    <s v="06_000341"/>
    <x v="1"/>
    <s v="91.05.01"/>
    <s v="Residuos Aprovechables"/>
    <s v="RRSS OC 224"/>
    <s v="20100055237"/>
    <s v="ALICORP SAA"/>
    <x v="0"/>
    <s v="FACTURA"/>
    <s v="F313"/>
    <n v="6523"/>
    <n v="54"/>
    <s v=""/>
    <n v="9.7199999999999989"/>
    <s v=""/>
    <n v="0"/>
    <n v="63.72"/>
    <s v="274253107"/>
    <s v="1/07/2025"/>
    <m/>
    <m/>
    <m/>
    <s v="60.2.1.1"/>
    <s v="RRSS OC 224"/>
    <x v="6"/>
  </r>
  <r>
    <s v="27/06/2025"/>
    <x v="0"/>
    <s v="001"/>
    <s v="06_000342"/>
    <x v="1"/>
    <s v="91.05.01"/>
    <s v="Residuos Aprovechables"/>
    <s v="RRSS OC 225"/>
    <s v="20100055237"/>
    <s v="ALICORP SAA"/>
    <x v="0"/>
    <s v="FACTURA"/>
    <s v="F313"/>
    <n v="6532"/>
    <n v="864"/>
    <s v=""/>
    <n v="155.51999999999998"/>
    <s v=""/>
    <n v="0"/>
    <n v="1019.52"/>
    <s v="274253108"/>
    <s v="1/07/2025"/>
    <m/>
    <m/>
    <m/>
    <s v="60.2.1.1"/>
    <s v="RRSS OC 225"/>
    <x v="6"/>
  </r>
  <r>
    <s v="27/06/2025"/>
    <x v="0"/>
    <s v="001"/>
    <s v="06_000343"/>
    <x v="1"/>
    <s v="91.05.01"/>
    <s v="Residuos Aprovechables"/>
    <s v="RRSS OC 226"/>
    <s v="20100055237"/>
    <s v="ALICORP SAA"/>
    <x v="0"/>
    <s v="FACTURA"/>
    <s v="F313"/>
    <n v="6530"/>
    <n v="473"/>
    <s v=""/>
    <n v="85.14"/>
    <s v=""/>
    <n v="0"/>
    <n v="558.14"/>
    <s v="274253109"/>
    <s v="1/07/2025"/>
    <m/>
    <m/>
    <m/>
    <s v="60.2.1.1"/>
    <s v="RRSS OC 226"/>
    <x v="6"/>
  </r>
  <r>
    <s v="27/06/2025"/>
    <x v="0"/>
    <s v="001"/>
    <s v="06_000344"/>
    <x v="1"/>
    <s v="91.05.01"/>
    <s v="Residuos Aprovechables"/>
    <s v="RRSS OC 227"/>
    <s v="20100055237"/>
    <s v="ALICORP SAA"/>
    <x v="0"/>
    <s v="FACTURA"/>
    <s v="F313"/>
    <n v="6531"/>
    <n v="78"/>
    <s v=""/>
    <n v="14.04"/>
    <s v=""/>
    <n v="0"/>
    <n v="92.04"/>
    <s v="274253110"/>
    <s v="1/07/2025"/>
    <m/>
    <m/>
    <m/>
    <s v="60.2.1.1"/>
    <s v="RRSS OC 227"/>
    <x v="6"/>
  </r>
  <r>
    <s v="24/06/2025"/>
    <x v="0"/>
    <s v="001"/>
    <s v="06_000345"/>
    <x v="1"/>
    <s v="91.05.01"/>
    <s v="Residuos Aprovechables"/>
    <s v="RRSS OC 214"/>
    <s v="20100192064"/>
    <s v="MOLY-COP ADESUR S.A."/>
    <x v="0"/>
    <s v="FACTURA"/>
    <s v="F002"/>
    <n v="16320"/>
    <n v="309.39"/>
    <s v=""/>
    <n v="55.690199999999997"/>
    <s v=""/>
    <n v="0"/>
    <n v="365.07"/>
    <s v="274253111"/>
    <s v="1/07/2025"/>
    <m/>
    <m/>
    <m/>
    <s v="60.2.1.1"/>
    <s v="RRSS OC 214"/>
    <x v="6"/>
  </r>
  <r>
    <s v="23/06/2025"/>
    <x v="0"/>
    <s v="001"/>
    <s v="06_000346"/>
    <x v="1"/>
    <s v="91.05.01"/>
    <s v="Residuos Aprovechables"/>
    <s v="RRSS OC 215"/>
    <s v="20100192064"/>
    <s v="MOLY-COP ADESUR S.A."/>
    <x v="0"/>
    <s v="FACTURA"/>
    <s v="F002"/>
    <n v="16313"/>
    <n v="125.39"/>
    <s v=""/>
    <n v="22.5702"/>
    <s v=""/>
    <n v="0"/>
    <n v="147.94"/>
    <s v="274253112"/>
    <s v="1/07/2025"/>
    <m/>
    <m/>
    <m/>
    <s v="60.2.1.1"/>
    <s v="RRSS OC 215"/>
    <x v="6"/>
  </r>
  <r>
    <s v="27/06/2025"/>
    <x v="0"/>
    <s v="001"/>
    <s v="06_000347"/>
    <x v="1"/>
    <s v="91.06.02.11"/>
    <s v="Tercerizados"/>
    <s v="Balanza 24731"/>
    <s v="20124952850"/>
    <s v="ALIMENTOS Y SERVICIOS AGROPECUARIOS SRL."/>
    <x v="0"/>
    <s v="FACTURA"/>
    <s v="F002"/>
    <n v="133564"/>
    <n v="8.4700000000000006"/>
    <s v=""/>
    <n v="1.5246"/>
    <s v=""/>
    <n v="0"/>
    <n v="10"/>
    <m/>
    <m/>
    <m/>
    <m/>
    <s v="24731"/>
    <s v="63.1.1.7.01"/>
    <s v="Balanza 24731"/>
    <x v="11"/>
  </r>
  <r>
    <s v="27/06/2025"/>
    <x v="0"/>
    <s v="001"/>
    <s v="06_000348"/>
    <x v="1"/>
    <s v="91.06.02.01"/>
    <s v="V9R_903"/>
    <s v="Peaje 24725"/>
    <s v="20517252558"/>
    <s v="CONCESIONARIA VIAL DEL SUR S.A.- COVISUR S.A."/>
    <x v="0"/>
    <s v="FACTURA"/>
    <s v="F211"/>
    <n v="2381218"/>
    <n v="10.17"/>
    <s v=""/>
    <n v="1.8306"/>
    <s v=""/>
    <n v="0"/>
    <n v="12"/>
    <m/>
    <m/>
    <m/>
    <m/>
    <s v="24725"/>
    <s v="63.1.1.3.02"/>
    <s v="Peaje 24725"/>
    <x v="8"/>
  </r>
  <r>
    <s v="27/06/2025"/>
    <x v="0"/>
    <s v="001"/>
    <s v="06_000349"/>
    <x v="1"/>
    <s v="91.06.02.01"/>
    <s v="V9R_903"/>
    <s v="Peaje 24726"/>
    <s v="20517252558"/>
    <s v="CONCESIONARIA VIAL DEL SUR S.A.- COVISUR S.A."/>
    <x v="0"/>
    <s v="FACTURA"/>
    <s v="F213"/>
    <n v="1790717"/>
    <n v="10.17"/>
    <s v=""/>
    <n v="1.8306"/>
    <s v=""/>
    <n v="0"/>
    <n v="12"/>
    <m/>
    <m/>
    <m/>
    <m/>
    <s v="24726"/>
    <s v="63.1.1.3.02"/>
    <s v="Peaje 24726"/>
    <x v="8"/>
  </r>
  <r>
    <s v="26/06/2025"/>
    <x v="0"/>
    <s v="001"/>
    <s v="06_000350"/>
    <x v="1"/>
    <s v="91.06.02.01"/>
    <s v="V9R_903"/>
    <s v="Peaje 24716"/>
    <s v="20517252558"/>
    <s v="CONCESIONARIA VIAL DEL SUR S.A.- COVISUR S.A."/>
    <x v="0"/>
    <s v="FACTURA"/>
    <s v="F211"/>
    <n v="2380136"/>
    <n v="10.17"/>
    <s v=""/>
    <n v="1.8306"/>
    <s v=""/>
    <n v="0"/>
    <n v="12"/>
    <m/>
    <m/>
    <m/>
    <m/>
    <s v="24716"/>
    <s v="63.1.1.3.02"/>
    <s v="Peaje 24716"/>
    <x v="8"/>
  </r>
  <r>
    <s v="26/06/2025"/>
    <x v="0"/>
    <s v="001"/>
    <s v="06_000351"/>
    <x v="1"/>
    <s v="91.06.02.01"/>
    <s v="V9R_903"/>
    <s v="Peaje 24721"/>
    <s v="20517252558"/>
    <s v="CONCESIONARIA VIAL DEL SUR S.A.- COVISUR S.A."/>
    <x v="0"/>
    <s v="FACTURA"/>
    <s v="F214"/>
    <n v="2094639"/>
    <n v="5.09"/>
    <s v=""/>
    <n v="0.9161999999999999"/>
    <s v=""/>
    <n v="0"/>
    <n v="12"/>
    <m/>
    <m/>
    <m/>
    <m/>
    <s v="24721"/>
    <s v="63.1.1.3.02"/>
    <s v="Peaje 24721"/>
    <x v="8"/>
  </r>
  <r>
    <s v="26/06/2025"/>
    <x v="0"/>
    <s v="001"/>
    <s v="06_000351"/>
    <x v="1"/>
    <s v="91.06.02.01"/>
    <s v="V9R_903"/>
    <s v="Peaje 24721"/>
    <s v="20517252558"/>
    <s v="CONCESIONARIA VIAL DEL SUR S.A.- COVISUR S.A."/>
    <x v="0"/>
    <s v="FACTURA"/>
    <s v="F214"/>
    <n v="2094639"/>
    <n v="5.08"/>
    <s v=""/>
    <n v="0.91439999999999999"/>
    <s v=""/>
    <n v="0"/>
    <n v="12"/>
    <m/>
    <m/>
    <m/>
    <m/>
    <s v="24721"/>
    <s v="63.1.1.3.03"/>
    <s v="Peaje 24721"/>
    <x v="7"/>
  </r>
  <r>
    <s v="25/06/2025"/>
    <x v="0"/>
    <s v="001"/>
    <s v="06_000352"/>
    <x v="1"/>
    <s v="91.06.02.01"/>
    <s v="V9R_903"/>
    <s v="Peaje 24701"/>
    <s v="20517252558"/>
    <s v="CONCESIONARIA VIAL DEL SUR S.A.- COVISUR S.A."/>
    <x v="0"/>
    <s v="FACTURA"/>
    <s v="F213"/>
    <n v="1788852"/>
    <n v="10.17"/>
    <s v=""/>
    <n v="1.8306"/>
    <s v=""/>
    <n v="0"/>
    <n v="12"/>
    <m/>
    <m/>
    <m/>
    <m/>
    <s v="24701"/>
    <s v="63.1.1.3.03"/>
    <s v="Peaje 24701"/>
    <x v="7"/>
  </r>
  <r>
    <s v="25/06/2025"/>
    <x v="0"/>
    <s v="001"/>
    <s v="06_000353"/>
    <x v="1"/>
    <s v="91.06.02.01"/>
    <s v="V9R_903"/>
    <s v="Peaje 24700"/>
    <s v="20517252558"/>
    <s v="CONCESIONARIA VIAL DEL SUR S.A.- COVISUR S.A."/>
    <x v="0"/>
    <s v="FACTURA"/>
    <s v="F212"/>
    <n v="1768712"/>
    <n v="10.17"/>
    <s v=""/>
    <n v="1.8306"/>
    <s v=""/>
    <n v="0"/>
    <n v="12"/>
    <m/>
    <m/>
    <m/>
    <m/>
    <s v="24700"/>
    <s v="63.1.1.3.03"/>
    <s v="Peaje 24700"/>
    <x v="7"/>
  </r>
  <r>
    <s v="13/06/2025"/>
    <x v="0"/>
    <s v="001"/>
    <s v="06_000354"/>
    <x v="1"/>
    <s v="91.06.02.04"/>
    <s v="VBB_840"/>
    <s v="Balanza 24573"/>
    <s v="10773382439"/>
    <s v="PAUCAR PRADO ALEXIS LORENZO"/>
    <x v="0"/>
    <s v="FACTURA"/>
    <s v="F001"/>
    <n v="7445"/>
    <n v="11.02"/>
    <s v=""/>
    <n v="1.9835999999999998"/>
    <s v=""/>
    <n v="0"/>
    <n v="13"/>
    <m/>
    <m/>
    <m/>
    <m/>
    <s v="24573"/>
    <s v="63.1.1.7.01"/>
    <s v="Balanza 24573"/>
    <x v="11"/>
  </r>
  <r>
    <s v="09/06/2025"/>
    <x v="0"/>
    <s v="001"/>
    <s v="06_000355"/>
    <x v="1"/>
    <s v="91.06.02.11"/>
    <s v="Tercerizados"/>
    <s v="Balanza 24566"/>
    <s v="10773382439"/>
    <s v="PAUCAR PRADO ALEXIS LORENZO"/>
    <x v="0"/>
    <s v="FACTURA"/>
    <s v="F001"/>
    <n v="7399"/>
    <n v="11.02"/>
    <s v=""/>
    <n v="1.9835999999999998"/>
    <s v=""/>
    <n v="0"/>
    <n v="13"/>
    <m/>
    <m/>
    <m/>
    <m/>
    <s v="24566"/>
    <s v="63.1.1.7.01"/>
    <s v="Balanza 24566"/>
    <x v="11"/>
  </r>
  <r>
    <s v="09/06/2025"/>
    <x v="0"/>
    <s v="001"/>
    <s v="06_000356"/>
    <x v="1"/>
    <s v="91.06.02.11"/>
    <s v="Tercerizados"/>
    <s v="Balanza 24565"/>
    <s v="10773382439"/>
    <s v="PAUCAR PRADO ALEXIS LORENZO"/>
    <x v="0"/>
    <s v="FACTURA"/>
    <s v="F001"/>
    <n v="7400"/>
    <n v="11.02"/>
    <s v=""/>
    <n v="1.9835999999999998"/>
    <s v=""/>
    <n v="0"/>
    <n v="13"/>
    <m/>
    <m/>
    <m/>
    <m/>
    <s v="24565"/>
    <s v="63.1.1.7.01"/>
    <s v="Balanza 24565"/>
    <x v="11"/>
  </r>
  <r>
    <s v="09/06/2025"/>
    <x v="0"/>
    <s v="001"/>
    <s v="06_000357"/>
    <x v="1"/>
    <s v="91.06.02.11"/>
    <s v="Tercerizados"/>
    <s v="Balanza 24564"/>
    <s v="10773382439"/>
    <s v="PAUCAR PRADO ALEXIS LORENZO"/>
    <x v="0"/>
    <s v="FACTURA"/>
    <s v="F001"/>
    <n v="7402"/>
    <n v="11.02"/>
    <s v=""/>
    <n v="1.9835999999999998"/>
    <s v=""/>
    <n v="0"/>
    <n v="13"/>
    <m/>
    <m/>
    <m/>
    <m/>
    <s v="24564"/>
    <s v="63.1.1.7.01"/>
    <s v="Balanza 24564"/>
    <x v="11"/>
  </r>
  <r>
    <s v="24/06/2025"/>
    <x v="0"/>
    <s v="001"/>
    <s v="06_000358"/>
    <x v="1"/>
    <s v="91.06.02.04"/>
    <s v="VBB_840"/>
    <s v="Peaje 24658"/>
    <s v="20550372640"/>
    <s v="RUTAS DE LIMA S.A.C."/>
    <x v="0"/>
    <s v="FACTURA"/>
    <s v="F209"/>
    <n v="1977176"/>
    <n v="12.71"/>
    <s v=""/>
    <n v="2.2878000000000003"/>
    <s v=""/>
    <n v="0"/>
    <n v="15"/>
    <m/>
    <m/>
    <m/>
    <m/>
    <s v="24658"/>
    <s v="63.1.1.3.02"/>
    <s v="Peaje 24658"/>
    <x v="8"/>
  </r>
  <r>
    <s v="23/06/2025"/>
    <x v="0"/>
    <s v="001"/>
    <s v="06_000359"/>
    <x v="1"/>
    <s v="91.06.02.04"/>
    <s v="VBB_840"/>
    <s v="Peaje 24656"/>
    <s v="20550372640"/>
    <s v="RUTAS DE LIMA S.A.C."/>
    <x v="0"/>
    <s v="FACTURA"/>
    <s v="F602"/>
    <n v="3742614"/>
    <n v="12.71"/>
    <s v=""/>
    <n v="2.2878000000000003"/>
    <s v=""/>
    <n v="0"/>
    <n v="15"/>
    <m/>
    <m/>
    <m/>
    <m/>
    <s v="24656"/>
    <s v="63.1.1.3.02"/>
    <s v="Peaje 24656"/>
    <x v="8"/>
  </r>
  <r>
    <s v="24/06/2025"/>
    <x v="0"/>
    <s v="001"/>
    <s v="06_000360"/>
    <x v="1"/>
    <s v="91.06.02.04"/>
    <s v="VBB_840"/>
    <s v="Peaje 24679"/>
    <s v="20550372640"/>
    <s v="RUTAS DE LIMA S.A.C."/>
    <x v="0"/>
    <s v="FACTURA"/>
    <s v="F602"/>
    <n v="3743611"/>
    <n v="12.71"/>
    <s v=""/>
    <n v="2.2878000000000003"/>
    <s v=""/>
    <n v="0"/>
    <n v="15"/>
    <m/>
    <m/>
    <m/>
    <m/>
    <s v="24679"/>
    <s v="63.1.1.3.02"/>
    <s v="Peaje 24679"/>
    <x v="8"/>
  </r>
  <r>
    <s v="20/06/2025"/>
    <x v="0"/>
    <s v="001"/>
    <s v="06_000361"/>
    <x v="1"/>
    <s v="91.06.02.04"/>
    <s v="VBB_840"/>
    <s v="Peaje 24643"/>
    <s v="20550372640"/>
    <s v="RUTAS DE LIMA S.A.C."/>
    <x v="0"/>
    <s v="FACTURA"/>
    <s v="F205"/>
    <n v="595855"/>
    <n v="12.71"/>
    <s v=""/>
    <n v="2.2878000000000003"/>
    <s v=""/>
    <n v="0"/>
    <n v="15"/>
    <m/>
    <m/>
    <m/>
    <m/>
    <s v="24643"/>
    <s v="63.1.1.3.02"/>
    <s v="Peaje 24643"/>
    <x v="8"/>
  </r>
  <r>
    <s v="19/06/2025"/>
    <x v="0"/>
    <s v="001"/>
    <s v="06_000362"/>
    <x v="1"/>
    <s v="91.06.02.04"/>
    <s v="VBB_840"/>
    <s v="Peaje 24622"/>
    <s v="20550372640"/>
    <s v="RUTAS DE LIMA S.A.C."/>
    <x v="0"/>
    <s v="FACTURA"/>
    <s v="F603"/>
    <n v="3033026"/>
    <n v="12.71"/>
    <s v=""/>
    <n v="2.2878000000000003"/>
    <s v=""/>
    <n v="0"/>
    <n v="15"/>
    <m/>
    <m/>
    <m/>
    <m/>
    <s v="24622"/>
    <s v="63.1.1.3.02"/>
    <s v="Peaje 24622"/>
    <x v="8"/>
  </r>
  <r>
    <s v="23/06/2025"/>
    <x v="0"/>
    <s v="001"/>
    <s v="06_000363"/>
    <x v="1"/>
    <s v="91.06.02.04"/>
    <s v="VBB_840"/>
    <s v="Peaje 24655"/>
    <s v="20550372640"/>
    <s v="RUTAS DE LIMA S.A.C."/>
    <x v="0"/>
    <s v="FACTURA"/>
    <s v="F226"/>
    <n v="1256930"/>
    <n v="12.71"/>
    <s v=""/>
    <n v="2.2878000000000003"/>
    <s v=""/>
    <n v="0"/>
    <n v="15"/>
    <m/>
    <m/>
    <m/>
    <m/>
    <s v="24655"/>
    <s v="63.1.1.3.02"/>
    <s v="Peaje 24655"/>
    <x v="8"/>
  </r>
  <r>
    <s v="20/06/2025"/>
    <x v="0"/>
    <s v="001"/>
    <s v="06_000364"/>
    <x v="1"/>
    <s v="91.06.02.04"/>
    <s v="VBB_840"/>
    <s v="Peaje 24644"/>
    <s v="20550372640"/>
    <s v="RUTAS DE LIMA S.A.C."/>
    <x v="0"/>
    <s v="FACTURA"/>
    <s v="F611"/>
    <n v="3166451"/>
    <n v="12.71"/>
    <s v=""/>
    <n v="2.2878000000000003"/>
    <s v=""/>
    <n v="0"/>
    <n v="15"/>
    <m/>
    <m/>
    <m/>
    <m/>
    <s v="24644"/>
    <s v="63.1.1.3.02"/>
    <s v="Peaje 24644"/>
    <x v="8"/>
  </r>
  <r>
    <s v="17/06/2025"/>
    <x v="0"/>
    <s v="001"/>
    <s v="06_000365"/>
    <x v="1"/>
    <s v="91.06.02.04"/>
    <s v="VBB_840"/>
    <s v="Peaje 24619"/>
    <s v="20550372640"/>
    <s v="RUTAS DE LIMA S.A.C."/>
    <x v="0"/>
    <s v="FACTURA"/>
    <s v="F210"/>
    <n v="2181902"/>
    <n v="12.71"/>
    <s v=""/>
    <n v="2.2878000000000003"/>
    <s v=""/>
    <n v="0"/>
    <n v="15"/>
    <m/>
    <m/>
    <m/>
    <m/>
    <s v="24619"/>
    <s v="63.1.1.3.02"/>
    <s v="Peaje 24619"/>
    <x v="8"/>
  </r>
  <r>
    <s v="13/06/2025"/>
    <x v="0"/>
    <s v="001"/>
    <s v="06_000366"/>
    <x v="1"/>
    <s v="91.06.02.04"/>
    <s v="VBB_840"/>
    <s v="Peaje 24572"/>
    <s v="20550372640"/>
    <s v="RUTAS DE LIMA S.A.C."/>
    <x v="0"/>
    <s v="FACTURA"/>
    <s v="F600"/>
    <n v="594139"/>
    <n v="12.71"/>
    <s v=""/>
    <n v="2.2878000000000003"/>
    <s v=""/>
    <n v="0"/>
    <n v="15"/>
    <m/>
    <m/>
    <m/>
    <m/>
    <s v="24572"/>
    <s v="63.1.1.3.02"/>
    <s v="Peaje 24572"/>
    <x v="8"/>
  </r>
  <r>
    <s v="19/06/2025"/>
    <x v="0"/>
    <s v="001"/>
    <s v="06_000367"/>
    <x v="1"/>
    <s v="91.06.02.04"/>
    <s v="VBB_840"/>
    <s v="Peaje 24621"/>
    <s v="20550372640"/>
    <s v="RUTAS DE LIMA S.A.C."/>
    <x v="0"/>
    <s v="FACTURA"/>
    <s v="F205"/>
    <n v="595322"/>
    <n v="12.71"/>
    <s v=""/>
    <n v="2.2878000000000003"/>
    <s v=""/>
    <n v="0"/>
    <n v="15"/>
    <m/>
    <m/>
    <m/>
    <m/>
    <s v="24621"/>
    <s v="63.1.1.3.02"/>
    <s v="Peaje 24621"/>
    <x v="8"/>
  </r>
  <r>
    <s v="17/06/2025"/>
    <x v="0"/>
    <s v="001"/>
    <s v="06_000368"/>
    <x v="1"/>
    <s v="91.06.02.04"/>
    <s v="VBB_840"/>
    <s v="Peaje 24620"/>
    <s v="20550372640"/>
    <s v="RUTAS DE LIMA S.A.C."/>
    <x v="0"/>
    <s v="FACTURA"/>
    <s v="F600"/>
    <n v="595539"/>
    <n v="12.71"/>
    <s v=""/>
    <n v="2.2878000000000003"/>
    <s v=""/>
    <n v="0"/>
    <n v="15"/>
    <m/>
    <m/>
    <m/>
    <m/>
    <s v="24620"/>
    <s v="63.1.1.3.02"/>
    <s v="Peaje 24620"/>
    <x v="8"/>
  </r>
  <r>
    <s v="12/06/2025"/>
    <x v="0"/>
    <s v="001"/>
    <s v="06_000369"/>
    <x v="1"/>
    <s v="91.06.02.04"/>
    <s v="VBB_840"/>
    <s v="Peaje 24562"/>
    <s v="20550372640"/>
    <s v="RUTAS DE LIMA S.A.C."/>
    <x v="0"/>
    <s v="FACTURA"/>
    <s v="F603"/>
    <n v="3026311"/>
    <n v="12.71"/>
    <s v=""/>
    <n v="2.2878000000000003"/>
    <s v=""/>
    <n v="0"/>
    <n v="15"/>
    <m/>
    <m/>
    <m/>
    <m/>
    <s v="24562"/>
    <s v="63.1.1.3.02"/>
    <s v="Peaje 24562"/>
    <x v="8"/>
  </r>
  <r>
    <s v="10/06/2025"/>
    <x v="0"/>
    <s v="001"/>
    <s v="06_000370"/>
    <x v="1"/>
    <s v="91.06.02.04"/>
    <s v="VBB_840"/>
    <s v="Peaje 24561"/>
    <s v="20550372640"/>
    <s v="RUTAS DE LIMA S.A.C."/>
    <x v="0"/>
    <s v="FACTURA"/>
    <s v="F203"/>
    <n v="2670444"/>
    <n v="12.71"/>
    <s v=""/>
    <n v="2.2878000000000003"/>
    <s v=""/>
    <n v="0"/>
    <n v="15"/>
    <m/>
    <m/>
    <m/>
    <m/>
    <s v="24561"/>
    <s v="63.1.1.3.02"/>
    <s v="Peaje 24561"/>
    <x v="8"/>
  </r>
  <r>
    <s v="13/06/2025"/>
    <x v="0"/>
    <s v="001"/>
    <s v="06_000371"/>
    <x v="1"/>
    <s v="91.06.02.04"/>
    <s v="VBB_840"/>
    <s v="Peaje 24571"/>
    <s v="20550372640"/>
    <s v="RUTAS DE LIMA S.A.C."/>
    <x v="0"/>
    <s v="FACTURA"/>
    <s v="F206"/>
    <n v="646487"/>
    <n v="12.71"/>
    <s v=""/>
    <n v="2.2878000000000003"/>
    <s v=""/>
    <n v="0"/>
    <n v="15"/>
    <m/>
    <m/>
    <m/>
    <m/>
    <s v="24571"/>
    <s v="63.1.1.3.02"/>
    <s v="Peaje 24571"/>
    <x v="8"/>
  </r>
  <r>
    <s v="12/06/2025"/>
    <x v="0"/>
    <s v="001"/>
    <s v="06_000372"/>
    <x v="1"/>
    <s v="91.06.02.04"/>
    <s v="VBB_840"/>
    <s v="Peaje 24563"/>
    <s v="20550372640"/>
    <s v="RUTAS DE LIMA S.A.C."/>
    <x v="0"/>
    <s v="FACTURA"/>
    <s v="F209"/>
    <n v="1968965"/>
    <n v="12.71"/>
    <s v=""/>
    <n v="2.2878000000000003"/>
    <s v=""/>
    <n v="0"/>
    <n v="15"/>
    <m/>
    <m/>
    <m/>
    <m/>
    <s v="24563"/>
    <s v="63.1.1.3.02"/>
    <s v="Peaje 24563"/>
    <x v="8"/>
  </r>
  <r>
    <s v="09/06/2025"/>
    <x v="0"/>
    <s v="001"/>
    <s v="06_000373"/>
    <x v="1"/>
    <s v="91.06.02.04"/>
    <s v="VBB_840"/>
    <s v="Peaje 24558"/>
    <s v="20550372640"/>
    <s v="RUTAS DE LIMA S.A.C."/>
    <x v="0"/>
    <s v="FACTURA"/>
    <s v="F602"/>
    <n v="3728467"/>
    <n v="12.71"/>
    <s v=""/>
    <n v="2.2878000000000003"/>
    <s v=""/>
    <n v="0"/>
    <n v="15"/>
    <m/>
    <m/>
    <m/>
    <m/>
    <s v="24558"/>
    <s v="63.1.1.3.02"/>
    <s v="Peaje 24558"/>
    <x v="8"/>
  </r>
  <r>
    <s v="05/06/2025"/>
    <x v="0"/>
    <s v="001"/>
    <s v="06_000374"/>
    <x v="1"/>
    <s v="91.06.02.04"/>
    <s v="VBB_840"/>
    <s v="Peaje 24468"/>
    <s v="20550372640"/>
    <s v="RUTAS DE LIMA S.A.C."/>
    <x v="0"/>
    <s v="FACTURA"/>
    <s v="F603"/>
    <n v="3019863"/>
    <n v="12.71"/>
    <s v=""/>
    <n v="2.2878000000000003"/>
    <s v=""/>
    <n v="0"/>
    <n v="15"/>
    <m/>
    <m/>
    <m/>
    <m/>
    <s v="24468"/>
    <s v="63.1.1.3.02"/>
    <s v="Peaje 24468"/>
    <x v="8"/>
  </r>
  <r>
    <s v="10/06/2025"/>
    <x v="0"/>
    <s v="001"/>
    <s v="06_000375"/>
    <x v="1"/>
    <s v="91.06.02.04"/>
    <s v="VBB_840"/>
    <s v="Peaje 24560"/>
    <s v="20550372640"/>
    <s v="RUTAS DE LIMA S.A.C."/>
    <x v="0"/>
    <s v="FACTURA"/>
    <s v="F600"/>
    <n v="592673"/>
    <n v="12.71"/>
    <s v=""/>
    <n v="2.2878000000000003"/>
    <s v=""/>
    <n v="0"/>
    <n v="15"/>
    <m/>
    <m/>
    <m/>
    <m/>
    <s v="24560"/>
    <s v="63.1.1.3.02"/>
    <s v="Peaje 24560"/>
    <x v="8"/>
  </r>
  <r>
    <s v="09/06/2025"/>
    <x v="0"/>
    <s v="001"/>
    <s v="06_000376"/>
    <x v="1"/>
    <s v="91.06.02.04"/>
    <s v="VBB_840"/>
    <s v="Peaje 24559"/>
    <s v="20550372640"/>
    <s v="RUTAS DE LIMA S.A.C."/>
    <x v="0"/>
    <s v="FACTURA"/>
    <s v="F206"/>
    <n v="645342"/>
    <n v="12.71"/>
    <s v=""/>
    <n v="2.2878000000000003"/>
    <s v=""/>
    <n v="0"/>
    <n v="15"/>
    <m/>
    <m/>
    <m/>
    <m/>
    <s v="24559"/>
    <s v="63.1.1.3.02"/>
    <s v="Peaje 24559"/>
    <x v="8"/>
  </r>
  <r>
    <s v="03/06/2025"/>
    <x v="0"/>
    <s v="001"/>
    <s v="06_000377"/>
    <x v="1"/>
    <s v="91.06.02.04"/>
    <s v="VBB_840"/>
    <s v="Peaje 24466"/>
    <s v="20550372640"/>
    <s v="RUTAS DE LIMA S.A.C."/>
    <x v="0"/>
    <s v="FACTURA"/>
    <s v="F604"/>
    <n v="2278917"/>
    <n v="12.71"/>
    <s v=""/>
    <n v="2.2878000000000003"/>
    <s v=""/>
    <n v="0"/>
    <n v="15"/>
    <m/>
    <m/>
    <m/>
    <m/>
    <s v="24466"/>
    <s v="63.1.1.3.02"/>
    <s v="Peaje 24466"/>
    <x v="8"/>
  </r>
  <r>
    <s v="03/06/2025"/>
    <x v="0"/>
    <s v="001"/>
    <s v="06_000378"/>
    <x v="1"/>
    <s v="91.06.02.04"/>
    <s v="VBB_840"/>
    <s v="Peaje 24465"/>
    <s v="20550372640"/>
    <s v="RUTAS DE LIMA S.A.C."/>
    <x v="0"/>
    <s v="FACTURA"/>
    <s v="F226"/>
    <n v="1245176"/>
    <n v="12.71"/>
    <s v=""/>
    <n v="2.2878000000000003"/>
    <s v=""/>
    <n v="0"/>
    <n v="15"/>
    <m/>
    <m/>
    <m/>
    <m/>
    <s v="24465"/>
    <s v="63.1.1.3.02"/>
    <s v="Peaje 24465"/>
    <x v="8"/>
  </r>
  <r>
    <s v="05/06/2025"/>
    <x v="0"/>
    <s v="001"/>
    <s v="06_000379"/>
    <x v="1"/>
    <s v="91.06.02.04"/>
    <s v="VBB_840"/>
    <s v="Peaje 24467"/>
    <s v="20550372640"/>
    <s v="RUTAS DE LIMA S.A.C."/>
    <x v="0"/>
    <s v="FACTURA"/>
    <s v="F207"/>
    <n v="1162433"/>
    <n v="12.71"/>
    <s v=""/>
    <n v="2.2878000000000003"/>
    <s v=""/>
    <n v="0"/>
    <n v="15"/>
    <m/>
    <m/>
    <m/>
    <m/>
    <s v="24467"/>
    <s v="63.1.1.3.02"/>
    <s v="Peaje 24467"/>
    <x v="8"/>
  </r>
  <r>
    <s v="25/06/2025"/>
    <x v="0"/>
    <s v="001"/>
    <s v="06_000380"/>
    <x v="1"/>
    <s v="91.06.01"/>
    <s v="Operaciones"/>
    <s v="Alojamiento 24698"/>
    <s v="10433026492"/>
    <s v="HUAYLLA ARHUIRI FELICITAS"/>
    <x v="1"/>
    <s v="BOLETA DE VENTA"/>
    <s v="001"/>
    <n v="223"/>
    <m/>
    <s v=""/>
    <n v="0"/>
    <s v=""/>
    <n v="100"/>
    <n v="100"/>
    <m/>
    <m/>
    <m/>
    <m/>
    <s v="24698"/>
    <s v="63.1.3.1.01"/>
    <s v="Alojamiento 24698"/>
    <x v="10"/>
  </r>
  <r>
    <s v="27/06/2025"/>
    <x v="0"/>
    <s v="001"/>
    <s v="06_000381"/>
    <x v="1"/>
    <s v="91.06.02.07"/>
    <s v="VDJ_872"/>
    <s v="Peaje 24729"/>
    <s v="20517252558"/>
    <s v="CONCESIONARIA VIAL DEL SUR S.A.- COVISUR S.A."/>
    <x v="0"/>
    <s v="FACTURA"/>
    <s v="F212"/>
    <n v="1770457"/>
    <n v="6.78"/>
    <s v=""/>
    <n v="1.2203999999999999"/>
    <s v=""/>
    <n v="0"/>
    <n v="8"/>
    <m/>
    <m/>
    <m/>
    <m/>
    <s v="24729"/>
    <s v="63.1.1.3.02"/>
    <s v="Peaje 24729"/>
    <x v="8"/>
  </r>
  <r>
    <s v="27/06/2025"/>
    <x v="0"/>
    <s v="001"/>
    <s v="06_000382"/>
    <x v="1"/>
    <s v="91.06.02.07"/>
    <s v="VDJ_872"/>
    <s v="Balanza 24730"/>
    <s v="20124952850"/>
    <s v="ALIMENTOS Y SERVICIOS AGROPECUARIOS SRL."/>
    <x v="0"/>
    <s v="FACTURA"/>
    <s v="F002"/>
    <n v="133518"/>
    <n v="8.4700000000000006"/>
    <s v=""/>
    <n v="1.5246"/>
    <s v=""/>
    <n v="0"/>
    <n v="10"/>
    <m/>
    <m/>
    <m/>
    <m/>
    <s v="24730"/>
    <s v="63.1.1.7.01"/>
    <s v="Balanza 24730"/>
    <x v="11"/>
  </r>
  <r>
    <s v="26/06/2025"/>
    <x v="0"/>
    <s v="001"/>
    <s v="06_000383"/>
    <x v="1"/>
    <s v="91.06.02.02"/>
    <s v="BKK_849"/>
    <s v="Peaje 24719"/>
    <s v="20517252558"/>
    <s v="CONCESIONARIA VIAL DEL SUR S.A.- COVISUR S.A."/>
    <x v="0"/>
    <s v="FACTURA"/>
    <s v="F211"/>
    <n v="2380327"/>
    <n v="6.78"/>
    <s v=""/>
    <n v="1.2203999999999999"/>
    <s v=""/>
    <n v="0"/>
    <n v="8"/>
    <m/>
    <m/>
    <m/>
    <m/>
    <s v="24719"/>
    <s v="63.1.1.3.02"/>
    <s v="Peaje 24719"/>
    <x v="8"/>
  </r>
  <r>
    <s v="26/06/2025"/>
    <x v="0"/>
    <s v="001"/>
    <s v="06_000384"/>
    <x v="1"/>
    <s v="91.06.02.02"/>
    <s v="BKK_849"/>
    <s v="Peaje 24718"/>
    <s v="20517252558"/>
    <s v="CONCESIONARIA VIAL DEL SUR S.A.- COVISUR S.A."/>
    <x v="0"/>
    <s v="FACTURA"/>
    <s v="F314"/>
    <n v="1869371"/>
    <n v="6.53"/>
    <s v=""/>
    <n v="1.1754"/>
    <s v=""/>
    <n v="0"/>
    <n v="7.7"/>
    <m/>
    <m/>
    <m/>
    <m/>
    <s v="24718"/>
    <s v="63.1.1.3.02"/>
    <s v="Peaje 24718"/>
    <x v="8"/>
  </r>
  <r>
    <s v="24/06/2025"/>
    <x v="0"/>
    <s v="001"/>
    <s v="06_000385"/>
    <x v="1"/>
    <s v="91.06.02.02"/>
    <s v="BKK_849"/>
    <s v="Peaje 24672"/>
    <s v="20517216241"/>
    <s v="CARRETERA ANDINA DEL SUR S.A.C."/>
    <x v="0"/>
    <s v="FACTURA"/>
    <s v="F411"/>
    <n v="639832"/>
    <n v="6.53"/>
    <s v=""/>
    <n v="1.1754"/>
    <s v=""/>
    <n v="0"/>
    <n v="7.7"/>
    <m/>
    <m/>
    <m/>
    <m/>
    <s v="24672"/>
    <s v="63.1.1.3.02"/>
    <s v="Peaje 24672"/>
    <x v="8"/>
  </r>
  <r>
    <s v="24/06/2025"/>
    <x v="0"/>
    <s v="001"/>
    <s v="06_000386"/>
    <x v="1"/>
    <s v="91.06.02.02"/>
    <s v="BKK_849"/>
    <s v="Peaje 24671"/>
    <s v="20517216241"/>
    <s v="CARRETERA ANDINA DEL SUR S.A.C."/>
    <x v="0"/>
    <s v="FACTURA"/>
    <s v="F412"/>
    <n v="628839"/>
    <n v="6.53"/>
    <s v=""/>
    <n v="1.1754"/>
    <s v=""/>
    <n v="0"/>
    <n v="7.7"/>
    <m/>
    <m/>
    <m/>
    <m/>
    <s v="24671"/>
    <s v="63.1.1.3.02"/>
    <s v="Peaje 24671"/>
    <x v="8"/>
  </r>
  <r>
    <s v="23/06/2025"/>
    <x v="0"/>
    <s v="001"/>
    <s v="06_000387"/>
    <x v="1"/>
    <s v="91.06.02.02"/>
    <s v="BKK_849"/>
    <s v="Peaje 24665"/>
    <s v="20517252558"/>
    <s v="CONCESIONARIA VIAL DEL SUR S.A.- COVISUR S.A."/>
    <x v="0"/>
    <s v="FACTURA"/>
    <s v="F312"/>
    <n v="441658"/>
    <n v="6.53"/>
    <s v=""/>
    <n v="1.1754"/>
    <s v=""/>
    <n v="0"/>
    <n v="7.7"/>
    <m/>
    <m/>
    <m/>
    <m/>
    <s v="24665"/>
    <s v="63.1.1.3.02"/>
    <s v="Peaje 24665"/>
    <x v="8"/>
  </r>
  <r>
    <s v="24/06/2025"/>
    <x v="0"/>
    <s v="001"/>
    <s v="06_000388"/>
    <x v="1"/>
    <s v="91.06.02.02"/>
    <s v="BKK_849"/>
    <s v="Combustible"/>
    <s v="20485592556"/>
    <s v="SERVICENTRO SANTA MARTHA E.I.R.LTDA."/>
    <x v="0"/>
    <s v="FACTURA"/>
    <s v="F001"/>
    <n v="46261"/>
    <n v="127.12"/>
    <s v=""/>
    <n v="22.881599999999999"/>
    <s v=""/>
    <n v="0"/>
    <n v="150"/>
    <m/>
    <m/>
    <m/>
    <m/>
    <s v="24678"/>
    <s v="65.6.1.1.01"/>
    <s v="Combustible"/>
    <x v="12"/>
  </r>
  <r>
    <s v="16/06/2025"/>
    <x v="0"/>
    <s v="001"/>
    <s v="06_000389"/>
    <x v="1"/>
    <s v="91.06.02.07"/>
    <s v="VDJ_872"/>
    <s v="Balanza 24586"/>
    <s v="20259858934"/>
    <s v="COMERCIALIZACION Y SERVICIOS EL EDEN S.A.C."/>
    <x v="0"/>
    <s v="FACTURA"/>
    <s v="FE01"/>
    <n v="34921"/>
    <n v="8.4700000000000006"/>
    <s v=""/>
    <n v="1.5246"/>
    <s v=""/>
    <n v="0"/>
    <n v="10"/>
    <m/>
    <m/>
    <m/>
    <m/>
    <s v="24586"/>
    <s v="63.1.1.7.02"/>
    <s v="Balanza 24586"/>
    <x v="1"/>
  </r>
  <r>
    <s v="20/06/2025"/>
    <x v="0"/>
    <s v="001"/>
    <s v="06_000390"/>
    <x v="1"/>
    <s v="91.06.02.07"/>
    <s v="VDJ_872"/>
    <s v="Balanza 24639"/>
    <s v="20259858934"/>
    <s v="COMERCIALIZACION Y SERVICIOS EL EDEN S.A.C."/>
    <x v="0"/>
    <s v="FACTURA"/>
    <s v="FE02"/>
    <n v="16711"/>
    <n v="16.95"/>
    <s v=""/>
    <n v="3.0509999999999997"/>
    <s v=""/>
    <n v="0"/>
    <n v="20"/>
    <m/>
    <m/>
    <m/>
    <m/>
    <s v="24639"/>
    <s v="63.1.1.7.01"/>
    <s v="Balanza 24639"/>
    <x v="11"/>
  </r>
  <r>
    <s v="19/06/2025"/>
    <x v="0"/>
    <s v="001"/>
    <s v="06_000391"/>
    <x v="1"/>
    <s v="91.06.02.07"/>
    <s v="VDJ_872"/>
    <s v="Balanza 24618"/>
    <s v="20259858934"/>
    <s v="COMERCIALIZACION Y SERVICIOS EL EDEN S.A.C."/>
    <x v="0"/>
    <s v="FACTURA"/>
    <s v="FE02"/>
    <n v="16708"/>
    <n v="16.95"/>
    <s v=""/>
    <n v="3.0509999999999997"/>
    <s v=""/>
    <n v="0"/>
    <n v="20"/>
    <m/>
    <m/>
    <m/>
    <m/>
    <s v="24618"/>
    <s v="63.1.1.7.01"/>
    <s v="Balanza 24618"/>
    <x v="11"/>
  </r>
  <r>
    <s v="19/06/2025"/>
    <x v="0"/>
    <s v="001"/>
    <s v="06_000392"/>
    <x v="1"/>
    <s v="91.06.02.07"/>
    <s v="VDJ_872"/>
    <s v="Balanza 24617"/>
    <s v="20124952850"/>
    <s v="ALIMENTOS Y SERVICIOS AGROPECUARIOS SRL."/>
    <x v="0"/>
    <s v="FACTURA"/>
    <s v="F002"/>
    <n v="133208"/>
    <n v="8.4700000000000006"/>
    <s v=""/>
    <n v="1.5246"/>
    <s v=""/>
    <n v="0"/>
    <n v="10"/>
    <m/>
    <m/>
    <m/>
    <m/>
    <s v="24617"/>
    <s v="63.1.1.7.01"/>
    <s v="Balanza 24617"/>
    <x v="11"/>
  </r>
  <r>
    <s v="19/06/2025"/>
    <x v="0"/>
    <s v="001"/>
    <s v="06_000393"/>
    <x v="1"/>
    <s v="91.06.02.07"/>
    <s v="VDJ_872"/>
    <s v="Peaje 24616"/>
    <s v="20517252558"/>
    <s v="CONCESIONARIA VIAL DEL SUR S.A.- COVISUR S.A."/>
    <x v="0"/>
    <s v="FACTURA"/>
    <s v="F214"/>
    <n v="2087356"/>
    <n v="6.78"/>
    <s v=""/>
    <n v="1.2203999999999999"/>
    <s v=""/>
    <n v="0"/>
    <n v="8"/>
    <m/>
    <m/>
    <m/>
    <m/>
    <s v="24616"/>
    <s v="63.1.1.3.02"/>
    <s v="Peaje 24616"/>
    <x v="8"/>
  </r>
  <r>
    <s v="19/06/2025"/>
    <x v="0"/>
    <s v="001"/>
    <s v="06_000394"/>
    <x v="1"/>
    <s v="91.06.02.07"/>
    <s v="VDJ_872"/>
    <s v="Peaje 24615"/>
    <s v="20517252558"/>
    <s v="CONCESIONARIA VIAL DEL SUR S.A.- COVISUR S.A."/>
    <x v="0"/>
    <s v="FACTURA"/>
    <s v="F212"/>
    <n v="1763337"/>
    <n v="6.78"/>
    <s v=""/>
    <n v="1.2203999999999999"/>
    <s v=""/>
    <n v="0"/>
    <n v="8"/>
    <m/>
    <m/>
    <m/>
    <m/>
    <s v="24615"/>
    <s v="63.1.1.3.02"/>
    <s v="Peaje 24615"/>
    <x v="8"/>
  </r>
  <r>
    <s v="20/06/2025"/>
    <x v="0"/>
    <s v="001"/>
    <s v="06_000395"/>
    <x v="1"/>
    <s v="91.06.02.07"/>
    <s v="VDJ_872"/>
    <s v="Peaje 24638"/>
    <s v="20517252558"/>
    <s v="CONCESIONARIA VIAL DEL SUR S.A.- COVISUR S.A."/>
    <x v="0"/>
    <s v="FACTURA"/>
    <s v="F211"/>
    <n v="2373153"/>
    <n v="6.78"/>
    <s v=""/>
    <n v="1.2203999999999999"/>
    <s v=""/>
    <n v="0"/>
    <n v="8"/>
    <m/>
    <m/>
    <m/>
    <m/>
    <s v="24638"/>
    <s v="63.1.1.3.02"/>
    <s v="Peaje 24638"/>
    <x v="8"/>
  </r>
  <r>
    <s v="17/06/2025"/>
    <x v="0"/>
    <s v="001"/>
    <s v="06_000396"/>
    <x v="1"/>
    <s v="91.06.02.07"/>
    <s v="VDJ_872"/>
    <s v="Peaje 24596"/>
    <s v="20517252558"/>
    <s v="CONCESIONARIA VIAL DEL SUR S.A.- COVISUR S.A."/>
    <x v="0"/>
    <s v="FACTURA"/>
    <s v="F213"/>
    <n v="1781167"/>
    <n v="6.78"/>
    <s v=""/>
    <n v="1.2203999999999999"/>
    <s v=""/>
    <n v="0"/>
    <n v="8"/>
    <m/>
    <m/>
    <m/>
    <m/>
    <s v="24596"/>
    <s v="63.1.1.3.02"/>
    <s v="Peaje 24596"/>
    <x v="8"/>
  </r>
  <r>
    <s v="17/06/2025"/>
    <x v="0"/>
    <s v="001"/>
    <s v="06_000397"/>
    <x v="1"/>
    <s v="91.06.02.07"/>
    <s v="VDJ_872"/>
    <s v="Peaje 24594"/>
    <s v="20517252558"/>
    <s v="CONCESIONARIA VIAL DEL SUR S.A.- COVISUR S.A."/>
    <x v="0"/>
    <s v="FACTURA"/>
    <s v="F211"/>
    <n v="2369380"/>
    <n v="6.78"/>
    <s v=""/>
    <n v="1.2203999999999999"/>
    <s v=""/>
    <n v="0"/>
    <n v="8"/>
    <m/>
    <m/>
    <m/>
    <m/>
    <s v="24594"/>
    <s v="63.1.1.3.02"/>
    <s v="Peaje 24594"/>
    <x v="8"/>
  </r>
  <r>
    <s v="17/06/2025"/>
    <x v="0"/>
    <s v="001"/>
    <s v="06_000398"/>
    <x v="1"/>
    <s v="91.06.02.07"/>
    <s v="VDJ_872"/>
    <s v="Peaje 24573"/>
    <s v="20517252558"/>
    <s v="CONCESIONARIA VIAL DEL SUR S.A.- COVISUR S.A."/>
    <x v="0"/>
    <s v="FACTURA"/>
    <s v="F114"/>
    <n v="1075039"/>
    <n v="6.78"/>
    <s v=""/>
    <n v="1.2203999999999999"/>
    <s v=""/>
    <n v="0"/>
    <n v="8"/>
    <m/>
    <m/>
    <m/>
    <m/>
    <s v="24573"/>
    <s v="63.1.1.3.02"/>
    <s v="Peaje 24573"/>
    <x v="8"/>
  </r>
  <r>
    <s v="17/06/2025"/>
    <x v="0"/>
    <s v="001"/>
    <s v="06_000399"/>
    <x v="1"/>
    <s v="91.06.02.07"/>
    <s v="VDJ_872"/>
    <s v="Peaje 24592"/>
    <s v="20517252558"/>
    <s v="CONCESIONARIA VIAL DEL SUR S.A.- COVISUR S.A."/>
    <x v="0"/>
    <s v="FACTURA"/>
    <s v="F111"/>
    <n v="984491"/>
    <n v="6.78"/>
    <s v=""/>
    <n v="1.2203999999999999"/>
    <s v=""/>
    <n v="0"/>
    <n v="8"/>
    <m/>
    <m/>
    <m/>
    <m/>
    <s v="24592"/>
    <s v="63.1.1.3.02"/>
    <s v="Peaje 24592"/>
    <x v="8"/>
  </r>
  <r>
    <s v="26/06/2025"/>
    <x v="0"/>
    <s v="001"/>
    <s v="06_000400"/>
    <x v="0"/>
    <s v="94.04"/>
    <s v="Gestion Humana"/>
    <s v="Exámenes Médicos _ Ingreso RQ.GH.201"/>
    <s v="20517035964"/>
    <s v="SIGSO CONSULTORES LABORALES SOCIEDAD ANONIMA CERRADA - SIGSO CONSULTORES LABORALES S.A.C."/>
    <x v="0"/>
    <s v="FACTURA"/>
    <s v="F200"/>
    <n v="16047"/>
    <n v="106"/>
    <s v=""/>
    <n v="19.079999999999998"/>
    <s v=""/>
    <n v="0"/>
    <n v="125.08"/>
    <m/>
    <m/>
    <m/>
    <m/>
    <m/>
    <s v="62.5.1.2.01"/>
    <s v="Exámenes Médicos _ Ingreso RQ.GH.201"/>
    <x v="25"/>
  </r>
  <r>
    <s v="21/06/2025"/>
    <x v="0"/>
    <s v="001"/>
    <s v="06_000401"/>
    <x v="0"/>
    <m/>
    <m/>
    <m/>
    <s v="20293774308"/>
    <s v="TRACTO CAMIONES USA S.A.C."/>
    <x v="0"/>
    <s v="FACTURA"/>
    <s v="FF20"/>
    <s v="1025"/>
    <n v="112975.42"/>
    <s v=""/>
    <n v="20335.580000000002"/>
    <s v=""/>
    <n v="0"/>
    <n v="133311"/>
    <m/>
    <m/>
    <m/>
    <m/>
    <m/>
    <m/>
    <m/>
    <x v="0"/>
  </r>
  <r>
    <s v="03/06/2025"/>
    <x v="0"/>
    <s v="001"/>
    <s v="06_000402"/>
    <x v="1"/>
    <s v="91.06.01"/>
    <s v="Operaciones"/>
    <s v="Spray cinta 24433"/>
    <s v="10413228722"/>
    <s v="LLAMO FLORES CARLOS MANUEL"/>
    <x v="0"/>
    <s v="FACTURA"/>
    <s v="F001"/>
    <n v="7664"/>
    <n v="55.08"/>
    <s v=""/>
    <n v="9.9143999999999988"/>
    <s v=""/>
    <n v="0"/>
    <n v="65"/>
    <m/>
    <m/>
    <m/>
    <m/>
    <s v="24433"/>
    <s v="65.6.1.1.03"/>
    <s v="Spray cinta 24433"/>
    <x v="22"/>
  </r>
  <r>
    <s v="11/06/2025"/>
    <x v="0"/>
    <s v="001"/>
    <s v="06_000403"/>
    <x v="1"/>
    <s v="91.06.01"/>
    <s v="Operaciones"/>
    <s v="Spray cinta lija de fierro 24549"/>
    <s v="10413228722"/>
    <s v="LLAMO FLORES CARLOS MANUEL"/>
    <x v="0"/>
    <s v="FACTURA"/>
    <s v="F001"/>
    <n v="7693"/>
    <n v="77.540000000000006"/>
    <s v=""/>
    <n v="13.9572"/>
    <s v=""/>
    <n v="0"/>
    <n v="91.5"/>
    <m/>
    <m/>
    <m/>
    <m/>
    <s v="24549"/>
    <s v="65.6.1.1.03"/>
    <s v="Spray cinta lija de fierro 24549"/>
    <x v="22"/>
  </r>
  <r>
    <s v="24/06/2025"/>
    <x v="0"/>
    <s v="001"/>
    <s v="06_000404"/>
    <x v="1"/>
    <s v="91.06.01"/>
    <s v="Operaciones"/>
    <s v="Alojamiento 24676"/>
    <s v="20604583307"/>
    <s v="INVERSIONES OP EXTREMOS SOCIEDAD COMERCIAL DE RESPONSABILIDAD LIMITADA"/>
    <x v="0"/>
    <s v="FACTURA"/>
    <s v="F003"/>
    <n v="312"/>
    <m/>
    <n v="90.91"/>
    <n v="0"/>
    <n v="9.09"/>
    <n v="0"/>
    <n v="100"/>
    <m/>
    <m/>
    <m/>
    <m/>
    <s v="24676"/>
    <s v="63.1.3.1.01"/>
    <s v="Alojamiento 24676"/>
    <x v="10"/>
  </r>
  <r>
    <s v="27/06/2025"/>
    <x v="0"/>
    <s v="001"/>
    <s v="06_000405"/>
    <x v="1"/>
    <s v="91.06.02.10"/>
    <s v="BDQ_458"/>
    <s v="Mantenimiento Correctivos"/>
    <s v="20602810497"/>
    <s v="TRENTO MULTISERVICIOS S.R.L."/>
    <x v="0"/>
    <s v="FACTURA"/>
    <s v="F002"/>
    <n v="20048"/>
    <n v="27.97"/>
    <s v=""/>
    <n v="5.0345999999999993"/>
    <s v=""/>
    <n v="0"/>
    <n v="33"/>
    <m/>
    <m/>
    <m/>
    <m/>
    <m/>
    <s v="63.4.3.2.01"/>
    <s v="Mantenimiento Correctivos"/>
    <x v="5"/>
  </r>
  <r>
    <s v="30/06/2025"/>
    <x v="0"/>
    <s v="001"/>
    <s v="06_000406"/>
    <x v="1"/>
    <s v="91.05.01"/>
    <s v="Residuos Aprovechables"/>
    <s v="RRSS OC 228"/>
    <s v="20454186002"/>
    <s v="ALSUR PERU S.A.C."/>
    <x v="0"/>
    <s v="FACTURA"/>
    <s v="F002"/>
    <n v="628"/>
    <n v="1450.85"/>
    <s v=""/>
    <n v="261.15299999999996"/>
    <s v=""/>
    <n v="0"/>
    <n v="1712"/>
    <s v="275528065"/>
    <s v="10/07/2025"/>
    <m/>
    <m/>
    <m/>
    <s v="60.2.1.1"/>
    <s v="RRSS OC 228"/>
    <x v="6"/>
  </r>
  <r>
    <s v="25/06/2025"/>
    <x v="0"/>
    <s v="001"/>
    <s v="06_000407"/>
    <x v="1"/>
    <s v="91.06.02.07"/>
    <s v="VDJ_872"/>
    <s v="Balanza 24690"/>
    <s v="20259858934"/>
    <s v="COMERCIALIZACION Y SERVICIOS EL EDEN S.A.C."/>
    <x v="0"/>
    <s v="FACTURA"/>
    <s v="FE02"/>
    <n v="16742"/>
    <n v="16.95"/>
    <s v=""/>
    <n v="3.0509999999999997"/>
    <s v=""/>
    <n v="0"/>
    <n v="20"/>
    <m/>
    <m/>
    <m/>
    <m/>
    <s v="24690"/>
    <s v="63.1.1.7.01"/>
    <s v="Balanza 24690"/>
    <x v="11"/>
  </r>
  <r>
    <s v="25/06/2025"/>
    <x v="0"/>
    <s v="001"/>
    <s v="06_000408"/>
    <x v="1"/>
    <s v="91.06.02.07"/>
    <s v="VDJ_872"/>
    <s v="Balanza 24689"/>
    <s v="20259858934"/>
    <s v="COMERCIALIZACION Y SERVICIOS EL EDEN S.A.C."/>
    <x v="0"/>
    <s v="FACTURA"/>
    <s v="FE02"/>
    <n v="16744"/>
    <n v="16.95"/>
    <s v=""/>
    <n v="3.0509999999999997"/>
    <s v=""/>
    <n v="0"/>
    <n v="20"/>
    <m/>
    <m/>
    <m/>
    <m/>
    <s v="24689"/>
    <s v="63.1.1.7.01"/>
    <s v="Balanza 24689"/>
    <x v="11"/>
  </r>
  <r>
    <s v="23/06/2025"/>
    <x v="0"/>
    <s v="001"/>
    <s v="06_000409"/>
    <x v="1"/>
    <s v="91.06.02.07"/>
    <s v="VDJ_872"/>
    <s v="Balanza 24647"/>
    <s v="20454058187"/>
    <s v="ZONA ESPECIAL DE DESARROLLO ZED MATARANI"/>
    <x v="0"/>
    <s v="FACTURA"/>
    <s v="F001"/>
    <n v="17806"/>
    <m/>
    <s v=""/>
    <n v="0"/>
    <s v=""/>
    <n v="11"/>
    <n v="11"/>
    <m/>
    <m/>
    <m/>
    <m/>
    <s v="24647"/>
    <s v="63.1.1.7.01"/>
    <s v="Balanza 24647"/>
    <x v="11"/>
  </r>
  <r>
    <s v="30/06/2025"/>
    <x v="0"/>
    <s v="001"/>
    <s v="06_000410"/>
    <x v="1"/>
    <s v="91.06.02.01"/>
    <s v="V9R_903"/>
    <s v="Peaje 24755"/>
    <s v="20517252558"/>
    <s v="CONCESIONARIA VIAL DEL SUR S.A.- COVISUR S.A."/>
    <x v="0"/>
    <s v="FACTURA"/>
    <s v="F213"/>
    <n v="1793367"/>
    <n v="10.17"/>
    <s v=""/>
    <n v="1.8306"/>
    <s v=""/>
    <n v="0"/>
    <n v="12"/>
    <m/>
    <m/>
    <m/>
    <m/>
    <s v="24755"/>
    <s v="63.1.1.3.02"/>
    <s v="Peaje 24755"/>
    <x v="8"/>
  </r>
  <r>
    <s v="30/06/2025"/>
    <x v="0"/>
    <s v="001"/>
    <s v="06_000411"/>
    <x v="1"/>
    <s v="91.06.02.01"/>
    <s v="V9R_903"/>
    <s v="Peaje 24754"/>
    <s v="20517252558"/>
    <s v="CONCESIONARIA VIAL DEL SUR S.A.- COVISUR S.A."/>
    <x v="0"/>
    <s v="FACTURA"/>
    <s v="F212"/>
    <n v="1773178"/>
    <n v="10.17"/>
    <s v=""/>
    <n v="1.8306"/>
    <s v=""/>
    <n v="0"/>
    <n v="12"/>
    <m/>
    <m/>
    <m/>
    <m/>
    <s v="24754"/>
    <s v="63.1.1.3.02"/>
    <s v="Peaje 24754"/>
    <x v="8"/>
  </r>
  <r>
    <s v="30/06/2025"/>
    <x v="0"/>
    <s v="001"/>
    <s v="06_000412"/>
    <x v="1"/>
    <s v="91.06.02.07"/>
    <s v="VDJ_872"/>
    <s v="Peaje 24746"/>
    <s v="20517252558"/>
    <s v="CONCESIONARIA VIAL DEL SUR S.A.- COVISUR S.A."/>
    <x v="0"/>
    <s v="FACTURA"/>
    <s v="F212"/>
    <n v="1773171"/>
    <n v="6.78"/>
    <s v=""/>
    <n v="1.2203999999999999"/>
    <s v=""/>
    <n v="0"/>
    <n v="8"/>
    <m/>
    <m/>
    <m/>
    <m/>
    <s v="24746"/>
    <s v="63.1.1.3.02"/>
    <s v="Peaje 24746"/>
    <x v="8"/>
  </r>
  <r>
    <s v="30/06/2025"/>
    <x v="0"/>
    <s v="001"/>
    <s v="06_000413"/>
    <x v="1"/>
    <s v="91.06.02.07"/>
    <s v="VDJ_872"/>
    <s v="Peaje 24745"/>
    <s v="20517252558"/>
    <s v="CONCESIONARIA VIAL DEL SUR S.A.- COVISUR S.A."/>
    <x v="0"/>
    <s v="FACTURA"/>
    <s v="F213"/>
    <n v="1793223"/>
    <n v="6.78"/>
    <s v=""/>
    <n v="1.2203999999999999"/>
    <s v=""/>
    <n v="0"/>
    <n v="8"/>
    <m/>
    <m/>
    <m/>
    <m/>
    <s v="24745"/>
    <s v="63.1.1.3.02"/>
    <s v="Peaje 24745"/>
    <x v="8"/>
  </r>
  <r>
    <s v="25/06/2025"/>
    <x v="0"/>
    <s v="001"/>
    <s v="06_000414"/>
    <x v="1"/>
    <s v="91.06.02.07"/>
    <s v="VDJ_872"/>
    <s v="Peaje 24688"/>
    <s v="20517252558"/>
    <s v="CONCESIONARIA VIAL DEL SUR S.A.- COVISUR S.A."/>
    <x v="0"/>
    <s v="FACTURA"/>
    <s v="F212"/>
    <n v="1768506"/>
    <n v="6.78"/>
    <s v=""/>
    <n v="1.2203999999999999"/>
    <s v=""/>
    <n v="0"/>
    <n v="8"/>
    <m/>
    <m/>
    <m/>
    <m/>
    <s v="24688"/>
    <s v="63.1.1.3.02"/>
    <s v="Peaje 24688"/>
    <x v="8"/>
  </r>
  <r>
    <s v="23/06/2025"/>
    <x v="0"/>
    <s v="001"/>
    <s v="06_000415"/>
    <x v="1"/>
    <s v="91.06.02.07"/>
    <s v="VDJ_872"/>
    <s v="Peaje 24651"/>
    <s v="20517252558"/>
    <s v="CONCESIONARIA VIAL DEL SUR S.A.- COVISUR S.A."/>
    <x v="0"/>
    <s v="FACTURA"/>
    <s v="F114"/>
    <n v="1078975"/>
    <n v="6.78"/>
    <s v=""/>
    <n v="1.2203999999999999"/>
    <s v=""/>
    <n v="0"/>
    <n v="8"/>
    <m/>
    <m/>
    <m/>
    <m/>
    <s v="24651"/>
    <s v="63.1.1.3.02"/>
    <s v="Peaje 24651"/>
    <x v="8"/>
  </r>
  <r>
    <s v="23/06/2025"/>
    <x v="0"/>
    <s v="001"/>
    <s v="06_000416"/>
    <x v="1"/>
    <s v="91.06.02.07"/>
    <s v="VDJ_872"/>
    <s v="Peaje 24646"/>
    <s v="20517252558"/>
    <s v="CONCESIONARIA VIAL DEL SUR S.A.- COVISUR S.A."/>
    <x v="0"/>
    <s v="FACTURA"/>
    <s v="F112"/>
    <n v="483731"/>
    <n v="6.78"/>
    <s v=""/>
    <n v="1.2203999999999999"/>
    <s v=""/>
    <n v="0"/>
    <n v="8"/>
    <m/>
    <m/>
    <m/>
    <m/>
    <s v="24646"/>
    <s v="63.1.1.3.02"/>
    <s v="Peaje 24646"/>
    <x v="8"/>
  </r>
  <r>
    <s v="23/06/2025"/>
    <x v="0"/>
    <s v="001"/>
    <s v="06_000417"/>
    <x v="1"/>
    <s v="91.06.02.07"/>
    <s v="VDJ_872"/>
    <s v="Peaje 24645"/>
    <s v="20517252558"/>
    <s v="CONCESIONARIA VIAL DEL SUR S.A.- COVISUR S.A."/>
    <x v="0"/>
    <s v="FACTURA"/>
    <s v="F212"/>
    <n v="1766579"/>
    <n v="6.78"/>
    <s v=""/>
    <n v="1.2203999999999999"/>
    <s v=""/>
    <n v="0"/>
    <n v="8"/>
    <m/>
    <m/>
    <m/>
    <m/>
    <s v="24645"/>
    <s v="63.1.1.3.02"/>
    <s v="Peaje 24645"/>
    <x v="8"/>
  </r>
  <r>
    <s v="30/06/2025"/>
    <x v="0"/>
    <s v="001"/>
    <s v="06_000418"/>
    <x v="1"/>
    <s v="91.06.02.03"/>
    <s v="BKL_739"/>
    <s v="Peaje 24749"/>
    <s v="20517252558"/>
    <s v="CONCESIONARIA VIAL DEL SUR S.A.- COVISUR S.A."/>
    <x v="0"/>
    <s v="FACTURA"/>
    <s v="F214"/>
    <n v="2098923"/>
    <n v="3.39"/>
    <s v=""/>
    <n v="0.61019999999999996"/>
    <s v=""/>
    <n v="0"/>
    <n v="8"/>
    <m/>
    <m/>
    <m/>
    <m/>
    <s v="24749"/>
    <s v="63.1.1.3.02"/>
    <s v="Peaje 24749"/>
    <x v="8"/>
  </r>
  <r>
    <s v="30/06/2025"/>
    <x v="0"/>
    <s v="001"/>
    <s v="06_000418"/>
    <x v="1"/>
    <s v="91.06.02.03"/>
    <s v="BKL_739"/>
    <s v="Peaje 24749"/>
    <s v="20517252558"/>
    <s v="CONCESIONARIA VIAL DEL SUR S.A.- COVISUR S.A."/>
    <x v="0"/>
    <s v="FACTURA"/>
    <s v="F214"/>
    <n v="2098923"/>
    <n v="3.39"/>
    <s v=""/>
    <n v="0.61019999999999996"/>
    <s v=""/>
    <n v="0"/>
    <n v="8"/>
    <m/>
    <m/>
    <m/>
    <m/>
    <s v="24749"/>
    <s v="63.1.1.3.03"/>
    <s v="Peaje 24749"/>
    <x v="7"/>
  </r>
  <r>
    <s v="30/06/2025"/>
    <x v="0"/>
    <s v="001"/>
    <s v="06_000419"/>
    <x v="1"/>
    <s v="91.06.02.03"/>
    <s v="BKL_739"/>
    <s v="Peaje 24743"/>
    <s v="20517252558"/>
    <s v="CONCESIONARIA VIAL DEL SUR S.A.- COVISUR S.A."/>
    <x v="0"/>
    <s v="FACTURA"/>
    <s v="F211"/>
    <n v="2384256"/>
    <n v="3.39"/>
    <s v=""/>
    <n v="0.61019999999999996"/>
    <s v=""/>
    <n v="0"/>
    <n v="8"/>
    <m/>
    <m/>
    <m/>
    <m/>
    <s v="24743"/>
    <s v="63.1.1.3.02"/>
    <s v="Peaje 24743"/>
    <x v="8"/>
  </r>
  <r>
    <s v="30/06/2025"/>
    <x v="0"/>
    <s v="001"/>
    <s v="06_000419"/>
    <x v="1"/>
    <s v="91.06.02.03"/>
    <s v="BKL_739"/>
    <s v="Peaje 24743"/>
    <s v="20517252558"/>
    <s v="CONCESIONARIA VIAL DEL SUR S.A.- COVISUR S.A."/>
    <x v="0"/>
    <s v="FACTURA"/>
    <s v="F211"/>
    <n v="2384256"/>
    <n v="3.39"/>
    <s v=""/>
    <n v="0.61019999999999996"/>
    <s v=""/>
    <n v="0"/>
    <n v="8"/>
    <m/>
    <m/>
    <m/>
    <m/>
    <s v="24743"/>
    <s v="63.1.1.3.03"/>
    <s v="Peaje 24743"/>
    <x v="7"/>
  </r>
  <r>
    <s v="27/06/2025"/>
    <x v="0"/>
    <s v="001"/>
    <s v="06_000420"/>
    <x v="1"/>
    <s v="91.06.02.03"/>
    <s v="BKL_739"/>
    <s v="Peaje 24739"/>
    <s v="20517252558"/>
    <s v="CONCESIONARIA VIAL DEL SUR S.A.- COVISUR S.A."/>
    <x v="0"/>
    <s v="FACTURA"/>
    <s v="F214"/>
    <n v="2095899"/>
    <n v="3.39"/>
    <s v=""/>
    <n v="0.61019999999999996"/>
    <s v=""/>
    <n v="0"/>
    <n v="8"/>
    <m/>
    <m/>
    <m/>
    <m/>
    <s v="24739"/>
    <s v="63.1.1.3.02"/>
    <s v="Peaje 24739"/>
    <x v="8"/>
  </r>
  <r>
    <s v="27/06/2025"/>
    <x v="0"/>
    <s v="001"/>
    <s v="06_000420"/>
    <x v="1"/>
    <s v="91.06.02.03"/>
    <s v="BKL_739"/>
    <s v="Peaje 24739"/>
    <s v="20517252558"/>
    <s v="CONCESIONARIA VIAL DEL SUR S.A.- COVISUR S.A."/>
    <x v="0"/>
    <s v="FACTURA"/>
    <s v="F214"/>
    <n v="2095899"/>
    <n v="3.39"/>
    <s v=""/>
    <n v="0.61019999999999996"/>
    <s v=""/>
    <n v="0"/>
    <n v="8"/>
    <m/>
    <m/>
    <m/>
    <m/>
    <s v="24739"/>
    <s v="63.1.1.3.03"/>
    <s v="Peaje 24739"/>
    <x v="7"/>
  </r>
  <r>
    <s v="27/06/2025"/>
    <x v="0"/>
    <s v="001"/>
    <s v="06_000421"/>
    <x v="1"/>
    <s v="91.06.02.03"/>
    <s v="BKL_739"/>
    <s v="Peaje 24738"/>
    <s v="20517252558"/>
    <s v="CONCESIONARIA VIAL DEL SUR S.A.- COVISUR S.A."/>
    <x v="0"/>
    <s v="FACTURA"/>
    <s v="F211"/>
    <n v="2381263"/>
    <n v="3.39"/>
    <s v=""/>
    <n v="0.61019999999999996"/>
    <s v=""/>
    <n v="0"/>
    <n v="8"/>
    <m/>
    <m/>
    <m/>
    <m/>
    <s v="24738"/>
    <s v="63.1.1.3.02"/>
    <s v="Peaje 24738"/>
    <x v="8"/>
  </r>
  <r>
    <s v="27/06/2025"/>
    <x v="0"/>
    <s v="001"/>
    <s v="06_000421"/>
    <x v="1"/>
    <s v="91.06.02.03"/>
    <s v="BKL_739"/>
    <s v="Peaje 24738"/>
    <s v="20517252558"/>
    <s v="CONCESIONARIA VIAL DEL SUR S.A.- COVISUR S.A."/>
    <x v="0"/>
    <s v="FACTURA"/>
    <s v="F211"/>
    <n v="2381263"/>
    <n v="3.39"/>
    <s v=""/>
    <n v="0.61019999999999996"/>
    <s v=""/>
    <n v="0"/>
    <n v="8"/>
    <m/>
    <m/>
    <m/>
    <m/>
    <s v="24738"/>
    <s v="63.1.1.3.03"/>
    <s v="Peaje 24738"/>
    <x v="7"/>
  </r>
  <r>
    <s v="26/06/2025"/>
    <x v="0"/>
    <s v="001"/>
    <s v="06_000422"/>
    <x v="1"/>
    <s v="91.06.02.03"/>
    <s v="BKL_739"/>
    <s v="Peaje 24727"/>
    <s v="20517252558"/>
    <s v="CONCESIONARIA VIAL DEL SUR S.A.- COVISUR S.A."/>
    <x v="0"/>
    <s v="FACTURA"/>
    <s v="F214"/>
    <n v="2094717"/>
    <n v="3.39"/>
    <s v=""/>
    <n v="0.61019999999999996"/>
    <s v=""/>
    <n v="0"/>
    <n v="8"/>
    <m/>
    <m/>
    <m/>
    <m/>
    <s v="24737"/>
    <s v="63.1.1.3.02"/>
    <s v="Peaje 24727"/>
    <x v="8"/>
  </r>
  <r>
    <s v="26/06/2025"/>
    <x v="0"/>
    <s v="001"/>
    <s v="06_000422"/>
    <x v="1"/>
    <s v="91.06.02.03"/>
    <s v="BKL_739"/>
    <s v="Peaje 24727"/>
    <s v="20517252558"/>
    <s v="CONCESIONARIA VIAL DEL SUR S.A.- COVISUR S.A."/>
    <x v="0"/>
    <s v="FACTURA"/>
    <s v="F214"/>
    <n v="2094717"/>
    <n v="3.39"/>
    <s v=""/>
    <n v="0.61019999999999996"/>
    <s v=""/>
    <n v="0"/>
    <n v="8"/>
    <m/>
    <m/>
    <m/>
    <m/>
    <s v="24737"/>
    <s v="63.1.1.3.03"/>
    <s v="Peaje 24727"/>
    <x v="7"/>
  </r>
  <r>
    <s v="23/06/2025"/>
    <x v="0"/>
    <s v="001"/>
    <s v="06_000423"/>
    <x v="1"/>
    <s v="91.06.02.03"/>
    <s v="BKL_739"/>
    <s v="Peaje 24735"/>
    <s v="20517252558"/>
    <s v="CONCESIONARIA VIAL DEL SUR S.A.- COVISUR S.A."/>
    <x v="0"/>
    <s v="FACTURA"/>
    <s v="F211"/>
    <n v="2376263"/>
    <n v="6.78"/>
    <s v=""/>
    <n v="1.2203999999999999"/>
    <s v=""/>
    <n v="0"/>
    <n v="8"/>
    <m/>
    <m/>
    <m/>
    <m/>
    <s v="24735"/>
    <s v="63.1.1.3.03"/>
    <s v="Peaje 24735"/>
    <x v="7"/>
  </r>
  <r>
    <s v="26/06/2025"/>
    <x v="0"/>
    <s v="001"/>
    <s v="06_000424"/>
    <x v="1"/>
    <s v="91.06.02.07"/>
    <s v="VDJ_872"/>
    <s v="Balanza 24717"/>
    <s v="20259858934"/>
    <s v="COMERCIALIZACION Y SERVICIOS EL EDEN S.A.C."/>
    <x v="0"/>
    <s v="FACTURA"/>
    <s v="FE01"/>
    <n v="35010"/>
    <n v="8.4700000000000006"/>
    <s v=""/>
    <n v="1.5246"/>
    <s v=""/>
    <n v="0"/>
    <n v="10"/>
    <m/>
    <m/>
    <m/>
    <m/>
    <s v="24717"/>
    <s v="63.1.1.7.02"/>
    <s v="Balanza 24717"/>
    <x v="1"/>
  </r>
  <r>
    <s v="30/06/2025"/>
    <x v="0"/>
    <s v="001"/>
    <s v="06_000425"/>
    <x v="1"/>
    <s v="91.06.02.02"/>
    <s v="BKK_849"/>
    <s v="Peaje 24752"/>
    <s v="20517252558"/>
    <s v="CONCESIONARIA VIAL DEL SUR S.A.- COVISUR S.A."/>
    <x v="0"/>
    <s v="FACTURA"/>
    <s v="F212"/>
    <n v="1772957"/>
    <n v="3.39"/>
    <s v=""/>
    <n v="0.61019999999999996"/>
    <s v=""/>
    <n v="0"/>
    <n v="8"/>
    <m/>
    <m/>
    <m/>
    <m/>
    <s v="24752"/>
    <s v="63.1.1.3.02"/>
    <s v="Peaje 24752"/>
    <x v="8"/>
  </r>
  <r>
    <s v="30/06/2025"/>
    <x v="0"/>
    <s v="001"/>
    <s v="06_000425"/>
    <x v="1"/>
    <s v="91.06.02.02"/>
    <s v="BKK_849"/>
    <s v="Peaje 24752"/>
    <s v="20517252558"/>
    <s v="CONCESIONARIA VIAL DEL SUR S.A.- COVISUR S.A."/>
    <x v="0"/>
    <s v="FACTURA"/>
    <s v="F212"/>
    <n v="1772957"/>
    <n v="3.39"/>
    <s v=""/>
    <n v="0.61019999999999996"/>
    <s v=""/>
    <n v="0"/>
    <n v="8"/>
    <m/>
    <m/>
    <m/>
    <m/>
    <s v="24752"/>
    <s v="63.1.1.3.03"/>
    <s v="Peaje 24752"/>
    <x v="7"/>
  </r>
  <r>
    <s v="26/06/2025"/>
    <x v="0"/>
    <s v="001"/>
    <s v="06_000426"/>
    <x v="1"/>
    <s v="91.06.01"/>
    <s v="Operaciones"/>
    <s v="Impresión de fichas de servicio / Check List RQ.OPE.1240 OS 006 _ 149"/>
    <s v="10296695781"/>
    <s v="BUSTAMANTE HERRERA NESTOR MOISES"/>
    <x v="0"/>
    <s v="FACTURA"/>
    <s v="E001"/>
    <n v="745"/>
    <n v="245.76"/>
    <s v=""/>
    <n v="44.236799999999995"/>
    <s v=""/>
    <n v="0"/>
    <n v="290"/>
    <m/>
    <m/>
    <m/>
    <m/>
    <m/>
    <s v="63.9.9.1.01.04"/>
    <s v="Impresión de fichas de servicio / Check List RQ.OPE.1240 OS 006 _ 149"/>
    <x v="26"/>
  </r>
  <r>
    <s v="26/06/2025"/>
    <x v="0"/>
    <s v="001"/>
    <s v="06_000427"/>
    <x v="1"/>
    <s v="91.06.01"/>
    <s v="Operaciones"/>
    <s v="Servicio de imprenta RQ.OPE.1250 OS 006 _ 150"/>
    <s v="10416031679"/>
    <s v="ALARCON ZAIRA ABRAHAM JESUS"/>
    <x v="0"/>
    <s v="FACTURA"/>
    <s v="E001"/>
    <n v="296"/>
    <n v="271.61"/>
    <s v=""/>
    <n v="48.889800000000001"/>
    <s v=""/>
    <n v="0"/>
    <n v="320.5"/>
    <m/>
    <m/>
    <m/>
    <m/>
    <m/>
    <s v="63.9.9.1.01.04"/>
    <s v="Servicio de imprenta RQ.OPE.1250 OS 006 _ 150"/>
    <x v="26"/>
  </r>
  <r>
    <s v="30/06/2025"/>
    <x v="0"/>
    <s v="001"/>
    <s v="06_000428"/>
    <x v="1"/>
    <s v="91.06.02.06"/>
    <s v="VBW_889"/>
    <s v="Lavado"/>
    <s v="10305624930"/>
    <s v="RODRIGUEZ CCOMPI NATTY"/>
    <x v="0"/>
    <s v="FACTURA"/>
    <s v="E001"/>
    <n v="927"/>
    <n v="29.66"/>
    <s v=""/>
    <n v="5.3388"/>
    <s v=""/>
    <n v="0"/>
    <n v="35"/>
    <m/>
    <m/>
    <m/>
    <m/>
    <m/>
    <s v="63.1.1.5.01"/>
    <s v="Lavado"/>
    <x v="14"/>
  </r>
  <r>
    <s v="25/06/2025"/>
    <x v="0"/>
    <s v="001"/>
    <s v="06_000429"/>
    <x v="1"/>
    <s v="91.06.02.11"/>
    <s v="Tercerizados"/>
    <s v="Balanza 24715"/>
    <s v="20162554167"/>
    <s v="AUTORIDAD AUTONOMA DE MAJES"/>
    <x v="0"/>
    <s v="FACTURA"/>
    <s v="F003"/>
    <n v="16587"/>
    <n v="10.17"/>
    <s v=""/>
    <n v="1.8306"/>
    <s v=""/>
    <n v="0"/>
    <n v="12"/>
    <m/>
    <m/>
    <m/>
    <m/>
    <s v="24715"/>
    <s v="63.1.1.7.01"/>
    <s v="Balanza 24715"/>
    <x v="11"/>
  </r>
  <r>
    <s v="30/06/2025"/>
    <x v="0"/>
    <s v="001"/>
    <s v="06_000430"/>
    <x v="1"/>
    <s v="91.06.02.03"/>
    <s v="BKL_739"/>
    <s v="Balanza 24742"/>
    <s v="20124952850"/>
    <s v="ALIMENTOS Y SERVICIOS AGROPECUARIOS SRL."/>
    <x v="0"/>
    <s v="FACTURA"/>
    <s v="F002"/>
    <n v="133625"/>
    <n v="8.4700000000000006"/>
    <s v=""/>
    <n v="1.5246"/>
    <s v=""/>
    <n v="0"/>
    <n v="10"/>
    <m/>
    <m/>
    <m/>
    <m/>
    <s v="24742"/>
    <s v="63.1.1.7.01"/>
    <s v="Balanza 24742"/>
    <x v="11"/>
  </r>
  <r>
    <s v="23/06/2025"/>
    <x v="0"/>
    <s v="001"/>
    <s v="06_000431"/>
    <x v="1"/>
    <s v="91.06.02.03"/>
    <s v="BKL_739"/>
    <s v="Balanza 24736"/>
    <s v="20124952850"/>
    <s v="ALIMENTOS Y SERVICIOS AGROPECUARIOS SRL."/>
    <x v="0"/>
    <s v="FACTURA"/>
    <s v="F002"/>
    <n v="133347"/>
    <n v="8.4700000000000006"/>
    <s v=""/>
    <n v="1.5246"/>
    <s v=""/>
    <n v="0"/>
    <n v="10"/>
    <m/>
    <m/>
    <m/>
    <m/>
    <s v="24736"/>
    <s v="63.1.1.7.01"/>
    <s v="Balanza 24736"/>
    <x v="11"/>
  </r>
  <r>
    <s v="30/06/2025"/>
    <x v="0"/>
    <s v="001"/>
    <s v="06_000432"/>
    <x v="1"/>
    <s v="91.06.02.07"/>
    <s v="VDJ_872"/>
    <s v="Balanza 24747"/>
    <s v="20124952850"/>
    <s v="ALIMENTOS Y SERVICIOS AGROPECUARIOS SRL."/>
    <x v="0"/>
    <s v="FACTURA"/>
    <s v="F002"/>
    <n v="133640"/>
    <n v="8.4700000000000006"/>
    <s v=""/>
    <n v="1.5246"/>
    <s v=""/>
    <n v="0"/>
    <n v="10"/>
    <m/>
    <m/>
    <m/>
    <m/>
    <s v="24747"/>
    <s v="63.1.1.7.01"/>
    <s v="Balanza 24747"/>
    <x v="11"/>
  </r>
  <r>
    <s v="27/06/2025"/>
    <x v="0"/>
    <s v="001"/>
    <s v="06_000433"/>
    <x v="2"/>
    <s v="95.01"/>
    <s v="Comercial"/>
    <s v="Transporte tercerizado RQ.OPE.1239"/>
    <s v="10489531963"/>
    <s v="APAZA MENDOZA GIAN FRANCO"/>
    <x v="0"/>
    <s v="FACTURA"/>
    <s v="E001"/>
    <n v="138"/>
    <n v="1372.88"/>
    <s v=""/>
    <n v="247.11840000000001"/>
    <s v=""/>
    <n v="0"/>
    <n v="1620"/>
    <s v="275528063"/>
    <s v="10/07/2025"/>
    <m/>
    <m/>
    <m/>
    <s v="63.1.1.1.02"/>
    <s v="Transporte tercerizado RQ.OPE.1239"/>
    <x v="13"/>
  </r>
  <r>
    <s v="27/06/2025"/>
    <x v="0"/>
    <s v="001"/>
    <s v="06_000434"/>
    <x v="2"/>
    <s v="95.01"/>
    <s v="Comercial"/>
    <s v="Transporte tercerizado RQ.OPE.1254 OS 005 _ 654"/>
    <s v="20549334874"/>
    <s v="EMPRESA DE TRANSPORTES MANN SOCIEDAD ANONIMA CERRADA TRANSPMANN"/>
    <x v="0"/>
    <s v="FACTURA"/>
    <s v="E001"/>
    <n v="220"/>
    <n v="2118.64"/>
    <s v=""/>
    <n v="381.35519999999997"/>
    <s v=""/>
    <n v="0"/>
    <n v="2500"/>
    <s v="275528064"/>
    <s v="10/07/2025"/>
    <m/>
    <m/>
    <m/>
    <s v="63.1.1.1.02"/>
    <s v="Transporte tercerizado RQ.OPE.1254 OS 005 _ 654"/>
    <x v="13"/>
  </r>
  <r>
    <s v="28/06/2025"/>
    <x v="0"/>
    <s v="001"/>
    <s v="06_000435"/>
    <x v="1"/>
    <s v="91.06.01"/>
    <s v="Operaciones"/>
    <s v="Transporte tercerizado RQ.OPE.1257 OS 005 _ 656"/>
    <s v="10736055631"/>
    <s v="HUAMANI MAMANI HUBER ANTHONY"/>
    <x v="0"/>
    <s v="FACTURA"/>
    <s v="E001"/>
    <n v="11"/>
    <n v="254.24"/>
    <s v=""/>
    <n v="45.763199999999998"/>
    <s v=""/>
    <n v="0"/>
    <n v="300"/>
    <m/>
    <m/>
    <m/>
    <m/>
    <m/>
    <s v="63.1.1.1.01"/>
    <s v="Transporte tercerizado RQ.OPE.1257 OS 005 _ 656"/>
    <x v="21"/>
  </r>
  <r>
    <s v="23/06/2025"/>
    <x v="0"/>
    <s v="001"/>
    <s v="06_000436"/>
    <x v="1"/>
    <s v="91.06.01"/>
    <s v="Operaciones"/>
    <s v="Transporte tercerizado RQ.OPE.1245 OS 005 _ 650"/>
    <s v="10736055631"/>
    <s v="HUAMANI MAMANI HUBER ANTHONY"/>
    <x v="0"/>
    <s v="FACTURA"/>
    <s v="E001"/>
    <n v="8"/>
    <n v="700"/>
    <s v=""/>
    <n v="126"/>
    <s v=""/>
    <n v="0"/>
    <n v="826"/>
    <s v="275528066"/>
    <s v="10/07/2025"/>
    <m/>
    <m/>
    <m/>
    <s v="63.1.1.1.01"/>
    <s v="Transporte tercerizado RQ.OPE.1245 OS 005 _ 650"/>
    <x v="21"/>
  </r>
  <r>
    <s v="24/06/2025"/>
    <x v="0"/>
    <s v="001"/>
    <s v="06_000437"/>
    <x v="2"/>
    <s v="95.01"/>
    <s v="Comercial"/>
    <s v="Transporte tercerizado RQ.OPE.1249 OS 005 _ 651"/>
    <s v="10736055631"/>
    <s v="HUAMANI MAMANI HUBER ANTHONY"/>
    <x v="0"/>
    <s v="FACTURA"/>
    <s v="E001"/>
    <n v="9"/>
    <n v="762.72"/>
    <s v=""/>
    <n v="137.28960000000001"/>
    <s v=""/>
    <n v="0"/>
    <n v="900.01"/>
    <s v="275528067"/>
    <s v="10/07/2025"/>
    <m/>
    <m/>
    <m/>
    <s v="63.1.1.1.02"/>
    <s v="Transporte tercerizado RQ.OPE.1249 OS 005 _ 651"/>
    <x v="13"/>
  </r>
  <r>
    <s v="18/06/2025"/>
    <x v="0"/>
    <s v="001"/>
    <s v="06_000438"/>
    <x v="1"/>
    <s v="91.06.01"/>
    <s v="Operaciones"/>
    <s v="Transporte tercerizado RQ.OPE.1227"/>
    <s v="20602499481"/>
    <s v="RESIDUOS MAYTA DEL SUR SOCIEDAD ANONIMA CERRADA - RESIDUOS MAYTA DEL SUR S.A.C."/>
    <x v="0"/>
    <s v="FACTURA"/>
    <s v="E001"/>
    <n v="414"/>
    <n v="127.12"/>
    <s v=""/>
    <n v="22.881599999999999"/>
    <s v=""/>
    <n v="0"/>
    <n v="150"/>
    <m/>
    <m/>
    <m/>
    <m/>
    <m/>
    <s v="63.1.1.1.01"/>
    <s v="Transporte tercerizado RQ.OPE.1227"/>
    <x v="21"/>
  </r>
  <r>
    <s v="30/06/2025"/>
    <x v="0"/>
    <s v="001"/>
    <s v="06_000439"/>
    <x v="3"/>
    <s v="97.01"/>
    <s v="Gastos Financieros"/>
    <s v="Comisión _ Giros y transferencias"/>
    <s v="20100047218"/>
    <s v="BANCO DE CREDITO DEL PERU"/>
    <x v="0"/>
    <s v="FACTURA"/>
    <s v="FN01"/>
    <n v="34173259"/>
    <m/>
    <s v=""/>
    <n v="0"/>
    <s v=""/>
    <n v="22.5"/>
    <n v="22.5"/>
    <m/>
    <m/>
    <m/>
    <m/>
    <m/>
    <s v="63.9.1.1.05"/>
    <s v="Comisión _ Giros y transferencias"/>
    <x v="0"/>
  </r>
  <r>
    <s v="30/06/2025"/>
    <x v="0"/>
    <s v="001"/>
    <s v="06_000440"/>
    <x v="3"/>
    <s v="97.01"/>
    <s v="Gastos Financieros"/>
    <s v="Comisión _ Giros y transferencias"/>
    <s v="20100047218"/>
    <s v="BANCO DE CREDITO DEL PERU"/>
    <x v="0"/>
    <s v="FACTURA"/>
    <s v="FN01"/>
    <n v="34165619"/>
    <m/>
    <s v=""/>
    <n v="0"/>
    <s v=""/>
    <n v="28.1"/>
    <n v="28.1"/>
    <m/>
    <m/>
    <m/>
    <m/>
    <m/>
    <s v="63.9.1.1.05"/>
    <s v="Comisión _ Giros y transferencias"/>
    <x v="0"/>
  </r>
  <r>
    <s v="19/06/2025"/>
    <x v="0"/>
    <s v="001"/>
    <s v="06_000441"/>
    <x v="0"/>
    <s v="94.02"/>
    <s v="Contabilidad y Finanzas"/>
    <s v="Intereses _ Credito vehicular"/>
    <s v="20375361991"/>
    <s v="MITSUI AUTO FINANCE PERU S.A."/>
    <x v="0"/>
    <s v="FACTURA"/>
    <s v="F006"/>
    <n v="163341"/>
    <m/>
    <s v=""/>
    <n v="0"/>
    <s v=""/>
    <n v="6.7"/>
    <n v="6.7"/>
    <m/>
    <m/>
    <m/>
    <m/>
    <m/>
    <s v="63.9.1.1.04"/>
    <s v="Intereses _ Credito vehicular"/>
    <x v="0"/>
  </r>
  <r>
    <s v="20/06/2025"/>
    <x v="0"/>
    <s v="001"/>
    <s v="06_000442"/>
    <x v="3"/>
    <s v="97.01"/>
    <s v="Gastos Financieros"/>
    <s v="Comisión _ Giros y transferencias"/>
    <s v="20100053455"/>
    <s v="BANCO INTERNACIONAL DEL PERU-INTERBANK"/>
    <x v="0"/>
    <s v="FACTURA"/>
    <s v="FCT1"/>
    <n v="3478908"/>
    <m/>
    <s v=""/>
    <n v="0"/>
    <s v=""/>
    <n v="5.3"/>
    <n v="5.3"/>
    <m/>
    <m/>
    <m/>
    <m/>
    <m/>
    <s v="63.9.1.1.05"/>
    <s v="Comisión _ Giros y transferencias"/>
    <x v="0"/>
  </r>
  <r>
    <s v="26/06/2025"/>
    <x v="0"/>
    <s v="001"/>
    <s v="06_000443"/>
    <x v="3"/>
    <s v="97.01"/>
    <s v="Gastos Financieros"/>
    <s v="Comisión _ Giros y transferencias"/>
    <s v="20100047218"/>
    <s v="BANCO DE CREDITO DEL PERU"/>
    <x v="0"/>
    <s v="FACTURA"/>
    <s v="FN01"/>
    <n v="34107608"/>
    <m/>
    <s v=""/>
    <n v="0"/>
    <s v=""/>
    <n v="22.6"/>
    <n v="22.6"/>
    <m/>
    <m/>
    <m/>
    <m/>
    <m/>
    <s v="63.9.1.1.05"/>
    <s v="Comisión _ Giros y transferencias"/>
    <x v="0"/>
  </r>
  <r>
    <s v="26/06/2025"/>
    <x v="0"/>
    <s v="001"/>
    <s v="06_000444"/>
    <x v="3"/>
    <s v="97.01"/>
    <s v="Gastos Financieros"/>
    <s v="Comisión _ Giros y transferencias"/>
    <s v="20100047218"/>
    <s v="BANCO DE CREDITO DEL PERU"/>
    <x v="0"/>
    <s v="FACTURA"/>
    <s v="FN01"/>
    <n v="34107559"/>
    <m/>
    <s v=""/>
    <n v="0"/>
    <s v=""/>
    <n v="20.5"/>
    <n v="20.5"/>
    <m/>
    <m/>
    <m/>
    <m/>
    <m/>
    <s v="63.9.1.1.05"/>
    <s v="Comisión _ Giros y transferencias"/>
    <x v="0"/>
  </r>
  <r>
    <s v="17/06/2025"/>
    <x v="0"/>
    <s v="001"/>
    <s v="06_000445"/>
    <x v="3"/>
    <s v="97.01"/>
    <s v="Gastos Financieros"/>
    <s v="Comisiones varias"/>
    <s v="20100047218"/>
    <s v="BANCO DE CREDITO DEL PERU"/>
    <x v="0"/>
    <s v="FACTURA"/>
    <s v="FN01"/>
    <n v="33908644"/>
    <m/>
    <s v=""/>
    <n v="0"/>
    <s v=""/>
    <n v="10"/>
    <n v="10"/>
    <m/>
    <m/>
    <m/>
    <m/>
    <m/>
    <s v="63.9.1.1.05"/>
    <s v="Comisiones varias"/>
    <x v="0"/>
  </r>
  <r>
    <s v="30/06/2025"/>
    <x v="0"/>
    <s v="001"/>
    <s v="06_000446"/>
    <x v="3"/>
    <s v="97.01"/>
    <s v="Gastos Financieros"/>
    <s v="Comisiones varias"/>
    <s v="20100130204"/>
    <s v="BANCO BBVA PERU"/>
    <x v="0"/>
    <s v="FACTURA"/>
    <s v="FB22"/>
    <n v="22442303"/>
    <m/>
    <s v=""/>
    <n v="0"/>
    <s v=""/>
    <n v="30"/>
    <n v="30"/>
    <m/>
    <m/>
    <m/>
    <m/>
    <m/>
    <s v="63.9.1.1.05"/>
    <s v="Comisiones varias"/>
    <x v="0"/>
  </r>
  <r>
    <s v="26/06/2025"/>
    <x v="0"/>
    <s v="001"/>
    <s v="06_000447"/>
    <x v="0"/>
    <s v="94.06"/>
    <s v="Gerencia"/>
    <s v="Consultoría / asesoría"/>
    <s v="20611523450"/>
    <s v="DRIVEN CAPITAL S.A.C.S."/>
    <x v="0"/>
    <s v="FACTURA"/>
    <s v="FTR1"/>
    <n v="12"/>
    <n v="4545.78"/>
    <s v=""/>
    <n v="818.24039999999991"/>
    <s v=""/>
    <n v="0"/>
    <n v="5364"/>
    <s v="274253118"/>
    <s v="1/07/2025"/>
    <m/>
    <m/>
    <m/>
    <s v="63.2.1.1"/>
    <s v="Consultoría / asesoría"/>
    <x v="0"/>
  </r>
  <r>
    <s v="30/06/2025"/>
    <x v="0"/>
    <s v="001"/>
    <s v="06_000448"/>
    <x v="1"/>
    <s v="91.06.02.07"/>
    <s v="VDJ_872"/>
    <s v="Combustible"/>
    <s v="20127765279"/>
    <s v="COESTI S.A."/>
    <x v="0"/>
    <s v="FACTURA"/>
    <s v="F865"/>
    <n v="171296"/>
    <n v="176.63"/>
    <s v=""/>
    <n v="31.793399999999998"/>
    <s v=""/>
    <n v="0"/>
    <n v="208.42"/>
    <m/>
    <m/>
    <m/>
    <m/>
    <m/>
    <s v="65.6.1.1.01"/>
    <s v="Combustible"/>
    <x v="12"/>
  </r>
  <r>
    <s v="30/06/2025"/>
    <x v="0"/>
    <s v="001"/>
    <s v="06_000449"/>
    <x v="1"/>
    <s v="91.06.02.06"/>
    <s v="VBW_889"/>
    <s v="Balanza 24762"/>
    <s v="20124952850"/>
    <s v="ALIMENTOS Y SERVICIOS AGROPECUARIOS SRL."/>
    <x v="0"/>
    <s v="FACTURA"/>
    <s v="F002"/>
    <n v="133652"/>
    <n v="8.4700000000000006"/>
    <s v=""/>
    <n v="1.5246"/>
    <s v=""/>
    <n v="0"/>
    <n v="10"/>
    <m/>
    <m/>
    <m/>
    <m/>
    <s v="24762"/>
    <s v="63.1.1.7.01"/>
    <s v="Balanza 24762"/>
    <x v="11"/>
  </r>
  <r>
    <s v="30/06/2025"/>
    <x v="0"/>
    <s v="001"/>
    <s v="06_000450"/>
    <x v="0"/>
    <s v="94.04"/>
    <s v="Gestion Humana"/>
    <s v="Exámenes Médicos _ Ingreso RQ.GH.204"/>
    <s v="20517035964"/>
    <s v="SIGSO CONSULTORES LABORALES SOCIEDAD ANONIMA CERRADA - SIGSO CONSULTORES LABORALES S.A.C."/>
    <x v="0"/>
    <s v="FACTURA"/>
    <s v="F200"/>
    <n v="16079"/>
    <n v="184"/>
    <s v=""/>
    <n v="33.119999999999997"/>
    <s v=""/>
    <n v="0"/>
    <n v="217.12"/>
    <m/>
    <m/>
    <m/>
    <m/>
    <m/>
    <s v="62.5.1.2.01"/>
    <s v="Exámenes Médicos _ Ingreso RQ.GH.204"/>
    <x v="25"/>
  </r>
  <r>
    <s v="30/06/2025"/>
    <x v="0"/>
    <s v="001"/>
    <s v="06_000451"/>
    <x v="1"/>
    <s v="91.06.02.01"/>
    <s v="V9R_903"/>
    <s v="Combustible"/>
    <s v="20127765279"/>
    <s v="COESTI S.A."/>
    <x v="0"/>
    <s v="FACTURA"/>
    <s v="F865"/>
    <n v="170630"/>
    <n v="390.48"/>
    <s v=""/>
    <n v="70.2864"/>
    <s v=""/>
    <n v="0"/>
    <n v="1928.71"/>
    <m/>
    <m/>
    <m/>
    <m/>
    <m/>
    <s v="65.6.1.1.01"/>
    <s v="Combustible"/>
    <x v="12"/>
  </r>
  <r>
    <s v="30/06/2025"/>
    <x v="0"/>
    <s v="001"/>
    <s v="06_000451"/>
    <x v="1"/>
    <s v="91.06.02.02"/>
    <s v="BKK_849"/>
    <s v="Combustible"/>
    <s v="20127765279"/>
    <s v="COESTI S.A."/>
    <x v="0"/>
    <s v="FACTURA"/>
    <s v="F865"/>
    <n v="170630"/>
    <n v="771.77"/>
    <s v=""/>
    <n v="138.9186"/>
    <s v=""/>
    <n v="0"/>
    <n v="1928.71"/>
    <m/>
    <m/>
    <m/>
    <m/>
    <m/>
    <s v="65.6.1.1.01"/>
    <s v="Combustible"/>
    <x v="12"/>
  </r>
  <r>
    <s v="30/06/2025"/>
    <x v="0"/>
    <s v="001"/>
    <s v="06_000451"/>
    <x v="1"/>
    <s v="91.06.02.03"/>
    <s v="BKL_739"/>
    <s v="Combustible"/>
    <s v="20127765279"/>
    <s v="COESTI S.A."/>
    <x v="0"/>
    <s v="FACTURA"/>
    <s v="F865"/>
    <n v="170630"/>
    <n v="472.25"/>
    <s v=""/>
    <n v="85.004999999999995"/>
    <s v=""/>
    <n v="0"/>
    <n v="1928.71"/>
    <m/>
    <m/>
    <m/>
    <m/>
    <m/>
    <s v="65.6.1.1.01"/>
    <s v="Combustible"/>
    <x v="12"/>
  </r>
  <r>
    <s v="30/06/2025"/>
    <x v="0"/>
    <s v="001"/>
    <s v="06_000452"/>
    <x v="1"/>
    <s v="91.06.02.04"/>
    <s v="VBB_840"/>
    <s v="Combustible"/>
    <s v="20127765279"/>
    <s v="COESTI S.A."/>
    <x v="0"/>
    <s v="FACTURA"/>
    <s v="F865"/>
    <n v="170648"/>
    <n v="516.66999999999996"/>
    <s v=""/>
    <n v="93.000599999999991"/>
    <s v=""/>
    <n v="0"/>
    <n v="1010.53"/>
    <m/>
    <m/>
    <m/>
    <m/>
    <m/>
    <s v="65.6.1.1.01"/>
    <s v="Combustible"/>
    <x v="12"/>
  </r>
  <r>
    <s v="30/06/2025"/>
    <x v="0"/>
    <s v="001"/>
    <s v="06_000452"/>
    <x v="1"/>
    <s v="91.06.02.07"/>
    <s v="VDJ_872"/>
    <s v="Combustible"/>
    <s v="20127765279"/>
    <s v="COESTI S.A."/>
    <x v="0"/>
    <s v="FACTURA"/>
    <s v="F865"/>
    <n v="170648"/>
    <n v="266.10000000000002"/>
    <s v=""/>
    <n v="47.898000000000003"/>
    <s v=""/>
    <n v="0"/>
    <n v="1010.53"/>
    <m/>
    <m/>
    <m/>
    <m/>
    <m/>
    <s v="65.6.1.1.01"/>
    <s v="Combustible"/>
    <x v="12"/>
  </r>
  <r>
    <s v="30/06/2025"/>
    <x v="0"/>
    <s v="001"/>
    <s v="06_000452"/>
    <x v="1"/>
    <s v="91.06.02.10"/>
    <s v="BDQ_458"/>
    <s v="Combustible"/>
    <s v="20127765279"/>
    <s v="COESTI S.A."/>
    <x v="0"/>
    <s v="FACTURA"/>
    <s v="F865"/>
    <n v="170648"/>
    <n v="73.61"/>
    <s v=""/>
    <n v="13.249799999999999"/>
    <s v=""/>
    <n v="0"/>
    <n v="1010.53"/>
    <m/>
    <m/>
    <m/>
    <m/>
    <m/>
    <s v="65.6.1.1.01"/>
    <s v="Combustible"/>
    <x v="12"/>
  </r>
  <r>
    <s v="26/06/2025"/>
    <x v="0"/>
    <s v="001"/>
    <s v="06_000453"/>
    <x v="1"/>
    <s v="91.06.02.03"/>
    <s v="BKL_739"/>
    <s v="Balanza 24753"/>
    <s v="20259858934"/>
    <s v="COMERCIALIZACION Y SERVICIOS EL EDEN S.A.C."/>
    <x v="0"/>
    <s v="FACTURA"/>
    <s v="FE02"/>
    <n v="16769"/>
    <n v="16.95"/>
    <s v=""/>
    <n v="3.0509999999999997"/>
    <s v=""/>
    <n v="0"/>
    <n v="20"/>
    <m/>
    <m/>
    <m/>
    <m/>
    <s v="24753"/>
    <s v="63.1.1.7.01"/>
    <s v="Balanza 24753"/>
    <x v="11"/>
  </r>
  <r>
    <s v="27/06/2025"/>
    <x v="0"/>
    <s v="001"/>
    <s v="06_000454"/>
    <x v="1"/>
    <s v="91.06.02.02"/>
    <s v="BKK_849"/>
    <s v="Balanza 24723"/>
    <s v="20612112500"/>
    <s v="RECICLADORA LAS LOMAS E.I.R.L."/>
    <x v="0"/>
    <s v="FACTURA"/>
    <s v="FT01"/>
    <n v="1509"/>
    <n v="8.4700000000000006"/>
    <s v=""/>
    <n v="1.5246"/>
    <s v=""/>
    <n v="0"/>
    <n v="10"/>
    <m/>
    <m/>
    <m/>
    <m/>
    <s v="24723"/>
    <s v="63.1.1.7.02"/>
    <s v="Balanza 24723"/>
    <x v="1"/>
  </r>
  <r>
    <s v="27/06/2025"/>
    <x v="0"/>
    <s v="001"/>
    <s v="06_000455"/>
    <x v="1"/>
    <s v="91.06.02.02"/>
    <s v="BKK_849"/>
    <s v="Balanza 24724"/>
    <s v="20612112500"/>
    <s v="RECICLADORA LAS LOMAS E.I.R.L."/>
    <x v="0"/>
    <s v="FACTURA"/>
    <s v="FT01"/>
    <n v="1514"/>
    <n v="8.4700000000000006"/>
    <s v=""/>
    <n v="1.5246"/>
    <s v=""/>
    <n v="0"/>
    <n v="10"/>
    <m/>
    <m/>
    <m/>
    <m/>
    <s v="24724"/>
    <s v="63.1.1.7.02"/>
    <s v="Balanza 24724"/>
    <x v="1"/>
  </r>
  <r>
    <s v="27/06/2025"/>
    <x v="0"/>
    <s v="001"/>
    <s v="06_000456"/>
    <x v="1"/>
    <s v="91.06.02.02"/>
    <s v="BKK_849"/>
    <s v="Lavado 24727"/>
    <s v="10705628331"/>
    <s v="LARICO APAZA NANCY ROSSMARY"/>
    <x v="0"/>
    <s v="FACTURA"/>
    <s v="F001"/>
    <n v="18459"/>
    <n v="21.19"/>
    <s v=""/>
    <n v="3.8142"/>
    <s v=""/>
    <n v="0"/>
    <n v="25"/>
    <m/>
    <m/>
    <m/>
    <m/>
    <s v="24727"/>
    <s v="63.1.1.5.01"/>
    <s v="Lavado 24727"/>
    <x v="14"/>
  </r>
  <r>
    <s v="27/06/2025"/>
    <x v="0"/>
    <s v="001"/>
    <s v="06_000457"/>
    <x v="1"/>
    <s v="91.05.01"/>
    <s v="Residuos Aprovechables"/>
    <s v="RRSS OC 233"/>
    <s v="20100192064"/>
    <s v="MOLY-COP ADESUR S.A."/>
    <x v="0"/>
    <s v="FACTURA"/>
    <s v="F002"/>
    <n v="16339"/>
    <n v="171.46"/>
    <s v=""/>
    <n v="30.8628"/>
    <s v=""/>
    <n v="0"/>
    <n v="202.32"/>
    <s v="276124038"/>
    <s v="18/07/2025"/>
    <m/>
    <m/>
    <m/>
    <s v="60.2.1.1"/>
    <s v="RRSS OC 233"/>
    <x v="6"/>
  </r>
  <r>
    <s v="30/06/2025"/>
    <x v="0"/>
    <s v="001"/>
    <s v="06_000458"/>
    <x v="1"/>
    <s v="91.05.01"/>
    <s v="Residuos Aprovechables"/>
    <s v="RRSS OC 232"/>
    <s v="20605447814"/>
    <s v="LONCCOS Y CCALAS SOCIEDAD ANONIMA CERRADA - LONCCOS Y CCALAS S.A.C."/>
    <x v="0"/>
    <s v="FACTURA"/>
    <s v="E001"/>
    <n v="877"/>
    <n v="474.58"/>
    <s v=""/>
    <n v="85.424399999999991"/>
    <s v=""/>
    <n v="0"/>
    <n v="560"/>
    <s v="277160601"/>
    <s v="1/08/2025"/>
    <m/>
    <m/>
    <m/>
    <s v="60.2.1.1"/>
    <s v="RRSS OC 232"/>
    <x v="6"/>
  </r>
  <r>
    <s v="19/06/2025"/>
    <x v="0"/>
    <s v="001"/>
    <s v="06_000459"/>
    <x v="1"/>
    <s v="91.06.01"/>
    <s v="Operaciones"/>
    <s v="Alquiler de montacarga RQ.OPE.1228"/>
    <s v="20609764261"/>
    <s v="MGM MONTACARGAS &amp; GRUAS S.A.C."/>
    <x v="0"/>
    <s v="FACTURA"/>
    <s v="E001"/>
    <n v="2307"/>
    <n v="100"/>
    <s v=""/>
    <n v="18"/>
    <s v=""/>
    <n v="0"/>
    <n v="118"/>
    <m/>
    <m/>
    <m/>
    <m/>
    <m/>
    <s v="63.5.4.1.01"/>
    <s v="Alquiler de montacarga RQ.OPE.1228"/>
    <x v="16"/>
  </r>
  <r>
    <s v="19/06/2025"/>
    <x v="0"/>
    <s v="001"/>
    <s v="06_000460"/>
    <x v="2"/>
    <s v="95.01"/>
    <s v="Comercial"/>
    <s v="Alquiler de montacarega RQ.OPE.1238"/>
    <s v="20603974817"/>
    <s v="TRANSPORTES, GRUAS Y MONTACARGAS AREQUIPA EMPRESA INDIVIDUAL DE RESPONSABILIDAD LIMITADA"/>
    <x v="0"/>
    <s v="FACTURA"/>
    <s v="E001"/>
    <n v="3972"/>
    <n v="255"/>
    <s v=""/>
    <n v="45.9"/>
    <s v=""/>
    <n v="0"/>
    <n v="300.89999999999998"/>
    <m/>
    <m/>
    <m/>
    <m/>
    <m/>
    <s v="63.5.4.1.03"/>
    <s v="Alquiler de montacarega RQ.OPE.1238"/>
    <x v="17"/>
  </r>
  <r>
    <s v="17/06/2025"/>
    <x v="0"/>
    <s v="001"/>
    <s v="06_000461"/>
    <x v="2"/>
    <s v="95.01"/>
    <s v="Comercial"/>
    <s v="Alquiler de montacarga RQ.OPE.1235"/>
    <s v="20603974817"/>
    <s v="TRANSPORTES, GRUAS Y MONTACARGAS AREQUIPA EMPRESA INDIVIDUAL DE RESPONSABILIDAD LIMITADA"/>
    <x v="0"/>
    <s v="FACTURA"/>
    <s v="E001"/>
    <n v="3968"/>
    <n v="170"/>
    <s v=""/>
    <n v="30.599999999999998"/>
    <s v=""/>
    <n v="0"/>
    <n v="200.6"/>
    <m/>
    <m/>
    <m/>
    <m/>
    <m/>
    <s v="63.5.4.1.03"/>
    <s v="Alquiler de montacarga RQ.OPE.1235"/>
    <x v="17"/>
  </r>
  <r>
    <s v="25/06/2025"/>
    <x v="0"/>
    <s v="001"/>
    <s v="06_000462"/>
    <x v="2"/>
    <s v="95.01"/>
    <s v="Comercial"/>
    <s v="Alquiler de montacarga RQ.OPE.1252 OS 005 _ 648"/>
    <s v="20603974817"/>
    <s v="TRANSPORTES, GRUAS Y MONTACARGAS AREQUIPA EMPRESA INDIVIDUAL DE RESPONSABILIDAD LIMITADA"/>
    <x v="0"/>
    <s v="FACTURA"/>
    <s v="E001"/>
    <n v="3991"/>
    <n v="595"/>
    <s v=""/>
    <n v="107.1"/>
    <s v=""/>
    <n v="0"/>
    <n v="702.1"/>
    <s v="275528068"/>
    <s v="10/07/2025"/>
    <m/>
    <m/>
    <m/>
    <s v="63.5.4.1.03"/>
    <s v="Alquiler de montacarga RQ.OPE.1252 OS 005 _ 648"/>
    <x v="17"/>
  </r>
  <r>
    <s v="27/06/2025"/>
    <x v="0"/>
    <s v="001"/>
    <s v="06_000463"/>
    <x v="2"/>
    <s v="95.01"/>
    <s v="Comercial"/>
    <s v="Alquiler de montacarga RQ.OPE.1256"/>
    <s v="20603974817"/>
    <s v="TRANSPORTES, GRUAS Y MONTACARGAS AREQUIPA EMPRESA INDIVIDUAL DE RESPONSABILIDAD LIMITADA"/>
    <x v="0"/>
    <s v="FACTURA"/>
    <s v="E001"/>
    <n v="3998"/>
    <n v="212.5"/>
    <s v=""/>
    <n v="38.25"/>
    <s v=""/>
    <n v="0"/>
    <n v="250.75"/>
    <m/>
    <m/>
    <m/>
    <m/>
    <m/>
    <s v="63.5.4.1.03"/>
    <s v="Alquiler de montacarga RQ.OPE.1256"/>
    <x v="17"/>
  </r>
  <r>
    <s v="23/06/2025"/>
    <x v="0"/>
    <s v="001"/>
    <s v="06_000464"/>
    <x v="1"/>
    <s v="91.06.02.08"/>
    <s v="Montacarga"/>
    <s v="Alquiler de montacarga RQ.OPE.1243"/>
    <s v="20603974817"/>
    <s v="TRANSPORTES, GRUAS Y MONTACARGAS AREQUIPA EMPRESA INDIVIDUAL DE RESPONSABILIDAD LIMITADA"/>
    <x v="0"/>
    <s v="FACTURA"/>
    <s v="E001"/>
    <n v="3985"/>
    <n v="637.5"/>
    <s v=""/>
    <n v="114.75"/>
    <s v=""/>
    <n v="0"/>
    <n v="752.25"/>
    <s v="275528069"/>
    <s v="10/07/2025"/>
    <m/>
    <m/>
    <m/>
    <s v="63.5.4.1.03"/>
    <s v="Alquiler de montacarga RQ.OPE.1243"/>
    <x v="17"/>
  </r>
  <r>
    <s v="18/06/2025"/>
    <x v="0"/>
    <s v="001"/>
    <s v="06_000465"/>
    <x v="2"/>
    <s v="95.01"/>
    <s v="Comercial"/>
    <s v="Alquiler de montacarga RQ.OPE.1236"/>
    <s v="20603974817"/>
    <s v="TRANSPORTES, GRUAS Y MONTACARGAS AREQUIPA EMPRESA INDIVIDUAL DE RESPONSABILIDAD LIMITADA"/>
    <x v="0"/>
    <s v="FACTURA"/>
    <s v="E001"/>
    <n v="3970"/>
    <n v="170"/>
    <s v=""/>
    <n v="30.599999999999998"/>
    <s v=""/>
    <n v="0"/>
    <n v="200.6"/>
    <m/>
    <m/>
    <m/>
    <m/>
    <m/>
    <s v="63.5.4.1.03"/>
    <s v="Alquiler de montacarga RQ.OPE.1236"/>
    <x v="17"/>
  </r>
  <r>
    <s v="25/06/2025"/>
    <x v="0"/>
    <s v="001"/>
    <s v="06_000466"/>
    <x v="2"/>
    <s v="95.01"/>
    <s v="Comercial"/>
    <s v="Alquiler de montacarga RQ.OPE.1251"/>
    <s v="20603974817"/>
    <s v="TRANSPORTES, GRUAS Y MONTACARGAS AREQUIPA EMPRESA INDIVIDUAL DE RESPONSABILIDAD LIMITADA"/>
    <x v="0"/>
    <s v="FACTURA"/>
    <s v="E001"/>
    <n v="3987"/>
    <n v="170"/>
    <s v=""/>
    <n v="30.599999999999998"/>
    <s v=""/>
    <n v="0"/>
    <n v="200.6"/>
    <m/>
    <m/>
    <m/>
    <m/>
    <m/>
    <s v="63.5.4.1.03"/>
    <s v="Alquiler de montacarga RQ.OPE.1251"/>
    <x v="17"/>
  </r>
  <r>
    <s v="25/06/2025"/>
    <x v="0"/>
    <s v="001"/>
    <s v="06_000467"/>
    <x v="1"/>
    <s v="91.06.01"/>
    <s v="Operaciones"/>
    <s v="Gastos propios del área"/>
    <s v="20604947520"/>
    <s v="MINIMARKET LAS BERMUDAS E.I.R.L."/>
    <x v="0"/>
    <s v="FACTURA"/>
    <s v="F001"/>
    <n v="6607"/>
    <n v="20.76"/>
    <s v=""/>
    <n v="3.7368000000000001"/>
    <s v=""/>
    <n v="0"/>
    <n v="24.5"/>
    <m/>
    <m/>
    <m/>
    <m/>
    <m/>
    <s v="63.1.4.1.01"/>
    <s v="Gastos propios del área"/>
    <x v="9"/>
  </r>
  <r>
    <s v="26/06/2025"/>
    <x v="0"/>
    <s v="001"/>
    <s v="06_000468"/>
    <x v="1"/>
    <s v="91.06.02.04"/>
    <s v="VBB_840"/>
    <s v="Mantenimiento Vehicular (Preventivo) RQ.OPE.1209 OS 006 _ 151"/>
    <s v="15609125303"/>
    <s v="QUERALES RIVERO ELVIS ENRIQUE"/>
    <x v="0"/>
    <s v="FACTURA"/>
    <s v="E001"/>
    <n v="44"/>
    <n v="1737.3"/>
    <s v=""/>
    <n v="312.714"/>
    <s v=""/>
    <n v="0"/>
    <n v="2050.0100000000002"/>
    <m/>
    <m/>
    <m/>
    <m/>
    <m/>
    <s v="63.4.3.2.02"/>
    <s v="Mantenimiento Vehicular (Preventivo) RQ.OPE.1209 OS 006 _ 151"/>
    <x v="3"/>
  </r>
  <r>
    <s v="26/06/2025"/>
    <x v="0"/>
    <s v="001"/>
    <s v="06_000469"/>
    <x v="1"/>
    <s v="91.06.02.04"/>
    <s v="VBB_840"/>
    <s v="Mantenimiento Vehicular (Preventivo) RQ.OPE.1209 OS 006 _ 151"/>
    <s v="15609125303"/>
    <s v="QUERALES RIVERO ELVIS ENRIQUE"/>
    <x v="0"/>
    <s v="FACTURA"/>
    <s v="E001"/>
    <n v="45"/>
    <n v="400"/>
    <s v=""/>
    <n v="72"/>
    <s v=""/>
    <n v="0"/>
    <n v="472"/>
    <m/>
    <m/>
    <m/>
    <m/>
    <m/>
    <s v="63.4.3.2.02"/>
    <s v="Mantenimiento Vehicular (Preventivo) RQ.OPE.1209 OS 006 _ 151"/>
    <x v="3"/>
  </r>
  <r>
    <s v="23/05/2025"/>
    <x v="0"/>
    <s v="001"/>
    <s v="06_000470"/>
    <x v="0"/>
    <m/>
    <m/>
    <m/>
    <s v="20612783871"/>
    <s v="GROUP LUMIMART PERU E.I.R.L."/>
    <x v="0"/>
    <s v="FACTURA"/>
    <s v="F001"/>
    <s v="217"/>
    <n v="26.27"/>
    <s v=""/>
    <n v="4.7300000000000004"/>
    <s v=""/>
    <n v="0"/>
    <n v="31"/>
    <m/>
    <m/>
    <m/>
    <m/>
    <s v="RQ.LOG310"/>
    <m/>
    <m/>
    <x v="0"/>
  </r>
  <r>
    <s v="23/05/2025"/>
    <x v="0"/>
    <s v="001"/>
    <s v="06_000471"/>
    <x v="0"/>
    <m/>
    <m/>
    <m/>
    <s v="20610616675"/>
    <s v="MAGMA PERU E.I.R.L."/>
    <x v="0"/>
    <s v="FACTURA"/>
    <s v="E001"/>
    <s v="450"/>
    <n v="221.19"/>
    <s v=""/>
    <n v="39.81"/>
    <s v=""/>
    <n v="0"/>
    <n v="261"/>
    <m/>
    <m/>
    <m/>
    <m/>
    <m/>
    <m/>
    <m/>
    <x v="0"/>
  </r>
  <r>
    <s v="26/05/2025"/>
    <x v="0"/>
    <s v="001"/>
    <s v="06_000472"/>
    <x v="0"/>
    <m/>
    <m/>
    <m/>
    <s v="20603679025"/>
    <s v="TRIMAX APC INVERSIONES EMPRESA INDIVIDUAL DE RESPONSABILIDAD LIMITADA"/>
    <x v="0"/>
    <s v="FACTURA"/>
    <s v="F001"/>
    <s v="1014"/>
    <n v="84.75"/>
    <s v=""/>
    <n v="15.25"/>
    <s v=""/>
    <n v="0"/>
    <n v="100"/>
    <m/>
    <m/>
    <m/>
    <m/>
    <m/>
    <m/>
    <m/>
    <x v="0"/>
  </r>
  <r>
    <s v="29/05/2025"/>
    <x v="0"/>
    <s v="001"/>
    <s v="06_000473"/>
    <x v="0"/>
    <m/>
    <m/>
    <m/>
    <s v="20100049181"/>
    <s v="TAI LOY S.A."/>
    <x v="0"/>
    <s v="FACTURA"/>
    <s v="F561"/>
    <s v="164498"/>
    <n v="23.55"/>
    <s v=""/>
    <n v="4.25"/>
    <s v=""/>
    <n v="0"/>
    <n v="27.8"/>
    <m/>
    <m/>
    <m/>
    <m/>
    <s v="002-2352"/>
    <m/>
    <m/>
    <x v="0"/>
  </r>
  <r>
    <s v="06/06/2025"/>
    <x v="0"/>
    <s v="001"/>
    <s v="06_000474"/>
    <x v="0"/>
    <s v="94.03"/>
    <s v="Logistica"/>
    <s v="Utiles de escritorio _ RQ.LOG.308"/>
    <s v="20603045638"/>
    <s v="CORPORACION IMPORTADORA ELIDA EMP. INDIV. DE RESP. LIMITADA - CORPORACION IMPORTADORA ELIDA E.I.R.L."/>
    <x v="0"/>
    <s v="FACTURA"/>
    <s v="FF02"/>
    <n v="2638"/>
    <n v="1258.6400000000001"/>
    <s v=""/>
    <n v="226.55520000000001"/>
    <s v=""/>
    <n v="0"/>
    <n v="1485.2"/>
    <m/>
    <m/>
    <m/>
    <m/>
    <s v="RQ.LOG.308"/>
    <s v="60.3.1.1"/>
    <s v="Utiles de escritorio _ RQ.LOG.308"/>
    <x v="0"/>
  </r>
  <r>
    <s v="17/06/2025"/>
    <x v="0"/>
    <s v="001"/>
    <s v="06_000475"/>
    <x v="1"/>
    <s v="91.05.01"/>
    <s v="Residuos Aprovechables"/>
    <s v="Plastico, envases y alimento OC 181"/>
    <s v="20419158462"/>
    <s v="GRANJA RINCONADA DEL SUR S.A."/>
    <x v="0"/>
    <s v="FACTURA"/>
    <s v="F102"/>
    <n v="6923"/>
    <n v="2888.18"/>
    <s v=""/>
    <n v="519.87239999999997"/>
    <s v=""/>
    <n v="0"/>
    <n v="3408.05"/>
    <s v="275601540"/>
    <s v="11/07/2025"/>
    <m/>
    <m/>
    <s v="OC 181"/>
    <s v="60.2.1.1"/>
    <s v="Plastico, envases y alimento OC 181"/>
    <x v="6"/>
  </r>
  <r>
    <s v="17/06/2025"/>
    <x v="0"/>
    <s v="001"/>
    <s v="06_000476"/>
    <x v="1"/>
    <s v="91.05.01"/>
    <s v="Residuos Aprovechables"/>
    <s v="Residuos de soya OC 182"/>
    <s v="20419158462"/>
    <s v="GRANJA RINCONADA DEL SUR S.A."/>
    <x v="0"/>
    <s v="FACTURA"/>
    <s v="F102"/>
    <n v="6922"/>
    <n v="587.29"/>
    <s v=""/>
    <n v="105.7122"/>
    <s v=""/>
    <n v="0"/>
    <n v="693"/>
    <s v="275601539"/>
    <s v="11/07/2025"/>
    <m/>
    <m/>
    <s v="OC 182"/>
    <s v="60.2.1.1"/>
    <s v="Residuos de soya OC 182"/>
    <x v="6"/>
  </r>
  <r>
    <s v="19/06/2025"/>
    <x v="0"/>
    <s v="001"/>
    <s v="06_000477"/>
    <x v="0"/>
    <s v="94.02"/>
    <s v="Contabilidad y Finanzas"/>
    <s v="Crédito vehicular cuota N°57"/>
    <s v="20375361991"/>
    <s v="MITSUI AUTO FINANCE PERU S.A."/>
    <x v="0"/>
    <s v="FACTURA"/>
    <s v="F006"/>
    <n v="163340"/>
    <m/>
    <s v=""/>
    <n v="0"/>
    <s v=""/>
    <n v="226.19"/>
    <n v="226.19"/>
    <m/>
    <m/>
    <m/>
    <m/>
    <m/>
    <s v="63.9.1.1.04"/>
    <s v="Crédito vehicular cuota N°57"/>
    <x v="0"/>
  </r>
  <r>
    <s v="17/06/2025"/>
    <x v="0"/>
    <s v="001"/>
    <s v="06_000478"/>
    <x v="2"/>
    <s v="95.01"/>
    <s v="Comercial"/>
    <s v="Plancha galva _ RQ.COM.292 _ RQ.COM.323 _ RQ.COM.328"/>
    <s v="20100241022"/>
    <s v="ACEROS COMERCIALES S C R L"/>
    <x v="0"/>
    <s v="FACTURA"/>
    <s v="F016"/>
    <n v="121804"/>
    <n v="720.15"/>
    <s v=""/>
    <n v="129.62699999999998"/>
    <s v=""/>
    <n v="0"/>
    <n v="849.78"/>
    <m/>
    <m/>
    <m/>
    <m/>
    <s v="RQ.COM.292 - RQ.COM.323 - RQ.COM.328"/>
    <s v="63.4.1.1.02"/>
    <s v="Plancha galva _ RQ.COM.292 _ RQ.COM.323 _ RQ.COM.328"/>
    <x v="0"/>
  </r>
  <r>
    <s v="06/06/2025"/>
    <x v="0"/>
    <s v="001"/>
    <s v="06_000479"/>
    <x v="0"/>
    <s v="94.03"/>
    <s v="Logistica"/>
    <s v="Utiles de escritorio _ RQ.LOG.308"/>
    <s v="20100049181"/>
    <s v="TAI LOY S.A."/>
    <x v="0"/>
    <s v="FACTURA"/>
    <s v="F591"/>
    <n v="71172"/>
    <n v="174.83"/>
    <s v=""/>
    <n v="31.4694"/>
    <s v=""/>
    <n v="0"/>
    <n v="206.3"/>
    <m/>
    <m/>
    <m/>
    <m/>
    <s v="RQ.LOG.308"/>
    <s v="60.3.1.1"/>
    <s v="Utiles de escritorio _ RQ.LOG.308"/>
    <x v="0"/>
  </r>
  <r>
    <s v="12/06/2025"/>
    <x v="0"/>
    <s v="001"/>
    <s v="06_000480"/>
    <x v="2"/>
    <s v="95.01"/>
    <s v="Comercial"/>
    <s v="DISCO, THINNER, GLOSS_ RQ.COM.292 _RQ.COM.323 _ RE.COM.328"/>
    <s v="20536557858"/>
    <s v="HOMECENTERS PERUANOS S.A."/>
    <x v="0"/>
    <s v="FACTURA"/>
    <s v="FA26"/>
    <n v="1441829"/>
    <n v="579.41"/>
    <s v=""/>
    <n v="104.29379999999999"/>
    <s v=""/>
    <n v="0"/>
    <n v="683.7"/>
    <m/>
    <m/>
    <m/>
    <m/>
    <s v="RQ.COM.292 -RQ.COM.323 - RE.COM.328"/>
    <s v="63.4.1.1.02"/>
    <s v="DISCO, THINNER, GLOSS_ RQ.COM.292 _RQ.COM.323 _ RE.COM.328"/>
    <x v="0"/>
  </r>
  <r>
    <s v="17/06/2025"/>
    <x v="0"/>
    <s v="001"/>
    <s v="06_000481"/>
    <x v="1"/>
    <s v="91.05.01"/>
    <s v="Residuos Aprovechables"/>
    <s v="RRSS_ Factura anulada NC F102_471"/>
    <s v="20419158462"/>
    <s v="GRANJA RINCONADA DEL SUR S.A."/>
    <x v="0"/>
    <s v="FACTURA"/>
    <s v="F102"/>
    <n v="6921"/>
    <n v="1322.88"/>
    <s v=""/>
    <n v="238.11840000000001"/>
    <s v=""/>
    <n v="0"/>
    <n v="1561"/>
    <m/>
    <m/>
    <m/>
    <m/>
    <m/>
    <s v="60.2.1.1"/>
    <s v="RRSS_ Factura anulada NC F102_471"/>
    <x v="6"/>
  </r>
  <r>
    <s v="30/06/2025"/>
    <x v="0"/>
    <s v="001"/>
    <s v="06_000482"/>
    <x v="1"/>
    <s v="91.05.01"/>
    <s v="Residuos Aprovechables"/>
    <s v="RRSS OC 212"/>
    <s v="20100192064"/>
    <s v="MOLY-COP ADESUR S.A."/>
    <x v="0"/>
    <s v="FACTURA"/>
    <s v="F002"/>
    <n v="16359"/>
    <n v="5290.99"/>
    <s v=""/>
    <n v="952.37819999999988"/>
    <s v=""/>
    <n v="0"/>
    <n v="6243.35"/>
    <s v="276124043"/>
    <s v="18/07/2025"/>
    <m/>
    <m/>
    <s v="OC 212"/>
    <s v="60.2.1.1"/>
    <s v="RRSS OC 212"/>
    <x v="6"/>
  </r>
  <r>
    <s v="30/06/2025"/>
    <x v="0"/>
    <s v="001"/>
    <s v="06_000483"/>
    <x v="1"/>
    <s v="91.05.01"/>
    <s v="Residuos Aprovechables"/>
    <s v="RRSS OC 244"/>
    <s v="20100192064"/>
    <s v="MOLY-COP ADESUR S.A."/>
    <x v="0"/>
    <s v="FACTURA"/>
    <s v="F002"/>
    <n v="16383"/>
    <n v="196.07"/>
    <s v=""/>
    <n v="35.2926"/>
    <s v=""/>
    <n v="0"/>
    <n v="231.38"/>
    <s v="276124044"/>
    <s v="18/07/2025"/>
    <m/>
    <m/>
    <s v="OC 244"/>
    <s v="60.2.1.1"/>
    <s v="RRSS OC 244"/>
    <x v="6"/>
  </r>
  <r>
    <s v="30/06/2025"/>
    <x v="0"/>
    <s v="001"/>
    <s v="06_000484"/>
    <x v="1"/>
    <s v="91.05.01"/>
    <s v="Residuos Aprovechables"/>
    <s v="RRSS OC 211"/>
    <s v="20100192064"/>
    <s v="MOLY-COP ADESUR S.A."/>
    <x v="0"/>
    <s v="FACTURA"/>
    <s v="F002"/>
    <n v="16358"/>
    <n v="8156.31"/>
    <s v=""/>
    <n v="1468.1358"/>
    <s v=""/>
    <n v="0"/>
    <n v="9624.4599999999991"/>
    <s v="276124045"/>
    <s v="18/07/2025"/>
    <m/>
    <m/>
    <s v="OC 211"/>
    <s v="60.2.1.1"/>
    <s v="RRSS OC 211"/>
    <x v="6"/>
  </r>
  <r>
    <s v="13/05/2025"/>
    <x v="0"/>
    <s v="001"/>
    <s v="06_000485"/>
    <x v="0"/>
    <m/>
    <m/>
    <m/>
    <s v="20517035964"/>
    <s v="SIGSO CONSULTORES LABORALES SOCIEDAD ANONIMA CERRADA - SIGSO CONSULTORES LABORALES S.A.C."/>
    <x v="0"/>
    <s v="FACTURA"/>
    <s v="F200"/>
    <s v="15708"/>
    <n v="219"/>
    <s v=""/>
    <n v="39.42"/>
    <s v=""/>
    <n v="0"/>
    <n v="258.42"/>
    <m/>
    <m/>
    <m/>
    <m/>
    <m/>
    <m/>
    <m/>
    <x v="0"/>
  </r>
  <r>
    <s v="25/06/2025"/>
    <x v="0"/>
    <s v="001"/>
    <s v="06_000486"/>
    <x v="1"/>
    <s v="91.05.01"/>
    <s v="Residuos Aprovechables"/>
    <s v="RRSS OC 209"/>
    <s v="20454186002"/>
    <s v="ALSUR PERU S.A.C."/>
    <x v="0"/>
    <s v="FACTURA"/>
    <s v="F003"/>
    <n v="1709"/>
    <n v="257.12"/>
    <s v=""/>
    <n v="46.281599999999997"/>
    <s v=""/>
    <n v="0"/>
    <n v="303.39999999999998"/>
    <s v="276124048"/>
    <s v="18/07/2025"/>
    <m/>
    <m/>
    <m/>
    <s v="60.2.1.1"/>
    <s v="RRSS OC 209"/>
    <x v="6"/>
  </r>
  <r>
    <s v="26/06/2025"/>
    <x v="0"/>
    <s v="001"/>
    <s v="06_000487"/>
    <x v="0"/>
    <s v="94.05"/>
    <s v="SSOMA"/>
    <s v="Induccion RQ.SSO.246"/>
    <s v="20601369622"/>
    <s v="SERVICONSTRUYE S.A.C."/>
    <x v="0"/>
    <s v="FACTURA"/>
    <s v="E001"/>
    <n v="2098"/>
    <n v="63.56"/>
    <s v=""/>
    <n v="11.440799999999999"/>
    <s v=""/>
    <n v="0"/>
    <n v="75"/>
    <m/>
    <m/>
    <m/>
    <m/>
    <m/>
    <s v="63.2.5.3"/>
    <s v="Induccion RQ.SSO.246"/>
    <x v="0"/>
  </r>
  <r>
    <s v="11/06/2025"/>
    <x v="0"/>
    <s v="001"/>
    <s v="06_000488"/>
    <x v="0"/>
    <s v="94.06"/>
    <s v="Gerencia"/>
    <s v="Consultoría / asesoría _ Administrativa RQ.GER.064"/>
    <s v="20601423058"/>
    <s v="MARNIC MARKETING CONSULTING E.I.R.L."/>
    <x v="0"/>
    <s v="FACTURA"/>
    <s v="E001"/>
    <n v="1761"/>
    <n v="5000"/>
    <s v=""/>
    <n v="900"/>
    <s v=""/>
    <n v="0"/>
    <n v="5900"/>
    <m/>
    <m/>
    <m/>
    <m/>
    <s v="NRO DET 273255869"/>
    <s v="63.2.1.1"/>
    <s v="Consultoría / asesoría _ Administrativa RQ.GER.064"/>
    <x v="0"/>
  </r>
  <r>
    <s v="30/06/2025"/>
    <x v="0"/>
    <s v="001"/>
    <s v="06_000489"/>
    <x v="0"/>
    <s v="94.04"/>
    <s v="Gestion Humana"/>
    <s v="Anulacion de operacion _ no tiene IGV"/>
    <s v="10703649535"/>
    <s v="MIRANDA VILLENA KARLA GIULIANA"/>
    <x v="4"/>
    <s v="NOTA DE CREDITO"/>
    <s v="E001"/>
    <n v="34"/>
    <n v="0"/>
    <s v=""/>
    <n v="0"/>
    <s v=""/>
    <n v="-230"/>
    <n v="-230"/>
    <m/>
    <m/>
    <s v="001"/>
    <s v="E001"/>
    <s v="110"/>
    <s v="65.9.9.1.01"/>
    <s v="Anulacion de operacion _ no tiene IGV"/>
    <x v="0"/>
  </r>
  <r>
    <s v="04/06/2025"/>
    <x v="0"/>
    <s v="001"/>
    <s v="06_000490"/>
    <x v="0"/>
    <s v="94.05"/>
    <s v="SSOMA"/>
    <s v="Devolucion de ITEM FT_ FA02_1123"/>
    <s v="20455911401"/>
    <s v="SKY HIGH SOCIEDAD ANONIMA CERRADA - SKY HIGH S.A.C."/>
    <x v="4"/>
    <s v="NOTA DE CREDITO"/>
    <s v="FC02"/>
    <n v="70"/>
    <n v="-768.72"/>
    <s v=""/>
    <n v="-138.36000000000001"/>
    <s v=""/>
    <n v="0"/>
    <n v="-907.08"/>
    <m/>
    <m/>
    <s v="001"/>
    <s v="FA02"/>
    <s v="1123"/>
    <s v="60.3.5.1"/>
    <s v="Devolucion de ITEM FT_ FA02_1123"/>
    <x v="0"/>
  </r>
  <r>
    <s v="10/06/2025"/>
    <x v="0"/>
    <s v="001"/>
    <s v="06_000491"/>
    <x v="0"/>
    <s v="94.03"/>
    <s v="Logistica"/>
    <s v="Utiles de escritorios"/>
    <s v="20603045638"/>
    <s v="CORPORACION IMPORTADORA ELIDA EMP. INDIV. DE RESP. LIMITADA - CORPORACION IMPORTADORA ELIDA E.I.R.L."/>
    <x v="0"/>
    <s v="FACTURA"/>
    <s v="FF02"/>
    <n v="2661"/>
    <n v="74.239999999999995"/>
    <s v=""/>
    <n v="13.363199999999999"/>
    <s v=""/>
    <n v="0"/>
    <n v="87.6"/>
    <m/>
    <m/>
    <m/>
    <m/>
    <m/>
    <s v="60.3.1.1"/>
    <s v="Utiles de escritorios"/>
    <x v="0"/>
  </r>
  <r>
    <s v="18/06/2025"/>
    <x v="0"/>
    <s v="001"/>
    <s v="06_000492"/>
    <x v="0"/>
    <s v="94.03"/>
    <s v="Logistica"/>
    <s v="Anulacion de operacion FT _ FF02_2638"/>
    <s v="20603045638"/>
    <s v="CORPORACION IMPORTADORA ELIDA EMP. INDIV. DE RESP. LIMITADA - CORPORACION IMPORTADORA ELIDA E.I.R.L."/>
    <x v="4"/>
    <s v="NOTA DE CREDITO"/>
    <s v="FF01"/>
    <n v="126"/>
    <n v="-1258.6400000000001"/>
    <s v=""/>
    <n v="-226.56"/>
    <s v=""/>
    <n v="0"/>
    <n v="-1485.2"/>
    <m/>
    <m/>
    <s v="001"/>
    <s v="FF02"/>
    <s v="2638"/>
    <s v="60.3.1.1"/>
    <s v="Anulacion de operacion FT _ FF02_2638"/>
    <x v="0"/>
  </r>
  <r>
    <s v="18/06/2025"/>
    <x v="0"/>
    <s v="001"/>
    <s v="06_000493"/>
    <x v="0"/>
    <s v="94.03"/>
    <s v="Logistica"/>
    <s v="Utiles de escritorios R.Q.LOG.308"/>
    <s v="20603045638"/>
    <s v="CORPORACION IMPORTADORA ELIDA EMP. INDIV. DE RESP. LIMITADA - CORPORACION IMPORTADORA ELIDA E.I.R.L."/>
    <x v="0"/>
    <s v="FACTURA"/>
    <s v="FF02"/>
    <n v="2723"/>
    <n v="1279.6600000000001"/>
    <s v=""/>
    <n v="230.33879999999999"/>
    <s v=""/>
    <n v="0"/>
    <n v="1510"/>
    <m/>
    <m/>
    <m/>
    <m/>
    <m/>
    <s v="60.3.1.1"/>
    <s v="Utiles de escritorios R.Q.LOG.308"/>
    <x v="0"/>
  </r>
  <r>
    <s v="01/07/2025"/>
    <x v="1"/>
    <s v="001"/>
    <s v="07-000001"/>
    <x v="0"/>
    <s v="94.01"/>
    <s v="Administracion"/>
    <s v="Vigilancia (Cámaras de Seguridad)"/>
    <s v="20549068201"/>
    <s v="VERISURE PERU S.A.C."/>
    <x v="0"/>
    <s v="FACTURA"/>
    <s v="FE27"/>
    <n v="23159"/>
    <n v="166.54"/>
    <m/>
    <n v="29.977199999999996"/>
    <m/>
    <n v="0"/>
    <n v="196.52"/>
    <m/>
    <m/>
    <m/>
    <m/>
    <m/>
    <s v="63.6.9.1"/>
    <s v="Vigilancia (Cámaras de Seguridad)"/>
    <x v="0"/>
  </r>
  <r>
    <s v="01/07/2025"/>
    <x v="1"/>
    <s v="001"/>
    <s v="07-000002"/>
    <x v="1"/>
    <s v="91.06.02.01"/>
    <s v="V9R_903"/>
    <s v="Mantenimiento Vehicular (Preventivo) RQ.OPE.1234 OS 006 _ 152"/>
    <s v="20602441165"/>
    <s v="VOLVO ENGINE AQP E.I.R.L."/>
    <x v="0"/>
    <s v="FACTURA"/>
    <s v="F001"/>
    <n v="492"/>
    <n v="330"/>
    <m/>
    <n v="59.4"/>
    <m/>
    <n v="0"/>
    <n v="389.4"/>
    <m/>
    <m/>
    <m/>
    <m/>
    <m/>
    <s v="63.4.3.2.02"/>
    <s v="Mantenimiento Vehicular (Preventivo) RQ.OPE.1234 OS 006 _ 152"/>
    <x v="3"/>
  </r>
  <r>
    <s v="01/07/2025"/>
    <x v="1"/>
    <s v="001"/>
    <s v="07-000003"/>
    <x v="1"/>
    <s v="91.06.02.01"/>
    <s v="V9R_903"/>
    <s v="Mantenimiento Vehicular (Preventivo) RQ.OPE.1234 OS 006 _ 152"/>
    <s v="20602441165"/>
    <s v="VOLVO ENGINE AQP E.I.R.L."/>
    <x v="0"/>
    <s v="FACTURA"/>
    <s v="F001"/>
    <n v="493"/>
    <n v="591.53"/>
    <m/>
    <n v="106.47539999999999"/>
    <m/>
    <n v="0"/>
    <n v="698"/>
    <m/>
    <m/>
    <m/>
    <m/>
    <m/>
    <s v="63.4.3.2.02"/>
    <s v="Mantenimiento Vehicular (Preventivo) RQ.OPE.1234 OS 006 _ 152"/>
    <x v="3"/>
  </r>
  <r>
    <s v="04/07/2025"/>
    <x v="1"/>
    <s v="001"/>
    <s v="07-000004"/>
    <x v="1"/>
    <s v="91.05.01"/>
    <s v="Residuos Aprovechables"/>
    <s v="RRSS OC 237"/>
    <s v="20100055237"/>
    <s v="ALICORP SAA"/>
    <x v="0"/>
    <s v="FACTURA"/>
    <s v="F313"/>
    <n v="6553"/>
    <n v="102.6"/>
    <m/>
    <n v="18.468"/>
    <m/>
    <n v="0"/>
    <n v="121.07"/>
    <s v="275474594"/>
    <s v="9/07/2025"/>
    <m/>
    <m/>
    <m/>
    <s v="60.2.1.1"/>
    <s v="RRSS OC 237"/>
    <x v="6"/>
  </r>
  <r>
    <s v="04/07/2025"/>
    <x v="1"/>
    <s v="001"/>
    <s v="07-000005"/>
    <x v="1"/>
    <s v="91.05.01"/>
    <s v="Residuos Aprovechables"/>
    <s v="RRSS OC 238"/>
    <s v="20100055237"/>
    <s v="ALICORP SAA"/>
    <x v="0"/>
    <s v="FACTURA"/>
    <s v="F313"/>
    <n v="6555"/>
    <n v="57.5"/>
    <m/>
    <n v="10.35"/>
    <m/>
    <n v="0"/>
    <n v="67.849999999999994"/>
    <s v="275474595"/>
    <s v="9/07/2025"/>
    <m/>
    <m/>
    <m/>
    <s v="60.2.1.1"/>
    <s v="RRSS OC 238"/>
    <x v="6"/>
  </r>
  <r>
    <s v="04/07/2025"/>
    <x v="1"/>
    <s v="001"/>
    <s v="07-000006"/>
    <x v="1"/>
    <s v="91.05.01"/>
    <s v="Residuos Aprovechables"/>
    <s v="RRSS OC 239"/>
    <s v="20100055237"/>
    <s v="ALICORP SAA"/>
    <x v="0"/>
    <s v="FACTURA"/>
    <s v="F313"/>
    <n v="6554"/>
    <n v="486"/>
    <m/>
    <n v="87.47999999999999"/>
    <m/>
    <n v="0"/>
    <n v="573.48"/>
    <s v="275474596"/>
    <s v="9/07/2025"/>
    <m/>
    <m/>
    <m/>
    <s v="60.2.1.1"/>
    <s v="RRSS OC 239"/>
    <x v="6"/>
  </r>
  <r>
    <s v="04/07/2025"/>
    <x v="1"/>
    <s v="001"/>
    <s v="07-000007"/>
    <x v="1"/>
    <s v="91.05.01"/>
    <s v="Residuos Aprovechables"/>
    <s v="RRSS OC 240"/>
    <s v="20100055237"/>
    <s v="ALICORP SAA"/>
    <x v="0"/>
    <s v="FACTURA"/>
    <s v="F313"/>
    <n v="6557"/>
    <n v="129"/>
    <m/>
    <n v="23.22"/>
    <m/>
    <n v="0"/>
    <n v="152.22"/>
    <s v="275474597"/>
    <s v="9/07/2025"/>
    <m/>
    <m/>
    <m/>
    <s v="60.2.1.1"/>
    <s v="RRSS OC 240"/>
    <x v="6"/>
  </r>
  <r>
    <s v="04/07/2025"/>
    <x v="1"/>
    <s v="001"/>
    <s v="07-000008"/>
    <x v="1"/>
    <s v="91.05.01"/>
    <s v="Residuos Aprovechables"/>
    <s v="RRSS OC 241"/>
    <s v="20100055237"/>
    <s v="ALICORP SAA"/>
    <x v="0"/>
    <s v="FACTURA"/>
    <s v="F313"/>
    <n v="6556"/>
    <n v="5.4"/>
    <m/>
    <n v="0.97199999999999998"/>
    <m/>
    <n v="0"/>
    <n v="6.37"/>
    <s v="275474598"/>
    <s v="9/07/2025"/>
    <m/>
    <m/>
    <m/>
    <s v="60.2.1.1"/>
    <s v="RRSS OC 241"/>
    <x v="6"/>
  </r>
  <r>
    <s v="04/07/2025"/>
    <x v="1"/>
    <s v="001"/>
    <s v="07-000009"/>
    <x v="1"/>
    <s v="91.05.01"/>
    <s v="Residuos Aprovechables"/>
    <s v="RRSS OC 242"/>
    <s v="20100055237"/>
    <s v="ALICORP SAA"/>
    <x v="0"/>
    <s v="FACTURA"/>
    <s v="F313"/>
    <n v="6558"/>
    <n v="384"/>
    <m/>
    <n v="69.12"/>
    <m/>
    <n v="0"/>
    <n v="453.12"/>
    <s v="275474599"/>
    <s v="9/07/2025"/>
    <m/>
    <m/>
    <m/>
    <s v="60.2.1.1"/>
    <s v="RRSS OC 242"/>
    <x v="6"/>
  </r>
  <r>
    <s v="24/06/2025"/>
    <x v="1"/>
    <s v="001"/>
    <s v="07-000010"/>
    <x v="0"/>
    <m/>
    <m/>
    <m/>
    <s v="10420945511"/>
    <s v="COAQUIRA PAUCAR MARK FRANK"/>
    <x v="1"/>
    <s v="BOLETA DE VENTA"/>
    <s v="001"/>
    <s v="4329"/>
    <m/>
    <m/>
    <n v="0"/>
    <m/>
    <n v="14"/>
    <n v="14"/>
    <m/>
    <m/>
    <m/>
    <m/>
    <m/>
    <m/>
    <m/>
    <x v="0"/>
  </r>
  <r>
    <s v="23/06/2025"/>
    <x v="1"/>
    <s v="001"/>
    <s v="07-000011"/>
    <x v="0"/>
    <m/>
    <m/>
    <m/>
    <s v="10416031679"/>
    <s v="ALARCON ZAIRA ABRAHAM JESUS"/>
    <x v="0"/>
    <s v="FACTURA"/>
    <s v="E001"/>
    <s v="292"/>
    <n v="167.37"/>
    <m/>
    <n v="30.13"/>
    <m/>
    <n v="0"/>
    <n v="197.5"/>
    <m/>
    <m/>
    <m/>
    <m/>
    <m/>
    <m/>
    <m/>
    <x v="0"/>
  </r>
  <r>
    <s v="17/06/2025"/>
    <x v="1"/>
    <s v="001"/>
    <s v="07-000012"/>
    <x v="0"/>
    <m/>
    <m/>
    <m/>
    <s v="20434853428"/>
    <s v="GRUPO LLANTOY S.R.L."/>
    <x v="0"/>
    <s v="FACTURA"/>
    <s v="E001"/>
    <s v="2184"/>
    <n v="50.8"/>
    <m/>
    <n v="9.14"/>
    <m/>
    <n v="0"/>
    <n v="59.94"/>
    <m/>
    <m/>
    <m/>
    <m/>
    <m/>
    <m/>
    <m/>
    <x v="0"/>
  </r>
  <r>
    <s v="17/06/2025"/>
    <x v="1"/>
    <s v="001"/>
    <s v="07-000013"/>
    <x v="0"/>
    <m/>
    <m/>
    <m/>
    <s v="10418275788"/>
    <s v="SOSA QUISPE DE MEZA MARLENE ELIZABETH"/>
    <x v="0"/>
    <s v="FACTURA"/>
    <s v="E001"/>
    <s v="3588"/>
    <n v="118.64"/>
    <m/>
    <n v="21.36"/>
    <m/>
    <n v="0"/>
    <n v="140"/>
    <m/>
    <m/>
    <m/>
    <m/>
    <m/>
    <m/>
    <m/>
    <x v="0"/>
  </r>
  <r>
    <s v="17/06/2025"/>
    <x v="1"/>
    <s v="001"/>
    <s v="07-000014"/>
    <x v="0"/>
    <m/>
    <m/>
    <m/>
    <s v="10470946054"/>
    <s v="AYMACHOQUE MENDO MILY RUTH"/>
    <x v="0"/>
    <s v="FACTURA"/>
    <s v="F001"/>
    <s v="6063"/>
    <n v="28.81"/>
    <m/>
    <n v="5.19"/>
    <m/>
    <n v="0"/>
    <n v="34"/>
    <m/>
    <m/>
    <m/>
    <m/>
    <m/>
    <m/>
    <m/>
    <x v="0"/>
  </r>
  <r>
    <s v="25/06/2025"/>
    <x v="1"/>
    <s v="001"/>
    <s v="07-000017"/>
    <x v="0"/>
    <m/>
    <m/>
    <m/>
    <s v="20259858934"/>
    <s v="COMERCIALIZACION Y SERVICIOS EL EDEN S.A.C."/>
    <x v="0"/>
    <s v="FACTURA"/>
    <s v="FE02"/>
    <s v="16740"/>
    <n v="16.95"/>
    <m/>
    <n v="3.05"/>
    <m/>
    <n v="0"/>
    <n v="20"/>
    <m/>
    <m/>
    <m/>
    <m/>
    <m/>
    <m/>
    <m/>
    <x v="0"/>
  </r>
  <r>
    <s v="10/06/2025"/>
    <x v="1"/>
    <s v="001"/>
    <s v="07-000022"/>
    <x v="0"/>
    <m/>
    <m/>
    <m/>
    <s v="20608300393"/>
    <s v="COMPAÑIA FOOD RETAIL S.A.C."/>
    <x v="0"/>
    <s v="FACTURA"/>
    <s v="FA06"/>
    <s v="2350462"/>
    <n v="101.27"/>
    <m/>
    <n v="18.23"/>
    <m/>
    <n v="0"/>
    <n v="119.5"/>
    <m/>
    <m/>
    <m/>
    <m/>
    <m/>
    <m/>
    <m/>
    <x v="0"/>
  </r>
  <r>
    <s v="20/06/2025"/>
    <x v="1"/>
    <s v="001"/>
    <s v="07-000023"/>
    <x v="0"/>
    <m/>
    <m/>
    <m/>
    <s v="20512528458"/>
    <s v="SHALOM EMPRESARIAL S.A.C."/>
    <x v="0"/>
    <s v="FACTURA"/>
    <s v="F207"/>
    <s v="285896"/>
    <n v="18.64"/>
    <m/>
    <n v="3.36"/>
    <m/>
    <n v="0"/>
    <n v="22"/>
    <m/>
    <m/>
    <m/>
    <m/>
    <m/>
    <m/>
    <m/>
    <x v="0"/>
  </r>
  <r>
    <s v="12/06/2025"/>
    <x v="1"/>
    <s v="001"/>
    <s v="07-000025"/>
    <x v="0"/>
    <m/>
    <m/>
    <m/>
    <s v="20611525568"/>
    <s v="DISTRIBUCIONES Y MULTISERVICIOS COROPUNA E.I.R.L."/>
    <x v="0"/>
    <s v="FACTURA"/>
    <s v="E001"/>
    <s v="8919"/>
    <n v="36.44"/>
    <m/>
    <n v="6.56"/>
    <m/>
    <n v="0"/>
    <n v="43"/>
    <m/>
    <m/>
    <m/>
    <m/>
    <m/>
    <m/>
    <m/>
    <x v="0"/>
  </r>
  <r>
    <s v="27/06/2025"/>
    <x v="1"/>
    <s v="001"/>
    <s v="07-000026"/>
    <x v="0"/>
    <m/>
    <m/>
    <m/>
    <s v="20454067682"/>
    <s v="FERRETERIA Y MATERIALES DE CONSTRUCCION S.R.L. - FEMACO S.R.L."/>
    <x v="0"/>
    <s v="FACTURA"/>
    <s v="F410"/>
    <s v="8789"/>
    <n v="64.17"/>
    <m/>
    <n v="11.55"/>
    <m/>
    <n v="0"/>
    <n v="75.72"/>
    <m/>
    <m/>
    <m/>
    <m/>
    <m/>
    <m/>
    <m/>
    <x v="0"/>
  </r>
  <r>
    <s v="17/06/2025"/>
    <x v="1"/>
    <s v="001"/>
    <s v="07-000029"/>
    <x v="0"/>
    <m/>
    <m/>
    <m/>
    <s v="10776582331"/>
    <s v="ALCCA QUISPE THALIA JACKELINE"/>
    <x v="1"/>
    <s v="BOLETA DE VENTA"/>
    <s v="001"/>
    <s v="21501"/>
    <n v="0"/>
    <m/>
    <n v="0"/>
    <m/>
    <n v="230"/>
    <n v="230"/>
    <m/>
    <m/>
    <m/>
    <m/>
    <m/>
    <m/>
    <m/>
    <x v="0"/>
  </r>
  <r>
    <s v="25/06/2025"/>
    <x v="1"/>
    <s v="001"/>
    <s v="07-000030"/>
    <x v="0"/>
    <m/>
    <m/>
    <m/>
    <s v="10736055631"/>
    <s v="HUAMANI MAMANI HUBER ANTHONY"/>
    <x v="0"/>
    <s v="FACTURA"/>
    <s v="E001"/>
    <s v="10"/>
    <n v="400"/>
    <m/>
    <n v="72"/>
    <m/>
    <n v="0"/>
    <n v="472"/>
    <s v="275528071"/>
    <s v="10/07/2025"/>
    <m/>
    <m/>
    <m/>
    <m/>
    <m/>
    <x v="0"/>
  </r>
  <r>
    <s v="25/06/2025"/>
    <x v="1"/>
    <s v="001"/>
    <s v="07-000031"/>
    <x v="0"/>
    <m/>
    <m/>
    <m/>
    <s v="10706063426"/>
    <s v="FARFAN RIEGA YESENIA ELIZABETH"/>
    <x v="0"/>
    <s v="FACTURA"/>
    <s v="E001"/>
    <s v="492"/>
    <n v="110.17"/>
    <m/>
    <n v="19.829999999999998"/>
    <m/>
    <n v="0"/>
    <n v="130"/>
    <m/>
    <m/>
    <m/>
    <m/>
    <m/>
    <m/>
    <m/>
    <x v="0"/>
  </r>
  <r>
    <s v="04/06/2025"/>
    <x v="1"/>
    <s v="001"/>
    <s v="07-000032"/>
    <x v="0"/>
    <m/>
    <m/>
    <m/>
    <s v="10706063426"/>
    <s v="FARFAN RIEGA YESENIA ELIZABETH"/>
    <x v="0"/>
    <s v="FACTURA"/>
    <s v="E001"/>
    <s v="458"/>
    <n v="84.75"/>
    <m/>
    <n v="15.25"/>
    <m/>
    <n v="0"/>
    <n v="100"/>
    <m/>
    <m/>
    <m/>
    <m/>
    <m/>
    <m/>
    <m/>
    <x v="0"/>
  </r>
  <r>
    <s v="19/06/2025"/>
    <x v="1"/>
    <s v="001"/>
    <s v="07-000033"/>
    <x v="0"/>
    <m/>
    <m/>
    <m/>
    <s v="20259858934"/>
    <s v="COMERCIALIZACION Y SERVICIOS EL EDEN S.A.C."/>
    <x v="0"/>
    <s v="FACTURA"/>
    <s v="FE02"/>
    <s v="16705"/>
    <n v="16.95"/>
    <m/>
    <n v="3.05"/>
    <m/>
    <n v="0"/>
    <n v="20"/>
    <m/>
    <m/>
    <m/>
    <m/>
    <m/>
    <m/>
    <m/>
    <x v="0"/>
  </r>
  <r>
    <s v="06/06/2025"/>
    <x v="1"/>
    <s v="001"/>
    <s v="07-000034"/>
    <x v="0"/>
    <m/>
    <m/>
    <m/>
    <s v="20455911401"/>
    <s v="SKY HIGH SOCIEDAD ANONIMA CERRADA - SKY HIGH S.A.C."/>
    <x v="0"/>
    <s v="FACTURA"/>
    <s v="FA02"/>
    <s v="1426"/>
    <n v="225.56"/>
    <m/>
    <n v="40.6"/>
    <m/>
    <n v="0"/>
    <n v="266.16000000000003"/>
    <m/>
    <m/>
    <m/>
    <m/>
    <m/>
    <m/>
    <m/>
    <x v="0"/>
  </r>
  <r>
    <s v="28/05/2025"/>
    <x v="1"/>
    <s v="001"/>
    <s v="07-000035"/>
    <x v="0"/>
    <m/>
    <m/>
    <m/>
    <s v="20455911401"/>
    <s v="SKY HIGH SOCIEDAD ANONIMA CERRADA - SKY HIGH S.A.C."/>
    <x v="0"/>
    <s v="FACTURA"/>
    <s v="FA02"/>
    <s v="1322"/>
    <n v="1298.8800000000001"/>
    <m/>
    <n v="233.8"/>
    <m/>
    <n v="0"/>
    <n v="1532.68"/>
    <m/>
    <m/>
    <m/>
    <m/>
    <m/>
    <m/>
    <m/>
    <x v="0"/>
  </r>
  <r>
    <s v="04/06/2025"/>
    <x v="1"/>
    <s v="001"/>
    <s v="07-000037"/>
    <x v="0"/>
    <m/>
    <m/>
    <m/>
    <s v="20455911401"/>
    <s v="SKY HIGH SOCIEDAD ANONIMA CERRADA - SKY HIGH S.A.C."/>
    <x v="0"/>
    <s v="FACTURA"/>
    <s v="FA02"/>
    <s v="1403"/>
    <n v="580.5"/>
    <m/>
    <n v="104.49"/>
    <m/>
    <n v="0"/>
    <n v="684.99"/>
    <m/>
    <m/>
    <m/>
    <m/>
    <m/>
    <m/>
    <m/>
    <x v="0"/>
  </r>
  <r>
    <s v="20/06/2025"/>
    <x v="1"/>
    <s v="001"/>
    <s v="07-000038"/>
    <x v="0"/>
    <m/>
    <m/>
    <m/>
    <s v="20455911401"/>
    <s v="SKY HIGH SOCIEDAD ANONIMA CERRADA - SKY HIGH S.A.C."/>
    <x v="0"/>
    <s v="FACTURA"/>
    <s v="FA02"/>
    <s v="1588"/>
    <n v="451.5"/>
    <m/>
    <n v="81.27"/>
    <m/>
    <n v="0"/>
    <n v="532.77"/>
    <m/>
    <m/>
    <m/>
    <m/>
    <m/>
    <m/>
    <m/>
    <x v="0"/>
  </r>
  <r>
    <s v="03/07/2025"/>
    <x v="1"/>
    <s v="001"/>
    <s v="07-000039"/>
    <x v="1"/>
    <s v="91.06.01"/>
    <s v="Operaciones"/>
    <s v="Pata de sensor de plataforma RQ.LOG.331"/>
    <s v="20603001461"/>
    <s v="BALANZAS WARTON S.R.L."/>
    <x v="0"/>
    <s v="FACTURA"/>
    <s v="E001"/>
    <n v="721"/>
    <n v="42.37"/>
    <m/>
    <n v="7.6265999999999989"/>
    <m/>
    <n v="0"/>
    <n v="50"/>
    <m/>
    <m/>
    <m/>
    <m/>
    <m/>
    <s v="63.4.3.4.03"/>
    <s v="Pata de sensor de plataforma RQ.LOG.331"/>
    <x v="27"/>
  </r>
  <r>
    <s v="04/07/2025"/>
    <x v="1"/>
    <s v="001"/>
    <s v="07-000040"/>
    <x v="1"/>
    <s v="91.06.02.07"/>
    <s v="VDJ_872"/>
    <s v="Peaje 24792"/>
    <s v="20517252558"/>
    <s v="CONCESIONARIA VIAL DEL SUR S.A.- COVISUR S.A."/>
    <x v="0"/>
    <s v="FACTURA"/>
    <s v="F214"/>
    <n v="2102684"/>
    <n v="6.78"/>
    <m/>
    <n v="1.2203999999999999"/>
    <m/>
    <n v="0"/>
    <n v="8"/>
    <m/>
    <m/>
    <m/>
    <m/>
    <s v="24792"/>
    <s v="63.1.1.3.02"/>
    <s v="Peaje 24792"/>
    <x v="8"/>
  </r>
  <r>
    <s v="04/07/2025"/>
    <x v="1"/>
    <s v="001"/>
    <s v="07-000041"/>
    <x v="1"/>
    <s v="91.06.02.07"/>
    <s v="VDJ_872"/>
    <s v="Peaje 24793"/>
    <s v="20517252558"/>
    <s v="CONCESIONARIA VIAL DEL SUR S.A.- COVISUR S.A."/>
    <x v="0"/>
    <s v="FACTURA"/>
    <s v="F212"/>
    <n v="1776469"/>
    <n v="6.78"/>
    <m/>
    <n v="1.2203999999999999"/>
    <m/>
    <n v="0"/>
    <n v="8"/>
    <m/>
    <m/>
    <m/>
    <m/>
    <s v="24793"/>
    <s v="63.1.1.3.02"/>
    <s v="Peaje 24793"/>
    <x v="8"/>
  </r>
  <r>
    <s v="04/07/2025"/>
    <x v="1"/>
    <s v="001"/>
    <s v="07-000042"/>
    <x v="1"/>
    <s v="91.06.02.07"/>
    <s v="VDJ_872"/>
    <s v="Lavado 24795"/>
    <s v="10251876211"/>
    <s v="MELENDEZ CHALLCO ALBERTO"/>
    <x v="0"/>
    <s v="FACTURA"/>
    <s v="F001"/>
    <n v="16006"/>
    <n v="29.66"/>
    <m/>
    <n v="5.3388"/>
    <m/>
    <n v="0"/>
    <n v="35"/>
    <m/>
    <m/>
    <m/>
    <m/>
    <s v="24795"/>
    <s v="63.1.1.5.01"/>
    <s v="Lavado 24795"/>
    <x v="14"/>
  </r>
  <r>
    <s v="04/07/2025"/>
    <x v="1"/>
    <s v="001"/>
    <s v="07-000043"/>
    <x v="1"/>
    <s v="91.06.02.07"/>
    <s v="VDJ_872"/>
    <s v="Balanza 24794"/>
    <s v="20124952850"/>
    <s v="ALIMENTOS Y SERVICIOS AGROPECUARIOS SRL."/>
    <x v="0"/>
    <s v="FACTURA"/>
    <s v="F002"/>
    <n v="133767"/>
    <n v="8.4700000000000006"/>
    <m/>
    <n v="1.5246"/>
    <m/>
    <n v="0"/>
    <n v="10"/>
    <m/>
    <m/>
    <m/>
    <m/>
    <s v="24794"/>
    <s v="63.1.1.7.01"/>
    <s v="Balanza 24794"/>
    <x v="11"/>
  </r>
  <r>
    <s v="07/07/2025"/>
    <x v="1"/>
    <s v="001"/>
    <s v="07-000044"/>
    <x v="1"/>
    <s v="91.06.02.07"/>
    <s v="VDJ_872"/>
    <s v="Balanza 24800"/>
    <s v="20124952850"/>
    <s v="ALIMENTOS Y SERVICIOS AGROPECUARIOS SRL."/>
    <x v="0"/>
    <s v="FACTURA"/>
    <s v="F002"/>
    <n v="133882"/>
    <n v="8.4700000000000006"/>
    <m/>
    <n v="1.5246"/>
    <m/>
    <n v="0"/>
    <n v="10"/>
    <m/>
    <m/>
    <m/>
    <m/>
    <s v="24800"/>
    <s v="63.1.1.7.01"/>
    <s v="Balanza 24800"/>
    <x v="11"/>
  </r>
  <r>
    <s v="02/07/2025"/>
    <x v="1"/>
    <s v="001"/>
    <s v="07-000045"/>
    <x v="1"/>
    <s v="91.06.02.01"/>
    <s v="V9R_903"/>
    <s v="Peaje 24781"/>
    <s v="20517252558"/>
    <s v="CONCESIONARIA VIAL DEL SUR S.A.- COVISUR S.A."/>
    <x v="0"/>
    <s v="FACTURA"/>
    <s v="F214"/>
    <n v="2100880"/>
    <n v="10.17"/>
    <m/>
    <n v="1.8306"/>
    <m/>
    <n v="0"/>
    <n v="12"/>
    <m/>
    <m/>
    <m/>
    <m/>
    <s v="24781"/>
    <s v="63.1.1.3.03"/>
    <s v="Peaje 24781"/>
    <x v="7"/>
  </r>
  <r>
    <s v="04/07/2025"/>
    <x v="1"/>
    <s v="001"/>
    <s v="07-000046"/>
    <x v="1"/>
    <s v="91.06.02.01"/>
    <s v="V9R_903"/>
    <s v="Peaje 24797"/>
    <s v="20517252558"/>
    <s v="CONCESIONARIA VIAL DEL SUR S.A.- COVISUR S.A."/>
    <x v="0"/>
    <s v="FACTURA"/>
    <s v="F211"/>
    <n v="2388697"/>
    <n v="10.17"/>
    <m/>
    <n v="1.8306"/>
    <m/>
    <n v="0"/>
    <n v="12"/>
    <m/>
    <m/>
    <m/>
    <m/>
    <m/>
    <s v="63.1.1.3.03"/>
    <s v="Peaje 24797"/>
    <x v="7"/>
  </r>
  <r>
    <s v="02/07/2025"/>
    <x v="1"/>
    <s v="001"/>
    <s v="07-000047"/>
    <x v="1"/>
    <s v="91.06.02.01"/>
    <s v="V9R_903"/>
    <s v="Peaje 24780"/>
    <s v="20517252558"/>
    <s v="CONCESIONARIA VIAL DEL SUR S.A.- COVISUR S.A."/>
    <x v="0"/>
    <s v="FACTURA"/>
    <s v="F211"/>
    <n v="2386514"/>
    <n v="10.17"/>
    <m/>
    <n v="1.8306"/>
    <m/>
    <n v="0"/>
    <n v="12"/>
    <m/>
    <m/>
    <m/>
    <m/>
    <s v="24780"/>
    <s v="63.1.1.3.03"/>
    <s v="Peaje 24780"/>
    <x v="7"/>
  </r>
  <r>
    <s v="04/07/2025"/>
    <x v="1"/>
    <s v="001"/>
    <s v="07-000048"/>
    <x v="1"/>
    <s v="91.06.02.01"/>
    <s v="V9R_903"/>
    <s v="Peaje 24799"/>
    <s v="20517252558"/>
    <s v="CONCESIONARIA VIAL DEL SUR S.A.- COVISUR S.A."/>
    <x v="0"/>
    <s v="FACTURA"/>
    <s v="F214"/>
    <n v="2102685"/>
    <n v="10.17"/>
    <m/>
    <n v="1.8306"/>
    <m/>
    <n v="0"/>
    <n v="12"/>
    <m/>
    <m/>
    <m/>
    <m/>
    <s v="24799"/>
    <s v="63.1.1.3.02"/>
    <s v="Peaje 24799"/>
    <x v="8"/>
  </r>
  <r>
    <s v="04/07/2025"/>
    <x v="1"/>
    <s v="001"/>
    <s v="07-000049"/>
    <x v="1"/>
    <s v="91.06.02.01"/>
    <s v="V9R_903"/>
    <s v="Peaje 24798"/>
    <s v="20517252558"/>
    <s v="CONCESIONARIA VIAL DEL SUR S.A.- COVISUR S.A."/>
    <x v="0"/>
    <s v="FACTURA"/>
    <s v="F213"/>
    <n v="1796255"/>
    <n v="10.17"/>
    <m/>
    <n v="1.8306"/>
    <m/>
    <n v="0"/>
    <n v="12"/>
    <m/>
    <m/>
    <m/>
    <m/>
    <m/>
    <s v="63.1.1.3.02"/>
    <s v="Peaje 24798"/>
    <x v="8"/>
  </r>
  <r>
    <s v="01/07/2025"/>
    <x v="1"/>
    <s v="001"/>
    <s v="07-000050"/>
    <x v="1"/>
    <s v="91.06.02.03"/>
    <s v="BKL_739"/>
    <s v="Peaje 24769"/>
    <s v="20517252558"/>
    <s v="CONCESIONARIA VIAL DEL SUR S.A.- COVISUR S.A."/>
    <x v="0"/>
    <s v="FACTURA"/>
    <s v="F211"/>
    <n v="2385579"/>
    <n v="6.78"/>
    <m/>
    <n v="1.2203999999999999"/>
    <m/>
    <n v="0"/>
    <n v="8"/>
    <m/>
    <m/>
    <m/>
    <m/>
    <s v="24769"/>
    <s v="63.1.1.3.02"/>
    <s v="Peaje 24769"/>
    <x v="8"/>
  </r>
  <r>
    <s v="01/07/2025"/>
    <x v="1"/>
    <s v="001"/>
    <s v="07-000051"/>
    <x v="1"/>
    <s v="91.06.02.03"/>
    <s v="BKL_739"/>
    <s v="Peaje 24768"/>
    <s v="20517252558"/>
    <s v="CONCESIONARIA VIAL DEL SUR S.A.- COVISUR S.A."/>
    <x v="0"/>
    <s v="FACTURA"/>
    <s v="F213"/>
    <n v="1794131"/>
    <n v="6.78"/>
    <m/>
    <n v="1.2203999999999999"/>
    <m/>
    <n v="0"/>
    <n v="8"/>
    <m/>
    <m/>
    <m/>
    <m/>
    <s v="24768"/>
    <s v="63.1.1.3.02"/>
    <s v="Peaje 24768"/>
    <x v="8"/>
  </r>
  <r>
    <s v="02/07/2025"/>
    <x v="1"/>
    <s v="001"/>
    <s v="07-000052"/>
    <x v="1"/>
    <s v="91.06.02.07"/>
    <s v="VDJ_872"/>
    <s v="Peaje 24778"/>
    <s v="20517252558"/>
    <s v="CONCESIONARIA VIAL DEL SUR S.A.- COVISUR S.A."/>
    <x v="0"/>
    <s v="FACTURA"/>
    <s v="F212"/>
    <n v="1774814"/>
    <n v="6.78"/>
    <m/>
    <n v="1.2203999999999999"/>
    <m/>
    <n v="0"/>
    <n v="8"/>
    <m/>
    <m/>
    <m/>
    <m/>
    <s v="24778"/>
    <s v="63.1.1.3.02"/>
    <s v="Peaje 24778"/>
    <x v="8"/>
  </r>
  <r>
    <s v="02/07/2025"/>
    <x v="1"/>
    <s v="001"/>
    <s v="07-000053"/>
    <x v="1"/>
    <s v="91.06.02.07"/>
    <s v="VDJ_872"/>
    <s v="Balanza 24775"/>
    <s v="20259858934"/>
    <s v="COMERCIALIZACION Y SERVICIOS EL EDEN S.A.C."/>
    <x v="0"/>
    <s v="FACTURA"/>
    <s v="FE02"/>
    <n v="16864"/>
    <n v="16.95"/>
    <m/>
    <n v="3.0509999999999997"/>
    <m/>
    <n v="0"/>
    <n v="20"/>
    <m/>
    <m/>
    <m/>
    <m/>
    <s v="24775"/>
    <s v="63.1.1.7.02"/>
    <s v="Balanza 24775"/>
    <x v="1"/>
  </r>
  <r>
    <s v="02/07/2025"/>
    <x v="1"/>
    <s v="001"/>
    <s v="07-000054"/>
    <x v="1"/>
    <s v="91.06.02.07"/>
    <s v="VDJ_872"/>
    <s v="Balanza 24776"/>
    <s v="20259858934"/>
    <s v="COMERCIALIZACION Y SERVICIOS EL EDEN S.A.C."/>
    <x v="0"/>
    <s v="FACTURA"/>
    <s v="FE02"/>
    <n v="16862"/>
    <n v="16.95"/>
    <m/>
    <n v="3.0509999999999997"/>
    <m/>
    <n v="0"/>
    <n v="20"/>
    <m/>
    <m/>
    <m/>
    <m/>
    <s v="24776"/>
    <s v="63.1.1.7.02"/>
    <s v="Balanza 24776"/>
    <x v="1"/>
  </r>
  <r>
    <s v="30/05/2025"/>
    <x v="1"/>
    <s v="001"/>
    <s v="07-000057"/>
    <x v="0"/>
    <m/>
    <m/>
    <m/>
    <s v="20546153372"/>
    <s v="GLOBAL PERLA´S CAR S.A.C."/>
    <x v="0"/>
    <s v="FACTURA"/>
    <s v="F004"/>
    <s v="117018"/>
    <n v="40.93"/>
    <m/>
    <n v="7.37"/>
    <m/>
    <n v="0"/>
    <n v="48.3"/>
    <m/>
    <m/>
    <m/>
    <m/>
    <s v="002-2355"/>
    <m/>
    <m/>
    <x v="0"/>
  </r>
  <r>
    <s v="13/06/2025"/>
    <x v="1"/>
    <s v="001"/>
    <s v="07-000058"/>
    <x v="0"/>
    <m/>
    <m/>
    <m/>
    <s v="20100686814"/>
    <s v="OLVA COURIER S.A.C"/>
    <x v="0"/>
    <s v="FACTURA"/>
    <s v="F353"/>
    <s v="34915"/>
    <n v="14.07"/>
    <m/>
    <n v="2.5299999999999998"/>
    <m/>
    <n v="0"/>
    <n v="16.600000000000001"/>
    <m/>
    <m/>
    <m/>
    <m/>
    <s v="002-2366"/>
    <m/>
    <m/>
    <x v="0"/>
  </r>
  <r>
    <s v="13/06/2025"/>
    <x v="1"/>
    <s v="001"/>
    <s v="07-000059"/>
    <x v="0"/>
    <m/>
    <m/>
    <m/>
    <s v="20546153372"/>
    <s v="GLOBAL PERLA´S CAR S.A.C."/>
    <x v="0"/>
    <s v="FACTURA"/>
    <s v="F004"/>
    <s v="117807"/>
    <n v="47.46"/>
    <m/>
    <n v="8.5399999999999991"/>
    <m/>
    <n v="0"/>
    <n v="56"/>
    <m/>
    <m/>
    <m/>
    <m/>
    <s v="002-2367"/>
    <m/>
    <m/>
    <x v="0"/>
  </r>
  <r>
    <s v="17/06/2025"/>
    <x v="1"/>
    <s v="001"/>
    <s v="07-000060"/>
    <x v="0"/>
    <m/>
    <m/>
    <m/>
    <s v="20546153372"/>
    <s v="GLOBAL PERLA´S CAR S.A.C."/>
    <x v="0"/>
    <s v="FACTURA"/>
    <s v="F004"/>
    <s v="117980"/>
    <n v="47.46"/>
    <m/>
    <n v="8.5399999999999991"/>
    <m/>
    <n v="0"/>
    <n v="56"/>
    <m/>
    <m/>
    <m/>
    <m/>
    <s v="002-2370"/>
    <m/>
    <m/>
    <x v="0"/>
  </r>
  <r>
    <s v="20/06/2025"/>
    <x v="1"/>
    <s v="001"/>
    <s v="07-000061"/>
    <x v="0"/>
    <m/>
    <m/>
    <m/>
    <s v="20100686814"/>
    <s v="OLVA COURIER S.A.C"/>
    <x v="0"/>
    <s v="FACTURA"/>
    <s v="F352"/>
    <s v="76779"/>
    <n v="14.07"/>
    <m/>
    <n v="2.5299999999999998"/>
    <m/>
    <n v="0"/>
    <n v="16.600000000000001"/>
    <m/>
    <m/>
    <m/>
    <m/>
    <s v="002-2374"/>
    <m/>
    <m/>
    <x v="0"/>
  </r>
  <r>
    <s v="24/06/2025"/>
    <x v="1"/>
    <s v="001"/>
    <s v="07-000062"/>
    <x v="0"/>
    <m/>
    <m/>
    <m/>
    <s v="20546153372"/>
    <s v="GLOBAL PERLA´S CAR S.A.C."/>
    <x v="0"/>
    <s v="FACTURA"/>
    <s v="F004"/>
    <s v="118445"/>
    <n v="47.46"/>
    <m/>
    <n v="8.5399999999999991"/>
    <m/>
    <n v="0"/>
    <n v="56"/>
    <m/>
    <m/>
    <m/>
    <m/>
    <m/>
    <m/>
    <m/>
    <x v="0"/>
  </r>
  <r>
    <s v="26/06/2025"/>
    <x v="1"/>
    <s v="001"/>
    <s v="07-000063"/>
    <x v="0"/>
    <m/>
    <m/>
    <m/>
    <s v="20100686814"/>
    <s v="OLVA COURIER S.A.C"/>
    <x v="0"/>
    <s v="FACTURA"/>
    <s v="F353"/>
    <s v="35002"/>
    <n v="14.07"/>
    <m/>
    <n v="2.5299999999999998"/>
    <m/>
    <n v="0"/>
    <n v="16.600000000000001"/>
    <m/>
    <m/>
    <m/>
    <m/>
    <s v="002-2380"/>
    <m/>
    <m/>
    <x v="0"/>
  </r>
  <r>
    <s v="30/06/2025"/>
    <x v="1"/>
    <s v="001"/>
    <s v="07-000064"/>
    <x v="0"/>
    <m/>
    <m/>
    <m/>
    <s v="20550372640"/>
    <s v="RUTAS DE LIMA S.A.C."/>
    <x v="0"/>
    <s v="FACTURA"/>
    <s v="F605"/>
    <s v="1570248"/>
    <n v="12.71"/>
    <m/>
    <n v="2.29"/>
    <m/>
    <n v="0"/>
    <n v="15"/>
    <m/>
    <m/>
    <m/>
    <m/>
    <s v="24751"/>
    <m/>
    <m/>
    <x v="0"/>
  </r>
  <r>
    <s v="30/06/2025"/>
    <x v="1"/>
    <s v="001"/>
    <s v="07-000065"/>
    <x v="0"/>
    <m/>
    <m/>
    <m/>
    <s v="20550372640"/>
    <s v="RUTAS DE LIMA S.A.C."/>
    <x v="0"/>
    <s v="FACTURA"/>
    <s v="F207"/>
    <s v="1172243"/>
    <n v="12.71"/>
    <m/>
    <n v="2.29"/>
    <m/>
    <n v="0"/>
    <n v="15"/>
    <m/>
    <m/>
    <m/>
    <m/>
    <s v="24750"/>
    <m/>
    <m/>
    <x v="0"/>
  </r>
  <r>
    <s v="04/07/2025"/>
    <x v="1"/>
    <s v="001"/>
    <s v="07-000066"/>
    <x v="1"/>
    <s v="91.06.02.04"/>
    <s v="VBB_840"/>
    <s v="Peaje 24789"/>
    <s v="20550372640"/>
    <s v="RUTAS DE LIMA S.A.C."/>
    <x v="0"/>
    <s v="FACTURA"/>
    <s v="F206"/>
    <n v="651684"/>
    <n v="12.71"/>
    <m/>
    <n v="2.2878000000000003"/>
    <m/>
    <n v="0"/>
    <n v="15"/>
    <m/>
    <m/>
    <m/>
    <m/>
    <s v="24789"/>
    <s v="63.1.1.3.02"/>
    <s v="Peaje 24789"/>
    <x v="8"/>
  </r>
  <r>
    <s v="04/07/2025"/>
    <x v="1"/>
    <s v="001"/>
    <s v="07-000067"/>
    <x v="1"/>
    <s v="91.06.02.04"/>
    <s v="VBB_840"/>
    <s v="Peajes 24790"/>
    <s v="20550372640"/>
    <s v="RUTAS DE LIMA S.A.C."/>
    <x v="0"/>
    <s v="FACTURA"/>
    <s v="F611"/>
    <n v="3175453"/>
    <n v="12.71"/>
    <m/>
    <n v="2.2878000000000003"/>
    <m/>
    <n v="0"/>
    <n v="15"/>
    <m/>
    <m/>
    <m/>
    <m/>
    <s v="24790"/>
    <s v="63.1.1.3.02"/>
    <s v="Peajes 24790"/>
    <x v="8"/>
  </r>
  <r>
    <s v="04/07/2025"/>
    <x v="1"/>
    <s v="001"/>
    <s v="07-000068"/>
    <x v="1"/>
    <s v="91.06.02.04"/>
    <s v="VBB_840"/>
    <s v="Lavado 24791"/>
    <s v="20514148539"/>
    <s v="NEGOCIACIONES ABBYCORP E.I.R.L."/>
    <x v="0"/>
    <s v="FACTURA"/>
    <s v="F006"/>
    <n v="41945"/>
    <n v="46.61"/>
    <m/>
    <n v="8.3897999999999993"/>
    <m/>
    <n v="0"/>
    <n v="55"/>
    <m/>
    <m/>
    <m/>
    <m/>
    <s v="24791"/>
    <s v="63.1.1.5.01"/>
    <s v="Lavado 24791"/>
    <x v="14"/>
  </r>
  <r>
    <s v="02/07/2025"/>
    <x v="1"/>
    <s v="001"/>
    <s v="07-000069"/>
    <x v="1"/>
    <s v="91.06.02.03"/>
    <s v="BKL_739"/>
    <s v="Peaje 24802"/>
    <s v="20517252558"/>
    <s v="CONCESIONARIA VIAL DEL SUR S.A.- COVISUR S.A."/>
    <x v="0"/>
    <s v="FACTURA"/>
    <s v="F212"/>
    <n v="1774898"/>
    <n v="6.78"/>
    <m/>
    <n v="1.2203999999999999"/>
    <m/>
    <n v="0"/>
    <n v="8"/>
    <m/>
    <m/>
    <m/>
    <m/>
    <s v="24802"/>
    <s v="63.1.1.3.03"/>
    <s v="Peaje 24802"/>
    <x v="7"/>
  </r>
  <r>
    <s v="02/07/2025"/>
    <x v="1"/>
    <s v="001"/>
    <s v="07-000070"/>
    <x v="1"/>
    <s v="91.06.02.03"/>
    <s v="BKL_739"/>
    <s v="Peaje 24803"/>
    <s v="20517252558"/>
    <s v="CONCESIONARIA VIAL DEL SUR S.A.- COVISUR S.A."/>
    <x v="0"/>
    <s v="FACTURA"/>
    <s v="F214"/>
    <n v="2100874"/>
    <n v="6.78"/>
    <m/>
    <n v="1.2203999999999999"/>
    <m/>
    <n v="0"/>
    <n v="8"/>
    <m/>
    <m/>
    <m/>
    <m/>
    <s v="24803"/>
    <s v="63.1.1.3.02"/>
    <s v="Peaje 24803"/>
    <x v="8"/>
  </r>
  <r>
    <s v="03/07/2025"/>
    <x v="1"/>
    <s v="001"/>
    <s v="07-000071"/>
    <x v="1"/>
    <s v="91.06.02.03"/>
    <s v="BKL_739"/>
    <s v="Peaje 24804"/>
    <s v="20517252558"/>
    <s v="CONCESIONARIA VIAL DEL SUR S.A.- COVISUR S.A."/>
    <x v="0"/>
    <s v="FACTURA"/>
    <s v="F212"/>
    <n v="1775700"/>
    <n v="6.78"/>
    <m/>
    <n v="1.2203999999999999"/>
    <m/>
    <n v="0"/>
    <n v="8"/>
    <m/>
    <m/>
    <m/>
    <m/>
    <s v="24804"/>
    <s v="63.1.1.3.02"/>
    <s v="Peaje 24804"/>
    <x v="8"/>
  </r>
  <r>
    <s v="03/07/2025"/>
    <x v="1"/>
    <s v="001"/>
    <s v="07-000072"/>
    <x v="1"/>
    <s v="91.06.02.07"/>
    <s v="VDJ_872"/>
    <s v="Peaje 24805"/>
    <s v="20517252558"/>
    <s v="CONCESIONARIA VIAL DEL SUR S.A.- COVISUR S.A."/>
    <x v="0"/>
    <s v="FACTURA"/>
    <s v="F214"/>
    <n v="2101734"/>
    <n v="6.78"/>
    <m/>
    <n v="1.2203999999999999"/>
    <m/>
    <n v="0"/>
    <n v="8"/>
    <m/>
    <m/>
    <m/>
    <m/>
    <s v="24805"/>
    <s v="63.1.1.3.02"/>
    <s v="Peaje 24805"/>
    <x v="8"/>
  </r>
  <r>
    <s v="04/07/2025"/>
    <x v="1"/>
    <s v="001"/>
    <s v="07-000073"/>
    <x v="1"/>
    <s v="91.06.02.03"/>
    <s v="BKL_739"/>
    <s v="Peaje 24806"/>
    <s v="20517252558"/>
    <s v="CONCESIONARIA VIAL DEL SUR S.A.- COVISUR S.A."/>
    <x v="0"/>
    <s v="FACTURA"/>
    <s v="F213"/>
    <n v="1796430"/>
    <n v="6.78"/>
    <m/>
    <n v="1.2203999999999999"/>
    <m/>
    <n v="0"/>
    <n v="8"/>
    <m/>
    <m/>
    <m/>
    <m/>
    <s v="24806"/>
    <s v="63.1.1.3.03"/>
    <s v="Peaje 24806"/>
    <x v="7"/>
  </r>
  <r>
    <s v="04/07/2025"/>
    <x v="1"/>
    <s v="001"/>
    <s v="07-000074"/>
    <x v="1"/>
    <s v="91.06.02.03"/>
    <s v="BKL_739"/>
    <s v="Balanza 24807"/>
    <s v="20124952850"/>
    <s v="ALIMENTOS Y SERVICIOS AGROPECUARIOS SRL."/>
    <x v="0"/>
    <s v="FACTURA"/>
    <s v="F002"/>
    <n v="133813"/>
    <n v="8.4700000000000006"/>
    <m/>
    <n v="1.5246"/>
    <m/>
    <n v="0"/>
    <n v="10"/>
    <m/>
    <m/>
    <m/>
    <m/>
    <s v="24807"/>
    <s v="63.1.1.7.02"/>
    <s v="Balanza 24807"/>
    <x v="1"/>
  </r>
  <r>
    <s v="08/07/2025"/>
    <x v="1"/>
    <s v="001"/>
    <s v="07-000075"/>
    <x v="0"/>
    <s v="94.05"/>
    <s v="SSOMA"/>
    <s v="Caja de electricidad"/>
    <s v="10420945511"/>
    <s v="COAQUIRA PAUCAR MARK FRANK"/>
    <x v="1"/>
    <s v="BOLETA DE VENTA"/>
    <s v="001"/>
    <n v="4379"/>
    <m/>
    <m/>
    <m/>
    <m/>
    <n v="10"/>
    <n v="10"/>
    <m/>
    <m/>
    <m/>
    <m/>
    <s v="0505003"/>
    <s v="65.6.1.1.03"/>
    <s v="Caja de electricidad"/>
    <x v="22"/>
  </r>
  <r>
    <s v="06/07/2025"/>
    <x v="1"/>
    <s v="001"/>
    <s v="07-000076"/>
    <x v="0"/>
    <s v="94.04"/>
    <s v="Gestion Humana"/>
    <s v="Bocaditos"/>
    <s v="20508565934"/>
    <s v="HIPERMERCADOS TOTTUS S.A"/>
    <x v="0"/>
    <s v="FACTURA"/>
    <s v="FA18"/>
    <n v="17266"/>
    <n v="9.75"/>
    <m/>
    <n v="1.7549999999999999"/>
    <m/>
    <n v="0"/>
    <n v="11.5"/>
    <m/>
    <m/>
    <m/>
    <m/>
    <m/>
    <s v="65.9.9.1.01"/>
    <s v="Bocaditos"/>
    <x v="0"/>
  </r>
  <r>
    <s v="04/07/2025"/>
    <x v="1"/>
    <s v="001"/>
    <s v="07-000077"/>
    <x v="1"/>
    <s v="91.06.01"/>
    <s v="Operaciones"/>
    <s v="Envío de documentación"/>
    <s v="20558053691"/>
    <s v="GRUPO GARCIA TOLEDO S.A.C"/>
    <x v="0"/>
    <s v="FACTURA"/>
    <s v="F553"/>
    <n v="5276"/>
    <n v="16.95"/>
    <m/>
    <n v="3.0509999999999997"/>
    <m/>
    <n v="0"/>
    <n v="20"/>
    <m/>
    <m/>
    <m/>
    <m/>
    <s v="0307004"/>
    <s v="63.1.2.1.01"/>
    <s v="Envío de documentación"/>
    <x v="2"/>
  </r>
  <r>
    <s v="07/07/2025"/>
    <x v="1"/>
    <s v="001"/>
    <s v="07-000078"/>
    <x v="2"/>
    <s v="95.01"/>
    <s v="Comercial"/>
    <s v="Bandeja HDPE RQ.COM.3583"/>
    <s v="20454029918"/>
    <s v="CCALLPA S.A.C."/>
    <x v="0"/>
    <s v="FACTURA"/>
    <s v="F001"/>
    <n v="1791"/>
    <n v="288.92"/>
    <m/>
    <n v="52.005600000000001"/>
    <m/>
    <n v="0"/>
    <n v="340.92"/>
    <m/>
    <m/>
    <m/>
    <m/>
    <s v="RQ.COM.353"/>
    <s v="60.3.2.5"/>
    <s v="Bandeja HDPE RQ.COM.3583"/>
    <x v="0"/>
  </r>
  <r>
    <s v="08/07/2025"/>
    <x v="1"/>
    <s v="001"/>
    <s v="07-000079"/>
    <x v="0"/>
    <s v="94.04"/>
    <s v="Gestion Humana"/>
    <s v="Evaluacion medica anual _ RQ.GH.207"/>
    <s v="20517035964"/>
    <s v="SIGSO CONSULTORES LABORALES SOCIEDAD ANONIMA CERRADA - SIGSO CONSULTORES LABORALES S.A.C."/>
    <x v="0"/>
    <s v="FACTURA"/>
    <s v="F200"/>
    <n v="16136"/>
    <n v="215"/>
    <m/>
    <n v="38.699999999999996"/>
    <m/>
    <n v="0"/>
    <n v="253.7"/>
    <m/>
    <m/>
    <m/>
    <m/>
    <s v="RQ.GH.207"/>
    <s v="62.5.1.2.02"/>
    <s v="Evaluacion medica anual _ RQ.GH.207"/>
    <x v="0"/>
  </r>
  <r>
    <s v="10/07/2025"/>
    <x v="1"/>
    <s v="001"/>
    <s v="07-000080"/>
    <x v="1"/>
    <s v="91.06.02.08"/>
    <s v="Montacarga"/>
    <s v="Lavado y engrase de montacarga"/>
    <s v="10297207330"/>
    <s v="CRUZ HUARACHA CARMEN"/>
    <x v="0"/>
    <s v="FACTURA"/>
    <s v="E001"/>
    <n v="1710"/>
    <n v="76.27"/>
    <m/>
    <n v="13.728599999999998"/>
    <m/>
    <n v="0"/>
    <n v="90"/>
    <m/>
    <m/>
    <m/>
    <m/>
    <m/>
    <s v="63.1.1.5.01"/>
    <s v="Lavado y engrase de montacarga"/>
    <x v="14"/>
  </r>
  <r>
    <s v="07/07/2025"/>
    <x v="1"/>
    <s v="001"/>
    <s v="07-000081"/>
    <x v="1"/>
    <s v="91.06.02.06"/>
    <s v="VBW_889"/>
    <s v="Lavado de camioneta VBW_889"/>
    <s v="20614269309"/>
    <s v="MULTISERVICIOS NUESTRA SRA. DE LOURDES E.I.R.L."/>
    <x v="0"/>
    <s v="FACTURA"/>
    <s v="E001"/>
    <n v="30"/>
    <n v="29.66"/>
    <m/>
    <n v="5.3388"/>
    <m/>
    <n v="0"/>
    <n v="35"/>
    <m/>
    <m/>
    <m/>
    <m/>
    <s v="0302007"/>
    <s v="63.1.1.5.01"/>
    <s v="Lavado de camioneta VBW_889"/>
    <x v="14"/>
  </r>
  <r>
    <s v="10/07/2025"/>
    <x v="1"/>
    <s v="001"/>
    <s v="07-000082"/>
    <x v="1"/>
    <s v="91.06.02.02"/>
    <s v="BKK_849"/>
    <s v="Peaje 24770"/>
    <s v="20517252558"/>
    <s v="CONCESIONARIA VIAL DEL SUR S.A.- COVISUR S.A."/>
    <x v="0"/>
    <s v="FACTURA"/>
    <s v="F213"/>
    <n v="1794177"/>
    <n v="6.78"/>
    <m/>
    <n v="1.2203999999999999"/>
    <m/>
    <n v="0"/>
    <n v="8"/>
    <m/>
    <m/>
    <m/>
    <m/>
    <s v="24770"/>
    <s v="63.1.1.3.03"/>
    <s v="Peaje 24770"/>
    <x v="7"/>
  </r>
  <r>
    <s v="01/07/2025"/>
    <x v="1"/>
    <s v="001"/>
    <s v="07-000083"/>
    <x v="1"/>
    <s v="91.06.02.02"/>
    <s v="BKK_849"/>
    <s v="Peaje 24771"/>
    <s v="20517252558"/>
    <s v="CONCESIONARIA VIAL DEL SUR S.A.- COVISUR S.A."/>
    <x v="0"/>
    <s v="FACTURA"/>
    <s v="F211"/>
    <n v="2385778"/>
    <n v="6.78"/>
    <m/>
    <n v="1.2203999999999999"/>
    <m/>
    <n v="0"/>
    <n v="8"/>
    <m/>
    <m/>
    <m/>
    <m/>
    <s v="24771"/>
    <s v="63.1.1.3.02"/>
    <s v="Peaje 24771"/>
    <x v="8"/>
  </r>
  <r>
    <s v="02/07/2025"/>
    <x v="1"/>
    <s v="001"/>
    <s v="07-000084"/>
    <x v="1"/>
    <s v="91.06.02.02"/>
    <s v="BKK_849"/>
    <s v="Peaje 24783"/>
    <s v="20517252558"/>
    <s v="CONCESIONARIA VIAL DEL SUR S.A.- COVISUR S.A."/>
    <x v="0"/>
    <s v="FACTURA"/>
    <s v="F213"/>
    <n v="1794858"/>
    <n v="6.78"/>
    <m/>
    <n v="1.2203999999999999"/>
    <m/>
    <n v="0"/>
    <n v="8"/>
    <m/>
    <m/>
    <m/>
    <m/>
    <s v="24783"/>
    <s v="63.1.1.3.02"/>
    <s v="Peaje 24783"/>
    <x v="8"/>
  </r>
  <r>
    <s v="02/07/2025"/>
    <x v="1"/>
    <s v="001"/>
    <s v="07-000085"/>
    <x v="1"/>
    <s v="91.06.02.02"/>
    <s v="BKK_849"/>
    <s v="Peaje 24784"/>
    <s v="20517252558"/>
    <s v="CONCESIONARIA VIAL DEL SUR S.A.- COVISUR S.A."/>
    <x v="0"/>
    <s v="FACTURA"/>
    <s v="F212"/>
    <n v="1774908"/>
    <n v="6.78"/>
    <m/>
    <n v="1.2203999999999999"/>
    <m/>
    <n v="0"/>
    <n v="8"/>
    <m/>
    <m/>
    <m/>
    <m/>
    <s v="24784"/>
    <s v="63.1.1.3.02"/>
    <s v="Peaje 24784"/>
    <x v="8"/>
  </r>
  <r>
    <s v="03/07/2025"/>
    <x v="1"/>
    <s v="001"/>
    <s v="07-000086"/>
    <x v="1"/>
    <s v="91.06.02.02"/>
    <s v="BKK_849"/>
    <s v="Balanza 24787"/>
    <s v="20612112500"/>
    <s v="RECICLADORA LAS LOMAS E.I.R.L."/>
    <x v="0"/>
    <s v="FACTURA"/>
    <s v="FT01"/>
    <n v="1609"/>
    <n v="16.95"/>
    <m/>
    <n v="3.0509999999999997"/>
    <m/>
    <n v="0"/>
    <n v="20"/>
    <m/>
    <m/>
    <m/>
    <m/>
    <s v="24787"/>
    <s v="63.1.1.7.02"/>
    <s v="Balanza 24787"/>
    <x v="1"/>
  </r>
  <r>
    <s v="01/07/2025"/>
    <x v="1"/>
    <s v="001"/>
    <s v="07-000087"/>
    <x v="1"/>
    <s v="91.06.02.02"/>
    <s v="BKK_849"/>
    <s v="Balanza 24772"/>
    <s v="20259858934"/>
    <s v="COMERCIALIZACION Y SERVICIOS EL EDEN S.A.C."/>
    <x v="0"/>
    <s v="FACTURA"/>
    <s v="FE02"/>
    <n v="16850"/>
    <n v="16.95"/>
    <m/>
    <n v="3.0509999999999997"/>
    <m/>
    <n v="0"/>
    <n v="20"/>
    <m/>
    <m/>
    <m/>
    <m/>
    <s v="24772"/>
    <s v="63.1.1.7.02"/>
    <s v="Balanza 24772"/>
    <x v="1"/>
  </r>
  <r>
    <s v="10/07/2025"/>
    <x v="1"/>
    <s v="001"/>
    <s v="07-000088"/>
    <x v="0"/>
    <s v="94.04"/>
    <s v="Gestion Humana"/>
    <s v="Bocaditos 0607005"/>
    <s v="20508565934"/>
    <s v="HIPERMERCADOS TOTTUS S.A"/>
    <x v="0"/>
    <s v="FACTURA"/>
    <s v="FA55"/>
    <n v="12503"/>
    <n v="53.89"/>
    <m/>
    <n v="9.7002000000000006"/>
    <m/>
    <n v="0"/>
    <n v="63.6"/>
    <m/>
    <m/>
    <m/>
    <m/>
    <s v="0607005"/>
    <s v="65.9.9.1.01"/>
    <s v="Bocaditos 0607005"/>
    <x v="0"/>
  </r>
  <r>
    <s v="03/07/2025"/>
    <x v="1"/>
    <s v="001"/>
    <s v="07-000089"/>
    <x v="1"/>
    <s v="91.06.02.04"/>
    <s v="VBB_840"/>
    <s v="Alineamiento Mantenimiento preventivo"/>
    <s v="20609286564"/>
    <s v="NEUMA CENTER AMAZON S.A.C."/>
    <x v="0"/>
    <s v="FACTURA"/>
    <s v="E001"/>
    <n v="408"/>
    <n v="118.64"/>
    <m/>
    <n v="21.3552"/>
    <m/>
    <n v="0"/>
    <n v="140"/>
    <m/>
    <m/>
    <m/>
    <m/>
    <s v="0303002"/>
    <s v="63.4.3.2.02"/>
    <s v="Alineamiento Mantenimiento preventivo"/>
    <x v="3"/>
  </r>
  <r>
    <s v="02/07/2025"/>
    <x v="1"/>
    <s v="001"/>
    <s v="07-000090"/>
    <x v="0"/>
    <s v="94.01"/>
    <s v="Administracion"/>
    <s v="Internet _ Arequipa 3"/>
    <s v="20609368773"/>
    <s v="FIXER TELECOMUNICACIONES SOCIEDAD ANONIMA CERRADA"/>
    <x v="0"/>
    <s v="FACTURA"/>
    <s v="E001"/>
    <n v="454"/>
    <n v="79.900000000000006"/>
    <m/>
    <n v="14.382"/>
    <m/>
    <n v="0"/>
    <n v="94.28"/>
    <m/>
    <m/>
    <m/>
    <m/>
    <m/>
    <s v="63.6.5.1"/>
    <s v="Internet _ Arequipa 3"/>
    <x v="0"/>
  </r>
  <r>
    <s v="03/07/2025"/>
    <x v="1"/>
    <s v="001"/>
    <s v="07-000091"/>
    <x v="0"/>
    <s v="94.04"/>
    <s v="Gestion Humana"/>
    <s v="Evaluación medica _RQ.GH.206"/>
    <s v="20517035964"/>
    <s v="SIGSO CONSULTORES LABORALES SOCIEDAD ANONIMA CERRADA - SIGSO CONSULTORES LABORALES S.A.C."/>
    <x v="0"/>
    <s v="FACTURA"/>
    <s v="F200"/>
    <n v="16114"/>
    <n v="219"/>
    <m/>
    <n v="39.42"/>
    <m/>
    <n v="0"/>
    <n v="258.42"/>
    <m/>
    <m/>
    <m/>
    <m/>
    <s v="RQ.GH.206"/>
    <s v="62.5.1.2.01"/>
    <s v="Evaluación medica _RQ.GH.206"/>
    <x v="25"/>
  </r>
  <r>
    <s v="07/07/2025"/>
    <x v="1"/>
    <s v="001"/>
    <s v="07-000092"/>
    <x v="1"/>
    <s v="91.06.02.02"/>
    <s v="BKK_849"/>
    <s v="Resorte ISUZU 0302003"/>
    <s v="20609629739"/>
    <s v="CIFREN E.I.R.L."/>
    <x v="0"/>
    <s v="FACTURA"/>
    <s v="F001"/>
    <n v="16941"/>
    <n v="33.9"/>
    <m/>
    <n v="6.1019999999999994"/>
    <m/>
    <n v="0"/>
    <n v="40"/>
    <m/>
    <m/>
    <m/>
    <m/>
    <s v="0302003"/>
    <s v="63.4.3.2.03"/>
    <s v="Resorte ISUZU 0302003"/>
    <x v="18"/>
  </r>
  <r>
    <s v="07/07/2025"/>
    <x v="1"/>
    <s v="001"/>
    <s v="07-000093"/>
    <x v="1"/>
    <s v="91.06.02.02"/>
    <s v="BKK_849"/>
    <s v="Rodaje, reten, grasa 0302003"/>
    <s v="10294003881"/>
    <s v="VALENCIA GUTIERREZ ZOILA VIRGINIA"/>
    <x v="0"/>
    <s v="FACTURA"/>
    <s v="E001"/>
    <n v="12726"/>
    <n v="191.53"/>
    <m/>
    <n v="34.4754"/>
    <m/>
    <n v="0"/>
    <n v="226.01"/>
    <m/>
    <m/>
    <m/>
    <m/>
    <s v="0302003"/>
    <s v="63.4.3.2.03"/>
    <s v="Rodaje, reten, grasa 0302003"/>
    <x v="18"/>
  </r>
  <r>
    <s v="07/07/2025"/>
    <x v="1"/>
    <s v="001"/>
    <s v="07-000094"/>
    <x v="1"/>
    <s v="91.06.02.02"/>
    <s v="BKK_849"/>
    <s v="Rodaje NTN"/>
    <s v="20498619232"/>
    <s v="JOSE MARCELO REPRESENTACIONES E.I.R.L."/>
    <x v="0"/>
    <s v="FACTURA"/>
    <s v="FE01"/>
    <n v="11180"/>
    <n v="101.69"/>
    <m/>
    <n v="18.304199999999998"/>
    <m/>
    <n v="0"/>
    <n v="120"/>
    <m/>
    <m/>
    <m/>
    <m/>
    <s v="0302003"/>
    <s v="63.4.3.2.03"/>
    <s v="Rodaje NTN"/>
    <x v="18"/>
  </r>
  <r>
    <s v="07/07/2025"/>
    <x v="1"/>
    <s v="001"/>
    <s v="07-000096"/>
    <x v="1"/>
    <s v="91.05.01"/>
    <s v="Residuos Aprovechables"/>
    <s v="Envases, plastico y chatarra metalica OC 231"/>
    <s v="20419158462"/>
    <s v="GRANJA RINCONADA DEL SUR S.A."/>
    <x v="0"/>
    <s v="FACTURA"/>
    <s v="F102"/>
    <n v="6945"/>
    <n v="386.82"/>
    <m/>
    <n v="69.627600000000001"/>
    <m/>
    <n v="0"/>
    <n v="456.45"/>
    <s v="275601526"/>
    <s v="11/07/2025"/>
    <m/>
    <m/>
    <s v="OC 231"/>
    <s v="60.2.1.1"/>
    <s v="Envases, plastico y chatarra metalica OC 231"/>
    <x v="6"/>
  </r>
  <r>
    <s v="07/07/2025"/>
    <x v="1"/>
    <s v="001"/>
    <s v="07-000098"/>
    <x v="1"/>
    <s v="91.05.01"/>
    <s v="Residuos Aprovechables"/>
    <s v="Envases, plastico OC 128"/>
    <s v="20419158462"/>
    <s v="GRANJA RINCONADA DEL SUR S.A."/>
    <x v="0"/>
    <s v="FACTURA"/>
    <s v="F102"/>
    <n v="6944"/>
    <n v="294.79000000000002"/>
    <m/>
    <n v="53.062200000000004"/>
    <m/>
    <n v="0"/>
    <n v="347.85"/>
    <s v="275601527"/>
    <s v="11/07/2025"/>
    <m/>
    <m/>
    <s v="OC 128"/>
    <s v="60.2.1.1"/>
    <s v="Envases, plastico OC 128"/>
    <x v="6"/>
  </r>
  <r>
    <s v="07/07/2025"/>
    <x v="1"/>
    <s v="001"/>
    <s v="07-000099"/>
    <x v="1"/>
    <s v="91.05.01"/>
    <s v="Residuos Aprovechables"/>
    <s v="Madera chatarra OC 32"/>
    <s v="20419158462"/>
    <s v="GRANJA RINCONADA DEL SUR S.A."/>
    <x v="0"/>
    <s v="FACTURA"/>
    <s v="F102"/>
    <n v="6940"/>
    <n v="424.58"/>
    <m/>
    <n v="76.424399999999991"/>
    <m/>
    <n v="0"/>
    <n v="501"/>
    <s v="275601528"/>
    <s v="11/07/2025"/>
    <m/>
    <m/>
    <s v="OC 32"/>
    <s v="60.2.1.1"/>
    <s v="Madera chatarra OC 32"/>
    <x v="6"/>
  </r>
  <r>
    <s v="07/07/2025"/>
    <x v="1"/>
    <s v="001"/>
    <s v="07-000100"/>
    <x v="1"/>
    <s v="91.05.01"/>
    <s v="Residuos Aprovechables"/>
    <s v="Plastico, envases, chatarra OC 142 FT anulada  NC F102_472"/>
    <s v="20419158462"/>
    <s v="GRANJA RINCONADA DEL SUR S.A."/>
    <x v="0"/>
    <s v="FACTURA"/>
    <s v="F102"/>
    <n v="6942"/>
    <n v="593.61"/>
    <m/>
    <n v="106.8498"/>
    <m/>
    <n v="0"/>
    <n v="700.45"/>
    <m/>
    <m/>
    <m/>
    <m/>
    <s v="OC 142"/>
    <s v="60.2.1.1"/>
    <s v="Plastico, envases, chatarra OC 142 FT anulada  NC F102_472"/>
    <x v="6"/>
  </r>
  <r>
    <s v="08/07/2025"/>
    <x v="1"/>
    <s v="001"/>
    <s v="07-000101"/>
    <x v="0"/>
    <s v="94.05"/>
    <s v="SSOMA"/>
    <s v="Mamelucos, pantalon y polos _RQ.SSO.230"/>
    <s v="20609155303"/>
    <s v="HERLIZ CONFECCIONES E.I.R.L."/>
    <x v="0"/>
    <s v="FACTURA"/>
    <s v="E001"/>
    <n v="823"/>
    <n v="5567.8"/>
    <m/>
    <n v="1002.204"/>
    <m/>
    <n v="0"/>
    <n v="6570"/>
    <m/>
    <m/>
    <m/>
    <m/>
    <s v="RQ.SSO.230"/>
    <s v="60.3.5.1"/>
    <s v="Mamelucos, pantalon y polos _RQ.SSO.230"/>
    <x v="0"/>
  </r>
  <r>
    <s v="07/07/2025"/>
    <x v="1"/>
    <s v="001"/>
    <s v="07-000102"/>
    <x v="1"/>
    <s v="91.05.01"/>
    <s v="Residuos Aprovechables"/>
    <s v="RRSS OC 67"/>
    <s v="20419158462"/>
    <s v="GRANJA RINCONADA DEL SUR S.A."/>
    <x v="0"/>
    <s v="FACTURA"/>
    <s v="F102"/>
    <n v="6941"/>
    <n v="41.53"/>
    <m/>
    <n v="7.4753999999999996"/>
    <m/>
    <n v="0"/>
    <n v="49.01"/>
    <s v="275601530"/>
    <s v="11/07/2025"/>
    <m/>
    <m/>
    <m/>
    <s v="60.2.1.1"/>
    <s v="RRSS OC 67"/>
    <x v="6"/>
  </r>
  <r>
    <s v="07/07/2025"/>
    <x v="1"/>
    <s v="001"/>
    <s v="07-000103"/>
    <x v="1"/>
    <s v="91.05.01"/>
    <s v="Residuos Aprovechables"/>
    <s v="RRSS OC 127"/>
    <s v="20419158462"/>
    <s v="GRANJA RINCONADA DEL SUR S.A."/>
    <x v="0"/>
    <s v="FACTURA"/>
    <s v="F102"/>
    <n v="6943"/>
    <n v="248.14"/>
    <m/>
    <n v="44.665199999999999"/>
    <m/>
    <n v="0"/>
    <n v="292.81"/>
    <s v="275601531"/>
    <s v="11/07/2025"/>
    <m/>
    <m/>
    <m/>
    <s v="60.2.1.1"/>
    <s v="RRSS OC 127"/>
    <x v="6"/>
  </r>
  <r>
    <s v="11/07/2025"/>
    <x v="1"/>
    <s v="001"/>
    <s v="07-000104"/>
    <x v="1"/>
    <s v="91.05.01"/>
    <s v="Residuos Aprovechables"/>
    <s v="RRSS OC 250"/>
    <s v="20100055237"/>
    <s v="ALICORP SAA"/>
    <x v="0"/>
    <s v="FACTURA"/>
    <s v="F313"/>
    <n v="6615"/>
    <n v="572"/>
    <m/>
    <n v="102.96"/>
    <m/>
    <n v="0"/>
    <n v="674.96"/>
    <s v="275601532"/>
    <s v="11/07/2025"/>
    <m/>
    <m/>
    <m/>
    <s v="60.2.1.1"/>
    <s v="RRSS OC 250"/>
    <x v="6"/>
  </r>
  <r>
    <s v="11/07/2025"/>
    <x v="1"/>
    <s v="001"/>
    <s v="07-000105"/>
    <x v="1"/>
    <s v="91.05.01"/>
    <s v="Residuos Aprovechables"/>
    <s v="RRSS OC 251"/>
    <s v="20100055237"/>
    <s v="ALICORP SAA"/>
    <x v="0"/>
    <s v="FACTURA"/>
    <s v="F313"/>
    <n v="6616"/>
    <n v="167.4"/>
    <m/>
    <n v="30.132000000000001"/>
    <m/>
    <n v="0"/>
    <n v="197.53"/>
    <s v="275601533"/>
    <s v="11/07/2025"/>
    <m/>
    <m/>
    <m/>
    <s v="60.2.1.1"/>
    <s v="RRSS OC 251"/>
    <x v="6"/>
  </r>
  <r>
    <s v="11/07/2025"/>
    <x v="1"/>
    <s v="001"/>
    <s v="07-000106"/>
    <x v="1"/>
    <s v="91.05.01"/>
    <s v="Residuos Aprovechables"/>
    <s v="RRSS OC 252"/>
    <s v="20100055237"/>
    <s v="ALICORP SAA"/>
    <x v="0"/>
    <s v="FACTURA"/>
    <s v="F313"/>
    <n v="6617"/>
    <n v="333"/>
    <m/>
    <n v="59.94"/>
    <m/>
    <n v="0"/>
    <n v="392.94"/>
    <s v="275601534"/>
    <s v="11/07/2025"/>
    <m/>
    <m/>
    <m/>
    <s v="60.2.1.1"/>
    <s v="RRSS OC 252"/>
    <x v="6"/>
  </r>
  <r>
    <s v="11/07/2025"/>
    <x v="1"/>
    <s v="001"/>
    <s v="07-000107"/>
    <x v="1"/>
    <s v="91.05.01"/>
    <s v="Residuos Aprovechables"/>
    <s v="RRSS OC 253"/>
    <s v="20100055237"/>
    <s v="ALICORP SAA"/>
    <x v="0"/>
    <s v="FACTURA"/>
    <s v="F313"/>
    <n v="6619"/>
    <n v="9.6"/>
    <m/>
    <n v="1.728"/>
    <m/>
    <n v="0"/>
    <n v="11.33"/>
    <s v="275601535"/>
    <s v="11/07/2025"/>
    <m/>
    <m/>
    <m/>
    <s v="60.2.1.1"/>
    <s v="RRSS OC 253"/>
    <x v="6"/>
  </r>
  <r>
    <s v="11/07/2025"/>
    <x v="1"/>
    <s v="001"/>
    <s v="07-000108"/>
    <x v="1"/>
    <s v="91.05.01"/>
    <s v="Residuos Aprovechables"/>
    <s v="RRSS OC 254"/>
    <s v="20100055237"/>
    <s v="ALICORP SAA"/>
    <x v="0"/>
    <s v="FACTURA"/>
    <s v="F313"/>
    <n v="6620"/>
    <n v="430"/>
    <m/>
    <n v="77.399999999999991"/>
    <m/>
    <n v="0"/>
    <n v="507.4"/>
    <s v="275601536"/>
    <s v="11/07/2025"/>
    <m/>
    <m/>
    <m/>
    <s v="60.2.1.1"/>
    <s v="RRSS OC 254"/>
    <x v="6"/>
  </r>
  <r>
    <s v="11/07/2025"/>
    <x v="1"/>
    <s v="001"/>
    <s v="07-000109"/>
    <x v="1"/>
    <s v="91.05.01"/>
    <s v="Residuos Aprovechables"/>
    <s v="RRSS OC 255"/>
    <s v="20100055237"/>
    <s v="ALICORP SAA"/>
    <x v="0"/>
    <s v="FACTURA"/>
    <s v="F313"/>
    <n v="6621"/>
    <n v="31.5"/>
    <m/>
    <n v="5.67"/>
    <m/>
    <n v="0"/>
    <n v="37.17"/>
    <s v="275601537"/>
    <s v="11/07/2025"/>
    <m/>
    <m/>
    <m/>
    <s v="60.2.1.1"/>
    <s v="RRSS OC 255"/>
    <x v="6"/>
  </r>
  <r>
    <s v="11/07/2025"/>
    <x v="1"/>
    <s v="001"/>
    <s v="07-000110"/>
    <x v="1"/>
    <s v="91.05.01"/>
    <s v="Residuos Aprovechables"/>
    <s v="RRSS OC 256"/>
    <s v="20100055237"/>
    <s v="ALICORP SAA"/>
    <x v="0"/>
    <s v="FACTURA"/>
    <s v="F313"/>
    <n v="6618"/>
    <n v="65"/>
    <m/>
    <n v="11.7"/>
    <m/>
    <n v="0"/>
    <n v="76.7"/>
    <s v="275601538"/>
    <s v="11/07/2025"/>
    <m/>
    <m/>
    <m/>
    <s v="60.2.1.1"/>
    <s v="RRSS OC 256"/>
    <x v="6"/>
  </r>
  <r>
    <s v="12/07/2025"/>
    <x v="1"/>
    <s v="001"/>
    <s v="07-000111"/>
    <x v="1"/>
    <s v="91.05.01"/>
    <s v="Residuos Aprovechables"/>
    <s v="Anulacion de factura F102_6921"/>
    <s v="20419158462"/>
    <s v="GRANJA RINCONADA DEL SUR S.A."/>
    <x v="4"/>
    <s v="NOTA DE CREDITO"/>
    <s v="F102"/>
    <n v="471"/>
    <n v="-1322.88"/>
    <m/>
    <n v="-238.12"/>
    <m/>
    <n v="0"/>
    <n v="-1561"/>
    <m/>
    <m/>
    <s v="001"/>
    <s v="F102"/>
    <s v="6921"/>
    <s v="60.2.1.1"/>
    <s v="Anulacion de factura F102_6921"/>
    <x v="6"/>
  </r>
  <r>
    <s v="12/07/2025"/>
    <x v="1"/>
    <s v="001"/>
    <s v="07-000112"/>
    <x v="1"/>
    <s v="91.05.01"/>
    <s v="Residuos Aprovechables"/>
    <s v="Anulacion de factura F102_6942"/>
    <s v="20419158462"/>
    <s v="GRANJA RINCONADA DEL SUR S.A."/>
    <x v="4"/>
    <s v="NOTA DE CREDITO"/>
    <s v="F102"/>
    <n v="472"/>
    <n v="-593.61"/>
    <m/>
    <n v="-106.84"/>
    <m/>
    <n v="0"/>
    <n v="-700.45"/>
    <m/>
    <m/>
    <s v="001"/>
    <s v="F102"/>
    <s v="6942"/>
    <s v="60.2.1.1"/>
    <s v="Anulacion de factura F102_6942"/>
    <x v="6"/>
  </r>
  <r>
    <s v="07/07/2025"/>
    <x v="1"/>
    <s v="001"/>
    <s v="07-000113"/>
    <x v="1"/>
    <s v="91.05.01"/>
    <s v="Residuos Aprovechables"/>
    <s v="RRSS OC 143"/>
    <s v="20419158462"/>
    <s v="GRANJA RINCONADA DEL SUR S.A."/>
    <x v="0"/>
    <s v="FACTURA"/>
    <s v="F102"/>
    <n v="6946"/>
    <n v="593.42999999999995"/>
    <m/>
    <n v="106.81739999999999"/>
    <m/>
    <n v="0"/>
    <n v="700.25"/>
    <s v="275601529"/>
    <s v="11/07/2025"/>
    <m/>
    <m/>
    <s v="OC 143"/>
    <s v="60.2.1.1"/>
    <s v="RRSS OC 143"/>
    <x v="6"/>
  </r>
  <r>
    <s v="11/07/2025"/>
    <x v="1"/>
    <s v="001"/>
    <s v="07-000114"/>
    <x v="1"/>
    <s v="91.05.01"/>
    <s v="Residuos Aprovechables"/>
    <s v="RRSS OC 246"/>
    <s v="20454186002"/>
    <s v="ALSUR PERU S.A.C."/>
    <x v="0"/>
    <s v="FACTURA"/>
    <s v="F003"/>
    <n v="1710"/>
    <n v="565.67999999999995"/>
    <m/>
    <n v="101.82239999999999"/>
    <m/>
    <n v="0"/>
    <n v="667.5"/>
    <s v="276124039"/>
    <s v="18/07/2025"/>
    <m/>
    <m/>
    <s v="OC 246"/>
    <s v="60.2.1.1"/>
    <s v="RRSS OC 246"/>
    <x v="6"/>
  </r>
  <r>
    <s v="03/07/2025"/>
    <x v="1"/>
    <s v="001"/>
    <s v="07-000115"/>
    <x v="1"/>
    <s v="91.05.01"/>
    <s v="Residuos Aprovechables"/>
    <s v="RRSS OC 260"/>
    <s v="20100192064"/>
    <s v="MOLY-COP ADESUR S.A."/>
    <x v="0"/>
    <s v="FACTURA"/>
    <s v="F002"/>
    <n v="16391"/>
    <n v="170.83"/>
    <m/>
    <n v="30.749400000000001"/>
    <m/>
    <n v="0"/>
    <n v="201.58"/>
    <s v="276124040"/>
    <s v="18/07/2025"/>
    <m/>
    <m/>
    <s v="OC 260"/>
    <s v="60.2.1.1"/>
    <s v="RRSS OC 260"/>
    <x v="6"/>
  </r>
  <r>
    <s v="04/07/2025"/>
    <x v="1"/>
    <s v="001"/>
    <s v="07-000116"/>
    <x v="1"/>
    <s v="91.05.01"/>
    <s v="Residuos Aprovechables"/>
    <s v="RRSS OC 258"/>
    <s v="20100192064"/>
    <s v="MOLY-COP ADESUR S.A."/>
    <x v="0"/>
    <s v="FACTURA"/>
    <s v="F002"/>
    <n v="16398"/>
    <n v="168.12"/>
    <m/>
    <n v="30.261600000000001"/>
    <m/>
    <n v="0"/>
    <n v="198.38"/>
    <s v="276124041"/>
    <s v="18/07/2025"/>
    <m/>
    <m/>
    <s v="OC 258"/>
    <s v="60.2.1.1"/>
    <s v="RRSS OC 258"/>
    <x v="6"/>
  </r>
  <r>
    <s v="09/07/2025"/>
    <x v="1"/>
    <s v="001"/>
    <s v="07-000117"/>
    <x v="1"/>
    <s v="91.05.01"/>
    <s v="Residuos Aprovechables"/>
    <s v="RRSS OC 257"/>
    <s v="20100192064"/>
    <s v="MOLY-COP ADESUR S.A."/>
    <x v="0"/>
    <s v="FACTURA"/>
    <s v="F002"/>
    <n v="16422"/>
    <n v="87.65"/>
    <m/>
    <n v="15.777000000000001"/>
    <m/>
    <n v="0"/>
    <n v="103.43"/>
    <s v="276124042"/>
    <s v="18/07/2025"/>
    <m/>
    <m/>
    <s v="OC 257"/>
    <s v="60.2.1.1"/>
    <s v="RRSS OC 257"/>
    <x v="6"/>
  </r>
  <r>
    <s v="11/07/2025"/>
    <x v="1"/>
    <s v="001"/>
    <s v="07-000118"/>
    <x v="1"/>
    <s v="91.06.02.07"/>
    <s v="VDJ_872"/>
    <s v="Peaje 24872"/>
    <s v="20517252558"/>
    <s v="CONCESIONARIA VIAL DEL SUR S.A.- COVISUR S.A."/>
    <x v="0"/>
    <s v="FACTURA"/>
    <s v="F211"/>
    <n v="2394567"/>
    <n v="6.78"/>
    <m/>
    <n v="1.2203999999999999"/>
    <m/>
    <n v="0"/>
    <n v="8"/>
    <m/>
    <m/>
    <m/>
    <m/>
    <s v="24872"/>
    <s v="63.1.1.3.02"/>
    <s v="Peaje 24872"/>
    <x v="8"/>
  </r>
  <r>
    <s v="11/07/2025"/>
    <x v="1"/>
    <s v="001"/>
    <s v="07-000119"/>
    <x v="1"/>
    <s v="91.06.02.07"/>
    <s v="VDJ_872"/>
    <s v="Peaje 24873"/>
    <s v="20517252558"/>
    <s v="CONCESIONARIA VIAL DEL SUR S.A.- COVISUR S.A."/>
    <x v="0"/>
    <s v="FACTURA"/>
    <s v="F213"/>
    <n v="1801056"/>
    <n v="6.78"/>
    <m/>
    <n v="1.2203999999999999"/>
    <m/>
    <n v="0"/>
    <n v="8"/>
    <m/>
    <m/>
    <m/>
    <m/>
    <s v="24873"/>
    <s v="63.1.1.3.02"/>
    <s v="Peaje 24873"/>
    <x v="8"/>
  </r>
  <r>
    <s v="10/07/2025"/>
    <x v="1"/>
    <s v="001"/>
    <s v="07-000120"/>
    <x v="1"/>
    <s v="91.06.02.06"/>
    <s v="VBW_889"/>
    <s v="Peaje 24843"/>
    <s v="20517252558"/>
    <s v="CONCESIONARIA VIAL DEL SUR S.A.- COVISUR S.A."/>
    <x v="0"/>
    <s v="FACTURA"/>
    <s v="F212"/>
    <n v="1780700"/>
    <n v="2.12"/>
    <m/>
    <n v="0.38159999999999999"/>
    <m/>
    <n v="0"/>
    <n v="5"/>
    <m/>
    <m/>
    <m/>
    <m/>
    <s v="24843"/>
    <s v="63.1.1.3.02"/>
    <s v="Peaje 24843"/>
    <x v="8"/>
  </r>
  <r>
    <s v="10/07/2025"/>
    <x v="1"/>
    <s v="001"/>
    <s v="07-000120"/>
    <x v="1"/>
    <s v="91.06.02.06"/>
    <s v="VBW_889"/>
    <s v="Peaje 24843"/>
    <s v="20517252558"/>
    <s v="CONCESIONARIA VIAL DEL SUR S.A.- COVISUR S.A."/>
    <x v="0"/>
    <s v="FACTURA"/>
    <s v="F212"/>
    <n v="1780700"/>
    <n v="2.12"/>
    <m/>
    <n v="0.38159999999999999"/>
    <m/>
    <n v="0"/>
    <n v="5"/>
    <m/>
    <m/>
    <m/>
    <m/>
    <s v="24843"/>
    <s v="63.1.1.3.03"/>
    <s v="Peaje 24843"/>
    <x v="7"/>
  </r>
  <r>
    <s v="10/07/2025"/>
    <x v="1"/>
    <s v="001"/>
    <s v="07-000121"/>
    <x v="1"/>
    <s v="91.06.02.06"/>
    <s v="VBW_889"/>
    <s v="Peaje 24845"/>
    <s v="20517252558"/>
    <s v="CONCESIONARIA VIAL DEL SUR S.A.- COVISUR S.A."/>
    <x v="0"/>
    <s v="FACTURA"/>
    <s v="F213"/>
    <n v="1800454"/>
    <n v="2.12"/>
    <m/>
    <n v="0.38159999999999999"/>
    <m/>
    <n v="0"/>
    <n v="5"/>
    <m/>
    <m/>
    <m/>
    <m/>
    <s v="24845"/>
    <s v="63.1.1.3.02"/>
    <s v="Peaje 24845"/>
    <x v="8"/>
  </r>
  <r>
    <s v="10/07/2025"/>
    <x v="1"/>
    <s v="001"/>
    <s v="07-000121"/>
    <x v="1"/>
    <s v="91.06.02.06"/>
    <s v="VBW_889"/>
    <s v="Peaje 24845"/>
    <s v="20517252558"/>
    <s v="CONCESIONARIA VIAL DEL SUR S.A.- COVISUR S.A."/>
    <x v="0"/>
    <s v="FACTURA"/>
    <s v="F213"/>
    <n v="1800454"/>
    <n v="2.12"/>
    <m/>
    <n v="0.38159999999999999"/>
    <m/>
    <n v="0"/>
    <n v="5"/>
    <m/>
    <m/>
    <m/>
    <m/>
    <s v="24845"/>
    <s v="63.1.1.3.03"/>
    <s v="Peaje 24845"/>
    <x v="7"/>
  </r>
  <r>
    <s v="09/07/2025"/>
    <x v="1"/>
    <s v="001"/>
    <s v="07-000122"/>
    <x v="1"/>
    <s v="91.06.02.07"/>
    <s v="VDJ_872"/>
    <s v="Peaje 24829"/>
    <s v="20517252558"/>
    <s v="CONCESIONARIA VIAL DEL SUR S.A.- COVISUR S.A."/>
    <x v="0"/>
    <s v="FACTURA"/>
    <s v="F212"/>
    <n v="1779885"/>
    <n v="6.78"/>
    <m/>
    <n v="1.2203999999999999"/>
    <m/>
    <n v="0"/>
    <n v="8"/>
    <m/>
    <m/>
    <m/>
    <m/>
    <s v="24829"/>
    <s v="63.1.1.3.02"/>
    <s v="Peaje 24829"/>
    <x v="8"/>
  </r>
  <r>
    <s v="09/07/2025"/>
    <x v="1"/>
    <s v="001"/>
    <s v="07-000123"/>
    <x v="1"/>
    <s v="91.06.02.07"/>
    <s v="VDJ_872"/>
    <s v="Peaje 24830"/>
    <s v="20517252558"/>
    <s v="CONCESIONARIA VIAL DEL SUR S.A.- COVISUR S.A."/>
    <x v="0"/>
    <s v="FACTURA"/>
    <s v="F214"/>
    <n v="2106479"/>
    <n v="6.78"/>
    <m/>
    <n v="1.2203999999999999"/>
    <m/>
    <n v="0"/>
    <n v="8"/>
    <m/>
    <m/>
    <m/>
    <m/>
    <s v="24830"/>
    <s v="63.1.1.3.02"/>
    <s v="Peaje 24830"/>
    <x v="8"/>
  </r>
  <r>
    <s v="07/07/2025"/>
    <x v="1"/>
    <s v="001"/>
    <s v="07-000124"/>
    <x v="1"/>
    <s v="91.06.02.07"/>
    <s v="VDJ_872"/>
    <s v="Peaje 24812"/>
    <s v="20550033519"/>
    <s v="CONCESIONARIA PERUANA DE VIAS-COVINCA S.A."/>
    <x v="0"/>
    <s v="FACTURA"/>
    <s v="FT01"/>
    <n v="725336"/>
    <n v="13.31"/>
    <m/>
    <n v="2.3957999999999999"/>
    <m/>
    <n v="0"/>
    <n v="15.7"/>
    <m/>
    <m/>
    <m/>
    <m/>
    <s v="24812"/>
    <s v="63.1.1.3.02"/>
    <s v="Peaje 24812"/>
    <x v="8"/>
  </r>
  <r>
    <s v="08/07/2025"/>
    <x v="1"/>
    <s v="001"/>
    <s v="07-000125"/>
    <x v="1"/>
    <s v="91.06.02.07"/>
    <s v="VDJ_872"/>
    <s v="Peaje 24821"/>
    <s v="20517252558"/>
    <s v="CONCESIONARIA VIAL DEL SUR S.A.- COVISUR S.A."/>
    <x v="0"/>
    <s v="FACTURA"/>
    <s v="F214"/>
    <n v="2105740"/>
    <n v="6.78"/>
    <m/>
    <n v="1.2203999999999999"/>
    <m/>
    <n v="0"/>
    <n v="8"/>
    <m/>
    <m/>
    <m/>
    <m/>
    <s v="24821"/>
    <s v="63.1.1.3.02"/>
    <s v="Peaje 24821"/>
    <x v="8"/>
  </r>
  <r>
    <s v="07/07/2025"/>
    <x v="1"/>
    <s v="001"/>
    <s v="07-000126"/>
    <x v="1"/>
    <s v="91.06.02.07"/>
    <s v="VDJ_872"/>
    <s v="Peaje 24810"/>
    <s v="20550033519"/>
    <s v="CONCESIONARIA PERUANA DE VIAS-COVINCA S.A."/>
    <x v="0"/>
    <s v="FACTURA"/>
    <s v="FN01"/>
    <n v="921711"/>
    <n v="13.31"/>
    <m/>
    <n v="2.3957999999999999"/>
    <m/>
    <n v="0"/>
    <n v="15.7"/>
    <m/>
    <m/>
    <m/>
    <m/>
    <s v="24810"/>
    <s v="63.1.1.3.02"/>
    <s v="Peaje 24810"/>
    <x v="8"/>
  </r>
  <r>
    <s v="07/07/2025"/>
    <x v="1"/>
    <s v="001"/>
    <s v="07-000127"/>
    <x v="1"/>
    <s v="91.06.02.07"/>
    <s v="VDJ_872"/>
    <s v="Peaje 24811"/>
    <s v="20550033519"/>
    <s v="CONCESIONARIA PERUANA DE VIAS-COVINCA S.A."/>
    <x v="0"/>
    <s v="FACTURA"/>
    <s v="FH01"/>
    <n v="772485"/>
    <n v="13.31"/>
    <m/>
    <n v="2.3957999999999999"/>
    <m/>
    <n v="0"/>
    <n v="15.7"/>
    <m/>
    <m/>
    <m/>
    <m/>
    <s v="24811"/>
    <s v="63.1.1.3.02"/>
    <s v="Peaje 24811"/>
    <x v="8"/>
  </r>
  <r>
    <s v="08/07/2025"/>
    <x v="1"/>
    <s v="001"/>
    <s v="07-000128"/>
    <x v="1"/>
    <s v="91.06.02.07"/>
    <s v="VDJ_872"/>
    <s v="Combustible 24822"/>
    <s v="20601584001"/>
    <s v="GRUPO EMPRESARIAL MDM E.I.R.L."/>
    <x v="0"/>
    <s v="FACTURA"/>
    <s v="F013"/>
    <n v="53367"/>
    <n v="127.16"/>
    <m/>
    <n v="22.8888"/>
    <m/>
    <n v="0"/>
    <n v="150.05000000000001"/>
    <m/>
    <m/>
    <m/>
    <m/>
    <s v="24822"/>
    <s v="65.6.1.1.01"/>
    <s v="Combustible 24822"/>
    <x v="12"/>
  </r>
  <r>
    <s v="11/07/2025"/>
    <x v="1"/>
    <s v="001"/>
    <s v="07-000129"/>
    <x v="1"/>
    <s v="91.06.02.07"/>
    <s v="VDJ_872"/>
    <s v="Balanza 24874"/>
    <s v="20124952850"/>
    <s v="ALIMENTOS Y SERVICIOS AGROPECUARIOS SRL."/>
    <x v="0"/>
    <s v="FACTURA"/>
    <s v="F002"/>
    <n v="134039"/>
    <n v="8.4700000000000006"/>
    <m/>
    <n v="1.5246"/>
    <m/>
    <n v="0"/>
    <n v="10"/>
    <m/>
    <m/>
    <m/>
    <m/>
    <s v="24874"/>
    <s v="63.1.1.7.01"/>
    <s v="Balanza 24874"/>
    <x v="11"/>
  </r>
  <r>
    <s v="08/07/2025"/>
    <x v="1"/>
    <s v="001"/>
    <s v="07-000130"/>
    <x v="1"/>
    <s v="91.06.02.07"/>
    <s v="VDJ_872"/>
    <s v="Balanza 24825"/>
    <s v="20124952850"/>
    <s v="ALIMENTOS Y SERVICIOS AGROPECUARIOS SRL."/>
    <x v="0"/>
    <s v="FACTURA"/>
    <s v="F002"/>
    <n v="133963"/>
    <n v="8.4700000000000006"/>
    <m/>
    <n v="1.5246"/>
    <m/>
    <n v="0"/>
    <n v="10"/>
    <m/>
    <m/>
    <m/>
    <m/>
    <s v="24825"/>
    <s v="63.1.1.7.01"/>
    <s v="Balanza 24825"/>
    <x v="11"/>
  </r>
  <r>
    <s v="09/07/2025"/>
    <x v="1"/>
    <s v="001"/>
    <s v="07-000131"/>
    <x v="1"/>
    <s v="91.06.02.07"/>
    <s v="VDJ_872"/>
    <s v="Balanza 24831"/>
    <s v="20124952850"/>
    <s v="ALIMENTOS Y SERVICIOS AGROPECUARIOS SRL."/>
    <x v="0"/>
    <s v="FACTURA"/>
    <s v="F002"/>
    <n v="133971"/>
    <n v="8.4700000000000006"/>
    <m/>
    <n v="1.5246"/>
    <m/>
    <n v="0"/>
    <n v="10"/>
    <m/>
    <m/>
    <m/>
    <m/>
    <s v="24831"/>
    <s v="63.1.1.7.01"/>
    <s v="Balanza 24831"/>
    <x v="11"/>
  </r>
  <r>
    <s v="08/07/2025"/>
    <x v="1"/>
    <s v="001"/>
    <s v="07-000132"/>
    <x v="1"/>
    <s v="91.06.02.07"/>
    <s v="VDJ_872"/>
    <s v="Balanza 24819"/>
    <s v="20124952850"/>
    <s v="ALIMENTOS Y SERVICIOS AGROPECUARIOS SRL."/>
    <x v="0"/>
    <s v="FACTURA"/>
    <s v="F002"/>
    <n v="133965"/>
    <n v="8.4700000000000006"/>
    <m/>
    <n v="1.5246"/>
    <m/>
    <n v="0"/>
    <n v="10"/>
    <m/>
    <m/>
    <m/>
    <m/>
    <s v="24819"/>
    <s v="63.1.1.7.01"/>
    <s v="Balanza 24819"/>
    <x v="11"/>
  </r>
  <r>
    <s v="08/07/2025"/>
    <x v="1"/>
    <s v="001"/>
    <s v="07-000133"/>
    <x v="1"/>
    <s v="91.06.02.07"/>
    <s v="VDJ_872"/>
    <s v="Balanza 24824"/>
    <s v="20124952850"/>
    <s v="ALIMENTOS Y SERVICIOS AGROPECUARIOS SRL."/>
    <x v="0"/>
    <s v="FACTURA"/>
    <s v="F002"/>
    <n v="133964"/>
    <n v="8.4700000000000006"/>
    <m/>
    <n v="1.5246"/>
    <m/>
    <n v="0"/>
    <n v="10"/>
    <m/>
    <m/>
    <m/>
    <m/>
    <s v="24824"/>
    <s v="63.1.1.7.01"/>
    <s v="Balanza 24824"/>
    <x v="11"/>
  </r>
  <r>
    <s v="10/07/2025"/>
    <x v="1"/>
    <s v="001"/>
    <s v="07-000134"/>
    <x v="1"/>
    <s v="91.06.02.06"/>
    <s v="VBW_889"/>
    <s v="Balanza 24848"/>
    <s v="20259858934"/>
    <s v="COMERCIALIZACION Y SERVICIOS EL EDEN S.A.C."/>
    <x v="0"/>
    <s v="FACTURA"/>
    <s v="FE02"/>
    <n v="16933"/>
    <n v="8.4700000000000006"/>
    <m/>
    <n v="1.5246"/>
    <m/>
    <n v="0"/>
    <n v="20"/>
    <m/>
    <m/>
    <m/>
    <m/>
    <s v="24848"/>
    <s v="63.1.1.7.01"/>
    <s v="Balanza 24848"/>
    <x v="11"/>
  </r>
  <r>
    <s v="10/07/2025"/>
    <x v="1"/>
    <s v="001"/>
    <s v="07-000134"/>
    <x v="1"/>
    <s v="91.06.02.06"/>
    <s v="VBW_889"/>
    <s v="Balanza 24848"/>
    <s v="20259858934"/>
    <s v="COMERCIALIZACION Y SERVICIOS EL EDEN S.A.C."/>
    <x v="0"/>
    <s v="FACTURA"/>
    <s v="FE02"/>
    <n v="16933"/>
    <n v="8.48"/>
    <m/>
    <n v="1.5264"/>
    <m/>
    <n v="0"/>
    <n v="20"/>
    <m/>
    <m/>
    <m/>
    <m/>
    <s v="24848"/>
    <s v="63.1.1.7.02"/>
    <s v="Balanza 24848"/>
    <x v="1"/>
  </r>
  <r>
    <s v="07/07/2025"/>
    <x v="1"/>
    <s v="001"/>
    <s v="07-000135"/>
    <x v="1"/>
    <s v="91.06.02.07"/>
    <s v="VDJ_872"/>
    <s v="Balanza 24813"/>
    <s v="20259858934"/>
    <s v="COMERCIALIZACION Y SERVICIOS EL EDEN S.A.C."/>
    <x v="0"/>
    <s v="FACTURA"/>
    <s v="FE02"/>
    <n v="16910"/>
    <n v="16.95"/>
    <m/>
    <n v="3.0509999999999997"/>
    <m/>
    <n v="0"/>
    <n v="20"/>
    <m/>
    <m/>
    <m/>
    <m/>
    <s v="24813"/>
    <s v="63.1.1.7.01"/>
    <s v="Balanza 24813"/>
    <x v="11"/>
  </r>
  <r>
    <s v="01/07/2025"/>
    <x v="1"/>
    <s v="001"/>
    <s v="07-000136"/>
    <x v="0"/>
    <s v="94.01"/>
    <s v="Administracion"/>
    <s v="Servicios Básicos _ internet villa"/>
    <s v="20608587803"/>
    <s v="FF AQP E.I.R.L."/>
    <x v="0"/>
    <s v="FACTURA"/>
    <s v="FFF1"/>
    <n v="230"/>
    <n v="152.54"/>
    <m/>
    <n v="27.457199999999997"/>
    <m/>
    <n v="0"/>
    <n v="180"/>
    <m/>
    <m/>
    <m/>
    <m/>
    <m/>
    <s v="63.6.5.1"/>
    <s v="Servicios Básicos _ internet villa"/>
    <x v="0"/>
  </r>
  <r>
    <s v="09/07/2025"/>
    <x v="1"/>
    <s v="001"/>
    <s v="07-000137"/>
    <x v="0"/>
    <m/>
    <m/>
    <m/>
    <s v="20100210909"/>
    <s v="LA POSITIVA SEGUROS Y REASEGUROS S.A.A."/>
    <x v="0"/>
    <s v="FACTURA"/>
    <s v="F040"/>
    <s v="466228"/>
    <n v="308.66000000000003"/>
    <m/>
    <n v="55.55"/>
    <m/>
    <n v="0"/>
    <n v="364.21"/>
    <m/>
    <m/>
    <m/>
    <m/>
    <m/>
    <m/>
    <m/>
    <x v="0"/>
  </r>
  <r>
    <s v="10/07/2025"/>
    <x v="1"/>
    <s v="001"/>
    <s v="07-000138"/>
    <x v="0"/>
    <s v="94.03"/>
    <s v="Logistica"/>
    <s v="Útiles de escritorio en general"/>
    <s v="10420945511"/>
    <s v="COAQUIRA PAUCAR MARK FRANK"/>
    <x v="1"/>
    <s v="BOLETA DE VENTA"/>
    <s v="001"/>
    <n v="4388"/>
    <m/>
    <m/>
    <m/>
    <m/>
    <n v="22"/>
    <n v="22"/>
    <m/>
    <m/>
    <m/>
    <m/>
    <m/>
    <s v="60.3.1.1"/>
    <s v="Útiles de escritorio en general"/>
    <x v="0"/>
  </r>
  <r>
    <s v="10/07/2025"/>
    <x v="1"/>
    <s v="001"/>
    <s v="07-000139"/>
    <x v="1"/>
    <s v="91.06.01"/>
    <s v="Operaciones"/>
    <s v="Alimentacion"/>
    <s v="10420945511"/>
    <s v="COAQUIRA PAUCAR MARK FRANK"/>
    <x v="1"/>
    <s v="BOLETA DE VENTA"/>
    <s v="001"/>
    <n v="164"/>
    <m/>
    <m/>
    <m/>
    <m/>
    <n v="15"/>
    <n v="15"/>
    <m/>
    <m/>
    <m/>
    <m/>
    <m/>
    <s v="63.1.4.1.01"/>
    <s v="Alimentacion"/>
    <x v="9"/>
  </r>
  <r>
    <s v="09/07/2025"/>
    <x v="1"/>
    <s v="001"/>
    <s v="07-000140"/>
    <x v="2"/>
    <s v="95.01"/>
    <s v="Comercial"/>
    <s v="Banners impreso RQ.COM.355"/>
    <s v="10416031679"/>
    <s v="ALARCON ZAIRA ABRAHAM JESUS"/>
    <x v="0"/>
    <s v="FACTURA"/>
    <s v="E001"/>
    <n v="302"/>
    <n v="281.36"/>
    <m/>
    <n v="50.644800000000004"/>
    <m/>
    <n v="0"/>
    <n v="332"/>
    <m/>
    <m/>
    <m/>
    <m/>
    <m/>
    <s v="65.9.9.9.01"/>
    <s v="Banners impreso RQ.COM.355"/>
    <x v="28"/>
  </r>
  <r>
    <s v="08/07/2025"/>
    <x v="1"/>
    <s v="001"/>
    <s v="07-000141"/>
    <x v="1"/>
    <s v="91.06.02.02"/>
    <s v="BKK_849"/>
    <s v="Mantenimiento Vehicular (Preventivo) RQ.OPE.1246 OS 006 _ 154"/>
    <s v="20602441165"/>
    <s v="VOLVO ENGINE AQP E.I.R.L."/>
    <x v="0"/>
    <s v="FACTURA"/>
    <s v="F001"/>
    <n v="495"/>
    <n v="94.92"/>
    <m/>
    <n v="17.085599999999999"/>
    <m/>
    <n v="0"/>
    <n v="112"/>
    <m/>
    <m/>
    <m/>
    <m/>
    <m/>
    <s v="63.4.3.2.02"/>
    <s v="Mantenimiento Vehicular (Preventivo) RQ.OPE.1246 OS 006 _ 154"/>
    <x v="3"/>
  </r>
  <r>
    <s v="08/07/2025"/>
    <x v="1"/>
    <s v="001"/>
    <s v="07-000142"/>
    <x v="1"/>
    <s v="91.06.02.02"/>
    <s v="BKK_849"/>
    <s v="Mantenimiento Vehicular (Preventivo) RQ.OPE.1246 OS 006 _ 154"/>
    <s v="20602441165"/>
    <s v="VOLVO ENGINE AQP E.I.R.L."/>
    <x v="0"/>
    <s v="FACTURA"/>
    <s v="F001"/>
    <n v="494"/>
    <n v="330"/>
    <m/>
    <n v="59.4"/>
    <m/>
    <n v="0"/>
    <n v="389.4"/>
    <m/>
    <m/>
    <m/>
    <m/>
    <m/>
    <s v="63.4.3.2.02"/>
    <s v="Mantenimiento Vehicular (Preventivo) RQ.OPE.1246 OS 006 _ 154"/>
    <x v="3"/>
  </r>
  <r>
    <s v="07/07/2025"/>
    <x v="1"/>
    <s v="001"/>
    <s v="07-000143"/>
    <x v="0"/>
    <s v="94.05"/>
    <s v="SSOMA"/>
    <s v="Desinfeccion. desratizacion RQ.SSO.243"/>
    <s v="20456147781"/>
    <s v="RIFUSE SANEAMIENTO AMBIENTAL S.R.L."/>
    <x v="0"/>
    <s v="FACTURA"/>
    <s v="E001"/>
    <n v="3617"/>
    <n v="900"/>
    <m/>
    <n v="162"/>
    <m/>
    <n v="0"/>
    <n v="1062"/>
    <s v="276124046"/>
    <s v="18/07/2025"/>
    <m/>
    <m/>
    <m/>
    <s v="63.2.5.1"/>
    <s v="Desinfeccion. desratizacion RQ.SSO.243"/>
    <x v="0"/>
  </r>
  <r>
    <s v="11/07/2025"/>
    <x v="1"/>
    <s v="001"/>
    <s v="07-000144"/>
    <x v="1"/>
    <s v="91.06.02.06"/>
    <s v="VBW_889"/>
    <s v="Lavado"/>
    <s v="20614269309"/>
    <s v="MULTISERVICIOS NUESTRA SRA. DE LOURDES E.I.R.L."/>
    <x v="0"/>
    <s v="FACTURA"/>
    <s v="E001"/>
    <n v="41"/>
    <n v="29.66"/>
    <m/>
    <n v="5.3388"/>
    <m/>
    <n v="0"/>
    <n v="35"/>
    <m/>
    <m/>
    <m/>
    <m/>
    <m/>
    <s v="63.1.1.5.01"/>
    <s v="Lavado"/>
    <x v="14"/>
  </r>
  <r>
    <s v="11/07/2025"/>
    <x v="1"/>
    <s v="001"/>
    <s v="07-000145"/>
    <x v="1"/>
    <s v="91.06.02.06"/>
    <s v="VBW_889"/>
    <s v="Desenllante 24868"/>
    <s v="10434937391"/>
    <s v="REVOLLO BUSTINZA JORGE LUIS"/>
    <x v="1"/>
    <s v="BOLETA DE VENTA"/>
    <s v="002"/>
    <n v="589"/>
    <m/>
    <m/>
    <m/>
    <m/>
    <n v="20"/>
    <n v="20"/>
    <m/>
    <m/>
    <m/>
    <m/>
    <s v="24868"/>
    <s v="63.4.3.2.01"/>
    <s v="Desenllante 24868"/>
    <x v="5"/>
  </r>
  <r>
    <s v="10/07/2025"/>
    <x v="1"/>
    <s v="001"/>
    <s v="07-000146"/>
    <x v="1"/>
    <s v="91.06.02.01"/>
    <s v="V9R_903"/>
    <s v="Reparacion de llanta 24851"/>
    <s v="10449376124"/>
    <s v="TRELLES MAMANI ELMER"/>
    <x v="1"/>
    <s v="BOLETA DE VENTA"/>
    <s v="001"/>
    <n v="2526"/>
    <m/>
    <m/>
    <m/>
    <m/>
    <n v="70"/>
    <n v="70"/>
    <m/>
    <m/>
    <m/>
    <m/>
    <s v="24851"/>
    <s v="63.4.3.2.01"/>
    <s v="Reparacion de llanta 24851"/>
    <x v="5"/>
  </r>
  <r>
    <s v="11/07/2025"/>
    <x v="1"/>
    <s v="001"/>
    <s v="07-000147"/>
    <x v="1"/>
    <s v="91.06.02.11"/>
    <s v="Tercerizados"/>
    <s v="Accesorios vehiculares 24869"/>
    <s v="20497914885"/>
    <s v="REPUESTOS Y MAQUINARIAS S.A."/>
    <x v="0"/>
    <s v="FACTURA"/>
    <s v="F001"/>
    <n v="71396"/>
    <n v="38.979999999999997"/>
    <m/>
    <n v="7.0163999999999991"/>
    <m/>
    <n v="0"/>
    <n v="46"/>
    <m/>
    <m/>
    <m/>
    <m/>
    <s v="24869"/>
    <s v="63.4.3.2.03"/>
    <s v="Accesorios vehiculares 24869"/>
    <x v="18"/>
  </r>
  <r>
    <s v="11/07/2025"/>
    <x v="1"/>
    <s v="001"/>
    <s v="07-000148"/>
    <x v="1"/>
    <s v="91.06.02.02"/>
    <s v="BKK_849"/>
    <s v="Liquido de freno 24870"/>
    <s v="20610943625"/>
    <s v="G Y A MULTISERVICIOS EL TREBOL S.R.L."/>
    <x v="0"/>
    <s v="FACTURA"/>
    <s v="E001"/>
    <n v="1026"/>
    <n v="16.940000000000001"/>
    <m/>
    <n v="3.0491999999999999"/>
    <m/>
    <n v="0"/>
    <n v="19.989999999999998"/>
    <m/>
    <m/>
    <m/>
    <m/>
    <s v="24870"/>
    <s v="63.4.3.2.03"/>
    <s v="Liquido de freno 24870"/>
    <x v="18"/>
  </r>
  <r>
    <s v="14/07/2025"/>
    <x v="1"/>
    <s v="001"/>
    <s v="07-000149"/>
    <x v="1"/>
    <s v="91.06.02.02"/>
    <s v="BKK_849"/>
    <s v="Rodaje accesorio vehiculares 24882"/>
    <s v="20453904971"/>
    <s v="REPUESTOS NUEVA ERA E.I.R.L."/>
    <x v="0"/>
    <s v="FACTURA"/>
    <s v="F001"/>
    <n v="67808"/>
    <n v="59.32"/>
    <m/>
    <n v="10.6776"/>
    <m/>
    <n v="0"/>
    <n v="70"/>
    <m/>
    <m/>
    <m/>
    <m/>
    <s v="24882"/>
    <s v="63.4.3.2.03"/>
    <s v="Rodaje accesorio vehiculares 24882"/>
    <x v="18"/>
  </r>
  <r>
    <s v="14/07/2025"/>
    <x v="1"/>
    <s v="001"/>
    <s v="07-000150"/>
    <x v="1"/>
    <s v="91.06.02.01"/>
    <s v="V9R_903"/>
    <s v="Foco accesorio vehicular 24883"/>
    <s v="20608545591"/>
    <s v="REPUESTOS ELIBEM IMPORTACIONES S.R.L."/>
    <x v="0"/>
    <s v="FACTURA"/>
    <s v="F003"/>
    <n v="44341"/>
    <n v="11.02"/>
    <m/>
    <n v="1.9835999999999998"/>
    <m/>
    <n v="0"/>
    <n v="13"/>
    <m/>
    <m/>
    <m/>
    <m/>
    <s v="24883"/>
    <s v="63.4.3.2.03"/>
    <s v="Foco accesorio vehicular 24883"/>
    <x v="18"/>
  </r>
  <r>
    <s v="02/07/2025"/>
    <x v="1"/>
    <s v="001"/>
    <s v="07-000151"/>
    <x v="1"/>
    <s v="91.06.02.07"/>
    <s v="VDJ_872"/>
    <s v="Liquido de freno 24786"/>
    <s v="10402383548"/>
    <s v="HUALLA SANCHEZ GUSTAVO PAUL"/>
    <x v="0"/>
    <s v="FACTURA"/>
    <s v="E001"/>
    <n v="3292"/>
    <n v="16.95"/>
    <m/>
    <n v="3.0509999999999997"/>
    <m/>
    <n v="0"/>
    <n v="20"/>
    <m/>
    <m/>
    <m/>
    <m/>
    <s v="24786"/>
    <s v="63.4.3.2.02"/>
    <s v="Liquido de freno 24786"/>
    <x v="3"/>
  </r>
  <r>
    <s v="01/07/2025"/>
    <x v="1"/>
    <s v="001"/>
    <s v="07-000152"/>
    <x v="1"/>
    <s v="91.06.02.07"/>
    <s v="VDJ_872"/>
    <s v="Urea accesorio vehicular 24757"/>
    <s v="20602593593"/>
    <s v="SP TRANSPORT LOGISTIC SOCIEDAD ANONIMA CERRADA - SP TRANSPORT LOGISTIC S.A.C."/>
    <x v="0"/>
    <s v="FACTURA"/>
    <s v="F002"/>
    <n v="3606"/>
    <n v="49.15"/>
    <m/>
    <n v="8.8469999999999995"/>
    <m/>
    <n v="0"/>
    <n v="58"/>
    <m/>
    <m/>
    <m/>
    <m/>
    <s v="24757"/>
    <s v="63.4.3.2.03"/>
    <s v="Urea accesorio vehicular 24757"/>
    <x v="18"/>
  </r>
  <r>
    <s v="14/07/2025"/>
    <x v="1"/>
    <s v="001"/>
    <s v="07-000153"/>
    <x v="1"/>
    <s v="91.06.02.02"/>
    <s v="BKK_849"/>
    <s v="Rodaje accesorio vehicular 24881"/>
    <s v="20600725417"/>
    <s v="DISTRIBUIDORA AREQUIPA MAJES E.I.R.L."/>
    <x v="0"/>
    <s v="FACTURA"/>
    <s v="FE01"/>
    <n v="2190"/>
    <n v="42.37"/>
    <m/>
    <n v="7.6265999999999989"/>
    <m/>
    <n v="0"/>
    <n v="50"/>
    <m/>
    <m/>
    <m/>
    <m/>
    <s v="24881"/>
    <s v="63.4.3.2.03"/>
    <s v="Rodaje accesorio vehicular 24881"/>
    <x v="18"/>
  </r>
  <r>
    <s v="12/07/2025"/>
    <x v="1"/>
    <s v="001"/>
    <s v="07-000154"/>
    <x v="1"/>
    <s v="91.06.02.07"/>
    <s v="VDJ_872"/>
    <s v="Foco accesorio vehicular 24884"/>
    <s v="20603219377"/>
    <s v="REPUESTOS Y MANGUERAS INDUSTRIALES DEL SUR S.R.L. - REMINSUR S.R.L."/>
    <x v="0"/>
    <s v="FACTURA"/>
    <s v="E001"/>
    <n v="79799"/>
    <n v="7.63"/>
    <m/>
    <n v="1.3734"/>
    <m/>
    <n v="0"/>
    <n v="9"/>
    <m/>
    <m/>
    <m/>
    <m/>
    <s v="24884"/>
    <s v="63.4.3.2.03"/>
    <s v="Foco accesorio vehicular 24884"/>
    <x v="18"/>
  </r>
  <r>
    <s v="07/07/2025"/>
    <x v="1"/>
    <s v="001"/>
    <s v="07-000155"/>
    <x v="1"/>
    <s v="91.06.02.03"/>
    <s v="BKL_739"/>
    <s v="Peaje 24857"/>
    <s v="20517252558"/>
    <s v="CONCESIONARIA VIAL DEL SUR S.A.- COVISUR S.A."/>
    <x v="0"/>
    <s v="FACTURA"/>
    <s v="F212"/>
    <n v="1778329"/>
    <n v="6.78"/>
    <m/>
    <n v="1.2203999999999999"/>
    <m/>
    <n v="0"/>
    <n v="8"/>
    <m/>
    <m/>
    <m/>
    <m/>
    <s v="24857"/>
    <s v="63.1.1.3.03"/>
    <s v="Peaje 24857"/>
    <x v="7"/>
  </r>
  <r>
    <s v="07/07/2025"/>
    <x v="1"/>
    <s v="001"/>
    <s v="07-000156"/>
    <x v="1"/>
    <s v="91.06.02.03"/>
    <s v="BKL_739"/>
    <s v="Peaje 24856"/>
    <s v="20517252558"/>
    <s v="CONCESIONARIA VIAL DEL SUR S.A.- COVISUR S.A."/>
    <x v="0"/>
    <s v="FACTURA"/>
    <s v="F213"/>
    <n v="1798353"/>
    <n v="6.78"/>
    <m/>
    <n v="1.2203999999999999"/>
    <m/>
    <n v="0"/>
    <n v="8"/>
    <m/>
    <m/>
    <m/>
    <m/>
    <s v="24856"/>
    <s v="63.1.1.3.03"/>
    <s v="Peaje 24856"/>
    <x v="7"/>
  </r>
  <r>
    <s v="08/07/2025"/>
    <x v="1"/>
    <s v="001"/>
    <s v="07-000157"/>
    <x v="1"/>
    <s v="91.06.02.03"/>
    <s v="BKL_739"/>
    <s v="Peaje 24859"/>
    <s v="20517252558"/>
    <s v="CONCESIONARIA VIAL DEL SUR S.A.- COVISUR S.A."/>
    <x v="0"/>
    <s v="FACTURA"/>
    <s v="F212"/>
    <n v="1779251"/>
    <n v="6.78"/>
    <m/>
    <n v="1.2203999999999999"/>
    <m/>
    <n v="0"/>
    <n v="8"/>
    <m/>
    <m/>
    <m/>
    <m/>
    <s v="24859"/>
    <s v="63.1.1.3.02"/>
    <s v="Peaje 24859"/>
    <x v="8"/>
  </r>
  <r>
    <s v="08/07/2025"/>
    <x v="1"/>
    <s v="001"/>
    <s v="07-000158"/>
    <x v="1"/>
    <s v="91.06.02.03"/>
    <s v="BKL_739"/>
    <s v="Peaje 24858"/>
    <s v="20517252558"/>
    <s v="CONCESIONARIA VIAL DEL SUR S.A.- COVISUR S.A."/>
    <x v="0"/>
    <s v="FACTURA"/>
    <s v="F214"/>
    <n v="2105666"/>
    <n v="6.78"/>
    <m/>
    <n v="1.2203999999999999"/>
    <m/>
    <n v="0"/>
    <n v="8"/>
    <m/>
    <m/>
    <m/>
    <m/>
    <s v="24858"/>
    <s v="63.1.1.3.02"/>
    <s v="Peaje 24858"/>
    <x v="8"/>
  </r>
  <r>
    <s v="09/07/2025"/>
    <x v="1"/>
    <s v="001"/>
    <s v="07-000159"/>
    <x v="1"/>
    <s v="91.06.02.03"/>
    <s v="BKL_739"/>
    <s v="Peaje 24861"/>
    <s v="20517252558"/>
    <s v="CONCESIONARIA VIAL DEL SUR S.A.- COVISUR S.A."/>
    <x v="0"/>
    <s v="FACTURA"/>
    <s v="F211"/>
    <n v="2392943"/>
    <n v="6.78"/>
    <m/>
    <n v="1.2203999999999999"/>
    <m/>
    <n v="0"/>
    <n v="8"/>
    <m/>
    <m/>
    <m/>
    <m/>
    <s v="24861"/>
    <s v="63.1.1.3.02"/>
    <s v="Peaje 24861"/>
    <x v="8"/>
  </r>
  <r>
    <s v="09/07/2025"/>
    <x v="1"/>
    <s v="001"/>
    <s v="07-000160"/>
    <x v="1"/>
    <s v="91.06.02.03"/>
    <s v="BKL_739"/>
    <s v="Peaje 24860"/>
    <s v="20517252558"/>
    <s v="CONCESIONARIA VIAL DEL SUR S.A.- COVISUR S.A."/>
    <x v="0"/>
    <s v="FACTURA"/>
    <s v="F214"/>
    <n v="2106483"/>
    <n v="6.78"/>
    <m/>
    <n v="1.2203999999999999"/>
    <m/>
    <n v="0"/>
    <n v="8"/>
    <m/>
    <m/>
    <m/>
    <m/>
    <s v="24860"/>
    <s v="63.1.1.3.03"/>
    <s v="Peaje 24860"/>
    <x v="7"/>
  </r>
  <r>
    <s v="10/07/2025"/>
    <x v="1"/>
    <s v="001"/>
    <s v="07-000161"/>
    <x v="1"/>
    <s v="91.06.02.07"/>
    <s v="VDJ_872"/>
    <s v="Peaje 24863"/>
    <s v="20517252558"/>
    <s v="CONCESIONARIA VIAL DEL SUR S.A.- COVISUR S.A."/>
    <x v="0"/>
    <s v="FACTURA"/>
    <s v="F114"/>
    <n v="1087675"/>
    <n v="6.78"/>
    <m/>
    <n v="1.2203999999999999"/>
    <m/>
    <n v="0"/>
    <n v="8"/>
    <m/>
    <m/>
    <m/>
    <m/>
    <s v="24863"/>
    <s v="63.1.1.3.02"/>
    <s v="Peaje 24863"/>
    <x v="8"/>
  </r>
  <r>
    <s v="10/07/2025"/>
    <x v="1"/>
    <s v="001"/>
    <s v="07-000162"/>
    <x v="1"/>
    <s v="91.06.02.07"/>
    <s v="VDJ_872"/>
    <s v="Peaje 24862"/>
    <s v="20517252558"/>
    <s v="CONCESIONARIA VIAL DEL SUR S.A.- COVISUR S.A."/>
    <x v="0"/>
    <s v="FACTURA"/>
    <s v="F214"/>
    <n v="2107338"/>
    <n v="6.78"/>
    <m/>
    <n v="1.2203999999999999"/>
    <m/>
    <n v="0"/>
    <n v="8"/>
    <m/>
    <m/>
    <m/>
    <m/>
    <s v="24862"/>
    <s v="63.1.1.3.02"/>
    <s v="Peaje 24862"/>
    <x v="8"/>
  </r>
  <r>
    <s v="10/07/2025"/>
    <x v="1"/>
    <s v="001"/>
    <s v="07-000163"/>
    <x v="1"/>
    <s v="91.06.02.07"/>
    <s v="VDJ_872"/>
    <s v="Peaje 24864"/>
    <s v="20517252558"/>
    <s v="CONCESIONARIA VIAL DEL SUR S.A.- COVISUR S.A."/>
    <x v="0"/>
    <s v="FACTURA"/>
    <s v="F212"/>
    <n v="1780588"/>
    <n v="4.24"/>
    <m/>
    <n v="0.76319999999999999"/>
    <m/>
    <n v="0"/>
    <n v="5"/>
    <m/>
    <m/>
    <m/>
    <m/>
    <s v="24864"/>
    <s v="63.1.1.3.02"/>
    <s v="Peaje 24864"/>
    <x v="8"/>
  </r>
  <r>
    <s v="10/07/2025"/>
    <x v="1"/>
    <s v="001"/>
    <s v="07-000164"/>
    <x v="1"/>
    <s v="91.06.02.07"/>
    <s v="VDJ_872"/>
    <s v="Peaje 24865"/>
    <s v="20517252558"/>
    <s v="CONCESIONARIA VIAL DEL SUR S.A.- COVISUR S.A."/>
    <x v="0"/>
    <s v="FACTURA"/>
    <s v="F111"/>
    <n v="995172"/>
    <n v="6.78"/>
    <m/>
    <n v="1.2203999999999999"/>
    <m/>
    <n v="0"/>
    <n v="8"/>
    <m/>
    <m/>
    <m/>
    <m/>
    <s v="24865"/>
    <s v="63.1.1.3.02"/>
    <s v="Peaje 24865"/>
    <x v="8"/>
  </r>
  <r>
    <s v="11/07/2025"/>
    <x v="1"/>
    <s v="001"/>
    <s v="07-000165"/>
    <x v="1"/>
    <s v="91.06.02.03"/>
    <s v="BKL_739"/>
    <s v="Peaje 24880"/>
    <s v="20517252558"/>
    <s v="CONCESIONARIA VIAL DEL SUR S.A.- COVISUR S.A."/>
    <x v="0"/>
    <s v="FACTURA"/>
    <s v="F213"/>
    <n v="1801089"/>
    <n v="6.78"/>
    <m/>
    <n v="1.2203999999999999"/>
    <m/>
    <n v="0"/>
    <n v="8"/>
    <m/>
    <m/>
    <m/>
    <m/>
    <s v="24880"/>
    <s v="63.1.1.3.02"/>
    <s v="Peaje 24880"/>
    <x v="8"/>
  </r>
  <r>
    <s v="08/07/2025"/>
    <x v="1"/>
    <s v="001"/>
    <s v="07-000166"/>
    <x v="1"/>
    <s v="91.06.02.02"/>
    <s v="BKK_849"/>
    <s v="Balanza 24836"/>
    <s v="20124952850"/>
    <s v="ALIMENTOS Y SERVICIOS AGROPECUARIOS SRL."/>
    <x v="0"/>
    <s v="FACTURA"/>
    <s v="F002"/>
    <n v="133955"/>
    <n v="8.4700000000000006"/>
    <m/>
    <n v="1.5246"/>
    <m/>
    <n v="0"/>
    <n v="10"/>
    <m/>
    <m/>
    <m/>
    <m/>
    <s v="24836"/>
    <s v="63.1.1.7.01"/>
    <s v="Balanza 24836"/>
    <x v="11"/>
  </r>
  <r>
    <s v="11/07/2025"/>
    <x v="1"/>
    <s v="001"/>
    <s v="07-000167"/>
    <x v="1"/>
    <s v="91.06.02.02"/>
    <s v="BKK_849"/>
    <s v="Lavado 24877"/>
    <s v="10705628331"/>
    <s v="LARICO APAZA NANCY ROSSMARY"/>
    <x v="0"/>
    <s v="FACTURA"/>
    <s v="F001"/>
    <n v="18688"/>
    <n v="21.19"/>
    <m/>
    <n v="3.8142"/>
    <m/>
    <n v="0"/>
    <n v="25"/>
    <m/>
    <m/>
    <m/>
    <m/>
    <s v="24877"/>
    <s v="63.1.1.5.01"/>
    <s v="Lavado 24877"/>
    <x v="14"/>
  </r>
  <r>
    <s v="08/07/2025"/>
    <x v="1"/>
    <s v="001"/>
    <s v="07-000168"/>
    <x v="1"/>
    <s v="91.06.02.02"/>
    <s v="BKK_849"/>
    <s v="Balanza 24837"/>
    <s v="20259858934"/>
    <s v="COMERCIALIZACION Y SERVICIOS EL EDEN S.A.C."/>
    <x v="0"/>
    <s v="FACTURA"/>
    <s v="FE01"/>
    <n v="35098"/>
    <n v="8.4700000000000006"/>
    <m/>
    <n v="1.5246"/>
    <m/>
    <n v="0"/>
    <n v="10"/>
    <m/>
    <m/>
    <m/>
    <m/>
    <s v="24837"/>
    <s v="63.1.1.7.01"/>
    <s v="Balanza 24837"/>
    <x v="11"/>
  </r>
  <r>
    <s v="01/07/2025"/>
    <x v="1"/>
    <s v="001"/>
    <s v="07-000169"/>
    <x v="0"/>
    <s v="94.06"/>
    <s v="Gerencia"/>
    <s v="Consultoría / asesoría _ Otros RQ.GER.073"/>
    <s v="20612973530"/>
    <s v="IGNITE LABS SOCIEDAD ANONIMA CERRADA"/>
    <x v="0"/>
    <s v="FACTURA"/>
    <s v="F001"/>
    <n v="20"/>
    <n v="993.72"/>
    <m/>
    <n v="178.86959999999999"/>
    <m/>
    <n v="0"/>
    <n v="1172.5899999999999"/>
    <s v="275528062"/>
    <s v="10/07/2025"/>
    <m/>
    <m/>
    <m/>
    <s v="63.2.1.1"/>
    <s v="Consultoría / asesoría _ Otros RQ.GER.073"/>
    <x v="0"/>
  </r>
  <r>
    <s v="11/07/2025"/>
    <x v="1"/>
    <s v="001"/>
    <s v="07-000170"/>
    <x v="0"/>
    <m/>
    <m/>
    <m/>
    <s v="20100210909"/>
    <s v="LA POSITIVA SEGUROS Y REASEGUROS S.A.A."/>
    <x v="0"/>
    <s v="FACTURA"/>
    <s v="F809"/>
    <s v="378395"/>
    <n v="129.66"/>
    <m/>
    <n v="23.34"/>
    <m/>
    <n v="0"/>
    <n v="153"/>
    <m/>
    <m/>
    <m/>
    <m/>
    <m/>
    <m/>
    <m/>
    <x v="0"/>
  </r>
  <r>
    <s v="10/07/2025"/>
    <x v="1"/>
    <s v="001"/>
    <s v="07-000171"/>
    <x v="2"/>
    <s v="95.01"/>
    <s v="Comercial"/>
    <s v="Alimentacion _ botellas de agua  RQ.COM.356"/>
    <s v="10309622885"/>
    <s v="QUISPE GUTIERREZ EUFRACIA"/>
    <x v="1"/>
    <s v="BOLETA DE VENTA"/>
    <s v="001"/>
    <n v="168"/>
    <m/>
    <m/>
    <m/>
    <m/>
    <n v="21.4"/>
    <n v="21.4"/>
    <m/>
    <m/>
    <m/>
    <m/>
    <m/>
    <s v="63.1.4.1.01"/>
    <s v="Alimentacion _ botellas de agua  RQ.COM.356"/>
    <x v="9"/>
  </r>
  <r>
    <s v="11/07/2025"/>
    <x v="1"/>
    <s v="001"/>
    <s v="07-000172"/>
    <x v="0"/>
    <s v="94.04"/>
    <s v="Gestion Humana"/>
    <s v="Examen medico _ periodico RQ.GH.209"/>
    <s v="20517035964"/>
    <s v="SIGSO CONSULTORES LABORALES SOCIEDAD ANONIMA CERRADA - SIGSO CONSULTORES LABORALES S.A.C."/>
    <x v="0"/>
    <s v="FACTURA"/>
    <s v="F200"/>
    <n v="16163"/>
    <n v="89"/>
    <m/>
    <n v="16.02"/>
    <m/>
    <n v="0"/>
    <n v="105.02"/>
    <m/>
    <m/>
    <m/>
    <m/>
    <m/>
    <s v="62.5.1.2.02"/>
    <s v="Examen medico _ periodico RQ.GH.209"/>
    <x v="0"/>
  </r>
  <r>
    <s v="10/07/2025"/>
    <x v="1"/>
    <s v="001"/>
    <s v="07-000173"/>
    <x v="0"/>
    <s v="94.03"/>
    <s v="Logistica"/>
    <s v="Piedra chancada RQ.LOG.333"/>
    <s v="20611396121"/>
    <s v="AGREGADOS DARWIN E.I.R.L."/>
    <x v="0"/>
    <s v="FACTURA"/>
    <s v="E001"/>
    <n v="542"/>
    <n v="779.66"/>
    <m/>
    <n v="140.33879999999999"/>
    <m/>
    <n v="0"/>
    <n v="920"/>
    <s v="276124047"/>
    <s v="18/07/2025"/>
    <m/>
    <m/>
    <m/>
    <s v="65.9.9.5.01"/>
    <s v="Piedra chancada RQ.LOG.333"/>
    <x v="0"/>
  </r>
  <r>
    <s v="01/07/2025"/>
    <x v="1"/>
    <s v="001"/>
    <s v="07-000174"/>
    <x v="0"/>
    <s v="94.03"/>
    <s v="Logistica"/>
    <s v="Gabinete, bandeja metalica _ Instalaciones en general RQ.LOG.334"/>
    <s v="10450776578"/>
    <s v="ROQUE BORDIJUELA GROVER"/>
    <x v="0"/>
    <s v="FACTURA"/>
    <s v="E001"/>
    <n v="1458"/>
    <n v="572.03"/>
    <m/>
    <n v="102.96539999999999"/>
    <m/>
    <n v="0"/>
    <n v="675"/>
    <m/>
    <m/>
    <m/>
    <m/>
    <m/>
    <s v="65.9.9.5.01"/>
    <s v="Gabinete, bandeja metalica _ Instalaciones en general RQ.LOG.334"/>
    <x v="0"/>
  </r>
  <r>
    <s v="07/07/2025"/>
    <x v="1"/>
    <s v="001"/>
    <s v="07-000175"/>
    <x v="1"/>
    <s v="91.06.02.01"/>
    <s v="V9R_903"/>
    <s v="Monitoreo GPS RQ.OPE.1007 OS 006 _ 156"/>
    <s v="20609580292"/>
    <s v="GPSFOX S.A.C"/>
    <x v="0"/>
    <s v="FACTURA"/>
    <s v="E001"/>
    <n v="416"/>
    <n v="508.47"/>
    <m/>
    <n v="91.524600000000007"/>
    <m/>
    <n v="0"/>
    <n v="600"/>
    <m/>
    <m/>
    <m/>
    <m/>
    <m/>
    <s v="63.9.9.1.03.01"/>
    <s v="Monitoreo GPS RQ.OPE.1007 OS 006 _ 156"/>
    <x v="29"/>
  </r>
  <r>
    <s v="10/07/2025"/>
    <x v="1"/>
    <s v="001"/>
    <s v="07-000176"/>
    <x v="0"/>
    <s v="94.04"/>
    <s v="Gestion Humana"/>
    <s v="Capacitaciones para el personal RQ.OPE.1275"/>
    <s v="20606109963"/>
    <s v="AZUL SOSTENIBLE S.A.C BIC"/>
    <x v="0"/>
    <s v="FACTURA"/>
    <s v="E001"/>
    <n v="60"/>
    <n v="101.69"/>
    <m/>
    <n v="18.304199999999998"/>
    <m/>
    <n v="0"/>
    <n v="120"/>
    <m/>
    <m/>
    <m/>
    <m/>
    <m/>
    <s v="63.2.8.1"/>
    <s v="Capacitaciones para el personal RQ.OPE.1275"/>
    <x v="0"/>
  </r>
  <r>
    <s v="15/07/2025"/>
    <x v="1"/>
    <s v="001"/>
    <s v="07-000177"/>
    <x v="1"/>
    <s v="91.06.01"/>
    <s v="Operaciones"/>
    <s v="Envío de documentación / paquetería"/>
    <s v="20558053691"/>
    <s v="GRUPO GARCIA TOLEDO S.A.C"/>
    <x v="0"/>
    <s v="FACTURA"/>
    <s v="F553"/>
    <n v="5338"/>
    <n v="16.95"/>
    <m/>
    <n v="3.0509999999999997"/>
    <m/>
    <n v="0"/>
    <n v="20"/>
    <m/>
    <m/>
    <m/>
    <m/>
    <s v="001-12519"/>
    <s v="63.1.2.1.01"/>
    <s v="Envío de documentación / paquetería"/>
    <x v="2"/>
  </r>
  <r>
    <s v="11/07/2025"/>
    <x v="1"/>
    <s v="001"/>
    <s v="07-000178"/>
    <x v="1"/>
    <s v="91.06.02.02"/>
    <s v="BKK_849"/>
    <s v="Mantenimiento Vehicular (Preventivo) RQ.OPE.1197 OS 006 _ 155"/>
    <s v="20602441165"/>
    <s v="VOLVO ENGINE AQP E.I.R.L."/>
    <x v="0"/>
    <s v="FACTURA"/>
    <s v="F001"/>
    <n v="499"/>
    <n v="250"/>
    <m/>
    <n v="45"/>
    <m/>
    <n v="0"/>
    <n v="295"/>
    <m/>
    <m/>
    <m/>
    <m/>
    <m/>
    <s v="63.4.3.2.02"/>
    <s v="Mantenimiento Vehicular (Preventivo) RQ.OPE.1197 OS 006 _ 155"/>
    <x v="3"/>
  </r>
  <r>
    <s v="11/07/2025"/>
    <x v="1"/>
    <s v="001"/>
    <s v="07-000179"/>
    <x v="1"/>
    <s v="91.06.02.02"/>
    <s v="BKK_849"/>
    <s v="Mantenimiento Vehicular (Preventivo) RQ.OPE.1197 OS 006 _ 155"/>
    <s v="20602441165"/>
    <s v="VOLVO ENGINE AQP E.I.R.L."/>
    <x v="0"/>
    <s v="FACTURA"/>
    <s v="F001"/>
    <n v="500"/>
    <n v="391.53"/>
    <m/>
    <n v="70.475399999999993"/>
    <m/>
    <n v="0"/>
    <n v="462"/>
    <m/>
    <m/>
    <m/>
    <m/>
    <m/>
    <s v="63.4.3.2.02"/>
    <s v="Mantenimiento Vehicular (Preventivo) RQ.OPE.1197 OS 006 _ 155"/>
    <x v="3"/>
  </r>
  <r>
    <s v="09/07/2025"/>
    <x v="1"/>
    <s v="001"/>
    <s v="07-000180"/>
    <x v="0"/>
    <s v="94.06"/>
    <s v="Gerencia"/>
    <s v="Consultoría / asesoría _ Legal  julio RQ.GER.072"/>
    <s v="20613747096"/>
    <s v="FLORES &amp; BANDA ABOGADOS S.A.C."/>
    <x v="0"/>
    <s v="FACTURA"/>
    <s v="E001"/>
    <n v="1"/>
    <n v="450"/>
    <m/>
    <n v="81"/>
    <m/>
    <n v="0"/>
    <n v="531"/>
    <m/>
    <m/>
    <m/>
    <m/>
    <m/>
    <s v="63.2.2.1.02"/>
    <s v="Consultoría / asesoría _ Legal  julio RQ.GER.072"/>
    <x v="0"/>
  </r>
  <r>
    <s v="03/07/2025"/>
    <x v="1"/>
    <s v="001"/>
    <s v="07-000181"/>
    <x v="2"/>
    <s v="95.01"/>
    <s v="Comercial"/>
    <s v="Emo preocupacional conductor RQ.COM.348"/>
    <s v="20455823880"/>
    <s v="PULSO CORPORACION MEDICA SOCIEDAD ANONIMA CERRADA"/>
    <x v="0"/>
    <s v="FACTURA"/>
    <s v="F013"/>
    <n v="16778"/>
    <n v="679"/>
    <m/>
    <n v="122.22"/>
    <m/>
    <n v="0"/>
    <n v="801.22"/>
    <m/>
    <m/>
    <m/>
    <m/>
    <s v="NRO.DET 278512790"/>
    <s v="62.5.1.1.01"/>
    <s v="Emo preocupacional conductor RQ.COM.348"/>
    <x v="30"/>
  </r>
  <r>
    <s v="02/07/2025"/>
    <x v="1"/>
    <s v="001"/>
    <s v="07-000182"/>
    <x v="0"/>
    <s v="94.03"/>
    <s v="Logistica"/>
    <s v="Pintado de oficina _ Mantenimiento de infraestructura RQ.LOG.325"/>
    <s v="20602818161"/>
    <s v="DINAMICA MASIVA SOCIEDAD ANONIMA CERRADA"/>
    <x v="0"/>
    <s v="FACTURA"/>
    <s v="E001"/>
    <n v="253"/>
    <n v="893.12"/>
    <m/>
    <n v="160.76159999999999"/>
    <m/>
    <n v="0"/>
    <n v="1053.8800000000001"/>
    <m/>
    <m/>
    <m/>
    <m/>
    <m/>
    <s v="65.9.9.5.01"/>
    <s v="Pintado de oficina _ Mantenimiento de infraestructura RQ.LOG.325"/>
    <x v="0"/>
  </r>
  <r>
    <s v="05/07/2025"/>
    <x v="1"/>
    <s v="001"/>
    <s v="07-000183"/>
    <x v="0"/>
    <s v="94.03"/>
    <s v="Logistica"/>
    <s v="Riel de ventana, plancha de vidrio silicona RQ.LOG.318 OS 007 _ 37"/>
    <s v="20600922310"/>
    <s v="SERVICIOS GENERALES H Y M LA COLINA AQP E.I.R.L."/>
    <x v="0"/>
    <s v="FACTURA"/>
    <s v="E001"/>
    <n v="101"/>
    <n v="1476.23"/>
    <m/>
    <n v="265.72140000000002"/>
    <m/>
    <n v="0"/>
    <n v="1741.95"/>
    <m/>
    <m/>
    <m/>
    <m/>
    <m/>
    <s v="65.9.9.5.01"/>
    <s v="Riel de ventana, plancha de vidrio silicona RQ.LOG.318 OS 007 _ 37"/>
    <x v="0"/>
  </r>
  <r>
    <s v="04/07/2025"/>
    <x v="1"/>
    <s v="001"/>
    <s v="07-000184"/>
    <x v="0"/>
    <s v="94.03"/>
    <s v="Logistica"/>
    <s v="Tubo cuadrado, tubo rectangular RQ.LOG.318 OS 007 _ 37"/>
    <s v="20600922310"/>
    <s v="SERVICIOS GENERALES H Y M LA COLINA AQP E.I.R.L."/>
    <x v="0"/>
    <s v="FACTURA"/>
    <s v="E001"/>
    <n v="100"/>
    <n v="1694"/>
    <m/>
    <n v="304.92"/>
    <m/>
    <n v="0"/>
    <n v="1998.92"/>
    <m/>
    <m/>
    <m/>
    <m/>
    <m/>
    <s v="65.9.9.5.01"/>
    <s v="Tubo cuadrado, tubo rectangular RQ.LOG.318 OS 007 _ 37"/>
    <x v="0"/>
  </r>
  <r>
    <s v="02/07/2025"/>
    <x v="1"/>
    <s v="001"/>
    <s v="07-000185"/>
    <x v="0"/>
    <s v="94.03"/>
    <s v="Logistica"/>
    <s v="Parantes,riel,planchas de yeso RQ.LOG.318 OS 007 _ 37"/>
    <s v="20600922310"/>
    <s v="SERVICIOS GENERALES H Y M LA COLINA AQP E.I.R.L."/>
    <x v="0"/>
    <s v="FACTURA"/>
    <s v="E001"/>
    <n v="98"/>
    <n v="1535"/>
    <m/>
    <n v="276.3"/>
    <m/>
    <n v="0"/>
    <n v="1811.3"/>
    <m/>
    <m/>
    <m/>
    <m/>
    <m/>
    <s v="65.9.9.5.01"/>
    <s v="Parantes,riel,planchas de yeso RQ.LOG.318 OS 007 _ 37"/>
    <x v="0"/>
  </r>
  <r>
    <s v="03/07/2025"/>
    <x v="1"/>
    <s v="001"/>
    <s v="07-000186"/>
    <x v="0"/>
    <s v="94.03"/>
    <s v="Logistica"/>
    <s v="Tubo rectangular, cuadrado RQ.LOG.318 OS 007 _ 37"/>
    <s v="20600922310"/>
    <s v="SERVICIOS GENERALES H Y M LA COLINA AQP E.I.R.L."/>
    <x v="0"/>
    <s v="FACTURA"/>
    <s v="E001"/>
    <n v="99"/>
    <n v="1634.5"/>
    <m/>
    <n v="294.20999999999998"/>
    <m/>
    <n v="0"/>
    <n v="1928.71"/>
    <m/>
    <m/>
    <m/>
    <m/>
    <m/>
    <s v="65.9.9.5.01"/>
    <s v="Tubo rectangular, cuadrado RQ.LOG.318 OS 007 _ 37"/>
    <x v="0"/>
  </r>
  <r>
    <s v="02/07/2025"/>
    <x v="1"/>
    <s v="001"/>
    <s v="07-000187"/>
    <x v="2"/>
    <s v="95.01"/>
    <s v="Comercial"/>
    <s v="Fabricación de Contenedores RQ.COM.292"/>
    <s v="20498218831"/>
    <s v="MADE S.C.R.L."/>
    <x v="0"/>
    <s v="FACTURA"/>
    <s v="E001"/>
    <n v="739"/>
    <n v="2000"/>
    <m/>
    <n v="360"/>
    <m/>
    <n v="0"/>
    <n v="2360"/>
    <m/>
    <m/>
    <m/>
    <m/>
    <m/>
    <s v="63.4.1.1.01"/>
    <s v="Fabricación de Contenedores RQ.COM.292"/>
    <x v="31"/>
  </r>
  <r>
    <s v="09/07/2025"/>
    <x v="1"/>
    <s v="001"/>
    <s v="07-000188"/>
    <x v="0"/>
    <m/>
    <m/>
    <m/>
    <s v="20100210909"/>
    <s v="LA POSITIVA SEGUROS Y REASEGUROS S.A.A."/>
    <x v="0"/>
    <s v="FACTURA"/>
    <s v="F040"/>
    <s v="466043"/>
    <n v="1256.92"/>
    <m/>
    <n v="226.25"/>
    <m/>
    <n v="0"/>
    <n v="1483.17"/>
    <m/>
    <m/>
    <m/>
    <m/>
    <m/>
    <m/>
    <m/>
    <x v="0"/>
  </r>
  <r>
    <s v="09/07/2025"/>
    <x v="1"/>
    <s v="001"/>
    <s v="07-000189"/>
    <x v="1"/>
    <s v="91.06.01"/>
    <s v="Operaciones"/>
    <s v="Disposicion final"/>
    <s v="20553255709"/>
    <s v="KANAY S.A.C."/>
    <x v="0"/>
    <s v="FACTURA"/>
    <s v="F001"/>
    <n v="14701"/>
    <n v="14944.2"/>
    <m/>
    <n v="2689.9560000000001"/>
    <m/>
    <n v="0"/>
    <n v="17634.16"/>
    <s v="278568674"/>
    <s v="12/08/2025"/>
    <m/>
    <m/>
    <m/>
    <s v="63.9.9.1.04.01"/>
    <s v="Disposicion final"/>
    <x v="20"/>
  </r>
  <r>
    <s v="11/07/2025"/>
    <x v="1"/>
    <s v="001"/>
    <s v="07-000190"/>
    <x v="1"/>
    <s v="91.06.02.04"/>
    <s v="VBB_840"/>
    <s v="Lavado 24875"/>
    <s v="20514148539"/>
    <s v="NEGOCIACIONES ABBYCORP E.I.R.L."/>
    <x v="0"/>
    <s v="FACTURA"/>
    <s v="F006"/>
    <n v="42073"/>
    <n v="46.61"/>
    <m/>
    <n v="8.3897999999999993"/>
    <m/>
    <n v="0"/>
    <n v="55"/>
    <m/>
    <m/>
    <m/>
    <m/>
    <s v="24875"/>
    <s v="63.1.1.5.01"/>
    <s v="Lavado 24875"/>
    <x v="14"/>
  </r>
  <r>
    <s v="07/07/2025"/>
    <x v="1"/>
    <s v="001"/>
    <s v="07-000191"/>
    <x v="1"/>
    <s v="91.06.02.04"/>
    <s v="VBB_840"/>
    <s v="Peaje 24815"/>
    <s v="20550372640"/>
    <s v="RUTAS DE LIMA S.A.C."/>
    <x v="0"/>
    <s v="FACTURA"/>
    <s v="F603"/>
    <n v="3049444"/>
    <n v="12.71"/>
    <m/>
    <n v="2.2878000000000003"/>
    <m/>
    <n v="0"/>
    <n v="15"/>
    <m/>
    <m/>
    <m/>
    <m/>
    <s v="24815"/>
    <s v="63.1.1.3.02"/>
    <s v="Peaje 24815"/>
    <x v="8"/>
  </r>
  <r>
    <s v="09/07/2025"/>
    <x v="1"/>
    <s v="001"/>
    <s v="07-000192"/>
    <x v="1"/>
    <s v="91.06.02.04"/>
    <s v="VBB_840"/>
    <s v="Peaje 24826"/>
    <s v="20550372640"/>
    <s v="RUTAS DE LIMA S.A.C."/>
    <x v="0"/>
    <s v="FACTURA"/>
    <s v="F209"/>
    <n v="1987722"/>
    <n v="12.71"/>
    <m/>
    <n v="2.2878000000000003"/>
    <m/>
    <n v="0"/>
    <n v="15"/>
    <m/>
    <m/>
    <m/>
    <m/>
    <s v="24826"/>
    <s v="63.1.1.3.02"/>
    <s v="Peaje 24826"/>
    <x v="8"/>
  </r>
  <r>
    <s v="07/07/2025"/>
    <x v="1"/>
    <s v="001"/>
    <s v="07-000193"/>
    <x v="1"/>
    <s v="91.06.02.04"/>
    <s v="VBB_840"/>
    <s v="Peaje 24814"/>
    <s v="20550372640"/>
    <s v="RUTAS DE LIMA S.A.C."/>
    <x v="0"/>
    <s v="FACTURA"/>
    <s v="F228"/>
    <n v="2435404"/>
    <n v="12.71"/>
    <m/>
    <n v="2.2878000000000003"/>
    <m/>
    <n v="0"/>
    <n v="15"/>
    <m/>
    <m/>
    <m/>
    <m/>
    <s v="24814"/>
    <s v="63.1.1.3.02"/>
    <s v="Peaje 24814"/>
    <x v="8"/>
  </r>
  <r>
    <s v="10/07/2025"/>
    <x v="1"/>
    <s v="001"/>
    <s v="07-000194"/>
    <x v="1"/>
    <s v="91.06.02.04"/>
    <s v="VBB_840"/>
    <s v="Peaje 24853"/>
    <s v="20550372640"/>
    <s v="RUTAS DE LIMA S.A.C."/>
    <x v="0"/>
    <s v="FACTURA"/>
    <s v="F206"/>
    <n v="653632"/>
    <n v="12.71"/>
    <m/>
    <n v="2.2878000000000003"/>
    <m/>
    <n v="0"/>
    <n v="15"/>
    <m/>
    <m/>
    <m/>
    <m/>
    <s v="24853"/>
    <s v="63.1.1.3.02"/>
    <s v="Peaje 24853"/>
    <x v="8"/>
  </r>
  <r>
    <s v="10/07/2025"/>
    <x v="1"/>
    <s v="001"/>
    <s v="07-000195"/>
    <x v="1"/>
    <s v="91.06.02.04"/>
    <s v="VBB_840"/>
    <s v="Peaje 24854"/>
    <s v="20550372640"/>
    <s v="RUTAS DE LIMA S.A.C."/>
    <x v="0"/>
    <s v="FACTURA"/>
    <s v="F611"/>
    <n v="3180602"/>
    <n v="12.71"/>
    <m/>
    <n v="2.2878000000000003"/>
    <m/>
    <n v="0"/>
    <n v="15"/>
    <m/>
    <m/>
    <m/>
    <m/>
    <s v="24854"/>
    <s v="63.1.1.3.02"/>
    <s v="Peaje 24854"/>
    <x v="8"/>
  </r>
  <r>
    <s v="09/07/2025"/>
    <x v="1"/>
    <s v="001"/>
    <s v="07-000196"/>
    <x v="1"/>
    <s v="91.06.02.04"/>
    <s v="VBB_840"/>
    <s v="Peaje 24838"/>
    <s v="20550372640"/>
    <s v="RUTAS DE LIMA S.A.C."/>
    <x v="0"/>
    <s v="FACTURA"/>
    <s v="F602"/>
    <n v="3758626"/>
    <n v="12.71"/>
    <m/>
    <n v="2.2878000000000003"/>
    <m/>
    <n v="0"/>
    <n v="15"/>
    <m/>
    <m/>
    <m/>
    <m/>
    <s v="24838"/>
    <s v="63.1.1.3.02"/>
    <s v="Peaje 24838"/>
    <x v="8"/>
  </r>
  <r>
    <s v="10/07/2025"/>
    <x v="1"/>
    <s v="001"/>
    <s v="07-000197"/>
    <x v="1"/>
    <s v="91.06.02.01"/>
    <s v="V9R_903"/>
    <s v="Peaje 24847"/>
    <s v="20517252558"/>
    <s v="CONCESIONARIA VIAL DEL SUR S.A.- COVISUR S.A."/>
    <x v="0"/>
    <s v="FACTURA"/>
    <s v="F211"/>
    <n v="2393788"/>
    <n v="10.17"/>
    <m/>
    <n v="1.8306"/>
    <m/>
    <n v="0"/>
    <n v="12"/>
    <m/>
    <m/>
    <m/>
    <m/>
    <s v="24847"/>
    <s v="63.1.1.3.03"/>
    <s v="Peaje 24847"/>
    <x v="7"/>
  </r>
  <r>
    <s v="10/07/2025"/>
    <x v="1"/>
    <s v="001"/>
    <s v="07-000198"/>
    <x v="1"/>
    <s v="91.06.02.01"/>
    <s v="V9R_903"/>
    <s v="Peaje 24852"/>
    <s v="20517252558"/>
    <s v="CONCESIONARIA VIAL DEL SUR S.A.- COVISUR S.A."/>
    <x v="0"/>
    <s v="FACTURA"/>
    <s v="F214"/>
    <n v="2107451"/>
    <n v="10.17"/>
    <m/>
    <n v="1.8306"/>
    <m/>
    <n v="0"/>
    <n v="12"/>
    <m/>
    <m/>
    <m/>
    <m/>
    <s v="24852"/>
    <s v="63.1.1.3.03"/>
    <s v="Peaje 24852"/>
    <x v="7"/>
  </r>
  <r>
    <s v="11/07/2025"/>
    <x v="1"/>
    <s v="001"/>
    <s v="07-000199"/>
    <x v="1"/>
    <s v="91.06.02.01"/>
    <s v="V9R_903"/>
    <s v="Peaje 24867"/>
    <s v="20517252558"/>
    <s v="CONCESIONARIA VIAL DEL SUR S.A.- COVISUR S.A."/>
    <x v="0"/>
    <s v="FACTURA"/>
    <s v="F211"/>
    <n v="2394591"/>
    <n v="10.17"/>
    <m/>
    <n v="1.8306"/>
    <m/>
    <n v="0"/>
    <n v="12"/>
    <m/>
    <m/>
    <m/>
    <m/>
    <s v="24867"/>
    <s v="63.1.1.3.03"/>
    <s v="Peaje 24867"/>
    <x v="7"/>
  </r>
  <r>
    <s v="11/07/2025"/>
    <x v="1"/>
    <s v="001"/>
    <s v="07-000200"/>
    <x v="1"/>
    <s v="91.06.02.01"/>
    <s v="V9R_903"/>
    <s v="Peaje 24879"/>
    <s v="20517252558"/>
    <s v="CONCESIONARIA VIAL DEL SUR S.A.- COVISUR S.A."/>
    <x v="0"/>
    <s v="FACTURA"/>
    <s v="F214"/>
    <n v="2108235"/>
    <n v="10.17"/>
    <m/>
    <n v="1.8306"/>
    <m/>
    <n v="0"/>
    <n v="12"/>
    <m/>
    <m/>
    <m/>
    <m/>
    <s v="24879"/>
    <s v="63.1.1.3.03"/>
    <s v="Peaje 24879"/>
    <x v="7"/>
  </r>
  <r>
    <s v="07/07/2025"/>
    <x v="1"/>
    <s v="001"/>
    <s v="07-000201"/>
    <x v="1"/>
    <s v="91.06.02.01"/>
    <s v="V9R_903"/>
    <s v="Balanza 24801"/>
    <s v="20124952850"/>
    <s v="ALIMENTOS Y SERVICIOS AGROPECUARIOS SRL."/>
    <x v="0"/>
    <s v="FACTURA"/>
    <s v="F002"/>
    <n v="133923"/>
    <n v="8.4700000000000006"/>
    <m/>
    <n v="1.5246"/>
    <m/>
    <n v="0"/>
    <n v="10"/>
    <m/>
    <m/>
    <m/>
    <m/>
    <s v="24801"/>
    <s v="63.1.1.7.02"/>
    <s v="Balanza 24801"/>
    <x v="1"/>
  </r>
  <r>
    <s v="09/07/2025"/>
    <x v="1"/>
    <s v="001"/>
    <s v="07-000202"/>
    <x v="1"/>
    <s v="91.06.02.01"/>
    <s v="V9R_903"/>
    <s v="Balanza 24833"/>
    <s v="20124952850"/>
    <s v="ALIMENTOS Y SERVICIOS AGROPECUARIOS SRL."/>
    <x v="0"/>
    <s v="FACTURA"/>
    <s v="F002"/>
    <n v="133999"/>
    <n v="8.4700000000000006"/>
    <m/>
    <n v="1.5246"/>
    <m/>
    <n v="0"/>
    <n v="10"/>
    <m/>
    <m/>
    <m/>
    <m/>
    <s v="24833"/>
    <s v="63.1.1.7.02"/>
    <s v="Balanza 24833"/>
    <x v="1"/>
  </r>
  <r>
    <s v="09/07/2025"/>
    <x v="1"/>
    <s v="001"/>
    <s v="07-000203"/>
    <x v="1"/>
    <s v="91.06.02.01"/>
    <s v="V9R_903"/>
    <s v="Balanza 24834"/>
    <s v="20124952850"/>
    <s v="ALIMENTOS Y SERVICIOS AGROPECUARIOS SRL."/>
    <x v="0"/>
    <s v="FACTURA"/>
    <s v="F002"/>
    <n v="134001"/>
    <n v="8.4700000000000006"/>
    <m/>
    <n v="1.5246"/>
    <m/>
    <n v="0"/>
    <n v="10"/>
    <m/>
    <m/>
    <m/>
    <m/>
    <s v="24834"/>
    <s v="63.1.1.7.02"/>
    <s v="Balanza 24834"/>
    <x v="1"/>
  </r>
  <r>
    <s v="09/07/2025"/>
    <x v="1"/>
    <s v="001"/>
    <s v="07-000204"/>
    <x v="1"/>
    <s v="91.06.02.01"/>
    <s v="V9R_903"/>
    <s v="Balanza 24835"/>
    <s v="20124952850"/>
    <s v="ALIMENTOS Y SERVICIOS AGROPECUARIOS SRL."/>
    <x v="0"/>
    <s v="FACTURA"/>
    <s v="F002"/>
    <n v="134002"/>
    <n v="8.4700000000000006"/>
    <m/>
    <n v="1.5246"/>
    <m/>
    <n v="0"/>
    <n v="10"/>
    <m/>
    <m/>
    <m/>
    <m/>
    <s v="24835"/>
    <s v="63.1.1.7.02"/>
    <s v="Balanza 24835"/>
    <x v="1"/>
  </r>
  <r>
    <s v="15/07/2025"/>
    <x v="1"/>
    <s v="001"/>
    <s v="07-000205"/>
    <x v="1"/>
    <s v="91.05.01"/>
    <s v="Residuos Aprovechables"/>
    <s v="Botellas en desuso chatarra metalica y vidrio OC 248"/>
    <s v="20538593053"/>
    <s v="AEROPUERTOS ANDINOS DEL PERU S.A."/>
    <x v="0"/>
    <s v="FACTURA"/>
    <s v="FA21"/>
    <n v="903"/>
    <n v="68.78"/>
    <m/>
    <n v="12.3804"/>
    <m/>
    <n v="0"/>
    <n v="81.16"/>
    <s v="276124049"/>
    <s v="18/07/2025"/>
    <m/>
    <m/>
    <s v="OC 248"/>
    <s v="60.2.1.1"/>
    <s v="Botellas en desuso chatarra metalica y vidrio OC 248"/>
    <x v="6"/>
  </r>
  <r>
    <s v="03/07/2025"/>
    <x v="1"/>
    <s v="001"/>
    <s v="07-000206"/>
    <x v="2"/>
    <s v="95.01"/>
    <s v="Comercial"/>
    <s v="Alquiler de maquinaria RQ.OPE.1268 OS 005 _ 659"/>
    <s v="20603974817"/>
    <s v="TRANSPORTES, GRUAS Y MONTACARGAS AREQUIPA EMPRESA INDIVIDUAL DE RESPONSABILIDAD LIMITADA"/>
    <x v="0"/>
    <s v="FACTURA"/>
    <s v="E001"/>
    <n v="4012"/>
    <n v="680"/>
    <m/>
    <n v="122.39999999999999"/>
    <m/>
    <n v="0"/>
    <n v="802.4"/>
    <s v="276124050"/>
    <s v="18/07/2025"/>
    <m/>
    <m/>
    <m/>
    <s v="63.5.4.1.03"/>
    <s v="Alquiler de maquinaria RQ.OPE.1268 OS 005 _ 659"/>
    <x v="17"/>
  </r>
  <r>
    <s v="07/07/2025"/>
    <x v="1"/>
    <s v="001"/>
    <s v="07-000207"/>
    <x v="1"/>
    <s v="91.06.01"/>
    <s v="Operaciones"/>
    <s v="Alquiler de montacarga RQ.OPE.1276 OS 005 _ 661"/>
    <s v="20603974817"/>
    <s v="TRANSPORTES, GRUAS Y MONTACARGAS AREQUIPA EMPRESA INDIVIDUAL DE RESPONSABILIDAD LIMITADA"/>
    <x v="0"/>
    <s v="FACTURA"/>
    <s v="E001"/>
    <n v="4019"/>
    <n v="297.5"/>
    <m/>
    <n v="53.55"/>
    <m/>
    <n v="0"/>
    <n v="351.05"/>
    <m/>
    <m/>
    <m/>
    <m/>
    <m/>
    <s v="63.5.4.1.01"/>
    <s v="Alquiler de montacarga RQ.OPE.1276 OS 005 _ 661"/>
    <x v="16"/>
  </r>
  <r>
    <s v="08/07/2025"/>
    <x v="1"/>
    <s v="001"/>
    <s v="07-000208"/>
    <x v="1"/>
    <s v="91.06.01"/>
    <s v="Operaciones"/>
    <s v="Alquiler de montacarga RQ.OPE.1279 OS 005 _ 662"/>
    <s v="20603974817"/>
    <s v="TRANSPORTES, GRUAS Y MONTACARGAS AREQUIPA EMPRESA INDIVIDUAL DE RESPONSABILIDAD LIMITADA"/>
    <x v="0"/>
    <s v="FACTURA"/>
    <s v="E001"/>
    <n v="4023"/>
    <n v="276.25"/>
    <m/>
    <n v="49.725000000000001"/>
    <m/>
    <n v="0"/>
    <n v="651.95000000000005"/>
    <m/>
    <m/>
    <m/>
    <m/>
    <m/>
    <s v="63.5.4.1.01"/>
    <s v="Alquiler de montacarga RQ.OPE.1279 OS 005 _ 662"/>
    <x v="16"/>
  </r>
  <r>
    <s v="08/07/2025"/>
    <x v="1"/>
    <s v="001"/>
    <s v="07-000208"/>
    <x v="2"/>
    <s v="95.01"/>
    <s v="Comercial"/>
    <s v="Alquiler de montacarga RQ.OPE.1279 OS 005 _ 662"/>
    <s v="20603974817"/>
    <s v="TRANSPORTES, GRUAS Y MONTACARGAS AREQUIPA EMPRESA INDIVIDUAL DE RESPONSABILIDAD LIMITADA"/>
    <x v="0"/>
    <s v="FACTURA"/>
    <s v="E001"/>
    <n v="4023"/>
    <n v="276.25"/>
    <m/>
    <n v="49.725000000000001"/>
    <m/>
    <n v="0"/>
    <n v="651.95000000000005"/>
    <m/>
    <m/>
    <m/>
    <m/>
    <m/>
    <s v="63.5.4.1.03"/>
    <s v="Alquiler de montacarga RQ.OPE.1279 OS 005 _ 662"/>
    <x v="17"/>
  </r>
  <r>
    <s v="16/07/2025"/>
    <x v="1"/>
    <s v="001"/>
    <s v="07-000209"/>
    <x v="0"/>
    <s v="94.01"/>
    <s v="Administracion"/>
    <s v="Internet Almacen 3"/>
    <s v="20609368773"/>
    <s v="FIXER TELECOMUNICACIONES SOCIEDAD ANONIMA CERRADA"/>
    <x v="0"/>
    <s v="FACTURA"/>
    <s v="E001"/>
    <n v="462"/>
    <n v="59.9"/>
    <m/>
    <n v="10.782"/>
    <m/>
    <n v="0"/>
    <n v="70.680000000000007"/>
    <m/>
    <m/>
    <m/>
    <m/>
    <m/>
    <s v="63.6.5.1"/>
    <s v="Internet Almacen 3"/>
    <x v="0"/>
  </r>
  <r>
    <s v="11/07/2025"/>
    <x v="1"/>
    <s v="001"/>
    <s v="07-000210"/>
    <x v="0"/>
    <s v="94.07"/>
    <s v="Sistemas y TI"/>
    <s v="Mantenimiento _ Equipos de cómputo (hardware)"/>
    <s v="10409596865"/>
    <s v="CUADROS AHUMADA JUSTINA"/>
    <x v="1"/>
    <s v="BOLETA DE VENTA"/>
    <s v="003"/>
    <n v="7983"/>
    <m/>
    <m/>
    <m/>
    <m/>
    <n v="35"/>
    <n v="35"/>
    <m/>
    <m/>
    <m/>
    <m/>
    <m/>
    <s v="63.4.3.5.01"/>
    <s v="Mantenimiento _ Equipos de cómputo (hardware)"/>
    <x v="0"/>
  </r>
  <r>
    <s v="01/07/2025"/>
    <x v="1"/>
    <s v="001"/>
    <s v="07-000211"/>
    <x v="0"/>
    <s v="94.06"/>
    <s v="Gerencia"/>
    <s v="Scaneos"/>
    <s v="10460064592"/>
    <s v="MARQUEZ RAMOS RAMIRO"/>
    <x v="1"/>
    <s v="BOLETA DE VENTA"/>
    <s v="001"/>
    <n v="80"/>
    <m/>
    <m/>
    <m/>
    <m/>
    <n v="47"/>
    <n v="47"/>
    <m/>
    <m/>
    <m/>
    <m/>
    <m/>
    <s v="65.9.9.9.01"/>
    <s v="Scaneos"/>
    <x v="28"/>
  </r>
  <r>
    <s v="17/07/2025"/>
    <x v="1"/>
    <s v="001"/>
    <s v="07-000212"/>
    <x v="1"/>
    <s v="91.05.01"/>
    <s v="Residuos Aprovechables"/>
    <s v="Carton y bolsas de papel inservibles OC 262"/>
    <s v="20100055237"/>
    <s v="ALICORP SAA"/>
    <x v="0"/>
    <s v="FACTURA"/>
    <s v="F313"/>
    <n v="6623"/>
    <n v="54"/>
    <m/>
    <n v="9.7199999999999989"/>
    <m/>
    <n v="0"/>
    <n v="63.72"/>
    <s v="276124051"/>
    <s v="18/07/2025"/>
    <m/>
    <m/>
    <m/>
    <s v="60.2.1.1"/>
    <s v="Carton y bolsas de papel inservibles OC 262"/>
    <x v="6"/>
  </r>
  <r>
    <s v="17/07/2025"/>
    <x v="1"/>
    <s v="001"/>
    <s v="07-000213"/>
    <x v="1"/>
    <s v="91.05.01"/>
    <s v="Residuos Aprovechables"/>
    <s v="Films strech usado OC 263"/>
    <s v="20100055237"/>
    <s v="ALICORP SAA"/>
    <x v="0"/>
    <s v="FACTURA"/>
    <s v="F313"/>
    <n v="6624"/>
    <n v="306"/>
    <m/>
    <n v="55.08"/>
    <m/>
    <n v="0"/>
    <n v="361.08"/>
    <s v="276124052"/>
    <s v="18/07/2025"/>
    <m/>
    <m/>
    <m/>
    <s v="60.2.1.1"/>
    <s v="Films strech usado OC 263"/>
    <x v="6"/>
  </r>
  <r>
    <s v="17/07/2025"/>
    <x v="1"/>
    <s v="001"/>
    <s v="07-000214"/>
    <x v="1"/>
    <s v="91.05.01"/>
    <s v="Residuos Aprovechables"/>
    <s v="Sco polis inserv manufactura OC 265"/>
    <s v="20100055237"/>
    <s v="ALICORP SAA"/>
    <x v="0"/>
    <s v="FACTURA"/>
    <s v="F313"/>
    <n v="6625"/>
    <n v="390"/>
    <m/>
    <n v="70.2"/>
    <m/>
    <n v="0"/>
    <n v="460.2"/>
    <s v="276124053"/>
    <s v="18/07/2025"/>
    <m/>
    <m/>
    <m/>
    <s v="60.2.1.1"/>
    <s v="Sco polis inserv manufactura OC 265"/>
    <x v="6"/>
  </r>
  <r>
    <s v="17/07/2025"/>
    <x v="1"/>
    <s v="001"/>
    <s v="07-000215"/>
    <x v="1"/>
    <s v="91.05.01"/>
    <s v="Residuos Aprovechables"/>
    <s v="Chatarra mad OC 264"/>
    <s v="20100055237"/>
    <s v="ALICORP SAA"/>
    <x v="0"/>
    <s v="FACTURA"/>
    <s v="F313"/>
    <n v="6626"/>
    <n v="94.5"/>
    <m/>
    <n v="17.009999999999998"/>
    <m/>
    <n v="0"/>
    <n v="111.51"/>
    <s v="276124054"/>
    <s v="18/07/2025"/>
    <m/>
    <m/>
    <m/>
    <s v="60.2.1.1"/>
    <s v="Chatarra mad OC 264"/>
    <x v="6"/>
  </r>
  <r>
    <s v="15/07/2025"/>
    <x v="1"/>
    <s v="001"/>
    <s v="07-000216"/>
    <x v="1"/>
    <s v="91.06.02.02"/>
    <s v="BKK_849"/>
    <s v="Retén de cigüeñal posterior _ Accesorio vehicular 24896"/>
    <s v="20434848262"/>
    <s v="JLU REPRESENTACIONES E.I.R.L"/>
    <x v="0"/>
    <s v="FACTURA"/>
    <s v="F002"/>
    <n v="4670"/>
    <n v="55.08"/>
    <m/>
    <n v="9.9143999999999988"/>
    <m/>
    <n v="0"/>
    <n v="65"/>
    <m/>
    <m/>
    <m/>
    <m/>
    <s v="24896"/>
    <s v="63.4.3.2.03"/>
    <s v="Retén de cigüeñal posterior _ Accesorio vehicular 24896"/>
    <x v="18"/>
  </r>
  <r>
    <s v="10/07/2025"/>
    <x v="1"/>
    <s v="001"/>
    <s v="07-000217"/>
    <x v="1"/>
    <s v="91.06.02.04"/>
    <s v="VBB_840"/>
    <s v="Compra de urea 6,67 Litros_ Accesorio vehicular  24839"/>
    <s v="20602819834"/>
    <s v="GRIFOS PEBSA S.A."/>
    <x v="0"/>
    <s v="FACTURA"/>
    <s v="F105"/>
    <n v="117451"/>
    <n v="20.34"/>
    <m/>
    <n v="3.6612"/>
    <m/>
    <n v="0"/>
    <n v="24"/>
    <m/>
    <m/>
    <m/>
    <m/>
    <s v="24839"/>
    <s v="63.4.3.2.03"/>
    <s v="Compra de urea 6,67 Litros_ Accesorio vehicular  24839"/>
    <x v="18"/>
  </r>
  <r>
    <s v="14/07/2025"/>
    <x v="1"/>
    <s v="001"/>
    <s v="07-000218"/>
    <x v="0"/>
    <s v="94.04"/>
    <s v="Gestion Humana"/>
    <s v="Evaluacion medica _ ingreso RQ.GH.211"/>
    <s v="20517035964"/>
    <s v="SIGSO CONSULTORES LABORALES SOCIEDAD ANONIMA CERRADA - SIGSO CONSULTORES LABORALES S.A.C."/>
    <x v="0"/>
    <s v="FACTURA"/>
    <s v="F200"/>
    <n v="16179"/>
    <n v="219"/>
    <m/>
    <n v="39.42"/>
    <m/>
    <n v="0"/>
    <n v="258.42"/>
    <m/>
    <m/>
    <m/>
    <m/>
    <m/>
    <s v="62.5.1.2.01"/>
    <s v="Evaluacion medica _ ingreso RQ.GH.211"/>
    <x v="25"/>
  </r>
  <r>
    <s v="14/07/2025"/>
    <x v="1"/>
    <s v="001"/>
    <s v="07-000219"/>
    <x v="2"/>
    <s v="95.01"/>
    <s v="Comercial"/>
    <s v="Transporte de carga _ Compra de residuos RQ.OPE.1281 OS 005 _ 666"/>
    <s v="10410162551"/>
    <s v="PAUCCARA CONDORI ALFREDO JULIAN"/>
    <x v="0"/>
    <s v="FACTURA"/>
    <s v="E001"/>
    <n v="33"/>
    <n v="762.71"/>
    <m/>
    <n v="137.2878"/>
    <m/>
    <n v="0"/>
    <n v="900"/>
    <s v="276124055"/>
    <s v="18/07/2025"/>
    <m/>
    <m/>
    <m/>
    <s v="63.1.1.1.02"/>
    <s v="Transporte de carga _ Compra de residuos RQ.OPE.1281 OS 005 _ 666"/>
    <x v="13"/>
  </r>
  <r>
    <s v="16/07/2025"/>
    <x v="1"/>
    <s v="001"/>
    <s v="07-000220"/>
    <x v="1"/>
    <s v="91.06.02.02"/>
    <s v="BKK_849"/>
    <s v="Accesorios Vehiculares"/>
    <s v="20609629739"/>
    <s v="CIFREN E.I.R.L."/>
    <x v="0"/>
    <s v="FACTURA"/>
    <s v="F001"/>
    <n v="17084"/>
    <n v="889.83"/>
    <m/>
    <n v="160.1694"/>
    <m/>
    <n v="0"/>
    <n v="1050"/>
    <m/>
    <m/>
    <m/>
    <m/>
    <m/>
    <s v="63.4.3.2.03"/>
    <s v="Accesorios Vehiculares"/>
    <x v="18"/>
  </r>
  <r>
    <s v="02/07/2025"/>
    <x v="1"/>
    <s v="001"/>
    <s v="07-000221"/>
    <x v="1"/>
    <s v="91.06.01"/>
    <s v="Operaciones"/>
    <s v="Alquiler de montacarga RQ.OPE.1282"/>
    <s v="10425371652"/>
    <s v="PALOMINO DAVILA MARCOS ANTONIO"/>
    <x v="0"/>
    <s v="FACTURA"/>
    <s v="E001"/>
    <n v="5083"/>
    <n v="50"/>
    <m/>
    <n v="9"/>
    <m/>
    <n v="0"/>
    <n v="59"/>
    <m/>
    <m/>
    <m/>
    <m/>
    <m/>
    <s v="63.5.4.1.01"/>
    <s v="Alquiler de montacarga RQ.OPE.1282"/>
    <x v="16"/>
  </r>
  <r>
    <s v="02/07/2025"/>
    <x v="1"/>
    <s v="001"/>
    <s v="07-000222"/>
    <x v="2"/>
    <s v="95.01"/>
    <s v="Comercial"/>
    <s v="Transporte de carga RQ.OPE.1270 OS 005 _ 664"/>
    <s v="10410687491"/>
    <s v="TORRES CARDENAS MARIA LIDIA"/>
    <x v="0"/>
    <s v="FACTURA"/>
    <s v="E001"/>
    <n v="45"/>
    <n v="450"/>
    <m/>
    <n v="81"/>
    <m/>
    <n v="0"/>
    <n v="531"/>
    <s v="276124056"/>
    <s v="18/07/2025"/>
    <m/>
    <m/>
    <m/>
    <s v="63.1.1.1.02"/>
    <s v="Transporte de carga RQ.OPE.1270 OS 005 _ 664"/>
    <x v="13"/>
  </r>
  <r>
    <s v="12/07/2025"/>
    <x v="1"/>
    <s v="001"/>
    <s v="07-000223"/>
    <x v="1"/>
    <s v="91.06.01"/>
    <s v="Operaciones"/>
    <s v="Transporte de carga RQ.OPE.1273 OS 005 _ 665"/>
    <s v="20602075177"/>
    <s v="TRANSPORTES CARLOS KAYRO E.I.R.L."/>
    <x v="0"/>
    <s v="FACTURA"/>
    <s v="E001"/>
    <n v="812"/>
    <n v="932.2"/>
    <m/>
    <n v="167.79599999999999"/>
    <m/>
    <n v="0"/>
    <n v="1100"/>
    <s v="276124057"/>
    <s v="18/07/2025"/>
    <m/>
    <m/>
    <m/>
    <s v="63.9.9.1.04.02"/>
    <s v="Transporte de carga RQ.OPE.1273 OS 005 _ 665"/>
    <x v="23"/>
  </r>
  <r>
    <s v="01/07/2025"/>
    <x v="1"/>
    <s v="001"/>
    <s v="07-000224"/>
    <x v="2"/>
    <s v="95.01"/>
    <s v="Comercial"/>
    <s v="Transporte de carga RQ.OPE.1266 OS 005 _ 663"/>
    <s v="10410687491"/>
    <s v="TORRES CARDENAS MARIA LIDIA"/>
    <x v="0"/>
    <s v="FACTURA"/>
    <s v="E001"/>
    <n v="44"/>
    <n v="450"/>
    <m/>
    <n v="81"/>
    <m/>
    <n v="0"/>
    <n v="531"/>
    <s v="276124058"/>
    <s v="18/07/2025"/>
    <m/>
    <m/>
    <m/>
    <s v="63.1.1.1.02"/>
    <s v="Transporte de carga RQ.OPE.1266 OS 005 _ 663"/>
    <x v="13"/>
  </r>
  <r>
    <s v="04/07/2025"/>
    <x v="1"/>
    <s v="001"/>
    <s v="07-000225"/>
    <x v="0"/>
    <s v="94.06"/>
    <s v="Gerencia"/>
    <s v="Consultoría / asesoría  RQ.GER.075"/>
    <s v="20612108651"/>
    <s v="ASIRI MARKET RESEARCH INSIGHTS E.I.R.L."/>
    <x v="0"/>
    <s v="FACTURA"/>
    <s v="E001"/>
    <n v="10"/>
    <n v="10042.370000000001"/>
    <m/>
    <n v="1807.6266000000001"/>
    <m/>
    <n v="0"/>
    <n v="11850"/>
    <s v="275528070"/>
    <s v="10/07/2025"/>
    <m/>
    <m/>
    <m/>
    <s v="63.2.1.1"/>
    <s v="Consultoría / asesoría  RQ.GER.075"/>
    <x v="0"/>
  </r>
  <r>
    <s v="09/07/2025"/>
    <x v="1"/>
    <s v="001"/>
    <s v="07-000226"/>
    <x v="2"/>
    <s v="95.01"/>
    <s v="Comercial"/>
    <s v="Envío de documentación / paquetería"/>
    <s v="20558053691"/>
    <s v="GRUPO GARCIA TOLEDO S.A.C"/>
    <x v="0"/>
    <s v="FACTURA"/>
    <s v="F553"/>
    <n v="5312"/>
    <n v="16.95"/>
    <m/>
    <n v="3.0509999999999997"/>
    <m/>
    <n v="0"/>
    <n v="20"/>
    <m/>
    <m/>
    <m/>
    <m/>
    <m/>
    <s v="63.1.2.1.01"/>
    <s v="Envío de documentación / paquetería"/>
    <x v="2"/>
  </r>
  <r>
    <s v="16/07/2025"/>
    <x v="1"/>
    <s v="001"/>
    <s v="07-000227"/>
    <x v="0"/>
    <s v="94.04"/>
    <s v="Gestion Humana"/>
    <s v="Evaluacion medica _ ingreso RQ.GH.214"/>
    <s v="20517035964"/>
    <s v="SIGSO CONSULTORES LABORALES SOCIEDAD ANONIMA CERRADA - SIGSO CONSULTORES LABORALES S.A.C."/>
    <x v="0"/>
    <s v="FACTURA"/>
    <s v="F200"/>
    <n v="16194"/>
    <n v="438"/>
    <m/>
    <n v="78.84"/>
    <m/>
    <n v="0"/>
    <n v="516.84"/>
    <m/>
    <m/>
    <m/>
    <m/>
    <m/>
    <s v="62.5.1.2.01"/>
    <s v="Evaluacion medica _ ingreso RQ.GH.214"/>
    <x v="25"/>
  </r>
  <r>
    <s v="04/07/2025"/>
    <x v="1"/>
    <s v="001"/>
    <s v="07-000228"/>
    <x v="2"/>
    <s v="95.01"/>
    <s v="Comercial"/>
    <s v="Alquiler de montacarga RQ.OPE.1272 OS 005 _ 660"/>
    <s v="20603974817"/>
    <s v="TRANSPORTES, GRUAS Y MONTACARGAS AREQUIPA EMPRESA INDIVIDUAL DE RESPONSABILIDAD LIMITADA"/>
    <x v="0"/>
    <s v="FACTURA"/>
    <s v="E001"/>
    <n v="4016"/>
    <n v="297.5"/>
    <m/>
    <n v="53.55"/>
    <m/>
    <n v="0"/>
    <n v="351.05"/>
    <m/>
    <m/>
    <m/>
    <m/>
    <m/>
    <s v="63.5.4.1.03"/>
    <s v="Alquiler de montacarga RQ.OPE.1272 OS 005 _ 660"/>
    <x v="17"/>
  </r>
  <r>
    <s v="02/07/2025"/>
    <x v="1"/>
    <s v="001"/>
    <s v="07-000229"/>
    <x v="1"/>
    <s v="91.06.01"/>
    <s v="Operaciones"/>
    <s v="Alquiler de montacarga RQ.OPE.1265 OS 005 _ 658"/>
    <s v="20603974817"/>
    <s v="TRANSPORTES, GRUAS Y MONTACARGAS AREQUIPA EMPRESA INDIVIDUAL DE RESPONSABILIDAD LIMITADA"/>
    <x v="0"/>
    <s v="FACTURA"/>
    <s v="E001"/>
    <n v="4007"/>
    <n v="450.5"/>
    <m/>
    <n v="81.09"/>
    <m/>
    <n v="0"/>
    <n v="531.59"/>
    <m/>
    <m/>
    <m/>
    <m/>
    <m/>
    <s v="63.5.4.1.01"/>
    <s v="Alquiler de montacarga RQ.OPE.1265 OS 005 _ 658"/>
    <x v="16"/>
  </r>
  <r>
    <s v="01/07/2025"/>
    <x v="1"/>
    <s v="001"/>
    <s v="07-000230"/>
    <x v="1"/>
    <s v="91.06.02.08"/>
    <s v="Montacarga"/>
    <s v="Gasolina (Montacarga)"/>
    <s v="20602978274"/>
    <s v="ESTACION DE SERVICIOS MI GRIFO S.R.L. - ESTACION MG S.R.L."/>
    <x v="0"/>
    <s v="FACTURA"/>
    <s v="F135"/>
    <n v="8176"/>
    <n v="178.81"/>
    <m/>
    <n v="32.1858"/>
    <m/>
    <n v="0"/>
    <n v="211"/>
    <m/>
    <m/>
    <m/>
    <m/>
    <m/>
    <s v="65.6.1.1.01"/>
    <s v="Gasolina (Montacarga)"/>
    <x v="12"/>
  </r>
  <r>
    <s v="01/07/2025"/>
    <x v="1"/>
    <s v="001"/>
    <s v="07-000231"/>
    <x v="1"/>
    <s v="91.06.02.08"/>
    <s v="Montacarga"/>
    <s v="Gasolina (Montacarga)"/>
    <s v="20602978274"/>
    <s v="ESTACION DE SERVICIOS MI GRIFO S.R.L. - ESTACION MG S.R.L."/>
    <x v="0"/>
    <s v="FACTURA"/>
    <s v="F136"/>
    <n v="10726"/>
    <n v="234.75"/>
    <m/>
    <n v="42.254999999999995"/>
    <m/>
    <n v="0"/>
    <n v="277.01"/>
    <m/>
    <m/>
    <m/>
    <m/>
    <m/>
    <s v="65.6.1.1.01"/>
    <s v="Gasolina (Montacarga)"/>
    <x v="12"/>
  </r>
  <r>
    <s v="16/07/2025"/>
    <x v="1"/>
    <s v="001"/>
    <s v="07-000232"/>
    <x v="1"/>
    <s v="91.06.02.08"/>
    <s v="Montacarga"/>
    <s v="Gasolina (Montacarga)"/>
    <s v="20602978274"/>
    <s v="ESTACION DE SERVICIOS MI GRIFO S.R.L. - ESTACION MG S.R.L."/>
    <x v="0"/>
    <s v="FACTURA"/>
    <s v="F135"/>
    <n v="8336"/>
    <n v="183.06"/>
    <m/>
    <n v="32.950800000000001"/>
    <m/>
    <n v="0"/>
    <n v="216.01"/>
    <m/>
    <m/>
    <m/>
    <m/>
    <m/>
    <s v="65.6.1.1.01"/>
    <s v="Gasolina (Montacarga)"/>
    <x v="12"/>
  </r>
  <r>
    <s v="16/07/2025"/>
    <x v="1"/>
    <s v="001"/>
    <s v="07-000233"/>
    <x v="1"/>
    <s v="91.06.02.08"/>
    <s v="Montacarga"/>
    <s v="Gasolina (Montacarga)"/>
    <s v="20602978274"/>
    <s v="ESTACION DE SERVICIOS MI GRIFO S.R.L. - ESTACION MG S.R.L."/>
    <x v="0"/>
    <s v="FACTURA"/>
    <s v="F136"/>
    <n v="10996"/>
    <n v="225.42"/>
    <m/>
    <n v="40.575599999999994"/>
    <m/>
    <n v="0"/>
    <n v="266"/>
    <m/>
    <m/>
    <m/>
    <m/>
    <m/>
    <s v="65.6.1.1.01"/>
    <s v="Gasolina (Montacarga)"/>
    <x v="12"/>
  </r>
  <r>
    <s v="15/07/2025"/>
    <x v="1"/>
    <s v="001"/>
    <s v="07-000234"/>
    <x v="1"/>
    <s v="91.06.02.07"/>
    <s v="VDJ_872"/>
    <s v="Lavado 24895"/>
    <s v="10705628331"/>
    <s v="LARICO APAZA NANCY ROSSMARY"/>
    <x v="0"/>
    <s v="FACTURA"/>
    <s v="F001"/>
    <n v="18731"/>
    <n v="21.19"/>
    <m/>
    <n v="3.8142"/>
    <m/>
    <n v="0"/>
    <n v="25"/>
    <m/>
    <m/>
    <m/>
    <m/>
    <s v="24895"/>
    <s v="63.1.1.5.01"/>
    <s v="Lavado 24895"/>
    <x v="14"/>
  </r>
  <r>
    <s v="07/07/2025"/>
    <x v="1"/>
    <s v="001"/>
    <s v="07-000235"/>
    <x v="1"/>
    <s v="91.06.01"/>
    <s v="Operaciones"/>
    <s v="Alojamiento 24817"/>
    <s v="10426317511"/>
    <s v="JAHUIRA CALDERON HELGA DANITZA"/>
    <x v="1"/>
    <s v="BOLETA DE VENTA"/>
    <s v="001"/>
    <n v="26713"/>
    <m/>
    <m/>
    <m/>
    <m/>
    <n v="80"/>
    <n v="80"/>
    <m/>
    <m/>
    <m/>
    <m/>
    <s v="24817"/>
    <s v="63.1.3.1.01"/>
    <s v="Alojamiento 24817"/>
    <x v="10"/>
  </r>
  <r>
    <s v="14/07/2025"/>
    <x v="1"/>
    <s v="001"/>
    <s v="07-000236"/>
    <x v="1"/>
    <s v="91.06.02.11"/>
    <s v="Tercerizados"/>
    <s v="Balanza 24889"/>
    <s v="20124952850"/>
    <s v="ALIMENTOS Y SERVICIOS AGROPECUARIOS SRL."/>
    <x v="0"/>
    <s v="FACTURA"/>
    <s v="F002"/>
    <n v="134128"/>
    <n v="8.4700000000000006"/>
    <m/>
    <n v="1.5246"/>
    <m/>
    <n v="0"/>
    <n v="10"/>
    <m/>
    <m/>
    <m/>
    <m/>
    <s v="24889"/>
    <s v="63.1.1.7.01"/>
    <s v="Balanza 24889"/>
    <x v="11"/>
  </r>
  <r>
    <s v="15/07/2025"/>
    <x v="1"/>
    <s v="001"/>
    <s v="07-000237"/>
    <x v="1"/>
    <s v="91.06.02.07"/>
    <s v="VDJ_872"/>
    <s v="Peaje 24894"/>
    <s v="20517252558"/>
    <s v="CONCESIONARIA VIAL DEL SUR S.A.- COVISUR S.A."/>
    <x v="0"/>
    <s v="FACTURA"/>
    <s v="F212"/>
    <n v="1784393"/>
    <n v="6.78"/>
    <m/>
    <n v="1.2203999999999999"/>
    <m/>
    <n v="0"/>
    <n v="8"/>
    <m/>
    <m/>
    <m/>
    <m/>
    <s v="24894"/>
    <s v="63.1.1.3.02"/>
    <s v="Peaje 24894"/>
    <x v="8"/>
  </r>
  <r>
    <s v="15/07/2025"/>
    <x v="1"/>
    <s v="001"/>
    <s v="07-000238"/>
    <x v="1"/>
    <s v="91.06.02.07"/>
    <s v="VDJ_872"/>
    <s v="Peaje 24893"/>
    <s v="20517252558"/>
    <s v="CONCESIONARIA VIAL DEL SUR S.A.- COVISUR S.A."/>
    <x v="0"/>
    <s v="FACTURA"/>
    <s v="F213"/>
    <n v="1804256"/>
    <n v="6.78"/>
    <m/>
    <n v="1.2203999999999999"/>
    <m/>
    <n v="0"/>
    <n v="8"/>
    <m/>
    <m/>
    <m/>
    <m/>
    <s v="24893"/>
    <s v="63.1.1.3.02"/>
    <s v="Peaje 24893"/>
    <x v="8"/>
  </r>
  <r>
    <s v="14/07/2025"/>
    <x v="1"/>
    <s v="001"/>
    <s v="07-000239"/>
    <x v="1"/>
    <s v="91.06.02.07"/>
    <s v="VDJ_872"/>
    <s v="Peaje 24887"/>
    <s v="20517252558"/>
    <s v="CONCESIONARIA VIAL DEL SUR S.A.- COVISUR S.A."/>
    <x v="0"/>
    <s v="FACTURA"/>
    <s v="F214"/>
    <n v="2110914"/>
    <n v="6.78"/>
    <m/>
    <n v="1.2203999999999999"/>
    <m/>
    <n v="0"/>
    <n v="8"/>
    <m/>
    <m/>
    <m/>
    <m/>
    <s v="24887"/>
    <s v="63.1.1.3.02"/>
    <s v="Peaje 24887"/>
    <x v="8"/>
  </r>
  <r>
    <s v="14/07/2025"/>
    <x v="1"/>
    <s v="001"/>
    <s v="07-000240"/>
    <x v="1"/>
    <s v="91.06.02.07"/>
    <s v="VDJ_872"/>
    <s v="Peaje 24888"/>
    <s v="20517252558"/>
    <s v="CONCESIONARIA VIAL DEL SUR S.A.- COVISUR S.A."/>
    <x v="0"/>
    <s v="FACTURA"/>
    <s v="F212"/>
    <n v="1783194"/>
    <n v="6.78"/>
    <m/>
    <n v="1.2203999999999999"/>
    <m/>
    <n v="0"/>
    <n v="8"/>
    <m/>
    <m/>
    <m/>
    <m/>
    <s v="24888"/>
    <s v="63.1.1.3.02"/>
    <s v="Peaje 24888"/>
    <x v="8"/>
  </r>
  <r>
    <s v="16/07/2025"/>
    <x v="1"/>
    <s v="001"/>
    <s v="07-000241"/>
    <x v="1"/>
    <s v="91.05.01"/>
    <s v="Residuos Aprovechables"/>
    <s v="Bolsas de aluminio,bolsas de papel,plastico OC 194"/>
    <s v="20419158462"/>
    <s v="GRANJA RINCONADA DEL SUR S.A."/>
    <x v="0"/>
    <s v="FACTURA"/>
    <s v="F102"/>
    <n v="6949"/>
    <n v="769.49"/>
    <m/>
    <n v="138.50819999999999"/>
    <m/>
    <n v="0"/>
    <n v="908.01"/>
    <s v="276124059"/>
    <s v="18/07/2025"/>
    <m/>
    <m/>
    <s v="OC 194"/>
    <s v="60.2.1.1"/>
    <s v="Bolsas de aluminio,bolsas de papel,plastico OC 194"/>
    <x v="6"/>
  </r>
  <r>
    <s v="14/07/2025"/>
    <x v="1"/>
    <s v="001"/>
    <s v="07-000242"/>
    <x v="1"/>
    <s v="91.06.01"/>
    <s v="Operaciones"/>
    <s v="Alquiler de montacarga RQ.OPE.1278"/>
    <s v="20609764261"/>
    <s v="MGM MONTACARGAS &amp; GRUAS S.A.C."/>
    <x v="0"/>
    <s v="FACTURA"/>
    <s v="E001"/>
    <n v="2378"/>
    <n v="60"/>
    <m/>
    <n v="10.799999999999999"/>
    <m/>
    <n v="0"/>
    <n v="70.8"/>
    <m/>
    <m/>
    <m/>
    <m/>
    <m/>
    <s v="63.5.4.1.01"/>
    <s v="Alquiler de montacarga RQ.OPE.1278"/>
    <x v="16"/>
  </r>
  <r>
    <s v="14/07/2025"/>
    <x v="1"/>
    <s v="001"/>
    <s v="07-000243"/>
    <x v="1"/>
    <s v="91.06.01"/>
    <s v="Operaciones"/>
    <s v="Alquiler de montacarga RQ.OPE.1277"/>
    <s v="20609764261"/>
    <s v="MGM MONTACARGAS &amp; GRUAS S.A.C."/>
    <x v="0"/>
    <s v="FACTURA"/>
    <s v="E001"/>
    <n v="2379"/>
    <n v="60"/>
    <m/>
    <n v="10.799999999999999"/>
    <m/>
    <n v="0"/>
    <n v="70.8"/>
    <m/>
    <m/>
    <m/>
    <m/>
    <m/>
    <s v="63.5.4.1.01"/>
    <s v="Alquiler de montacarga RQ.OPE.1277"/>
    <x v="16"/>
  </r>
  <r>
    <s v="10/07/2025"/>
    <x v="1"/>
    <s v="001"/>
    <s v="07-000244"/>
    <x v="1"/>
    <s v="91.06.01"/>
    <s v="Operaciones"/>
    <s v="Trasporte de carga RQ.OPE.1284 OS 005 _ 668"/>
    <s v="10736055631"/>
    <s v="HUAMANI MAMANI HUBER ANTHONY"/>
    <x v="0"/>
    <s v="FACTURA"/>
    <s v="E001"/>
    <n v="12"/>
    <n v="400"/>
    <m/>
    <n v="72"/>
    <m/>
    <n v="0"/>
    <n v="472"/>
    <s v="276642061"/>
    <s v="25/07/2025"/>
    <m/>
    <m/>
    <m/>
    <s v="63.1.1.1.01"/>
    <s v="Trasporte de carga RQ.OPE.1284 OS 005 _ 668"/>
    <x v="21"/>
  </r>
  <r>
    <s v="16/07/2025"/>
    <x v="1"/>
    <s v="001"/>
    <s v="07-000245"/>
    <x v="1"/>
    <s v="91.05.01"/>
    <s v="Residuos Aprovechables"/>
    <s v="Alambron OC 269"/>
    <s v="20100192064"/>
    <s v="MOLY-COP ADESUR S.A."/>
    <x v="0"/>
    <s v="FACTURA"/>
    <s v="F002"/>
    <n v="16470"/>
    <n v="134.91"/>
    <m/>
    <n v="24.283799999999999"/>
    <m/>
    <n v="0"/>
    <n v="159.18"/>
    <s v="277160605"/>
    <s v="1/08/2025"/>
    <m/>
    <m/>
    <s v="OC 269"/>
    <s v="60.2.1.1"/>
    <s v="Alambron OC 269"/>
    <x v="6"/>
  </r>
  <r>
    <s v="14/07/2025"/>
    <x v="1"/>
    <s v="001"/>
    <s v="07-000246"/>
    <x v="1"/>
    <s v="91.05.01"/>
    <s v="Residuos Aprovechables"/>
    <s v="Alambron OC 270"/>
    <s v="20100192064"/>
    <s v="MOLY-COP ADESUR S.A."/>
    <x v="0"/>
    <s v="FACTURA"/>
    <s v="F002"/>
    <n v="16454"/>
    <n v="207.01"/>
    <m/>
    <n v="37.261799999999994"/>
    <m/>
    <n v="0"/>
    <n v="244.29"/>
    <s v="277160606"/>
    <s v="1/08/2025"/>
    <m/>
    <m/>
    <s v="OC 270"/>
    <s v="60.2.1.1"/>
    <s v="Alambron OC 270"/>
    <x v="6"/>
  </r>
  <r>
    <s v="11/07/2025"/>
    <x v="1"/>
    <s v="001"/>
    <s v="07-000247"/>
    <x v="1"/>
    <s v="91.05.01"/>
    <s v="Residuos Aprovechables"/>
    <s v="Alambron OC 271"/>
    <s v="20100192064"/>
    <s v="MOLY-COP ADESUR S.A."/>
    <x v="0"/>
    <s v="FACTURA"/>
    <s v="F002"/>
    <n v="16442"/>
    <n v="110.98"/>
    <m/>
    <n v="19.976400000000002"/>
    <m/>
    <n v="0"/>
    <n v="130.97"/>
    <s v="277160608"/>
    <s v="1/08/2025"/>
    <m/>
    <m/>
    <s v="OC 271"/>
    <s v="60.2.1.1"/>
    <s v="Alambron OC 271"/>
    <x v="6"/>
  </r>
  <r>
    <s v="21/07/2025"/>
    <x v="1"/>
    <s v="001"/>
    <s v="07-000248"/>
    <x v="1"/>
    <s v="91.05.01"/>
    <s v="Residuos Aprovechables"/>
    <s v="Bidones,vidrios en desuso,botas de jebe OC 266"/>
    <s v="20454186002"/>
    <s v="ALSUR PERU S.A.C."/>
    <x v="0"/>
    <s v="FACTURA"/>
    <s v="F002"/>
    <n v="630"/>
    <n v="233.56"/>
    <m/>
    <n v="42.040799999999997"/>
    <m/>
    <n v="0"/>
    <n v="275.60000000000002"/>
    <s v="276642062"/>
    <s v="25/07/2025"/>
    <m/>
    <m/>
    <s v="OC 266"/>
    <s v="60.2.1.1"/>
    <s v="Bidones,vidrios en desuso,botas de jebe OC 266"/>
    <x v="6"/>
  </r>
  <r>
    <s v="19/07/2025"/>
    <x v="1"/>
    <s v="001"/>
    <s v="07-000249"/>
    <x v="1"/>
    <s v="91.06.02.03"/>
    <s v="BKL_739"/>
    <s v="Disco de embrague _ Accesorio vehicular"/>
    <s v="20434848262"/>
    <s v="JLU REPRESENTACIONES E.I.R.L"/>
    <x v="0"/>
    <s v="FACTURA"/>
    <s v="F002"/>
    <n v="4686"/>
    <n v="254.24"/>
    <m/>
    <n v="45.763199999999998"/>
    <m/>
    <n v="0"/>
    <n v="300"/>
    <m/>
    <m/>
    <m/>
    <m/>
    <m/>
    <s v="63.4.3.2.01"/>
    <s v="Disco de embrague _ Accesorio vehicular"/>
    <x v="5"/>
  </r>
  <r>
    <s v="18/07/2025"/>
    <x v="1"/>
    <s v="001"/>
    <s v="07-000250"/>
    <x v="0"/>
    <s v="94.02"/>
    <s v="Contabilidad y Finanzas"/>
    <s v="Intereses de Credito vehicular N 58"/>
    <s v="20375361991"/>
    <s v="MITSUI AUTO FINANCE PERU S.A."/>
    <x v="0"/>
    <s v="FACTURA"/>
    <s v="F006"/>
    <n v="167817"/>
    <m/>
    <m/>
    <m/>
    <m/>
    <n v="180.18"/>
    <n v="180.18"/>
    <m/>
    <m/>
    <m/>
    <m/>
    <m/>
    <s v="63.9.1.1.04"/>
    <s v="Intereses de Credito vehicular N 58"/>
    <x v="0"/>
  </r>
  <r>
    <s v="18/07/2025"/>
    <x v="1"/>
    <s v="001"/>
    <s v="07-000251"/>
    <x v="1"/>
    <s v="91.06.02.06"/>
    <s v="VBW_889"/>
    <s v="Lavado"/>
    <s v="20614269309"/>
    <s v="MULTISERVICIOS NUESTRA SRA. DE LOURDES E.I.R.L."/>
    <x v="0"/>
    <s v="FACTURA"/>
    <s v="E001"/>
    <n v="61"/>
    <n v="29.66"/>
    <m/>
    <n v="5.3388"/>
    <m/>
    <n v="0"/>
    <n v="35"/>
    <m/>
    <m/>
    <m/>
    <m/>
    <m/>
    <s v="63.1.1.5.01"/>
    <s v="Lavado"/>
    <x v="14"/>
  </r>
  <r>
    <s v="15/07/2025"/>
    <x v="1"/>
    <s v="001"/>
    <s v="07-000252"/>
    <x v="1"/>
    <s v="91.06.02.07"/>
    <s v="VDJ_872"/>
    <s v="Mantenimiento Vehicular (Preventivo) RQ.OPE.1280 OS 006 _ 159"/>
    <s v="20602810497"/>
    <s v="TRENTO MULTISERVICIOS S.R.L."/>
    <x v="0"/>
    <s v="FACTURA"/>
    <s v="F002"/>
    <n v="20256"/>
    <n v="343.22"/>
    <m/>
    <n v="61.779600000000002"/>
    <m/>
    <n v="0"/>
    <n v="405"/>
    <m/>
    <m/>
    <m/>
    <m/>
    <m/>
    <s v="63.4.3.2.02"/>
    <s v="Mantenimiento Vehicular (Preventivo) RQ.OPE.1280 OS 006 _ 159"/>
    <x v="3"/>
  </r>
  <r>
    <s v="17/07/2025"/>
    <x v="1"/>
    <s v="001"/>
    <s v="07-000253"/>
    <x v="0"/>
    <m/>
    <m/>
    <m/>
    <s v="20100210909"/>
    <s v="LA POSITIVA SEGUROS Y REASEGUROS S.A.A."/>
    <x v="0"/>
    <s v="FACTURA"/>
    <s v="F809"/>
    <s v="381043"/>
    <n v="129.66"/>
    <m/>
    <n v="23.34"/>
    <m/>
    <n v="0"/>
    <n v="153"/>
    <m/>
    <m/>
    <m/>
    <m/>
    <m/>
    <m/>
    <m/>
    <x v="0"/>
  </r>
  <r>
    <s v="11/07/2025"/>
    <x v="1"/>
    <s v="001"/>
    <s v="07-000254"/>
    <x v="1"/>
    <s v="91.06.01"/>
    <s v="Operaciones"/>
    <s v="Alquiler de maquinaria RQ.OPE.1287 OS 005 _ 670"/>
    <s v="20603974817"/>
    <s v="TRANSPORTES, GRUAS Y MONTACARGAS AREQUIPA EMPRESA INDIVIDUAL DE RESPONSABILIDAD LIMITADA"/>
    <x v="0"/>
    <s v="FACTURA"/>
    <s v="E001"/>
    <n v="4035"/>
    <n v="330"/>
    <m/>
    <n v="59.4"/>
    <m/>
    <n v="0"/>
    <n v="389.4"/>
    <m/>
    <m/>
    <m/>
    <m/>
    <m/>
    <s v="63.5.4.1.04"/>
    <s v="Alquiler de maquinaria RQ.OPE.1287 OS 005 _ 670"/>
    <x v="32"/>
  </r>
  <r>
    <s v="17/07/2025"/>
    <x v="1"/>
    <s v="001"/>
    <s v="07-000255"/>
    <x v="1"/>
    <s v="91.06.02.02"/>
    <s v="BKK_849"/>
    <s v="Balanza 24934"/>
    <s v="20259858934"/>
    <s v="COMERCIALIZACION Y SERVICIOS EL EDEN S.A.C."/>
    <x v="0"/>
    <s v="FACTURA"/>
    <s v="FE01"/>
    <n v="35166"/>
    <n v="8.4700000000000006"/>
    <m/>
    <n v="1.5246"/>
    <m/>
    <n v="0"/>
    <n v="10"/>
    <m/>
    <m/>
    <m/>
    <m/>
    <s v="24934"/>
    <s v="63.1.1.7.02"/>
    <s v="Balanza 24934"/>
    <x v="1"/>
  </r>
  <r>
    <s v="16/07/2025"/>
    <x v="1"/>
    <s v="001"/>
    <s v="07-000256"/>
    <x v="1"/>
    <s v="91.06.02.03"/>
    <s v="BKL_739"/>
    <s v="Balanza 24933"/>
    <s v="20259858934"/>
    <s v="COMERCIALIZACION Y SERVICIOS EL EDEN S.A.C."/>
    <x v="0"/>
    <s v="FACTURA"/>
    <s v="FE02"/>
    <n v="16998"/>
    <n v="16.95"/>
    <m/>
    <n v="3.0509999999999997"/>
    <m/>
    <n v="0"/>
    <n v="20"/>
    <m/>
    <m/>
    <m/>
    <m/>
    <s v="24933"/>
    <s v="63.1.1.7.02"/>
    <s v="Balanza 24933"/>
    <x v="1"/>
  </r>
  <r>
    <s v="16/07/2025"/>
    <x v="1"/>
    <s v="001"/>
    <s v="07-000257"/>
    <x v="1"/>
    <s v="91.06.02.11"/>
    <s v="Tercerizados"/>
    <s v="Peaje 24931"/>
    <s v="20517252558"/>
    <s v="CONCESIONARIA VIAL DEL SUR S.A.- COVISUR S.A."/>
    <x v="0"/>
    <s v="FACTURA"/>
    <s v="F212"/>
    <n v="1785575"/>
    <n v="6.78"/>
    <m/>
    <n v="1.2203999999999999"/>
    <m/>
    <n v="0"/>
    <n v="8"/>
    <m/>
    <m/>
    <m/>
    <m/>
    <s v="24931"/>
    <s v="63.1.1.3.02"/>
    <s v="Peaje 24931"/>
    <x v="8"/>
  </r>
  <r>
    <s v="16/07/2025"/>
    <x v="1"/>
    <s v="001"/>
    <s v="07-000258"/>
    <x v="1"/>
    <s v="91.06.02.03"/>
    <s v="BKL_739"/>
    <s v="Peaje 24932"/>
    <s v="20517252558"/>
    <s v="CONCESIONARIA VIAL DEL SUR S.A.- COVISUR S.A."/>
    <x v="0"/>
    <s v="FACTURA"/>
    <s v="F214"/>
    <n v="2112983"/>
    <n v="6.78"/>
    <m/>
    <n v="1.2203999999999999"/>
    <m/>
    <n v="0"/>
    <n v="8"/>
    <m/>
    <m/>
    <m/>
    <m/>
    <s v="24932"/>
    <s v="63.1.1.3.02"/>
    <s v="Peaje 24932"/>
    <x v="8"/>
  </r>
  <r>
    <s v="18/07/2025"/>
    <x v="1"/>
    <s v="001"/>
    <s v="07-000259"/>
    <x v="1"/>
    <s v="91.06.02.07"/>
    <s v="VDJ_872"/>
    <s v="Balanza 24946"/>
    <s v="20259858934"/>
    <s v="COMERCIALIZACION Y SERVICIOS EL EDEN S.A.C."/>
    <x v="0"/>
    <s v="FACTURA"/>
    <s v="FE02"/>
    <n v="17025"/>
    <n v="16.95"/>
    <m/>
    <n v="3.0509999999999997"/>
    <m/>
    <n v="0"/>
    <n v="20"/>
    <m/>
    <m/>
    <m/>
    <m/>
    <s v="24946"/>
    <s v="63.1.1.7.01"/>
    <s v="Balanza 24946"/>
    <x v="11"/>
  </r>
  <r>
    <s v="17/07/2025"/>
    <x v="1"/>
    <s v="001"/>
    <s v="07-000260"/>
    <x v="1"/>
    <s v="91.06.02.07"/>
    <s v="VDJ_872"/>
    <s v="Balanza 24918"/>
    <s v="20259858934"/>
    <s v="COMERCIALIZACION Y SERVICIOS EL EDEN S.A.C."/>
    <x v="0"/>
    <s v="FACTURA"/>
    <s v="FE02"/>
    <n v="17012"/>
    <n v="16.95"/>
    <m/>
    <n v="3.0509999999999997"/>
    <m/>
    <n v="0"/>
    <n v="20"/>
    <m/>
    <m/>
    <m/>
    <m/>
    <s v="24918"/>
    <s v="63.1.1.7.01"/>
    <s v="Balanza 24918"/>
    <x v="11"/>
  </r>
  <r>
    <s v="17/07/2025"/>
    <x v="1"/>
    <s v="001"/>
    <s v="07-000261"/>
    <x v="1"/>
    <s v="91.06.02.07"/>
    <s v="VDJ_872"/>
    <s v="Peaje 24914"/>
    <s v="20517252558"/>
    <s v="CONCESIONARIA VIAL DEL SUR S.A.- COVISUR S.A."/>
    <x v="0"/>
    <s v="FACTURA"/>
    <s v="F213"/>
    <n v="1806426"/>
    <n v="6.78"/>
    <m/>
    <n v="1.2203999999999999"/>
    <m/>
    <n v="0"/>
    <n v="8"/>
    <m/>
    <m/>
    <m/>
    <m/>
    <s v="24914"/>
    <s v="63.1.1.3.02"/>
    <s v="Peaje 24914"/>
    <x v="8"/>
  </r>
  <r>
    <s v="17/07/2025"/>
    <x v="1"/>
    <s v="001"/>
    <s v="07-000262"/>
    <x v="1"/>
    <s v="91.06.02.07"/>
    <s v="VDJ_872"/>
    <s v="Peaje 24915"/>
    <s v="20517252558"/>
    <s v="CONCESIONARIA VIAL DEL SUR S.A.- COVISUR S.A."/>
    <x v="0"/>
    <s v="FACTURA"/>
    <s v="F212"/>
    <n v="1786516"/>
    <n v="6.78"/>
    <m/>
    <n v="1.2203999999999999"/>
    <m/>
    <n v="0"/>
    <n v="8"/>
    <m/>
    <m/>
    <m/>
    <m/>
    <s v="24915"/>
    <s v="63.1.1.3.02"/>
    <s v="Peaje 24915"/>
    <x v="8"/>
  </r>
  <r>
    <s v="18/07/2025"/>
    <x v="1"/>
    <s v="001"/>
    <s v="07-000263"/>
    <x v="1"/>
    <s v="91.06.02.07"/>
    <s v="VDJ_872"/>
    <s v="Peaje 24943"/>
    <s v="20517252558"/>
    <s v="CONCESIONARIA VIAL DEL SUR S.A.- COVISUR S.A."/>
    <x v="0"/>
    <s v="FACTURA"/>
    <s v="F214"/>
    <n v="2115343"/>
    <n v="6.78"/>
    <m/>
    <n v="1.2203999999999999"/>
    <m/>
    <n v="0"/>
    <n v="8"/>
    <m/>
    <m/>
    <m/>
    <m/>
    <s v="24943"/>
    <s v="63.1.1.3.02"/>
    <s v="Peaje 24943"/>
    <x v="8"/>
  </r>
  <r>
    <s v="18/07/2025"/>
    <x v="1"/>
    <s v="001"/>
    <s v="07-000264"/>
    <x v="1"/>
    <s v="91.06.02.07"/>
    <s v="VDJ_872"/>
    <s v="Peaje 24944"/>
    <s v="20517252558"/>
    <s v="CONCESIONARIA VIAL DEL SUR S.A.- COVISUR S.A."/>
    <x v="0"/>
    <s v="FACTURA"/>
    <s v="F212"/>
    <n v="1787357"/>
    <n v="6.78"/>
    <m/>
    <n v="1.2203999999999999"/>
    <m/>
    <n v="0"/>
    <n v="8"/>
    <m/>
    <m/>
    <m/>
    <m/>
    <s v="24944"/>
    <s v="63.1.1.3.02"/>
    <s v="Peaje 24944"/>
    <x v="8"/>
  </r>
  <r>
    <s v="18/07/2025"/>
    <x v="1"/>
    <s v="001"/>
    <s v="07-000265"/>
    <x v="1"/>
    <s v="91.06.02.07"/>
    <s v="VDJ_872"/>
    <s v="Balanza 24945"/>
    <s v="20124952850"/>
    <s v="ALIMENTOS Y SERVICIOS AGROPECUARIOS SRL."/>
    <x v="0"/>
    <s v="FACTURA"/>
    <s v="F002"/>
    <n v="134324"/>
    <n v="8.4700000000000006"/>
    <m/>
    <n v="1.5246"/>
    <m/>
    <n v="0"/>
    <n v="10"/>
    <m/>
    <m/>
    <m/>
    <m/>
    <s v="24945"/>
    <s v="63.1.1.7.01"/>
    <s v="Balanza 24945"/>
    <x v="11"/>
  </r>
  <r>
    <s v="16/07/2025"/>
    <x v="1"/>
    <s v="001"/>
    <s v="07-000266"/>
    <x v="1"/>
    <s v="91.06.02.06"/>
    <s v="VBW_889"/>
    <s v="Peaje 24916"/>
    <s v="20517252558"/>
    <s v="CONCESIONARIA VIAL DEL SUR S.A.- COVISUR S.A."/>
    <x v="0"/>
    <s v="FACTURA"/>
    <s v="F213"/>
    <n v="1805464"/>
    <n v="4.24"/>
    <m/>
    <n v="0.76319999999999999"/>
    <m/>
    <n v="0"/>
    <n v="5"/>
    <m/>
    <m/>
    <m/>
    <m/>
    <s v="24916"/>
    <s v="63.1.1.3.02"/>
    <s v="Peaje 24916"/>
    <x v="8"/>
  </r>
  <r>
    <s v="16/07/2025"/>
    <x v="1"/>
    <s v="001"/>
    <s v="07-000267"/>
    <x v="1"/>
    <s v="91.06.02.06"/>
    <s v="VBW_889"/>
    <s v="Peaje 24917"/>
    <s v="20517252558"/>
    <s v="CONCESIONARIA VIAL DEL SUR S.A.- COVISUR S.A."/>
    <x v="0"/>
    <s v="FACTURA"/>
    <s v="F211"/>
    <n v="2399584"/>
    <n v="4.24"/>
    <m/>
    <n v="0.76319999999999999"/>
    <m/>
    <n v="0"/>
    <n v="5"/>
    <m/>
    <m/>
    <m/>
    <m/>
    <s v="24917"/>
    <s v="63.1.1.3.02"/>
    <s v="Peaje 24917"/>
    <x v="8"/>
  </r>
  <r>
    <s v="18/07/2025"/>
    <x v="1"/>
    <s v="001"/>
    <s v="07-000268"/>
    <x v="1"/>
    <s v="91.06.02.11"/>
    <s v="Tercerizados"/>
    <s v="Balanza 24936"/>
    <s v="20454058187"/>
    <s v="ZONA ESPECIAL DE DESARROLLO ZED MATARANI"/>
    <x v="0"/>
    <s v="FACTURA"/>
    <s v="F001"/>
    <n v="17979"/>
    <m/>
    <m/>
    <m/>
    <m/>
    <n v="11"/>
    <n v="11"/>
    <m/>
    <m/>
    <m/>
    <m/>
    <s v="24936"/>
    <s v="63.1.1.7.02"/>
    <s v="Balanza 24936"/>
    <x v="1"/>
  </r>
  <r>
    <s v="18/07/2025"/>
    <x v="1"/>
    <s v="001"/>
    <s v="07-000269"/>
    <x v="1"/>
    <s v="91.06.02.11"/>
    <s v="Tercerizados"/>
    <s v="Balanza 24937"/>
    <s v="20454058187"/>
    <s v="ZONA ESPECIAL DE DESARROLLO ZED MATARANI"/>
    <x v="0"/>
    <s v="FACTURA"/>
    <s v="F001"/>
    <n v="17978"/>
    <m/>
    <m/>
    <m/>
    <m/>
    <n v="11"/>
    <n v="11"/>
    <m/>
    <m/>
    <m/>
    <m/>
    <s v="24937"/>
    <s v="63.1.1.7.01"/>
    <s v="Balanza 24937"/>
    <x v="11"/>
  </r>
  <r>
    <s v="14/07/2025"/>
    <x v="1"/>
    <s v="001"/>
    <s v="07-000270"/>
    <x v="1"/>
    <s v="91.06.02.03"/>
    <s v="BKL_739"/>
    <s v="Peaje 24900"/>
    <s v="20517252558"/>
    <s v="CONCESIONARIA VIAL DEL SUR S.A.- COVISUR S.A."/>
    <x v="0"/>
    <s v="FACTURA"/>
    <s v="F213"/>
    <n v="1803483"/>
    <n v="6.78"/>
    <m/>
    <n v="1.2203999999999999"/>
    <m/>
    <n v="0"/>
    <n v="8"/>
    <m/>
    <m/>
    <m/>
    <m/>
    <s v="24900"/>
    <s v="63.1.1.3.03"/>
    <s v="Peaje 24900"/>
    <x v="7"/>
  </r>
  <r>
    <s v="14/07/2025"/>
    <x v="1"/>
    <s v="001"/>
    <s v="07-000271"/>
    <x v="1"/>
    <s v="91.06.02.03"/>
    <s v="BKL_739"/>
    <s v="Peaje 24901"/>
    <s v="20517252558"/>
    <s v="CONCESIONARIA VIAL DEL SUR S.A.- COVISUR S.A."/>
    <x v="0"/>
    <s v="FACTURA"/>
    <s v="F211"/>
    <n v="2397280"/>
    <n v="6.78"/>
    <m/>
    <n v="1.2203999999999999"/>
    <m/>
    <n v="0"/>
    <n v="8"/>
    <m/>
    <m/>
    <m/>
    <m/>
    <s v="24901"/>
    <s v="63.1.1.3.03"/>
    <s v="Peaje 24901"/>
    <x v="7"/>
  </r>
  <r>
    <s v="15/07/2025"/>
    <x v="1"/>
    <s v="001"/>
    <s v="07-000272"/>
    <x v="1"/>
    <s v="91.06.02.03"/>
    <s v="BKL_739"/>
    <s v="Peaje 24902"/>
    <s v="20517252558"/>
    <s v="CONCESIONARIA VIAL DEL SUR S.A.- COVISUR S.A."/>
    <x v="0"/>
    <s v="FACTURA"/>
    <s v="F211"/>
    <n v="2398509"/>
    <n v="6.78"/>
    <m/>
    <n v="1.2203999999999999"/>
    <m/>
    <n v="0"/>
    <n v="8"/>
    <m/>
    <m/>
    <m/>
    <m/>
    <s v="24902"/>
    <s v="63.1.1.3.02"/>
    <s v="Peaje 24902"/>
    <x v="8"/>
  </r>
  <r>
    <s v="16/07/2025"/>
    <x v="1"/>
    <s v="001"/>
    <s v="07-000273"/>
    <x v="1"/>
    <s v="91.06.02.07"/>
    <s v="VDJ_872"/>
    <s v="Peaje 24907"/>
    <s v="20517252558"/>
    <s v="CONCESIONARIA VIAL DEL SUR S.A.- COVISUR S.A."/>
    <x v="0"/>
    <s v="FACTURA"/>
    <s v="F114"/>
    <n v="1091268"/>
    <n v="6.78"/>
    <m/>
    <n v="1.2203999999999999"/>
    <m/>
    <n v="0"/>
    <n v="8"/>
    <m/>
    <m/>
    <m/>
    <m/>
    <s v="24907"/>
    <s v="63.1.1.3.02"/>
    <s v="Peaje 24907"/>
    <x v="8"/>
  </r>
  <r>
    <s v="15/07/2025"/>
    <x v="1"/>
    <s v="001"/>
    <s v="07-000274"/>
    <x v="1"/>
    <s v="91.06.02.03"/>
    <s v="BKL_739"/>
    <s v="Peaje 24903"/>
    <s v="20517252558"/>
    <s v="CONCESIONARIA VIAL DEL SUR S.A.- COVISUR S.A."/>
    <x v="0"/>
    <s v="FACTURA"/>
    <s v="F214"/>
    <n v="2111741"/>
    <n v="6.78"/>
    <m/>
    <n v="1.2203999999999999"/>
    <m/>
    <n v="0"/>
    <n v="8"/>
    <m/>
    <m/>
    <m/>
    <m/>
    <s v="24903"/>
    <s v="63.1.1.3.02"/>
    <s v="Peaje 24903"/>
    <x v="8"/>
  </r>
  <r>
    <s v="16/07/2025"/>
    <x v="1"/>
    <s v="001"/>
    <s v="07-000275"/>
    <x v="1"/>
    <s v="91.06.02.07"/>
    <s v="VDJ_872"/>
    <s v="Peaje 24909"/>
    <s v="20517252558"/>
    <s v="CONCESIONARIA VIAL DEL SUR S.A.- COVISUR S.A."/>
    <x v="0"/>
    <s v="FACTURA"/>
    <s v="F214"/>
    <n v="2112931"/>
    <n v="6.78"/>
    <m/>
    <n v="1.2203999999999999"/>
    <m/>
    <n v="0"/>
    <n v="8"/>
    <m/>
    <m/>
    <m/>
    <m/>
    <s v="24909"/>
    <s v="63.1.1.3.02"/>
    <s v="Peaje 24909"/>
    <x v="8"/>
  </r>
  <r>
    <s v="16/07/2025"/>
    <x v="1"/>
    <s v="001"/>
    <s v="07-000276"/>
    <x v="1"/>
    <s v="91.06.02.07"/>
    <s v="VDJ_872"/>
    <s v="Peaje 24910"/>
    <s v="20517252558"/>
    <s v="CONCESIONARIA VIAL DEL SUR S.A.- COVISUR S.A."/>
    <x v="0"/>
    <s v="FACTURA"/>
    <s v="F111"/>
    <n v="998301"/>
    <n v="6.78"/>
    <m/>
    <n v="1.2203999999999999"/>
    <m/>
    <n v="0"/>
    <n v="8"/>
    <m/>
    <m/>
    <m/>
    <m/>
    <s v="24910"/>
    <s v="63.1.1.3.02"/>
    <s v="Peaje 24910"/>
    <x v="8"/>
  </r>
  <r>
    <s v="16/07/2025"/>
    <x v="1"/>
    <s v="001"/>
    <s v="07-000277"/>
    <x v="1"/>
    <s v="91.06.02.07"/>
    <s v="VDJ_872"/>
    <s v="Peaje 24911"/>
    <s v="20517252558"/>
    <s v="CONCESIONARIA VIAL DEL SUR S.A.- COVISUR S.A."/>
    <x v="0"/>
    <s v="FACTURA"/>
    <s v="F211"/>
    <n v="2399520"/>
    <n v="6.78"/>
    <m/>
    <n v="1.2203999999999999"/>
    <m/>
    <n v="0"/>
    <n v="8"/>
    <m/>
    <m/>
    <m/>
    <m/>
    <s v="24911"/>
    <s v="63.1.1.3.02"/>
    <s v="Peaje 24911"/>
    <x v="8"/>
  </r>
  <r>
    <s v="18/07/2025"/>
    <x v="1"/>
    <s v="001"/>
    <s v="07-000278"/>
    <x v="1"/>
    <s v="91.06.02.11"/>
    <s v="Tercerizados"/>
    <s v="Peaje 24938"/>
    <s v="20517252558"/>
    <s v="CONCESIONARIA VIAL DEL SUR S.A.- COVISUR S.A."/>
    <x v="0"/>
    <s v="FACTURA"/>
    <s v="F114"/>
    <n v="1092546"/>
    <n v="6.78"/>
    <m/>
    <n v="1.2203999999999999"/>
    <m/>
    <n v="0"/>
    <n v="8"/>
    <m/>
    <m/>
    <m/>
    <m/>
    <s v="24938"/>
    <s v="63.1.1.3.02"/>
    <s v="Peaje 24938"/>
    <x v="8"/>
  </r>
  <r>
    <s v="18/07/2025"/>
    <x v="1"/>
    <s v="001"/>
    <s v="07-000279"/>
    <x v="1"/>
    <s v="91.06.02.11"/>
    <s v="Tercerizados"/>
    <s v="Peaje 24941"/>
    <s v="20517252558"/>
    <s v="CONCESIONARIA VIAL DEL SUR S.A.- COVISUR S.A."/>
    <x v="0"/>
    <s v="FACTURA"/>
    <s v="F111"/>
    <n v="999567"/>
    <n v="6.78"/>
    <m/>
    <n v="1.2203999999999999"/>
    <m/>
    <n v="0"/>
    <n v="8"/>
    <m/>
    <m/>
    <m/>
    <m/>
    <s v="24941"/>
    <s v="63.1.1.3.02"/>
    <s v="Peaje 24941"/>
    <x v="8"/>
  </r>
  <r>
    <s v="18/07/2025"/>
    <x v="1"/>
    <s v="001"/>
    <s v="07-000280"/>
    <x v="1"/>
    <s v="91.06.02.03"/>
    <s v="BKL_739"/>
    <s v="Peaje 24960"/>
    <s v="20517252558"/>
    <s v="CONCESIONARIA VIAL DEL SUR S.A.- COVISUR S.A."/>
    <x v="0"/>
    <s v="FACTURA"/>
    <s v="F213"/>
    <n v="1807462"/>
    <n v="6.78"/>
    <m/>
    <n v="1.2203999999999999"/>
    <m/>
    <n v="0"/>
    <n v="8"/>
    <m/>
    <m/>
    <m/>
    <m/>
    <s v="24960"/>
    <s v="63.1.1.3.03"/>
    <s v="Peaje 24960"/>
    <x v="7"/>
  </r>
  <r>
    <s v="15/07/2025"/>
    <x v="1"/>
    <s v="001"/>
    <s v="07-000281"/>
    <x v="1"/>
    <s v="91.06.02.03"/>
    <s v="BKL_739"/>
    <s v="Balanza 24904"/>
    <s v="20124952850"/>
    <s v="ALIMENTOS Y SERVICIOS AGROPECUARIOS SRL."/>
    <x v="0"/>
    <s v="FACTURA"/>
    <s v="F002"/>
    <n v="134173"/>
    <n v="8.4700000000000006"/>
    <m/>
    <n v="1.5246"/>
    <m/>
    <n v="0"/>
    <n v="10"/>
    <m/>
    <m/>
    <m/>
    <m/>
    <s v="24904"/>
    <s v="63.1.1.7.01"/>
    <s v="Balanza 24904"/>
    <x v="11"/>
  </r>
  <r>
    <s v="15/07/2025"/>
    <x v="1"/>
    <s v="001"/>
    <s v="07-000282"/>
    <x v="1"/>
    <s v="91.06.02.03"/>
    <s v="BKL_739"/>
    <s v="Balanza 24905"/>
    <s v="20124952850"/>
    <s v="ALIMENTOS Y SERVICIOS AGROPECUARIOS SRL."/>
    <x v="0"/>
    <s v="FACTURA"/>
    <s v="F002"/>
    <n v="134205"/>
    <n v="8.4700000000000006"/>
    <m/>
    <n v="1.5246"/>
    <m/>
    <n v="0"/>
    <n v="10"/>
    <m/>
    <m/>
    <m/>
    <m/>
    <s v="24905"/>
    <s v="63.1.1.7.01"/>
    <s v="Balanza 24905"/>
    <x v="11"/>
  </r>
  <r>
    <s v="16/07/2025"/>
    <x v="1"/>
    <s v="001"/>
    <s v="07-000283"/>
    <x v="1"/>
    <s v="91.06.02.03"/>
    <s v="BKL_739"/>
    <s v="Balanza 24906"/>
    <s v="20124952850"/>
    <s v="ALIMENTOS Y SERVICIOS AGROPECUARIOS SRL."/>
    <x v="0"/>
    <s v="FACTURA"/>
    <s v="F002"/>
    <n v="134222"/>
    <n v="8.4700000000000006"/>
    <m/>
    <n v="1.5246"/>
    <m/>
    <n v="0"/>
    <n v="10"/>
    <m/>
    <m/>
    <m/>
    <m/>
    <s v="24906"/>
    <s v="63.1.1.7.01"/>
    <s v="Balanza 24906"/>
    <x v="11"/>
  </r>
  <r>
    <s v="22/07/2025"/>
    <x v="1"/>
    <s v="001"/>
    <s v="07-000284"/>
    <x v="1"/>
    <s v="91.05.01"/>
    <s v="Residuos Aprovechables"/>
    <s v="Sco polis inserv OC 276"/>
    <s v="20100055237"/>
    <s v="ALICORP SAA"/>
    <x v="0"/>
    <s v="FACTURA"/>
    <s v="F313"/>
    <n v="6645"/>
    <n v="35"/>
    <m/>
    <n v="6.3"/>
    <m/>
    <n v="0"/>
    <n v="41.3"/>
    <s v="276642063"/>
    <s v="25/07/2025"/>
    <m/>
    <m/>
    <s v="OC 276"/>
    <s v="60.2.1.1"/>
    <s v="Sco polis inserv OC 276"/>
    <x v="6"/>
  </r>
  <r>
    <s v="22/07/2025"/>
    <x v="1"/>
    <s v="001"/>
    <s v="07-000285"/>
    <x v="1"/>
    <s v="91.05.01"/>
    <s v="Residuos Aprovechables"/>
    <s v="Film strech usado OC 277"/>
    <s v="20100055237"/>
    <s v="ALICORP SAA"/>
    <x v="0"/>
    <s v="FACTURA"/>
    <s v="F313"/>
    <n v="6644"/>
    <n v="405"/>
    <m/>
    <n v="72.899999999999991"/>
    <m/>
    <n v="0"/>
    <n v="477.9"/>
    <s v="276642064"/>
    <s v="25/07/2025"/>
    <m/>
    <m/>
    <s v="OC 277"/>
    <s v="60.2.1.1"/>
    <s v="Film strech usado OC 277"/>
    <x v="6"/>
  </r>
  <r>
    <s v="22/07/2025"/>
    <x v="1"/>
    <s v="001"/>
    <s v="07-000286"/>
    <x v="1"/>
    <s v="91.05.01"/>
    <s v="Residuos Aprovechables"/>
    <s v="Cilindros usado x  55 gl plas OC 278"/>
    <s v="20100055237"/>
    <s v="ALICORP SAA"/>
    <x v="0"/>
    <s v="FACTURA"/>
    <s v="F313"/>
    <n v="6647"/>
    <n v="559"/>
    <m/>
    <n v="100.61999999999999"/>
    <m/>
    <n v="0"/>
    <n v="659.62"/>
    <s v="276642065"/>
    <s v="25/07/2025"/>
    <m/>
    <m/>
    <s v="OC 278"/>
    <s v="60.2.1.1"/>
    <s v="Cilindros usado x  55 gl plas OC 278"/>
    <x v="6"/>
  </r>
  <r>
    <s v="22/07/2025"/>
    <x v="1"/>
    <s v="001"/>
    <s v="07-000287"/>
    <x v="1"/>
    <s v="91.05.01"/>
    <s v="Residuos Aprovechables"/>
    <s v="Tubos de carton OC 279"/>
    <s v="20100055237"/>
    <s v="ALICORP SAA"/>
    <x v="0"/>
    <s v="FACTURA"/>
    <s v="F313"/>
    <n v="6646"/>
    <n v="11.7"/>
    <m/>
    <n v="2.1059999999999999"/>
    <m/>
    <n v="0"/>
    <n v="13.81"/>
    <s v="276642066"/>
    <s v="25/07/2025"/>
    <m/>
    <m/>
    <s v="OC 279"/>
    <s v="60.2.1.1"/>
    <s v="Tubos de carton OC 279"/>
    <x v="6"/>
  </r>
  <r>
    <s v="22/07/2025"/>
    <x v="1"/>
    <s v="001"/>
    <s v="07-000288"/>
    <x v="1"/>
    <s v="91.05.01"/>
    <s v="Residuos Aprovechables"/>
    <s v="Galleta rota sucia 30kg OC 280"/>
    <s v="20100055237"/>
    <s v="ALICORP SAA"/>
    <x v="0"/>
    <s v="FACTURA"/>
    <s v="F313"/>
    <n v="6648"/>
    <n v="960"/>
    <m/>
    <n v="172.79999999999998"/>
    <m/>
    <n v="0"/>
    <n v="1132.8"/>
    <s v="276642067"/>
    <s v="25/07/2025"/>
    <m/>
    <m/>
    <s v="OC 280"/>
    <s v="60.2.1.1"/>
    <s v="Galleta rota sucia 30kg OC 280"/>
    <x v="6"/>
  </r>
  <r>
    <s v="22/07/2025"/>
    <x v="1"/>
    <s v="001"/>
    <s v="07-000289"/>
    <x v="1"/>
    <s v="91.05.01"/>
    <s v="Residuos Aprovechables"/>
    <s v="Carton y bolsas papel inservibles OC 275"/>
    <s v="20100055237"/>
    <s v="ALICORP SAA"/>
    <x v="0"/>
    <s v="FACTURA"/>
    <s v="F313"/>
    <n v="6643"/>
    <n v="189"/>
    <m/>
    <n v="34.019999999999996"/>
    <m/>
    <n v="0"/>
    <n v="223.02"/>
    <s v="276642068"/>
    <s v="25/07/2025"/>
    <m/>
    <m/>
    <s v="OC 275"/>
    <s v="60.2.1.1"/>
    <s v="Carton y bolsas papel inservibles OC 275"/>
    <x v="6"/>
  </r>
  <r>
    <s v="22/07/2025"/>
    <x v="1"/>
    <s v="001"/>
    <s v="07-000290"/>
    <x v="1"/>
    <s v="91.05.01"/>
    <s v="Residuos Aprovechables"/>
    <s v="Separadores y cajas de carton en desuso OC 274"/>
    <s v="20454186002"/>
    <s v="ALSUR PERU S.A.C."/>
    <x v="0"/>
    <s v="FACTURA"/>
    <s v="F003"/>
    <n v="1714"/>
    <n v="195.25"/>
    <m/>
    <n v="35.144999999999996"/>
    <m/>
    <n v="0"/>
    <n v="230.39"/>
    <s v="276642069"/>
    <s v="25/07/2025"/>
    <m/>
    <m/>
    <s v="OC 274"/>
    <s v="60.2.1.1"/>
    <s v="Separadores y cajas de carton en desuso OC 274"/>
    <x v="6"/>
  </r>
  <r>
    <s v="22/07/2025"/>
    <x v="1"/>
    <s v="001"/>
    <s v="07-000291"/>
    <x v="1"/>
    <s v="91.05.01"/>
    <s v="Residuos Aprovechables"/>
    <s v="Strech fill transparente en desuso OC 273"/>
    <s v="20454186002"/>
    <s v="ALSUR PERU S.A.C."/>
    <x v="0"/>
    <s v="FACTURA"/>
    <s v="F003"/>
    <n v="1713"/>
    <n v="223.73"/>
    <m/>
    <n v="40.2714"/>
    <m/>
    <n v="0"/>
    <n v="264"/>
    <s v="276642070"/>
    <s v="25/07/2025"/>
    <m/>
    <m/>
    <s v="OC 273"/>
    <s v="60.2.1.1"/>
    <s v="Strech fill transparente en desuso OC 273"/>
    <x v="6"/>
  </r>
  <r>
    <s v="22/07/2025"/>
    <x v="1"/>
    <s v="001"/>
    <s v="07-000292"/>
    <x v="1"/>
    <s v="91.05.01"/>
    <s v="Residuos Aprovechables"/>
    <s v="Strech fill de negro en desuso OC 272"/>
    <s v="20454186002"/>
    <s v="ALSUR PERU S.A.C."/>
    <x v="0"/>
    <s v="FACTURA"/>
    <s v="F003"/>
    <n v="1712"/>
    <n v="172.88"/>
    <m/>
    <n v="31.118399999999998"/>
    <m/>
    <n v="0"/>
    <n v="204"/>
    <s v="276642071"/>
    <s v="25/07/2025"/>
    <m/>
    <m/>
    <s v="OC 272"/>
    <s v="60.2.1.1"/>
    <s v="Strech fill de negro en desuso OC 272"/>
    <x v="6"/>
  </r>
  <r>
    <s v="22/07/2025"/>
    <x v="1"/>
    <s v="001"/>
    <s v="07-000293"/>
    <x v="1"/>
    <s v="91.05.01"/>
    <s v="Residuos Aprovechables"/>
    <s v="Frascos de vidrio 1020 ml en desuso OC 267"/>
    <s v="20454186002"/>
    <s v="ALSUR PERU S.A.C."/>
    <x v="0"/>
    <s v="FACTURA"/>
    <s v="F003"/>
    <n v="1711"/>
    <n v="17.29"/>
    <m/>
    <n v="3.1121999999999996"/>
    <m/>
    <n v="0"/>
    <n v="20.399999999999999"/>
    <s v="276642072"/>
    <s v="25/07/2025"/>
    <m/>
    <m/>
    <s v="OC 267"/>
    <s v="60.2.1.1"/>
    <s v="Frascos de vidrio 1020 ml en desuso OC 267"/>
    <x v="6"/>
  </r>
  <r>
    <s v="17/07/2025"/>
    <x v="1"/>
    <s v="001"/>
    <s v="07-000294"/>
    <x v="1"/>
    <s v="91.05.01"/>
    <s v="Residuos Aprovechables"/>
    <s v="Alambron OC 281"/>
    <s v="20100192064"/>
    <s v="MOLY-COP ADESUR S.A."/>
    <x v="0"/>
    <s v="FACTURA"/>
    <s v="F002"/>
    <n v="16476"/>
    <n v="215.74"/>
    <m/>
    <n v="38.833199999999998"/>
    <m/>
    <n v="0"/>
    <n v="254.58"/>
    <s v="277160609"/>
    <s v="1/08/2025"/>
    <m/>
    <m/>
    <s v="OC 281"/>
    <s v="60.2.1.1"/>
    <s v="Alambron OC 281"/>
    <x v="6"/>
  </r>
  <r>
    <s v="22/07/2025"/>
    <x v="1"/>
    <s v="001"/>
    <s v="07-000295"/>
    <x v="1"/>
    <s v="91.05.01"/>
    <s v="Residuos Aprovechables"/>
    <s v="Alambron OC 282"/>
    <s v="20100192064"/>
    <s v="MOLY-COP ADESUR S.A."/>
    <x v="0"/>
    <s v="FACTURA"/>
    <s v="F002"/>
    <n v="16500"/>
    <n v="323.08"/>
    <m/>
    <n v="58.154399999999995"/>
    <m/>
    <n v="0"/>
    <n v="381.24"/>
    <s v="277160611"/>
    <s v="1/08/2025"/>
    <m/>
    <m/>
    <s v="OC 282"/>
    <s v="60.2.1.1"/>
    <s v="Alambron OC 282"/>
    <x v="6"/>
  </r>
  <r>
    <s v="18/07/2025"/>
    <x v="1"/>
    <s v="001"/>
    <s v="07-000296"/>
    <x v="1"/>
    <s v="91.05.01"/>
    <s v="Residuos Aprovechables"/>
    <s v="Alambron OC 283"/>
    <s v="20100192064"/>
    <s v="MOLY-COP ADESUR S.A."/>
    <x v="0"/>
    <s v="FACTURA"/>
    <s v="F002"/>
    <n v="16480"/>
    <n v="78.95"/>
    <m/>
    <n v="14.211"/>
    <m/>
    <n v="0"/>
    <n v="93.17"/>
    <s v="277160613"/>
    <s v="1/08/2025"/>
    <m/>
    <m/>
    <s v="OC 283"/>
    <s v="60.2.1.1"/>
    <s v="Alambron OC 283"/>
    <x v="6"/>
  </r>
  <r>
    <s v="22/07/2025"/>
    <x v="1"/>
    <s v="001"/>
    <s v="07-000297"/>
    <x v="1"/>
    <s v="91.05.01"/>
    <s v="Residuos Aprovechables"/>
    <s v="Alambron OC 284"/>
    <s v="20100192064"/>
    <s v="MOLY-COP ADESUR S.A."/>
    <x v="0"/>
    <s v="FACTURA"/>
    <s v="F002"/>
    <n v="16501"/>
    <n v="151.91"/>
    <m/>
    <n v="27.343799999999998"/>
    <m/>
    <n v="0"/>
    <n v="179.26"/>
    <s v="277160615"/>
    <s v="1/08/2025"/>
    <m/>
    <m/>
    <s v="OC 284"/>
    <s v="60.2.1.1"/>
    <s v="Alambron OC 284"/>
    <x v="6"/>
  </r>
  <r>
    <s v="24/07/2025"/>
    <x v="1"/>
    <s v="001"/>
    <s v="07-000298"/>
    <x v="1"/>
    <s v="91.05.01"/>
    <s v="Residuos Aprovechables"/>
    <s v="Aluminio,chatarra metalica OC 243"/>
    <s v="20419158462"/>
    <s v="GRANJA RINCONADA DEL SUR S.A."/>
    <x v="0"/>
    <s v="FACTURA"/>
    <s v="F102"/>
    <n v="6951"/>
    <n v="2241.5300000000002"/>
    <m/>
    <n v="403.47540000000004"/>
    <m/>
    <n v="0"/>
    <n v="2645"/>
    <s v="276642073"/>
    <s v="25/07/2025"/>
    <m/>
    <m/>
    <s v="OC 243"/>
    <s v="60.2.1.1"/>
    <s v="Aluminio,chatarra metalica OC 243"/>
    <x v="6"/>
  </r>
  <r>
    <s v="24/07/2025"/>
    <x v="1"/>
    <s v="001"/>
    <s v="07-000299"/>
    <x v="1"/>
    <s v="91.05.01"/>
    <s v="Residuos Aprovechables"/>
    <s v="Madera,chatarra OC 143"/>
    <s v="20419158462"/>
    <s v="GRANJA RINCONADA DEL SUR S.A."/>
    <x v="0"/>
    <s v="FACTURA"/>
    <s v="F102"/>
    <n v="6950"/>
    <n v="692.37"/>
    <m/>
    <n v="124.6266"/>
    <m/>
    <n v="0"/>
    <n v="817"/>
    <s v="276642074"/>
    <s v="25/07/2025"/>
    <m/>
    <m/>
    <s v="OC 143"/>
    <s v="60.2.1.1"/>
    <s v="Madera,chatarra OC 143"/>
    <x v="6"/>
  </r>
  <r>
    <s v="24/07/2025"/>
    <x v="1"/>
    <s v="001"/>
    <s v="07-000300"/>
    <x v="1"/>
    <s v="91.05.01"/>
    <s v="Residuos Aprovechables"/>
    <s v="Hojalata en desuso OC 1686"/>
    <s v="20454186002"/>
    <s v="ALSUR PERU S.A.C."/>
    <x v="0"/>
    <s v="FACTURA"/>
    <s v="F003"/>
    <n v="1715"/>
    <n v="147.46"/>
    <m/>
    <n v="26.5428"/>
    <m/>
    <n v="0"/>
    <n v="174"/>
    <s v="276642075"/>
    <s v="25/07/2025"/>
    <m/>
    <m/>
    <s v="OC 1686"/>
    <s v="60.2.1.1"/>
    <s v="Hojalata en desuso OC 1686"/>
    <x v="6"/>
  </r>
  <r>
    <s v="15/07/2025"/>
    <x v="1"/>
    <s v="001"/>
    <s v="07-000301"/>
    <x v="0"/>
    <s v="94.01"/>
    <s v="Administracion"/>
    <s v="Lineas corporativas"/>
    <s v="20467534026"/>
    <s v="AMERICA MOVIL PERU S.A.C."/>
    <x v="0"/>
    <s v="FACTURA"/>
    <s v="F015"/>
    <n v="305475"/>
    <n v="449.5"/>
    <m/>
    <n v="80.91"/>
    <m/>
    <n v="0"/>
    <n v="530.41"/>
    <m/>
    <m/>
    <m/>
    <m/>
    <m/>
    <s v="63.6.4.2"/>
    <s v="Lineas corporativas"/>
    <x v="0"/>
  </r>
  <r>
    <s v="15/07/2025"/>
    <x v="1"/>
    <s v="001"/>
    <s v="07-000302"/>
    <x v="0"/>
    <s v="94.01"/>
    <s v="Administracion"/>
    <s v="Lineas corporativas"/>
    <s v="20467534026"/>
    <s v="AMERICA MOVIL PERU S.A.C."/>
    <x v="0"/>
    <s v="FACTURA"/>
    <s v="F015"/>
    <n v="305477"/>
    <n v="17.600000000000001"/>
    <m/>
    <n v="3.1680000000000001"/>
    <m/>
    <n v="0"/>
    <n v="20.77"/>
    <m/>
    <m/>
    <m/>
    <m/>
    <m/>
    <s v="63.6.4.2"/>
    <s v="Lineas corporativas"/>
    <x v="0"/>
  </r>
  <r>
    <s v="15/07/2025"/>
    <x v="1"/>
    <s v="001"/>
    <s v="07-000303"/>
    <x v="0"/>
    <s v="94.01"/>
    <s v="Administracion"/>
    <s v="Telefono corporativo"/>
    <s v="20467534026"/>
    <s v="AMERICA MOVIL PERU S.A.C."/>
    <x v="0"/>
    <s v="FACTURA"/>
    <s v="F015"/>
    <n v="305476"/>
    <n v="29.97"/>
    <m/>
    <n v="5.3945999999999996"/>
    <m/>
    <n v="0"/>
    <n v="35.36"/>
    <m/>
    <m/>
    <m/>
    <m/>
    <m/>
    <s v="63.6.4.2"/>
    <s v="Telefono corporativo"/>
    <x v="0"/>
  </r>
  <r>
    <s v="06/07/2025"/>
    <x v="1"/>
    <s v="001"/>
    <s v="07-000304"/>
    <x v="0"/>
    <s v="94.01"/>
    <s v="Administracion"/>
    <s v="Lineas corporativas"/>
    <s v="20467534026"/>
    <s v="AMERICA MOVIL PERU S.A.C."/>
    <x v="3"/>
    <s v="RECIBO POR SERV. PUBLICOS"/>
    <s v="SB01"/>
    <n v="552867336"/>
    <n v="913.18"/>
    <m/>
    <n v="164.3724"/>
    <m/>
    <n v="0"/>
    <n v="1077.55"/>
    <m/>
    <m/>
    <m/>
    <m/>
    <m/>
    <s v="63.6.4.2"/>
    <s v="Lineas corporativas"/>
    <x v="0"/>
  </r>
  <r>
    <s v="30/06/2025"/>
    <x v="1"/>
    <s v="001"/>
    <s v="07-000305"/>
    <x v="0"/>
    <m/>
    <m/>
    <m/>
    <s v="20603974817"/>
    <s v="TRANSPORTES, GRUAS Y MONTACARGAS AREQUIPA EMPRESA INDIVIDUAL DE RESPONSABILIDAD LIMITADA"/>
    <x v="0"/>
    <s v="FACTURA"/>
    <s v="E001"/>
    <s v="4001"/>
    <n v="340"/>
    <m/>
    <n v="61.2"/>
    <m/>
    <n v="0"/>
    <n v="401.2"/>
    <m/>
    <m/>
    <m/>
    <m/>
    <m/>
    <m/>
    <m/>
    <x v="0"/>
  </r>
  <r>
    <s v="19/07/2025"/>
    <x v="1"/>
    <s v="001"/>
    <s v="07-000306"/>
    <x v="0"/>
    <s v="94.04"/>
    <s v="Gestion Humana"/>
    <s v="Examen medico _ Ingreso RQ.GH.217"/>
    <s v="20517035964"/>
    <s v="SIGSO CONSULTORES LABORALES SOCIEDAD ANONIMA CERRADA - SIGSO CONSULTORES LABORALES S.A.C."/>
    <x v="0"/>
    <s v="FACTURA"/>
    <s v="F100"/>
    <n v="11434"/>
    <n v="219"/>
    <m/>
    <n v="39.42"/>
    <m/>
    <n v="0"/>
    <n v="258.42"/>
    <m/>
    <m/>
    <m/>
    <m/>
    <m/>
    <s v="62.5.1.2.01"/>
    <s v="Examen medico _ Ingreso RQ.GH.217"/>
    <x v="25"/>
  </r>
  <r>
    <s v="18/07/2025"/>
    <x v="1"/>
    <s v="001"/>
    <s v="07-000307"/>
    <x v="0"/>
    <s v="94.04"/>
    <s v="Gestion Humana"/>
    <s v="Examen medico _ Ingreso RQ.GH.216"/>
    <s v="20517035964"/>
    <s v="SIGSO CONSULTORES LABORALES SOCIEDAD ANONIMA CERRADA - SIGSO CONSULTORES LABORALES S.A.C."/>
    <x v="0"/>
    <s v="FACTURA"/>
    <s v="F200"/>
    <n v="16209"/>
    <n v="438"/>
    <m/>
    <n v="78.84"/>
    <m/>
    <n v="0"/>
    <n v="516.84"/>
    <m/>
    <m/>
    <m/>
    <m/>
    <m/>
    <s v="62.5.1.2.01"/>
    <s v="Examen medico _ Ingreso RQ.GH.216"/>
    <x v="25"/>
  </r>
  <r>
    <s v="17/07/2025"/>
    <x v="1"/>
    <s v="001"/>
    <s v="07-000308"/>
    <x v="0"/>
    <s v="94.04"/>
    <s v="Gestion Humana"/>
    <s v="Examen medico _ Ingreso RQ.GH.215"/>
    <s v="20517035964"/>
    <s v="SIGSO CONSULTORES LABORALES SOCIEDAD ANONIMA CERRADA - SIGSO CONSULTORES LABORALES S.A.C."/>
    <x v="0"/>
    <s v="FACTURA"/>
    <s v="F200"/>
    <n v="16201"/>
    <n v="219"/>
    <m/>
    <n v="39.42"/>
    <m/>
    <n v="0"/>
    <n v="258.42"/>
    <m/>
    <m/>
    <m/>
    <m/>
    <m/>
    <s v="62.5.1.2.01"/>
    <s v="Examen medico _ Ingreso RQ.GH.215"/>
    <x v="25"/>
  </r>
  <r>
    <s v="24/07/2025"/>
    <x v="1"/>
    <s v="001"/>
    <s v="07-000309"/>
    <x v="0"/>
    <s v="94.08"/>
    <s v="Sig"/>
    <s v="Actualizacion de requisitos legales RQ.SIG.031"/>
    <s v="20498380931"/>
    <s v="E QUELLE E.I.R.L."/>
    <x v="0"/>
    <s v="FACTURA"/>
    <s v="E001"/>
    <n v="485"/>
    <n v="300"/>
    <m/>
    <n v="54"/>
    <m/>
    <n v="0"/>
    <n v="354"/>
    <m/>
    <m/>
    <m/>
    <m/>
    <m/>
    <s v="63.2.2.1.02"/>
    <s v="Actualizacion de requisitos legales RQ.SIG.031"/>
    <x v="0"/>
  </r>
  <r>
    <s v="21/07/2025"/>
    <x v="1"/>
    <s v="001"/>
    <s v="07-000310"/>
    <x v="2"/>
    <s v="95.01"/>
    <s v="Comercial"/>
    <s v="Constatacion notarial RQ.COM.357"/>
    <s v="10295259634"/>
    <s v="LINARES RIVEROS MIGUEL ANGEL"/>
    <x v="0"/>
    <s v="FACTURA"/>
    <s v="F001"/>
    <n v="16709"/>
    <n v="1186.44"/>
    <m/>
    <n v="213.5592"/>
    <m/>
    <n v="0"/>
    <n v="1400"/>
    <s v="277160617"/>
    <s v="1/08/2025"/>
    <m/>
    <m/>
    <m/>
    <s v="63.2.2.1.01"/>
    <s v="Constatacion notarial RQ.COM.357"/>
    <x v="0"/>
  </r>
  <r>
    <s v="11/07/2025"/>
    <x v="1"/>
    <s v="001"/>
    <s v="07-000311"/>
    <x v="1"/>
    <s v="91.06.01"/>
    <s v="Operaciones"/>
    <s v="Alquiler de montacarga RQ.OPE.1269"/>
    <s v="20609764261"/>
    <s v="MGM MONTACARGAS &amp; GRUAS S.A.C."/>
    <x v="0"/>
    <s v="FACTURA"/>
    <s v="E001"/>
    <n v="2370"/>
    <n v="60"/>
    <m/>
    <n v="10.799999999999999"/>
    <m/>
    <n v="0"/>
    <n v="70.8"/>
    <m/>
    <m/>
    <m/>
    <m/>
    <m/>
    <s v="63.5.4.1.01"/>
    <s v="Alquiler de montacarga RQ.OPE.1269"/>
    <x v="16"/>
  </r>
  <r>
    <s v="14/07/2025"/>
    <x v="1"/>
    <s v="001"/>
    <s v="07-000312"/>
    <x v="1"/>
    <s v="91.06.01"/>
    <s v="Operaciones"/>
    <s v="Alimentacion"/>
    <s v="20604947520"/>
    <s v="MINIMARKET LAS BERMUDAS E.I.R.L."/>
    <x v="0"/>
    <s v="FACTURA"/>
    <s v="F001"/>
    <n v="6823"/>
    <n v="20.76"/>
    <m/>
    <n v="3.7368000000000001"/>
    <m/>
    <n v="0"/>
    <n v="24.5"/>
    <m/>
    <m/>
    <m/>
    <m/>
    <m/>
    <s v="63.1.4.1.01"/>
    <s v="Alimentacion"/>
    <x v="9"/>
  </r>
  <r>
    <s v="29/06/2025"/>
    <x v="1"/>
    <s v="001"/>
    <s v="07-000313"/>
    <x v="0"/>
    <m/>
    <m/>
    <m/>
    <s v="20610760008"/>
    <s v="VEMINS SERVICIOS GASTRONOMICOS E.I.R.L."/>
    <x v="0"/>
    <s v="FACTURA"/>
    <m/>
    <m/>
    <m/>
    <n v="45.45"/>
    <n v="0"/>
    <n v="4.55"/>
    <n v="0"/>
    <n v="50"/>
    <m/>
    <m/>
    <m/>
    <m/>
    <m/>
    <m/>
    <m/>
    <x v="0"/>
  </r>
  <r>
    <s v="15/07/2025"/>
    <x v="1"/>
    <s v="001"/>
    <s v="07-000314"/>
    <x v="1"/>
    <s v="91.06.01"/>
    <s v="Operaciones"/>
    <s v="Alquiler de montacarga RQ.OPE.1299"/>
    <s v="20603974817"/>
    <s v="TRANSPORTES, GRUAS Y MONTACARGAS AREQUIPA EMPRESA INDIVIDUAL DE RESPONSABILIDAD LIMITADA"/>
    <x v="0"/>
    <s v="FACTURA"/>
    <s v="E001"/>
    <n v="4045"/>
    <n v="170"/>
    <m/>
    <n v="30.599999999999998"/>
    <m/>
    <n v="0"/>
    <n v="200.6"/>
    <m/>
    <m/>
    <m/>
    <m/>
    <m/>
    <s v="63.5.4.1.01"/>
    <s v="Alquiler de montacarga RQ.OPE.1299"/>
    <x v="16"/>
  </r>
  <r>
    <s v="15/07/2025"/>
    <x v="1"/>
    <s v="001"/>
    <s v="07-000315"/>
    <x v="1"/>
    <s v="91.06.01"/>
    <s v="Operaciones"/>
    <s v="Alquiler de montacarga RQ.OPE.1298"/>
    <s v="20603974817"/>
    <s v="TRANSPORTES, GRUAS Y MONTACARGAS AREQUIPA EMPRESA INDIVIDUAL DE RESPONSABILIDAD LIMITADA"/>
    <x v="0"/>
    <s v="FACTURA"/>
    <s v="E001"/>
    <n v="4046"/>
    <n v="212.5"/>
    <m/>
    <n v="38.25"/>
    <m/>
    <n v="0"/>
    <n v="250.75"/>
    <m/>
    <m/>
    <m/>
    <m/>
    <m/>
    <s v="63.5.4.1.01"/>
    <s v="Alquiler de montacarga RQ.OPE.1298"/>
    <x v="16"/>
  </r>
  <r>
    <s v="14/07/2025"/>
    <x v="1"/>
    <s v="001"/>
    <s v="07-000316"/>
    <x v="2"/>
    <s v="95.01"/>
    <s v="Comercial"/>
    <s v="Alquiler de montacarga RQ.OPE.1295 OS 005_668"/>
    <s v="20603974817"/>
    <s v="TRANSPORTES, GRUAS Y MONTACARGAS AREQUIPA EMPRESA INDIVIDUAL DE RESPONSABILIDAD LIMITADA"/>
    <x v="0"/>
    <s v="FACTURA"/>
    <s v="E001"/>
    <n v="4039"/>
    <n v="382.5"/>
    <m/>
    <n v="68.849999999999994"/>
    <m/>
    <n v="0"/>
    <n v="451.35"/>
    <m/>
    <m/>
    <m/>
    <m/>
    <m/>
    <s v="63.5.4.1.03"/>
    <s v="Alquiler de montacarga RQ.OPE.1295 OS 005_668"/>
    <x v="17"/>
  </r>
  <r>
    <s v="14/07/2025"/>
    <x v="1"/>
    <s v="001"/>
    <s v="07-000317"/>
    <x v="2"/>
    <s v="95.01"/>
    <s v="Comercial"/>
    <s v="Alquiler de montacarga RQ.OPE.1290"/>
    <s v="20603974817"/>
    <s v="TRANSPORTES, GRUAS Y MONTACARGAS AREQUIPA EMPRESA INDIVIDUAL DE RESPONSABILIDAD LIMITADA"/>
    <x v="0"/>
    <s v="FACTURA"/>
    <s v="E001"/>
    <n v="4036"/>
    <n v="255"/>
    <m/>
    <n v="45.9"/>
    <m/>
    <n v="0"/>
    <n v="300.89999999999998"/>
    <m/>
    <m/>
    <m/>
    <m/>
    <m/>
    <s v="63.5.4.1.03"/>
    <s v="Alquiler de montacarga RQ.OPE.1290"/>
    <x v="17"/>
  </r>
  <r>
    <s v="16/07/2025"/>
    <x v="1"/>
    <s v="001"/>
    <s v="07-000318"/>
    <x v="1"/>
    <s v="91.06.01"/>
    <s v="Operaciones"/>
    <s v="Alquiler de montacarga RQ.OPE.1301 OS 005_669"/>
    <s v="20603974817"/>
    <s v="TRANSPORTES, GRUAS Y MONTACARGAS AREQUIPA EMPRESA INDIVIDUAL DE RESPONSABILIDAD LIMITADA"/>
    <x v="0"/>
    <s v="FACTURA"/>
    <s v="E001"/>
    <n v="4047"/>
    <n v="510"/>
    <m/>
    <n v="91.8"/>
    <m/>
    <n v="0"/>
    <n v="601.79999999999995"/>
    <m/>
    <m/>
    <m/>
    <m/>
    <m/>
    <s v="63.5.4.1.01"/>
    <s v="Alquiler de montacarga RQ.OPE.1301 OS 005_669"/>
    <x v="16"/>
  </r>
  <r>
    <s v="14/07/2025"/>
    <x v="1"/>
    <s v="001"/>
    <s v="07-000319"/>
    <x v="0"/>
    <s v="94.03"/>
    <s v="Logistica"/>
    <s v="Alimentacion canino"/>
    <s v="20492092313"/>
    <s v="MAKRO SUPERMAYORISTA S.A."/>
    <x v="0"/>
    <s v="FACTURA"/>
    <s v="FA05"/>
    <n v="1759794"/>
    <n v="72.459999999999994"/>
    <m/>
    <n v="13.042799999999998"/>
    <m/>
    <n v="0"/>
    <n v="85.5"/>
    <m/>
    <m/>
    <m/>
    <m/>
    <m/>
    <s v="65.9.9.9.01"/>
    <s v="Alimentacion canino"/>
    <x v="28"/>
  </r>
  <r>
    <s v="16/07/2025"/>
    <x v="1"/>
    <s v="001"/>
    <s v="07-000320"/>
    <x v="0"/>
    <s v="94.03"/>
    <s v="Logistica"/>
    <s v="Broca,arandela,tarugo,broca"/>
    <s v="20611525568"/>
    <s v="DISTRIBUCIONES Y MULTISERVICIOS COROPUNA E.I.R.L."/>
    <x v="0"/>
    <s v="FACTURA"/>
    <s v="E001"/>
    <n v="9467"/>
    <n v="38.56"/>
    <m/>
    <n v="6.9408000000000003"/>
    <m/>
    <n v="0"/>
    <n v="45.5"/>
    <m/>
    <m/>
    <m/>
    <m/>
    <m/>
    <s v="65.9.9.5.01"/>
    <s v="Broca,arandela,tarugo,broca"/>
    <x v="0"/>
  </r>
  <r>
    <s v="21/07/2025"/>
    <x v="1"/>
    <s v="001"/>
    <s v="07-000321"/>
    <x v="1"/>
    <s v="91.06.02.03"/>
    <s v="BKL_739"/>
    <s v="Plato opresor, insumos _ Mantenimiento Vehicular (Preventivo) RQ.OPE.1184 OS 006_161"/>
    <s v="20609908492"/>
    <s v="CLUB PREMIUM AUTOMOTRIZ S.R.L."/>
    <x v="0"/>
    <s v="FACTURA"/>
    <s v="E001"/>
    <n v="327"/>
    <n v="1567.8"/>
    <m/>
    <n v="282.20400000000001"/>
    <m/>
    <n v="0"/>
    <n v="1850"/>
    <m/>
    <m/>
    <m/>
    <m/>
    <m/>
    <s v="63.4.3.2.02"/>
    <s v="Plato opresor, insumos _ Mantenimiento Vehicular (Preventivo) RQ.OPE.1184 OS 006_161"/>
    <x v="3"/>
  </r>
  <r>
    <s v="21/07/2025"/>
    <x v="1"/>
    <s v="001"/>
    <s v="07-000322"/>
    <x v="1"/>
    <s v="91.06.02.03"/>
    <s v="BKL_739"/>
    <s v="Cambio de kit de embrague Mantenimiento Vehicular (Preventivo) RQ.OPE.1184 OS 006 _ 161"/>
    <s v="20609908492"/>
    <s v="CLUB PREMIUM AUTOMOTRIZ S.R.L."/>
    <x v="0"/>
    <s v="FACTURA"/>
    <s v="E001"/>
    <n v="328"/>
    <n v="381.36"/>
    <m/>
    <n v="68.644800000000004"/>
    <m/>
    <n v="0"/>
    <n v="450"/>
    <m/>
    <m/>
    <m/>
    <m/>
    <m/>
    <s v="63.4.3.2.02"/>
    <s v="Cambio de kit de embrague Mantenimiento Vehicular (Preventivo) RQ.OPE.1184 OS 006 _ 161"/>
    <x v="3"/>
  </r>
  <r>
    <s v="10/07/2025"/>
    <x v="1"/>
    <s v="001"/>
    <s v="07-000323"/>
    <x v="0"/>
    <s v="94.03"/>
    <s v="Logistica"/>
    <s v="Envío de documentación / paquetería"/>
    <s v="20515659324"/>
    <s v="TURISMO INTERNACIONAL PALOMINO SOCIEDAD ANONIMA CERRADA - TURISMO INTERNACIONAL PALOMINO S.A.C."/>
    <x v="0"/>
    <s v="FACTURA"/>
    <s v="F399"/>
    <n v="415"/>
    <n v="38.14"/>
    <m/>
    <n v="6.8651999999999997"/>
    <m/>
    <n v="0"/>
    <n v="45"/>
    <m/>
    <m/>
    <m/>
    <m/>
    <m/>
    <s v="63.1.2.1.01"/>
    <s v="Envío de documentación / paquetería"/>
    <x v="2"/>
  </r>
  <r>
    <s v="21/07/2025"/>
    <x v="1"/>
    <s v="001"/>
    <s v="07-000324"/>
    <x v="1"/>
    <s v="91.06.02.06"/>
    <s v="VBW_889"/>
    <s v="GPS RQ.OPE.1263 OS 006_162"/>
    <s v="20604304831"/>
    <s v="360 GPS S.A.C."/>
    <x v="0"/>
    <s v="FACTURA"/>
    <s v="E001"/>
    <n v="1439"/>
    <n v="177.95"/>
    <m/>
    <n v="32.030999999999999"/>
    <m/>
    <n v="0"/>
    <n v="209.98"/>
    <m/>
    <m/>
    <m/>
    <m/>
    <m/>
    <s v="63.9.9.1.03.01"/>
    <s v="GPS RQ.OPE.1263 OS 006_162"/>
    <x v="29"/>
  </r>
  <r>
    <s v="21/07/2025"/>
    <x v="1"/>
    <s v="001"/>
    <s v="07-000325"/>
    <x v="1"/>
    <s v="91.06.02.06"/>
    <s v="VBW_889"/>
    <s v="Servicio de plataforma 360 corporativo RQ.OPE.1263 OS 006_162"/>
    <s v="20604304831"/>
    <s v="360 GPS S.A.C."/>
    <x v="0"/>
    <s v="FACTURA"/>
    <s v="E001"/>
    <n v="1440"/>
    <n v="422.56"/>
    <m/>
    <n v="76.0608"/>
    <m/>
    <n v="0"/>
    <n v="498.62"/>
    <m/>
    <m/>
    <m/>
    <m/>
    <m/>
    <s v="63.9.9.1.03.01"/>
    <s v="Servicio de plataforma 360 corporativo RQ.OPE.1263 OS 006_162"/>
    <x v="29"/>
  </r>
  <r>
    <s v="17/07/2025"/>
    <x v="1"/>
    <s v="001"/>
    <s v="07-000326"/>
    <x v="1"/>
    <s v="91.06.02.06"/>
    <s v="VBW_889"/>
    <s v="Peaje 24979"/>
    <s v="20517252558"/>
    <s v="CONCESIONARIA VIAL DEL SUR S.A.- COVISUR S.A."/>
    <x v="0"/>
    <s v="FACTURA"/>
    <s v="F211"/>
    <n v="2400996"/>
    <n v="4.24"/>
    <m/>
    <n v="0.76319999999999999"/>
    <m/>
    <n v="0"/>
    <n v="5"/>
    <m/>
    <m/>
    <m/>
    <m/>
    <s v="24979"/>
    <s v="63.1.1.3.02"/>
    <s v="Peaje 24979"/>
    <x v="8"/>
  </r>
  <r>
    <s v="17/07/2025"/>
    <x v="1"/>
    <s v="001"/>
    <s v="07-000327"/>
    <x v="1"/>
    <s v="91.06.02.06"/>
    <s v="VBW_889"/>
    <s v="Peaje 24980"/>
    <s v="20517252558"/>
    <s v="CONCESIONARIA VIAL DEL SUR S.A.- COVISUR S.A."/>
    <x v="0"/>
    <s v="FACTURA"/>
    <s v="F213"/>
    <n v="1806446"/>
    <n v="4.24"/>
    <m/>
    <n v="0.76319999999999999"/>
    <m/>
    <n v="0"/>
    <n v="5"/>
    <m/>
    <m/>
    <m/>
    <m/>
    <s v="24980"/>
    <s v="63.1.1.3.02"/>
    <s v="Peaje 24980"/>
    <x v="8"/>
  </r>
  <r>
    <s v="01/07/2025"/>
    <x v="1"/>
    <s v="001"/>
    <s v="07-000328"/>
    <x v="1"/>
    <s v="91.06.02.07"/>
    <s v="VDJ_872"/>
    <s v="Peaje 24976"/>
    <s v="20517252558"/>
    <s v="CONCESIONARIA VIAL DEL SUR S.A.- COVISUR S.A."/>
    <x v="0"/>
    <s v="FACTURA"/>
    <s v="F114"/>
    <n v="1083556"/>
    <n v="6.78"/>
    <m/>
    <n v="1.2203999999999999"/>
    <m/>
    <n v="0"/>
    <n v="8"/>
    <m/>
    <m/>
    <m/>
    <m/>
    <s v="24976"/>
    <s v="63.1.1.3.02"/>
    <s v="Peaje 24976"/>
    <x v="8"/>
  </r>
  <r>
    <s v="01/07/2025"/>
    <x v="1"/>
    <s v="001"/>
    <s v="07-000329"/>
    <x v="1"/>
    <s v="91.06.02.07"/>
    <s v="VDJ_872"/>
    <s v="Peaje 24977"/>
    <s v="20517252558"/>
    <s v="CONCESIONARIA VIAL DEL SUR S.A.- COVISUR S.A."/>
    <x v="0"/>
    <s v="FACTURA"/>
    <s v="F213"/>
    <n v="1794127"/>
    <n v="6.78"/>
    <m/>
    <n v="1.2203999999999999"/>
    <m/>
    <n v="0"/>
    <n v="8"/>
    <m/>
    <m/>
    <m/>
    <m/>
    <s v="24977"/>
    <s v="63.1.1.3.02"/>
    <s v="Peaje 24977"/>
    <x v="8"/>
  </r>
  <r>
    <s v="01/07/2025"/>
    <x v="1"/>
    <s v="001"/>
    <s v="07-000330"/>
    <x v="1"/>
    <s v="91.06.02.07"/>
    <s v="VDJ_872"/>
    <s v="Peaje 24974"/>
    <s v="20517252558"/>
    <s v="CONCESIONARIA VIAL DEL SUR S.A.- COVISUR S.A."/>
    <x v="0"/>
    <s v="FACTURA"/>
    <s v="F212"/>
    <n v="1773706"/>
    <n v="6.78"/>
    <m/>
    <n v="1.2203999999999999"/>
    <m/>
    <n v="0"/>
    <n v="8"/>
    <m/>
    <m/>
    <m/>
    <m/>
    <s v="24974"/>
    <s v="63.1.1.3.02"/>
    <s v="Peaje 24974"/>
    <x v="8"/>
  </r>
  <r>
    <s v="01/07/2025"/>
    <x v="1"/>
    <s v="001"/>
    <s v="07-000331"/>
    <x v="1"/>
    <s v="91.06.02.07"/>
    <s v="VDJ_872"/>
    <s v="Peaje 24975"/>
    <s v="20517252558"/>
    <s v="CONCESIONARIA VIAL DEL SUR S.A.- COVISUR S.A."/>
    <x v="0"/>
    <s v="FACTURA"/>
    <s v="F111"/>
    <n v="991569"/>
    <n v="6.78"/>
    <m/>
    <n v="1.2203999999999999"/>
    <m/>
    <n v="0"/>
    <n v="8"/>
    <m/>
    <m/>
    <m/>
    <m/>
    <s v="24975"/>
    <s v="63.1.1.3.02"/>
    <s v="Peaje 24975"/>
    <x v="8"/>
  </r>
  <r>
    <s v="16/07/2025"/>
    <x v="1"/>
    <s v="001"/>
    <s v="07-000332"/>
    <x v="1"/>
    <s v="91.06.02.03"/>
    <s v="BKL_739"/>
    <s v="Peaje 24978"/>
    <s v="20517252558"/>
    <s v="CONCESIONARIA VIAL DEL SUR S.A.- COVISUR S.A."/>
    <x v="0"/>
    <s v="FACTURA"/>
    <s v="F212"/>
    <n v="1785373"/>
    <n v="6.78"/>
    <m/>
    <n v="1.2203999999999999"/>
    <m/>
    <n v="0"/>
    <n v="8"/>
    <m/>
    <m/>
    <m/>
    <m/>
    <s v="24978"/>
    <s v="63.1.1.3.02"/>
    <s v="Peaje 24978"/>
    <x v="8"/>
  </r>
  <r>
    <s v="10/07/2025"/>
    <x v="1"/>
    <s v="001"/>
    <s v="07-000333"/>
    <x v="1"/>
    <s v="91.06.02.11"/>
    <s v="Tercerizados"/>
    <s v="Balanza 24981"/>
    <s v="20124952850"/>
    <s v="ALIMENTOS Y SERVICIOS AGROPECUARIOS SRL."/>
    <x v="0"/>
    <s v="FACTURA"/>
    <s v="F002"/>
    <n v="134004"/>
    <n v="8.4700000000000006"/>
    <m/>
    <n v="1.5246"/>
    <m/>
    <n v="0"/>
    <n v="10"/>
    <m/>
    <m/>
    <m/>
    <m/>
    <s v="24981"/>
    <s v="63.1.1.7.01"/>
    <s v="Balanza 24981"/>
    <x v="11"/>
  </r>
  <r>
    <s v="17/07/2025"/>
    <x v="1"/>
    <s v="001"/>
    <s v="07-000334"/>
    <x v="1"/>
    <s v="91.06.02.04"/>
    <s v="VBB_840"/>
    <s v="Peaje 24927"/>
    <s v="20550372640"/>
    <s v="RUTAS DE LIMA S.A.C."/>
    <x v="0"/>
    <s v="FACTURA"/>
    <s v="F206"/>
    <n v="654842"/>
    <n v="12.71"/>
    <m/>
    <n v="2.2878000000000003"/>
    <m/>
    <n v="0"/>
    <n v="15"/>
    <m/>
    <m/>
    <m/>
    <m/>
    <s v="24927"/>
    <s v="63.1.1.3.02"/>
    <s v="Peaje 24927"/>
    <x v="8"/>
  </r>
  <r>
    <s v="17/07/2025"/>
    <x v="1"/>
    <s v="001"/>
    <s v="07-000335"/>
    <x v="1"/>
    <s v="91.06.02.04"/>
    <s v="VBB_840"/>
    <s v="Peaje 24928"/>
    <s v="20550372640"/>
    <s v="RUTAS DE LIMA S.A.C."/>
    <x v="0"/>
    <s v="FACTURA"/>
    <s v="F604"/>
    <n v="2312152"/>
    <n v="12.71"/>
    <m/>
    <n v="2.2878000000000003"/>
    <m/>
    <n v="0"/>
    <n v="15"/>
    <m/>
    <m/>
    <m/>
    <m/>
    <s v="24928"/>
    <s v="63.1.1.3.02"/>
    <s v="Peaje 24928"/>
    <x v="8"/>
  </r>
  <r>
    <s v="14/07/2025"/>
    <x v="1"/>
    <s v="001"/>
    <s v="07-000336"/>
    <x v="1"/>
    <s v="91.06.02.04"/>
    <s v="VBB_840"/>
    <s v="Peaje 24925"/>
    <s v="20550372640"/>
    <s v="RUTAS DE LIMA S.A.C."/>
    <x v="0"/>
    <s v="FACTURA"/>
    <s v="F207"/>
    <n v="1177382"/>
    <n v="12.71"/>
    <m/>
    <n v="2.2878000000000003"/>
    <m/>
    <n v="0"/>
    <n v="15"/>
    <m/>
    <m/>
    <m/>
    <m/>
    <s v="24925"/>
    <s v="63.1.1.3.02"/>
    <s v="Peaje 24925"/>
    <x v="8"/>
  </r>
  <r>
    <s v="14/07/2025"/>
    <x v="1"/>
    <s v="001"/>
    <s v="07-000337"/>
    <x v="1"/>
    <s v="91.06.02.04"/>
    <s v="VBB_840"/>
    <s v="Peaje 24926"/>
    <s v="20550372640"/>
    <s v="RUTAS DE LIMA S.A.C."/>
    <x v="0"/>
    <s v="FACTURA"/>
    <s v="F602"/>
    <n v="3763706"/>
    <n v="12.71"/>
    <m/>
    <n v="2.2878000000000003"/>
    <m/>
    <n v="0"/>
    <n v="15"/>
    <m/>
    <m/>
    <m/>
    <m/>
    <s v="24926"/>
    <s v="63.1.1.3.02"/>
    <s v="Peaje 24926"/>
    <x v="8"/>
  </r>
  <r>
    <s v="10/07/2025"/>
    <x v="1"/>
    <s v="001"/>
    <s v="07-000338"/>
    <x v="1"/>
    <s v="91.06.02.03"/>
    <s v="BKL_739"/>
    <s v="Peaje 24846"/>
    <s v="20517252558"/>
    <s v="CONCESIONARIA VIAL DEL SUR S.A.- COVISUR S.A."/>
    <x v="0"/>
    <s v="FACTURA"/>
    <s v="F114"/>
    <n v="1087851"/>
    <n v="6.78"/>
    <m/>
    <n v="1.2203999999999999"/>
    <m/>
    <n v="0"/>
    <n v="8"/>
    <m/>
    <m/>
    <m/>
    <m/>
    <s v="24846"/>
    <s v="63.1.1.3.02"/>
    <s v="Peaje 24846"/>
    <x v="8"/>
  </r>
  <r>
    <s v="17/07/2025"/>
    <x v="1"/>
    <s v="001"/>
    <s v="07-000339"/>
    <x v="1"/>
    <s v="91.06.02.03"/>
    <s v="BKL_739"/>
    <s v="Peaje 24913"/>
    <s v="20517252558"/>
    <s v="CONCESIONARIA VIAL DEL SUR S.A.- COVISUR S.A."/>
    <x v="0"/>
    <s v="FACTURA"/>
    <s v="F211"/>
    <n v="2401478"/>
    <n v="6.78"/>
    <m/>
    <n v="1.2203999999999999"/>
    <m/>
    <n v="0"/>
    <n v="8"/>
    <m/>
    <m/>
    <m/>
    <m/>
    <s v="24913"/>
    <s v="63.1.1.3.02"/>
    <s v="Peaje 24913"/>
    <x v="8"/>
  </r>
  <r>
    <s v="10/07/2025"/>
    <x v="1"/>
    <s v="001"/>
    <s v="07-000340"/>
    <x v="1"/>
    <s v="91.06.02.03"/>
    <s v="BKL_739"/>
    <s v="Peaje 24842"/>
    <s v="20517252558"/>
    <s v="CONCESIONARIA VIAL DEL SUR S.A.- COVISUR S.A."/>
    <x v="0"/>
    <s v="FACTURA"/>
    <s v="F211"/>
    <n v="2393776"/>
    <n v="6.78"/>
    <m/>
    <n v="1.2203999999999999"/>
    <m/>
    <n v="0"/>
    <n v="8"/>
    <m/>
    <m/>
    <m/>
    <m/>
    <s v="24842"/>
    <s v="63.1.1.3.02"/>
    <s v="Peaje 24842"/>
    <x v="8"/>
  </r>
  <r>
    <s v="10/07/2025"/>
    <x v="1"/>
    <s v="001"/>
    <s v="07-000341"/>
    <x v="1"/>
    <s v="91.06.02.03"/>
    <s v="BKL_739"/>
    <s v="Peaje 24844"/>
    <s v="20517252558"/>
    <s v="CONCESIONARIA VIAL DEL SUR S.A.- COVISUR S.A."/>
    <x v="0"/>
    <s v="FACTURA"/>
    <s v="F112"/>
    <n v="487477"/>
    <n v="6.78"/>
    <m/>
    <n v="1.2203999999999999"/>
    <m/>
    <n v="0"/>
    <n v="8"/>
    <m/>
    <m/>
    <m/>
    <m/>
    <s v="24844"/>
    <s v="63.1.1.3.02"/>
    <s v="Peaje 24844"/>
    <x v="8"/>
  </r>
  <r>
    <s v="22/07/2025"/>
    <x v="1"/>
    <s v="001"/>
    <s v="07-000342"/>
    <x v="1"/>
    <s v="91.06.02.03"/>
    <s v="BKL_739"/>
    <s v="Balanza 25002"/>
    <s v="20259858934"/>
    <s v="COMERCIALIZACION Y SERVICIOS EL EDEN S.A.C."/>
    <x v="0"/>
    <s v="FACTURA"/>
    <s v="FE02"/>
    <n v="17076"/>
    <n v="8.4700000000000006"/>
    <m/>
    <n v="1.5246"/>
    <m/>
    <n v="0"/>
    <n v="10"/>
    <m/>
    <m/>
    <m/>
    <m/>
    <s v="25002"/>
    <s v="63.1.1.7.01"/>
    <s v="Balanza 25002"/>
    <x v="11"/>
  </r>
  <r>
    <s v="24/07/2025"/>
    <x v="1"/>
    <s v="001"/>
    <s v="07-000343"/>
    <x v="1"/>
    <s v="91.06.02.03"/>
    <s v="BKL_739"/>
    <s v="Balanza 25009"/>
    <s v="20259858934"/>
    <s v="COMERCIALIZACION Y SERVICIOS EL EDEN S.A.C."/>
    <x v="0"/>
    <s v="FACTURA"/>
    <s v="FE02"/>
    <n v="17090"/>
    <n v="8.4700000000000006"/>
    <m/>
    <n v="1.5246"/>
    <m/>
    <n v="0"/>
    <n v="10"/>
    <m/>
    <m/>
    <m/>
    <m/>
    <s v="25009"/>
    <s v="63.1.1.7.01"/>
    <s v="Balanza 25009"/>
    <x v="11"/>
  </r>
  <r>
    <s v="21/07/2025"/>
    <x v="1"/>
    <s v="001"/>
    <s v="07-000344"/>
    <x v="1"/>
    <s v="91.06.02.07"/>
    <s v="VDJ_872"/>
    <s v="Balanza 24962"/>
    <s v="20259858934"/>
    <s v="COMERCIALIZACION Y SERVICIOS EL EDEN S.A.C."/>
    <x v="0"/>
    <s v="FACTURA"/>
    <s v="FE02"/>
    <n v="17050"/>
    <n v="16.95"/>
    <m/>
    <n v="3.0509999999999997"/>
    <m/>
    <n v="0"/>
    <n v="20"/>
    <m/>
    <m/>
    <m/>
    <m/>
    <s v="24962"/>
    <s v="63.1.1.7.01"/>
    <s v="Balanza 24962"/>
    <x v="11"/>
  </r>
  <r>
    <s v="10/07/2025"/>
    <x v="1"/>
    <s v="001"/>
    <s v="07-000345"/>
    <x v="1"/>
    <s v="91.06.02.03"/>
    <s v="BKL_739"/>
    <s v="Balanza 24850"/>
    <s v="20454058187"/>
    <s v="ZONA ESPECIAL DE DESARROLLO ZED MATARANI"/>
    <x v="0"/>
    <s v="FACTURA"/>
    <s v="F001"/>
    <n v="17924"/>
    <m/>
    <m/>
    <m/>
    <m/>
    <n v="22"/>
    <n v="22"/>
    <m/>
    <m/>
    <m/>
    <m/>
    <s v="24850"/>
    <s v="63.1.1.7.01"/>
    <s v="Balanza 24850"/>
    <x v="11"/>
  </r>
  <r>
    <s v="10/07/2025"/>
    <x v="1"/>
    <s v="001"/>
    <s v="07-000346"/>
    <x v="1"/>
    <s v="91.06.02.11"/>
    <s v="Tercerizados"/>
    <s v="Balanza 24849"/>
    <s v="20454058187"/>
    <s v="ZONA ESPECIAL DE DESARROLLO ZED MATARANI"/>
    <x v="0"/>
    <s v="FACTURA"/>
    <s v="F001"/>
    <n v="17923"/>
    <m/>
    <m/>
    <m/>
    <m/>
    <n v="11"/>
    <n v="11"/>
    <m/>
    <m/>
    <m/>
    <m/>
    <s v="24849"/>
    <s v="63.1.1.7.01"/>
    <s v="Balanza 24849"/>
    <x v="11"/>
  </r>
  <r>
    <s v="22/07/2025"/>
    <x v="1"/>
    <s v="001"/>
    <s v="07-000347"/>
    <x v="1"/>
    <s v="91.06.02.06"/>
    <s v="VBW_889"/>
    <s v="Balanza"/>
    <s v="20259858934"/>
    <s v="COMERCIALIZACION Y SERVICIOS EL EDEN S.A.C."/>
    <x v="0"/>
    <s v="FACTURA"/>
    <s v="FE02"/>
    <n v="17067"/>
    <n v="16.95"/>
    <m/>
    <n v="3.0509999999999997"/>
    <m/>
    <n v="0"/>
    <n v="20"/>
    <m/>
    <m/>
    <m/>
    <m/>
    <m/>
    <s v="63.1.1.7.01"/>
    <s v="Balanza"/>
    <x v="11"/>
  </r>
  <r>
    <s v="22/07/2025"/>
    <x v="1"/>
    <s v="001"/>
    <s v="07-000348"/>
    <x v="1"/>
    <s v="91.06.02.06"/>
    <s v="VBW_889"/>
    <s v="Balanza"/>
    <s v="20259858934"/>
    <s v="COMERCIALIZACION Y SERVICIOS EL EDEN S.A.C."/>
    <x v="0"/>
    <s v="FACTURA"/>
    <s v="FE02"/>
    <n v="17066"/>
    <n v="16.95"/>
    <m/>
    <n v="3.0509999999999997"/>
    <m/>
    <n v="0"/>
    <n v="20"/>
    <m/>
    <m/>
    <m/>
    <m/>
    <m/>
    <s v="63.1.1.7.01"/>
    <s v="Balanza"/>
    <x v="11"/>
  </r>
  <r>
    <s v="11/07/2025"/>
    <x v="1"/>
    <s v="001"/>
    <s v="07-000349"/>
    <x v="1"/>
    <s v="91.06.02.04"/>
    <s v="VBB_840"/>
    <s v="Mantenimiento Correctivo: Soldadura de la caja de herramientas"/>
    <s v="10704693015"/>
    <s v="RODRIGUEZ PUTAPAÑA JUAN LUIS"/>
    <x v="1"/>
    <s v="BOLETA DE VENTA"/>
    <s v="001"/>
    <n v="85"/>
    <m/>
    <m/>
    <m/>
    <m/>
    <n v="70"/>
    <n v="70"/>
    <m/>
    <m/>
    <m/>
    <m/>
    <m/>
    <s v="63.4.3.2.01"/>
    <s v="Mantenimiento Correctivo: Soldadura de la caja de herramientas"/>
    <x v="5"/>
  </r>
  <r>
    <s v="22/07/2025"/>
    <x v="1"/>
    <s v="001"/>
    <s v="07-000350"/>
    <x v="1"/>
    <s v="91.06.02.07"/>
    <s v="VDJ_872"/>
    <s v="Balanza 24991"/>
    <s v="20259858934"/>
    <s v="COMERCIALIZACION Y SERVICIOS EL EDEN S.A.C."/>
    <x v="0"/>
    <s v="FACTURA"/>
    <s v="FE02"/>
    <n v="17072"/>
    <n v="16.95"/>
    <m/>
    <n v="3.0509999999999997"/>
    <m/>
    <n v="0"/>
    <n v="20"/>
    <m/>
    <m/>
    <m/>
    <m/>
    <s v="24991"/>
    <s v="63.1.1.7.02"/>
    <s v="Balanza 24991"/>
    <x v="1"/>
  </r>
  <r>
    <s v="25/07/2025"/>
    <x v="1"/>
    <s v="001"/>
    <s v="07-000351"/>
    <x v="1"/>
    <s v="91.06.02.07"/>
    <s v="VDJ_872"/>
    <s v="Peaje 25017"/>
    <s v="20517252558"/>
    <s v="CONCESIONARIA VIAL DEL SUR S.A.- COVISUR S.A."/>
    <x v="0"/>
    <s v="FACTURA"/>
    <s v="F212"/>
    <n v="1794238"/>
    <n v="6.78"/>
    <m/>
    <n v="1.2203999999999999"/>
    <m/>
    <n v="0"/>
    <n v="8"/>
    <m/>
    <m/>
    <m/>
    <m/>
    <s v="25017"/>
    <s v="63.1.1.3.03"/>
    <s v="Peaje 25017"/>
    <x v="7"/>
  </r>
  <r>
    <s v="21/07/2025"/>
    <x v="1"/>
    <s v="001"/>
    <s v="07-000352"/>
    <x v="1"/>
    <s v="91.06.02.07"/>
    <s v="VDJ_872"/>
    <s v="Balanza 24959"/>
    <s v="20124952850"/>
    <s v="ALIMENTOS Y SERVICIOS AGROPECUARIOS SRL."/>
    <x v="0"/>
    <s v="FACTURA"/>
    <s v="F002"/>
    <n v="134450"/>
    <n v="8.4700000000000006"/>
    <m/>
    <n v="1.5246"/>
    <m/>
    <n v="0"/>
    <n v="10"/>
    <m/>
    <m/>
    <m/>
    <m/>
    <s v="24959"/>
    <s v="63.1.1.7.01"/>
    <s v="Balanza 24959"/>
    <x v="11"/>
  </r>
  <r>
    <s v="25/07/2025"/>
    <x v="1"/>
    <s v="001"/>
    <s v="07-000353"/>
    <x v="1"/>
    <s v="91.06.02.07"/>
    <s v="VDJ_872"/>
    <s v="Peaje 25016"/>
    <s v="20517252558"/>
    <s v="CONCESIONARIA VIAL DEL SUR S.A.- COVISUR S.A."/>
    <x v="0"/>
    <s v="FACTURA"/>
    <s v="F213"/>
    <n v="1814274"/>
    <n v="6.78"/>
    <m/>
    <n v="1.2203999999999999"/>
    <m/>
    <n v="0"/>
    <n v="8"/>
    <m/>
    <m/>
    <m/>
    <m/>
    <s v="25016"/>
    <s v="63.1.1.3.03"/>
    <s v="Peaje 25016"/>
    <x v="7"/>
  </r>
  <r>
    <s v="24/07/2025"/>
    <x v="1"/>
    <s v="001"/>
    <s v="07-000354"/>
    <x v="1"/>
    <s v="91.06.02.07"/>
    <s v="VDJ_872"/>
    <s v="Peaje 25015"/>
    <s v="20517252558"/>
    <s v="CONCESIONARIA VIAL DEL SUR S.A.- COVISUR S.A."/>
    <x v="0"/>
    <s v="FACTURA"/>
    <s v="F212"/>
    <n v="1793243"/>
    <n v="6.78"/>
    <m/>
    <n v="1.2203999999999999"/>
    <m/>
    <n v="0"/>
    <n v="8"/>
    <m/>
    <m/>
    <m/>
    <m/>
    <s v="25015"/>
    <s v="63.1.1.3.03"/>
    <s v="Peaje 25015"/>
    <x v="7"/>
  </r>
  <r>
    <s v="22/07/2025"/>
    <x v="1"/>
    <s v="001"/>
    <s v="07-000355"/>
    <x v="1"/>
    <s v="91.06.02.07"/>
    <s v="VDJ_872"/>
    <s v="Peaje 24998"/>
    <s v="20517252558"/>
    <s v="CONCESIONARIA VIAL DEL SUR S.A.- COVISUR S.A."/>
    <x v="0"/>
    <s v="FACTURA"/>
    <s v="F213"/>
    <n v="1811270"/>
    <n v="6.78"/>
    <m/>
    <n v="1.2203999999999999"/>
    <m/>
    <n v="0"/>
    <n v="8"/>
    <m/>
    <m/>
    <m/>
    <m/>
    <s v="24998"/>
    <s v="63.1.1.3.03"/>
    <s v="Peaje 24998"/>
    <x v="7"/>
  </r>
  <r>
    <s v="22/07/2025"/>
    <x v="1"/>
    <s v="001"/>
    <s v="07-000356"/>
    <x v="1"/>
    <s v="91.06.02.03"/>
    <s v="BKL_739"/>
    <s v="Peaje 24997"/>
    <s v="20517252558"/>
    <s v="CONCESIONARIA VIAL DEL SUR S.A.- COVISUR S.A."/>
    <x v="0"/>
    <s v="FACTURA"/>
    <s v="F212"/>
    <n v="1791216"/>
    <n v="6.78"/>
    <m/>
    <n v="1.2203999999999999"/>
    <m/>
    <n v="0"/>
    <n v="8"/>
    <m/>
    <m/>
    <m/>
    <m/>
    <s v="24997"/>
    <s v="63.1.1.3.03"/>
    <s v="Peaje 24997"/>
    <x v="7"/>
  </r>
  <r>
    <s v="23/07/2025"/>
    <x v="1"/>
    <s v="001"/>
    <s v="07-000357"/>
    <x v="1"/>
    <s v="91.06.01"/>
    <s v="Operaciones"/>
    <s v="Alojamiento 25024"/>
    <s v="10089085042"/>
    <s v="GUEVARA PEREZ MARIA"/>
    <x v="1"/>
    <s v="BOLETA DE VENTA"/>
    <s v="001"/>
    <n v="2365"/>
    <m/>
    <m/>
    <m/>
    <m/>
    <n v="100"/>
    <n v="100"/>
    <m/>
    <m/>
    <m/>
    <m/>
    <s v="25024"/>
    <s v="63.1.3.1.01"/>
    <s v="Alojamiento 25024"/>
    <x v="10"/>
  </r>
  <r>
    <s v="24/07/2025"/>
    <x v="1"/>
    <s v="001"/>
    <s v="07-000358"/>
    <x v="1"/>
    <s v="91.06.02.02"/>
    <s v="BKK_849"/>
    <s v="Combustible 25028"/>
    <s v="20485592556"/>
    <s v="SERVICENTRO SANTA MARTHA E.I.R.LTDA."/>
    <x v="0"/>
    <s v="FACTURA"/>
    <s v="F001"/>
    <n v="46930"/>
    <n v="127.12"/>
    <m/>
    <n v="22.881599999999999"/>
    <m/>
    <n v="0"/>
    <n v="150"/>
    <m/>
    <m/>
    <m/>
    <m/>
    <s v="25028"/>
    <s v="65.6.1.1.01"/>
    <s v="Combustible 25028"/>
    <x v="12"/>
  </r>
  <r>
    <s v="21/07/2025"/>
    <x v="1"/>
    <s v="001"/>
    <s v="07-000359"/>
    <x v="1"/>
    <s v="91.06.02.02"/>
    <s v="BKK_849"/>
    <s v="Balanza 24991"/>
    <s v="20612112500"/>
    <s v="RECICLADORA LAS LOMAS E.I.R.L."/>
    <x v="0"/>
    <s v="FACTURA"/>
    <s v="FT01"/>
    <n v="1810"/>
    <n v="8.4700000000000006"/>
    <m/>
    <n v="1.5246"/>
    <m/>
    <n v="0"/>
    <n v="10"/>
    <m/>
    <m/>
    <m/>
    <m/>
    <s v="24991"/>
    <s v="63.1.1.7.02"/>
    <s v="Balanza 24991"/>
    <x v="1"/>
  </r>
  <r>
    <s v="21/07/2025"/>
    <x v="1"/>
    <s v="001"/>
    <s v="07-000360"/>
    <x v="1"/>
    <s v="91.06.02.02"/>
    <s v="BKK_849"/>
    <s v="Balanza 24990"/>
    <s v="20612112500"/>
    <s v="RECICLADORA LAS LOMAS E.I.R.L."/>
    <x v="0"/>
    <s v="FACTURA"/>
    <s v="FT01"/>
    <n v="1815"/>
    <n v="8.4700000000000006"/>
    <m/>
    <n v="1.5246"/>
    <m/>
    <n v="0"/>
    <n v="10"/>
    <m/>
    <m/>
    <m/>
    <m/>
    <s v="24990"/>
    <s v="63.1.1.7.02"/>
    <s v="Balanza 24990"/>
    <x v="1"/>
  </r>
  <r>
    <s v="25/07/2025"/>
    <x v="1"/>
    <s v="001"/>
    <s v="07-000361"/>
    <x v="1"/>
    <s v="91.06.02.02"/>
    <s v="BKK_849"/>
    <s v="Peaje 25036"/>
    <s v="20517252558"/>
    <s v="CONCESIONARIA VIAL DEL SUR S.A.- COVISUR S.A."/>
    <x v="0"/>
    <s v="FACTURA"/>
    <s v="F314"/>
    <n v="1897259"/>
    <n v="6.53"/>
    <m/>
    <n v="1.1754"/>
    <m/>
    <n v="0"/>
    <n v="7.7"/>
    <m/>
    <m/>
    <m/>
    <m/>
    <s v="25036"/>
    <s v="63.1.1.3.02"/>
    <s v="Peaje 25036"/>
    <x v="8"/>
  </r>
  <r>
    <s v="24/07/2025"/>
    <x v="1"/>
    <s v="001"/>
    <s v="07-000362"/>
    <x v="1"/>
    <s v="91.06.02.02"/>
    <s v="BKK_849"/>
    <s v="Peaje 25027"/>
    <s v="20517216241"/>
    <s v="CARRETERA ANDINA DEL SUR S.A.C."/>
    <x v="0"/>
    <s v="FACTURA"/>
    <s v="F411"/>
    <n v="650702"/>
    <n v="6.53"/>
    <m/>
    <n v="1.1754"/>
    <m/>
    <n v="0"/>
    <n v="7.7"/>
    <m/>
    <m/>
    <m/>
    <m/>
    <s v="25027"/>
    <s v="63.1.1.3.02"/>
    <s v="Peaje 25027"/>
    <x v="8"/>
  </r>
  <r>
    <s v="23/07/2025"/>
    <x v="1"/>
    <s v="001"/>
    <s v="07-000363"/>
    <x v="1"/>
    <s v="91.06.02.02"/>
    <s v="BKK_849"/>
    <s v="Peaje 25020"/>
    <s v="20517216241"/>
    <s v="CARRETERA ANDINA DEL SUR S.A.C."/>
    <x v="0"/>
    <s v="FACTURA"/>
    <s v="F412"/>
    <n v="638711"/>
    <n v="6.53"/>
    <m/>
    <n v="1.1754"/>
    <m/>
    <n v="0"/>
    <n v="7.7"/>
    <m/>
    <m/>
    <m/>
    <m/>
    <s v="25020"/>
    <s v="63.1.1.3.02"/>
    <s v="Peaje 25020"/>
    <x v="8"/>
  </r>
  <r>
    <s v="22/07/2025"/>
    <x v="1"/>
    <s v="001"/>
    <s v="07-000364"/>
    <x v="1"/>
    <s v="91.06.02.02"/>
    <s v="BKK_849"/>
    <s v="Peaje 25005"/>
    <s v="20517252558"/>
    <s v="CONCESIONARIA VIAL DEL SUR S.A.- COVISUR S.A."/>
    <x v="0"/>
    <s v="FACTURA"/>
    <s v="F311"/>
    <n v="1847697"/>
    <n v="6.53"/>
    <m/>
    <n v="1.1754"/>
    <m/>
    <n v="0"/>
    <n v="7.7"/>
    <m/>
    <m/>
    <m/>
    <m/>
    <s v="25005"/>
    <s v="63.1.1.3.02"/>
    <s v="Peaje 25005"/>
    <x v="8"/>
  </r>
  <r>
    <s v="24/07/2025"/>
    <x v="1"/>
    <s v="001"/>
    <s v="07-000365"/>
    <x v="0"/>
    <s v="94.06"/>
    <s v="Gerencia"/>
    <s v="Alimentacion"/>
    <s v="10309622885"/>
    <s v="QUISPE GUTIERREZ EUFRACIA"/>
    <x v="1"/>
    <s v="BOLETA DE VENTA"/>
    <s v="001"/>
    <n v="187"/>
    <m/>
    <m/>
    <m/>
    <m/>
    <n v="55.5"/>
    <n v="55.5"/>
    <m/>
    <m/>
    <m/>
    <m/>
    <m/>
    <s v="63.1.4.1.01"/>
    <s v="Alimentacion"/>
    <x v="9"/>
  </r>
  <r>
    <s v="30/07/2025"/>
    <x v="1"/>
    <s v="001"/>
    <s v="07-000366"/>
    <x v="1"/>
    <s v="91.06.02.06"/>
    <s v="VBW_889"/>
    <s v="Balanza"/>
    <s v="20259858934"/>
    <s v="COMERCIALIZACION Y SERVICIOS EL EDEN S.A.C."/>
    <x v="0"/>
    <s v="FACTURA"/>
    <s v="FE02"/>
    <n v="17153"/>
    <n v="16.95"/>
    <m/>
    <n v="3.0509999999999997"/>
    <m/>
    <n v="0"/>
    <n v="20"/>
    <m/>
    <m/>
    <m/>
    <m/>
    <m/>
    <s v="63.1.1.7.02"/>
    <s v="Balanza"/>
    <x v="1"/>
  </r>
  <r>
    <s v="30/07/2025"/>
    <x v="1"/>
    <s v="001"/>
    <s v="07-000367"/>
    <x v="1"/>
    <s v="91.06.02.06"/>
    <s v="VBW_889"/>
    <s v="Balanza"/>
    <s v="20259858934"/>
    <s v="COMERCIALIZACION Y SERVICIOS EL EDEN S.A.C."/>
    <x v="0"/>
    <s v="FACTURA"/>
    <s v="FE02"/>
    <n v="17152"/>
    <n v="16.95"/>
    <m/>
    <n v="3.0509999999999997"/>
    <m/>
    <n v="0"/>
    <n v="20"/>
    <m/>
    <m/>
    <m/>
    <m/>
    <m/>
    <s v="63.1.1.7.02"/>
    <s v="Balanza"/>
    <x v="1"/>
  </r>
  <r>
    <s v="30/07/2025"/>
    <x v="1"/>
    <s v="001"/>
    <s v="07-000368"/>
    <x v="2"/>
    <s v="95.01"/>
    <s v="Comercial"/>
    <s v="Alimentacion"/>
    <s v="20604947520"/>
    <s v="MINIMARKET LAS BERMUDAS E.I.R.L."/>
    <x v="0"/>
    <s v="FACTURA"/>
    <s v="F001"/>
    <n v="6981"/>
    <n v="12.54"/>
    <m/>
    <n v="2.2571999999999997"/>
    <m/>
    <n v="0"/>
    <n v="14.8"/>
    <m/>
    <m/>
    <m/>
    <m/>
    <m/>
    <s v="63.1.4.1.01"/>
    <s v="Alimentacion"/>
    <x v="9"/>
  </r>
  <r>
    <s v="25/07/2025"/>
    <x v="1"/>
    <s v="001"/>
    <s v="07-000369"/>
    <x v="1"/>
    <s v="91.06.01"/>
    <s v="Operaciones"/>
    <s v="Transporte de carga RQ.OPE.1318 OS 005_683"/>
    <s v="10410162551"/>
    <s v="PAUCCARA CONDORI ALFREDO JULIAN"/>
    <x v="0"/>
    <s v="FACTURA"/>
    <s v="E001"/>
    <n v="34"/>
    <n v="381.36"/>
    <m/>
    <n v="68.644800000000004"/>
    <m/>
    <n v="0"/>
    <n v="450"/>
    <s v="277160619"/>
    <s v="1/08/2025"/>
    <m/>
    <m/>
    <m/>
    <s v="63.1.1.1.01"/>
    <s v="Transporte de carga RQ.OPE.1318 OS 005_683"/>
    <x v="21"/>
  </r>
  <r>
    <s v="29/07/2025"/>
    <x v="1"/>
    <s v="001"/>
    <s v="07-000370"/>
    <x v="2"/>
    <s v="95.01"/>
    <s v="Comercial"/>
    <s v="Transporte de carga RQ.OPE.1307 OS 005_676"/>
    <s v="10410687491"/>
    <s v="TORRES CARDENAS MARIA LIDIA"/>
    <x v="0"/>
    <s v="FACTURA"/>
    <s v="E001"/>
    <n v="50"/>
    <n v="550"/>
    <m/>
    <n v="99"/>
    <m/>
    <n v="0"/>
    <n v="649"/>
    <s v="277160621"/>
    <s v="1/08/2025"/>
    <m/>
    <m/>
    <m/>
    <s v="63.1.1.1.01"/>
    <s v="Transporte de carga RQ.OPE.1307 OS 005_676"/>
    <x v="21"/>
  </r>
  <r>
    <s v="18/07/2025"/>
    <x v="1"/>
    <s v="001"/>
    <s v="07-000371"/>
    <x v="2"/>
    <s v="95.01"/>
    <s v="Comercial"/>
    <s v="Transporte de carga RQ.OPE.1304 OS 005 _ 675"/>
    <s v="10736055631"/>
    <s v="HUAMANI MAMANI HUBER ANTHONY"/>
    <x v="0"/>
    <s v="FACTURA"/>
    <s v="E001"/>
    <n v="15"/>
    <n v="762.72"/>
    <m/>
    <n v="137.28960000000001"/>
    <m/>
    <n v="0"/>
    <n v="900.01"/>
    <s v="277160624"/>
    <s v="1/08/2025"/>
    <m/>
    <m/>
    <m/>
    <s v="63.1.1.1.02"/>
    <s v="Transporte de carga RQ.OPE.1304 OS 005 _ 675"/>
    <x v="13"/>
  </r>
  <r>
    <s v="29/07/2025"/>
    <x v="1"/>
    <s v="001"/>
    <s v="07-000372"/>
    <x v="2"/>
    <s v="95.01"/>
    <s v="Comercial"/>
    <s v="Transporte de carga RQ.COM.359 OS 005_682"/>
    <s v="10489531963"/>
    <s v="APAZA MENDOZA GIAN FRANCO"/>
    <x v="0"/>
    <s v="FACTURA"/>
    <s v="E001"/>
    <n v="141"/>
    <n v="1016.95"/>
    <m/>
    <n v="183.05099999999999"/>
    <m/>
    <n v="0"/>
    <n v="1200"/>
    <s v="277160626"/>
    <s v="1/08/2025"/>
    <m/>
    <m/>
    <m/>
    <s v="63.1.1.1.02"/>
    <s v="Transporte de carga RQ.COM.359 OS 005_682"/>
    <x v="13"/>
  </r>
  <r>
    <s v="16/07/2025"/>
    <x v="1"/>
    <s v="001"/>
    <s v="07-000373"/>
    <x v="2"/>
    <s v="95.01"/>
    <s v="Comercial"/>
    <s v="Transporte de carga RQ.OPE.1303 OS 005_674"/>
    <s v="10736055631"/>
    <s v="HUAMANI MAMANI HUBER ANTHONY"/>
    <x v="0"/>
    <s v="FACTURA"/>
    <s v="E001"/>
    <n v="13"/>
    <n v="423.73"/>
    <m/>
    <n v="76.2714"/>
    <m/>
    <n v="0"/>
    <n v="500"/>
    <s v="277160629"/>
    <s v="1/08/2025"/>
    <m/>
    <m/>
    <m/>
    <s v="63.1.1.1.02"/>
    <s v="Transporte de carga RQ.OPE.1303 OS 005_674"/>
    <x v="13"/>
  </r>
  <r>
    <s v="30/07/2025"/>
    <x v="1"/>
    <s v="001"/>
    <s v="07-000374"/>
    <x v="1"/>
    <s v="91.05.01"/>
    <s v="Residuos Aprovechables"/>
    <s v="Madera,chatarra metalica OC_259"/>
    <s v="20419158462"/>
    <s v="GRANJA RINCONADA DEL SUR S.A."/>
    <x v="0"/>
    <s v="FACTURA"/>
    <s v="F102"/>
    <n v="6957"/>
    <n v="1329.66"/>
    <m/>
    <n v="239.33879999999999"/>
    <m/>
    <n v="0"/>
    <n v="1569"/>
    <s v="277160631"/>
    <s v="1/08/2025"/>
    <m/>
    <m/>
    <s v="OC 259"/>
    <s v="60.2.1.1"/>
    <s v="Madera,chatarra metalica OC_259"/>
    <x v="6"/>
  </r>
  <r>
    <s v="31/07/2025"/>
    <x v="1"/>
    <s v="001"/>
    <s v="07-000375"/>
    <x v="1"/>
    <s v="91.05.01"/>
    <s v="Residuos Aprovechables"/>
    <s v="Sacos de proplip, bolsa de papel,plastico,carton,bolsas de aluminio OC 286"/>
    <s v="20419158462"/>
    <s v="GRANJA RINCONADA DEL SUR S.A."/>
    <x v="0"/>
    <s v="FACTURA"/>
    <s v="F102"/>
    <n v="6962"/>
    <n v="759.67"/>
    <m/>
    <n v="136.7406"/>
    <m/>
    <n v="0"/>
    <n v="896.4"/>
    <s v="277160632"/>
    <s v="1/08/2025"/>
    <m/>
    <m/>
    <s v="OC 286"/>
    <s v="60.2.1.1"/>
    <s v="Sacos de proplip, bolsa de papel,plastico,carton,bolsas de aluminio OC 286"/>
    <x v="6"/>
  </r>
  <r>
    <s v="31/07/2025"/>
    <x v="1"/>
    <s v="001"/>
    <s v="07-000376"/>
    <x v="1"/>
    <s v="91.05.01"/>
    <s v="Residuos Aprovechables"/>
    <s v="Madera,chatarra metalica OC268"/>
    <s v="20419158462"/>
    <s v="GRANJA RINCONADA DEL SUR S.A."/>
    <x v="0"/>
    <s v="FACTURA"/>
    <s v="F102"/>
    <n v="6961"/>
    <n v="804"/>
    <m/>
    <n v="144.72"/>
    <m/>
    <n v="0"/>
    <n v="948.72"/>
    <s v="277160634"/>
    <s v="1/08/2025"/>
    <m/>
    <m/>
    <s v="OC 268"/>
    <s v="60.2.1.1"/>
    <s v="Madera,chatarra metalica OC268"/>
    <x v="6"/>
  </r>
  <r>
    <s v="31/07/2025"/>
    <x v="1"/>
    <s v="001"/>
    <s v="07-000377"/>
    <x v="1"/>
    <s v="91.05.01"/>
    <s v="Residuos Aprovechables"/>
    <s v="Alambron OC 296"/>
    <s v="20100192064"/>
    <s v="MOLY-COP ADESUR S.A."/>
    <x v="0"/>
    <s v="FACTURA"/>
    <s v="F002"/>
    <n v="16531"/>
    <n v="188.49"/>
    <m/>
    <n v="33.928200000000004"/>
    <m/>
    <n v="0"/>
    <n v="222.41"/>
    <s v="277160635"/>
    <s v="1/08/2025"/>
    <m/>
    <m/>
    <s v="OC 296"/>
    <s v="60.2.1.1"/>
    <s v="Alambron OC 296"/>
    <x v="6"/>
  </r>
  <r>
    <s v="31/07/2025"/>
    <x v="1"/>
    <s v="001"/>
    <s v="07-000378"/>
    <x v="1"/>
    <s v="91.05.01"/>
    <s v="Residuos Aprovechables"/>
    <s v="Alambron OC 297"/>
    <s v="20100192064"/>
    <s v="MOLY-COP ADESUR S.A."/>
    <x v="0"/>
    <s v="FACTURA"/>
    <s v="F002"/>
    <n v="16532"/>
    <n v="102.82"/>
    <m/>
    <n v="18.507599999999996"/>
    <m/>
    <n v="0"/>
    <n v="121.31"/>
    <s v="277160637"/>
    <s v="1/08/2025"/>
    <m/>
    <m/>
    <s v="OC 297"/>
    <s v="60.2.1.1"/>
    <s v="Alambron OC 297"/>
    <x v="6"/>
  </r>
  <r>
    <s v="31/07/2025"/>
    <x v="1"/>
    <s v="001"/>
    <s v="07-000379"/>
    <x v="1"/>
    <s v="91.05.01"/>
    <s v="Residuos Aprovechables"/>
    <s v="Alambron OC 298"/>
    <s v="20100192064"/>
    <s v="MOLY-COP ADESUR S.A."/>
    <x v="0"/>
    <s v="FACTURA"/>
    <s v="F002"/>
    <n v="16534"/>
    <n v="501.23"/>
    <m/>
    <n v="90.221400000000003"/>
    <m/>
    <n v="0"/>
    <n v="591.44000000000005"/>
    <s v="277160639"/>
    <s v="1/08/2025"/>
    <m/>
    <m/>
    <s v="OC 298"/>
    <s v="60.2.1.1"/>
    <s v="Alambron OC 298"/>
    <x v="6"/>
  </r>
  <r>
    <s v="31/07/2025"/>
    <x v="1"/>
    <s v="001"/>
    <s v="07-000380"/>
    <x v="0"/>
    <s v="94.04"/>
    <s v="Gestion Humana"/>
    <s v="Examen medico _ ingreso RQ.GH.219"/>
    <s v="20517035964"/>
    <s v="SIGSO CONSULTORES LABORALES SOCIEDAD ANONIMA CERRADA - SIGSO CONSULTORES LABORALES S.A.C."/>
    <x v="0"/>
    <s v="FACTURA"/>
    <s v="F200"/>
    <n v="16298"/>
    <n v="403"/>
    <m/>
    <n v="72.539999999999992"/>
    <m/>
    <n v="0"/>
    <n v="475.54"/>
    <m/>
    <m/>
    <m/>
    <m/>
    <m/>
    <s v="62.5.1.2.01"/>
    <s v="Examen medico _ ingreso RQ.GH.219"/>
    <x v="25"/>
  </r>
  <r>
    <s v="04/07/2025"/>
    <x v="1"/>
    <s v="001"/>
    <s v="07-000381"/>
    <x v="1"/>
    <s v="91.06.02.02"/>
    <s v="BKK_849"/>
    <s v="Filtro aceite,filtro separador _ Mantenimiento Vehicular (Preventivo) RQ.OPE.1260 OS 006_153"/>
    <s v="20611593920"/>
    <s v="GRUPO HUAMCO PERU S.A.C."/>
    <x v="0"/>
    <s v="FACTURA"/>
    <s v="F004"/>
    <n v="52"/>
    <n v="447.4"/>
    <m/>
    <n v="80.531999999999996"/>
    <m/>
    <n v="0"/>
    <n v="527.92999999999995"/>
    <m/>
    <m/>
    <m/>
    <m/>
    <m/>
    <s v="63.4.3.2.02"/>
    <s v="Filtro aceite,filtro separador _ Mantenimiento Vehicular (Preventivo) RQ.OPE.1260 OS 006_153"/>
    <x v="3"/>
  </r>
  <r>
    <s v="16/07/2025"/>
    <x v="1"/>
    <s v="001"/>
    <s v="07-000382"/>
    <x v="1"/>
    <s v="91.06.01"/>
    <s v="Operaciones"/>
    <s v="Transporte de carga RQ.OPE.1302 OS 005_673"/>
    <s v="10736055631"/>
    <s v="HUAMANI MAMANI HUBER ANTHONY"/>
    <x v="0"/>
    <s v="FACTURA"/>
    <s v="E001"/>
    <n v="14"/>
    <n v="254.24"/>
    <m/>
    <n v="45.763199999999998"/>
    <m/>
    <n v="0"/>
    <n v="300"/>
    <m/>
    <m/>
    <m/>
    <m/>
    <m/>
    <s v="63.1.1.1.01"/>
    <s v="Transporte de carga RQ.OPE.1302 OS 005_673"/>
    <x v="21"/>
  </r>
  <r>
    <s v="17/07/2025"/>
    <x v="1"/>
    <s v="001"/>
    <s v="07-000383"/>
    <x v="1"/>
    <s v="91.06.01"/>
    <s v="Operaciones"/>
    <s v="Alquiler de montacarga RQ.OPE.1310"/>
    <s v="20603974817"/>
    <s v="TRANSPORTES, GRUAS Y MONTACARGAS AREQUIPA EMPRESA INDIVIDUAL DE RESPONSABILIDAD LIMITADA"/>
    <x v="0"/>
    <s v="FACTURA"/>
    <s v="E001"/>
    <n v="4055"/>
    <n v="170"/>
    <m/>
    <n v="30.599999999999998"/>
    <m/>
    <n v="0"/>
    <n v="200.6"/>
    <m/>
    <m/>
    <m/>
    <m/>
    <m/>
    <s v="63.5.4.1.01"/>
    <s v="Alquiler de montacarga RQ.OPE.1310"/>
    <x v="16"/>
  </r>
  <r>
    <s v="24/07/2025"/>
    <x v="1"/>
    <s v="001"/>
    <s v="07-000384"/>
    <x v="2"/>
    <s v="95.01"/>
    <s v="Comercial"/>
    <s v="Transporte de carga RQ.OPE.1309 OS 005_678"/>
    <s v="10736055631"/>
    <s v="HUAMANI MAMANI HUBER ANTHONY"/>
    <x v="0"/>
    <s v="FACTURA"/>
    <s v="E001"/>
    <n v="16"/>
    <n v="450"/>
    <m/>
    <n v="81"/>
    <m/>
    <n v="0"/>
    <n v="531"/>
    <s v="277450128"/>
    <s v="5/08/2025"/>
    <m/>
    <m/>
    <m/>
    <s v="63.1.1.1.02"/>
    <s v="Transporte de carga RQ.OPE.1309 OS 005_678"/>
    <x v="13"/>
  </r>
  <r>
    <s v="31/07/2025"/>
    <x v="1"/>
    <s v="001"/>
    <s v="07-000385"/>
    <x v="1"/>
    <s v="91.05.01"/>
    <s v="Residuos Aprovechables"/>
    <s v="Carton, chatarra,IBC´S plastico OC 294"/>
    <s v="20100192064"/>
    <s v="MOLY-COP ADESUR S.A."/>
    <x v="0"/>
    <s v="FACTURA"/>
    <s v="F002"/>
    <n v="16567"/>
    <n v="2848.08"/>
    <m/>
    <n v="512.65440000000001"/>
    <m/>
    <n v="0"/>
    <n v="3360.73"/>
    <s v="277450129"/>
    <s v="5/08/2025"/>
    <m/>
    <m/>
    <s v="OC 294"/>
    <s v="60.2.1.1"/>
    <s v="Carton, chatarra,IBC´S plastico OC 294"/>
    <x v="6"/>
  </r>
  <r>
    <s v="31/07/2025"/>
    <x v="1"/>
    <s v="001"/>
    <s v="07-000386"/>
    <x v="1"/>
    <s v="91.05.01"/>
    <s v="Residuos Aprovechables"/>
    <s v="Chatarra metalica,carton,IBC´s platico OC 295"/>
    <s v="20100192064"/>
    <s v="MOLY-COP ADESUR S.A."/>
    <x v="0"/>
    <s v="FACTURA"/>
    <s v="F002"/>
    <n v="16566"/>
    <n v="2410.96"/>
    <m/>
    <n v="433.97280000000001"/>
    <m/>
    <n v="0"/>
    <n v="2844.93"/>
    <s v="277450130"/>
    <s v="5/08/2025"/>
    <m/>
    <m/>
    <s v="OC 295"/>
    <s v="60.2.1.1"/>
    <s v="Chatarra metalica,carton,IBC´s platico OC 295"/>
    <x v="6"/>
  </r>
  <r>
    <s v="31/07/2025"/>
    <x v="1"/>
    <s v="001"/>
    <s v="07-000387"/>
    <x v="1"/>
    <s v="91.05.01"/>
    <s v="Residuos Aprovechables"/>
    <s v="Carton en desuso,plastico film OC 306"/>
    <s v="20605447814"/>
    <s v="LONCCOS Y CCALAS SOCIEDAD ANONIMA CERRADA - LONCCOS Y CCALAS S.A.C."/>
    <x v="0"/>
    <s v="FACTURA"/>
    <s v="E001"/>
    <n v="896"/>
    <n v="664.41"/>
    <m/>
    <n v="119.59379999999999"/>
    <m/>
    <n v="0"/>
    <n v="784"/>
    <s v="277450131"/>
    <s v="5/08/2025"/>
    <m/>
    <m/>
    <s v="OC 306"/>
    <s v="60.2.1.1"/>
    <s v="Carton en desuso,plastico film OC 306"/>
    <x v="6"/>
  </r>
  <r>
    <s v="18/07/2025"/>
    <x v="1"/>
    <s v="001"/>
    <s v="07-000388"/>
    <x v="1"/>
    <s v="91.06.02.04"/>
    <s v="VBB_840"/>
    <s v="Lavado 24939"/>
    <s v="20514148539"/>
    <s v="NEGOCIACIONES ABBYCORP E.I.R.L."/>
    <x v="0"/>
    <s v="FACTURA"/>
    <s v="F006"/>
    <n v="42210"/>
    <n v="46.61"/>
    <m/>
    <n v="8.3897999999999993"/>
    <m/>
    <n v="0"/>
    <n v="55"/>
    <m/>
    <m/>
    <m/>
    <m/>
    <s v="24939"/>
    <s v="63.1.1.5.01"/>
    <s v="Lavado 24939"/>
    <x v="14"/>
  </r>
  <r>
    <s v="21/07/2025"/>
    <x v="1"/>
    <s v="001"/>
    <s v="07-000389"/>
    <x v="1"/>
    <s v="91.06.02.04"/>
    <s v="VBB_840"/>
    <s v="Peaje 24989"/>
    <s v="20550372640"/>
    <s v="RUTAS DE LIMA S.A.C."/>
    <x v="0"/>
    <s v="FACTURA"/>
    <s v="F602"/>
    <n v="3771726"/>
    <n v="12.71"/>
    <m/>
    <n v="2.2878000000000003"/>
    <m/>
    <n v="0"/>
    <n v="15"/>
    <m/>
    <m/>
    <m/>
    <m/>
    <s v="24989"/>
    <s v="63.1.1.3.02"/>
    <s v="Peaje 24989"/>
    <x v="8"/>
  </r>
  <r>
    <s v="21/07/2025"/>
    <x v="1"/>
    <s v="001"/>
    <s v="07-000390"/>
    <x v="1"/>
    <s v="91.06.02.04"/>
    <s v="VBB_840"/>
    <s v="Peaje 24988"/>
    <s v="20550372640"/>
    <s v="RUTAS DE LIMA S.A.C."/>
    <x v="0"/>
    <s v="FACTURA"/>
    <s v="F209"/>
    <n v="1995670"/>
    <n v="12.71"/>
    <m/>
    <n v="2.2878000000000003"/>
    <m/>
    <n v="0"/>
    <n v="15"/>
    <m/>
    <m/>
    <m/>
    <m/>
    <s v="24988"/>
    <s v="63.1.1.3.02"/>
    <s v="Peaje 24988"/>
    <x v="8"/>
  </r>
  <r>
    <s v="29/07/2025"/>
    <x v="1"/>
    <s v="001"/>
    <s v="07-000391"/>
    <x v="1"/>
    <s v="91.06.02.01"/>
    <s v="V9R_903"/>
    <s v="Combustible"/>
    <s v="20127765279"/>
    <s v="COESTI S.A."/>
    <x v="0"/>
    <s v="FACTURA"/>
    <s v="F864"/>
    <n v="150566"/>
    <n v="514"/>
    <m/>
    <n v="92.52"/>
    <m/>
    <n v="0"/>
    <n v="1371.6"/>
    <m/>
    <m/>
    <m/>
    <m/>
    <m/>
    <s v="65.6.1.1.01"/>
    <s v="Combustible"/>
    <x v="12"/>
  </r>
  <r>
    <s v="29/07/2025"/>
    <x v="1"/>
    <s v="001"/>
    <s v="07-000391"/>
    <x v="1"/>
    <s v="91.06.02.02"/>
    <s v="BKK_849"/>
    <s v="Combustible"/>
    <s v="20127765279"/>
    <s v="COESTI S.A."/>
    <x v="0"/>
    <s v="FACTURA"/>
    <s v="F864"/>
    <n v="150566"/>
    <n v="648.37"/>
    <m/>
    <n v="116.70659999999999"/>
    <m/>
    <n v="0"/>
    <n v="1371.6"/>
    <m/>
    <m/>
    <m/>
    <m/>
    <m/>
    <s v="65.6.1.1.01"/>
    <s v="Combustible"/>
    <x v="12"/>
  </r>
  <r>
    <s v="22/07/2025"/>
    <x v="1"/>
    <s v="001"/>
    <s v="07-000392"/>
    <x v="1"/>
    <s v="91.06.02.01"/>
    <s v="V9R_903"/>
    <s v="Combustible"/>
    <s v="20127765279"/>
    <s v="COESTI S.A."/>
    <x v="0"/>
    <s v="FACTURA"/>
    <s v="F864"/>
    <n v="149675"/>
    <n v="1923.28"/>
    <m/>
    <n v="346.19039999999995"/>
    <m/>
    <n v="0"/>
    <n v="2437.33"/>
    <m/>
    <m/>
    <m/>
    <m/>
    <m/>
    <s v="65.6.1.1.01"/>
    <s v="Combustible"/>
    <x v="12"/>
  </r>
  <r>
    <s v="22/07/2025"/>
    <x v="1"/>
    <s v="001"/>
    <s v="07-000392"/>
    <x v="1"/>
    <s v="91.06.02.02"/>
    <s v="BKK_849"/>
    <s v="Combustible"/>
    <s v="20127765279"/>
    <s v="COESTI S.A."/>
    <x v="0"/>
    <s v="FACTURA"/>
    <s v="F864"/>
    <n v="149675"/>
    <n v="142.25"/>
    <m/>
    <n v="25.605"/>
    <m/>
    <n v="0"/>
    <n v="2437.33"/>
    <m/>
    <m/>
    <m/>
    <m/>
    <m/>
    <s v="65.6.1.1.01"/>
    <s v="Combustible"/>
    <x v="12"/>
  </r>
  <r>
    <s v="08/07/2025"/>
    <x v="1"/>
    <s v="001"/>
    <s v="07-000393"/>
    <x v="1"/>
    <s v="91.06.02.01"/>
    <s v="V9R_903"/>
    <s v="Combustible"/>
    <s v="20127765279"/>
    <s v="COESTI S.A."/>
    <x v="0"/>
    <s v="FACTURA"/>
    <s v="F867"/>
    <n v="171111"/>
    <n v="368.17"/>
    <m/>
    <n v="66.270600000000002"/>
    <m/>
    <n v="0"/>
    <n v="1141.95"/>
    <m/>
    <m/>
    <m/>
    <m/>
    <m/>
    <s v="65.6.1.1.01"/>
    <s v="Combustible"/>
    <x v="12"/>
  </r>
  <r>
    <s v="08/07/2025"/>
    <x v="1"/>
    <s v="001"/>
    <s v="07-000393"/>
    <x v="1"/>
    <s v="91.06.02.02"/>
    <s v="BKK_849"/>
    <s v="Combustible"/>
    <s v="20127765279"/>
    <s v="COESTI S.A."/>
    <x v="0"/>
    <s v="FACTURA"/>
    <s v="F867"/>
    <n v="171111"/>
    <n v="184.27"/>
    <m/>
    <n v="33.168599999999998"/>
    <m/>
    <n v="0"/>
    <n v="1141.95"/>
    <m/>
    <m/>
    <m/>
    <m/>
    <m/>
    <s v="65.6.1.1.01"/>
    <s v="Combustible"/>
    <x v="12"/>
  </r>
  <r>
    <s v="08/07/2025"/>
    <x v="1"/>
    <s v="001"/>
    <s v="07-000393"/>
    <x v="1"/>
    <s v="91.06.02.03"/>
    <s v="BKL_739"/>
    <s v="Combustible"/>
    <s v="20127765279"/>
    <s v="COESTI S.A."/>
    <x v="0"/>
    <s v="FACTURA"/>
    <s v="F867"/>
    <n v="171111"/>
    <n v="415.31"/>
    <m/>
    <n v="74.755799999999994"/>
    <m/>
    <n v="0"/>
    <n v="1141.95"/>
    <m/>
    <m/>
    <m/>
    <m/>
    <m/>
    <s v="65.6.1.1.01"/>
    <s v="Combustible"/>
    <x v="12"/>
  </r>
  <r>
    <s v="08/07/2025"/>
    <x v="1"/>
    <s v="001"/>
    <s v="07-000394"/>
    <x v="1"/>
    <s v="91.06.02.04"/>
    <s v="VBB_840"/>
    <s v="Combustible"/>
    <s v="20127765279"/>
    <s v="COESTI S.A."/>
    <x v="0"/>
    <s v="FACTURA"/>
    <s v="F867"/>
    <n v="171093"/>
    <n v="478.67"/>
    <m/>
    <n v="86.160600000000002"/>
    <m/>
    <n v="0"/>
    <n v="1214.82"/>
    <m/>
    <m/>
    <m/>
    <m/>
    <m/>
    <s v="65.6.1.1.01"/>
    <s v="Combustible"/>
    <x v="12"/>
  </r>
  <r>
    <s v="08/07/2025"/>
    <x v="1"/>
    <s v="001"/>
    <s v="07-000394"/>
    <x v="1"/>
    <s v="91.06.02.06"/>
    <s v="VBW_889"/>
    <s v="Combustible"/>
    <s v="20127765279"/>
    <s v="COESTI S.A."/>
    <x v="0"/>
    <s v="FACTURA"/>
    <s v="F867"/>
    <n v="171093"/>
    <n v="252.37"/>
    <m/>
    <n v="45.426600000000001"/>
    <m/>
    <n v="0"/>
    <n v="1214.82"/>
    <m/>
    <m/>
    <m/>
    <m/>
    <m/>
    <s v="65.6.1.1.01"/>
    <s v="Combustible"/>
    <x v="12"/>
  </r>
  <r>
    <s v="08/07/2025"/>
    <x v="1"/>
    <s v="001"/>
    <s v="07-000394"/>
    <x v="1"/>
    <s v="91.06.02.07"/>
    <s v="VDJ_872"/>
    <s v="Combustible"/>
    <s v="20127765279"/>
    <s v="COESTI S.A."/>
    <x v="0"/>
    <s v="FACTURA"/>
    <s v="F867"/>
    <n v="171093"/>
    <n v="272.69"/>
    <m/>
    <n v="49.084199999999996"/>
    <m/>
    <n v="0"/>
    <n v="1214.82"/>
    <m/>
    <m/>
    <m/>
    <m/>
    <m/>
    <s v="65.6.1.1.01"/>
    <s v="Combustible"/>
    <x v="12"/>
  </r>
  <r>
    <s v="08/07/2025"/>
    <x v="1"/>
    <s v="001"/>
    <s v="07-000394"/>
    <x v="1"/>
    <s v="91.06.02.10"/>
    <s v="BDQ_458"/>
    <s v="Combustible"/>
    <s v="20127765279"/>
    <s v="COESTI S.A."/>
    <x v="0"/>
    <s v="FACTURA"/>
    <s v="F867"/>
    <n v="171093"/>
    <n v="25.78"/>
    <m/>
    <n v="4.6403999999999996"/>
    <m/>
    <n v="0"/>
    <n v="1214.82"/>
    <m/>
    <m/>
    <m/>
    <m/>
    <m/>
    <s v="65.6.1.1.01"/>
    <s v="Combustible"/>
    <x v="12"/>
  </r>
  <r>
    <s v="31/07/2025"/>
    <x v="1"/>
    <s v="001"/>
    <s v="07-000395"/>
    <x v="1"/>
    <s v="91.06.02.02"/>
    <s v="BKK_849"/>
    <s v="Combustible"/>
    <s v="20127765279"/>
    <s v="COESTI S.A."/>
    <x v="0"/>
    <s v="FACTURA"/>
    <s v="F865"/>
    <n v="176050"/>
    <n v="199.69"/>
    <m/>
    <n v="35.944199999999995"/>
    <m/>
    <n v="0"/>
    <n v="937.81"/>
    <m/>
    <m/>
    <m/>
    <m/>
    <m/>
    <s v="65.6.1.1.01"/>
    <s v="Combustible"/>
    <x v="12"/>
  </r>
  <r>
    <s v="31/07/2025"/>
    <x v="1"/>
    <s v="001"/>
    <s v="07-000395"/>
    <x v="1"/>
    <s v="91.06.02.03"/>
    <s v="BKL_739"/>
    <s v="Combustible"/>
    <s v="20127765279"/>
    <s v="COESTI S.A."/>
    <x v="0"/>
    <s v="FACTURA"/>
    <s v="F865"/>
    <n v="176050"/>
    <n v="595.05999999999995"/>
    <m/>
    <n v="107.11079999999998"/>
    <m/>
    <n v="0"/>
    <n v="937.81"/>
    <m/>
    <m/>
    <m/>
    <m/>
    <m/>
    <s v="65.6.1.1.01"/>
    <s v="Combustible"/>
    <x v="12"/>
  </r>
  <r>
    <s v="15/07/2025"/>
    <x v="1"/>
    <s v="001"/>
    <s v="07-000396"/>
    <x v="1"/>
    <s v="91.06.02.01"/>
    <s v="V9R_903"/>
    <s v="Combustible"/>
    <s v="20127765279"/>
    <s v="COESTI S.A."/>
    <x v="0"/>
    <s v="FACTURA"/>
    <s v="F865"/>
    <n v="173626"/>
    <n v="298.52"/>
    <m/>
    <n v="53.733599999999996"/>
    <m/>
    <n v="0"/>
    <n v="701.54"/>
    <m/>
    <m/>
    <m/>
    <m/>
    <m/>
    <s v="65.6.1.1.01"/>
    <s v="Combustible"/>
    <x v="12"/>
  </r>
  <r>
    <s v="15/07/2025"/>
    <x v="1"/>
    <s v="001"/>
    <s v="07-000396"/>
    <x v="1"/>
    <s v="91.06.02.03"/>
    <s v="BKL_739"/>
    <s v="Combustible"/>
    <s v="20127765279"/>
    <s v="COESTI S.A."/>
    <x v="0"/>
    <s v="FACTURA"/>
    <s v="F865"/>
    <n v="173626"/>
    <n v="296.01"/>
    <m/>
    <n v="53.281799999999997"/>
    <m/>
    <n v="0"/>
    <n v="701.54"/>
    <m/>
    <m/>
    <m/>
    <m/>
    <m/>
    <s v="65.6.1.1.01"/>
    <s v="Combustible"/>
    <x v="12"/>
  </r>
  <r>
    <s v="15/07/2025"/>
    <x v="1"/>
    <s v="001"/>
    <s v="07-000397"/>
    <x v="1"/>
    <s v="91.06.02.04"/>
    <s v="VBB_840"/>
    <s v="Combustible"/>
    <s v="20127765279"/>
    <s v="COESTI S.A."/>
    <x v="0"/>
    <s v="FACTURA"/>
    <s v="F865"/>
    <n v="173605"/>
    <n v="491.98"/>
    <m/>
    <n v="88.556399999999996"/>
    <m/>
    <n v="0"/>
    <n v="1060.45"/>
    <m/>
    <m/>
    <m/>
    <m/>
    <m/>
    <s v="65.6.1.1.01"/>
    <s v="Combustible"/>
    <x v="12"/>
  </r>
  <r>
    <s v="15/07/2025"/>
    <x v="1"/>
    <s v="001"/>
    <s v="07-000397"/>
    <x v="1"/>
    <s v="91.06.02.06"/>
    <s v="VBW_889"/>
    <s v="Combustible"/>
    <s v="20127765279"/>
    <s v="COESTI S.A."/>
    <x v="0"/>
    <s v="FACTURA"/>
    <s v="F865"/>
    <n v="173605"/>
    <n v="134.47999999999999"/>
    <m/>
    <n v="24.206399999999999"/>
    <m/>
    <n v="0"/>
    <n v="1060.45"/>
    <m/>
    <m/>
    <m/>
    <m/>
    <m/>
    <s v="65.6.1.1.01"/>
    <s v="Combustible"/>
    <x v="12"/>
  </r>
  <r>
    <s v="15/07/2025"/>
    <x v="1"/>
    <s v="001"/>
    <s v="07-000397"/>
    <x v="1"/>
    <s v="91.06.02.07"/>
    <s v="VDJ_872"/>
    <s v="Combustible"/>
    <s v="20127765279"/>
    <s v="COESTI S.A."/>
    <x v="0"/>
    <s v="FACTURA"/>
    <s v="F865"/>
    <n v="173605"/>
    <n v="239.25"/>
    <m/>
    <n v="43.064999999999998"/>
    <m/>
    <n v="0"/>
    <n v="1060.45"/>
    <m/>
    <m/>
    <m/>
    <m/>
    <m/>
    <s v="65.6.1.1.01"/>
    <s v="Combustible"/>
    <x v="12"/>
  </r>
  <r>
    <s v="15/07/2025"/>
    <x v="1"/>
    <s v="001"/>
    <s v="07-000397"/>
    <x v="1"/>
    <s v="91.06.02.10"/>
    <s v="BDQ_458"/>
    <s v="Combustible"/>
    <s v="20127765279"/>
    <s v="COESTI S.A."/>
    <x v="0"/>
    <s v="FACTURA"/>
    <s v="F865"/>
    <n v="173605"/>
    <n v="32.979999999999997"/>
    <m/>
    <n v="5.936399999999999"/>
    <m/>
    <n v="0"/>
    <n v="1060.45"/>
    <m/>
    <m/>
    <m/>
    <m/>
    <m/>
    <s v="65.6.1.1.01"/>
    <s v="Combustible"/>
    <x v="12"/>
  </r>
  <r>
    <s v="22/07/2025"/>
    <x v="1"/>
    <s v="001"/>
    <s v="07-000398"/>
    <x v="1"/>
    <s v="91.06.02.04"/>
    <s v="VBB_840"/>
    <s v="Combustible"/>
    <s v="20127765279"/>
    <s v="COESTI S.A."/>
    <x v="0"/>
    <s v="FACTURA"/>
    <s v="F867"/>
    <n v="173479"/>
    <n v="492.17"/>
    <m/>
    <n v="88.590599999999995"/>
    <m/>
    <n v="0"/>
    <n v="1444.68"/>
    <m/>
    <m/>
    <m/>
    <m/>
    <m/>
    <s v="65.6.1.1.01"/>
    <s v="Combustible"/>
    <x v="12"/>
  </r>
  <r>
    <s v="22/07/2025"/>
    <x v="1"/>
    <s v="001"/>
    <s v="07-000398"/>
    <x v="1"/>
    <s v="91.06.02.06"/>
    <s v="VBW_889"/>
    <s v="Combustible"/>
    <s v="20127765279"/>
    <s v="COESTI S.A."/>
    <x v="0"/>
    <s v="FACTURA"/>
    <s v="F867"/>
    <n v="173479"/>
    <n v="296.31"/>
    <m/>
    <n v="53.335799999999999"/>
    <m/>
    <n v="0"/>
    <n v="1444.68"/>
    <m/>
    <m/>
    <m/>
    <m/>
    <m/>
    <s v="65.6.1.1.01"/>
    <s v="Combustible"/>
    <x v="12"/>
  </r>
  <r>
    <s v="22/07/2025"/>
    <x v="1"/>
    <s v="001"/>
    <s v="07-000398"/>
    <x v="1"/>
    <s v="91.06.02.07"/>
    <s v="VDJ_872"/>
    <s v="Combustible"/>
    <s v="20127765279"/>
    <s v="COESTI S.A."/>
    <x v="0"/>
    <s v="FACTURA"/>
    <s v="F867"/>
    <n v="173479"/>
    <n v="365.41"/>
    <m/>
    <n v="65.773800000000008"/>
    <m/>
    <n v="0"/>
    <n v="1444.68"/>
    <m/>
    <m/>
    <m/>
    <m/>
    <m/>
    <s v="65.6.1.1.01"/>
    <s v="Combustible"/>
    <x v="12"/>
  </r>
  <r>
    <s v="22/07/2025"/>
    <x v="1"/>
    <s v="001"/>
    <s v="07-000398"/>
    <x v="1"/>
    <s v="91.06.02.10"/>
    <s v="BDQ_458"/>
    <s v="Combustible"/>
    <s v="20127765279"/>
    <s v="COESTI S.A."/>
    <x v="0"/>
    <s v="FACTURA"/>
    <s v="F867"/>
    <n v="173479"/>
    <n v="70.42"/>
    <m/>
    <n v="12.675599999999999"/>
    <m/>
    <n v="0"/>
    <n v="1444.68"/>
    <m/>
    <m/>
    <m/>
    <m/>
    <m/>
    <s v="65.6.1.1.01"/>
    <s v="Combustible"/>
    <x v="12"/>
  </r>
  <r>
    <s v="17/07/2025"/>
    <x v="1"/>
    <s v="001"/>
    <s v="07-000399"/>
    <x v="1"/>
    <s v="91.06.01"/>
    <s v="Operaciones"/>
    <s v="Alimentacion 24921"/>
    <s v="10438189560"/>
    <s v="MOROCCO HUANCA DORIS"/>
    <x v="1"/>
    <s v="BOLETA DE VENTA"/>
    <n v="2000"/>
    <n v="499"/>
    <m/>
    <m/>
    <m/>
    <m/>
    <n v="12"/>
    <n v="12"/>
    <m/>
    <m/>
    <m/>
    <m/>
    <m/>
    <s v="63.1.4.1.01"/>
    <s v="Alimentacion 24921"/>
    <x v="9"/>
  </r>
  <r>
    <s v="18/07/2025"/>
    <x v="1"/>
    <s v="001"/>
    <s v="07-000400"/>
    <x v="1"/>
    <s v="91.06.02.01"/>
    <s v="V9R_903"/>
    <s v="Lavado 24951"/>
    <s v="10154270642"/>
    <s v="HURTADO HUAMAN CARMINA AUDELIA"/>
    <x v="1"/>
    <s v="BOLETA DE VENTA"/>
    <s v="001"/>
    <n v="60667"/>
    <m/>
    <m/>
    <m/>
    <m/>
    <n v="35"/>
    <n v="35"/>
    <m/>
    <m/>
    <m/>
    <m/>
    <s v="24951"/>
    <s v="63.1.1.5.01"/>
    <s v="Lavado 24951"/>
    <x v="14"/>
  </r>
  <r>
    <s v="21/07/2025"/>
    <x v="1"/>
    <s v="001"/>
    <s v="07-000401"/>
    <x v="1"/>
    <s v="91.06.02.01"/>
    <s v="V9R_903"/>
    <s v="Cochera 24968"/>
    <s v="20552302932"/>
    <s v="PERUVIAN GROUP FREDAL SOCIEDAD ANONIMA CERRADA-PERUVIAN GROUP FREDAL S.A.C"/>
    <x v="0"/>
    <s v="FACTURA"/>
    <s v="F001"/>
    <n v="61894"/>
    <n v="55.93"/>
    <m/>
    <n v="10.067399999999999"/>
    <m/>
    <n v="0"/>
    <n v="66"/>
    <m/>
    <m/>
    <m/>
    <m/>
    <s v="24968"/>
    <s v="63.1.1.4.01"/>
    <s v="Cochera 24968"/>
    <x v="33"/>
  </r>
  <r>
    <s v="22/07/2025"/>
    <x v="1"/>
    <s v="001"/>
    <s v="07-000402"/>
    <x v="1"/>
    <s v="91.06.01"/>
    <s v="Operaciones"/>
    <s v="Alimentacion 24993"/>
    <s v="10773806239"/>
    <s v="MENDEZ MAMANI EDUARDO VICTOR GABRIEL"/>
    <x v="1"/>
    <s v="BOLETA DE VENTA"/>
    <s v="001"/>
    <n v="1018"/>
    <m/>
    <m/>
    <m/>
    <m/>
    <n v="12"/>
    <n v="12"/>
    <m/>
    <m/>
    <m/>
    <m/>
    <s v="24993"/>
    <s v="63.1.4.1.01"/>
    <s v="Alimentacion 24993"/>
    <x v="9"/>
  </r>
  <r>
    <s v="21/07/2025"/>
    <x v="1"/>
    <s v="001"/>
    <s v="07-000403"/>
    <x v="1"/>
    <s v="91.06.02.01"/>
    <s v="V9R_903"/>
    <s v="Balanza 24969"/>
    <s v="10218062186"/>
    <s v="YATACO FLORES JUAN DE DIOS"/>
    <x v="0"/>
    <s v="FACTURA"/>
    <s v="F001"/>
    <n v="1584"/>
    <n v="10"/>
    <m/>
    <n v="1.7999999999999998"/>
    <m/>
    <n v="0"/>
    <n v="11.8"/>
    <m/>
    <m/>
    <m/>
    <m/>
    <s v="24969"/>
    <s v="63.1.1.7.01"/>
    <s v="Balanza 24969"/>
    <x v="11"/>
  </r>
  <r>
    <s v="14/07/2025"/>
    <x v="1"/>
    <s v="001"/>
    <s v="07-000404"/>
    <x v="1"/>
    <s v="91.06.02.01"/>
    <s v="V9R_903"/>
    <s v="Balanza 24891"/>
    <s v="20606567856"/>
    <s v="RECICLAJE TOTAL Y SANEAMIENTO SOCIEDAD DE RESPONSABILIDAD LIMITADA - R.E.T. &amp; SAN S.R.L."/>
    <x v="0"/>
    <s v="FACTURA"/>
    <s v="F002"/>
    <n v="12701"/>
    <n v="8.4700000000000006"/>
    <m/>
    <n v="1.5246"/>
    <m/>
    <n v="0"/>
    <n v="10"/>
    <m/>
    <m/>
    <m/>
    <m/>
    <s v="24891"/>
    <s v="63.1.1.7.01"/>
    <s v="Balanza 24891"/>
    <x v="11"/>
  </r>
  <r>
    <s v="22/07/2025"/>
    <x v="1"/>
    <s v="001"/>
    <s v="07-000405"/>
    <x v="1"/>
    <s v="91.06.02.01"/>
    <s v="V9R_903"/>
    <s v="Peaje 24994"/>
    <s v="20550033519"/>
    <s v="CONCESIONARIA PERUANA DE VIAS-COVINCA S.A."/>
    <x v="0"/>
    <s v="FACTURA"/>
    <s v="FA02"/>
    <n v="805263"/>
    <n v="20"/>
    <m/>
    <n v="3.5999999999999996"/>
    <m/>
    <n v="0"/>
    <n v="23.6"/>
    <m/>
    <m/>
    <m/>
    <m/>
    <s v="24994"/>
    <s v="63.1.1.3.02"/>
    <s v="Peaje 24994"/>
    <x v="8"/>
  </r>
  <r>
    <s v="25/07/2025"/>
    <x v="1"/>
    <s v="001"/>
    <s v="07-000406"/>
    <x v="1"/>
    <s v="91.06.02.01"/>
    <s v="V9R_903"/>
    <s v="Peaje 25089"/>
    <s v="20517252558"/>
    <s v="CONCESIONARIA VIAL DEL SUR S.A.- COVISUR S.A."/>
    <x v="0"/>
    <s v="FACTURA"/>
    <s v="F214"/>
    <n v="2123298"/>
    <n v="10.17"/>
    <m/>
    <n v="1.8306"/>
    <m/>
    <n v="0"/>
    <n v="12"/>
    <m/>
    <m/>
    <m/>
    <m/>
    <s v="25089"/>
    <s v="63.1.1.3.02"/>
    <s v="Peaje 25089"/>
    <x v="8"/>
  </r>
  <r>
    <s v="25/07/2025"/>
    <x v="1"/>
    <s v="001"/>
    <s v="07-000407"/>
    <x v="1"/>
    <s v="91.06.02.01"/>
    <s v="V9R_903"/>
    <s v="Peaje 25088"/>
    <s v="20517252558"/>
    <s v="CONCESIONARIA VIAL DEL SUR S.A.- COVISUR S.A."/>
    <x v="0"/>
    <s v="FACTURA"/>
    <s v="F211"/>
    <n v="2411585"/>
    <n v="10.17"/>
    <m/>
    <n v="1.8306"/>
    <m/>
    <n v="0"/>
    <n v="12"/>
    <m/>
    <m/>
    <m/>
    <m/>
    <s v="25088"/>
    <s v="63.1.1.3.02"/>
    <s v="Peaje 25088"/>
    <x v="8"/>
  </r>
  <r>
    <s v="25/07/2025"/>
    <x v="1"/>
    <s v="001"/>
    <s v="07-000408"/>
    <x v="1"/>
    <s v="91.06.02.01"/>
    <s v="V9R_903"/>
    <s v="Peaje 25087"/>
    <s v="20517252558"/>
    <s v="CONCESIONARIA VIAL DEL SUR S.A.- COVISUR S.A."/>
    <x v="0"/>
    <s v="FACTURA"/>
    <s v="F213"/>
    <n v="1814296"/>
    <n v="10.17"/>
    <m/>
    <n v="1.8306"/>
    <m/>
    <n v="0"/>
    <n v="12"/>
    <m/>
    <m/>
    <m/>
    <m/>
    <s v="25087"/>
    <s v="63.1.1.3.02"/>
    <s v="Peaje 25087"/>
    <x v="8"/>
  </r>
  <r>
    <s v="31/07/2025"/>
    <x v="1"/>
    <s v="001"/>
    <s v="07-000409"/>
    <x v="1"/>
    <s v="91.06.02.01"/>
    <s v="V9R_903"/>
    <s v="Peaje 25086"/>
    <s v="20517252558"/>
    <s v="CONCESIONARIA VIAL DEL SUR S.A.- COVISUR S.A."/>
    <x v="0"/>
    <s v="FACTURA"/>
    <s v="F211"/>
    <n v="2417743"/>
    <n v="10.17"/>
    <m/>
    <n v="1.8306"/>
    <m/>
    <n v="0"/>
    <n v="12"/>
    <m/>
    <m/>
    <m/>
    <m/>
    <s v="25086"/>
    <s v="63.1.1.3.02"/>
    <s v="Peaje 25086"/>
    <x v="8"/>
  </r>
  <r>
    <s v="31/07/2025"/>
    <x v="1"/>
    <s v="001"/>
    <s v="07-000410"/>
    <x v="1"/>
    <s v="91.06.02.01"/>
    <s v="V9R_903"/>
    <s v="Peaje 25085"/>
    <s v="20517252558"/>
    <s v="CONCESIONARIA VIAL DEL SUR S.A.- COVISUR S.A."/>
    <x v="0"/>
    <s v="FACTURA"/>
    <s v="F214"/>
    <n v="2129252"/>
    <n v="10.17"/>
    <m/>
    <n v="1.8306"/>
    <m/>
    <n v="0"/>
    <n v="12"/>
    <m/>
    <m/>
    <m/>
    <m/>
    <s v="25085"/>
    <s v="63.1.1.3.02"/>
    <s v="Peaje 25085"/>
    <x v="8"/>
  </r>
  <r>
    <s v="25/07/2025"/>
    <x v="1"/>
    <s v="001"/>
    <s v="07-000411"/>
    <x v="1"/>
    <s v="91.06.02.01"/>
    <s v="V9R_903"/>
    <s v="Peaje 25012"/>
    <s v="20517252558"/>
    <s v="CONCESIONARIA VIAL DEL SUR S.A.- COVISUR S.A."/>
    <x v="0"/>
    <s v="FACTURA"/>
    <s v="F211"/>
    <n v="2410692"/>
    <n v="10.17"/>
    <m/>
    <n v="1.8306"/>
    <m/>
    <n v="0"/>
    <n v="12"/>
    <m/>
    <m/>
    <m/>
    <m/>
    <s v="25012"/>
    <s v="63.1.1.3.02"/>
    <s v="Peaje 25012"/>
    <x v="8"/>
  </r>
  <r>
    <s v="24/07/2025"/>
    <x v="1"/>
    <s v="001"/>
    <s v="07-000412"/>
    <x v="1"/>
    <s v="91.06.02.01"/>
    <s v="V9R_903"/>
    <s v="Peaje 25011"/>
    <s v="20517252558"/>
    <s v="CONCESIONARIA VIAL DEL SUR S.A.- COVISUR S.A."/>
    <x v="0"/>
    <s v="FACTURA"/>
    <s v="F213"/>
    <n v="1813101"/>
    <n v="10.17"/>
    <m/>
    <n v="1.8306"/>
    <m/>
    <n v="0"/>
    <n v="12"/>
    <m/>
    <m/>
    <m/>
    <m/>
    <s v="25011"/>
    <s v="63.1.1.3.03"/>
    <s v="Peaje 25011"/>
    <x v="7"/>
  </r>
  <r>
    <s v="24/07/2025"/>
    <x v="1"/>
    <s v="001"/>
    <s v="07-000413"/>
    <x v="1"/>
    <s v="91.06.02.01"/>
    <s v="V9R_903"/>
    <s v="Peaje 25010"/>
    <s v="20517252558"/>
    <s v="CONCESIONARIA VIAL DEL SUR S.A.- COVISUR S.A."/>
    <x v="0"/>
    <s v="FACTURA"/>
    <s v="F211"/>
    <n v="2409485"/>
    <n v="10.17"/>
    <m/>
    <n v="1.8306"/>
    <m/>
    <n v="0"/>
    <n v="12"/>
    <m/>
    <m/>
    <m/>
    <m/>
    <s v="25010"/>
    <s v="63.1.1.3.03"/>
    <s v="Peaje 25010"/>
    <x v="7"/>
  </r>
  <r>
    <s v="22/07/2025"/>
    <x v="1"/>
    <s v="001"/>
    <s v="07-000414"/>
    <x v="1"/>
    <s v="91.06.02.01"/>
    <s v="V9R_903"/>
    <s v="Peaje 24995"/>
    <s v="20517252558"/>
    <s v="CONCESIONARIA VIAL DEL SUR S.A.- COVISUR S.A."/>
    <x v="0"/>
    <s v="FACTURA"/>
    <s v="F214"/>
    <n v="2119405"/>
    <n v="10.17"/>
    <m/>
    <n v="1.8306"/>
    <m/>
    <n v="0"/>
    <n v="12"/>
    <m/>
    <m/>
    <m/>
    <m/>
    <s v="24995"/>
    <s v="63.1.1.3.03"/>
    <s v="Peaje 24995"/>
    <x v="7"/>
  </r>
  <r>
    <s v="21/07/2025"/>
    <x v="1"/>
    <s v="001"/>
    <s v="07-000415"/>
    <x v="1"/>
    <s v="91.06.02.01"/>
    <s v="V9R_903"/>
    <s v="Peaje 24985"/>
    <s v="20503503639"/>
    <s v="PROYECTO ESPECIAL DE INFRAESTRUCTURA DE TRANSPORTE NACIONAL - PROVIAS NACIONAL"/>
    <x v="0"/>
    <s v="FACTURA"/>
    <s v="A3YA"/>
    <n v="1447"/>
    <m/>
    <m/>
    <m/>
    <m/>
    <n v="19.5"/>
    <n v="19.5"/>
    <m/>
    <m/>
    <m/>
    <m/>
    <s v="24985"/>
    <s v="63.1.1.3.03"/>
    <s v="Peaje 24985"/>
    <x v="7"/>
  </r>
  <r>
    <s v="21/07/2025"/>
    <x v="1"/>
    <s v="001"/>
    <s v="07-000416"/>
    <x v="1"/>
    <s v="91.06.02.01"/>
    <s v="V9R_903"/>
    <s v="Peaje 24984"/>
    <s v="20503503639"/>
    <s v="PROYECTO ESPECIAL DE INFRAESTRUCTURA DE TRANSPORTE NACIONAL - PROVIAS NACIONAL"/>
    <x v="0"/>
    <s v="FACTURA"/>
    <s v="A3NA"/>
    <n v="8960"/>
    <m/>
    <m/>
    <m/>
    <m/>
    <n v="19.5"/>
    <n v="19.5"/>
    <m/>
    <m/>
    <m/>
    <m/>
    <s v="24984"/>
    <s v="63.1.1.3.03"/>
    <s v="Peaje 24984"/>
    <x v="7"/>
  </r>
  <r>
    <s v="22/07/2025"/>
    <x v="1"/>
    <s v="001"/>
    <s v="07-000417"/>
    <x v="1"/>
    <s v="91.06.02.01"/>
    <s v="V9R_903"/>
    <s v="Peaje 24992"/>
    <s v="20503503639"/>
    <s v="PROYECTO ESPECIAL DE INFRAESTRUCTURA DE TRANSPORTE NACIONAL - PROVIAS NACIONAL"/>
    <x v="0"/>
    <s v="FACTURA"/>
    <s v="A3AT"/>
    <n v="6712"/>
    <m/>
    <m/>
    <m/>
    <m/>
    <n v="19.5"/>
    <n v="19.5"/>
    <m/>
    <m/>
    <m/>
    <m/>
    <s v="24992"/>
    <s v="63.1.1.3.03"/>
    <s v="Peaje 24992"/>
    <x v="7"/>
  </r>
  <r>
    <s v="21/07/2025"/>
    <x v="1"/>
    <s v="001"/>
    <s v="07-000418"/>
    <x v="1"/>
    <s v="91.06.02.01"/>
    <s v="V9R_903"/>
    <s v="Peaje 24972"/>
    <s v="20511465061"/>
    <s v="CONCESIONARIA VIAL DEL PERU S.A."/>
    <x v="0"/>
    <s v="FACTURA"/>
    <s v="F301"/>
    <n v="2551615"/>
    <n v="49.32"/>
    <m/>
    <n v="8.8775999999999993"/>
    <m/>
    <n v="0"/>
    <n v="58.2"/>
    <m/>
    <m/>
    <m/>
    <m/>
    <s v="24972"/>
    <s v="63.1.1.3.03"/>
    <s v="Peaje 24972"/>
    <x v="7"/>
  </r>
  <r>
    <s v="21/07/2025"/>
    <x v="1"/>
    <s v="001"/>
    <s v="07-000419"/>
    <x v="1"/>
    <s v="91.06.02.01"/>
    <s v="V9R_903"/>
    <s v="Peaje 24971"/>
    <s v="20511465061"/>
    <s v="CONCESIONARIA VIAL DEL PERU S.A."/>
    <x v="0"/>
    <s v="FACTURA"/>
    <s v="F102"/>
    <n v="3085345"/>
    <n v="49.32"/>
    <m/>
    <n v="8.8775999999999993"/>
    <m/>
    <n v="0"/>
    <n v="58.2"/>
    <m/>
    <m/>
    <m/>
    <m/>
    <s v="24971"/>
    <s v="63.1.1.3.03"/>
    <s v="Peaje 24971"/>
    <x v="7"/>
  </r>
  <r>
    <s v="18/07/2025"/>
    <x v="1"/>
    <s v="001"/>
    <s v="07-000420"/>
    <x v="1"/>
    <s v="91.06.02.01"/>
    <s v="V9R_903"/>
    <s v="Peaje 24929"/>
    <s v="20511465061"/>
    <s v="CONCESIONARIA VIAL DEL PERU S.A."/>
    <x v="0"/>
    <s v="FACTURA"/>
    <s v="F204"/>
    <n v="2916277"/>
    <n v="49.32"/>
    <m/>
    <n v="8.8775999999999993"/>
    <m/>
    <n v="0"/>
    <n v="58.2"/>
    <m/>
    <m/>
    <m/>
    <m/>
    <s v="24929"/>
    <s v="63.1.1.3.02"/>
    <s v="Peaje 24929"/>
    <x v="8"/>
  </r>
  <r>
    <s v="17/07/2025"/>
    <x v="1"/>
    <s v="001"/>
    <s v="07-000421"/>
    <x v="1"/>
    <s v="91.06.02.01"/>
    <s v="V9R_903"/>
    <s v="Peaje 24920"/>
    <s v="20550033519"/>
    <s v="CONCESIONARIA PERUANA DE VIAS-COVINCA S.A."/>
    <x v="0"/>
    <s v="FACTURA"/>
    <s v="FG01"/>
    <n v="634203"/>
    <n v="20"/>
    <m/>
    <n v="3.5999999999999996"/>
    <m/>
    <n v="0"/>
    <n v="23.6"/>
    <m/>
    <m/>
    <m/>
    <m/>
    <s v="24920"/>
    <s v="63.1.1.3.02"/>
    <s v="Peaje 24920"/>
    <x v="8"/>
  </r>
  <r>
    <s v="21/07/2025"/>
    <x v="1"/>
    <s v="001"/>
    <s v="07-000422"/>
    <x v="1"/>
    <s v="91.06.02.01"/>
    <s v="V9R_903"/>
    <s v="Peaje 24970"/>
    <s v="20550372640"/>
    <s v="RUTAS DE LIMA S.A.C."/>
    <x v="0"/>
    <s v="FACTURA"/>
    <s v="F226"/>
    <n v="1271651"/>
    <n v="19.07"/>
    <m/>
    <n v="3.4325999999999999"/>
    <m/>
    <n v="0"/>
    <n v="22.5"/>
    <m/>
    <m/>
    <m/>
    <m/>
    <s v="24970"/>
    <s v="63.1.1.3.03"/>
    <s v="Peaje 24970"/>
    <x v="7"/>
  </r>
  <r>
    <s v="18/07/2025"/>
    <x v="1"/>
    <s v="001"/>
    <s v="07-000423"/>
    <x v="1"/>
    <s v="91.06.02.01"/>
    <s v="V9R_903"/>
    <s v="Peaje 24949"/>
    <s v="20550372640"/>
    <s v="RUTAS DE LIMA S.A.C."/>
    <x v="0"/>
    <s v="FACTURA"/>
    <s v="F603"/>
    <n v="3059685"/>
    <n v="19.07"/>
    <m/>
    <n v="3.4325999999999999"/>
    <m/>
    <n v="0"/>
    <n v="22.5"/>
    <m/>
    <m/>
    <m/>
    <m/>
    <s v="24949"/>
    <s v="63.1.1.3.02"/>
    <s v="Peaje 24949"/>
    <x v="8"/>
  </r>
  <r>
    <s v="16/07/2025"/>
    <x v="1"/>
    <s v="001"/>
    <s v="07-000424"/>
    <x v="1"/>
    <s v="91.06.02.01"/>
    <s v="V9R_903"/>
    <s v="Peaje 24898"/>
    <s v="20517252558"/>
    <s v="CONCESIONARIA VIAL DEL SUR S.A.- COVISUR S.A."/>
    <x v="0"/>
    <s v="FACTURA"/>
    <s v="F211"/>
    <n v="2399592"/>
    <n v="10.17"/>
    <m/>
    <n v="1.8306"/>
    <m/>
    <n v="0"/>
    <n v="12"/>
    <m/>
    <m/>
    <m/>
    <m/>
    <s v="24898"/>
    <s v="63.1.1.3.03"/>
    <s v="Peaje 24898"/>
    <x v="7"/>
  </r>
  <r>
    <s v="14/07/2025"/>
    <x v="1"/>
    <s v="001"/>
    <s v="07-000425"/>
    <x v="1"/>
    <s v="91.06.02.01"/>
    <s v="V9R_903"/>
    <s v="Peaje 24886"/>
    <s v="20517252558"/>
    <s v="CONCESIONARIA VIAL DEL SUR S.A.- COVISUR S.A."/>
    <x v="0"/>
    <s v="FACTURA"/>
    <s v="F213"/>
    <n v="1803253"/>
    <n v="10.17"/>
    <m/>
    <n v="1.8306"/>
    <m/>
    <n v="0"/>
    <n v="12"/>
    <m/>
    <m/>
    <m/>
    <m/>
    <s v="24886"/>
    <s v="63.1.1.3.03"/>
    <s v="Peaje 24886"/>
    <x v="7"/>
  </r>
  <r>
    <s v="14/07/2025"/>
    <x v="1"/>
    <s v="001"/>
    <s v="07-000426"/>
    <x v="1"/>
    <s v="91.06.02.01"/>
    <s v="V9R_903"/>
    <s v="Peaje 24885"/>
    <s v="20517252558"/>
    <s v="CONCESIONARIA VIAL DEL SUR S.A.- COVISUR S.A."/>
    <x v="0"/>
    <s v="FACTURA"/>
    <s v="F211"/>
    <n v="2397176"/>
    <n v="10.17"/>
    <m/>
    <n v="1.8306"/>
    <m/>
    <n v="0"/>
    <n v="12"/>
    <m/>
    <m/>
    <m/>
    <m/>
    <s v="24885"/>
    <s v="63.1.1.3.02"/>
    <s v="Peaje 24885"/>
    <x v="8"/>
  </r>
  <r>
    <s v="21/07/2025"/>
    <x v="1"/>
    <s v="001"/>
    <s v="07-000427"/>
    <x v="1"/>
    <s v="91.06.02.07"/>
    <s v="VDJ_872"/>
    <s v="Peaje 25076"/>
    <s v="20517252558"/>
    <s v="CONCESIONARIA VIAL DEL SUR S.A.- COVISUR S.A."/>
    <x v="0"/>
    <s v="FACTURA"/>
    <s v="F212"/>
    <n v="1790082"/>
    <n v="6.78"/>
    <m/>
    <n v="1.2203999999999999"/>
    <m/>
    <n v="0"/>
    <n v="8"/>
    <m/>
    <m/>
    <m/>
    <m/>
    <s v="25076"/>
    <s v="63.1.1.3.02"/>
    <s v="Peaje 25076"/>
    <x v="8"/>
  </r>
  <r>
    <s v="21/07/2025"/>
    <x v="1"/>
    <s v="001"/>
    <s v="07-000428"/>
    <x v="1"/>
    <s v="91.06.02.03"/>
    <s v="BKL_739"/>
    <s v="Balanza 24964"/>
    <s v="20259858934"/>
    <s v="COMERCIALIZACION Y SERVICIOS EL EDEN S.A.C."/>
    <x v="0"/>
    <s v="FACTURA"/>
    <s v="FE02"/>
    <n v="17052"/>
    <n v="16.95"/>
    <m/>
    <n v="3.0509999999999997"/>
    <m/>
    <n v="0"/>
    <n v="20"/>
    <m/>
    <m/>
    <m/>
    <m/>
    <s v="24964"/>
    <s v="63.1.1.7.02"/>
    <s v="Balanza 24964"/>
    <x v="1"/>
  </r>
  <r>
    <s v="21/07/2025"/>
    <x v="1"/>
    <s v="001"/>
    <s v="07-000429"/>
    <x v="1"/>
    <s v="91.06.02.03"/>
    <s v="BKL_739"/>
    <s v="Peaje 24963"/>
    <s v="20517252558"/>
    <s v="CONCESIONARIA VIAL DEL SUR S.A.- COVISUR S.A."/>
    <x v="0"/>
    <s v="FACTURA"/>
    <s v="F213"/>
    <n v="1810313"/>
    <n v="6.78"/>
    <m/>
    <n v="1.2203999999999999"/>
    <m/>
    <n v="0"/>
    <n v="8"/>
    <m/>
    <m/>
    <m/>
    <m/>
    <s v="24963"/>
    <s v="63.1.1.3.03"/>
    <s v="Peaje 24963"/>
    <x v="7"/>
  </r>
  <r>
    <s v="21/07/2025"/>
    <x v="1"/>
    <s v="001"/>
    <s v="07-000430"/>
    <x v="1"/>
    <s v="91.06.02.03"/>
    <s v="BKL_739"/>
    <s v="Peaje 24961"/>
    <s v="20517252558"/>
    <s v="CONCESIONARIA VIAL DEL SUR S.A.- COVISUR S.A."/>
    <x v="0"/>
    <s v="FACTURA"/>
    <s v="F211"/>
    <n v="2405741"/>
    <n v="6.78"/>
    <m/>
    <n v="1.2203999999999999"/>
    <m/>
    <n v="0"/>
    <n v="8"/>
    <m/>
    <m/>
    <m/>
    <m/>
    <s v="24961"/>
    <s v="63.1.1.3.03"/>
    <s v="Peaje 24961"/>
    <x v="7"/>
  </r>
  <r>
    <s v="31/07/2025"/>
    <x v="1"/>
    <s v="001"/>
    <s v="07-000431"/>
    <x v="1"/>
    <s v="91.06.02.02"/>
    <s v="BKK_849"/>
    <s v="Balanza 25056"/>
    <s v="20259858934"/>
    <s v="COMERCIALIZACION Y SERVICIOS EL EDEN S.A.C."/>
    <x v="0"/>
    <s v="FACTURA"/>
    <s v="FE01"/>
    <n v="35254"/>
    <n v="8.4700000000000006"/>
    <m/>
    <n v="1.5246"/>
    <m/>
    <n v="0"/>
    <n v="10"/>
    <m/>
    <m/>
    <m/>
    <m/>
    <s v="25056"/>
    <s v="63.1.1.7.01"/>
    <s v="Balanza 25056"/>
    <x v="11"/>
  </r>
  <r>
    <s v="31/07/2025"/>
    <x v="1"/>
    <s v="001"/>
    <s v="07-000432"/>
    <x v="1"/>
    <s v="91.06.02.02"/>
    <s v="BKK_849"/>
    <s v="Balanza 25055"/>
    <s v="20259858934"/>
    <s v="COMERCIALIZACION Y SERVICIOS EL EDEN S.A.C."/>
    <x v="0"/>
    <s v="FACTURA"/>
    <s v="FE01"/>
    <n v="35252"/>
    <n v="8.4700000000000006"/>
    <m/>
    <n v="1.5246"/>
    <m/>
    <n v="0"/>
    <n v="10"/>
    <m/>
    <m/>
    <m/>
    <m/>
    <s v="25255"/>
    <s v="63.1.1.7.01"/>
    <s v="Balanza 25055"/>
    <x v="11"/>
  </r>
  <r>
    <s v="31/07/2025"/>
    <x v="1"/>
    <s v="001"/>
    <s v="07-000433"/>
    <x v="1"/>
    <s v="91.06.02.02"/>
    <s v="BKK_849"/>
    <s v="Lavado 25007"/>
    <s v="10705628331"/>
    <s v="LARICO APAZA NANCY ROSSMARY"/>
    <x v="0"/>
    <s v="FACTURA"/>
    <s v="F001"/>
    <n v="18989"/>
    <n v="21.19"/>
    <m/>
    <n v="3.8142"/>
    <m/>
    <n v="0"/>
    <n v="25"/>
    <m/>
    <m/>
    <m/>
    <m/>
    <s v="25007"/>
    <s v="63.1.1.5.01"/>
    <s v="Lavado 25007"/>
    <x v="14"/>
  </r>
  <r>
    <s v="30/07/2025"/>
    <x v="1"/>
    <s v="001"/>
    <s v="07-000434"/>
    <x v="1"/>
    <s v="91.06.02.02"/>
    <s v="BKK_849"/>
    <s v="Peaje 25054"/>
    <s v="20517252558"/>
    <s v="CONCESIONARIA VIAL DEL SUR S.A.- COVISUR S.A."/>
    <x v="0"/>
    <s v="FACTURA"/>
    <s v="F213"/>
    <n v="1818299"/>
    <n v="6.78"/>
    <m/>
    <n v="1.2203999999999999"/>
    <m/>
    <n v="0"/>
    <n v="8"/>
    <m/>
    <m/>
    <m/>
    <m/>
    <s v="25054"/>
    <s v="63.1.1.3.02"/>
    <s v="Peaje 25054"/>
    <x v="8"/>
  </r>
  <r>
    <s v="30/07/2025"/>
    <x v="1"/>
    <s v="001"/>
    <s v="07-000435"/>
    <x v="1"/>
    <s v="91.06.02.02"/>
    <s v="BKK_849"/>
    <s v="Peaje 25053"/>
    <s v="20517252558"/>
    <s v="CONCESIONARIA VIAL DEL SUR S.A.- COVISUR S.A."/>
    <x v="0"/>
    <s v="FACTURA"/>
    <s v="F212"/>
    <n v="1797918"/>
    <n v="6.78"/>
    <m/>
    <n v="1.2203999999999999"/>
    <m/>
    <n v="0"/>
    <n v="8"/>
    <m/>
    <m/>
    <m/>
    <m/>
    <s v="25053"/>
    <s v="63.1.1.3.02"/>
    <s v="Peaje 25053"/>
    <x v="8"/>
  </r>
  <r>
    <s v="16/06/2025"/>
    <x v="1"/>
    <s v="001"/>
    <s v="07-000437"/>
    <x v="0"/>
    <m/>
    <m/>
    <m/>
    <s v="20609764261"/>
    <s v="MGM MONTACARGAS &amp; GRUAS S.A.C."/>
    <x v="0"/>
    <s v="FACTURA"/>
    <s v="E001"/>
    <s v="2294"/>
    <n v="80"/>
    <m/>
    <n v="14.4"/>
    <m/>
    <n v="0"/>
    <n v="94.4"/>
    <m/>
    <m/>
    <m/>
    <m/>
    <m/>
    <m/>
    <m/>
    <x v="0"/>
  </r>
  <r>
    <s v="24/07/2025"/>
    <x v="1"/>
    <s v="001"/>
    <s v="07-000438"/>
    <x v="1"/>
    <s v="91.06.01"/>
    <s v="Operaciones"/>
    <s v="Disposicion de residuos peligrosos"/>
    <s v="20302891452"/>
    <s v="INNOVA AMBIENTAL S.A."/>
    <x v="0"/>
    <s v="FACTURA"/>
    <s v="F001"/>
    <n v="20817"/>
    <n v="11352.8"/>
    <m/>
    <n v="2043.5039999999999"/>
    <m/>
    <n v="0"/>
    <n v="13396.3"/>
    <m/>
    <m/>
    <m/>
    <m/>
    <s v="NRO.DET 278079688"/>
    <s v="63.9.9.1.04.01"/>
    <s v="Disposicion de residuos peligrosos"/>
    <x v="20"/>
  </r>
  <r>
    <s v="24/07/2025"/>
    <x v="1"/>
    <s v="001"/>
    <s v="07-000439"/>
    <x v="1"/>
    <s v="91.06.01"/>
    <s v="Operaciones"/>
    <s v="Alimentacion"/>
    <s v="10296171315"/>
    <s v="SALCEDO ARMUTO DE DELGADO BENIGNA"/>
    <x v="1"/>
    <s v="BOLETA DE VENTA"/>
    <s v="002"/>
    <n v="28"/>
    <m/>
    <m/>
    <m/>
    <m/>
    <n v="30"/>
    <n v="30"/>
    <m/>
    <m/>
    <m/>
    <m/>
    <m/>
    <s v="63.1.4.1.01"/>
    <s v="Alimentacion"/>
    <x v="9"/>
  </r>
  <r>
    <s v="21/07/2025"/>
    <x v="1"/>
    <s v="001"/>
    <s v="07-000440"/>
    <x v="0"/>
    <m/>
    <m/>
    <m/>
    <s v="20601978572"/>
    <s v="LA POSITIVA S.A. ENTIDAD PRESTADORA DE SALUD"/>
    <x v="0"/>
    <s v="FACTURA"/>
    <s v="F040"/>
    <s v="536940"/>
    <n v="2013.66"/>
    <m/>
    <n v="362.46"/>
    <m/>
    <n v="0"/>
    <n v="2376.12"/>
    <m/>
    <m/>
    <m/>
    <m/>
    <m/>
    <m/>
    <m/>
    <x v="0"/>
  </r>
  <r>
    <s v="21/07/2025"/>
    <x v="1"/>
    <s v="001"/>
    <s v="07-000441"/>
    <x v="0"/>
    <m/>
    <m/>
    <m/>
    <s v="20454073143"/>
    <s v="LA POSITIVA VIDA SEGUROS Y REASEGUROS"/>
    <x v="0"/>
    <s v="FACTURA"/>
    <s v="F040"/>
    <s v="687187"/>
    <n v="928.83"/>
    <m/>
    <n v="167.19"/>
    <m/>
    <n v="0"/>
    <n v="1096.02"/>
    <m/>
    <m/>
    <m/>
    <m/>
    <m/>
    <m/>
    <m/>
    <x v="0"/>
  </r>
  <r>
    <s v="25/07/2025"/>
    <x v="1"/>
    <s v="001"/>
    <s v="07-000442"/>
    <x v="0"/>
    <m/>
    <m/>
    <m/>
    <s v="20332970411"/>
    <s v="PACIFICO COMPAÑIA DE SEGUROS Y REASEGUROS"/>
    <x v="0"/>
    <s v="FACTURA"/>
    <s v="F050"/>
    <s v="1832633"/>
    <n v="504.92"/>
    <m/>
    <n v="90.89"/>
    <m/>
    <n v="0"/>
    <n v="595.80999999999995"/>
    <m/>
    <m/>
    <m/>
    <m/>
    <m/>
    <m/>
    <m/>
    <x v="0"/>
  </r>
  <r>
    <s v="24/07/2025"/>
    <x v="1"/>
    <s v="001"/>
    <s v="07-000443"/>
    <x v="1"/>
    <s v="91.06.02.08"/>
    <s v="Montacarga"/>
    <s v="Mantenimiento Preventivo RQ.OPE.1169 OS 006_163"/>
    <s v="10440377497"/>
    <s v="GONZALES CABRERA JUAN MIGUEL"/>
    <x v="0"/>
    <s v="FACTURA"/>
    <s v="E001"/>
    <n v="221"/>
    <n v="152.54"/>
    <m/>
    <n v="27.457199999999997"/>
    <m/>
    <n v="0"/>
    <n v="180"/>
    <m/>
    <m/>
    <m/>
    <m/>
    <m/>
    <s v="63.4.3.3.02"/>
    <s v="Mantenimiento Preventivo RQ.OPE.1169 OS 006_163"/>
    <x v="15"/>
  </r>
  <r>
    <s v="30/07/2025"/>
    <x v="1"/>
    <s v="001"/>
    <s v="07-000444"/>
    <x v="1"/>
    <s v="91.06.01"/>
    <s v="Operaciones"/>
    <s v="Alquiler de montacarga RQ.OPE.1324"/>
    <s v="20609764261"/>
    <s v="MGM MONTACARGAS &amp; GRUAS S.A.C."/>
    <x v="0"/>
    <s v="FACTURA"/>
    <s v="E001"/>
    <n v="2420"/>
    <n v="60"/>
    <m/>
    <n v="10.799999999999999"/>
    <m/>
    <n v="0"/>
    <n v="70.8"/>
    <m/>
    <m/>
    <m/>
    <m/>
    <m/>
    <s v="63.5.4.1.01"/>
    <s v="Alquiler de montacarga RQ.OPE.1324"/>
    <x v="16"/>
  </r>
  <r>
    <s v="30/07/2025"/>
    <x v="1"/>
    <s v="001"/>
    <s v="07-000445"/>
    <x v="1"/>
    <s v="91.06.01"/>
    <s v="Operaciones"/>
    <s v="Alquiler de montacarga RQ.OPE.1324"/>
    <s v="20609764261"/>
    <s v="MGM MONTACARGAS &amp; GRUAS S.A.C."/>
    <x v="0"/>
    <s v="FACTURA"/>
    <s v="E001"/>
    <n v="2419"/>
    <n v="80"/>
    <m/>
    <n v="14.399999999999999"/>
    <m/>
    <n v="0"/>
    <n v="94.4"/>
    <m/>
    <m/>
    <m/>
    <m/>
    <m/>
    <s v="63.5.4.1.01"/>
    <s v="Alquiler de montacarga RQ.OPE.1324"/>
    <x v="16"/>
  </r>
  <r>
    <s v="22/07/2025"/>
    <x v="1"/>
    <s v="001"/>
    <s v="07-000446"/>
    <x v="1"/>
    <s v="91.06.01"/>
    <s v="Operaciones"/>
    <s v="Alquiler de montacarga RQ.OPE.1293"/>
    <s v="20609764261"/>
    <s v="MGM MONTACARGAS &amp; GRUAS S.A.C."/>
    <x v="0"/>
    <s v="FACTURA"/>
    <s v="E001"/>
    <n v="2401"/>
    <n v="80"/>
    <m/>
    <n v="14.399999999999999"/>
    <m/>
    <n v="0"/>
    <n v="94.4"/>
    <m/>
    <m/>
    <m/>
    <m/>
    <m/>
    <s v="63.5.4.1.01"/>
    <s v="Alquiler de montacarga RQ.OPE.1293"/>
    <x v="16"/>
  </r>
  <r>
    <s v="26/06/2025"/>
    <x v="1"/>
    <s v="001"/>
    <s v="07-000447"/>
    <x v="0"/>
    <m/>
    <m/>
    <m/>
    <s v="20609764261"/>
    <s v="MGM MONTACARGAS &amp; GRUAS S.A.C."/>
    <x v="0"/>
    <s v="FACTURA"/>
    <s v="E001"/>
    <s v="2338"/>
    <n v="187.5"/>
    <m/>
    <n v="33.75"/>
    <m/>
    <n v="0"/>
    <n v="221.25"/>
    <m/>
    <m/>
    <m/>
    <m/>
    <m/>
    <m/>
    <m/>
    <x v="0"/>
  </r>
  <r>
    <s v="26/06/2025"/>
    <x v="1"/>
    <s v="001"/>
    <s v="07-000448"/>
    <x v="0"/>
    <m/>
    <m/>
    <m/>
    <s v="20609764261"/>
    <s v="MGM MONTACARGAS &amp; GRUAS S.A.C."/>
    <x v="0"/>
    <s v="FACTURA"/>
    <s v="E001"/>
    <s v="2337"/>
    <n v="80"/>
    <m/>
    <n v="14.4"/>
    <m/>
    <n v="0"/>
    <n v="94.4"/>
    <m/>
    <m/>
    <m/>
    <m/>
    <m/>
    <m/>
    <m/>
    <x v="0"/>
  </r>
  <r>
    <s v="28/06/2025"/>
    <x v="1"/>
    <s v="001"/>
    <s v="07-000449"/>
    <x v="0"/>
    <m/>
    <m/>
    <m/>
    <s v="20429640939"/>
    <s v="EMPRESA DE TRANSPORTES DE CARGA COSISE S.A.C."/>
    <x v="0"/>
    <s v="FACTURA"/>
    <s v="F002"/>
    <s v="1802"/>
    <n v="2245.7600000000002"/>
    <m/>
    <n v="404.24"/>
    <m/>
    <n v="0"/>
    <n v="2650"/>
    <s v="278568676"/>
    <s v="12/08/2025"/>
    <m/>
    <m/>
    <m/>
    <m/>
    <m/>
    <x v="0"/>
  </r>
  <r>
    <s v="26/06/2025"/>
    <x v="1"/>
    <s v="001"/>
    <s v="07-000450"/>
    <x v="0"/>
    <m/>
    <m/>
    <m/>
    <s v="20601883270"/>
    <s v="GRUPO TRANSPORTES SIVER S.A.C."/>
    <x v="0"/>
    <s v="FACTURA"/>
    <s v="E001"/>
    <s v="419"/>
    <n v="1700"/>
    <m/>
    <n v="306"/>
    <m/>
    <n v="0"/>
    <n v="2006"/>
    <s v="279414465"/>
    <s v="20/08/2025"/>
    <m/>
    <m/>
    <m/>
    <m/>
    <m/>
    <x v="0"/>
  </r>
  <r>
    <s v="30/06/2025"/>
    <x v="1"/>
    <s v="001"/>
    <s v="07-000451"/>
    <x v="0"/>
    <m/>
    <m/>
    <m/>
    <s v="20327998413"/>
    <s v="UNIVERSIDAD CATOLICA SAN PABLO"/>
    <x v="0"/>
    <s v="FACTURA"/>
    <s v="F001"/>
    <s v="4183"/>
    <n v="0"/>
    <m/>
    <n v="0"/>
    <m/>
    <n v="280"/>
    <n v="280"/>
    <m/>
    <m/>
    <m/>
    <m/>
    <m/>
    <m/>
    <m/>
    <x v="0"/>
  </r>
  <r>
    <s v="11/07/2025"/>
    <x v="1"/>
    <s v="001"/>
    <s v="07-000452"/>
    <x v="1"/>
    <s v="91.06.01"/>
    <s v="Operaciones"/>
    <s v="Alquiler de montacarga RQ.OPE.1327"/>
    <s v="20609764261"/>
    <s v="MGM MONTACARGAS &amp; GRUAS S.A.C."/>
    <x v="0"/>
    <s v="FACTURA"/>
    <s v="E001"/>
    <n v="2368"/>
    <n v="100"/>
    <m/>
    <n v="18"/>
    <m/>
    <n v="0"/>
    <n v="118"/>
    <m/>
    <m/>
    <m/>
    <m/>
    <m/>
    <s v="63.5.4.1.01"/>
    <s v="Alquiler de montacarga RQ.OPE.1327"/>
    <x v="16"/>
  </r>
  <r>
    <s v="11/07/2025"/>
    <x v="1"/>
    <s v="001"/>
    <s v="07-000453"/>
    <x v="1"/>
    <s v="91.06.01"/>
    <s v="Operaciones"/>
    <s v="Alquiler de montacraga RQ.OPE.1267"/>
    <s v="20609764261"/>
    <s v="MGM MONTACARGAS &amp; GRUAS S.A.C."/>
    <x v="0"/>
    <s v="FACTURA"/>
    <s v="E001"/>
    <n v="2369"/>
    <n v="150"/>
    <m/>
    <n v="27"/>
    <m/>
    <n v="0"/>
    <n v="177"/>
    <m/>
    <m/>
    <m/>
    <m/>
    <m/>
    <s v="63.5.4.1.01"/>
    <s v="Alquiler de montacraga RQ.OPE.1267"/>
    <x v="16"/>
  </r>
  <r>
    <s v="30/07/2025"/>
    <x v="1"/>
    <s v="001"/>
    <s v="07-000454"/>
    <x v="1"/>
    <s v="91.06.02.04"/>
    <s v="VBB_840"/>
    <s v="Mantenimiento Vehicular (Preventivo) RQ.OPE.1317 OS 006_164"/>
    <s v="15609125303"/>
    <s v="QUERALES RIVERO ELVIS ENRIQUE"/>
    <x v="0"/>
    <s v="FACTURA"/>
    <s v="E001"/>
    <n v="48"/>
    <n v="1339.5"/>
    <m/>
    <n v="241.10999999999999"/>
    <m/>
    <n v="0"/>
    <n v="1580.61"/>
    <m/>
    <m/>
    <m/>
    <m/>
    <m/>
    <s v="63.4.3.2.02"/>
    <s v="Mantenimiento Vehicular (Preventivo) RQ.OPE.1317 OS 006_164"/>
    <x v="3"/>
  </r>
  <r>
    <s v="30/07/2025"/>
    <x v="1"/>
    <s v="001"/>
    <s v="07-000455"/>
    <x v="1"/>
    <s v="91.06.02.04"/>
    <s v="VBB_840"/>
    <s v="Mantenimiento Vehicular (Preventivo) RQ.OPE.1317"/>
    <s v="15609125303"/>
    <s v="QUERALES RIVERO ELVIS ENRIQUE"/>
    <x v="0"/>
    <s v="FACTURA"/>
    <s v="E001"/>
    <n v="49"/>
    <n v="1200"/>
    <m/>
    <n v="216"/>
    <m/>
    <n v="0"/>
    <n v="1416"/>
    <m/>
    <m/>
    <m/>
    <m/>
    <m/>
    <s v="63.4.3.2.02"/>
    <s v="Mantenimiento Vehicular (Preventivo) RQ.OPE.1317"/>
    <x v="3"/>
  </r>
  <r>
    <s v="17/07/2025"/>
    <x v="1"/>
    <s v="001"/>
    <s v="07-000456"/>
    <x v="1"/>
    <s v="91.06.01"/>
    <s v="Operaciones"/>
    <s v="Alquiler de montacarga RQ.OPE.1327"/>
    <s v="20609764261"/>
    <s v="MGM MONTACARGAS &amp; GRUAS S.A.C."/>
    <x v="0"/>
    <s v="FACTURA"/>
    <s v="E001"/>
    <n v="2384"/>
    <n v="80"/>
    <m/>
    <n v="14.399999999999999"/>
    <m/>
    <n v="0"/>
    <n v="94.4"/>
    <m/>
    <m/>
    <m/>
    <m/>
    <m/>
    <s v="63.5.4.1.01"/>
    <s v="Alquiler de montacarga RQ.OPE.1327"/>
    <x v="16"/>
  </r>
  <r>
    <s v="25/07/2025"/>
    <x v="1"/>
    <s v="001"/>
    <s v="07-000457"/>
    <x v="1"/>
    <s v="91.06.01"/>
    <s v="Operaciones"/>
    <s v="Alquiler de montacarga RQ.OPE.1319"/>
    <s v="20603974817"/>
    <s v="TRANSPORTES, GRUAS Y MONTACARGAS AREQUIPA EMPRESA INDIVIDUAL DE RESPONSABILIDAD LIMITADA"/>
    <x v="0"/>
    <s v="FACTURA"/>
    <s v="E001"/>
    <n v="4083"/>
    <n v="170"/>
    <m/>
    <n v="30.599999999999998"/>
    <m/>
    <n v="0"/>
    <n v="200.6"/>
    <m/>
    <m/>
    <m/>
    <m/>
    <m/>
    <s v="63.5.4.1.01"/>
    <s v="Alquiler de montacarga RQ.OPE.1319"/>
    <x v="16"/>
  </r>
  <r>
    <s v="17/07/2025"/>
    <x v="1"/>
    <s v="001"/>
    <s v="07-000458"/>
    <x v="2"/>
    <s v="95.01"/>
    <s v="Comercial"/>
    <s v="Alquiler de montacarga RQ.OPE.1311 OS 005_681"/>
    <s v="20603974817"/>
    <s v="TRANSPORTES, GRUAS Y MONTACARGAS AREQUIPA EMPRESA INDIVIDUAL DE RESPONSABILIDAD LIMITADA"/>
    <x v="0"/>
    <s v="FACTURA"/>
    <s v="E001"/>
    <n v="4058"/>
    <n v="297.5"/>
    <m/>
    <n v="53.55"/>
    <m/>
    <n v="0"/>
    <n v="351.05"/>
    <m/>
    <m/>
    <m/>
    <m/>
    <m/>
    <s v="63.5.4.1.03"/>
    <s v="Alquiler de montacarga RQ.OPE.1311 OS 005_681"/>
    <x v="17"/>
  </r>
  <r>
    <s v="25/07/2025"/>
    <x v="1"/>
    <s v="001"/>
    <s v="07-000459"/>
    <x v="1"/>
    <s v="91.06.01"/>
    <s v="Operaciones"/>
    <s v="Alquiler de montacarga RQ.OPE.1322 OS 005_680"/>
    <s v="20603974817"/>
    <s v="TRANSPORTES, GRUAS Y MONTACARGAS AREQUIPA EMPRESA INDIVIDUAL DE RESPONSABILIDAD LIMITADA"/>
    <x v="0"/>
    <s v="FACTURA"/>
    <s v="E001"/>
    <n v="4081"/>
    <n v="382.5"/>
    <m/>
    <n v="68.849999999999994"/>
    <m/>
    <n v="0"/>
    <n v="451.35"/>
    <m/>
    <m/>
    <m/>
    <m/>
    <m/>
    <s v="63.5.4.1.01"/>
    <s v="Alquiler de montacarga RQ.OPE.1322 OS 005_680"/>
    <x v="16"/>
  </r>
  <r>
    <s v="14/07/2025"/>
    <x v="1"/>
    <s v="001"/>
    <s v="07-000460"/>
    <x v="2"/>
    <s v="95.01"/>
    <s v="Comercial"/>
    <s v="Transporte de carga RQ.COM.354  OS 005_675"/>
    <s v="20429640939"/>
    <s v="EMPRESA DE TRANSPORTES DE CARGA COSISE S.A.C."/>
    <x v="0"/>
    <s v="FACTURA"/>
    <s v="F002"/>
    <n v="1822"/>
    <n v="2245.7600000000002"/>
    <m/>
    <n v="404.23680000000002"/>
    <m/>
    <n v="0"/>
    <n v="2650"/>
    <s v="278568677"/>
    <s v="12/08/2025"/>
    <m/>
    <m/>
    <m/>
    <s v="63.1.1.1.02"/>
    <s v="Transporte de carga RQ.COM.354  OS 005_675"/>
    <x v="13"/>
  </r>
  <r>
    <s v="17/07/2025"/>
    <x v="1"/>
    <s v="001"/>
    <s v="07-000461"/>
    <x v="1"/>
    <s v="91.05.01"/>
    <s v="Residuos Aprovechables"/>
    <s v="Alambron OC 316"/>
    <s v="20100192064"/>
    <s v="MOLY-COP ADESUR S.A."/>
    <x v="0"/>
    <s v="FACTURA"/>
    <s v="F002"/>
    <n v="16475"/>
    <n v="305.44"/>
    <m/>
    <n v="54.979199999999999"/>
    <m/>
    <n v="0"/>
    <n v="360.41"/>
    <s v="278568678"/>
    <s v="12/08/2025"/>
    <m/>
    <m/>
    <s v="OC 316"/>
    <s v="60.2.1.1"/>
    <s v="Alambron OC 316"/>
    <x v="6"/>
  </r>
  <r>
    <s v="17/07/2025"/>
    <x v="1"/>
    <s v="001"/>
    <s v="07-000462"/>
    <x v="1"/>
    <s v="91.05.01"/>
    <s v="Residuos Aprovechables"/>
    <s v="Alambron OC 315"/>
    <s v="20100192064"/>
    <s v="MOLY-COP ADESUR S.A."/>
    <x v="0"/>
    <s v="FACTURA"/>
    <s v="F002"/>
    <n v="16474"/>
    <n v="239.23"/>
    <m/>
    <n v="43.061399999999999"/>
    <m/>
    <n v="0"/>
    <n v="282.31"/>
    <s v="278568679"/>
    <s v="12/08/2025"/>
    <m/>
    <m/>
    <s v="OC 315"/>
    <s v="60.2.1.1"/>
    <s v="Alambron OC 315"/>
    <x v="6"/>
  </r>
  <r>
    <s v="21/07/2025"/>
    <x v="1"/>
    <s v="001"/>
    <s v="07-000463"/>
    <x v="2"/>
    <s v="95.01"/>
    <s v="Comercial"/>
    <s v="Transporte de carga RQ.OPE.1291 OS 005_679"/>
    <s v="20429640939"/>
    <s v="EMPRESA DE TRANSPORTES DE CARGA COSISE S.A.C."/>
    <x v="0"/>
    <s v="FACTURA"/>
    <s v="F002"/>
    <n v="1833"/>
    <n v="1186.44"/>
    <m/>
    <n v="213.5592"/>
    <m/>
    <n v="0"/>
    <n v="1400"/>
    <s v="278568681"/>
    <s v="12/08/2025"/>
    <m/>
    <m/>
    <m/>
    <s v="63.1.1.1.02"/>
    <s v="Transporte de carga RQ.OPE.1291 OS 005_679"/>
    <x v="13"/>
  </r>
  <r>
    <s v="29/05/2025"/>
    <x v="1"/>
    <s v="001"/>
    <s v="07-000464"/>
    <x v="0"/>
    <m/>
    <m/>
    <m/>
    <s v="20609764261"/>
    <s v="MGM MONTACARGAS &amp; GRUAS S.A.C."/>
    <x v="0"/>
    <s v="FACTURA"/>
    <s v="E001"/>
    <s v="2243"/>
    <n v="60"/>
    <m/>
    <n v="10.8"/>
    <m/>
    <n v="0"/>
    <n v="70.8"/>
    <m/>
    <m/>
    <m/>
    <m/>
    <m/>
    <m/>
    <m/>
    <x v="0"/>
  </r>
  <r>
    <s v="25/07/2025"/>
    <x v="1"/>
    <s v="001"/>
    <s v="07-000465"/>
    <x v="0"/>
    <s v="94.05"/>
    <s v="SSOMA"/>
    <s v="EPPS_ Zapatos RQ.SS0.256"/>
    <s v="20602484344"/>
    <s v="FERSEIND PERU SOCIEDAD ANONIMA CERRADA - FERSEIND PERU S.A.C."/>
    <x v="0"/>
    <s v="FACTURA"/>
    <s v="F001"/>
    <n v="17197"/>
    <n v="2268"/>
    <m/>
    <n v="408.24"/>
    <m/>
    <n v="0"/>
    <n v="2676.24"/>
    <m/>
    <m/>
    <m/>
    <m/>
    <m/>
    <s v="60.3.5.1"/>
    <s v="EPPS_ Zapatos RQ.SS0.256"/>
    <x v="0"/>
  </r>
  <r>
    <s v="31/07/2025"/>
    <x v="1"/>
    <s v="001"/>
    <s v="07-000466"/>
    <x v="0"/>
    <s v="94.05"/>
    <s v="SSOMA"/>
    <s v="EPPS _ cuelleras,barbiquejos,lentes,tapon,casco,bloqueador RQ.SSO.237/255/254/251"/>
    <s v="20602484344"/>
    <s v="FERSEIND PERU SOCIEDAD ANONIMA CERRADA - FERSEIND PERU S.A.C."/>
    <x v="0"/>
    <s v="FACTURA"/>
    <s v="F001"/>
    <n v="17235"/>
    <n v="1081.7"/>
    <m/>
    <n v="194.70599999999999"/>
    <m/>
    <n v="0"/>
    <n v="1276.4100000000001"/>
    <m/>
    <m/>
    <m/>
    <m/>
    <m/>
    <s v="60.3.5.1"/>
    <s v="EPPS _ cuelleras,barbiquejos,lentes,tapon,casco,bloqueador RQ.SSO.237/255/254/251"/>
    <x v="0"/>
  </r>
  <r>
    <s v="31/07/2025"/>
    <x v="1"/>
    <s v="001"/>
    <s v="07-000467"/>
    <x v="2"/>
    <s v="95.01"/>
    <s v="Comercial"/>
    <s v="Transporte de carga RQ.OPE.1308 OS 005_691"/>
    <s v="10295492908"/>
    <s v="UGARTE MENDOZA GREGORIO NACIANSENO"/>
    <x v="0"/>
    <s v="FACTURA"/>
    <s v="E001"/>
    <n v="535"/>
    <n v="400"/>
    <m/>
    <n v="72"/>
    <m/>
    <n v="0"/>
    <n v="472"/>
    <s v="278568682"/>
    <s v="12/08/2025"/>
    <m/>
    <m/>
    <m/>
    <s v="63.1.1.1.02"/>
    <s v="Transporte de carga RQ.OPE.1308 OS 005_691"/>
    <x v="13"/>
  </r>
  <r>
    <s v="31/07/2025"/>
    <x v="1"/>
    <s v="001"/>
    <s v="07-000468"/>
    <x v="1"/>
    <s v="91.06.02.07"/>
    <s v="VDJ_872"/>
    <s v="Peaje 25067"/>
    <s v="20517252558"/>
    <s v="CONCESIONARIA VIAL DEL SUR S.A.- COVISUR S.A."/>
    <x v="0"/>
    <s v="FACTURA"/>
    <s v="F214"/>
    <n v="2129272"/>
    <n v="6.78"/>
    <m/>
    <n v="1.2203999999999999"/>
    <m/>
    <n v="0"/>
    <n v="8"/>
    <m/>
    <m/>
    <m/>
    <m/>
    <s v="25067"/>
    <s v="63.1.1.3.02"/>
    <s v="Peaje 25067"/>
    <x v="8"/>
  </r>
  <r>
    <s v="31/07/2025"/>
    <x v="1"/>
    <s v="001"/>
    <s v="07-000469"/>
    <x v="1"/>
    <s v="91.06.02.07"/>
    <s v="VDJ_872"/>
    <s v="Peaje 25066"/>
    <s v="20517252558"/>
    <s v="CONCESIONARIA VIAL DEL SUR S.A.- COVISUR S.A."/>
    <x v="0"/>
    <s v="FACTURA"/>
    <s v="F114"/>
    <n v="1100705"/>
    <n v="6.78"/>
    <m/>
    <n v="1.2203999999999999"/>
    <m/>
    <n v="0"/>
    <n v="8"/>
    <m/>
    <m/>
    <m/>
    <m/>
    <s v="25066"/>
    <s v="63.1.1.3.02"/>
    <s v="Peaje 25066"/>
    <x v="8"/>
  </r>
  <r>
    <s v="31/07/2025"/>
    <x v="1"/>
    <s v="001"/>
    <s v="07-000470"/>
    <x v="1"/>
    <s v="91.06.02.07"/>
    <s v="VDJ_872"/>
    <s v="Peaje 25068"/>
    <s v="20517252558"/>
    <s v="CONCESIONARIA VIAL DEL SUR S.A.- COVISUR S.A."/>
    <x v="0"/>
    <s v="FACTURA"/>
    <s v="F212"/>
    <n v="1798855"/>
    <n v="6.78"/>
    <m/>
    <n v="1.2203999999999999"/>
    <m/>
    <n v="0"/>
    <n v="8"/>
    <m/>
    <m/>
    <m/>
    <m/>
    <s v="25068"/>
    <s v="63.1.1.3.02"/>
    <s v="Peaje 25068"/>
    <x v="8"/>
  </r>
  <r>
    <s v="31/07/2025"/>
    <x v="1"/>
    <s v="001"/>
    <s v="07-000471"/>
    <x v="1"/>
    <s v="91.06.02.07"/>
    <s v="VDJ_872"/>
    <s v="Peaje 25069"/>
    <s v="20517252558"/>
    <s v="CONCESIONARIA VIAL DEL SUR S.A.- COVISUR S.A."/>
    <x v="0"/>
    <s v="FACTURA"/>
    <s v="F112"/>
    <n v="492871"/>
    <n v="6.78"/>
    <m/>
    <n v="1.2203999999999999"/>
    <m/>
    <n v="0"/>
    <n v="8"/>
    <m/>
    <m/>
    <m/>
    <m/>
    <s v="25069"/>
    <s v="63.1.1.3.02"/>
    <s v="Peaje 25069"/>
    <x v="8"/>
  </r>
  <r>
    <s v="30/07/2025"/>
    <x v="1"/>
    <s v="001"/>
    <s v="07-000472"/>
    <x v="1"/>
    <s v="91.06.02.07"/>
    <s v="VDJ_872"/>
    <s v="Peaje"/>
    <s v="20517252558"/>
    <s v="CONCESIONARIA VIAL DEL SUR S.A.- COVISUR S.A."/>
    <x v="0"/>
    <s v="FACTURA"/>
    <s v="F211"/>
    <n v="2416224"/>
    <n v="6.78"/>
    <m/>
    <n v="1.2203999999999999"/>
    <m/>
    <n v="0"/>
    <n v="8"/>
    <m/>
    <m/>
    <m/>
    <m/>
    <m/>
    <s v="63.1.1.3.02"/>
    <s v="Peaje"/>
    <x v="8"/>
  </r>
  <r>
    <s v="30/07/2025"/>
    <x v="1"/>
    <s v="001"/>
    <s v="07-000473"/>
    <x v="1"/>
    <s v="91.06.02.07"/>
    <s v="VDJ_872"/>
    <s v="Peaje"/>
    <s v="20517252558"/>
    <s v="CONCESIONARIA VIAL DEL SUR S.A.- COVISUR S.A."/>
    <x v="0"/>
    <s v="FACTURA"/>
    <s v="F213"/>
    <n v="1818286"/>
    <n v="6.78"/>
    <m/>
    <n v="1.2203999999999999"/>
    <m/>
    <n v="0"/>
    <n v="8"/>
    <m/>
    <m/>
    <m/>
    <m/>
    <m/>
    <s v="63.1.1.3.03"/>
    <s v="Peaje"/>
    <x v="7"/>
  </r>
  <r>
    <s v="25/07/2025"/>
    <x v="1"/>
    <s v="001"/>
    <s v="07-000474"/>
    <x v="1"/>
    <s v="91.06.02.03"/>
    <s v="BKL_739"/>
    <s v="Lavado 25014"/>
    <s v="20600910010"/>
    <s v="SAN FRANCISCO JR SAC"/>
    <x v="0"/>
    <s v="FACTURA"/>
    <s v="F001"/>
    <n v="307"/>
    <n v="25.42"/>
    <m/>
    <n v="4.5756000000000006"/>
    <m/>
    <n v="0"/>
    <n v="30"/>
    <m/>
    <m/>
    <m/>
    <m/>
    <s v="25014"/>
    <s v="63.1.1.5.01"/>
    <s v="Lavado 25014"/>
    <x v="14"/>
  </r>
  <r>
    <s v="30/07/2025"/>
    <x v="1"/>
    <s v="001"/>
    <s v="07-000475"/>
    <x v="1"/>
    <s v="91.06.02.07"/>
    <s v="VDJ_872"/>
    <s v="Balanza 25071"/>
    <s v="20124952850"/>
    <s v="ALIMENTOS Y SERVICIOS AGROPECUARIOS SRL."/>
    <x v="0"/>
    <s v="FACTURA"/>
    <s v="F002"/>
    <n v="134814"/>
    <n v="8.4700000000000006"/>
    <m/>
    <n v="1.5246"/>
    <m/>
    <n v="0"/>
    <n v="10"/>
    <m/>
    <m/>
    <m/>
    <m/>
    <s v="25071"/>
    <s v="63.1.1.7.01"/>
    <s v="Balanza 25071"/>
    <x v="11"/>
  </r>
  <r>
    <s v="30/07/2025"/>
    <x v="1"/>
    <s v="001"/>
    <s v="07-000476"/>
    <x v="1"/>
    <s v="91.06.02.06"/>
    <s v="VBW_889"/>
    <s v="Balanza 25070"/>
    <s v="20124952850"/>
    <s v="ALIMENTOS Y SERVICIOS AGROPECUARIOS SRL."/>
    <x v="0"/>
    <s v="FACTURA"/>
    <s v="F002"/>
    <n v="134852"/>
    <n v="8.4700000000000006"/>
    <m/>
    <n v="1.5246"/>
    <m/>
    <n v="0"/>
    <n v="10"/>
    <m/>
    <m/>
    <m/>
    <m/>
    <s v="25070"/>
    <s v="63.1.1.7.01"/>
    <s v="Balanza 25070"/>
    <x v="11"/>
  </r>
  <r>
    <s v="31/07/2025"/>
    <x v="1"/>
    <s v="001"/>
    <s v="07-000477"/>
    <x v="1"/>
    <s v="91.06.02.03"/>
    <s v="BKL_739"/>
    <s v="Balanza 25044"/>
    <s v="20259858934"/>
    <s v="COMERCIALIZACION Y SERVICIOS EL EDEN S.A.C."/>
    <x v="0"/>
    <s v="FACTURA"/>
    <s v="FE02"/>
    <n v="17165"/>
    <n v="16.95"/>
    <m/>
    <n v="3.0509999999999997"/>
    <m/>
    <n v="0"/>
    <n v="20"/>
    <m/>
    <m/>
    <m/>
    <m/>
    <s v="25044"/>
    <s v="63.1.1.7.02"/>
    <s v="Balanza 25044"/>
    <x v="1"/>
  </r>
  <r>
    <s v="30/07/2025"/>
    <x v="1"/>
    <s v="001"/>
    <s v="07-000478"/>
    <x v="1"/>
    <s v="91.06.02.03"/>
    <s v="BKL_739"/>
    <s v="Balanza 25043"/>
    <s v="20259858934"/>
    <s v="COMERCIALIZACION Y SERVICIOS EL EDEN S.A.C."/>
    <x v="0"/>
    <s v="FACTURA"/>
    <s v="FE02"/>
    <n v="17156"/>
    <n v="16.95"/>
    <m/>
    <n v="3.0509999999999997"/>
    <m/>
    <n v="0"/>
    <n v="20"/>
    <m/>
    <m/>
    <m/>
    <m/>
    <s v="25043"/>
    <s v="63.1.1.7.02"/>
    <s v="Balanza 25043"/>
    <x v="1"/>
  </r>
  <r>
    <s v="30/07/2025"/>
    <x v="1"/>
    <s v="001"/>
    <s v="07-000479"/>
    <x v="1"/>
    <s v="91.05.01"/>
    <s v="Residuos Aprovechables"/>
    <s v="Cilindro de plastico,bidon,plastico duro,carton, chatarra OC 287"/>
    <s v="20419158462"/>
    <s v="GRANJA RINCONADA DEL SUR S.A."/>
    <x v="0"/>
    <s v="FACTURA"/>
    <s v="F102"/>
    <n v="6959"/>
    <n v="664.7"/>
    <m/>
    <n v="119.646"/>
    <m/>
    <n v="0"/>
    <n v="784.35"/>
    <s v="278568683"/>
    <s v="12/08/2025"/>
    <m/>
    <m/>
    <s v="OC 287"/>
    <s v="60.2.1.1"/>
    <s v="Cilindro de plastico,bidon,plastico duro,carton, chatarra OC 287"/>
    <x v="6"/>
  </r>
  <r>
    <s v="30/07/2025"/>
    <x v="1"/>
    <s v="001"/>
    <s v="07-000480"/>
    <x v="1"/>
    <s v="91.05.01"/>
    <s v="Residuos Aprovechables"/>
    <s v="Carton OC 288"/>
    <s v="20419158462"/>
    <s v="GRANJA RINCONADA DEL SUR S.A."/>
    <x v="0"/>
    <s v="FACTURA"/>
    <s v="F102"/>
    <n v="6960"/>
    <n v="55.93"/>
    <m/>
    <n v="10.067399999999999"/>
    <m/>
    <n v="0"/>
    <n v="66"/>
    <s v="278568684"/>
    <s v="12/08/2025"/>
    <m/>
    <m/>
    <s v="OC 288"/>
    <s v="60.2.1.1"/>
    <s v="Carton OC 288"/>
    <x v="6"/>
  </r>
  <r>
    <s v="30/07/2025"/>
    <x v="1"/>
    <s v="001"/>
    <s v="07-000481"/>
    <x v="1"/>
    <s v="91.05.01"/>
    <s v="Residuos Aprovechables"/>
    <s v="Carton OC 289"/>
    <s v="20419158462"/>
    <s v="GRANJA RINCONADA DEL SUR S.A."/>
    <x v="0"/>
    <s v="FACTURA"/>
    <s v="F102"/>
    <n v="6958"/>
    <n v="81.36"/>
    <m/>
    <n v="14.6448"/>
    <m/>
    <n v="0"/>
    <n v="96"/>
    <s v="278568685"/>
    <s v="12/08/2025"/>
    <m/>
    <m/>
    <s v="OC 289"/>
    <s v="60.2.1.1"/>
    <s v="Carton OC 289"/>
    <x v="6"/>
  </r>
  <r>
    <s v="31/07/2025"/>
    <x v="1"/>
    <s v="001"/>
    <s v="07-000482"/>
    <x v="1"/>
    <s v="91.06.01"/>
    <s v="Operaciones"/>
    <s v="Trasporte de carga"/>
    <s v="20608686747"/>
    <s v="TRANSPORTES ALBERTO MAMANI E.I.R.L."/>
    <x v="0"/>
    <s v="FACTURA"/>
    <s v="E001"/>
    <n v="682"/>
    <n v="677.97"/>
    <m/>
    <n v="122.0346"/>
    <m/>
    <n v="0"/>
    <n v="800"/>
    <s v="278568688"/>
    <s v="12/08/2025"/>
    <m/>
    <m/>
    <m/>
    <s v="63.1.1.1.01"/>
    <s v="Trasporte de carga"/>
    <x v="21"/>
  </r>
  <r>
    <s v="01/07/2025"/>
    <x v="1"/>
    <s v="001"/>
    <s v="07-000483"/>
    <x v="1"/>
    <s v="91.06.01"/>
    <s v="Operaciones"/>
    <s v="Guantes badana 002_2385"/>
    <s v="20546153372"/>
    <s v="GLOBAL PERLA´S CAR S.A.C."/>
    <x v="0"/>
    <s v="FACTURA"/>
    <s v="F004"/>
    <n v="118842"/>
    <n v="47.46"/>
    <m/>
    <n v="8.5427999999999997"/>
    <m/>
    <n v="0"/>
    <n v="56"/>
    <m/>
    <m/>
    <m/>
    <m/>
    <s v="002-2385"/>
    <s v="65.9.9.9.01"/>
    <s v="Guantes badana 002_2385"/>
    <x v="28"/>
  </r>
  <r>
    <s v="25/07/2025"/>
    <x v="1"/>
    <s v="001"/>
    <s v="07-000484"/>
    <x v="1"/>
    <s v="91.06.01"/>
    <s v="Operaciones"/>
    <s v="Encomienda 002_2413"/>
    <s v="20100686814"/>
    <s v="OLVA COURIER S.A.C"/>
    <x v="0"/>
    <s v="FACTURA"/>
    <s v="F352"/>
    <n v="77003"/>
    <n v="11.86"/>
    <m/>
    <n v="2.1347999999999998"/>
    <m/>
    <n v="0"/>
    <n v="13.99"/>
    <m/>
    <m/>
    <m/>
    <m/>
    <s v="002-2413"/>
    <s v="63.1.2.1.01"/>
    <s v="Encomienda 002_2413"/>
    <x v="2"/>
  </r>
  <r>
    <s v="04/07/2025"/>
    <x v="1"/>
    <s v="001"/>
    <s v="07-000485"/>
    <x v="1"/>
    <s v="91.06.01"/>
    <s v="Operaciones"/>
    <s v="Encomienda 002_2392"/>
    <s v="20100686814"/>
    <s v="OLVA COURIER S.A.C"/>
    <x v="0"/>
    <s v="FACTURA"/>
    <s v="F353"/>
    <n v="35053"/>
    <n v="14.07"/>
    <m/>
    <n v="2.5326"/>
    <m/>
    <n v="0"/>
    <n v="16.600000000000001"/>
    <m/>
    <m/>
    <m/>
    <m/>
    <s v="002-2392"/>
    <s v="63.1.2.1.01"/>
    <s v="Encomienda 002_2392"/>
    <x v="2"/>
  </r>
  <r>
    <s v="16/07/2025"/>
    <x v="1"/>
    <s v="001"/>
    <s v="07-000486"/>
    <x v="1"/>
    <s v="91.06.01"/>
    <s v="Operaciones"/>
    <s v="Guantes badana 002_2403"/>
    <s v="20546153372"/>
    <s v="GLOBAL PERLA´S CAR S.A.C."/>
    <x v="0"/>
    <s v="FACTURA"/>
    <s v="F004"/>
    <n v="119823"/>
    <n v="63.56"/>
    <m/>
    <n v="11.440799999999999"/>
    <m/>
    <n v="0"/>
    <n v="75"/>
    <m/>
    <m/>
    <m/>
    <m/>
    <s v="002-2403"/>
    <s v="65.9.9.9.01"/>
    <s v="Guantes badana 002_2403"/>
    <x v="28"/>
  </r>
  <r>
    <s v="03/07/2025"/>
    <x v="1"/>
    <s v="001"/>
    <s v="07-000487"/>
    <x v="1"/>
    <s v="91.06.01"/>
    <s v="Operaciones"/>
    <s v="Vidrio, silicona 002_2389"/>
    <s v="10431647287"/>
    <s v="RODRIGUEZ ROJAS WILDER CARLOS"/>
    <x v="1"/>
    <s v="BOLETA DE VENTA"/>
    <s v="001"/>
    <n v="15194"/>
    <m/>
    <m/>
    <m/>
    <m/>
    <n v="26"/>
    <n v="26"/>
    <m/>
    <m/>
    <m/>
    <m/>
    <s v="002-2389"/>
    <s v="65.9.9.9.01"/>
    <s v="Vidrio, silicona 002_2389"/>
    <x v="28"/>
  </r>
  <r>
    <s v="02/07/2025"/>
    <x v="1"/>
    <s v="001"/>
    <s v="07-000488"/>
    <x v="1"/>
    <s v="91.06.01"/>
    <s v="Operaciones"/>
    <s v="Encomienda 002_2387"/>
    <s v="20100686814"/>
    <s v="OLVA COURIER S.A.C"/>
    <x v="0"/>
    <s v="FACTURA"/>
    <s v="F353"/>
    <n v="35034"/>
    <n v="14.07"/>
    <m/>
    <n v="2.5326"/>
    <m/>
    <n v="0"/>
    <n v="16.600000000000001"/>
    <m/>
    <m/>
    <m/>
    <m/>
    <s v="002-2387"/>
    <s v="63.1.2.1.01"/>
    <s v="Encomienda 002_2387"/>
    <x v="2"/>
  </r>
  <r>
    <s v="11/07/2025"/>
    <x v="1"/>
    <s v="001"/>
    <s v="07-000489"/>
    <x v="1"/>
    <s v="91.06.01"/>
    <s v="Operaciones"/>
    <s v="Encomienda 002_2399"/>
    <s v="20100686814"/>
    <s v="OLVA COURIER S.A.C"/>
    <x v="0"/>
    <s v="FACTURA"/>
    <s v="F352"/>
    <n v="76923"/>
    <n v="11.86"/>
    <m/>
    <n v="2.1347999999999998"/>
    <m/>
    <n v="0"/>
    <n v="13.99"/>
    <m/>
    <m/>
    <m/>
    <m/>
    <s v="002-2399"/>
    <s v="63.1.2.1.01"/>
    <s v="Encomienda 002_2399"/>
    <x v="2"/>
  </r>
  <r>
    <s v="08/07/2025"/>
    <x v="1"/>
    <s v="001"/>
    <s v="07-000490"/>
    <x v="1"/>
    <s v="91.06.01"/>
    <s v="Operaciones"/>
    <s v="Guantes badana blanco 002_2395"/>
    <s v="20546153372"/>
    <s v="GLOBAL PERLA´S CAR S.A.C."/>
    <x v="0"/>
    <s v="FACTURA"/>
    <s v="F004"/>
    <n v="119262"/>
    <n v="44.49"/>
    <m/>
    <n v="8.0082000000000004"/>
    <m/>
    <n v="0"/>
    <n v="52.5"/>
    <m/>
    <m/>
    <m/>
    <m/>
    <s v="002-2395"/>
    <s v="65.9.9.9.01"/>
    <s v="Guantes badana blanco 002_2395"/>
    <x v="28"/>
  </r>
  <r>
    <s v="18/07/2025"/>
    <x v="1"/>
    <s v="001"/>
    <s v="07-000491"/>
    <x v="1"/>
    <s v="91.06.01"/>
    <s v="Operaciones"/>
    <s v="Encomienda 002_2406"/>
    <s v="20100686814"/>
    <s v="OLVA COURIER S.A.C"/>
    <x v="0"/>
    <s v="FACTURA"/>
    <s v="F352"/>
    <n v="76966"/>
    <n v="11.86"/>
    <m/>
    <n v="2.1347999999999998"/>
    <m/>
    <n v="0"/>
    <n v="13.99"/>
    <m/>
    <m/>
    <m/>
    <m/>
    <s v="002-2406"/>
    <s v="63.1.2.1.01"/>
    <s v="Encomienda 002_2406"/>
    <x v="2"/>
  </r>
  <r>
    <s v="24/07/2025"/>
    <x v="1"/>
    <s v="001"/>
    <s v="07-000492"/>
    <x v="1"/>
    <s v="91.06.01"/>
    <s v="Operaciones"/>
    <s v="Envío de documentación / paquetería"/>
    <s v="20558053691"/>
    <s v="GRUPO GARCIA TOLEDO S.A.C"/>
    <x v="0"/>
    <s v="FACTURA"/>
    <s v="F553"/>
    <n v="5391"/>
    <n v="41.52"/>
    <m/>
    <n v="7.4736000000000002"/>
    <m/>
    <n v="0"/>
    <n v="48.99"/>
    <m/>
    <m/>
    <m/>
    <m/>
    <m/>
    <s v="63.1.2.1.01"/>
    <s v="Envío de documentación / paquetería"/>
    <x v="2"/>
  </r>
  <r>
    <s v="02/07/2025"/>
    <x v="1"/>
    <s v="001"/>
    <s v="07-000493"/>
    <x v="1"/>
    <s v="91.06.02.04"/>
    <s v="VBB_840"/>
    <s v="Accesorios Vehiculares: Compra de cintas de cono 25001"/>
    <s v="10429073796"/>
    <s v="MAQUERA NAVEZ OSCAR NICANOR"/>
    <x v="1"/>
    <s v="BOLETA DE VENTA"/>
    <s v="001"/>
    <n v="11427"/>
    <m/>
    <m/>
    <m/>
    <m/>
    <n v="23"/>
    <n v="23"/>
    <m/>
    <m/>
    <m/>
    <m/>
    <s v="25001"/>
    <s v="63.4.3.2.03"/>
    <s v="Accesorios Vehiculares: Compra de cintas de cono 25001"/>
    <x v="18"/>
  </r>
  <r>
    <s v="22/07/2025"/>
    <x v="1"/>
    <s v="001"/>
    <s v="07-000494"/>
    <x v="1"/>
    <s v="91.06.02.04"/>
    <s v="VBB_840"/>
    <s v="Accesorios Vehiculares: Compra 7 spray de pintura para la carrocería 25000"/>
    <s v="10413228722"/>
    <s v="LLAMO FLORES CARLOS MANUEL"/>
    <x v="0"/>
    <s v="FACTURA"/>
    <s v="F001"/>
    <n v="7851"/>
    <n v="53.39"/>
    <m/>
    <n v="9.610199999999999"/>
    <m/>
    <n v="0"/>
    <n v="63"/>
    <m/>
    <m/>
    <m/>
    <m/>
    <s v="25000"/>
    <s v="63.4.3.2.03"/>
    <s v="Accesorios Vehiculares: Compra 7 spray de pintura para la carrocería 25000"/>
    <x v="18"/>
  </r>
  <r>
    <s v="18/07/2025"/>
    <x v="1"/>
    <s v="001"/>
    <s v="07-000495"/>
    <x v="0"/>
    <s v="94.01"/>
    <s v="Administracion"/>
    <s v="Teléfono Fijo"/>
    <s v="20100017491"/>
    <s v="TELEFONICA DEL PERU SAA"/>
    <x v="3"/>
    <s v="RECIBO POR SERV. PUBLICOS"/>
    <s v="S5AA"/>
    <n v="72257387"/>
    <n v="121.1"/>
    <m/>
    <n v="21.797999999999998"/>
    <m/>
    <n v="0"/>
    <n v="142.9"/>
    <m/>
    <m/>
    <m/>
    <m/>
    <m/>
    <s v="63.6.4.1"/>
    <s v="Teléfono Fijo"/>
    <x v="0"/>
  </r>
  <r>
    <s v="24/07/2025"/>
    <x v="1"/>
    <s v="001"/>
    <s v="07-000496"/>
    <x v="0"/>
    <m/>
    <m/>
    <m/>
    <s v="20467534026"/>
    <s v="AMERICA MOVIL PERU S.A.C."/>
    <x v="0"/>
    <s v="FACTURA"/>
    <s v="F180"/>
    <s v="91984"/>
    <n v="8388.1299999999992"/>
    <m/>
    <n v="1509.87"/>
    <m/>
    <n v="0"/>
    <n v="9898"/>
    <m/>
    <m/>
    <m/>
    <m/>
    <m/>
    <m/>
    <m/>
    <x v="0"/>
  </r>
  <r>
    <s v="31/07/2025"/>
    <x v="1"/>
    <s v="001"/>
    <s v="07-000497"/>
    <x v="0"/>
    <s v="94.02"/>
    <s v="Contabilidad y Finanzas"/>
    <s v="Sistema de Cobranzas y Reportes"/>
    <s v="20265681299"/>
    <s v="EQUIFAX PERU S.A."/>
    <x v="0"/>
    <s v="FACTURA"/>
    <s v="F001"/>
    <n v="1059728"/>
    <n v="102"/>
    <m/>
    <n v="18.36"/>
    <m/>
    <n v="0"/>
    <n v="120.36"/>
    <m/>
    <m/>
    <m/>
    <m/>
    <m/>
    <s v="63.2.1.1"/>
    <s v="Sistema de Cobranzas y Reportes"/>
    <x v="0"/>
  </r>
  <r>
    <s v="30/07/2025"/>
    <x v="1"/>
    <s v="001"/>
    <s v="07-000498"/>
    <x v="0"/>
    <s v="94.03"/>
    <s v="Logistica"/>
    <s v="Trabajos de construcción_ Fabricacion e instalacion de muebles RQ.LOG.326  OS 005_686"/>
    <s v="20613525093"/>
    <s v="LOGAL GROUP AQP S.R.L."/>
    <x v="0"/>
    <s v="FACTURA"/>
    <s v="E001"/>
    <n v="1"/>
    <n v="4915.25"/>
    <m/>
    <n v="884.745"/>
    <m/>
    <n v="0"/>
    <n v="5800"/>
    <m/>
    <m/>
    <m/>
    <m/>
    <s v="NRO.DET 276891091"/>
    <s v="65.9.9.5.01"/>
    <s v="Trabajos de construcción_ Fabricacion e instalacion de muebles RQ.LOG.326  OS 005_686"/>
    <x v="0"/>
  </r>
  <r>
    <s v="02/07/2025"/>
    <x v="1"/>
    <s v="001"/>
    <s v="07-000499"/>
    <x v="3"/>
    <s v="97.01"/>
    <s v="Gastos Financieros"/>
    <s v="Comisión _ Detracción"/>
    <s v="20100047218"/>
    <s v="BANCO DE CREDITO DEL PERU"/>
    <x v="0"/>
    <s v="FACTURA"/>
    <s v="FN01"/>
    <n v="34261919"/>
    <m/>
    <m/>
    <m/>
    <m/>
    <n v="10"/>
    <n v="10"/>
    <m/>
    <m/>
    <m/>
    <m/>
    <m/>
    <s v="63.9.1.1.06"/>
    <s v="Comisión _ Detracción"/>
    <x v="0"/>
  </r>
  <r>
    <s v="07/07/2025"/>
    <x v="1"/>
    <s v="001"/>
    <s v="07-000500"/>
    <x v="3"/>
    <s v="97.01"/>
    <s v="Gastos Financieros"/>
    <s v="Comisión _ Detracción"/>
    <s v="20100047218"/>
    <s v="BANCO DE CREDITO DEL PERU"/>
    <x v="0"/>
    <s v="FACTURA"/>
    <s v="FN01"/>
    <n v="34364851"/>
    <m/>
    <m/>
    <m/>
    <m/>
    <n v="3.5"/>
    <n v="3.5"/>
    <m/>
    <m/>
    <m/>
    <m/>
    <m/>
    <s v="63.9.1.1.06"/>
    <s v="Comisión _ Detracción"/>
    <x v="0"/>
  </r>
  <r>
    <s v="10/07/2025"/>
    <x v="1"/>
    <s v="001"/>
    <s v="07-000501"/>
    <x v="3"/>
    <s v="97.01"/>
    <s v="Gastos Financieros"/>
    <s v="Comisión _ Detracción"/>
    <s v="20100047218"/>
    <s v="BANCO DE CREDITO DEL PERU"/>
    <x v="0"/>
    <s v="FACTURA"/>
    <s v="FN01"/>
    <n v="34491741"/>
    <m/>
    <m/>
    <m/>
    <m/>
    <n v="10"/>
    <n v="10"/>
    <m/>
    <m/>
    <m/>
    <m/>
    <m/>
    <s v="63.9.1.1.06"/>
    <s v="Comisión _ Detracción"/>
    <x v="0"/>
  </r>
  <r>
    <s v="11/07/2025"/>
    <x v="1"/>
    <s v="001"/>
    <s v="07-000502"/>
    <x v="3"/>
    <s v="97.01"/>
    <s v="Gastos Financieros"/>
    <s v="Comisión _ Detracción"/>
    <s v="20100047218"/>
    <s v="BANCO DE CREDITO DEL PERU"/>
    <x v="0"/>
    <s v="FACTURA"/>
    <s v="FN01"/>
    <n v="34518438"/>
    <m/>
    <m/>
    <m/>
    <m/>
    <n v="10"/>
    <n v="10"/>
    <m/>
    <m/>
    <m/>
    <m/>
    <m/>
    <s v="63.9.1.1.06"/>
    <s v="Comisión _ Detracción"/>
    <x v="0"/>
  </r>
  <r>
    <s v="14/07/2025"/>
    <x v="1"/>
    <s v="001"/>
    <s v="07-000503"/>
    <x v="3"/>
    <s v="97.01"/>
    <s v="Gastos Financieros"/>
    <s v="Comisión _ Detracción"/>
    <s v="20100047218"/>
    <s v="BANCO DE CREDITO DEL PERU"/>
    <x v="0"/>
    <s v="FACTURA"/>
    <s v="FN01"/>
    <n v="34545339"/>
    <m/>
    <m/>
    <m/>
    <m/>
    <n v="10"/>
    <n v="10"/>
    <m/>
    <m/>
    <m/>
    <m/>
    <m/>
    <s v="63.9.1.1.06"/>
    <s v="Comisión _ Detracción"/>
    <x v="0"/>
  </r>
  <r>
    <s v="30/07/2025"/>
    <x v="1"/>
    <s v="001"/>
    <s v="07-000504"/>
    <x v="3"/>
    <s v="97.01"/>
    <s v="Gastos Financieros"/>
    <s v="Comisión _ Detracción"/>
    <s v="20100047218"/>
    <s v="BANCO DE CREDITO DEL PERU"/>
    <x v="0"/>
    <s v="FACTURA"/>
    <s v="FN01"/>
    <n v="35203372"/>
    <m/>
    <m/>
    <m/>
    <m/>
    <n v="10"/>
    <n v="10"/>
    <m/>
    <m/>
    <m/>
    <m/>
    <m/>
    <s v="63.9.1.1.06"/>
    <s v="Comisión _ Detracción"/>
    <x v="0"/>
  </r>
  <r>
    <s v="21/07/2025"/>
    <x v="1"/>
    <s v="001"/>
    <s v="07-000505"/>
    <x v="3"/>
    <s v="97.01"/>
    <s v="Gastos Financieros"/>
    <s v="Comisión _ Detracción"/>
    <s v="20100047218"/>
    <s v="BANCO DE CREDITO DEL PERU"/>
    <x v="0"/>
    <s v="FACTURA"/>
    <s v="FN01"/>
    <n v="35055362"/>
    <m/>
    <m/>
    <m/>
    <m/>
    <n v="10"/>
    <n v="10"/>
    <m/>
    <m/>
    <m/>
    <m/>
    <m/>
    <s v="63.9.1.1.06"/>
    <s v="Comisión _ Detracción"/>
    <x v="0"/>
  </r>
  <r>
    <s v="30/07/2025"/>
    <x v="1"/>
    <s v="001"/>
    <s v="07-000506"/>
    <x v="3"/>
    <s v="97.01"/>
    <s v="Gastos Financieros"/>
    <s v="Comisión _ Giros y transferencias"/>
    <s v="20100047218"/>
    <s v="BANCO DE CREDITO DEL PERU"/>
    <x v="0"/>
    <s v="FACTURA"/>
    <s v="FN01"/>
    <n v="35231563"/>
    <m/>
    <m/>
    <m/>
    <m/>
    <n v="15"/>
    <n v="15"/>
    <m/>
    <m/>
    <m/>
    <m/>
    <m/>
    <s v="63.9.1.1.05"/>
    <s v="Comisión _ Giros y transferencias"/>
    <x v="0"/>
  </r>
  <r>
    <s v="17/07/2025"/>
    <x v="1"/>
    <s v="001"/>
    <s v="07-000507"/>
    <x v="3"/>
    <s v="97.01"/>
    <s v="Gastos Financieros"/>
    <s v="Comisión _ Giros y transferencias"/>
    <s v="20100047218"/>
    <s v="BANCO DE CREDITO DEL PERU"/>
    <x v="0"/>
    <s v="FACTURA"/>
    <s v="FN01"/>
    <n v="34975615"/>
    <m/>
    <m/>
    <m/>
    <m/>
    <n v="5"/>
    <n v="5"/>
    <m/>
    <m/>
    <m/>
    <m/>
    <m/>
    <s v="63.9.1.1.05"/>
    <s v="Comisión _ Giros y transferencias"/>
    <x v="0"/>
  </r>
  <r>
    <s v="04/07/2025"/>
    <x v="1"/>
    <s v="001"/>
    <s v="07-000508"/>
    <x v="3"/>
    <s v="97.01"/>
    <s v="Gastos Financieros"/>
    <s v="Comisión _ Giros y transferencias"/>
    <s v="20100047218"/>
    <s v="BANCO DE CREDITO DEL PERU"/>
    <x v="0"/>
    <s v="FACTURA"/>
    <s v="FN01"/>
    <n v="34348661"/>
    <m/>
    <m/>
    <m/>
    <m/>
    <n v="5"/>
    <n v="5"/>
    <m/>
    <m/>
    <m/>
    <m/>
    <m/>
    <s v="63.9.1.1.05"/>
    <s v="Comisión _ Giros y transferencias"/>
    <x v="0"/>
  </r>
  <r>
    <s v="08/07/2025"/>
    <x v="1"/>
    <s v="001"/>
    <s v="07-000509"/>
    <x v="3"/>
    <s v="97.01"/>
    <s v="Gastos Financieros"/>
    <s v="Comisión _ Giros y transferencias"/>
    <s v="20100047218"/>
    <s v="BANCO DE CREDITO DEL PERU"/>
    <x v="0"/>
    <s v="FACTURA"/>
    <s v="FN01"/>
    <n v="34412505"/>
    <m/>
    <m/>
    <m/>
    <m/>
    <n v="62.56"/>
    <n v="62.56"/>
    <m/>
    <m/>
    <m/>
    <m/>
    <m/>
    <s v="63.9.1.1.05"/>
    <s v="Comisión _ Giros y transferencias"/>
    <x v="0"/>
  </r>
  <r>
    <s v="03/07/2025"/>
    <x v="1"/>
    <s v="001"/>
    <s v="07-000510"/>
    <x v="3"/>
    <s v="97.01"/>
    <s v="Gastos Financieros"/>
    <s v="Comisión _ Giros y transferencias"/>
    <s v="20100047218"/>
    <s v="BANCO DE CREDITO DEL PERU"/>
    <x v="0"/>
    <s v="FACTURA"/>
    <s v="FN01"/>
    <n v="34312245"/>
    <m/>
    <m/>
    <m/>
    <m/>
    <n v="2.5"/>
    <n v="2.5"/>
    <m/>
    <m/>
    <m/>
    <m/>
    <m/>
    <s v="63.9.1.1.05"/>
    <s v="Comisión _ Giros y transferencias"/>
    <x v="0"/>
  </r>
  <r>
    <s v="03/07/2025"/>
    <x v="1"/>
    <s v="001"/>
    <s v="07-000511"/>
    <x v="3"/>
    <s v="97.01"/>
    <s v="Gastos Financieros"/>
    <s v="Comisión _ Giros y transferencias"/>
    <s v="20100047218"/>
    <s v="BANCO DE CREDITO DEL PERU"/>
    <x v="0"/>
    <s v="FACTURA"/>
    <s v="FN01"/>
    <n v="34312266"/>
    <m/>
    <m/>
    <m/>
    <m/>
    <n v="22.49"/>
    <n v="22.49"/>
    <m/>
    <m/>
    <m/>
    <m/>
    <m/>
    <s v="63.9.1.1.05"/>
    <s v="Comisión _ Giros y transferencias"/>
    <x v="0"/>
  </r>
  <r>
    <s v="02/07/2025"/>
    <x v="1"/>
    <s v="001"/>
    <s v="07-000512"/>
    <x v="3"/>
    <s v="97.01"/>
    <s v="Gastos Financieros"/>
    <s v="Comisión _ Giros y transferencias"/>
    <s v="20100047218"/>
    <s v="BANCO DE CREDITO DEL PERU"/>
    <x v="0"/>
    <s v="FACTURA"/>
    <s v="FN01"/>
    <n v="34293636"/>
    <m/>
    <m/>
    <m/>
    <m/>
    <n v="10.5"/>
    <n v="10.5"/>
    <m/>
    <m/>
    <m/>
    <m/>
    <m/>
    <s v="63.9.1.1.05"/>
    <s v="Comisión _ Giros y transferencias"/>
    <x v="0"/>
  </r>
  <r>
    <s v="10/07/2025"/>
    <x v="1"/>
    <s v="001"/>
    <s v="07-000513"/>
    <x v="3"/>
    <s v="97.01"/>
    <s v="Gastos Financieros"/>
    <s v="Comisión _ Giros y transferencias"/>
    <s v="20100047218"/>
    <s v="BANCO DE CREDITO DEL PERU"/>
    <x v="0"/>
    <s v="FACTURA"/>
    <s v="FN01"/>
    <n v="34498361"/>
    <m/>
    <m/>
    <m/>
    <m/>
    <n v="19.5"/>
    <n v="19.5"/>
    <m/>
    <m/>
    <m/>
    <m/>
    <m/>
    <s v="63.9.1.1.05"/>
    <s v="Comisión _ Giros y transferencias"/>
    <x v="0"/>
  </r>
  <r>
    <s v="16/07/2025"/>
    <x v="1"/>
    <s v="001"/>
    <s v="07-000514"/>
    <x v="3"/>
    <s v="97.01"/>
    <s v="Gastos Financieros"/>
    <s v="Mantenimiento"/>
    <s v="20100047218"/>
    <s v="BANCO DE CREDITO DEL PERU"/>
    <x v="0"/>
    <s v="FACTURA"/>
    <s v="FN01"/>
    <n v="34672092"/>
    <m/>
    <m/>
    <m/>
    <m/>
    <n v="10"/>
    <n v="10"/>
    <m/>
    <m/>
    <m/>
    <m/>
    <m/>
    <s v="63.9.1.1.03"/>
    <s v="Mantenimiento"/>
    <x v="0"/>
  </r>
  <r>
    <s v="23/01/2025"/>
    <x v="1"/>
    <s v="001"/>
    <s v="07-000515"/>
    <x v="0"/>
    <m/>
    <m/>
    <m/>
    <s v="20109072177"/>
    <s v="CENCOSUD RETAIL PERU S.A."/>
    <x v="0"/>
    <s v="FACTURA"/>
    <s v="F762"/>
    <s v="16413"/>
    <n v="11.7"/>
    <m/>
    <n v="2.1"/>
    <m/>
    <n v="0"/>
    <n v="13.8"/>
    <m/>
    <m/>
    <m/>
    <m/>
    <m/>
    <m/>
    <m/>
    <x v="0"/>
  </r>
  <r>
    <s v="21/07/2025"/>
    <x v="1"/>
    <s v="001"/>
    <s v="07-000516"/>
    <x v="0"/>
    <s v="94.05"/>
    <s v="SSOMA"/>
    <s v="EPPS buzoz RQ.SSO.248"/>
    <s v="20455911401"/>
    <s v="SKY HIGH SOCIEDAD ANONIMA CERRADA - SKY HIGH S.A.C."/>
    <x v="0"/>
    <s v="FACTURA"/>
    <s v="FA02"/>
    <n v="1962"/>
    <n v="279.44"/>
    <m/>
    <n v="50.299199999999999"/>
    <m/>
    <n v="0"/>
    <n v="329.74"/>
    <m/>
    <m/>
    <m/>
    <m/>
    <m/>
    <s v="60.3.5.1"/>
    <s v="EPPS buzoz RQ.SSO.248"/>
    <x v="0"/>
  </r>
  <r>
    <s v="27/07/2025"/>
    <x v="1"/>
    <s v="001"/>
    <s v="07-000517"/>
    <x v="1"/>
    <s v="91.06.02.11"/>
    <s v="Tercerizados"/>
    <s v="Balanza"/>
    <s v="20259858934"/>
    <s v="COMERCIALIZACION Y SERVICIOS EL EDEN S.A.C."/>
    <x v="0"/>
    <s v="FACTURA"/>
    <s v="FE02"/>
    <n v="17138"/>
    <n v="16.95"/>
    <m/>
    <n v="3.0509999999999997"/>
    <m/>
    <n v="0"/>
    <n v="20"/>
    <m/>
    <m/>
    <m/>
    <m/>
    <m/>
    <s v="63.1.1.7.01"/>
    <s v="Balanza"/>
    <x v="11"/>
  </r>
  <r>
    <s v="13/07/2025"/>
    <x v="1"/>
    <s v="001"/>
    <s v="07-000519"/>
    <x v="1"/>
    <s v="91.06.02.11"/>
    <s v="Tercerizados"/>
    <s v="Balanza"/>
    <s v="20259858934"/>
    <s v="COMERCIALIZACION Y SERVICIOS EL EDEN S.A.C."/>
    <x v="0"/>
    <s v="FACTURA"/>
    <s v="FE02"/>
    <n v="16965"/>
    <n v="16.95"/>
    <m/>
    <n v="3.0509999999999997"/>
    <m/>
    <n v="0"/>
    <n v="20"/>
    <m/>
    <m/>
    <m/>
    <m/>
    <m/>
    <s v="63.1.1.7.01"/>
    <s v="Balanza"/>
    <x v="11"/>
  </r>
  <r>
    <s v="31/07/2025"/>
    <x v="1"/>
    <s v="001"/>
    <s v="07-000520"/>
    <x v="3"/>
    <s v="97.01"/>
    <s v="Gastos Financieros"/>
    <s v="Factoring _ Comisión"/>
    <s v="20606100893"/>
    <s v="FACTORING PRESTAMYPE S.A.C."/>
    <x v="0"/>
    <s v="FACTURA"/>
    <s v="F002"/>
    <n v="39277"/>
    <n v="152.80000000000001"/>
    <m/>
    <n v="27.504000000000001"/>
    <m/>
    <n v="0"/>
    <n v="180.3"/>
    <m/>
    <m/>
    <m/>
    <m/>
    <m/>
    <s v="63.9.1.1.07"/>
    <s v="Factoring _ Comisión"/>
    <x v="0"/>
  </r>
  <r>
    <s v="31/07/2025"/>
    <x v="1"/>
    <s v="001"/>
    <s v="07-000521"/>
    <x v="3"/>
    <s v="97.01"/>
    <s v="Gastos Financieros"/>
    <s v="Factoring _ Descuento"/>
    <s v="20606100893"/>
    <s v="FACTORING PRESTAMYPE S.A.C."/>
    <x v="0"/>
    <s v="FACTURA"/>
    <s v="F002"/>
    <n v="39304"/>
    <m/>
    <m/>
    <m/>
    <m/>
    <n v="0"/>
    <n v="243.7"/>
    <m/>
    <m/>
    <m/>
    <m/>
    <m/>
    <s v="67.5"/>
    <s v="Factoring _ Descuento"/>
    <x v="0"/>
  </r>
  <r>
    <s v="15/07/2025"/>
    <x v="1"/>
    <s v="001"/>
    <s v="07-000522"/>
    <x v="3"/>
    <s v="97.01"/>
    <s v="Gastos Financieros"/>
    <s v="Factoring _ Descuento"/>
    <s v="20606100893"/>
    <s v="FACTORING PRESTAMYPE S.A.C."/>
    <x v="0"/>
    <s v="FACTURA"/>
    <s v="F002"/>
    <n v="37619"/>
    <m/>
    <m/>
    <m/>
    <m/>
    <n v="0"/>
    <n v="222.21"/>
    <m/>
    <m/>
    <m/>
    <m/>
    <m/>
    <s v="67.5"/>
    <s v="Factoring _ Descuento"/>
    <x v="0"/>
  </r>
  <r>
    <s v="15/07/2025"/>
    <x v="1"/>
    <s v="001"/>
    <s v="07-000523"/>
    <x v="3"/>
    <s v="97.01"/>
    <s v="Gastos Financieros"/>
    <s v="Factoring _ Comisión"/>
    <s v="20606100893"/>
    <s v="FACTORING PRESTAMYPE S.A.C."/>
    <x v="0"/>
    <s v="FACTURA"/>
    <s v="F002"/>
    <n v="37564"/>
    <n v="111.39"/>
    <m/>
    <n v="20.0502"/>
    <m/>
    <n v="0"/>
    <n v="131.44999999999999"/>
    <m/>
    <m/>
    <m/>
    <m/>
    <m/>
    <s v="63.9.1.1.07"/>
    <s v="Factoring _ Comisión"/>
    <x v="0"/>
  </r>
  <r>
    <s v="24/07/2025"/>
    <x v="1"/>
    <s v="001"/>
    <s v="07-000524"/>
    <x v="1"/>
    <s v="91.06.01"/>
    <s v="Operaciones"/>
    <s v="Tratamiento / Disposición No Aprovechables"/>
    <s v="20302891452"/>
    <s v="INNOVA AMBIENTAL S.A."/>
    <x v="0"/>
    <s v="FACTURA"/>
    <s v="F001"/>
    <n v="20818"/>
    <n v="288.08"/>
    <m/>
    <n v="51.854399999999998"/>
    <m/>
    <n v="0"/>
    <n v="339.93"/>
    <m/>
    <m/>
    <m/>
    <m/>
    <m/>
    <s v="63.9.9.1.04.02"/>
    <s v="Tratamiento / Disposición No Aprovechables"/>
    <x v="23"/>
  </r>
  <r>
    <s v="10/06/2025"/>
    <x v="1"/>
    <s v="001"/>
    <s v="07-000525"/>
    <x v="0"/>
    <m/>
    <m/>
    <m/>
    <s v="10416055411"/>
    <s v="HERRERA PORTUGAL MILTON MAURICIO"/>
    <x v="0"/>
    <s v="FACTURA"/>
    <s v="F001"/>
    <s v="338"/>
    <n v="25.42"/>
    <m/>
    <n v="4.58"/>
    <m/>
    <n v="0"/>
    <n v="30"/>
    <m/>
    <m/>
    <m/>
    <m/>
    <m/>
    <m/>
    <m/>
    <x v="0"/>
  </r>
  <r>
    <s v="12/06/2025"/>
    <x v="1"/>
    <s v="001"/>
    <s v="07-000526"/>
    <x v="0"/>
    <m/>
    <m/>
    <m/>
    <s v="10416055411"/>
    <s v="HERRERA PORTUGAL MILTON MAURICIO"/>
    <x v="0"/>
    <s v="FACTURA"/>
    <s v="F001"/>
    <s v="340"/>
    <n v="25.42"/>
    <m/>
    <n v="4.58"/>
    <m/>
    <n v="0"/>
    <n v="30"/>
    <m/>
    <m/>
    <m/>
    <m/>
    <m/>
    <m/>
    <m/>
    <x v="0"/>
  </r>
  <r>
    <s v="10/06/2025"/>
    <x v="1"/>
    <s v="001"/>
    <s v="07-000527"/>
    <x v="0"/>
    <m/>
    <m/>
    <m/>
    <s v="10294286000"/>
    <s v="PACCHA QUISPE MIGUEL ANGEL"/>
    <x v="1"/>
    <s v="BOLETA DE VENTA"/>
    <s v="001"/>
    <s v="14640"/>
    <n v="0"/>
    <m/>
    <n v="0"/>
    <m/>
    <n v="4.5"/>
    <n v="4.5"/>
    <m/>
    <m/>
    <m/>
    <m/>
    <m/>
    <m/>
    <m/>
    <x v="0"/>
  </r>
  <r>
    <s v="11/07/2025"/>
    <x v="1"/>
    <s v="001"/>
    <s v="07-000528"/>
    <x v="3"/>
    <s v="97.01"/>
    <s v="Gastos Financieros"/>
    <s v="Comisión _ Giros y transferencias"/>
    <s v="20100047218"/>
    <s v="BANCO DE CREDITO DEL PERU"/>
    <x v="0"/>
    <s v="FACTURA"/>
    <s v="FI01"/>
    <n v="15662785"/>
    <m/>
    <m/>
    <m/>
    <m/>
    <n v="53.36"/>
    <n v="53.36"/>
    <m/>
    <m/>
    <m/>
    <m/>
    <m/>
    <s v="63.9.1.1.05"/>
    <s v="Comisión _ Giros y transferencias"/>
    <x v="0"/>
  </r>
  <r>
    <s v="11/07/2025"/>
    <x v="1"/>
    <s v="001"/>
    <s v="07-000529"/>
    <x v="3"/>
    <s v="97.01"/>
    <s v="Gastos Financieros"/>
    <s v="Comisión _ Giros y transferencias"/>
    <s v="20100047218"/>
    <s v="BANCO DE CREDITO DEL PERU"/>
    <x v="0"/>
    <s v="FACTURA"/>
    <s v="FI01"/>
    <n v="15662739"/>
    <m/>
    <m/>
    <m/>
    <m/>
    <n v="40.5"/>
    <n v="40.5"/>
    <m/>
    <m/>
    <m/>
    <m/>
    <m/>
    <s v="63.9.1.1.05"/>
    <s v="Comisión _ Giros y transferencias"/>
    <x v="0"/>
  </r>
  <r>
    <s v="10/07/2025"/>
    <x v="1"/>
    <s v="001"/>
    <s v="07-000530"/>
    <x v="3"/>
    <s v="97.01"/>
    <s v="Gastos Financieros"/>
    <s v="Comisión _ Telecrédito"/>
    <s v="20100047218"/>
    <s v="BANCO DE CREDITO DEL PERU"/>
    <x v="0"/>
    <s v="FACTURA"/>
    <s v="FE01"/>
    <n v="2393611"/>
    <m/>
    <m/>
    <m/>
    <m/>
    <n v="42.66"/>
    <n v="42.66"/>
    <m/>
    <m/>
    <m/>
    <m/>
    <m/>
    <s v="63.9.1.1.01"/>
    <s v="Comisión _ Telecrédito"/>
    <x v="0"/>
  </r>
  <r>
    <s v="26/06/2025"/>
    <x v="1"/>
    <s v="001"/>
    <s v="07-000531"/>
    <x v="0"/>
    <m/>
    <m/>
    <m/>
    <s v="20602751326"/>
    <s v="KIKAI &amp; SABISU S.A.C."/>
    <x v="0"/>
    <s v="FACTURA"/>
    <s v="F005"/>
    <s v="1220"/>
    <n v="142.6"/>
    <m/>
    <n v="25.67"/>
    <m/>
    <n v="0"/>
    <n v="168.27"/>
    <m/>
    <m/>
    <m/>
    <m/>
    <m/>
    <m/>
    <m/>
    <x v="0"/>
  </r>
  <r>
    <s v="23/06/2025"/>
    <x v="1"/>
    <s v="001"/>
    <s v="07-000532"/>
    <x v="0"/>
    <m/>
    <m/>
    <m/>
    <s v="20602751326"/>
    <s v="KIKAI &amp; SABISU S.A.C."/>
    <x v="0"/>
    <s v="FACTURA"/>
    <s v="F005"/>
    <s v="1192"/>
    <n v="87.4"/>
    <m/>
    <n v="15.73"/>
    <m/>
    <n v="0"/>
    <n v="103.13"/>
    <m/>
    <m/>
    <m/>
    <m/>
    <m/>
    <m/>
    <m/>
    <x v="0"/>
  </r>
  <r>
    <s v="30/07/2025"/>
    <x v="1"/>
    <s v="001"/>
    <s v="07-000533"/>
    <x v="0"/>
    <s v="94.04"/>
    <s v="Gestion Humana"/>
    <s v="Examen medico _ Ingreso RQ.GH.227"/>
    <s v="20517035964"/>
    <s v="SIGSO CONSULTORES LABORALES SOCIEDAD ANONIMA CERRADA - SIGSO CONSULTORES LABORALES S.A.C."/>
    <x v="0"/>
    <s v="FACTURA"/>
    <s v="F100"/>
    <n v="11464"/>
    <n v="219"/>
    <m/>
    <n v="39.42"/>
    <m/>
    <n v="0"/>
    <n v="258.42"/>
    <m/>
    <m/>
    <m/>
    <m/>
    <m/>
    <s v="62.5.1.2.01"/>
    <s v="Examen medico _ Ingreso RQ.GH.227"/>
    <x v="25"/>
  </r>
  <r>
    <s v="30/07/2025"/>
    <x v="1"/>
    <s v="001"/>
    <s v="07-000534"/>
    <x v="1"/>
    <s v="91.06.02.04"/>
    <s v="VBB_840"/>
    <s v="Lavado 25040"/>
    <s v="20514148539"/>
    <s v="NEGOCIACIONES ABBYCORP E.I.R.L."/>
    <x v="0"/>
    <s v="FACTURA"/>
    <s v="F006"/>
    <n v="42420"/>
    <n v="46.61"/>
    <m/>
    <n v="8.3897999999999993"/>
    <m/>
    <n v="0"/>
    <n v="55"/>
    <m/>
    <m/>
    <m/>
    <m/>
    <m/>
    <s v="63.1.1.5.01"/>
    <s v="Lavado 25040"/>
    <x v="14"/>
  </r>
  <r>
    <s v="02/07/2025"/>
    <x v="1"/>
    <s v="001"/>
    <s v="07-000535"/>
    <x v="0"/>
    <s v="94.06"/>
    <s v="Gerencia"/>
    <s v="falta"/>
    <s v="20558309831"/>
    <s v="A &amp; M SOLUCIONES E.I.R.L."/>
    <x v="0"/>
    <s v="FACTURA"/>
    <s v="E001"/>
    <n v="148"/>
    <n v="125"/>
    <m/>
    <n v="22.5"/>
    <m/>
    <n v="0"/>
    <n v="147.5"/>
    <m/>
    <m/>
    <m/>
    <m/>
    <m/>
    <s v="63.2.1.1"/>
    <s v="falta"/>
    <x v="0"/>
  </r>
  <r>
    <s v="29/07/2025"/>
    <x v="1"/>
    <s v="001"/>
    <s v="07-000536"/>
    <x v="0"/>
    <s v="94.06"/>
    <s v="Gerencia"/>
    <s v="falta"/>
    <s v="20610912070"/>
    <s v="CRECE NEGOCIOS S.A.C."/>
    <x v="0"/>
    <s v="FACTURA"/>
    <s v="E001"/>
    <n v="25"/>
    <n v="152.54"/>
    <m/>
    <n v="27.457199999999997"/>
    <m/>
    <n v="0"/>
    <n v="180"/>
    <m/>
    <m/>
    <m/>
    <m/>
    <m/>
    <s v="63.2.1.1"/>
    <s v="falta"/>
    <x v="0"/>
  </r>
  <r>
    <s v="11/07/2025"/>
    <x v="1"/>
    <s v="001"/>
    <s v="07-000537"/>
    <x v="0"/>
    <s v="94.06"/>
    <s v="Gerencia"/>
    <s v="falta"/>
    <s v="20547154127"/>
    <s v="DREAMS INVERSIONES CORPORATIVAS E.I.R.L."/>
    <x v="0"/>
    <s v="FACTURA"/>
    <s v="E001"/>
    <n v="4095"/>
    <m/>
    <n v="218.18"/>
    <m/>
    <n v="21.82"/>
    <n v="0"/>
    <n v="240"/>
    <m/>
    <m/>
    <m/>
    <m/>
    <m/>
    <s v="65.9.9.1.01"/>
    <s v="falta"/>
    <x v="0"/>
  </r>
  <r>
    <s v="11/07/2025"/>
    <x v="1"/>
    <s v="001"/>
    <s v="07-000538"/>
    <x v="0"/>
    <s v="94.06"/>
    <s v="Gerencia"/>
    <s v="falta"/>
    <s v="20553410283"/>
    <s v="EL CUSQUEÑITO DEL BUEN SAZON EMPRESA INDIVIDUAL DE RESPONSABILIDAD LIMITADA - EL CUSQUEÑITO DEL BUEN"/>
    <x v="0"/>
    <s v="FACTURA"/>
    <s v="F001"/>
    <n v="23831"/>
    <m/>
    <n v="270"/>
    <m/>
    <n v="27"/>
    <n v="0"/>
    <n v="297"/>
    <m/>
    <m/>
    <m/>
    <m/>
    <m/>
    <s v="65.9.9.1.01"/>
    <s v="falta"/>
    <x v="0"/>
  </r>
  <r>
    <s v="16/07/2025"/>
    <x v="1"/>
    <s v="001"/>
    <s v="07-000539"/>
    <x v="0"/>
    <s v="94.06"/>
    <s v="Gerencia"/>
    <s v="falta"/>
    <s v="20455788286"/>
    <s v="RESTAURANT CAMPESTRE SULÚ E.I.R.L."/>
    <x v="0"/>
    <s v="FACTURA"/>
    <s v="F002"/>
    <n v="2888"/>
    <m/>
    <n v="400"/>
    <m/>
    <n v="40"/>
    <n v="0"/>
    <n v="440"/>
    <m/>
    <m/>
    <m/>
    <m/>
    <m/>
    <s v="65.9.9.1.01"/>
    <s v="falta"/>
    <x v="0"/>
  </r>
  <r>
    <s v="08/07/2025"/>
    <x v="1"/>
    <s v="001"/>
    <s v="07-000540"/>
    <x v="0"/>
    <s v="94.06"/>
    <s v="Gerencia"/>
    <s v="falta"/>
    <s v="10413506536"/>
    <s v="SONAPO CORONADO LIZ"/>
    <x v="0"/>
    <s v="FACTURA"/>
    <s v="E001"/>
    <n v="878"/>
    <n v="1521.83"/>
    <m/>
    <n v="273.92939999999999"/>
    <m/>
    <n v="0"/>
    <n v="1795.75"/>
    <m/>
    <m/>
    <m/>
    <m/>
    <m/>
    <s v="65.9.9.1.01"/>
    <s v="falta"/>
    <x v="0"/>
  </r>
  <r>
    <s v="24/07/2025"/>
    <x v="1"/>
    <s v="001"/>
    <s v="07-000541"/>
    <x v="0"/>
    <s v="94.06"/>
    <s v="Gerencia"/>
    <s v="Silla top plomo RQ.LOG.335 OC 004_175"/>
    <s v="20602460143"/>
    <s v="KEROS AQP EMPRESA INDIVIDUAL DE RESPONSABILIDAD LIMITADA - KEROS AQP E.I.R.L."/>
    <x v="0"/>
    <s v="FACTURA"/>
    <s v="F002"/>
    <n v="11547"/>
    <n v="724.58"/>
    <m/>
    <n v="130.42439999999999"/>
    <m/>
    <n v="0"/>
    <n v="855"/>
    <m/>
    <m/>
    <m/>
    <m/>
    <m/>
    <s v="65.9.9.9.01"/>
    <s v="Silla top plomo RQ.LOG.335 OC 004_175"/>
    <x v="28"/>
  </r>
  <r>
    <s v="24/07/2025"/>
    <x v="1"/>
    <s v="001"/>
    <s v="07-000542"/>
    <x v="0"/>
    <s v="94.06"/>
    <s v="Gerencia"/>
    <s v="falta"/>
    <s v="20606664088"/>
    <s v="CREATALENTO CAPACITACION ESPECIALIZADA E.I.R.L."/>
    <x v="0"/>
    <s v="FACTURA"/>
    <s v="E001"/>
    <n v="2186"/>
    <n v="637.29"/>
    <m/>
    <n v="114.7122"/>
    <m/>
    <n v="0"/>
    <n v="752"/>
    <m/>
    <m/>
    <m/>
    <m/>
    <s v="NRO.DET277297310"/>
    <s v="65.9.9.1.01"/>
    <s v="falta"/>
    <x v="0"/>
  </r>
  <r>
    <s v="04/07/2025"/>
    <x v="1"/>
    <s v="001"/>
    <s v="07-000543"/>
    <x v="0"/>
    <s v="94.06"/>
    <s v="Gerencia"/>
    <s v="falta"/>
    <s v="20609649519"/>
    <s v="CORPORACION INDUSTRIAL CES S.A.C."/>
    <x v="0"/>
    <s v="FACTURA"/>
    <s v="F001"/>
    <n v="374"/>
    <n v="12624.91"/>
    <m/>
    <n v="2272.4838"/>
    <m/>
    <n v="0"/>
    <n v="14897.4"/>
    <m/>
    <m/>
    <m/>
    <m/>
    <m/>
    <s v="65.9.9.1.01"/>
    <s v="falta"/>
    <x v="0"/>
  </r>
  <r>
    <s v="17/07/2025"/>
    <x v="1"/>
    <s v="001"/>
    <s v="07-000544"/>
    <x v="0"/>
    <s v="94.06"/>
    <s v="Gerencia"/>
    <s v="falta"/>
    <s v="20601780543"/>
    <s v="JNB PERU S.A.C."/>
    <x v="0"/>
    <s v="FACTURA"/>
    <s v="E001"/>
    <n v="139"/>
    <n v="1790"/>
    <m/>
    <n v="322.2"/>
    <m/>
    <n v="0"/>
    <n v="2112.1999999999998"/>
    <m/>
    <m/>
    <m/>
    <m/>
    <m/>
    <s v="65.9.9.1.01"/>
    <s v="falta"/>
    <x v="0"/>
  </r>
  <r>
    <s v="14/07/2025"/>
    <x v="1"/>
    <s v="001"/>
    <s v="07-000545"/>
    <x v="1"/>
    <s v="91.06.02.08"/>
    <s v="Montacarga"/>
    <s v="Alquiler de montacarga RQ.OPE.1294"/>
    <s v="20603974817"/>
    <s v="TRANSPORTES, GRUAS Y MONTACARGAS AREQUIPA EMPRESA INDIVIDUAL DE RESPONSABILIDAD LIMITADA"/>
    <x v="0"/>
    <s v="FACTURA"/>
    <s v="E001"/>
    <n v="4037"/>
    <n v="170"/>
    <m/>
    <n v="30.599999999999998"/>
    <m/>
    <n v="0"/>
    <n v="200.6"/>
    <m/>
    <m/>
    <m/>
    <m/>
    <m/>
    <s v="63.5.4.1.01"/>
    <s v="Alquiler de montacarga RQ.OPE.1294"/>
    <x v="16"/>
  </r>
  <r>
    <s v="01/08/2025"/>
    <x v="2"/>
    <s v="001"/>
    <s v="08-000001"/>
    <x v="1"/>
    <s v="91.05.01"/>
    <s v="Residuos Aprovechables"/>
    <s v="Aceite usado,cilindro metalico OC 291"/>
    <s v="20539387104"/>
    <s v="APMINAC PULPERA S.A."/>
    <x v="0"/>
    <s v="FACTURA"/>
    <s v="E001"/>
    <n v="1342"/>
    <n v="770.34"/>
    <m/>
    <n v="138.66120000000001"/>
    <m/>
    <n v="0"/>
    <n v="909"/>
    <s v="277160641"/>
    <s v="1/08/2025"/>
    <m/>
    <m/>
    <s v="OC 291"/>
    <s v="60.2.1.1"/>
    <s v="Aceite usado,cilindro metalico OC 291"/>
    <x v="6"/>
  </r>
  <r>
    <s v="01/08/2025"/>
    <x v="2"/>
    <s v="001"/>
    <s v="08-000002"/>
    <x v="1"/>
    <s v="91.05.01"/>
    <s v="Residuos Aprovechables"/>
    <s v="Cilindros usados OC 305"/>
    <s v="20100055237"/>
    <s v="ALICORP SAA"/>
    <x v="0"/>
    <s v="FACTURA"/>
    <s v="F313"/>
    <n v="6665"/>
    <n v="344"/>
    <m/>
    <n v="61.919999999999995"/>
    <m/>
    <n v="0"/>
    <n v="405.92"/>
    <s v="277450122"/>
    <s v="5/08/2025"/>
    <m/>
    <m/>
    <s v="OC 305"/>
    <s v="60.2.1.1"/>
    <s v="Cilindros usados OC 305"/>
    <x v="6"/>
  </r>
  <r>
    <s v="01/08/2025"/>
    <x v="2"/>
    <s v="001"/>
    <s v="08-000003"/>
    <x v="1"/>
    <s v="91.05.01"/>
    <s v="Residuos Aprovechables"/>
    <s v="Sco polis inserv OC 304"/>
    <s v="20100055237"/>
    <s v="ALICORP SAA"/>
    <x v="0"/>
    <s v="FACTURA"/>
    <s v="F313"/>
    <n v="6663"/>
    <n v="12.5"/>
    <m/>
    <n v="2.25"/>
    <m/>
    <n v="0"/>
    <n v="14.75"/>
    <s v="277450123"/>
    <s v="5/08/2025"/>
    <m/>
    <m/>
    <s v="OC 304"/>
    <s v="60.2.1.1"/>
    <s v="Sco polis inserv OC 304"/>
    <x v="6"/>
  </r>
  <r>
    <s v="01/08/2025"/>
    <x v="2"/>
    <s v="001"/>
    <s v="08-000004"/>
    <x v="1"/>
    <s v="91.05.01"/>
    <s v="Residuos Aprovechables"/>
    <s v="Chatarra OC 303"/>
    <s v="20100055237"/>
    <s v="ALICORP SAA"/>
    <x v="0"/>
    <s v="FACTURA"/>
    <s v="F313"/>
    <n v="6666"/>
    <n v="52"/>
    <m/>
    <n v="9.36"/>
    <m/>
    <n v="0"/>
    <n v="61.36"/>
    <s v="277450124"/>
    <s v="5/08/2025"/>
    <m/>
    <m/>
    <s v="OC 303"/>
    <s v="60.2.1.1"/>
    <s v="Chatarra OC 303"/>
    <x v="6"/>
  </r>
  <r>
    <s v="01/08/2025"/>
    <x v="2"/>
    <s v="001"/>
    <s v="08-000005"/>
    <x v="1"/>
    <s v="91.05.01"/>
    <s v="Residuos Aprovechables"/>
    <s v="Galleta rota 30kg OC 302"/>
    <s v="20100055237"/>
    <s v="ALICORP SAA"/>
    <x v="0"/>
    <s v="FACTURA"/>
    <s v="F313"/>
    <n v="6667"/>
    <n v="608"/>
    <m/>
    <n v="109.44"/>
    <m/>
    <n v="0"/>
    <n v="717.44"/>
    <s v="277450125"/>
    <s v="5/08/2025"/>
    <m/>
    <m/>
    <s v="OC 302"/>
    <s v="60.2.1.1"/>
    <s v="Galleta rota 30kg OC 302"/>
    <x v="6"/>
  </r>
  <r>
    <s v="01/08/2025"/>
    <x v="2"/>
    <s v="001"/>
    <s v="08-000006"/>
    <x v="1"/>
    <s v="91.05.01"/>
    <s v="Residuos Aprovechables"/>
    <s v="Film strech usado OC 301"/>
    <s v="20100055237"/>
    <s v="ALICORP SAA"/>
    <x v="0"/>
    <s v="FACTURA"/>
    <s v="F313"/>
    <n v="6662"/>
    <n v="423"/>
    <m/>
    <n v="76.14"/>
    <m/>
    <n v="0"/>
    <n v="499.14"/>
    <s v="277450126"/>
    <s v="5/08/2025"/>
    <m/>
    <m/>
    <s v="OC 301"/>
    <s v="60.2.1.1"/>
    <s v="Film strech usado OC 301"/>
    <x v="6"/>
  </r>
  <r>
    <s v="01/08/2025"/>
    <x v="2"/>
    <s v="001"/>
    <s v="08-000007"/>
    <x v="1"/>
    <s v="91.05.01"/>
    <s v="Residuos Aprovechables"/>
    <s v="Carton y bolsas papel inservibles OC 300"/>
    <s v="20100055237"/>
    <s v="ALICORP SAA"/>
    <x v="0"/>
    <s v="FACTURA"/>
    <s v="F313"/>
    <n v="6661"/>
    <n v="140.4"/>
    <m/>
    <n v="25.271999999999998"/>
    <m/>
    <n v="0"/>
    <n v="165.67"/>
    <s v="277450127"/>
    <s v="5/08/2025"/>
    <m/>
    <m/>
    <s v="OC 300"/>
    <s v="60.2.1.1"/>
    <s v="Carton y bolsas papel inservibles OC 300"/>
    <x v="6"/>
  </r>
  <r>
    <s v="01/08/2025"/>
    <x v="2"/>
    <s v="001"/>
    <s v="08-000008"/>
    <x v="1"/>
    <s v="91.05.01"/>
    <s v="Residuos Aprovechables"/>
    <s v="Tucos de carton OC 299"/>
    <s v="20100055237"/>
    <s v="ALICORP SAA"/>
    <x v="0"/>
    <s v="FACTURA"/>
    <s v="F313"/>
    <n v="6664"/>
    <n v="7.8"/>
    <m/>
    <n v="1.4039999999999999"/>
    <m/>
    <n v="0"/>
    <n v="9.1999999999999993"/>
    <s v="278530555"/>
    <s v="12/08/2025"/>
    <m/>
    <m/>
    <s v="OC 299"/>
    <s v="60.2.1.1"/>
    <s v="Tucos de carton OC 299"/>
    <x v="6"/>
  </r>
  <r>
    <s v="01/08/2025"/>
    <x v="2"/>
    <s v="001"/>
    <s v="08-000009"/>
    <x v="0"/>
    <s v="94.03"/>
    <s v="Logistica"/>
    <s v="Alimentacion canino RQ.LOG.337"/>
    <s v="20492092313"/>
    <s v="MAKRO SUPERMAYORISTA S.A."/>
    <x v="0"/>
    <s v="FACTURA"/>
    <s v="FA05"/>
    <n v="1683570"/>
    <n v="89.75"/>
    <m/>
    <n v="16.155000000000001"/>
    <m/>
    <n v="0"/>
    <n v="105.9"/>
    <m/>
    <m/>
    <m/>
    <m/>
    <m/>
    <s v="65.9.9.9.01"/>
    <s v="Alimentacion canino RQ.LOG.337"/>
    <x v="28"/>
  </r>
  <r>
    <s v="01/08/2025"/>
    <x v="2"/>
    <s v="001"/>
    <s v="08-000010"/>
    <x v="1"/>
    <s v="91.06.02.07"/>
    <s v="VDJ_872"/>
    <s v="Peaje 25059"/>
    <s v="20517252558"/>
    <s v="CONCESIONARIA VIAL DEL SUR S.A.- COVISUR S.A."/>
    <x v="0"/>
    <s v="FACTURA"/>
    <s v="F212"/>
    <n v="1799815"/>
    <n v="6.78"/>
    <m/>
    <n v="1.2203999999999999"/>
    <m/>
    <n v="0"/>
    <n v="8"/>
    <m/>
    <m/>
    <m/>
    <m/>
    <s v="25059"/>
    <s v="63.1.1.3.02"/>
    <s v="Peaje 25059"/>
    <x v="8"/>
  </r>
  <r>
    <s v="01/08/2025"/>
    <x v="2"/>
    <s v="001"/>
    <s v="08-000011"/>
    <x v="1"/>
    <s v="91.06.02.07"/>
    <s v="VDJ_872"/>
    <s v="Peaje 25058"/>
    <s v="20517252558"/>
    <s v="CONCESIONARIA VIAL DEL SUR S.A.- COVISUR S.A."/>
    <x v="0"/>
    <s v="FACTURA"/>
    <s v="F213"/>
    <n v="1820298"/>
    <n v="6.78"/>
    <m/>
    <n v="1.2203999999999999"/>
    <m/>
    <n v="0"/>
    <n v="8"/>
    <m/>
    <m/>
    <m/>
    <m/>
    <s v="25058"/>
    <s v="63.1.1.3.02"/>
    <s v="Peaje 25058"/>
    <x v="8"/>
  </r>
  <r>
    <s v="05/08/2025"/>
    <x v="2"/>
    <s v="001"/>
    <s v="08-000013"/>
    <x v="1"/>
    <s v="91.05.01"/>
    <s v="Residuos Aprovechables"/>
    <s v="Frascos de vidrio,hojalatas OC 308"/>
    <s v="20454186002"/>
    <s v="ALSUR PERU S.A.C."/>
    <x v="0"/>
    <s v="FACTURA"/>
    <s v="F003"/>
    <n v="1716"/>
    <n v="129.83000000000001"/>
    <m/>
    <n v="23.369400000000002"/>
    <m/>
    <n v="0"/>
    <n v="153.19999999999999"/>
    <s v="278568675"/>
    <s v="12/08/2025"/>
    <m/>
    <m/>
    <s v="OC 308"/>
    <s v="60.2.1.1"/>
    <s v="Frascos de vidrio,hojalatas OC 308"/>
    <x v="6"/>
  </r>
  <r>
    <s v="07/08/2025"/>
    <x v="2"/>
    <s v="001"/>
    <s v="08-000014"/>
    <x v="1"/>
    <s v="91.05.01"/>
    <s v="Residuos Aprovechables"/>
    <s v="Carton y bolsas papel OC 309"/>
    <s v="20100055237"/>
    <s v="ALICORP SAA"/>
    <x v="0"/>
    <s v="FACTURA"/>
    <s v="F313"/>
    <n v="6705"/>
    <n v="148.5"/>
    <m/>
    <n v="26.73"/>
    <m/>
    <n v="0"/>
    <n v="175.23"/>
    <s v="278530556"/>
    <s v="12/08/2025"/>
    <m/>
    <m/>
    <s v="OC 309"/>
    <s v="60.2.1.1"/>
    <s v="Carton y bolsas papel OC 309"/>
    <x v="6"/>
  </r>
  <r>
    <s v="07/08/2025"/>
    <x v="2"/>
    <s v="001"/>
    <s v="08-000015"/>
    <x v="1"/>
    <s v="91.05.01"/>
    <s v="Residuos Aprovechables"/>
    <s v="Tucos de carton OC 310"/>
    <s v="20100055237"/>
    <s v="ALICORP SAA"/>
    <x v="0"/>
    <s v="FACTURA"/>
    <s v="F313"/>
    <n v="6707"/>
    <n v="5.4"/>
    <m/>
    <n v="0.97199999999999998"/>
    <m/>
    <n v="0"/>
    <n v="6.37"/>
    <s v="278530557"/>
    <s v="12/08/2025"/>
    <m/>
    <m/>
    <s v="OC 310"/>
    <s v="60.2.1.1"/>
    <s v="Tucos de carton OC 310"/>
    <x v="6"/>
  </r>
  <r>
    <s v="07/08/2025"/>
    <x v="2"/>
    <s v="001"/>
    <s v="08-000016"/>
    <x v="1"/>
    <s v="91.05.01"/>
    <s v="Residuos Aprovechables"/>
    <s v="Films strech usado OC 311"/>
    <s v="20100055237"/>
    <s v="ALICORP SAA"/>
    <x v="0"/>
    <s v="FACTURA"/>
    <s v="F313"/>
    <n v="6706"/>
    <n v="288"/>
    <m/>
    <n v="51.839999999999996"/>
    <m/>
    <n v="0"/>
    <n v="339.84"/>
    <s v="278530558"/>
    <s v="12/08/2025"/>
    <m/>
    <m/>
    <s v="OC 311"/>
    <s v="60.2.1.1"/>
    <s v="Films strech usado OC 311"/>
    <x v="6"/>
  </r>
  <r>
    <s v="07/08/2025"/>
    <x v="2"/>
    <s v="001"/>
    <s v="08-000017"/>
    <x v="1"/>
    <s v="91.05.01"/>
    <s v="Residuos Aprovechables"/>
    <s v="Chatarra mad OC 312"/>
    <s v="20100055237"/>
    <s v="ALICORP SAA"/>
    <x v="0"/>
    <s v="FACTURA"/>
    <s v="F313"/>
    <n v="6709"/>
    <n v="50.5"/>
    <m/>
    <n v="9.09"/>
    <m/>
    <n v="0"/>
    <n v="59.59"/>
    <s v="278530559"/>
    <s v="12/08/2025"/>
    <m/>
    <m/>
    <s v="OC 312"/>
    <s v="60.2.1.1"/>
    <s v="Chatarra mad OC 312"/>
    <x v="6"/>
  </r>
  <r>
    <s v="07/08/2025"/>
    <x v="2"/>
    <s v="001"/>
    <s v="08-000018"/>
    <x v="1"/>
    <s v="91.05.01"/>
    <s v="Residuos Aprovechables"/>
    <s v="Cilindro usado x 55 GL OC 313"/>
    <s v="20100055237"/>
    <s v="ALICORP SAA"/>
    <x v="0"/>
    <s v="FACTURA"/>
    <s v="F313"/>
    <n v="6708"/>
    <n v="301"/>
    <m/>
    <n v="54.18"/>
    <m/>
    <n v="0"/>
    <n v="355.18"/>
    <s v="278530560"/>
    <s v="12/08/2025"/>
    <m/>
    <m/>
    <s v="OC 313"/>
    <s v="60.2.1.1"/>
    <s v="Cilindro usado x 55 GL OC 313"/>
    <x v="6"/>
  </r>
  <r>
    <s v="03/08/2025"/>
    <x v="2"/>
    <s v="001"/>
    <s v="08-000019"/>
    <x v="0"/>
    <s v="94.01"/>
    <s v="Administracion"/>
    <s v="Internet _  agosto"/>
    <s v="20609368773"/>
    <s v="FIXER TELECOMUNICACIONES SOCIEDAD ANONIMA CERRADA"/>
    <x v="0"/>
    <s v="FACTURA"/>
    <s v="E001"/>
    <n v="478"/>
    <n v="79.900000000000006"/>
    <m/>
    <n v="14.382"/>
    <m/>
    <n v="0"/>
    <n v="94.28"/>
    <m/>
    <m/>
    <m/>
    <m/>
    <m/>
    <s v="63.6.5.1"/>
    <s v="Internet _  agosto"/>
    <x v="0"/>
  </r>
  <r>
    <s v="01/08/2025"/>
    <x v="2"/>
    <s v="001"/>
    <s v="08-000020"/>
    <x v="1"/>
    <s v="91.06.02.02"/>
    <s v="BKK_849"/>
    <s v="Balanza"/>
    <s v="20259858934"/>
    <s v="COMERCIALIZACION Y SERVICIOS EL EDEN S.A.C."/>
    <x v="0"/>
    <s v="FACTURA"/>
    <s v="FE02"/>
    <n v="17180"/>
    <n v="16.95"/>
    <m/>
    <n v="3.0509999999999997"/>
    <m/>
    <n v="0"/>
    <n v="20"/>
    <m/>
    <m/>
    <m/>
    <m/>
    <m/>
    <s v="63.1.1.7.01"/>
    <s v="Balanza"/>
    <x v="11"/>
  </r>
  <r>
    <s v="07/08/2025"/>
    <x v="2"/>
    <s v="001"/>
    <s v="08-000021"/>
    <x v="1"/>
    <s v="91.05.01"/>
    <s v="Residuos Aprovechables"/>
    <s v="Galleta rota sucia 30 gk OC 314"/>
    <s v="20100055237"/>
    <s v="ALICORP SAA"/>
    <x v="0"/>
    <s v="FACTURA"/>
    <s v="F313"/>
    <n v="6710"/>
    <n v="608"/>
    <m/>
    <n v="109.44"/>
    <m/>
    <n v="0"/>
    <n v="717.44"/>
    <s v="278530561"/>
    <s v="12/08/2025"/>
    <m/>
    <m/>
    <s v="OC 314"/>
    <s v="60.2.1.1"/>
    <s v="Galleta rota sucia 30 gk OC 314"/>
    <x v="6"/>
  </r>
  <r>
    <s v="05/08/2025"/>
    <x v="2"/>
    <s v="001"/>
    <s v="08-000022"/>
    <x v="1"/>
    <s v="91.06.02.06"/>
    <s v="VBW_889"/>
    <s v="Peaje"/>
    <s v="20517252558"/>
    <s v="CONCESIONARIA VIAL DEL SUR S.A.- COVISUR S.A."/>
    <x v="0"/>
    <s v="FACTURA"/>
    <s v="F213"/>
    <n v="1823766"/>
    <n v="4.24"/>
    <m/>
    <n v="0.76319999999999999"/>
    <m/>
    <n v="0"/>
    <n v="5"/>
    <m/>
    <m/>
    <m/>
    <m/>
    <m/>
    <s v="63.1.1.3.02"/>
    <s v="Peaje"/>
    <x v="8"/>
  </r>
  <r>
    <s v="05/08/2025"/>
    <x v="2"/>
    <s v="001"/>
    <s v="08-000023"/>
    <x v="1"/>
    <s v="91.06.02.06"/>
    <s v="VBW_889"/>
    <s v="Peaje"/>
    <s v="20517252558"/>
    <s v="CONCESIONARIA VIAL DEL SUR S.A.- COVISUR S.A."/>
    <x v="0"/>
    <s v="FACTURA"/>
    <s v="F212"/>
    <n v="1803301"/>
    <n v="4.24"/>
    <m/>
    <n v="0.76319999999999999"/>
    <m/>
    <n v="0"/>
    <n v="5"/>
    <m/>
    <m/>
    <m/>
    <m/>
    <m/>
    <s v="63.1.1.3.02"/>
    <s v="Peaje"/>
    <x v="8"/>
  </r>
  <r>
    <s v="01/08/2025"/>
    <x v="2"/>
    <s v="001"/>
    <s v="08-000024"/>
    <x v="1"/>
    <s v="91.06.02.02"/>
    <s v="BKK_849"/>
    <s v="Peaje"/>
    <s v="20517252558"/>
    <s v="CONCESIONARIA VIAL DEL SUR S.A.- COVISUR S.A."/>
    <x v="0"/>
    <s v="FACTURA"/>
    <s v="F211"/>
    <n v="2418953"/>
    <n v="6.78"/>
    <m/>
    <n v="1.2203999999999999"/>
    <m/>
    <n v="0"/>
    <n v="8"/>
    <m/>
    <m/>
    <m/>
    <m/>
    <m/>
    <s v="63.1.1.3.02"/>
    <s v="Peaje"/>
    <x v="8"/>
  </r>
  <r>
    <s v="04/08/2025"/>
    <x v="2"/>
    <s v="001"/>
    <s v="08-000025"/>
    <x v="1"/>
    <s v="91.06.01"/>
    <s v="Operaciones"/>
    <s v="Envío de documentación / paquetería"/>
    <s v="20558053691"/>
    <s v="GRUPO GARCIA TOLEDO S.A.C"/>
    <x v="0"/>
    <s v="FACTURA"/>
    <s v="F549"/>
    <n v="14122"/>
    <n v="16.95"/>
    <m/>
    <n v="3.0509999999999997"/>
    <m/>
    <n v="0"/>
    <n v="20"/>
    <m/>
    <m/>
    <m/>
    <m/>
    <m/>
    <s v="63.1.2.1.01"/>
    <s v="Envío de documentación / paquetería"/>
    <x v="2"/>
  </r>
  <r>
    <s v="01/08/2025"/>
    <x v="2"/>
    <s v="001"/>
    <s v="08-000026"/>
    <x v="1"/>
    <s v="91.06.02.02"/>
    <s v="BKK_849"/>
    <s v="Peaje"/>
    <s v="20517252558"/>
    <s v="CONCESIONARIA VIAL DEL SUR S.A.- COVISUR S.A."/>
    <x v="0"/>
    <s v="FACTURA"/>
    <s v="F214"/>
    <n v="2130608"/>
    <n v="6.78"/>
    <m/>
    <n v="1.2203999999999999"/>
    <m/>
    <n v="0"/>
    <n v="8"/>
    <m/>
    <m/>
    <m/>
    <m/>
    <m/>
    <s v="63.1.1.3.02"/>
    <s v="Peaje"/>
    <x v="8"/>
  </r>
  <r>
    <s v="01/08/2025"/>
    <x v="2"/>
    <s v="001"/>
    <s v="08-000027"/>
    <x v="1"/>
    <s v="91.06.01"/>
    <s v="Operaciones"/>
    <s v="Transporte de carga RQ.OPE.1328 OS 005_684"/>
    <s v="20606259116"/>
    <s v="GRUPO TERAN SOCIEDAD ANONIMA CERRADA - GRUPO TERAN S.A.C"/>
    <x v="0"/>
    <s v="FACTURA"/>
    <s v="E001"/>
    <n v="182"/>
    <n v="2500"/>
    <m/>
    <n v="450"/>
    <m/>
    <n v="0"/>
    <n v="2950"/>
    <m/>
    <m/>
    <m/>
    <m/>
    <m/>
    <s v="63.1.1.1.01"/>
    <s v="Transporte de carga RQ.OPE.1328 OS 005_684"/>
    <x v="21"/>
  </r>
  <r>
    <s v="01/08/2025"/>
    <x v="2"/>
    <s v="001"/>
    <s v="08-000028"/>
    <x v="0"/>
    <m/>
    <m/>
    <m/>
    <s v="20100210909"/>
    <s v="LA POSITIVA SEGUROS Y REASEGUROS S.A.A."/>
    <x v="0"/>
    <s v="FACTURA"/>
    <s v="F809"/>
    <s v="386030"/>
    <n v="129.66"/>
    <m/>
    <n v="23.34"/>
    <m/>
    <n v="0"/>
    <n v="153"/>
    <m/>
    <m/>
    <m/>
    <m/>
    <m/>
    <m/>
    <m/>
    <x v="0"/>
  </r>
  <r>
    <s v="01/08/2025"/>
    <x v="2"/>
    <s v="001"/>
    <s v="08-000029"/>
    <x v="1"/>
    <s v="91.06.01"/>
    <s v="Operaciones"/>
    <s v="Alimentacion"/>
    <s v="20604947520"/>
    <s v="MINIMARKET LAS BERMUDAS E.I.R.L."/>
    <x v="0"/>
    <s v="FACTURA"/>
    <s v="F001"/>
    <n v="6993"/>
    <n v="23.73"/>
    <m/>
    <n v="4.2713999999999999"/>
    <m/>
    <n v="0"/>
    <n v="28"/>
    <m/>
    <m/>
    <m/>
    <m/>
    <m/>
    <s v="63.1.4.1.01"/>
    <s v="Alimentacion"/>
    <x v="9"/>
  </r>
  <r>
    <s v="06/08/2025"/>
    <x v="2"/>
    <s v="001"/>
    <s v="08-000030"/>
    <x v="2"/>
    <s v="95.01"/>
    <s v="Comercial"/>
    <s v="Transporte de carga RQ.COM.361 OS 005_689"/>
    <s v="20429640939"/>
    <s v="EMPRESA DE TRANSPORTES DE CARGA COSISE S.A.C."/>
    <x v="0"/>
    <s v="FACTURA"/>
    <s v="F002"/>
    <n v="1843"/>
    <n v="2245.7600000000002"/>
    <m/>
    <n v="404.23680000000002"/>
    <m/>
    <n v="0"/>
    <n v="2650"/>
    <s v="278568680"/>
    <s v="12/08/2025"/>
    <m/>
    <m/>
    <m/>
    <s v="63.1.1.1.02"/>
    <s v="Transporte de carga RQ.COM.361 OS 005_689"/>
    <x v="13"/>
  </r>
  <r>
    <s v="08/08/2025"/>
    <x v="2"/>
    <s v="001"/>
    <s v="08-000031"/>
    <x v="1"/>
    <s v="91.06.02.06"/>
    <s v="VBW_889"/>
    <s v="Balanza"/>
    <s v="20259858934"/>
    <s v="COMERCIALIZACION Y SERVICIOS EL EDEN S.A.C."/>
    <x v="0"/>
    <s v="FACTURA"/>
    <s v="FE01"/>
    <n v="35311"/>
    <n v="8.4700000000000006"/>
    <m/>
    <n v="1.5246"/>
    <m/>
    <n v="0"/>
    <n v="10"/>
    <m/>
    <m/>
    <m/>
    <m/>
    <m/>
    <s v="63.1.1.7.02"/>
    <s v="Balanza"/>
    <x v="1"/>
  </r>
  <r>
    <s v="01/08/2025"/>
    <x v="2"/>
    <s v="001"/>
    <s v="08-000032"/>
    <x v="0"/>
    <s v="94.01"/>
    <s v="Administracion"/>
    <s v="Internet _ villa esperanza"/>
    <s v="20608587803"/>
    <s v="FF AQP E.I.R.L."/>
    <x v="0"/>
    <s v="FACTURA"/>
    <s v="FFF1"/>
    <n v="255"/>
    <n v="152.54"/>
    <m/>
    <n v="27.457199999999997"/>
    <m/>
    <n v="0"/>
    <n v="180"/>
    <m/>
    <m/>
    <m/>
    <m/>
    <m/>
    <s v="63.6.5.1"/>
    <s v="Internet _ villa esperanza"/>
    <x v="0"/>
  </r>
  <r>
    <s v="07/08/2025"/>
    <x v="2"/>
    <s v="001"/>
    <s v="08-000033"/>
    <x v="0"/>
    <s v="94.04"/>
    <s v="Gestion Humana"/>
    <s v="Examen medico _ ingreso RQ.GH.224"/>
    <s v="20517035964"/>
    <s v="SIGSO CONSULTORES LABORALES SOCIEDAD ANONIMA CERRADA - SIGSO CONSULTORES LABORALES S.A.C."/>
    <x v="0"/>
    <s v="FACTURA"/>
    <s v="F200"/>
    <n v="16344"/>
    <n v="438"/>
    <m/>
    <n v="78.84"/>
    <m/>
    <n v="0"/>
    <n v="516.84"/>
    <m/>
    <m/>
    <m/>
    <m/>
    <m/>
    <s v="62.5.1.2.01"/>
    <s v="Examen medico _ ingreso RQ.GH.224"/>
    <x v="25"/>
  </r>
  <r>
    <s v="05/08/2025"/>
    <x v="2"/>
    <s v="001"/>
    <s v="08-000034"/>
    <x v="0"/>
    <s v="94.04"/>
    <s v="Gestion Humana"/>
    <s v="Examen medico _ ingreso RQ.GH.221"/>
    <s v="20517035964"/>
    <s v="SIGSO CONSULTORES LABORALES SOCIEDAD ANONIMA CERRADA - SIGSO CONSULTORES LABORALES S.A.C."/>
    <x v="0"/>
    <s v="FACTURA"/>
    <s v="F200"/>
    <n v="16340"/>
    <n v="415"/>
    <m/>
    <n v="74.7"/>
    <m/>
    <n v="0"/>
    <n v="489.7"/>
    <m/>
    <m/>
    <m/>
    <m/>
    <m/>
    <s v="62.5.1.2.01"/>
    <s v="Examen medico _ ingreso RQ.GH.221"/>
    <x v="25"/>
  </r>
  <r>
    <s v="02/08/2025"/>
    <x v="2"/>
    <s v="001"/>
    <s v="08-000035"/>
    <x v="0"/>
    <s v="94.04"/>
    <s v="Gestion Humana"/>
    <s v="Examen medico RQ.GH.220"/>
    <s v="20517035964"/>
    <s v="SIGSO CONSULTORES LABORALES SOCIEDAD ANONIMA CERRADA - SIGSO CONSULTORES LABORALES S.A.C."/>
    <x v="0"/>
    <s v="FACTURA"/>
    <s v="F200"/>
    <n v="16321"/>
    <n v="106"/>
    <m/>
    <n v="19.079999999999998"/>
    <m/>
    <n v="0"/>
    <n v="125.08"/>
    <m/>
    <m/>
    <m/>
    <m/>
    <m/>
    <s v="62.5.1.2.01"/>
    <s v="Examen medico RQ.GH.220"/>
    <x v="25"/>
  </r>
  <r>
    <s v="01/08/2025"/>
    <x v="2"/>
    <s v="001"/>
    <s v="08-000036"/>
    <x v="0"/>
    <s v="94.05"/>
    <s v="SSOMA"/>
    <s v="Capacitaciones RQ.SSO.261"/>
    <s v="20514464881"/>
    <s v="ORGANIZACION IBEROAMERICANA DE SEGURIDAD"/>
    <x v="0"/>
    <s v="FACTURA"/>
    <s v="F001"/>
    <n v="43333"/>
    <n v="29.66"/>
    <m/>
    <n v="5.3388"/>
    <m/>
    <n v="0"/>
    <n v="35"/>
    <m/>
    <m/>
    <m/>
    <m/>
    <m/>
    <s v="63.2.1.1"/>
    <s v="Capacitaciones RQ.SSO.261"/>
    <x v="0"/>
  </r>
  <r>
    <s v="07/08/2025"/>
    <x v="2"/>
    <s v="001"/>
    <s v="08-000037"/>
    <x v="0"/>
    <s v="94.07"/>
    <s v="Sistemas y TI"/>
    <s v="Mantenimiento_Impresoras y fotocopiadoras (hardware) RQ.ST.099"/>
    <s v="20498041567"/>
    <s v="LA FERIA DEL SUR S.A.C."/>
    <x v="0"/>
    <s v="FACTURA"/>
    <s v="F001"/>
    <n v="8555"/>
    <n v="76.27"/>
    <m/>
    <n v="13.728599999999998"/>
    <m/>
    <n v="0"/>
    <n v="90"/>
    <m/>
    <m/>
    <m/>
    <m/>
    <m/>
    <s v="63.4.3.5.01"/>
    <s v="Mantenimiento_Impresoras y fotocopiadoras (hardware) RQ.ST.099"/>
    <x v="0"/>
  </r>
  <r>
    <s v="04/08/2025"/>
    <x v="2"/>
    <s v="001"/>
    <s v="08-000038"/>
    <x v="1"/>
    <s v="91.06.02.01"/>
    <s v="V9R_903"/>
    <s v="Mantenimiento Vehicular (Preventivo) RQ.OPE.1314 OS 006_166"/>
    <s v="20413666130"/>
    <s v="CONCESIONARIOS AUTORIZADOS S.A.C."/>
    <x v="0"/>
    <s v="FACTURA"/>
    <s v="F152"/>
    <n v="27124"/>
    <n v="1247.8900000000001"/>
    <m/>
    <n v="224.62020000000001"/>
    <m/>
    <n v="0"/>
    <n v="1472.51"/>
    <m/>
    <m/>
    <m/>
    <m/>
    <m/>
    <s v="63.4.3.2.02"/>
    <s v="Mantenimiento Vehicular (Preventivo) RQ.OPE.1314 OS 006_166"/>
    <x v="3"/>
  </r>
  <r>
    <s v="08/08/2025"/>
    <x v="2"/>
    <s v="001"/>
    <s v="08-000039"/>
    <x v="0"/>
    <s v="94.07"/>
    <s v="Sistemas y TI"/>
    <s v="Accesorios para laptop RQ.STI.097"/>
    <s v="20600967291"/>
    <s v="ALEXANDER COMPUTER S.R.L. - ALECOM S.R.L."/>
    <x v="0"/>
    <s v="FACTURA"/>
    <s v="E001"/>
    <n v="2212"/>
    <n v="172.88"/>
    <m/>
    <n v="31.118399999999998"/>
    <m/>
    <n v="0"/>
    <n v="204"/>
    <m/>
    <m/>
    <m/>
    <m/>
    <m/>
    <s v="65.9.9.9.01"/>
    <s v="Accesorios para laptop RQ.STI.097"/>
    <x v="28"/>
  </r>
  <r>
    <s v="08/08/2025"/>
    <x v="2"/>
    <s v="001"/>
    <s v="08-000040"/>
    <x v="0"/>
    <m/>
    <m/>
    <m/>
    <s v="20558275082"/>
    <s v="GRUPO LAMH S.R.L."/>
    <x v="0"/>
    <s v="FACTURA"/>
    <s v="E001"/>
    <s v="4465"/>
    <n v="4964.41"/>
    <m/>
    <n v="893.59"/>
    <m/>
    <n v="0"/>
    <n v="5858"/>
    <m/>
    <m/>
    <m/>
    <m/>
    <m/>
    <m/>
    <m/>
    <x v="0"/>
  </r>
  <r>
    <s v="07/08/2025"/>
    <x v="2"/>
    <s v="001"/>
    <s v="08-000041"/>
    <x v="1"/>
    <s v="91.06.02.06"/>
    <s v="VBW_889"/>
    <s v="Peaje 25111"/>
    <s v="20517252558"/>
    <s v="CONCESIONARIA VIAL DEL SUR S.A.- COVISUR S.A."/>
    <x v="0"/>
    <s v="FACTURA"/>
    <s v="F214"/>
    <n v="2136843"/>
    <n v="4.24"/>
    <m/>
    <n v="0.76319999999999999"/>
    <m/>
    <n v="0"/>
    <n v="5"/>
    <m/>
    <m/>
    <m/>
    <m/>
    <s v="25111"/>
    <s v="63.1.1.3.02"/>
    <s v="Peaje 25111"/>
    <x v="8"/>
  </r>
  <r>
    <s v="07/08/2025"/>
    <x v="2"/>
    <s v="001"/>
    <s v="08-000042"/>
    <x v="1"/>
    <s v="91.06.02.06"/>
    <s v="VBW_889"/>
    <s v="Peaje 25102"/>
    <s v="20517252558"/>
    <s v="CONCESIONARIA VIAL DEL SUR S.A.- COVISUR S.A."/>
    <x v="0"/>
    <s v="FACTURA"/>
    <s v="F212"/>
    <n v="1804920"/>
    <n v="4.24"/>
    <m/>
    <n v="0.76319999999999999"/>
    <m/>
    <n v="0"/>
    <n v="5"/>
    <m/>
    <m/>
    <m/>
    <m/>
    <s v="25102"/>
    <s v="63.1.1.3.02"/>
    <s v="Peaje 25102"/>
    <x v="8"/>
  </r>
  <r>
    <s v="06/08/2025"/>
    <x v="2"/>
    <s v="001"/>
    <s v="08-000043"/>
    <x v="1"/>
    <s v="91.06.02.06"/>
    <s v="VBW_889"/>
    <s v="Peaje 25100"/>
    <s v="20517252558"/>
    <s v="CONCESIONARIA VIAL DEL SUR S.A.- COVISUR S.A."/>
    <x v="0"/>
    <s v="FACTURA"/>
    <s v="F211"/>
    <n v="2424542"/>
    <n v="4.24"/>
    <m/>
    <n v="0.76319999999999999"/>
    <m/>
    <n v="0"/>
    <n v="5"/>
    <m/>
    <m/>
    <m/>
    <m/>
    <s v="25100"/>
    <s v="63.1.1.3.02"/>
    <s v="Peaje 25100"/>
    <x v="8"/>
  </r>
  <r>
    <s v="06/08/2025"/>
    <x v="2"/>
    <s v="001"/>
    <s v="08-000044"/>
    <x v="1"/>
    <s v="91.06.02.06"/>
    <s v="VBW_889"/>
    <s v="Peaje 25101"/>
    <s v="20517252558"/>
    <s v="CONCESIONARIA VIAL DEL SUR S.A.- COVISUR S.A."/>
    <x v="0"/>
    <s v="FACTURA"/>
    <s v="F213"/>
    <n v="1824636"/>
    <n v="4.24"/>
    <m/>
    <n v="0.76319999999999999"/>
    <m/>
    <n v="0"/>
    <n v="5"/>
    <m/>
    <m/>
    <m/>
    <m/>
    <s v="25101"/>
    <s v="63.1.1.3.02"/>
    <s v="Peaje 25101"/>
    <x v="8"/>
  </r>
  <r>
    <s v="04/08/2025"/>
    <x v="2"/>
    <s v="001"/>
    <s v="08-000045"/>
    <x v="1"/>
    <s v="91.06.02.03"/>
    <s v="BKL_739"/>
    <s v="Peaje 25075"/>
    <s v="20517252558"/>
    <s v="CONCESIONARIA VIAL DEL SUR S.A.- COVISUR S.A."/>
    <x v="0"/>
    <s v="FACTURA"/>
    <s v="F213"/>
    <n v="1822787"/>
    <n v="6.78"/>
    <m/>
    <n v="1.2203999999999999"/>
    <m/>
    <n v="0"/>
    <n v="8"/>
    <m/>
    <m/>
    <m/>
    <m/>
    <s v="25075"/>
    <s v="63.1.1.3.02"/>
    <s v="Peaje 25075"/>
    <x v="8"/>
  </r>
  <r>
    <s v="01/08/2025"/>
    <x v="2"/>
    <s v="001"/>
    <s v="08-000046"/>
    <x v="1"/>
    <s v="91.06.02.06"/>
    <s v="VBW_889"/>
    <s v="Peaje 25048"/>
    <s v="20517252558"/>
    <s v="CONCESIONARIA VIAL DEL SUR S.A.- COVISUR S.A."/>
    <x v="0"/>
    <s v="FACTURA"/>
    <s v="F213"/>
    <n v="1820179"/>
    <n v="4.24"/>
    <m/>
    <n v="0.76319999999999999"/>
    <m/>
    <n v="0"/>
    <n v="5"/>
    <m/>
    <m/>
    <m/>
    <m/>
    <s v="25048"/>
    <s v="63.1.1.3.02"/>
    <s v="Peaje 25048"/>
    <x v="8"/>
  </r>
  <r>
    <s v="01/08/2025"/>
    <x v="2"/>
    <s v="001"/>
    <s v="08-000047"/>
    <x v="1"/>
    <s v="91.06.02.06"/>
    <s v="VBW_889"/>
    <s v="Peaje 25049"/>
    <s v="20517252558"/>
    <s v="CONCESIONARIA VIAL DEL SUR S.A.- COVISUR S.A."/>
    <x v="0"/>
    <s v="FACTURA"/>
    <s v="F212"/>
    <n v="1799849"/>
    <n v="4.24"/>
    <m/>
    <n v="0.76319999999999999"/>
    <m/>
    <n v="0"/>
    <n v="5"/>
    <m/>
    <m/>
    <m/>
    <m/>
    <s v="25049"/>
    <s v="63.1.1.3.02"/>
    <s v="Peaje 25049"/>
    <x v="8"/>
  </r>
  <r>
    <s v="11/08/2025"/>
    <x v="2"/>
    <s v="001"/>
    <s v="08-000048"/>
    <x v="1"/>
    <s v="91.06.02.01"/>
    <s v="V9R_903"/>
    <s v="Peaje 25116"/>
    <s v="20517252558"/>
    <s v="CONCESIONARIA VIAL DEL SUR S.A.- COVISUR S.A."/>
    <x v="0"/>
    <s v="FACTURA"/>
    <s v="F213"/>
    <n v="1828780"/>
    <n v="10.17"/>
    <m/>
    <n v="1.8306"/>
    <m/>
    <n v="0"/>
    <n v="12"/>
    <m/>
    <m/>
    <m/>
    <m/>
    <s v="25116"/>
    <s v="63.1.1.3.02"/>
    <s v="Peaje 25116"/>
    <x v="8"/>
  </r>
  <r>
    <s v="08/08/2025"/>
    <x v="2"/>
    <s v="001"/>
    <s v="08-000049"/>
    <x v="1"/>
    <s v="91.06.02.01"/>
    <s v="V9R_903"/>
    <s v="Peaje 25115"/>
    <s v="20517252558"/>
    <s v="CONCESIONARIA VIAL DEL SUR S.A.- COVISUR S.A."/>
    <x v="0"/>
    <s v="FACTURA"/>
    <s v="F211"/>
    <n v="2427754"/>
    <n v="10.17"/>
    <m/>
    <n v="1.8306"/>
    <m/>
    <n v="0"/>
    <n v="12"/>
    <m/>
    <m/>
    <m/>
    <m/>
    <s v="25115"/>
    <s v="63.1.1.3.02"/>
    <s v="Peaje 25115"/>
    <x v="8"/>
  </r>
  <r>
    <s v="05/08/2025"/>
    <x v="2"/>
    <s v="001"/>
    <s v="08-000050"/>
    <x v="1"/>
    <s v="91.06.02.01"/>
    <s v="V9R_903"/>
    <s v="Peaje 25093"/>
    <s v="20517252558"/>
    <s v="CONCESIONARIA VIAL DEL SUR S.A.- COVISUR S.A."/>
    <x v="0"/>
    <s v="FACTURA"/>
    <s v="F214"/>
    <n v="2134105"/>
    <n v="10.17"/>
    <m/>
    <n v="1.8306"/>
    <m/>
    <n v="0"/>
    <n v="12"/>
    <m/>
    <m/>
    <m/>
    <m/>
    <s v="25093"/>
    <s v="63.1.1.3.03"/>
    <s v="Peaje 25093"/>
    <x v="7"/>
  </r>
  <r>
    <s v="04/08/2025"/>
    <x v="2"/>
    <s v="001"/>
    <s v="08-000051"/>
    <x v="1"/>
    <s v="91.06.02.01"/>
    <s v="V9R_903"/>
    <s v="Peaje 25078"/>
    <s v="20517252558"/>
    <s v="CONCESIONARIA VIAL DEL SUR S.A.- COVISUR S.A."/>
    <x v="0"/>
    <s v="FACTURA"/>
    <s v="F211"/>
    <n v="2422670"/>
    <n v="10.17"/>
    <m/>
    <n v="1.8306"/>
    <m/>
    <n v="0"/>
    <n v="12"/>
    <m/>
    <m/>
    <m/>
    <m/>
    <s v="25078"/>
    <s v="63.1.1.3.02"/>
    <s v="Peaje 25078"/>
    <x v="8"/>
  </r>
  <r>
    <s v="01/08/2025"/>
    <x v="2"/>
    <s v="001"/>
    <s v="08-000052"/>
    <x v="1"/>
    <s v="91.06.02.01"/>
    <s v="V9R_903"/>
    <s v="Peaje 25046"/>
    <s v="20517252558"/>
    <s v="CONCESIONARIA VIAL DEL SUR S.A.- COVISUR S.A."/>
    <x v="0"/>
    <s v="FACTURA"/>
    <s v="F212"/>
    <n v="1799996"/>
    <n v="10.17"/>
    <m/>
    <n v="1.8306"/>
    <m/>
    <n v="0"/>
    <n v="12"/>
    <m/>
    <m/>
    <m/>
    <m/>
    <s v="25046"/>
    <s v="63.1.1.3.02"/>
    <s v="Peaje 25046"/>
    <x v="8"/>
  </r>
  <r>
    <s v="04/08/2025"/>
    <x v="2"/>
    <s v="001"/>
    <s v="08-000053"/>
    <x v="1"/>
    <s v="91.06.02.01"/>
    <s v="V9R_903"/>
    <s v="Peaje 25064"/>
    <s v="20517252558"/>
    <s v="CONCESIONARIA VIAL DEL SUR S.A.- COVISUR S.A."/>
    <x v="0"/>
    <s v="FACTURA"/>
    <s v="F214"/>
    <n v="2133054"/>
    <n v="10.17"/>
    <m/>
    <n v="1.8306"/>
    <m/>
    <n v="0"/>
    <n v="12"/>
    <m/>
    <m/>
    <m/>
    <m/>
    <s v="25064"/>
    <s v="63.1.1.3.02"/>
    <s v="Peaje 25064"/>
    <x v="8"/>
  </r>
  <r>
    <s v="01/08/2025"/>
    <x v="2"/>
    <s v="001"/>
    <s v="08-000054"/>
    <x v="1"/>
    <s v="91.06.02.03"/>
    <s v="BKL_739"/>
    <s v="Balanza 25042"/>
    <s v="20259858934"/>
    <s v="COMERCIALIZACION Y SERVICIOS EL EDEN S.A.C."/>
    <x v="0"/>
    <s v="FACTURA"/>
    <s v="FE02"/>
    <n v="17171"/>
    <n v="16.95"/>
    <m/>
    <n v="3.0509999999999997"/>
    <m/>
    <n v="0"/>
    <n v="20"/>
    <m/>
    <m/>
    <m/>
    <m/>
    <s v="25042"/>
    <s v="63.1.1.7.01"/>
    <s v="Balanza 25042"/>
    <x v="11"/>
  </r>
  <r>
    <s v="05/08/2025"/>
    <x v="2"/>
    <s v="001"/>
    <s v="08-000055"/>
    <x v="2"/>
    <s v="95.01"/>
    <s v="Comercial"/>
    <s v="Transporte de carga RQ.OPE.1331 OS 005_693"/>
    <s v="10410687491"/>
    <s v="TORRES CARDENAS MARIA LIDIA"/>
    <x v="0"/>
    <s v="FACTURA"/>
    <s v="E001"/>
    <n v="55"/>
    <n v="450"/>
    <m/>
    <n v="81"/>
    <m/>
    <n v="0"/>
    <n v="531"/>
    <s v="278568686"/>
    <s v="12/08/2025"/>
    <m/>
    <m/>
    <m/>
    <s v="63.1.1.1.02"/>
    <s v="Transporte de carga RQ.OPE.1331 OS 005_693"/>
    <x v="13"/>
  </r>
  <r>
    <s v="04/08/2025"/>
    <x v="2"/>
    <s v="001"/>
    <s v="08-000056"/>
    <x v="2"/>
    <s v="95.01"/>
    <s v="Comercial"/>
    <s v="Trasporte de carga RQ.OPE.1332 OS 005_694"/>
    <s v="20608686747"/>
    <s v="TRANSPORTES ALBERTO MAMANI E.I.R.L."/>
    <x v="0"/>
    <s v="FACTURA"/>
    <s v="E001"/>
    <n v="684"/>
    <n v="700"/>
    <m/>
    <n v="126"/>
    <m/>
    <n v="0"/>
    <n v="826"/>
    <s v="278568687"/>
    <s v="12/08/2025"/>
    <m/>
    <m/>
    <m/>
    <s v="63.1.1.1.02"/>
    <s v="Trasporte de carga RQ.OPE.1332 OS 005_694"/>
    <x v="13"/>
  </r>
  <r>
    <s v="04/08/2025"/>
    <x v="2"/>
    <s v="001"/>
    <s v="08-000057"/>
    <x v="1"/>
    <s v="91.06.01"/>
    <s v="Operaciones"/>
    <s v="Transporte de carga"/>
    <s v="10410687491"/>
    <s v="TORRES CARDENAS MARIA LIDIA"/>
    <x v="0"/>
    <s v="FACTURA"/>
    <s v="E001"/>
    <n v="53"/>
    <n v="450"/>
    <m/>
    <n v="81"/>
    <m/>
    <n v="0"/>
    <n v="531"/>
    <s v="278568689"/>
    <s v="12/08/2025"/>
    <m/>
    <m/>
    <m/>
    <s v="63.1.1.1.01"/>
    <s v="Transporte de carga"/>
    <x v="21"/>
  </r>
  <r>
    <s v="12/08/2025"/>
    <x v="2"/>
    <s v="001"/>
    <s v="08-000058"/>
    <x v="0"/>
    <s v="94.04"/>
    <s v="Gestion Humana"/>
    <s v="Alimentacion_ Charla"/>
    <s v="10709491461"/>
    <s v="GENOVEZ BERNO ESTEFANI ADRIANA"/>
    <x v="1"/>
    <s v="BOLETA DE VENTA"/>
    <s v="001"/>
    <n v="220"/>
    <m/>
    <m/>
    <m/>
    <m/>
    <n v="7"/>
    <n v="7"/>
    <m/>
    <m/>
    <m/>
    <m/>
    <m/>
    <s v="65.9.9.1.01"/>
    <s v="Alimentacion_ Charla"/>
    <x v="0"/>
  </r>
  <r>
    <s v="05/08/2025"/>
    <x v="2"/>
    <s v="001"/>
    <s v="08-000059"/>
    <x v="1"/>
    <s v="91.06.02.06"/>
    <s v="VBW_889"/>
    <s v="Balanza"/>
    <s v="20259858934"/>
    <s v="COMERCIALIZACION Y SERVICIOS EL EDEN S.A.C."/>
    <x v="0"/>
    <s v="FACTURA"/>
    <s v="FE02"/>
    <n v="17234"/>
    <n v="16.95"/>
    <m/>
    <n v="3.0509999999999997"/>
    <m/>
    <n v="0"/>
    <n v="20"/>
    <m/>
    <m/>
    <m/>
    <m/>
    <m/>
    <s v="63.1.1.7.02"/>
    <s v="Balanza"/>
    <x v="1"/>
  </r>
  <r>
    <s v="07/08/2025"/>
    <x v="2"/>
    <s v="001"/>
    <s v="08-000060"/>
    <x v="1"/>
    <s v="91.06.01"/>
    <s v="Operaciones"/>
    <s v="Transporte de carga RQ.OPE.1333 OS 005_695"/>
    <s v="10801606542"/>
    <s v="CONDORI SUPO PABLO VIRGILIO"/>
    <x v="0"/>
    <s v="FACTURA"/>
    <s v="E001"/>
    <n v="211"/>
    <n v="847.46"/>
    <m/>
    <n v="152.5428"/>
    <m/>
    <n v="0"/>
    <n v="1000"/>
    <s v="279466707"/>
    <s v="21/08/2025"/>
    <m/>
    <m/>
    <m/>
    <s v="63.1.1.1.01"/>
    <s v="Transporte de carga RQ.OPE.1333 OS 005_695"/>
    <x v="21"/>
  </r>
  <r>
    <s v="11/08/2025"/>
    <x v="2"/>
    <s v="001"/>
    <s v="08-000061"/>
    <x v="1"/>
    <s v="91.05.01"/>
    <s v="Residuos Aprovechables"/>
    <s v="Alambron OC 325"/>
    <s v="20100192064"/>
    <s v="MOLY-COP ADESUR S.A."/>
    <x v="0"/>
    <s v="FACTURA"/>
    <s v="F002"/>
    <n v="16619"/>
    <n v="269.37"/>
    <m/>
    <n v="48.486599999999996"/>
    <m/>
    <n v="0"/>
    <n v="317.87"/>
    <m/>
    <m/>
    <m/>
    <m/>
    <s v="OC 325"/>
    <s v="60.2.1.1"/>
    <s v="Alambron OC 325"/>
    <x v="6"/>
  </r>
  <r>
    <s v="12/08/2025"/>
    <x v="2"/>
    <s v="001"/>
    <s v="08-000062"/>
    <x v="1"/>
    <s v="91.05.01"/>
    <s v="Residuos Aprovechables"/>
    <s v="Boltellas pet,carton,chatarra,madera en desuso OC 234"/>
    <s v="20505675836"/>
    <s v="FLSMIDTH S.A.C."/>
    <x v="0"/>
    <s v="FACTURA"/>
    <s v="FF03"/>
    <n v="43596"/>
    <n v="2620.9299999999998"/>
    <m/>
    <n v="471.76739999999995"/>
    <m/>
    <n v="0"/>
    <n v="3092.7"/>
    <s v="279466708"/>
    <s v="21/08/2025"/>
    <m/>
    <m/>
    <s v="OC 234"/>
    <s v="60.2.1.1"/>
    <s v="Boltellas pet,carton,chatarra,madera en desuso OC 234"/>
    <x v="6"/>
  </r>
  <r>
    <s v="12/08/2025"/>
    <x v="2"/>
    <s v="001"/>
    <s v="08-000063"/>
    <x v="1"/>
    <s v="91.05.01"/>
    <s v="Residuos Aprovechables"/>
    <s v="Chatarra metalica,carton,chatarra metalica viruta OC"/>
    <s v="20505675836"/>
    <s v="FLSMIDTH S.A.C."/>
    <x v="0"/>
    <s v="FACTURA"/>
    <s v="FF03"/>
    <n v="43595"/>
    <n v="1493.22"/>
    <m/>
    <n v="268.77960000000002"/>
    <m/>
    <n v="0"/>
    <n v="1761.99"/>
    <s v="279466709"/>
    <s v="21/08/2025"/>
    <m/>
    <m/>
    <s v="OC 145"/>
    <s v="60.2.1.1"/>
    <s v="Chatarra metalica,carton,chatarra metalica viruta OC"/>
    <x v="6"/>
  </r>
  <r>
    <s v="12/08/2025"/>
    <x v="2"/>
    <s v="001"/>
    <s v="08-000064"/>
    <x v="1"/>
    <s v="91.05.01"/>
    <s v="Residuos Aprovechables"/>
    <s v="Chatarra metalica viruta,madera,carton en desuso,botella OC 146"/>
    <s v="20505675836"/>
    <s v="FLSMIDTH S.A.C."/>
    <x v="0"/>
    <s v="FACTURA"/>
    <s v="FF03"/>
    <n v="43594"/>
    <n v="555.51"/>
    <m/>
    <n v="99.991799999999998"/>
    <m/>
    <n v="0"/>
    <n v="655.5"/>
    <s v="279466710"/>
    <s v="21/08/2025"/>
    <m/>
    <m/>
    <s v="OC 146"/>
    <s v="60.2.1.1"/>
    <s v="Chatarra metalica viruta,madera,carton en desuso,botella OC 146"/>
    <x v="6"/>
  </r>
  <r>
    <s v="12/08/2025"/>
    <x v="2"/>
    <s v="001"/>
    <s v="08-000065"/>
    <x v="1"/>
    <s v="91.05.01"/>
    <s v="Residuos Aprovechables"/>
    <s v="Chatarra metalica,carton,botella pet en desuso"/>
    <s v="20505675836"/>
    <s v="FLSMIDTH S.A.C."/>
    <x v="0"/>
    <s v="FACTURA"/>
    <s v="FF03"/>
    <n v="43593"/>
    <n v="320.16000000000003"/>
    <m/>
    <n v="57.628800000000005"/>
    <m/>
    <n v="0"/>
    <n v="377.79"/>
    <s v="279466711"/>
    <s v="21/08/2025"/>
    <m/>
    <m/>
    <s v="OC 292"/>
    <s v="60.2.1.1"/>
    <s v="Chatarra metalica,carton,botella pet en desuso"/>
    <x v="6"/>
  </r>
  <r>
    <s v="12/08/2025"/>
    <x v="2"/>
    <s v="001"/>
    <s v="08-000066"/>
    <x v="1"/>
    <s v="91.05.01"/>
    <s v="Residuos Aprovechables"/>
    <s v="Carton,botella,chatarra metalica,madera OC 293"/>
    <s v="20505675836"/>
    <s v="FLSMIDTH S.A.C."/>
    <x v="0"/>
    <s v="FACTURA"/>
    <s v="FF03"/>
    <n v="43592"/>
    <n v="459.15"/>
    <m/>
    <n v="82.646999999999991"/>
    <m/>
    <n v="0"/>
    <n v="541.79"/>
    <s v="279466712"/>
    <s v="21/08/2025"/>
    <m/>
    <m/>
    <s v="OC 293"/>
    <s v="60.2.1.1"/>
    <s v="Carton,botella,chatarra metalica,madera OC 293"/>
    <x v="6"/>
  </r>
  <r>
    <s v="12/08/2025"/>
    <x v="2"/>
    <s v="001"/>
    <s v="08-000067"/>
    <x v="1"/>
    <s v="91.05.01"/>
    <s v="Residuos Aprovechables"/>
    <s v="Carton,botella.chatarra metalica viruta OC 235"/>
    <s v="20505675836"/>
    <s v="FLSMIDTH S.A.C."/>
    <x v="0"/>
    <s v="FACTURA"/>
    <s v="FF03"/>
    <n v="43597"/>
    <n v="3600"/>
    <m/>
    <n v="648"/>
    <m/>
    <n v="0"/>
    <n v="4248"/>
    <s v="279466713"/>
    <s v="21/08/2025"/>
    <m/>
    <m/>
    <s v="OC 235"/>
    <s v="60.2.1.1"/>
    <s v="Carton,botella.chatarra metalica viruta OC 235"/>
    <x v="6"/>
  </r>
  <r>
    <s v="08/08/2025"/>
    <x v="2"/>
    <s v="001"/>
    <s v="08-000068"/>
    <x v="3"/>
    <s v="97.01"/>
    <s v="Gastos Financieros"/>
    <s v="Comisión _ Telecrédito"/>
    <s v="20100047218"/>
    <s v="BANCO DE CREDITO DEL PERU"/>
    <x v="0"/>
    <s v="FACTURA"/>
    <s v="FE01"/>
    <n v="2426106"/>
    <m/>
    <m/>
    <m/>
    <m/>
    <n v="19.89"/>
    <n v="19.89"/>
    <m/>
    <m/>
    <m/>
    <m/>
    <m/>
    <s v="63.9.1.1.01"/>
    <s v="Comisión _ Telecrédito"/>
    <x v="0"/>
  </r>
  <r>
    <s v="09/08/2025"/>
    <x v="2"/>
    <s v="001"/>
    <s v="08-000069"/>
    <x v="3"/>
    <s v="97.01"/>
    <s v="Gastos Financieros"/>
    <s v="Mantenimiento"/>
    <s v="20100047218"/>
    <s v="BANCO DE CREDITO DEL PERU"/>
    <x v="0"/>
    <s v="FACTURA"/>
    <s v="FI01"/>
    <n v="16106846"/>
    <m/>
    <m/>
    <m/>
    <m/>
    <n v="40.5"/>
    <n v="40.5"/>
    <m/>
    <m/>
    <m/>
    <m/>
    <m/>
    <s v="63.9.1.1.03"/>
    <s v="Mantenimiento"/>
    <x v="0"/>
  </r>
  <r>
    <s v="09/08/2025"/>
    <x v="2"/>
    <s v="001"/>
    <s v="08-000070"/>
    <x v="3"/>
    <s v="97.01"/>
    <s v="Gastos Financieros"/>
    <s v="Mantenimiento"/>
    <s v="20100047218"/>
    <s v="BANCO DE CREDITO DEL PERU"/>
    <x v="0"/>
    <s v="FACTURA"/>
    <s v="FI01"/>
    <n v="16106894"/>
    <m/>
    <m/>
    <m/>
    <m/>
    <n v="53.03"/>
    <n v="53.03"/>
    <m/>
    <m/>
    <m/>
    <m/>
    <m/>
    <s v="63.9.1.1.03"/>
    <s v="Mantenimiento"/>
    <x v="0"/>
  </r>
  <r>
    <s v="14/08/2025"/>
    <x v="2"/>
    <s v="001"/>
    <s v="08-000071"/>
    <x v="1"/>
    <s v="91.05.01"/>
    <s v="Residuos Aprovechables"/>
    <s v="Carton y bolsas papel inservibles OC 326"/>
    <s v="20100055237"/>
    <s v="ALICORP SAA"/>
    <x v="0"/>
    <s v="FACTURA"/>
    <s v="F313"/>
    <n v="6735"/>
    <n v="151.19999999999999"/>
    <m/>
    <n v="27.215999999999998"/>
    <m/>
    <n v="0"/>
    <n v="178.42"/>
    <s v="279466714"/>
    <s v="21/08/2025"/>
    <m/>
    <m/>
    <s v="OC 326"/>
    <s v="60.2.1.1"/>
    <s v="Carton y bolsas papel inservibles OC 326"/>
    <x v="6"/>
  </r>
  <r>
    <s v="14/08/2025"/>
    <x v="2"/>
    <s v="001"/>
    <s v="08-000072"/>
    <x v="1"/>
    <s v="91.05.01"/>
    <s v="Residuos Aprovechables"/>
    <s v="Galleta rota sucia 30kg OC 327"/>
    <s v="20100055237"/>
    <s v="ALICORP SAA"/>
    <x v="0"/>
    <s v="FACTURA"/>
    <s v="F313"/>
    <n v="6740"/>
    <n v="512"/>
    <m/>
    <n v="92.16"/>
    <m/>
    <n v="0"/>
    <n v="604.16"/>
    <s v="279466715"/>
    <s v="21/08/2025"/>
    <m/>
    <m/>
    <s v="OC 327"/>
    <s v="60.2.1.1"/>
    <s v="Galleta rota sucia 30kg OC 327"/>
    <x v="6"/>
  </r>
  <r>
    <s v="14/08/2025"/>
    <x v="2"/>
    <s v="001"/>
    <s v="08-000073"/>
    <x v="1"/>
    <s v="91.05.01"/>
    <s v="Residuos Aprovechables"/>
    <s v="Film strech usado OC 328"/>
    <s v="20100055237"/>
    <s v="ALICORP SAA"/>
    <x v="0"/>
    <s v="FACTURA"/>
    <s v="F313"/>
    <n v="6736"/>
    <n v="378"/>
    <m/>
    <n v="68.039999999999992"/>
    <m/>
    <n v="0"/>
    <n v="446.04"/>
    <s v="279466716"/>
    <s v="21/08/2025"/>
    <m/>
    <m/>
    <s v="OC 328"/>
    <s v="60.2.1.1"/>
    <s v="Film strech usado OC 328"/>
    <x v="6"/>
  </r>
  <r>
    <s v="14/08/2025"/>
    <x v="2"/>
    <s v="001"/>
    <s v="08-000074"/>
    <x v="1"/>
    <s v="91.05.01"/>
    <s v="Residuos Aprovechables"/>
    <s v="Tucos de carton OC 329"/>
    <s v="20100055237"/>
    <s v="ALICORP SAA"/>
    <x v="0"/>
    <s v="FACTURA"/>
    <s v="F313"/>
    <n v="6737"/>
    <n v="6.9"/>
    <m/>
    <n v="1.242"/>
    <m/>
    <n v="0"/>
    <n v="8.14"/>
    <s v="279466717"/>
    <s v="21/08/2025"/>
    <m/>
    <m/>
    <s v="OC 329"/>
    <s v="60.2.1.1"/>
    <s v="Tucos de carton OC 329"/>
    <x v="6"/>
  </r>
  <r>
    <s v="14/08/2025"/>
    <x v="2"/>
    <s v="001"/>
    <s v="08-000075"/>
    <x v="1"/>
    <s v="91.05.01"/>
    <s v="Residuos Aprovechables"/>
    <s v="Cilindros usados x 55 GL plas OC 330"/>
    <s v="20100055237"/>
    <s v="ALICORP SAA"/>
    <x v="0"/>
    <s v="FACTURA"/>
    <s v="F313"/>
    <n v="6738"/>
    <n v="344"/>
    <m/>
    <n v="61.919999999999995"/>
    <m/>
    <n v="0"/>
    <n v="405.92"/>
    <s v="279466718"/>
    <s v="21/08/2025"/>
    <m/>
    <m/>
    <s v="OC 330"/>
    <s v="60.2.1.1"/>
    <s v="Cilindros usados x 55 GL plas OC 330"/>
    <x v="6"/>
  </r>
  <r>
    <s v="14/08/2025"/>
    <x v="2"/>
    <s v="001"/>
    <s v="08-000076"/>
    <x v="1"/>
    <s v="91.05.01"/>
    <s v="Residuos Aprovechables"/>
    <s v="Sco polis inserv. OC 331"/>
    <s v="20100055237"/>
    <s v="ALICORP SAA"/>
    <x v="0"/>
    <s v="FACTURA"/>
    <s v="F313"/>
    <n v="6739"/>
    <n v="120"/>
    <m/>
    <n v="21.599999999999998"/>
    <m/>
    <n v="0"/>
    <n v="141.6"/>
    <s v="279466719"/>
    <s v="21/08/2025"/>
    <m/>
    <m/>
    <s v="OC 331"/>
    <s v="60.2.1.1"/>
    <s v="Sco polis inserv. OC 331"/>
    <x v="6"/>
  </r>
  <r>
    <s v="11/08/2025"/>
    <x v="2"/>
    <s v="001"/>
    <s v="08-000077"/>
    <x v="0"/>
    <s v="94.05"/>
    <s v="SSOMA"/>
    <s v="Capacitaciones_Inducciones Externas RQ.SSO.262"/>
    <s v="20601369622"/>
    <s v="SERVICONSTRUYE S.A.C."/>
    <x v="0"/>
    <s v="FACTURA"/>
    <s v="E001"/>
    <n v="2516"/>
    <n v="25.42"/>
    <m/>
    <n v="4.5756000000000006"/>
    <m/>
    <n v="0"/>
    <n v="30"/>
    <m/>
    <m/>
    <m/>
    <m/>
    <m/>
    <s v="63.2.5.3"/>
    <s v="Capacitaciones_Inducciones Externas RQ.SSO.262"/>
    <x v="0"/>
  </r>
  <r>
    <s v="08/08/2025"/>
    <x v="2"/>
    <s v="001"/>
    <s v="08-000078"/>
    <x v="1"/>
    <s v="91.06.02.02"/>
    <s v="BKK_849"/>
    <s v="Peaje"/>
    <s v="20517252558"/>
    <s v="CONCESIONARIA VIAL DEL SUR S.A.- COVISUR S.A."/>
    <x v="0"/>
    <s v="FACTURA"/>
    <s v="F314"/>
    <n v="1911643"/>
    <n v="6.53"/>
    <m/>
    <n v="1.1754"/>
    <m/>
    <n v="0"/>
    <n v="7.7"/>
    <m/>
    <m/>
    <m/>
    <m/>
    <m/>
    <s v="63.1.1.3.02"/>
    <s v="Peaje"/>
    <x v="8"/>
  </r>
  <r>
    <s v="07/08/2025"/>
    <x v="2"/>
    <s v="001"/>
    <s v="08-000079"/>
    <x v="1"/>
    <s v="91.06.01"/>
    <s v="Operaciones"/>
    <s v="Alojamiento"/>
    <s v="10742353911"/>
    <s v="SANCHEZ ORMACHEA MAGDALENA RAISA"/>
    <x v="1"/>
    <s v="BOLETA DE VENTA"/>
    <s v="EB01"/>
    <n v="473"/>
    <m/>
    <m/>
    <m/>
    <m/>
    <n v="35"/>
    <n v="35"/>
    <m/>
    <m/>
    <m/>
    <m/>
    <m/>
    <s v="63.1.3.1.01"/>
    <s v="Alojamiento"/>
    <x v="10"/>
  </r>
  <r>
    <s v="07/08/2025"/>
    <x v="2"/>
    <s v="001"/>
    <s v="08-000080"/>
    <x v="1"/>
    <s v="91.06.01"/>
    <s v="Operaciones"/>
    <s v="Alojamiento"/>
    <s v="10742353911"/>
    <s v="SANCHEZ ORMACHEA MAGDALENA RAISA"/>
    <x v="1"/>
    <s v="BOLETA DE VENTA"/>
    <s v="EB01"/>
    <n v="474"/>
    <m/>
    <m/>
    <m/>
    <m/>
    <n v="35"/>
    <n v="35"/>
    <m/>
    <m/>
    <m/>
    <m/>
    <m/>
    <s v="63.1.3.1.01"/>
    <s v="Alojamiento"/>
    <x v="10"/>
  </r>
  <r>
    <s v="07/08/2025"/>
    <x v="2"/>
    <s v="001"/>
    <s v="08-000081"/>
    <x v="1"/>
    <s v="91.06.02.02"/>
    <s v="BKK_849"/>
    <s v="Peaje"/>
    <s v="20517216241"/>
    <s v="CARRETERA ANDINA DEL SUR S.A.C."/>
    <x v="0"/>
    <s v="FACTURA"/>
    <s v="F411"/>
    <n v="655640"/>
    <n v="6.53"/>
    <m/>
    <n v="1.1754"/>
    <m/>
    <n v="0"/>
    <n v="7.7"/>
    <m/>
    <m/>
    <m/>
    <m/>
    <m/>
    <s v="63.1.1.3.02"/>
    <s v="Peaje"/>
    <x v="8"/>
  </r>
  <r>
    <s v="07/08/2025"/>
    <x v="2"/>
    <s v="001"/>
    <s v="08-000082"/>
    <x v="1"/>
    <s v="91.06.02.02"/>
    <s v="BKK_849"/>
    <s v="Combustible"/>
    <s v="20485592556"/>
    <s v="SERVICENTRO SANTA MARTHA E.I.R.LTDA."/>
    <x v="0"/>
    <s v="FACTURA"/>
    <s v="F001"/>
    <n v="47279"/>
    <n v="84.75"/>
    <m/>
    <n v="15.254999999999999"/>
    <m/>
    <n v="0"/>
    <n v="100"/>
    <m/>
    <m/>
    <m/>
    <m/>
    <m/>
    <s v="65.6.1.1.01"/>
    <s v="Combustible"/>
    <x v="12"/>
  </r>
  <r>
    <s v="07/08/2025"/>
    <x v="2"/>
    <s v="001"/>
    <s v="08-000083"/>
    <x v="1"/>
    <s v="91.06.01"/>
    <s v="Operaciones"/>
    <s v="Alimentacion"/>
    <s v="10409010488"/>
    <s v="RAMIREZ CARDENAS ARMANDO ANGEL"/>
    <x v="1"/>
    <s v="BOLETA DE VENTA"/>
    <s v="001"/>
    <n v="1137"/>
    <m/>
    <m/>
    <m/>
    <m/>
    <n v="30"/>
    <n v="30"/>
    <m/>
    <m/>
    <m/>
    <m/>
    <m/>
    <s v="63.1.4.1.01"/>
    <s v="Alimentacion"/>
    <x v="9"/>
  </r>
  <r>
    <s v="06/08/2025"/>
    <x v="2"/>
    <s v="001"/>
    <s v="08-000084"/>
    <x v="1"/>
    <s v="91.06.01"/>
    <s v="Operaciones"/>
    <s v="Alojamiento"/>
    <s v="10089085042"/>
    <s v="GUEVARA PEREZ MARIA"/>
    <x v="1"/>
    <s v="BOLETA DE VENTA"/>
    <s v="001"/>
    <n v="2393"/>
    <m/>
    <m/>
    <m/>
    <m/>
    <n v="100"/>
    <n v="100"/>
    <m/>
    <m/>
    <m/>
    <m/>
    <m/>
    <s v="63.1.3.1.01"/>
    <s v="Alojamiento"/>
    <x v="10"/>
  </r>
  <r>
    <s v="05/08/2025"/>
    <x v="2"/>
    <s v="001"/>
    <s v="08-000085"/>
    <x v="1"/>
    <s v="91.06.02.02"/>
    <s v="BKK_849"/>
    <s v="Peaje"/>
    <s v="20517252558"/>
    <s v="CONCESIONARIA VIAL DEL SUR S.A.- COVISUR S.A."/>
    <x v="0"/>
    <s v="FACTURA"/>
    <s v="F311"/>
    <n v="1861317"/>
    <n v="6.53"/>
    <m/>
    <n v="1.1754"/>
    <m/>
    <n v="0"/>
    <n v="7.7"/>
    <m/>
    <m/>
    <m/>
    <m/>
    <m/>
    <s v="63.1.1.3.02"/>
    <s v="Peaje"/>
    <x v="8"/>
  </r>
  <r>
    <s v="06/08/2025"/>
    <x v="2"/>
    <s v="001"/>
    <s v="08-000086"/>
    <x v="1"/>
    <s v="91.06.02.02"/>
    <s v="BKK_849"/>
    <s v="Peaje"/>
    <s v="20517216241"/>
    <s v="CARRETERA ANDINA DEL SUR S.A.C."/>
    <x v="0"/>
    <s v="FACTURA"/>
    <s v="F412"/>
    <n v="643380"/>
    <n v="6.53"/>
    <m/>
    <n v="1.1754"/>
    <m/>
    <n v="0"/>
    <n v="7.7"/>
    <m/>
    <m/>
    <m/>
    <m/>
    <m/>
    <s v="63.1.1.3.02"/>
    <s v="Peaje"/>
    <x v="8"/>
  </r>
  <r>
    <s v="05/08/2025"/>
    <x v="2"/>
    <s v="001"/>
    <s v="08-000087"/>
    <x v="1"/>
    <s v="91.06.01"/>
    <s v="Operaciones"/>
    <s v="Alojamiento"/>
    <s v="10710506634"/>
    <s v="LAZARTE QUISPE ELVIS WALDIR"/>
    <x v="1"/>
    <s v="BOLETA DE VENTA"/>
    <s v="001"/>
    <n v="186"/>
    <m/>
    <m/>
    <m/>
    <m/>
    <n v="70"/>
    <n v="70"/>
    <m/>
    <m/>
    <m/>
    <m/>
    <m/>
    <s v="63.1.3.1.01"/>
    <s v="Alojamiento"/>
    <x v="10"/>
  </r>
  <r>
    <s v="05/08/2025"/>
    <x v="2"/>
    <s v="001"/>
    <s v="08-000088"/>
    <x v="1"/>
    <s v="91.06.01"/>
    <s v="Operaciones"/>
    <s v="Alimentacion"/>
    <s v="10425073121"/>
    <s v="CABANA VALDIVIA DAVID SALOMON"/>
    <x v="1"/>
    <s v="BOLETA DE VENTA"/>
    <s v="001"/>
    <n v="22250"/>
    <m/>
    <m/>
    <m/>
    <m/>
    <n v="24"/>
    <n v="24"/>
    <m/>
    <m/>
    <m/>
    <m/>
    <m/>
    <s v="63.1.4.1.01"/>
    <s v="Alimentacion"/>
    <x v="9"/>
  </r>
  <r>
    <s v="13/08/2025"/>
    <x v="2"/>
    <s v="001"/>
    <s v="08-000089"/>
    <x v="1"/>
    <s v="91.06.02.07"/>
    <s v="VDJ_872"/>
    <s v="Peaje 25153"/>
    <s v="20517252558"/>
    <s v="CONCESIONARIA VIAL DEL SUR S.A.- COVISUR S.A."/>
    <x v="0"/>
    <s v="FACTURA"/>
    <s v="F214"/>
    <n v="2143326"/>
    <n v="6.78"/>
    <m/>
    <n v="1.2203999999999999"/>
    <m/>
    <n v="0"/>
    <n v="8"/>
    <m/>
    <m/>
    <m/>
    <m/>
    <s v="25153"/>
    <s v="63.1.1.3.02"/>
    <s v="Peaje 25153"/>
    <x v="8"/>
  </r>
  <r>
    <s v="13/08/2025"/>
    <x v="2"/>
    <s v="001"/>
    <s v="08-000090"/>
    <x v="1"/>
    <s v="91.06.02.07"/>
    <s v="VDJ_872"/>
    <s v="Peaje 25152"/>
    <s v="20517252558"/>
    <s v="CONCESIONARIA VIAL DEL SUR S.A.- COVISUR S.A."/>
    <x v="0"/>
    <s v="FACTURA"/>
    <s v="F211"/>
    <n v="2433420"/>
    <n v="6.78"/>
    <m/>
    <n v="1.2203999999999999"/>
    <m/>
    <n v="0"/>
    <n v="8"/>
    <m/>
    <m/>
    <m/>
    <m/>
    <s v="25152"/>
    <s v="63.1.1.3.02"/>
    <s v="Peaje 25152"/>
    <x v="8"/>
  </r>
  <r>
    <s v="12/08/2025"/>
    <x v="2"/>
    <s v="001"/>
    <s v="08-000091"/>
    <x v="1"/>
    <s v="91.06.02.07"/>
    <s v="VDJ_872"/>
    <s v="Peaje 25144"/>
    <s v="20517252558"/>
    <s v="CONCESIONARIA VIAL DEL SUR S.A.- COVISUR S.A."/>
    <x v="0"/>
    <s v="FACTURA"/>
    <s v="F214"/>
    <n v="2142323"/>
    <n v="6.78"/>
    <m/>
    <n v="1.2203999999999999"/>
    <m/>
    <n v="0"/>
    <n v="8"/>
    <m/>
    <m/>
    <m/>
    <m/>
    <s v="25144"/>
    <s v="63.1.1.3.02"/>
    <s v="Peaje 25144"/>
    <x v="8"/>
  </r>
  <r>
    <s v="12/08/2025"/>
    <x v="2"/>
    <s v="001"/>
    <s v="08-000092"/>
    <x v="1"/>
    <s v="91.06.02.07"/>
    <s v="VDJ_872"/>
    <s v="Peaje 25143"/>
    <s v="20517252558"/>
    <s v="CONCESIONARIA VIAL DEL SUR S.A.- COVISUR S.A."/>
    <x v="0"/>
    <s v="FACTURA"/>
    <s v="F212"/>
    <n v="1809759"/>
    <n v="6.78"/>
    <m/>
    <n v="1.2203999999999999"/>
    <m/>
    <n v="0"/>
    <n v="8"/>
    <m/>
    <m/>
    <m/>
    <m/>
    <s v="25143"/>
    <s v="63.1.1.3.02"/>
    <s v="Peaje 25143"/>
    <x v="8"/>
  </r>
  <r>
    <s v="11/08/2025"/>
    <x v="2"/>
    <s v="001"/>
    <s v="08-000093"/>
    <x v="1"/>
    <s v="91.06.02.03"/>
    <s v="BKL_739"/>
    <s v="Peaje 25124"/>
    <s v="20517252558"/>
    <s v="CONCESIONARIA VIAL DEL SUR S.A.- COVISUR S.A."/>
    <x v="0"/>
    <s v="FACTURA"/>
    <s v="F214"/>
    <n v="2141309"/>
    <n v="3.39"/>
    <m/>
    <n v="0.61019999999999996"/>
    <m/>
    <n v="0"/>
    <n v="8"/>
    <m/>
    <m/>
    <m/>
    <m/>
    <s v="25124"/>
    <s v="63.1.1.3.02"/>
    <s v="Peaje 25124"/>
    <x v="8"/>
  </r>
  <r>
    <s v="11/08/2025"/>
    <x v="2"/>
    <s v="001"/>
    <s v="08-000093"/>
    <x v="1"/>
    <s v="91.06.02.03"/>
    <s v="BKL_739"/>
    <s v="Peaje 25124"/>
    <s v="20517252558"/>
    <s v="CONCESIONARIA VIAL DEL SUR S.A.- COVISUR S.A."/>
    <x v="0"/>
    <s v="FACTURA"/>
    <s v="F214"/>
    <n v="2141309"/>
    <n v="3.39"/>
    <m/>
    <n v="0.61019999999999996"/>
    <m/>
    <n v="0"/>
    <n v="8"/>
    <m/>
    <m/>
    <m/>
    <m/>
    <s v="25124"/>
    <s v="63.1.1.3.03"/>
    <s v="Peaje 25124"/>
    <x v="7"/>
  </r>
  <r>
    <s v="11/08/2025"/>
    <x v="2"/>
    <s v="001"/>
    <s v="08-000094"/>
    <x v="1"/>
    <s v="91.06.02.02"/>
    <s v="BKK_849"/>
    <s v="Peaje 25123"/>
    <s v="20517252558"/>
    <s v="CONCESIONARIA VIAL DEL SUR S.A.- COVISUR S.A."/>
    <x v="0"/>
    <s v="FACTURA"/>
    <s v="F211"/>
    <n v="2430798"/>
    <n v="3.39"/>
    <m/>
    <n v="0.61019999999999996"/>
    <m/>
    <n v="0"/>
    <n v="8"/>
    <m/>
    <m/>
    <m/>
    <m/>
    <s v="25123"/>
    <s v="63.1.1.3.03"/>
    <s v="Peaje 25123"/>
    <x v="7"/>
  </r>
  <r>
    <s v="11/08/2025"/>
    <x v="2"/>
    <s v="001"/>
    <s v="08-000094"/>
    <x v="1"/>
    <s v="91.06.02.03"/>
    <s v="BKL_739"/>
    <s v="Peaje 25123"/>
    <s v="20517252558"/>
    <s v="CONCESIONARIA VIAL DEL SUR S.A.- COVISUR S.A."/>
    <x v="0"/>
    <s v="FACTURA"/>
    <s v="F211"/>
    <n v="2430798"/>
    <n v="3.39"/>
    <m/>
    <n v="0.61019999999999996"/>
    <m/>
    <n v="0"/>
    <n v="8"/>
    <m/>
    <m/>
    <m/>
    <m/>
    <s v="25123"/>
    <s v="63.1.1.3.02"/>
    <s v="Peaje 25123"/>
    <x v="8"/>
  </r>
  <r>
    <s v="05/08/2025"/>
    <x v="2"/>
    <s v="001"/>
    <s v="08-000095"/>
    <x v="1"/>
    <s v="91.06.02.02"/>
    <s v="BKK_849"/>
    <s v="Peaje 25107"/>
    <s v="20517252558"/>
    <s v="CONCESIONARIA VIAL DEL SUR S.A.- COVISUR S.A."/>
    <x v="0"/>
    <s v="FACTURA"/>
    <s v="F212"/>
    <n v="1803237"/>
    <n v="6.78"/>
    <m/>
    <n v="1.2203999999999999"/>
    <m/>
    <n v="0"/>
    <n v="8"/>
    <m/>
    <m/>
    <m/>
    <m/>
    <s v="25107"/>
    <s v="63.1.1.3.02"/>
    <s v="Peaje 25107"/>
    <x v="8"/>
  </r>
  <r>
    <s v="05/08/2025"/>
    <x v="2"/>
    <s v="001"/>
    <s v="08-000096"/>
    <x v="1"/>
    <s v="91.06.02.02"/>
    <s v="BKK_849"/>
    <s v="Peaje 25141"/>
    <s v="20517252558"/>
    <s v="CONCESIONARIA VIAL DEL SUR S.A.- COVISUR S.A."/>
    <x v="0"/>
    <s v="FACTURA"/>
    <s v="F213"/>
    <n v="1823633"/>
    <n v="6.78"/>
    <m/>
    <n v="1.2203999999999999"/>
    <m/>
    <n v="0"/>
    <n v="8"/>
    <m/>
    <m/>
    <m/>
    <m/>
    <s v="25141"/>
    <s v="63.1.1.3.02"/>
    <s v="Peaje 25141"/>
    <x v="8"/>
  </r>
  <r>
    <s v="04/08/2025"/>
    <x v="2"/>
    <s v="001"/>
    <s v="08-000097"/>
    <x v="1"/>
    <s v="91.06.02.07"/>
    <s v="VDJ_872"/>
    <s v="Peaje 25080"/>
    <s v="20517252558"/>
    <s v="CONCESIONARIA VIAL DEL SUR S.A.- COVISUR S.A."/>
    <x v="0"/>
    <s v="FACTURA"/>
    <s v="F211"/>
    <n v="2422144"/>
    <n v="6.78"/>
    <m/>
    <n v="1.2203999999999999"/>
    <m/>
    <n v="0"/>
    <n v="8"/>
    <m/>
    <m/>
    <m/>
    <m/>
    <s v="25080"/>
    <s v="63.1.1.3.02"/>
    <s v="Peaje 25080"/>
    <x v="8"/>
  </r>
  <r>
    <s v="04/08/2025"/>
    <x v="2"/>
    <s v="001"/>
    <s v="08-000098"/>
    <x v="1"/>
    <s v="91.06.02.07"/>
    <s v="VDJ_872"/>
    <s v="Peaje 25082"/>
    <s v="20517252558"/>
    <s v="CONCESIONARIA VIAL DEL SUR S.A.- COVISUR S.A."/>
    <x v="0"/>
    <s v="FACTURA"/>
    <s v="F214"/>
    <n v="2133768"/>
    <n v="6.78"/>
    <m/>
    <n v="1.2203999999999999"/>
    <m/>
    <n v="0"/>
    <n v="8"/>
    <m/>
    <m/>
    <m/>
    <m/>
    <s v="25082"/>
    <s v="63.1.1.3.02"/>
    <s v="Peaje 25082"/>
    <x v="8"/>
  </r>
  <r>
    <s v="05/08/2025"/>
    <x v="2"/>
    <s v="001"/>
    <s v="08-000099"/>
    <x v="1"/>
    <s v="91.06.02.07"/>
    <s v="VDJ_872"/>
    <s v="Peaje 25097"/>
    <s v="20517252558"/>
    <s v="CONCESIONARIA VIAL DEL SUR S.A.- COVISUR S.A."/>
    <x v="0"/>
    <s v="FACTURA"/>
    <s v="F214"/>
    <n v="2134731"/>
    <n v="6.78"/>
    <m/>
    <n v="1.2203999999999999"/>
    <m/>
    <n v="0"/>
    <n v="8"/>
    <m/>
    <m/>
    <m/>
    <m/>
    <s v="25097"/>
    <s v="63.1.1.3.02"/>
    <s v="Peaje 25097"/>
    <x v="8"/>
  </r>
  <r>
    <s v="05/08/2025"/>
    <x v="2"/>
    <s v="001"/>
    <s v="08-000100"/>
    <x v="1"/>
    <s v="91.06.02.07"/>
    <s v="VDJ_872"/>
    <s v="Peaje 25096"/>
    <s v="20517252558"/>
    <s v="CONCESIONARIA VIAL DEL SUR S.A.- COVISUR S.A."/>
    <x v="0"/>
    <s v="FACTURA"/>
    <s v="F212"/>
    <n v="1803532"/>
    <n v="6.78"/>
    <m/>
    <n v="1.2203999999999999"/>
    <m/>
    <n v="0"/>
    <n v="8"/>
    <m/>
    <m/>
    <m/>
    <m/>
    <s v="25096"/>
    <s v="63.1.1.3.02"/>
    <s v="Peaje 25096"/>
    <x v="8"/>
  </r>
  <r>
    <s v="08/08/2025"/>
    <x v="2"/>
    <s v="001"/>
    <s v="08-000101"/>
    <x v="1"/>
    <s v="91.06.02.03"/>
    <s v="BKL_739"/>
    <s v="Peaje 25113"/>
    <s v="20517252558"/>
    <s v="CONCESIONARIA VIAL DEL SUR S.A.- COVISUR S.A."/>
    <x v="0"/>
    <s v="FACTURA"/>
    <s v="F212"/>
    <n v="1806246"/>
    <n v="6.78"/>
    <m/>
    <n v="1.2203999999999999"/>
    <m/>
    <n v="0"/>
    <n v="8"/>
    <m/>
    <m/>
    <m/>
    <m/>
    <s v="25113"/>
    <s v="63.1.1.3.03"/>
    <s v="Peaje 25113"/>
    <x v="7"/>
  </r>
  <r>
    <s v="08/08/2025"/>
    <x v="2"/>
    <s v="001"/>
    <s v="08-000102"/>
    <x v="1"/>
    <s v="91.06.02.03"/>
    <s v="BKL_739"/>
    <s v="Peaje 25114"/>
    <s v="20517252558"/>
    <s v="CONCESIONARIA VIAL DEL SUR S.A.- COVISUR S.A."/>
    <x v="0"/>
    <s v="FACTURA"/>
    <s v="F213"/>
    <n v="1826615"/>
    <n v="6.78"/>
    <m/>
    <n v="1.2203999999999999"/>
    <m/>
    <n v="0"/>
    <n v="8"/>
    <m/>
    <m/>
    <m/>
    <m/>
    <s v="25114"/>
    <s v="63.1.1.3.03"/>
    <s v="Peaje 25114"/>
    <x v="7"/>
  </r>
  <r>
    <s v="07/08/2025"/>
    <x v="2"/>
    <s v="001"/>
    <s v="08-000103"/>
    <x v="1"/>
    <s v="91.06.02.03"/>
    <s v="BKL_739"/>
    <s v="Peaje 25104"/>
    <s v="20517252558"/>
    <s v="CONCESIONARIA VIAL DEL SUR S.A.- COVISUR S.A."/>
    <x v="0"/>
    <s v="FACTURA"/>
    <s v="F212"/>
    <n v="1805058"/>
    <n v="6.78"/>
    <m/>
    <n v="1.2203999999999999"/>
    <m/>
    <n v="0"/>
    <n v="8"/>
    <m/>
    <m/>
    <m/>
    <m/>
    <s v="25104"/>
    <s v="63.1.1.3.03"/>
    <s v="Peaje 25104"/>
    <x v="7"/>
  </r>
  <r>
    <s v="07/08/2025"/>
    <x v="2"/>
    <s v="001"/>
    <s v="08-000104"/>
    <x v="1"/>
    <s v="91.06.02.03"/>
    <s v="BKL_739"/>
    <s v="Peaje 25105"/>
    <s v="20517252558"/>
    <s v="CONCESIONARIA VIAL DEL SUR S.A.- COVISUR S.A."/>
    <x v="0"/>
    <s v="FACTURA"/>
    <s v="F213"/>
    <n v="1825546"/>
    <n v="6.78"/>
    <m/>
    <n v="1.2203999999999999"/>
    <m/>
    <n v="0"/>
    <n v="8"/>
    <m/>
    <m/>
    <m/>
    <m/>
    <s v="25105"/>
    <s v="63.1.1.3.03"/>
    <s v="Peaje 25105"/>
    <x v="7"/>
  </r>
  <r>
    <s v="04/08/2025"/>
    <x v="2"/>
    <s v="001"/>
    <s v="08-000105"/>
    <x v="1"/>
    <s v="91.06.02.07"/>
    <s v="VDJ_872"/>
    <s v="Balanza 25083"/>
    <s v="20124952850"/>
    <s v="ALIMENTOS Y SERVICIOS AGROPECUARIOS SRL."/>
    <x v="0"/>
    <s v="FACTURA"/>
    <s v="F002"/>
    <n v="135037"/>
    <n v="8.4700000000000006"/>
    <m/>
    <n v="1.5246"/>
    <m/>
    <n v="0"/>
    <n v="10"/>
    <m/>
    <m/>
    <m/>
    <m/>
    <s v="25083"/>
    <s v="63.1.1.7.01"/>
    <s v="Balanza 25083"/>
    <x v="11"/>
  </r>
  <r>
    <s v="05/08/2025"/>
    <x v="2"/>
    <s v="001"/>
    <s v="08-000106"/>
    <x v="1"/>
    <s v="91.06.02.07"/>
    <s v="VDJ_872"/>
    <s v="Balanza 25098"/>
    <s v="20259858934"/>
    <s v="COMERCIALIZACION Y SERVICIOS EL EDEN S.A.C."/>
    <x v="0"/>
    <s v="FACTURA"/>
    <s v="FE01"/>
    <n v="35294"/>
    <n v="8.4700000000000006"/>
    <m/>
    <n v="1.5246"/>
    <m/>
    <n v="0"/>
    <n v="10"/>
    <m/>
    <m/>
    <m/>
    <m/>
    <s v="25098"/>
    <s v="63.1.1.7.01"/>
    <s v="Balanza 25098"/>
    <x v="11"/>
  </r>
  <r>
    <s v="05/08/2025"/>
    <x v="2"/>
    <s v="001"/>
    <s v="08-000107"/>
    <x v="1"/>
    <s v="91.06.02.07"/>
    <s v="VDJ_872"/>
    <s v="Balanza 25099"/>
    <s v="20259858934"/>
    <s v="COMERCIALIZACION Y SERVICIOS EL EDEN S.A.C."/>
    <x v="0"/>
    <s v="FACTURA"/>
    <s v="FE01"/>
    <n v="35295"/>
    <n v="8.4700000000000006"/>
    <m/>
    <n v="1.5246"/>
    <m/>
    <n v="0"/>
    <n v="10"/>
    <m/>
    <m/>
    <m/>
    <m/>
    <s v="25099"/>
    <s v="63.1.1.7.01"/>
    <s v="Balanza 25099"/>
    <x v="11"/>
  </r>
  <r>
    <s v="11/08/2025"/>
    <x v="2"/>
    <s v="001"/>
    <s v="08-000108"/>
    <x v="1"/>
    <s v="91.06.02.03"/>
    <s v="BKL_739"/>
    <s v="Balanza 25125"/>
    <s v="20259858934"/>
    <s v="COMERCIALIZACION Y SERVICIOS EL EDEN S.A.C."/>
    <x v="0"/>
    <s v="FACTURA"/>
    <s v="FE02"/>
    <n v="17300"/>
    <n v="16.95"/>
    <m/>
    <n v="3.0509999999999997"/>
    <m/>
    <n v="0"/>
    <n v="20"/>
    <m/>
    <m/>
    <m/>
    <m/>
    <s v="25125"/>
    <s v="63.1.1.7.01"/>
    <s v="Balanza 25125"/>
    <x v="11"/>
  </r>
  <r>
    <s v="04/08/2025"/>
    <x v="2"/>
    <s v="001"/>
    <s v="08-000109"/>
    <x v="1"/>
    <s v="91.06.02.11"/>
    <s v="Tercerizados"/>
    <s v="Balanza 25109"/>
    <s v="20454058187"/>
    <s v="ZONA ESPECIAL DE DESARROLLO ZED MATARANI"/>
    <x v="0"/>
    <s v="FACTURA"/>
    <s v="F001"/>
    <n v="18114"/>
    <m/>
    <m/>
    <m/>
    <m/>
    <n v="11"/>
    <n v="11"/>
    <m/>
    <m/>
    <m/>
    <m/>
    <s v="25109"/>
    <s v="63.1.1.7.01"/>
    <s v="Balanza 25109"/>
    <x v="11"/>
  </r>
  <r>
    <s v="12/08/2025"/>
    <x v="2"/>
    <s v="001"/>
    <s v="08-000110"/>
    <x v="1"/>
    <s v="91.06.02.07"/>
    <s v="VDJ_872"/>
    <s v="Lavada 25142"/>
    <s v="10705628331"/>
    <s v="LARICO APAZA NANCY ROSSMARY"/>
    <x v="0"/>
    <s v="FACTURA"/>
    <s v="F001"/>
    <n v="19179"/>
    <n v="21.19"/>
    <m/>
    <n v="3.8142"/>
    <m/>
    <n v="0"/>
    <n v="25"/>
    <m/>
    <m/>
    <m/>
    <m/>
    <s v="25142"/>
    <s v="63.1.1.5.01"/>
    <s v="Lavada 25142"/>
    <x v="14"/>
  </r>
  <r>
    <s v="05/08/2025"/>
    <x v="2"/>
    <s v="001"/>
    <s v="08-000111"/>
    <x v="1"/>
    <s v="91.05.01"/>
    <s v="Residuos Aprovechables"/>
    <s v="Alambron OC 333"/>
    <s v="20100192064"/>
    <s v="MOLY-COP ADESUR S.A."/>
    <x v="0"/>
    <s v="FACTURA"/>
    <s v="F002"/>
    <n v="16576"/>
    <n v="182.52"/>
    <m/>
    <n v="32.8536"/>
    <m/>
    <n v="0"/>
    <n v="215.38"/>
    <m/>
    <m/>
    <m/>
    <m/>
    <s v="OC 333"/>
    <s v="60.2.1.1"/>
    <s v="Alambron OC 333"/>
    <x v="6"/>
  </r>
  <r>
    <s v="05/08/2025"/>
    <x v="2"/>
    <s v="001"/>
    <s v="08-000112"/>
    <x v="1"/>
    <s v="91.05.01"/>
    <s v="Residuos Aprovechables"/>
    <s v="Alambron OC 335"/>
    <s v="20100192064"/>
    <s v="MOLY-COP ADESUR S.A."/>
    <x v="0"/>
    <s v="FACTURA"/>
    <s v="F002"/>
    <n v="16577"/>
    <n v="165.35"/>
    <m/>
    <n v="29.762999999999998"/>
    <m/>
    <n v="0"/>
    <n v="195.13"/>
    <m/>
    <m/>
    <m/>
    <m/>
    <s v="OC 335"/>
    <s v="60.2.1.1"/>
    <s v="Alambron OC 335"/>
    <x v="6"/>
  </r>
  <r>
    <s v="07/08/2025"/>
    <x v="2"/>
    <s v="001"/>
    <s v="08-000113"/>
    <x v="1"/>
    <s v="91.05.01"/>
    <s v="Residuos Aprovechables"/>
    <s v="Alambron OC 336"/>
    <s v="20100192064"/>
    <s v="MOLY-COP ADESUR S.A."/>
    <x v="0"/>
    <s v="FACTURA"/>
    <s v="F002"/>
    <n v="16591"/>
    <n v="179.62"/>
    <m/>
    <n v="32.331600000000002"/>
    <m/>
    <n v="0"/>
    <n v="211.95"/>
    <m/>
    <m/>
    <m/>
    <m/>
    <s v="OC 336"/>
    <s v="60.2.1.1"/>
    <s v="Alambron OC 336"/>
    <x v="6"/>
  </r>
  <r>
    <s v="05/08/2025"/>
    <x v="2"/>
    <s v="001"/>
    <s v="08-000114"/>
    <x v="1"/>
    <s v="91.05.01"/>
    <s v="Residuos Aprovechables"/>
    <s v="Alambron OC 334"/>
    <s v="20100192064"/>
    <s v="MOLY-COP ADESUR S.A."/>
    <x v="0"/>
    <s v="FACTURA"/>
    <s v="F002"/>
    <n v="16571"/>
    <n v="158.9"/>
    <m/>
    <n v="28.602"/>
    <m/>
    <n v="0"/>
    <n v="187.5"/>
    <m/>
    <m/>
    <m/>
    <m/>
    <s v="OC 334"/>
    <s v="60.2.1.1"/>
    <s v="Alambron OC 334"/>
    <x v="6"/>
  </r>
  <r>
    <s v="05/08/2025"/>
    <x v="2"/>
    <s v="001"/>
    <s v="08-000115"/>
    <x v="1"/>
    <s v="91.05.01"/>
    <s v="Residuos Aprovechables"/>
    <s v="Alambron OC 337"/>
    <s v="20100192064"/>
    <s v="MOLY-COP ADESUR S.A."/>
    <x v="0"/>
    <s v="FACTURA"/>
    <s v="F002"/>
    <n v="16582"/>
    <n v="431.63"/>
    <m/>
    <n v="77.693399999999997"/>
    <m/>
    <n v="0"/>
    <n v="509.33"/>
    <m/>
    <m/>
    <m/>
    <m/>
    <s v="OC 337"/>
    <s v="60.2.1.1"/>
    <s v="Alambron OC 337"/>
    <x v="6"/>
  </r>
  <r>
    <s v="07/08/2025"/>
    <x v="2"/>
    <s v="001"/>
    <s v="08-000116"/>
    <x v="1"/>
    <s v="91.05.01"/>
    <s v="Residuos Aprovechables"/>
    <s v="Alambron OC 338"/>
    <s v="20100192064"/>
    <s v="MOLY-COP ADESUR S.A."/>
    <x v="0"/>
    <s v="FACTURA"/>
    <s v="F002"/>
    <n v="16593"/>
    <n v="79.12"/>
    <m/>
    <n v="14.2416"/>
    <m/>
    <n v="0"/>
    <n v="93.38"/>
    <m/>
    <m/>
    <m/>
    <m/>
    <s v="OC 338"/>
    <s v="60.2.1.1"/>
    <s v="Alambron OC 338"/>
    <x v="6"/>
  </r>
  <r>
    <s v="18/08/2025"/>
    <x v="2"/>
    <s v="001"/>
    <s v="08-000117"/>
    <x v="1"/>
    <s v="91.06.02.02"/>
    <s v="BKK_849"/>
    <s v="Balanza 25108"/>
    <s v="20259858934"/>
    <s v="COMERCIALIZACION Y SERVICIOS EL EDEN S.A.C."/>
    <x v="0"/>
    <s v="FACTURA"/>
    <s v="FE02"/>
    <n v="17385"/>
    <n v="16.95"/>
    <m/>
    <n v="3.0509999999999997"/>
    <m/>
    <n v="0"/>
    <n v="20"/>
    <m/>
    <m/>
    <m/>
    <m/>
    <s v="25108"/>
    <s v="63.1.1.7.01"/>
    <s v="Balanza 25108"/>
    <x v="11"/>
  </r>
  <r>
    <s v="07/08/2025"/>
    <x v="2"/>
    <s v="001"/>
    <s v="08-000118"/>
    <x v="0"/>
    <s v="94.05"/>
    <s v="SSOMA"/>
    <s v="EPPS Buzo RQ.SSO.248"/>
    <s v="20455911401"/>
    <s v="SKY HIGH SOCIEDAD ANONIMA CERRADA - SKY HIGH S.A.C."/>
    <x v="0"/>
    <s v="FACTURA"/>
    <s v="FA02"/>
    <n v="2138"/>
    <n v="219.56"/>
    <m/>
    <n v="39.520800000000001"/>
    <m/>
    <n v="0"/>
    <n v="259.08"/>
    <m/>
    <m/>
    <m/>
    <m/>
    <m/>
    <s v="60.3.5.1"/>
    <s v="EPPS Buzo RQ.SSO.248"/>
    <x v="0"/>
  </r>
  <r>
    <s v="11/08/2025"/>
    <x v="2"/>
    <s v="001"/>
    <s v="08-000119"/>
    <x v="1"/>
    <s v="91.06.02.07"/>
    <s v="VDJ_872"/>
    <s v="Balanza 25133"/>
    <s v="20259858934"/>
    <s v="COMERCIALIZACION Y SERVICIOS EL EDEN S.A.C."/>
    <x v="0"/>
    <s v="FACTURA"/>
    <s v="FE02"/>
    <n v="17299"/>
    <n v="16.95"/>
    <m/>
    <n v="3.0509999999999997"/>
    <m/>
    <n v="0"/>
    <n v="20"/>
    <m/>
    <m/>
    <m/>
    <m/>
    <m/>
    <s v="63.1.1.7.02"/>
    <s v="Balanza 25133"/>
    <x v="1"/>
  </r>
  <r>
    <s v="11/08/2025"/>
    <x v="2"/>
    <s v="001"/>
    <s v="08-000120"/>
    <x v="1"/>
    <s v="91.06.02.07"/>
    <s v="VDJ_872"/>
    <s v="Peaje 25134"/>
    <s v="20517252558"/>
    <s v="CONCESIONARIA VIAL DEL SUR S.A.- COVISUR S.A."/>
    <x v="0"/>
    <s v="FACTURA"/>
    <s v="F214"/>
    <n v="2141150"/>
    <n v="6.78"/>
    <m/>
    <n v="1.2203999999999999"/>
    <m/>
    <n v="0"/>
    <n v="8"/>
    <m/>
    <m/>
    <m/>
    <m/>
    <s v="25134"/>
    <s v="63.1.1.3.02"/>
    <s v="Peaje 25134"/>
    <x v="8"/>
  </r>
  <r>
    <s v="07/08/2025"/>
    <x v="2"/>
    <s v="001"/>
    <s v="08-000121"/>
    <x v="1"/>
    <s v="91.06.02.07"/>
    <s v="VDJ_872"/>
    <s v="Peaje 25126"/>
    <s v="20517252558"/>
    <s v="CONCESIONARIA VIAL DEL SUR S.A.- COVISUR S.A."/>
    <x v="0"/>
    <s v="FACTURA"/>
    <s v="F211"/>
    <n v="2425952"/>
    <n v="6.78"/>
    <m/>
    <n v="1.2203999999999999"/>
    <m/>
    <n v="0"/>
    <n v="8"/>
    <m/>
    <m/>
    <m/>
    <m/>
    <s v="25126"/>
    <s v="63.1.1.3.03"/>
    <s v="Peaje 25126"/>
    <x v="7"/>
  </r>
  <r>
    <s v="11/08/2025"/>
    <x v="2"/>
    <s v="001"/>
    <s v="08-000122"/>
    <x v="1"/>
    <s v="91.06.02.07"/>
    <s v="VDJ_872"/>
    <s v="Balanza 25135"/>
    <s v="20612112500"/>
    <s v="RECICLADORA LAS LOMAS E.I.R.L."/>
    <x v="0"/>
    <s v="FACTURA"/>
    <s v="FT01"/>
    <n v="2109"/>
    <n v="8.4700000000000006"/>
    <m/>
    <n v="1.5246"/>
    <m/>
    <n v="0"/>
    <n v="10"/>
    <m/>
    <m/>
    <m/>
    <m/>
    <s v="25135"/>
    <s v="63.1.1.7.01"/>
    <s v="Balanza 25135"/>
    <x v="11"/>
  </r>
  <r>
    <s v="07/08/2025"/>
    <x v="2"/>
    <s v="001"/>
    <s v="08-000123"/>
    <x v="1"/>
    <s v="91.06.02.07"/>
    <s v="VDJ_872"/>
    <s v="Peaje 25127"/>
    <s v="20517252558"/>
    <s v="CONCESIONARIA VIAL DEL SUR S.A.- COVISUR S.A."/>
    <x v="0"/>
    <s v="FACTURA"/>
    <s v="F214"/>
    <n v="2136668"/>
    <n v="6.78"/>
    <m/>
    <n v="1.2203999999999999"/>
    <m/>
    <n v="0"/>
    <n v="8"/>
    <m/>
    <m/>
    <m/>
    <m/>
    <s v="25127"/>
    <s v="63.1.1.3.03"/>
    <s v="Peaje 25127"/>
    <x v="7"/>
  </r>
  <r>
    <s v="07/08/2025"/>
    <x v="2"/>
    <s v="001"/>
    <s v="08-000124"/>
    <x v="1"/>
    <s v="91.06.02.07"/>
    <s v="VDJ_872"/>
    <s v="Balanza 25128"/>
    <s v="20124952850"/>
    <s v="ALIMENTOS Y SERVICIOS AGROPECUARIOS SRL."/>
    <x v="0"/>
    <s v="FACTURA"/>
    <s v="F002"/>
    <n v="135219"/>
    <n v="8.4700000000000006"/>
    <m/>
    <n v="1.5246"/>
    <m/>
    <n v="0"/>
    <n v="10"/>
    <m/>
    <m/>
    <m/>
    <m/>
    <s v="25128"/>
    <s v="63.1.1.7.02"/>
    <s v="Balanza 25128"/>
    <x v="1"/>
  </r>
  <r>
    <s v="08/08/2025"/>
    <x v="2"/>
    <s v="001"/>
    <s v="08-000125"/>
    <x v="1"/>
    <s v="91.06.02.07"/>
    <s v="VDJ_872"/>
    <s v="Balanza 25130"/>
    <s v="20124952850"/>
    <s v="ALIMENTOS Y SERVICIOS AGROPECUARIOS SRL."/>
    <x v="0"/>
    <s v="FACTURA"/>
    <s v="F002"/>
    <n v="135225"/>
    <n v="8.4700000000000006"/>
    <m/>
    <n v="1.5246"/>
    <m/>
    <n v="0"/>
    <n v="10"/>
    <m/>
    <m/>
    <m/>
    <m/>
    <s v="25130"/>
    <s v="63.1.1.7.01"/>
    <s v="Balanza 25130"/>
    <x v="11"/>
  </r>
  <r>
    <s v="08/08/2025"/>
    <x v="2"/>
    <s v="001"/>
    <s v="08-000126"/>
    <x v="1"/>
    <s v="91.06.02.07"/>
    <s v="VDJ_872"/>
    <s v="Peaje 25129"/>
    <s v="20517252558"/>
    <s v="CONCESIONARIA VIAL DEL SUR S.A.- COVISUR S.A."/>
    <x v="0"/>
    <s v="FACTURA"/>
    <s v="F211"/>
    <n v="2427203"/>
    <n v="6.78"/>
    <m/>
    <n v="1.2203999999999999"/>
    <m/>
    <n v="0"/>
    <n v="8"/>
    <m/>
    <m/>
    <m/>
    <m/>
    <s v="25129"/>
    <s v="63.1.1.3.03"/>
    <s v="Peaje 25129"/>
    <x v="7"/>
  </r>
  <r>
    <s v="08/08/2025"/>
    <x v="2"/>
    <s v="001"/>
    <s v="08-000127"/>
    <x v="1"/>
    <s v="91.06.02.07"/>
    <s v="VDJ_872"/>
    <s v="Peaje 25131"/>
    <s v="20517252558"/>
    <s v="CONCESIONARIA VIAL DEL SUR S.A.- COVISUR S.A."/>
    <x v="0"/>
    <s v="FACTURA"/>
    <s v="F214"/>
    <n v="2138002"/>
    <n v="6.78"/>
    <m/>
    <n v="1.2203999999999999"/>
    <m/>
    <n v="0"/>
    <n v="8"/>
    <m/>
    <m/>
    <m/>
    <m/>
    <s v="25131"/>
    <s v="63.1.1.3.02"/>
    <s v="Peaje 25131"/>
    <x v="8"/>
  </r>
  <r>
    <s v="11/08/2025"/>
    <x v="2"/>
    <s v="001"/>
    <s v="08-000128"/>
    <x v="1"/>
    <s v="91.06.02.07"/>
    <s v="VDJ_872"/>
    <s v="Peaje 25132"/>
    <s v="20517252558"/>
    <s v="CONCESIONARIA VIAL DEL SUR S.A.- COVISUR S.A."/>
    <x v="0"/>
    <s v="FACTURA"/>
    <s v="F211"/>
    <n v="2430689"/>
    <n v="6.78"/>
    <m/>
    <n v="1.2203999999999999"/>
    <m/>
    <n v="0"/>
    <n v="8"/>
    <m/>
    <m/>
    <m/>
    <m/>
    <s v="25132"/>
    <s v="63.1.1.3.02"/>
    <s v="Peaje 25132"/>
    <x v="8"/>
  </r>
  <r>
    <s v="11/08/2025"/>
    <x v="2"/>
    <s v="001"/>
    <s v="08-000129"/>
    <x v="0"/>
    <m/>
    <m/>
    <m/>
    <s v="20100210909"/>
    <s v="LA POSITIVA SEGUROS Y REASEGUROS S.A.A."/>
    <x v="0"/>
    <s v="FACTURA"/>
    <s v="F040"/>
    <s v="474181"/>
    <n v="1247.04"/>
    <m/>
    <n v="224.47"/>
    <m/>
    <n v="0"/>
    <n v="1471.51"/>
    <m/>
    <m/>
    <m/>
    <m/>
    <m/>
    <m/>
    <m/>
    <x v="0"/>
  </r>
  <r>
    <s v="12/08/2025"/>
    <x v="2"/>
    <s v="001"/>
    <s v="08-000130"/>
    <x v="0"/>
    <m/>
    <m/>
    <m/>
    <s v="20100210909"/>
    <s v="LA POSITIVA SEGUROS Y REASEGUROS S.A.A."/>
    <x v="0"/>
    <s v="FACTURA"/>
    <s v="F040"/>
    <s v="474397"/>
    <n v="306.41000000000003"/>
    <m/>
    <n v="55.14"/>
    <m/>
    <n v="0"/>
    <n v="361.55"/>
    <m/>
    <m/>
    <m/>
    <m/>
    <m/>
    <m/>
    <m/>
    <x v="0"/>
  </r>
  <r>
    <s v="14/08/2025"/>
    <x v="2"/>
    <s v="001"/>
    <s v="08-000131"/>
    <x v="0"/>
    <s v="94.02"/>
    <s v="Contabilidad y Finanzas"/>
    <s v="Interes _ Préstamo Bancario cuota NRO 59"/>
    <s v="20375361991"/>
    <s v="MITSUI AUTO FINANCE PERU S.A."/>
    <x v="0"/>
    <s v="FACTURA"/>
    <s v="F006"/>
    <n v="172026"/>
    <m/>
    <m/>
    <m/>
    <m/>
    <n v="140.38"/>
    <n v="140.38"/>
    <m/>
    <m/>
    <m/>
    <m/>
    <m/>
    <s v="63.9.1.1.04"/>
    <s v="Interes _ Préstamo Bancario cuota NRO 59"/>
    <x v="0"/>
  </r>
  <r>
    <s v="14/08/2025"/>
    <x v="2"/>
    <s v="001"/>
    <s v="08-000132"/>
    <x v="0"/>
    <s v="94.08"/>
    <s v="Sig"/>
    <s v="Consultoría / asesoría RQ.SIG.032"/>
    <s v="20498380931"/>
    <s v="E QUELLE E.I.R.L."/>
    <x v="0"/>
    <s v="FACTURA"/>
    <s v="E001"/>
    <n v="490"/>
    <n v="300"/>
    <m/>
    <n v="54"/>
    <m/>
    <n v="0"/>
    <n v="354"/>
    <m/>
    <m/>
    <m/>
    <m/>
    <m/>
    <s v="63.2.2.1.02"/>
    <s v="Consultoría / asesoría RQ.SIG.032"/>
    <x v="0"/>
  </r>
  <r>
    <s v="18/08/2025"/>
    <x v="2"/>
    <s v="001"/>
    <s v="08-000133"/>
    <x v="0"/>
    <s v="94.05"/>
    <s v="SSOMA"/>
    <s v="Inducciones Externas Capacitacion ambiental RQ.SSO.273"/>
    <s v="20603912838"/>
    <s v="CFC GROUP S.A.C."/>
    <x v="0"/>
    <s v="FACTURA"/>
    <s v="E001"/>
    <n v="1522"/>
    <m/>
    <m/>
    <m/>
    <m/>
    <n v="500"/>
    <n v="500"/>
    <m/>
    <m/>
    <m/>
    <m/>
    <m/>
    <s v="63.2.5.3"/>
    <s v="Inducciones Externas Capacitacion ambiental RQ.SSO.273"/>
    <x v="0"/>
  </r>
  <r>
    <s v="18/08/2025"/>
    <x v="2"/>
    <s v="001"/>
    <s v="08-000134"/>
    <x v="1"/>
    <s v="91.05.01"/>
    <s v="Residuos Aprovechables"/>
    <s v="Papel mixto OC 320"/>
    <s v="20456565353"/>
    <s v="ASOCIACION DE AYUDA AL NINO QUEMADO"/>
    <x v="0"/>
    <s v="FACTURA"/>
    <s v="E001"/>
    <n v="2877"/>
    <n v="163.56"/>
    <m/>
    <n v="29.440799999999999"/>
    <m/>
    <n v="0"/>
    <n v="193"/>
    <m/>
    <m/>
    <m/>
    <m/>
    <s v="OC 320"/>
    <s v="60.2.1.1"/>
    <s v="Papel mixto OC 320"/>
    <x v="6"/>
  </r>
  <r>
    <s v="13/08/2025"/>
    <x v="2"/>
    <s v="001"/>
    <s v="08-000135"/>
    <x v="1"/>
    <s v="91.05.01"/>
    <s v="Residuos Aprovechables"/>
    <s v="Alambron OC 340"/>
    <s v="20100192064"/>
    <s v="MOLY-COP ADESUR S.A."/>
    <x v="0"/>
    <s v="FACTURA"/>
    <s v="F002"/>
    <n v="16631"/>
    <n v="162.85"/>
    <m/>
    <n v="29.312999999999999"/>
    <m/>
    <n v="0"/>
    <n v="192.18"/>
    <m/>
    <m/>
    <m/>
    <m/>
    <s v="OC 340"/>
    <s v="60.2.1.1"/>
    <s v="Alambron OC 340"/>
    <x v="6"/>
  </r>
  <r>
    <s v="14/08/2025"/>
    <x v="2"/>
    <s v="001"/>
    <s v="08-000136"/>
    <x v="1"/>
    <s v="91.05.01"/>
    <s v="Residuos Aprovechables"/>
    <s v="Alambron OC 341"/>
    <s v="20100192064"/>
    <s v="MOLY-COP ADESUR S.A."/>
    <x v="0"/>
    <s v="FACTURA"/>
    <s v="F002"/>
    <n v="16638"/>
    <n v="379.87"/>
    <m/>
    <n v="68.376599999999996"/>
    <m/>
    <n v="0"/>
    <n v="448.24"/>
    <m/>
    <m/>
    <m/>
    <m/>
    <s v="OC 341"/>
    <s v="60.2.1.1"/>
    <s v="Alambron OC 341"/>
    <x v="6"/>
  </r>
  <r>
    <s v="18/08/2025"/>
    <x v="2"/>
    <s v="001"/>
    <s v="08-000137"/>
    <x v="1"/>
    <s v="91.05.01"/>
    <s v="Residuos Aprovechables"/>
    <s v="Alambron OC 342"/>
    <s v="20100192064"/>
    <s v="MOLY-COP ADESUR S.A."/>
    <x v="0"/>
    <s v="FACTURA"/>
    <s v="F002"/>
    <n v="16656"/>
    <n v="419.01"/>
    <m/>
    <n v="75.42179999999999"/>
    <m/>
    <n v="0"/>
    <n v="494.44"/>
    <m/>
    <m/>
    <m/>
    <m/>
    <s v="OC 342"/>
    <s v="60.2.1.1"/>
    <s v="Alambron OC 342"/>
    <x v="6"/>
  </r>
  <r>
    <s v="15/08/2025"/>
    <x v="2"/>
    <s v="001"/>
    <s v="08-000138"/>
    <x v="0"/>
    <s v="94.05"/>
    <s v="SSOMA"/>
    <s v="Inducciones Externas_seguridad pesuqera diamante RQ.SSO.271"/>
    <s v="20514464881"/>
    <s v="ORGANIZACION IBEROAMERICANA DE SEGURIDAD"/>
    <x v="0"/>
    <s v="FACTURA"/>
    <s v="F001"/>
    <n v="43786"/>
    <n v="88.98"/>
    <m/>
    <n v="16.016400000000001"/>
    <m/>
    <n v="0"/>
    <n v="105"/>
    <m/>
    <m/>
    <m/>
    <m/>
    <m/>
    <s v="63.2.5.3"/>
    <s v="Inducciones Externas_seguridad pesuqera diamante RQ.SSO.271"/>
    <x v="0"/>
  </r>
  <r>
    <s v="18/08/2025"/>
    <x v="2"/>
    <s v="001"/>
    <s v="08-000139"/>
    <x v="0"/>
    <s v="94.05"/>
    <s v="SSOMA"/>
    <s v="Inducciones Externas_Curso de materiales peligrosos RQ.SSO.272"/>
    <s v="20514464881"/>
    <s v="ORGANIZACION IBEROAMERICANA DE SEGURIDAD"/>
    <x v="0"/>
    <s v="FACTURA"/>
    <s v="FFF1"/>
    <n v="78"/>
    <n v="46.61"/>
    <m/>
    <n v="8.3897999999999993"/>
    <m/>
    <n v="0"/>
    <n v="55"/>
    <m/>
    <m/>
    <m/>
    <m/>
    <m/>
    <s v="63.2.5.3"/>
    <s v="Inducciones Externas_Curso de materiales peligrosos RQ.SSO.272"/>
    <x v="0"/>
  </r>
  <r>
    <s v="18/08/2025"/>
    <x v="2"/>
    <s v="001"/>
    <s v="08-000140"/>
    <x v="0"/>
    <s v="94.05"/>
    <s v="SSOMA"/>
    <s v="Inducciones Externas_curso de materiales peligrosos RQ.SSO.272"/>
    <s v="20514464881"/>
    <s v="ORGANIZACION IBEROAMERICANA DE SEGURIDAD"/>
    <x v="0"/>
    <s v="FACTURA"/>
    <s v="FFF1"/>
    <n v="79"/>
    <n v="46.61"/>
    <m/>
    <n v="8.3897999999999993"/>
    <m/>
    <n v="0"/>
    <n v="55"/>
    <m/>
    <m/>
    <m/>
    <m/>
    <m/>
    <s v="63.2.5.3"/>
    <s v="Inducciones Externas_curso de materiales peligrosos RQ.SSO.272"/>
    <x v="0"/>
  </r>
  <r>
    <s v="18/08/2025"/>
    <x v="2"/>
    <s v="001"/>
    <s v="08-000141"/>
    <x v="0"/>
    <s v="94.05"/>
    <s v="SSOMA"/>
    <s v="Inducciones Externas_curso de materiales peligrosos RQ.SSO.272"/>
    <s v="20514464881"/>
    <s v="ORGANIZACION IBEROAMERICANA DE SEGURIDAD"/>
    <x v="0"/>
    <s v="FACTURA"/>
    <s v="FFF1"/>
    <n v="77"/>
    <n v="46.61"/>
    <m/>
    <n v="8.3897999999999993"/>
    <m/>
    <n v="0"/>
    <n v="55"/>
    <m/>
    <m/>
    <m/>
    <m/>
    <m/>
    <s v="63.2.5.3"/>
    <s v="Inducciones Externas_curso de materiales peligrosos RQ.SSO.272"/>
    <x v="0"/>
  </r>
  <r>
    <s v="14/08/2025"/>
    <x v="2"/>
    <s v="001"/>
    <s v="08-000142"/>
    <x v="0"/>
    <s v="94.05"/>
    <s v="SSOMA"/>
    <s v="Examen medico_ ingreso RQ.SSO.228"/>
    <s v="20517035964"/>
    <s v="SIGSO CONSULTORES LABORALES SOCIEDAD ANONIMA CERRADA - SIGSO CONSULTORES LABORALES S.A.C."/>
    <x v="0"/>
    <s v="FACTURA"/>
    <s v="F200"/>
    <n v="16401"/>
    <n v="244"/>
    <m/>
    <n v="43.92"/>
    <m/>
    <n v="0"/>
    <n v="287.92"/>
    <m/>
    <m/>
    <m/>
    <m/>
    <m/>
    <s v="62.5.1.2.01"/>
    <s v="Examen medico_ ingreso RQ.SSO.228"/>
    <x v="25"/>
  </r>
  <r>
    <s v="14/08/2025"/>
    <x v="2"/>
    <s v="001"/>
    <s v="08-000143"/>
    <x v="1"/>
    <s v="91.06.01"/>
    <s v="Operaciones"/>
    <s v="Transporte de carga RQ.OPE.1364 OS 005_705"/>
    <s v="20608686747"/>
    <s v="TRANSPORTES ALBERTO MAMANI E.I.R.L."/>
    <x v="0"/>
    <s v="FACTURA"/>
    <s v="E001"/>
    <n v="692"/>
    <n v="550"/>
    <m/>
    <n v="99"/>
    <m/>
    <n v="0"/>
    <n v="649"/>
    <m/>
    <m/>
    <m/>
    <m/>
    <m/>
    <s v="63.1.1.1.02"/>
    <s v="Transporte de carga RQ.OPE.1364 OS 005_705"/>
    <x v="13"/>
  </r>
  <r>
    <s v="05/08/2025"/>
    <x v="2"/>
    <s v="001"/>
    <s v="08-000144"/>
    <x v="1"/>
    <s v="91.06.01"/>
    <s v="Operaciones"/>
    <s v="Publicidad e impresión rq.ope.1362"/>
    <s v="10725531368"/>
    <s v="HINOSTROZA RAMIREZ JOEL ALEXANDER"/>
    <x v="1"/>
    <s v="BOLETA DE VENTA"/>
    <s v="EB01"/>
    <n v="216"/>
    <m/>
    <m/>
    <m/>
    <m/>
    <n v="19.2"/>
    <n v="19.2"/>
    <m/>
    <m/>
    <m/>
    <m/>
    <m/>
    <s v="63.9.9.1.01.03"/>
    <s v="Publicidad e impresión rq.ope.1362"/>
    <x v="34"/>
  </r>
  <r>
    <s v="11/08/2025"/>
    <x v="2"/>
    <s v="001"/>
    <s v="08-000145"/>
    <x v="1"/>
    <s v="91.06.02.08"/>
    <s v="Montacarga"/>
    <s v="Alquiler de montacarga RQ.OPE.1358"/>
    <s v="20609764261"/>
    <s v="MGM MONTACARGAS &amp; GRUAS S.A.C."/>
    <x v="0"/>
    <s v="FACTURA"/>
    <s v="E001"/>
    <n v="2471"/>
    <n v="60"/>
    <m/>
    <n v="10.799999999999999"/>
    <m/>
    <n v="0"/>
    <n v="70.8"/>
    <m/>
    <m/>
    <m/>
    <m/>
    <m/>
    <s v="63.5.4.1.01"/>
    <s v="Alquiler de montacarga RQ.OPE.1358"/>
    <x v="16"/>
  </r>
  <r>
    <s v="11/08/2025"/>
    <x v="2"/>
    <s v="001"/>
    <s v="08-000146"/>
    <x v="1"/>
    <s v="91.06.02.08"/>
    <s v="Montacarga"/>
    <s v="Alquiler de montacarga RQ.OPE.1349"/>
    <s v="20609764261"/>
    <s v="MGM MONTACARGAS &amp; GRUAS S.A.C."/>
    <x v="0"/>
    <s v="FACTURA"/>
    <s v="E001"/>
    <n v="2463"/>
    <n v="60"/>
    <m/>
    <n v="10.799999999999999"/>
    <m/>
    <n v="0"/>
    <n v="70.8"/>
    <m/>
    <m/>
    <m/>
    <m/>
    <m/>
    <s v="63.5.4.1.01"/>
    <s v="Alquiler de montacarga RQ.OPE.1349"/>
    <x v="16"/>
  </r>
  <r>
    <s v="11/08/2025"/>
    <x v="2"/>
    <s v="001"/>
    <s v="08-000147"/>
    <x v="1"/>
    <s v="91.06.02.08"/>
    <s v="Montacarga"/>
    <s v="Alquiler de maquinaria tercero RQ.OPE.1353"/>
    <s v="20603974817"/>
    <s v="TRANSPORTES, GRUAS Y MONTACARGAS AREQUIPA EMPRESA INDIVIDUAL DE RESPONSABILIDAD LIMITADA"/>
    <x v="0"/>
    <s v="FACTURA"/>
    <s v="E001"/>
    <n v="4107"/>
    <n v="440"/>
    <m/>
    <n v="79.2"/>
    <m/>
    <n v="0"/>
    <n v="519.20000000000005"/>
    <m/>
    <m/>
    <m/>
    <m/>
    <m/>
    <s v="63.5.4.1.01"/>
    <s v="Alquiler de maquinaria tercero RQ.OPE.1353"/>
    <x v="16"/>
  </r>
  <r>
    <s v="11/08/2025"/>
    <x v="2"/>
    <s v="001"/>
    <s v="08-000148"/>
    <x v="1"/>
    <s v="91.06.02.08"/>
    <s v="Montacarga"/>
    <s v="Alquiler de montacarga RQ.OPE.1356"/>
    <s v="20609764261"/>
    <s v="MGM MONTACARGAS &amp; GRUAS S.A.C."/>
    <x v="0"/>
    <s v="FACTURA"/>
    <s v="E001"/>
    <n v="2470"/>
    <n v="60"/>
    <m/>
    <n v="10.799999999999999"/>
    <m/>
    <n v="0"/>
    <n v="70.8"/>
    <m/>
    <m/>
    <m/>
    <m/>
    <m/>
    <s v="63.5.4.1.01"/>
    <s v="Alquiler de montacarga RQ.OPE.1356"/>
    <x v="16"/>
  </r>
  <r>
    <s v="11/08/2025"/>
    <x v="2"/>
    <s v="001"/>
    <s v="08-000149"/>
    <x v="1"/>
    <s v="91.06.02.06"/>
    <s v="VBW_889"/>
    <s v="Lavado 25117"/>
    <s v="10738983659"/>
    <s v="MAMANI PACCO ERICK ROMULO"/>
    <x v="0"/>
    <s v="FACTURA"/>
    <s v="E001"/>
    <n v="74"/>
    <n v="30.6"/>
    <m/>
    <n v="5.508"/>
    <m/>
    <n v="0"/>
    <n v="36.11"/>
    <m/>
    <m/>
    <m/>
    <m/>
    <s v="25117"/>
    <s v="63.1.1.5.01"/>
    <s v="Lavado 25117"/>
    <x v="14"/>
  </r>
  <r>
    <s v="04/08/2025"/>
    <x v="2"/>
    <s v="001"/>
    <s v="08-000150"/>
    <x v="1"/>
    <s v="91.06.02.04"/>
    <s v="VBB_840"/>
    <s v="Lavado 25077"/>
    <s v="20514148539"/>
    <s v="NEGOCIACIONES ABBYCORP E.I.R.L."/>
    <x v="0"/>
    <s v="FACTURA"/>
    <s v="F006"/>
    <n v="42505"/>
    <n v="46.61"/>
    <m/>
    <n v="8.3897999999999993"/>
    <m/>
    <n v="0"/>
    <n v="55"/>
    <m/>
    <m/>
    <m/>
    <m/>
    <s v="25077"/>
    <s v="63.1.1.5.01"/>
    <s v="Lavado 25077"/>
    <x v="14"/>
  </r>
  <r>
    <s v="04/08/2025"/>
    <x v="2"/>
    <s v="001"/>
    <s v="08-000151"/>
    <x v="1"/>
    <s v="91.06.02.04"/>
    <s v="VBB_840"/>
    <s v="Balanza 25074"/>
    <s v="10773382439"/>
    <s v="PAUCAR PRADO ALEXIS LORENZO"/>
    <x v="0"/>
    <s v="FACTURA"/>
    <s v="F001"/>
    <n v="7699"/>
    <n v="11.02"/>
    <m/>
    <n v="1.9835999999999998"/>
    <m/>
    <n v="0"/>
    <n v="13"/>
    <m/>
    <m/>
    <m/>
    <m/>
    <s v="25074"/>
    <s v="63.1.1.7.01"/>
    <s v="Balanza 25074"/>
    <x v="11"/>
  </r>
  <r>
    <s v="04/08/2025"/>
    <x v="2"/>
    <s v="001"/>
    <s v="08-000152"/>
    <x v="1"/>
    <s v="91.06.02.04"/>
    <s v="VBB_840"/>
    <s v="Peaje 25065"/>
    <s v="20550372640"/>
    <s v="RUTAS DE LIMA S.A.C."/>
    <x v="0"/>
    <s v="FACTURA"/>
    <s v="F209"/>
    <n v="2003536"/>
    <n v="12.71"/>
    <m/>
    <n v="2.2878000000000003"/>
    <m/>
    <n v="0"/>
    <n v="15"/>
    <m/>
    <m/>
    <m/>
    <m/>
    <s v="25065"/>
    <s v="63.1.1.3.02"/>
    <s v="Peaje 25065"/>
    <x v="8"/>
  </r>
  <r>
    <s v="04/08/2025"/>
    <x v="2"/>
    <s v="001"/>
    <s v="08-000153"/>
    <x v="1"/>
    <s v="91.06.02.04"/>
    <s v="VBB_840"/>
    <s v="Peaje 25072"/>
    <s v="20550372640"/>
    <s v="RUTAS DE LIMA S.A.C."/>
    <x v="0"/>
    <s v="FACTURA"/>
    <s v="F611"/>
    <n v="3200171"/>
    <n v="12.71"/>
    <m/>
    <n v="2.2878000000000003"/>
    <m/>
    <n v="0"/>
    <n v="15"/>
    <m/>
    <m/>
    <m/>
    <m/>
    <s v="25072"/>
    <s v="63.1.1.3.02"/>
    <s v="Peaje 25072"/>
    <x v="8"/>
  </r>
  <r>
    <s v="05/08/2025"/>
    <x v="2"/>
    <s v="001"/>
    <s v="08-000154"/>
    <x v="1"/>
    <s v="91.06.02.04"/>
    <s v="VBB_840"/>
    <s v="Peaje 25084"/>
    <s v="20550372640"/>
    <s v="RUTAS DE LIMA S.A.C."/>
    <x v="0"/>
    <s v="FACTURA"/>
    <s v="F206"/>
    <n v="658300"/>
    <n v="12.71"/>
    <m/>
    <n v="2.2878000000000003"/>
    <m/>
    <n v="0"/>
    <n v="15"/>
    <m/>
    <m/>
    <m/>
    <m/>
    <s v="25084"/>
    <s v="63.1.1.3.02"/>
    <s v="Peaje 25084"/>
    <x v="8"/>
  </r>
  <r>
    <s v="01/08/2025"/>
    <x v="2"/>
    <s v="001"/>
    <s v="08-000155"/>
    <x v="1"/>
    <s v="91.06.02.04"/>
    <s v="VBB_840"/>
    <s v="Peaje 25062"/>
    <s v="20550372640"/>
    <s v="RUTAS DE LIMA S.A.C."/>
    <x v="0"/>
    <s v="FACTURA"/>
    <s v="F207"/>
    <n v="1184261"/>
    <n v="12.71"/>
    <m/>
    <n v="2.2878000000000003"/>
    <m/>
    <n v="0"/>
    <n v="15"/>
    <m/>
    <m/>
    <m/>
    <m/>
    <s v="25062"/>
    <s v="63.1.1.3.02"/>
    <s v="Peaje 25062"/>
    <x v="8"/>
  </r>
  <r>
    <s v="05/08/2025"/>
    <x v="2"/>
    <s v="001"/>
    <s v="08-000156"/>
    <x v="1"/>
    <s v="91.06.02.04"/>
    <s v="VBB_840"/>
    <s v="Peaje 25094"/>
    <s v="20550372640"/>
    <s v="RUTAS DE LIMA S.A.C."/>
    <x v="0"/>
    <s v="FACTURA"/>
    <s v="F611"/>
    <n v="3201295"/>
    <n v="12.71"/>
    <m/>
    <n v="2.2878000000000003"/>
    <m/>
    <n v="0"/>
    <n v="15"/>
    <m/>
    <m/>
    <m/>
    <m/>
    <s v="25094"/>
    <s v="63.1.1.3.02"/>
    <s v="Peaje 25094"/>
    <x v="8"/>
  </r>
  <r>
    <s v="01/08/2025"/>
    <x v="2"/>
    <s v="001"/>
    <s v="08-000157"/>
    <x v="1"/>
    <s v="91.06.02.04"/>
    <s v="VBB_840"/>
    <s v="Peaje 25063"/>
    <s v="20550372640"/>
    <s v="RUTAS DE LIMA S.A.C."/>
    <x v="0"/>
    <s v="FACTURA"/>
    <s v="F600"/>
    <n v="609731"/>
    <n v="12.71"/>
    <m/>
    <n v="2.2878000000000003"/>
    <m/>
    <n v="0"/>
    <n v="15"/>
    <m/>
    <m/>
    <m/>
    <m/>
    <s v="25063"/>
    <s v="63.1.1.3.02"/>
    <s v="Peaje 25063"/>
    <x v="8"/>
  </r>
  <r>
    <s v="08/08/2025"/>
    <x v="2"/>
    <s v="001"/>
    <s v="08-000158"/>
    <x v="1"/>
    <s v="91.06.02.04"/>
    <s v="VBB_840"/>
    <s v="Peaje 25138"/>
    <s v="20550372640"/>
    <s v="RUTAS DE LIMA S.A.C."/>
    <x v="0"/>
    <s v="FACTURA"/>
    <s v="F209"/>
    <n v="2007003"/>
    <n v="12.71"/>
    <m/>
    <n v="2.2878000000000003"/>
    <m/>
    <n v="0"/>
    <n v="15"/>
    <m/>
    <m/>
    <m/>
    <m/>
    <s v="25138"/>
    <s v="63.1.1.3.02"/>
    <s v="Peaje 25138"/>
    <x v="8"/>
  </r>
  <r>
    <s v="07/08/2025"/>
    <x v="2"/>
    <s v="001"/>
    <s v="08-000159"/>
    <x v="1"/>
    <s v="91.06.02.04"/>
    <s v="VBB_840"/>
    <s v="Peaje 25136"/>
    <s v="20550372640"/>
    <s v="RUTAS DE LIMA S.A.C."/>
    <x v="0"/>
    <s v="FACTURA"/>
    <s v="F207"/>
    <n v="1186401"/>
    <n v="12.71"/>
    <m/>
    <n v="2.2878000000000003"/>
    <m/>
    <n v="0"/>
    <n v="15"/>
    <m/>
    <m/>
    <m/>
    <m/>
    <s v="25136"/>
    <s v="63.1.1.3.02"/>
    <s v="Peaje 25136"/>
    <x v="8"/>
  </r>
  <r>
    <s v="07/08/2025"/>
    <x v="2"/>
    <s v="001"/>
    <s v="08-000160"/>
    <x v="1"/>
    <s v="91.06.02.04"/>
    <s v="VBB_840"/>
    <s v="Peaje 25137"/>
    <s v="20550372640"/>
    <s v="RUTAS DE LIMA S.A.C."/>
    <x v="0"/>
    <s v="FACTURA"/>
    <s v="F603"/>
    <n v="3078270"/>
    <n v="12.71"/>
    <m/>
    <n v="2.2878000000000003"/>
    <m/>
    <n v="0"/>
    <n v="15"/>
    <m/>
    <m/>
    <m/>
    <m/>
    <s v="25137"/>
    <s v="63.1.1.3.02"/>
    <s v="Peaje 25137"/>
    <x v="8"/>
  </r>
  <r>
    <s v="08/08/2025"/>
    <x v="2"/>
    <s v="001"/>
    <s v="08-000161"/>
    <x v="1"/>
    <s v="91.06.02.04"/>
    <s v="VBB_840"/>
    <s v="Peaje 25139"/>
    <s v="20550372640"/>
    <s v="RUTAS DE LIMA S.A.C."/>
    <x v="0"/>
    <s v="FACTURA"/>
    <s v="F600"/>
    <n v="612240"/>
    <n v="12.71"/>
    <m/>
    <n v="2.2878000000000003"/>
    <m/>
    <n v="0"/>
    <n v="15"/>
    <m/>
    <m/>
    <m/>
    <m/>
    <s v="25139"/>
    <s v="63.1.1.3.02"/>
    <s v="Peaje 25139"/>
    <x v="8"/>
  </r>
  <r>
    <s v="12/08/2025"/>
    <x v="2"/>
    <s v="001"/>
    <s v="08-000162"/>
    <x v="1"/>
    <s v="91.06.02.03"/>
    <s v="BKL_739"/>
    <s v="Balanza 25147"/>
    <s v="20259858934"/>
    <s v="COMERCIALIZACION Y SERVICIOS EL EDEN S.A.C."/>
    <x v="0"/>
    <s v="FACTURA"/>
    <s v="FE02"/>
    <n v="17313"/>
    <n v="16.95"/>
    <m/>
    <n v="3.0509999999999997"/>
    <m/>
    <n v="0"/>
    <n v="20"/>
    <m/>
    <m/>
    <m/>
    <m/>
    <s v="25147"/>
    <s v="63.1.1.7.02"/>
    <s v="Balanza 25147"/>
    <x v="1"/>
  </r>
  <r>
    <s v="12/08/2025"/>
    <x v="2"/>
    <s v="001"/>
    <s v="08-000163"/>
    <x v="1"/>
    <s v="91.06.02.03"/>
    <s v="BKL_739"/>
    <s v="Peaje 25148"/>
    <s v="20259858934"/>
    <s v="COMERCIALIZACION Y SERVICIOS EL EDEN S.A.C."/>
    <x v="0"/>
    <s v="FACTURA"/>
    <s v="FE02"/>
    <n v="17308"/>
    <n v="16.95"/>
    <m/>
    <n v="3.0509999999999997"/>
    <m/>
    <n v="0"/>
    <n v="20"/>
    <m/>
    <m/>
    <m/>
    <m/>
    <s v="25148"/>
    <s v="63.1.1.7.02"/>
    <s v="Peaje 25148"/>
    <x v="1"/>
  </r>
  <r>
    <s v="11/08/2025"/>
    <x v="2"/>
    <s v="001"/>
    <s v="08-000164"/>
    <x v="1"/>
    <s v="91.06.02.02"/>
    <s v="BKK_849"/>
    <s v="Balanza 25120"/>
    <s v="20124952850"/>
    <s v="ALIMENTOS Y SERVICIOS AGROPECUARIOS SRL."/>
    <x v="0"/>
    <s v="FACTURA"/>
    <s v="F002"/>
    <n v="135367"/>
    <n v="8.4700000000000006"/>
    <m/>
    <n v="1.5246"/>
    <m/>
    <n v="0"/>
    <n v="10"/>
    <m/>
    <m/>
    <m/>
    <m/>
    <s v="25120"/>
    <s v="63.1.1.7.01"/>
    <s v="Balanza 25120"/>
    <x v="11"/>
  </r>
  <r>
    <s v="11/08/2025"/>
    <x v="2"/>
    <s v="001"/>
    <s v="08-000165"/>
    <x v="1"/>
    <s v="91.06.02.02"/>
    <s v="BKK_849"/>
    <s v="Balanza 25119"/>
    <s v="20612112500"/>
    <s v="RECICLADORA LAS LOMAS E.I.R.L."/>
    <x v="0"/>
    <s v="FACTURA"/>
    <s v="FT01"/>
    <n v="2108"/>
    <n v="8.4700000000000006"/>
    <m/>
    <n v="1.5246"/>
    <m/>
    <n v="0"/>
    <n v="10"/>
    <m/>
    <m/>
    <m/>
    <m/>
    <s v="25119"/>
    <s v="63.1.1.7.02"/>
    <s v="Balanza 25119"/>
    <x v="1"/>
  </r>
  <r>
    <s v="13/08/2025"/>
    <x v="2"/>
    <s v="001"/>
    <s v="08-000166"/>
    <x v="1"/>
    <s v="91.06.02.03"/>
    <s v="BKL_739"/>
    <s v="Peaje 25155"/>
    <s v="20517252558"/>
    <s v="CONCESIONARIA VIAL DEL SUR S.A.- COVISUR S.A."/>
    <x v="0"/>
    <s v="FACTURA"/>
    <s v="F213"/>
    <n v="1831368"/>
    <n v="6.78"/>
    <m/>
    <n v="1.2203999999999999"/>
    <m/>
    <n v="0"/>
    <n v="8"/>
    <m/>
    <m/>
    <m/>
    <m/>
    <s v="25155"/>
    <s v="63.1.1.3.03"/>
    <s v="Peaje 25155"/>
    <x v="7"/>
  </r>
  <r>
    <s v="13/08/2025"/>
    <x v="2"/>
    <s v="001"/>
    <s v="08-000167"/>
    <x v="1"/>
    <s v="91.06.02.03"/>
    <s v="BKL_739"/>
    <s v="Peaje 25154"/>
    <s v="20517252558"/>
    <s v="CONCESIONARIA VIAL DEL SUR S.A.- COVISUR S.A."/>
    <x v="0"/>
    <s v="FACTURA"/>
    <s v="F212"/>
    <n v="1810630"/>
    <n v="6.78"/>
    <m/>
    <n v="1.2203999999999999"/>
    <m/>
    <n v="0"/>
    <n v="8"/>
    <m/>
    <m/>
    <m/>
    <m/>
    <s v="25154"/>
    <s v="63.1.1.3.03"/>
    <s v="Peaje 25154"/>
    <x v="7"/>
  </r>
  <r>
    <s v="12/08/2025"/>
    <x v="2"/>
    <s v="001"/>
    <s v="08-000168"/>
    <x v="1"/>
    <s v="91.06.02.03"/>
    <s v="BKL_739"/>
    <s v="Peaje 25146"/>
    <s v="20517252558"/>
    <s v="CONCESIONARIA VIAL DEL SUR S.A.- COVISUR S.A."/>
    <x v="0"/>
    <s v="FACTURA"/>
    <s v="F213"/>
    <n v="1830318"/>
    <n v="6.78"/>
    <m/>
    <n v="1.2203999999999999"/>
    <m/>
    <n v="0"/>
    <n v="8"/>
    <m/>
    <m/>
    <m/>
    <m/>
    <s v="25146"/>
    <s v="63.1.1.3.03"/>
    <s v="Peaje 25146"/>
    <x v="7"/>
  </r>
  <r>
    <s v="12/08/2025"/>
    <x v="2"/>
    <s v="001"/>
    <s v="08-000169"/>
    <x v="1"/>
    <s v="91.06.02.03"/>
    <s v="BKL_739"/>
    <s v="Peaje 25145"/>
    <s v="20517252558"/>
    <s v="CONCESIONARIA VIAL DEL SUR S.A.- COVISUR S.A."/>
    <x v="0"/>
    <s v="FACTURA"/>
    <s v="F212"/>
    <n v="1809640"/>
    <n v="6.78"/>
    <m/>
    <n v="1.2203999999999999"/>
    <m/>
    <n v="0"/>
    <n v="8"/>
    <m/>
    <m/>
    <m/>
    <m/>
    <s v="25145"/>
    <s v="63.1.1.3.03"/>
    <s v="Peaje 25145"/>
    <x v="7"/>
  </r>
  <r>
    <s v="11/07/2025"/>
    <x v="2"/>
    <s v="001"/>
    <s v="08-000170"/>
    <x v="0"/>
    <m/>
    <m/>
    <m/>
    <s v="20454537743"/>
    <s v="AUTOMOTRIZ CISNE S.R.L."/>
    <x v="4"/>
    <s v="NOTA DE CREDITO"/>
    <s v="F002"/>
    <s v="1229"/>
    <n v="-64870.04"/>
    <m/>
    <n v="-11676.6"/>
    <m/>
    <n v="0"/>
    <n v="-76546.64"/>
    <m/>
    <m/>
    <s v="001"/>
    <s v="F002"/>
    <s v="2276"/>
    <m/>
    <m/>
    <x v="0"/>
  </r>
  <r>
    <s v="07/08/2025"/>
    <x v="2"/>
    <s v="001"/>
    <s v="08-000171"/>
    <x v="1"/>
    <s v="91.06.02.08"/>
    <s v="Montacarga"/>
    <s v="Gasolina (Montacarga)"/>
    <s v="20602978274"/>
    <s v="ESTACION DE SERVICIOS MI GRIFO S.R.L. - ESTACION MG S.R.L."/>
    <x v="0"/>
    <s v="FACTURA"/>
    <s v="F135"/>
    <n v="8620"/>
    <n v="194.92"/>
    <m/>
    <n v="35.085599999999999"/>
    <m/>
    <n v="0"/>
    <n v="230.01"/>
    <m/>
    <m/>
    <m/>
    <m/>
    <m/>
    <s v="65.6.1.1.01"/>
    <s v="Gasolina (Montacarga)"/>
    <x v="12"/>
  </r>
  <r>
    <s v="07/08/2025"/>
    <x v="2"/>
    <s v="001"/>
    <s v="08-000172"/>
    <x v="1"/>
    <s v="91.06.02.08"/>
    <s v="Montacarga"/>
    <s v="Gasolina (Montacarga)"/>
    <s v="20602978274"/>
    <s v="ESTACION DE SERVICIOS MI GRIFO S.R.L. - ESTACION MG S.R.L."/>
    <x v="0"/>
    <s v="FACTURA"/>
    <s v="F136"/>
    <n v="11207"/>
    <n v="222.81"/>
    <m/>
    <n v="40.105800000000002"/>
    <m/>
    <n v="0"/>
    <n v="262.91000000000003"/>
    <m/>
    <m/>
    <m/>
    <m/>
    <m/>
    <s v="65.6.1.1.01"/>
    <s v="Gasolina (Montacarga)"/>
    <x v="12"/>
  </r>
  <r>
    <s v="19/08/2025"/>
    <x v="2"/>
    <s v="001"/>
    <s v="08-000173"/>
    <x v="2"/>
    <s v="95.01"/>
    <s v="Comercial"/>
    <s v="Bandeja _ Otros gastos RQ.COM.372"/>
    <s v="20454029918"/>
    <s v="CCALLPA S.A.C."/>
    <x v="0"/>
    <s v="FACTURA"/>
    <s v="F001"/>
    <n v="1866"/>
    <n v="189.03"/>
    <m/>
    <n v="34.025399999999998"/>
    <m/>
    <n v="0"/>
    <n v="223.06"/>
    <m/>
    <m/>
    <m/>
    <m/>
    <m/>
    <s v="65.9.9.9.01"/>
    <s v="Bandeja _ Otros gastos RQ.COM.372"/>
    <x v="28"/>
  </r>
  <r>
    <s v="06/08/2025"/>
    <x v="2"/>
    <s v="001"/>
    <s v="08-000174"/>
    <x v="0"/>
    <s v="94.01"/>
    <s v="Administracion"/>
    <s v="Lineas Corporativas"/>
    <s v="20467534026"/>
    <s v="AMERICA MOVIL PERU S.A.C."/>
    <x v="3"/>
    <s v="RECIBO POR SERV. PUBLICOS"/>
    <s v="SB01"/>
    <n v="559624262"/>
    <n v="879.12"/>
    <m/>
    <n v="158.24160000000001"/>
    <m/>
    <n v="0"/>
    <n v="1037.3599999999999"/>
    <m/>
    <m/>
    <m/>
    <m/>
    <m/>
    <s v="63.6.4.2"/>
    <s v="Lineas Corporativas"/>
    <x v="0"/>
  </r>
  <r>
    <s v="01/08/2025"/>
    <x v="2"/>
    <s v="001"/>
    <s v="08-000175"/>
    <x v="0"/>
    <s v="94.01"/>
    <s v="Administracion"/>
    <s v="Vigilancia (Cámaras de Seguridad)"/>
    <s v="20549068201"/>
    <s v="VERISURE PERU S.A.C."/>
    <x v="0"/>
    <s v="FACTURA"/>
    <s v="FE28"/>
    <n v="15607"/>
    <n v="166.54"/>
    <m/>
    <n v="29.977199999999996"/>
    <m/>
    <n v="0"/>
    <n v="196.52"/>
    <m/>
    <m/>
    <m/>
    <m/>
    <m/>
    <s v="63.6.9.1"/>
    <s v="Vigilancia (Cámaras de Seguridad)"/>
    <x v="0"/>
  </r>
  <r>
    <s v="18/08/2025"/>
    <x v="2"/>
    <s v="001"/>
    <s v="08-000176"/>
    <x v="1"/>
    <s v="91.06.01"/>
    <s v="Operaciones"/>
    <s v="Envío de documentación / paquetería"/>
    <s v="20558053691"/>
    <s v="GRUPO GARCIA TOLEDO S.A.C"/>
    <x v="0"/>
    <s v="FACTURA"/>
    <s v="F553"/>
    <n v="5507"/>
    <n v="16.95"/>
    <m/>
    <n v="3.0509999999999997"/>
    <m/>
    <n v="0"/>
    <n v="20"/>
    <m/>
    <m/>
    <m/>
    <m/>
    <m/>
    <s v="63.1.2.1.01"/>
    <s v="Envío de documentación / paquetería"/>
    <x v="2"/>
  </r>
  <r>
    <s v="16/07/2025"/>
    <x v="2"/>
    <s v="001"/>
    <s v="08-000177"/>
    <x v="0"/>
    <m/>
    <m/>
    <m/>
    <s v="20454819137"/>
    <s v="SOLUCIONES DE INFORMACION NEXTSOFT S.A.C."/>
    <x v="0"/>
    <s v="FACTURA"/>
    <s v="F001"/>
    <s v="8006"/>
    <n v="975"/>
    <m/>
    <n v="175.5"/>
    <m/>
    <n v="0"/>
    <n v="1150.5"/>
    <m/>
    <m/>
    <m/>
    <m/>
    <m/>
    <m/>
    <m/>
    <x v="0"/>
  </r>
  <r>
    <s v="15/08/2025"/>
    <x v="2"/>
    <s v="001"/>
    <s v="08-000178"/>
    <x v="1"/>
    <s v="91.06.02.02"/>
    <s v="BKK_849"/>
    <s v="Combustible"/>
    <s v="20127765279"/>
    <s v="COESTI S.A."/>
    <x v="0"/>
    <s v="FACTURA"/>
    <s v="F865"/>
    <n v="178193"/>
    <n v="380.09"/>
    <m/>
    <n v="68.416199999999989"/>
    <m/>
    <n v="0"/>
    <n v="1231.77"/>
    <m/>
    <m/>
    <m/>
    <m/>
    <m/>
    <s v="65.6.1.1.01"/>
    <s v="Combustible"/>
    <x v="12"/>
  </r>
  <r>
    <s v="15/08/2025"/>
    <x v="2"/>
    <s v="001"/>
    <s v="08-000178"/>
    <x v="1"/>
    <s v="91.06.02.03"/>
    <s v="BKL_739"/>
    <s v="Combustible"/>
    <s v="20127765279"/>
    <s v="COESTI S.A."/>
    <x v="0"/>
    <s v="FACTURA"/>
    <s v="F865"/>
    <n v="178193"/>
    <n v="663.78"/>
    <m/>
    <n v="119.48039999999999"/>
    <m/>
    <n v="0"/>
    <n v="1231.77"/>
    <m/>
    <m/>
    <m/>
    <m/>
    <m/>
    <s v="65.6.1.1.01"/>
    <s v="Combustible"/>
    <x v="12"/>
  </r>
  <r>
    <s v="08/08/2025"/>
    <x v="2"/>
    <s v="001"/>
    <s v="08-000179"/>
    <x v="1"/>
    <s v="91.06.02.01"/>
    <s v="V9R_903"/>
    <s v="Combustible"/>
    <s v="20127765279"/>
    <s v="COESTI S.A."/>
    <x v="0"/>
    <s v="FACTURA"/>
    <s v="F865"/>
    <n v="177266"/>
    <n v="918.99"/>
    <m/>
    <n v="165.41819999999998"/>
    <m/>
    <n v="0"/>
    <n v="1855.04"/>
    <m/>
    <m/>
    <m/>
    <m/>
    <m/>
    <s v="65.6.1.1.01"/>
    <s v="Combustible"/>
    <x v="12"/>
  </r>
  <r>
    <s v="08/08/2025"/>
    <x v="2"/>
    <s v="001"/>
    <s v="08-000179"/>
    <x v="1"/>
    <s v="91.06.02.02"/>
    <s v="BKK_849"/>
    <s v="Combustible"/>
    <s v="20127765279"/>
    <s v="COESTI S.A."/>
    <x v="0"/>
    <s v="FACTURA"/>
    <s v="F865"/>
    <n v="177266"/>
    <n v="653.08000000000004"/>
    <m/>
    <n v="117.5544"/>
    <m/>
    <n v="0"/>
    <n v="1855.04"/>
    <m/>
    <m/>
    <m/>
    <m/>
    <m/>
    <s v="65.6.1.1.01"/>
    <s v="Combustible"/>
    <x v="12"/>
  </r>
  <r>
    <s v="08/08/2025"/>
    <x v="2"/>
    <s v="001"/>
    <s v="08-000180"/>
    <x v="1"/>
    <s v="91.06.02.04"/>
    <s v="VBB_840"/>
    <s v="Combustible"/>
    <s v="20127765279"/>
    <s v="COESTI S.A."/>
    <x v="0"/>
    <s v="FACTURA"/>
    <s v="F865"/>
    <n v="177226"/>
    <n v="452.91"/>
    <m/>
    <n v="81.523800000000008"/>
    <m/>
    <n v="0"/>
    <n v="1134.47"/>
    <m/>
    <m/>
    <m/>
    <m/>
    <m/>
    <s v="65.6.1.1.01"/>
    <s v="Combustible"/>
    <x v="12"/>
  </r>
  <r>
    <s v="08/08/2025"/>
    <x v="2"/>
    <s v="001"/>
    <s v="08-000180"/>
    <x v="1"/>
    <s v="91.06.02.06"/>
    <s v="VBW_889"/>
    <s v="Combustible"/>
    <s v="20127765279"/>
    <s v="COESTI S.A."/>
    <x v="0"/>
    <s v="FACTURA"/>
    <s v="F865"/>
    <n v="177226"/>
    <n v="144.94999999999999"/>
    <m/>
    <n v="26.090999999999998"/>
    <m/>
    <n v="0"/>
    <n v="1134.47"/>
    <m/>
    <m/>
    <m/>
    <m/>
    <m/>
    <s v="65.6.1.1.01"/>
    <s v="Combustible"/>
    <x v="12"/>
  </r>
  <r>
    <s v="08/08/2025"/>
    <x v="2"/>
    <s v="001"/>
    <s v="08-000180"/>
    <x v="1"/>
    <s v="91.06.02.07"/>
    <s v="VDJ_872"/>
    <s v="Combustible"/>
    <s v="20127765279"/>
    <s v="COESTI S.A."/>
    <x v="0"/>
    <s v="FACTURA"/>
    <s v="F865"/>
    <n v="177226"/>
    <n v="363.56"/>
    <m/>
    <n v="65.440799999999996"/>
    <m/>
    <n v="0"/>
    <n v="1134.47"/>
    <m/>
    <m/>
    <m/>
    <m/>
    <m/>
    <s v="65.6.1.1.01"/>
    <s v="Combustible"/>
    <x v="12"/>
  </r>
  <r>
    <s v="15/08/2025"/>
    <x v="2"/>
    <s v="001"/>
    <s v="08-000181"/>
    <x v="1"/>
    <s v="91.06.02.04"/>
    <s v="VBB_840"/>
    <s v="Combustible"/>
    <s v="20127765279"/>
    <s v="COESTI S.A."/>
    <x v="0"/>
    <s v="FACTURA"/>
    <s v="F864"/>
    <n v="153202"/>
    <n v="406.22"/>
    <m/>
    <n v="73.119600000000005"/>
    <m/>
    <n v="0"/>
    <n v="1039.3800000000001"/>
    <m/>
    <m/>
    <m/>
    <m/>
    <m/>
    <s v="65.6.1.1.01"/>
    <s v="Combustible"/>
    <x v="12"/>
  </r>
  <r>
    <s v="15/08/2025"/>
    <x v="2"/>
    <s v="001"/>
    <s v="08-000181"/>
    <x v="1"/>
    <s v="91.06.02.06"/>
    <s v="VBW_889"/>
    <s v="Combustible"/>
    <s v="20127765279"/>
    <s v="COESTI S.A."/>
    <x v="0"/>
    <s v="FACTURA"/>
    <s v="F864"/>
    <n v="153202"/>
    <n v="217.62"/>
    <m/>
    <n v="39.171599999999998"/>
    <m/>
    <n v="0"/>
    <n v="1039.3800000000001"/>
    <m/>
    <m/>
    <m/>
    <m/>
    <m/>
    <s v="65.6.1.1.01"/>
    <s v="Combustible"/>
    <x v="12"/>
  </r>
  <r>
    <s v="15/08/2025"/>
    <x v="2"/>
    <s v="001"/>
    <s v="08-000181"/>
    <x v="1"/>
    <s v="91.06.02.07"/>
    <s v="VDJ_872"/>
    <s v="Combustible"/>
    <s v="20127765279"/>
    <s v="COESTI S.A."/>
    <x v="0"/>
    <s v="FACTURA"/>
    <s v="F864"/>
    <n v="153202"/>
    <n v="256.99"/>
    <m/>
    <n v="46.258200000000002"/>
    <m/>
    <n v="0"/>
    <n v="1039.3800000000001"/>
    <m/>
    <m/>
    <m/>
    <m/>
    <m/>
    <s v="65.6.1.1.01"/>
    <s v="Combustible"/>
    <x v="12"/>
  </r>
  <r>
    <s v="14/08/2025"/>
    <x v="2"/>
    <s v="001"/>
    <s v="08-000182"/>
    <x v="1"/>
    <s v="91.06.02.08"/>
    <s v="Montacarga"/>
    <s v="Alquiler de montacarga RQ.OPE.1367"/>
    <s v="10425371652"/>
    <s v="PALOMINO DAVILA MARCOS ANTONIO"/>
    <x v="0"/>
    <s v="FACTURA"/>
    <s v="E001"/>
    <n v="5270"/>
    <n v="50"/>
    <m/>
    <n v="9"/>
    <m/>
    <n v="0"/>
    <n v="59"/>
    <m/>
    <m/>
    <m/>
    <m/>
    <m/>
    <s v="63.5.4.1.03"/>
    <s v="Alquiler de montacarga RQ.OPE.1367"/>
    <x v="17"/>
  </r>
  <r>
    <s v="13/08/2025"/>
    <x v="2"/>
    <s v="001"/>
    <s v="08-000183"/>
    <x v="1"/>
    <s v="91.06.01"/>
    <s v="Operaciones"/>
    <s v="Transporte de carga RQ.OPE.1343 OS 005_704"/>
    <s v="10410687491"/>
    <s v="TORRES CARDENAS MARIA LIDIA"/>
    <x v="0"/>
    <s v="FACTURA"/>
    <s v="E001"/>
    <n v="59"/>
    <n v="450"/>
    <m/>
    <n v="81"/>
    <m/>
    <n v="0"/>
    <n v="531"/>
    <m/>
    <m/>
    <m/>
    <m/>
    <m/>
    <s v="63.1.1.1.02"/>
    <s v="Transporte de carga RQ.OPE.1343 OS 005_704"/>
    <x v="13"/>
  </r>
  <r>
    <s v="11/08/2025"/>
    <x v="2"/>
    <s v="001"/>
    <s v="08-000184"/>
    <x v="1"/>
    <s v="91.06.02.08"/>
    <s v="Montacarga"/>
    <s v="Alquiler de montacarga RQ.OPE.1346"/>
    <s v="20609764261"/>
    <s v="MGM MONTACARGAS &amp; GRUAS S.A.C."/>
    <x v="0"/>
    <s v="FACTURA"/>
    <s v="E001"/>
    <n v="2460"/>
    <n v="90"/>
    <m/>
    <n v="16.2"/>
    <m/>
    <n v="0"/>
    <n v="106.2"/>
    <m/>
    <m/>
    <m/>
    <m/>
    <m/>
    <s v="63.5.4.1.01"/>
    <s v="Alquiler de montacarga RQ.OPE.1346"/>
    <x v="16"/>
  </r>
  <r>
    <s v="11/08/2025"/>
    <x v="2"/>
    <s v="001"/>
    <s v="08-000185"/>
    <x v="1"/>
    <s v="91.06.02.08"/>
    <s v="Montacarga"/>
    <s v="Alquiler de montacarga RQ.OPE.1354"/>
    <s v="20609764261"/>
    <s v="MGM MONTACARGAS &amp; GRUAS S.A.C."/>
    <x v="0"/>
    <s v="FACTURA"/>
    <s v="E001"/>
    <n v="2468"/>
    <n v="80"/>
    <m/>
    <n v="14.399999999999999"/>
    <m/>
    <n v="0"/>
    <n v="94.4"/>
    <m/>
    <m/>
    <m/>
    <m/>
    <m/>
    <s v="63.5.4.1.01"/>
    <s v="Alquiler de montacarga RQ.OPE.1354"/>
    <x v="16"/>
  </r>
  <r>
    <s v="11/08/2025"/>
    <x v="2"/>
    <s v="001"/>
    <s v="08-000186"/>
    <x v="1"/>
    <s v="91.06.02.08"/>
    <s v="Montacarga"/>
    <s v="Alquiler de montacarga RQ.OPE.1350"/>
    <s v="20609764261"/>
    <s v="MGM MONTACARGAS &amp; GRUAS S.A.C."/>
    <x v="0"/>
    <s v="FACTURA"/>
    <s v="E001"/>
    <n v="2462"/>
    <n v="60"/>
    <m/>
    <n v="10.799999999999999"/>
    <m/>
    <n v="0"/>
    <n v="70.8"/>
    <m/>
    <m/>
    <m/>
    <m/>
    <m/>
    <s v="63.5.4.1.01"/>
    <s v="Alquiler de montacarga RQ.OPE.1350"/>
    <x v="16"/>
  </r>
  <r>
    <s v="11/08/2025"/>
    <x v="2"/>
    <s v="001"/>
    <s v="08-000187"/>
    <x v="1"/>
    <s v="91.06.02.08"/>
    <s v="Montacarga"/>
    <s v="Alquiler de montacarga RQ.OPE.1347"/>
    <s v="20609764261"/>
    <s v="MGM MONTACARGAS &amp; GRUAS S.A.C."/>
    <x v="0"/>
    <s v="FACTURA"/>
    <s v="E001"/>
    <n v="2461"/>
    <n v="120"/>
    <m/>
    <n v="21.599999999999998"/>
    <m/>
    <n v="0"/>
    <n v="141.6"/>
    <m/>
    <m/>
    <m/>
    <m/>
    <m/>
    <s v="63.5.4.1.01"/>
    <s v="Alquiler de montacarga RQ.OPE.1347"/>
    <x v="16"/>
  </r>
  <r>
    <s v="14/08/2025"/>
    <x v="2"/>
    <s v="001"/>
    <s v="08-000188"/>
    <x v="1"/>
    <s v="91.06.02.02"/>
    <s v="BKK_849"/>
    <s v="Peaje 25188"/>
    <s v="20517252558"/>
    <s v="CONCESIONARIA VIAL DEL SUR S.A.- COVISUR S.A."/>
    <x v="0"/>
    <s v="FACTURA"/>
    <s v="F214"/>
    <n v="2144735"/>
    <n v="6.78"/>
    <m/>
    <n v="1.2203999999999999"/>
    <m/>
    <n v="0"/>
    <n v="8"/>
    <m/>
    <m/>
    <m/>
    <m/>
    <s v="25188"/>
    <s v="63.1.1.3.02"/>
    <s v="Peaje 25188"/>
    <x v="8"/>
  </r>
  <r>
    <s v="14/08/2025"/>
    <x v="2"/>
    <s v="001"/>
    <s v="08-000189"/>
    <x v="1"/>
    <s v="91.06.02.03"/>
    <s v="BKL_739"/>
    <s v="Balanza 25189"/>
    <s v="20124952850"/>
    <s v="ALIMENTOS Y SERVICIOS AGROPECUARIOS SRL."/>
    <x v="0"/>
    <s v="FACTURA"/>
    <s v="F002"/>
    <n v="135507"/>
    <n v="8.4700000000000006"/>
    <m/>
    <n v="1.5246"/>
    <m/>
    <n v="0"/>
    <n v="10"/>
    <m/>
    <m/>
    <m/>
    <m/>
    <s v="25189"/>
    <s v="63.1.1.7.01"/>
    <s v="Balanza 25189"/>
    <x v="11"/>
  </r>
  <r>
    <s v="18/08/2025"/>
    <x v="2"/>
    <s v="001"/>
    <s v="08-000190"/>
    <x v="1"/>
    <s v="91.06.02.03"/>
    <s v="BKL_739"/>
    <s v="Lavado 25218"/>
    <s v="10705628331"/>
    <s v="LARICO APAZA NANCY ROSSMARY"/>
    <x v="0"/>
    <s v="FACTURA"/>
    <s v="F001"/>
    <n v="19265"/>
    <n v="21.19"/>
    <m/>
    <n v="3.8142"/>
    <m/>
    <n v="0"/>
    <n v="25"/>
    <m/>
    <m/>
    <m/>
    <m/>
    <s v="25218"/>
    <s v="63.1.1.5.01"/>
    <s v="Lavado 25218"/>
    <x v="14"/>
  </r>
  <r>
    <s v="20/08/2025"/>
    <x v="2"/>
    <s v="001"/>
    <s v="08-000191"/>
    <x v="1"/>
    <s v="91.06.02.07"/>
    <s v="VDJ_872"/>
    <s v="Balanza 25207"/>
    <s v="20259858934"/>
    <s v="COMERCIALIZACION Y SERVICIOS EL EDEN S.A.C."/>
    <x v="0"/>
    <s v="FACTURA"/>
    <s v="FE02"/>
    <n v="17416"/>
    <n v="16.95"/>
    <m/>
    <n v="3.0509999999999997"/>
    <m/>
    <n v="0"/>
    <n v="20"/>
    <m/>
    <m/>
    <m/>
    <m/>
    <s v="25207"/>
    <s v="63.1.1.7.01"/>
    <s v="Balanza 25207"/>
    <x v="11"/>
  </r>
  <r>
    <s v="20/08/2025"/>
    <x v="2"/>
    <s v="001"/>
    <s v="08-000192"/>
    <x v="1"/>
    <s v="91.06.02.07"/>
    <s v="VDJ_872"/>
    <s v="Balanza 25206"/>
    <s v="20259858934"/>
    <s v="COMERCIALIZACION Y SERVICIOS EL EDEN S.A.C."/>
    <x v="0"/>
    <s v="FACTURA"/>
    <s v="FE02"/>
    <n v="17417"/>
    <n v="16.95"/>
    <m/>
    <n v="3.0509999999999997"/>
    <m/>
    <n v="0"/>
    <n v="20"/>
    <m/>
    <m/>
    <m/>
    <m/>
    <s v="252026"/>
    <s v="63.1.1.7.01"/>
    <s v="Balanza 25206"/>
    <x v="11"/>
  </r>
  <r>
    <s v="19/08/2025"/>
    <x v="2"/>
    <s v="001"/>
    <s v="08-000193"/>
    <x v="1"/>
    <s v="91.06.02.07"/>
    <s v="VDJ_872"/>
    <s v="Balanza 25192"/>
    <s v="20454058187"/>
    <s v="ZONA ESPECIAL DE DESARROLLO ZED MATARANI"/>
    <x v="0"/>
    <s v="FACTURA"/>
    <s v="F001"/>
    <n v="18193"/>
    <m/>
    <m/>
    <m/>
    <m/>
    <n v="11"/>
    <n v="11"/>
    <m/>
    <m/>
    <m/>
    <m/>
    <s v="25192"/>
    <s v="63.1.1.7.01"/>
    <s v="Balanza 25192"/>
    <x v="11"/>
  </r>
  <r>
    <s v="18/08/2025"/>
    <x v="2"/>
    <s v="001"/>
    <s v="08-000194"/>
    <x v="1"/>
    <s v="91.06.02.07"/>
    <s v="VDJ_872"/>
    <s v="Balanza 25168"/>
    <s v="20259858934"/>
    <s v="COMERCIALIZACION Y SERVICIOS EL EDEN S.A.C."/>
    <x v="0"/>
    <s v="FACTURA"/>
    <s v="FE02"/>
    <n v="17382"/>
    <n v="16.95"/>
    <m/>
    <n v="3.0509999999999997"/>
    <m/>
    <n v="0"/>
    <n v="20"/>
    <m/>
    <m/>
    <m/>
    <m/>
    <s v="25168"/>
    <s v="63.1.1.7.01"/>
    <s v="Balanza 25168"/>
    <x v="11"/>
  </r>
  <r>
    <s v="18/08/2025"/>
    <x v="2"/>
    <s v="001"/>
    <s v="08-000195"/>
    <x v="1"/>
    <s v="91.06.02.07"/>
    <s v="VDJ_872"/>
    <s v="Balanza 25169"/>
    <s v="20259858934"/>
    <s v="COMERCIALIZACION Y SERVICIOS EL EDEN S.A.C."/>
    <x v="0"/>
    <s v="FACTURA"/>
    <s v="FE02"/>
    <n v="17380"/>
    <n v="16.95"/>
    <m/>
    <n v="3.0509999999999997"/>
    <m/>
    <n v="0"/>
    <n v="20"/>
    <m/>
    <m/>
    <m/>
    <m/>
    <s v="25169"/>
    <s v="63.1.1.7.01"/>
    <s v="Balanza 25169"/>
    <x v="11"/>
  </r>
  <r>
    <s v="18/08/2025"/>
    <x v="2"/>
    <s v="001"/>
    <s v="08-000196"/>
    <x v="1"/>
    <s v="91.06.02.07"/>
    <s v="VDJ_872"/>
    <s v="Balanza 25171"/>
    <s v="20259858934"/>
    <s v="COMERCIALIZACION Y SERVICIOS EL EDEN S.A.C."/>
    <x v="0"/>
    <s v="FACTURA"/>
    <s v="FE02"/>
    <n v="17384"/>
    <n v="16.95"/>
    <m/>
    <n v="3.0509999999999997"/>
    <m/>
    <n v="0"/>
    <n v="20"/>
    <m/>
    <m/>
    <m/>
    <m/>
    <s v="25171"/>
    <s v="63.1.1.7.01"/>
    <s v="Balanza 25171"/>
    <x v="11"/>
  </r>
  <r>
    <s v="20/08/2025"/>
    <x v="2"/>
    <s v="001"/>
    <s v="08-000197"/>
    <x v="1"/>
    <s v="91.06.02.07"/>
    <s v="VDJ_872"/>
    <s v="Peaje 25209"/>
    <s v="20517252558"/>
    <s v="CONCESIONARIA VIAL DEL SUR S.A.- COVISUR S.A."/>
    <x v="0"/>
    <s v="FACTURA"/>
    <s v="F212"/>
    <n v="1816997"/>
    <n v="6.78"/>
    <m/>
    <n v="1.2203999999999999"/>
    <m/>
    <n v="0"/>
    <n v="8"/>
    <m/>
    <m/>
    <m/>
    <m/>
    <s v="25209"/>
    <s v="63.1.1.3.02"/>
    <s v="Peaje 25209"/>
    <x v="8"/>
  </r>
  <r>
    <s v="20/08/2025"/>
    <x v="2"/>
    <s v="001"/>
    <s v="08-000198"/>
    <x v="1"/>
    <s v="91.06.02.07"/>
    <s v="VDJ_872"/>
    <s v="Balanza 25208"/>
    <s v="20124952850"/>
    <s v="ALIMENTOS Y SERVICIOS AGROPECUARIOS SRL."/>
    <x v="0"/>
    <s v="FACTURA"/>
    <s v="F002"/>
    <n v="135737"/>
    <n v="8.4700000000000006"/>
    <m/>
    <n v="1.5246"/>
    <m/>
    <n v="0"/>
    <n v="10"/>
    <m/>
    <m/>
    <m/>
    <m/>
    <s v="25208"/>
    <s v="63.1.1.7.01"/>
    <s v="Balanza 25208"/>
    <x v="11"/>
  </r>
  <r>
    <s v="14/08/2025"/>
    <x v="2"/>
    <s v="001"/>
    <s v="08-000199"/>
    <x v="1"/>
    <s v="91.06.02.07"/>
    <s v="VDJ_872"/>
    <s v="Peaje 25159"/>
    <s v="20517252558"/>
    <s v="CONCESIONARIA VIAL DEL SUR S.A.- COVISUR S.A."/>
    <x v="0"/>
    <s v="FACTURA"/>
    <s v="F112"/>
    <n v="496564"/>
    <n v="6.78"/>
    <m/>
    <n v="1.2203999999999999"/>
    <m/>
    <n v="0"/>
    <n v="8"/>
    <m/>
    <m/>
    <m/>
    <m/>
    <s v="25459"/>
    <s v="63.1.1.3.02"/>
    <s v="Peaje 25159"/>
    <x v="8"/>
  </r>
  <r>
    <s v="14/08/2025"/>
    <x v="2"/>
    <s v="001"/>
    <s v="08-000200"/>
    <x v="1"/>
    <s v="91.06.02.07"/>
    <s v="VDJ_872"/>
    <s v="Peaje 25158"/>
    <s v="20517252558"/>
    <s v="CONCESIONARIA VIAL DEL SUR S.A.- COVISUR S.A."/>
    <x v="0"/>
    <s v="FACTURA"/>
    <s v="F212"/>
    <n v="1811673"/>
    <n v="6.78"/>
    <m/>
    <n v="1.2203999999999999"/>
    <m/>
    <n v="0"/>
    <n v="8"/>
    <m/>
    <m/>
    <m/>
    <m/>
    <s v="25158"/>
    <s v="63.1.1.3.02"/>
    <s v="Peaje 25158"/>
    <x v="8"/>
  </r>
  <r>
    <s v="18/08/2025"/>
    <x v="2"/>
    <s v="001"/>
    <s v="08-000201"/>
    <x v="1"/>
    <s v="91.06.02.07"/>
    <s v="VDJ_872"/>
    <s v="Peaje 25175"/>
    <s v="20517252558"/>
    <s v="CONCESIONARIA VIAL DEL SUR S.A.- COVISUR S.A."/>
    <x v="0"/>
    <s v="FACTURA"/>
    <s v="F214"/>
    <n v="2149036"/>
    <n v="6.78"/>
    <m/>
    <n v="1.2203999999999999"/>
    <m/>
    <n v="0"/>
    <n v="8"/>
    <m/>
    <m/>
    <m/>
    <m/>
    <s v="25175"/>
    <s v="63.1.1.3.02"/>
    <s v="Peaje 25175"/>
    <x v="8"/>
  </r>
  <r>
    <s v="18/08/2025"/>
    <x v="2"/>
    <s v="001"/>
    <s v="08-000202"/>
    <x v="1"/>
    <s v="91.06.02.07"/>
    <s v="VDJ_872"/>
    <s v="Peaje 25174"/>
    <s v="20517252558"/>
    <s v="CONCESIONARIA VIAL DEL SUR S.A.- COVISUR S.A."/>
    <x v="0"/>
    <s v="FACTURA"/>
    <s v="F211"/>
    <n v="2439270"/>
    <n v="6.78"/>
    <m/>
    <n v="1.2203999999999999"/>
    <m/>
    <n v="0"/>
    <n v="8"/>
    <m/>
    <m/>
    <m/>
    <m/>
    <s v="25174"/>
    <s v="63.1.1.3.02"/>
    <s v="Peaje 25174"/>
    <x v="8"/>
  </r>
  <r>
    <s v="19/08/2025"/>
    <x v="2"/>
    <s v="001"/>
    <s v="08-000203"/>
    <x v="1"/>
    <s v="91.06.02.07"/>
    <s v="VDJ_872"/>
    <s v="Peaje 25191"/>
    <s v="20517252558"/>
    <s v="CONCESIONARIA VIAL DEL SUR S.A.- COVISUR S.A."/>
    <x v="0"/>
    <s v="FACTURA"/>
    <s v="F214"/>
    <n v="2150067"/>
    <n v="6.78"/>
    <m/>
    <n v="1.2203999999999999"/>
    <m/>
    <n v="0"/>
    <n v="8"/>
    <m/>
    <m/>
    <m/>
    <m/>
    <s v="25191"/>
    <s v="63.1.1.3.02"/>
    <s v="Peaje 25191"/>
    <x v="8"/>
  </r>
  <r>
    <s v="19/08/2025"/>
    <x v="2"/>
    <s v="001"/>
    <s v="08-000204"/>
    <x v="1"/>
    <s v="91.06.02.07"/>
    <s v="VDJ_872"/>
    <s v="Peaje 25190"/>
    <s v="20517252558"/>
    <s v="CONCESIONARIA VIAL DEL SUR S.A.- COVISUR S.A."/>
    <x v="0"/>
    <s v="FACTURA"/>
    <s v="F113"/>
    <n v="399997"/>
    <n v="6.78"/>
    <m/>
    <n v="1.2203999999999999"/>
    <m/>
    <n v="0"/>
    <n v="8"/>
    <m/>
    <m/>
    <m/>
    <m/>
    <s v="25190"/>
    <s v="63.1.1.3.02"/>
    <s v="Peaje 25190"/>
    <x v="8"/>
  </r>
  <r>
    <s v="19/08/2025"/>
    <x v="2"/>
    <s v="001"/>
    <s v="08-000205"/>
    <x v="1"/>
    <s v="91.06.02.07"/>
    <s v="VDJ_872"/>
    <s v="Peaje 25184"/>
    <s v="20517252558"/>
    <s v="CONCESIONARIA VIAL DEL SUR S.A.- COVISUR S.A."/>
    <x v="0"/>
    <s v="FACTURA"/>
    <s v="F111"/>
    <n v="1016250"/>
    <n v="6.78"/>
    <m/>
    <n v="1.2203999999999999"/>
    <m/>
    <n v="0"/>
    <n v="8"/>
    <m/>
    <m/>
    <m/>
    <m/>
    <s v="25184"/>
    <s v="63.1.1.3.02"/>
    <s v="Peaje 25184"/>
    <x v="8"/>
  </r>
  <r>
    <s v="19/08/2025"/>
    <x v="2"/>
    <s v="001"/>
    <s v="08-000206"/>
    <x v="1"/>
    <s v="91.06.02.07"/>
    <s v="VDJ_872"/>
    <s v="Peaje 25183"/>
    <s v="20517252558"/>
    <s v="CONCESIONARIA VIAL DEL SUR S.A.- COVISUR S.A."/>
    <x v="0"/>
    <s v="FACTURA"/>
    <s v="F212"/>
    <n v="1815922"/>
    <n v="6.78"/>
    <m/>
    <n v="1.2203999999999999"/>
    <m/>
    <n v="0"/>
    <n v="8"/>
    <m/>
    <m/>
    <m/>
    <m/>
    <s v="25183"/>
    <s v="63.1.1.3.02"/>
    <s v="Peaje 25183"/>
    <x v="8"/>
  </r>
  <r>
    <s v="18/08/2025"/>
    <x v="2"/>
    <s v="001"/>
    <s v="08-000207"/>
    <x v="1"/>
    <s v="91.06.02.03"/>
    <s v="BKL_739"/>
    <s v="Peaje 25187"/>
    <s v="20517252558"/>
    <s v="CONCESIONARIA VIAL DEL SUR S.A.- COVISUR S.A."/>
    <x v="0"/>
    <s v="FACTURA"/>
    <s v="F214"/>
    <n v="2148948"/>
    <n v="6.78"/>
    <m/>
    <n v="1.2203999999999999"/>
    <m/>
    <n v="0"/>
    <n v="8"/>
    <m/>
    <m/>
    <m/>
    <m/>
    <s v="25187"/>
    <s v="63.1.1.3.03"/>
    <s v="Peaje 25187"/>
    <x v="7"/>
  </r>
  <r>
    <s v="14/08/2025"/>
    <x v="2"/>
    <s v="001"/>
    <s v="08-000208"/>
    <x v="1"/>
    <s v="91.06.02.01"/>
    <s v="V9R_903"/>
    <s v="Balanza 25162"/>
    <s v="20259858934"/>
    <s v="COMERCIALIZACION Y SERVICIOS EL EDEN S.A.C."/>
    <x v="0"/>
    <s v="FACTURA"/>
    <s v="FE02"/>
    <n v="17334"/>
    <n v="16.95"/>
    <m/>
    <n v="3.0509999999999997"/>
    <m/>
    <n v="0"/>
    <n v="20"/>
    <m/>
    <m/>
    <m/>
    <m/>
    <s v="25162"/>
    <s v="63.1.1.7.01"/>
    <s v="Balanza 25162"/>
    <x v="11"/>
  </r>
  <r>
    <s v="08/08/2025"/>
    <x v="2"/>
    <s v="001"/>
    <s v="08-000209"/>
    <x v="1"/>
    <s v="91.06.02.01"/>
    <s v="V9R_903"/>
    <s v="Lavado 25204"/>
    <s v="10735413185"/>
    <s v="ROMERO AROCUTIPA BRIGIDA MARGOTT"/>
    <x v="1"/>
    <s v="BOLETA DE VENTA"/>
    <s v="001"/>
    <n v="439"/>
    <m/>
    <m/>
    <m/>
    <m/>
    <n v="50"/>
    <n v="50"/>
    <m/>
    <m/>
    <m/>
    <m/>
    <s v="25204"/>
    <s v="63.1.1.5.01"/>
    <s v="Lavado 25204"/>
    <x v="14"/>
  </r>
  <r>
    <s v="14/08/2025"/>
    <x v="2"/>
    <s v="001"/>
    <s v="08-000210"/>
    <x v="1"/>
    <s v="91.06.02.01"/>
    <s v="V9R_903"/>
    <s v="lavado 25163"/>
    <s v="10460411195"/>
    <s v="ROMERO CAMA ROXANA"/>
    <x v="1"/>
    <s v="BOLETA DE VENTA"/>
    <s v="001"/>
    <n v="2598"/>
    <m/>
    <m/>
    <m/>
    <m/>
    <n v="50"/>
    <n v="50"/>
    <m/>
    <m/>
    <m/>
    <m/>
    <s v="25163"/>
    <s v="63.1.1.5.01"/>
    <s v="lavado 25163"/>
    <x v="14"/>
  </r>
  <r>
    <s v="19/08/2025"/>
    <x v="2"/>
    <s v="001"/>
    <s v="08-000211"/>
    <x v="1"/>
    <s v="91.06.02.01"/>
    <s v="V9R_903"/>
    <s v="Peaje 25185"/>
    <s v="20517252558"/>
    <s v="CONCESIONARIA VIAL DEL SUR S.A.- COVISUR S.A."/>
    <x v="0"/>
    <s v="FACTURA"/>
    <s v="F213"/>
    <n v="1836488"/>
    <n v="10.17"/>
    <m/>
    <n v="1.8306"/>
    <m/>
    <n v="0"/>
    <n v="12"/>
    <m/>
    <m/>
    <m/>
    <m/>
    <s v="25185"/>
    <s v="63.1.1.3.02"/>
    <s v="Peaje 25185"/>
    <x v="8"/>
  </r>
  <r>
    <s v="12/08/2025"/>
    <x v="2"/>
    <s v="001"/>
    <s v="08-000212"/>
    <x v="1"/>
    <s v="91.06.02.01"/>
    <s v="V9R_903"/>
    <s v="Peaje 25150"/>
    <s v="20517252558"/>
    <s v="CONCESIONARIA VIAL DEL SUR S.A.- COVISUR S.A."/>
    <x v="0"/>
    <s v="FACTURA"/>
    <s v="F211"/>
    <n v="2432733"/>
    <n v="10.17"/>
    <m/>
    <n v="1.8306"/>
    <m/>
    <n v="0"/>
    <n v="12"/>
    <m/>
    <m/>
    <m/>
    <m/>
    <s v="25150"/>
    <s v="63.1.1.3.02"/>
    <s v="Peaje 25150"/>
    <x v="8"/>
  </r>
  <r>
    <s v="24/06/2025"/>
    <x v="2"/>
    <s v="001"/>
    <s v="08-000213"/>
    <x v="0"/>
    <m/>
    <m/>
    <m/>
    <s v="10735178607"/>
    <s v="QUISPE MONTES ARTEMIO ULISES"/>
    <x v="1"/>
    <s v="BOLETA DE VENTA"/>
    <m/>
    <m/>
    <m/>
    <m/>
    <n v="0"/>
    <m/>
    <n v="178"/>
    <n v="178"/>
    <m/>
    <m/>
    <m/>
    <m/>
    <m/>
    <m/>
    <m/>
    <x v="0"/>
  </r>
  <r>
    <s v="23/05/2025"/>
    <x v="2"/>
    <s v="001"/>
    <s v="08-000214"/>
    <x v="0"/>
    <m/>
    <m/>
    <m/>
    <s v="20603974817"/>
    <s v="TRANSPORTES, GRUAS Y MONTACARGAS AREQUIPA EMPRESA INDIVIDUAL DE RESPONSABILIDAD LIMITADA"/>
    <x v="0"/>
    <s v="FACTURA"/>
    <s v="E001"/>
    <s v="3913"/>
    <n v="297.5"/>
    <m/>
    <n v="53.55"/>
    <m/>
    <n v="0"/>
    <n v="351.05"/>
    <m/>
    <m/>
    <m/>
    <m/>
    <m/>
    <m/>
    <m/>
    <x v="0"/>
  </r>
  <r>
    <s v="13/06/2025"/>
    <x v="2"/>
    <s v="001"/>
    <s v="08-000215"/>
    <x v="0"/>
    <m/>
    <m/>
    <m/>
    <s v="20603974817"/>
    <s v="TRANSPORTES, GRUAS Y MONTACARGAS AREQUIPA EMPRESA INDIVIDUAL DE RESPONSABILIDAD LIMITADA"/>
    <x v="0"/>
    <s v="FACTURA"/>
    <s v="E001"/>
    <s v="3959"/>
    <n v="552.5"/>
    <m/>
    <n v="99.45"/>
    <m/>
    <n v="0"/>
    <n v="651.95000000000005"/>
    <m/>
    <m/>
    <m/>
    <m/>
    <m/>
    <m/>
    <m/>
    <x v="0"/>
  </r>
  <r>
    <s v="12/08/2025"/>
    <x v="2"/>
    <s v="001"/>
    <s v="08-000216"/>
    <x v="1"/>
    <s v="91.06.02.08"/>
    <s v="Montacarga"/>
    <s v="Alquiler de montacarga RQ.OPE.1360 OS 005_708"/>
    <s v="20603974817"/>
    <s v="TRANSPORTES, GRUAS Y MONTACARGAS AREQUIPA EMPRESA INDIVIDUAL DE RESPONSABILIDAD LIMITADA"/>
    <x v="0"/>
    <s v="FACTURA"/>
    <s v="E001"/>
    <n v="4113"/>
    <n v="340"/>
    <m/>
    <n v="61.199999999999996"/>
    <m/>
    <n v="0"/>
    <n v="401.2"/>
    <m/>
    <m/>
    <m/>
    <m/>
    <m/>
    <s v="63.5.4.1.01"/>
    <s v="Alquiler de montacarga RQ.OPE.1360 OS 005_708"/>
    <x v="16"/>
  </r>
  <r>
    <s v="14/08/2025"/>
    <x v="2"/>
    <s v="001"/>
    <s v="08-000217"/>
    <x v="1"/>
    <s v="91.06.02.08"/>
    <s v="Montacarga"/>
    <s v="Alquiler de montacarga RQ.OPE.1366 OS 005_710"/>
    <s v="20603974817"/>
    <s v="TRANSPORTES, GRUAS Y MONTACARGAS AREQUIPA EMPRESA INDIVIDUAL DE RESPONSABILIDAD LIMITADA"/>
    <x v="0"/>
    <s v="FACTURA"/>
    <s v="E001"/>
    <n v="4125"/>
    <n v="255"/>
    <m/>
    <n v="45.9"/>
    <m/>
    <n v="0"/>
    <n v="300.89999999999998"/>
    <m/>
    <m/>
    <m/>
    <m/>
    <m/>
    <s v="63.5.4.1.03"/>
    <s v="Alquiler de montacarga RQ.OPE.1366 OS 005_710"/>
    <x v="17"/>
  </r>
  <r>
    <s v="12/08/2025"/>
    <x v="2"/>
    <s v="001"/>
    <s v="08-000218"/>
    <x v="1"/>
    <s v="91.06.02.08"/>
    <s v="Montacarga"/>
    <s v="Alquiler de montacarga RQ.OPE.1361 OS 005_709"/>
    <s v="20603974817"/>
    <s v="TRANSPORTES, GRUAS Y MONTACARGAS AREQUIPA EMPRESA INDIVIDUAL DE RESPONSABILIDAD LIMITADA"/>
    <x v="0"/>
    <s v="FACTURA"/>
    <s v="E001"/>
    <n v="4114"/>
    <n v="255"/>
    <m/>
    <n v="45.9"/>
    <m/>
    <n v="0"/>
    <n v="300.89999999999998"/>
    <m/>
    <m/>
    <m/>
    <m/>
    <m/>
    <s v="63.5.4.1.01"/>
    <s v="Alquiler de montacarga RQ.OPE.1361 OS 005_709"/>
    <x v="16"/>
  </r>
  <r>
    <s v="11/08/2025"/>
    <x v="2"/>
    <s v="001"/>
    <s v="08-000219"/>
    <x v="1"/>
    <s v="91.06.02.08"/>
    <s v="Montacarga"/>
    <s v="Alquiler de montacarga RQ.OPE.1359 OS 005_706"/>
    <s v="20603974817"/>
    <s v="TRANSPORTES, GRUAS Y MONTACARGAS AREQUIPA EMPRESA INDIVIDUAL DE RESPONSABILIDAD LIMITADA"/>
    <x v="0"/>
    <s v="FACTURA"/>
    <s v="E001"/>
    <n v="4108"/>
    <n v="552.5"/>
    <m/>
    <n v="99.45"/>
    <m/>
    <n v="0"/>
    <n v="651.95000000000005"/>
    <m/>
    <m/>
    <m/>
    <m/>
    <m/>
    <s v="63.5.4.1.03"/>
    <s v="Alquiler de montacarga RQ.OPE.1359 OS 005_706"/>
    <x v="17"/>
  </r>
  <r>
    <s v="11/08/2025"/>
    <x v="2"/>
    <s v="001"/>
    <s v="08-000220"/>
    <x v="1"/>
    <s v="91.06.02.08"/>
    <s v="Montacarga"/>
    <s v="Alquiler de montacarga RQ.OPE.1352"/>
    <s v="20609764261"/>
    <s v="MGM MONTACARGAS &amp; GRUAS S.A.C."/>
    <x v="0"/>
    <s v="FACTURA"/>
    <s v="E001"/>
    <n v="2469"/>
    <n v="160"/>
    <m/>
    <n v="28.799999999999997"/>
    <m/>
    <n v="0"/>
    <n v="188.8"/>
    <m/>
    <m/>
    <m/>
    <m/>
    <m/>
    <s v="63.5.4.1.01"/>
    <s v="Alquiler de montacarga RQ.OPE.1352"/>
    <x v="16"/>
  </r>
  <r>
    <s v="15/08/2025"/>
    <x v="2"/>
    <s v="001"/>
    <s v="08-000221"/>
    <x v="0"/>
    <s v="94.07"/>
    <s v="Sistemas y TI"/>
    <s v="Equipos de cómputo y accesorios_ Tintas RQ.STI.097"/>
    <s v="10456105896"/>
    <s v="CASAVILCA DE LA CRUZ WALTER"/>
    <x v="0"/>
    <s v="FACTURA"/>
    <s v="E001"/>
    <n v="345"/>
    <n v="134.75"/>
    <m/>
    <n v="24.254999999999999"/>
    <m/>
    <n v="0"/>
    <n v="159.01"/>
    <m/>
    <m/>
    <m/>
    <m/>
    <m/>
    <s v="65.6.1.1.04"/>
    <s v="Equipos de cómputo y accesorios_ Tintas RQ.STI.097"/>
    <x v="0"/>
  </r>
  <r>
    <s v="21/08/2025"/>
    <x v="2"/>
    <s v="001"/>
    <s v="08-000222"/>
    <x v="0"/>
    <s v="94.07"/>
    <s v="Sistemas y TI"/>
    <s v="Cartuchos de toner RQ.STI.103"/>
    <s v="20498041567"/>
    <s v="LA FERIA DEL SUR S.A.C."/>
    <x v="0"/>
    <s v="FACTURA"/>
    <s v="F001"/>
    <n v="8608"/>
    <n v="581.36"/>
    <m/>
    <n v="104.6448"/>
    <m/>
    <n v="0"/>
    <n v="686"/>
    <m/>
    <m/>
    <m/>
    <m/>
    <m/>
    <s v="65.6.1.1.04"/>
    <s v="Cartuchos de toner RQ.STI.103"/>
    <x v="0"/>
  </r>
  <r>
    <s v="18/08/2025"/>
    <x v="2"/>
    <s v="001"/>
    <s v="08-000223"/>
    <x v="2"/>
    <s v="95.01"/>
    <s v="Comercial"/>
    <s v="Trasporte de carga RQ.OPE.1342 OS 005_707"/>
    <s v="20429640939"/>
    <s v="EMPRESA DE TRANSPORTES DE CARGA COSISE S.A.C."/>
    <x v="0"/>
    <s v="FACTURA"/>
    <s v="F002"/>
    <n v="1869"/>
    <n v="1186.44"/>
    <m/>
    <n v="213.5592"/>
    <m/>
    <n v="0"/>
    <n v="1400"/>
    <m/>
    <m/>
    <m/>
    <m/>
    <m/>
    <s v="63.1.1.1.02"/>
    <s v="Trasporte de carga RQ.OPE.1342 OS 005_707"/>
    <x v="13"/>
  </r>
  <r>
    <s v="04/08/2025"/>
    <x v="2"/>
    <s v="001"/>
    <s v="08-000224"/>
    <x v="1"/>
    <s v="91.06.02.08"/>
    <s v="Montacarga"/>
    <s v="Alquiler de montacarga R.Q.OPE.1344 OS 005_702"/>
    <s v="20603974817"/>
    <s v="TRANSPORTES, GRUAS Y MONTACARGAS AREQUIPA EMPRESA INDIVIDUAL DE RESPONSABILIDAD LIMITADA"/>
    <x v="0"/>
    <s v="FACTURA"/>
    <s v="E001"/>
    <n v="4094"/>
    <n v="340"/>
    <m/>
    <n v="61.199999999999996"/>
    <m/>
    <n v="0"/>
    <n v="401.2"/>
    <m/>
    <m/>
    <m/>
    <m/>
    <m/>
    <s v="63.5.4.1.01"/>
    <s v="Alquiler de montacarga R.Q.OPE.1344 OS 005_702"/>
    <x v="16"/>
  </r>
  <r>
    <s v="04/08/2025"/>
    <x v="2"/>
    <s v="001"/>
    <s v="08-000225"/>
    <x v="2"/>
    <s v="95.01"/>
    <s v="Comercial"/>
    <s v="Alquiler de montacarga RQ.OPE.1345 OS 005_703"/>
    <s v="20603974817"/>
    <s v="TRANSPORTES, GRUAS Y MONTACARGAS AREQUIPA EMPRESA INDIVIDUAL DE RESPONSABILIDAD LIMITADA"/>
    <x v="0"/>
    <s v="FACTURA"/>
    <s v="E001"/>
    <n v="4095"/>
    <n v="382.5"/>
    <m/>
    <n v="68.849999999999994"/>
    <m/>
    <n v="0"/>
    <n v="451.35"/>
    <m/>
    <m/>
    <m/>
    <m/>
    <m/>
    <s v="63.5.4.1.03"/>
    <s v="Alquiler de montacarga RQ.OPE.1345 OS 005_703"/>
    <x v="17"/>
  </r>
  <r>
    <s v="04/08/2025"/>
    <x v="2"/>
    <s v="001"/>
    <s v="08-000226"/>
    <x v="1"/>
    <s v="91.06.02.08"/>
    <s v="Montacarga"/>
    <s v="Alquiler de montacarga RQ.OPE.1348"/>
    <s v="20603974817"/>
    <s v="TRANSPORTES, GRUAS Y MONTACARGAS AREQUIPA EMPRESA INDIVIDUAL DE RESPONSABILIDAD LIMITADA"/>
    <x v="0"/>
    <s v="FACTURA"/>
    <s v="E001"/>
    <n v="4096"/>
    <n v="170"/>
    <m/>
    <n v="30.599999999999998"/>
    <m/>
    <n v="0"/>
    <n v="200.6"/>
    <m/>
    <m/>
    <m/>
    <m/>
    <m/>
    <s v="63.5.4.1.01"/>
    <s v="Alquiler de montacarga RQ.OPE.1348"/>
    <x v="16"/>
  </r>
  <r>
    <s v="11/08/2025"/>
    <x v="2"/>
    <s v="001"/>
    <s v="08-000227"/>
    <x v="1"/>
    <s v="91.06.02.08"/>
    <s v="Montacarga"/>
    <s v="Alquiler de montacarga RQ.OPE.1351 OS 005_700"/>
    <s v="20603974817"/>
    <s v="TRANSPORTES, GRUAS Y MONTACARGAS AREQUIPA EMPRESA INDIVIDUAL DE RESPONSABILIDAD LIMITADA"/>
    <x v="0"/>
    <s v="FACTURA"/>
    <s v="E001"/>
    <n v="4105"/>
    <n v="467.5"/>
    <m/>
    <n v="84.149999999999991"/>
    <m/>
    <n v="0"/>
    <n v="551.65"/>
    <m/>
    <m/>
    <m/>
    <m/>
    <m/>
    <s v="63.5.4.1.01"/>
    <s v="Alquiler de montacarga RQ.OPE.1351 OS 005_700"/>
    <x v="16"/>
  </r>
  <r>
    <s v="20/08/2025"/>
    <x v="2"/>
    <s v="001"/>
    <s v="08-000228"/>
    <x v="0"/>
    <s v="94.01"/>
    <s v="Administracion"/>
    <s v="Internet"/>
    <s v="20609368773"/>
    <s v="FIXER TELECOMUNICACIONES SOCIEDAD ANONIMA CERRADA"/>
    <x v="0"/>
    <s v="FACTURA"/>
    <s v="E001"/>
    <n v="486"/>
    <n v="59.9"/>
    <m/>
    <n v="10.782"/>
    <m/>
    <n v="0"/>
    <n v="70.680000000000007"/>
    <m/>
    <m/>
    <m/>
    <m/>
    <m/>
    <s v="63.6.5.1"/>
    <s v="Internet"/>
    <x v="0"/>
  </r>
  <r>
    <s v="14/08/2025"/>
    <x v="2"/>
    <s v="001"/>
    <s v="08-000229"/>
    <x v="0"/>
    <s v="94.06"/>
    <s v="Gerencia"/>
    <s v="Consultoría / asesoría _ Legal / Tributaria RQ.GER.080"/>
    <s v="20613747096"/>
    <s v="FLORES &amp; BANDA ABOGADOS S.A.C."/>
    <x v="0"/>
    <s v="FACTURA"/>
    <s v="E001"/>
    <n v="2"/>
    <n v="600"/>
    <m/>
    <n v="108"/>
    <m/>
    <n v="0"/>
    <n v="708"/>
    <m/>
    <m/>
    <m/>
    <m/>
    <m/>
    <s v="63.2.2.1.02"/>
    <s v="Consultoría / asesoría _ Legal / Tributaria RQ.GER.080"/>
    <x v="0"/>
  </r>
  <r>
    <s v="21/08/2025"/>
    <x v="2"/>
    <s v="001"/>
    <s v="08-000230"/>
    <x v="1"/>
    <s v="91.06.02.07"/>
    <s v="VDJ_872"/>
    <s v="Balanza 25223"/>
    <s v="20124952850"/>
    <s v="ALIMENTOS Y SERVICIOS AGROPECUARIOS SRL."/>
    <x v="0"/>
    <s v="FACTURA"/>
    <s v="F002"/>
    <n v="135829"/>
    <n v="8.4700000000000006"/>
    <m/>
    <n v="1.5246"/>
    <m/>
    <n v="0"/>
    <n v="10"/>
    <m/>
    <m/>
    <m/>
    <m/>
    <s v="25223"/>
    <s v="63.1.1.7.02"/>
    <s v="Balanza 25223"/>
    <x v="1"/>
  </r>
  <r>
    <s v="19/08/2025"/>
    <x v="2"/>
    <s v="001"/>
    <s v="08-000231"/>
    <x v="1"/>
    <s v="91.06.02.07"/>
    <s v="VDJ_872"/>
    <s v="Balanza"/>
    <s v="20454058187"/>
    <s v="ZONA ESPECIAL DE DESARROLLO ZED MATARANI"/>
    <x v="0"/>
    <s v="FACTURA"/>
    <s v="F001"/>
    <n v="18192"/>
    <m/>
    <m/>
    <m/>
    <m/>
    <n v="22"/>
    <n v="22"/>
    <m/>
    <m/>
    <m/>
    <m/>
    <m/>
    <s v="63.1.1.7.02"/>
    <s v="Balanza"/>
    <x v="1"/>
  </r>
  <r>
    <s v="19/08/2025"/>
    <x v="2"/>
    <s v="001"/>
    <s v="08-000232"/>
    <x v="1"/>
    <s v="91.06.02.03"/>
    <s v="BKL_739"/>
    <s v="Peaje"/>
    <s v="20517252558"/>
    <s v="CONCESIONARIA VIAL DEL SUR S.A.- COVISUR S.A."/>
    <x v="0"/>
    <s v="FACTURA"/>
    <s v="F214"/>
    <n v="2150007"/>
    <n v="6.78"/>
    <m/>
    <n v="1.2203999999999999"/>
    <m/>
    <n v="0"/>
    <n v="8"/>
    <m/>
    <m/>
    <m/>
    <m/>
    <m/>
    <s v="63.1.1.3.03"/>
    <s v="Peaje"/>
    <x v="7"/>
  </r>
  <r>
    <s v="19/08/2025"/>
    <x v="2"/>
    <s v="001"/>
    <s v="08-000233"/>
    <x v="1"/>
    <s v="91.06.02.03"/>
    <s v="BKL_739"/>
    <s v="Peaje"/>
    <s v="20517252558"/>
    <s v="CONCESIONARIA VIAL DEL SUR S.A.- COVISUR S.A."/>
    <x v="0"/>
    <s v="FACTURA"/>
    <s v="F114"/>
    <n v="1111679"/>
    <n v="6.78"/>
    <m/>
    <n v="1.2203999999999999"/>
    <m/>
    <n v="0"/>
    <n v="8"/>
    <m/>
    <m/>
    <m/>
    <m/>
    <m/>
    <s v="63.1.1.3.03"/>
    <s v="Peaje"/>
    <x v="7"/>
  </r>
  <r>
    <s v="20/08/2025"/>
    <x v="2"/>
    <s v="001"/>
    <s v="08-000234"/>
    <x v="1"/>
    <s v="91.06.02.03"/>
    <s v="BKL_739"/>
    <s v="Peaje"/>
    <s v="20517252558"/>
    <s v="CONCESIONARIA VIAL DEL SUR S.A.- COVISUR S.A."/>
    <x v="0"/>
    <s v="FACTURA"/>
    <s v="F214"/>
    <n v="2151336"/>
    <n v="6.78"/>
    <m/>
    <n v="1.2203999999999999"/>
    <m/>
    <n v="0"/>
    <n v="8"/>
    <m/>
    <m/>
    <m/>
    <m/>
    <m/>
    <s v="63.1.1.3.03"/>
    <s v="Peaje"/>
    <x v="7"/>
  </r>
  <r>
    <s v="19/08/2025"/>
    <x v="2"/>
    <s v="001"/>
    <s v="08-000235"/>
    <x v="1"/>
    <s v="91.06.02.03"/>
    <s v="BKL_739"/>
    <s v="Peaje"/>
    <s v="20517252558"/>
    <s v="CONCESIONARIA VIAL DEL SUR S.A.- COVISUR S.A."/>
    <x v="0"/>
    <s v="FACTURA"/>
    <s v="F111"/>
    <n v="1016199"/>
    <n v="6.78"/>
    <m/>
    <n v="1.2203999999999999"/>
    <m/>
    <n v="0"/>
    <n v="8"/>
    <m/>
    <m/>
    <m/>
    <m/>
    <m/>
    <s v="63.1.1.3.03"/>
    <s v="Peaje"/>
    <x v="7"/>
  </r>
  <r>
    <s v="19/08/2025"/>
    <x v="2"/>
    <s v="001"/>
    <s v="08-000236"/>
    <x v="1"/>
    <s v="91.06.02.03"/>
    <s v="BKL_739"/>
    <s v="Peaje"/>
    <s v="20517252558"/>
    <s v="CONCESIONARIA VIAL DEL SUR S.A.- COVISUR S.A."/>
    <x v="0"/>
    <s v="FACTURA"/>
    <s v="F211"/>
    <n v="2440464"/>
    <n v="6.78"/>
    <m/>
    <n v="1.2203999999999999"/>
    <m/>
    <n v="0"/>
    <n v="8"/>
    <m/>
    <m/>
    <m/>
    <m/>
    <m/>
    <s v="63.1.1.3.03"/>
    <s v="Peaje"/>
    <x v="7"/>
  </r>
  <r>
    <s v="18/08/2025"/>
    <x v="2"/>
    <s v="001"/>
    <s v="08-000237"/>
    <x v="1"/>
    <s v="91.06.02.02"/>
    <s v="BKK_849"/>
    <s v="Peaje"/>
    <s v="20517252558"/>
    <s v="CONCESIONARIA VIAL DEL SUR S.A.- COVISUR S.A."/>
    <x v="0"/>
    <s v="FACTURA"/>
    <s v="F212"/>
    <n v="1814973"/>
    <n v="6.78"/>
    <m/>
    <n v="1.2203999999999999"/>
    <m/>
    <n v="0"/>
    <n v="8"/>
    <m/>
    <m/>
    <m/>
    <m/>
    <m/>
    <s v="63.1.1.3.03"/>
    <s v="Peaje"/>
    <x v="7"/>
  </r>
  <r>
    <s v="20/08/2025"/>
    <x v="2"/>
    <s v="001"/>
    <s v="08-000238"/>
    <x v="1"/>
    <s v="91.06.02.03"/>
    <s v="BKL_739"/>
    <s v="Peaje"/>
    <s v="20517252558"/>
    <s v="CONCESIONARIA VIAL DEL SUR S.A.- COVISUR S.A."/>
    <x v="0"/>
    <s v="FACTURA"/>
    <s v="F211"/>
    <n v="2441872"/>
    <n v="6.78"/>
    <m/>
    <n v="1.2203999999999999"/>
    <m/>
    <n v="0"/>
    <n v="8"/>
    <m/>
    <m/>
    <m/>
    <m/>
    <m/>
    <s v="63.1.1.3.03"/>
    <s v="Peaje"/>
    <x v="7"/>
  </r>
  <r>
    <s v="13/08/2025"/>
    <x v="2"/>
    <s v="001"/>
    <s v="08-000239"/>
    <x v="1"/>
    <s v="91.06.02.02"/>
    <s v="BKK_849"/>
    <s v="Peaje"/>
    <s v="20517252558"/>
    <s v="CONCESIONARIA VIAL DEL SUR S.A.- COVISUR S.A."/>
    <x v="0"/>
    <s v="FACTURA"/>
    <s v="F211"/>
    <n v="2433524"/>
    <n v="6.78"/>
    <m/>
    <n v="1.2203999999999999"/>
    <m/>
    <n v="0"/>
    <n v="8"/>
    <m/>
    <m/>
    <m/>
    <m/>
    <m/>
    <s v="63.1.1.3.03"/>
    <s v="Peaje"/>
    <x v="7"/>
  </r>
  <r>
    <s v="14/08/2025"/>
    <x v="2"/>
    <s v="001"/>
    <s v="08-000240"/>
    <x v="1"/>
    <s v="91.06.02.07"/>
    <s v="VDJ_872"/>
    <s v="Peaje 25220"/>
    <s v="20517252558"/>
    <s v="CONCESIONARIA VIAL DEL SUR S.A.- COVISUR S.A."/>
    <x v="0"/>
    <s v="FACTURA"/>
    <s v="F213"/>
    <n v="1832586"/>
    <n v="6.78"/>
    <m/>
    <n v="1.2203999999999999"/>
    <m/>
    <n v="0"/>
    <n v="8"/>
    <m/>
    <m/>
    <m/>
    <m/>
    <s v="25220"/>
    <s v="63.1.1.3.02"/>
    <s v="Peaje 25220"/>
    <x v="8"/>
  </r>
  <r>
    <s v="14/08/2025"/>
    <x v="2"/>
    <s v="001"/>
    <s v="08-000241"/>
    <x v="1"/>
    <s v="91.06.02.07"/>
    <s v="VDJ_872"/>
    <s v="Peaje 25219"/>
    <s v="20517252558"/>
    <s v="CONCESIONARIA VIAL DEL SUR S.A.- COVISUR S.A."/>
    <x v="0"/>
    <s v="FACTURA"/>
    <s v="F113"/>
    <n v="399071"/>
    <n v="6.78"/>
    <m/>
    <n v="1.2203999999999999"/>
    <m/>
    <n v="0"/>
    <n v="8"/>
    <m/>
    <m/>
    <m/>
    <m/>
    <s v="25219"/>
    <s v="63.1.1.3.02"/>
    <s v="Peaje 25219"/>
    <x v="8"/>
  </r>
  <r>
    <s v="21/08/2025"/>
    <x v="2"/>
    <s v="001"/>
    <s v="08-000242"/>
    <x v="1"/>
    <s v="91.06.02.07"/>
    <s v="VDJ_872"/>
    <s v="Balanza 25224"/>
    <s v="20124952850"/>
    <s v="ALIMENTOS Y SERVICIOS AGROPECUARIOS SRL."/>
    <x v="0"/>
    <s v="FACTURA"/>
    <s v="F002"/>
    <n v="135830"/>
    <n v="8.4700000000000006"/>
    <m/>
    <n v="1.5246"/>
    <m/>
    <n v="0"/>
    <n v="10"/>
    <m/>
    <m/>
    <m/>
    <m/>
    <s v="25224"/>
    <s v="63.1.1.7.02"/>
    <s v="Balanza 25224"/>
    <x v="1"/>
  </r>
  <r>
    <s v="21/08/2025"/>
    <x v="2"/>
    <s v="001"/>
    <s v="08-000243"/>
    <x v="1"/>
    <s v="91.05.01"/>
    <s v="Residuos Aprovechables"/>
    <s v="Madera,marcos,parihuelas,separadores OC 317"/>
    <s v="20454186002"/>
    <s v="ALSUR PERU S.A.C."/>
    <x v="0"/>
    <s v="FACTURA"/>
    <s v="F003"/>
    <n v="1717"/>
    <n v="1344.25"/>
    <m/>
    <n v="241.965"/>
    <m/>
    <n v="0"/>
    <n v="1586.21"/>
    <m/>
    <m/>
    <m/>
    <m/>
    <s v="OC 317"/>
    <s v="60.2.1.1"/>
    <s v="Madera,marcos,parihuelas,separadores OC 317"/>
    <x v="6"/>
  </r>
  <r>
    <s v="21/08/2025"/>
    <x v="2"/>
    <s v="001"/>
    <s v="08-000244"/>
    <x v="1"/>
    <s v="91.05.01"/>
    <s v="Residuos Aprovechables"/>
    <s v="Parihuelas,cauchos en desuso OC 321"/>
    <s v="20454186002"/>
    <s v="ALSUR PERU S.A.C."/>
    <x v="0"/>
    <s v="FACTURA"/>
    <s v="F003"/>
    <n v="1718"/>
    <n v="367.8"/>
    <m/>
    <n v="66.203999999999994"/>
    <m/>
    <n v="0"/>
    <n v="434"/>
    <m/>
    <m/>
    <m/>
    <m/>
    <s v="OC 321"/>
    <s v="60.2.1.1"/>
    <s v="Parihuelas,cauchos en desuso OC 321"/>
    <x v="6"/>
  </r>
  <r>
    <s v="22/08/2025"/>
    <x v="2"/>
    <s v="001"/>
    <s v="08-000245"/>
    <x v="1"/>
    <s v="91.05.01"/>
    <s v="Residuos Aprovechables"/>
    <s v="Hojalata,envase de vidrio,bidones de detergente OC 332"/>
    <s v="20454186002"/>
    <s v="ALSUR PERU S.A.C."/>
    <x v="0"/>
    <s v="FACTURA"/>
    <s v="F003"/>
    <n v="1720"/>
    <n v="144.15"/>
    <m/>
    <n v="25.946999999999999"/>
    <m/>
    <n v="0"/>
    <n v="170.1"/>
    <m/>
    <m/>
    <m/>
    <m/>
    <s v="OC 332"/>
    <s v="60.2.1.1"/>
    <s v="Hojalata,envase de vidrio,bidones de detergente OC 332"/>
    <x v="6"/>
  </r>
  <r>
    <s v="22/08/2025"/>
    <x v="2"/>
    <s v="001"/>
    <s v="08-000246"/>
    <x v="1"/>
    <s v="91.05.01"/>
    <s v="Residuos Aprovechables"/>
    <s v="Hojalata,separadores y cajas de carton OC 343"/>
    <s v="20454186002"/>
    <s v="ALSUR PERU S.A.C."/>
    <x v="0"/>
    <s v="FACTURA"/>
    <s v="F003"/>
    <n v="1719"/>
    <n v="469.59"/>
    <m/>
    <n v="84.526199999999989"/>
    <m/>
    <n v="0"/>
    <n v="554.12"/>
    <m/>
    <m/>
    <m/>
    <m/>
    <s v="OC 343"/>
    <s v="60.2.1.1"/>
    <s v="Hojalata,separadores y cajas de carton OC 343"/>
    <x v="6"/>
  </r>
  <r>
    <s v="20/08/2025"/>
    <x v="2"/>
    <s v="001"/>
    <s v="08-000247"/>
    <x v="1"/>
    <s v="91.05.01"/>
    <s v="Residuos Aprovechables"/>
    <s v="Alambron OC 345"/>
    <s v="20100192064"/>
    <s v="MOLY-COP ADESUR S.A."/>
    <x v="0"/>
    <s v="FACTURA"/>
    <s v="F002"/>
    <n v="16669"/>
    <n v="275.97000000000003"/>
    <m/>
    <n v="49.674600000000005"/>
    <m/>
    <n v="0"/>
    <n v="325.64"/>
    <m/>
    <m/>
    <m/>
    <m/>
    <s v="OC 345"/>
    <s v="60.2.1.1"/>
    <s v="Alambron OC 345"/>
    <x v="6"/>
  </r>
  <r>
    <s v="18/08/2025"/>
    <x v="2"/>
    <s v="001"/>
    <s v="08-000248"/>
    <x v="0"/>
    <s v="94.03"/>
    <s v="Logistica"/>
    <s v="Alimentacion de mascota"/>
    <s v="20492092313"/>
    <s v="MAKRO SUPERMAYORISTA S.A."/>
    <x v="0"/>
    <s v="FACTURA"/>
    <s v="FA05"/>
    <n v="1803516"/>
    <n v="117.8"/>
    <m/>
    <n v="21.203999999999997"/>
    <m/>
    <n v="0"/>
    <n v="139"/>
    <m/>
    <m/>
    <m/>
    <m/>
    <m/>
    <s v="65.9.9.9.01"/>
    <s v="Alimentacion de mascota"/>
    <x v="28"/>
  </r>
  <r>
    <s v="18/08/2025"/>
    <x v="2"/>
    <s v="001"/>
    <s v="08-000249"/>
    <x v="0"/>
    <s v="94.03"/>
    <s v="Logistica"/>
    <s v="Panel led _ Mantenimiento de infraestructura RQ.LOG.341"/>
    <s v="10431742069"/>
    <s v="CONSA HUAYTAPUMA AGUSTIN"/>
    <x v="0"/>
    <s v="FACTURA"/>
    <s v="F001"/>
    <n v="26766"/>
    <n v="30.51"/>
    <m/>
    <n v="5.4918000000000005"/>
    <m/>
    <n v="0"/>
    <n v="36"/>
    <m/>
    <m/>
    <m/>
    <m/>
    <m/>
    <s v="63.4.3.6.01"/>
    <s v="Panel led _ Mantenimiento de infraestructura RQ.LOG.341"/>
    <x v="0"/>
  </r>
  <r>
    <s v="18/08/2025"/>
    <x v="2"/>
    <s v="001"/>
    <s v="08-000250"/>
    <x v="1"/>
    <s v="91.06.02.08"/>
    <s v="Montacarga"/>
    <s v="Alquiler de montacarga RQ.OPE.1371 OS 005_713"/>
    <s v="20603974817"/>
    <s v="TRANSPORTES, GRUAS Y MONTACARGAS AREQUIPA EMPRESA INDIVIDUAL DE RESPONSABILIDAD LIMITADA"/>
    <x v="0"/>
    <s v="FACTURA"/>
    <s v="E001"/>
    <n v="4134"/>
    <n v="297.5"/>
    <m/>
    <n v="53.55"/>
    <m/>
    <n v="0"/>
    <n v="351.05"/>
    <m/>
    <m/>
    <m/>
    <m/>
    <m/>
    <s v="63.5.4.1.03"/>
    <s v="Alquiler de montacarga RQ.OPE.1371 OS 005_713"/>
    <x v="17"/>
  </r>
  <r>
    <s v="21/08/2025"/>
    <x v="2"/>
    <s v="001"/>
    <s v="08-000251"/>
    <x v="2"/>
    <s v="95.01"/>
    <s v="Comercial"/>
    <s v="Slainer,micas otros gastos"/>
    <s v="20610217762"/>
    <s v="LIBRERIAS PANDORA E.I.R.L."/>
    <x v="0"/>
    <s v="FACTURA"/>
    <s v="FF01"/>
    <n v="4562"/>
    <n v="8.4700000000000006"/>
    <m/>
    <n v="1.5246"/>
    <m/>
    <n v="0"/>
    <n v="10"/>
    <m/>
    <m/>
    <m/>
    <m/>
    <m/>
    <s v="65.9.9.9.01"/>
    <s v="Slainer,micas otros gastos"/>
    <x v="28"/>
  </r>
  <r>
    <s v="21/08/2025"/>
    <x v="2"/>
    <s v="001"/>
    <s v="08-000252"/>
    <x v="1"/>
    <s v="91.06.02.10"/>
    <s v="BDQ_458"/>
    <s v="Bateria _ accesorios vehicular"/>
    <s v="20612785130"/>
    <s v="ESPINOZA BRITTO TRADING PERU E.I.R.L."/>
    <x v="0"/>
    <s v="FACTURA"/>
    <s v="E001"/>
    <n v="43"/>
    <n v="237.29"/>
    <m/>
    <n v="42.712199999999996"/>
    <m/>
    <n v="0"/>
    <n v="280"/>
    <m/>
    <m/>
    <m/>
    <m/>
    <m/>
    <s v="63.4.3.2.03"/>
    <s v="Bateria _ accesorios vehicular"/>
    <x v="18"/>
  </r>
  <r>
    <s v="22/08/2025"/>
    <x v="2"/>
    <s v="001"/>
    <s v="08-000253"/>
    <x v="1"/>
    <s v="91.06.02.03"/>
    <s v="BKL_739"/>
    <s v="Peaje"/>
    <s v="20517252558"/>
    <s v="CONCESIONARIA VIAL DEL SUR S.A.- COVISUR S.A."/>
    <x v="0"/>
    <s v="FACTURA"/>
    <s v="F212"/>
    <n v="1819141"/>
    <n v="6.78"/>
    <m/>
    <n v="1.2203999999999999"/>
    <m/>
    <n v="0"/>
    <n v="8"/>
    <m/>
    <m/>
    <m/>
    <m/>
    <m/>
    <s v="63.1.1.3.03"/>
    <s v="Peaje"/>
    <x v="7"/>
  </r>
  <r>
    <s v="21/08/2025"/>
    <x v="2"/>
    <s v="001"/>
    <s v="08-000254"/>
    <x v="1"/>
    <s v="91.06.02.06"/>
    <s v="VBW_889"/>
    <s v="Accesorios Vehiculares_ Cono de seguridad"/>
    <s v="20610059393"/>
    <s v="HARET CORPORACIÓN CHALHUAYANI E.I.R.L."/>
    <x v="0"/>
    <s v="FACTURA"/>
    <s v="F001"/>
    <n v="5140"/>
    <n v="28.81"/>
    <m/>
    <n v="5.1857999999999995"/>
    <m/>
    <n v="0"/>
    <n v="34"/>
    <m/>
    <m/>
    <m/>
    <m/>
    <m/>
    <s v="63.4.3.2.03"/>
    <s v="Accesorios Vehiculares_ Cono de seguridad"/>
    <x v="18"/>
  </r>
  <r>
    <s v="18/08/2025"/>
    <x v="2"/>
    <s v="001"/>
    <s v="08-000255"/>
    <x v="0"/>
    <s v="94.03"/>
    <s v="Logistica"/>
    <s v="Disco de corte _ Herramientas en general RQ.LOG.340 OS 004_179"/>
    <s v="20610616675"/>
    <s v="MAGMA PERU E.I.R.L."/>
    <x v="0"/>
    <s v="FACTURA"/>
    <s v="E001"/>
    <n v="504"/>
    <n v="74.150000000000006"/>
    <m/>
    <n v="13.347000000000001"/>
    <m/>
    <n v="0"/>
    <n v="87.5"/>
    <m/>
    <m/>
    <m/>
    <m/>
    <m/>
    <s v="60.3.2.1"/>
    <s v="Disco de corte _ Herramientas en general RQ.LOG.340 OS 004_179"/>
    <x v="0"/>
  </r>
  <r>
    <s v="13/08/2025"/>
    <x v="2"/>
    <s v="001"/>
    <s v="08-000256"/>
    <x v="1"/>
    <s v="91.06.02.07"/>
    <s v="VDJ_872"/>
    <s v="Juego de stickers reflectivo_ accesorio vehiculares RQ.OPE.1261 OS 006_168"/>
    <s v="20605533125"/>
    <s v="E &amp; M SEÑALIZACIONES S.A.C."/>
    <x v="0"/>
    <s v="FACTURA"/>
    <s v="FA01"/>
    <n v="1005"/>
    <n v="186.44"/>
    <m/>
    <n v="33.559199999999997"/>
    <m/>
    <n v="0"/>
    <n v="220"/>
    <m/>
    <m/>
    <m/>
    <m/>
    <m/>
    <s v="63.4.3.2.03"/>
    <s v="Juego de stickers reflectivo_ accesorio vehiculares RQ.OPE.1261 OS 006_168"/>
    <x v="18"/>
  </r>
  <r>
    <s v="22/08/2025"/>
    <x v="2"/>
    <s v="001"/>
    <s v="08-000257"/>
    <x v="1"/>
    <s v="91.06.02.07"/>
    <s v="VDJ_872"/>
    <s v="Circulana,pertiga,faro e instalacion"/>
    <s v="20602751326"/>
    <s v="KIKAI &amp; SABISU S.A.C."/>
    <x v="0"/>
    <s v="FACTURA"/>
    <s v="F005"/>
    <n v="1563"/>
    <n v="642.45000000000005"/>
    <m/>
    <n v="115.64100000000001"/>
    <m/>
    <n v="0"/>
    <n v="2001.91"/>
    <m/>
    <m/>
    <m/>
    <m/>
    <m/>
    <s v="63.4.3.2.02"/>
    <s v="Circulana,pertiga,faro e instalacion"/>
    <x v="3"/>
  </r>
  <r>
    <s v="22/08/2025"/>
    <x v="2"/>
    <s v="001"/>
    <s v="08-000257"/>
    <x v="1"/>
    <s v="91.06.02.07"/>
    <s v="VDJ_872"/>
    <s v="Circulana,pertiga,faro e instalacion"/>
    <s v="20602751326"/>
    <s v="KIKAI &amp; SABISU S.A.C."/>
    <x v="0"/>
    <s v="FACTURA"/>
    <s v="F005"/>
    <n v="1563"/>
    <n v="1054.08"/>
    <m/>
    <n v="189.73439999999999"/>
    <m/>
    <n v="0"/>
    <n v="2001.91"/>
    <m/>
    <m/>
    <m/>
    <m/>
    <m/>
    <s v="63.4.3.2.03"/>
    <s v="Circulana,pertiga,faro e instalacion"/>
    <x v="18"/>
  </r>
  <r>
    <s v="18/08/2025"/>
    <x v="2"/>
    <s v="001"/>
    <s v="08-000258"/>
    <x v="1"/>
    <s v="91.06.01"/>
    <s v="Operaciones"/>
    <s v="Mantenimiento ajuste de plataforma,cambio de conector hembra RQ.OPE.1380 OS 005_715"/>
    <s v="20603001461"/>
    <s v="BALANZAS WARTON S.R.L."/>
    <x v="0"/>
    <s v="FACTURA"/>
    <s v="E001"/>
    <n v="756"/>
    <n v="50.85"/>
    <m/>
    <n v="9.1530000000000005"/>
    <m/>
    <n v="0"/>
    <n v="60"/>
    <m/>
    <m/>
    <m/>
    <m/>
    <m/>
    <s v="63.4.3.4.03"/>
    <s v="Mantenimiento ajuste de plataforma,cambio de conector hembra RQ.OPE.1380 OS 005_715"/>
    <x v="27"/>
  </r>
  <r>
    <s v="22/08/2025"/>
    <x v="2"/>
    <s v="001"/>
    <s v="08-000259"/>
    <x v="0"/>
    <s v="94.04"/>
    <s v="Gestion Humana"/>
    <s v="Examen medico _ ingreso RQ.GH.230"/>
    <s v="20517035964"/>
    <s v="SIGSO CONSULTORES LABORALES SOCIEDAD ANONIMA CERRADA - SIGSO CONSULTORES LABORALES S.A.C."/>
    <x v="0"/>
    <s v="FACTURA"/>
    <s v="F200"/>
    <n v="16460"/>
    <n v="219"/>
    <m/>
    <n v="39.42"/>
    <m/>
    <n v="0"/>
    <n v="258.42"/>
    <m/>
    <m/>
    <m/>
    <m/>
    <m/>
    <s v="62.5.1.2.01"/>
    <s v="Examen medico _ ingreso RQ.GH.230"/>
    <x v="25"/>
  </r>
  <r>
    <s v="19/08/2025"/>
    <x v="2"/>
    <s v="001"/>
    <s v="08-000260"/>
    <x v="1"/>
    <s v="91.06.02.08"/>
    <s v="Montacarga"/>
    <s v="Alquiler de montacarga RQ.OPE.1373"/>
    <s v="10425371652"/>
    <s v="PALOMINO DAVILA MARCOS ANTONIO"/>
    <x v="0"/>
    <s v="FACTURA"/>
    <s v="E001"/>
    <n v="5287"/>
    <n v="50"/>
    <m/>
    <n v="9"/>
    <m/>
    <n v="0"/>
    <n v="59"/>
    <m/>
    <m/>
    <m/>
    <m/>
    <m/>
    <s v="63.5.4.1.01"/>
    <s v="Alquiler de montacarga RQ.OPE.1373"/>
    <x v="16"/>
  </r>
  <r>
    <s v="18/08/2025"/>
    <x v="2"/>
    <s v="001"/>
    <s v="08-000261"/>
    <x v="1"/>
    <s v="91.06.02.02"/>
    <s v="BKK_849"/>
    <s v="Mantenimiento Vehicular (Preventivo) RQ.OPE.1335 OC 007_40"/>
    <s v="20371310160"/>
    <s v="LIDER CRUZ E.I.R.L."/>
    <x v="0"/>
    <s v="FACTURA"/>
    <s v="F001"/>
    <n v="49553"/>
    <n v="610.16999999999996"/>
    <m/>
    <n v="109.83059999999999"/>
    <m/>
    <n v="0"/>
    <n v="720"/>
    <m/>
    <m/>
    <m/>
    <m/>
    <m/>
    <s v="63.4.3.2.02"/>
    <s v="Mantenimiento Vehicular (Preventivo) RQ.OPE.1335 OC 007_40"/>
    <x v="3"/>
  </r>
  <r>
    <s v="19/08/2025"/>
    <x v="2"/>
    <s v="001"/>
    <s v="08-000262"/>
    <x v="0"/>
    <s v="94.03"/>
    <s v="Logistica"/>
    <s v="Rotulos,señaleticas RQ.LOG.343 OC 004_177"/>
    <s v="10416031679"/>
    <s v="ALARCON ZAIRA ABRAHAM JESUS"/>
    <x v="0"/>
    <s v="FACTURA"/>
    <s v="E001"/>
    <n v="318"/>
    <n v="1106.95"/>
    <m/>
    <n v="199.251"/>
    <m/>
    <n v="0"/>
    <n v="1306.2"/>
    <m/>
    <m/>
    <m/>
    <m/>
    <m/>
    <s v="63.4.3.6.01"/>
    <s v="Rotulos,señaleticas RQ.LOG.343 OC 004_177"/>
    <x v="0"/>
  </r>
  <r>
    <s v="04/08/2025"/>
    <x v="2"/>
    <s v="001"/>
    <s v="08-000263"/>
    <x v="0"/>
    <s v="94.03"/>
    <s v="Logistica"/>
    <s v="Impresion y laminado de vinil RQ.COM.364"/>
    <s v="10416031679"/>
    <s v="ALARCON ZAIRA ABRAHAM JESUS"/>
    <x v="0"/>
    <s v="FACTURA"/>
    <s v="E001"/>
    <n v="311"/>
    <n v="83.05"/>
    <m/>
    <n v="14.948999999999998"/>
    <m/>
    <n v="0"/>
    <n v="98"/>
    <m/>
    <m/>
    <m/>
    <m/>
    <m/>
    <s v="65.9.9.9.01"/>
    <s v="Impresion y laminado de vinil RQ.COM.364"/>
    <x v="28"/>
  </r>
  <r>
    <s v="24/07/2025"/>
    <x v="2"/>
    <s v="001"/>
    <s v="08-000264"/>
    <x v="0"/>
    <m/>
    <m/>
    <m/>
    <s v="20498218831"/>
    <s v="MADE S.C.R.L."/>
    <x v="0"/>
    <s v="FACTURA"/>
    <s v="E001"/>
    <s v="744"/>
    <n v="450"/>
    <m/>
    <n v="81"/>
    <m/>
    <n v="0"/>
    <n v="531"/>
    <m/>
    <m/>
    <m/>
    <m/>
    <m/>
    <m/>
    <m/>
    <x v="0"/>
  </r>
  <r>
    <s v="18/08/2025"/>
    <x v="2"/>
    <s v="001"/>
    <s v="08-000265"/>
    <x v="1"/>
    <s v="91.06.01"/>
    <s v="Operaciones"/>
    <s v="Transporte de carga RQ.OPE.1378 OS 005_714"/>
    <s v="10439205666"/>
    <s v="PFOCCO ZUNIGA YASMINA"/>
    <x v="0"/>
    <s v="FACTURA"/>
    <s v="E001"/>
    <n v="542"/>
    <n v="423.73"/>
    <m/>
    <n v="76.2714"/>
    <m/>
    <n v="0"/>
    <n v="500"/>
    <m/>
    <m/>
    <m/>
    <m/>
    <m/>
    <s v="63.1.1.1.01"/>
    <s v="Transporte de carga RQ.OPE.1378 OS 005_714"/>
    <x v="21"/>
  </r>
  <r>
    <s v="18/08/2025"/>
    <x v="2"/>
    <s v="001"/>
    <s v="08-000266"/>
    <x v="1"/>
    <s v="91.06.02.08"/>
    <s v="Montacarga"/>
    <s v="Alquiler de montacarga RQ.OPE.1370"/>
    <s v="10425371652"/>
    <s v="PALOMINO DAVILA MARCOS ANTONIO"/>
    <x v="0"/>
    <s v="FACTURA"/>
    <s v="E001"/>
    <n v="5283"/>
    <n v="50"/>
    <m/>
    <n v="9"/>
    <m/>
    <n v="0"/>
    <n v="59"/>
    <m/>
    <m/>
    <m/>
    <m/>
    <m/>
    <s v="63.5.4.1.01"/>
    <s v="Alquiler de montacarga RQ.OPE.1370"/>
    <x v="16"/>
  </r>
  <r>
    <s v="22/08/2025"/>
    <x v="2"/>
    <s v="001"/>
    <s v="08-000267"/>
    <x v="1"/>
    <s v="91.06.02.01"/>
    <s v="V9R_903"/>
    <s v="Peaje 25239"/>
    <s v="20517252558"/>
    <s v="CONCESIONARIA VIAL DEL SUR S.A.- COVISUR S.A."/>
    <x v="0"/>
    <s v="FACTURA"/>
    <s v="F212"/>
    <n v="1819437"/>
    <n v="10.17"/>
    <m/>
    <n v="1.8306"/>
    <m/>
    <n v="0"/>
    <n v="12"/>
    <m/>
    <m/>
    <m/>
    <m/>
    <s v="25239"/>
    <s v="63.1.1.3.02"/>
    <s v="Peaje 25239"/>
    <x v="8"/>
  </r>
  <r>
    <s v="22/08/2025"/>
    <x v="2"/>
    <s v="001"/>
    <s v="08-000268"/>
    <x v="1"/>
    <s v="91.06.02.01"/>
    <s v="V9R_903"/>
    <s v="Peaje 25290"/>
    <s v="20517252558"/>
    <s v="CONCESIONARIA VIAL DEL SUR S.A.- COVISUR S.A."/>
    <x v="0"/>
    <s v="FACTURA"/>
    <s v="F214"/>
    <n v="2153404"/>
    <n v="10.17"/>
    <m/>
    <n v="1.8306"/>
    <m/>
    <n v="0"/>
    <n v="12"/>
    <m/>
    <m/>
    <m/>
    <m/>
    <s v="25290"/>
    <s v="63.1.1.3.02"/>
    <s v="Peaje 25290"/>
    <x v="8"/>
  </r>
  <r>
    <s v="22/08/2025"/>
    <x v="2"/>
    <s v="001"/>
    <s v="08-000269"/>
    <x v="1"/>
    <s v="91.06.02.07"/>
    <s v="VDJ_872"/>
    <s v="Balanza 25238"/>
    <s v="20612112500"/>
    <s v="RECICLADORA LAS LOMAS E.I.R.L."/>
    <x v="0"/>
    <s v="FACTURA"/>
    <s v="FT01"/>
    <n v="2267"/>
    <n v="8.4700000000000006"/>
    <m/>
    <n v="1.5246"/>
    <m/>
    <n v="0"/>
    <n v="10"/>
    <m/>
    <m/>
    <m/>
    <m/>
    <s v="25238"/>
    <s v="63.1.1.7.02"/>
    <s v="Balanza 25238"/>
    <x v="1"/>
  </r>
  <r>
    <s v="22/08/2025"/>
    <x v="2"/>
    <s v="001"/>
    <s v="08-000270"/>
    <x v="1"/>
    <s v="91.06.02.07"/>
    <s v="VDJ_872"/>
    <s v="Balanza 25237"/>
    <s v="20612112500"/>
    <s v="RECICLADORA LAS LOMAS E.I.R.L."/>
    <x v="0"/>
    <s v="FACTURA"/>
    <s v="FT01"/>
    <n v="2257"/>
    <n v="8.4700000000000006"/>
    <m/>
    <n v="1.5246"/>
    <m/>
    <n v="0"/>
    <n v="10"/>
    <m/>
    <m/>
    <m/>
    <m/>
    <s v="25237"/>
    <s v="63.1.1.7.02"/>
    <s v="Balanza 25237"/>
    <x v="1"/>
  </r>
  <r>
    <s v="21/08/2025"/>
    <x v="2"/>
    <s v="001"/>
    <s v="08-000271"/>
    <x v="1"/>
    <s v="91.06.02.07"/>
    <s v="VDJ_872"/>
    <s v="Peaje 25228"/>
    <s v="20517252558"/>
    <s v="CONCESIONARIA VIAL DEL SUR S.A.- COVISUR S.A."/>
    <x v="0"/>
    <s v="FACTURA"/>
    <s v="F212"/>
    <n v="1818310"/>
    <n v="6.78"/>
    <m/>
    <n v="1.2203999999999999"/>
    <m/>
    <n v="0"/>
    <n v="8"/>
    <m/>
    <m/>
    <m/>
    <m/>
    <s v="25228"/>
    <s v="63.1.1.3.02"/>
    <s v="Peaje 25228"/>
    <x v="8"/>
  </r>
  <r>
    <s v="21/08/2025"/>
    <x v="2"/>
    <s v="001"/>
    <s v="08-000272"/>
    <x v="1"/>
    <s v="91.06.02.07"/>
    <s v="VDJ_872"/>
    <s v="Peaje 25227"/>
    <s v="20517252558"/>
    <s v="CONCESIONARIA VIAL DEL SUR S.A.- COVISUR S.A."/>
    <x v="0"/>
    <s v="FACTURA"/>
    <s v="F214"/>
    <n v="2152263"/>
    <n v="6.78"/>
    <m/>
    <n v="1.2203999999999999"/>
    <m/>
    <n v="0"/>
    <n v="8"/>
    <m/>
    <m/>
    <m/>
    <m/>
    <s v="25227"/>
    <s v="63.1.1.3.02"/>
    <s v="Peaje 25227"/>
    <x v="8"/>
  </r>
  <r>
    <s v="21/08/2025"/>
    <x v="2"/>
    <s v="001"/>
    <s v="08-000273"/>
    <x v="1"/>
    <s v="91.06.02.07"/>
    <s v="VDJ_872"/>
    <s v="Balanza 25222"/>
    <s v="20124952850"/>
    <s v="ALIMENTOS Y SERVICIOS AGROPECUARIOS SRL."/>
    <x v="0"/>
    <s v="FACTURA"/>
    <s v="F002"/>
    <n v="135806"/>
    <n v="8.4700000000000006"/>
    <m/>
    <n v="1.5246"/>
    <m/>
    <n v="0"/>
    <n v="10"/>
    <m/>
    <m/>
    <m/>
    <m/>
    <s v="25222"/>
    <s v="63.1.1.7.01"/>
    <s v="Balanza 25222"/>
    <x v="11"/>
  </r>
  <r>
    <s v="22/08/2025"/>
    <x v="2"/>
    <s v="001"/>
    <s v="08-000274"/>
    <x v="1"/>
    <s v="91.06.02.07"/>
    <s v="VDJ_872"/>
    <s v="Balanza 25232"/>
    <s v="20124952850"/>
    <s v="ALIMENTOS Y SERVICIOS AGROPECUARIOS SRL."/>
    <x v="0"/>
    <s v="FACTURA"/>
    <s v="F002"/>
    <n v="135848"/>
    <n v="8.4700000000000006"/>
    <m/>
    <n v="1.5246"/>
    <m/>
    <n v="0"/>
    <n v="10"/>
    <m/>
    <m/>
    <m/>
    <m/>
    <s v="25232"/>
    <s v="63.1.1.7.01"/>
    <s v="Balanza 25232"/>
    <x v="11"/>
  </r>
  <r>
    <s v="14/08/2025"/>
    <x v="2"/>
    <s v="001"/>
    <s v="08-000275"/>
    <x v="1"/>
    <s v="91.06.02.03"/>
    <s v="BKL_739"/>
    <s v="Balanza"/>
    <s v="20612112500"/>
    <s v="RECICLADORA LAS LOMAS E.I.R.L."/>
    <x v="0"/>
    <s v="FACTURA"/>
    <s v="FT01"/>
    <n v="2142"/>
    <n v="8.4700000000000006"/>
    <m/>
    <n v="1.5246"/>
    <m/>
    <n v="0"/>
    <n v="10"/>
    <m/>
    <m/>
    <m/>
    <m/>
    <m/>
    <s v="63.1.1.7.01"/>
    <s v="Balanza"/>
    <x v="11"/>
  </r>
  <r>
    <s v="14/08/2025"/>
    <x v="2"/>
    <s v="001"/>
    <s v="08-000276"/>
    <x v="1"/>
    <s v="91.06.02.03"/>
    <s v="BKL_739"/>
    <s v="Peaje"/>
    <s v="20517252558"/>
    <s v="CONCESIONARIA VIAL DEL SUR S.A.- COVISUR S.A."/>
    <x v="0"/>
    <s v="FACTURA"/>
    <s v="F314"/>
    <n v="1918350"/>
    <n v="6.53"/>
    <m/>
    <n v="1.1754"/>
    <m/>
    <n v="0"/>
    <n v="7.7"/>
    <m/>
    <m/>
    <m/>
    <m/>
    <m/>
    <s v="63.1.1.3.02"/>
    <s v="Peaje"/>
    <x v="8"/>
  </r>
  <r>
    <s v="14/08/2025"/>
    <x v="2"/>
    <s v="001"/>
    <s v="08-000277"/>
    <x v="1"/>
    <s v="91.06.02.03"/>
    <s v="BKL_739"/>
    <s v="Peaje"/>
    <s v="20517252558"/>
    <s v="CONCESIONARIA VIAL DEL SUR S.A.- COVISUR S.A."/>
    <x v="0"/>
    <s v="FACTURA"/>
    <s v="F311"/>
    <n v="1869915"/>
    <n v="6.53"/>
    <m/>
    <n v="1.1754"/>
    <m/>
    <n v="0"/>
    <n v="7.7"/>
    <m/>
    <m/>
    <m/>
    <m/>
    <m/>
    <s v="63.1.1.3.02"/>
    <s v="Peaje"/>
    <x v="8"/>
  </r>
  <r>
    <s v="25/08/2025"/>
    <x v="2"/>
    <s v="001"/>
    <s v="08-000278"/>
    <x v="1"/>
    <s v="91.05.01"/>
    <s v="Residuos Aprovechables"/>
    <s v="Alambron OC 360"/>
    <s v="20100192064"/>
    <s v="MOLY-COP ADESUR S.A."/>
    <x v="0"/>
    <s v="FACTURA"/>
    <s v="F002"/>
    <n v="16687"/>
    <n v="442.16"/>
    <m/>
    <n v="79.588800000000006"/>
    <m/>
    <n v="0"/>
    <n v="521.74"/>
    <m/>
    <m/>
    <m/>
    <m/>
    <s v="OC 360"/>
    <s v="60.2.1.1"/>
    <s v="Alambron OC 360"/>
    <x v="6"/>
  </r>
  <r>
    <s v="04/08/2025"/>
    <x v="2"/>
    <s v="001"/>
    <s v="08-000279"/>
    <x v="1"/>
    <s v="91.05.01"/>
    <s v="Residuos Aprovechables"/>
    <s v="Carton y papel OC 249"/>
    <s v="20456565353"/>
    <s v="ASOCIACION DE AYUDA AL NINO QUEMADO"/>
    <x v="0"/>
    <s v="FACTURA"/>
    <s v="E001"/>
    <n v="2827"/>
    <n v="124.49"/>
    <m/>
    <n v="22.408199999999997"/>
    <m/>
    <n v="0"/>
    <n v="146.9"/>
    <m/>
    <m/>
    <m/>
    <m/>
    <s v="OC 249"/>
    <s v="60.2.1.1"/>
    <s v="Carton y papel OC 249"/>
    <x v="6"/>
  </r>
  <r>
    <s v="22/08/2025"/>
    <x v="2"/>
    <s v="001"/>
    <s v="08-000280"/>
    <x v="1"/>
    <s v="91.06.02.07"/>
    <s v="VDJ_872"/>
    <s v="Revisión Técnica Vehicular RQ.OPE.1316 OS 006_170"/>
    <s v="20602484425"/>
    <s v="CENTRO DE INSPECCIONES TECNICAS DEL SUR S.A.C."/>
    <x v="0"/>
    <s v="FACTURA"/>
    <s v="F001"/>
    <n v="37490"/>
    <n v="84.75"/>
    <m/>
    <n v="15.254999999999999"/>
    <m/>
    <n v="0"/>
    <n v="100"/>
    <m/>
    <m/>
    <m/>
    <m/>
    <m/>
    <s v="63.4.3.1.01"/>
    <s v="Revisión Técnica Vehicular RQ.OPE.1316 OS 006_170"/>
    <x v="4"/>
  </r>
  <r>
    <s v="22/08/2025"/>
    <x v="2"/>
    <s v="001"/>
    <s v="08-000281"/>
    <x v="1"/>
    <s v="91.06.02.07"/>
    <s v="VDJ_872"/>
    <s v="Revisión Técnica Vehicular RQ.OPE.1316 OS 006_170"/>
    <s v="20602484425"/>
    <s v="CENTRO DE INSPECCIONES TECNICAS DEL SUR S.A.C."/>
    <x v="0"/>
    <s v="FACTURA"/>
    <s v="F001"/>
    <n v="37491"/>
    <n v="101.69"/>
    <m/>
    <n v="18.304199999999998"/>
    <m/>
    <n v="0"/>
    <n v="120"/>
    <m/>
    <m/>
    <m/>
    <m/>
    <m/>
    <s v="63.4.3.1.01"/>
    <s v="Revisión Técnica Vehicular RQ.OPE.1316 OS 006_170"/>
    <x v="4"/>
  </r>
  <r>
    <s v="25/08/2025"/>
    <x v="2"/>
    <s v="001"/>
    <s v="08-000282"/>
    <x v="1"/>
    <s v="91.06.01"/>
    <s v="Operaciones"/>
    <s v="Transporte de servicio RQ.OPE.1383 OS 005_716"/>
    <s v="20606866861"/>
    <s v="TRANSPORTES PACORI J &amp; G EMPRESA INDIVIDUAL DE RESPONSABILIDAD LIMITADA"/>
    <x v="0"/>
    <s v="FACTURA"/>
    <s v="E001"/>
    <n v="350"/>
    <n v="423.73"/>
    <m/>
    <n v="76.2714"/>
    <m/>
    <n v="0"/>
    <n v="500"/>
    <m/>
    <m/>
    <m/>
    <m/>
    <m/>
    <s v="63.1.1.1.01"/>
    <s v="Transporte de servicio RQ.OPE.1383 OS 005_716"/>
    <x v="21"/>
  </r>
  <r>
    <s v="21/08/2025"/>
    <x v="2"/>
    <s v="001"/>
    <s v="08-000283"/>
    <x v="1"/>
    <s v="91.06.02.11"/>
    <s v="Tercerizados"/>
    <s v="Transporte de carga RQ.OPE.1378 OS 005_717"/>
    <s v="10211014194"/>
    <s v="CAPARACHIN BALDEON TEODOMIRO"/>
    <x v="0"/>
    <s v="FACTURA"/>
    <s v="E001"/>
    <n v="598"/>
    <n v="1500"/>
    <m/>
    <n v="270"/>
    <m/>
    <n v="0"/>
    <n v="1770"/>
    <m/>
    <m/>
    <m/>
    <m/>
    <m/>
    <s v="63.1.1.1.01"/>
    <s v="Transporte de carga RQ.OPE.1378 OS 005_717"/>
    <x v="21"/>
  </r>
  <r>
    <s v="01/08/2025"/>
    <x v="2"/>
    <s v="001"/>
    <s v="08-000284"/>
    <x v="1"/>
    <s v="91.06.01"/>
    <s v="Operaciones"/>
    <s v="Encomiendo 002_2419"/>
    <s v="20100686814"/>
    <s v="OLVA COURIER S.A.C"/>
    <x v="0"/>
    <s v="FACTURA"/>
    <s v="F352"/>
    <n v="77025"/>
    <n v="11.86"/>
    <m/>
    <n v="2.1347999999999998"/>
    <m/>
    <n v="0"/>
    <n v="13.99"/>
    <m/>
    <m/>
    <m/>
    <m/>
    <m/>
    <s v="63.1.2.1.01"/>
    <s v="Encomiendo 002_2419"/>
    <x v="2"/>
  </r>
  <r>
    <s v="08/08/2025"/>
    <x v="2"/>
    <s v="001"/>
    <s v="08-000285"/>
    <x v="1"/>
    <s v="91.06.01"/>
    <s v="Operaciones"/>
    <s v="Encomienda 002_2419"/>
    <s v="20100686814"/>
    <s v="OLVA COURIER S.A.C"/>
    <x v="0"/>
    <s v="FACTURA"/>
    <s v="F352"/>
    <n v="77061"/>
    <n v="11.86"/>
    <m/>
    <n v="2.1347999999999998"/>
    <m/>
    <n v="0"/>
    <n v="13.99"/>
    <m/>
    <m/>
    <m/>
    <m/>
    <m/>
    <s v="63.1.2.1.01"/>
    <s v="Encomienda 002_2419"/>
    <x v="2"/>
  </r>
  <r>
    <s v="12/08/2025"/>
    <x v="2"/>
    <s v="001"/>
    <s v="08-000286"/>
    <x v="1"/>
    <s v="91.06.02.04"/>
    <s v="VBB_840"/>
    <s v="Peaje 25166"/>
    <s v="20550372640"/>
    <s v="RUTAS DE LIMA S.A.C."/>
    <x v="0"/>
    <s v="FACTURA"/>
    <s v="F604"/>
    <n v="2332364"/>
    <n v="12.71"/>
    <m/>
    <n v="2.2878000000000003"/>
    <m/>
    <n v="0"/>
    <n v="15"/>
    <m/>
    <m/>
    <m/>
    <m/>
    <s v="25166"/>
    <s v="63.1.1.3.02"/>
    <s v="Peaje 25166"/>
    <x v="8"/>
  </r>
  <r>
    <s v="12/08/2025"/>
    <x v="2"/>
    <s v="001"/>
    <s v="08-000287"/>
    <x v="1"/>
    <s v="91.06.02.04"/>
    <s v="VBB_840"/>
    <s v="Peaje 25165"/>
    <s v="20550372640"/>
    <s v="RUTAS DE LIMA S.A.C."/>
    <x v="0"/>
    <s v="FACTURA"/>
    <s v="F207"/>
    <n v="1188228"/>
    <n v="12.71"/>
    <m/>
    <n v="2.2878000000000003"/>
    <m/>
    <n v="0"/>
    <n v="15"/>
    <m/>
    <m/>
    <m/>
    <m/>
    <s v="25165"/>
    <s v="63.1.1.3.02"/>
    <s v="Peaje 25165"/>
    <x v="8"/>
  </r>
  <r>
    <s v="21/08/2025"/>
    <x v="2"/>
    <s v="001"/>
    <s v="08-000288"/>
    <x v="1"/>
    <s v="91.06.02.04"/>
    <s v="VBB_840"/>
    <s v="Peaje 25235"/>
    <s v="20550372640"/>
    <s v="RUTAS DE LIMA S.A.C."/>
    <x v="0"/>
    <s v="FACTURA"/>
    <s v="F602"/>
    <n v="3801852"/>
    <n v="12.71"/>
    <m/>
    <n v="2.2878000000000003"/>
    <m/>
    <n v="0"/>
    <n v="15"/>
    <m/>
    <m/>
    <m/>
    <m/>
    <s v="25235"/>
    <s v="63.1.1.3.02"/>
    <s v="Peaje 25235"/>
    <x v="8"/>
  </r>
  <r>
    <s v="21/08/2025"/>
    <x v="2"/>
    <s v="001"/>
    <s v="08-000289"/>
    <x v="1"/>
    <s v="91.06.02.04"/>
    <s v="VBB_840"/>
    <s v="Peaje 25234"/>
    <s v="20550372640"/>
    <s v="RUTAS DE LIMA S.A.C."/>
    <x v="0"/>
    <s v="FACTURA"/>
    <s v="F209"/>
    <n v="2016842"/>
    <n v="12.71"/>
    <m/>
    <n v="2.2878000000000003"/>
    <m/>
    <n v="0"/>
    <n v="15"/>
    <m/>
    <m/>
    <m/>
    <m/>
    <s v="25234"/>
    <s v="63.1.1.3.02"/>
    <s v="Peaje 25234"/>
    <x v="8"/>
  </r>
  <r>
    <s v="19/08/2025"/>
    <x v="2"/>
    <s v="001"/>
    <s v="08-000290"/>
    <x v="1"/>
    <s v="91.06.02.04"/>
    <s v="VBB_840"/>
    <s v="Lavado 25200"/>
    <s v="20514148539"/>
    <s v="NEGOCIACIONES ABBYCORP E.I.R.L."/>
    <x v="0"/>
    <s v="FACTURA"/>
    <s v="F006"/>
    <n v="42801"/>
    <n v="46.61"/>
    <m/>
    <n v="8.3897999999999993"/>
    <m/>
    <n v="0"/>
    <n v="55"/>
    <m/>
    <m/>
    <m/>
    <m/>
    <s v="25200"/>
    <s v="63.1.1.3.02"/>
    <s v="Lavado 25200"/>
    <x v="8"/>
  </r>
  <r>
    <s v="25/07/2025"/>
    <x v="2"/>
    <s v="001"/>
    <s v="08-000291"/>
    <x v="0"/>
    <m/>
    <m/>
    <m/>
    <s v="20550372640"/>
    <s v="RUTAS DE LIMA S.A.C."/>
    <x v="0"/>
    <s v="FACTURA"/>
    <s v="F218"/>
    <s v="1665602"/>
    <n v="12.71"/>
    <m/>
    <n v="2.29"/>
    <m/>
    <n v="0"/>
    <n v="15"/>
    <m/>
    <m/>
    <m/>
    <m/>
    <s v="25201"/>
    <m/>
    <m/>
    <x v="0"/>
  </r>
  <r>
    <s v="25/07/2025"/>
    <x v="2"/>
    <s v="001"/>
    <s v="08-000292"/>
    <x v="0"/>
    <m/>
    <m/>
    <m/>
    <s v="20550372640"/>
    <s v="RUTAS DE LIMA S.A.C."/>
    <x v="0"/>
    <s v="FACTURA"/>
    <s v="F602"/>
    <s v="3775877"/>
    <n v="12.71"/>
    <m/>
    <n v="2.29"/>
    <m/>
    <n v="0"/>
    <n v="15"/>
    <m/>
    <m/>
    <m/>
    <m/>
    <s v="25202"/>
    <m/>
    <m/>
    <x v="0"/>
  </r>
  <r>
    <s v="18/08/2025"/>
    <x v="2"/>
    <s v="001"/>
    <s v="08-000293"/>
    <x v="0"/>
    <s v="94.01"/>
    <s v="Administracion"/>
    <s v="Teléfono Fijo"/>
    <s v="20100017491"/>
    <s v="TELEFONICA DEL PERU SAA"/>
    <x v="3"/>
    <s v="RECIBO POR SERV. PUBLICOS"/>
    <s v="S5AA"/>
    <n v="73504685"/>
    <n v="121.1"/>
    <m/>
    <n v="21.797999999999998"/>
    <m/>
    <s v="                                -  "/>
    <n v="142.9"/>
    <m/>
    <m/>
    <m/>
    <m/>
    <m/>
    <s v="63.6.4.1"/>
    <s v="Teléfono Fijo"/>
    <x v="0"/>
  </r>
  <r>
    <s v="26/08/2025"/>
    <x v="2"/>
    <s v="001"/>
    <s v="08-000294"/>
    <x v="1"/>
    <s v="91.06.02.06"/>
    <s v="VBW_889"/>
    <s v="Peaje"/>
    <s v="20517252558"/>
    <s v="CONCESIONARIA VIAL DEL SUR S.A.- COVISUR S.A."/>
    <x v="0"/>
    <s v="FACTURA"/>
    <s v="F212"/>
    <n v="1822835"/>
    <n v="4.24"/>
    <m/>
    <n v="0.76319999999999999"/>
    <m/>
    <s v="                                -  "/>
    <n v="5"/>
    <m/>
    <m/>
    <m/>
    <m/>
    <m/>
    <s v="63.1.1.3.02"/>
    <s v="Peaje"/>
    <x v="8"/>
  </r>
  <r>
    <s v="26/08/2025"/>
    <x v="2"/>
    <s v="001"/>
    <s v="08-000295"/>
    <x v="1"/>
    <s v="91.06.02.06"/>
    <s v="VBW_889"/>
    <s v="Balanza"/>
    <s v="20259858934"/>
    <s v="COMERCIALIZACION Y SERVICIOS EL EDEN S.A.C."/>
    <x v="0"/>
    <s v="FACTURA"/>
    <s v="FE02"/>
    <n v="17491"/>
    <n v="16.95"/>
    <m/>
    <n v="3.0509999999999997"/>
    <m/>
    <s v="                                -  "/>
    <n v="20"/>
    <m/>
    <m/>
    <m/>
    <m/>
    <m/>
    <s v="63.1.1.7.01"/>
    <s v="Balanza"/>
    <x v="11"/>
  </r>
  <r>
    <s v="20/08/2025"/>
    <x v="2"/>
    <s v="001"/>
    <s v="08-000296"/>
    <x v="0"/>
    <s v="94.01"/>
    <s v="Administracion"/>
    <s v="Correo Corporativo (Plan de Servicios de Valor Agregado)"/>
    <s v="20467534026"/>
    <s v="AMERICA MOVIL PERU S.A.C."/>
    <x v="0"/>
    <s v="FACTURA"/>
    <s v="F015"/>
    <n v="309951"/>
    <n v="10.65"/>
    <m/>
    <n v="1.917"/>
    <m/>
    <s v="                                -  "/>
    <n v="12.57"/>
    <m/>
    <m/>
    <m/>
    <m/>
    <m/>
    <s v="63.6.8.1"/>
    <s v="Correo Corporativo (Plan de Servicios de Valor Agregado)"/>
    <x v="0"/>
  </r>
  <r>
    <s v="20/08/2025"/>
    <x v="2"/>
    <s v="001"/>
    <s v="08-000297"/>
    <x v="0"/>
    <s v="94.01"/>
    <s v="Administracion"/>
    <s v="Correo Corporativo (Plan de Servicios de Valor Agregado)"/>
    <s v="20467534026"/>
    <s v="AMERICA MOVIL PERU S.A.C."/>
    <x v="0"/>
    <s v="FACTURA"/>
    <s v="F015"/>
    <n v="309950"/>
    <n v="528"/>
    <m/>
    <n v="95.039999999999992"/>
    <m/>
    <s v="                                -  "/>
    <n v="623.04"/>
    <m/>
    <m/>
    <m/>
    <m/>
    <m/>
    <s v="63.6.8.1"/>
    <s v="Correo Corporativo (Plan de Servicios de Valor Agregado)"/>
    <x v="0"/>
  </r>
  <r>
    <s v="23/08/2025"/>
    <x v="2"/>
    <s v="001"/>
    <s v="08-000298"/>
    <x v="0"/>
    <s v="94.04"/>
    <s v="Gestion Humana"/>
    <s v="Vigilancia Médica  Julio_Agosto RQ.GH.232"/>
    <s v="10295579221"/>
    <s v="BERNAL TODCO LUIS ALBERTO"/>
    <x v="0"/>
    <s v="FACTURA"/>
    <s v="E001"/>
    <n v="48"/>
    <n v="1016.95"/>
    <m/>
    <n v="183.05099999999999"/>
    <m/>
    <s v="                                -  "/>
    <n v="1200"/>
    <m/>
    <m/>
    <m/>
    <m/>
    <m/>
    <s v="62.5.1.1.01"/>
    <s v="Vigilancia Médica  Julio_Agosto RQ.GH.232"/>
    <x v="30"/>
  </r>
  <r>
    <s v="26/08/2025"/>
    <x v="2"/>
    <s v="001"/>
    <s v="08-000299"/>
    <x v="0"/>
    <s v="94.07"/>
    <s v="Sistemas y TI"/>
    <s v="Swich _ Equipos de cómputo y accesorios RQ.STI.105"/>
    <s v="20539522320"/>
    <s v="WIRELESS CONEXION E.I.R.L."/>
    <x v="0"/>
    <s v="FACTURA"/>
    <s v="F002"/>
    <n v="2608"/>
    <n v="33.9"/>
    <m/>
    <n v="6.1019999999999994"/>
    <m/>
    <s v="                                -  "/>
    <n v="40"/>
    <m/>
    <m/>
    <m/>
    <m/>
    <m/>
    <s v="65.6.1.1.04"/>
    <s v="Swich _ Equipos de cómputo y accesorios RQ.STI.105"/>
    <x v="0"/>
  </r>
  <r>
    <s v="25/08/2025"/>
    <x v="2"/>
    <s v="001"/>
    <s v="08-000300"/>
    <x v="0"/>
    <s v="94.05"/>
    <s v="SSOMA"/>
    <s v="Inducciones Externas Basica de seguridad RQ.SSO.268"/>
    <s v="20610912070"/>
    <s v="CRECE NEGOCIOS S.A.C."/>
    <x v="0"/>
    <s v="FACTURA"/>
    <s v="E001"/>
    <n v="54"/>
    <n v="50.85"/>
    <m/>
    <n v="9.1530000000000005"/>
    <m/>
    <s v="                                -  "/>
    <n v="60"/>
    <m/>
    <m/>
    <m/>
    <m/>
    <m/>
    <s v="63.2.5.3"/>
    <s v="Inducciones Externas Basica de seguridad RQ.SSO.268"/>
    <x v="0"/>
  </r>
  <r>
    <s v="25/08/2025"/>
    <x v="2"/>
    <s v="001"/>
    <s v="08-000301"/>
    <x v="0"/>
    <s v="94.05"/>
    <s v="SSOMA"/>
    <s v="Inducciones Externas Basica de seguridad RQ.SSO.267"/>
    <s v="20610912070"/>
    <s v="CRECE NEGOCIOS S.A.C."/>
    <x v="0"/>
    <s v="FACTURA"/>
    <s v="E001"/>
    <n v="56"/>
    <n v="50.85"/>
    <m/>
    <n v="9.1530000000000005"/>
    <m/>
    <s v="                                -  "/>
    <n v="60"/>
    <m/>
    <m/>
    <m/>
    <m/>
    <m/>
    <s v="63.2.5.3"/>
    <s v="Inducciones Externas Basica de seguridad RQ.SSO.267"/>
    <x v="0"/>
  </r>
  <r>
    <s v="25/08/2025"/>
    <x v="2"/>
    <s v="001"/>
    <s v="08-000302"/>
    <x v="0"/>
    <s v="94.05"/>
    <s v="SSOMA"/>
    <s v="Inducciones Externas Basica de seguridad RQ.SSO.274"/>
    <s v="20610912070"/>
    <s v="CRECE NEGOCIOS S.A.C."/>
    <x v="0"/>
    <s v="FACTURA"/>
    <s v="E001"/>
    <n v="53"/>
    <n v="152.54"/>
    <m/>
    <n v="27.457199999999997"/>
    <m/>
    <s v="                                -  "/>
    <n v="180"/>
    <m/>
    <m/>
    <m/>
    <m/>
    <m/>
    <s v="63.2.5.3"/>
    <s v="Inducciones Externas Basica de seguridad RQ.SSO.274"/>
    <x v="0"/>
  </r>
  <r>
    <s v="22/08/2025"/>
    <x v="2"/>
    <s v="001"/>
    <s v="08-000303"/>
    <x v="3"/>
    <s v="97.01"/>
    <s v="Gastos Financieros"/>
    <s v="Comisión _ Giros y transferencias"/>
    <s v="20100047218"/>
    <s v="BANCO DE CREDITO DEL PERU"/>
    <x v="0"/>
    <s v="FACTURA"/>
    <s v="FN01"/>
    <n v="36182178"/>
    <m/>
    <m/>
    <n v="0"/>
    <m/>
    <n v="10.5"/>
    <n v="10.5"/>
    <m/>
    <m/>
    <m/>
    <m/>
    <m/>
    <s v="63.9.1.1.05"/>
    <s v="Comisión _ Giros y transferencias"/>
    <x v="0"/>
  </r>
  <r>
    <s v="22/08/2025"/>
    <x v="2"/>
    <s v="001"/>
    <s v="08-000304"/>
    <x v="3"/>
    <s v="97.01"/>
    <s v="Gastos Financieros"/>
    <s v="Comisión _ Detracción"/>
    <s v="20100047218"/>
    <s v="BANCO DE CREDITO DEL PERU"/>
    <x v="0"/>
    <s v="FACTURA"/>
    <s v="FN01"/>
    <n v="36178159"/>
    <m/>
    <m/>
    <n v="0"/>
    <m/>
    <n v="10"/>
    <n v="10"/>
    <m/>
    <m/>
    <m/>
    <m/>
    <m/>
    <s v="63.9.1.1.06"/>
    <s v="Comisión _ Detracción"/>
    <x v="0"/>
  </r>
  <r>
    <s v="21/08/2025"/>
    <x v="2"/>
    <s v="001"/>
    <s v="08-000305"/>
    <x v="3"/>
    <s v="97.01"/>
    <s v="Gastos Financieros"/>
    <s v="Comisión _ Giros y transferencias"/>
    <s v="20100047218"/>
    <s v="BANCO DE CREDITO DEL PERU"/>
    <x v="0"/>
    <s v="FACTURA"/>
    <s v="FN01"/>
    <n v="36153787"/>
    <m/>
    <m/>
    <n v="0"/>
    <m/>
    <n v="12.7"/>
    <n v="12.7"/>
    <m/>
    <m/>
    <m/>
    <m/>
    <m/>
    <s v="63.9.1.1.05"/>
    <s v="Comisión _ Giros y transferencias"/>
    <x v="0"/>
  </r>
  <r>
    <s v="21/08/2025"/>
    <x v="2"/>
    <s v="001"/>
    <s v="08-000306"/>
    <x v="3"/>
    <s v="97.01"/>
    <s v="Gastos Financieros"/>
    <s v="Comisión _ Detracción"/>
    <s v="20100047218"/>
    <s v="BANCO DE CREDITO DEL PERU"/>
    <x v="0"/>
    <s v="FACTURA"/>
    <s v="FN01"/>
    <n v="36147787"/>
    <m/>
    <m/>
    <n v="0"/>
    <m/>
    <n v="3.5"/>
    <n v="3.5"/>
    <m/>
    <m/>
    <m/>
    <m/>
    <m/>
    <s v="63.9.1.1.06"/>
    <s v="Comisión _ Detracción"/>
    <x v="0"/>
  </r>
  <r>
    <s v="20/08/2025"/>
    <x v="2"/>
    <s v="001"/>
    <s v="08-000307"/>
    <x v="3"/>
    <s v="97.01"/>
    <s v="Gastos Financieros"/>
    <s v="Comisión _ Giros y transferencias"/>
    <s v="20100047218"/>
    <s v="BANCO DE CREDITO DEL PERU"/>
    <x v="0"/>
    <s v="FACTURA"/>
    <s v="FN01"/>
    <n v="36132771"/>
    <m/>
    <m/>
    <n v="0"/>
    <m/>
    <n v="10.5"/>
    <n v="10.5"/>
    <m/>
    <m/>
    <m/>
    <m/>
    <m/>
    <s v="63.9.1.1.05"/>
    <s v="Comisión _ Giros y transferencias"/>
    <x v="0"/>
  </r>
  <r>
    <s v="19/08/2025"/>
    <x v="2"/>
    <s v="001"/>
    <s v="08-000308"/>
    <x v="3"/>
    <s v="97.01"/>
    <s v="Gastos Financieros"/>
    <s v="Comisión _ Giros y transferencias"/>
    <s v="20100047218"/>
    <s v="BANCO DE CREDITO DEL PERU"/>
    <x v="0"/>
    <s v="FACTURA"/>
    <s v="FN01"/>
    <n v="36077173"/>
    <m/>
    <m/>
    <n v="0"/>
    <m/>
    <n v="10.5"/>
    <n v="10.5"/>
    <m/>
    <m/>
    <m/>
    <m/>
    <m/>
    <s v="63.9.1.1.05"/>
    <s v="Comisión _ Giros y transferencias"/>
    <x v="0"/>
  </r>
  <r>
    <s v="19/08/2025"/>
    <x v="2"/>
    <s v="001"/>
    <s v="08-000309"/>
    <x v="3"/>
    <s v="97.01"/>
    <s v="Gastos Financieros"/>
    <s v="Comisión _ Detracción"/>
    <s v="20100047218"/>
    <s v="BANCO DE CREDITO DEL PERU"/>
    <x v="0"/>
    <s v="FACTURA"/>
    <s v="FN01"/>
    <n v="36068959"/>
    <m/>
    <m/>
    <n v="0"/>
    <m/>
    <n v="10"/>
    <n v="10"/>
    <m/>
    <m/>
    <m/>
    <m/>
    <m/>
    <s v="63.9.1.1.06"/>
    <s v="Comisión _ Detracción"/>
    <x v="0"/>
  </r>
  <r>
    <s v="18/08/2025"/>
    <x v="2"/>
    <s v="001"/>
    <s v="08-000310"/>
    <x v="3"/>
    <s v="97.01"/>
    <s v="Gastos Financieros"/>
    <s v="Mantenimiento"/>
    <s v="20100047218"/>
    <s v="BANCO DE CREDITO DEL PERU"/>
    <x v="0"/>
    <s v="FACTURA"/>
    <s v="FN01"/>
    <n v="36003598"/>
    <m/>
    <m/>
    <n v="0"/>
    <m/>
    <n v="10"/>
    <n v="10"/>
    <m/>
    <m/>
    <m/>
    <m/>
    <m/>
    <s v="63.9.1.1.02"/>
    <s v="Mantenimiento"/>
    <x v="0"/>
  </r>
  <r>
    <s v="18/08/2025"/>
    <x v="2"/>
    <s v="001"/>
    <s v="08-000311"/>
    <x v="3"/>
    <s v="97.01"/>
    <s v="Gastos Financieros"/>
    <s v="Mantenimiento"/>
    <s v="20100047218"/>
    <s v="BANCO DE CREDITO DEL PERU"/>
    <x v="0"/>
    <s v="FACTURA"/>
    <s v="FN01"/>
    <n v="35928154"/>
    <m/>
    <m/>
    <n v="0"/>
    <m/>
    <n v="10"/>
    <n v="10"/>
    <m/>
    <m/>
    <m/>
    <m/>
    <m/>
    <s v="63.9.1.1.02"/>
    <s v="Mantenimiento"/>
    <x v="0"/>
  </r>
  <r>
    <s v="15/08/2025"/>
    <x v="2"/>
    <s v="001"/>
    <s v="08-000312"/>
    <x v="3"/>
    <s v="97.01"/>
    <s v="Gastos Financieros"/>
    <s v="Mantenimiento"/>
    <s v="20100047218"/>
    <s v="BANCO DE CREDITO DEL PERU"/>
    <x v="0"/>
    <s v="FACTURA"/>
    <s v="FN01"/>
    <n v="35651935"/>
    <m/>
    <m/>
    <n v="0"/>
    <m/>
    <n v="20"/>
    <n v="20"/>
    <m/>
    <m/>
    <m/>
    <m/>
    <m/>
    <s v="63.9.1.1.02"/>
    <s v="Mantenimiento"/>
    <x v="0"/>
  </r>
  <r>
    <s v="13/08/2025"/>
    <x v="2"/>
    <s v="001"/>
    <s v="08-000313"/>
    <x v="3"/>
    <s v="97.01"/>
    <s v="Gastos Financieros"/>
    <s v="Comisión _ Giros y transferencias"/>
    <s v="20100047218"/>
    <s v="BANCO DE CREDITO DEL PERU"/>
    <x v="0"/>
    <s v="FACTURA"/>
    <s v="FN01"/>
    <n v="35646390"/>
    <m/>
    <m/>
    <n v="0"/>
    <m/>
    <n v="19.5"/>
    <n v="19.5"/>
    <m/>
    <m/>
    <m/>
    <m/>
    <m/>
    <s v="63.9.1.1.05"/>
    <s v="Comisión _ Giros y transferencias"/>
    <x v="0"/>
  </r>
  <r>
    <s v="13/08/2025"/>
    <x v="2"/>
    <s v="001"/>
    <s v="08-000314"/>
    <x v="3"/>
    <s v="97.01"/>
    <s v="Gastos Financieros"/>
    <s v="Comisión _ Detracción"/>
    <s v="20100047218"/>
    <s v="BANCO DE CREDITO DEL PERU"/>
    <x v="0"/>
    <s v="FACTURA"/>
    <s v="FN01"/>
    <n v="35625336"/>
    <m/>
    <m/>
    <n v="0"/>
    <m/>
    <n v="23.5"/>
    <n v="23.5"/>
    <m/>
    <m/>
    <m/>
    <m/>
    <m/>
    <s v="63.9.1.1.06"/>
    <s v="Comisión _ Detracción"/>
    <x v="0"/>
  </r>
  <r>
    <s v="11/08/2025"/>
    <x v="2"/>
    <s v="001"/>
    <s v="08-000315"/>
    <x v="3"/>
    <s v="97.01"/>
    <s v="Gastos Financieros"/>
    <s v="Comisión _ Giros y transferencias"/>
    <s v="20100047218"/>
    <s v="BANCO DE CREDITO DEL PERU"/>
    <x v="0"/>
    <s v="FACTURA"/>
    <s v="FN01"/>
    <n v="35557942"/>
    <m/>
    <m/>
    <n v="0"/>
    <m/>
    <n v="2.5"/>
    <n v="2.5"/>
    <m/>
    <m/>
    <m/>
    <m/>
    <m/>
    <s v="63.9.1.1.05"/>
    <s v="Comisión _ Giros y transferencias"/>
    <x v="0"/>
  </r>
  <r>
    <s v="07/08/2025"/>
    <x v="2"/>
    <s v="001"/>
    <s v="08-000316"/>
    <x v="3"/>
    <s v="97.01"/>
    <s v="Gastos Financieros"/>
    <s v="Comisión _ Detracción"/>
    <s v="20100047218"/>
    <s v="BANCO DE CREDITO DEL PERU"/>
    <x v="0"/>
    <s v="FACTURA"/>
    <s v="FN01"/>
    <n v="35455361"/>
    <m/>
    <m/>
    <n v="0"/>
    <m/>
    <n v="10"/>
    <n v="10"/>
    <m/>
    <m/>
    <m/>
    <m/>
    <m/>
    <s v="63.9.1.1.05"/>
    <s v="Comisión _ Detracción"/>
    <x v="0"/>
  </r>
  <r>
    <s v="04/08/2025"/>
    <x v="2"/>
    <s v="001"/>
    <s v="08-000317"/>
    <x v="3"/>
    <s v="97.01"/>
    <s v="Gastos Financieros"/>
    <s v="Comisión _ Detracción"/>
    <s v="20100047218"/>
    <s v="BANCO DE CREDITO DEL PERU"/>
    <x v="0"/>
    <s v="FACTURA"/>
    <s v="FN01"/>
    <n v="35354742"/>
    <m/>
    <m/>
    <n v="0"/>
    <m/>
    <n v="10"/>
    <n v="10"/>
    <m/>
    <m/>
    <m/>
    <m/>
    <m/>
    <s v="63.9.1.1.06"/>
    <s v="Comisión _ Detracción"/>
    <x v="0"/>
  </r>
  <r>
    <s v="08/08/2025"/>
    <x v="2"/>
    <s v="001"/>
    <s v="08-000318"/>
    <x v="1"/>
    <s v="91.06.01"/>
    <s v="Operaciones"/>
    <s v="Alojamiento"/>
    <s v="10405939504"/>
    <s v="SILVA ACHTAR ROGER KONRRAC"/>
    <x v="0"/>
    <s v="FACTURA"/>
    <s v="E001"/>
    <n v="1994"/>
    <n v="84.75"/>
    <m/>
    <n v="15.254999999999999"/>
    <m/>
    <s v="                                -  "/>
    <n v="100"/>
    <m/>
    <m/>
    <m/>
    <m/>
    <m/>
    <s v="63.1.3.1.01"/>
    <s v="Alojamiento"/>
    <x v="10"/>
  </r>
  <r>
    <s v="08/08/2025"/>
    <x v="2"/>
    <s v="001"/>
    <s v="08-000319"/>
    <x v="1"/>
    <s v="91.06.01"/>
    <s v="Operaciones"/>
    <s v="Trasporte de personal _viajes"/>
    <s v="20219774207"/>
    <s v="EMP CAPLINA TRANSP TURISTIC INTERNAC SRL"/>
    <x v="0"/>
    <s v="FACTURA"/>
    <s v="FA09"/>
    <n v="4896"/>
    <m/>
    <m/>
    <n v="0"/>
    <m/>
    <n v="20"/>
    <n v="20"/>
    <m/>
    <m/>
    <m/>
    <m/>
    <m/>
    <s v="63.1.1.2.03"/>
    <s v="Trasporte de personal _viajes"/>
    <x v="35"/>
  </r>
  <r>
    <s v="08/08/2025"/>
    <x v="2"/>
    <s v="001"/>
    <s v="08-000320"/>
    <x v="1"/>
    <s v="91.06.01"/>
    <s v="Operaciones"/>
    <s v="Transporte de personal_viajes"/>
    <s v="20219774207"/>
    <s v="EMP CAPLINA TRANSP TURISTIC INTERNAC SRL"/>
    <x v="0"/>
    <s v="FACTURA"/>
    <s v="FA09"/>
    <n v="4895"/>
    <m/>
    <m/>
    <n v="0"/>
    <m/>
    <n v="20"/>
    <n v="20"/>
    <m/>
    <m/>
    <m/>
    <m/>
    <m/>
    <s v="63.1.1.2.03"/>
    <s v="Transporte de personal_viajes"/>
    <x v="35"/>
  </r>
  <r>
    <s v="08/08/2025"/>
    <x v="2"/>
    <s v="001"/>
    <s v="08-000321"/>
    <x v="1"/>
    <s v="91.06.02.11"/>
    <s v="Tercerizados"/>
    <s v="Balanza"/>
    <s v="10218062186"/>
    <s v="YATACO FLORES JUAN DE DIOS"/>
    <x v="0"/>
    <s v="FACTURA"/>
    <s v="F001"/>
    <n v="1705"/>
    <n v="10"/>
    <m/>
    <n v="1.7999999999999998"/>
    <m/>
    <s v="                                -  "/>
    <n v="11.8"/>
    <m/>
    <m/>
    <m/>
    <m/>
    <m/>
    <s v="63.1.1.7.01"/>
    <s v="Balanza"/>
    <x v="11"/>
  </r>
  <r>
    <s v="08/08/2025"/>
    <x v="2"/>
    <s v="001"/>
    <s v="08-000322"/>
    <x v="1"/>
    <s v="91.06.02.11"/>
    <s v="Tercerizados"/>
    <s v="Balanza"/>
    <s v="10218062186"/>
    <s v="YATACO FLORES JUAN DE DIOS"/>
    <x v="0"/>
    <s v="FACTURA"/>
    <s v="F001"/>
    <n v="1702"/>
    <n v="10"/>
    <m/>
    <n v="1.7999999999999998"/>
    <m/>
    <s v="                                -  "/>
    <n v="11.8"/>
    <m/>
    <m/>
    <m/>
    <m/>
    <m/>
    <s v="63.1.1.7.01"/>
    <s v="Balanza"/>
    <x v="11"/>
  </r>
  <r>
    <s v="07/08/2025"/>
    <x v="2"/>
    <s v="001"/>
    <s v="08-000323"/>
    <x v="1"/>
    <s v="91.06.01"/>
    <s v="Operaciones"/>
    <s v="Transporte de personal _viajes"/>
    <s v="20106076635"/>
    <s v="EMPRESA DE TRANSPORTES PERU BUS S.A."/>
    <x v="0"/>
    <s v="FACTURA"/>
    <s v="FG08"/>
    <n v="468"/>
    <m/>
    <m/>
    <n v="0"/>
    <m/>
    <n v="18"/>
    <n v="18"/>
    <m/>
    <m/>
    <m/>
    <m/>
    <m/>
    <s v="63.1.1.2.03"/>
    <s v="Transporte de personal _viajes"/>
    <x v="35"/>
  </r>
  <r>
    <s v="07/08/2025"/>
    <x v="2"/>
    <s v="001"/>
    <s v="08-000324"/>
    <x v="1"/>
    <s v="91.06.01"/>
    <s v="Operaciones"/>
    <s v="Transporte de perosnal_ viajes"/>
    <s v="20106076635"/>
    <s v="EMPRESA DE TRANSPORTES PERU BUS S.A."/>
    <x v="0"/>
    <s v="FACTURA"/>
    <s v="FG08"/>
    <n v="469"/>
    <m/>
    <m/>
    <n v="0"/>
    <m/>
    <n v="18"/>
    <n v="18"/>
    <m/>
    <m/>
    <m/>
    <m/>
    <m/>
    <s v="63.1.1.2.03"/>
    <s v="Transporte de perosnal_ viajes"/>
    <x v="35"/>
  </r>
  <r>
    <s v="18/08/2025"/>
    <x v="2"/>
    <s v="001"/>
    <s v="08-000325"/>
    <x v="1"/>
    <s v="91.06.02.07"/>
    <s v="VDJ_872"/>
    <s v="Reparacion de llanta 25180"/>
    <s v="10294164630"/>
    <s v="FLORES FLORES DOLORES MARIA"/>
    <x v="0"/>
    <s v="FACTURA"/>
    <s v="F002"/>
    <n v="13959"/>
    <n v="21.19"/>
    <m/>
    <n v="3.8142"/>
    <m/>
    <s v="                                -  "/>
    <n v="25"/>
    <m/>
    <m/>
    <m/>
    <m/>
    <s v="25180"/>
    <s v="63.4.3.2.01"/>
    <s v="Reparacion de llanta 25180"/>
    <x v="5"/>
  </r>
  <r>
    <s v="18/08/2025"/>
    <x v="2"/>
    <s v="001"/>
    <s v="08-000326"/>
    <x v="1"/>
    <s v="91.06.02.02"/>
    <s v="BKK_849"/>
    <s v="Servicio de rotacion 25181"/>
    <s v="10294164630"/>
    <s v="FLORES FLORES DOLORES MARIA"/>
    <x v="0"/>
    <s v="FACTURA"/>
    <s v="F002"/>
    <n v="13970"/>
    <n v="8.4700000000000006"/>
    <m/>
    <n v="1.5246"/>
    <m/>
    <s v="                                -  "/>
    <n v="10"/>
    <m/>
    <m/>
    <m/>
    <m/>
    <s v="25181"/>
    <s v="63.4.3.2.01"/>
    <s v="Servicio de rotacion 25181"/>
    <x v="5"/>
  </r>
  <r>
    <s v="15/08/2025"/>
    <x v="2"/>
    <s v="001"/>
    <s v="08-000327"/>
    <x v="1"/>
    <s v="91.06.02.04"/>
    <s v="VBB_840"/>
    <s v="Accesorios Vehiculares: Compra de insumos de pintado 25176"/>
    <s v="10413228722"/>
    <s v="LLAMO FLORES CARLOS MANUEL"/>
    <x v="0"/>
    <s v="FACTURA"/>
    <s v="F001"/>
    <n v="7923"/>
    <n v="74.58"/>
    <m/>
    <n v="13.424399999999999"/>
    <m/>
    <s v="                                -  "/>
    <n v="88"/>
    <m/>
    <m/>
    <m/>
    <m/>
    <s v="25176"/>
    <s v="63.4.3.2.03"/>
    <s v="Accesorios Vehiculares: Compra de insumos de pintado 25176"/>
    <x v="18"/>
  </r>
  <r>
    <s v="15/08/2025"/>
    <x v="2"/>
    <s v="001"/>
    <s v="08-000328"/>
    <x v="1"/>
    <s v="91.06.02.04"/>
    <s v="VBB_840"/>
    <s v="Accesorios Vehiculares: Compra de soplete y base de pintura 25177"/>
    <s v="10413228722"/>
    <s v="LLAMO FLORES CARLOS MANUEL"/>
    <x v="0"/>
    <s v="FACTURA"/>
    <s v="F001"/>
    <n v="7924"/>
    <n v="70.34"/>
    <m/>
    <n v="12.661200000000001"/>
    <m/>
    <s v="                                -  "/>
    <n v="83"/>
    <m/>
    <m/>
    <m/>
    <m/>
    <s v="25177"/>
    <s v="63.4.3.2.03"/>
    <s v="Accesorios Vehiculares: Compra de soplete y base de pintura 25177"/>
    <x v="18"/>
  </r>
  <r>
    <s v="15/08/2025"/>
    <x v="2"/>
    <s v="001"/>
    <s v="08-000329"/>
    <x v="1"/>
    <s v="91.06.02.04"/>
    <s v="VBB_840"/>
    <s v="Accesorios Vehiculares: Compra de manguera, acople rápido, acople macho, acople hembra, abrazaderas"/>
    <s v="20601292727"/>
    <s v="H &amp; P MANGUERAS Y CONEXIONES S.A.C."/>
    <x v="0"/>
    <s v="FACTURA"/>
    <s v="F002"/>
    <n v="33914"/>
    <n v="43.22"/>
    <m/>
    <n v="7.7795999999999994"/>
    <m/>
    <s v="                                -  "/>
    <n v="51"/>
    <m/>
    <m/>
    <m/>
    <m/>
    <s v="25178"/>
    <s v="63.4.3.2.03"/>
    <s v="Accesorios Vehiculares: Compra de manguera, acople rápido, acople macho, acople hembra, abrazaderas"/>
    <x v="18"/>
  </r>
  <r>
    <s v="15/08/2025"/>
    <x v="2"/>
    <s v="001"/>
    <s v="08-000330"/>
    <x v="1"/>
    <s v="91.06.02.04"/>
    <s v="VBB_840"/>
    <s v="Accesorios Vehiculares: Compra de manguera y acople rápido espiga 25179"/>
    <s v="20601292727"/>
    <s v="H &amp; P MANGUERAS Y CONEXIONES S.A.C."/>
    <x v="0"/>
    <s v="FACTURA"/>
    <s v="F002"/>
    <n v="33915"/>
    <n v="66.95"/>
    <m/>
    <n v="12.051"/>
    <m/>
    <s v="                                -  "/>
    <n v="79"/>
    <m/>
    <m/>
    <m/>
    <m/>
    <s v="25179"/>
    <s v="63.4.3.2.03"/>
    <s v="Accesorios Vehiculares: Compra de manguera y acople rápido espiga 25179"/>
    <x v="18"/>
  </r>
  <r>
    <s v="20/08/2025"/>
    <x v="2"/>
    <s v="001"/>
    <s v="08-000331"/>
    <x v="1"/>
    <s v="91.06.02.07"/>
    <s v="VDJ_872"/>
    <s v="Accesorios Vehiculares: Abastecimiento de UREA 25205"/>
    <s v="20611135271"/>
    <s v="GASOLINERA LA PARCELA 45 S.A.C."/>
    <x v="0"/>
    <s v="FACTURA"/>
    <s v="FS04"/>
    <n v="1453"/>
    <n v="35.36"/>
    <m/>
    <n v="6.3647999999999998"/>
    <m/>
    <s v="                                -  "/>
    <n v="41.73"/>
    <m/>
    <m/>
    <m/>
    <m/>
    <s v="25205"/>
    <s v="63.4.3.2.03"/>
    <s v="Accesorios Vehiculares: Abastecimiento de UREA 25205"/>
    <x v="18"/>
  </r>
  <r>
    <s v="25/08/2025"/>
    <x v="2"/>
    <s v="001"/>
    <s v="08-000332"/>
    <x v="1"/>
    <s v="91.06.02.01"/>
    <s v="V9R_903"/>
    <s v="Accesorios Vehiculares: Cambio de foco de luz baja (lado derecho) 25257"/>
    <s v="20608545591"/>
    <s v="REPUESTOS ELIBEM IMPORTACIONES S.R.L."/>
    <x v="0"/>
    <s v="FACTURA"/>
    <s v="F003"/>
    <n v="46024"/>
    <n v="11.02"/>
    <m/>
    <n v="1.9835999999999998"/>
    <m/>
    <s v="                                -  "/>
    <n v="13"/>
    <m/>
    <m/>
    <m/>
    <m/>
    <s v="25257"/>
    <s v="63.4.3.2.03"/>
    <s v="Accesorios Vehiculares: Cambio de foco de luz baja (lado derecho) 25257"/>
    <x v="18"/>
  </r>
  <r>
    <s v="13/08/2025"/>
    <x v="2"/>
    <s v="001"/>
    <s v="08-000333"/>
    <x v="1"/>
    <s v="91.06.02.07"/>
    <s v="VDJ_872"/>
    <s v="Accesorios Vehiculares: Compra de imantados para sticker de codificación 25164"/>
    <s v="20605533125"/>
    <s v="E &amp; M SEÑALIZACIONES S.A.C."/>
    <x v="0"/>
    <s v="FACTURA"/>
    <s v="FA01"/>
    <n v="1008"/>
    <n v="50.85"/>
    <m/>
    <n v="9.1530000000000005"/>
    <m/>
    <s v="                                -  "/>
    <n v="60"/>
    <m/>
    <m/>
    <m/>
    <m/>
    <s v="25164"/>
    <s v="63.4.3.2.03"/>
    <s v="Accesorios Vehiculares: Compra de imantados para sticker de codificación 25164"/>
    <x v="18"/>
  </r>
  <r>
    <s v="20/08/2025"/>
    <x v="2"/>
    <s v="001"/>
    <s v="08-000334"/>
    <x v="1"/>
    <s v="91.06.02.04"/>
    <s v="VBB_840"/>
    <s v="Accesorios Vehiculares: Compra de base de pintura 25266"/>
    <s v="10413228722"/>
    <s v="LLAMO FLORES CARLOS MANUEL"/>
    <x v="0"/>
    <s v="FACTURA"/>
    <s v="F001"/>
    <n v="7940"/>
    <n v="22.03"/>
    <m/>
    <n v="3.9654000000000003"/>
    <m/>
    <s v="                                -  "/>
    <n v="26"/>
    <m/>
    <m/>
    <m/>
    <m/>
    <s v="25226"/>
    <s v="63.4.3.2.03"/>
    <s v="Accesorios Vehiculares: Compra de base de pintura 25266"/>
    <x v="18"/>
  </r>
  <r>
    <s v="19/08/2025"/>
    <x v="2"/>
    <s v="001"/>
    <s v="08-000335"/>
    <x v="1"/>
    <s v="91.06.02.02"/>
    <s v="BKK_849"/>
    <s v="Mantenimiento Correctivo: Cambio de foco delantero 25193"/>
    <s v="20601014956"/>
    <s v="ELIBEM IMPORT E.I.R.L."/>
    <x v="0"/>
    <s v="FACTURA"/>
    <s v="F043"/>
    <n v="6303"/>
    <n v="6.36"/>
    <m/>
    <n v="1.1448"/>
    <m/>
    <s v="                                -  "/>
    <n v="7.5"/>
    <m/>
    <m/>
    <m/>
    <m/>
    <s v="25193"/>
    <s v="63.4.3.2.01"/>
    <s v="Mantenimiento Correctivo: Cambio de foco delantero 25193"/>
    <x v="5"/>
  </r>
  <r>
    <s v="22/08/2025"/>
    <x v="2"/>
    <s v="001"/>
    <s v="08-000336"/>
    <x v="1"/>
    <s v="91.06.02.01"/>
    <s v="V9R_903"/>
    <s v="Peaje 25233"/>
    <s v="20517252558"/>
    <s v="CONCESIONARIA VIAL DEL SUR S.A.- COVISUR S.A."/>
    <x v="0"/>
    <s v="FACTURA"/>
    <s v="F213"/>
    <n v="1839791"/>
    <n v="10.17"/>
    <m/>
    <n v="1.8306"/>
    <m/>
    <s v="                                -  "/>
    <n v="12"/>
    <m/>
    <m/>
    <m/>
    <m/>
    <s v="25233"/>
    <s v="63.1.1.3.02"/>
    <s v="Peaje 25233"/>
    <x v="8"/>
  </r>
  <r>
    <s v="21/08/2025"/>
    <x v="2"/>
    <s v="001"/>
    <s v="08-000337"/>
    <x v="1"/>
    <s v="91.06.02.01"/>
    <s v="V9R_903"/>
    <s v="Peaje 25225"/>
    <s v="20517252558"/>
    <s v="CONCESIONARIA VIAL DEL SUR S.A.- COVISUR S.A."/>
    <x v="0"/>
    <s v="FACTURA"/>
    <s v="F211"/>
    <n v="2443783"/>
    <n v="10.17"/>
    <m/>
    <n v="1.8306"/>
    <m/>
    <s v="                                -  "/>
    <n v="12"/>
    <m/>
    <m/>
    <m/>
    <m/>
    <s v="25225"/>
    <s v="63.1.1.3.02"/>
    <s v="Peaje 25225"/>
    <x v="8"/>
  </r>
  <r>
    <s v="27/08/2025"/>
    <x v="2"/>
    <s v="001"/>
    <s v="08-000338"/>
    <x v="1"/>
    <s v="91.06.02.01"/>
    <s v="V9R_903"/>
    <s v="Balanza"/>
    <s v="20259858934"/>
    <s v="COMERCIALIZACION Y SERVICIOS EL EDEN S.A.C."/>
    <x v="0"/>
    <s v="FACTURA"/>
    <s v="FE02"/>
    <n v="17507"/>
    <n v="16.95"/>
    <m/>
    <n v="3.0509999999999997"/>
    <m/>
    <s v="                                -  "/>
    <n v="20"/>
    <m/>
    <m/>
    <m/>
    <m/>
    <m/>
    <s v="63.1.1.7.01"/>
    <s v="Balanza"/>
    <x v="11"/>
  </r>
  <r>
    <s v="27/08/2025"/>
    <x v="2"/>
    <s v="001"/>
    <s v="08-000339"/>
    <x v="1"/>
    <s v="91.06.02.11"/>
    <s v="Tercerizados"/>
    <s v="Balanza"/>
    <s v="20259858934"/>
    <s v="COMERCIALIZACION Y SERVICIOS EL EDEN S.A.C."/>
    <x v="0"/>
    <s v="FACTURA"/>
    <s v="FE02"/>
    <n v="17506"/>
    <n v="16.95"/>
    <m/>
    <n v="3.0509999999999997"/>
    <m/>
    <s v="                                -  "/>
    <n v="20"/>
    <m/>
    <m/>
    <m/>
    <m/>
    <m/>
    <s v="63.1.1.7.01"/>
    <s v="Balanza"/>
    <x v="11"/>
  </r>
  <r>
    <s v="27/08/2025"/>
    <x v="2"/>
    <s v="001"/>
    <s v="08-000340"/>
    <x v="1"/>
    <s v="91.06.02.07"/>
    <s v="VDJ_872"/>
    <s v="Balanza 25060"/>
    <s v="20259858934"/>
    <s v="COMERCIALIZACION Y SERVICIOS EL EDEN S.A.C."/>
    <x v="0"/>
    <s v="FACTURA"/>
    <s v="FE02"/>
    <n v="17508"/>
    <n v="16.95"/>
    <m/>
    <n v="3.0509999999999997"/>
    <m/>
    <s v="                                -  "/>
    <n v="20"/>
    <m/>
    <m/>
    <m/>
    <m/>
    <s v="25060"/>
    <s v="63.1.1.7.01"/>
    <s v="Balanza 25060"/>
    <x v="11"/>
  </r>
  <r>
    <s v="21/08/2025"/>
    <x v="2"/>
    <s v="001"/>
    <s v="08-000341"/>
    <x v="1"/>
    <s v="91.06.02.02"/>
    <s v="BKK_849"/>
    <s v="Combutible 25243"/>
    <s v="20485592556"/>
    <s v="SERVICENTRO SANTA MARTHA E.I.R.LTDA."/>
    <x v="0"/>
    <s v="FACTURA"/>
    <s v="F001"/>
    <n v="47606"/>
    <n v="127.12"/>
    <m/>
    <n v="22.881599999999999"/>
    <m/>
    <s v="                                -  "/>
    <n v="150"/>
    <m/>
    <m/>
    <m/>
    <m/>
    <s v="25243"/>
    <s v="65.6.1.1.01"/>
    <s v="Combutible 25243"/>
    <x v="12"/>
  </r>
  <r>
    <s v="22/08/2025"/>
    <x v="2"/>
    <s v="001"/>
    <s v="08-000342"/>
    <x v="1"/>
    <s v="91.06.02.02"/>
    <s v="BKK_849"/>
    <s v="Peaje 25250"/>
    <s v="20517252558"/>
    <s v="CONCESIONARIA VIAL DEL SUR S.A.- COVISUR S.A."/>
    <x v="0"/>
    <s v="FACTURA"/>
    <s v="F314"/>
    <n v="1926619"/>
    <n v="6.53"/>
    <m/>
    <n v="1.1754"/>
    <m/>
    <s v="                                -  "/>
    <n v="7.7"/>
    <m/>
    <m/>
    <m/>
    <m/>
    <s v="25250"/>
    <s v="63.1.1.3.02"/>
    <s v="Peaje 25250"/>
    <x v="8"/>
  </r>
  <r>
    <s v="19/08/2025"/>
    <x v="2"/>
    <s v="001"/>
    <s v="08-000343"/>
    <x v="1"/>
    <s v="91.06.02.02"/>
    <s v="BKK_849"/>
    <s v="Peaje 25195"/>
    <s v="20517252558"/>
    <s v="CONCESIONARIA VIAL DEL SUR S.A.- COVISUR S.A."/>
    <x v="0"/>
    <s v="FACTURA"/>
    <s v="F213"/>
    <n v="1836826"/>
    <n v="6.78"/>
    <m/>
    <n v="1.2203999999999999"/>
    <m/>
    <s v="                                -  "/>
    <n v="8"/>
    <m/>
    <m/>
    <m/>
    <m/>
    <s v="25195"/>
    <s v="63.1.1.3.02"/>
    <s v="Peaje 25195"/>
    <x v="8"/>
  </r>
  <r>
    <s v="18/08/2025"/>
    <x v="2"/>
    <s v="001"/>
    <s v="08-000344"/>
    <x v="1"/>
    <s v="91.06.02.03"/>
    <s v="BKL_739"/>
    <s v="Peaje 25172"/>
    <s v="20517252558"/>
    <s v="CONCESIONARIA VIAL DEL SUR S.A.- COVISUR S.A."/>
    <x v="0"/>
    <s v="FACTURA"/>
    <s v="F211"/>
    <n v="2439201"/>
    <n v="6.78"/>
    <m/>
    <n v="1.2203999999999999"/>
    <m/>
    <s v="                                -  "/>
    <n v="8"/>
    <m/>
    <m/>
    <m/>
    <m/>
    <s v="25172"/>
    <s v="63.1.1.3.03"/>
    <s v="Peaje 25172"/>
    <x v="7"/>
  </r>
  <r>
    <s v="19/08/2025"/>
    <x v="2"/>
    <s v="001"/>
    <s v="08-000345"/>
    <x v="1"/>
    <s v="91.06.02.02"/>
    <s v="BKK_849"/>
    <s v="Peaje 25197"/>
    <s v="20517252558"/>
    <s v="CONCESIONARIA VIAL DEL SUR S.A.- COVISUR S.A."/>
    <x v="0"/>
    <s v="FACTURA"/>
    <s v="F312"/>
    <n v="455379"/>
    <n v="6.53"/>
    <m/>
    <n v="1.1754"/>
    <m/>
    <s v="                                -  "/>
    <n v="7.7"/>
    <m/>
    <m/>
    <m/>
    <m/>
    <s v="25197"/>
    <s v="63.1.1.3.02"/>
    <s v="Peaje 25197"/>
    <x v="8"/>
  </r>
  <r>
    <s v="19/08/2025"/>
    <x v="2"/>
    <s v="001"/>
    <s v="08-000346"/>
    <x v="1"/>
    <s v="91.06.02.02"/>
    <s v="BKK_849"/>
    <s v="Peaje 25196"/>
    <s v="20517252558"/>
    <s v="CONCESIONARIA VIAL DEL SUR S.A.- COVISUR S.A."/>
    <x v="0"/>
    <s v="FACTURA"/>
    <s v="F211"/>
    <n v="2440612"/>
    <n v="6.78"/>
    <m/>
    <n v="1.2203999999999999"/>
    <m/>
    <s v="                                -  "/>
    <n v="8"/>
    <m/>
    <m/>
    <m/>
    <m/>
    <s v="25196"/>
    <s v="63.1.1.3.02"/>
    <s v="Peaje 25196"/>
    <x v="8"/>
  </r>
  <r>
    <s v="21/08/2025"/>
    <x v="2"/>
    <s v="001"/>
    <s v="08-000347"/>
    <x v="1"/>
    <s v="91.06.02.02"/>
    <s v="BKK_849"/>
    <s v="Peaje 25144"/>
    <s v="20517216241"/>
    <s v="CARRETERA ANDINA DEL SUR S.A.C."/>
    <x v="0"/>
    <s v="FACTURA"/>
    <s v="F411"/>
    <n v="660838"/>
    <n v="6.53"/>
    <m/>
    <n v="1.1754"/>
    <m/>
    <s v="                                -  "/>
    <n v="7.7"/>
    <m/>
    <m/>
    <m/>
    <m/>
    <s v="25244"/>
    <s v="63.1.1.3.02"/>
    <s v="Peaje 25144"/>
    <x v="8"/>
  </r>
  <r>
    <s v="20/08/2025"/>
    <x v="2"/>
    <s v="001"/>
    <s v="08-000348"/>
    <x v="1"/>
    <s v="91.06.02.02"/>
    <s v="BKK_849"/>
    <s v="Peaje 25217"/>
    <s v="20517216241"/>
    <s v="CARRETERA ANDINA DEL SUR S.A.C."/>
    <x v="0"/>
    <s v="FACTURA"/>
    <s v="F412"/>
    <n v="648281"/>
    <n v="6.53"/>
    <m/>
    <n v="1.1754"/>
    <m/>
    <s v="                                -  "/>
    <n v="7.7"/>
    <m/>
    <m/>
    <m/>
    <m/>
    <s v="25217"/>
    <s v="63.1.1.3.02"/>
    <s v="Peaje 25217"/>
    <x v="8"/>
  </r>
  <r>
    <s v="21/08/2025"/>
    <x v="2"/>
    <s v="001"/>
    <s v="08-000349"/>
    <x v="1"/>
    <s v="91.06.01"/>
    <s v="Operaciones"/>
    <s v="Alojamiento 25245"/>
    <s v="10478277046"/>
    <s v="MENDOZA SANCHEZ DEYSI"/>
    <x v="1"/>
    <s v="BOLETA DE VENTA"/>
    <s v="001"/>
    <n v="3329"/>
    <m/>
    <m/>
    <n v="0"/>
    <m/>
    <n v="100"/>
    <n v="100"/>
    <m/>
    <m/>
    <m/>
    <m/>
    <s v="25245"/>
    <s v="63.1.3.1.01"/>
    <s v="Alojamiento 25245"/>
    <x v="10"/>
  </r>
  <r>
    <s v="18/08/2025"/>
    <x v="2"/>
    <s v="001"/>
    <s v="08-000350"/>
    <x v="1"/>
    <s v="91.06.02.03"/>
    <s v="BKL_739"/>
    <s v="Balanza 25173"/>
    <s v="20259858934"/>
    <s v="COMERCIALIZACION Y SERVICIOS EL EDEN S.A.C."/>
    <x v="0"/>
    <s v="FACTURA"/>
    <s v="FE02"/>
    <n v="17386"/>
    <n v="16.95"/>
    <m/>
    <n v="3.0509999999999997"/>
    <m/>
    <s v="                                -  "/>
    <n v="20"/>
    <m/>
    <m/>
    <m/>
    <m/>
    <s v="25173"/>
    <s v="63.1.1.7.01"/>
    <s v="Balanza 25173"/>
    <x v="11"/>
  </r>
  <r>
    <s v="27/08/2025"/>
    <x v="2"/>
    <s v="001"/>
    <s v="08-000351"/>
    <x v="1"/>
    <s v="91.05.01"/>
    <s v="Residuos Aprovechables"/>
    <s v="Clindros usados OC 369"/>
    <s v="20100055237"/>
    <s v="ALICORP SAA"/>
    <x v="0"/>
    <s v="FACTURA"/>
    <s v="F313"/>
    <n v="6805"/>
    <n v="43"/>
    <m/>
    <n v="7.7399999999999993"/>
    <m/>
    <s v="                                -  "/>
    <n v="50.74"/>
    <m/>
    <m/>
    <m/>
    <m/>
    <s v="OC 369"/>
    <s v="60.2.1.1"/>
    <s v="Clindros usados OC 369"/>
    <x v="6"/>
  </r>
  <r>
    <s v="27/08/2025"/>
    <x v="2"/>
    <s v="001"/>
    <s v="08-000352"/>
    <x v="1"/>
    <s v="91.05.01"/>
    <s v="Residuos Aprovechables"/>
    <s v="Chatarra mad OC 368"/>
    <s v="20100055237"/>
    <s v="ALICORP SAA"/>
    <x v="0"/>
    <s v="FACTURA"/>
    <s v="F313"/>
    <n v="6806"/>
    <n v="84.5"/>
    <m/>
    <n v="15.209999999999999"/>
    <m/>
    <s v="                                -  "/>
    <n v="99.71"/>
    <m/>
    <m/>
    <m/>
    <m/>
    <s v="OC 368"/>
    <s v="60.2.1.1"/>
    <s v="Chatarra mad OC 368"/>
    <x v="6"/>
  </r>
  <r>
    <s v="27/08/2025"/>
    <x v="2"/>
    <s v="001"/>
    <s v="08-000353"/>
    <x v="1"/>
    <s v="91.05.01"/>
    <s v="Residuos Aprovechables"/>
    <s v="Tucos de carton OC 367"/>
    <s v="20100055237"/>
    <s v="ALICORP SAA"/>
    <x v="0"/>
    <s v="FACTURA"/>
    <s v="F313"/>
    <n v="6807"/>
    <n v="1.5"/>
    <m/>
    <n v="0.27"/>
    <m/>
    <s v="                                -  "/>
    <n v="1.77"/>
    <m/>
    <m/>
    <m/>
    <m/>
    <s v="OC 367"/>
    <s v="60.2.1.1"/>
    <s v="Tucos de carton OC 367"/>
    <x v="6"/>
  </r>
  <r>
    <s v="27/08/2025"/>
    <x v="2"/>
    <s v="001"/>
    <s v="08-000354"/>
    <x v="1"/>
    <s v="91.05.01"/>
    <s v="Residuos Aprovechables"/>
    <s v="Film strech usado OC 366"/>
    <s v="20100055237"/>
    <s v="ALICORP SAA"/>
    <x v="0"/>
    <s v="FACTURA"/>
    <s v="F313"/>
    <n v="6809"/>
    <n v="63"/>
    <m/>
    <n v="11.34"/>
    <m/>
    <s v="                                -  "/>
    <n v="74.34"/>
    <m/>
    <m/>
    <m/>
    <m/>
    <s v="OC 366"/>
    <s v="60.2.1.1"/>
    <s v="Film strech usado OC 366"/>
    <x v="6"/>
  </r>
  <r>
    <s v="27/08/2025"/>
    <x v="2"/>
    <s v="001"/>
    <s v="08-000355"/>
    <x v="1"/>
    <s v="91.05.01"/>
    <s v="Residuos Aprovechables"/>
    <s v="Sco polis inserv manufactura OC 365"/>
    <s v="20100055237"/>
    <s v="ALICORP SAA"/>
    <x v="0"/>
    <s v="FACTURA"/>
    <s v="F313"/>
    <n v="6810"/>
    <n v="52"/>
    <m/>
    <n v="9.36"/>
    <m/>
    <s v="                                -  "/>
    <n v="61.36"/>
    <m/>
    <m/>
    <m/>
    <m/>
    <s v="OC 365"/>
    <s v="60.2.1.1"/>
    <s v="Sco polis inserv manufactura OC 365"/>
    <x v="6"/>
  </r>
  <r>
    <s v="27/08/2025"/>
    <x v="2"/>
    <s v="001"/>
    <s v="08-000356"/>
    <x v="1"/>
    <s v="91.05.01"/>
    <s v="Residuos Aprovechables"/>
    <s v="Carton y bolsas papel inservibles OC 364"/>
    <s v="20100055237"/>
    <s v="ALICORP SAA"/>
    <x v="0"/>
    <s v="FACTURA"/>
    <s v="F313"/>
    <n v="6808"/>
    <n v="64.8"/>
    <m/>
    <n v="11.664"/>
    <m/>
    <s v="                                -  "/>
    <n v="76.459999999999994"/>
    <m/>
    <m/>
    <m/>
    <m/>
    <s v="OC 364"/>
    <s v="60.2.1.1"/>
    <s v="Carton y bolsas papel inservibles OC 364"/>
    <x v="6"/>
  </r>
  <r>
    <s v="27/08/2025"/>
    <x v="2"/>
    <s v="001"/>
    <s v="08-000357"/>
    <x v="1"/>
    <s v="91.05.01"/>
    <s v="Residuos Aprovechables"/>
    <s v="Film strech usado OC 363"/>
    <s v="20100055237"/>
    <s v="ALICORP SAA"/>
    <x v="0"/>
    <s v="FACTURA"/>
    <s v="F313"/>
    <n v="6812"/>
    <n v="522"/>
    <m/>
    <n v="93.96"/>
    <m/>
    <s v="                                -  "/>
    <n v="615.96"/>
    <m/>
    <m/>
    <m/>
    <m/>
    <s v="OC 363"/>
    <s v="60.2.1.1"/>
    <s v="Film strech usado OC 363"/>
    <x v="6"/>
  </r>
  <r>
    <s v="27/08/2025"/>
    <x v="2"/>
    <s v="001"/>
    <s v="08-000358"/>
    <x v="1"/>
    <s v="91.05.01"/>
    <s v="Residuos Aprovechables"/>
    <s v="Sco polis inservible manufactrura OC 362"/>
    <s v="20100055237"/>
    <s v="ALICORP SAA"/>
    <x v="0"/>
    <s v="FACTURA"/>
    <s v="F313"/>
    <n v="6813"/>
    <n v="19.5"/>
    <m/>
    <n v="3.51"/>
    <m/>
    <s v="                                -  "/>
    <n v="23.01"/>
    <m/>
    <m/>
    <m/>
    <m/>
    <s v="OC 362"/>
    <s v="60.2.1.1"/>
    <s v="Sco polis inservible manufactrura OC 362"/>
    <x v="6"/>
  </r>
  <r>
    <s v="27/08/2025"/>
    <x v="2"/>
    <s v="001"/>
    <s v="08-000359"/>
    <x v="1"/>
    <s v="91.05.01"/>
    <s v="Residuos Aprovechables"/>
    <s v="Carton y bolsas papel inservibles OC 361"/>
    <s v="20100055237"/>
    <s v="ALICORP SAA"/>
    <x v="0"/>
    <s v="FACTURA"/>
    <s v="F313"/>
    <n v="6811"/>
    <n v="54"/>
    <m/>
    <n v="9.7199999999999989"/>
    <m/>
    <s v="                                -  "/>
    <n v="63.72"/>
    <m/>
    <m/>
    <m/>
    <m/>
    <s v="OC 361"/>
    <s v="60.2.1.1"/>
    <s v="Carton y bolsas papel inservibles OC 361"/>
    <x v="6"/>
  </r>
  <r>
    <s v="27/08/2025"/>
    <x v="2"/>
    <s v="001"/>
    <s v="08-000360"/>
    <x v="1"/>
    <s v="91.05.01"/>
    <s v="Residuos Aprovechables"/>
    <s v="Gallleta rota sucia 30kg OC 356"/>
    <s v="20100055237"/>
    <s v="ALICORP SAA"/>
    <x v="0"/>
    <s v="FACTURA"/>
    <s v="F313"/>
    <n v="6804"/>
    <n v="692"/>
    <m/>
    <n v="124.56"/>
    <m/>
    <s v="                                -  "/>
    <n v="816.56"/>
    <m/>
    <m/>
    <m/>
    <m/>
    <s v="OC 356"/>
    <s v="60.2.1.1"/>
    <s v="Gallleta rota sucia 30kg OC 356"/>
    <x v="6"/>
  </r>
  <r>
    <s v="27/08/2025"/>
    <x v="2"/>
    <s v="001"/>
    <s v="08-000361"/>
    <x v="1"/>
    <s v="91.05.01"/>
    <s v="Residuos Aprovechables"/>
    <s v="Chatarra mad OC 355"/>
    <s v="20100055237"/>
    <s v="ALICORP SAA"/>
    <x v="0"/>
    <s v="FACTURA"/>
    <s v="F313"/>
    <n v="6803"/>
    <n v="38"/>
    <m/>
    <n v="6.84"/>
    <m/>
    <s v="                                -  "/>
    <n v="44.84"/>
    <m/>
    <m/>
    <m/>
    <m/>
    <s v="OC 355"/>
    <s v="60.2.1.1"/>
    <s v="Chatarra mad OC 355"/>
    <x v="6"/>
  </r>
  <r>
    <s v="27/08/2025"/>
    <x v="2"/>
    <s v="001"/>
    <s v="08-000362"/>
    <x v="1"/>
    <s v="91.05.01"/>
    <s v="Residuos Aprovechables"/>
    <s v="Tucos de carton OC 354"/>
    <s v="20100055237"/>
    <s v="ALICORP SAA"/>
    <x v="0"/>
    <s v="FACTURA"/>
    <s v="F313"/>
    <n v="6799"/>
    <n v="5.7"/>
    <m/>
    <n v="1.026"/>
    <m/>
    <s v="                                -  "/>
    <n v="6.73"/>
    <m/>
    <m/>
    <m/>
    <m/>
    <s v="OC 354"/>
    <s v="60.2.1.1"/>
    <s v="Tucos de carton OC 354"/>
    <x v="6"/>
  </r>
  <r>
    <s v="27/08/2025"/>
    <x v="2"/>
    <s v="001"/>
    <s v="08-000363"/>
    <x v="1"/>
    <s v="91.05.01"/>
    <s v="Residuos Aprovechables"/>
    <s v="Cilindro usados x 55 GL plas OC 353"/>
    <s v="20100055237"/>
    <s v="ALICORP SAA"/>
    <x v="0"/>
    <s v="FACTURA"/>
    <s v="F313"/>
    <n v="6801"/>
    <n v="258"/>
    <m/>
    <n v="46.44"/>
    <m/>
    <s v="                                -  "/>
    <n v="304.44"/>
    <m/>
    <m/>
    <m/>
    <m/>
    <s v="OC 353"/>
    <s v="60.2.1.1"/>
    <s v="Cilindro usados x 55 GL plas OC 353"/>
    <x v="6"/>
  </r>
  <r>
    <s v="27/08/2025"/>
    <x v="2"/>
    <s v="001"/>
    <s v="08-000364"/>
    <x v="1"/>
    <s v="91.05.01"/>
    <s v="Residuos Aprovechables"/>
    <s v="Film strech usado OC 352"/>
    <s v="20100055237"/>
    <s v="ALICORP SAA"/>
    <x v="0"/>
    <s v="FACTURA"/>
    <s v="F313"/>
    <n v="6800"/>
    <n v="387"/>
    <m/>
    <n v="69.66"/>
    <m/>
    <s v="                                -  "/>
    <n v="456.66"/>
    <m/>
    <m/>
    <m/>
    <m/>
    <s v="OC 352"/>
    <s v="60.2.1.1"/>
    <s v="Film strech usado OC 352"/>
    <x v="6"/>
  </r>
  <r>
    <s v="27/08/2025"/>
    <x v="2"/>
    <s v="001"/>
    <s v="08-000365"/>
    <x v="1"/>
    <s v="91.05.01"/>
    <s v="Residuos Aprovechables"/>
    <s v="Sco polis inservible manufactura OC 351"/>
    <s v="20100055237"/>
    <s v="ALICORP SAA"/>
    <x v="0"/>
    <s v="FACTURA"/>
    <s v="F313"/>
    <n v="6802"/>
    <n v="121.5"/>
    <m/>
    <n v="21.869999999999997"/>
    <m/>
    <s v="                                -  "/>
    <n v="143.37"/>
    <m/>
    <m/>
    <m/>
    <m/>
    <s v="OC 351"/>
    <s v="60.2.1.1"/>
    <s v="Sco polis inservible manufactura OC 351"/>
    <x v="6"/>
  </r>
  <r>
    <s v="27/08/2025"/>
    <x v="2"/>
    <s v="001"/>
    <s v="08-000366"/>
    <x v="1"/>
    <s v="91.05.01"/>
    <s v="Residuos Aprovechables"/>
    <s v="Carton y bolsas papel inservible OC 350"/>
    <s v="20100055237"/>
    <s v="ALICORP SAA"/>
    <x v="0"/>
    <s v="FACTURA"/>
    <s v="F313"/>
    <n v="6798"/>
    <n v="153.9"/>
    <m/>
    <n v="27.702000000000002"/>
    <m/>
    <s v="                                -  "/>
    <n v="181.6"/>
    <m/>
    <m/>
    <m/>
    <m/>
    <s v="OC 350"/>
    <s v="60.2.1.1"/>
    <s v="Carton y bolsas papel inservible OC 350"/>
    <x v="6"/>
  </r>
  <r>
    <s v="25/08/2025"/>
    <x v="2"/>
    <s v="001"/>
    <s v="08-000367"/>
    <x v="1"/>
    <s v="91.05.01"/>
    <s v="Residuos Aprovechables"/>
    <s v="Carton OC 307"/>
    <s v="20419158462"/>
    <s v="GRANJA RINCONADA DEL SUR S.A."/>
    <x v="0"/>
    <s v="FACTURA"/>
    <s v="F102"/>
    <n v="6970"/>
    <n v="52.54"/>
    <m/>
    <n v="9.4572000000000003"/>
    <m/>
    <m/>
    <n v="62"/>
    <s v="281448589"/>
    <s v="3/09/2025"/>
    <m/>
    <m/>
    <s v="OC 307"/>
    <s v="60.2.1.1"/>
    <s v="Carton OC 307"/>
    <x v="6"/>
  </r>
  <r>
    <s v="25/08/2025"/>
    <x v="2"/>
    <s v="001"/>
    <s v="08-000368"/>
    <x v="1"/>
    <s v="91.05.01"/>
    <s v="Residuos Aprovechables"/>
    <s v="Carton,bidon plastico azul,papel mixto,chatarra OC 319"/>
    <s v="20419158462"/>
    <s v="GRANJA RINCONADA DEL SUR S.A."/>
    <x v="0"/>
    <s v="FACTURA"/>
    <s v="F102"/>
    <n v="6969"/>
    <n v="383.55"/>
    <m/>
    <n v="69.039000000000001"/>
    <m/>
    <m/>
    <n v="452.6"/>
    <s v="281448590"/>
    <s v="3/09/2025"/>
    <m/>
    <m/>
    <s v="OC 319"/>
    <s v="60.2.1.1"/>
    <s v="Carton,bidon plastico azul,papel mixto,chatarra OC 319"/>
    <x v="6"/>
  </r>
  <r>
    <s v="25/08/2025"/>
    <x v="2"/>
    <s v="001"/>
    <s v="08-000369"/>
    <x v="1"/>
    <s v="91.05.01"/>
    <s v="Residuos Aprovechables"/>
    <s v="Bidon,plastico duro, caucho,carton,aluminio OC 339"/>
    <s v="20419158462"/>
    <s v="GRANJA RINCONADA DEL SUR S.A."/>
    <x v="0"/>
    <s v="FACTURA"/>
    <s v="F102"/>
    <n v="6971"/>
    <n v="376.23"/>
    <m/>
    <n v="67.721400000000003"/>
    <m/>
    <m/>
    <n v="443.95"/>
    <s v="281448591"/>
    <s v="3/09/2025"/>
    <m/>
    <m/>
    <s v="OC 339"/>
    <s v="60.2.1.1"/>
    <s v="Bidon,plastico duro, caucho,carton,aluminio OC 339"/>
    <x v="6"/>
  </r>
  <r>
    <s v="28/08/2025"/>
    <x v="2"/>
    <s v="001"/>
    <s v="08-000370"/>
    <x v="1"/>
    <s v="91.05.01"/>
    <s v="Residuos Aprovechables"/>
    <s v="Strech film transparente en desuso OC 357"/>
    <s v="20454186002"/>
    <s v="ALSUR PERU S.A.C."/>
    <x v="0"/>
    <s v="FACTURA"/>
    <s v="F003"/>
    <n v="1721"/>
    <n v="542.37"/>
    <m/>
    <n v="97.626599999999996"/>
    <m/>
    <m/>
    <n v="640"/>
    <s v="281033690"/>
    <s v="1/09/2025"/>
    <m/>
    <m/>
    <s v="OC 357"/>
    <s v="60.2.1.1"/>
    <s v="Strech film transparente en desuso OC 357"/>
    <x v="6"/>
  </r>
  <r>
    <s v="27/08/2025"/>
    <x v="2"/>
    <s v="001"/>
    <s v="08-000371"/>
    <x v="1"/>
    <s v="91.05.01"/>
    <s v="Residuos Aprovechables"/>
    <s v="Alambron OC 370"/>
    <s v="20100192064"/>
    <s v="MOLY-COP ADESUR S.A."/>
    <x v="0"/>
    <s v="FACTURA"/>
    <s v="F002"/>
    <n v="16708"/>
    <n v="208.04"/>
    <m/>
    <n v="37.447199999999995"/>
    <m/>
    <m/>
    <n v="245.47"/>
    <s v="281448592"/>
    <s v="3/09/2025"/>
    <m/>
    <m/>
    <s v="OC 370"/>
    <s v="60.2.1.1"/>
    <s v="Alambron OC 370"/>
    <x v="6"/>
  </r>
  <r>
    <s v="22/08/2025"/>
    <x v="2"/>
    <s v="001"/>
    <s v="08-000372"/>
    <x v="1"/>
    <s v="91.06.02.01"/>
    <s v="V9R_903"/>
    <s v="DIESEL B5 S50 UV / Gasolina"/>
    <s v="20127765279"/>
    <s v="COESTI S.A."/>
    <x v="0"/>
    <s v="FACTURA"/>
    <s v="F867"/>
    <n v="178706"/>
    <n v="482.92"/>
    <m/>
    <n v="86.925600000000003"/>
    <m/>
    <m/>
    <n v="1700.3"/>
    <m/>
    <m/>
    <m/>
    <m/>
    <m/>
    <s v="65.6.1.1.01"/>
    <s v="DIESEL B5 S50 UV / Gasolina"/>
    <x v="12"/>
  </r>
  <r>
    <s v="22/08/2025"/>
    <x v="2"/>
    <s v="001"/>
    <s v="08-000372"/>
    <x v="1"/>
    <s v="91.06.02.02"/>
    <s v="BKK_849"/>
    <s v="DIESEL B5 S50 UV / Gasolina"/>
    <s v="20127765279"/>
    <s v="COESTI S.A."/>
    <x v="0"/>
    <s v="FACTURA"/>
    <s v="F867"/>
    <n v="178706"/>
    <n v="663.98"/>
    <m/>
    <n v="119.5164"/>
    <m/>
    <m/>
    <n v="1700.3"/>
    <m/>
    <m/>
    <m/>
    <m/>
    <m/>
    <s v="65.6.1.1.01"/>
    <s v="DIESEL B5 S50 UV / Gasolina"/>
    <x v="12"/>
  </r>
  <r>
    <s v="22/08/2025"/>
    <x v="2"/>
    <s v="001"/>
    <s v="08-000372"/>
    <x v="1"/>
    <s v="91.06.02.03"/>
    <s v="BKL_739"/>
    <s v="DIESEL B5 S50 UV / Gasolina"/>
    <s v="20127765279"/>
    <s v="COESTI S.A."/>
    <x v="0"/>
    <s v="FACTURA"/>
    <s v="F867"/>
    <n v="178706"/>
    <n v="294.02999999999997"/>
    <m/>
    <n v="52.925399999999996"/>
    <m/>
    <m/>
    <n v="1700.3"/>
    <m/>
    <m/>
    <m/>
    <m/>
    <m/>
    <s v="65.6.1.1.01"/>
    <s v="DIESEL B5 S50 UV / Gasolina"/>
    <x v="12"/>
  </r>
  <r>
    <s v="22/08/2025"/>
    <x v="2"/>
    <s v="001"/>
    <s v="08-000373"/>
    <x v="1"/>
    <s v="91.06.02.04"/>
    <s v="VBB_840"/>
    <s v="DIESEL B5 S50 UV / Gasolina; GLP (Montacarga)"/>
    <s v="20127765279"/>
    <s v="COESTI S.A."/>
    <x v="0"/>
    <s v="FACTURA"/>
    <s v="F865"/>
    <n v="179587"/>
    <n v="596.1"/>
    <m/>
    <n v="107.298"/>
    <m/>
    <m/>
    <n v="1324.4"/>
    <m/>
    <m/>
    <m/>
    <m/>
    <m/>
    <s v="65.6.1.1.01"/>
    <s v="DIESEL B5 S50 UV / Gasolina; GLP (Montacarga)"/>
    <x v="12"/>
  </r>
  <r>
    <s v="22/08/2025"/>
    <x v="2"/>
    <s v="001"/>
    <s v="08-000373"/>
    <x v="1"/>
    <s v="91.06.02.07"/>
    <s v="VDJ_872"/>
    <s v="DIESEL B5 S50 UV / Gasolina; GLP (Montacarga)"/>
    <s v="20127765279"/>
    <s v="COESTI S.A."/>
    <x v="0"/>
    <s v="FACTURA"/>
    <s v="F865"/>
    <n v="179587"/>
    <n v="495.68"/>
    <m/>
    <n v="89.222399999999993"/>
    <m/>
    <m/>
    <n v="1324.4"/>
    <m/>
    <m/>
    <m/>
    <m/>
    <m/>
    <s v="65.6.1.1.01"/>
    <s v="DIESEL B5 S50 UV / Gasolina; GLP (Montacarga)"/>
    <x v="12"/>
  </r>
  <r>
    <s v="22/08/2025"/>
    <x v="2"/>
    <s v="001"/>
    <s v="08-000373"/>
    <x v="1"/>
    <s v="91.06.02.10"/>
    <s v="BDQ_458"/>
    <s v="DIESEL B5 S50 UV / Gasolina; GLP (Montacarga)"/>
    <s v="20127765279"/>
    <s v="COESTI S.A."/>
    <x v="0"/>
    <s v="FACTURA"/>
    <s v="F865"/>
    <n v="179587"/>
    <n v="30.59"/>
    <m/>
    <n v="5.5061999999999998"/>
    <m/>
    <m/>
    <n v="1324.4"/>
    <m/>
    <m/>
    <m/>
    <m/>
    <m/>
    <s v="65.6.1.1.01"/>
    <s v="DIESEL B5 S50 UV / Gasolina; GLP (Montacarga)"/>
    <x v="12"/>
  </r>
  <r>
    <s v="25/08/2025"/>
    <x v="2"/>
    <s v="001"/>
    <s v="08-000374"/>
    <x v="1"/>
    <s v="91.01.02"/>
    <s v="Residuos No Peligrosos"/>
    <s v="Tratamiento / Disposición_ No Aprovechables Chilca"/>
    <s v="20302891452"/>
    <s v="INNOVA AMBIENTAL S.A."/>
    <x v="0"/>
    <s v="FACTURA"/>
    <s v="F001"/>
    <n v="21047"/>
    <n v="228.74"/>
    <m/>
    <n v="41.173200000000001"/>
    <m/>
    <m/>
    <n v="269.91000000000003"/>
    <m/>
    <m/>
    <m/>
    <m/>
    <m/>
    <s v="63.9.9.1.04.02"/>
    <s v="Tratamiento / Disposición_ No Aprovechables Chilca"/>
    <x v="23"/>
  </r>
  <r>
    <s v="25/08/2025"/>
    <x v="2"/>
    <s v="001"/>
    <s v="08-000375"/>
    <x v="1"/>
    <s v="91.01.01"/>
    <s v="Residuos Peligrosos"/>
    <s v="Tratamiento / Disposición_ peligrosos,liq.semisol,no peligrosos"/>
    <s v="20302891452"/>
    <s v="INNOVA AMBIENTAL S.A."/>
    <x v="0"/>
    <s v="FACTURA"/>
    <s v="F001"/>
    <n v="21048"/>
    <n v="2900"/>
    <m/>
    <n v="522"/>
    <m/>
    <m/>
    <n v="8826.4"/>
    <m/>
    <m/>
    <m/>
    <m/>
    <m/>
    <s v="63.9.9.1.04.01"/>
    <s v="Tratamiento / Disposición_ peligrosos,liq.semisol,no peligrosos"/>
    <x v="20"/>
  </r>
  <r>
    <s v="25/08/2025"/>
    <x v="2"/>
    <s v="001"/>
    <s v="08-000375"/>
    <x v="1"/>
    <s v="91.01.02"/>
    <s v="Residuos No Peligrosos"/>
    <s v="Tratamiento / Disposición_ peligrosos,liq.semisol,no peligrosos"/>
    <s v="20302891452"/>
    <s v="INNOVA AMBIENTAL S.A."/>
    <x v="0"/>
    <s v="FACTURA"/>
    <s v="F001"/>
    <n v="21048"/>
    <n v="4580"/>
    <m/>
    <n v="824.4"/>
    <m/>
    <m/>
    <n v="8826.4"/>
    <m/>
    <m/>
    <m/>
    <m/>
    <m/>
    <s v="63.9.9.1.04.01"/>
    <s v="Tratamiento / Disposición_ peligrosos,liq.semisol,no peligrosos"/>
    <x v="20"/>
  </r>
  <r>
    <s v="25/08/2025"/>
    <x v="2"/>
    <s v="001"/>
    <s v="08-000376"/>
    <x v="1"/>
    <s v="91.01.01"/>
    <s v="Residuos Peligrosos"/>
    <s v="Tratamiento / Disposición _ Peligrosos"/>
    <s v="20553255709"/>
    <s v="KANAY S.A.C."/>
    <x v="0"/>
    <s v="FACTURA"/>
    <s v="F001"/>
    <n v="15164"/>
    <n v="8455.08"/>
    <m/>
    <n v="1521.9143999999999"/>
    <m/>
    <m/>
    <n v="9976.99"/>
    <s v="281033691"/>
    <s v="1/09/2025"/>
    <m/>
    <m/>
    <m/>
    <s v="63.9.9.1.04.01"/>
    <s v="Tratamiento / Disposición _ Peligrosos"/>
    <x v="20"/>
  </r>
  <r>
    <s v="27/08/2025"/>
    <x v="2"/>
    <s v="001"/>
    <s v="08-000377"/>
    <x v="0"/>
    <s v="94.05"/>
    <s v="SSOMA"/>
    <s v="Curso induccion, materiales peligrosos, evaluacion de prevencionista"/>
    <s v="20514464881"/>
    <s v="ORGANIZACION IBEROAMERICANA DE SEGURIDAD"/>
    <x v="0"/>
    <s v="FACTURA"/>
    <s v="FFF1"/>
    <n v="139"/>
    <n v="292.37"/>
    <m/>
    <n v="52.626599999999996"/>
    <m/>
    <m/>
    <n v="345"/>
    <m/>
    <m/>
    <m/>
    <m/>
    <m/>
    <s v="63.2.5.3"/>
    <s v="Curso induccion, materiales peligrosos, evaluacion de prevencionista"/>
    <x v="0"/>
  </r>
  <r>
    <s v="09/07/2025"/>
    <x v="2"/>
    <s v="001"/>
    <s v="08-000378"/>
    <x v="0"/>
    <m/>
    <m/>
    <m/>
    <s v="20600012828"/>
    <s v="TRANSPORTES EXPRESS Y TURISMO JEAN BUSS SOCIEDAD COMERCIAL DE RESPONSABILIDAD LIMITADA"/>
    <x v="0"/>
    <s v="FACTURA"/>
    <m/>
    <m/>
    <m/>
    <m/>
    <n v="0"/>
    <m/>
    <n v="50"/>
    <n v="50"/>
    <m/>
    <m/>
    <m/>
    <m/>
    <m/>
    <m/>
    <m/>
    <x v="0"/>
  </r>
  <r>
    <s v="27/08/2025"/>
    <x v="2"/>
    <s v="001"/>
    <s v="08-000379"/>
    <x v="0"/>
    <s v="94.05"/>
    <s v="SSOMA"/>
    <s v="Vidrio para gabinete de extintor, recarga de extintor"/>
    <s v="20609123762"/>
    <s v="VULCANO EXTINTORES Y SEGURIDAD E.I.R.L."/>
    <x v="0"/>
    <s v="FACTURA"/>
    <s v="E001"/>
    <n v="3059"/>
    <n v="61.86"/>
    <m/>
    <n v="11.1348"/>
    <m/>
    <m/>
    <n v="73"/>
    <m/>
    <m/>
    <m/>
    <m/>
    <m/>
    <s v="65.9.9.4.03"/>
    <s v="Vidrio para gabinete de extintor, recarga de extintor"/>
    <x v="0"/>
  </r>
  <r>
    <s v="28/08/2025"/>
    <x v="2"/>
    <s v="001"/>
    <s v="08-000380"/>
    <x v="1"/>
    <s v="91.06.02.07"/>
    <s v="VDJ_872"/>
    <s v="Peaje 25297"/>
    <s v="20517252558"/>
    <s v="CONCESIONARIA VIAL DEL SUR S.A.- COVISUR S.A."/>
    <x v="0"/>
    <s v="FACTURA"/>
    <s v="F214"/>
    <n v="2160048"/>
    <n v="6.78"/>
    <m/>
    <n v="1.2203999999999999"/>
    <m/>
    <m/>
    <n v="8"/>
    <m/>
    <m/>
    <m/>
    <m/>
    <s v="25297"/>
    <s v="63.1.1.3.02"/>
    <s v="Peaje 25297"/>
    <x v="8"/>
  </r>
  <r>
    <s v="28/08/2025"/>
    <x v="2"/>
    <s v="001"/>
    <s v="08-000381"/>
    <x v="1"/>
    <s v="91.06.02.07"/>
    <s v="VDJ_872"/>
    <s v="Peaje 25296"/>
    <s v="20517252558"/>
    <s v="CONCESIONARIA VIAL DEL SUR S.A.- COVISUR S.A."/>
    <x v="0"/>
    <s v="FACTURA"/>
    <s v="F211"/>
    <n v="2451589"/>
    <n v="6.78"/>
    <m/>
    <n v="1.2203999999999999"/>
    <m/>
    <m/>
    <n v="8"/>
    <m/>
    <m/>
    <m/>
    <m/>
    <s v="25296"/>
    <s v="63.1.1.3.02"/>
    <s v="Peaje 25296"/>
    <x v="8"/>
  </r>
  <r>
    <s v="28/08/2025"/>
    <x v="2"/>
    <s v="001"/>
    <s v="08-000382"/>
    <x v="1"/>
    <s v="91.06.02.07"/>
    <s v="VDJ_872"/>
    <s v="Balanza 25295"/>
    <s v="20124952850"/>
    <s v="ALIMENTOS Y SERVICIOS AGROPECUARIOS SRL."/>
    <x v="0"/>
    <s v="FACTURA"/>
    <s v="F002"/>
    <n v="136133"/>
    <n v="8.4700000000000006"/>
    <m/>
    <n v="1.5246"/>
    <m/>
    <m/>
    <n v="10"/>
    <m/>
    <m/>
    <m/>
    <m/>
    <s v="25295"/>
    <s v="63.1.1.7.01"/>
    <s v="Balanza 25295"/>
    <x v="11"/>
  </r>
  <r>
    <s v="27/08/2025"/>
    <x v="2"/>
    <s v="001"/>
    <s v="08-000383"/>
    <x v="1"/>
    <s v="91.06.02.07"/>
    <s v="VDJ_872"/>
    <s v="Peaje 25275"/>
    <s v="20517252558"/>
    <s v="CONCESIONARIA VIAL DEL SUR S.A.- COVISUR S.A."/>
    <x v="0"/>
    <s v="FACTURA"/>
    <s v="F212"/>
    <n v="1823642"/>
    <n v="6.78"/>
    <m/>
    <n v="1.2203999999999999"/>
    <m/>
    <m/>
    <n v="8"/>
    <m/>
    <m/>
    <m/>
    <m/>
    <s v="25275"/>
    <s v="63.1.1.3.02"/>
    <s v="Peaje 25275"/>
    <x v="8"/>
  </r>
  <r>
    <s v="27/08/2025"/>
    <x v="2"/>
    <s v="001"/>
    <s v="08-000384"/>
    <x v="1"/>
    <s v="91.06.02.07"/>
    <s v="VDJ_872"/>
    <s v="Peaje 25276"/>
    <s v="20517252558"/>
    <s v="CONCESIONARIA VIAL DEL SUR S.A.- COVISUR S.A."/>
    <x v="0"/>
    <s v="FACTURA"/>
    <s v="F213"/>
    <n v="1844638"/>
    <n v="6.78"/>
    <m/>
    <n v="1.2203999999999999"/>
    <m/>
    <m/>
    <n v="8"/>
    <m/>
    <m/>
    <m/>
    <m/>
    <s v="25276"/>
    <s v="63.1.1.3.02"/>
    <s v="Peaje 25276"/>
    <x v="8"/>
  </r>
  <r>
    <s v="26/08/2025"/>
    <x v="2"/>
    <s v="001"/>
    <s v="08-000385"/>
    <x v="1"/>
    <s v="91.06.02.07"/>
    <s v="VDJ_872"/>
    <s v="Lavado 25274"/>
    <s v="10705628331"/>
    <s v="LARICO APAZA NANCY ROSSMARY"/>
    <x v="0"/>
    <s v="FACTURA"/>
    <s v="F001"/>
    <n v="19392"/>
    <n v="21.19"/>
    <m/>
    <n v="3.8142"/>
    <m/>
    <m/>
    <n v="25"/>
    <m/>
    <m/>
    <m/>
    <m/>
    <s v="25274"/>
    <s v="63.1.1.5.01"/>
    <s v="Lavado 25274"/>
    <x v="14"/>
  </r>
  <r>
    <s v="25/08/2025"/>
    <x v="2"/>
    <s v="001"/>
    <s v="08-000386"/>
    <x v="1"/>
    <s v="91.06.02.07"/>
    <s v="VDJ_872"/>
    <s v="Peaje 25259"/>
    <s v="20517252558"/>
    <s v="CONCESIONARIA VIAL DEL SUR S.A.- COVISUR S.A."/>
    <x v="0"/>
    <s v="FACTURA"/>
    <s v="F212"/>
    <n v="1821449"/>
    <n v="6.78"/>
    <m/>
    <n v="1.2203999999999999"/>
    <m/>
    <m/>
    <n v="8"/>
    <m/>
    <m/>
    <m/>
    <m/>
    <s v="25259"/>
    <s v="63.1.1.3.02"/>
    <s v="Peaje 25259"/>
    <x v="8"/>
  </r>
  <r>
    <s v="25/08/2025"/>
    <x v="2"/>
    <s v="001"/>
    <s v="08-000387"/>
    <x v="1"/>
    <s v="91.06.02.07"/>
    <s v="VDJ_872"/>
    <s v="Peaje 25279"/>
    <s v="20517252558"/>
    <s v="CONCESIONARIA VIAL DEL SUR S.A.- COVISUR S.A."/>
    <x v="0"/>
    <s v="FACTURA"/>
    <s v="F213"/>
    <n v="1842802"/>
    <n v="6.78"/>
    <m/>
    <n v="1.2203999999999999"/>
    <m/>
    <m/>
    <n v="8"/>
    <m/>
    <m/>
    <m/>
    <m/>
    <s v="25279"/>
    <s v="63.1.1.3.02"/>
    <s v="Peaje 25279"/>
    <x v="8"/>
  </r>
  <r>
    <s v="25/08/2025"/>
    <x v="2"/>
    <s v="001"/>
    <s v="08-000388"/>
    <x v="1"/>
    <s v="91.06.02.07"/>
    <s v="VDJ_872"/>
    <s v="Balanza 25268"/>
    <s v="20259858934"/>
    <s v="COMERCIALIZACION Y SERVICIOS EL EDEN S.A.C."/>
    <x v="0"/>
    <s v="FACTURA"/>
    <s v="FE02"/>
    <n v="17472"/>
    <n v="16.95"/>
    <m/>
    <n v="3.0509999999999997"/>
    <m/>
    <m/>
    <n v="20"/>
    <m/>
    <m/>
    <m/>
    <m/>
    <s v="25268"/>
    <s v="63.1.1.7.01"/>
    <s v="Balanza 25268"/>
    <x v="11"/>
  </r>
  <r>
    <s v="27/08/2025"/>
    <x v="2"/>
    <s v="001"/>
    <s v="08-000389"/>
    <x v="1"/>
    <s v="91.06.02.07"/>
    <s v="VDJ_872"/>
    <s v="Balanza 25278"/>
    <s v="20259858934"/>
    <s v="COMERCIALIZACION Y SERVICIOS EL EDEN S.A.C."/>
    <x v="0"/>
    <s v="FACTURA"/>
    <s v="FE02"/>
    <n v="17497"/>
    <n v="16.95"/>
    <m/>
    <n v="3.0509999999999997"/>
    <m/>
    <m/>
    <n v="20"/>
    <m/>
    <m/>
    <m/>
    <m/>
    <s v="25278"/>
    <s v="63.1.1.7.01"/>
    <s v="Balanza 25278"/>
    <x v="11"/>
  </r>
  <r>
    <s v="26/08/2025"/>
    <x v="2"/>
    <s v="001"/>
    <s v="08-000390"/>
    <x v="0"/>
    <s v="94.03"/>
    <s v="Logistica"/>
    <s v="Balde rojo 20L RQ.LOG.347"/>
    <s v="10410928421"/>
    <s v=" QUISPE CALDERON LUCILA "/>
    <x v="1"/>
    <s v="BOLETA DE VENTA"/>
    <s v="003"/>
    <n v="3787"/>
    <m/>
    <m/>
    <n v="0"/>
    <m/>
    <n v="50"/>
    <n v="50"/>
    <m/>
    <m/>
    <m/>
    <m/>
    <m/>
    <s v="65.6.1.1.03"/>
    <s v="Balde rojo 20L RQ.LOG.347"/>
    <x v="22"/>
  </r>
  <r>
    <s v="27/08/2025"/>
    <x v="2"/>
    <s v="001"/>
    <s v="08-000391"/>
    <x v="1"/>
    <s v="91.06.02.06"/>
    <s v="VBW_889"/>
    <s v="Mantenimiento Vehicular (Preventivo) RQ.OPE.1341 OS 006_172"/>
    <s v="20602810497"/>
    <s v=" TRENTO MULTISERVICIOS S.R.L. "/>
    <x v="0"/>
    <s v="FACTURA"/>
    <s v="F002"/>
    <n v="20805"/>
    <n v="478.82"/>
    <m/>
    <n v="86.187599999999989"/>
    <m/>
    <s v="                                -  "/>
    <n v="565"/>
    <m/>
    <m/>
    <m/>
    <m/>
    <m/>
    <s v="63.4.3.2.02"/>
    <s v="Mantenimiento Vehicular (Preventivo) RQ.OPE.1341 OS 006_172"/>
    <x v="3"/>
  </r>
  <r>
    <s v="27/08/2025"/>
    <x v="2"/>
    <s v="001"/>
    <s v="08-000392"/>
    <x v="1"/>
    <s v="91.06.02.04"/>
    <s v="VBB_840"/>
    <s v="Accesorios Vehiculares RQ.OPE.1313 OS 006_171"/>
    <s v="10207191685"/>
    <s v=" GARCIA RAMOS HOTMAR PEDRO "/>
    <x v="0"/>
    <s v="FACTURA"/>
    <s v="E001"/>
    <n v="214"/>
    <n v="320"/>
    <m/>
    <n v="57.599999999999994"/>
    <m/>
    <s v="                                -  "/>
    <n v="377.6"/>
    <m/>
    <m/>
    <m/>
    <m/>
    <m/>
    <s v="63.4.3.2.03"/>
    <s v="Accesorios Vehiculares RQ.OPE.1313 OS 006_171"/>
    <x v="18"/>
  </r>
  <r>
    <s v="29/08/2025"/>
    <x v="2"/>
    <s v="001"/>
    <s v="08-000393"/>
    <x v="1"/>
    <s v="91.06.01"/>
    <s v="Operaciones"/>
    <s v="Envío de documentación / paquetería"/>
    <s v="20558053691"/>
    <s v=" GRUPO GARCIA TOLEDO S.A.C "/>
    <x v="0"/>
    <s v="FACTURA"/>
    <s v="F549"/>
    <n v="14315"/>
    <n v="16.95"/>
    <m/>
    <n v="3.0509999999999997"/>
    <m/>
    <s v="                                -  "/>
    <n v="20"/>
    <m/>
    <m/>
    <m/>
    <m/>
    <m/>
    <s v="63.1.2.1.01"/>
    <s v="Envío de documentación / paquetería"/>
    <x v="2"/>
  </r>
  <r>
    <s v="27/08/2025"/>
    <x v="2"/>
    <s v="001"/>
    <s v="08-000394"/>
    <x v="1"/>
    <s v="91.06.02.07"/>
    <s v="VDJ_872"/>
    <s v="Accesorios Vehiculares RQ.OPE.1381 OS 006_173"/>
    <s v="20611593920"/>
    <s v=" GRUPO HUAMCO PERU S.A.C. "/>
    <x v="0"/>
    <s v="FACTURA"/>
    <s v="F004"/>
    <n v="72"/>
    <n v="184"/>
    <m/>
    <n v="33.119999999999997"/>
    <m/>
    <s v="                                -  "/>
    <n v="217.12"/>
    <m/>
    <m/>
    <m/>
    <m/>
    <m/>
    <s v="63.4.3.2.03"/>
    <s v="Accesorios Vehiculares RQ.OPE.1381 OS 006_173"/>
    <x v="18"/>
  </r>
  <r>
    <s v="27/08/2025"/>
    <x v="2"/>
    <s v="001"/>
    <s v="08-000395"/>
    <x v="3"/>
    <s v="97.01"/>
    <s v="Gastos Financieros"/>
    <s v="Comisión _ Giros y transferencias"/>
    <s v="20100047218"/>
    <s v=" BANCO DE CREDITO DEL PERU "/>
    <x v="0"/>
    <s v="FACTURA"/>
    <s v="FN01"/>
    <n v="36292322"/>
    <m/>
    <m/>
    <n v="0"/>
    <m/>
    <n v="10"/>
    <n v="10"/>
    <m/>
    <m/>
    <m/>
    <m/>
    <m/>
    <s v="63.9.1.1.05"/>
    <s v="Comisión _ Giros y transferencias"/>
    <x v="0"/>
  </r>
  <r>
    <s v="29/08/2025"/>
    <x v="2"/>
    <s v="001"/>
    <s v="08-000396"/>
    <x v="1"/>
    <s v="91.06.02.08"/>
    <s v="Montacarga"/>
    <s v="Mantenimiento Vehicular (Preventivo) RQ.OPE.1385 OS 006_174"/>
    <s v="10402383548"/>
    <s v=" HUALLA SANCHEZ GUSTAVO PAUL "/>
    <x v="0"/>
    <s v="FACTURA"/>
    <s v="E001"/>
    <n v="3443"/>
    <n v="441.53"/>
    <m/>
    <n v="79.475399999999993"/>
    <m/>
    <s v="                                -  "/>
    <n v="521"/>
    <m/>
    <m/>
    <m/>
    <m/>
    <m/>
    <s v="63.4.3.2.02"/>
    <s v="Mantenimiento Vehicular (Preventivo) RQ.OPE.1385 OS 006_174"/>
    <x v="3"/>
  </r>
  <r>
    <s v="25/08/2025"/>
    <x v="2"/>
    <s v="001"/>
    <s v="08-000397"/>
    <x v="1"/>
    <s v="91.06.02.08"/>
    <s v="Montacarga"/>
    <s v="Alquiler de montacarga RQ.OPE.1393"/>
    <s v="10425371652"/>
    <s v=" PALOMINO DAVILA MARCOS ANTONIO "/>
    <x v="0"/>
    <s v="FACTURA"/>
    <s v="E001"/>
    <n v="5313"/>
    <n v="50"/>
    <m/>
    <n v="9"/>
    <m/>
    <s v="                                -  "/>
    <n v="59"/>
    <m/>
    <m/>
    <m/>
    <m/>
    <m/>
    <s v="63.5.4.1.01"/>
    <s v="Alquiler de montacarga RQ.OPE.1393"/>
    <x v="16"/>
  </r>
  <r>
    <s v="25/08/2025"/>
    <x v="2"/>
    <s v="001"/>
    <s v="08-000398"/>
    <x v="1"/>
    <s v="91.06.02.08"/>
    <s v="Montacarga"/>
    <s v="Alquiler de montacarga RQ.OPE.1392 OS 005_718"/>
    <s v="20603974817"/>
    <s v=" TRANSPORTES, GRUAS Y MONTACARGAS AREQUIPA EMPRESA INDIVIDUAL DE RESPONSABILIDAD LIMITADA "/>
    <x v="0"/>
    <s v="FACTURA"/>
    <s v="E001"/>
    <n v="4152"/>
    <n v="297.5"/>
    <m/>
    <n v="53.55"/>
    <m/>
    <s v="                                -  "/>
    <n v="351.05"/>
    <m/>
    <m/>
    <m/>
    <m/>
    <m/>
    <s v="63.5.4.1.01"/>
    <s v="Alquiler de montacarga RQ.OPE.1392 OS 005_718"/>
    <x v="16"/>
  </r>
  <r>
    <s v="29/08/2025"/>
    <x v="2"/>
    <s v="001"/>
    <s v="08-000399"/>
    <x v="1"/>
    <s v="91.06.02.08"/>
    <s v="Montacarga"/>
    <s v="Alquiler de montacarga RQ.OPE.1390"/>
    <s v="20609764261"/>
    <s v=" MGM MONTACARGAS &amp; GRUAS S.A.C. "/>
    <x v="0"/>
    <s v="FACTURA"/>
    <s v="E001"/>
    <n v="2539"/>
    <n v="90"/>
    <m/>
    <n v="16.2"/>
    <m/>
    <s v="                                -  "/>
    <n v="106.2"/>
    <m/>
    <m/>
    <m/>
    <m/>
    <m/>
    <s v="63.5.4.1.01"/>
    <s v="Alquiler de montacarga RQ.OPE.1390"/>
    <x v="16"/>
  </r>
  <r>
    <s v="29/08/2025"/>
    <x v="2"/>
    <s v="001"/>
    <s v="08-000400"/>
    <x v="1"/>
    <s v="91.06.02.08"/>
    <s v="Montacarga"/>
    <s v="Alquiler de montacarga RQ.OPE.1391"/>
    <s v="20609764261"/>
    <s v=" MGM MONTACARGAS &amp; GRUAS S.A.C. "/>
    <x v="0"/>
    <s v="FACTURA"/>
    <s v="E001"/>
    <n v="2537"/>
    <n v="60"/>
    <m/>
    <n v="10.799999999999999"/>
    <m/>
    <s v="                                -  "/>
    <n v="70.8"/>
    <m/>
    <m/>
    <m/>
    <m/>
    <m/>
    <s v="63.5.4.1.01"/>
    <s v="Alquiler de montacarga RQ.OPE.1391"/>
    <x v="16"/>
  </r>
  <r>
    <s v="29/08/2025"/>
    <x v="2"/>
    <s v="001"/>
    <s v="08-000401"/>
    <x v="1"/>
    <s v="91.06.02.08"/>
    <s v="Montacarga"/>
    <s v="Alquiler de montacarga RQ.OPE.1396"/>
    <s v="20609764261"/>
    <s v=" MGM MONTACARGAS &amp; GRUAS S.A.C. "/>
    <x v="0"/>
    <s v="FACTURA"/>
    <s v="E001"/>
    <n v="2538"/>
    <n v="60"/>
    <m/>
    <n v="10.799999999999999"/>
    <m/>
    <s v="                                -  "/>
    <n v="70.8"/>
    <m/>
    <m/>
    <m/>
    <m/>
    <m/>
    <s v="63.5.4.1.01"/>
    <s v="Alquiler de montacarga RQ.OPE.1396"/>
    <x v="16"/>
  </r>
  <r>
    <s v="25/08/2025"/>
    <x v="2"/>
    <s v="001"/>
    <s v="08-000402"/>
    <x v="1"/>
    <s v="91.06.02.08"/>
    <s v="Montacarga"/>
    <s v="Alquiler de montacarga RQ.OPE.1395"/>
    <s v="20603974817"/>
    <s v=" TRANSPORTES, GRUAS Y MONTACARGAS AREQUIPA EMPRESA INDIVIDUAL DE RESPONSABILIDAD LIMITADA "/>
    <x v="0"/>
    <s v="FACTURA"/>
    <s v="E001"/>
    <n v="4153"/>
    <n v="106.25"/>
    <m/>
    <n v="19.125"/>
    <m/>
    <s v="                                -  "/>
    <n v="250.75"/>
    <m/>
    <m/>
    <m/>
    <m/>
    <m/>
    <s v="63.5.4.1.01"/>
    <s v="Alquiler de montacarga RQ.OPE.1395"/>
    <x v="16"/>
  </r>
  <r>
    <s v="25/08/2025"/>
    <x v="2"/>
    <s v="001"/>
    <s v="08-000402"/>
    <x v="2"/>
    <s v="95.01"/>
    <s v="Comercial"/>
    <s v="Alquiler de montacarga RQ.OPE.1395"/>
    <s v="20603974817"/>
    <s v=" TRANSPORTES, GRUAS Y MONTACARGAS AREQUIPA EMPRESA INDIVIDUAL DE RESPONSABILIDAD LIMITADA "/>
    <x v="0"/>
    <s v="FACTURA"/>
    <s v="E001"/>
    <n v="4153"/>
    <n v="106.25"/>
    <m/>
    <n v="19.125"/>
    <m/>
    <s v="                                -  "/>
    <n v="250.75"/>
    <m/>
    <m/>
    <m/>
    <m/>
    <m/>
    <s v="63.5.4.1.03"/>
    <s v="Alquiler de montacarga RQ.OPE.1395"/>
    <x v="17"/>
  </r>
  <r>
    <s v="29/08/2025"/>
    <x v="2"/>
    <s v="001"/>
    <s v="08-000403"/>
    <x v="1"/>
    <s v="91.06.02.07"/>
    <s v="VDJ_872"/>
    <s v="Peaje 25315"/>
    <s v="20517252558"/>
    <s v=" CONCESIONARIA VIAL DEL SUR S.A.- COVISUR S.A. "/>
    <x v="0"/>
    <s v="FACTURA"/>
    <s v="F113"/>
    <n v="401893"/>
    <n v="6.78"/>
    <m/>
    <n v="1.2203999999999999"/>
    <m/>
    <s v="                                -  "/>
    <n v="8"/>
    <m/>
    <m/>
    <m/>
    <m/>
    <s v="25315"/>
    <s v="63.1.1.3.02"/>
    <s v="Peaje 25315"/>
    <x v="8"/>
  </r>
  <r>
    <s v="29/08/2025"/>
    <x v="2"/>
    <s v="001"/>
    <s v="08-000404"/>
    <x v="1"/>
    <s v="91.06.02.07"/>
    <s v="VDJ_872"/>
    <s v="Peaje 25314"/>
    <s v="20517252558"/>
    <s v=" CONCESIONARIA VIAL DEL SUR S.A.- COVISUR S.A. "/>
    <x v="0"/>
    <s v="FACTURA"/>
    <s v="F213"/>
    <n v="1846999"/>
    <n v="6.78"/>
    <m/>
    <n v="1.2203999999999999"/>
    <m/>
    <s v="                                -  "/>
    <n v="8"/>
    <m/>
    <m/>
    <m/>
    <m/>
    <s v="25314"/>
    <s v="63.1.1.3.02"/>
    <s v="Peaje 25314"/>
    <x v="8"/>
  </r>
  <r>
    <s v="29/08/2025"/>
    <x v="2"/>
    <s v="001"/>
    <s v="08-000405"/>
    <x v="1"/>
    <s v="91.06.02.07"/>
    <s v="VDJ_872"/>
    <s v="Peaje 25308"/>
    <s v="20517252558"/>
    <s v=" CONCESIONARIA VIAL DEL SUR S.A.- COVISUR S.A. "/>
    <x v="0"/>
    <s v="FACTURA"/>
    <s v="F111"/>
    <n v="1021226"/>
    <n v="6.78"/>
    <m/>
    <n v="1.2203999999999999"/>
    <m/>
    <s v="                                -  "/>
    <n v="8"/>
    <m/>
    <m/>
    <m/>
    <m/>
    <s v="25308"/>
    <s v="63.1.1.3.02"/>
    <s v="Peaje 25308"/>
    <x v="8"/>
  </r>
  <r>
    <s v="29/08/2025"/>
    <x v="2"/>
    <s v="001"/>
    <s v="08-000406"/>
    <x v="1"/>
    <s v="91.06.02.01"/>
    <s v="V9R_903"/>
    <s v="Peaje 25304"/>
    <s v="20517252558"/>
    <s v=" CONCESIONARIA VIAL DEL SUR S.A.- COVISUR S.A. "/>
    <x v="0"/>
    <s v="FACTURA"/>
    <s v="F214"/>
    <n v="2160728"/>
    <n v="10.17"/>
    <m/>
    <n v="1.8306"/>
    <m/>
    <s v="                                -  "/>
    <n v="12"/>
    <m/>
    <m/>
    <m/>
    <m/>
    <s v="25304"/>
    <s v="63.1.1.3.02"/>
    <s v="Peaje 25304"/>
    <x v="8"/>
  </r>
  <r>
    <s v="28/08/2025"/>
    <x v="2"/>
    <s v="001"/>
    <s v="08-000407"/>
    <x v="1"/>
    <s v="91.06.02.01"/>
    <s v="V9R_903"/>
    <s v="Peaje 25294"/>
    <s v="20517252558"/>
    <s v=" CONCESIONARIA VIAL DEL SUR S.A.- COVISUR S.A. "/>
    <x v="0"/>
    <s v="FACTURA"/>
    <s v="F211"/>
    <n v="2451506"/>
    <n v="10.17"/>
    <m/>
    <n v="1.8306"/>
    <m/>
    <s v="                                -  "/>
    <n v="12"/>
    <m/>
    <m/>
    <m/>
    <m/>
    <s v="25294"/>
    <s v="63.1.1.3.02"/>
    <s v="Peaje 25294"/>
    <x v="8"/>
  </r>
  <r>
    <s v="29/08/2025"/>
    <x v="2"/>
    <s v="001"/>
    <s v="08-000408"/>
    <x v="1"/>
    <s v="91.06.02.01"/>
    <s v="V9R_903"/>
    <s v="Peaje 25310"/>
    <s v="20517252558"/>
    <s v=" CONCESIONARIA VIAL DEL SUR S.A.- COVISUR S.A. "/>
    <x v="0"/>
    <s v="FACTURA"/>
    <s v="F211"/>
    <n v="2453245"/>
    <n v="10.17"/>
    <m/>
    <n v="1.8306"/>
    <m/>
    <s v="                                -  "/>
    <n v="12"/>
    <m/>
    <m/>
    <m/>
    <m/>
    <s v="25310"/>
    <s v="63.1.1.3.02"/>
    <s v="Peaje 25310"/>
    <x v="8"/>
  </r>
  <r>
    <s v="30/08/2025"/>
    <x v="2"/>
    <s v="001"/>
    <s v="08-000409"/>
    <x v="1"/>
    <s v="91.06.02.01"/>
    <s v="V9R_903"/>
    <s v="Peaje 25324"/>
    <s v="20517252558"/>
    <s v=" CONCESIONARIA VIAL DEL SUR S.A.- COVISUR S.A. "/>
    <x v="0"/>
    <s v="FACTURA"/>
    <s v="F214"/>
    <n v="2162563"/>
    <n v="10.17"/>
    <m/>
    <n v="1.8306"/>
    <m/>
    <s v="                                -  "/>
    <n v="12"/>
    <m/>
    <m/>
    <m/>
    <m/>
    <s v="25324"/>
    <s v="63.1.1.3.02"/>
    <s v="Peaje 25324"/>
    <x v="8"/>
  </r>
  <r>
    <s v="29/08/2025"/>
    <x v="2"/>
    <s v="001"/>
    <s v="08-000410"/>
    <x v="1"/>
    <s v="91.06.02.01"/>
    <s v="V9R_903"/>
    <s v="Balanza 25311"/>
    <s v="20124952850"/>
    <s v=" ALIMENTOS Y SERVICIOS AGROPECUARIOS SRL. "/>
    <x v="0"/>
    <s v="FACTURA"/>
    <s v="F002"/>
    <n v="136209"/>
    <n v="8.4700000000000006"/>
    <m/>
    <n v="1.5246"/>
    <m/>
    <s v="                                -  "/>
    <n v="10"/>
    <m/>
    <m/>
    <m/>
    <m/>
    <s v="25311"/>
    <s v="63.1.1.7.01"/>
    <s v="Balanza 25311"/>
    <x v="11"/>
  </r>
  <r>
    <s v="27/08/2025"/>
    <x v="2"/>
    <s v="001"/>
    <s v="08-000411"/>
    <x v="1"/>
    <s v="91.06.02.08"/>
    <s v="Montacarga"/>
    <s v="GLP (Montacarga)"/>
    <s v="20602978274"/>
    <s v=" ESTACION DE SERVICIOS MI GRIFO S.R.L. - ESTACION MG S.R.L. "/>
    <x v="0"/>
    <s v="FACTURA"/>
    <s v="F136"/>
    <n v="11406"/>
    <n v="219.5"/>
    <m/>
    <n v="39.51"/>
    <m/>
    <s v="                                -  "/>
    <n v="259.01"/>
    <m/>
    <m/>
    <m/>
    <m/>
    <m/>
    <s v="65.6.1.1.01"/>
    <s v="GLP (Montacarga)"/>
    <x v="12"/>
  </r>
  <r>
    <s v="26/08/2025"/>
    <x v="2"/>
    <s v="001"/>
    <s v="08-000412"/>
    <x v="0"/>
    <s v="94.03"/>
    <s v="Logistica"/>
    <s v="Llanta para carretilla"/>
    <s v="10449756199"/>
    <s v=" LLAIQUI CHUQUIPUMA MARTHA PATRICIA "/>
    <x v="0"/>
    <s v="FACTURA"/>
    <s v="E001"/>
    <n v="3983"/>
    <n v="55.08"/>
    <m/>
    <n v="9.9143999999999988"/>
    <m/>
    <s v="                                -  "/>
    <n v="65"/>
    <m/>
    <m/>
    <m/>
    <m/>
    <m/>
    <s v="65.9.9.9.01"/>
    <s v="Llanta para carretilla"/>
    <x v="28"/>
  </r>
  <r>
    <s v="29/08/2025"/>
    <x v="2"/>
    <s v="001"/>
    <s v="08-000413"/>
    <x v="0"/>
    <s v="94.04"/>
    <s v="Gestion Humana"/>
    <s v="Examen medico_ ingreso RQ.GH.234"/>
    <s v="20517035964"/>
    <s v=" SIGSO CONSULTORES LABORALES SOCIEDAD ANONIMA CERRADA - SIGSO CONSULTORES LABORALES S.A.C. "/>
    <x v="0"/>
    <s v="FACTURA"/>
    <s v="F200"/>
    <n v="16524"/>
    <n v="92"/>
    <m/>
    <n v="16.559999999999999"/>
    <m/>
    <s v="                                -  "/>
    <n v="108.56"/>
    <m/>
    <m/>
    <m/>
    <m/>
    <m/>
    <s v="62.5.1.2.01"/>
    <s v="Examen medico_ ingreso RQ.GH.234"/>
    <x v="25"/>
  </r>
  <r>
    <s v="28/08/2025"/>
    <x v="2"/>
    <s v="001"/>
    <s v="08-000414"/>
    <x v="1"/>
    <s v="91.06.02.06"/>
    <s v="VBW_889"/>
    <s v="Lavado"/>
    <s v="20614269309"/>
    <s v=" MULTISERVICIOS NUESTRA SRA. DE LOURDES E.I.R.L. "/>
    <x v="0"/>
    <s v="FACTURA"/>
    <s v="E001"/>
    <n v="146"/>
    <n v="29.66"/>
    <m/>
    <n v="5.3388"/>
    <m/>
    <s v="                                -  "/>
    <n v="35"/>
    <m/>
    <m/>
    <m/>
    <m/>
    <m/>
    <s v="63.1.1.5.01"/>
    <s v="Lavado"/>
    <x v="14"/>
  </r>
  <r>
    <s v="27/08/2025"/>
    <x v="2"/>
    <s v="001"/>
    <s v="08-000415"/>
    <x v="1"/>
    <s v="91.06.02.08"/>
    <s v="Montacarga"/>
    <s v="Gasolina (Montacarga)"/>
    <s v="20602978274"/>
    <s v=" ESTACION DE SERVICIOS MI GRIFO S.R.L. - ESTACION MG S.R.L. "/>
    <x v="0"/>
    <s v="FACTURA"/>
    <s v="F135"/>
    <n v="8871"/>
    <n v="169.5"/>
    <m/>
    <n v="30.509999999999998"/>
    <m/>
    <s v="                                -  "/>
    <n v="200.01"/>
    <m/>
    <m/>
    <m/>
    <m/>
    <m/>
    <s v="65.6.1.1.01"/>
    <s v="Gasolina (Montacarga)"/>
    <x v="12"/>
  </r>
  <r>
    <s v="22/08/2025"/>
    <x v="2"/>
    <s v="001"/>
    <s v="08-000416"/>
    <x v="1"/>
    <s v="91.06.01"/>
    <s v="Operaciones"/>
    <s v="Tratamiento / Disposición _ No Aprovechables"/>
    <s v="20608970909"/>
    <s v=" BIRRAK 360 S.A.C. "/>
    <x v="0"/>
    <s v="FACTURA"/>
    <s v="E001"/>
    <n v="1274"/>
    <n v="357.7"/>
    <m/>
    <n v="64.385999999999996"/>
    <m/>
    <s v="                                -  "/>
    <n v="599.09"/>
    <m/>
    <m/>
    <m/>
    <m/>
    <m/>
    <s v="63.9.9.1.04.02"/>
    <s v="Tratamiento / Disposición _ No Aprovechables"/>
    <x v="23"/>
  </r>
  <r>
    <s v="22/08/2025"/>
    <x v="2"/>
    <s v="001"/>
    <s v="08-000416"/>
    <x v="1"/>
    <s v="91.06.02.08"/>
    <s v="Montacarga"/>
    <s v="Tratamiento / Disposición _ No Aprovechables"/>
    <s v="20608970909"/>
    <s v=" BIRRAK 360 S.A.C. "/>
    <x v="0"/>
    <s v="FACTURA"/>
    <s v="E001"/>
    <n v="1274"/>
    <n v="150"/>
    <m/>
    <n v="27"/>
    <m/>
    <s v="                                -  "/>
    <n v="599.09"/>
    <m/>
    <m/>
    <m/>
    <m/>
    <m/>
    <s v="63.5.4.1.01"/>
    <s v="Tratamiento / Disposición _ No Aprovechables"/>
    <x v="16"/>
  </r>
  <r>
    <s v="22/08/2025"/>
    <x v="2"/>
    <s v="001"/>
    <s v="08-000417"/>
    <x v="1"/>
    <s v="91.06.01"/>
    <s v="Operaciones"/>
    <s v="Valorizacion de residuos _ disposicion final"/>
    <s v="20608970909"/>
    <s v=" BIRRAK 360 S.A.C. "/>
    <x v="0"/>
    <s v="FACTURA"/>
    <s v="E001"/>
    <n v="1271"/>
    <n v="427"/>
    <m/>
    <n v="76.86"/>
    <m/>
    <s v="                                -  "/>
    <n v="680.86"/>
    <m/>
    <m/>
    <m/>
    <m/>
    <m/>
    <s v="63.9.9.1.04.02"/>
    <s v="Valorizacion de residuos _ disposicion final"/>
    <x v="23"/>
  </r>
  <r>
    <s v="22/08/2025"/>
    <x v="2"/>
    <s v="001"/>
    <s v="08-000417"/>
    <x v="1"/>
    <s v="91.06.02.08"/>
    <s v="Montacarga"/>
    <s v="Valorizacion de residuos _ disposicion final"/>
    <s v="20608970909"/>
    <s v=" BIRRAK 360 S.A.C. "/>
    <x v="0"/>
    <s v="FACTURA"/>
    <s v="E001"/>
    <n v="1271"/>
    <n v="150"/>
    <m/>
    <n v="27"/>
    <m/>
    <s v="                                -  "/>
    <n v="680.86"/>
    <m/>
    <m/>
    <m/>
    <m/>
    <m/>
    <s v="63.5.4.1.01"/>
    <s v="Valorizacion de residuos _ disposicion final"/>
    <x v="16"/>
  </r>
  <r>
    <s v="22/08/2025"/>
    <x v="2"/>
    <s v="001"/>
    <s v="08-000418"/>
    <x v="1"/>
    <s v="91.06.01"/>
    <s v="Operaciones"/>
    <s v="Valorizacion de residuos_ disposicion final"/>
    <s v="20608970909"/>
    <s v=" BIRRAK 360 S.A.C. "/>
    <x v="0"/>
    <s v="FACTURA"/>
    <s v="E001"/>
    <n v="1272"/>
    <n v="501.2"/>
    <m/>
    <n v="90.215999999999994"/>
    <m/>
    <s v="                                -  "/>
    <n v="768.42"/>
    <s v="281448600"/>
    <s v="3/09/2025"/>
    <m/>
    <m/>
    <m/>
    <s v="63.9.9.1.04.02"/>
    <s v="Valorizacion de residuos_ disposicion final"/>
    <x v="23"/>
  </r>
  <r>
    <s v="22/08/2025"/>
    <x v="2"/>
    <s v="001"/>
    <s v="08-000418"/>
    <x v="1"/>
    <s v="91.06.02.08"/>
    <s v="Montacarga"/>
    <s v="Valorizacion de residuos_ disposicion final"/>
    <s v="20608970909"/>
    <s v=" BIRRAK 360 S.A.C. "/>
    <x v="0"/>
    <s v="FACTURA"/>
    <s v="E001"/>
    <n v="1272"/>
    <n v="150"/>
    <m/>
    <n v="27"/>
    <m/>
    <s v="                                -  "/>
    <n v="768.42"/>
    <s v="281448600"/>
    <s v="3/09/2025"/>
    <m/>
    <m/>
    <m/>
    <s v="63.5.4.1.01"/>
    <s v="Valorizacion de residuos_ disposicion final"/>
    <x v="16"/>
  </r>
  <r>
    <s v="22/08/2025"/>
    <x v="2"/>
    <s v="001"/>
    <s v="08-000419"/>
    <x v="1"/>
    <s v="91.06.01"/>
    <s v="Operaciones"/>
    <s v="Valorizacion de residuos _ disposicion final"/>
    <s v="20608970909"/>
    <s v=" BIRRAK 360 S.A.C. "/>
    <x v="0"/>
    <s v="FACTURA"/>
    <s v="E001"/>
    <n v="1273"/>
    <n v="392.7"/>
    <m/>
    <n v="70.685999999999993"/>
    <m/>
    <s v="                                -  "/>
    <n v="640.39"/>
    <m/>
    <m/>
    <m/>
    <m/>
    <m/>
    <s v="63.9.9.1.04.02"/>
    <s v="Valorizacion de residuos _ disposicion final"/>
    <x v="23"/>
  </r>
  <r>
    <s v="22/08/2025"/>
    <x v="2"/>
    <s v="001"/>
    <s v="08-000419"/>
    <x v="1"/>
    <s v="91.06.02.08"/>
    <s v="Montacarga"/>
    <s v="Valorizacion de residuos _ disposicion final"/>
    <s v="20608970909"/>
    <s v=" BIRRAK 360 S.A.C. "/>
    <x v="0"/>
    <s v="FACTURA"/>
    <s v="E001"/>
    <n v="1273"/>
    <n v="150"/>
    <m/>
    <n v="27"/>
    <m/>
    <s v="                                -  "/>
    <n v="640.39"/>
    <m/>
    <m/>
    <m/>
    <m/>
    <m/>
    <s v="63.5.4.1.01"/>
    <s v="Valorizacion de residuos _ disposicion final"/>
    <x v="16"/>
  </r>
  <r>
    <s v="22/08/2025"/>
    <x v="2"/>
    <s v="001"/>
    <s v="08-000420"/>
    <x v="0"/>
    <s v="94.03"/>
    <s v="Logistica"/>
    <s v="Recarga de agua _ Arequipa RQ.LOG.352"/>
    <s v="10706063426"/>
    <s v=" FARFAN RIEGA YESENIA ELIZABETH "/>
    <x v="0"/>
    <s v="FACTURA"/>
    <s v="E001"/>
    <n v="587"/>
    <n v="135.59"/>
    <m/>
    <n v="24.406199999999998"/>
    <m/>
    <s v="                                -  "/>
    <n v="160"/>
    <m/>
    <m/>
    <m/>
    <m/>
    <m/>
    <s v="63.6.3.2.01"/>
    <s v="Recarga de agua _ Arequipa RQ.LOG.352"/>
    <x v="0"/>
  </r>
  <r>
    <s v="08/08/2025"/>
    <x v="2"/>
    <s v="001"/>
    <s v="08-000421"/>
    <x v="0"/>
    <s v="94.03"/>
    <s v="Logistica"/>
    <s v="Recarga de agua _ Arequipa RQ.LOG.353"/>
    <s v="10706063426"/>
    <s v=" FARFAN RIEGA YESENIA ELIZABETH "/>
    <x v="0"/>
    <s v="FACTURA"/>
    <s v="E001"/>
    <n v="558"/>
    <n v="152.54"/>
    <m/>
    <n v="27.457199999999997"/>
    <m/>
    <s v="                                -  "/>
    <n v="180"/>
    <m/>
    <m/>
    <m/>
    <m/>
    <m/>
    <s v="63.6.3.2.01"/>
    <s v="Recarga de agua _ Arequipa RQ.LOG.353"/>
    <x v="0"/>
  </r>
  <r>
    <s v="11/07/2025"/>
    <x v="2"/>
    <s v="001"/>
    <s v="08-000422"/>
    <x v="0"/>
    <m/>
    <m/>
    <m/>
    <s v="10706063426"/>
    <s v=" FARFAN RIEGA YESENIA ELIZABETH "/>
    <x v="0"/>
    <s v="FACTURA"/>
    <s v="E001"/>
    <s v="514"/>
    <n v="144.07"/>
    <m/>
    <n v="25.93"/>
    <m/>
    <s v="                                -  "/>
    <n v="170"/>
    <m/>
    <m/>
    <m/>
    <m/>
    <m/>
    <m/>
    <m/>
    <x v="0"/>
  </r>
  <r>
    <s v="26/08/2025"/>
    <x v="2"/>
    <s v="001"/>
    <s v="08-000423"/>
    <x v="0"/>
    <s v="94.03"/>
    <s v="Logistica"/>
    <s v="Ficha de servicios,tamaño oficio, impresiones RQ.LOG.350"/>
    <s v="10296695781"/>
    <s v=" BUSTAMANTE HERRERA NESTOR MOISES "/>
    <x v="0"/>
    <s v="FACTURA"/>
    <s v="E001"/>
    <n v="783"/>
    <n v="245.76"/>
    <m/>
    <n v="44.236799999999995"/>
    <m/>
    <s v="                                -  "/>
    <n v="290"/>
    <m/>
    <m/>
    <m/>
    <m/>
    <m/>
    <s v="65.6.1.1.04"/>
    <s v="Ficha de servicios,tamaño oficio, impresiones RQ.LOG.350"/>
    <x v="0"/>
  </r>
  <r>
    <s v="22/08/2025"/>
    <x v="2"/>
    <s v="001"/>
    <s v="08-000424"/>
    <x v="2"/>
    <s v="95.01"/>
    <s v="Comercial"/>
    <s v="Balanza"/>
    <s v="20259858934"/>
    <s v=" COMERCIALIZACION Y SERVICIOS EL EDEN S.A.C. "/>
    <x v="0"/>
    <s v="FACTURA"/>
    <s v="FE02"/>
    <n v="17445"/>
    <n v="16.95"/>
    <m/>
    <n v="3.0509999999999997"/>
    <m/>
    <s v="                                -  "/>
    <n v="20"/>
    <m/>
    <m/>
    <m/>
    <m/>
    <m/>
    <s v="63.1.1.7.02"/>
    <s v="Balanza"/>
    <x v="1"/>
  </r>
  <r>
    <s v="23/08/2025"/>
    <x v="2"/>
    <s v="001"/>
    <s v="08-000425"/>
    <x v="0"/>
    <s v="94.04"/>
    <s v="Gestion Humana"/>
    <s v="Alfajores"/>
    <s v="20610156445"/>
    <s v=" INVERSIONES LIVER GROUP E.I.R.L. - INVERLIG E.I.R.L. "/>
    <x v="0"/>
    <s v="FACTURA"/>
    <s v="E001"/>
    <n v="514"/>
    <m/>
    <n v="73.64"/>
    <m/>
    <n v="7.36"/>
    <s v="                                -  "/>
    <n v="81"/>
    <m/>
    <m/>
    <m/>
    <m/>
    <m/>
    <s v="65.9.9.1.01"/>
    <s v="Alfajores"/>
    <x v="0"/>
  </r>
  <r>
    <s v="18/08/2025"/>
    <x v="2"/>
    <s v="001"/>
    <s v="08-000426"/>
    <x v="0"/>
    <s v="94.04"/>
    <s v="Gestion Humana"/>
    <s v="Alimentacion"/>
    <s v="10705731956"/>
    <s v=" TORRES QUISPE MEDALY XIMENA "/>
    <x v="1"/>
    <s v="BOLETA DE VENTA"/>
    <s v="001"/>
    <n v="2538"/>
    <m/>
    <m/>
    <n v="0"/>
    <m/>
    <n v="75"/>
    <n v="75"/>
    <m/>
    <m/>
    <m/>
    <m/>
    <m/>
    <s v="65.9.9.1.01"/>
    <s v="Alimentacion"/>
    <x v="0"/>
  </r>
  <r>
    <s v="15/08/2025"/>
    <x v="2"/>
    <s v="001"/>
    <s v="08-000427"/>
    <x v="0"/>
    <s v="94.04"/>
    <s v="Gestion Humana"/>
    <s v="Alimentacion"/>
    <s v="20553410283"/>
    <s v=" EL CUSQUEÑITO DEL BUEN SAZON EMPRESA INDIVIDUAL DE RESPONSABILIDAD LIMITADA - EL CUSQUEÑITO DEL BUEN "/>
    <x v="0"/>
    <s v="FACTURA"/>
    <s v="F001"/>
    <n v="24208"/>
    <m/>
    <n v="213.64"/>
    <n v="0"/>
    <n v="21.36"/>
    <s v="                                -  "/>
    <n v="235"/>
    <m/>
    <m/>
    <m/>
    <m/>
    <m/>
    <s v="65.9.9.1.01"/>
    <s v="Alimentacion"/>
    <x v="0"/>
  </r>
  <r>
    <s v="28/08/2025"/>
    <x v="2"/>
    <s v="001"/>
    <s v="08-000428"/>
    <x v="2"/>
    <s v="95.01"/>
    <s v="Comercial"/>
    <s v="Compra / Venta de Residuos (Balanzas)"/>
    <s v="20124952850"/>
    <s v=" ALIMENTOS Y SERVICIOS AGROPECUARIOS SRL. "/>
    <x v="0"/>
    <s v="FACTURA"/>
    <s v="F002"/>
    <n v="136177"/>
    <n v="8.4700000000000006"/>
    <m/>
    <n v="1.5246"/>
    <m/>
    <s v="                                -  "/>
    <n v="10"/>
    <m/>
    <m/>
    <m/>
    <m/>
    <m/>
    <s v="63.1.1.7.02"/>
    <s v="Compra / Venta de Residuos (Balanzas)"/>
    <x v="1"/>
  </r>
  <r>
    <s v="27/08/2025"/>
    <x v="2"/>
    <s v="001"/>
    <s v="08-000429"/>
    <x v="1"/>
    <s v="91.06.02.11"/>
    <s v="Tercerizados"/>
    <s v="Balanza"/>
    <s v="20124952850"/>
    <s v=" ALIMENTOS Y SERVICIOS AGROPECUARIOS SRL. "/>
    <x v="0"/>
    <s v="FACTURA"/>
    <s v="F002"/>
    <n v="136086"/>
    <n v="8.4700000000000006"/>
    <m/>
    <n v="1.5246"/>
    <m/>
    <s v="                                -  "/>
    <n v="10"/>
    <m/>
    <m/>
    <m/>
    <m/>
    <m/>
    <s v="63.1.1.7.01"/>
    <s v="Balanza"/>
    <x v="11"/>
  </r>
  <r>
    <s v="29/08/2025"/>
    <x v="2"/>
    <s v="001"/>
    <s v="08-000430"/>
    <x v="1"/>
    <s v="91.06.02.02"/>
    <s v="BKK_849"/>
    <s v="Peaje"/>
    <s v="20517252558"/>
    <s v=" CONCESIONARIA VIAL DEL SUR S.A.- COVISUR S.A. "/>
    <x v="0"/>
    <s v="FACTURA"/>
    <s v="F211"/>
    <n v="2452862"/>
    <n v="6.78"/>
    <m/>
    <n v="1.2203999999999999"/>
    <m/>
    <s v="                                -  "/>
    <n v="8"/>
    <m/>
    <m/>
    <m/>
    <m/>
    <m/>
    <s v="63.1.1.3.02"/>
    <s v="Peaje"/>
    <x v="8"/>
  </r>
  <r>
    <s v="28/08/2025"/>
    <x v="2"/>
    <s v="001"/>
    <s v="08-000431"/>
    <x v="1"/>
    <s v="91.06.02.02"/>
    <s v="BKK_849"/>
    <s v="Lavado y engrase 25313"/>
    <s v="10705628331"/>
    <s v=" LARICO APAZA NANCY ROSSMARY "/>
    <x v="0"/>
    <s v="FACTURA"/>
    <s v="F001"/>
    <n v="19462"/>
    <n v="50.85"/>
    <m/>
    <n v="9.1530000000000005"/>
    <m/>
    <s v="                                -  "/>
    <n v="60"/>
    <m/>
    <m/>
    <m/>
    <m/>
    <s v="25313"/>
    <s v="63.1.1.5.01"/>
    <s v="Lavado y engrase 25313"/>
    <x v="14"/>
  </r>
  <r>
    <s v="26/08/2025"/>
    <x v="2"/>
    <s v="001"/>
    <s v="08-000432"/>
    <x v="1"/>
    <s v="91.06.02.02"/>
    <s v="BKK_849"/>
    <s v="Peaje 25269"/>
    <s v="20517252558"/>
    <s v=" CONCESIONARIA VIAL DEL SUR S.A.- COVISUR S.A. "/>
    <x v="0"/>
    <s v="FACTURA"/>
    <s v="F212"/>
    <n v="1822500"/>
    <n v="3.39"/>
    <m/>
    <n v="0.61019999999999996"/>
    <m/>
    <s v="                                -  "/>
    <n v="8"/>
    <m/>
    <m/>
    <m/>
    <m/>
    <s v="25269"/>
    <s v="63.1.1.3.02"/>
    <s v="Peaje 25269"/>
    <x v="8"/>
  </r>
  <r>
    <s v="26/08/2025"/>
    <x v="2"/>
    <s v="001"/>
    <s v="08-000432"/>
    <x v="1"/>
    <s v="91.06.02.02"/>
    <s v="BKK_849"/>
    <s v="Peaje 25269"/>
    <s v="20517252558"/>
    <s v=" CONCESIONARIA VIAL DEL SUR S.A.- COVISUR S.A. "/>
    <x v="0"/>
    <s v="FACTURA"/>
    <s v="F212"/>
    <n v="1822500"/>
    <n v="3.39"/>
    <m/>
    <n v="0.61019999999999996"/>
    <m/>
    <s v="                                -  "/>
    <n v="8"/>
    <m/>
    <m/>
    <m/>
    <m/>
    <s v="25269"/>
    <s v="63.1.1.3.03"/>
    <s v="Peaje 25269"/>
    <x v="7"/>
  </r>
  <r>
    <s v="27/08/2025"/>
    <x v="2"/>
    <s v="001"/>
    <s v="08-000433"/>
    <x v="1"/>
    <s v="91.06.02.02"/>
    <s v="BKK_849"/>
    <s v="Peaje 25283"/>
    <s v="20517252558"/>
    <s v=" CONCESIONARIA VIAL DEL SUR S.A.- COVISUR S.A. "/>
    <x v="0"/>
    <s v="FACTURA"/>
    <s v="F212"/>
    <n v="1823668"/>
    <n v="3.39"/>
    <m/>
    <n v="0.61019999999999996"/>
    <m/>
    <s v="                                -  "/>
    <n v="8"/>
    <m/>
    <m/>
    <m/>
    <m/>
    <s v="25283"/>
    <s v="63.1.1.3.02"/>
    <s v="Peaje 25283"/>
    <x v="8"/>
  </r>
  <r>
    <s v="27/08/2025"/>
    <x v="2"/>
    <s v="001"/>
    <s v="08-000433"/>
    <x v="1"/>
    <s v="91.06.02.02"/>
    <s v="BKK_849"/>
    <s v="Peaje 25283"/>
    <s v="20517252558"/>
    <s v=" CONCESIONARIA VIAL DEL SUR S.A.- COVISUR S.A. "/>
    <x v="0"/>
    <s v="FACTURA"/>
    <s v="F212"/>
    <n v="1823668"/>
    <n v="3.39"/>
    <m/>
    <n v="0.61019999999999996"/>
    <m/>
    <s v="                                -  "/>
    <n v="8"/>
    <m/>
    <m/>
    <m/>
    <m/>
    <s v="25283"/>
    <s v="63.1.1.3.03"/>
    <s v="Peaje 25283"/>
    <x v="7"/>
  </r>
  <r>
    <s v="27/08/2025"/>
    <x v="2"/>
    <s v="001"/>
    <s v="08-000434"/>
    <x v="1"/>
    <s v="91.06.02.03"/>
    <s v="BKL_739"/>
    <s v="Peaje 25284"/>
    <s v="20517252558"/>
    <s v=" CONCESIONARIA VIAL DEL SUR S.A.- COVISUR S.A. "/>
    <x v="0"/>
    <s v="FACTURA"/>
    <s v="F213"/>
    <n v="1844765"/>
    <n v="6.78"/>
    <m/>
    <n v="1.2203999999999999"/>
    <m/>
    <s v="                                -  "/>
    <n v="8"/>
    <m/>
    <m/>
    <m/>
    <m/>
    <s v="25284"/>
    <s v="63.1.1.3.02"/>
    <s v="Peaje 25284"/>
    <x v="8"/>
  </r>
  <r>
    <s v="29/08/2025"/>
    <x v="2"/>
    <s v="001"/>
    <s v="08-000435"/>
    <x v="1"/>
    <s v="91.06.02.03"/>
    <s v="BKL_739"/>
    <s v="Peaje 25316"/>
    <s v="20517252558"/>
    <s v=" CONCESIONARIA VIAL DEL SUR S.A.- COVISUR S.A. "/>
    <x v="0"/>
    <s v="FACTURA"/>
    <s v="F214"/>
    <n v="2161382"/>
    <n v="3.39"/>
    <m/>
    <n v="0.61019999999999996"/>
    <m/>
    <s v="                                -  "/>
    <n v="8"/>
    <m/>
    <m/>
    <m/>
    <m/>
    <s v="25316"/>
    <s v="63.1.1.3.02"/>
    <s v="Peaje 25316"/>
    <x v="8"/>
  </r>
  <r>
    <s v="29/08/2025"/>
    <x v="2"/>
    <s v="001"/>
    <s v="08-000435"/>
    <x v="1"/>
    <s v="91.06.02.03"/>
    <s v="BKL_739"/>
    <s v="Peaje 25316"/>
    <s v="20517252558"/>
    <s v=" CONCESIONARIA VIAL DEL SUR S.A.- COVISUR S.A. "/>
    <x v="0"/>
    <s v="FACTURA"/>
    <s v="F214"/>
    <n v="2161382"/>
    <n v="3.39"/>
    <m/>
    <n v="0.61019999999999996"/>
    <m/>
    <s v="                                -  "/>
    <n v="8"/>
    <m/>
    <m/>
    <m/>
    <m/>
    <s v="25316"/>
    <s v="63.1.1.3.03"/>
    <s v="Peaje 25316"/>
    <x v="7"/>
  </r>
  <r>
    <s v="29/08/2025"/>
    <x v="2"/>
    <s v="001"/>
    <s v="08-000436"/>
    <x v="1"/>
    <s v="91.06.02.03"/>
    <s v="BKL_739"/>
    <s v="Peaje 25317"/>
    <s v="20517252558"/>
    <s v=" CONCESIONARIA VIAL DEL SUR S.A.- COVISUR S.A. "/>
    <x v="0"/>
    <s v="FACTURA"/>
    <s v="F212"/>
    <n v="1825798"/>
    <n v="3.39"/>
    <m/>
    <n v="0.61019999999999996"/>
    <m/>
    <s v="                                -  "/>
    <n v="8"/>
    <m/>
    <m/>
    <m/>
    <m/>
    <s v="25317"/>
    <s v="63.1.1.3.02"/>
    <s v="Peaje 25317"/>
    <x v="8"/>
  </r>
  <r>
    <s v="29/08/2025"/>
    <x v="2"/>
    <s v="001"/>
    <s v="08-000436"/>
    <x v="1"/>
    <s v="91.06.02.03"/>
    <s v="BKL_739"/>
    <s v="Peaje 25317"/>
    <s v="20517252558"/>
    <s v=" CONCESIONARIA VIAL DEL SUR S.A.- COVISUR S.A. "/>
    <x v="0"/>
    <s v="FACTURA"/>
    <s v="F212"/>
    <n v="1825798"/>
    <n v="3.39"/>
    <m/>
    <n v="0.61019999999999996"/>
    <m/>
    <s v="                                -  "/>
    <n v="8"/>
    <m/>
    <m/>
    <m/>
    <m/>
    <s v="25317"/>
    <s v="63.1.1.3.03"/>
    <s v="Peaje 25317"/>
    <x v="7"/>
  </r>
  <r>
    <s v="25/08/2025"/>
    <x v="2"/>
    <s v="001"/>
    <s v="08-000437"/>
    <x v="1"/>
    <s v="91.06.02.02"/>
    <s v="BKK_849"/>
    <s v="Lavado 25268"/>
    <s v="10705628331"/>
    <s v=" LARICO APAZA NANCY ROSSMARY "/>
    <x v="0"/>
    <s v="FACTURA"/>
    <s v="F001"/>
    <n v="19372"/>
    <n v="21.19"/>
    <m/>
    <n v="3.8142"/>
    <m/>
    <s v="                                -  "/>
    <n v="25"/>
    <m/>
    <m/>
    <m/>
    <m/>
    <s v="25268"/>
    <s v="63.1.1.5.01"/>
    <s v="Lavado 25268"/>
    <x v="14"/>
  </r>
  <r>
    <s v="28/08/2025"/>
    <x v="2"/>
    <s v="001"/>
    <s v="08-000438"/>
    <x v="1"/>
    <s v="91.06.02.03"/>
    <s v="BKL_739"/>
    <s v="Peaje 25299"/>
    <s v="20517252558"/>
    <s v=" CONCESIONARIA VIAL DEL SUR S.A.- COVISUR S.A. "/>
    <x v="0"/>
    <s v="FACTURA"/>
    <s v="F311"/>
    <n v="1884291"/>
    <n v="6.53"/>
    <m/>
    <n v="1.1754"/>
    <m/>
    <s v="                                -  "/>
    <n v="7.7"/>
    <m/>
    <m/>
    <m/>
    <m/>
    <s v="25299"/>
    <s v="63.1.1.3.02"/>
    <s v="Peaje 25299"/>
    <x v="8"/>
  </r>
  <r>
    <s v="28/08/2025"/>
    <x v="2"/>
    <s v="001"/>
    <s v="08-000439"/>
    <x v="1"/>
    <s v="91.06.02.03"/>
    <s v="BKL_739"/>
    <s v="Peaje 25298"/>
    <s v="20517252558"/>
    <s v=" CONCESIONARIA VIAL DEL SUR S.A.- COVISUR S.A. "/>
    <x v="0"/>
    <s v="FACTURA"/>
    <s v="F314"/>
    <n v="1932960"/>
    <n v="6.53"/>
    <m/>
    <n v="1.1754"/>
    <m/>
    <s v="                                -  "/>
    <n v="7.7"/>
    <m/>
    <m/>
    <m/>
    <m/>
    <s v="25298"/>
    <s v="63.1.1.3.02"/>
    <s v="Peaje 25298"/>
    <x v="8"/>
  </r>
  <r>
    <s v="28/08/2025"/>
    <x v="2"/>
    <s v="001"/>
    <s v="08-000440"/>
    <x v="1"/>
    <s v="91.06.02.03"/>
    <s v="BKL_739"/>
    <s v="Balanza 25300"/>
    <s v="20124952850"/>
    <s v=" ALIMENTOS Y SERVICIOS AGROPECUARIOS SRL. "/>
    <x v="0"/>
    <s v="FACTURA"/>
    <s v="F002"/>
    <n v="136117"/>
    <n v="8.4700000000000006"/>
    <m/>
    <n v="1.5246"/>
    <m/>
    <s v="                                -  "/>
    <n v="10"/>
    <m/>
    <m/>
    <m/>
    <m/>
    <s v="25300"/>
    <s v="63.1.1.7.01"/>
    <s v="Balanza 25300"/>
    <x v="11"/>
  </r>
  <r>
    <s v="27/08/2025"/>
    <x v="2"/>
    <s v="001"/>
    <s v="08-000441"/>
    <x v="1"/>
    <s v="91.06.02.03"/>
    <s v="BKL_739"/>
    <s v="Peaje 25285"/>
    <s v="20124952850"/>
    <s v=" ALIMENTOS Y SERVICIOS AGROPECUARIOS SRL. "/>
    <x v="0"/>
    <s v="FACTURA"/>
    <s v="F002"/>
    <n v="136063"/>
    <n v="8.4700000000000006"/>
    <m/>
    <n v="1.5246"/>
    <m/>
    <s v="                                -  "/>
    <n v="10"/>
    <m/>
    <m/>
    <m/>
    <m/>
    <s v="25285"/>
    <s v="63.1.1.7.01"/>
    <s v="Peaje 25285"/>
    <x v="11"/>
  </r>
  <r>
    <s v="25/08/2025"/>
    <x v="2"/>
    <s v="001"/>
    <s v="08-000442"/>
    <x v="1"/>
    <s v="91.06.02.03"/>
    <s v="BKL_739"/>
    <s v="Peaje 25264"/>
    <s v="20517252558"/>
    <s v=" CONCESIONARIA VIAL DEL SUR S.A.- COVISUR S.A. "/>
    <x v="0"/>
    <s v="FACTURA"/>
    <s v="F112"/>
    <n v="499362"/>
    <n v="6.78"/>
    <m/>
    <n v="1.2203999999999999"/>
    <m/>
    <s v="                                -  "/>
    <n v="8"/>
    <m/>
    <m/>
    <m/>
    <m/>
    <s v="25264"/>
    <s v="63.1.1.3.03"/>
    <s v="Peaje 25264"/>
    <x v="7"/>
  </r>
  <r>
    <s v="25/08/2025"/>
    <x v="2"/>
    <s v="001"/>
    <s v="08-000443"/>
    <x v="1"/>
    <s v="91.06.02.03"/>
    <s v="BKL_739"/>
    <s v="Peaje 25265"/>
    <s v="20517252558"/>
    <s v=" CONCESIONARIA VIAL DEL SUR S.A.- COVISUR S.A. "/>
    <x v="0"/>
    <s v="FACTURA"/>
    <s v="F113"/>
    <n v="401033"/>
    <n v="6.78"/>
    <m/>
    <n v="1.2203999999999999"/>
    <m/>
    <s v="                                -  "/>
    <n v="8"/>
    <m/>
    <m/>
    <m/>
    <m/>
    <s v="25265"/>
    <s v="63.1.1.3.03"/>
    <s v="Peaje 25265"/>
    <x v="7"/>
  </r>
  <r>
    <s v="22/08/2025"/>
    <x v="2"/>
    <s v="001"/>
    <s v="08-000444"/>
    <x v="1"/>
    <s v="91.06.02.03"/>
    <s v="BKL_739"/>
    <s v="Peaje 25241"/>
    <s v="20517252558"/>
    <s v=" CONCESIONARIA VIAL DEL SUR S.A.- COVISUR S.A. "/>
    <x v="0"/>
    <s v="FACTURA"/>
    <s v="F212"/>
    <n v="1819669"/>
    <n v="6.78"/>
    <m/>
    <n v="1.2203999999999999"/>
    <m/>
    <s v="                                -  "/>
    <n v="8"/>
    <m/>
    <m/>
    <m/>
    <m/>
    <s v="25241"/>
    <s v="63.1.1.3.03"/>
    <s v="Peaje 25241"/>
    <x v="7"/>
  </r>
  <r>
    <s v="26/08/2025"/>
    <x v="2"/>
    <s v="001"/>
    <s v="08-000445"/>
    <x v="1"/>
    <s v="91.06.02.03"/>
    <s v="BKL_739"/>
    <s v="Balanza 25267"/>
    <s v="20259858934"/>
    <s v=" COMERCIALIZACION Y SERVICIOS EL EDEN S.A.C. "/>
    <x v="0"/>
    <s v="FACTURA"/>
    <s v="FE02"/>
    <n v="17492"/>
    <n v="16.95"/>
    <m/>
    <n v="3.0509999999999997"/>
    <m/>
    <s v="                                -  "/>
    <n v="20"/>
    <m/>
    <m/>
    <m/>
    <m/>
    <s v="25267"/>
    <s v="63.1.1.7.02"/>
    <s v="Balanza 25267"/>
    <x v="1"/>
  </r>
  <r>
    <s v="25/08/2025"/>
    <x v="2"/>
    <s v="001"/>
    <s v="08-000446"/>
    <x v="1"/>
    <s v="91.06.02.03"/>
    <s v="BKL_739"/>
    <s v="Balanza 25266"/>
    <s v="20454058187"/>
    <s v=" ZONA ESPECIAL DE DESARROLLO ZED MATARANI "/>
    <x v="0"/>
    <s v="FACTURA"/>
    <s v="F001"/>
    <n v="18237"/>
    <m/>
    <m/>
    <n v="0"/>
    <m/>
    <n v="11"/>
    <n v="11"/>
    <m/>
    <m/>
    <m/>
    <m/>
    <s v="25266"/>
    <s v="63.1.1.7.02"/>
    <s v="Balanza 25266"/>
    <x v="1"/>
  </r>
  <r>
    <s v="27/08/2025"/>
    <x v="2"/>
    <s v="001"/>
    <s v="08-000447"/>
    <x v="1"/>
    <s v="91.06.02.03"/>
    <s v="BKL_739"/>
    <s v="Balanza 25293"/>
    <s v="20454058187"/>
    <s v=" ZONA ESPECIAL DE DESARROLLO ZED MATARANI "/>
    <x v="0"/>
    <s v="FACTURA"/>
    <s v="F001"/>
    <n v="18243"/>
    <m/>
    <m/>
    <n v="0"/>
    <m/>
    <n v="11"/>
    <n v="11"/>
    <m/>
    <m/>
    <m/>
    <m/>
    <s v="25293"/>
    <s v="63.1.1.7.02"/>
    <s v="Balanza 25293"/>
    <x v="1"/>
  </r>
  <r>
    <s v="29/08/2025"/>
    <x v="2"/>
    <s v="001"/>
    <s v="08-000448"/>
    <x v="1"/>
    <s v="91.06.02.11"/>
    <s v="Tercerizados"/>
    <s v="Balanza 25320"/>
    <s v="20124952850"/>
    <s v=" ALIMENTOS Y SERVICIOS AGROPECUARIOS SRL. "/>
    <x v="0"/>
    <s v="FACTURA"/>
    <s v="F002"/>
    <n v="136190"/>
    <n v="8.4700000000000006"/>
    <m/>
    <n v="1.5246"/>
    <m/>
    <s v="                                -  "/>
    <n v="10"/>
    <m/>
    <m/>
    <m/>
    <m/>
    <s v="25320"/>
    <s v="63.1.1.7.01"/>
    <s v="Balanza 25320"/>
    <x v="11"/>
  </r>
  <r>
    <s v="21/08/2025"/>
    <x v="2"/>
    <s v="001"/>
    <s v="08-000449"/>
    <x v="1"/>
    <s v="91.06.02.03"/>
    <s v="BKL_739"/>
    <s v="Peaje 25230"/>
    <s v="20517252558"/>
    <s v=" CONCESIONARIA VIAL DEL SUR S.A.- COVISUR S.A. "/>
    <x v="0"/>
    <s v="FACTURA"/>
    <s v="F212"/>
    <n v="1818145"/>
    <n v="6.78"/>
    <m/>
    <n v="1.2203999999999999"/>
    <m/>
    <s v="                                -  "/>
    <n v="8"/>
    <m/>
    <m/>
    <m/>
    <m/>
    <s v="25230"/>
    <s v="63.1.1.3.03"/>
    <s v="Peaje 25230"/>
    <x v="7"/>
  </r>
  <r>
    <s v="29/08/2025"/>
    <x v="2"/>
    <s v="001"/>
    <s v="08-000450"/>
    <x v="1"/>
    <s v="91.06.02.07"/>
    <s v="VDJ_872"/>
    <s v="Peaje 25318"/>
    <s v="20517252558"/>
    <s v=" CONCESIONARIA VIAL DEL SUR S.A.- COVISUR S.A. "/>
    <x v="0"/>
    <s v="FACTURA"/>
    <s v="F212"/>
    <n v="1825745"/>
    <n v="6.78"/>
    <m/>
    <n v="1.2203999999999999"/>
    <m/>
    <s v="                                -  "/>
    <n v="8"/>
    <m/>
    <m/>
    <m/>
    <m/>
    <s v="25318"/>
    <s v="63.1.1.3.02"/>
    <s v="Peaje 25318"/>
    <x v="8"/>
  </r>
  <r>
    <s v="21/08/2025"/>
    <x v="2"/>
    <s v="001"/>
    <s v="08-000451"/>
    <x v="1"/>
    <s v="91.06.02.03"/>
    <s v="BKL_739"/>
    <s v="Peaje 25231"/>
    <s v="20517252558"/>
    <s v=" CONCESIONARIA VIAL DEL SUR S.A.- COVISUR S.A. "/>
    <x v="0"/>
    <s v="FACTURA"/>
    <s v="F213"/>
    <n v="1839057"/>
    <n v="6.78"/>
    <m/>
    <n v="1.2203999999999999"/>
    <m/>
    <s v="                                -  "/>
    <n v="8"/>
    <m/>
    <m/>
    <m/>
    <m/>
    <s v="25231"/>
    <s v="63.1.1.3.03"/>
    <s v="Peaje 25231"/>
    <x v="7"/>
  </r>
  <r>
    <s v="22/08/2025"/>
    <x v="2"/>
    <s v="001"/>
    <s v="08-000452"/>
    <x v="1"/>
    <s v="91.06.02.03"/>
    <s v="BKL_739"/>
    <s v="Peaje 25254"/>
    <s v="20517252558"/>
    <s v=" CONCESIONARIA VIAL DEL SUR S.A.- COVISUR S.A. "/>
    <x v="0"/>
    <s v="FACTURA"/>
    <s v="F213"/>
    <n v="1840102"/>
    <n v="6.78"/>
    <m/>
    <n v="1.2203999999999999"/>
    <m/>
    <s v="                                -  "/>
    <n v="8"/>
    <m/>
    <m/>
    <m/>
    <m/>
    <s v="25254"/>
    <s v="63.1.1.3.03"/>
    <s v="Peaje 25254"/>
    <x v="7"/>
  </r>
  <r>
    <s v="25/08/2025"/>
    <x v="2"/>
    <s v="001"/>
    <s v="08-000453"/>
    <x v="1"/>
    <s v="91.06.02.01"/>
    <s v="V9R_903"/>
    <s v="Peaje 25261"/>
    <s v="20517252558"/>
    <s v=" CONCESIONARIA VIAL DEL SUR S.A.- COVISUR S.A. "/>
    <x v="0"/>
    <s v="FACTURA"/>
    <s v="F214"/>
    <n v="2156725"/>
    <n v="10.17"/>
    <m/>
    <n v="1.8306"/>
    <m/>
    <s v="                                -  "/>
    <n v="12"/>
    <m/>
    <m/>
    <m/>
    <m/>
    <s v="25261"/>
    <s v="63.1.1.3.02"/>
    <s v="Peaje 25261"/>
    <x v="8"/>
  </r>
  <r>
    <s v="25/08/2025"/>
    <x v="2"/>
    <s v="001"/>
    <s v="08-000454"/>
    <x v="1"/>
    <s v="91.06.02.01"/>
    <s v="V9R_903"/>
    <s v="Peaje 25262"/>
    <s v="20517252558"/>
    <s v=" CONCESIONARIA VIAL DEL SUR S.A.- COVISUR S.A. "/>
    <x v="0"/>
    <s v="FACTURA"/>
    <s v="F211"/>
    <n v="2448025"/>
    <n v="10.17"/>
    <m/>
    <n v="1.8306"/>
    <m/>
    <s v="                                -  "/>
    <n v="12"/>
    <m/>
    <m/>
    <m/>
    <m/>
    <s v="25262"/>
    <s v="63.1.1.3.02"/>
    <s v="Peaje 25262"/>
    <x v="8"/>
  </r>
  <r>
    <s v="27/08/2025"/>
    <x v="2"/>
    <s v="001"/>
    <s v="08-000455"/>
    <x v="1"/>
    <s v="91.06.02.01"/>
    <s v="V9R_903"/>
    <s v="Balanza 25287"/>
    <s v="20124952850"/>
    <s v=" ALIMENTOS Y SERVICIOS AGROPECUARIOS SRL. "/>
    <x v="0"/>
    <s v="FACTURA"/>
    <s v="F002"/>
    <n v="136104"/>
    <n v="8.4700000000000006"/>
    <m/>
    <n v="1.5246"/>
    <m/>
    <s v="                                -  "/>
    <n v="10"/>
    <m/>
    <m/>
    <m/>
    <m/>
    <s v="25287"/>
    <s v="63.1.1.7.01"/>
    <s v="Balanza 25287"/>
    <x v="11"/>
  </r>
  <r>
    <s v="27/08/2025"/>
    <x v="2"/>
    <s v="001"/>
    <s v="08-000456"/>
    <x v="1"/>
    <s v="91.06.02.01"/>
    <s v="V9R_903"/>
    <s v="Balanza 25286"/>
    <s v="20124952850"/>
    <s v=" ALIMENTOS Y SERVICIOS AGROPECUARIOS SRL. "/>
    <x v="0"/>
    <s v="FACTURA"/>
    <s v="F002"/>
    <n v="136101"/>
    <n v="8.4700000000000006"/>
    <m/>
    <n v="1.5246"/>
    <m/>
    <s v="                                -  "/>
    <n v="10"/>
    <m/>
    <m/>
    <m/>
    <m/>
    <s v="25286"/>
    <s v="63.1.1.7.01"/>
    <s v="Balanza 25286"/>
    <x v="11"/>
  </r>
  <r>
    <s v="29/08/2025"/>
    <x v="2"/>
    <s v="001"/>
    <s v="08-000457"/>
    <x v="1"/>
    <s v="91.05.01"/>
    <s v="Residuos Aprovechables"/>
    <s v="Alambron OC 383"/>
    <s v="20100192064"/>
    <s v=" MOLY-COP ADESUR S.A. "/>
    <x v="0"/>
    <s v="FACTURA"/>
    <s v="F002"/>
    <n v="16729"/>
    <n v="166.19"/>
    <m/>
    <n v="29.914199999999997"/>
    <m/>
    <s v="                                -  "/>
    <n v="196.09"/>
    <m/>
    <m/>
    <m/>
    <m/>
    <s v="OC 383"/>
    <s v="60.2.1.1"/>
    <s v="Alambron OC 383"/>
    <x v="6"/>
  </r>
  <r>
    <s v="31/08/2025"/>
    <x v="2"/>
    <s v="001"/>
    <s v="08-000458"/>
    <x v="1"/>
    <s v="91.05.01"/>
    <s v="Residuos Aprovechables"/>
    <s v="Chatarrra metalico,alambron,viruta,madera sacas OC 349"/>
    <s v="20100192064"/>
    <s v=" MOLY-COP ADESUR S.A. "/>
    <x v="0"/>
    <s v="FACTURA"/>
    <s v="F002"/>
    <n v="16758"/>
    <n v="1785.22"/>
    <m/>
    <n v="321.33960000000002"/>
    <m/>
    <s v="                                -  "/>
    <n v="2106.5500000000002"/>
    <m/>
    <m/>
    <m/>
    <m/>
    <s v="OC 349"/>
    <s v="60.2.1.1"/>
    <s v="Chatarrra metalico,alambron,viruta,madera sacas OC 349"/>
    <x v="6"/>
  </r>
  <r>
    <s v="31/08/2025"/>
    <x v="2"/>
    <s v="001"/>
    <s v="08-000459"/>
    <x v="1"/>
    <s v="91.05.01"/>
    <s v="Residuos Aprovechables"/>
    <s v="Carton,chatarra metalica,plastico duro color_caucho,sacas big bag rotas OC 348"/>
    <s v="20100192064"/>
    <s v=" MOLY-COP ADESUR S.A. "/>
    <x v="0"/>
    <s v="FACTURA"/>
    <s v="F002"/>
    <n v="16757"/>
    <n v="2745.2"/>
    <m/>
    <n v="494.13599999999997"/>
    <m/>
    <s v="                                -  "/>
    <n v="3239.35"/>
    <m/>
    <m/>
    <m/>
    <m/>
    <s v="OC 348"/>
    <s v="60.2.1.1"/>
    <s v="Carton,chatarra metalica,plastico duro color_caucho,sacas big bag rotas OC 348"/>
    <x v="6"/>
  </r>
  <r>
    <s v="29/08/2025"/>
    <x v="2"/>
    <s v="001"/>
    <s v="08_000460"/>
    <x v="1"/>
    <s v="91.05.01"/>
    <s v="Residuos Aprovechables"/>
    <s v="Alambron OC 386"/>
    <s v="20100192064"/>
    <s v="MOLY-COP ADESUR S.A."/>
    <x v="0"/>
    <s v="FACTURA"/>
    <s v="F002"/>
    <s v="16730"/>
    <n v="291.89999999999998"/>
    <m/>
    <n v="52.55"/>
    <m/>
    <m/>
    <n v="344.45"/>
    <m/>
    <m/>
    <m/>
    <m/>
    <m/>
    <s v="60.2.1.1"/>
    <m/>
    <x v="6"/>
  </r>
  <r>
    <s v="31/08/2025"/>
    <x v="2"/>
    <s v="001"/>
    <s v="08_000461"/>
    <x v="0"/>
    <s v="94.02"/>
    <s v="Contabilidad y Finanzas"/>
    <s v="Sistema de Cobranzas y Reportes"/>
    <s v="20265681299"/>
    <s v="EQUIFAX PERU S.A."/>
    <x v="0"/>
    <s v="FACTURA"/>
    <s v="F001"/>
    <s v="1068769"/>
    <n v="102"/>
    <m/>
    <n v="18.36"/>
    <m/>
    <m/>
    <n v="120.36"/>
    <m/>
    <m/>
    <m/>
    <m/>
    <m/>
    <s v="63.2.1.1"/>
    <m/>
    <x v="0"/>
  </r>
  <r>
    <s v="28/08/2025"/>
    <x v="2"/>
    <s v="001"/>
    <s v="08-000462"/>
    <x v="0"/>
    <m/>
    <m/>
    <s v="Seguros vehiculares BKK-849,BKL-739,VDJ-872,V9R-903,VBB-840"/>
    <s v="20100210909"/>
    <s v=" LA POSITIVA SEGUROS Y REASEGUROS S.A.A. "/>
    <x v="0"/>
    <s v="FACTURA"/>
    <s v="F040"/>
    <s v="479167"/>
    <n v="1255.1600000000001"/>
    <m/>
    <n v="225.93"/>
    <m/>
    <m/>
    <n v="1481.09"/>
    <m/>
    <m/>
    <m/>
    <m/>
    <m/>
    <m/>
    <m/>
    <x v="0"/>
  </r>
  <r>
    <s v="27/08/2025"/>
    <x v="2"/>
    <s v="001"/>
    <s v="08_000463"/>
    <x v="2"/>
    <s v="95.01"/>
    <s v="Comercial"/>
    <s v="Transporte de carga RQ.OPE.1417 OS 005-719"/>
    <s v="20608686747"/>
    <s v="TRANSPORTES ALBERTO MAMANI E.I.R.L."/>
    <x v="0"/>
    <s v="FACTURA"/>
    <s v="E001"/>
    <s v="702"/>
    <n v="550"/>
    <m/>
    <n v="99"/>
    <m/>
    <m/>
    <n v="649"/>
    <m/>
    <m/>
    <m/>
    <m/>
    <m/>
    <s v="63.1.1.1.02"/>
    <m/>
    <x v="13"/>
  </r>
  <r>
    <s v="19/08/2025"/>
    <x v="2"/>
    <s v="001"/>
    <s v="08_000464"/>
    <x v="0"/>
    <s v="94.06"/>
    <s v="Gerencia"/>
    <s v="Consultoria en marketing, investigacion de mercado,posicionamiento RQ.GER.086"/>
    <s v="20612108651"/>
    <s v="ASIRI MARKET RESEARCH INSIGHTS E.I.R.L."/>
    <x v="0"/>
    <s v="FACTURA"/>
    <s v="E001"/>
    <s v="11"/>
    <n v="8475"/>
    <m/>
    <n v="1525.5"/>
    <m/>
    <m/>
    <n v="10000.5"/>
    <m/>
    <m/>
    <m/>
    <m/>
    <m/>
    <s v="63.2.1.1"/>
    <m/>
    <x v="0"/>
  </r>
  <r>
    <s v="24/06/2025"/>
    <x v="2"/>
    <s v="001"/>
    <s v="08-000465"/>
    <x v="0"/>
    <m/>
    <m/>
    <s v="Insumos / Materiales de Limpieza en general  RQ.LOG.223 OC 004-166"/>
    <s v="20559236803"/>
    <s v=" GLOBAL ACTIVA S.R.L. "/>
    <x v="0"/>
    <s v="FACTURA"/>
    <s v="E001"/>
    <s v="1559"/>
    <n v="1817.77"/>
    <m/>
    <n v="327.2"/>
    <m/>
    <m/>
    <n v="2144.9699999999998"/>
    <m/>
    <m/>
    <m/>
    <m/>
    <m/>
    <m/>
    <m/>
    <x v="0"/>
  </r>
  <r>
    <s v="23/06/2025"/>
    <x v="2"/>
    <s v="001"/>
    <s v="08-000466"/>
    <x v="0"/>
    <m/>
    <m/>
    <s v="EPPS- pantalon RQ.SSO.245 OC 004-163"/>
    <s v="20563648113"/>
    <s v=" CONFECCIONES SUKER JEANS S.A.C. "/>
    <x v="0"/>
    <s v="FACTURA"/>
    <s v="F001"/>
    <s v="365"/>
    <n v="1138.98"/>
    <m/>
    <n v="205.02"/>
    <m/>
    <m/>
    <n v="1344"/>
    <m/>
    <m/>
    <m/>
    <m/>
    <m/>
    <m/>
    <m/>
    <x v="0"/>
  </r>
  <r>
    <s v="25/08/2025"/>
    <x v="2"/>
    <s v="001"/>
    <s v="08_000467"/>
    <x v="0"/>
    <s v="94.08"/>
    <s v="Sig"/>
    <s v="Calibracion de balanzas RQ.SIG.033"/>
    <s v="20413815071"/>
    <s v="LO JUSTO S.A.C."/>
    <x v="0"/>
    <s v="FACTURA"/>
    <s v="F001"/>
    <s v="35714"/>
    <n v="1023.7"/>
    <m/>
    <n v="184.27"/>
    <m/>
    <m/>
    <n v="1207.97"/>
    <m/>
    <m/>
    <m/>
    <m/>
    <m/>
    <s v="63.4.3.4.03"/>
    <m/>
    <x v="27"/>
  </r>
  <r>
    <s v="04/08/2025"/>
    <x v="2"/>
    <s v="001"/>
    <s v="08_000468"/>
    <x v="0"/>
    <s v="94.03"/>
    <s v="Logistica"/>
    <s v="Piedra chancada RQ.LOG.339"/>
    <s v="20611396121"/>
    <s v="AGREGADOS DARWIN E.I.R.L."/>
    <x v="0"/>
    <s v="FACTURA"/>
    <s v="E001"/>
    <s v="567"/>
    <n v="1169.49"/>
    <m/>
    <n v="210.51"/>
    <m/>
    <m/>
    <n v="1380"/>
    <m/>
    <m/>
    <m/>
    <m/>
    <m/>
    <s v="63.4.3.6.01"/>
    <m/>
    <x v="0"/>
  </r>
  <r>
    <s v="27/08/2025"/>
    <x v="2"/>
    <s v="001"/>
    <s v="08_000469"/>
    <x v="1"/>
    <s v="91.06.02.03"/>
    <s v="BKL-739"/>
    <s v="Peaje 25346"/>
    <s v="20517252558"/>
    <s v="CONCESIONARIA VIAL DEL SUR S.A.- COVISUR S.A."/>
    <x v="0"/>
    <s v="FACTURA"/>
    <s v="F114"/>
    <s v="1115890"/>
    <n v="6.78"/>
    <m/>
    <n v="1.22"/>
    <m/>
    <m/>
    <n v="8"/>
    <m/>
    <m/>
    <m/>
    <m/>
    <s v="RCO-18"/>
    <s v="63.1.1.3.03"/>
    <m/>
    <x v="7"/>
  </r>
  <r>
    <s v="27/08/2025"/>
    <x v="2"/>
    <s v="001"/>
    <s v="08_000470"/>
    <x v="1"/>
    <s v="91.06.02.03"/>
    <s v="BKL-739"/>
    <s v="Peaje 25345"/>
    <s v="20517252558"/>
    <s v="CONCESIONARIA VIAL DEL SUR S.A.- COVISUR S.A."/>
    <x v="0"/>
    <s v="FACTURA"/>
    <s v="F112"/>
    <s v="499855"/>
    <n v="6.78"/>
    <m/>
    <n v="1.22"/>
    <m/>
    <m/>
    <n v="8"/>
    <m/>
    <m/>
    <m/>
    <m/>
    <s v="RCO-18"/>
    <s v="63.1.1.3.03"/>
    <m/>
    <x v="7"/>
  </r>
  <r>
    <s v="22/08/2025"/>
    <x v="2"/>
    <s v="001"/>
    <s v="08_000471"/>
    <x v="1"/>
    <s v="91.06.01"/>
    <s v="Operaciones"/>
    <s v="Alimentacion"/>
    <s v="20604947520"/>
    <s v="MINIMARKET LAS BERMUDAS E.I.R.L."/>
    <x v="0"/>
    <s v="FACTURA"/>
    <s v="F001"/>
    <s v="7217"/>
    <n v="16.95"/>
    <m/>
    <n v="3.05"/>
    <m/>
    <m/>
    <n v="20"/>
    <m/>
    <m/>
    <m/>
    <m/>
    <m/>
    <s v="63.1.4.1.01"/>
    <m/>
    <x v="9"/>
  </r>
  <r>
    <s v="22/08/2025"/>
    <x v="2"/>
    <s v="001"/>
    <s v="08_000472"/>
    <x v="1"/>
    <s v="91.06.01"/>
    <s v="Operaciones"/>
    <s v="Alimentacion"/>
    <s v="20604947520"/>
    <s v="MINIMARKET LAS BERMUDAS E.I.R.L."/>
    <x v="0"/>
    <s v="FACTURA"/>
    <s v="F001"/>
    <s v="7218"/>
    <n v="4.24"/>
    <m/>
    <n v="0.76"/>
    <m/>
    <m/>
    <n v="5"/>
    <m/>
    <m/>
    <m/>
    <m/>
    <m/>
    <s v="63.1.4.1.01"/>
    <m/>
    <x v="9"/>
  </r>
  <r>
    <s v="28/08/2025"/>
    <x v="2"/>
    <s v="001"/>
    <s v="08_000473"/>
    <x v="2"/>
    <s v="95.01"/>
    <s v="Comercial"/>
    <s v="Transporte de carga RQ.OPE.1377 OS 005-726"/>
    <s v="20429640939"/>
    <s v="EMPRESA DE TRANSPORTES DE CARGA COSISE S.A.C."/>
    <x v="0"/>
    <s v="FACTURA"/>
    <s v="F002"/>
    <s v="1888"/>
    <n v="1186.44"/>
    <m/>
    <n v="213.56"/>
    <m/>
    <m/>
    <n v="1400"/>
    <m/>
    <m/>
    <m/>
    <m/>
    <m/>
    <s v="63.1.1.1.02"/>
    <m/>
    <x v="13"/>
  </r>
  <r>
    <s v="29/07/2025"/>
    <x v="2"/>
    <s v="001"/>
    <s v="08-000474"/>
    <x v="0"/>
    <m/>
    <m/>
    <s v="Combustible"/>
    <s v="20127765279"/>
    <s v=" COESTI S.A. "/>
    <x v="0"/>
    <s v="FACTURA"/>
    <s v="F864"/>
    <s v="150575"/>
    <n v="504.26"/>
    <m/>
    <n v="90.77"/>
    <m/>
    <m/>
    <n v="595.03"/>
    <m/>
    <m/>
    <m/>
    <m/>
    <m/>
    <m/>
    <m/>
    <x v="0"/>
  </r>
  <r>
    <s v="29/08/2025"/>
    <x v="2"/>
    <s v="001"/>
    <s v="08_000475"/>
    <x v="0"/>
    <s v="94.07"/>
    <s v="Sistemas y TI"/>
    <s v="Celulares y accesorios RQ.STI.1007"/>
    <s v="10749040918"/>
    <s v="SUCASACA SUCAPUCA WILLIAMS"/>
    <x v="1"/>
    <s v="BOLETA DE VENTA"/>
    <s v="001"/>
    <s v="923"/>
    <s v="                                -  "/>
    <m/>
    <s v="                                -  "/>
    <m/>
    <n v="8"/>
    <n v="8"/>
    <m/>
    <m/>
    <m/>
    <m/>
    <m/>
    <s v="65.6.1.1.04"/>
    <m/>
    <x v="0"/>
  </r>
  <r>
    <s v="29/08/2025"/>
    <x v="2"/>
    <s v="001"/>
    <s v="08_000476"/>
    <x v="1"/>
    <s v="91.06.02.11"/>
    <s v="Tercerizados"/>
    <s v="Balanza 25322"/>
    <s v="20124952850"/>
    <s v="ALIMENTOS Y SERVICIOS AGROPECUARIOS SRL."/>
    <x v="0"/>
    <s v="FACTURA"/>
    <s v="F002"/>
    <s v="136235"/>
    <n v="4.24"/>
    <m/>
    <n v="0.76"/>
    <m/>
    <m/>
    <n v="5"/>
    <m/>
    <m/>
    <m/>
    <m/>
    <s v="RCO-18"/>
    <s v="63.1.1.7.01"/>
    <m/>
    <x v="11"/>
  </r>
  <r>
    <s v="29/08/2025"/>
    <x v="2"/>
    <s v="001"/>
    <s v="08_000477"/>
    <x v="1"/>
    <s v="91.06.02.11"/>
    <s v="Tercerizados"/>
    <s v="Balanza 25321"/>
    <s v="20124952850"/>
    <s v="ALIMENTOS Y SERVICIOS AGROPECUARIOS SRL."/>
    <x v="0"/>
    <s v="FACTURA"/>
    <s v="F002"/>
    <s v="136227"/>
    <n v="4.24"/>
    <m/>
    <n v="0.76"/>
    <m/>
    <m/>
    <n v="5"/>
    <m/>
    <m/>
    <m/>
    <m/>
    <s v="RCO-18"/>
    <s v="63.1.1.7.01"/>
    <m/>
    <x v="11"/>
  </r>
  <r>
    <s v="26/08/2025"/>
    <x v="2"/>
    <s v="001"/>
    <s v="08_000478"/>
    <x v="1"/>
    <s v="91.06.02.04"/>
    <s v="VBB-840"/>
    <s v="Peaje 25271"/>
    <s v="20550372640"/>
    <s v="RUTAS DE LIMA S.A.C."/>
    <x v="0"/>
    <s v="FACTURA"/>
    <s v="F201"/>
    <s v="3851742"/>
    <n v="12.71"/>
    <m/>
    <n v="2.29"/>
    <m/>
    <m/>
    <n v="15"/>
    <m/>
    <m/>
    <m/>
    <m/>
    <s v="RCO-17"/>
    <s v="63.1.1.3.02"/>
    <m/>
    <x v="8"/>
  </r>
  <r>
    <s v="25/08/2025"/>
    <x v="2"/>
    <s v="001"/>
    <s v="08_000479"/>
    <x v="1"/>
    <s v="91.06.02.04"/>
    <s v="VBB-840"/>
    <s v="Peaje 25255"/>
    <s v="20550372640"/>
    <s v="RUTAS DE LIMA S.A.C."/>
    <x v="0"/>
    <s v="FACTURA"/>
    <s v="F209"/>
    <s v="2019123"/>
    <n v="12.71"/>
    <m/>
    <n v="2.29"/>
    <m/>
    <m/>
    <n v="15"/>
    <m/>
    <m/>
    <m/>
    <m/>
    <s v="RCO-17"/>
    <s v="63.1.1.3.02"/>
    <m/>
    <x v="8"/>
  </r>
  <r>
    <s v="28/08/2025"/>
    <x v="2"/>
    <s v="001"/>
    <s v="08_000480"/>
    <x v="1"/>
    <s v="91.06.02.04"/>
    <s v="VBB-840"/>
    <s v="Peaje 25288"/>
    <s v="20550372640"/>
    <s v="RUTAS DE LIMA S.A.C."/>
    <x v="0"/>
    <s v="FACTURA"/>
    <s v="F212"/>
    <s v="3500577"/>
    <n v="12.71"/>
    <m/>
    <n v="2.29"/>
    <m/>
    <m/>
    <n v="15"/>
    <m/>
    <m/>
    <m/>
    <m/>
    <s v="RCO-18"/>
    <s v="63.1.1.3.02"/>
    <m/>
    <x v="8"/>
  </r>
  <r>
    <s v="26/08/2025"/>
    <x v="2"/>
    <s v="001"/>
    <s v="08_000481"/>
    <x v="1"/>
    <s v="91.06.02.04"/>
    <s v="VBB-840"/>
    <s v="Peaje 25272"/>
    <s v="20550372640"/>
    <s v="RUTAS DE LIMA S.A.C."/>
    <x v="0"/>
    <s v="FACTURA"/>
    <s v="F611"/>
    <s v="3217536"/>
    <n v="12.71"/>
    <m/>
    <n v="2.29"/>
    <m/>
    <m/>
    <n v="15"/>
    <m/>
    <m/>
    <m/>
    <m/>
    <s v="RCO-18"/>
    <s v="63.1.1.3.02"/>
    <m/>
    <x v="8"/>
  </r>
  <r>
    <s v="29/08/2025"/>
    <x v="2"/>
    <s v="001"/>
    <s v="08_000482"/>
    <x v="1"/>
    <s v="91.06.02.04"/>
    <s v="VBB-840"/>
    <s v="Peaje 25305"/>
    <s v="20550372640"/>
    <s v="RUTAS DE LIMA S.A.C."/>
    <x v="0"/>
    <s v="FACTURA"/>
    <s v="F201"/>
    <s v="3856042"/>
    <n v="12.71"/>
    <m/>
    <n v="2.29"/>
    <m/>
    <m/>
    <n v="15"/>
    <m/>
    <m/>
    <m/>
    <m/>
    <s v="RCO-18"/>
    <s v="63.1.1.3.02"/>
    <m/>
    <x v="8"/>
  </r>
  <r>
    <s v="26/08/2025"/>
    <x v="2"/>
    <s v="001"/>
    <s v="08_000483"/>
    <x v="1"/>
    <s v="91.06.02.04"/>
    <s v="VBB-840"/>
    <s v="Peaje 25270"/>
    <s v="20550372640"/>
    <s v="RUTAS DE LIMA S.A.C."/>
    <x v="0"/>
    <s v="FACTURA"/>
    <s v="F611"/>
    <s v="3217535"/>
    <n v="12.71"/>
    <m/>
    <n v="2.29"/>
    <m/>
    <m/>
    <n v="15"/>
    <m/>
    <m/>
    <m/>
    <m/>
    <s v="RCO-17"/>
    <s v="63.1.1.3.02"/>
    <m/>
    <x v="8"/>
  </r>
  <r>
    <s v="28/08/2025"/>
    <x v="2"/>
    <s v="001"/>
    <s v="08_000484"/>
    <x v="1"/>
    <s v="91.06.02.04"/>
    <s v="VBB-840"/>
    <s v="Peaje 25290"/>
    <s v="20550372640"/>
    <s v="RUTAS DE LIMA S.A.C."/>
    <x v="0"/>
    <s v="FACTURA"/>
    <s v="F600"/>
    <s v="618812"/>
    <n v="12.71"/>
    <m/>
    <n v="2.29"/>
    <m/>
    <m/>
    <n v="15"/>
    <m/>
    <m/>
    <m/>
    <m/>
    <s v="RCO-18"/>
    <s v="63.1.1.3.02"/>
    <m/>
    <x v="8"/>
  </r>
  <r>
    <s v="29/08/2025"/>
    <x v="2"/>
    <s v="001"/>
    <s v="08_000485"/>
    <x v="1"/>
    <s v="91.06.02.04"/>
    <s v="VBB-840"/>
    <s v="Peaje 25307"/>
    <s v="20550372640"/>
    <s v="RUTAS DE LIMA S.A.C."/>
    <x v="0"/>
    <s v="FACTURA"/>
    <s v="F611"/>
    <s v="3220266"/>
    <n v="12.71"/>
    <m/>
    <n v="2.29"/>
    <m/>
    <m/>
    <n v="15"/>
    <m/>
    <m/>
    <m/>
    <m/>
    <s v="RCO-19"/>
    <s v="63.1.1.3.02"/>
    <m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8A90C9-F395-4EED-B7C9-9C4846676DDB}" name="TablaDinámica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Y101:Z105" firstHeaderRow="1" firstDataRow="1" firstDataCol="1"/>
  <pivotFields count="25"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7" showAll="0"/>
    <pivotField showAll="0"/>
    <pivotField dataField="1" numFmtId="167" showAll="0"/>
    <pivotField showAll="0"/>
    <pivotField numFmtId="167"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IGV (18%)" fld="16" baseField="0" baseItem="0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A259CB-6FEF-447D-9592-B89E45993A12}" name="TablaDinámica7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M17:O21" firstHeaderRow="0" firstDataRow="1" firstDataCol="1"/>
  <pivotFields count="28"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0"/>
        <item h="1" x="1"/>
        <item x="4"/>
        <item h="1" x="2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numFmtId="167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IGV (18%)" fld="16" baseField="1" baseItem="0"/>
    <dataField name="Suma de IGV (10%)" fld="17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E77719-7986-4F54-B95E-8F45F0C89771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Q101:S113" firstHeaderRow="0" firstDataRow="1" firstDataCol="1" rowPageCount="1" colPageCount="1"/>
  <pivotFields count="25">
    <pivotField showAll="0"/>
    <pivotField axis="axisPage" multipleItemSelectionAllowe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7" showAll="0"/>
    <pivotField showAll="0"/>
    <pivotField dataField="1" numFmtId="167" showAll="0"/>
    <pivotField showAll="0"/>
    <pivotField numFmtId="167" showAll="0"/>
    <pivotField showAll="0"/>
    <pivotField showAll="0"/>
    <pivotField showAll="0"/>
    <pivotField showAll="0"/>
    <pivotField showAll="0"/>
    <pivotField axis="axisRow" showAll="0">
      <items count="12">
        <item x="3"/>
        <item x="6"/>
        <item x="7"/>
        <item x="8"/>
        <item x="1"/>
        <item x="10"/>
        <item x="9"/>
        <item x="5"/>
        <item x="0"/>
        <item x="2"/>
        <item x="4"/>
        <item t="default"/>
      </items>
    </pivotField>
  </pivotFields>
  <rowFields count="1">
    <field x="24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a de BASE IMPONIBLE (18%)" fld="14" baseField="0" baseItem="0" numFmtId="167"/>
    <dataField name="Suma de IGV (18%)" fld="16" baseField="0" baseItem="0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3DC7CB-DA22-4D8B-B4FC-54ED0A86103E}" name="TablaDinámica16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A15:AB20" firstHeaderRow="1" firstDataRow="1" firstDataCol="1" rowPageCount="1" colPageCount="1"/>
  <pivotFields count="28">
    <pivotField showAll="0"/>
    <pivotField axis="axisPage" multipleItemSelectionAllowed="1" showAll="0">
      <items count="4">
        <item h="1" x="0"/>
        <item h="1"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1"/>
        <item x="4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7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5">
    <i>
      <x/>
    </i>
    <i>
      <x v="1"/>
    </i>
    <i>
      <x v="2"/>
    </i>
    <i>
      <x v="4"/>
    </i>
    <i t="grand">
      <x/>
    </i>
  </rowItems>
  <colItems count="1">
    <i/>
  </colItems>
  <pageFields count="1">
    <pageField fld="1" hier="-1"/>
  </pageFields>
  <dataFields count="1">
    <dataField name="Suma de TOTAL" fld="19" baseField="0" baseItem="0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E1F75C-4B41-493B-A504-C9981030DC38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M101:O109" firstHeaderRow="0" firstDataRow="1" firstDataCol="1" rowPageCount="1" colPageCount="1"/>
  <pivotFields count="25">
    <pivotField showAll="0"/>
    <pivotField axis="axisPage" multipleItemSelectionAllowe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axis="axisRow" showAll="0">
      <items count="8">
        <item x="0"/>
        <item x="1"/>
        <item x="5"/>
        <item x="2"/>
        <item x="6"/>
        <item x="4"/>
        <item x="3"/>
        <item t="default"/>
      </items>
    </pivotField>
    <pivotField showAll="0"/>
    <pivotField dataField="1" numFmtId="167" showAll="0"/>
    <pivotField showAll="0"/>
    <pivotField dataField="1" numFmtId="167" showAll="0"/>
    <pivotField showAll="0"/>
    <pivotField numFmtId="167"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>
      <items count="12">
        <item x="3"/>
        <item x="6"/>
        <item x="7"/>
        <item x="8"/>
        <item x="1"/>
        <item x="10"/>
        <item x="9"/>
        <item x="5"/>
        <item x="0"/>
        <item x="2"/>
        <item x="4"/>
        <item t="default"/>
      </items>
    </pivotField>
  </pivotFields>
  <rowFields count="1">
    <field x="1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a de BASE IMPONIBLE (18%)" fld="14" baseField="0" baseItem="0" numFmtId="167"/>
    <dataField name="Suma de IGV (18%)" fld="16" baseField="0" baseItem="0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E19DF1-9E25-4056-85CB-E992A9E9A822}" name="TablaDinámica4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17:I45" firstHeaderRow="1" firstDataRow="1" firstDataCol="1" rowPageCount="1" colPageCount="1"/>
  <pivotFields count="28">
    <pivotField showAll="0"/>
    <pivotField axis="axisPage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7"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37">
        <item x="30"/>
        <item x="7"/>
        <item x="8"/>
        <item x="33"/>
        <item x="14"/>
        <item x="35"/>
        <item x="19"/>
        <item x="21"/>
        <item x="13"/>
        <item x="24"/>
        <item x="4"/>
        <item x="28"/>
        <item x="17"/>
        <item x="16"/>
        <item x="6"/>
        <item x="32"/>
        <item x="3"/>
        <item x="5"/>
        <item x="15"/>
        <item x="27"/>
        <item x="25"/>
        <item x="34"/>
        <item x="26"/>
        <item x="29"/>
        <item x="22"/>
        <item x="31"/>
        <item x="2"/>
        <item x="20"/>
        <item x="23"/>
        <item x="12"/>
        <item x="1"/>
        <item x="11"/>
        <item x="10"/>
        <item x="9"/>
        <item x="18"/>
        <item h="1"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7"/>
  </rowFields>
  <rowItems count="28">
    <i>
      <x v="14"/>
    </i>
    <i>
      <x v="27"/>
    </i>
    <i>
      <x v="29"/>
    </i>
    <i>
      <x v="8"/>
    </i>
    <i>
      <x v="7"/>
    </i>
    <i>
      <x v="13"/>
    </i>
    <i>
      <x v="16"/>
    </i>
    <i>
      <x v="34"/>
    </i>
    <i>
      <x v="28"/>
    </i>
    <i>
      <x v="12"/>
    </i>
    <i>
      <x v="20"/>
    </i>
    <i>
      <x v="19"/>
    </i>
    <i>
      <x/>
    </i>
    <i>
      <x v="2"/>
    </i>
    <i>
      <x v="11"/>
    </i>
    <i>
      <x v="31"/>
    </i>
    <i>
      <x v="32"/>
    </i>
    <i>
      <x v="4"/>
    </i>
    <i>
      <x v="1"/>
    </i>
    <i>
      <x v="30"/>
    </i>
    <i>
      <x v="10"/>
    </i>
    <i>
      <x v="33"/>
    </i>
    <i>
      <x v="26"/>
    </i>
    <i>
      <x v="5"/>
    </i>
    <i>
      <x v="24"/>
    </i>
    <i>
      <x v="17"/>
    </i>
    <i>
      <x v="21"/>
    </i>
    <i t="grand">
      <x/>
    </i>
  </rowItems>
  <colItems count="1">
    <i/>
  </colItems>
  <pageFields count="1">
    <pageField fld="1" item="2" hier="-1"/>
  </pageFields>
  <dataFields count="1">
    <dataField name="Suma de TOTAL" fld="19" baseField="0" baseItem="0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188C13-45BF-4C99-8B45-C162F2C8BA71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I101:J104" firstHeaderRow="1" firstDataRow="1" firstDataCol="1" rowPageCount="1" colPageCount="1"/>
  <pivotFields count="25">
    <pivotField showAll="0"/>
    <pivotField axis="axisPage" multipleItemSelectionAllowe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numFmtId="167" showAll="0"/>
    <pivotField showAll="0"/>
    <pivotField numFmtId="167" showAll="0"/>
    <pivotField showAll="0"/>
    <pivotField dataField="1" numFmtId="167"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3">
    <i>
      <x/>
    </i>
    <i>
      <x v="1"/>
    </i>
    <i t="grand">
      <x/>
    </i>
  </rowItems>
  <colItems count="1">
    <i/>
  </colItems>
  <pageFields count="1">
    <pageField fld="1" hier="-1"/>
  </pageFields>
  <dataFields count="1">
    <dataField name="Suma de TOTAL" fld="18" baseField="0" baseItem="0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4762B8-F4B5-4823-BEBE-7220A0123B63}" name="TablaDinámica9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S16:X22" firstHeaderRow="1" firstDataRow="2" firstDataCol="1" rowPageCount="1" colPageCount="1"/>
  <pivotFields count="28">
    <pivotField showAll="0"/>
    <pivotField axis="axisPage" showAll="0">
      <items count="4">
        <item x="0"/>
        <item x="1"/>
        <item x="2"/>
        <item t="default"/>
      </items>
    </pivotField>
    <pivotField showAll="0"/>
    <pivotField showAll="0"/>
    <pivotField axis="axisCol" showAll="0">
      <items count="5">
        <item x="0"/>
        <item x="3"/>
        <item x="2"/>
        <item x="1"/>
        <item t="default"/>
      </items>
    </pivotField>
    <pivotField showAll="0"/>
    <pivotField showAll="0"/>
    <pivotField showAll="0"/>
    <pivotField showAll="0"/>
    <pivotField showAll="0"/>
    <pivotField axis="axisRow" multipleItemSelectionAllowed="1" showAll="0">
      <items count="6">
        <item x="0"/>
        <item x="1"/>
        <item x="4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7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5">
    <i>
      <x/>
    </i>
    <i>
      <x v="1"/>
    </i>
    <i>
      <x v="2"/>
    </i>
    <i>
      <x v="4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pageFields count="1">
    <pageField fld="1" item="2" hier="-1"/>
  </pageFields>
  <dataFields count="1">
    <dataField name="Suma de TOTAL" fld="19" baseField="0" baseItem="0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F86621-BC22-47AB-90D8-8A3686E23C6A}" name="TablaDiná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U101:V112" firstHeaderRow="1" firstDataRow="1" firstDataCol="1" rowPageCount="1" colPageCount="1"/>
  <pivotFields count="25">
    <pivotField showAll="0"/>
    <pivotField axis="axisPage" multipleItemSelectionAllowe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57">
        <item x="9"/>
        <item x="24"/>
        <item x="42"/>
        <item x="37"/>
        <item x="16"/>
        <item x="0"/>
        <item x="54"/>
        <item x="48"/>
        <item x="41"/>
        <item x="43"/>
        <item x="53"/>
        <item x="50"/>
        <item x="46"/>
        <item x="32"/>
        <item x="19"/>
        <item x="26"/>
        <item x="23"/>
        <item x="1"/>
        <item x="2"/>
        <item x="28"/>
        <item x="31"/>
        <item x="45"/>
        <item x="10"/>
        <item x="22"/>
        <item x="15"/>
        <item x="25"/>
        <item x="11"/>
        <item x="7"/>
        <item x="52"/>
        <item x="38"/>
        <item x="35"/>
        <item x="14"/>
        <item x="29"/>
        <item x="51"/>
        <item x="20"/>
        <item x="44"/>
        <item x="5"/>
        <item x="21"/>
        <item x="8"/>
        <item x="49"/>
        <item x="36"/>
        <item x="6"/>
        <item x="27"/>
        <item x="39"/>
        <item x="17"/>
        <item x="34"/>
        <item x="40"/>
        <item x="55"/>
        <item x="30"/>
        <item x="13"/>
        <item x="18"/>
        <item x="33"/>
        <item x="4"/>
        <item x="3"/>
        <item x="47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167" showAll="0"/>
    <pivotField showAll="0"/>
    <pivotField numFmtId="167" showAll="0"/>
    <pivotField showAll="0"/>
    <pivotField dataField="1" numFmtId="167"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11">
    <i>
      <x v="17"/>
    </i>
    <i>
      <x v="36"/>
    </i>
    <i>
      <x v="31"/>
    </i>
    <i>
      <x v="34"/>
    </i>
    <i>
      <x v="30"/>
    </i>
    <i>
      <x v="42"/>
    </i>
    <i>
      <x v="13"/>
    </i>
    <i>
      <x/>
    </i>
    <i>
      <x v="32"/>
    </i>
    <i>
      <x v="44"/>
    </i>
    <i t="grand">
      <x/>
    </i>
  </rowItems>
  <colItems count="1">
    <i/>
  </colItems>
  <pageFields count="1">
    <pageField fld="1" hier="-1"/>
  </pageFields>
  <dataFields count="1">
    <dataField name="Suma de TOTAL" fld="18" baseField="0" baseItem="0" numFmtId="167"/>
  </dataFields>
  <pivotTableStyleInfo name="PivotStyleLight16" showRowHeaders="1" showColHeaders="1" showRowStripes="0" showColStripes="0" showLastColumn="1"/>
  <filters count="1">
    <filter fld="9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ERIODO" xr10:uid="{457C7FDE-69FE-4379-8A2B-ADB22750CC85}" sourceName="PERIODO">
  <pivotTables>
    <pivotTable tabId="45" name="TablaDinámica9"/>
    <pivotTable tabId="45" name="TablaDinámica16"/>
    <pivotTable tabId="45" name="TablaDinámica4"/>
  </pivotTables>
  <data>
    <tabular pivotCacheId="868326659">
      <items count="3">
        <i x="0"/>
        <i x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ERIODO1" xr10:uid="{88F7541C-4A69-4BC4-8E8D-77E195A577AB}" sourceName="PERIODO">
  <pivotTables>
    <pivotTable tabId="45" name="TablaDinámica5"/>
    <pivotTable tabId="45" name="TablaDinámica1"/>
    <pivotTable tabId="45" name="TablaDinámica2"/>
    <pivotTable tabId="45" name="TablaDinámica3"/>
  </pivotTables>
  <data>
    <tabular pivotCacheId="357733333">
      <items count="3">
        <i x="0" s="1"/>
        <i x="1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ERIODO 1" xr10:uid="{B0E1DBE1-7971-4B3E-95D6-C4F64C5C0CEA}" cache="SegmentaciónDeDatos_PERIODO" caption="PERIODO" style="SlicerStyleDark6" rowHeight="241300"/>
  <slicer name="PERIODO 3" xr10:uid="{1E74A35C-497A-4951-90CE-1A4BB5267991}" cache="SegmentaciónDeDatos_PERIODO1" caption="PERIODO" style="SlicerStyleDark6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ERIODO" xr10:uid="{D09B998C-89A4-431D-81BD-70DF352A655D}" cache="SegmentaciónDeDatos_PERIODO" caption="PERIODO" style="SlicerStyleLight6" rowHeight="241300"/>
  <slicer name="PERIODO 2" xr10:uid="{4744FC91-EB49-424F-804A-B38212E9504A}" cache="SegmentaciónDeDatos_PERIODO1" caption="PERIODO" style="SlicerStyleLight6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79D024-7D30-45D7-8169-9CAC6125A205}" name="Anexo_4" displayName="Anexo_4" ref="A1:AB2828" totalsRowCount="1" headerRowDxfId="76" dataDxfId="114" totalsRowDxfId="112" headerRowBorderDxfId="115" tableBorderDxfId="113" totalsRowBorderDxfId="111">
  <autoFilter ref="A1:AB2827" xr:uid="{C479D024-7D30-45D7-8169-9CAC6125A205}"/>
  <sortState xmlns:xlrd2="http://schemas.microsoft.com/office/spreadsheetml/2017/richdata2" ref="A2:AB1458">
    <sortCondition ref="D1:D1458"/>
  </sortState>
  <tableColumns count="28">
    <tableColumn id="1" xr3:uid="{13436F98-4548-4140-82B0-DA3DDE9F429E}" name="fecha" dataDxfId="110" totalsRowDxfId="75"/>
    <tableColumn id="2" xr3:uid="{5F1F575F-8C85-4615-9CAD-E2C12095B3A8}" name="periodo" dataDxfId="109" totalsRowDxfId="74">
      <calculatedColumnFormula>PROPER(CHOOSE(LEFT(D2,2),"enero","febrero","marzo","abril","mayo","junio","julio","agosto","setiembre","octubre","noviembre","diciembre"))</calculatedColumnFormula>
    </tableColumn>
    <tableColumn id="3" xr3:uid="{98624ABF-EC8E-45D8-9BD6-580C14F8F643}" name="reg" dataDxfId="108" totalsRowDxfId="73"/>
    <tableColumn id="4" xr3:uid="{B78D793C-040A-42E9-AC17-D47AAB526AF7}" name="asiento" dataDxfId="107" totalsRowDxfId="72"/>
    <tableColumn id="20" xr3:uid="{F41BC850-8EF7-4F91-B6A9-E1B5F5962AD4}" name="area" dataDxfId="106" totalsRowDxfId="71">
      <calculatedColumnFormula>IF(LEFT(Anexo_4[[#This Row],[c_costos]],2)="91","OPERACIONES",IF(LEFT(Anexo_4[[#This Row],[c_costos]],2)="97","G. FINANCIEROS",IF(LEFT(Anexo_4[[#This Row],[c_costos]],2)="95","G. VENTAS","G. ADMINISTRACIÓN")))</calculatedColumnFormula>
    </tableColumn>
    <tableColumn id="5" xr3:uid="{D935639A-0575-4994-906D-B933C3E97C14}" name="c_costos" dataDxfId="105" totalsRowDxfId="70"/>
    <tableColumn id="6" xr3:uid="{0B9C0E17-C147-4631-A0FE-9045932EBE77}" name="area_solicitante" dataDxfId="104" totalsRowDxfId="69"/>
    <tableColumn id="9" xr3:uid="{108D24C1-1609-4112-9D06-F1ED215F9F84}" name="glosa" dataDxfId="103" totalsRowDxfId="68"/>
    <tableColumn id="10" xr3:uid="{2C0EECAC-46B0-400B-9790-451A083BB494}" name="ruc" dataDxfId="102" totalsRowDxfId="67"/>
    <tableColumn id="11" xr3:uid="{5D6C3615-DEC1-406E-8FDC-5E699F0C99F5}" name="razon_social" dataDxfId="101" totalsRowDxfId="66"/>
    <tableColumn id="13" xr3:uid="{D025075E-432F-4FF5-9A24-C17C609F3975}" name="cod_doc" dataDxfId="100" totalsRowDxfId="65"/>
    <tableColumn id="21" xr3:uid="{03D50E48-71A8-442F-84B3-467BA88B03AA}" name="descrip_cod" dataDxfId="99" totalsRowDxfId="64">
      <calculatedColumnFormula>VLOOKUP(Anexo_4[[#This Row],[cod_doc]],TIPODOC,2,FALSE)</calculatedColumnFormula>
    </tableColumn>
    <tableColumn id="14" xr3:uid="{1767A771-4AC6-4D14-BB11-215136238090}" name="serie" dataDxfId="98" totalsRowDxfId="63"/>
    <tableColumn id="15" xr3:uid="{4E220D3F-8BA3-4608-A815-FF1EBA050703}" name="numero" totalsRowLabel="Total" dataDxfId="97" totalsRowDxfId="62"/>
    <tableColumn id="16" xr3:uid="{712FC484-A3C1-4833-BE74-26E4CA112438}" name="base_imponible_18" totalsRowFunction="sum" dataDxfId="96" totalsRowDxfId="61"/>
    <tableColumn id="17" xr3:uid="{948B0BAC-ABFF-42A3-AE67-CBECA3C703E0}" name="base_imponible_10" totalsRowFunction="sum" dataDxfId="95" totalsRowDxfId="60"/>
    <tableColumn id="18" xr3:uid="{427B7F84-0673-4003-8858-27FA41DA8790}" name="igv_18" totalsRowFunction="sum" dataDxfId="94" totalsRowDxfId="59"/>
    <tableColumn id="19" xr3:uid="{12D5D815-86EB-4E8D-951D-28C938A86DA9}" name="igv_10" totalsRowFunction="sum" dataDxfId="93" totalsRowDxfId="58"/>
    <tableColumn id="28" xr3:uid="{0336D8E9-D19E-467D-B267-CA64A43C0FF5}" name="base_no_grabada" totalsRowFunction="sum" dataDxfId="92" totalsRowDxfId="57"/>
    <tableColumn id="26" xr3:uid="{28A62483-3838-4F13-B739-0157880DAA96}" name="total" totalsRowFunction="sum" dataDxfId="91" totalsRowDxfId="56">
      <calculatedColumnFormula>IFERROR(VLOOKUP(#REF!,OP,2,0),"-")</calculatedColumnFormula>
    </tableColumn>
    <tableColumn id="23" xr3:uid="{0A1E9973-B496-4C49-84DA-32E432A8CF23}" name="nro_detraccion" dataDxfId="90" totalsRowDxfId="55"/>
    <tableColumn id="24" xr3:uid="{706CF409-6459-4738-9831-C9B97ADAFCD9}" name="fecha_detraccion" dataDxfId="89" totalsRowDxfId="54"/>
    <tableColumn id="25" xr3:uid="{5E50C2B3-4C64-40DD-AF5F-6DD97B58E71D}" name="tipo_doc_ref" dataDxfId="88" totalsRowDxfId="53"/>
    <tableColumn id="27" xr3:uid="{82E6846F-F927-4796-A375-F9C242AB7795}" name="serie_ref" dataDxfId="87" totalsRowDxfId="52"/>
    <tableColumn id="29" xr3:uid="{5BEA4604-CD80-4A6B-B3C0-B19303873D0B}" name="doc_ref" dataDxfId="86" totalsRowDxfId="51"/>
    <tableColumn id="7" xr3:uid="{ECD97E64-FADB-4FB7-AA8D-F098814D1161}" name="cuenta" dataDxfId="85" totalsRowDxfId="50"/>
    <tableColumn id="12" xr3:uid="{8FD410FF-74C1-4200-8A6C-66B071579188}" name="descripcion" dataDxfId="84" totalsRowDxfId="49"/>
    <tableColumn id="30" xr3:uid="{F4A51DBE-666E-4590-B267-169292AB32BD}" name="gastos_operativos_kpi" dataDxfId="83" totalsRowDxfId="48">
      <calculatedColumnFormula>IFERROR(VLOOKUP(Anexo_4[[#This Row],[cuenta]],OP,2,0),"-")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BC60EE-EFF7-4192-B4A3-E6D8F48CD083}" name="Anexo_5" displayName="Anexo_5" ref="A1:X429" totalsRowCount="1" headerRowDxfId="82" dataDxfId="80" totalsRowDxfId="78" headerRowBorderDxfId="81" tableBorderDxfId="79" totalsRowBorderDxfId="77">
  <autoFilter ref="A1:X428" xr:uid="{1FBC60EE-EFF7-4192-B4A3-E6D8F48CD083}"/>
  <sortState xmlns:xlrd2="http://schemas.microsoft.com/office/spreadsheetml/2017/richdata2" ref="A189:X242">
    <sortCondition ref="X1:X242"/>
  </sortState>
  <tableColumns count="24">
    <tableColumn id="1" xr3:uid="{AAD857FD-EA77-463A-A6DD-664D349034A6}" name="fecha" dataDxfId="47" totalsRowDxfId="23"/>
    <tableColumn id="2" xr3:uid="{CC0D1507-B3FB-4F7A-93E1-B608D1E9CF39}" name="periodo" dataDxfId="46" totalsRowDxfId="22">
      <calculatedColumnFormula>PROPER(CHOOSE(LEFT(D2,2),"enero","febrero","marzo","abril","mayo","junio","julio","agosto","setiembre","octubre","noviembre","diciembre"))</calculatedColumnFormula>
    </tableColumn>
    <tableColumn id="3" xr3:uid="{0A3DA4F7-1FD6-4082-AF68-96681BB47BB2}" name="reg" dataDxfId="45" totalsRowDxfId="21"/>
    <tableColumn id="4" xr3:uid="{2871D37F-2385-4E1D-B525-6E272F7D619A}" name="asiento" dataDxfId="44" totalsRowDxfId="20"/>
    <tableColumn id="5" xr3:uid="{64E07EE9-9232-47F0-8215-698B52BBE3B9}" name="area" dataDxfId="43" totalsRowDxfId="19">
      <calculatedColumnFormula>IF(LEFT(Anexo_5[[#This Row],[c_costos]],2)="91","OPERACIONES",IF(LEFT(Anexo_5[[#This Row],[c_costos]],2)="97","G. FINANCIEROS",IF(LEFT(Anexo_5[[#This Row],[c_costos]],2)="95","G. VENTAS","G. ADMINISTRACIÓN")))</calculatedColumnFormula>
    </tableColumn>
    <tableColumn id="7" xr3:uid="{904B1C9C-597D-4058-ADC8-7789909E2B53}" name="c_costos" dataDxfId="42" totalsRowDxfId="18"/>
    <tableColumn id="8" xr3:uid="{6C87E7C1-AC77-4E85-A12A-D286FB057039}" name="area_solicitante" dataDxfId="41" totalsRowDxfId="17"/>
    <tableColumn id="9" xr3:uid="{5918CBF7-C137-4D52-8E17-7BA81A29BB92}" name="glosa" dataDxfId="40" totalsRowDxfId="16"/>
    <tableColumn id="13" xr3:uid="{74A6B17F-79B1-4070-94B0-CCE00BB1211E}" name="ruc" dataDxfId="39" totalsRowDxfId="15"/>
    <tableColumn id="14" xr3:uid="{DB2D3415-8AD8-4E67-B36E-9AEBB467DA91}" name="razon_social" dataDxfId="38" totalsRowDxfId="14"/>
    <tableColumn id="15" xr3:uid="{83C72487-E48D-4756-81B3-5F444EF84716}" name="cod_doc" dataDxfId="37" totalsRowDxfId="13"/>
    <tableColumn id="16" xr3:uid="{0EE8EB8E-76F0-4DAA-BFA0-AA4D92216BA5}" name="descrip_doc" dataDxfId="36" totalsRowDxfId="12">
      <calculatedColumnFormula>VLOOKUP(Anexo_5[[#This Row],[cod_doc]],COMPRAS!TIPODOC,2,FALSE)</calculatedColumnFormula>
    </tableColumn>
    <tableColumn id="17" xr3:uid="{132C69A3-CB41-4DF7-A672-653E1E1AE00B}" name="serie" dataDxfId="35" totalsRowDxfId="11"/>
    <tableColumn id="18" xr3:uid="{7DF8F832-ECD0-45AE-877C-A45FA8D82909}" name="numero" totalsRowLabel="Total" dataDxfId="34" totalsRowDxfId="10"/>
    <tableColumn id="19" xr3:uid="{354DABA5-5AA7-41DB-AA04-B1AE1E3B33A7}" name="base_imponible_18" totalsRowFunction="sum" dataDxfId="33" totalsRowDxfId="9"/>
    <tableColumn id="22" xr3:uid="{F4930F43-802C-406C-B735-A6CBCA8B5D98}" name="igv_18" totalsRowFunction="sum" dataDxfId="32" totalsRowDxfId="8"/>
    <tableColumn id="6" xr3:uid="{EEBF0769-89F8-4F76-9673-AA4A1F5BDE83}" name="base_no_grabada" totalsRowFunction="sum" dataDxfId="31" totalsRowDxfId="7"/>
    <tableColumn id="10" xr3:uid="{2B07B8F1-E283-44F7-8172-C439C2668EF9}" name="total" totalsRowFunction="sum" dataDxfId="30" totalsRowDxfId="6"/>
    <tableColumn id="21" xr3:uid="{4020A277-50D2-4188-827A-9368200808F9}" name="tipo_doc_ref" dataDxfId="29" totalsRowDxfId="5"/>
    <tableColumn id="24" xr3:uid="{8C5C6A10-A043-4DAE-A1DF-563684BE1AC8}" name="serie_ref" dataDxfId="28" totalsRowDxfId="4"/>
    <tableColumn id="25" xr3:uid="{9F2BDC85-C0A0-4795-9C23-6EBE026C8017}" name="doc_ref" dataDxfId="27" totalsRowDxfId="3"/>
    <tableColumn id="26" xr3:uid="{ED8BD5F9-E978-479A-B928-31713EC2ADD8}" name="CUENTA" dataDxfId="26" totalsRowDxfId="2"/>
    <tableColumn id="27" xr3:uid="{C328EE72-CC37-400E-8B13-AECA3AC0847E}" name="DESCRIPCION" dataDxfId="25" totalsRowDxfId="1"/>
    <tableColumn id="28" xr3:uid="{68D03F8D-6305-4D68-9217-39F1ECA9F79B}" name="VENTAS KPI" dataDxfId="24" totalsRowDxfId="0">
      <calculatedColumnFormula>IFERROR(VLOOKUP(Anexo_5[[#This Row],[CUENTA]],OP,2,0),"-")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microsoft.com/office/2007/relationships/slicer" Target="../slicers/slicer2.xml"/><Relationship Id="rId5" Type="http://schemas.openxmlformats.org/officeDocument/2006/relationships/pivotTable" Target="../pivotTables/pivotTable5.xml"/><Relationship Id="rId10" Type="http://schemas.openxmlformats.org/officeDocument/2006/relationships/drawing" Target="../drawings/drawing7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6FB5F-6C08-4953-8CA2-A4E5BD6A66C5}">
  <sheetPr>
    <tabColor rgb="FF72B730"/>
    <pageSetUpPr fitToPage="1"/>
  </sheetPr>
  <dimension ref="B1:S22"/>
  <sheetViews>
    <sheetView showGridLines="0" showZeros="0" tabSelected="1" zoomScaleNormal="100" zoomScaleSheetLayoutView="130" workbookViewId="0">
      <pane xSplit="4" ySplit="7" topLeftCell="J8" activePane="bottomRight" state="frozen"/>
      <selection pane="topRight" activeCell="K9" sqref="K9"/>
      <selection pane="bottomLeft" activeCell="K9" sqref="K9"/>
      <selection pane="bottomRight" activeCell="L9" sqref="L9"/>
    </sheetView>
  </sheetViews>
  <sheetFormatPr defaultColWidth="8.88671875" defaultRowHeight="13.8" x14ac:dyDescent="0.25"/>
  <cols>
    <col min="1" max="1" width="3.6640625" style="3" customWidth="1"/>
    <col min="2" max="2" width="10.109375" style="3" customWidth="1"/>
    <col min="3" max="3" width="12.6640625" style="2" customWidth="1"/>
    <col min="4" max="4" width="28.109375" style="6" customWidth="1"/>
    <col min="5" max="5" width="10.6640625" style="2" customWidth="1"/>
    <col min="6" max="7" width="13.5546875" style="2" customWidth="1"/>
    <col min="8" max="10" width="13.5546875" style="3" customWidth="1"/>
    <col min="11" max="11" width="20.109375" style="3" customWidth="1"/>
    <col min="12" max="17" width="13.5546875" style="3" customWidth="1"/>
    <col min="18" max="19" width="15" style="3" customWidth="1"/>
    <col min="20" max="16384" width="8.88671875" style="3"/>
  </cols>
  <sheetData>
    <row r="1" spans="2:19" s="1" customFormat="1" ht="14.25" customHeight="1" thickBot="1" x14ac:dyDescent="0.35">
      <c r="D1" s="5"/>
    </row>
    <row r="2" spans="2:19" s="1" customFormat="1" ht="15" customHeight="1" x14ac:dyDescent="0.3">
      <c r="B2" s="157"/>
      <c r="C2" s="158"/>
      <c r="D2" s="163" t="s">
        <v>0</v>
      </c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4" t="s">
        <v>1</v>
      </c>
      <c r="S2" s="165"/>
    </row>
    <row r="3" spans="2:19" s="1" customFormat="1" ht="15" customHeight="1" x14ac:dyDescent="0.3">
      <c r="B3" s="159"/>
      <c r="C3" s="160"/>
      <c r="D3" s="166" t="s">
        <v>2</v>
      </c>
      <c r="E3" s="166"/>
      <c r="F3" s="166"/>
      <c r="G3" s="166"/>
      <c r="H3" s="166"/>
      <c r="I3" s="166"/>
      <c r="J3" s="166"/>
      <c r="K3" s="166"/>
      <c r="L3" s="166"/>
      <c r="M3" s="166"/>
      <c r="N3" s="166"/>
      <c r="O3" s="166"/>
      <c r="P3" s="166"/>
      <c r="Q3" s="166"/>
      <c r="R3" s="167" t="s">
        <v>3</v>
      </c>
      <c r="S3" s="168"/>
    </row>
    <row r="4" spans="2:19" s="1" customFormat="1" ht="15" customHeight="1" x14ac:dyDescent="0.3">
      <c r="B4" s="159"/>
      <c r="C4" s="160"/>
      <c r="D4" s="166"/>
      <c r="E4" s="166"/>
      <c r="F4" s="166"/>
      <c r="G4" s="166"/>
      <c r="H4" s="166"/>
      <c r="I4" s="166"/>
      <c r="J4" s="166"/>
      <c r="K4" s="166"/>
      <c r="L4" s="166"/>
      <c r="M4" s="166"/>
      <c r="N4" s="166"/>
      <c r="O4" s="166"/>
      <c r="P4" s="166"/>
      <c r="Q4" s="166"/>
      <c r="R4" s="167" t="s">
        <v>157</v>
      </c>
      <c r="S4" s="168"/>
    </row>
    <row r="5" spans="2:19" s="1" customFormat="1" ht="15" customHeight="1" thickBot="1" x14ac:dyDescent="0.35">
      <c r="B5" s="161"/>
      <c r="C5" s="162"/>
      <c r="D5" s="169" t="s">
        <v>5</v>
      </c>
      <c r="E5" s="169"/>
      <c r="F5" s="169"/>
      <c r="G5" s="169"/>
      <c r="H5" s="169"/>
      <c r="I5" s="169"/>
      <c r="J5" s="169"/>
      <c r="K5" s="169"/>
      <c r="L5" s="169"/>
      <c r="M5" s="169"/>
      <c r="N5" s="169"/>
      <c r="O5" s="169"/>
      <c r="P5" s="169"/>
      <c r="Q5" s="169"/>
      <c r="R5" s="170">
        <f ca="1">TODAY()</f>
        <v>45979</v>
      </c>
      <c r="S5" s="171"/>
    </row>
    <row r="6" spans="2:19" ht="4.5" customHeight="1" x14ac:dyDescent="0.25"/>
    <row r="7" spans="2:19" s="7" customFormat="1" ht="27" customHeight="1" x14ac:dyDescent="0.2">
      <c r="B7" s="13" t="s">
        <v>6</v>
      </c>
      <c r="C7" s="13" t="s">
        <v>7</v>
      </c>
      <c r="D7" s="13" t="s">
        <v>8</v>
      </c>
      <c r="E7" s="13" t="s">
        <v>9</v>
      </c>
      <c r="F7" s="13" t="s">
        <v>10</v>
      </c>
      <c r="G7" s="13" t="s">
        <v>11</v>
      </c>
      <c r="H7" s="13" t="s">
        <v>12</v>
      </c>
      <c r="I7" s="13" t="s">
        <v>13</v>
      </c>
      <c r="J7" s="13" t="s">
        <v>14</v>
      </c>
      <c r="K7" s="13" t="s">
        <v>15</v>
      </c>
      <c r="L7" s="13" t="s">
        <v>16</v>
      </c>
      <c r="M7" s="13" t="s">
        <v>17</v>
      </c>
      <c r="N7" s="13" t="s">
        <v>18</v>
      </c>
      <c r="O7" s="13" t="s">
        <v>19</v>
      </c>
      <c r="P7" s="13" t="s">
        <v>20</v>
      </c>
      <c r="Q7" s="13" t="s">
        <v>21</v>
      </c>
      <c r="R7" s="13" t="s">
        <v>22</v>
      </c>
      <c r="S7" s="13" t="s">
        <v>23</v>
      </c>
    </row>
    <row r="8" spans="2:19" s="8" customFormat="1" ht="27" customHeight="1" x14ac:dyDescent="0.2">
      <c r="B8" s="172">
        <v>1</v>
      </c>
      <c r="C8" s="172" t="s">
        <v>24</v>
      </c>
      <c r="D8" s="9" t="s">
        <v>25</v>
      </c>
      <c r="E8" s="12" t="s">
        <v>26</v>
      </c>
      <c r="F8" s="46">
        <f>107127+2220</f>
        <v>109347</v>
      </c>
      <c r="G8" s="46">
        <f>166185+1107+3392</f>
        <v>170684</v>
      </c>
      <c r="H8" s="46">
        <f>171179+1020+3753</f>
        <v>175952</v>
      </c>
      <c r="I8" s="46">
        <f>124124+1127+2401</f>
        <v>127652</v>
      </c>
      <c r="J8" s="46">
        <f>330256+255+10336</f>
        <v>340847</v>
      </c>
      <c r="K8" s="46">
        <f>+'COMPRAS Y VENTAS'!K8+'COMPRAS Y VENTAS'!K9+'COMPRAS Y VENTAS'!K10+'COMPRAS Y VENTAS'!K11</f>
        <v>273829.72000000032</v>
      </c>
      <c r="L8" s="46">
        <f>+'COMPRAS Y VENTAS'!L8+'COMPRAS Y VENTAS'!L9+'COMPRAS Y VENTAS'!L10+'COMPRAS Y VENTAS'!L11</f>
        <v>179668.90000000002</v>
      </c>
      <c r="M8" s="46">
        <f>+'COMPRAS Y VENTAS'!M8+'COMPRAS Y VENTAS'!M9+'COMPRAS Y VENTAS'!M10+'COMPRAS Y VENTAS'!M11</f>
        <v>63276.199999999903</v>
      </c>
      <c r="N8" s="46">
        <f>+'COMPRAS Y VENTAS'!N8+'COMPRAS Y VENTAS'!N9+'COMPRAS Y VENTAS'!N10</f>
        <v>145965.7000000001</v>
      </c>
      <c r="O8" s="46">
        <f>+'COMPRAS Y VENTAS'!O8+'COMPRAS Y VENTAS'!O9+'COMPRAS Y VENTAS'!O10+'COMPRAS Y VENTAS'!O11</f>
        <v>175464.32000000009</v>
      </c>
      <c r="P8" s="46">
        <f>+'COMPRAS Y VENTAS'!P8+'COMPRAS Y VENTAS'!P9+'COMPRAS Y VENTAS'!P10+'COMPRAS Y VENTAS'!P11</f>
        <v>0</v>
      </c>
      <c r="Q8" s="46">
        <f>+'COMPRAS Y VENTAS'!Q8+'COMPRAS Y VENTAS'!Q9+'COMPRAS Y VENTAS'!Q10+'COMPRAS Y VENTAS'!Q11</f>
        <v>0</v>
      </c>
      <c r="R8" s="26">
        <f>SUM(F8:Q8)</f>
        <v>1762686.8400000003</v>
      </c>
      <c r="S8" s="16">
        <f>AVERAGE(F8:Q8)</f>
        <v>146890.57000000004</v>
      </c>
    </row>
    <row r="9" spans="2:19" s="8" customFormat="1" ht="27" customHeight="1" x14ac:dyDescent="0.2">
      <c r="B9" s="174"/>
      <c r="C9" s="174"/>
      <c r="D9" s="121" t="s">
        <v>27</v>
      </c>
      <c r="E9" s="122" t="s">
        <v>26</v>
      </c>
      <c r="F9" s="123">
        <v>19283</v>
      </c>
      <c r="G9" s="123">
        <f>29913+111</f>
        <v>30024</v>
      </c>
      <c r="H9" s="123">
        <f>30812+102</f>
        <v>30914</v>
      </c>
      <c r="I9" s="123">
        <f>22342+113</f>
        <v>22455</v>
      </c>
      <c r="J9" s="123">
        <f>59446+26</f>
        <v>59472</v>
      </c>
      <c r="K9" s="123">
        <f>+'COMPRAS Y VENTAS'!K12+'COMPRAS Y VENTAS'!K13+'COMPRAS Y VENTAS'!K14</f>
        <v>49104.051399999938</v>
      </c>
      <c r="L9" s="123">
        <f>+'COMPRAS Y VENTAS'!L12+'COMPRAS Y VENTAS'!L13+'COMPRAS Y VENTAS'!L14</f>
        <v>31931.185399999991</v>
      </c>
      <c r="M9" s="123">
        <f>+'COMPRAS Y VENTAS'!M12+'COMPRAS Y VENTAS'!M13+'COMPRAS Y VENTAS'!M14</f>
        <v>10997.282600000004</v>
      </c>
      <c r="N9" s="123">
        <f>+'COMPRAS Y VENTAS'!N12+'COMPRAS Y VENTAS'!N13+'COMPRAS Y VENTAS'!N14</f>
        <v>26138.016400000019</v>
      </c>
      <c r="O9" s="123">
        <f>+'COMPRAS Y VENTAS'!O12+'COMPRAS Y VENTAS'!O13+'COMPRAS Y VENTAS'!O14</f>
        <v>31095.920000000016</v>
      </c>
      <c r="P9" s="123">
        <f>+'COMPRAS Y VENTAS'!P12+'COMPRAS Y VENTAS'!P13+'COMPRAS Y VENTAS'!P14</f>
        <v>0</v>
      </c>
      <c r="Q9" s="123">
        <f>+'COMPRAS Y VENTAS'!Q12+'COMPRAS Y VENTAS'!Q13+'COMPRAS Y VENTAS'!Q14</f>
        <v>0</v>
      </c>
      <c r="R9" s="124">
        <f>SUM(F9:Q9)</f>
        <v>311414.4558</v>
      </c>
      <c r="S9" s="125">
        <f t="shared" ref="S9:S10" si="0">AVERAGE(F9:Q9)</f>
        <v>25951.20465</v>
      </c>
    </row>
    <row r="10" spans="2:19" s="8" customFormat="1" ht="27" customHeight="1" x14ac:dyDescent="0.2">
      <c r="B10" s="172">
        <v>2</v>
      </c>
      <c r="C10" s="172" t="s">
        <v>28</v>
      </c>
      <c r="D10" s="9" t="s">
        <v>25</v>
      </c>
      <c r="E10" s="12" t="s">
        <v>26</v>
      </c>
      <c r="F10" s="46">
        <v>189659</v>
      </c>
      <c r="G10" s="46">
        <v>271705</v>
      </c>
      <c r="H10" s="46">
        <f>203341-3317</f>
        <v>200024</v>
      </c>
      <c r="I10" s="46">
        <f>377701-3299</f>
        <v>374402</v>
      </c>
      <c r="J10" s="46">
        <f>244467-10975</f>
        <v>233492</v>
      </c>
      <c r="K10" s="46">
        <f>+'COMPRAS Y VENTAS'!K17</f>
        <v>325085.69999999995</v>
      </c>
      <c r="L10" s="46">
        <f>+'COMPRAS Y VENTAS'!L17</f>
        <v>256600.49999999988</v>
      </c>
      <c r="M10" s="46">
        <f>+'COMPRAS Y VENTAS'!M17</f>
        <v>219647.63999999996</v>
      </c>
      <c r="N10" s="46">
        <f>+'COMPRAS Y VENTAS'!N17</f>
        <v>247364.37000000005</v>
      </c>
      <c r="O10" s="46">
        <f>+'COMPRAS Y VENTAS'!O17</f>
        <v>211332.06000000003</v>
      </c>
      <c r="P10" s="46">
        <f>+'COMPRAS Y VENTAS'!P17</f>
        <v>0</v>
      </c>
      <c r="Q10" s="46">
        <f>+'COMPRAS Y VENTAS'!Q17</f>
        <v>0</v>
      </c>
      <c r="R10" s="26">
        <f t="shared" ref="R10" si="1">SUM(F10:Q10)</f>
        <v>2529312.2699999996</v>
      </c>
      <c r="S10" s="16">
        <f t="shared" si="0"/>
        <v>210776.02249999996</v>
      </c>
    </row>
    <row r="11" spans="2:19" s="67" customFormat="1" ht="27" customHeight="1" x14ac:dyDescent="0.2">
      <c r="B11" s="174"/>
      <c r="C11" s="174"/>
      <c r="D11" s="121" t="s">
        <v>27</v>
      </c>
      <c r="E11" s="122" t="s">
        <v>26</v>
      </c>
      <c r="F11" s="123">
        <v>34139</v>
      </c>
      <c r="G11" s="123">
        <v>48907</v>
      </c>
      <c r="H11" s="123">
        <f>36601-597</f>
        <v>36004</v>
      </c>
      <c r="I11" s="123">
        <f>67986-594</f>
        <v>67392</v>
      </c>
      <c r="J11" s="123">
        <f>44004-1976</f>
        <v>42028</v>
      </c>
      <c r="K11" s="123">
        <f>ROUND('COMPRAS Y VENTAS'!K18,0)</f>
        <v>58517</v>
      </c>
      <c r="L11" s="123">
        <f>ROUND('COMPRAS Y VENTAS'!L18,0)</f>
        <v>46188</v>
      </c>
      <c r="M11" s="123">
        <f>ROUND('COMPRAS Y VENTAS'!M18,0)</f>
        <v>39537</v>
      </c>
      <c r="N11" s="123">
        <f>ROUND('COMPRAS Y VENTAS'!N18,0)</f>
        <v>44526</v>
      </c>
      <c r="O11" s="123">
        <f>ROUND('COMPRAS Y VENTAS'!O18,0)</f>
        <v>38040</v>
      </c>
      <c r="P11" s="123">
        <f>ROUND('COMPRAS Y VENTAS'!P18,0)</f>
        <v>0</v>
      </c>
      <c r="Q11" s="123">
        <f>ROUND('COMPRAS Y VENTAS'!Q18,0)</f>
        <v>0</v>
      </c>
      <c r="R11" s="124"/>
      <c r="S11" s="125"/>
    </row>
    <row r="12" spans="2:19" s="67" customFormat="1" ht="27" customHeight="1" x14ac:dyDescent="0.2">
      <c r="B12" s="172">
        <v>3</v>
      </c>
      <c r="C12" s="172" t="s">
        <v>29</v>
      </c>
      <c r="D12" s="120" t="s">
        <v>30</v>
      </c>
      <c r="E12" s="12" t="s">
        <v>26</v>
      </c>
      <c r="F12" s="126">
        <f t="shared" ref="F12:K12" si="2">ROUND(F11-F9,0)</f>
        <v>14856</v>
      </c>
      <c r="G12" s="126">
        <f t="shared" si="2"/>
        <v>18883</v>
      </c>
      <c r="H12" s="126">
        <f t="shared" si="2"/>
        <v>5090</v>
      </c>
      <c r="I12" s="126">
        <f t="shared" si="2"/>
        <v>44937</v>
      </c>
      <c r="J12" s="126">
        <f t="shared" si="2"/>
        <v>-17444</v>
      </c>
      <c r="K12" s="126">
        <f t="shared" si="2"/>
        <v>9413</v>
      </c>
      <c r="L12" s="126">
        <f t="shared" ref="L12:Q12" si="3">ROUND(L11-L9,0)</f>
        <v>14257</v>
      </c>
      <c r="M12" s="126">
        <f t="shared" si="3"/>
        <v>28540</v>
      </c>
      <c r="N12" s="126">
        <f>ROUND(N11-N9,0)</f>
        <v>18388</v>
      </c>
      <c r="O12" s="156">
        <f>ROUND(O11-O9,0)</f>
        <v>6944</v>
      </c>
      <c r="P12" s="126">
        <f t="shared" si="3"/>
        <v>0</v>
      </c>
      <c r="Q12" s="126">
        <f t="shared" si="3"/>
        <v>0</v>
      </c>
      <c r="R12" s="26">
        <f t="shared" ref="R12:R14" si="4">SUM(F12:Q12)</f>
        <v>143864</v>
      </c>
      <c r="S12" s="16">
        <f t="shared" ref="S12:S14" si="5">AVERAGE(F12:Q12)</f>
        <v>11988.666666666666</v>
      </c>
    </row>
    <row r="13" spans="2:19" s="67" customFormat="1" ht="27" customHeight="1" x14ac:dyDescent="0.2">
      <c r="B13" s="173"/>
      <c r="C13" s="173"/>
      <c r="D13" s="120" t="s">
        <v>31</v>
      </c>
      <c r="E13" s="120" t="s">
        <v>26</v>
      </c>
      <c r="F13" s="126"/>
      <c r="G13" s="126"/>
      <c r="H13" s="126"/>
      <c r="I13" s="126"/>
      <c r="J13" s="46"/>
      <c r="K13" s="46">
        <v>17444</v>
      </c>
      <c r="L13" s="46">
        <v>8032</v>
      </c>
      <c r="M13" s="46"/>
      <c r="N13" s="46"/>
      <c r="O13" s="46"/>
      <c r="P13" s="46"/>
      <c r="Q13" s="46"/>
      <c r="R13" s="26">
        <f t="shared" si="4"/>
        <v>25476</v>
      </c>
      <c r="S13" s="16">
        <f t="shared" si="5"/>
        <v>12738</v>
      </c>
    </row>
    <row r="14" spans="2:19" s="67" customFormat="1" ht="27" customHeight="1" x14ac:dyDescent="0.2">
      <c r="B14" s="173"/>
      <c r="C14" s="173"/>
      <c r="D14" s="120" t="s">
        <v>32</v>
      </c>
      <c r="E14" s="120" t="s">
        <v>26</v>
      </c>
      <c r="F14" s="126">
        <v>130</v>
      </c>
      <c r="G14" s="126">
        <v>127</v>
      </c>
      <c r="H14" s="126">
        <v>418</v>
      </c>
      <c r="I14" s="126">
        <v>81</v>
      </c>
      <c r="J14" s="46"/>
      <c r="K14" s="46">
        <v>51</v>
      </c>
      <c r="L14" s="46">
        <f>119+51</f>
        <v>170</v>
      </c>
      <c r="M14" s="46">
        <v>28</v>
      </c>
      <c r="N14" s="46"/>
      <c r="O14" s="46"/>
      <c r="P14" s="46"/>
      <c r="Q14" s="46"/>
      <c r="R14" s="26">
        <f t="shared" si="4"/>
        <v>1005</v>
      </c>
      <c r="S14" s="16">
        <f t="shared" si="5"/>
        <v>143.57142857142858</v>
      </c>
    </row>
    <row r="15" spans="2:19" s="8" customFormat="1" ht="27" customHeight="1" x14ac:dyDescent="0.2">
      <c r="B15" s="174"/>
      <c r="C15" s="174"/>
      <c r="D15" s="127" t="s">
        <v>33</v>
      </c>
      <c r="E15" s="127" t="s">
        <v>26</v>
      </c>
      <c r="F15" s="128">
        <f>F12-F13-F14</f>
        <v>14726</v>
      </c>
      <c r="G15" s="128">
        <f>G12-G13-G14</f>
        <v>18756</v>
      </c>
      <c r="H15" s="128">
        <f t="shared" ref="H15:Q15" si="6">H12-H13-H14</f>
        <v>4672</v>
      </c>
      <c r="I15" s="128">
        <f t="shared" si="6"/>
        <v>44856</v>
      </c>
      <c r="J15" s="128">
        <f t="shared" si="6"/>
        <v>-17444</v>
      </c>
      <c r="K15" s="128">
        <f t="shared" si="6"/>
        <v>-8082</v>
      </c>
      <c r="L15" s="128">
        <f t="shared" si="6"/>
        <v>6055</v>
      </c>
      <c r="M15" s="128">
        <f t="shared" si="6"/>
        <v>28512</v>
      </c>
      <c r="N15" s="128">
        <f t="shared" si="6"/>
        <v>18388</v>
      </c>
      <c r="O15" s="128">
        <f t="shared" si="6"/>
        <v>6944</v>
      </c>
      <c r="P15" s="128">
        <f t="shared" si="6"/>
        <v>0</v>
      </c>
      <c r="Q15" s="128">
        <f t="shared" si="6"/>
        <v>0</v>
      </c>
      <c r="R15" s="124">
        <f>SUM(F15:Q15)</f>
        <v>117383</v>
      </c>
      <c r="S15" s="125">
        <f t="shared" ref="S15" si="7">AVERAGE(F15:Q15)</f>
        <v>9781.9166666666661</v>
      </c>
    </row>
    <row r="16" spans="2:19" s="67" customFormat="1" ht="27" customHeight="1" x14ac:dyDescent="0.2">
      <c r="B16" s="172">
        <v>4</v>
      </c>
      <c r="C16" s="172" t="s">
        <v>34</v>
      </c>
      <c r="D16" s="120" t="s">
        <v>35</v>
      </c>
      <c r="E16" s="12" t="s">
        <v>36</v>
      </c>
      <c r="F16" s="135">
        <v>0.01</v>
      </c>
      <c r="G16" s="135">
        <v>0.01</v>
      </c>
      <c r="H16" s="135">
        <v>0.01</v>
      </c>
      <c r="I16" s="135">
        <v>0.01</v>
      </c>
      <c r="J16" s="135">
        <v>0.01</v>
      </c>
      <c r="K16" s="135">
        <v>0.01</v>
      </c>
      <c r="L16" s="135">
        <v>1.4999999999999999E-2</v>
      </c>
      <c r="M16" s="135">
        <v>1.4999999999999999E-2</v>
      </c>
      <c r="N16" s="135">
        <v>1.4999999999999999E-2</v>
      </c>
      <c r="O16" s="135">
        <v>1.4999999999999999E-2</v>
      </c>
      <c r="P16" s="135"/>
      <c r="Q16" s="135"/>
      <c r="R16" s="26">
        <f t="shared" ref="R16:R18" si="8">SUM(F16:Q16)</f>
        <v>0.12000000000000001</v>
      </c>
      <c r="S16" s="16">
        <f t="shared" ref="S16:S17" si="9">AVERAGE(F16:Q16)</f>
        <v>1.2E-2</v>
      </c>
    </row>
    <row r="17" spans="2:19" s="67" customFormat="1" ht="27" customHeight="1" x14ac:dyDescent="0.2">
      <c r="B17" s="173"/>
      <c r="C17" s="173"/>
      <c r="D17" s="120" t="s">
        <v>37</v>
      </c>
      <c r="E17" s="12" t="s">
        <v>26</v>
      </c>
      <c r="F17" s="126">
        <f>ROUND(F16*F10,0)</f>
        <v>1897</v>
      </c>
      <c r="G17" s="126">
        <f>ROUND(G16*G10,0)</f>
        <v>2717</v>
      </c>
      <c r="H17" s="126">
        <f t="shared" ref="H17:Q17" si="10">ROUND(H16*H10,0)</f>
        <v>2000</v>
      </c>
      <c r="I17" s="126">
        <f t="shared" si="10"/>
        <v>3744</v>
      </c>
      <c r="J17" s="126">
        <f t="shared" si="10"/>
        <v>2335</v>
      </c>
      <c r="K17" s="126">
        <f t="shared" si="10"/>
        <v>3251</v>
      </c>
      <c r="L17" s="126">
        <f t="shared" si="10"/>
        <v>3849</v>
      </c>
      <c r="M17" s="126">
        <f t="shared" si="10"/>
        <v>3295</v>
      </c>
      <c r="N17" s="126">
        <f t="shared" si="10"/>
        <v>3710</v>
      </c>
      <c r="O17" s="156">
        <f t="shared" si="10"/>
        <v>3170</v>
      </c>
      <c r="P17" s="126">
        <f t="shared" si="10"/>
        <v>0</v>
      </c>
      <c r="Q17" s="126">
        <f t="shared" si="10"/>
        <v>0</v>
      </c>
      <c r="R17" s="26">
        <f t="shared" si="8"/>
        <v>29968</v>
      </c>
      <c r="S17" s="16">
        <f t="shared" si="9"/>
        <v>2497.3333333333335</v>
      </c>
    </row>
    <row r="18" spans="2:19" s="67" customFormat="1" ht="27" customHeight="1" x14ac:dyDescent="0.2">
      <c r="B18" s="173"/>
      <c r="C18" s="173"/>
      <c r="D18" s="120" t="s">
        <v>38</v>
      </c>
      <c r="E18" s="120" t="s">
        <v>26</v>
      </c>
      <c r="F18" s="126"/>
      <c r="G18" s="126"/>
      <c r="H18" s="126"/>
      <c r="I18" s="126"/>
      <c r="J18" s="46"/>
      <c r="K18" s="46"/>
      <c r="L18" s="46"/>
      <c r="M18" s="46"/>
      <c r="N18" s="46"/>
      <c r="O18" s="46"/>
      <c r="P18" s="46"/>
      <c r="Q18" s="46"/>
      <c r="R18" s="26">
        <f t="shared" si="8"/>
        <v>0</v>
      </c>
      <c r="S18" s="16">
        <f>IFERROR(AVERAGE(F18:Q18),0)</f>
        <v>0</v>
      </c>
    </row>
    <row r="19" spans="2:19" s="8" customFormat="1" ht="27" customHeight="1" x14ac:dyDescent="0.2">
      <c r="B19" s="174"/>
      <c r="C19" s="174"/>
      <c r="D19" s="129" t="s">
        <v>39</v>
      </c>
      <c r="E19" s="129" t="s">
        <v>26</v>
      </c>
      <c r="F19" s="130">
        <f>F17-F18</f>
        <v>1897</v>
      </c>
      <c r="G19" s="130">
        <f>G17-G18</f>
        <v>2717</v>
      </c>
      <c r="H19" s="130">
        <f t="shared" ref="H19:Q19" si="11">H17-H18</f>
        <v>2000</v>
      </c>
      <c r="I19" s="130">
        <f t="shared" si="11"/>
        <v>3744</v>
      </c>
      <c r="J19" s="130">
        <f t="shared" si="11"/>
        <v>2335</v>
      </c>
      <c r="K19" s="130">
        <f t="shared" si="11"/>
        <v>3251</v>
      </c>
      <c r="L19" s="130">
        <f t="shared" si="11"/>
        <v>3849</v>
      </c>
      <c r="M19" s="130">
        <f t="shared" si="11"/>
        <v>3295</v>
      </c>
      <c r="N19" s="130">
        <f t="shared" si="11"/>
        <v>3710</v>
      </c>
      <c r="O19" s="130">
        <f t="shared" si="11"/>
        <v>3170</v>
      </c>
      <c r="P19" s="130">
        <f t="shared" si="11"/>
        <v>0</v>
      </c>
      <c r="Q19" s="130">
        <f t="shared" si="11"/>
        <v>0</v>
      </c>
      <c r="R19" s="136">
        <f t="shared" ref="R19:R20" si="12">SUM(F19:Q19)</f>
        <v>29968</v>
      </c>
      <c r="S19" s="130">
        <f>ROUND(AVERAGE(F19:Q19),0)</f>
        <v>2497</v>
      </c>
    </row>
    <row r="20" spans="2:19" s="134" customFormat="1" ht="27" customHeight="1" x14ac:dyDescent="0.2">
      <c r="B20" s="131">
        <v>5</v>
      </c>
      <c r="C20" s="131" t="s">
        <v>40</v>
      </c>
      <c r="D20" s="132" t="s">
        <v>41</v>
      </c>
      <c r="E20" s="132" t="s">
        <v>26</v>
      </c>
      <c r="F20" s="133">
        <f>F10-F8-F15-F19</f>
        <v>63689</v>
      </c>
      <c r="G20" s="133">
        <f>G10-G8-G15-G19</f>
        <v>79548</v>
      </c>
      <c r="H20" s="133">
        <f>H10-H8-H15-H19</f>
        <v>17400</v>
      </c>
      <c r="I20" s="133">
        <f t="shared" ref="I20:Q20" si="13">I10-I8-I15-I19</f>
        <v>198150</v>
      </c>
      <c r="J20" s="133">
        <f t="shared" si="13"/>
        <v>-92246</v>
      </c>
      <c r="K20" s="133">
        <f t="shared" si="13"/>
        <v>56086.979999999632</v>
      </c>
      <c r="L20" s="133">
        <f t="shared" si="13"/>
        <v>67027.59999999986</v>
      </c>
      <c r="M20" s="133">
        <f t="shared" si="13"/>
        <v>124564.44000000006</v>
      </c>
      <c r="N20" s="133">
        <f t="shared" si="13"/>
        <v>79300.669999999955</v>
      </c>
      <c r="O20" s="133">
        <f t="shared" si="13"/>
        <v>25753.739999999932</v>
      </c>
      <c r="P20" s="133">
        <f t="shared" si="13"/>
        <v>0</v>
      </c>
      <c r="Q20" s="133">
        <f t="shared" si="13"/>
        <v>0</v>
      </c>
      <c r="R20" s="137">
        <f t="shared" si="12"/>
        <v>619274.42999999947</v>
      </c>
      <c r="S20" s="133">
        <f>ROUND(AVERAGE(F20:Q20),0)</f>
        <v>51606</v>
      </c>
    </row>
    <row r="21" spans="2:19" x14ac:dyDescent="0.25">
      <c r="G21" s="4"/>
    </row>
    <row r="22" spans="2:19" x14ac:dyDescent="0.25">
      <c r="M22" s="116"/>
    </row>
  </sheetData>
  <mergeCells count="16">
    <mergeCell ref="B16:B19"/>
    <mergeCell ref="C16:C19"/>
    <mergeCell ref="B8:B9"/>
    <mergeCell ref="C8:C9"/>
    <mergeCell ref="B10:B11"/>
    <mergeCell ref="C10:C11"/>
    <mergeCell ref="B12:B15"/>
    <mergeCell ref="C12:C15"/>
    <mergeCell ref="B2:C5"/>
    <mergeCell ref="D2:Q2"/>
    <mergeCell ref="R2:S2"/>
    <mergeCell ref="D3:Q4"/>
    <mergeCell ref="R3:S3"/>
    <mergeCell ref="R4:S4"/>
    <mergeCell ref="D5:Q5"/>
    <mergeCell ref="R5:S5"/>
  </mergeCells>
  <printOptions horizontalCentered="1"/>
  <pageMargins left="0.31496062992125984" right="0.31496062992125984" top="0.74803149606299213" bottom="0.74803149606299213" header="0.31496062992125984" footer="0.31496062992125984"/>
  <pageSetup paperSize="9" scale="55" fitToHeight="0" orientation="landscape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FF7BE-BEAD-4F52-AE0D-3D0FDFE6202F}">
  <sheetPr codeName="Hoja2">
    <tabColor rgb="FF72B730"/>
    <pageSetUpPr fitToPage="1"/>
  </sheetPr>
  <dimension ref="B1:S24"/>
  <sheetViews>
    <sheetView showGridLines="0" showZeros="0" zoomScaleNormal="100" zoomScaleSheetLayoutView="130" workbookViewId="0">
      <pane xSplit="4" ySplit="7" topLeftCell="G8" activePane="bottomRight" state="frozen"/>
      <selection pane="topRight" activeCell="K9" sqref="K9"/>
      <selection pane="bottomLeft" activeCell="K9" sqref="K9"/>
      <selection pane="bottomRight" activeCell="O13" sqref="O13"/>
    </sheetView>
  </sheetViews>
  <sheetFormatPr defaultColWidth="8.88671875" defaultRowHeight="13.8" x14ac:dyDescent="0.25"/>
  <cols>
    <col min="1" max="1" width="3.6640625" style="3" customWidth="1"/>
    <col min="2" max="2" width="10.109375" style="3" customWidth="1"/>
    <col min="3" max="3" width="12.6640625" style="2" customWidth="1"/>
    <col min="4" max="4" width="28.109375" style="6" customWidth="1"/>
    <col min="5" max="5" width="10.6640625" style="2" customWidth="1"/>
    <col min="6" max="7" width="13.5546875" style="2" customWidth="1"/>
    <col min="8" max="10" width="13.5546875" style="3" customWidth="1"/>
    <col min="11" max="11" width="20.109375" style="3" customWidth="1"/>
    <col min="12" max="17" width="13.5546875" style="3" customWidth="1"/>
    <col min="18" max="19" width="15" style="3" customWidth="1"/>
    <col min="20" max="16384" width="8.88671875" style="3"/>
  </cols>
  <sheetData>
    <row r="1" spans="2:19" s="1" customFormat="1" ht="14.25" customHeight="1" thickBot="1" x14ac:dyDescent="0.35">
      <c r="D1" s="5"/>
    </row>
    <row r="2" spans="2:19" s="1" customFormat="1" ht="15" customHeight="1" x14ac:dyDescent="0.3">
      <c r="B2" s="157"/>
      <c r="C2" s="158"/>
      <c r="D2" s="163" t="s">
        <v>0</v>
      </c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4" t="s">
        <v>1</v>
      </c>
      <c r="S2" s="165"/>
    </row>
    <row r="3" spans="2:19" s="1" customFormat="1" ht="15" customHeight="1" x14ac:dyDescent="0.3">
      <c r="B3" s="159"/>
      <c r="C3" s="160"/>
      <c r="D3" s="166" t="s">
        <v>2</v>
      </c>
      <c r="E3" s="166"/>
      <c r="F3" s="166"/>
      <c r="G3" s="166"/>
      <c r="H3" s="166"/>
      <c r="I3" s="166"/>
      <c r="J3" s="166"/>
      <c r="K3" s="166"/>
      <c r="L3" s="166"/>
      <c r="M3" s="166"/>
      <c r="N3" s="166"/>
      <c r="O3" s="166"/>
      <c r="P3" s="166"/>
      <c r="Q3" s="166"/>
      <c r="R3" s="167" t="s">
        <v>3</v>
      </c>
      <c r="S3" s="168"/>
    </row>
    <row r="4" spans="2:19" s="1" customFormat="1" ht="15" customHeight="1" x14ac:dyDescent="0.3">
      <c r="B4" s="159"/>
      <c r="C4" s="160"/>
      <c r="D4" s="166"/>
      <c r="E4" s="166"/>
      <c r="F4" s="166"/>
      <c r="G4" s="166"/>
      <c r="H4" s="166"/>
      <c r="I4" s="166"/>
      <c r="J4" s="166"/>
      <c r="K4" s="166"/>
      <c r="L4" s="166"/>
      <c r="M4" s="166"/>
      <c r="N4" s="166"/>
      <c r="O4" s="166"/>
      <c r="P4" s="166"/>
      <c r="Q4" s="166"/>
      <c r="R4" s="167" t="s">
        <v>4</v>
      </c>
      <c r="S4" s="168"/>
    </row>
    <row r="5" spans="2:19" s="1" customFormat="1" ht="15" customHeight="1" thickBot="1" x14ac:dyDescent="0.35">
      <c r="B5" s="161"/>
      <c r="C5" s="162"/>
      <c r="D5" s="169" t="s">
        <v>5</v>
      </c>
      <c r="E5" s="169"/>
      <c r="F5" s="169"/>
      <c r="G5" s="169"/>
      <c r="H5" s="169"/>
      <c r="I5" s="169"/>
      <c r="J5" s="169"/>
      <c r="K5" s="169"/>
      <c r="L5" s="169"/>
      <c r="M5" s="169"/>
      <c r="N5" s="169"/>
      <c r="O5" s="169"/>
      <c r="P5" s="169"/>
      <c r="Q5" s="169"/>
      <c r="R5" s="170">
        <f ca="1">TODAY()</f>
        <v>45979</v>
      </c>
      <c r="S5" s="171"/>
    </row>
    <row r="6" spans="2:19" ht="4.5" customHeight="1" x14ac:dyDescent="0.25"/>
    <row r="7" spans="2:19" s="7" customFormat="1" ht="27" customHeight="1" x14ac:dyDescent="0.2">
      <c r="B7" s="13" t="s">
        <v>6</v>
      </c>
      <c r="C7" s="13" t="s">
        <v>42</v>
      </c>
      <c r="D7" s="13" t="s">
        <v>43</v>
      </c>
      <c r="E7" s="13" t="s">
        <v>9</v>
      </c>
      <c r="F7" s="13" t="s">
        <v>10</v>
      </c>
      <c r="G7" s="13" t="s">
        <v>11</v>
      </c>
      <c r="H7" s="13" t="s">
        <v>12</v>
      </c>
      <c r="I7" s="13" t="s">
        <v>13</v>
      </c>
      <c r="J7" s="13" t="s">
        <v>14</v>
      </c>
      <c r="K7" s="13" t="s">
        <v>15</v>
      </c>
      <c r="L7" s="13" t="s">
        <v>16</v>
      </c>
      <c r="M7" s="13" t="s">
        <v>17</v>
      </c>
      <c r="N7" s="13" t="s">
        <v>18</v>
      </c>
      <c r="O7" s="13" t="s">
        <v>19</v>
      </c>
      <c r="P7" s="13" t="s">
        <v>20</v>
      </c>
      <c r="Q7" s="13" t="s">
        <v>21</v>
      </c>
      <c r="R7" s="13" t="s">
        <v>22</v>
      </c>
      <c r="S7" s="13" t="s">
        <v>23</v>
      </c>
    </row>
    <row r="8" spans="2:19" s="8" customFormat="1" ht="27" customHeight="1" x14ac:dyDescent="0.2">
      <c r="B8" s="175">
        <v>1</v>
      </c>
      <c r="C8" s="175" t="s">
        <v>44</v>
      </c>
      <c r="D8" s="9" t="s">
        <v>45</v>
      </c>
      <c r="E8" s="12" t="s">
        <v>46</v>
      </c>
      <c r="F8" s="46">
        <v>34139</v>
      </c>
      <c r="G8" s="46">
        <v>48907</v>
      </c>
      <c r="H8" s="46">
        <v>36601</v>
      </c>
      <c r="I8" s="46">
        <v>67392</v>
      </c>
      <c r="J8" s="46">
        <v>42028</v>
      </c>
      <c r="K8" s="46">
        <f>SUMIFS(Anexo_5[igv_18],Anexo_5[periodo],K7)</f>
        <v>58515.386399999988</v>
      </c>
      <c r="L8" s="46">
        <f>SUMIFS(Anexo_5[igv_18],Anexo_5[periodo],L7)</f>
        <v>46188.157400000004</v>
      </c>
      <c r="M8" s="46">
        <f>SUMIFS(Anexo_5[igv_18],Anexo_5[periodo],M7)</f>
        <v>39536.552799999998</v>
      </c>
      <c r="N8" s="46">
        <f>SUMIFS(Anexo_5[igv_18],Anexo_5[periodo],N7)</f>
        <v>44525.590000000011</v>
      </c>
      <c r="O8" s="46">
        <f>SUMIFS(Anexo_5[igv_18],Anexo_5[periodo],O7)</f>
        <v>38039.789999999994</v>
      </c>
      <c r="P8" s="46">
        <f>SUMIFS(Anexo_5[igv_18],Anexo_5[periodo],P7)</f>
        <v>0</v>
      </c>
      <c r="Q8" s="46">
        <f>SUMIFS(Anexo_5[igv_18],Anexo_5[periodo],Q7)</f>
        <v>0</v>
      </c>
      <c r="R8" s="26">
        <f>SUM(F8:Q8)</f>
        <v>455872.47659999999</v>
      </c>
      <c r="S8" s="16">
        <f>AVERAGE(F8:Q8)</f>
        <v>37989.373050000002</v>
      </c>
    </row>
    <row r="9" spans="2:19" s="8" customFormat="1" ht="27" customHeight="1" x14ac:dyDescent="0.2">
      <c r="B9" s="175"/>
      <c r="C9" s="175"/>
      <c r="D9" s="9" t="s">
        <v>47</v>
      </c>
      <c r="E9" s="12" t="s">
        <v>46</v>
      </c>
      <c r="F9" s="46">
        <v>19283</v>
      </c>
      <c r="G9" s="46">
        <v>30024</v>
      </c>
      <c r="H9" s="46">
        <v>30914</v>
      </c>
      <c r="I9" s="46">
        <v>22455</v>
      </c>
      <c r="J9" s="46">
        <v>59472</v>
      </c>
      <c r="K9" s="46">
        <f>SUMIFS(Anexo_4[igv_18],Anexo_4[periodo],K7)+SUMIFS(Anexo_4[igv_10],Anexo_4[periodo],K7)</f>
        <v>49104.051399999938</v>
      </c>
      <c r="L9" s="46">
        <f>SUMIFS(Anexo_4[igv_18],Anexo_4[periodo],L7)+SUMIFS(Anexo_4[igv_10],Anexo_4[periodo],L7)</f>
        <v>31931.18539999998</v>
      </c>
      <c r="M9" s="46">
        <f>SUMIFS(Anexo_4[igv_18],Anexo_4[periodo],M7)+SUMIFS(Anexo_4[igv_10],Anexo_4[periodo],M7)</f>
        <v>10996.28260000002</v>
      </c>
      <c r="N9" s="46">
        <f>SUMIFS(Anexo_4[igv_18],Anexo_4[periodo],N7)+SUMIFS(Anexo_4[igv_10],Anexo_4[periodo],N7)</f>
        <v>26138.016400000019</v>
      </c>
      <c r="O9" s="46">
        <f>SUMIFS(Anexo_4[igv_18],Anexo_4[periodo],O7)+SUMIFS(Anexo_4[igv_10],Anexo_4[periodo],O7)</f>
        <v>31095.920000000016</v>
      </c>
      <c r="P9" s="46">
        <f>SUMIFS(Anexo_4[igv_18],Anexo_4[periodo],P7)+SUMIFS(Anexo_4[igv_10],Anexo_4[periodo],P7)</f>
        <v>0</v>
      </c>
      <c r="Q9" s="46">
        <f>SUMIFS(Anexo_4[igv_18],Anexo_4[periodo],Q7)+SUMIFS(Anexo_4[igv_10],Anexo_4[periodo],Q7)</f>
        <v>0</v>
      </c>
      <c r="R9" s="26">
        <f>SUM(F9:Q9)</f>
        <v>311413.4558</v>
      </c>
      <c r="S9" s="16">
        <f t="shared" ref="S9:S13" si="0">AVERAGE(F9:Q9)</f>
        <v>25951.121316666668</v>
      </c>
    </row>
    <row r="10" spans="2:19" s="8" customFormat="1" ht="27" customHeight="1" x14ac:dyDescent="0.2">
      <c r="B10" s="175"/>
      <c r="C10" s="175"/>
      <c r="D10" s="14" t="str">
        <f>"+ IGV Ventas - IGV Compras ="</f>
        <v>+ IGV Ventas - IGV Compras =</v>
      </c>
      <c r="E10" s="12" t="s">
        <v>46</v>
      </c>
      <c r="F10" s="46">
        <f>+F8-F9</f>
        <v>14856</v>
      </c>
      <c r="G10" s="46">
        <f t="shared" ref="G10:Q10" si="1">+G8-G9</f>
        <v>18883</v>
      </c>
      <c r="H10" s="46">
        <f t="shared" si="1"/>
        <v>5687</v>
      </c>
      <c r="I10" s="46">
        <f t="shared" si="1"/>
        <v>44937</v>
      </c>
      <c r="J10" s="46">
        <f>+J8-J9</f>
        <v>-17444</v>
      </c>
      <c r="K10" s="46">
        <f>+K8-K9</f>
        <v>9411.3350000000501</v>
      </c>
      <c r="L10" s="46">
        <f t="shared" si="1"/>
        <v>14256.972000000023</v>
      </c>
      <c r="M10" s="46">
        <f>+M8-M9</f>
        <v>28540.270199999977</v>
      </c>
      <c r="N10" s="46">
        <f>+N8-N9</f>
        <v>18387.573599999992</v>
      </c>
      <c r="O10" s="46">
        <f t="shared" si="1"/>
        <v>6943.8699999999772</v>
      </c>
      <c r="P10" s="46">
        <f t="shared" si="1"/>
        <v>0</v>
      </c>
      <c r="Q10" s="46">
        <f t="shared" si="1"/>
        <v>0</v>
      </c>
      <c r="R10" s="26">
        <f>SUM(F10:Q10)</f>
        <v>144459.02080000003</v>
      </c>
      <c r="S10" s="16">
        <f t="shared" si="0"/>
        <v>12038.251733333336</v>
      </c>
    </row>
    <row r="11" spans="2:19" s="8" customFormat="1" ht="27" customHeight="1" x14ac:dyDescent="0.2">
      <c r="B11" s="175"/>
      <c r="C11" s="175"/>
      <c r="D11" s="9" t="s">
        <v>48</v>
      </c>
      <c r="E11" s="12" t="s">
        <v>46</v>
      </c>
      <c r="F11" s="46">
        <v>0</v>
      </c>
      <c r="G11" s="46"/>
      <c r="H11" s="46">
        <v>0</v>
      </c>
      <c r="I11" s="46">
        <v>0</v>
      </c>
      <c r="J11" s="46">
        <v>0</v>
      </c>
      <c r="K11" s="46">
        <v>-17444</v>
      </c>
      <c r="L11" s="46">
        <f>+K13</f>
        <v>-8032.6649999999499</v>
      </c>
      <c r="M11" s="46">
        <v>0</v>
      </c>
      <c r="N11" s="46">
        <v>0</v>
      </c>
      <c r="O11" s="46"/>
      <c r="P11" s="46"/>
      <c r="Q11" s="46"/>
      <c r="R11" s="26">
        <f>SUM(F11:Q11)</f>
        <v>-25476.66499999995</v>
      </c>
      <c r="S11" s="16">
        <f t="shared" si="0"/>
        <v>-3184.5831249999937</v>
      </c>
    </row>
    <row r="12" spans="2:19" s="8" customFormat="1" ht="27" customHeight="1" x14ac:dyDescent="0.2">
      <c r="B12" s="175"/>
      <c r="C12" s="175"/>
      <c r="D12" s="9" t="s">
        <v>49</v>
      </c>
      <c r="E12" s="12" t="s">
        <v>46</v>
      </c>
      <c r="F12" s="46">
        <v>130</v>
      </c>
      <c r="G12" s="46">
        <v>127</v>
      </c>
      <c r="H12" s="46">
        <v>418</v>
      </c>
      <c r="I12" s="46">
        <v>81</v>
      </c>
      <c r="J12" s="46">
        <v>0</v>
      </c>
      <c r="K12" s="46">
        <v>-51</v>
      </c>
      <c r="L12" s="46">
        <v>-119</v>
      </c>
      <c r="M12" s="46">
        <v>-28</v>
      </c>
      <c r="N12" s="46"/>
      <c r="O12" s="46"/>
      <c r="P12" s="46"/>
      <c r="Q12" s="46"/>
      <c r="R12" s="26">
        <f t="shared" ref="R12:R20" si="2">SUM(F12:Q12)</f>
        <v>558</v>
      </c>
      <c r="S12" s="16">
        <f t="shared" si="0"/>
        <v>69.75</v>
      </c>
    </row>
    <row r="13" spans="2:19" s="8" customFormat="1" ht="27" customHeight="1" x14ac:dyDescent="0.2">
      <c r="B13" s="175"/>
      <c r="C13" s="175"/>
      <c r="D13" s="14" t="s">
        <v>50</v>
      </c>
      <c r="E13" s="12" t="s">
        <v>46</v>
      </c>
      <c r="F13" s="46">
        <f>+F10-F11-F12</f>
        <v>14726</v>
      </c>
      <c r="G13" s="46">
        <f t="shared" ref="G13:I13" si="3">+G10-G11-G12</f>
        <v>18756</v>
      </c>
      <c r="H13" s="46">
        <f t="shared" si="3"/>
        <v>5269</v>
      </c>
      <c r="I13" s="46">
        <f t="shared" si="3"/>
        <v>44856</v>
      </c>
      <c r="J13" s="46">
        <f>+J10-J11-J12</f>
        <v>-17444</v>
      </c>
      <c r="K13" s="46">
        <f>+K10+K11</f>
        <v>-8032.6649999999499</v>
      </c>
      <c r="L13" s="46">
        <f>+L10+L11+L12+K12</f>
        <v>6054.3070000000735</v>
      </c>
      <c r="M13" s="118">
        <f>+M10+M11+M12</f>
        <v>28512.270199999977</v>
      </c>
      <c r="N13" s="46">
        <f t="shared" ref="N13:Q13" si="4">+N10+N11+N12</f>
        <v>18387.573599999992</v>
      </c>
      <c r="O13" s="46">
        <f t="shared" si="4"/>
        <v>6943.8699999999772</v>
      </c>
      <c r="P13" s="46">
        <f t="shared" si="4"/>
        <v>0</v>
      </c>
      <c r="Q13" s="46">
        <f t="shared" si="4"/>
        <v>0</v>
      </c>
      <c r="R13" s="26">
        <f t="shared" si="2"/>
        <v>118028.35580000008</v>
      </c>
      <c r="S13" s="16">
        <f t="shared" si="0"/>
        <v>9835.6963166666737</v>
      </c>
    </row>
    <row r="14" spans="2:19" s="67" customFormat="1" ht="27" customHeight="1" x14ac:dyDescent="0.2">
      <c r="B14" s="175"/>
      <c r="C14" s="175"/>
      <c r="D14" s="14" t="s">
        <v>51</v>
      </c>
      <c r="E14" s="12" t="s">
        <v>52</v>
      </c>
      <c r="F14" s="46" t="s">
        <v>53</v>
      </c>
      <c r="G14" s="46" t="s">
        <v>53</v>
      </c>
      <c r="H14" s="46" t="s">
        <v>53</v>
      </c>
      <c r="I14" s="46" t="s">
        <v>54</v>
      </c>
      <c r="J14" s="46" t="s">
        <v>55</v>
      </c>
      <c r="K14" s="46" t="s">
        <v>55</v>
      </c>
      <c r="L14" s="46" t="s">
        <v>53</v>
      </c>
      <c r="M14" s="46" t="s">
        <v>56</v>
      </c>
      <c r="N14" s="46" t="s">
        <v>53</v>
      </c>
      <c r="O14" s="46"/>
      <c r="P14" s="46"/>
      <c r="Q14" s="46"/>
      <c r="R14" s="26"/>
      <c r="S14" s="16"/>
    </row>
    <row r="15" spans="2:19" s="8" customFormat="1" ht="27" customHeight="1" x14ac:dyDescent="0.2">
      <c r="B15" s="175"/>
      <c r="C15" s="175"/>
      <c r="D15" s="14" t="s">
        <v>57</v>
      </c>
      <c r="E15" s="14" t="s">
        <v>52</v>
      </c>
      <c r="F15" s="15"/>
      <c r="G15" s="15" t="str">
        <f>IF((G13-F13)/F13&gt;0,"se pago más que el mes ant.","Se pago menos que el mes ant.")</f>
        <v>se pago más que el mes ant.</v>
      </c>
      <c r="H15" s="15" t="str">
        <f t="shared" ref="H15:L15" si="5">IF((H13-G13)/G13&gt;0,"se pago más que el mes ant.","Se pago menos que el mes ant.")</f>
        <v>Se pago menos que el mes ant.</v>
      </c>
      <c r="I15" s="15" t="str">
        <f t="shared" si="5"/>
        <v>se pago más que el mes ant.</v>
      </c>
      <c r="J15" s="15" t="str">
        <f t="shared" si="5"/>
        <v>Se pago menos que el mes ant.</v>
      </c>
      <c r="K15" s="15" t="str">
        <f t="shared" si="5"/>
        <v>Se pago menos que el mes ant.</v>
      </c>
      <c r="L15" s="15" t="str">
        <f t="shared" si="5"/>
        <v>Se pago menos que el mes ant.</v>
      </c>
      <c r="M15" s="15" t="str">
        <f t="shared" ref="M15" si="6">IF((M13-L13)/L13&gt;0,"se pago más que el mes ant.","Se pago menos que el mes ant.")</f>
        <v>se pago más que el mes ant.</v>
      </c>
      <c r="N15" s="15" t="str">
        <f t="shared" ref="N15" si="7">IF((N13-M13)/M13&gt;0,"se pago más que el mes ant.","Se pago menos que el mes ant.")</f>
        <v>Se pago menos que el mes ant.</v>
      </c>
      <c r="O15" s="15">
        <f>IFERROR(O8/O10,0)</f>
        <v>5.4781829152907697</v>
      </c>
      <c r="P15" s="15">
        <f>IFERROR(P8/P10,0)</f>
        <v>0</v>
      </c>
      <c r="Q15" s="15">
        <f>IFERROR(Q8/Q10,0)</f>
        <v>0</v>
      </c>
      <c r="R15" s="15"/>
      <c r="S15" s="15"/>
    </row>
    <row r="16" spans="2:19" s="8" customFormat="1" ht="27" customHeight="1" x14ac:dyDescent="0.2">
      <c r="B16" s="175">
        <v>2</v>
      </c>
      <c r="C16" s="175" t="s">
        <v>34</v>
      </c>
      <c r="D16" s="9" t="s">
        <v>58</v>
      </c>
      <c r="E16" s="12" t="s">
        <v>46</v>
      </c>
      <c r="F16" s="46">
        <v>189659</v>
      </c>
      <c r="G16" s="46">
        <v>271705</v>
      </c>
      <c r="H16" s="46">
        <v>200024</v>
      </c>
      <c r="I16" s="46">
        <v>374402</v>
      </c>
      <c r="J16" s="46">
        <v>233493</v>
      </c>
      <c r="K16" s="46">
        <f>SUMIFS(Anexo_5[base_imponible_18],Anexo_5[periodo],K7)</f>
        <v>325085.69999999995</v>
      </c>
      <c r="L16" s="46">
        <f>SUMIFS(Anexo_5[base_imponible_18],Anexo_5[periodo],L7)</f>
        <v>256600.49999999988</v>
      </c>
      <c r="M16" s="46">
        <f>SUMIFS(Anexo_5[base_imponible_18],Anexo_5[periodo],M7)</f>
        <v>219647.63999999996</v>
      </c>
      <c r="N16" s="46">
        <f>SUMIFS(Anexo_5[base_imponible_18],Anexo_5[periodo],N7)</f>
        <v>247364.37000000005</v>
      </c>
      <c r="O16" s="46">
        <f>SUMIFS(Anexo_5[base_imponible_18],Anexo_5[periodo],O7)</f>
        <v>211332.06000000003</v>
      </c>
      <c r="P16" s="46">
        <f>SUMIFS(Anexo_5[base_imponible_18],Anexo_5[periodo],P7)</f>
        <v>0</v>
      </c>
      <c r="Q16" s="46">
        <f>SUMIFS(Anexo_5[base_imponible_18],Anexo_5[periodo],Q7)</f>
        <v>0</v>
      </c>
      <c r="R16" s="26">
        <f t="shared" si="2"/>
        <v>2529313.2699999996</v>
      </c>
      <c r="S16" s="26">
        <f>AVERAGE(F16:Q16)</f>
        <v>210776.10583333331</v>
      </c>
    </row>
    <row r="17" spans="2:19" s="8" customFormat="1" ht="27" customHeight="1" x14ac:dyDescent="0.2">
      <c r="B17" s="175"/>
      <c r="C17" s="175"/>
      <c r="D17" s="9" t="s">
        <v>35</v>
      </c>
      <c r="E17" s="12" t="s">
        <v>59</v>
      </c>
      <c r="F17" s="68">
        <v>0.01</v>
      </c>
      <c r="G17" s="68">
        <v>0.01</v>
      </c>
      <c r="H17" s="68">
        <v>0.01</v>
      </c>
      <c r="I17" s="68">
        <v>0.01</v>
      </c>
      <c r="J17" s="68">
        <v>0.01</v>
      </c>
      <c r="K17" s="68">
        <v>0.01</v>
      </c>
      <c r="L17" s="69">
        <v>1.4999999999999999E-2</v>
      </c>
      <c r="M17" s="69">
        <v>1.4999999999999999E-2</v>
      </c>
      <c r="N17" s="69">
        <v>1.4999999999999999E-2</v>
      </c>
      <c r="O17" s="69">
        <v>1.4999999999999999E-2</v>
      </c>
      <c r="P17" s="17"/>
      <c r="Q17" s="17"/>
      <c r="R17" s="26">
        <f t="shared" si="2"/>
        <v>0.12000000000000001</v>
      </c>
      <c r="S17" s="26">
        <f t="shared" ref="S17:S20" si="8">AVERAGE(F17:Q17)</f>
        <v>1.2E-2</v>
      </c>
    </row>
    <row r="18" spans="2:19" s="8" customFormat="1" ht="27" customHeight="1" x14ac:dyDescent="0.2">
      <c r="B18" s="175"/>
      <c r="C18" s="175"/>
      <c r="D18" s="14" t="s">
        <v>60</v>
      </c>
      <c r="E18" s="12" t="s">
        <v>46</v>
      </c>
      <c r="F18" s="46">
        <f t="shared" ref="F18:J18" si="9">F16*F17</f>
        <v>1896.5900000000001</v>
      </c>
      <c r="G18" s="46">
        <f t="shared" si="9"/>
        <v>2717.05</v>
      </c>
      <c r="H18" s="46">
        <f t="shared" si="9"/>
        <v>2000.24</v>
      </c>
      <c r="I18" s="46">
        <f t="shared" si="9"/>
        <v>3744.02</v>
      </c>
      <c r="J18" s="46">
        <f t="shared" si="9"/>
        <v>2334.9299999999998</v>
      </c>
      <c r="K18" s="46">
        <f>K16*K17</f>
        <v>3250.8569999999995</v>
      </c>
      <c r="L18" s="46">
        <f t="shared" ref="L18:Q18" si="10">L16*L17</f>
        <v>3849.0074999999979</v>
      </c>
      <c r="M18" s="46">
        <f t="shared" si="10"/>
        <v>3294.7145999999993</v>
      </c>
      <c r="N18" s="46">
        <f>N16*N17</f>
        <v>3710.4655500000008</v>
      </c>
      <c r="O18" s="46">
        <f t="shared" si="10"/>
        <v>3169.9809000000005</v>
      </c>
      <c r="P18" s="46">
        <f t="shared" si="10"/>
        <v>0</v>
      </c>
      <c r="Q18" s="46">
        <f t="shared" si="10"/>
        <v>0</v>
      </c>
      <c r="R18" s="26">
        <f t="shared" si="2"/>
        <v>29967.85555</v>
      </c>
      <c r="S18" s="26">
        <f t="shared" si="8"/>
        <v>2497.3212958333334</v>
      </c>
    </row>
    <row r="19" spans="2:19" s="8" customFormat="1" ht="27" customHeight="1" x14ac:dyDescent="0.2">
      <c r="B19" s="175"/>
      <c r="C19" s="175"/>
      <c r="D19" s="9" t="s">
        <v>48</v>
      </c>
      <c r="E19" s="12" t="s">
        <v>46</v>
      </c>
      <c r="F19" s="46">
        <v>0</v>
      </c>
      <c r="G19" s="46">
        <v>0</v>
      </c>
      <c r="H19" s="46">
        <v>0</v>
      </c>
      <c r="I19" s="46">
        <v>0</v>
      </c>
      <c r="J19" s="46"/>
      <c r="K19" s="46">
        <v>0</v>
      </c>
      <c r="L19" s="46"/>
      <c r="M19" s="46"/>
      <c r="N19" s="46"/>
      <c r="O19" s="46"/>
      <c r="P19" s="46"/>
      <c r="Q19" s="46"/>
      <c r="R19" s="26">
        <f t="shared" si="2"/>
        <v>0</v>
      </c>
      <c r="S19" s="26">
        <f t="shared" si="8"/>
        <v>0</v>
      </c>
    </row>
    <row r="20" spans="2:19" s="8" customFormat="1" ht="27" customHeight="1" x14ac:dyDescent="0.2">
      <c r="B20" s="175"/>
      <c r="C20" s="175"/>
      <c r="D20" s="14" t="s">
        <v>61</v>
      </c>
      <c r="E20" s="12" t="s">
        <v>46</v>
      </c>
      <c r="F20" s="46">
        <f t="shared" ref="F20:J20" si="11">+F18-F19</f>
        <v>1896.5900000000001</v>
      </c>
      <c r="G20" s="46">
        <f t="shared" si="11"/>
        <v>2717.05</v>
      </c>
      <c r="H20" s="46">
        <f t="shared" si="11"/>
        <v>2000.24</v>
      </c>
      <c r="I20" s="46">
        <f t="shared" si="11"/>
        <v>3744.02</v>
      </c>
      <c r="J20" s="46">
        <f t="shared" si="11"/>
        <v>2334.9299999999998</v>
      </c>
      <c r="K20" s="46">
        <f>+K18-K19</f>
        <v>3250.8569999999995</v>
      </c>
      <c r="L20" s="46">
        <f t="shared" ref="L20:Q20" si="12">+L18-L19</f>
        <v>3849.0074999999979</v>
      </c>
      <c r="M20" s="118">
        <f t="shared" si="12"/>
        <v>3294.7145999999993</v>
      </c>
      <c r="N20" s="46">
        <f>+N18-N19</f>
        <v>3710.4655500000008</v>
      </c>
      <c r="O20" s="46">
        <f t="shared" si="12"/>
        <v>3169.9809000000005</v>
      </c>
      <c r="P20" s="46">
        <f t="shared" si="12"/>
        <v>0</v>
      </c>
      <c r="Q20" s="46">
        <f t="shared" si="12"/>
        <v>0</v>
      </c>
      <c r="R20" s="26">
        <f t="shared" si="2"/>
        <v>29967.85555</v>
      </c>
      <c r="S20" s="26">
        <f t="shared" si="8"/>
        <v>2497.3212958333334</v>
      </c>
    </row>
    <row r="21" spans="2:19" s="67" customFormat="1" ht="27" customHeight="1" x14ac:dyDescent="0.2">
      <c r="B21" s="175"/>
      <c r="C21" s="175"/>
      <c r="D21" s="14" t="s">
        <v>51</v>
      </c>
      <c r="E21" s="12" t="s">
        <v>52</v>
      </c>
      <c r="F21" s="46" t="s">
        <v>53</v>
      </c>
      <c r="G21" s="46" t="s">
        <v>53</v>
      </c>
      <c r="H21" s="46" t="s">
        <v>53</v>
      </c>
      <c r="I21" s="46" t="s">
        <v>53</v>
      </c>
      <c r="J21" s="46" t="s">
        <v>53</v>
      </c>
      <c r="K21" s="46" t="s">
        <v>53</v>
      </c>
      <c r="L21" s="46" t="s">
        <v>53</v>
      </c>
      <c r="M21" s="46" t="s">
        <v>53</v>
      </c>
      <c r="N21" s="46" t="s">
        <v>53</v>
      </c>
      <c r="O21" s="46"/>
      <c r="P21" s="46"/>
      <c r="Q21" s="46"/>
      <c r="R21" s="26"/>
      <c r="S21" s="16"/>
    </row>
    <row r="22" spans="2:19" s="8" customFormat="1" ht="27" customHeight="1" x14ac:dyDescent="0.2">
      <c r="B22" s="175"/>
      <c r="C22" s="175"/>
      <c r="D22" s="14" t="s">
        <v>57</v>
      </c>
      <c r="E22" s="11" t="s">
        <v>36</v>
      </c>
      <c r="F22" s="15"/>
      <c r="G22" s="15" t="str">
        <f>IF((G20-F20)/F20&gt;0,"se pago más que el mes ant.","Se pago menos que el mes ant.")</f>
        <v>se pago más que el mes ant.</v>
      </c>
      <c r="H22" s="15" t="str">
        <f t="shared" ref="H22:L22" si="13">IF((H20-G20)/G20&gt;0,"se pago más que el mes ant.","Se pago menos que el mes ant.")</f>
        <v>Se pago menos que el mes ant.</v>
      </c>
      <c r="I22" s="15" t="str">
        <f t="shared" si="13"/>
        <v>se pago más que el mes ant.</v>
      </c>
      <c r="J22" s="15" t="str">
        <f t="shared" si="13"/>
        <v>Se pago menos que el mes ant.</v>
      </c>
      <c r="K22" s="15" t="str">
        <f t="shared" si="13"/>
        <v>se pago más que el mes ant.</v>
      </c>
      <c r="L22" s="15" t="str">
        <f t="shared" si="13"/>
        <v>se pago más que el mes ant.</v>
      </c>
      <c r="M22" s="15" t="str">
        <f t="shared" ref="M22" si="14">IF((M20-L20)/L20&gt;0,"se pago más que el mes ant.","Se pago menos que el mes ant.")</f>
        <v>Se pago menos que el mes ant.</v>
      </c>
      <c r="N22" s="15" t="str">
        <f t="shared" ref="N22" si="15">IF((N20-M20)/M20&gt;0,"se pago más que el mes ant.","Se pago menos que el mes ant.")</f>
        <v>se pago más que el mes ant.</v>
      </c>
      <c r="O22" s="15"/>
      <c r="P22" s="15">
        <f>IFERROR(P18/P17,0)</f>
        <v>0</v>
      </c>
      <c r="Q22" s="15">
        <f>IFERROR(Q18/Q17,0)</f>
        <v>0</v>
      </c>
      <c r="R22" s="15"/>
      <c r="S22" s="15"/>
    </row>
    <row r="23" spans="2:19" x14ac:dyDescent="0.25">
      <c r="G23" s="4"/>
    </row>
    <row r="24" spans="2:19" x14ac:dyDescent="0.25">
      <c r="M24" s="116"/>
    </row>
  </sheetData>
  <mergeCells count="12">
    <mergeCell ref="B8:B15"/>
    <mergeCell ref="C8:C15"/>
    <mergeCell ref="B16:B22"/>
    <mergeCell ref="C16:C22"/>
    <mergeCell ref="B2:C5"/>
    <mergeCell ref="D5:Q5"/>
    <mergeCell ref="R5:S5"/>
    <mergeCell ref="D2:Q2"/>
    <mergeCell ref="R2:S2"/>
    <mergeCell ref="D3:Q4"/>
    <mergeCell ref="R3:S3"/>
    <mergeCell ref="R4:S4"/>
  </mergeCells>
  <printOptions horizontalCentered="1"/>
  <pageMargins left="0.31496062992125984" right="0.31496062992125984" top="0.74803149606299213" bottom="0.74803149606299213" header="0.31496062992125984" footer="0.31496062992125984"/>
  <pageSetup paperSize="9" scale="55" fitToHeight="0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36806-C9FA-4D39-B7BD-EE160A2E7190}">
  <sheetPr codeName="Hoja1">
    <tabColor rgb="FF11680F"/>
    <pageSetUpPr fitToPage="1"/>
  </sheetPr>
  <dimension ref="A1:S24"/>
  <sheetViews>
    <sheetView showGridLines="0" showZeros="0" zoomScaleNormal="100" zoomScaleSheetLayoutView="130" workbookViewId="0">
      <pane xSplit="4" ySplit="7" topLeftCell="E8" activePane="bottomRight" state="frozen"/>
      <selection pane="topRight" activeCell="K9" sqref="K9"/>
      <selection pane="bottomLeft" activeCell="K9" sqref="K9"/>
      <selection pane="bottomRight" activeCell="D33" sqref="D33"/>
    </sheetView>
  </sheetViews>
  <sheetFormatPr defaultColWidth="8.88671875" defaultRowHeight="13.8" x14ac:dyDescent="0.25"/>
  <cols>
    <col min="1" max="1" width="2.88671875" style="3" customWidth="1"/>
    <col min="2" max="2" width="7.6640625" style="3" customWidth="1"/>
    <col min="3" max="3" width="17.6640625" style="2" customWidth="1"/>
    <col min="4" max="4" width="28.109375" style="6" customWidth="1"/>
    <col min="5" max="5" width="10.6640625" style="2" customWidth="1"/>
    <col min="6" max="7" width="13.5546875" style="2" hidden="1" customWidth="1"/>
    <col min="8" max="10" width="13.5546875" style="3" hidden="1" customWidth="1"/>
    <col min="11" max="11" width="19" style="3" customWidth="1"/>
    <col min="12" max="12" width="15.88671875" style="3" customWidth="1"/>
    <col min="13" max="17" width="13.5546875" style="3" customWidth="1"/>
    <col min="18" max="19" width="15" style="3" customWidth="1"/>
    <col min="20" max="16384" width="8.88671875" style="3"/>
  </cols>
  <sheetData>
    <row r="1" spans="1:19" s="1" customFormat="1" ht="15" customHeight="1" x14ac:dyDescent="0.3">
      <c r="D1" s="5"/>
    </row>
    <row r="2" spans="1:19" s="1" customFormat="1" x14ac:dyDescent="0.3">
      <c r="B2" s="160"/>
      <c r="C2" s="160"/>
      <c r="D2" s="178" t="s">
        <v>0</v>
      </c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67" t="s">
        <v>1</v>
      </c>
      <c r="S2" s="167"/>
    </row>
    <row r="3" spans="1:19" s="1" customFormat="1" x14ac:dyDescent="0.3">
      <c r="B3" s="160"/>
      <c r="C3" s="160"/>
      <c r="D3" s="166" t="s">
        <v>62</v>
      </c>
      <c r="E3" s="166"/>
      <c r="F3" s="166"/>
      <c r="G3" s="166"/>
      <c r="H3" s="166"/>
      <c r="I3" s="166"/>
      <c r="J3" s="166"/>
      <c r="K3" s="166"/>
      <c r="L3" s="166"/>
      <c r="M3" s="166"/>
      <c r="N3" s="166"/>
      <c r="O3" s="166"/>
      <c r="P3" s="166"/>
      <c r="Q3" s="166"/>
      <c r="R3" s="167" t="s">
        <v>3</v>
      </c>
      <c r="S3" s="167"/>
    </row>
    <row r="4" spans="1:19" s="1" customFormat="1" x14ac:dyDescent="0.3">
      <c r="B4" s="160"/>
      <c r="C4" s="160"/>
      <c r="D4" s="166"/>
      <c r="E4" s="166"/>
      <c r="F4" s="166"/>
      <c r="G4" s="166"/>
      <c r="H4" s="166"/>
      <c r="I4" s="166"/>
      <c r="J4" s="166"/>
      <c r="K4" s="166"/>
      <c r="L4" s="166"/>
      <c r="M4" s="166"/>
      <c r="N4" s="166"/>
      <c r="O4" s="166"/>
      <c r="P4" s="166"/>
      <c r="Q4" s="166"/>
      <c r="R4" s="167" t="s">
        <v>4</v>
      </c>
      <c r="S4" s="167"/>
    </row>
    <row r="5" spans="1:19" s="1" customFormat="1" x14ac:dyDescent="0.3">
      <c r="B5" s="160"/>
      <c r="C5" s="160"/>
      <c r="D5" s="176" t="s">
        <v>5</v>
      </c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7">
        <f ca="1">TODAY()</f>
        <v>45979</v>
      </c>
      <c r="S5" s="177"/>
    </row>
    <row r="6" spans="1:19" ht="2.25" customHeight="1" x14ac:dyDescent="0.25"/>
    <row r="7" spans="1:19" s="7" customFormat="1" ht="27" customHeight="1" x14ac:dyDescent="0.2">
      <c r="B7" s="13" t="s">
        <v>6</v>
      </c>
      <c r="C7" s="13" t="s">
        <v>42</v>
      </c>
      <c r="D7" s="13" t="s">
        <v>43</v>
      </c>
      <c r="E7" s="13" t="s">
        <v>9</v>
      </c>
      <c r="F7" s="13" t="s">
        <v>10</v>
      </c>
      <c r="G7" s="13" t="s">
        <v>11</v>
      </c>
      <c r="H7" s="13" t="s">
        <v>12</v>
      </c>
      <c r="I7" s="13" t="s">
        <v>13</v>
      </c>
      <c r="J7" s="13" t="s">
        <v>14</v>
      </c>
      <c r="K7" s="13" t="s">
        <v>15</v>
      </c>
      <c r="L7" s="13" t="s">
        <v>16</v>
      </c>
      <c r="M7" s="13" t="s">
        <v>17</v>
      </c>
      <c r="N7" s="13" t="s">
        <v>18</v>
      </c>
      <c r="O7" s="13" t="s">
        <v>19</v>
      </c>
      <c r="P7" s="13" t="s">
        <v>20</v>
      </c>
      <c r="Q7" s="13" t="s">
        <v>21</v>
      </c>
      <c r="R7" s="13" t="s">
        <v>22</v>
      </c>
      <c r="S7" s="13" t="s">
        <v>23</v>
      </c>
    </row>
    <row r="8" spans="1:19" s="8" customFormat="1" ht="27" customHeight="1" x14ac:dyDescent="0.2">
      <c r="B8" s="175">
        <v>1</v>
      </c>
      <c r="C8" s="175" t="s">
        <v>24</v>
      </c>
      <c r="D8" s="9" t="s">
        <v>63</v>
      </c>
      <c r="E8" s="12" t="s">
        <v>64</v>
      </c>
      <c r="F8" s="10"/>
      <c r="G8" s="10"/>
      <c r="H8" s="10"/>
      <c r="I8" s="10"/>
      <c r="J8" s="10"/>
      <c r="K8" s="46">
        <f>SUMIFS(Anexo_4[base_imponible_18],Anexo_4[periodo],K7,Anexo_4[cod_doc],"01")+SUMIFS(Anexo_4[base_imponible_18],Anexo_4[periodo],K7,Anexo_4[cod_doc],"14")</f>
        <v>274431.24000000028</v>
      </c>
      <c r="L8" s="46">
        <f>SUMIFS(Anexo_4[base_imponible_18],Anexo_4[periodo],L7,Anexo_4[cod_doc],"01")+SUMIFS(Anexo_4[base_imponible_18],Anexo_4[periodo],L7,Anexo_4[cod_doc],"14")</f>
        <v>178793.11000000002</v>
      </c>
      <c r="M8" s="46">
        <f>SUMIFS(Anexo_4[base_imponible_18],Anexo_4[periodo],M7,Anexo_4[cod_doc],"01")+SUMIFS(Anexo_4[base_imponible_18],Anexo_4[periodo],M7,Anexo_4[cod_doc],"14")</f>
        <v>125800.75999999991</v>
      </c>
      <c r="N8" s="46">
        <f>SUMIFS(Anexo_4[base_imponible_18],Anexo_4[periodo],N7)</f>
        <v>144247.9800000001</v>
      </c>
      <c r="O8" s="46">
        <f>SUMIFS(Anexo_4[base_imponible_18],Anexo_4[periodo],O7)</f>
        <v>172316.66000000009</v>
      </c>
      <c r="P8" s="46">
        <f>SUMIFS(Anexo_4[base_imponible_18],Anexo_4[periodo],P7)</f>
        <v>0</v>
      </c>
      <c r="Q8" s="46">
        <f>SUMIFS(Anexo_4[base_imponible_18],Anexo_4[periodo],Q7)</f>
        <v>0</v>
      </c>
      <c r="R8" s="26">
        <f>SUM(F8:Q8)</f>
        <v>895589.75000000047</v>
      </c>
      <c r="S8" s="26">
        <f>AVERAGE(F8:Q8)</f>
        <v>127941.39285714293</v>
      </c>
    </row>
    <row r="9" spans="1:19" s="8" customFormat="1" ht="27" customHeight="1" x14ac:dyDescent="0.2">
      <c r="B9" s="175"/>
      <c r="C9" s="175"/>
      <c r="D9" s="9" t="s">
        <v>65</v>
      </c>
      <c r="E9" s="12" t="s">
        <v>64</v>
      </c>
      <c r="F9" s="10"/>
      <c r="G9" s="10"/>
      <c r="H9" s="10"/>
      <c r="I9" s="10"/>
      <c r="J9" s="10"/>
      <c r="K9" s="46">
        <f>SUMIFS(Anexo_4[base_imponible_10],Anexo_4[periodo],K7)-1</f>
        <v>712.65</v>
      </c>
      <c r="L9" s="46">
        <f>SUMIFS(Anexo_4[base_imponible_10],Anexo_4[periodo],L7)</f>
        <v>933.63</v>
      </c>
      <c r="M9" s="46">
        <f>SUMIFS(Anexo_4[base_imponible_10],Anexo_4[periodo],M7)</f>
        <v>287.27999999999997</v>
      </c>
      <c r="N9" s="46">
        <f>SUMIFS(Anexo_4[base_imponible_10],Anexo_4[periodo],N7)</f>
        <v>1717.7199999999998</v>
      </c>
      <c r="O9" s="46">
        <f>SUMIFS(Anexo_4[base_imponible_10],Anexo_4[periodo],O7)</f>
        <v>785.63000000000011</v>
      </c>
      <c r="P9" s="46">
        <f>SUMIFS(Anexo_4[base_imponible_10],Anexo_4[periodo],P7)</f>
        <v>0</v>
      </c>
      <c r="Q9" s="46">
        <f>SUMIFS(Anexo_4[base_imponible_10],Anexo_4[periodo],Q7)</f>
        <v>0</v>
      </c>
      <c r="R9" s="26">
        <f t="shared" ref="R9:R15" si="0">SUM(F9:Q9)</f>
        <v>4436.91</v>
      </c>
      <c r="S9" s="26">
        <f t="shared" ref="S9:S15" si="1">AVERAGE(F9:Q9)</f>
        <v>633.84428571428566</v>
      </c>
    </row>
    <row r="10" spans="1:19" s="8" customFormat="1" ht="27" customHeight="1" x14ac:dyDescent="0.2">
      <c r="B10" s="175"/>
      <c r="C10" s="175"/>
      <c r="D10" s="9" t="s">
        <v>66</v>
      </c>
      <c r="E10" s="12" t="s">
        <v>64</v>
      </c>
      <c r="F10" s="10"/>
      <c r="G10" s="10"/>
      <c r="H10" s="10"/>
      <c r="I10" s="10"/>
      <c r="J10" s="10"/>
      <c r="K10" s="46">
        <f>SUMIFS(Anexo_4[base_imponible_18],Anexo_4[periodo],K7,Anexo_4[cod_doc],"07")</f>
        <v>-2027.3600000000001</v>
      </c>
      <c r="L10" s="46">
        <f>SUMIFS(Anexo_4[base_imponible_18],Anexo_4[periodo],L7,Anexo_4[cod_doc],"07")</f>
        <v>-1916.4900000000002</v>
      </c>
      <c r="M10" s="46">
        <f>SUMIFS(Anexo_4[base_imponible_18],Anexo_4[periodo],M7,Anexo_4[cod_doc],"07")</f>
        <v>-64870.04</v>
      </c>
      <c r="N10" s="46"/>
      <c r="O10" s="46"/>
      <c r="P10" s="46"/>
      <c r="Q10" s="46"/>
      <c r="R10" s="26"/>
      <c r="S10" s="26"/>
    </row>
    <row r="11" spans="1:19" s="8" customFormat="1" ht="27" customHeight="1" x14ac:dyDescent="0.2">
      <c r="A11" s="8" t="s">
        <v>67</v>
      </c>
      <c r="B11" s="175"/>
      <c r="C11" s="175"/>
      <c r="D11" s="9" t="s">
        <v>68</v>
      </c>
      <c r="E11" s="12" t="s">
        <v>64</v>
      </c>
      <c r="F11" s="10"/>
      <c r="G11" s="10"/>
      <c r="H11" s="10"/>
      <c r="I11" s="10"/>
      <c r="J11" s="10"/>
      <c r="K11" s="46">
        <f>SUMIFS(Anexo_4[base_no_grabada],Anexo_4[periodo],K7)</f>
        <v>713.19</v>
      </c>
      <c r="L11" s="46">
        <f>SUMIFS(Anexo_4[base_no_grabada],Anexo_4[periodo],L7)</f>
        <v>1858.6499999999999</v>
      </c>
      <c r="M11" s="46">
        <f>SUMIFS(Anexo_4[base_no_grabada],Anexo_4[periodo],M7)</f>
        <v>2058.1999999999998</v>
      </c>
      <c r="N11" s="46">
        <f>SUMIFS(Anexo_4[base_no_grabada],Anexo_4[periodo],N7)</f>
        <v>5115.0700000000006</v>
      </c>
      <c r="O11" s="46">
        <f>SUMIFS(Anexo_4[base_no_grabada],Anexo_4[periodo],O7)</f>
        <v>2362.0300000000002</v>
      </c>
      <c r="P11" s="46">
        <f>SUMIFS(Anexo_4[base_no_grabada],Anexo_4[periodo],P7)</f>
        <v>0</v>
      </c>
      <c r="Q11" s="46">
        <f>SUMIFS(Anexo_4[base_no_grabada],Anexo_4[periodo],Q7)</f>
        <v>0</v>
      </c>
      <c r="R11" s="26">
        <f t="shared" si="0"/>
        <v>12107.140000000001</v>
      </c>
      <c r="S11" s="26">
        <f t="shared" si="1"/>
        <v>1729.5914285714287</v>
      </c>
    </row>
    <row r="12" spans="1:19" s="8" customFormat="1" ht="27" customHeight="1" x14ac:dyDescent="0.2">
      <c r="B12" s="175"/>
      <c r="C12" s="175"/>
      <c r="D12" s="9" t="s">
        <v>69</v>
      </c>
      <c r="E12" s="12" t="s">
        <v>64</v>
      </c>
      <c r="F12" s="10"/>
      <c r="G12" s="10"/>
      <c r="H12" s="10"/>
      <c r="I12" s="10"/>
      <c r="J12" s="10"/>
      <c r="K12" s="46">
        <f>SUMIFS(Anexo_4[igv_18],Anexo_4[periodo],K7,Anexo_4[cod_doc],"01")+SUMIFS(Anexo_4[igv_18],Anexo_4[periodo],K7,Anexo_4[cod_doc],"14")</f>
        <v>49397.621399999938</v>
      </c>
      <c r="L12" s="46">
        <f>SUMIFS(Anexo_4[igv_18],Anexo_4[periodo],L7,Anexo_4[cod_doc],"01")+SUMIFS(Anexo_4[igv_18],Anexo_4[periodo],L7,Anexo_4[cod_doc],"14")</f>
        <v>32182.775399999991</v>
      </c>
      <c r="M12" s="46">
        <f>SUMIFS(Anexo_4[igv_18],Anexo_4[periodo],M7,Anexo_4[cod_doc],"01")+SUMIFS(Anexo_4[igv_18],Anexo_4[periodo],M7,Anexo_4[cod_doc],"14")+1</f>
        <v>22645.162600000003</v>
      </c>
      <c r="N12" s="46">
        <f>SUMIFS(Anexo_4[igv_18],Anexo_4[periodo],N7)</f>
        <v>25966.23640000002</v>
      </c>
      <c r="O12" s="46">
        <f>SUMIFS(Anexo_4[igv_18],Anexo_4[periodo],O7)</f>
        <v>31017.350000000017</v>
      </c>
      <c r="P12" s="46">
        <f>SUMIFS(Anexo_4[igv_18],Anexo_4[periodo],P7)</f>
        <v>0</v>
      </c>
      <c r="Q12" s="46">
        <f>SUMIFS(Anexo_4[igv_18],Anexo_4[periodo],Q7)</f>
        <v>0</v>
      </c>
      <c r="R12" s="26">
        <f t="shared" si="0"/>
        <v>161209.14579999997</v>
      </c>
      <c r="S12" s="26">
        <f t="shared" si="1"/>
        <v>23029.877971428567</v>
      </c>
    </row>
    <row r="13" spans="1:19" s="8" customFormat="1" ht="27" customHeight="1" x14ac:dyDescent="0.2">
      <c r="B13" s="175"/>
      <c r="C13" s="175"/>
      <c r="D13" s="9" t="s">
        <v>70</v>
      </c>
      <c r="E13" s="12" t="s">
        <v>64</v>
      </c>
      <c r="F13" s="10"/>
      <c r="G13" s="10"/>
      <c r="H13" s="10"/>
      <c r="I13" s="10"/>
      <c r="J13" s="10"/>
      <c r="K13" s="46">
        <f>SUMIFS(Anexo_4[igv_10],Anexo_4[periodo],K7,Anexo_4[cod_doc],"01")</f>
        <v>71.349999999999994</v>
      </c>
      <c r="L13" s="46">
        <f>SUMIFS(Anexo_4[igv_10],Anexo_4[periodo],L7,Anexo_4[cod_doc],"01")</f>
        <v>93.37</v>
      </c>
      <c r="M13" s="46">
        <f>SUMIFS(Anexo_4[igv_10],Anexo_4[periodo],M7,Anexo_4[cod_doc],"01")</f>
        <v>28.72</v>
      </c>
      <c r="N13" s="46">
        <f>SUMIFS(Anexo_4[igv_10],Anexo_4[periodo],N7)</f>
        <v>171.77999999999997</v>
      </c>
      <c r="O13" s="46">
        <f>SUMIFS(Anexo_4[igv_10],Anexo_4[periodo],O7)</f>
        <v>78.569999999999993</v>
      </c>
      <c r="P13" s="46">
        <f>SUMIFS(Anexo_4[igv_10],Anexo_4[periodo],P7)</f>
        <v>0</v>
      </c>
      <c r="Q13" s="46">
        <f>SUMIFS(Anexo_4[igv_10],Anexo_4[periodo],Q7)</f>
        <v>0</v>
      </c>
      <c r="R13" s="26">
        <f t="shared" si="0"/>
        <v>443.78999999999996</v>
      </c>
      <c r="S13" s="26">
        <f t="shared" si="1"/>
        <v>63.398571428571422</v>
      </c>
    </row>
    <row r="14" spans="1:19" s="8" customFormat="1" ht="27" customHeight="1" x14ac:dyDescent="0.2">
      <c r="B14" s="175"/>
      <c r="C14" s="175"/>
      <c r="D14" s="9" t="s">
        <v>71</v>
      </c>
      <c r="E14" s="12" t="s">
        <v>64</v>
      </c>
      <c r="F14" s="10"/>
      <c r="G14" s="10"/>
      <c r="H14" s="10"/>
      <c r="I14" s="10"/>
      <c r="J14" s="10"/>
      <c r="K14" s="46">
        <f>SUMIFS(Anexo_4[igv_18],Anexo_4[periodo],K7,Anexo_4[cod_doc],"07")</f>
        <v>-364.92</v>
      </c>
      <c r="L14" s="46">
        <f>SUMIFS(Anexo_4[igv_18],Anexo_4[periodo],L7,Anexo_4[cod_doc],"07")</f>
        <v>-344.96000000000004</v>
      </c>
      <c r="M14" s="46">
        <f>SUMIFS(Anexo_4[igv_18],Anexo_4[periodo],M7,Anexo_4[cod_doc],"07")</f>
        <v>-11676.6</v>
      </c>
      <c r="N14" s="46"/>
      <c r="O14" s="46"/>
      <c r="P14" s="46"/>
      <c r="Q14" s="46"/>
      <c r="R14" s="26"/>
      <c r="S14" s="26"/>
    </row>
    <row r="15" spans="1:19" s="8" customFormat="1" ht="27" customHeight="1" x14ac:dyDescent="0.2">
      <c r="B15" s="175"/>
      <c r="C15" s="175"/>
      <c r="D15" s="9" t="s">
        <v>72</v>
      </c>
      <c r="E15" s="12" t="s">
        <v>64</v>
      </c>
      <c r="F15" s="10"/>
      <c r="G15" s="10"/>
      <c r="H15" s="10"/>
      <c r="I15" s="10"/>
      <c r="J15" s="10"/>
      <c r="K15" s="46">
        <f>SUMIFS(Anexo_4[total],Anexo_4[periodo],K7)</f>
        <v>352727.30000000022</v>
      </c>
      <c r="L15" s="46">
        <f>SUMIFS(Anexo_4[total],Anexo_4[periodo],L7)</f>
        <v>231640.03999999989</v>
      </c>
      <c r="M15" s="46">
        <f>SUMIFS(Anexo_4[total],Anexo_4[periodo],M7)</f>
        <v>107190.98999999999</v>
      </c>
      <c r="N15" s="46">
        <f>SUMIFS(Anexo_4[total],Anexo_4[periodo],N7)</f>
        <v>177218.78640000004</v>
      </c>
      <c r="O15" s="46">
        <f>SUMIFS(Anexo_4[total],Anexo_4[periodo],O7)</f>
        <v>206560.23999999993</v>
      </c>
      <c r="P15" s="46">
        <f>SUMIFS(Anexo_4[total],Anexo_4[periodo],P7)</f>
        <v>0</v>
      </c>
      <c r="Q15" s="46">
        <f>SUMIFS(Anexo_4[total],Anexo_4[periodo],Q7)</f>
        <v>0</v>
      </c>
      <c r="R15" s="26">
        <f t="shared" si="0"/>
        <v>1075337.3564000002</v>
      </c>
      <c r="S15" s="26">
        <f t="shared" si="1"/>
        <v>153619.62234285715</v>
      </c>
    </row>
    <row r="16" spans="1:19" s="8" customFormat="1" ht="34.5" customHeight="1" x14ac:dyDescent="0.2">
      <c r="B16" s="175"/>
      <c r="C16" s="175"/>
      <c r="D16" s="14" t="s">
        <v>57</v>
      </c>
      <c r="E16" s="14" t="s">
        <v>36</v>
      </c>
      <c r="F16" s="15">
        <f>IFERROR(F8/F11,0)</f>
        <v>0</v>
      </c>
      <c r="G16" s="15">
        <f>IFERROR(G8/G11,0)</f>
        <v>0</v>
      </c>
      <c r="H16" s="15">
        <f>IFERROR(H8/H11,0)</f>
        <v>0</v>
      </c>
      <c r="I16" s="15">
        <f>IFERROR(I8/I11,0)</f>
        <v>0</v>
      </c>
      <c r="J16" s="15">
        <f>IFERROR(J8/J11,0)</f>
        <v>0</v>
      </c>
      <c r="K16" s="65" t="str">
        <f>IFERROR(((K15-J15)/J15),"")</f>
        <v/>
      </c>
      <c r="L16" s="15" t="str">
        <f>IF((L15-K15)/K15&gt;0,"Más compras que el mes ant.","Menos compras que el mes ant.")</f>
        <v>Menos compras que el mes ant.</v>
      </c>
      <c r="M16" s="15" t="str">
        <f>IF((M15-L15)/L15&gt;0,"Más compras que el mes ant.","Menos compras que el mes ant.")</f>
        <v>Menos compras que el mes ant.</v>
      </c>
      <c r="N16" s="15" t="str">
        <f>IF((N15-M15)/M15&gt;0,"Más compras que el mes ant.","Menos compras que el mes ant.")</f>
        <v>Más compras que el mes ant.</v>
      </c>
      <c r="O16" s="65"/>
      <c r="P16" s="65">
        <f>IFERROR(IF(P15="","",((P15-O15)/O15)),"")</f>
        <v>-1</v>
      </c>
      <c r="Q16" s="65" t="str">
        <f>IFERROR(IF(Q15="","",((Q15-P15)/P15)),"")</f>
        <v/>
      </c>
      <c r="R16" s="15"/>
      <c r="S16" s="15"/>
    </row>
    <row r="17" spans="2:19" s="8" customFormat="1" ht="27" customHeight="1" x14ac:dyDescent="0.2">
      <c r="B17" s="175">
        <v>2</v>
      </c>
      <c r="C17" s="175" t="s">
        <v>28</v>
      </c>
      <c r="D17" s="9" t="s">
        <v>25</v>
      </c>
      <c r="E17" s="12" t="s">
        <v>64</v>
      </c>
      <c r="F17" s="17"/>
      <c r="G17" s="17"/>
      <c r="H17" s="17"/>
      <c r="I17" s="17"/>
      <c r="J17" s="17"/>
      <c r="K17" s="46">
        <f>SUMIFS(Anexo_5[base_imponible_18],Anexo_5[periodo],K7)</f>
        <v>325085.69999999995</v>
      </c>
      <c r="L17" s="46">
        <f>SUMIFS(Anexo_5[base_imponible_18],Anexo_5[periodo],L7)</f>
        <v>256600.49999999988</v>
      </c>
      <c r="M17" s="46">
        <f>SUMIFS(Anexo_5[base_imponible_18],Anexo_5[periodo],M7)</f>
        <v>219647.63999999996</v>
      </c>
      <c r="N17" s="46">
        <f>SUMIFS(Anexo_5[base_imponible_18],Anexo_5[periodo],N7)</f>
        <v>247364.37000000005</v>
      </c>
      <c r="O17" s="46">
        <f>SUMIFS(Anexo_5[base_imponible_18],Anexo_5[periodo],O7)</f>
        <v>211332.06000000003</v>
      </c>
      <c r="P17" s="46">
        <f>SUMIFS(Anexo_5[base_imponible_18],Anexo_5[periodo],P7)</f>
        <v>0</v>
      </c>
      <c r="Q17" s="46">
        <f>SUMIFS(Anexo_5[base_imponible_18],Anexo_5[periodo],Q7)</f>
        <v>0</v>
      </c>
      <c r="R17" s="26">
        <f>SUM(F17:Q17)</f>
        <v>1260030.27</v>
      </c>
      <c r="S17" s="26">
        <f>AVERAGE(F17:Q17)</f>
        <v>180004.32428571428</v>
      </c>
    </row>
    <row r="18" spans="2:19" s="8" customFormat="1" ht="27" customHeight="1" x14ac:dyDescent="0.2">
      <c r="B18" s="175"/>
      <c r="C18" s="175"/>
      <c r="D18" s="9" t="s">
        <v>45</v>
      </c>
      <c r="E18" s="12" t="s">
        <v>64</v>
      </c>
      <c r="F18" s="17"/>
      <c r="G18" s="17"/>
      <c r="H18" s="17"/>
      <c r="I18" s="17"/>
      <c r="J18" s="17"/>
      <c r="K18" s="46">
        <f>SUMIFS(Anexo_5[igv_18],Anexo_5[periodo],K7)+2</f>
        <v>58517.386399999988</v>
      </c>
      <c r="L18" s="46">
        <f>SUMIFS(Anexo_5[igv_18],Anexo_5[periodo],L7)</f>
        <v>46188.157400000004</v>
      </c>
      <c r="M18" s="46">
        <f>SUMIFS(Anexo_5[igv_18],Anexo_5[periodo],M7)</f>
        <v>39536.552799999998</v>
      </c>
      <c r="N18" s="46">
        <f>SUMIFS(Anexo_5[igv_18],Anexo_5[periodo],N7)</f>
        <v>44525.590000000011</v>
      </c>
      <c r="O18" s="46">
        <f>SUMIFS(Anexo_5[igv_18],Anexo_5[periodo],O7)</f>
        <v>38039.789999999994</v>
      </c>
      <c r="P18" s="46">
        <f>SUMIFS(Anexo_5[igv_18],Anexo_5[periodo],P7)</f>
        <v>0</v>
      </c>
      <c r="Q18" s="46">
        <f>SUMIFS(Anexo_5[igv_18],Anexo_5[periodo],Q7)</f>
        <v>0</v>
      </c>
      <c r="R18" s="26">
        <f t="shared" ref="R18:R19" si="2">SUM(F18:Q18)</f>
        <v>226807.47659999999</v>
      </c>
      <c r="S18" s="26">
        <f t="shared" ref="S18:S19" si="3">AVERAGE(F18:Q18)</f>
        <v>32401.068085714283</v>
      </c>
    </row>
    <row r="19" spans="2:19" s="8" customFormat="1" ht="27" customHeight="1" x14ac:dyDescent="0.2">
      <c r="B19" s="175"/>
      <c r="C19" s="175"/>
      <c r="D19" s="9" t="s">
        <v>73</v>
      </c>
      <c r="E19" s="12" t="s">
        <v>64</v>
      </c>
      <c r="F19" s="17"/>
      <c r="G19" s="17"/>
      <c r="H19" s="17"/>
      <c r="I19" s="17"/>
      <c r="J19" s="17"/>
      <c r="K19" s="46">
        <f>SUMIFS(Anexo_5[total],Anexo_5[periodo],K7)</f>
        <v>383601.08640000009</v>
      </c>
      <c r="L19" s="46">
        <f>SUMIFS(Anexo_5[total],Anexo_5[periodo],L7)</f>
        <v>302788.65740000003</v>
      </c>
      <c r="M19" s="46">
        <f>SUMIFS(Anexo_5[total],Anexo_5[periodo],M7)</f>
        <v>259184.19279999993</v>
      </c>
      <c r="N19" s="46">
        <f>SUMIFS(Anexo_5[total],Anexo_5[periodo],N7)</f>
        <v>291889.95999999996</v>
      </c>
      <c r="O19" s="46">
        <f>SUMIFS(Anexo_5[total],Anexo_5[periodo],O7)</f>
        <v>249371.84999999998</v>
      </c>
      <c r="P19" s="46">
        <f>SUMIFS(Anexo_5[total],Anexo_5[periodo],P7)</f>
        <v>0</v>
      </c>
      <c r="Q19" s="46">
        <f>SUMIFS(Anexo_5[total],Anexo_5[periodo],Q7)</f>
        <v>0</v>
      </c>
      <c r="R19" s="26">
        <f t="shared" si="2"/>
        <v>1486835.7466000002</v>
      </c>
      <c r="S19" s="26">
        <f t="shared" si="3"/>
        <v>212405.1066571429</v>
      </c>
    </row>
    <row r="20" spans="2:19" s="8" customFormat="1" ht="27" customHeight="1" x14ac:dyDescent="0.2">
      <c r="B20" s="175"/>
      <c r="C20" s="175"/>
      <c r="D20" s="14" t="s">
        <v>57</v>
      </c>
      <c r="E20" s="11" t="s">
        <v>36</v>
      </c>
      <c r="F20" s="15">
        <f t="shared" ref="F20:Q20" si="4">IFERROR(F19/F18,0)</f>
        <v>0</v>
      </c>
      <c r="G20" s="15">
        <f t="shared" si="4"/>
        <v>0</v>
      </c>
      <c r="H20" s="15">
        <f t="shared" si="4"/>
        <v>0</v>
      </c>
      <c r="I20" s="15">
        <f t="shared" si="4"/>
        <v>0</v>
      </c>
      <c r="J20" s="15">
        <f t="shared" si="4"/>
        <v>0</v>
      </c>
      <c r="K20" s="15"/>
      <c r="L20" s="15" t="str">
        <f>IF((L19-K19)/K19&gt;0,"Más ventas que el mes ant.","Menos ventas que el mes ant.")</f>
        <v>Menos ventas que el mes ant.</v>
      </c>
      <c r="M20" s="15" t="str">
        <f>IF((M19-L19)/L19&gt;0,"Más ventas que el mes ant.","Menos ventas que el mes ant.")</f>
        <v>Menos ventas que el mes ant.</v>
      </c>
      <c r="N20" s="15" t="str">
        <f>IF((N19-M19)/M19&gt;0,"Más ventas que el mes ant.","Menos ventas que el mes ant.")</f>
        <v>Más ventas que el mes ant.</v>
      </c>
      <c r="O20" s="15">
        <f t="shared" si="4"/>
        <v>6.5555527514741803</v>
      </c>
      <c r="P20" s="15">
        <f t="shared" si="4"/>
        <v>0</v>
      </c>
      <c r="Q20" s="15">
        <f t="shared" si="4"/>
        <v>0</v>
      </c>
      <c r="R20" s="15"/>
      <c r="S20" s="15"/>
    </row>
    <row r="22" spans="2:19" x14ac:dyDescent="0.25">
      <c r="G22" s="4"/>
    </row>
    <row r="24" spans="2:19" x14ac:dyDescent="0.25">
      <c r="L24" s="66"/>
    </row>
  </sheetData>
  <mergeCells count="12">
    <mergeCell ref="B8:B16"/>
    <mergeCell ref="C8:C16"/>
    <mergeCell ref="B17:B20"/>
    <mergeCell ref="C17:C20"/>
    <mergeCell ref="B2:C5"/>
    <mergeCell ref="D5:Q5"/>
    <mergeCell ref="R5:S5"/>
    <mergeCell ref="D2:Q2"/>
    <mergeCell ref="R2:S2"/>
    <mergeCell ref="D3:Q4"/>
    <mergeCell ref="R3:S3"/>
    <mergeCell ref="R4:S4"/>
  </mergeCells>
  <printOptions horizontalCentered="1"/>
  <pageMargins left="0.31496062992125984" right="0.31496062992125984" top="0.74803149606299213" bottom="0.74803149606299213" header="0.31496062992125984" footer="0.31496062992125984"/>
  <pageSetup paperSize="9" scale="55" fitToHeight="0" orientation="landscape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49F60-30D3-4A6D-8CE1-C750B087FD8A}">
  <sheetPr>
    <tabColor rgb="FF11680F"/>
    <pageSetUpPr fitToPage="1"/>
  </sheetPr>
  <dimension ref="B1:T84"/>
  <sheetViews>
    <sheetView showGridLines="0" zoomScale="85" zoomScaleNormal="85" zoomScaleSheetLayoutView="87" zoomScalePageLayoutView="70" workbookViewId="0">
      <selection activeCell="F22" sqref="F22"/>
    </sheetView>
  </sheetViews>
  <sheetFormatPr defaultColWidth="8.88671875" defaultRowHeight="13.8" x14ac:dyDescent="0.25"/>
  <cols>
    <col min="1" max="1" width="2.88671875" style="3" customWidth="1"/>
    <col min="2" max="2" width="7.88671875" style="3" customWidth="1"/>
    <col min="3" max="3" width="16.44140625" style="2" customWidth="1"/>
    <col min="4" max="4" width="19.88671875" style="2" customWidth="1"/>
    <col min="5" max="5" width="37.6640625" style="6" customWidth="1"/>
    <col min="6" max="6" width="14" style="2" bestFit="1" customWidth="1"/>
    <col min="7" max="8" width="13.88671875" style="2" hidden="1" customWidth="1"/>
    <col min="9" max="9" width="14" style="3" hidden="1" customWidth="1"/>
    <col min="10" max="10" width="13.88671875" style="3" hidden="1" customWidth="1"/>
    <col min="11" max="11" width="13.5546875" style="3" hidden="1" customWidth="1"/>
    <col min="12" max="13" width="14" style="3" bestFit="1" customWidth="1"/>
    <col min="14" max="14" width="13.88671875" style="3" bestFit="1" customWidth="1"/>
    <col min="15" max="15" width="12.109375" style="3" bestFit="1" customWidth="1"/>
    <col min="16" max="16" width="11.6640625" style="3" bestFit="1" customWidth="1"/>
    <col min="17" max="17" width="11.44140625" style="3" customWidth="1"/>
    <col min="18" max="18" width="12" style="3" bestFit="1" customWidth="1"/>
    <col min="19" max="19" width="15.44140625" style="3" bestFit="1" customWidth="1"/>
    <col min="20" max="20" width="13.88671875" style="3" bestFit="1" customWidth="1"/>
    <col min="21" max="21" width="8.88671875" style="3"/>
    <col min="22" max="22" width="11.5546875" style="3" bestFit="1" customWidth="1"/>
    <col min="23" max="16384" width="8.88671875" style="3"/>
  </cols>
  <sheetData>
    <row r="1" spans="2:20" s="1" customFormat="1" ht="15" customHeight="1" x14ac:dyDescent="0.3">
      <c r="E1" s="5"/>
    </row>
    <row r="2" spans="2:20" s="1" customFormat="1" ht="15.75" customHeight="1" x14ac:dyDescent="0.3">
      <c r="B2" s="191"/>
      <c r="C2" s="192"/>
      <c r="D2" s="193"/>
      <c r="E2" s="178" t="s">
        <v>0</v>
      </c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67" t="s">
        <v>1</v>
      </c>
      <c r="T2" s="167"/>
    </row>
    <row r="3" spans="2:20" s="1" customFormat="1" ht="15.75" customHeight="1" x14ac:dyDescent="0.3">
      <c r="B3" s="194"/>
      <c r="C3" s="195"/>
      <c r="D3" s="196"/>
      <c r="E3" s="166" t="s">
        <v>74</v>
      </c>
      <c r="F3" s="166"/>
      <c r="G3" s="166"/>
      <c r="H3" s="166"/>
      <c r="I3" s="166"/>
      <c r="J3" s="166"/>
      <c r="K3" s="166"/>
      <c r="L3" s="166"/>
      <c r="M3" s="166"/>
      <c r="N3" s="166"/>
      <c r="O3" s="166"/>
      <c r="P3" s="166"/>
      <c r="Q3" s="166"/>
      <c r="R3" s="166"/>
      <c r="S3" s="167" t="s">
        <v>3</v>
      </c>
      <c r="T3" s="167"/>
    </row>
    <row r="4" spans="2:20" s="1" customFormat="1" ht="15.75" customHeight="1" x14ac:dyDescent="0.3">
      <c r="B4" s="194"/>
      <c r="C4" s="195"/>
      <c r="D4" s="196"/>
      <c r="E4" s="166"/>
      <c r="F4" s="166"/>
      <c r="G4" s="166"/>
      <c r="H4" s="166"/>
      <c r="I4" s="166"/>
      <c r="J4" s="166"/>
      <c r="K4" s="166"/>
      <c r="L4" s="166"/>
      <c r="M4" s="166"/>
      <c r="N4" s="166"/>
      <c r="O4" s="166"/>
      <c r="P4" s="166"/>
      <c r="Q4" s="166"/>
      <c r="R4" s="166"/>
      <c r="S4" s="167" t="s">
        <v>75</v>
      </c>
      <c r="T4" s="167"/>
    </row>
    <row r="5" spans="2:20" s="1" customFormat="1" ht="15.75" customHeight="1" x14ac:dyDescent="0.3">
      <c r="B5" s="197"/>
      <c r="C5" s="198"/>
      <c r="D5" s="199"/>
      <c r="E5" s="176" t="s">
        <v>5</v>
      </c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7">
        <f ca="1">TODAY()</f>
        <v>45979</v>
      </c>
      <c r="T5" s="177"/>
    </row>
    <row r="6" spans="2:20" ht="3" customHeight="1" x14ac:dyDescent="0.25"/>
    <row r="7" spans="2:20" s="7" customFormat="1" ht="26.25" customHeight="1" x14ac:dyDescent="0.2">
      <c r="B7" s="19" t="s">
        <v>76</v>
      </c>
      <c r="C7" s="179" t="s">
        <v>7</v>
      </c>
      <c r="D7" s="180"/>
      <c r="E7" s="19" t="s">
        <v>77</v>
      </c>
      <c r="F7" s="19" t="s">
        <v>9</v>
      </c>
      <c r="G7" s="18" t="s">
        <v>10</v>
      </c>
      <c r="H7" s="13" t="s">
        <v>11</v>
      </c>
      <c r="I7" s="13" t="s">
        <v>12</v>
      </c>
      <c r="J7" s="13" t="s">
        <v>13</v>
      </c>
      <c r="K7" s="13" t="s">
        <v>14</v>
      </c>
      <c r="L7" s="13" t="s">
        <v>15</v>
      </c>
      <c r="M7" s="13" t="s">
        <v>16</v>
      </c>
      <c r="N7" s="13" t="s">
        <v>17</v>
      </c>
      <c r="O7" s="13" t="s">
        <v>18</v>
      </c>
      <c r="P7" s="13" t="s">
        <v>19</v>
      </c>
      <c r="Q7" s="13" t="s">
        <v>20</v>
      </c>
      <c r="R7" s="13" t="s">
        <v>21</v>
      </c>
      <c r="S7" s="13" t="s">
        <v>22</v>
      </c>
      <c r="T7" s="13" t="s">
        <v>23</v>
      </c>
    </row>
    <row r="8" spans="2:20" ht="22.5" customHeight="1" x14ac:dyDescent="0.25">
      <c r="B8" s="181" t="s">
        <v>78</v>
      </c>
      <c r="C8" s="200" t="s">
        <v>79</v>
      </c>
      <c r="D8" s="201"/>
      <c r="E8" s="22" t="s">
        <v>80</v>
      </c>
      <c r="F8" s="12" t="s">
        <v>64</v>
      </c>
      <c r="G8" s="20">
        <f>SUMIFS(Anexo_4[base_imponible_18],Anexo_4[gastos_operativos_kpi],$E$8,Anexo_4[periodo],$G$7)+SUMIFS(Anexo_4[base_imponible_10],Anexo_4[gastos_operativos_kpi],$E$8,Anexo_4[periodo],$G$7)+SUMIFS(Anexo_4[base_no_grabada],Anexo_4[gastos_operativos_kpi],$E$8,Anexo_4[periodo],$G$7)</f>
        <v>0</v>
      </c>
      <c r="H8" s="20">
        <f>SUMIFS(Anexo_4[base_imponible_18],Anexo_4[gastos_operativos_kpi],$E$8,Anexo_4[periodo],$H$7)+SUMIFS(Anexo_4[base_imponible_10],Anexo_4[gastos_operativos_kpi],$E$8,Anexo_4[periodo],$H$7)+SUMIFS(Anexo_4[base_no_grabada],Anexo_4[gastos_operativos_kpi],$E$8,Anexo_4[periodo],$H$7)</f>
        <v>0</v>
      </c>
      <c r="I8" s="20">
        <f>SUMIFS(Anexo_4[base_imponible_18],Anexo_4[gastos_operativos_kpi],$E$8,Anexo_4[periodo],$I$7)+SUMIFS(Anexo_4[base_imponible_10],Anexo_4[gastos_operativos_kpi],$E$8,Anexo_4[periodo],$I$7)+SUMIFS(Anexo_4[base_no_grabada],Anexo_4[gastos_operativos_kpi],$E$8,Anexo_4[periodo],$I$7)</f>
        <v>0</v>
      </c>
      <c r="J8" s="20">
        <f>SUMIFS(Anexo_4[base_imponible_18],Anexo_4[gastos_operativos_kpi],$E$8,Anexo_4[periodo],$J$7)+SUMIFS(Anexo_4[base_imponible_10],Anexo_4[gastos_operativos_kpi],$E$8,Anexo_4[periodo],$J$7)+SUMIFS(Anexo_4[base_no_grabada],Anexo_4[gastos_operativos_kpi],$E$8,Anexo_4[periodo],$J$7)</f>
        <v>0</v>
      </c>
      <c r="K8" s="20">
        <f>SUMIFS(Anexo_4[base_imponible_18],Anexo_4[gastos_operativos_kpi],$E$8,Anexo_4[periodo],$K$7)+SUMIFS(Anexo_4[base_imponible_10],Anexo_4[gastos_operativos_kpi],$E$8,Anexo_4[periodo],$K$7)+SUMIFS(Anexo_4[base_no_grabada],Anexo_4[gastos_operativos_kpi],$E$8,Anexo_4[periodo],$K$7)</f>
        <v>0</v>
      </c>
      <c r="L8" s="20">
        <f>SUMIFS(Anexo_4[base_imponible_18],Anexo_4[gastos_operativos_kpi],$E$8,Anexo_4[periodo],$L$7)+SUMIFS(Anexo_4[base_imponible_10],Anexo_4[gastos_operativos_kpi],$E$8,Anexo_4[periodo],$L$7)+SUMIFS(Anexo_4[base_no_grabada],Anexo_4[gastos_operativos_kpi],$E$8,Anexo_4[periodo],$L$7)</f>
        <v>58426.810000000005</v>
      </c>
      <c r="M8" s="20">
        <f>SUMIFS(Anexo_4[base_imponible_18],Anexo_4[gastos_operativos_kpi],$E$8,Anexo_4[periodo],$M$7)+SUMIFS(Anexo_4[base_imponible_10],Anexo_4[gastos_operativos_kpi],$E$8,Anexo_4[periodo],$M$7)+SUMIFS(Anexo_4[base_no_grabada],Anexo_4[gastos_operativos_kpi],$E$8,Anexo_4[periodo],$M$7)</f>
        <v>24376.79</v>
      </c>
      <c r="N8" s="20">
        <f>SUMIFS(Anexo_4[base_imponible_18],Anexo_4[gastos_operativos_kpi],$E$8,Anexo_4[periodo],$N$7)+SUMIFS(Anexo_4[base_imponible_10],Anexo_4[gastos_operativos_kpi],$E$8,Anexo_4[periodo],$N$7)+SUMIFS(Anexo_4[base_no_grabada],Anexo_4[gastos_operativos_kpi],$E$8,Anexo_4[periodo],$N$7)</f>
        <v>29322.190000000006</v>
      </c>
      <c r="O8" s="20">
        <f>SUMIFS(Anexo_4[base_imponible_18],Anexo_4[gastos_operativos_kpi],$E$8,Anexo_4[periodo],$O$7)+SUMIFS(Anexo_4[base_imponible_10],Anexo_4[gastos_operativos_kpi],$E$8,Anexo_4[periodo],$O$7)+SUMIFS(Anexo_4[base_no_grabada],Anexo_4[gastos_operativos_kpi],$E$8,Anexo_4[periodo],$O$7)</f>
        <v>29736.009999999995</v>
      </c>
      <c r="P8" s="20">
        <f>SUMIFS(Anexo_4[base_imponible_18],Anexo_4[gastos_operativos_kpi],$E$8,Anexo_4[periodo],$P$7)+SUMIFS(Anexo_4[base_imponible_10],Anexo_4[gastos_operativos_kpi],$E$8,Anexo_4[periodo],$P$7)+SUMIFS(Anexo_4[base_no_grabada],Anexo_4[gastos_operativos_kpi],$E$8,Anexo_4[periodo],$P$7)</f>
        <v>0</v>
      </c>
      <c r="Q8" s="20">
        <f>SUMIFS(Anexo_4[base_imponible_18],Anexo_4[gastos_operativos_kpi],$E$8,Anexo_4[periodo],$Q$7)+SUMIFS(Anexo_4[base_imponible_10],Anexo_4[gastos_operativos_kpi],$E$8,Anexo_4[periodo],$Q$7)+SUMIFS(Anexo_4[base_no_grabada],Anexo_4[gastos_operativos_kpi],$E$8,Anexo_4[periodo],$Q$7)</f>
        <v>0</v>
      </c>
      <c r="R8" s="20">
        <f>SUMIFS(Anexo_4[base_imponible_18],Anexo_4[gastos_operativos_kpi],$E$8,Anexo_4[periodo],$R$7)+SUMIFS(Anexo_4[base_imponible_10],Anexo_4[gastos_operativos_kpi],$E$8,Anexo_4[periodo],$R$7)+SUMIFS(Anexo_4[base_no_grabada],Anexo_4[gastos_operativos_kpi],$E$8,Anexo_4[periodo],$R$7)</f>
        <v>0</v>
      </c>
      <c r="S8" s="25">
        <f>SUM(G8:R8)</f>
        <v>141861.79999999999</v>
      </c>
      <c r="T8" s="25">
        <f>AVERAGE(G8:R8)</f>
        <v>11821.816666666666</v>
      </c>
    </row>
    <row r="9" spans="2:20" ht="3" customHeight="1" x14ac:dyDescent="0.25">
      <c r="B9" s="182"/>
      <c r="C9" s="92"/>
      <c r="D9" s="93"/>
      <c r="E9" s="94"/>
      <c r="F9" s="95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7"/>
      <c r="T9" s="97"/>
    </row>
    <row r="10" spans="2:20" ht="22.5" customHeight="1" x14ac:dyDescent="0.25">
      <c r="B10" s="182"/>
      <c r="C10" s="202" t="s">
        <v>81</v>
      </c>
      <c r="D10" s="202" t="s">
        <v>82</v>
      </c>
      <c r="E10" s="24" t="s">
        <v>83</v>
      </c>
      <c r="F10" s="12" t="s">
        <v>64</v>
      </c>
      <c r="G10" s="20">
        <f>SUMIFS(Anexo_4[base_imponible_18],Anexo_4[gastos_operativos_kpi],$E$10,Anexo_4[periodo],$G$7)+SUMIFS(Anexo_4[base_imponible_10],Anexo_4[gastos_operativos_kpi],$E$10,Anexo_4[periodo],$G$7)+SUMIFS(Anexo_4[base_no_grabada],Anexo_4[gastos_operativos_kpi],$E$10,Anexo_4[periodo],$G$7)</f>
        <v>0</v>
      </c>
      <c r="H10" s="20">
        <f>SUMIFS(Anexo_4[base_imponible_18],Anexo_4[gastos_operativos_kpi],$E$10,Anexo_4[periodo],$H$7)+SUMIFS(Anexo_4[base_imponible_10],Anexo_4[gastos_operativos_kpi],$E$10,Anexo_4[periodo],$H$7)+SUMIFS(Anexo_4[base_no_grabada],Anexo_4[gastos_operativos_kpi],$E$10,Anexo_4[periodo],$H$7)</f>
        <v>0</v>
      </c>
      <c r="I10" s="20">
        <f>SUMIFS(Anexo_4[base_imponible_18],Anexo_4[gastos_operativos_kpi],$E$10,Anexo_4[periodo],$I$7)+SUMIFS(Anexo_4[base_imponible_10],Anexo_4[gastos_operativos_kpi],$E$10,Anexo_4[periodo],$I$7)+SUMIFS(Anexo_4[base_no_grabada],Anexo_4[gastos_operativos_kpi],$E$10,Anexo_4[periodo],$I$7)</f>
        <v>0</v>
      </c>
      <c r="J10" s="20">
        <f>SUMIFS(Anexo_4[base_imponible_18],Anexo_4[gastos_operativos_kpi],$E$10,Anexo_4[periodo],$J$7)+SUMIFS(Anexo_4[base_imponible_10],Anexo_4[gastos_operativos_kpi],$E$10,Anexo_4[periodo],$J$7)+SUMIFS(Anexo_4[base_no_grabada],Anexo_4[gastos_operativos_kpi],$E$10,Anexo_4[periodo],$J$7)</f>
        <v>0</v>
      </c>
      <c r="K10" s="20">
        <f>SUMIFS(Anexo_4[base_imponible_18],Anexo_4[gastos_operativos_kpi],$E$10,Anexo_4[periodo],$K$7)+SUMIFS(Anexo_4[base_imponible_10],Anexo_4[gastos_operativos_kpi],$E$10,Anexo_4[periodo],$K$7)+SUMIFS(Anexo_4[base_no_grabada],Anexo_4[gastos_operativos_kpi],$E$10,Anexo_4[periodo],$K$7)</f>
        <v>0</v>
      </c>
      <c r="L10" s="20">
        <f>SUMIFS(Anexo_4[base_imponible_18],Anexo_4[gastos_operativos_kpi],$E$10,Anexo_4[periodo],$L$7)+SUMIFS(Anexo_4[base_imponible_10],Anexo_4[gastos_operativos_kpi],$E$10,Anexo_4[periodo],$L$7)+SUMIFS(Anexo_4[base_no_grabada],Anexo_4[gastos_operativos_kpi],$E$10,Anexo_4[periodo],$L$7)</f>
        <v>15040.69</v>
      </c>
      <c r="M10" s="20">
        <f>SUMIFS(Anexo_4[base_imponible_18],Anexo_4[gastos_operativos_kpi],$E$10,Anexo_4[periodo],$M$7)+SUMIFS(Anexo_4[base_imponible_10],Anexo_4[gastos_operativos_kpi],$E$10,Anexo_4[periodo],$M$7)+SUMIFS(Anexo_4[base_no_grabada],Anexo_4[gastos_operativos_kpi],$E$10,Anexo_4[periodo],$M$7)</f>
        <v>8148.3100000000013</v>
      </c>
      <c r="N10" s="20">
        <f>SUMIFS(Anexo_4[base_imponible_18],Anexo_4[gastos_operativos_kpi],$E$10,Anexo_4[periodo],$N$7)+SUMIFS(Anexo_4[base_imponible_10],Anexo_4[gastos_operativos_kpi],$E$10,Anexo_4[periodo],$N$7)+SUMIFS(Anexo_4[base_no_grabada],Anexo_4[gastos_operativos_kpi],$E$10,Anexo_4[periodo],$N$7)</f>
        <v>7318.6400000000012</v>
      </c>
      <c r="O10" s="20">
        <f>SUMIFS(Anexo_4[base_imponible_18],Anexo_4[gastos_operativos_kpi],$E$10,Anexo_4[periodo],$O$7)+SUMIFS(Anexo_4[base_imponible_10],Anexo_4[gastos_operativos_kpi],$E$10,Anexo_4[periodo],$O$7)+SUMIFS(Anexo_4[base_no_grabada],Anexo_4[gastos_operativos_kpi],$E$10,Anexo_4[periodo],$O$7)</f>
        <v>8298.31</v>
      </c>
      <c r="P10" s="20">
        <f>SUMIFS(Anexo_4[base_imponible_18],Anexo_4[gastos_operativos_kpi],$E$10,Anexo_4[periodo],$P$7)+SUMIFS(Anexo_4[base_imponible_10],Anexo_4[gastos_operativos_kpi],$E$10,Anexo_4[periodo],$P$7)+SUMIFS(Anexo_4[base_no_grabada],Anexo_4[gastos_operativos_kpi],$E$10,Anexo_4[periodo],$P$7)</f>
        <v>0</v>
      </c>
      <c r="Q10" s="20">
        <f>SUMIFS(Anexo_4[base_imponible_18],Anexo_4[gastos_operativos_kpi],$E$10,Anexo_4[periodo],$Q$7)+SUMIFS(Anexo_4[base_imponible_10],Anexo_4[gastos_operativos_kpi],$E$10,Anexo_4[periodo],$Q$7)+SUMIFS(Anexo_4[base_no_grabada],Anexo_4[gastos_operativos_kpi],$E$10,Anexo_4[periodo],$Q$7)</f>
        <v>0</v>
      </c>
      <c r="R10" s="20">
        <f>SUMIFS(Anexo_4[base_imponible_18],Anexo_4[gastos_operativos_kpi],$E$10,Anexo_4[periodo],$R$7)+SUMIFS(Anexo_4[base_imponible_10],Anexo_4[gastos_operativos_kpi],$E$10,Anexo_4[periodo],$R$7)+SUMIFS(Anexo_4[base_no_grabada],Anexo_4[gastos_operativos_kpi],$E$10,Anexo_4[periodo],$R$7)</f>
        <v>0</v>
      </c>
      <c r="S10" s="25">
        <f t="shared" ref="S10:S17" si="0">SUM(G10:R10)</f>
        <v>38805.949999999997</v>
      </c>
      <c r="T10" s="25">
        <f t="shared" ref="T10:T17" si="1">AVERAGE(G10:R10)</f>
        <v>3233.8291666666664</v>
      </c>
    </row>
    <row r="11" spans="2:20" ht="22.5" customHeight="1" x14ac:dyDescent="0.25">
      <c r="B11" s="182"/>
      <c r="C11" s="203"/>
      <c r="D11" s="203"/>
      <c r="E11" s="24" t="s">
        <v>84</v>
      </c>
      <c r="F11" s="12" t="s">
        <v>64</v>
      </c>
      <c r="G11" s="20">
        <f>SUMIFS(Anexo_4[base_imponible_18],Anexo_4[gastos_operativos_kpi],$E$11,Anexo_4[periodo],$G$7)+SUMIFS(Anexo_4[base_imponible_10],Anexo_4[gastos_operativos_kpi],$E$11,Anexo_4[periodo],$G$7)+SUMIFS(Anexo_4[base_no_grabada],Anexo_4[gastos_operativos_kpi],$E$11,Anexo_4[periodo],$G$7)</f>
        <v>0</v>
      </c>
      <c r="H11" s="20">
        <f>SUMIFS(Anexo_4[base_imponible_18],Anexo_4[gastos_operativos_kpi],$E$11,Anexo_4[periodo],$H$7)+SUMIFS(Anexo_4[base_imponible_10],Anexo_4[gastos_operativos_kpi],$E$11,Anexo_4[periodo],$H$7)+SUMIFS(Anexo_4[base_no_grabada],Anexo_4[gastos_operativos_kpi],$E$11,Anexo_4[periodo],$H$7)</f>
        <v>0</v>
      </c>
      <c r="I11" s="20">
        <f>SUMIFS(Anexo_4[base_imponible_18],Anexo_4[gastos_operativos_kpi],$E$11,Anexo_4[periodo],$I$7)+SUMIFS(Anexo_4[base_imponible_10],Anexo_4[gastos_operativos_kpi],$E$11,Anexo_4[periodo],$I$7)+SUMIFS(Anexo_4[base_no_grabada],Anexo_4[gastos_operativos_kpi],$E$11,Anexo_4[periodo],$I$7)</f>
        <v>0</v>
      </c>
      <c r="J11" s="20">
        <f>SUMIFS(Anexo_4[base_imponible_18],Anexo_4[gastos_operativos_kpi],$E$11,Anexo_4[periodo],$J$7)+SUMIFS(Anexo_4[base_imponible_10],Anexo_4[gastos_operativos_kpi],$E$11,Anexo_4[periodo],$J$7)+SUMIFS(Anexo_4[base_no_grabada],Anexo_4[gastos_operativos_kpi],$E$11,Anexo_4[periodo],$J$7)</f>
        <v>0</v>
      </c>
      <c r="K11" s="20">
        <f>SUMIFS(Anexo_4[base_imponible_18],Anexo_4[gastos_operativos_kpi],$E$11,Anexo_4[periodo],$K$7)+SUMIFS(Anexo_4[base_imponible_10],Anexo_4[gastos_operativos_kpi],$E$11,Anexo_4[periodo],$K$7)+SUMIFS(Anexo_4[base_no_grabada],Anexo_4[gastos_operativos_kpi],$E$11,Anexo_4[periodo],$K$7)</f>
        <v>0</v>
      </c>
      <c r="L11" s="20">
        <f>SUMIFS(Anexo_4[base_imponible_18],Anexo_4[gastos_operativos_kpi],$E$11,Anexo_4[periodo],$L$7)+SUMIFS(Anexo_4[base_imponible_10],Anexo_4[gastos_operativos_kpi],$E$11,Anexo_4[periodo],$L$7)+SUMIFS(Anexo_4[base_no_grabada],Anexo_4[gastos_operativos_kpi],$E$11,Anexo_4[periodo],$L$7)</f>
        <v>306.78999999999985</v>
      </c>
      <c r="M11" s="20">
        <f>SUMIFS(Anexo_4[base_imponible_18],Anexo_4[gastos_operativos_kpi],$E$11,Anexo_4[periodo],$M$7)+SUMIFS(Anexo_4[base_imponible_10],Anexo_4[gastos_operativos_kpi],$E$11,Anexo_4[periodo],$M$7)+SUMIFS(Anexo_4[base_no_grabada],Anexo_4[gastos_operativos_kpi],$E$11,Anexo_4[periodo],$M$7)</f>
        <v>417.74999999999989</v>
      </c>
      <c r="N11" s="20">
        <f>SUMIFS(Anexo_4[base_imponible_18],Anexo_4[gastos_operativos_kpi],$E$11,Anexo_4[periodo],$N$7)+SUMIFS(Anexo_4[base_imponible_10],Anexo_4[gastos_operativos_kpi],$E$11,Anexo_4[periodo],$N$7)+SUMIFS(Anexo_4[base_no_grabada],Anexo_4[gastos_operativos_kpi],$E$11,Anexo_4[periodo],$N$7)</f>
        <v>233.90999999999997</v>
      </c>
      <c r="O11" s="20">
        <f>SUMIFS(Anexo_4[base_imponible_18],Anexo_4[gastos_operativos_kpi],$E$11,Anexo_4[periodo],$O$7)+SUMIFS(Anexo_4[base_imponible_10],Anexo_4[gastos_operativos_kpi],$E$11,Anexo_4[periodo],$O$7)+SUMIFS(Anexo_4[base_no_grabada],Anexo_4[gastos_operativos_kpi],$E$11,Anexo_4[periodo],$O$7)</f>
        <v>183.05999999999997</v>
      </c>
      <c r="P11" s="20">
        <f>SUMIFS(Anexo_4[base_imponible_18],Anexo_4[gastos_operativos_kpi],$E$11,Anexo_4[periodo],$P$7)+SUMIFS(Anexo_4[base_imponible_10],Anexo_4[gastos_operativos_kpi],$E$11,Anexo_4[periodo],$P$7)+SUMIFS(Anexo_4[base_no_grabada],Anexo_4[gastos_operativos_kpi],$E$11,Anexo_4[periodo],$P$7)</f>
        <v>0</v>
      </c>
      <c r="Q11" s="20">
        <f>SUMIFS(Anexo_4[base_imponible_18],Anexo_4[gastos_operativos_kpi],$E$11,Anexo_4[periodo],$Q$7)+SUMIFS(Anexo_4[base_imponible_10],Anexo_4[gastos_operativos_kpi],$E$11,Anexo_4[periodo],$Q$7)+SUMIFS(Anexo_4[base_no_grabada],Anexo_4[gastos_operativos_kpi],$E$11,Anexo_4[periodo],$Q$7)</f>
        <v>0</v>
      </c>
      <c r="R11" s="20">
        <f>SUMIFS(Anexo_4[base_imponible_18],Anexo_4[gastos_operativos_kpi],$E$11,Anexo_4[periodo],$R$7)+SUMIFS(Anexo_4[base_imponible_10],Anexo_4[gastos_operativos_kpi],$E$11,Anexo_4[periodo],$R$7)+SUMIFS(Anexo_4[base_no_grabada],Anexo_4[gastos_operativos_kpi],$E$11,Anexo_4[periodo],$R$7)</f>
        <v>0</v>
      </c>
      <c r="S11" s="25">
        <f t="shared" si="0"/>
        <v>1141.5099999999998</v>
      </c>
      <c r="T11" s="25">
        <f t="shared" si="1"/>
        <v>95.125833333333318</v>
      </c>
    </row>
    <row r="12" spans="2:20" ht="22.5" customHeight="1" x14ac:dyDescent="0.25">
      <c r="B12" s="182"/>
      <c r="C12" s="203"/>
      <c r="D12" s="203"/>
      <c r="E12" s="24" t="s">
        <v>85</v>
      </c>
      <c r="F12" s="12" t="s">
        <v>64</v>
      </c>
      <c r="G12" s="20">
        <f>SUMIFS(Anexo_4[base_imponible_18],Anexo_4[gastos_operativos_kpi],$E$12,Anexo_4[periodo],$G$7)+SUMIFS(Anexo_4[base_imponible_10],Anexo_4[gastos_operativos_kpi],$E$12,Anexo_4[periodo],$G$7)+SUMIFS(Anexo_4[base_no_grabada],Anexo_4[gastos_operativos_kpi],$E$12,Anexo_4[periodo],$G$7)</f>
        <v>0</v>
      </c>
      <c r="H12" s="20">
        <f>SUMIFS(Anexo_4[base_imponible_18],Anexo_4[gastos_operativos_kpi],$E$12,Anexo_4[periodo],$H$7)+SUMIFS(Anexo_4[base_imponible_10],Anexo_4[gastos_operativos_kpi],$E$12,Anexo_4[periodo],$H$7)+SUMIFS(Anexo_4[base_no_grabada],Anexo_4[gastos_operativos_kpi],$E$12,Anexo_4[periodo],$H$7)</f>
        <v>0</v>
      </c>
      <c r="I12" s="20">
        <f>SUMIFS(Anexo_4[base_imponible_18],Anexo_4[gastos_operativos_kpi],$E$12,Anexo_4[periodo],$I$7)+SUMIFS(Anexo_4[base_imponible_10],Anexo_4[gastos_operativos_kpi],$E$12,Anexo_4[periodo],$I$7)+SUMIFS(Anexo_4[base_no_grabada],Anexo_4[gastos_operativos_kpi],$E$12,Anexo_4[periodo],$I$7)</f>
        <v>0</v>
      </c>
      <c r="J12" s="20">
        <f>SUMIFS(Anexo_4[base_imponible_18],Anexo_4[gastos_operativos_kpi],$E$12,Anexo_4[periodo],$J$7)+SUMIFS(Anexo_4[base_imponible_10],Anexo_4[gastos_operativos_kpi],$E$12,Anexo_4[periodo],$J$7)+SUMIFS(Anexo_4[base_no_grabada],Anexo_4[gastos_operativos_kpi],$E$12,Anexo_4[periodo],$J$7)</f>
        <v>0</v>
      </c>
      <c r="K12" s="20">
        <f>SUMIFS(Anexo_4[base_imponible_18],Anexo_4[gastos_operativos_kpi],$E$12,Anexo_4[periodo],$K$7)+SUMIFS(Anexo_4[base_imponible_10],Anexo_4[gastos_operativos_kpi],$E$12,Anexo_4[periodo],$K$7)+SUMIFS(Anexo_4[base_no_grabada],Anexo_4[gastos_operativos_kpi],$E$12,Anexo_4[periodo],$K$7)</f>
        <v>0</v>
      </c>
      <c r="L12" s="20">
        <f>SUMIFS(Anexo_4[base_imponible_18],Anexo_4[gastos_operativos_kpi],$E$12,Anexo_4[periodo],$L$7)+SUMIFS(Anexo_4[base_imponible_10],Anexo_4[gastos_operativos_kpi],$E$12,Anexo_4[periodo],$L$7)+SUMIFS(Anexo_4[base_no_grabada],Anexo_4[gastos_operativos_kpi],$E$12,Anexo_4[periodo],$L$7)</f>
        <v>253.27999999999997</v>
      </c>
      <c r="M12" s="20">
        <f>SUMIFS(Anexo_4[base_imponible_18],Anexo_4[gastos_operativos_kpi],$E$12,Anexo_4[periodo],$M$7)+SUMIFS(Anexo_4[base_imponible_10],Anexo_4[gastos_operativos_kpi],$E$12,Anexo_4[periodo],$M$7)+SUMIFS(Anexo_4[base_no_grabada],Anexo_4[gastos_operativos_kpi],$E$12,Anexo_4[periodo],$M$7)</f>
        <v>273.68999999999994</v>
      </c>
      <c r="N12" s="20">
        <f>SUMIFS(Anexo_4[base_imponible_18],Anexo_4[gastos_operativos_kpi],$E$12,Anexo_4[periodo],$N$7)+SUMIFS(Anexo_4[base_imponible_10],Anexo_4[gastos_operativos_kpi],$E$12,Anexo_4[periodo],$N$7)+SUMIFS(Anexo_4[base_no_grabada],Anexo_4[gastos_operativos_kpi],$E$12,Anexo_4[periodo],$N$7)</f>
        <v>213.45999999999998</v>
      </c>
      <c r="O12" s="20">
        <f>SUMIFS(Anexo_4[base_imponible_18],Anexo_4[gastos_operativos_kpi],$E$12,Anexo_4[periodo],$O$7)+SUMIFS(Anexo_4[base_imponible_10],Anexo_4[gastos_operativos_kpi],$E$12,Anexo_4[periodo],$O$7)+SUMIFS(Anexo_4[base_no_grabada],Anexo_4[gastos_operativos_kpi],$E$12,Anexo_4[periodo],$O$7)</f>
        <v>151.65</v>
      </c>
      <c r="P12" s="20">
        <f>SUMIFS(Anexo_4[base_imponible_18],Anexo_4[gastos_operativos_kpi],$E$12,Anexo_4[periodo],$P$7)+SUMIFS(Anexo_4[base_imponible_10],Anexo_4[gastos_operativos_kpi],$E$12,Anexo_4[periodo],$P$7)+SUMIFS(Anexo_4[base_no_grabada],Anexo_4[gastos_operativos_kpi],$E$12,Anexo_4[periodo],$P$7)</f>
        <v>0</v>
      </c>
      <c r="Q12" s="20">
        <f>SUMIFS(Anexo_4[base_imponible_18],Anexo_4[gastos_operativos_kpi],$E$12,Anexo_4[periodo],$Q$7)+SUMIFS(Anexo_4[base_imponible_10],Anexo_4[gastos_operativos_kpi],$E$12,Anexo_4[periodo],$Q$7)+SUMIFS(Anexo_4[base_no_grabada],Anexo_4[gastos_operativos_kpi],$E$12,Anexo_4[periodo],$Q$7)</f>
        <v>0</v>
      </c>
      <c r="R12" s="20">
        <f>SUMIFS(Anexo_4[base_imponible_18],Anexo_4[gastos_operativos_kpi],$E$12,Anexo_4[periodo],$R$7)+SUMIFS(Anexo_4[base_imponible_10],Anexo_4[gastos_operativos_kpi],$E$12,Anexo_4[periodo],$R$7)+SUMIFS(Anexo_4[base_no_grabada],Anexo_4[gastos_operativos_kpi],$E$12,Anexo_4[periodo],$R$7)</f>
        <v>0</v>
      </c>
      <c r="S12" s="25">
        <f t="shared" si="0"/>
        <v>892.07999999999981</v>
      </c>
      <c r="T12" s="25">
        <f t="shared" si="1"/>
        <v>74.339999999999989</v>
      </c>
    </row>
    <row r="13" spans="2:20" ht="22.5" customHeight="1" x14ac:dyDescent="0.25">
      <c r="B13" s="182"/>
      <c r="C13" s="203"/>
      <c r="D13" s="203"/>
      <c r="E13" s="24" t="s">
        <v>86</v>
      </c>
      <c r="F13" s="12" t="s">
        <v>64</v>
      </c>
      <c r="G13" s="20">
        <f>SUMIFS(Anexo_4[base_imponible_18],Anexo_4[gastos_operativos_kpi],$E$13,Anexo_4[periodo],$G$7)+SUMIFS(Anexo_4[base_imponible_10],Anexo_4[gastos_operativos_kpi],$E$13,Anexo_4[periodo],$G$7)+SUMIFS(Anexo_4[base_no_grabada],Anexo_4[gastos_operativos_kpi],$E$13,Anexo_4[periodo],$G$7)</f>
        <v>0</v>
      </c>
      <c r="H13" s="20">
        <f>SUMIFS(Anexo_4[base_imponible_18],Anexo_4[gastos_operativos_kpi],$E$13,Anexo_4[periodo],$H$7)+SUMIFS(Anexo_4[base_imponible_10],Anexo_4[gastos_operativos_kpi],$E$13,Anexo_4[periodo],$H$7)+SUMIFS(Anexo_4[base_no_grabada],Anexo_4[gastos_operativos_kpi],$E$13,Anexo_4[periodo],$H$7)</f>
        <v>0</v>
      </c>
      <c r="I13" s="20">
        <f>SUMIFS(Anexo_4[base_imponible_18],Anexo_4[gastos_operativos_kpi],$E$13,Anexo_4[periodo],$I$7)+SUMIFS(Anexo_4[base_imponible_10],Anexo_4[gastos_operativos_kpi],$E$13,Anexo_4[periodo],$I$7)+SUMIFS(Anexo_4[base_no_grabada],Anexo_4[gastos_operativos_kpi],$E$13,Anexo_4[periodo],$I$7)</f>
        <v>0</v>
      </c>
      <c r="J13" s="20">
        <f>SUMIFS(Anexo_4[base_imponible_18],Anexo_4[gastos_operativos_kpi],$E$13,Anexo_4[periodo],$J$7)+SUMIFS(Anexo_4[base_imponible_10],Anexo_4[gastos_operativos_kpi],$E$13,Anexo_4[periodo],$J$7)+SUMIFS(Anexo_4[base_no_grabada],Anexo_4[gastos_operativos_kpi],$E$13,Anexo_4[periodo],$J$7)</f>
        <v>0</v>
      </c>
      <c r="K13" s="20">
        <f>SUMIFS(Anexo_4[base_imponible_18],Anexo_4[gastos_operativos_kpi],$E$13,Anexo_4[periodo],$K$7)+SUMIFS(Anexo_4[base_imponible_10],Anexo_4[gastos_operativos_kpi],$E$13,Anexo_4[periodo],$K$7)+SUMIFS(Anexo_4[base_no_grabada],Anexo_4[gastos_operativos_kpi],$E$13,Anexo_4[periodo],$K$7)</f>
        <v>0</v>
      </c>
      <c r="L13" s="20">
        <f>SUMIFS(Anexo_4[base_imponible_18],Anexo_4[gastos_operativos_kpi],$E$13,Anexo_4[periodo],$L$7)+SUMIFS(Anexo_4[base_imponible_10],Anexo_4[gastos_operativos_kpi],$E$13,Anexo_4[periodo],$L$7)+SUMIFS(Anexo_4[base_no_grabada],Anexo_4[gastos_operativos_kpi],$E$13,Anexo_4[periodo],$L$7)</f>
        <v>4207.5</v>
      </c>
      <c r="M13" s="20">
        <f>SUMIFS(Anexo_4[base_imponible_18],Anexo_4[gastos_operativos_kpi],$E$13,Anexo_4[periodo],$M$7)+SUMIFS(Anexo_4[base_imponible_10],Anexo_4[gastos_operativos_kpi],$E$13,Anexo_4[periodo],$M$7)+SUMIFS(Anexo_4[base_no_grabada],Anexo_4[gastos_operativos_kpi],$E$13,Anexo_4[periodo],$M$7)</f>
        <v>2188.75</v>
      </c>
      <c r="N13" s="20">
        <f>SUMIFS(Anexo_4[base_imponible_18],Anexo_4[gastos_operativos_kpi],$E$13,Anexo_4[periodo],$N$7)+SUMIFS(Anexo_4[base_imponible_10],Anexo_4[gastos_operativos_kpi],$E$13,Anexo_4[periodo],$N$7)+SUMIFS(Anexo_4[base_no_grabada],Anexo_4[gastos_operativos_kpi],$E$13,Anexo_4[periodo],$N$7)</f>
        <v>1643.75</v>
      </c>
      <c r="O13" s="20">
        <f>SUMIFS(Anexo_4[base_imponible_18],Anexo_4[gastos_operativos_kpi],$E$13,Anexo_4[periodo],$O$7)+SUMIFS(Anexo_4[base_imponible_10],Anexo_4[gastos_operativos_kpi],$E$13,Anexo_4[periodo],$O$7)+SUMIFS(Anexo_4[base_no_grabada],Anexo_4[gastos_operativos_kpi],$E$13,Anexo_4[periodo],$O$7)</f>
        <v>1190</v>
      </c>
      <c r="P13" s="20">
        <f>SUMIFS(Anexo_4[base_imponible_18],Anexo_4[gastos_operativos_kpi],$E$13,Anexo_4[periodo],$P$7)+SUMIFS(Anexo_4[base_imponible_10],Anexo_4[gastos_operativos_kpi],$E$13,Anexo_4[periodo],$P$7)+SUMIFS(Anexo_4[base_no_grabada],Anexo_4[gastos_operativos_kpi],$E$13,Anexo_4[periodo],$P$7)</f>
        <v>0</v>
      </c>
      <c r="Q13" s="20">
        <f>SUMIFS(Anexo_4[base_imponible_18],Anexo_4[gastos_operativos_kpi],$E$13,Anexo_4[periodo],$Q$7)+SUMIFS(Anexo_4[base_imponible_10],Anexo_4[gastos_operativos_kpi],$E$13,Anexo_4[periodo],$Q$7)+SUMIFS(Anexo_4[base_no_grabada],Anexo_4[gastos_operativos_kpi],$E$13,Anexo_4[periodo],$Q$7)</f>
        <v>0</v>
      </c>
      <c r="R13" s="20">
        <f>SUMIFS(Anexo_4[base_imponible_18],Anexo_4[gastos_operativos_kpi],$E$13,Anexo_4[periodo],$R$7)+SUMIFS(Anexo_4[base_imponible_10],Anexo_4[gastos_operativos_kpi],$E$13,Anexo_4[periodo],$R$7)+SUMIFS(Anexo_4[base_no_grabada],Anexo_4[gastos_operativos_kpi],$E$13,Anexo_4[periodo],$R$7)</f>
        <v>0</v>
      </c>
      <c r="S13" s="25">
        <f t="shared" si="0"/>
        <v>9230</v>
      </c>
      <c r="T13" s="25">
        <f t="shared" si="1"/>
        <v>769.16666666666663</v>
      </c>
    </row>
    <row r="14" spans="2:20" ht="22.5" customHeight="1" x14ac:dyDescent="0.25">
      <c r="B14" s="182"/>
      <c r="C14" s="203"/>
      <c r="D14" s="203"/>
      <c r="E14" s="24" t="s">
        <v>87</v>
      </c>
      <c r="F14" s="12" t="s">
        <v>64</v>
      </c>
      <c r="G14" s="20">
        <f>SUMIFS(Anexo_4[base_imponible_18],Anexo_4[gastos_operativos_kpi],$E$14,Anexo_4[periodo],$G$7)+SUMIFS(Anexo_4[base_imponible_10],Anexo_4[gastos_operativos_kpi],$E$14,Anexo_4[periodo],$G$7)+SUMIFS(Anexo_4[base_no_grabada],Anexo_4[gastos_operativos_kpi],$E$14,Anexo_4[periodo],$G$7)</f>
        <v>0</v>
      </c>
      <c r="H14" s="20">
        <f>SUMIFS(Anexo_4[base_imponible_18],Anexo_4[gastos_operativos_kpi],$E$14,Anexo_4[periodo],$H$7)+SUMIFS(Anexo_4[base_imponible_10],Anexo_4[gastos_operativos_kpi],$E$14,Anexo_4[periodo],$H$7)+SUMIFS(Anexo_4[base_no_grabada],Anexo_4[gastos_operativos_kpi],$E$14,Anexo_4[periodo],$H$7)</f>
        <v>0</v>
      </c>
      <c r="I14" s="20">
        <f>SUMIFS(Anexo_4[base_imponible_18],Anexo_4[gastos_operativos_kpi],$E$14,Anexo_4[periodo],$I$7)+SUMIFS(Anexo_4[base_imponible_10],Anexo_4[gastos_operativos_kpi],$E$14,Anexo_4[periodo],$I$7)+SUMIFS(Anexo_4[base_no_grabada],Anexo_4[gastos_operativos_kpi],$E$14,Anexo_4[periodo],$I$7)</f>
        <v>0</v>
      </c>
      <c r="J14" s="20">
        <f>SUMIFS(Anexo_4[base_imponible_18],Anexo_4[gastos_operativos_kpi],$E$14,Anexo_4[periodo],$J$7)+SUMIFS(Anexo_4[base_imponible_10],Anexo_4[gastos_operativos_kpi],$E$14,Anexo_4[periodo],$J$7)+SUMIFS(Anexo_4[base_no_grabada],Anexo_4[gastos_operativos_kpi],$E$14,Anexo_4[periodo],$J$7)</f>
        <v>0</v>
      </c>
      <c r="K14" s="20">
        <f>SUMIFS(Anexo_4[base_imponible_18],Anexo_4[gastos_operativos_kpi],$E$14,Anexo_4[periodo],$K$7)+SUMIFS(Anexo_4[base_imponible_10],Anexo_4[gastos_operativos_kpi],$E$14,Anexo_4[periodo],$K$7)+SUMIFS(Anexo_4[base_no_grabada],Anexo_4[gastos_operativos_kpi],$E$14,Anexo_4[periodo],$K$7)</f>
        <v>0</v>
      </c>
      <c r="L14" s="20">
        <f>SUMIFS(Anexo_4[base_imponible_18],Anexo_4[gastos_operativos_kpi],$E$14,Anexo_4[periodo],$L$7)+SUMIFS(Anexo_4[base_imponible_10],Anexo_4[gastos_operativos_kpi],$E$14,Anexo_4[periodo],$L$7)+SUMIFS(Anexo_4[base_no_grabada],Anexo_4[gastos_operativos_kpi],$E$14,Anexo_4[periodo],$L$7)</f>
        <v>0</v>
      </c>
      <c r="M14" s="20">
        <f>SUMIFS(Anexo_4[base_imponible_18],Anexo_4[gastos_operativos_kpi],$E$14,Anexo_4[periodo],$M$7)+SUMIFS(Anexo_4[base_imponible_10],Anexo_4[gastos_operativos_kpi],$E$14,Anexo_4[periodo],$M$7)+SUMIFS(Anexo_4[base_no_grabada],Anexo_4[gastos_operativos_kpi],$E$14,Anexo_4[periodo],$M$7)</f>
        <v>330</v>
      </c>
      <c r="N14" s="20">
        <f>SUMIFS(Anexo_4[base_imponible_18],Anexo_4[gastos_operativos_kpi],$E$14,Anexo_4[periodo],$N$7)+SUMIFS(Anexo_4[base_imponible_10],Anexo_4[gastos_operativos_kpi],$E$14,Anexo_4[periodo],$N$7)+SUMIFS(Anexo_4[base_no_grabada],Anexo_4[gastos_operativos_kpi],$E$14,Anexo_4[periodo],$N$7)</f>
        <v>0</v>
      </c>
      <c r="O14" s="20">
        <f>SUMIFS(Anexo_4[base_imponible_18],Anexo_4[gastos_operativos_kpi],$E$14,Anexo_4[periodo],$O$7)+SUMIFS(Anexo_4[base_imponible_10],Anexo_4[gastos_operativos_kpi],$E$14,Anexo_4[periodo],$O$7)+SUMIFS(Anexo_4[base_no_grabada],Anexo_4[gastos_operativos_kpi],$E$14,Anexo_4[periodo],$O$7)</f>
        <v>0</v>
      </c>
      <c r="P14" s="20">
        <f>SUMIFS(Anexo_4[base_imponible_18],Anexo_4[gastos_operativos_kpi],$E$14,Anexo_4[periodo],$P$7)+SUMIFS(Anexo_4[base_imponible_10],Anexo_4[gastos_operativos_kpi],$E$14,Anexo_4[periodo],$P$7)+SUMIFS(Anexo_4[base_no_grabada],Anexo_4[gastos_operativos_kpi],$E$14,Anexo_4[periodo],$P$7)</f>
        <v>0</v>
      </c>
      <c r="Q14" s="20">
        <f>SUMIFS(Anexo_4[base_imponible_18],Anexo_4[gastos_operativos_kpi],$E$14,Anexo_4[periodo],$Q$7)+SUMIFS(Anexo_4[base_imponible_10],Anexo_4[gastos_operativos_kpi],$E$14,Anexo_4[periodo],$Q$7)+SUMIFS(Anexo_4[base_no_grabada],Anexo_4[gastos_operativos_kpi],$E$14,Anexo_4[periodo],$Q$7)</f>
        <v>0</v>
      </c>
      <c r="R14" s="20">
        <f>SUMIFS(Anexo_4[base_imponible_18],Anexo_4[gastos_operativos_kpi],$E$14,Anexo_4[periodo],$R$7)+SUMIFS(Anexo_4[base_imponible_10],Anexo_4[gastos_operativos_kpi],$E$14,Anexo_4[periodo],$R$7)+SUMIFS(Anexo_4[base_no_grabada],Anexo_4[gastos_operativos_kpi],$E$14,Anexo_4[periodo],$R$7)</f>
        <v>0</v>
      </c>
      <c r="S14" s="25">
        <f t="shared" si="0"/>
        <v>330</v>
      </c>
      <c r="T14" s="25">
        <f t="shared" si="1"/>
        <v>27.5</v>
      </c>
    </row>
    <row r="15" spans="2:20" ht="22.5" customHeight="1" x14ac:dyDescent="0.25">
      <c r="B15" s="182"/>
      <c r="C15" s="203"/>
      <c r="D15" s="203"/>
      <c r="E15" s="24" t="s">
        <v>88</v>
      </c>
      <c r="F15" s="12" t="s">
        <v>64</v>
      </c>
      <c r="G15" s="20">
        <f>SUMIFS(Anexo_4[base_imponible_18],Anexo_4[gastos_operativos_kpi],$E$15,Anexo_4[periodo],$G$7)+SUMIFS(Anexo_4[base_imponible_10],Anexo_4[gastos_operativos_kpi],$E$15,Anexo_4[periodo],$G$7)+SUMIFS(Anexo_4[base_no_grabada],Anexo_4[gastos_operativos_kpi],$E$15,Anexo_4[periodo],$G$7)</f>
        <v>0</v>
      </c>
      <c r="H15" s="20">
        <f>SUMIFS(Anexo_4[base_imponible_18],Anexo_4[gastos_operativos_kpi],$E$15,Anexo_4[periodo],$H$7)+SUMIFS(Anexo_4[base_imponible_10],Anexo_4[gastos_operativos_kpi],$E$15,Anexo_4[periodo],$H$7)+SUMIFS(Anexo_4[base_no_grabada],Anexo_4[gastos_operativos_kpi],$E$15,Anexo_4[periodo],$H$7)</f>
        <v>0</v>
      </c>
      <c r="I15" s="20">
        <f>SUMIFS(Anexo_4[base_imponible_18],Anexo_4[gastos_operativos_kpi],$E$15,Anexo_4[periodo],$I$7)+SUMIFS(Anexo_4[base_imponible_10],Anexo_4[gastos_operativos_kpi],$E$15,Anexo_4[periodo],$I$7)+SUMIFS(Anexo_4[base_no_grabada],Anexo_4[gastos_operativos_kpi],$E$15,Anexo_4[periodo],$I$7)</f>
        <v>0</v>
      </c>
      <c r="J15" s="20">
        <f>SUMIFS(Anexo_4[base_imponible_18],Anexo_4[gastos_operativos_kpi],$E$15,Anexo_4[periodo],$J$7)+SUMIFS(Anexo_4[base_imponible_10],Anexo_4[gastos_operativos_kpi],$E$15,Anexo_4[periodo],$J$7)+SUMIFS(Anexo_4[base_no_grabada],Anexo_4[gastos_operativos_kpi],$E$15,Anexo_4[periodo],$J$7)</f>
        <v>0</v>
      </c>
      <c r="K15" s="20">
        <f>SUMIFS(Anexo_4[base_imponible_18],Anexo_4[gastos_operativos_kpi],$E$15,Anexo_4[periodo],$K$7)+SUMIFS(Anexo_4[base_imponible_10],Anexo_4[gastos_operativos_kpi],$E$15,Anexo_4[periodo],$K$7)+SUMIFS(Anexo_4[base_no_grabada],Anexo_4[gastos_operativos_kpi],$E$15,Anexo_4[periodo],$K$7)</f>
        <v>0</v>
      </c>
      <c r="L15" s="20">
        <f>SUMIFS(Anexo_4[base_imponible_18],Anexo_4[gastos_operativos_kpi],$E$15,Anexo_4[periodo],$L$7)+SUMIFS(Anexo_4[base_imponible_10],Anexo_4[gastos_operativos_kpi],$E$15,Anexo_4[periodo],$L$7)+SUMIFS(Anexo_4[base_no_grabada],Anexo_4[gastos_operativos_kpi],$E$15,Anexo_4[periodo],$L$7)</f>
        <v>16437.48</v>
      </c>
      <c r="M15" s="20">
        <f>SUMIFS(Anexo_4[base_imponible_18],Anexo_4[gastos_operativos_kpi],$E$15,Anexo_4[periodo],$M$7)+SUMIFS(Anexo_4[base_imponible_10],Anexo_4[gastos_operativos_kpi],$E$15,Anexo_4[periodo],$M$7)+SUMIFS(Anexo_4[base_no_grabada],Anexo_4[gastos_operativos_kpi],$E$15,Anexo_4[periodo],$M$7)</f>
        <v>26297</v>
      </c>
      <c r="N15" s="20">
        <f>SUMIFS(Anexo_4[base_imponible_18],Anexo_4[gastos_operativos_kpi],$E$15,Anexo_4[periodo],$N$7)+SUMIFS(Anexo_4[base_imponible_10],Anexo_4[gastos_operativos_kpi],$E$15,Anexo_4[periodo],$N$7)+SUMIFS(Anexo_4[base_no_grabada],Anexo_4[gastos_operativos_kpi],$E$15,Anexo_4[periodo],$N$7)</f>
        <v>15935.08</v>
      </c>
      <c r="O15" s="20">
        <f>SUMIFS(Anexo_4[base_imponible_18],Anexo_4[gastos_operativos_kpi],$E$15,Anexo_4[periodo],$O$7)+SUMIFS(Anexo_4[base_imponible_10],Anexo_4[gastos_operativos_kpi],$E$15,Anexo_4[periodo],$O$7)+SUMIFS(Anexo_4[base_no_grabada],Anexo_4[gastos_operativos_kpi],$E$15,Anexo_4[periodo],$O$7)</f>
        <v>22731.919999999998</v>
      </c>
      <c r="P15" s="20">
        <f>SUMIFS(Anexo_4[base_imponible_18],Anexo_4[gastos_operativos_kpi],$E$15,Anexo_4[periodo],$P$7)+SUMIFS(Anexo_4[base_imponible_10],Anexo_4[gastos_operativos_kpi],$E$15,Anexo_4[periodo],$P$7)+SUMIFS(Anexo_4[base_no_grabada],Anexo_4[gastos_operativos_kpi],$E$15,Anexo_4[periodo],$P$7)</f>
        <v>0</v>
      </c>
      <c r="Q15" s="20">
        <f>SUMIFS(Anexo_4[base_imponible_18],Anexo_4[gastos_operativos_kpi],$E$15,Anexo_4[periodo],$Q$7)+SUMIFS(Anexo_4[base_imponible_10],Anexo_4[gastos_operativos_kpi],$E$15,Anexo_4[periodo],$Q$7)+SUMIFS(Anexo_4[base_no_grabada],Anexo_4[gastos_operativos_kpi],$E$15,Anexo_4[periodo],$Q$7)</f>
        <v>0</v>
      </c>
      <c r="R15" s="20">
        <f>SUMIFS(Anexo_4[base_imponible_18],Anexo_4[gastos_operativos_kpi],$E$15,Anexo_4[periodo],$R$7)+SUMIFS(Anexo_4[base_imponible_10],Anexo_4[gastos_operativos_kpi],$E$15,Anexo_4[periodo],$R$7)+SUMIFS(Anexo_4[base_no_grabada],Anexo_4[gastos_operativos_kpi],$E$15,Anexo_4[periodo],$R$7)</f>
        <v>0</v>
      </c>
      <c r="S15" s="25">
        <f t="shared" si="0"/>
        <v>81401.48</v>
      </c>
      <c r="T15" s="25">
        <f t="shared" si="1"/>
        <v>6783.456666666666</v>
      </c>
    </row>
    <row r="16" spans="2:20" ht="22.5" customHeight="1" x14ac:dyDescent="0.25">
      <c r="B16" s="182"/>
      <c r="C16" s="203"/>
      <c r="D16" s="203"/>
      <c r="E16" s="24" t="s">
        <v>89</v>
      </c>
      <c r="F16" s="12" t="s">
        <v>64</v>
      </c>
      <c r="G16" s="20">
        <f>SUMIFS(Anexo_4[base_imponible_18],Anexo_4[gastos_operativos_kpi],$E$16,Anexo_4[periodo],$G$7)+SUMIFS(Anexo_4[base_imponible_10],Anexo_4[gastos_operativos_kpi],$E$16,Anexo_4[periodo],$G$7)+SUMIFS(Anexo_4[base_no_grabada],Anexo_4[gastos_operativos_kpi],$E$16,Anexo_4[periodo],$G$7)</f>
        <v>0</v>
      </c>
      <c r="H16" s="20">
        <f>SUMIFS(Anexo_4[base_imponible_18],Anexo_4[gastos_operativos_kpi],$E$16,Anexo_4[periodo],$H$7)+SUMIFS(Anexo_4[base_imponible_10],Anexo_4[gastos_operativos_kpi],$E$16,Anexo_4[periodo],$H$7)+SUMIFS(Anexo_4[base_no_grabada],Anexo_4[gastos_operativos_kpi],$E$16,Anexo_4[periodo],$H$7)</f>
        <v>0</v>
      </c>
      <c r="I16" s="20">
        <f>SUMIFS(Anexo_4[base_imponible_18],Anexo_4[gastos_operativos_kpi],$E$16,Anexo_4[periodo],$I$7)+SUMIFS(Anexo_4[base_imponible_10],Anexo_4[gastos_operativos_kpi],$E$16,Anexo_4[periodo],$I$7)+SUMIFS(Anexo_4[base_no_grabada],Anexo_4[gastos_operativos_kpi],$E$16,Anexo_4[periodo],$I$7)</f>
        <v>0</v>
      </c>
      <c r="J16" s="20">
        <f>SUMIFS(Anexo_4[base_imponible_18],Anexo_4[gastos_operativos_kpi],$E$16,Anexo_4[periodo],$J$7)+SUMIFS(Anexo_4[base_imponible_10],Anexo_4[gastos_operativos_kpi],$E$16,Anexo_4[periodo],$J$7)+SUMIFS(Anexo_4[base_no_grabada],Anexo_4[gastos_operativos_kpi],$E$16,Anexo_4[periodo],$J$7)</f>
        <v>0</v>
      </c>
      <c r="K16" s="20">
        <f>SUMIFS(Anexo_4[base_imponible_18],Anexo_4[gastos_operativos_kpi],$E$16,Anexo_4[periodo],$K$7)+SUMIFS(Anexo_4[base_imponible_10],Anexo_4[gastos_operativos_kpi],$E$16,Anexo_4[periodo],$K$7)+SUMIFS(Anexo_4[base_no_grabada],Anexo_4[gastos_operativos_kpi],$E$16,Anexo_4[periodo],$K$7)</f>
        <v>0</v>
      </c>
      <c r="L16" s="20">
        <f>SUMIFS(Anexo_4[base_imponible_18],Anexo_4[gastos_operativos_kpi],$E$16,Anexo_4[periodo],$L$7)+SUMIFS(Anexo_4[base_imponible_10],Anexo_4[gastos_operativos_kpi],$E$16,Anexo_4[periodo],$L$7)+SUMIFS(Anexo_4[base_no_grabada],Anexo_4[gastos_operativos_kpi],$E$16,Anexo_4[periodo],$L$7)</f>
        <v>362.6</v>
      </c>
      <c r="M16" s="20">
        <f>SUMIFS(Anexo_4[base_imponible_18],Anexo_4[gastos_operativos_kpi],$E$16,Anexo_4[periodo],$M$7)+SUMIFS(Anexo_4[base_imponible_10],Anexo_4[gastos_operativos_kpi],$E$16,Anexo_4[periodo],$M$7)+SUMIFS(Anexo_4[base_no_grabada],Anexo_4[gastos_operativos_kpi],$E$16,Anexo_4[periodo],$M$7)</f>
        <v>1220.28</v>
      </c>
      <c r="N16" s="20">
        <f>SUMIFS(Anexo_4[base_imponible_18],Anexo_4[gastos_operativos_kpi],$E$16,Anexo_4[periodo],$N$7)+SUMIFS(Anexo_4[base_imponible_10],Anexo_4[gastos_operativos_kpi],$E$16,Anexo_4[periodo],$N$7)+SUMIFS(Anexo_4[base_no_grabada],Anexo_4[gastos_operativos_kpi],$E$16,Anexo_4[periodo],$N$7)</f>
        <v>1907.3400000000001</v>
      </c>
      <c r="O16" s="20">
        <f>SUMIFS(Anexo_4[base_imponible_18],Anexo_4[gastos_operativos_kpi],$E$16,Anexo_4[periodo],$O$7)+SUMIFS(Anexo_4[base_imponible_10],Anexo_4[gastos_operativos_kpi],$E$16,Anexo_4[periodo],$O$7)+SUMIFS(Anexo_4[base_no_grabada],Anexo_4[gastos_operativos_kpi],$E$16,Anexo_4[periodo],$O$7)</f>
        <v>3369.27</v>
      </c>
      <c r="P16" s="20">
        <f>SUMIFS(Anexo_4[base_imponible_18],Anexo_4[gastos_operativos_kpi],$E$16,Anexo_4[periodo],$P$7)+SUMIFS(Anexo_4[base_imponible_10],Anexo_4[gastos_operativos_kpi],$E$16,Anexo_4[periodo],$P$7)+SUMIFS(Anexo_4[base_no_grabada],Anexo_4[gastos_operativos_kpi],$E$16,Anexo_4[periodo],$P$7)</f>
        <v>0</v>
      </c>
      <c r="Q16" s="20">
        <f>SUMIFS(Anexo_4[base_imponible_18],Anexo_4[gastos_operativos_kpi],$E$16,Anexo_4[periodo],$Q$7)+SUMIFS(Anexo_4[base_imponible_10],Anexo_4[gastos_operativos_kpi],$E$16,Anexo_4[periodo],$Q$7)+SUMIFS(Anexo_4[base_no_grabada],Anexo_4[gastos_operativos_kpi],$E$16,Anexo_4[periodo],$Q$7)</f>
        <v>0</v>
      </c>
      <c r="R16" s="20">
        <f>SUMIFS(Anexo_4[base_imponible_18],Anexo_4[gastos_operativos_kpi],$E$16,Anexo_4[periodo],$R$7)+SUMIFS(Anexo_4[base_imponible_10],Anexo_4[gastos_operativos_kpi],$E$16,Anexo_4[periodo],$R$7)+SUMIFS(Anexo_4[base_no_grabada],Anexo_4[gastos_operativos_kpi],$E$16,Anexo_4[periodo],$R$7)</f>
        <v>0</v>
      </c>
      <c r="S16" s="25">
        <f t="shared" si="0"/>
        <v>6859.49</v>
      </c>
      <c r="T16" s="25">
        <f t="shared" si="1"/>
        <v>571.62416666666661</v>
      </c>
    </row>
    <row r="17" spans="2:20" ht="22.5" customHeight="1" x14ac:dyDescent="0.25">
      <c r="B17" s="182"/>
      <c r="C17" s="203"/>
      <c r="D17" s="203"/>
      <c r="E17" s="24" t="s">
        <v>90</v>
      </c>
      <c r="F17" s="12" t="s">
        <v>64</v>
      </c>
      <c r="G17" s="20">
        <f>SUMIFS(Anexo_4[base_imponible_18],Anexo_4[gastos_operativos_kpi],$E$17,Anexo_4[periodo],$G$7)+SUMIFS(Anexo_4[base_imponible_10],Anexo_4[gastos_operativos_kpi],$E$17,Anexo_4[periodo],$G$7)+SUMIFS(Anexo_4[base_no_grabada],Anexo_4[gastos_operativos_kpi],$E$17,Anexo_4[periodo],$G$7)</f>
        <v>0</v>
      </c>
      <c r="H17" s="20">
        <f>SUMIFS(Anexo_4[base_imponible_18],Anexo_4[gastos_operativos_kpi],$E$17,Anexo_4[periodo],$H$7)+SUMIFS(Anexo_4[base_imponible_10],Anexo_4[gastos_operativos_kpi],$E$17,Anexo_4[periodo],$H$7)+SUMIFS(Anexo_4[base_no_grabada],Anexo_4[gastos_operativos_kpi],$E$17,Anexo_4[periodo],$H$7)</f>
        <v>0</v>
      </c>
      <c r="I17" s="20">
        <f>SUMIFS(Anexo_4[base_imponible_18],Anexo_4[gastos_operativos_kpi],$E$17,Anexo_4[periodo],$I$7)+SUMIFS(Anexo_4[base_imponible_10],Anexo_4[gastos_operativos_kpi],$E$17,Anexo_4[periodo],$I$7)+SUMIFS(Anexo_4[base_no_grabada],Anexo_4[gastos_operativos_kpi],$E$17,Anexo_4[periodo],$I$7)</f>
        <v>0</v>
      </c>
      <c r="J17" s="20">
        <f>SUMIFS(Anexo_4[base_imponible_18],Anexo_4[gastos_operativos_kpi],$E$17,Anexo_4[periodo],$J$7)+SUMIFS(Anexo_4[base_imponible_10],Anexo_4[gastos_operativos_kpi],$E$17,Anexo_4[periodo],$J$7)+SUMIFS(Anexo_4[base_no_grabada],Anexo_4[gastos_operativos_kpi],$E$17,Anexo_4[periodo],$J$7)</f>
        <v>0</v>
      </c>
      <c r="K17" s="20">
        <f>SUMIFS(Anexo_4[base_imponible_18],Anexo_4[gastos_operativos_kpi],$E$17,Anexo_4[periodo],$K$7)+SUMIFS(Anexo_4[base_imponible_10],Anexo_4[gastos_operativos_kpi],$E$17,Anexo_4[periodo],$K$7)+SUMIFS(Anexo_4[base_no_grabada],Anexo_4[gastos_operativos_kpi],$E$17,Anexo_4[periodo],$K$7)</f>
        <v>0</v>
      </c>
      <c r="L17" s="20">
        <f>SUMIFS(Anexo_4[base_imponible_18],Anexo_4[gastos_operativos_kpi],$E$17,Anexo_4[periodo],$L$7)+SUMIFS(Anexo_4[base_imponible_10],Anexo_4[gastos_operativos_kpi],$E$17,Anexo_4[periodo],$L$7)+SUMIFS(Anexo_4[base_no_grabada],Anexo_4[gastos_operativos_kpi],$E$17,Anexo_4[periodo],$L$7)</f>
        <v>0</v>
      </c>
      <c r="M17" s="20">
        <f>SUMIFS(Anexo_4[base_imponible_18],Anexo_4[gastos_operativos_kpi],$E$17,Anexo_4[periodo],$M$7)+SUMIFS(Anexo_4[base_imponible_10],Anexo_4[gastos_operativos_kpi],$E$17,Anexo_4[periodo],$M$7)+SUMIFS(Anexo_4[base_no_grabada],Anexo_4[gastos_operativos_kpi],$E$17,Anexo_4[periodo],$M$7)</f>
        <v>0</v>
      </c>
      <c r="N17" s="20">
        <f>SUMIFS(Anexo_4[base_imponible_18],Anexo_4[gastos_operativos_kpi],$E$17,Anexo_4[periodo],$N$7)+SUMIFS(Anexo_4[base_imponible_10],Anexo_4[gastos_operativos_kpi],$E$17,Anexo_4[periodo],$N$7)+SUMIFS(Anexo_4[base_no_grabada],Anexo_4[gastos_operativos_kpi],$E$17,Anexo_4[periodo],$N$7)</f>
        <v>0</v>
      </c>
      <c r="O17" s="20">
        <f>SUMIFS(Anexo_4[base_imponible_18],Anexo_4[gastos_operativos_kpi],$E$17,Anexo_4[periodo],$O$7)+SUMIFS(Anexo_4[base_imponible_10],Anexo_4[gastos_operativos_kpi],$E$17,Anexo_4[periodo],$O$7)+SUMIFS(Anexo_4[base_no_grabada],Anexo_4[gastos_operativos_kpi],$E$17,Anexo_4[periodo],$O$7)</f>
        <v>0</v>
      </c>
      <c r="P17" s="20">
        <f>SUMIFS(Anexo_4[base_imponible_18],Anexo_4[gastos_operativos_kpi],$E$17,Anexo_4[periodo],$P$7)+SUMIFS(Anexo_4[base_imponible_10],Anexo_4[gastos_operativos_kpi],$E$17,Anexo_4[periodo],$P$7)+SUMIFS(Anexo_4[base_no_grabada],Anexo_4[gastos_operativos_kpi],$E$17,Anexo_4[periodo],$P$7)</f>
        <v>0</v>
      </c>
      <c r="Q17" s="20">
        <f>SUMIFS(Anexo_4[base_imponible_18],Anexo_4[gastos_operativos_kpi],$E$17,Anexo_4[periodo],$Q$7)+SUMIFS(Anexo_4[base_imponible_10],Anexo_4[gastos_operativos_kpi],$E$17,Anexo_4[periodo],$Q$7)+SUMIFS(Anexo_4[base_no_grabada],Anexo_4[gastos_operativos_kpi],$E$17,Anexo_4[periodo],$Q$7)</f>
        <v>0</v>
      </c>
      <c r="R17" s="20">
        <f>SUMIFS(Anexo_4[base_imponible_18],Anexo_4[gastos_operativos_kpi],$E$17,Anexo_4[periodo],$R$7)+SUMIFS(Anexo_4[base_imponible_10],Anexo_4[gastos_operativos_kpi],$E$17,Anexo_4[periodo],$R$7)+SUMIFS(Anexo_4[base_no_grabada],Anexo_4[gastos_operativos_kpi],$E$17,Anexo_4[periodo],$R$7)</f>
        <v>0</v>
      </c>
      <c r="S17" s="25">
        <f t="shared" si="0"/>
        <v>0</v>
      </c>
      <c r="T17" s="25">
        <f t="shared" si="1"/>
        <v>0</v>
      </c>
    </row>
    <row r="18" spans="2:20" ht="22.5" customHeight="1" x14ac:dyDescent="0.25">
      <c r="B18" s="182"/>
      <c r="C18" s="203"/>
      <c r="D18" s="203"/>
      <c r="E18" s="24" t="s">
        <v>91</v>
      </c>
      <c r="F18" s="12" t="s">
        <v>64</v>
      </c>
      <c r="G18" s="20">
        <f>'DETALLE GASTOS FIJOS Y VARIABLE'!$F$34*$G$47</f>
        <v>0</v>
      </c>
      <c r="H18" s="20">
        <f>'DETALLE GASTOS FIJOS Y VARIABLE'!$G$34*$H$47</f>
        <v>0</v>
      </c>
      <c r="I18" s="20">
        <f>+'DETALLE GASTOS FIJOS Y VARIABLE'!$H$34*$I$47</f>
        <v>0</v>
      </c>
      <c r="J18" s="20">
        <f>'DETALLE GASTOS FIJOS Y VARIABLE'!$I$34*$J$47</f>
        <v>0</v>
      </c>
      <c r="K18" s="20">
        <f>'DETALLE GASTOS FIJOS Y VARIABLE'!$J$34*$K$47</f>
        <v>0</v>
      </c>
      <c r="L18" s="20">
        <f>'DETALLE GASTOS FIJOS Y VARIABLE'!$K$34*$L$47</f>
        <v>0</v>
      </c>
      <c r="M18" s="20">
        <f>'DETALLE GASTOS FIJOS Y VARIABLE'!$L$34*$M$47</f>
        <v>0</v>
      </c>
      <c r="N18" s="20">
        <f>'DETALLE GASTOS FIJOS Y VARIABLE'!$M$34*$N$47</f>
        <v>0</v>
      </c>
      <c r="O18" s="20">
        <f>'DETALLE GASTOS FIJOS Y VARIABLE'!$N$34*$O$47</f>
        <v>0</v>
      </c>
      <c r="P18" s="20">
        <f>'DETALLE GASTOS FIJOS Y VARIABLE'!$O$34*$P$47</f>
        <v>0</v>
      </c>
      <c r="Q18" s="20">
        <f>'DETALLE GASTOS FIJOS Y VARIABLE'!$P$34*$Q$47</f>
        <v>0</v>
      </c>
      <c r="R18" s="20">
        <f>'DETALLE GASTOS FIJOS Y VARIABLE'!$Q$34*$R$47</f>
        <v>0</v>
      </c>
      <c r="S18" s="25">
        <f>'DETALLE GASTOS FIJOS Y VARIABLE'!$R$34*$S$47</f>
        <v>0</v>
      </c>
      <c r="T18" s="25">
        <f>'DETALLE GASTOS FIJOS Y VARIABLE'!$S$34*$T$47</f>
        <v>0</v>
      </c>
    </row>
    <row r="19" spans="2:20" ht="22.5" customHeight="1" x14ac:dyDescent="0.25">
      <c r="B19" s="182"/>
      <c r="C19" s="203"/>
      <c r="D19" s="204"/>
      <c r="E19" s="24" t="s">
        <v>92</v>
      </c>
      <c r="F19" s="12" t="s">
        <v>64</v>
      </c>
      <c r="G19" s="20">
        <f>+'DETALLE GASTOS FIJOS Y VARIABLE'!$F$38*$G$47</f>
        <v>0</v>
      </c>
      <c r="H19" s="20">
        <f>+'DETALLE GASTOS FIJOS Y VARIABLE'!$G$38*$H$47</f>
        <v>0</v>
      </c>
      <c r="I19" s="20">
        <f>+'DETALLE GASTOS FIJOS Y VARIABLE'!$H$38*$I$47</f>
        <v>0</v>
      </c>
      <c r="J19" s="20">
        <f>+'DETALLE GASTOS FIJOS Y VARIABLE'!$I$38*$J$47</f>
        <v>0</v>
      </c>
      <c r="K19" s="20">
        <f>+'DETALLE GASTOS FIJOS Y VARIABLE'!$J$38*$K$47</f>
        <v>0</v>
      </c>
      <c r="L19" s="20">
        <f>+'DETALLE GASTOS FIJOS Y VARIABLE'!$K$38*$L$47</f>
        <v>0</v>
      </c>
      <c r="M19" s="20">
        <f>+'DETALLE GASTOS FIJOS Y VARIABLE'!$L$38*$M$47</f>
        <v>0</v>
      </c>
      <c r="N19" s="20">
        <f>+'DETALLE GASTOS FIJOS Y VARIABLE'!$M$38*$N$47</f>
        <v>0</v>
      </c>
      <c r="O19" s="20">
        <f>+'DETALLE GASTOS FIJOS Y VARIABLE'!$N$38*$O$47</f>
        <v>0</v>
      </c>
      <c r="P19" s="20">
        <f>+'DETALLE GASTOS FIJOS Y VARIABLE'!$O$38*$P$47</f>
        <v>0</v>
      </c>
      <c r="Q19" s="20">
        <f>+'DETALLE GASTOS FIJOS Y VARIABLE'!$P$38*$Q$47</f>
        <v>0</v>
      </c>
      <c r="R19" s="20">
        <f>+'DETALLE GASTOS FIJOS Y VARIABLE'!$Q$38*$R$47</f>
        <v>0</v>
      </c>
      <c r="S19" s="25">
        <f>+'DETALLE GASTOS FIJOS Y VARIABLE'!$R$38*$S$47</f>
        <v>0</v>
      </c>
      <c r="T19" s="25">
        <f>+'DETALLE GASTOS FIJOS Y VARIABLE'!$S$38*$T$47</f>
        <v>0</v>
      </c>
    </row>
    <row r="20" spans="2:20" ht="3.75" customHeight="1" x14ac:dyDescent="0.25">
      <c r="B20" s="182"/>
      <c r="C20" s="203"/>
      <c r="D20" s="93"/>
      <c r="E20" s="94"/>
      <c r="F20" s="95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7"/>
      <c r="T20" s="97"/>
    </row>
    <row r="21" spans="2:20" ht="22.5" customHeight="1" x14ac:dyDescent="0.25">
      <c r="B21" s="182"/>
      <c r="C21" s="203"/>
      <c r="D21" s="205" t="s">
        <v>93</v>
      </c>
      <c r="E21" s="24" t="s">
        <v>94</v>
      </c>
      <c r="F21" s="12" t="s">
        <v>64</v>
      </c>
      <c r="G21" s="20">
        <f>SUMIFS(Anexo_4[base_imponible_18],Anexo_4[gastos_operativos_kpi],$E$21,Anexo_4[periodo],$G$7)+SUMIFS(Anexo_4[base_imponible_10],Anexo_4[gastos_operativos_kpi],$E$21,Anexo_4[periodo],$G$7)+SUMIFS(Anexo_4[base_no_grabada],Anexo_4[gastos_operativos_kpi],$E$21,Anexo_4[periodo],$G$7)</f>
        <v>0</v>
      </c>
      <c r="H21" s="20">
        <f>SUMIFS(Anexo_4[base_imponible_18],Anexo_4[gastos_operativos_kpi],$E$21,Anexo_4[periodo],$H$7)+SUMIFS(Anexo_4[base_imponible_10],Anexo_4[gastos_operativos_kpi],$E$21,Anexo_4[periodo],$H$7)+SUMIFS(Anexo_4[base_no_grabada],Anexo_4[gastos_operativos_kpi],$E$21,Anexo_4[periodo],$H$7)</f>
        <v>0</v>
      </c>
      <c r="I21" s="20">
        <f>SUMIFS(Anexo_4[base_imponible_18],Anexo_4[gastos_operativos_kpi],$E$21,Anexo_4[periodo],$I$7)+SUMIFS(Anexo_4[base_imponible_10],Anexo_4[gastos_operativos_kpi],$E$21,Anexo_4[periodo],$I$7)+SUMIFS(Anexo_4[base_no_grabada],Anexo_4[gastos_operativos_kpi],$E$21,Anexo_4[periodo],$I$7)</f>
        <v>0</v>
      </c>
      <c r="J21" s="20">
        <f>SUMIFS(Anexo_4[base_imponible_18],Anexo_4[gastos_operativos_kpi],$E$21,Anexo_4[periodo],$J$7)+SUMIFS(Anexo_4[base_imponible_10],Anexo_4[gastos_operativos_kpi],$E$21,Anexo_4[periodo],$J$7)+SUMIFS(Anexo_4[base_no_grabada],Anexo_4[gastos_operativos_kpi],$E$21,Anexo_4[periodo],$J$7)</f>
        <v>0</v>
      </c>
      <c r="K21" s="20">
        <f>SUMIFS(Anexo_4[base_imponible_18],Anexo_4[gastos_operativos_kpi],$E$21,Anexo_4[periodo],$K$7)+SUMIFS(Anexo_4[base_imponible_10],Anexo_4[gastos_operativos_kpi],$E$21,Anexo_4[periodo],$K$7)+SUMIFS(Anexo_4[base_no_grabada],Anexo_4[gastos_operativos_kpi],$E$21,Anexo_4[periodo],$K$7)</f>
        <v>0</v>
      </c>
      <c r="L21" s="20">
        <f>SUMIFS(Anexo_4[base_imponible_18],Anexo_4[gastos_operativos_kpi],$E$21,Anexo_4[periodo],$L$7)+SUMIFS(Anexo_4[base_imponible_10],Anexo_4[gastos_operativos_kpi],$E$21,Anexo_4[periodo],$L$7)+SUMIFS(Anexo_4[base_no_grabada],Anexo_4[gastos_operativos_kpi],$E$21,Anexo_4[periodo],$L$7)</f>
        <v>3391.5299999999997</v>
      </c>
      <c r="M21" s="20">
        <f>SUMIFS(Anexo_4[base_imponible_18],Anexo_4[gastos_operativos_kpi],$E$21,Anexo_4[periodo],$M$7)+SUMIFS(Anexo_4[base_imponible_10],Anexo_4[gastos_operativos_kpi],$E$21,Anexo_4[periodo],$M$7)+SUMIFS(Anexo_4[base_no_grabada],Anexo_4[gastos_operativos_kpi],$E$21,Anexo_4[periodo],$M$7)</f>
        <v>2263.5700000000002</v>
      </c>
      <c r="N21" s="20">
        <f>SUMIFS(Anexo_4[base_imponible_18],Anexo_4[gastos_operativos_kpi],$E$21,Anexo_4[periodo],$N$7)+SUMIFS(Anexo_4[base_imponible_10],Anexo_4[gastos_operativos_kpi],$E$21,Anexo_4[periodo],$N$7)+SUMIFS(Anexo_4[base_no_grabada],Anexo_4[gastos_operativos_kpi],$E$21,Anexo_4[periodo],$N$7)</f>
        <v>7670.34</v>
      </c>
      <c r="O21" s="20">
        <f>SUMIFS(Anexo_4[base_imponible_18],Anexo_4[gastos_operativos_kpi],$E$21,Anexo_4[periodo],$O$7)+SUMIFS(Anexo_4[base_imponible_10],Anexo_4[gastos_operativos_kpi],$E$21,Anexo_4[periodo],$O$7)+SUMIFS(Anexo_4[base_no_grabada],Anexo_4[gastos_operativos_kpi],$E$21,Anexo_4[periodo],$O$7)</f>
        <v>4466.1000000000004</v>
      </c>
      <c r="P21" s="20">
        <f>SUMIFS(Anexo_4[base_imponible_18],Anexo_4[gastos_operativos_kpi],$E$21,Anexo_4[periodo],$P$7)+SUMIFS(Anexo_4[base_imponible_10],Anexo_4[gastos_operativos_kpi],$E$21,Anexo_4[periodo],$P$7)+SUMIFS(Anexo_4[base_no_grabada],Anexo_4[gastos_operativos_kpi],$E$21,Anexo_4[periodo],$P$7)</f>
        <v>0</v>
      </c>
      <c r="Q21" s="20">
        <f>SUMIFS(Anexo_4[base_imponible_18],Anexo_4[gastos_operativos_kpi],$E$21,Anexo_4[periodo],$Q$7)+SUMIFS(Anexo_4[base_imponible_10],Anexo_4[gastos_operativos_kpi],$E$21,Anexo_4[periodo],$Q$7)+SUMIFS(Anexo_4[base_no_grabada],Anexo_4[gastos_operativos_kpi],$E$21,Anexo_4[periodo],$Q$7)</f>
        <v>0</v>
      </c>
      <c r="R21" s="20">
        <f>SUMIFS(Anexo_4[base_imponible_18],Anexo_4[gastos_operativos_kpi],$E$21,Anexo_4[periodo],$R$7)+SUMIFS(Anexo_4[base_imponible_10],Anexo_4[gastos_operativos_kpi],$E$21,Anexo_4[periodo],$R$7)+SUMIFS(Anexo_4[base_no_grabada],Anexo_4[gastos_operativos_kpi],$E$21,Anexo_4[periodo],$R$7)</f>
        <v>0</v>
      </c>
      <c r="S21" s="25">
        <f t="shared" ref="S21:S25" si="2">SUM(G21:R21)</f>
        <v>17791.54</v>
      </c>
      <c r="T21" s="25">
        <f t="shared" ref="T21:T25" si="3">AVERAGE(G21:R21)</f>
        <v>1482.6283333333333</v>
      </c>
    </row>
    <row r="22" spans="2:20" ht="22.5" customHeight="1" x14ac:dyDescent="0.25">
      <c r="B22" s="182"/>
      <c r="C22" s="203"/>
      <c r="D22" s="206"/>
      <c r="E22" s="24" t="s">
        <v>95</v>
      </c>
      <c r="F22" s="12" t="s">
        <v>64</v>
      </c>
      <c r="G22" s="20">
        <f>SUMIFS(Anexo_4[base_imponible_18],Anexo_4[gastos_operativos_kpi],$E$22,Anexo_4[periodo],$G$7)+SUMIFS(Anexo_4[base_imponible_10],Anexo_4[gastos_operativos_kpi],$E$22,Anexo_4[periodo],$G$7)+SUMIFS(Anexo_4[base_no_grabada],Anexo_4[gastos_operativos_kpi],$E$22,Anexo_4[periodo],$G$7)</f>
        <v>0</v>
      </c>
      <c r="H22" s="20">
        <f>SUMIFS(Anexo_4[base_imponible_18],Anexo_4[gastos_operativos_kpi],$E$22,Anexo_4[periodo],$H$7)+SUMIFS(Anexo_4[base_imponible_10],Anexo_4[gastos_operativos_kpi],$E$22,Anexo_4[periodo],$H$7)+SUMIFS(Anexo_4[base_no_grabada],Anexo_4[gastos_operativos_kpi],$E$22,Anexo_4[periodo],$H$7)</f>
        <v>0</v>
      </c>
      <c r="I22" s="20">
        <f>SUMIFS(Anexo_4[base_imponible_18],Anexo_4[gastos_operativos_kpi],$E$22,Anexo_4[periodo],$I$7)+SUMIFS(Anexo_4[base_imponible_10],Anexo_4[gastos_operativos_kpi],$E$22,Anexo_4[periodo],$I$7)+SUMIFS(Anexo_4[base_no_grabada],Anexo_4[gastos_operativos_kpi],$E$22,Anexo_4[periodo],$I$7)</f>
        <v>0</v>
      </c>
      <c r="J22" s="20">
        <f>SUMIFS(Anexo_4[base_imponible_18],Anexo_4[gastos_operativos_kpi],$E$22,Anexo_4[periodo],$J$7)+SUMIFS(Anexo_4[base_imponible_10],Anexo_4[gastos_operativos_kpi],$E$22,Anexo_4[periodo],$J$7)+SUMIFS(Anexo_4[base_no_grabada],Anexo_4[gastos_operativos_kpi],$E$22,Anexo_4[periodo],$J$7)</f>
        <v>0</v>
      </c>
      <c r="K22" s="20">
        <f>SUMIFS(Anexo_4[base_imponible_18],Anexo_4[gastos_operativos_kpi],$E$22,Anexo_4[periodo],$K$7)+SUMIFS(Anexo_4[base_imponible_10],Anexo_4[gastos_operativos_kpi],$E$22,Anexo_4[periodo],$K$7)+SUMIFS(Anexo_4[base_no_grabada],Anexo_4[gastos_operativos_kpi],$E$22,Anexo_4[periodo],$K$7)</f>
        <v>0</v>
      </c>
      <c r="L22" s="20">
        <f>SUMIFS(Anexo_4[base_imponible_18],Anexo_4[gastos_operativos_kpi],$E$22,Anexo_4[periodo],$L$7)+SUMIFS(Anexo_4[base_imponible_10],Anexo_4[gastos_operativos_kpi],$E$22,Anexo_4[periodo],$L$7)+SUMIFS(Anexo_4[base_no_grabada],Anexo_4[gastos_operativos_kpi],$E$22,Anexo_4[periodo],$L$7)</f>
        <v>1139.5199999999998</v>
      </c>
      <c r="M22" s="20">
        <f>SUMIFS(Anexo_4[base_imponible_18],Anexo_4[gastos_operativos_kpi],$E$22,Anexo_4[periodo],$M$7)+SUMIFS(Anexo_4[base_imponible_10],Anexo_4[gastos_operativos_kpi],$E$22,Anexo_4[periodo],$M$7)+SUMIFS(Anexo_4[base_no_grabada],Anexo_4[gastos_operativos_kpi],$E$22,Anexo_4[periodo],$M$7)</f>
        <v>862.58999999999889</v>
      </c>
      <c r="N22" s="20">
        <f>SUMIFS(Anexo_4[base_imponible_18],Anexo_4[gastos_operativos_kpi],$E$22,Anexo_4[periodo],$N$7)+SUMIFS(Anexo_4[base_imponible_10],Anexo_4[gastos_operativos_kpi],$E$22,Anexo_4[periodo],$N$7)+SUMIFS(Anexo_4[base_no_grabada],Anexo_4[gastos_operativos_kpi],$E$22,Anexo_4[periodo],$N$7)</f>
        <v>956.32999999999902</v>
      </c>
      <c r="O22" s="20">
        <f>SUMIFS(Anexo_4[base_imponible_18],Anexo_4[gastos_operativos_kpi],$E$22,Anexo_4[periodo],$O$7)+SUMIFS(Anexo_4[base_imponible_10],Anexo_4[gastos_operativos_kpi],$E$22,Anexo_4[periodo],$O$7)+SUMIFS(Anexo_4[base_no_grabada],Anexo_4[gastos_operativos_kpi],$E$22,Anexo_4[periodo],$O$7)</f>
        <v>1379.9499999999989</v>
      </c>
      <c r="P22" s="20">
        <f>SUMIFS(Anexo_4[base_imponible_18],Anexo_4[gastos_operativos_kpi],$E$22,Anexo_4[periodo],$P$7)+SUMIFS(Anexo_4[base_imponible_10],Anexo_4[gastos_operativos_kpi],$E$22,Anexo_4[periodo],$P$7)+SUMIFS(Anexo_4[base_no_grabada],Anexo_4[gastos_operativos_kpi],$E$22,Anexo_4[periodo],$P$7)</f>
        <v>0</v>
      </c>
      <c r="Q22" s="20">
        <f>SUMIFS(Anexo_4[base_imponible_18],Anexo_4[gastos_operativos_kpi],$E$22,Anexo_4[periodo],$Q$7)+SUMIFS(Anexo_4[base_imponible_10],Anexo_4[gastos_operativos_kpi],$E$22,Anexo_4[periodo],$Q$7)+SUMIFS(Anexo_4[base_no_grabada],Anexo_4[gastos_operativos_kpi],$E$22,Anexo_4[periodo],$Q$7)</f>
        <v>0</v>
      </c>
      <c r="R22" s="20">
        <f>SUMIFS(Anexo_4[base_imponible_18],Anexo_4[gastos_operativos_kpi],$E$22,Anexo_4[periodo],$R$7)+SUMIFS(Anexo_4[base_imponible_10],Anexo_4[gastos_operativos_kpi],$E$22,Anexo_4[periodo],$R$7)+SUMIFS(Anexo_4[base_no_grabada],Anexo_4[gastos_operativos_kpi],$E$22,Anexo_4[periodo],$R$7)</f>
        <v>0</v>
      </c>
      <c r="S22" s="25">
        <f t="shared" si="2"/>
        <v>4338.3899999999967</v>
      </c>
      <c r="T22" s="25">
        <f t="shared" si="3"/>
        <v>361.53249999999974</v>
      </c>
    </row>
    <row r="23" spans="2:20" ht="22.5" customHeight="1" x14ac:dyDescent="0.25">
      <c r="B23" s="182"/>
      <c r="C23" s="203"/>
      <c r="D23" s="206"/>
      <c r="E23" s="24" t="s">
        <v>96</v>
      </c>
      <c r="F23" s="12" t="s">
        <v>64</v>
      </c>
      <c r="G23" s="20">
        <f>SUMIFS(Anexo_4[base_imponible_18],Anexo_4[gastos_operativos_kpi],$E$23,Anexo_4[periodo],$G$7)+SUMIFS(Anexo_4[base_imponible_10],Anexo_4[gastos_operativos_kpi],$E$23,Anexo_4[periodo],$G$7)+SUMIFS(Anexo_4[base_no_grabada],Anexo_4[gastos_operativos_kpi],$E$23,Anexo_4[periodo],$G$7)</f>
        <v>0</v>
      </c>
      <c r="H23" s="20">
        <f>SUMIFS(Anexo_4[base_imponible_18],Anexo_4[gastos_operativos_kpi],$E$23,Anexo_4[periodo],$H$7)+SUMIFS(Anexo_4[base_imponible_10],Anexo_4[gastos_operativos_kpi],$E$23,Anexo_4[periodo],$H$7)+SUMIFS(Anexo_4[base_no_grabada],Anexo_4[gastos_operativos_kpi],$E$23,Anexo_4[periodo],$H$7)</f>
        <v>0</v>
      </c>
      <c r="I23" s="20">
        <f>SUMIFS(Anexo_4[base_imponible_18],Anexo_4[gastos_operativos_kpi],$E$23,Anexo_4[periodo],$I$7)+SUMIFS(Anexo_4[base_imponible_10],Anexo_4[gastos_operativos_kpi],$E$23,Anexo_4[periodo],$I$7)+SUMIFS(Anexo_4[base_no_grabada],Anexo_4[gastos_operativos_kpi],$E$23,Anexo_4[periodo],$I$7)</f>
        <v>0</v>
      </c>
      <c r="J23" s="20">
        <f>SUMIFS(Anexo_4[base_imponible_18],Anexo_4[gastos_operativos_kpi],$E$23,Anexo_4[periodo],$J$7)+SUMIFS(Anexo_4[base_imponible_10],Anexo_4[gastos_operativos_kpi],$E$23,Anexo_4[periodo],$J$7)+SUMIFS(Anexo_4[base_no_grabada],Anexo_4[gastos_operativos_kpi],$E$23,Anexo_4[periodo],$J$7)</f>
        <v>0</v>
      </c>
      <c r="K23" s="20">
        <f>SUMIFS(Anexo_4[base_imponible_18],Anexo_4[gastos_operativos_kpi],$E$23,Anexo_4[periodo],$K$7)+SUMIFS(Anexo_4[base_imponible_10],Anexo_4[gastos_operativos_kpi],$E$23,Anexo_4[periodo],$K$7)+SUMIFS(Anexo_4[base_no_grabada],Anexo_4[gastos_operativos_kpi],$E$23,Anexo_4[periodo],$K$7)</f>
        <v>0</v>
      </c>
      <c r="L23" s="20">
        <f>SUMIFS(Anexo_4[base_imponible_18],Anexo_4[gastos_operativos_kpi],$E$23,Anexo_4[periodo],$L$7)+SUMIFS(Anexo_4[base_imponible_10],Anexo_4[gastos_operativos_kpi],$E$23,Anexo_4[periodo],$L$7)+SUMIFS(Anexo_4[base_no_grabada],Anexo_4[gastos_operativos_kpi],$E$23,Anexo_4[periodo],$L$7)</f>
        <v>493.96000000000004</v>
      </c>
      <c r="M23" s="20">
        <f>SUMIFS(Anexo_4[base_imponible_18],Anexo_4[gastos_operativos_kpi],$E$23,Anexo_4[periodo],$M$7)+SUMIFS(Anexo_4[base_imponible_10],Anexo_4[gastos_operativos_kpi],$E$23,Anexo_4[periodo],$M$7)+SUMIFS(Anexo_4[base_no_grabada],Anexo_4[gastos_operativos_kpi],$E$23,Anexo_4[periodo],$M$7)</f>
        <v>392.88000000000011</v>
      </c>
      <c r="N23" s="20">
        <f>SUMIFS(Anexo_4[base_imponible_18],Anexo_4[gastos_operativos_kpi],$E$23,Anexo_4[periodo],$N$7)+SUMIFS(Anexo_4[base_imponible_10],Anexo_4[gastos_operativos_kpi],$E$23,Anexo_4[periodo],$N$7)+SUMIFS(Anexo_4[base_no_grabada],Anexo_4[gastos_operativos_kpi],$E$23,Anexo_4[periodo],$N$7)</f>
        <v>544.48000000000013</v>
      </c>
      <c r="O23" s="20">
        <f>SUMIFS(Anexo_4[base_imponible_18],Anexo_4[gastos_operativos_kpi],$E$23,Anexo_4[periodo],$O$7)+SUMIFS(Anexo_4[base_imponible_10],Anexo_4[gastos_operativos_kpi],$E$23,Anexo_4[periodo],$O$7)+SUMIFS(Anexo_4[base_no_grabada],Anexo_4[gastos_operativos_kpi],$E$23,Anexo_4[periodo],$O$7)</f>
        <v>698.84000000000037</v>
      </c>
      <c r="P23" s="20">
        <f>SUMIFS(Anexo_4[base_imponible_18],Anexo_4[gastos_operativos_kpi],$E$23,Anexo_4[periodo],$P$7)+SUMIFS(Anexo_4[base_imponible_10],Anexo_4[gastos_operativos_kpi],$E$23,Anexo_4[periodo],$P$7)+SUMIFS(Anexo_4[base_no_grabada],Anexo_4[gastos_operativos_kpi],$E$23,Anexo_4[periodo],$P$7)</f>
        <v>0</v>
      </c>
      <c r="Q23" s="20">
        <f>SUMIFS(Anexo_4[base_imponible_18],Anexo_4[gastos_operativos_kpi],$E$23,Anexo_4[periodo],$Q$7)+SUMIFS(Anexo_4[base_imponible_10],Anexo_4[gastos_operativos_kpi],$E$23,Anexo_4[periodo],$Q$7)+SUMIFS(Anexo_4[base_no_grabada],Anexo_4[gastos_operativos_kpi],$E$23,Anexo_4[periodo],$Q$7)</f>
        <v>0</v>
      </c>
      <c r="R23" s="20">
        <f>SUMIFS(Anexo_4[base_imponible_18],Anexo_4[gastos_operativos_kpi],$E$23,Anexo_4[periodo],$R$7)+SUMIFS(Anexo_4[base_imponible_10],Anexo_4[gastos_operativos_kpi],$E$23,Anexo_4[periodo],$R$7)+SUMIFS(Anexo_4[base_no_grabada],Anexo_4[gastos_operativos_kpi],$E$23,Anexo_4[periodo],$R$7)</f>
        <v>0</v>
      </c>
      <c r="S23" s="25">
        <f t="shared" si="2"/>
        <v>2130.1600000000008</v>
      </c>
      <c r="T23" s="25">
        <f t="shared" si="3"/>
        <v>177.51333333333341</v>
      </c>
    </row>
    <row r="24" spans="2:20" ht="22.5" customHeight="1" x14ac:dyDescent="0.25">
      <c r="B24" s="182"/>
      <c r="C24" s="203"/>
      <c r="D24" s="206"/>
      <c r="E24" s="24" t="s">
        <v>97</v>
      </c>
      <c r="F24" s="12" t="s">
        <v>64</v>
      </c>
      <c r="G24" s="20">
        <f>SUMIFS(Anexo_4[base_imponible_18],Anexo_4[gastos_operativos_kpi],$E$24,Anexo_4[periodo],$G$7)+SUMIFS(Anexo_4[base_imponible_10],Anexo_4[gastos_operativos_kpi],$E$24,Anexo_4[periodo],$G$7)+SUMIFS(Anexo_4[base_no_grabada],Anexo_4[gastos_operativos_kpi],$E$24,Anexo_4[periodo],$G$7)</f>
        <v>0</v>
      </c>
      <c r="H24" s="20">
        <f>SUMIFS(Anexo_4[base_imponible_18],Anexo_4[gastos_operativos_kpi],$E$24,Anexo_4[periodo],$H$7)+SUMIFS(Anexo_4[base_imponible_10],Anexo_4[gastos_operativos_kpi],$E$24,Anexo_4[periodo],$H$7)+SUMIFS(Anexo_4[base_no_grabada],Anexo_4[gastos_operativos_kpi],$E$24,Anexo_4[periodo],$H$7)</f>
        <v>0</v>
      </c>
      <c r="I24" s="20">
        <f>SUMIFS(Anexo_4[base_imponible_18],Anexo_4[gastos_operativos_kpi],$E$24,Anexo_4[periodo],$I$7)+SUMIFS(Anexo_4[base_imponible_10],Anexo_4[gastos_operativos_kpi],$E$24,Anexo_4[periodo],$I$7)+SUMIFS(Anexo_4[base_no_grabada],Anexo_4[gastos_operativos_kpi],$E$24,Anexo_4[periodo],$I$7)</f>
        <v>0</v>
      </c>
      <c r="J24" s="20">
        <f>SUMIFS(Anexo_4[base_imponible_18],Anexo_4[gastos_operativos_kpi],$E$24,Anexo_4[periodo],$J$7)+SUMIFS(Anexo_4[base_imponible_10],Anexo_4[gastos_operativos_kpi],$E$24,Anexo_4[periodo],$J$7)+SUMIFS(Anexo_4[base_no_grabada],Anexo_4[gastos_operativos_kpi],$E$24,Anexo_4[periodo],$J$7)</f>
        <v>0</v>
      </c>
      <c r="K24" s="20">
        <f>SUMIFS(Anexo_4[base_imponible_18],Anexo_4[gastos_operativos_kpi],$E$24,Anexo_4[periodo],$K$7)+SUMIFS(Anexo_4[base_imponible_10],Anexo_4[gastos_operativos_kpi],$E$24,Anexo_4[periodo],$K$7)+SUMIFS(Anexo_4[base_no_grabada],Anexo_4[gastos_operativos_kpi],$E$24,Anexo_4[periodo],$K$7)</f>
        <v>0</v>
      </c>
      <c r="L24" s="20">
        <f>SUMIFS(Anexo_4[base_imponible_18],Anexo_4[gastos_operativos_kpi],$E$24,Anexo_4[periodo],$L$7)+SUMIFS(Anexo_4[base_imponible_10],Anexo_4[gastos_operativos_kpi],$E$24,Anexo_4[periodo],$L$7)+SUMIFS(Anexo_4[base_no_grabada],Anexo_4[gastos_operativos_kpi],$E$24,Anexo_4[periodo],$L$7)</f>
        <v>970</v>
      </c>
      <c r="M24" s="20">
        <f>SUMIFS(Anexo_4[base_imponible_18],Anexo_4[gastos_operativos_kpi],$E$24,Anexo_4[periodo],$M$7)+SUMIFS(Anexo_4[base_imponible_10],Anexo_4[gastos_operativos_kpi],$E$24,Anexo_4[periodo],$M$7)+SUMIFS(Anexo_4[base_no_grabada],Anexo_4[gastos_operativos_kpi],$E$24,Anexo_4[periodo],$M$7)</f>
        <v>3589.25</v>
      </c>
      <c r="N24" s="20">
        <f>SUMIFS(Anexo_4[base_imponible_18],Anexo_4[gastos_operativos_kpi],$E$24,Anexo_4[periodo],$N$7)+SUMIFS(Anexo_4[base_imponible_10],Anexo_4[gastos_operativos_kpi],$E$24,Anexo_4[periodo],$N$7)+SUMIFS(Anexo_4[base_no_grabada],Anexo_4[gastos_operativos_kpi],$E$24,Anexo_4[periodo],$N$7)</f>
        <v>4618.75</v>
      </c>
      <c r="O24" s="20">
        <f>SUMIFS(Anexo_4[base_imponible_18],Anexo_4[gastos_operativos_kpi],$E$24,Anexo_4[periodo],$O$7)+SUMIFS(Anexo_4[base_imponible_10],Anexo_4[gastos_operativos_kpi],$E$24,Anexo_4[periodo],$O$7)+SUMIFS(Anexo_4[base_no_grabada],Anexo_4[gastos_operativos_kpi],$E$24,Anexo_4[periodo],$O$7)</f>
        <v>895</v>
      </c>
      <c r="P24" s="20">
        <f>SUMIFS(Anexo_4[base_imponible_18],Anexo_4[gastos_operativos_kpi],$E$24,Anexo_4[periodo],$P$7)+SUMIFS(Anexo_4[base_imponible_10],Anexo_4[gastos_operativos_kpi],$E$24,Anexo_4[periodo],$P$7)+SUMIFS(Anexo_4[base_no_grabada],Anexo_4[gastos_operativos_kpi],$E$24,Anexo_4[periodo],$P$7)</f>
        <v>0</v>
      </c>
      <c r="Q24" s="20">
        <f>SUMIFS(Anexo_4[base_imponible_18],Anexo_4[gastos_operativos_kpi],$E$24,Anexo_4[periodo],$Q$7)+SUMIFS(Anexo_4[base_imponible_10],Anexo_4[gastos_operativos_kpi],$E$24,Anexo_4[periodo],$Q$7)+SUMIFS(Anexo_4[base_no_grabada],Anexo_4[gastos_operativos_kpi],$E$24,Anexo_4[periodo],$Q$7)</f>
        <v>0</v>
      </c>
      <c r="R24" s="20">
        <f>SUMIFS(Anexo_4[base_imponible_18],Anexo_4[gastos_operativos_kpi],$E$24,Anexo_4[periodo],$R$7)+SUMIFS(Anexo_4[base_imponible_10],Anexo_4[gastos_operativos_kpi],$E$24,Anexo_4[periodo],$R$7)+SUMIFS(Anexo_4[base_no_grabada],Anexo_4[gastos_operativos_kpi],$E$24,Anexo_4[periodo],$R$7)</f>
        <v>0</v>
      </c>
      <c r="S24" s="25">
        <f t="shared" si="2"/>
        <v>10073</v>
      </c>
      <c r="T24" s="25">
        <f t="shared" si="3"/>
        <v>839.41666666666663</v>
      </c>
    </row>
    <row r="25" spans="2:20" ht="22.5" customHeight="1" x14ac:dyDescent="0.25">
      <c r="B25" s="182"/>
      <c r="C25" s="203"/>
      <c r="D25" s="206"/>
      <c r="E25" s="24" t="s">
        <v>98</v>
      </c>
      <c r="F25" s="12" t="s">
        <v>64</v>
      </c>
      <c r="G25" s="20">
        <f>SUMIFS(Anexo_4[base_imponible_18],Anexo_4[gastos_operativos_kpi],$E$25,Anexo_4[periodo],$G$7)+SUMIFS(Anexo_4[base_imponible_10],Anexo_4[gastos_operativos_kpi],$E$25,Anexo_4[periodo],$G$7)+SUMIFS(Anexo_4[base_no_grabada],Anexo_4[gastos_operativos_kpi],$E$25,Anexo_4[periodo],$G$7)</f>
        <v>0</v>
      </c>
      <c r="H25" s="20">
        <f>SUMIFS(Anexo_4[base_imponible_18],Anexo_4[gastos_operativos_kpi],$E$25,Anexo_4[periodo],$H$7)+SUMIFS(Anexo_4[base_imponible_10],Anexo_4[gastos_operativos_kpi],$E$25,Anexo_4[periodo],$H$7)+SUMIFS(Anexo_4[base_no_grabada],Anexo_4[gastos_operativos_kpi],$E$25,Anexo_4[periodo],$H$7)</f>
        <v>0</v>
      </c>
      <c r="I25" s="20">
        <f>SUMIFS(Anexo_4[base_imponible_18],Anexo_4[gastos_operativos_kpi],$E$25,Anexo_4[periodo],$I$7)+SUMIFS(Anexo_4[base_imponible_10],Anexo_4[gastos_operativos_kpi],$E$25,Anexo_4[periodo],$I$7)+SUMIFS(Anexo_4[base_no_grabada],Anexo_4[gastos_operativos_kpi],$E$25,Anexo_4[periodo],$I$7)</f>
        <v>0</v>
      </c>
      <c r="J25" s="20">
        <f>SUMIFS(Anexo_4[base_imponible_18],Anexo_4[gastos_operativos_kpi],$E$25,Anexo_4[periodo],$J$7)+SUMIFS(Anexo_4[base_imponible_10],Anexo_4[gastos_operativos_kpi],$E$25,Anexo_4[periodo],$J$7)+SUMIFS(Anexo_4[base_no_grabada],Anexo_4[gastos_operativos_kpi],$E$25,Anexo_4[periodo],$J$7)</f>
        <v>0</v>
      </c>
      <c r="K25" s="20">
        <f>SUMIFS(Anexo_4[base_imponible_18],Anexo_4[gastos_operativos_kpi],$E$25,Anexo_4[periodo],$K$7)+SUMIFS(Anexo_4[base_imponible_10],Anexo_4[gastos_operativos_kpi],$E$25,Anexo_4[periodo],$K$7)+SUMIFS(Anexo_4[base_no_grabada],Anexo_4[gastos_operativos_kpi],$E$25,Anexo_4[periodo],$K$7)</f>
        <v>0</v>
      </c>
      <c r="L25" s="20">
        <f>SUMIFS(Anexo_4[base_imponible_18],Anexo_4[gastos_operativos_kpi],$E$25,Anexo_4[periodo],$L$7)+SUMIFS(Anexo_4[base_imponible_10],Anexo_4[gastos_operativos_kpi],$E$25,Anexo_4[periodo],$L$7)+SUMIFS(Anexo_4[base_no_grabada],Anexo_4[gastos_operativos_kpi],$E$25,Anexo_4[periodo],$L$7)</f>
        <v>0</v>
      </c>
      <c r="M25" s="20">
        <f>SUMIFS(Anexo_4[base_imponible_18],Anexo_4[gastos_operativos_kpi],$E$25,Anexo_4[periodo],$M$7)+SUMIFS(Anexo_4[base_imponible_10],Anexo_4[gastos_operativos_kpi],$E$25,Anexo_4[periodo],$M$7)+SUMIFS(Anexo_4[base_no_grabada],Anexo_4[gastos_operativos_kpi],$E$25,Anexo_4[periodo],$M$7)</f>
        <v>0</v>
      </c>
      <c r="N25" s="20">
        <f>SUMIFS(Anexo_4[base_imponible_18],Anexo_4[gastos_operativos_kpi],$E$25,Anexo_4[periodo],$N$7)+SUMIFS(Anexo_4[base_imponible_10],Anexo_4[gastos_operativos_kpi],$E$25,Anexo_4[periodo],$N$7)+SUMIFS(Anexo_4[base_no_grabada],Anexo_4[gastos_operativos_kpi],$E$25,Anexo_4[periodo],$N$7)</f>
        <v>0</v>
      </c>
      <c r="O25" s="20">
        <f>SUMIFS(Anexo_4[base_imponible_18],Anexo_4[gastos_operativos_kpi],$E$25,Anexo_4[periodo],$O$7)+SUMIFS(Anexo_4[base_imponible_10],Anexo_4[gastos_operativos_kpi],$E$25,Anexo_4[periodo],$O$7)+SUMIFS(Anexo_4[base_no_grabada],Anexo_4[gastos_operativos_kpi],$E$25,Anexo_4[periodo],$O$7)</f>
        <v>0</v>
      </c>
      <c r="P25" s="20">
        <f>SUMIFS(Anexo_4[base_imponible_18],Anexo_4[gastos_operativos_kpi],$E$25,Anexo_4[periodo],$P$7)+SUMIFS(Anexo_4[base_imponible_10],Anexo_4[gastos_operativos_kpi],$E$25,Anexo_4[periodo],$P$7)+SUMIFS(Anexo_4[base_no_grabada],Anexo_4[gastos_operativos_kpi],$E$25,Anexo_4[periodo],$P$7)</f>
        <v>0</v>
      </c>
      <c r="Q25" s="20">
        <f>SUMIFS(Anexo_4[base_imponible_18],Anexo_4[gastos_operativos_kpi],$E$25,Anexo_4[periodo],$Q$7)+SUMIFS(Anexo_4[base_imponible_10],Anexo_4[gastos_operativos_kpi],$E$25,Anexo_4[periodo],$Q$7)+SUMIFS(Anexo_4[base_no_grabada],Anexo_4[gastos_operativos_kpi],$E$25,Anexo_4[periodo],$Q$7)</f>
        <v>0</v>
      </c>
      <c r="R25" s="20">
        <f>SUMIFS(Anexo_4[base_imponible_18],Anexo_4[gastos_operativos_kpi],$E$25,Anexo_4[periodo],$R$7)+SUMIFS(Anexo_4[base_imponible_10],Anexo_4[gastos_operativos_kpi],$E$25,Anexo_4[periodo],$R$7)+SUMIFS(Anexo_4[base_no_grabada],Anexo_4[gastos_operativos_kpi],$E$25,Anexo_4[periodo],$R$7)</f>
        <v>0</v>
      </c>
      <c r="S25" s="25">
        <f t="shared" si="2"/>
        <v>0</v>
      </c>
      <c r="T25" s="25">
        <f t="shared" si="3"/>
        <v>0</v>
      </c>
    </row>
    <row r="26" spans="2:20" ht="22.5" customHeight="1" x14ac:dyDescent="0.25">
      <c r="B26" s="182"/>
      <c r="C26" s="203"/>
      <c r="D26" s="206"/>
      <c r="E26" s="24" t="s">
        <v>91</v>
      </c>
      <c r="F26" s="12" t="s">
        <v>64</v>
      </c>
      <c r="G26" s="20" t="e">
        <f>'DETALLE GASTOS FIJOS Y VARIABLE'!$F$34*$G$60</f>
        <v>#REF!</v>
      </c>
      <c r="H26" s="20" t="e">
        <f>+'DETALLE GASTOS FIJOS Y VARIABLE'!$G$34*$H$60</f>
        <v>#REF!</v>
      </c>
      <c r="I26" s="20" t="e">
        <f>+'DETALLE GASTOS FIJOS Y VARIABLE'!$H$34*$I$60</f>
        <v>#REF!</v>
      </c>
      <c r="J26" s="20" t="e">
        <f>+'DETALLE GASTOS FIJOS Y VARIABLE'!$I$34*$J$60</f>
        <v>#REF!</v>
      </c>
      <c r="K26" s="20" t="e">
        <f>+'DETALLE GASTOS FIJOS Y VARIABLE'!$J$34*$K$60</f>
        <v>#REF!</v>
      </c>
      <c r="L26" s="20" t="e">
        <f>+'DETALLE GASTOS FIJOS Y VARIABLE'!$K$34*$L$60</f>
        <v>#REF!</v>
      </c>
      <c r="M26" s="20" t="e">
        <f>+'DETALLE GASTOS FIJOS Y VARIABLE'!$L$34*$M$60</f>
        <v>#REF!</v>
      </c>
      <c r="N26" s="20" t="e">
        <f>+'DETALLE GASTOS FIJOS Y VARIABLE'!$M$34*$N$60</f>
        <v>#REF!</v>
      </c>
      <c r="O26" s="20" t="e">
        <f>+'DETALLE GASTOS FIJOS Y VARIABLE'!$N$34*$O$60</f>
        <v>#REF!</v>
      </c>
      <c r="P26" s="20" t="e">
        <f>+'DETALLE GASTOS FIJOS Y VARIABLE'!$O$34*$P$60</f>
        <v>#REF!</v>
      </c>
      <c r="Q26" s="20" t="e">
        <f>+'DETALLE GASTOS FIJOS Y VARIABLE'!$P$34*$Q$60</f>
        <v>#REF!</v>
      </c>
      <c r="R26" s="20" t="e">
        <f>+'DETALLE GASTOS FIJOS Y VARIABLE'!$Q$34*$R$60</f>
        <v>#REF!</v>
      </c>
      <c r="S26" s="25" t="e">
        <f>+'DETALLE GASTOS FIJOS Y VARIABLE'!$R$34*$S$60</f>
        <v>#REF!</v>
      </c>
      <c r="T26" s="25" t="e">
        <f>+'DETALLE GASTOS FIJOS Y VARIABLE'!$S$34*$T$60</f>
        <v>#REF!</v>
      </c>
    </row>
    <row r="27" spans="2:20" ht="22.5" customHeight="1" x14ac:dyDescent="0.25">
      <c r="B27" s="182"/>
      <c r="C27" s="204"/>
      <c r="D27" s="207"/>
      <c r="E27" s="24" t="s">
        <v>92</v>
      </c>
      <c r="F27" s="12" t="s">
        <v>64</v>
      </c>
      <c r="G27" s="20" t="e">
        <f>+'DETALLE GASTOS FIJOS Y VARIABLE'!$F$38*$G$60</f>
        <v>#REF!</v>
      </c>
      <c r="H27" s="20" t="e">
        <f>+'DETALLE GASTOS FIJOS Y VARIABLE'!$G$38*$H$60</f>
        <v>#REF!</v>
      </c>
      <c r="I27" s="20" t="e">
        <f>+'DETALLE GASTOS FIJOS Y VARIABLE'!$H$38*$I$60</f>
        <v>#REF!</v>
      </c>
      <c r="J27" s="20" t="e">
        <f>+'DETALLE GASTOS FIJOS Y VARIABLE'!$I$38*$J$60</f>
        <v>#REF!</v>
      </c>
      <c r="K27" s="20" t="e">
        <f>+'DETALLE GASTOS FIJOS Y VARIABLE'!$J$38*$K$60</f>
        <v>#REF!</v>
      </c>
      <c r="L27" s="20" t="e">
        <f>+'DETALLE GASTOS FIJOS Y VARIABLE'!$K$38*$L$60</f>
        <v>#REF!</v>
      </c>
      <c r="M27" s="20" t="e">
        <f>+'DETALLE GASTOS FIJOS Y VARIABLE'!$L$38*$M$60</f>
        <v>#REF!</v>
      </c>
      <c r="N27" s="20" t="e">
        <f>+'DETALLE GASTOS FIJOS Y VARIABLE'!$M$38*$N$60</f>
        <v>#REF!</v>
      </c>
      <c r="O27" s="20" t="e">
        <f>+'DETALLE GASTOS FIJOS Y VARIABLE'!$N$38*$O$60</f>
        <v>#REF!</v>
      </c>
      <c r="P27" s="20" t="e">
        <f>+'DETALLE GASTOS FIJOS Y VARIABLE'!$O$38*$P$60</f>
        <v>#REF!</v>
      </c>
      <c r="Q27" s="20" t="e">
        <f>+'DETALLE GASTOS FIJOS Y VARIABLE'!$P$38*$Q$60</f>
        <v>#REF!</v>
      </c>
      <c r="R27" s="20" t="e">
        <f>+'DETALLE GASTOS FIJOS Y VARIABLE'!$Q$38*$R$60</f>
        <v>#REF!</v>
      </c>
      <c r="S27" s="25" t="e">
        <f>+'DETALLE GASTOS FIJOS Y VARIABLE'!$R$38*$S$60</f>
        <v>#REF!</v>
      </c>
      <c r="T27" s="25" t="e">
        <f>+'DETALLE GASTOS FIJOS Y VARIABLE'!$S$38*$T$60</f>
        <v>#REF!</v>
      </c>
    </row>
    <row r="28" spans="2:20" ht="3" customHeight="1" x14ac:dyDescent="0.25">
      <c r="B28" s="182"/>
      <c r="C28" s="92"/>
      <c r="D28" s="93"/>
      <c r="E28" s="94"/>
      <c r="F28" s="95"/>
      <c r="G28" s="96"/>
      <c r="H28" s="96"/>
      <c r="I28" s="96"/>
      <c r="J28" s="96"/>
      <c r="K28" s="96"/>
      <c r="L28" s="96"/>
      <c r="M28" s="96"/>
      <c r="N28" s="96"/>
      <c r="O28" s="96"/>
      <c r="P28" s="96"/>
      <c r="Q28" s="96"/>
      <c r="R28" s="96"/>
      <c r="S28" s="97"/>
      <c r="T28" s="97"/>
    </row>
    <row r="29" spans="2:20" ht="22.5" customHeight="1" x14ac:dyDescent="0.25">
      <c r="B29" s="190" t="s">
        <v>22</v>
      </c>
      <c r="C29" s="190"/>
      <c r="D29" s="190"/>
      <c r="E29" s="190"/>
      <c r="F29" s="21"/>
      <c r="G29" s="21" t="e">
        <f t="shared" ref="G29:T29" si="4">SUM(G8:G28)</f>
        <v>#REF!</v>
      </c>
      <c r="H29" s="21" t="e">
        <f t="shared" si="4"/>
        <v>#REF!</v>
      </c>
      <c r="I29" s="21" t="e">
        <f t="shared" si="4"/>
        <v>#REF!</v>
      </c>
      <c r="J29" s="21" t="e">
        <f t="shared" si="4"/>
        <v>#REF!</v>
      </c>
      <c r="K29" s="21" t="e">
        <f t="shared" si="4"/>
        <v>#REF!</v>
      </c>
      <c r="L29" s="21" t="e">
        <f>SUM(L8:L28)</f>
        <v>#REF!</v>
      </c>
      <c r="M29" s="21" t="e">
        <f t="shared" si="4"/>
        <v>#REF!</v>
      </c>
      <c r="N29" s="21" t="e">
        <f t="shared" si="4"/>
        <v>#REF!</v>
      </c>
      <c r="O29" s="21" t="e">
        <f t="shared" si="4"/>
        <v>#REF!</v>
      </c>
      <c r="P29" s="21" t="e">
        <f t="shared" si="4"/>
        <v>#REF!</v>
      </c>
      <c r="Q29" s="21" t="e">
        <f t="shared" si="4"/>
        <v>#REF!</v>
      </c>
      <c r="R29" s="21" t="e">
        <f t="shared" si="4"/>
        <v>#REF!</v>
      </c>
      <c r="S29" s="21" t="e">
        <f t="shared" si="4"/>
        <v>#REF!</v>
      </c>
      <c r="T29" s="21" t="e">
        <f t="shared" si="4"/>
        <v>#REF!</v>
      </c>
    </row>
    <row r="30" spans="2:20" ht="17.25" customHeight="1" x14ac:dyDescent="0.25">
      <c r="B30" s="6"/>
      <c r="C30" s="6"/>
      <c r="D30" s="6"/>
      <c r="F30" s="6"/>
    </row>
    <row r="31" spans="2:20" s="1" customFormat="1" ht="15.75" customHeight="1" x14ac:dyDescent="0.3">
      <c r="B31" s="191"/>
      <c r="C31" s="192"/>
      <c r="D31" s="193"/>
      <c r="E31" s="178" t="s">
        <v>0</v>
      </c>
      <c r="F31" s="178"/>
      <c r="G31" s="178"/>
      <c r="H31" s="178"/>
      <c r="I31" s="178"/>
      <c r="J31" s="178"/>
      <c r="K31" s="178"/>
      <c r="L31" s="178"/>
      <c r="M31" s="178"/>
      <c r="N31" s="178"/>
      <c r="O31" s="178"/>
      <c r="P31" s="178"/>
      <c r="Q31" s="178"/>
      <c r="R31" s="178"/>
      <c r="S31" s="167" t="s">
        <v>1</v>
      </c>
      <c r="T31" s="167"/>
    </row>
    <row r="32" spans="2:20" s="1" customFormat="1" ht="15.75" customHeight="1" x14ac:dyDescent="0.3">
      <c r="B32" s="194"/>
      <c r="C32" s="195"/>
      <c r="D32" s="196"/>
      <c r="E32" s="166" t="s">
        <v>99</v>
      </c>
      <c r="F32" s="166"/>
      <c r="G32" s="166"/>
      <c r="H32" s="166"/>
      <c r="I32" s="166"/>
      <c r="J32" s="166"/>
      <c r="K32" s="166"/>
      <c r="L32" s="166"/>
      <c r="M32" s="166"/>
      <c r="N32" s="166"/>
      <c r="O32" s="166"/>
      <c r="P32" s="166"/>
      <c r="Q32" s="166"/>
      <c r="R32" s="166"/>
      <c r="S32" s="167" t="s">
        <v>3</v>
      </c>
      <c r="T32" s="167"/>
    </row>
    <row r="33" spans="2:20" s="1" customFormat="1" ht="15.75" customHeight="1" x14ac:dyDescent="0.3">
      <c r="B33" s="194"/>
      <c r="C33" s="195"/>
      <c r="D33" s="196"/>
      <c r="E33" s="166"/>
      <c r="F33" s="166"/>
      <c r="G33" s="166"/>
      <c r="H33" s="166"/>
      <c r="I33" s="166"/>
      <c r="J33" s="166"/>
      <c r="K33" s="166"/>
      <c r="L33" s="166"/>
      <c r="M33" s="166"/>
      <c r="N33" s="166"/>
      <c r="O33" s="166"/>
      <c r="P33" s="166"/>
      <c r="Q33" s="166"/>
      <c r="R33" s="166"/>
      <c r="S33" s="167" t="s">
        <v>75</v>
      </c>
      <c r="T33" s="167"/>
    </row>
    <row r="34" spans="2:20" s="1" customFormat="1" ht="15.75" customHeight="1" x14ac:dyDescent="0.3">
      <c r="B34" s="197"/>
      <c r="C34" s="198"/>
      <c r="D34" s="199"/>
      <c r="E34" s="176" t="s">
        <v>5</v>
      </c>
      <c r="F34" s="176"/>
      <c r="G34" s="176"/>
      <c r="H34" s="176"/>
      <c r="I34" s="176"/>
      <c r="J34" s="176"/>
      <c r="K34" s="176"/>
      <c r="L34" s="176"/>
      <c r="M34" s="176"/>
      <c r="N34" s="176"/>
      <c r="O34" s="176"/>
      <c r="P34" s="176"/>
      <c r="Q34" s="176"/>
      <c r="R34" s="176"/>
      <c r="S34" s="177">
        <f ca="1">TODAY()</f>
        <v>45979</v>
      </c>
      <c r="T34" s="177"/>
    </row>
    <row r="35" spans="2:20" ht="3" customHeight="1" x14ac:dyDescent="0.25"/>
    <row r="36" spans="2:20" ht="29.25" customHeight="1" x14ac:dyDescent="0.25">
      <c r="B36" s="19" t="s">
        <v>76</v>
      </c>
      <c r="C36" s="179" t="s">
        <v>7</v>
      </c>
      <c r="D36" s="180"/>
      <c r="E36" s="19" t="s">
        <v>77</v>
      </c>
      <c r="F36" s="19" t="s">
        <v>9</v>
      </c>
      <c r="G36" s="18" t="s">
        <v>10</v>
      </c>
      <c r="H36" s="13" t="s">
        <v>11</v>
      </c>
      <c r="I36" s="13" t="s">
        <v>12</v>
      </c>
      <c r="J36" s="13" t="s">
        <v>13</v>
      </c>
      <c r="K36" s="13" t="s">
        <v>14</v>
      </c>
      <c r="L36" s="13" t="s">
        <v>15</v>
      </c>
      <c r="M36" s="13" t="s">
        <v>16</v>
      </c>
      <c r="N36" s="13" t="s">
        <v>17</v>
      </c>
      <c r="O36" s="13" t="s">
        <v>18</v>
      </c>
      <c r="P36" s="13" t="s">
        <v>19</v>
      </c>
      <c r="Q36" s="13" t="s">
        <v>20</v>
      </c>
      <c r="R36" s="13" t="s">
        <v>21</v>
      </c>
      <c r="S36" s="13" t="s">
        <v>22</v>
      </c>
      <c r="T36" s="13" t="s">
        <v>23</v>
      </c>
    </row>
    <row r="37" spans="2:20" ht="22.5" customHeight="1" x14ac:dyDescent="0.25">
      <c r="B37" s="181" t="s">
        <v>100</v>
      </c>
      <c r="C37" s="184" t="s">
        <v>101</v>
      </c>
      <c r="D37" s="185"/>
      <c r="E37" s="22" t="s">
        <v>102</v>
      </c>
      <c r="F37" s="12" t="s">
        <v>64</v>
      </c>
      <c r="G37" s="20" t="e">
        <f>SUMIFS(Anexo_5[base_imponible_18],Anexo_5[serie],$E$37,Anexo_5[periodo],$G$36)+SUMIFS(#REF!,Anexo_5[serie],$E$37,Anexo_5[periodo],$G$36)+SUMIFS(Anexo_5[base_no_grabada],Anexo_5[serie],$E$37,Anexo_5[periodo],$G$36)</f>
        <v>#REF!</v>
      </c>
      <c r="H37" s="20" t="e">
        <f>SUMIFS(Anexo_5[base_imponible_18],Anexo_5[serie],$E$37,Anexo_5[periodo],$H$36)+SUMIFS(#REF!,Anexo_5[serie],$E$37,Anexo_5[periodo],$H$36)+SUMIFS(Anexo_5[base_no_grabada],Anexo_5[serie],$E$37,Anexo_5[periodo],$H$36)</f>
        <v>#REF!</v>
      </c>
      <c r="I37" s="20" t="e">
        <f>SUMIFS(Anexo_5[base_imponible_18],Anexo_5[serie],$E$37,Anexo_5[periodo],$I$36)+SUMIFS(#REF!,Anexo_5[serie],$E$37,Anexo_5[periodo],$I$36)+SUMIFS(Anexo_5[base_no_grabada],Anexo_5[serie],$E$37,Anexo_5[periodo],$I$36)</f>
        <v>#REF!</v>
      </c>
      <c r="J37" s="20" t="e">
        <f>SUMIFS(Anexo_5[base_imponible_18],Anexo_5[serie],$E$37,Anexo_5[periodo],$J$36)+SUMIFS(#REF!,Anexo_5[serie],$E$37,Anexo_5[periodo],$J$36)+SUMIFS(Anexo_5[base_no_grabada],Anexo_5[serie],$E$37,Anexo_5[periodo],$J$36)</f>
        <v>#REF!</v>
      </c>
      <c r="K37" s="20" t="e">
        <f>SUMIFS(Anexo_5[base_imponible_18],Anexo_5[serie],$E$37,Anexo_5[periodo],$K$36)+SUMIFS(#REF!,Anexo_5[serie],$E$37,Anexo_5[periodo],$K$36)+SUMIFS(Anexo_5[base_no_grabada],Anexo_5[serie],$E$37,Anexo_5[periodo],$K$36)</f>
        <v>#REF!</v>
      </c>
      <c r="L37" s="20" t="e">
        <f>SUMIFS(Anexo_5[base_imponible_18],Anexo_5[serie],$E$37,Anexo_5[periodo],$L$36)+SUMIFS(#REF!,Anexo_5[serie],$E$37,Anexo_5[periodo],$L$36)+SUMIFS(Anexo_5[base_no_grabada],Anexo_5[serie],$E$37,Anexo_5[periodo],$L$36)</f>
        <v>#REF!</v>
      </c>
      <c r="M37" s="20" t="e">
        <f>SUMIFS(Anexo_5[base_imponible_18],Anexo_5[serie],$E$37,Anexo_5[periodo],$M$36)+SUMIFS(#REF!,Anexo_5[serie],$E$37,Anexo_5[periodo],$M$36)+SUMIFS(Anexo_5[base_no_grabada],Anexo_5[serie],$E$37,Anexo_5[periodo],$M$36)</f>
        <v>#REF!</v>
      </c>
      <c r="N37" s="20" t="e">
        <f>SUMIFS(Anexo_5[base_imponible_18],Anexo_5[serie],$E$37,Anexo_5[periodo],$N$36)+SUMIFS(#REF!,Anexo_5[serie],$E$37,Anexo_5[periodo],$N$36)+SUMIFS(Anexo_5[base_no_grabada],Anexo_5[serie],$E$37,Anexo_5[periodo],$N$36)</f>
        <v>#REF!</v>
      </c>
      <c r="O37" s="20" t="e">
        <f>SUMIFS(Anexo_5[base_imponible_18],Anexo_5[serie],$E$37,Anexo_5[periodo],$O$36)+SUMIFS(#REF!,Anexo_5[serie],$E$37,Anexo_5[periodo],$O$36)+SUMIFS(Anexo_5[base_no_grabada],Anexo_5[serie],$E$37,Anexo_5[periodo],$O$36)</f>
        <v>#REF!</v>
      </c>
      <c r="P37" s="20" t="e">
        <f>SUMIFS(Anexo_5[base_imponible_18],Anexo_5[serie],$E$37,Anexo_5[periodo],$P$36)+SUMIFS(#REF!,Anexo_5[serie],$E$37,Anexo_5[periodo],$P$36)+SUMIFS(Anexo_5[base_no_grabada],Anexo_5[serie],$E$37,Anexo_5[periodo],$P$36)</f>
        <v>#REF!</v>
      </c>
      <c r="Q37" s="20" t="e">
        <f>SUMIFS(Anexo_5[base_imponible_18],Anexo_5[serie],$E$37,Anexo_5[periodo],$Q$36)+SUMIFS(#REF!,Anexo_5[serie],$E$37,Anexo_5[periodo],$Q$36)+SUMIFS(Anexo_5[base_no_grabada],Anexo_5[serie],$E$37,Anexo_5[periodo],$Q$36)</f>
        <v>#REF!</v>
      </c>
      <c r="R37" s="20" t="e">
        <f>SUMIFS(Anexo_5[base_imponible_18],Anexo_5[serie],$E$37,Anexo_5[periodo],$R$36)+SUMIFS(#REF!,Anexo_5[serie],$E$37,Anexo_5[periodo],$R$36)+SUMIFS(Anexo_5[base_no_grabada],Anexo_5[serie],$E$37,Anexo_5[periodo],$R$36)</f>
        <v>#REF!</v>
      </c>
      <c r="S37" s="25" t="e">
        <f>SUM(G37:R37)</f>
        <v>#REF!</v>
      </c>
      <c r="T37" s="25" t="e">
        <f>AVERAGE(G37:R37)</f>
        <v>#REF!</v>
      </c>
    </row>
    <row r="38" spans="2:20" ht="22.5" customHeight="1" x14ac:dyDescent="0.25">
      <c r="B38" s="182"/>
      <c r="C38" s="186"/>
      <c r="D38" s="187"/>
      <c r="E38" s="22" t="s">
        <v>103</v>
      </c>
      <c r="F38" s="12" t="s">
        <v>64</v>
      </c>
      <c r="G38" s="20" t="e">
        <f>SUMIFS(Anexo_5[base_imponible_18],Anexo_5[serie],$E$38,Anexo_5[periodo],$G$36)+SUMIFS(#REF!,Anexo_5[serie],$E$38,Anexo_5[periodo],$G$36)+SUMIFS(Anexo_5[base_no_grabada],Anexo_5[serie],$E$38,Anexo_5[periodo],$G$36)</f>
        <v>#REF!</v>
      </c>
      <c r="H38" s="20" t="e">
        <f>SUMIFS(Anexo_5[base_imponible_18],Anexo_5[serie],$E$38,Anexo_5[periodo],$H$36)+SUMIFS(#REF!,Anexo_5[serie],$E$38,Anexo_5[periodo],$H$36)+SUMIFS(Anexo_5[base_no_grabada],Anexo_5[serie],$E$38,Anexo_5[periodo],$H$36)</f>
        <v>#REF!</v>
      </c>
      <c r="I38" s="20" t="e">
        <f>SUMIFS(Anexo_5[base_imponible_18],Anexo_5[serie],$E$38,Anexo_5[periodo],$I$36)+SUMIFS(#REF!,Anexo_5[serie],$E$38,Anexo_5[periodo],$I$36)+SUMIFS(Anexo_5[base_no_grabada],Anexo_5[serie],$E$38,Anexo_5[periodo],$I$36)</f>
        <v>#REF!</v>
      </c>
      <c r="J38" s="20" t="e">
        <f>SUMIFS(Anexo_5[base_imponible_18],Anexo_5[serie],$E$38,Anexo_5[periodo],$J$36)+SUMIFS(#REF!,Anexo_5[serie],$E$38,Anexo_5[periodo],$J$36)+SUMIFS(Anexo_5[base_no_grabada],Anexo_5[serie],$E$38,Anexo_5[periodo],$J$36)</f>
        <v>#REF!</v>
      </c>
      <c r="K38" s="20" t="e">
        <f>SUMIFS(Anexo_5[base_imponible_18],Anexo_5[serie],$E$38,Anexo_5[periodo],$K$36)+SUMIFS(#REF!,Anexo_5[serie],$E$38,Anexo_5[periodo],$K$36)+SUMIFS(Anexo_5[base_no_grabada],Anexo_5[serie],$E$38,Anexo_5[periodo],$K$36)</f>
        <v>#REF!</v>
      </c>
      <c r="L38" s="20" t="e">
        <f>SUMIFS(Anexo_5[base_imponible_18],Anexo_5[serie],$E$38,Anexo_5[periodo],$L$36)+SUMIFS(#REF!,Anexo_5[serie],$E$38,Anexo_5[periodo],$L$36)+SUMIFS(Anexo_5[base_no_grabada],Anexo_5[serie],$E$38,Anexo_5[periodo],$L$36)</f>
        <v>#REF!</v>
      </c>
      <c r="M38" s="20" t="e">
        <f>SUMIFS(Anexo_5[base_imponible_18],Anexo_5[serie],$E$38,Anexo_5[periodo],$M$36)+SUMIFS(#REF!,Anexo_5[serie],$E$38,Anexo_5[periodo],$M$36)+SUMIFS(Anexo_5[base_no_grabada],Anexo_5[serie],$E$38,Anexo_5[periodo],$M$36)</f>
        <v>#REF!</v>
      </c>
      <c r="N38" s="20" t="e">
        <f>SUMIFS(Anexo_5[base_imponible_18],Anexo_5[serie],$E$38,Anexo_5[periodo],$N$36)+SUMIFS(#REF!,Anexo_5[serie],$E$38,Anexo_5[periodo],$N$36)+SUMIFS(Anexo_5[base_no_grabada],Anexo_5[serie],$E$38,Anexo_5[periodo],$N$36)</f>
        <v>#REF!</v>
      </c>
      <c r="O38" s="20" t="e">
        <f>SUMIFS(Anexo_5[base_imponible_18],Anexo_5[serie],$E$38,Anexo_5[periodo],$O$36)+SUMIFS(#REF!,Anexo_5[serie],$E$38,Anexo_5[periodo],$O$36)+SUMIFS(Anexo_5[base_no_grabada],Anexo_5[serie],$E$38,Anexo_5[periodo],$O$36)</f>
        <v>#REF!</v>
      </c>
      <c r="P38" s="20" t="e">
        <f>SUMIFS(Anexo_5[base_imponible_18],Anexo_5[serie],$E$38,Anexo_5[periodo],$P$36)+SUMIFS(#REF!,Anexo_5[serie],$E$38,Anexo_5[periodo],$P$36)+SUMIFS(Anexo_5[base_no_grabada],Anexo_5[serie],$E$38,Anexo_5[periodo],$P$36)</f>
        <v>#REF!</v>
      </c>
      <c r="Q38" s="20" t="e">
        <f>SUMIFS(Anexo_5[base_imponible_18],Anexo_5[serie],$E$38,Anexo_5[periodo],$Q$36)+SUMIFS(#REF!,Anexo_5[serie],$E$38,Anexo_5[periodo],$Q$36)+SUMIFS(Anexo_5[base_no_grabada],Anexo_5[serie],$E$38,Anexo_5[periodo],$Q$36)</f>
        <v>#REF!</v>
      </c>
      <c r="R38" s="20" t="e">
        <f>SUMIFS(Anexo_5[base_imponible_18],Anexo_5[serie],$E$38,Anexo_5[periodo],$R$36)+SUMIFS(#REF!,Anexo_5[serie],$E$38,Anexo_5[periodo],$R$36)+SUMIFS(Anexo_5[base_no_grabada],Anexo_5[serie],$E$38,Anexo_5[periodo],$R$36)</f>
        <v>#REF!</v>
      </c>
      <c r="S38" s="25" t="e">
        <f>SUM(G38:R38)</f>
        <v>#REF!</v>
      </c>
      <c r="T38" s="25" t="e">
        <f>AVERAGE(G38:R38)</f>
        <v>#REF!</v>
      </c>
    </row>
    <row r="39" spans="2:20" ht="22.5" customHeight="1" x14ac:dyDescent="0.25">
      <c r="B39" s="182"/>
      <c r="C39" s="186"/>
      <c r="D39" s="187"/>
      <c r="E39" s="22" t="s">
        <v>104</v>
      </c>
      <c r="F39" s="12" t="s">
        <v>64</v>
      </c>
      <c r="G39" s="20" t="e">
        <f>SUMIFS(Anexo_5[base_imponible_18],Anexo_5[serie],$E$39,Anexo_5[periodo],$G$36)+SUMIFS(#REF!,Anexo_5[serie],$E$39,Anexo_5[periodo],$G$36)+SUMIFS(Anexo_5[base_no_grabada],Anexo_5[serie],$E$39,Anexo_5[periodo],$G$36)</f>
        <v>#REF!</v>
      </c>
      <c r="H39" s="20" t="e">
        <f>SUMIFS(Anexo_5[base_imponible_18],Anexo_5[serie],$E$39,Anexo_5[periodo],$H$36)+SUMIFS(#REF!,Anexo_5[serie],$E$39,Anexo_5[periodo],$H$36)+SUMIFS(Anexo_5[base_no_grabada],Anexo_5[serie],$E$39,Anexo_5[periodo],$H$36)</f>
        <v>#REF!</v>
      </c>
      <c r="I39" s="20" t="e">
        <f>SUMIFS(Anexo_5[base_imponible_18],Anexo_5[serie],$E$39,Anexo_5[periodo],$I$36)+SUMIFS(#REF!,Anexo_5[serie],$E$39,Anexo_5[periodo],$I$36)+SUMIFS(Anexo_5[base_no_grabada],Anexo_5[serie],$E$39,Anexo_5[periodo],$I$36)</f>
        <v>#REF!</v>
      </c>
      <c r="J39" s="20" t="e">
        <f>SUMIFS(Anexo_5[base_imponible_18],Anexo_5[serie],$E$39,Anexo_5[periodo],$J$36)+SUMIFS(#REF!,Anexo_5[serie],$E$39,Anexo_5[periodo],$J$36)+SUMIFS(Anexo_5[base_no_grabada],Anexo_5[serie],$E$39,Anexo_5[periodo],$J$36)</f>
        <v>#REF!</v>
      </c>
      <c r="K39" s="20" t="e">
        <f>SUMIFS(Anexo_5[base_imponible_18],Anexo_5[serie],$E$39,Anexo_5[periodo],$K$36)+SUMIFS(#REF!,Anexo_5[serie],$E$39,Anexo_5[periodo],$K$36)+SUMIFS(Anexo_5[base_no_grabada],Anexo_5[serie],$E$39,Anexo_5[periodo],$K$36)</f>
        <v>#REF!</v>
      </c>
      <c r="L39" s="20" t="e">
        <f>SUMIFS(Anexo_5[base_imponible_18],Anexo_5[serie],$E$39,Anexo_5[periodo],$L$36)+SUMIFS(#REF!,Anexo_5[serie],$E$39,Anexo_5[periodo],$L$36)+SUMIFS(Anexo_5[base_no_grabada],Anexo_5[serie],$E$39,Anexo_5[periodo],$L$36)</f>
        <v>#REF!</v>
      </c>
      <c r="M39" s="20" t="e">
        <f>SUMIFS(Anexo_5[base_imponible_18],Anexo_5[serie],$E$39,Anexo_5[periodo],$M$36)+SUMIFS(#REF!,Anexo_5[serie],$E$39,Anexo_5[periodo],$M$36)+SUMIFS(Anexo_5[base_no_grabada],Anexo_5[serie],$E$39,Anexo_5[periodo],$M$36)</f>
        <v>#REF!</v>
      </c>
      <c r="N39" s="20" t="e">
        <f>SUMIFS(Anexo_5[base_imponible_18],Anexo_5[serie],$E$39,Anexo_5[periodo],$N$36)+SUMIFS(#REF!,Anexo_5[serie],$E$39,Anexo_5[periodo],$N$36)+SUMIFS(Anexo_5[base_no_grabada],Anexo_5[serie],$E$39,Anexo_5[periodo],$N$36)</f>
        <v>#REF!</v>
      </c>
      <c r="O39" s="20" t="e">
        <f>SUMIFS(Anexo_5[base_imponible_18],Anexo_5[serie],$E$39,Anexo_5[periodo],$O$36)+SUMIFS(#REF!,Anexo_5[serie],$E$39,Anexo_5[periodo],$O$36)+SUMIFS(Anexo_5[base_no_grabada],Anexo_5[serie],$E$39,Anexo_5[periodo],$O$36)</f>
        <v>#REF!</v>
      </c>
      <c r="P39" s="20" t="e">
        <f>SUMIFS(Anexo_5[base_imponible_18],Anexo_5[serie],$E$39,Anexo_5[periodo],$P$36)+SUMIFS(#REF!,Anexo_5[serie],$E$39,Anexo_5[periodo],$P$36)+SUMIFS(Anexo_5[base_no_grabada],Anexo_5[serie],$E$39,Anexo_5[periodo],$P$36)</f>
        <v>#REF!</v>
      </c>
      <c r="Q39" s="20" t="e">
        <f>SUMIFS(Anexo_5[base_imponible_18],Anexo_5[serie],$E$39,Anexo_5[periodo],$Q$36)+SUMIFS(#REF!,Anexo_5[serie],$E$39,Anexo_5[periodo],$Q$36)+SUMIFS(Anexo_5[base_no_grabada],Anexo_5[serie],$E$39,Anexo_5[periodo],$Q$36)</f>
        <v>#REF!</v>
      </c>
      <c r="R39" s="20" t="e">
        <f>SUMIFS(Anexo_5[base_imponible_18],Anexo_5[serie],$E$39,Anexo_5[periodo],$R$36)+SUMIFS(#REF!,Anexo_5[serie],$E$39,Anexo_5[periodo],$R$36)+SUMIFS(Anexo_5[base_no_grabada],Anexo_5[serie],$E$39,Anexo_5[periodo],$R$36)</f>
        <v>#REF!</v>
      </c>
      <c r="S39" s="25" t="e">
        <f t="shared" ref="S39:S58" si="5">SUM(G39:R39)</f>
        <v>#REF!</v>
      </c>
      <c r="T39" s="25" t="e">
        <f t="shared" ref="T39:T45" si="6">AVERAGE(G39:R39)</f>
        <v>#REF!</v>
      </c>
    </row>
    <row r="40" spans="2:20" ht="22.5" customHeight="1" x14ac:dyDescent="0.25">
      <c r="B40" s="182"/>
      <c r="C40" s="186"/>
      <c r="D40" s="187"/>
      <c r="E40" s="22" t="s">
        <v>105</v>
      </c>
      <c r="F40" s="12" t="s">
        <v>64</v>
      </c>
      <c r="G40" s="20" t="e">
        <f>SUMIFS(Anexo_5[base_imponible_18],Anexo_5[serie],$E$40,Anexo_5[periodo],$G$36)+SUMIFS(#REF!,Anexo_5[serie],$E$40,Anexo_5[periodo],$G$36)+SUMIFS(Anexo_5[base_no_grabada],Anexo_5[serie],$E$40,Anexo_5[periodo],$G$36)</f>
        <v>#REF!</v>
      </c>
      <c r="H40" s="20" t="e">
        <f>SUMIFS(Anexo_5[base_imponible_18],Anexo_5[serie],$E$40,Anexo_5[periodo],$H$36)+SUMIFS(#REF!,Anexo_5[serie],$E$40,Anexo_5[periodo],$H$36)+SUMIFS(Anexo_5[base_no_grabada],Anexo_5[serie],$E$40,Anexo_5[periodo],$H$36)</f>
        <v>#REF!</v>
      </c>
      <c r="I40" s="20" t="e">
        <f>SUMIFS(Anexo_5[base_imponible_18],Anexo_5[serie],$E$40,Anexo_5[periodo],$I$36)+SUMIFS(#REF!,Anexo_5[serie],$E$40,Anexo_5[periodo],$I$36)+SUMIFS(Anexo_5[base_no_grabada],Anexo_5[serie],$E$40,Anexo_5[periodo],$I$36)</f>
        <v>#REF!</v>
      </c>
      <c r="J40" s="20" t="e">
        <f>SUMIFS(Anexo_5[base_imponible_18],Anexo_5[serie],$E$40,Anexo_5[periodo],$J$36)+SUMIFS(#REF!,Anexo_5[serie],$E$40,Anexo_5[periodo],$J$36)+SUMIFS(Anexo_5[base_no_grabada],Anexo_5[serie],$E$40,Anexo_5[periodo],$J$36)</f>
        <v>#REF!</v>
      </c>
      <c r="K40" s="20" t="e">
        <f>SUMIFS(Anexo_5[base_imponible_18],Anexo_5[serie],$E$40,Anexo_5[periodo],$K$36)+SUMIFS(#REF!,Anexo_5[serie],$E$40,Anexo_5[periodo],$K$36)+SUMIFS(Anexo_5[base_no_grabada],Anexo_5[serie],$E$40,Anexo_5[periodo],$K$36)</f>
        <v>#REF!</v>
      </c>
      <c r="L40" s="20" t="e">
        <f>SUMIFS(Anexo_5[base_imponible_18],Anexo_5[serie],$E$40,Anexo_5[periodo],$L$36)+SUMIFS(#REF!,Anexo_5[serie],$E$40,Anexo_5[periodo],$L$36)+SUMIFS(Anexo_5[base_no_grabada],Anexo_5[serie],$E$40,Anexo_5[periodo],$L$36)</f>
        <v>#REF!</v>
      </c>
      <c r="M40" s="20" t="e">
        <f>SUMIFS(Anexo_5[base_imponible_18],Anexo_5[serie],$E$40,Anexo_5[periodo],$M$36)+SUMIFS(#REF!,Anexo_5[serie],$E$40,Anexo_5[periodo],$M$36)+SUMIFS(Anexo_5[base_no_grabada],Anexo_5[serie],$E$40,Anexo_5[periodo],$M$36)</f>
        <v>#REF!</v>
      </c>
      <c r="N40" s="20" t="e">
        <f>SUMIFS(Anexo_5[base_imponible_18],Anexo_5[serie],$E$40,Anexo_5[periodo],$N$36)+SUMIFS(#REF!,Anexo_5[serie],$E$40,Anexo_5[periodo],$N$36)+SUMIFS(Anexo_5[base_no_grabada],Anexo_5[serie],$E$40,Anexo_5[periodo],$N$36)</f>
        <v>#REF!</v>
      </c>
      <c r="O40" s="20" t="e">
        <f>SUMIFS(Anexo_5[base_imponible_18],Anexo_5[serie],$E$40,Anexo_5[periodo],$O$36)+SUMIFS(#REF!,Anexo_5[serie],$E$40,Anexo_5[periodo],$O$36)+SUMIFS(Anexo_5[base_no_grabada],Anexo_5[serie],$E$40,Anexo_5[periodo],$O$36)</f>
        <v>#REF!</v>
      </c>
      <c r="P40" s="20" t="e">
        <f>SUMIFS(Anexo_5[base_imponible_18],Anexo_5[serie],$E$40,Anexo_5[periodo],$P$36)+SUMIFS(#REF!,Anexo_5[serie],$E$40,Anexo_5[periodo],$P$36)+SUMIFS(Anexo_5[base_no_grabada],Anexo_5[serie],$E$40,Anexo_5[periodo],$P$36)</f>
        <v>#REF!</v>
      </c>
      <c r="Q40" s="20" t="e">
        <f>SUMIFS(Anexo_5[base_imponible_18],Anexo_5[serie],$E$40,Anexo_5[periodo],$Q$36)+SUMIFS(#REF!,Anexo_5[serie],$E$40,Anexo_5[periodo],$Q$36)+SUMIFS(Anexo_5[base_no_grabada],Anexo_5[serie],$E$40,Anexo_5[periodo],$Q$36)</f>
        <v>#REF!</v>
      </c>
      <c r="R40" s="20" t="e">
        <f>SUMIFS(Anexo_5[base_imponible_18],Anexo_5[serie],$E$40,Anexo_5[periodo],$R$36)+SUMIFS(#REF!,Anexo_5[serie],$E$40,Anexo_5[periodo],$R$36)+SUMIFS(Anexo_5[base_no_grabada],Anexo_5[serie],$E$40,Anexo_5[periodo],$R$36)</f>
        <v>#REF!</v>
      </c>
      <c r="S40" s="25" t="e">
        <f t="shared" si="5"/>
        <v>#REF!</v>
      </c>
      <c r="T40" s="25" t="e">
        <f t="shared" si="6"/>
        <v>#REF!</v>
      </c>
    </row>
    <row r="41" spans="2:20" ht="22.5" customHeight="1" x14ac:dyDescent="0.25">
      <c r="B41" s="182"/>
      <c r="C41" s="186"/>
      <c r="D41" s="187"/>
      <c r="E41" s="22" t="s">
        <v>106</v>
      </c>
      <c r="F41" s="12" t="s">
        <v>64</v>
      </c>
      <c r="G41" s="20" t="e">
        <f>SUMIFS(Anexo_5[base_imponible_18],Anexo_5[serie],$E$41,Anexo_5[periodo],$G$36)+SUMIFS(#REF!,Anexo_5[serie],$E$41,Anexo_5[periodo],$G$36)+SUMIFS(Anexo_5[base_no_grabada],Anexo_5[serie],$E$41,Anexo_5[periodo],$G$36)</f>
        <v>#REF!</v>
      </c>
      <c r="H41" s="20" t="e">
        <f>SUMIFS(Anexo_5[base_imponible_18],Anexo_5[serie],$E$41,Anexo_5[periodo],$H$36)+SUMIFS(#REF!,Anexo_5[serie],$E$41,Anexo_5[periodo],$H$36)+SUMIFS(Anexo_5[base_no_grabada],Anexo_5[serie],$E$41,Anexo_5[periodo],$H$36)</f>
        <v>#REF!</v>
      </c>
      <c r="I41" s="20" t="e">
        <f>SUMIFS(Anexo_5[base_imponible_18],Anexo_5[serie],$E$41,Anexo_5[periodo],$I$36)+SUMIFS(#REF!,Anexo_5[serie],$E$41,Anexo_5[periodo],$I$36)+SUMIFS(Anexo_5[base_no_grabada],Anexo_5[serie],$E$41,Anexo_5[periodo],$I$36)</f>
        <v>#REF!</v>
      </c>
      <c r="J41" s="20" t="e">
        <f>SUMIFS(Anexo_5[base_imponible_18],Anexo_5[serie],$E$41,Anexo_5[periodo],$J$36)+SUMIFS(#REF!,Anexo_5[serie],$E$41,Anexo_5[periodo],$J$36)+SUMIFS(Anexo_5[base_no_grabada],Anexo_5[serie],$E$41,Anexo_5[periodo],$J$36)</f>
        <v>#REF!</v>
      </c>
      <c r="K41" s="20" t="e">
        <f>SUMIFS(Anexo_5[base_imponible_18],Anexo_5[serie],$E$41,Anexo_5[periodo],$K$36)+SUMIFS(#REF!,Anexo_5[serie],$E$41,Anexo_5[periodo],$K$36)+SUMIFS(Anexo_5[base_no_grabada],Anexo_5[serie],$E$41,Anexo_5[periodo],$K$36)</f>
        <v>#REF!</v>
      </c>
      <c r="L41" s="20" t="e">
        <f>SUMIFS(Anexo_5[base_imponible_18],Anexo_5[serie],$E$41,Anexo_5[periodo],$L$36)+SUMIFS(#REF!,Anexo_5[serie],$E$41,Anexo_5[periodo],$L$36)+SUMIFS(Anexo_5[base_no_grabada],Anexo_5[serie],$E$41,Anexo_5[periodo],$L$36)</f>
        <v>#REF!</v>
      </c>
      <c r="M41" s="20" t="e">
        <f>SUMIFS(Anexo_5[base_imponible_18],Anexo_5[serie],$E$41,Anexo_5[periodo],$M$36)+SUMIFS(#REF!,Anexo_5[serie],$E$41,Anexo_5[periodo],$M$36)+SUMIFS(Anexo_5[base_no_grabada],Anexo_5[serie],$E$41,Anexo_5[periodo],$M$36)</f>
        <v>#REF!</v>
      </c>
      <c r="N41" s="20" t="e">
        <f>SUMIFS(Anexo_5[base_imponible_18],Anexo_5[serie],$E$41,Anexo_5[periodo],$N$36)+SUMIFS(#REF!,Anexo_5[serie],$E$41,Anexo_5[periodo],$N$36)+SUMIFS(Anexo_5[base_no_grabada],Anexo_5[serie],$E$41,Anexo_5[periodo],$N$36)</f>
        <v>#REF!</v>
      </c>
      <c r="O41" s="20" t="e">
        <f>SUMIFS(Anexo_5[base_imponible_18],Anexo_5[serie],$E$41,Anexo_5[periodo],$O$36)+SUMIFS(#REF!,Anexo_5[serie],$E$41,Anexo_5[periodo],$O$36)+SUMIFS(Anexo_5[base_no_grabada],Anexo_5[serie],$E$41,Anexo_5[periodo],$O$36)</f>
        <v>#REF!</v>
      </c>
      <c r="P41" s="20" t="e">
        <f>SUMIFS(Anexo_5[base_imponible_18],Anexo_5[serie],$E$41,Anexo_5[periodo],$P$36)+SUMIFS(#REF!,Anexo_5[serie],$E$41,Anexo_5[periodo],$P$36)+SUMIFS(Anexo_5[base_no_grabada],Anexo_5[serie],$E$41,Anexo_5[periodo],$P$36)</f>
        <v>#REF!</v>
      </c>
      <c r="Q41" s="20" t="e">
        <f>SUMIFS(Anexo_5[base_imponible_18],Anexo_5[serie],$E$41,Anexo_5[periodo],$Q$36)+SUMIFS(#REF!,Anexo_5[serie],$E$41,Anexo_5[periodo],$Q$36)+SUMIFS(Anexo_5[base_no_grabada],Anexo_5[serie],$E$41,Anexo_5[periodo],$Q$36)</f>
        <v>#REF!</v>
      </c>
      <c r="R41" s="20" t="e">
        <f>SUMIFS(Anexo_5[base_imponible_18],Anexo_5[serie],$E$41,Anexo_5[periodo],$R$36)+SUMIFS(#REF!,Anexo_5[serie],$E$41,Anexo_5[periodo],$R$36)+SUMIFS(Anexo_5[base_no_grabada],Anexo_5[serie],$E$41,Anexo_5[periodo],$R$36)</f>
        <v>#REF!</v>
      </c>
      <c r="S41" s="25" t="e">
        <f t="shared" si="5"/>
        <v>#REF!</v>
      </c>
      <c r="T41" s="25" t="e">
        <f t="shared" si="6"/>
        <v>#REF!</v>
      </c>
    </row>
    <row r="42" spans="2:20" ht="22.5" customHeight="1" x14ac:dyDescent="0.25">
      <c r="B42" s="182"/>
      <c r="C42" s="186"/>
      <c r="D42" s="187"/>
      <c r="E42" s="22" t="s">
        <v>107</v>
      </c>
      <c r="F42" s="12" t="s">
        <v>64</v>
      </c>
      <c r="G42" s="20" t="e">
        <f>SUMIFS(Anexo_5[base_imponible_18],Anexo_5[serie],$E$42,Anexo_5[periodo],$G$36)+SUMIFS(#REF!,Anexo_5[serie],$E$42,Anexo_5[periodo],$G$36)+SUMIFS(Anexo_5[base_no_grabada],Anexo_5[serie],$E$42,Anexo_5[periodo],$G$36)</f>
        <v>#REF!</v>
      </c>
      <c r="H42" s="20" t="e">
        <f>SUMIFS(Anexo_5[base_imponible_18],Anexo_5[serie],$E$42,Anexo_5[periodo],$H$36)+SUMIFS(#REF!,Anexo_5[serie],$E$42,Anexo_5[periodo],$H$36)+SUMIFS(Anexo_5[base_no_grabada],Anexo_5[serie],$E$42,Anexo_5[periodo],$H$36)</f>
        <v>#REF!</v>
      </c>
      <c r="I42" s="20" t="e">
        <f>SUMIFS(Anexo_5[base_imponible_18],Anexo_5[serie],$E$42,Anexo_5[periodo],$I$36)+SUMIFS(#REF!,Anexo_5[serie],$E$42,Anexo_5[periodo],$I$36)+SUMIFS(Anexo_5[base_no_grabada],Anexo_5[serie],$E$42,Anexo_5[periodo],$I$36)</f>
        <v>#REF!</v>
      </c>
      <c r="J42" s="20" t="e">
        <f>SUMIFS(Anexo_5[base_imponible_18],Anexo_5[serie],$E$42,Anexo_5[periodo],$J$36)+SUMIFS(#REF!,Anexo_5[serie],$E$42,Anexo_5[periodo],$J$36)+SUMIFS(Anexo_5[base_no_grabada],Anexo_5[serie],$E$42,Anexo_5[periodo],$J$36)</f>
        <v>#REF!</v>
      </c>
      <c r="K42" s="20" t="e">
        <f>SUMIFS(Anexo_5[base_imponible_18],Anexo_5[serie],$E$42,Anexo_5[periodo],$K$36)+SUMIFS(#REF!,Anexo_5[serie],$E$42,Anexo_5[periodo],$K$36)+SUMIFS(Anexo_5[base_no_grabada],Anexo_5[serie],$E$42,Anexo_5[periodo],$K$36)</f>
        <v>#REF!</v>
      </c>
      <c r="L42" s="20" t="e">
        <f>SUMIFS(Anexo_5[base_imponible_18],Anexo_5[serie],$E$42,Anexo_5[periodo],$L$36)+SUMIFS(#REF!,Anexo_5[serie],$E$42,Anexo_5[periodo],$L$36)+SUMIFS(Anexo_5[base_no_grabada],Anexo_5[serie],$E$42,Anexo_5[periodo],$L$36)</f>
        <v>#REF!</v>
      </c>
      <c r="M42" s="20" t="e">
        <f>SUMIFS(Anexo_5[base_imponible_18],Anexo_5[serie],$E$42,Anexo_5[periodo],$M$36)+SUMIFS(#REF!,Anexo_5[serie],$E$42,Anexo_5[periodo],$M$36)+SUMIFS(Anexo_5[base_no_grabada],Anexo_5[serie],$E$42,Anexo_5[periodo],$M$36)</f>
        <v>#REF!</v>
      </c>
      <c r="N42" s="20" t="e">
        <f>SUMIFS(Anexo_5[base_imponible_18],Anexo_5[serie],$E$42,Anexo_5[periodo],$N$36)+SUMIFS(#REF!,Anexo_5[serie],$E$42,Anexo_5[periodo],$N$36)+SUMIFS(Anexo_5[base_no_grabada],Anexo_5[serie],$E$42,Anexo_5[periodo],$N$36)</f>
        <v>#REF!</v>
      </c>
      <c r="O42" s="20" t="e">
        <f>SUMIFS(Anexo_5[base_imponible_18],Anexo_5[serie],$E$42,Anexo_5[periodo],$O$36)+SUMIFS(#REF!,Anexo_5[serie],$E$42,Anexo_5[periodo],$O$36)+SUMIFS(Anexo_5[base_no_grabada],Anexo_5[serie],$E$42,Anexo_5[periodo],$O$36)</f>
        <v>#REF!</v>
      </c>
      <c r="P42" s="20" t="e">
        <f>SUMIFS(Anexo_5[base_imponible_18],Anexo_5[serie],$E$42,Anexo_5[periodo],$P$36)+SUMIFS(#REF!,Anexo_5[serie],$E$42,Anexo_5[periodo],$P$36)+SUMIFS(Anexo_5[base_no_grabada],Anexo_5[serie],$E$42,Anexo_5[periodo],$P$36)</f>
        <v>#REF!</v>
      </c>
      <c r="Q42" s="20" t="e">
        <f>SUMIFS(Anexo_5[base_imponible_18],Anexo_5[serie],$E$42,Anexo_5[periodo],$Q$36)+SUMIFS(#REF!,Anexo_5[serie],$E$42,Anexo_5[periodo],$Q$36)+SUMIFS(Anexo_5[base_no_grabada],Anexo_5[serie],$E$42,Anexo_5[periodo],$Q$36)</f>
        <v>#REF!</v>
      </c>
      <c r="R42" s="20" t="e">
        <f>SUMIFS(Anexo_5[base_imponible_18],Anexo_5[serie],$E$42,Anexo_5[periodo],$R$36)+SUMIFS(#REF!,Anexo_5[serie],$E$42,Anexo_5[periodo],$R$36)+SUMIFS(Anexo_5[base_no_grabada],Anexo_5[serie],$E$42,Anexo_5[periodo],$R$36)</f>
        <v>#REF!</v>
      </c>
      <c r="S42" s="25" t="e">
        <f t="shared" si="5"/>
        <v>#REF!</v>
      </c>
      <c r="T42" s="25" t="e">
        <f t="shared" si="6"/>
        <v>#REF!</v>
      </c>
    </row>
    <row r="43" spans="2:20" ht="22.5" customHeight="1" x14ac:dyDescent="0.25">
      <c r="B43" s="182"/>
      <c r="C43" s="186"/>
      <c r="D43" s="187"/>
      <c r="E43" s="22" t="s">
        <v>108</v>
      </c>
      <c r="F43" s="12" t="s">
        <v>64</v>
      </c>
      <c r="G43" s="20" t="e">
        <f>SUMIFS(Anexo_5[base_imponible_18],Anexo_5[serie],$E$43,Anexo_5[periodo],$G$36)+SUMIFS(#REF!,Anexo_5[serie],$E$43,Anexo_5[periodo],$G$36)+SUMIFS(Anexo_5[base_no_grabada],Anexo_5[serie],$E$43,Anexo_5[periodo],$G$36)</f>
        <v>#REF!</v>
      </c>
      <c r="H43" s="20" t="e">
        <f>SUMIFS(Anexo_5[base_imponible_18],Anexo_5[serie],$E$43,Anexo_5[periodo],$H$36)+SUMIFS(#REF!,Anexo_5[serie],$E$43,Anexo_5[periodo],$H$36)+SUMIFS(Anexo_5[base_no_grabada],Anexo_5[serie],$E$43,Anexo_5[periodo],$H$36)</f>
        <v>#REF!</v>
      </c>
      <c r="I43" s="20" t="e">
        <f>SUMIFS(Anexo_5[base_imponible_18],Anexo_5[serie],$E$43,Anexo_5[periodo],$I$36)+SUMIFS(#REF!,Anexo_5[serie],$E$43,Anexo_5[periodo],$I$36)+SUMIFS(Anexo_5[base_no_grabada],Anexo_5[serie],$E$43,Anexo_5[periodo],$I$36)</f>
        <v>#REF!</v>
      </c>
      <c r="J43" s="20" t="e">
        <f>SUMIFS(Anexo_5[base_imponible_18],Anexo_5[serie],$E$43,Anexo_5[periodo],$J$36)+SUMIFS(#REF!,Anexo_5[serie],$E$43,Anexo_5[periodo],$J$36)+SUMIFS(Anexo_5[base_no_grabada],Anexo_5[serie],$E$43,Anexo_5[periodo],$J$36)</f>
        <v>#REF!</v>
      </c>
      <c r="K43" s="20" t="e">
        <f>SUMIFS(Anexo_5[base_imponible_18],Anexo_5[serie],$E$43,Anexo_5[periodo],$K$36)+SUMIFS(#REF!,Anexo_5[serie],$E$43,Anexo_5[periodo],$K$36)+SUMIFS(Anexo_5[base_no_grabada],Anexo_5[serie],$E$43,Anexo_5[periodo],$K$36)</f>
        <v>#REF!</v>
      </c>
      <c r="L43" s="20" t="e">
        <f>SUMIFS(Anexo_5[base_imponible_18],Anexo_5[serie],$E$43,Anexo_5[periodo],$L$36)+SUMIFS(#REF!,Anexo_5[serie],$E$43,Anexo_5[periodo],$L$36)+SUMIFS(Anexo_5[base_no_grabada],Anexo_5[serie],$E$43,Anexo_5[periodo],$L$36)</f>
        <v>#REF!</v>
      </c>
      <c r="M43" s="20" t="e">
        <f>SUMIFS(Anexo_5[base_imponible_18],Anexo_5[serie],$E$43,Anexo_5[periodo],$M$36)+SUMIFS(#REF!,Anexo_5[serie],$E$43,Anexo_5[periodo],$M$36)+SUMIFS(Anexo_5[base_no_grabada],Anexo_5[serie],$E$43,Anexo_5[periodo],$M$36)</f>
        <v>#REF!</v>
      </c>
      <c r="N43" s="20" t="e">
        <f>SUMIFS(Anexo_5[base_imponible_18],Anexo_5[serie],$E$43,Anexo_5[periodo],$N$36)+SUMIFS(#REF!,Anexo_5[serie],$E$43,Anexo_5[periodo],$N$36)+SUMIFS(Anexo_5[base_no_grabada],Anexo_5[serie],$E$43,Anexo_5[periodo],$N$36)</f>
        <v>#REF!</v>
      </c>
      <c r="O43" s="20" t="e">
        <f>SUMIFS(Anexo_5[base_imponible_18],Anexo_5[serie],$E$43,Anexo_5[periodo],$O$36)+SUMIFS(#REF!,Anexo_5[serie],$E$43,Anexo_5[periodo],$O$36)+SUMIFS(Anexo_5[base_no_grabada],Anexo_5[serie],$E$43,Anexo_5[periodo],$O$36)</f>
        <v>#REF!</v>
      </c>
      <c r="P43" s="20" t="e">
        <f>SUMIFS(Anexo_5[base_imponible_18],Anexo_5[serie],$E$43,Anexo_5[periodo],$P$36)+SUMIFS(#REF!,Anexo_5[serie],$E$43,Anexo_5[periodo],$P$36)+SUMIFS(Anexo_5[base_no_grabada],Anexo_5[serie],$E$43,Anexo_5[periodo],$P$36)</f>
        <v>#REF!</v>
      </c>
      <c r="Q43" s="20" t="e">
        <f>SUMIFS(Anexo_5[base_imponible_18],Anexo_5[serie],$E$43,Anexo_5[periodo],$Q$36)+SUMIFS(#REF!,Anexo_5[serie],$E$43,Anexo_5[periodo],$Q$36)+SUMIFS(Anexo_5[base_no_grabada],Anexo_5[serie],$E$43,Anexo_5[periodo],$Q$36)</f>
        <v>#REF!</v>
      </c>
      <c r="R43" s="20" t="e">
        <f>SUMIFS(Anexo_5[base_imponible_18],Anexo_5[serie],$E$43,Anexo_5[periodo],$R$36)+SUMIFS(#REF!,Anexo_5[serie],$E$43,Anexo_5[periodo],$R$36)+SUMIFS(Anexo_5[base_no_grabada],Anexo_5[serie],$E$43,Anexo_5[periodo],$R$36)</f>
        <v>#REF!</v>
      </c>
      <c r="S43" s="25" t="e">
        <f t="shared" si="5"/>
        <v>#REF!</v>
      </c>
      <c r="T43" s="25" t="e">
        <f t="shared" si="6"/>
        <v>#REF!</v>
      </c>
    </row>
    <row r="44" spans="2:20" ht="22.5" customHeight="1" x14ac:dyDescent="0.25">
      <c r="B44" s="182"/>
      <c r="C44" s="186"/>
      <c r="D44" s="187"/>
      <c r="E44" s="22" t="s">
        <v>109</v>
      </c>
      <c r="F44" s="12" t="s">
        <v>64</v>
      </c>
      <c r="G44" s="20" t="e">
        <f>SUMIFS(Anexo_5[base_imponible_18],Anexo_5[serie],$E$44,Anexo_5[periodo],$G$36)+SUMIFS(#REF!,Anexo_5[serie],$E$44,Anexo_5[periodo],$G$36)+SUMIFS(Anexo_5[base_no_grabada],Anexo_5[serie],$E$44,Anexo_5[periodo],$G$36)</f>
        <v>#REF!</v>
      </c>
      <c r="H44" s="20" t="e">
        <f>SUMIFS(Anexo_5[base_imponible_18],Anexo_5[serie],$E$44,Anexo_5[periodo],$H$36)+SUMIFS(#REF!,Anexo_5[serie],$E$44,Anexo_5[periodo],$H$36)+SUMIFS(Anexo_5[base_no_grabada],Anexo_5[serie],$E$44,Anexo_5[periodo],$H$36)</f>
        <v>#REF!</v>
      </c>
      <c r="I44" s="20" t="e">
        <f>SUMIFS(Anexo_5[base_imponible_18],Anexo_5[serie],$E$44,Anexo_5[periodo],$I$36)+SUMIFS(#REF!,Anexo_5[serie],$E$44,Anexo_5[periodo],$I$36)+SUMIFS(Anexo_5[base_no_grabada],Anexo_5[serie],$E$44,Anexo_5[periodo],$I$36)</f>
        <v>#REF!</v>
      </c>
      <c r="J44" s="20" t="e">
        <f>SUMIFS(Anexo_5[base_imponible_18],Anexo_5[serie],$E$44,Anexo_5[periodo],$J$36)+SUMIFS(#REF!,Anexo_5[serie],$E$44,Anexo_5[periodo],$J$36)+SUMIFS(Anexo_5[base_no_grabada],Anexo_5[serie],$E$44,Anexo_5[periodo],$J$36)</f>
        <v>#REF!</v>
      </c>
      <c r="K44" s="20" t="e">
        <f>SUMIFS(Anexo_5[base_imponible_18],Anexo_5[serie],$E$44,Anexo_5[periodo],$K$36)+SUMIFS(#REF!,Anexo_5[serie],$E$44,Anexo_5[periodo],$K$36)+SUMIFS(Anexo_5[base_no_grabada],Anexo_5[serie],$E$44,Anexo_5[periodo],$K$36)</f>
        <v>#REF!</v>
      </c>
      <c r="L44" s="20" t="e">
        <f>SUMIFS(Anexo_5[base_imponible_18],Anexo_5[serie],$E$44,Anexo_5[periodo],$L$36)+SUMIFS(#REF!,Anexo_5[serie],$E$44,Anexo_5[periodo],$L$36)+SUMIFS(Anexo_5[base_no_grabada],Anexo_5[serie],$E$44,Anexo_5[periodo],$L$36)</f>
        <v>#REF!</v>
      </c>
      <c r="M44" s="20" t="e">
        <f>SUMIFS(Anexo_5[base_imponible_18],Anexo_5[serie],$E$44,Anexo_5[periodo],$M$36)+SUMIFS(#REF!,Anexo_5[serie],$E$44,Anexo_5[periodo],$M$36)+SUMIFS(Anexo_5[base_no_grabada],Anexo_5[serie],$E$44,Anexo_5[periodo],$M$36)</f>
        <v>#REF!</v>
      </c>
      <c r="N44" s="20" t="e">
        <f>SUMIFS(Anexo_5[base_imponible_18],Anexo_5[serie],$E$44,Anexo_5[periodo],$N$36)+SUMIFS(#REF!,Anexo_5[serie],$E$44,Anexo_5[periodo],$N$36)+SUMIFS(Anexo_5[base_no_grabada],Anexo_5[serie],$E$44,Anexo_5[periodo],$N$36)</f>
        <v>#REF!</v>
      </c>
      <c r="O44" s="20" t="e">
        <f>SUMIFS(Anexo_5[base_imponible_18],Anexo_5[serie],$E$44,Anexo_5[periodo],$O$36)+SUMIFS(#REF!,Anexo_5[serie],$E$44,Anexo_5[periodo],$O$36)+SUMIFS(Anexo_5[base_no_grabada],Anexo_5[serie],$E$44,Anexo_5[periodo],$O$36)</f>
        <v>#REF!</v>
      </c>
      <c r="P44" s="20" t="e">
        <f>SUMIFS(Anexo_5[base_imponible_18],Anexo_5[serie],$E$44,Anexo_5[periodo],$P$36)+SUMIFS(#REF!,Anexo_5[serie],$E$44,Anexo_5[periodo],$P$36)+SUMIFS(Anexo_5[base_no_grabada],Anexo_5[serie],$E$44,Anexo_5[periodo],$P$36)</f>
        <v>#REF!</v>
      </c>
      <c r="Q44" s="20" t="e">
        <f>SUMIFS(Anexo_5[base_imponible_18],Anexo_5[serie],$E$44,Anexo_5[periodo],$Q$36)+SUMIFS(#REF!,Anexo_5[serie],$E$44,Anexo_5[periodo],$Q$36)+SUMIFS(Anexo_5[base_no_grabada],Anexo_5[serie],$E$44,Anexo_5[periodo],$Q$36)</f>
        <v>#REF!</v>
      </c>
      <c r="R44" s="20" t="e">
        <f>SUMIFS(Anexo_5[base_imponible_18],Anexo_5[serie],$E$44,Anexo_5[periodo],$R$36)+SUMIFS(#REF!,Anexo_5[serie],$E$44,Anexo_5[periodo],$R$36)+SUMIFS(Anexo_5[base_no_grabada],Anexo_5[serie],$E$44,Anexo_5[periodo],$R$36)</f>
        <v>#REF!</v>
      </c>
      <c r="S44" s="25" t="e">
        <f t="shared" si="5"/>
        <v>#REF!</v>
      </c>
      <c r="T44" s="25" t="e">
        <f t="shared" si="6"/>
        <v>#REF!</v>
      </c>
    </row>
    <row r="45" spans="2:20" ht="22.5" customHeight="1" x14ac:dyDescent="0.25">
      <c r="B45" s="182"/>
      <c r="C45" s="186"/>
      <c r="D45" s="187"/>
      <c r="E45" s="24" t="s">
        <v>110</v>
      </c>
      <c r="F45" s="12" t="s">
        <v>64</v>
      </c>
      <c r="G45" s="20" t="e">
        <f>SUMIFS(Anexo_5[base_imponible_18],Anexo_5[serie],$E$45,Anexo_5[periodo],$G$36)+SUMIFS(#REF!,Anexo_5[serie],$E$45,Anexo_5[periodo],$G$36)+SUMIFS(Anexo_5[base_no_grabada],Anexo_5[serie],$E$45,Anexo_5[periodo],$G$36)</f>
        <v>#REF!</v>
      </c>
      <c r="H45" s="20" t="e">
        <f>SUMIFS(Anexo_5[base_imponible_18],Anexo_5[serie],$E$45,Anexo_5[periodo],$H$36)+SUMIFS(#REF!,Anexo_5[serie],$E$45,Anexo_5[periodo],$H$36)+SUMIFS(Anexo_5[base_no_grabada],Anexo_5[serie],$E$45,Anexo_5[periodo],$H$36)</f>
        <v>#REF!</v>
      </c>
      <c r="I45" s="20" t="e">
        <f>SUMIFS(Anexo_5[base_imponible_18],Anexo_5[serie],$E$45,Anexo_5[periodo],$I$36)+SUMIFS(#REF!,Anexo_5[serie],$E$45,Anexo_5[periodo],$I$36)+SUMIFS(Anexo_5[base_no_grabada],Anexo_5[serie],$E$45,Anexo_5[periodo],$I$36)</f>
        <v>#REF!</v>
      </c>
      <c r="J45" s="20" t="e">
        <f>SUMIFS(Anexo_5[base_imponible_18],Anexo_5[serie],$E$45,Anexo_5[periodo],$J$36)+SUMIFS(#REF!,Anexo_5[serie],$E$45,Anexo_5[periodo],$J$36)+SUMIFS(Anexo_5[base_no_grabada],Anexo_5[serie],$E$45,Anexo_5[periodo],$J$36)</f>
        <v>#REF!</v>
      </c>
      <c r="K45" s="20" t="e">
        <f>SUMIFS(Anexo_5[base_imponible_18],Anexo_5[serie],$E$45,Anexo_5[periodo],$K$36)+SUMIFS(#REF!,Anexo_5[serie],$E$45,Anexo_5[periodo],$K$36)+SUMIFS(Anexo_5[base_no_grabada],Anexo_5[serie],$E$45,Anexo_5[periodo],$K$36)</f>
        <v>#REF!</v>
      </c>
      <c r="L45" s="20" t="e">
        <f>SUMIFS(Anexo_5[base_imponible_18],Anexo_5[serie],$E$45,Anexo_5[periodo],$L$36)+SUMIFS(#REF!,Anexo_5[serie],$E$45,Anexo_5[periodo],$L$36)+SUMIFS(Anexo_5[base_no_grabada],Anexo_5[serie],$E$45,Anexo_5[periodo],$L$36)</f>
        <v>#REF!</v>
      </c>
      <c r="M45" s="20" t="e">
        <f>SUMIFS(Anexo_5[base_imponible_18],Anexo_5[serie],$E$45,Anexo_5[periodo],$M$36)+SUMIFS(#REF!,Anexo_5[serie],$E$45,Anexo_5[periodo],$M$36)+SUMIFS(Anexo_5[base_no_grabada],Anexo_5[serie],$E$45,Anexo_5[periodo],$M$36)</f>
        <v>#REF!</v>
      </c>
      <c r="N45" s="20" t="e">
        <f>SUMIFS(Anexo_5[base_imponible_18],Anexo_5[serie],$E$45,Anexo_5[periodo],$N$36)+SUMIFS(#REF!,Anexo_5[serie],$E$45,Anexo_5[periodo],$N$36)+SUMIFS(Anexo_5[base_no_grabada],Anexo_5[serie],$E$45,Anexo_5[periodo],$N$36)</f>
        <v>#REF!</v>
      </c>
      <c r="O45" s="20" t="e">
        <f>SUMIFS(Anexo_5[base_imponible_18],Anexo_5[serie],$E$45,Anexo_5[periodo],$O$36)+SUMIFS(#REF!,Anexo_5[serie],$E$45,Anexo_5[periodo],$O$36)+SUMIFS(Anexo_5[base_no_grabada],Anexo_5[serie],$E$45,Anexo_5[periodo],$O$36)</f>
        <v>#REF!</v>
      </c>
      <c r="P45" s="20" t="e">
        <f>SUMIFS(Anexo_5[base_imponible_18],Anexo_5[serie],$E$45,Anexo_5[periodo],$P$36)+SUMIFS(#REF!,Anexo_5[serie],$E$45,Anexo_5[periodo],$P$36)+SUMIFS(Anexo_5[base_no_grabada],Anexo_5[serie],$E$45,Anexo_5[periodo],$P$36)</f>
        <v>#REF!</v>
      </c>
      <c r="Q45" s="20" t="e">
        <f>SUMIFS(Anexo_5[base_imponible_18],Anexo_5[serie],$E$45,Anexo_5[periodo],$Q$36)+SUMIFS(#REF!,Anexo_5[serie],$E$45,Anexo_5[periodo],$Q$36)+SUMIFS(Anexo_5[base_no_grabada],Anexo_5[serie],$E$45,Anexo_5[periodo],$Q$36)</f>
        <v>#REF!</v>
      </c>
      <c r="R45" s="20" t="e">
        <f>SUMIFS(Anexo_5[base_imponible_18],Anexo_5[serie],$E$45,Anexo_5[periodo],$R$36)+SUMIFS(#REF!,Anexo_5[serie],$E$45,Anexo_5[periodo],$R$36)+SUMIFS(Anexo_5[base_no_grabada],Anexo_5[serie],$E$45,Anexo_5[periodo],$R$36)</f>
        <v>#REF!</v>
      </c>
      <c r="S45" s="25" t="e">
        <f t="shared" si="5"/>
        <v>#REF!</v>
      </c>
      <c r="T45" s="25" t="e">
        <f t="shared" si="6"/>
        <v>#REF!</v>
      </c>
    </row>
    <row r="46" spans="2:20" ht="22.5" customHeight="1" x14ac:dyDescent="0.25">
      <c r="B46" s="182"/>
      <c r="C46" s="186"/>
      <c r="D46" s="187"/>
      <c r="E46" s="98" t="s">
        <v>111</v>
      </c>
      <c r="F46" s="12" t="s">
        <v>64</v>
      </c>
      <c r="G46" s="25" t="e">
        <f t="shared" ref="G46:R46" si="7">SUM(G37:G45)</f>
        <v>#REF!</v>
      </c>
      <c r="H46" s="25" t="e">
        <f t="shared" si="7"/>
        <v>#REF!</v>
      </c>
      <c r="I46" s="25" t="e">
        <f t="shared" si="7"/>
        <v>#REF!</v>
      </c>
      <c r="J46" s="25" t="e">
        <f t="shared" si="7"/>
        <v>#REF!</v>
      </c>
      <c r="K46" s="25" t="e">
        <f t="shared" si="7"/>
        <v>#REF!</v>
      </c>
      <c r="L46" s="25" t="e">
        <f t="shared" si="7"/>
        <v>#REF!</v>
      </c>
      <c r="M46" s="25" t="e">
        <f t="shared" si="7"/>
        <v>#REF!</v>
      </c>
      <c r="N46" s="25" t="e">
        <f t="shared" si="7"/>
        <v>#REF!</v>
      </c>
      <c r="O46" s="25" t="e">
        <f t="shared" si="7"/>
        <v>#REF!</v>
      </c>
      <c r="P46" s="25" t="e">
        <f t="shared" si="7"/>
        <v>#REF!</v>
      </c>
      <c r="Q46" s="25" t="e">
        <f t="shared" si="7"/>
        <v>#REF!</v>
      </c>
      <c r="R46" s="25" t="e">
        <f t="shared" si="7"/>
        <v>#REF!</v>
      </c>
      <c r="S46" s="25" t="e">
        <f t="shared" ref="S46:T46" si="8">SUM(S37:S45)</f>
        <v>#REF!</v>
      </c>
      <c r="T46" s="25" t="e">
        <f t="shared" si="8"/>
        <v>#REF!</v>
      </c>
    </row>
    <row r="47" spans="2:20" ht="22.5" customHeight="1" x14ac:dyDescent="0.25">
      <c r="B47" s="182"/>
      <c r="C47" s="188"/>
      <c r="D47" s="189"/>
      <c r="E47" s="98" t="s">
        <v>112</v>
      </c>
      <c r="F47" s="12" t="s">
        <v>36</v>
      </c>
      <c r="G47" s="99">
        <f t="shared" ref="G47:T47" si="9">IFERROR(((G46*100)/G61)*0.01,0)</f>
        <v>0</v>
      </c>
      <c r="H47" s="99">
        <f t="shared" si="9"/>
        <v>0</v>
      </c>
      <c r="I47" s="99">
        <f t="shared" si="9"/>
        <v>0</v>
      </c>
      <c r="J47" s="99">
        <f t="shared" si="9"/>
        <v>0</v>
      </c>
      <c r="K47" s="99">
        <f t="shared" si="9"/>
        <v>0</v>
      </c>
      <c r="L47" s="99">
        <f t="shared" si="9"/>
        <v>0</v>
      </c>
      <c r="M47" s="99">
        <f t="shared" si="9"/>
        <v>0</v>
      </c>
      <c r="N47" s="99">
        <f t="shared" si="9"/>
        <v>0</v>
      </c>
      <c r="O47" s="99">
        <f t="shared" si="9"/>
        <v>0</v>
      </c>
      <c r="P47" s="99">
        <f t="shared" si="9"/>
        <v>0</v>
      </c>
      <c r="Q47" s="99">
        <f t="shared" si="9"/>
        <v>0</v>
      </c>
      <c r="R47" s="99">
        <f t="shared" si="9"/>
        <v>0</v>
      </c>
      <c r="S47" s="99">
        <f t="shared" si="9"/>
        <v>0</v>
      </c>
      <c r="T47" s="99">
        <f t="shared" si="9"/>
        <v>0</v>
      </c>
    </row>
    <row r="48" spans="2:20" ht="3" customHeight="1" x14ac:dyDescent="0.25">
      <c r="B48" s="182"/>
      <c r="C48" s="100"/>
      <c r="D48" s="100"/>
      <c r="E48" s="100"/>
      <c r="F48" s="95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7"/>
      <c r="T48" s="101"/>
    </row>
    <row r="49" spans="2:20" ht="22.5" customHeight="1" x14ac:dyDescent="0.25">
      <c r="B49" s="182"/>
      <c r="C49" s="184" t="s">
        <v>113</v>
      </c>
      <c r="D49" s="185"/>
      <c r="E49" s="24" t="s">
        <v>114</v>
      </c>
      <c r="F49" s="12" t="s">
        <v>64</v>
      </c>
      <c r="G49" s="20" t="e">
        <f>SUMIFS(Anexo_5[base_imponible_18],Anexo_5[VENTAS KPI],$E$49,Anexo_5[periodo],$G$36)+SUMIFS(#REF!,Anexo_5[VENTAS KPI],$E$49,Anexo_5[periodo],$G$36)+SUMIFS(Anexo_5[base_no_grabada],Anexo_5[VENTAS KPI],$E$49,Anexo_5[periodo],$G$36)</f>
        <v>#REF!</v>
      </c>
      <c r="H49" s="20" t="e">
        <f>SUMIFS(Anexo_5[base_imponible_18],Anexo_5[VENTAS KPI],$E$49,Anexo_5[periodo],$H$36)+SUMIFS(#REF!,Anexo_5[VENTAS KPI],$E$49,Anexo_5[periodo],$H$36)+SUMIFS(Anexo_5[base_no_grabada],Anexo_5[VENTAS KPI],$E$49,Anexo_5[periodo],$H$36)</f>
        <v>#REF!</v>
      </c>
      <c r="I49" s="20" t="e">
        <f>SUMIFS(Anexo_5[base_imponible_18],Anexo_5[VENTAS KPI],$E$49,Anexo_5[periodo],$I$36)+SUMIFS(#REF!,Anexo_5[VENTAS KPI],$E$49,Anexo_5[periodo],$I$36)+SUMIFS(Anexo_5[base_no_grabada],Anexo_5[VENTAS KPI],$E$49,Anexo_5[periodo],$I$36)</f>
        <v>#REF!</v>
      </c>
      <c r="J49" s="20" t="e">
        <f>SUMIFS(Anexo_5[base_imponible_18],Anexo_5[VENTAS KPI],$E$49,Anexo_5[periodo],$J$36)+SUMIFS(#REF!,Anexo_5[VENTAS KPI],$E$49,Anexo_5[periodo],$J$36)+SUMIFS(Anexo_5[base_no_grabada],Anexo_5[VENTAS KPI],$E$49,Anexo_5[periodo],$J$36)</f>
        <v>#REF!</v>
      </c>
      <c r="K49" s="20" t="e">
        <f>SUMIFS(Anexo_5[base_imponible_18],Anexo_5[VENTAS KPI],$E$49,Anexo_5[periodo],$K$36)+SUMIFS(#REF!,Anexo_5[VENTAS KPI],$E$49,Anexo_5[periodo],$K$36)+SUMIFS(Anexo_5[base_no_grabada],Anexo_5[VENTAS KPI],$E$49,Anexo_5[periodo],$K$36)</f>
        <v>#REF!</v>
      </c>
      <c r="L49" s="20" t="e">
        <f>SUMIFS(Anexo_5[base_imponible_18],Anexo_5[VENTAS KPI],$E$49,Anexo_5[periodo],$L$36)+SUMIFS(#REF!,Anexo_5[VENTAS KPI],$E$49,Anexo_5[periodo],$L$36)+SUMIFS(Anexo_5[base_no_grabada],Anexo_5[VENTAS KPI],$E$49,Anexo_5[periodo],$L$36)</f>
        <v>#REF!</v>
      </c>
      <c r="M49" s="20" t="e">
        <f>SUMIFS(Anexo_5[base_imponible_18],Anexo_5[VENTAS KPI],$E$49,Anexo_5[periodo],$M$36)+SUMIFS(#REF!,Anexo_5[VENTAS KPI],$E$49,Anexo_5[periodo],$M$36)+SUMIFS(Anexo_5[base_no_grabada],Anexo_5[VENTAS KPI],$E$49,Anexo_5[periodo],$M$36)</f>
        <v>#REF!</v>
      </c>
      <c r="N49" s="20" t="e">
        <f>SUMIFS(Anexo_5[base_imponible_18],Anexo_5[VENTAS KPI],$E$49,Anexo_5[periodo],$N$36)+SUMIFS(#REF!,Anexo_5[VENTAS KPI],$E$49,Anexo_5[periodo],$N$36)+SUMIFS(Anexo_5[base_no_grabada],Anexo_5[VENTAS KPI],$E$49,Anexo_5[periodo],$N$36)</f>
        <v>#REF!</v>
      </c>
      <c r="O49" s="20" t="e">
        <f>SUMIFS(Anexo_5[base_imponible_18],Anexo_5[VENTAS KPI],$E$49,Anexo_5[periodo],$O$36)+SUMIFS(#REF!,Anexo_5[VENTAS KPI],$E$49,Anexo_5[periodo],$O$36)+SUMIFS(Anexo_5[base_no_grabada],Anexo_5[VENTAS KPI],$E$49,Anexo_5[periodo],$O$36)</f>
        <v>#REF!</v>
      </c>
      <c r="P49" s="20" t="e">
        <f>SUMIFS(Anexo_5[base_imponible_18],Anexo_5[VENTAS KPI],$E$49,Anexo_5[periodo],$P$36)+SUMIFS(#REF!,Anexo_5[VENTAS KPI],$E$49,Anexo_5[periodo],$P$36)+SUMIFS(Anexo_5[base_no_grabada],Anexo_5[VENTAS KPI],$E$49,Anexo_5[periodo],$P$36)</f>
        <v>#REF!</v>
      </c>
      <c r="Q49" s="20" t="e">
        <f>SUMIFS(Anexo_5[base_imponible_18],Anexo_5[VENTAS KPI],$E$49,Anexo_5[periodo],$Q$36)+SUMIFS(#REF!,Anexo_5[VENTAS KPI],$E$49,Anexo_5[periodo],$Q$36)+SUMIFS(Anexo_5[base_no_grabada],Anexo_5[VENTAS KPI],$E$49,Anexo_5[periodo],$Q$36)</f>
        <v>#REF!</v>
      </c>
      <c r="R49" s="20" t="e">
        <f>SUMIFS(Anexo_5[base_imponible_18],Anexo_5[VENTAS KPI],$E$49,Anexo_5[periodo],$R$36)+SUMIFS(#REF!,Anexo_5[VENTAS KPI],$E$49,Anexo_5[periodo],$R$36)+SUMIFS(Anexo_5[base_no_grabada],Anexo_5[VENTAS KPI],$E$49,Anexo_5[periodo],$R$36)</f>
        <v>#REF!</v>
      </c>
      <c r="S49" s="25" t="e">
        <f t="shared" si="5"/>
        <v>#REF!</v>
      </c>
      <c r="T49" s="25" t="e">
        <f t="shared" ref="T49:T58" si="10">AVERAGE(G49:R49)</f>
        <v>#REF!</v>
      </c>
    </row>
    <row r="50" spans="2:20" ht="22.5" customHeight="1" x14ac:dyDescent="0.25">
      <c r="B50" s="182"/>
      <c r="C50" s="186"/>
      <c r="D50" s="187"/>
      <c r="E50" s="24" t="s">
        <v>115</v>
      </c>
      <c r="F50" s="12" t="s">
        <v>64</v>
      </c>
      <c r="G50" s="20" t="e">
        <f>SUMIFS(Anexo_5[base_imponible_18],Anexo_5[VENTAS KPI],$E$50,Anexo_5[periodo],$G$36)+SUMIFS(#REF!,Anexo_5[VENTAS KPI],$E$50,Anexo_5[periodo],$G$36)+SUMIFS(Anexo_5[base_no_grabada],Anexo_5[VENTAS KPI],$E$50,Anexo_5[periodo],$G$36)</f>
        <v>#REF!</v>
      </c>
      <c r="H50" s="20" t="e">
        <f>SUMIFS(Anexo_5[base_imponible_18],Anexo_5[VENTAS KPI],$E$50,Anexo_5[periodo],$H$36)+SUMIFS(#REF!,Anexo_5[VENTAS KPI],$E$50,Anexo_5[periodo],$H$36)+SUMIFS(Anexo_5[base_no_grabada],Anexo_5[VENTAS KPI],$E$50,Anexo_5[periodo],$H$36)</f>
        <v>#REF!</v>
      </c>
      <c r="I50" s="20" t="e">
        <f>SUMIFS(Anexo_5[base_imponible_18],Anexo_5[VENTAS KPI],$E$50,Anexo_5[periodo],$I$36)+SUMIFS(#REF!,Anexo_5[VENTAS KPI],$E$50,Anexo_5[periodo],$I$36)+SUMIFS(Anexo_5[base_no_grabada],Anexo_5[VENTAS KPI],$E$50,Anexo_5[periodo],$I$36)</f>
        <v>#REF!</v>
      </c>
      <c r="J50" s="20" t="e">
        <f>SUMIFS(Anexo_5[base_imponible_18],Anexo_5[VENTAS KPI],$E$50,Anexo_5[periodo],$J$36)+SUMIFS(#REF!,Anexo_5[VENTAS KPI],$E$50,Anexo_5[periodo],$J$36)+SUMIFS(Anexo_5[base_no_grabada],Anexo_5[VENTAS KPI],$E$50,Anexo_5[periodo],$J$36)</f>
        <v>#REF!</v>
      </c>
      <c r="K50" s="20" t="e">
        <f>SUMIFS(Anexo_5[base_imponible_18],Anexo_5[VENTAS KPI],$E$50,Anexo_5[periodo],$K$36)+SUMIFS(#REF!,Anexo_5[VENTAS KPI],$E$50,Anexo_5[periodo],$K$36)+SUMIFS(Anexo_5[base_no_grabada],Anexo_5[VENTAS KPI],$E$50,Anexo_5[periodo],$K$36)</f>
        <v>#REF!</v>
      </c>
      <c r="L50" s="20" t="e">
        <f>SUMIFS(Anexo_5[base_imponible_18],Anexo_5[VENTAS KPI],$E$50,Anexo_5[periodo],$L$36)+SUMIFS(#REF!,Anexo_5[VENTAS KPI],$E$50,Anexo_5[periodo],$L$36)+SUMIFS(Anexo_5[base_no_grabada],Anexo_5[VENTAS KPI],$E$50,Anexo_5[periodo],$L$36)</f>
        <v>#REF!</v>
      </c>
      <c r="M50" s="20" t="e">
        <f>SUMIFS(Anexo_5[base_imponible_18],Anexo_5[VENTAS KPI],$E$50,Anexo_5[periodo],$M$36)+SUMIFS(#REF!,Anexo_5[VENTAS KPI],$E$50,Anexo_5[periodo],$M$36)+SUMIFS(Anexo_5[base_no_grabada],Anexo_5[VENTAS KPI],$E$50,Anexo_5[periodo],$M$36)</f>
        <v>#REF!</v>
      </c>
      <c r="N50" s="20" t="e">
        <f>SUMIFS(Anexo_5[base_imponible_18],Anexo_5[VENTAS KPI],$E$50,Anexo_5[periodo],$N$36)+SUMIFS(#REF!,Anexo_5[VENTAS KPI],$E$50,Anexo_5[periodo],$N$36)+SUMIFS(Anexo_5[base_no_grabada],Anexo_5[VENTAS KPI],$E$50,Anexo_5[periodo],$N$36)</f>
        <v>#REF!</v>
      </c>
      <c r="O50" s="20" t="e">
        <f>SUMIFS(Anexo_5[base_imponible_18],Anexo_5[VENTAS KPI],$E$50,Anexo_5[periodo],$O$36)+SUMIFS(#REF!,Anexo_5[VENTAS KPI],$E$50,Anexo_5[periodo],$O$36)+SUMIFS(Anexo_5[base_no_grabada],Anexo_5[VENTAS KPI],$E$50,Anexo_5[periodo],$O$36)</f>
        <v>#REF!</v>
      </c>
      <c r="P50" s="20" t="e">
        <f>SUMIFS(Anexo_5[base_imponible_18],Anexo_5[VENTAS KPI],$E$50,Anexo_5[periodo],$P$36)+SUMIFS(#REF!,Anexo_5[VENTAS KPI],$E$50,Anexo_5[periodo],$P$36)+SUMIFS(Anexo_5[base_no_grabada],Anexo_5[VENTAS KPI],$E$50,Anexo_5[periodo],$P$36)</f>
        <v>#REF!</v>
      </c>
      <c r="Q50" s="20" t="e">
        <f>SUMIFS(Anexo_5[base_imponible_18],Anexo_5[VENTAS KPI],$E$50,Anexo_5[periodo],$Q$36)+SUMIFS(#REF!,Anexo_5[VENTAS KPI],$E$50,Anexo_5[periodo],$Q$36)+SUMIFS(Anexo_5[base_no_grabada],Anexo_5[VENTAS KPI],$E$50,Anexo_5[periodo],$Q$36)</f>
        <v>#REF!</v>
      </c>
      <c r="R50" s="20" t="e">
        <f>SUMIFS(Anexo_5[base_imponible_18],Anexo_5[VENTAS KPI],$E$50,Anexo_5[periodo],$R$36)+SUMIFS(#REF!,Anexo_5[VENTAS KPI],$E$50,Anexo_5[periodo],$R$36)+SUMIFS(Anexo_5[base_no_grabada],Anexo_5[VENTAS KPI],$E$50,Anexo_5[periodo],$R$36)</f>
        <v>#REF!</v>
      </c>
      <c r="S50" s="25" t="e">
        <f t="shared" si="5"/>
        <v>#REF!</v>
      </c>
      <c r="T50" s="25" t="e">
        <f t="shared" si="10"/>
        <v>#REF!</v>
      </c>
    </row>
    <row r="51" spans="2:20" ht="22.5" customHeight="1" x14ac:dyDescent="0.25">
      <c r="B51" s="182"/>
      <c r="C51" s="186"/>
      <c r="D51" s="187"/>
      <c r="E51" s="24" t="s">
        <v>116</v>
      </c>
      <c r="F51" s="12" t="s">
        <v>64</v>
      </c>
      <c r="G51" s="20" t="e">
        <f>SUMIFS(Anexo_5[base_imponible_18],Anexo_5[VENTAS KPI],$E$51,Anexo_5[periodo],$G$36)+SUMIFS(#REF!,Anexo_5[VENTAS KPI],$E$51,Anexo_5[periodo],$G$36)+SUMIFS(Anexo_5[base_no_grabada],Anexo_5[VENTAS KPI],$E$51,Anexo_5[periodo],$G$36)</f>
        <v>#REF!</v>
      </c>
      <c r="H51" s="20" t="e">
        <f>SUMIFS(Anexo_5[base_imponible_18],Anexo_5[VENTAS KPI],$E$51,Anexo_5[periodo],$H$36)+SUMIFS(#REF!,Anexo_5[VENTAS KPI],$E$51,Anexo_5[periodo],$H$36)+SUMIFS(Anexo_5[base_no_grabada],Anexo_5[VENTAS KPI],$E$51,Anexo_5[periodo],$H$36)</f>
        <v>#REF!</v>
      </c>
      <c r="I51" s="20" t="e">
        <f>SUMIFS(Anexo_5[base_imponible_18],Anexo_5[VENTAS KPI],$E$51,Anexo_5[periodo],$I$36)+SUMIFS(#REF!,Anexo_5[VENTAS KPI],$E$51,Anexo_5[periodo],$I$36)+SUMIFS(Anexo_5[base_no_grabada],Anexo_5[VENTAS KPI],$E$51,Anexo_5[periodo],$I$36)</f>
        <v>#REF!</v>
      </c>
      <c r="J51" s="20" t="e">
        <f>SUMIFS(Anexo_5[base_imponible_18],Anexo_5[VENTAS KPI],$E$51,Anexo_5[periodo],$J$36)+SUMIFS(#REF!,Anexo_5[VENTAS KPI],$E$51,Anexo_5[periodo],$J$36)+SUMIFS(Anexo_5[base_no_grabada],Anexo_5[VENTAS KPI],$E$51,Anexo_5[periodo],$J$36)</f>
        <v>#REF!</v>
      </c>
      <c r="K51" s="20" t="e">
        <f>SUMIFS(Anexo_5[base_imponible_18],Anexo_5[VENTAS KPI],$E$51,Anexo_5[periodo],$K$36)+SUMIFS(#REF!,Anexo_5[VENTAS KPI],$E$51,Anexo_5[periodo],$K$36)+SUMIFS(Anexo_5[base_no_grabada],Anexo_5[VENTAS KPI],$E$51,Anexo_5[periodo],$K$36)</f>
        <v>#REF!</v>
      </c>
      <c r="L51" s="20" t="e">
        <f>SUMIFS(Anexo_5[base_imponible_18],Anexo_5[VENTAS KPI],$E$51,Anexo_5[periodo],$L$36)+SUMIFS(#REF!,Anexo_5[VENTAS KPI],$E$51,Anexo_5[periodo],$L$36)+SUMIFS(Anexo_5[base_no_grabada],Anexo_5[VENTAS KPI],$E$51,Anexo_5[periodo],$L$36)</f>
        <v>#REF!</v>
      </c>
      <c r="M51" s="20" t="e">
        <f>SUMIFS(Anexo_5[base_imponible_18],Anexo_5[VENTAS KPI],$E$51,Anexo_5[periodo],$M$36)+SUMIFS(#REF!,Anexo_5[VENTAS KPI],$E$51,Anexo_5[periodo],$M$36)+SUMIFS(Anexo_5[base_no_grabada],Anexo_5[VENTAS KPI],$E$51,Anexo_5[periodo],$M$36)</f>
        <v>#REF!</v>
      </c>
      <c r="N51" s="20" t="e">
        <f>SUMIFS(Anexo_5[base_imponible_18],Anexo_5[VENTAS KPI],$E$51,Anexo_5[periodo],$N$36)+SUMIFS(#REF!,Anexo_5[VENTAS KPI],$E$51,Anexo_5[periodo],$N$36)+SUMIFS(Anexo_5[base_no_grabada],Anexo_5[VENTAS KPI],$E$51,Anexo_5[periodo],$N$36)</f>
        <v>#REF!</v>
      </c>
      <c r="O51" s="20" t="e">
        <f>SUMIFS(Anexo_5[base_imponible_18],Anexo_5[VENTAS KPI],$E$51,Anexo_5[periodo],$O$36)+SUMIFS(#REF!,Anexo_5[VENTAS KPI],$E$51,Anexo_5[periodo],$O$36)+SUMIFS(Anexo_5[base_no_grabada],Anexo_5[VENTAS KPI],$E$51,Anexo_5[periodo],$O$36)</f>
        <v>#REF!</v>
      </c>
      <c r="P51" s="20" t="e">
        <f>SUMIFS(Anexo_5[base_imponible_18],Anexo_5[VENTAS KPI],$E$51,Anexo_5[periodo],$P$36)+SUMIFS(#REF!,Anexo_5[VENTAS KPI],$E$51,Anexo_5[periodo],$P$36)+SUMIFS(Anexo_5[base_no_grabada],Anexo_5[VENTAS KPI],$E$51,Anexo_5[periodo],$P$36)</f>
        <v>#REF!</v>
      </c>
      <c r="Q51" s="20" t="e">
        <f>SUMIFS(Anexo_5[base_imponible_18],Anexo_5[VENTAS KPI],$E$51,Anexo_5[periodo],$Q$36)+SUMIFS(#REF!,Anexo_5[VENTAS KPI],$E$51,Anexo_5[periodo],$Q$36)+SUMIFS(Anexo_5[base_no_grabada],Anexo_5[VENTAS KPI],$E$51,Anexo_5[periodo],$Q$36)</f>
        <v>#REF!</v>
      </c>
      <c r="R51" s="20" t="e">
        <f>SUMIFS(Anexo_5[base_imponible_18],Anexo_5[VENTAS KPI],$E$51,Anexo_5[periodo],$R$36)+SUMIFS(#REF!,Anexo_5[VENTAS KPI],$E$51,Anexo_5[periodo],$R$36)+SUMIFS(Anexo_5[base_no_grabada],Anexo_5[VENTAS KPI],$E$51,Anexo_5[periodo],$R$36)</f>
        <v>#REF!</v>
      </c>
      <c r="S51" s="25" t="e">
        <f t="shared" si="5"/>
        <v>#REF!</v>
      </c>
      <c r="T51" s="25" t="e">
        <f t="shared" si="10"/>
        <v>#REF!</v>
      </c>
    </row>
    <row r="52" spans="2:20" ht="22.5" customHeight="1" x14ac:dyDescent="0.25">
      <c r="B52" s="182"/>
      <c r="C52" s="186"/>
      <c r="D52" s="187"/>
      <c r="E52" s="24" t="s">
        <v>117</v>
      </c>
      <c r="F52" s="12" t="s">
        <v>64</v>
      </c>
      <c r="G52" s="20" t="e">
        <f>SUMIFS(Anexo_5[base_imponible_18],Anexo_5[VENTAS KPI],$E$52,Anexo_5[periodo],$G$36)+SUMIFS(#REF!,Anexo_5[VENTAS KPI],$E$52,Anexo_5[periodo],$G$36)+SUMIFS(Anexo_5[base_no_grabada],Anexo_5[VENTAS KPI],$E$52,Anexo_5[periodo],$G$36)</f>
        <v>#REF!</v>
      </c>
      <c r="H52" s="20" t="e">
        <f>SUMIFS(Anexo_5[base_imponible_18],Anexo_5[VENTAS KPI],$E$52,Anexo_5[periodo],$H$36)+SUMIFS(#REF!,Anexo_5[VENTAS KPI],$E$52,Anexo_5[periodo],$H$36)+SUMIFS(Anexo_5[base_no_grabada],Anexo_5[VENTAS KPI],$E$52,Anexo_5[periodo],$H$36)</f>
        <v>#REF!</v>
      </c>
      <c r="I52" s="20" t="e">
        <f>SUMIFS(Anexo_5[base_imponible_18],Anexo_5[VENTAS KPI],$E$52,Anexo_5[periodo],$I$36)+SUMIFS(#REF!,Anexo_5[VENTAS KPI],$E$52,Anexo_5[periodo],$I$36)+SUMIFS(Anexo_5[base_no_grabada],Anexo_5[VENTAS KPI],$E$52,Anexo_5[periodo],$I$36)</f>
        <v>#REF!</v>
      </c>
      <c r="J52" s="20" t="e">
        <f>SUMIFS(Anexo_5[base_imponible_18],Anexo_5[VENTAS KPI],$E$52,Anexo_5[periodo],$J$36)+SUMIFS(#REF!,Anexo_5[VENTAS KPI],$E$52,Anexo_5[periodo],$J$36)+SUMIFS(Anexo_5[base_no_grabada],Anexo_5[VENTAS KPI],$E$52,Anexo_5[periodo],$J$36)</f>
        <v>#REF!</v>
      </c>
      <c r="K52" s="20" t="e">
        <f>SUMIFS(Anexo_5[base_imponible_18],Anexo_5[VENTAS KPI],$E$52,Anexo_5[periodo],$K$36)+SUMIFS(#REF!,Anexo_5[VENTAS KPI],$E$52,Anexo_5[periodo],$K$36)+SUMIFS(Anexo_5[base_no_grabada],Anexo_5[VENTAS KPI],$E$52,Anexo_5[periodo],$K$36)</f>
        <v>#REF!</v>
      </c>
      <c r="L52" s="20" t="e">
        <f>SUMIFS(Anexo_5[base_imponible_18],Anexo_5[VENTAS KPI],$E$52,Anexo_5[periodo],$L$36)+SUMIFS(#REF!,Anexo_5[VENTAS KPI],$E$52,Anexo_5[periodo],$L$36)+SUMIFS(Anexo_5[base_no_grabada],Anexo_5[VENTAS KPI],$E$52,Anexo_5[periodo],$L$36)</f>
        <v>#REF!</v>
      </c>
      <c r="M52" s="20" t="e">
        <f>SUMIFS(Anexo_5[base_imponible_18],Anexo_5[VENTAS KPI],$E$52,Anexo_5[periodo],$M$36)+SUMIFS(#REF!,Anexo_5[VENTAS KPI],$E$52,Anexo_5[periodo],$M$36)+SUMIFS(Anexo_5[base_no_grabada],Anexo_5[VENTAS KPI],$E$52,Anexo_5[periodo],$M$36)</f>
        <v>#REF!</v>
      </c>
      <c r="N52" s="20" t="e">
        <f>SUMIFS(Anexo_5[base_imponible_18],Anexo_5[VENTAS KPI],$E$52,Anexo_5[periodo],$N$36)+SUMIFS(#REF!,Anexo_5[VENTAS KPI],$E$52,Anexo_5[periodo],$N$36)+SUMIFS(Anexo_5[base_no_grabada],Anexo_5[VENTAS KPI],$E$52,Anexo_5[periodo],$N$36)</f>
        <v>#REF!</v>
      </c>
      <c r="O52" s="20" t="e">
        <f>SUMIFS(Anexo_5[base_imponible_18],Anexo_5[VENTAS KPI],$E$52,Anexo_5[periodo],$O$36)+SUMIFS(#REF!,Anexo_5[VENTAS KPI],$E$52,Anexo_5[periodo],$O$36)+SUMIFS(Anexo_5[base_no_grabada],Anexo_5[VENTAS KPI],$E$52,Anexo_5[periodo],$O$36)</f>
        <v>#REF!</v>
      </c>
      <c r="P52" s="20" t="e">
        <f>SUMIFS(Anexo_5[base_imponible_18],Anexo_5[VENTAS KPI],$E$52,Anexo_5[periodo],$P$36)+SUMIFS(#REF!,Anexo_5[VENTAS KPI],$E$52,Anexo_5[periodo],$P$36)+SUMIFS(Anexo_5[base_no_grabada],Anexo_5[VENTAS KPI],$E$52,Anexo_5[periodo],$P$36)</f>
        <v>#REF!</v>
      </c>
      <c r="Q52" s="20" t="e">
        <f>SUMIFS(Anexo_5[base_imponible_18],Anexo_5[VENTAS KPI],$E$52,Anexo_5[periodo],$Q$36)+SUMIFS(#REF!,Anexo_5[VENTAS KPI],$E$52,Anexo_5[periodo],$Q$36)+SUMIFS(Anexo_5[base_no_grabada],Anexo_5[VENTAS KPI],$E$52,Anexo_5[periodo],$Q$36)</f>
        <v>#REF!</v>
      </c>
      <c r="R52" s="20" t="e">
        <f>SUMIFS(Anexo_5[base_imponible_18],Anexo_5[VENTAS KPI],$E$52,Anexo_5[periodo],$R$36)+SUMIFS(#REF!,Anexo_5[VENTAS KPI],$E$52,Anexo_5[periodo],$R$36)+SUMIFS(Anexo_5[base_no_grabada],Anexo_5[VENTAS KPI],$E$52,Anexo_5[periodo],$R$36)</f>
        <v>#REF!</v>
      </c>
      <c r="S52" s="25" t="e">
        <f t="shared" si="5"/>
        <v>#REF!</v>
      </c>
      <c r="T52" s="25" t="e">
        <f t="shared" si="10"/>
        <v>#REF!</v>
      </c>
    </row>
    <row r="53" spans="2:20" ht="22.5" customHeight="1" x14ac:dyDescent="0.25">
      <c r="B53" s="182"/>
      <c r="C53" s="186"/>
      <c r="D53" s="187"/>
      <c r="E53" s="24" t="s">
        <v>118</v>
      </c>
      <c r="F53" s="12" t="s">
        <v>64</v>
      </c>
      <c r="G53" s="20" t="e">
        <f>SUMIFS(Anexo_5[base_imponible_18],Anexo_5[VENTAS KPI],$E$53,Anexo_5[periodo],$G$36)+SUMIFS(#REF!,Anexo_5[VENTAS KPI],$E$53,Anexo_5[periodo],$G$36)+SUMIFS(Anexo_5[base_no_grabada],Anexo_5[VENTAS KPI],$E$53,Anexo_5[periodo],$G$36)</f>
        <v>#REF!</v>
      </c>
      <c r="H53" s="20" t="e">
        <f>SUMIFS(Anexo_5[base_imponible_18],Anexo_5[VENTAS KPI],$E$53,Anexo_5[periodo],$H$36)+SUMIFS(#REF!,Anexo_5[VENTAS KPI],$E$53,Anexo_5[periodo],$H$36)+SUMIFS(Anexo_5[base_no_grabada],Anexo_5[VENTAS KPI],$E$53,Anexo_5[periodo],$H$36)</f>
        <v>#REF!</v>
      </c>
      <c r="I53" s="20" t="e">
        <f>SUMIFS(Anexo_5[base_imponible_18],Anexo_5[VENTAS KPI],$E$53,Anexo_5[periodo],$I$36)+SUMIFS(#REF!,Anexo_5[VENTAS KPI],$E$53,Anexo_5[periodo],$I$36)+SUMIFS(Anexo_5[base_no_grabada],Anexo_5[VENTAS KPI],$E$53,Anexo_5[periodo],$I$36)</f>
        <v>#REF!</v>
      </c>
      <c r="J53" s="20" t="e">
        <f>SUMIFS(Anexo_5[base_imponible_18],Anexo_5[VENTAS KPI],$E$53,Anexo_5[periodo],$J$36)+SUMIFS(#REF!,Anexo_5[VENTAS KPI],$E$53,Anexo_5[periodo],$J$36)+SUMIFS(Anexo_5[base_no_grabada],Anexo_5[VENTAS KPI],$E$53,Anexo_5[periodo],$J$36)</f>
        <v>#REF!</v>
      </c>
      <c r="K53" s="20" t="e">
        <f>SUMIFS(Anexo_5[base_imponible_18],Anexo_5[VENTAS KPI],$E$53,Anexo_5[periodo],$K$36)+SUMIFS(#REF!,Anexo_5[VENTAS KPI],$E$53,Anexo_5[periodo],$K$36)+SUMIFS(Anexo_5[base_no_grabada],Anexo_5[VENTAS KPI],$E$53,Anexo_5[periodo],$K$36)</f>
        <v>#REF!</v>
      </c>
      <c r="L53" s="20" t="e">
        <f>SUMIFS(Anexo_5[base_imponible_18],Anexo_5[VENTAS KPI],$E$53,Anexo_5[periodo],$L$36)+SUMIFS(#REF!,Anexo_5[VENTAS KPI],$E$53,Anexo_5[periodo],$L$36)+SUMIFS(Anexo_5[base_no_grabada],Anexo_5[VENTAS KPI],$E$53,Anexo_5[periodo],$L$36)</f>
        <v>#REF!</v>
      </c>
      <c r="M53" s="20" t="e">
        <f>SUMIFS(Anexo_5[base_imponible_18],Anexo_5[VENTAS KPI],$E$53,Anexo_5[periodo],$M$36)+SUMIFS(#REF!,Anexo_5[VENTAS KPI],$E$53,Anexo_5[periodo],$M$36)+SUMIFS(Anexo_5[base_no_grabada],Anexo_5[VENTAS KPI],$E$53,Anexo_5[periodo],$M$36)</f>
        <v>#REF!</v>
      </c>
      <c r="N53" s="20" t="e">
        <f>SUMIFS(Anexo_5[base_imponible_18],Anexo_5[VENTAS KPI],$E$53,Anexo_5[periodo],$N$36)+SUMIFS(#REF!,Anexo_5[VENTAS KPI],$E$53,Anexo_5[periodo],$N$36)+SUMIFS(Anexo_5[base_no_grabada],Anexo_5[VENTAS KPI],$E$53,Anexo_5[periodo],$N$36)</f>
        <v>#REF!</v>
      </c>
      <c r="O53" s="20" t="e">
        <f>SUMIFS(Anexo_5[base_imponible_18],Anexo_5[VENTAS KPI],$E$53,Anexo_5[periodo],$O$36)+SUMIFS(#REF!,Anexo_5[VENTAS KPI],$E$53,Anexo_5[periodo],$O$36)+SUMIFS(Anexo_5[base_no_grabada],Anexo_5[VENTAS KPI],$E$53,Anexo_5[periodo],$O$36)</f>
        <v>#REF!</v>
      </c>
      <c r="P53" s="20" t="e">
        <f>SUMIFS(Anexo_5[base_imponible_18],Anexo_5[VENTAS KPI],$E$53,Anexo_5[periodo],$P$36)+SUMIFS(#REF!,Anexo_5[VENTAS KPI],$E$53,Anexo_5[periodo],$P$36)+SUMIFS(Anexo_5[base_no_grabada],Anexo_5[VENTAS KPI],$E$53,Anexo_5[periodo],$P$36)</f>
        <v>#REF!</v>
      </c>
      <c r="Q53" s="20" t="e">
        <f>SUMIFS(Anexo_5[base_imponible_18],Anexo_5[VENTAS KPI],$E$53,Anexo_5[periodo],$Q$36)+SUMIFS(#REF!,Anexo_5[VENTAS KPI],$E$53,Anexo_5[periodo],$Q$36)+SUMIFS(Anexo_5[base_no_grabada],Anexo_5[VENTAS KPI],$E$53,Anexo_5[periodo],$Q$36)</f>
        <v>#REF!</v>
      </c>
      <c r="R53" s="20" t="e">
        <f>SUMIFS(Anexo_5[base_imponible_18],Anexo_5[VENTAS KPI],$E$53,Anexo_5[periodo],$R$36)+SUMIFS(#REF!,Anexo_5[VENTAS KPI],$E$53,Anexo_5[periodo],$R$36)+SUMIFS(Anexo_5[base_no_grabada],Anexo_5[VENTAS KPI],$E$53,Anexo_5[periodo],$R$36)</f>
        <v>#REF!</v>
      </c>
      <c r="S53" s="25" t="e">
        <f t="shared" si="5"/>
        <v>#REF!</v>
      </c>
      <c r="T53" s="25" t="e">
        <f t="shared" si="10"/>
        <v>#REF!</v>
      </c>
    </row>
    <row r="54" spans="2:20" ht="22.5" customHeight="1" x14ac:dyDescent="0.25">
      <c r="B54" s="182"/>
      <c r="C54" s="186"/>
      <c r="D54" s="187"/>
      <c r="E54" s="24" t="s">
        <v>119</v>
      </c>
      <c r="F54" s="12" t="s">
        <v>64</v>
      </c>
      <c r="G54" s="20" t="e">
        <f>SUMIFS(Anexo_5[base_imponible_18],Anexo_5[VENTAS KPI],$E$54,Anexo_5[periodo],$G$36)+SUMIFS(#REF!,Anexo_5[VENTAS KPI],$E$54,Anexo_5[periodo],$G$36)+SUMIFS(Anexo_5[base_no_grabada],Anexo_5[VENTAS KPI],$E$54,Anexo_5[periodo],$G$36)</f>
        <v>#REF!</v>
      </c>
      <c r="H54" s="20" t="e">
        <f>SUMIFS(Anexo_5[base_imponible_18],Anexo_5[VENTAS KPI],$E$54,Anexo_5[periodo],$H$36)+SUMIFS(#REF!,Anexo_5[VENTAS KPI],$E$54,Anexo_5[periodo],$H$36)+SUMIFS(Anexo_5[base_no_grabada],Anexo_5[VENTAS KPI],$E$54,Anexo_5[periodo],$H$36)</f>
        <v>#REF!</v>
      </c>
      <c r="I54" s="20" t="e">
        <f>SUMIFS(Anexo_5[base_imponible_18],Anexo_5[VENTAS KPI],$E$54,Anexo_5[periodo],$I$36)+SUMIFS(#REF!,Anexo_5[VENTAS KPI],$E$54,Anexo_5[periodo],$I$36)+SUMIFS(Anexo_5[base_no_grabada],Anexo_5[VENTAS KPI],$E$54,Anexo_5[periodo],$I$36)</f>
        <v>#REF!</v>
      </c>
      <c r="J54" s="20" t="e">
        <f>SUMIFS(Anexo_5[base_imponible_18],Anexo_5[VENTAS KPI],$E$54,Anexo_5[periodo],$J$36)+SUMIFS(#REF!,Anexo_5[VENTAS KPI],$E$54,Anexo_5[periodo],$J$36)+SUMIFS(Anexo_5[base_no_grabada],Anexo_5[VENTAS KPI],$E$54,Anexo_5[periodo],$J$36)</f>
        <v>#REF!</v>
      </c>
      <c r="K54" s="20" t="e">
        <f>SUMIFS(Anexo_5[base_imponible_18],Anexo_5[VENTAS KPI],$E$54,Anexo_5[periodo],$K$36)+SUMIFS(#REF!,Anexo_5[VENTAS KPI],$E$54,Anexo_5[periodo],$K$36)+SUMIFS(Anexo_5[base_no_grabada],Anexo_5[VENTAS KPI],$E$54,Anexo_5[periodo],$K$36)</f>
        <v>#REF!</v>
      </c>
      <c r="L54" s="20" t="e">
        <f>SUMIFS(Anexo_5[base_imponible_18],Anexo_5[VENTAS KPI],$E$54,Anexo_5[periodo],$L$36)+SUMIFS(#REF!,Anexo_5[VENTAS KPI],$E$54,Anexo_5[periodo],$L$36)+SUMIFS(Anexo_5[base_no_grabada],Anexo_5[VENTAS KPI],$E$54,Anexo_5[periodo],$L$36)</f>
        <v>#REF!</v>
      </c>
      <c r="M54" s="20" t="e">
        <f>SUMIFS(Anexo_5[base_imponible_18],Anexo_5[VENTAS KPI],$E$54,Anexo_5[periodo],$M$36)+SUMIFS(#REF!,Anexo_5[VENTAS KPI],$E$54,Anexo_5[periodo],$M$36)+SUMIFS(Anexo_5[base_no_grabada],Anexo_5[VENTAS KPI],$E$54,Anexo_5[periodo],$M$36)</f>
        <v>#REF!</v>
      </c>
      <c r="N54" s="20" t="e">
        <f>SUMIFS(Anexo_5[base_imponible_18],Anexo_5[VENTAS KPI],$E$54,Anexo_5[periodo],$N$36)+SUMIFS(#REF!,Anexo_5[VENTAS KPI],$E$54,Anexo_5[periodo],$N$36)+SUMIFS(Anexo_5[base_no_grabada],Anexo_5[VENTAS KPI],$E$54,Anexo_5[periodo],$N$36)</f>
        <v>#REF!</v>
      </c>
      <c r="O54" s="20" t="e">
        <f>SUMIFS(Anexo_5[base_imponible_18],Anexo_5[VENTAS KPI],$E$54,Anexo_5[periodo],$O$36)+SUMIFS(#REF!,Anexo_5[VENTAS KPI],$E$54,Anexo_5[periodo],$O$36)+SUMIFS(Anexo_5[base_no_grabada],Anexo_5[VENTAS KPI],$E$54,Anexo_5[periodo],$O$36)</f>
        <v>#REF!</v>
      </c>
      <c r="P54" s="20" t="e">
        <f>SUMIFS(Anexo_5[base_imponible_18],Anexo_5[VENTAS KPI],$E$54,Anexo_5[periodo],$P$36)+SUMIFS(#REF!,Anexo_5[VENTAS KPI],$E$54,Anexo_5[periodo],$P$36)+SUMIFS(Anexo_5[base_no_grabada],Anexo_5[VENTAS KPI],$E$54,Anexo_5[periodo],$P$36)</f>
        <v>#REF!</v>
      </c>
      <c r="Q54" s="20" t="e">
        <f>SUMIFS(Anexo_5[base_imponible_18],Anexo_5[VENTAS KPI],$E$54,Anexo_5[periodo],$Q$36)+SUMIFS(#REF!,Anexo_5[VENTAS KPI],$E$54,Anexo_5[periodo],$Q$36)+SUMIFS(Anexo_5[base_no_grabada],Anexo_5[VENTAS KPI],$E$54,Anexo_5[periodo],$Q$36)</f>
        <v>#REF!</v>
      </c>
      <c r="R54" s="20" t="e">
        <f>SUMIFS(Anexo_5[base_imponible_18],Anexo_5[VENTAS KPI],$E$54,Anexo_5[periodo],$R$36)+SUMIFS(#REF!,Anexo_5[VENTAS KPI],$E$54,Anexo_5[periodo],$R$36)+SUMIFS(Anexo_5[base_no_grabada],Anexo_5[VENTAS KPI],$E$54,Anexo_5[periodo],$R$36)</f>
        <v>#REF!</v>
      </c>
      <c r="S54" s="25" t="e">
        <f t="shared" si="5"/>
        <v>#REF!</v>
      </c>
      <c r="T54" s="25" t="e">
        <f t="shared" si="10"/>
        <v>#REF!</v>
      </c>
    </row>
    <row r="55" spans="2:20" ht="22.5" customHeight="1" x14ac:dyDescent="0.25">
      <c r="B55" s="182"/>
      <c r="C55" s="186"/>
      <c r="D55" s="187"/>
      <c r="E55" s="24" t="s">
        <v>120</v>
      </c>
      <c r="F55" s="12" t="s">
        <v>64</v>
      </c>
      <c r="G55" s="20" t="e">
        <f>SUMIFS(Anexo_5[base_imponible_18],Anexo_5[VENTAS KPI],$E$55,Anexo_5[periodo],$G$36)+SUMIFS(#REF!,Anexo_5[VENTAS KPI],$E$55,Anexo_5[periodo],$G$36)+SUMIFS(Anexo_5[base_no_grabada],Anexo_5[VENTAS KPI],$E$55,Anexo_5[periodo],$G$36)</f>
        <v>#REF!</v>
      </c>
      <c r="H55" s="20" t="e">
        <f>SUMIFS(Anexo_5[base_imponible_18],Anexo_5[VENTAS KPI],$E$55,Anexo_5[periodo],$H$36)+SUMIFS(#REF!,Anexo_5[VENTAS KPI],$E$55,Anexo_5[periodo],$H$36)+SUMIFS(Anexo_5[base_no_grabada],Anexo_5[VENTAS KPI],$E$55,Anexo_5[periodo],$H$36)</f>
        <v>#REF!</v>
      </c>
      <c r="I55" s="20" t="e">
        <f>SUMIFS(Anexo_5[base_imponible_18],Anexo_5[VENTAS KPI],$E$55,Anexo_5[periodo],$I$36)+SUMIFS(#REF!,Anexo_5[VENTAS KPI],$E$55,Anexo_5[periodo],$I$36)+SUMIFS(Anexo_5[base_no_grabada],Anexo_5[VENTAS KPI],$E$55,Anexo_5[periodo],$I$36)</f>
        <v>#REF!</v>
      </c>
      <c r="J55" s="20" t="e">
        <f>SUMIFS(Anexo_5[base_imponible_18],Anexo_5[VENTAS KPI],$E$55,Anexo_5[periodo],$J$36)+SUMIFS(#REF!,Anexo_5[VENTAS KPI],$E$55,Anexo_5[periodo],$J$36)+SUMIFS(Anexo_5[base_no_grabada],Anexo_5[VENTAS KPI],$E$55,Anexo_5[periodo],$J$36)</f>
        <v>#REF!</v>
      </c>
      <c r="K55" s="20" t="e">
        <f>SUMIFS(Anexo_5[base_imponible_18],Anexo_5[VENTAS KPI],$E$55,Anexo_5[periodo],$K$36)+SUMIFS(#REF!,Anexo_5[VENTAS KPI],$E$55,Anexo_5[periodo],$K$36)+SUMIFS(Anexo_5[base_no_grabada],Anexo_5[VENTAS KPI],$E$55,Anexo_5[periodo],$K$36)</f>
        <v>#REF!</v>
      </c>
      <c r="L55" s="20" t="e">
        <f>SUMIFS(Anexo_5[base_imponible_18],Anexo_5[VENTAS KPI],$E$55,Anexo_5[periodo],$L$36)+SUMIFS(#REF!,Anexo_5[VENTAS KPI],$E$55,Anexo_5[periodo],$L$36)+SUMIFS(Anexo_5[base_no_grabada],Anexo_5[VENTAS KPI],$E$55,Anexo_5[periodo],$L$36)</f>
        <v>#REF!</v>
      </c>
      <c r="M55" s="20" t="e">
        <f>SUMIFS(Anexo_5[base_imponible_18],Anexo_5[VENTAS KPI],$E$55,Anexo_5[periodo],$M$36)+SUMIFS(#REF!,Anexo_5[VENTAS KPI],$E$55,Anexo_5[periodo],$M$36)+SUMIFS(Anexo_5[base_no_grabada],Anexo_5[VENTAS KPI],$E$55,Anexo_5[periodo],$M$36)</f>
        <v>#REF!</v>
      </c>
      <c r="N55" s="20" t="e">
        <f>SUMIFS(Anexo_5[base_imponible_18],Anexo_5[VENTAS KPI],$E$55,Anexo_5[periodo],$N$36)+SUMIFS(#REF!,Anexo_5[VENTAS KPI],$E$55,Anexo_5[periodo],$N$36)+SUMIFS(Anexo_5[base_no_grabada],Anexo_5[VENTAS KPI],$E$55,Anexo_5[periodo],$N$36)</f>
        <v>#REF!</v>
      </c>
      <c r="O55" s="20" t="e">
        <f>SUMIFS(Anexo_5[base_imponible_18],Anexo_5[VENTAS KPI],$E$55,Anexo_5[periodo],$O$36)+SUMIFS(#REF!,Anexo_5[VENTAS KPI],$E$55,Anexo_5[periodo],$O$36)+SUMIFS(Anexo_5[base_no_grabada],Anexo_5[VENTAS KPI],$E$55,Anexo_5[periodo],$O$36)</f>
        <v>#REF!</v>
      </c>
      <c r="P55" s="20" t="e">
        <f>SUMIFS(Anexo_5[base_imponible_18],Anexo_5[VENTAS KPI],$E$55,Anexo_5[periodo],$P$36)+SUMIFS(#REF!,Anexo_5[VENTAS KPI],$E$55,Anexo_5[periodo],$P$36)+SUMIFS(Anexo_5[base_no_grabada],Anexo_5[VENTAS KPI],$E$55,Anexo_5[periodo],$P$36)</f>
        <v>#REF!</v>
      </c>
      <c r="Q55" s="20" t="e">
        <f>SUMIFS(Anexo_5[base_imponible_18],Anexo_5[VENTAS KPI],$E$55,Anexo_5[periodo],$Q$36)+SUMIFS(#REF!,Anexo_5[VENTAS KPI],$E$55,Anexo_5[periodo],$Q$36)+SUMIFS(Anexo_5[base_no_grabada],Anexo_5[VENTAS KPI],$E$55,Anexo_5[periodo],$Q$36)</f>
        <v>#REF!</v>
      </c>
      <c r="R55" s="20" t="e">
        <f>SUMIFS(Anexo_5[base_imponible_18],Anexo_5[VENTAS KPI],$E$55,Anexo_5[periodo],$R$36)+SUMIFS(#REF!,Anexo_5[VENTAS KPI],$E$55,Anexo_5[periodo],$R$36)+SUMIFS(Anexo_5[base_no_grabada],Anexo_5[VENTAS KPI],$E$55,Anexo_5[periodo],$R$36)</f>
        <v>#REF!</v>
      </c>
      <c r="S55" s="25" t="e">
        <f t="shared" si="5"/>
        <v>#REF!</v>
      </c>
      <c r="T55" s="25" t="e">
        <f t="shared" si="10"/>
        <v>#REF!</v>
      </c>
    </row>
    <row r="56" spans="2:20" ht="22.5" customHeight="1" x14ac:dyDescent="0.25">
      <c r="B56" s="182"/>
      <c r="C56" s="186"/>
      <c r="D56" s="187"/>
      <c r="E56" s="24" t="s">
        <v>121</v>
      </c>
      <c r="F56" s="12" t="s">
        <v>64</v>
      </c>
      <c r="G56" s="20" t="e">
        <f>SUMIFS(Anexo_5[base_imponible_18],Anexo_5[VENTAS KPI],$E$56,Anexo_5[periodo],$G$36)+SUMIFS(#REF!,Anexo_5[VENTAS KPI],$E$56,Anexo_5[periodo],$G$36)+SUMIFS(Anexo_5[base_no_grabada],Anexo_5[VENTAS KPI],$E$56,Anexo_5[periodo],$G$36)</f>
        <v>#REF!</v>
      </c>
      <c r="H56" s="20" t="e">
        <f>SUMIFS(Anexo_5[base_imponible_18],Anexo_5[VENTAS KPI],$E$56,Anexo_5[periodo],$H$36)+SUMIFS(#REF!,Anexo_5[VENTAS KPI],$E$56,Anexo_5[periodo],$H$36)+SUMIFS(Anexo_5[base_no_grabada],Anexo_5[VENTAS KPI],$E$56,Anexo_5[periodo],$H$36)</f>
        <v>#REF!</v>
      </c>
      <c r="I56" s="20" t="e">
        <f>SUMIFS(Anexo_5[base_imponible_18],Anexo_5[VENTAS KPI],$E$56,Anexo_5[periodo],$I$36)+SUMIFS(#REF!,Anexo_5[VENTAS KPI],$E$56,Anexo_5[periodo],$I$36)+SUMIFS(Anexo_5[base_no_grabada],Anexo_5[VENTAS KPI],$E$56,Anexo_5[periodo],$I$36)</f>
        <v>#REF!</v>
      </c>
      <c r="J56" s="20" t="e">
        <f>SUMIFS(Anexo_5[base_imponible_18],Anexo_5[VENTAS KPI],$E$56,Anexo_5[periodo],$J$36)+SUMIFS(#REF!,Anexo_5[VENTAS KPI],$E$56,Anexo_5[periodo],$J$36)+SUMIFS(Anexo_5[base_no_grabada],Anexo_5[VENTAS KPI],$E$56,Anexo_5[periodo],$J$36)</f>
        <v>#REF!</v>
      </c>
      <c r="K56" s="20" t="e">
        <f>SUMIFS(Anexo_5[base_imponible_18],Anexo_5[VENTAS KPI],$E$56,Anexo_5[periodo],$K$36)+SUMIFS(#REF!,Anexo_5[VENTAS KPI],$E$56,Anexo_5[periodo],$K$36)+SUMIFS(Anexo_5[base_no_grabada],Anexo_5[VENTAS KPI],$E$56,Anexo_5[periodo],$K$36)</f>
        <v>#REF!</v>
      </c>
      <c r="L56" s="20" t="e">
        <f>SUMIFS(Anexo_5[base_imponible_18],Anexo_5[VENTAS KPI],$E$56,Anexo_5[periodo],$L$36)+SUMIFS(#REF!,Anexo_5[VENTAS KPI],$E$56,Anexo_5[periodo],$L$36)+SUMIFS(Anexo_5[base_no_grabada],Anexo_5[VENTAS KPI],$E$56,Anexo_5[periodo],$L$36)</f>
        <v>#REF!</v>
      </c>
      <c r="M56" s="20" t="e">
        <f>SUMIFS(Anexo_5[base_imponible_18],Anexo_5[VENTAS KPI],$E$56,Anexo_5[periodo],$M$36)+SUMIFS(#REF!,Anexo_5[VENTAS KPI],$E$56,Anexo_5[periodo],$M$36)+SUMIFS(Anexo_5[base_no_grabada],Anexo_5[VENTAS KPI],$E$56,Anexo_5[periodo],$M$36)</f>
        <v>#REF!</v>
      </c>
      <c r="N56" s="20" t="e">
        <f>SUMIFS(Anexo_5[base_imponible_18],Anexo_5[VENTAS KPI],$E$56,Anexo_5[periodo],$N$36)+SUMIFS(#REF!,Anexo_5[VENTAS KPI],$E$56,Anexo_5[periodo],$N$36)+SUMIFS(Anexo_5[base_no_grabada],Anexo_5[VENTAS KPI],$E$56,Anexo_5[periodo],$N$36)</f>
        <v>#REF!</v>
      </c>
      <c r="O56" s="20" t="e">
        <f>SUMIFS(Anexo_5[base_imponible_18],Anexo_5[VENTAS KPI],$E$56,Anexo_5[periodo],$O$36)+SUMIFS(#REF!,Anexo_5[VENTAS KPI],$E$56,Anexo_5[periodo],$O$36)+SUMIFS(Anexo_5[base_no_grabada],Anexo_5[VENTAS KPI],$E$56,Anexo_5[periodo],$O$36)</f>
        <v>#REF!</v>
      </c>
      <c r="P56" s="20" t="e">
        <f>SUMIFS(Anexo_5[base_imponible_18],Anexo_5[VENTAS KPI],$E$56,Anexo_5[periodo],$P$36)+SUMIFS(#REF!,Anexo_5[VENTAS KPI],$E$56,Anexo_5[periodo],$P$36)+SUMIFS(Anexo_5[base_no_grabada],Anexo_5[VENTAS KPI],$E$56,Anexo_5[periodo],$P$36)</f>
        <v>#REF!</v>
      </c>
      <c r="Q56" s="20" t="e">
        <f>SUMIFS(Anexo_5[base_imponible_18],Anexo_5[VENTAS KPI],$E$56,Anexo_5[periodo],$Q$36)+SUMIFS(#REF!,Anexo_5[VENTAS KPI],$E$56,Anexo_5[periodo],$Q$36)+SUMIFS(Anexo_5[base_no_grabada],Anexo_5[VENTAS KPI],$E$56,Anexo_5[periodo],$Q$36)</f>
        <v>#REF!</v>
      </c>
      <c r="R56" s="20" t="e">
        <f>SUMIFS(Anexo_5[base_imponible_18],Anexo_5[VENTAS KPI],$E$56,Anexo_5[periodo],$R$36)+SUMIFS(#REF!,Anexo_5[VENTAS KPI],$E$56,Anexo_5[periodo],$R$36)+SUMIFS(Anexo_5[base_no_grabada],Anexo_5[VENTAS KPI],$E$56,Anexo_5[periodo],$R$36)</f>
        <v>#REF!</v>
      </c>
      <c r="S56" s="25" t="e">
        <f t="shared" si="5"/>
        <v>#REF!</v>
      </c>
      <c r="T56" s="25" t="e">
        <f t="shared" si="10"/>
        <v>#REF!</v>
      </c>
    </row>
    <row r="57" spans="2:20" ht="22.5" customHeight="1" x14ac:dyDescent="0.25">
      <c r="B57" s="182"/>
      <c r="C57" s="186"/>
      <c r="D57" s="187"/>
      <c r="E57" s="24" t="s">
        <v>122</v>
      </c>
      <c r="F57" s="12" t="s">
        <v>64</v>
      </c>
      <c r="G57" s="20" t="e">
        <f>SUMIFS(Anexo_5[base_imponible_18],Anexo_5[VENTAS KPI],$E$57,Anexo_5[periodo],$G$36)+SUMIFS(#REF!,Anexo_5[VENTAS KPI],$E$57,Anexo_5[periodo],$G$36)+SUMIFS(Anexo_5[base_no_grabada],Anexo_5[VENTAS KPI],$E$57,Anexo_5[periodo],$G$36)</f>
        <v>#REF!</v>
      </c>
      <c r="H57" s="20" t="e">
        <f>SUMIFS(Anexo_5[base_imponible_18],Anexo_5[VENTAS KPI],$E$57,Anexo_5[periodo],$H$36)+SUMIFS(#REF!,Anexo_5[VENTAS KPI],$E$57,Anexo_5[periodo],$H$36)+SUMIFS(Anexo_5[base_no_grabada],Anexo_5[VENTAS KPI],$E$57,Anexo_5[periodo],$H$36)</f>
        <v>#REF!</v>
      </c>
      <c r="I57" s="20" t="e">
        <f>SUMIFS(Anexo_5[base_imponible_18],Anexo_5[VENTAS KPI],$E$57,Anexo_5[periodo],$I$36)+SUMIFS(#REF!,Anexo_5[VENTAS KPI],$E$57,Anexo_5[periodo],$I$36)+SUMIFS(Anexo_5[base_no_grabada],Anexo_5[VENTAS KPI],$E$57,Anexo_5[periodo],$I$36)</f>
        <v>#REF!</v>
      </c>
      <c r="J57" s="20" t="e">
        <f>SUMIFS(Anexo_5[base_imponible_18],Anexo_5[VENTAS KPI],$E$57,Anexo_5[periodo],$J$36)+SUMIFS(#REF!,Anexo_5[VENTAS KPI],$E$57,Anexo_5[periodo],$J$36)+SUMIFS(Anexo_5[base_no_grabada],Anexo_5[VENTAS KPI],$E$57,Anexo_5[periodo],$J$36)</f>
        <v>#REF!</v>
      </c>
      <c r="K57" s="20" t="e">
        <f>SUMIFS(Anexo_5[base_imponible_18],Anexo_5[VENTAS KPI],$E$57,Anexo_5[periodo],$K$36)+SUMIFS(#REF!,Anexo_5[VENTAS KPI],$E$57,Anexo_5[periodo],$K$36)+SUMIFS(Anexo_5[base_no_grabada],Anexo_5[VENTAS KPI],$E$57,Anexo_5[periodo],$K$36)</f>
        <v>#REF!</v>
      </c>
      <c r="L57" s="20" t="e">
        <f>SUMIFS(Anexo_5[base_imponible_18],Anexo_5[VENTAS KPI],$E$57,Anexo_5[periodo],$L$36)+SUMIFS(#REF!,Anexo_5[VENTAS KPI],$E$57,Anexo_5[periodo],$L$36)+SUMIFS(Anexo_5[base_no_grabada],Anexo_5[VENTAS KPI],$E$57,Anexo_5[periodo],$L$36)</f>
        <v>#REF!</v>
      </c>
      <c r="M57" s="20" t="e">
        <f>SUMIFS(Anexo_5[base_imponible_18],Anexo_5[VENTAS KPI],$E$57,Anexo_5[periodo],$M$36)+SUMIFS(#REF!,Anexo_5[VENTAS KPI],$E$57,Anexo_5[periodo],$M$36)+SUMIFS(Anexo_5[base_no_grabada],Anexo_5[VENTAS KPI],$E$57,Anexo_5[periodo],$M$36)</f>
        <v>#REF!</v>
      </c>
      <c r="N57" s="20" t="e">
        <f>SUMIFS(Anexo_5[base_imponible_18],Anexo_5[VENTAS KPI],$E$57,Anexo_5[periodo],$N$36)+SUMIFS(#REF!,Anexo_5[VENTAS KPI],$E$57,Anexo_5[periodo],$N$36)+SUMIFS(Anexo_5[base_no_grabada],Anexo_5[VENTAS KPI],$E$57,Anexo_5[periodo],$N$36)</f>
        <v>#REF!</v>
      </c>
      <c r="O57" s="20" t="e">
        <f>SUMIFS(Anexo_5[base_imponible_18],Anexo_5[VENTAS KPI],$E$57,Anexo_5[periodo],$O$36)+SUMIFS(#REF!,Anexo_5[VENTAS KPI],$E$57,Anexo_5[periodo],$O$36)+SUMIFS(Anexo_5[base_no_grabada],Anexo_5[VENTAS KPI],$E$57,Anexo_5[periodo],$O$36)</f>
        <v>#REF!</v>
      </c>
      <c r="P57" s="20" t="e">
        <f>SUMIFS(Anexo_5[base_imponible_18],Anexo_5[VENTAS KPI],$E$57,Anexo_5[periodo],$P$36)+SUMIFS(#REF!,Anexo_5[VENTAS KPI],$E$57,Anexo_5[periodo],$P$36)+SUMIFS(Anexo_5[base_no_grabada],Anexo_5[VENTAS KPI],$E$57,Anexo_5[periodo],$P$36)</f>
        <v>#REF!</v>
      </c>
      <c r="Q57" s="20" t="e">
        <f>SUMIFS(Anexo_5[base_imponible_18],Anexo_5[VENTAS KPI],$E$57,Anexo_5[periodo],$Q$36)+SUMIFS(#REF!,Anexo_5[VENTAS KPI],$E$57,Anexo_5[periodo],$Q$36)+SUMIFS(Anexo_5[base_no_grabada],Anexo_5[VENTAS KPI],$E$57,Anexo_5[periodo],$Q$36)</f>
        <v>#REF!</v>
      </c>
      <c r="R57" s="20" t="e">
        <f>SUMIFS(Anexo_5[base_imponible_18],Anexo_5[VENTAS KPI],$E$57,Anexo_5[periodo],$R$36)+SUMIFS(#REF!,Anexo_5[VENTAS KPI],$E$57,Anexo_5[periodo],$R$36)+SUMIFS(Anexo_5[base_no_grabada],Anexo_5[VENTAS KPI],$E$57,Anexo_5[periodo],$R$36)</f>
        <v>#REF!</v>
      </c>
      <c r="S57" s="25" t="e">
        <f t="shared" si="5"/>
        <v>#REF!</v>
      </c>
      <c r="T57" s="25" t="e">
        <f t="shared" si="10"/>
        <v>#REF!</v>
      </c>
    </row>
    <row r="58" spans="2:20" ht="22.5" customHeight="1" x14ac:dyDescent="0.25">
      <c r="B58" s="182"/>
      <c r="C58" s="186"/>
      <c r="D58" s="187"/>
      <c r="E58" s="24" t="s">
        <v>123</v>
      </c>
      <c r="F58" s="12" t="s">
        <v>64</v>
      </c>
      <c r="G58" s="20" t="e">
        <f>SUMIFS(Anexo_5[base_imponible_18],Anexo_5[VENTAS KPI],$E$58,Anexo_5[periodo],$G$36)+SUMIFS(#REF!,Anexo_5[VENTAS KPI],$E$58,Anexo_5[periodo],$G$36)+SUMIFS(Anexo_5[base_no_grabada],Anexo_5[VENTAS KPI],$E$58,Anexo_5[periodo],$G$36)</f>
        <v>#REF!</v>
      </c>
      <c r="H58" s="20" t="e">
        <f>SUMIFS(Anexo_5[base_imponible_18],Anexo_5[VENTAS KPI],$E$58,Anexo_5[periodo],$H$36)+SUMIFS(#REF!,Anexo_5[VENTAS KPI],$E$58,Anexo_5[periodo],$H$36)+SUMIFS(Anexo_5[base_no_grabada],Anexo_5[VENTAS KPI],$E$58,Anexo_5[periodo],$H$36)</f>
        <v>#REF!</v>
      </c>
      <c r="I58" s="20" t="e">
        <f>SUMIFS(Anexo_5[base_imponible_18],Anexo_5[VENTAS KPI],$E$58,Anexo_5[periodo],$I$36)+SUMIFS(#REF!,Anexo_5[VENTAS KPI],$E$58,Anexo_5[periodo],$I$36)+SUMIFS(Anexo_5[base_no_grabada],Anexo_5[VENTAS KPI],$E$58,Anexo_5[periodo],$I$36)</f>
        <v>#REF!</v>
      </c>
      <c r="J58" s="20" t="e">
        <f>SUMIFS(Anexo_5[base_imponible_18],Anexo_5[VENTAS KPI],$E$58,Anexo_5[periodo],$J$36)+SUMIFS(#REF!,Anexo_5[VENTAS KPI],$E$58,Anexo_5[periodo],$J$36)+SUMIFS(Anexo_5[base_no_grabada],Anexo_5[VENTAS KPI],$E$58,Anexo_5[periodo],$J$36)</f>
        <v>#REF!</v>
      </c>
      <c r="K58" s="20" t="e">
        <f>SUMIFS(Anexo_5[base_imponible_18],Anexo_5[VENTAS KPI],$E$58,Anexo_5[periodo],$K$36)+SUMIFS(#REF!,Anexo_5[VENTAS KPI],$E$58,Anexo_5[periodo],$K$36)+SUMIFS(Anexo_5[base_no_grabada],Anexo_5[VENTAS KPI],$E$58,Anexo_5[periodo],$K$36)</f>
        <v>#REF!</v>
      </c>
      <c r="L58" s="20" t="e">
        <f>SUMIFS(Anexo_5[base_imponible_18],Anexo_5[VENTAS KPI],$E$58,Anexo_5[periodo],$L$36)+SUMIFS(#REF!,Anexo_5[VENTAS KPI],$E$58,Anexo_5[periodo],$L$36)+SUMIFS(Anexo_5[base_no_grabada],Anexo_5[VENTAS KPI],$E$58,Anexo_5[periodo],$L$36)</f>
        <v>#REF!</v>
      </c>
      <c r="M58" s="20" t="e">
        <f>SUMIFS(Anexo_5[base_imponible_18],Anexo_5[VENTAS KPI],$E$58,Anexo_5[periodo],$M$36)+SUMIFS(#REF!,Anexo_5[VENTAS KPI],$E$58,Anexo_5[periodo],$M$36)+SUMIFS(Anexo_5[base_no_grabada],Anexo_5[VENTAS KPI],$E$58,Anexo_5[periodo],$M$36)</f>
        <v>#REF!</v>
      </c>
      <c r="N58" s="20" t="e">
        <f>SUMIFS(Anexo_5[base_imponible_18],Anexo_5[VENTAS KPI],$E$58,Anexo_5[periodo],$N$36)+SUMIFS(#REF!,Anexo_5[VENTAS KPI],$E$58,Anexo_5[periodo],$N$36)+SUMIFS(Anexo_5[base_no_grabada],Anexo_5[VENTAS KPI],$E$58,Anexo_5[periodo],$N$36)</f>
        <v>#REF!</v>
      </c>
      <c r="O58" s="20" t="e">
        <f>SUMIFS(Anexo_5[base_imponible_18],Anexo_5[VENTAS KPI],$E$58,Anexo_5[periodo],$O$36)+SUMIFS(#REF!,Anexo_5[VENTAS KPI],$E$58,Anexo_5[periodo],$O$36)+SUMIFS(Anexo_5[base_no_grabada],Anexo_5[VENTAS KPI],$E$58,Anexo_5[periodo],$O$36)</f>
        <v>#REF!</v>
      </c>
      <c r="P58" s="20" t="e">
        <f>SUMIFS(Anexo_5[base_imponible_18],Anexo_5[VENTAS KPI],$E$58,Anexo_5[periodo],$P$36)+SUMIFS(#REF!,Anexo_5[VENTAS KPI],$E$58,Anexo_5[periodo],$P$36)+SUMIFS(Anexo_5[base_no_grabada],Anexo_5[VENTAS KPI],$E$58,Anexo_5[periodo],$P$36)</f>
        <v>#REF!</v>
      </c>
      <c r="Q58" s="20" t="e">
        <f>SUMIFS(Anexo_5[base_imponible_18],Anexo_5[VENTAS KPI],$E$58,Anexo_5[periodo],$Q$36)+SUMIFS(#REF!,Anexo_5[VENTAS KPI],$E$58,Anexo_5[periodo],$Q$36)+SUMIFS(Anexo_5[base_no_grabada],Anexo_5[VENTAS KPI],$E$58,Anexo_5[periodo],$Q$36)</f>
        <v>#REF!</v>
      </c>
      <c r="R58" s="20" t="e">
        <f>SUMIFS(Anexo_5[base_imponible_18],Anexo_5[VENTAS KPI],$E$58,Anexo_5[periodo],$R$36)+SUMIFS(#REF!,Anexo_5[VENTAS KPI],$E$58,Anexo_5[periodo],$R$36)+SUMIFS(Anexo_5[base_no_grabada],Anexo_5[VENTAS KPI],$E$58,Anexo_5[periodo],$R$36)</f>
        <v>#REF!</v>
      </c>
      <c r="S58" s="25" t="e">
        <f t="shared" si="5"/>
        <v>#REF!</v>
      </c>
      <c r="T58" s="25" t="e">
        <f t="shared" si="10"/>
        <v>#REF!</v>
      </c>
    </row>
    <row r="59" spans="2:20" ht="22.5" customHeight="1" x14ac:dyDescent="0.25">
      <c r="B59" s="182"/>
      <c r="C59" s="186"/>
      <c r="D59" s="187"/>
      <c r="E59" s="98" t="s">
        <v>124</v>
      </c>
      <c r="F59" s="12" t="s">
        <v>64</v>
      </c>
      <c r="G59" s="25" t="e">
        <f>SUM(G49:G58)</f>
        <v>#REF!</v>
      </c>
      <c r="H59" s="25" t="e">
        <f t="shared" ref="H59:T59" si="11">SUM(H49:H58)</f>
        <v>#REF!</v>
      </c>
      <c r="I59" s="25" t="e">
        <f t="shared" si="11"/>
        <v>#REF!</v>
      </c>
      <c r="J59" s="25" t="e">
        <f t="shared" si="11"/>
        <v>#REF!</v>
      </c>
      <c r="K59" s="25" t="e">
        <f t="shared" si="11"/>
        <v>#REF!</v>
      </c>
      <c r="L59" s="25" t="e">
        <f t="shared" si="11"/>
        <v>#REF!</v>
      </c>
      <c r="M59" s="25" t="e">
        <f t="shared" si="11"/>
        <v>#REF!</v>
      </c>
      <c r="N59" s="25" t="e">
        <f t="shared" si="11"/>
        <v>#REF!</v>
      </c>
      <c r="O59" s="25" t="e">
        <f t="shared" si="11"/>
        <v>#REF!</v>
      </c>
      <c r="P59" s="25" t="e">
        <f t="shared" si="11"/>
        <v>#REF!</v>
      </c>
      <c r="Q59" s="25" t="e">
        <f t="shared" si="11"/>
        <v>#REF!</v>
      </c>
      <c r="R59" s="25" t="e">
        <f t="shared" si="11"/>
        <v>#REF!</v>
      </c>
      <c r="S59" s="25" t="e">
        <f t="shared" si="11"/>
        <v>#REF!</v>
      </c>
      <c r="T59" s="25" t="e">
        <f t="shared" si="11"/>
        <v>#REF!</v>
      </c>
    </row>
    <row r="60" spans="2:20" ht="22.5" customHeight="1" x14ac:dyDescent="0.25">
      <c r="B60" s="183"/>
      <c r="C60" s="188"/>
      <c r="D60" s="189"/>
      <c r="E60" s="98" t="s">
        <v>112</v>
      </c>
      <c r="F60" s="12" t="s">
        <v>36</v>
      </c>
      <c r="G60" s="99" t="e">
        <f>IF(G61=0,0,((100%-G47)))</f>
        <v>#REF!</v>
      </c>
      <c r="H60" s="99" t="e">
        <f t="shared" ref="H60:T60" si="12">IF(H61=0,0,((100%-H47)))</f>
        <v>#REF!</v>
      </c>
      <c r="I60" s="99" t="e">
        <f t="shared" si="12"/>
        <v>#REF!</v>
      </c>
      <c r="J60" s="99" t="e">
        <f t="shared" si="12"/>
        <v>#REF!</v>
      </c>
      <c r="K60" s="99" t="e">
        <f t="shared" si="12"/>
        <v>#REF!</v>
      </c>
      <c r="L60" s="99" t="e">
        <f t="shared" si="12"/>
        <v>#REF!</v>
      </c>
      <c r="M60" s="99" t="e">
        <f t="shared" si="12"/>
        <v>#REF!</v>
      </c>
      <c r="N60" s="99" t="e">
        <f t="shared" si="12"/>
        <v>#REF!</v>
      </c>
      <c r="O60" s="99" t="e">
        <f t="shared" si="12"/>
        <v>#REF!</v>
      </c>
      <c r="P60" s="99" t="e">
        <f t="shared" si="12"/>
        <v>#REF!</v>
      </c>
      <c r="Q60" s="99" t="e">
        <f t="shared" si="12"/>
        <v>#REF!</v>
      </c>
      <c r="R60" s="99" t="e">
        <f t="shared" si="12"/>
        <v>#REF!</v>
      </c>
      <c r="S60" s="99" t="e">
        <f t="shared" si="12"/>
        <v>#REF!</v>
      </c>
      <c r="T60" s="99" t="e">
        <f t="shared" si="12"/>
        <v>#REF!</v>
      </c>
    </row>
    <row r="61" spans="2:20" ht="22.5" customHeight="1" x14ac:dyDescent="0.25">
      <c r="B61" s="190" t="s">
        <v>22</v>
      </c>
      <c r="C61" s="190"/>
      <c r="D61" s="190"/>
      <c r="E61" s="190"/>
      <c r="F61" s="21"/>
      <c r="G61" s="21" t="e">
        <f>G46+G59</f>
        <v>#REF!</v>
      </c>
      <c r="H61" s="21" t="e">
        <f t="shared" ref="H61:T61" si="13">H46+H59</f>
        <v>#REF!</v>
      </c>
      <c r="I61" s="21" t="e">
        <f t="shared" si="13"/>
        <v>#REF!</v>
      </c>
      <c r="J61" s="21" t="e">
        <f t="shared" si="13"/>
        <v>#REF!</v>
      </c>
      <c r="K61" s="21" t="e">
        <f t="shared" si="13"/>
        <v>#REF!</v>
      </c>
      <c r="L61" s="21" t="e">
        <f t="shared" si="13"/>
        <v>#REF!</v>
      </c>
      <c r="M61" s="21" t="e">
        <f t="shared" si="13"/>
        <v>#REF!</v>
      </c>
      <c r="N61" s="21" t="e">
        <f t="shared" si="13"/>
        <v>#REF!</v>
      </c>
      <c r="O61" s="21" t="e">
        <f t="shared" si="13"/>
        <v>#REF!</v>
      </c>
      <c r="P61" s="21" t="e">
        <f t="shared" si="13"/>
        <v>#REF!</v>
      </c>
      <c r="Q61" s="21" t="e">
        <f t="shared" si="13"/>
        <v>#REF!</v>
      </c>
      <c r="R61" s="21" t="e">
        <f t="shared" si="13"/>
        <v>#REF!</v>
      </c>
      <c r="S61" s="21" t="e">
        <f t="shared" si="13"/>
        <v>#REF!</v>
      </c>
      <c r="T61" s="21" t="e">
        <f t="shared" si="13"/>
        <v>#REF!</v>
      </c>
    </row>
    <row r="66" spans="3:8" x14ac:dyDescent="0.25">
      <c r="C66" s="3"/>
      <c r="D66" s="3"/>
      <c r="E66" s="3"/>
      <c r="F66" s="3"/>
      <c r="G66" s="3"/>
      <c r="H66" s="3"/>
    </row>
    <row r="67" spans="3:8" x14ac:dyDescent="0.25">
      <c r="C67" s="3"/>
      <c r="D67" s="3"/>
      <c r="E67" s="3"/>
      <c r="F67" s="3"/>
      <c r="G67" s="3"/>
      <c r="H67" s="3"/>
    </row>
    <row r="68" spans="3:8" ht="14.25" customHeight="1" x14ac:dyDescent="0.25">
      <c r="C68" s="3"/>
      <c r="D68" s="3"/>
      <c r="E68" s="3"/>
      <c r="F68" s="3"/>
      <c r="G68" s="3"/>
      <c r="H68" s="3"/>
    </row>
    <row r="69" spans="3:8" x14ac:dyDescent="0.25">
      <c r="C69" s="3"/>
      <c r="D69" s="3"/>
      <c r="E69" s="3"/>
      <c r="F69" s="3"/>
      <c r="G69" s="3"/>
      <c r="H69" s="3"/>
    </row>
    <row r="70" spans="3:8" x14ac:dyDescent="0.25">
      <c r="C70" s="3"/>
      <c r="D70" s="3"/>
      <c r="E70" s="3"/>
      <c r="F70" s="3"/>
      <c r="G70" s="3"/>
      <c r="H70" s="3"/>
    </row>
    <row r="71" spans="3:8" x14ac:dyDescent="0.25">
      <c r="C71" s="3"/>
      <c r="D71" s="3"/>
      <c r="E71" s="3"/>
      <c r="F71" s="3"/>
      <c r="G71" s="3"/>
      <c r="H71" s="3"/>
    </row>
    <row r="72" spans="3:8" x14ac:dyDescent="0.25">
      <c r="C72" s="3"/>
      <c r="D72" s="3"/>
      <c r="E72" s="3"/>
      <c r="F72" s="3"/>
      <c r="G72" s="3"/>
      <c r="H72" s="3"/>
    </row>
    <row r="73" spans="3:8" x14ac:dyDescent="0.25">
      <c r="C73" s="3"/>
      <c r="D73" s="3"/>
      <c r="E73" s="3"/>
      <c r="F73" s="3"/>
      <c r="G73" s="3"/>
      <c r="H73" s="3"/>
    </row>
    <row r="74" spans="3:8" x14ac:dyDescent="0.25">
      <c r="D74" s="3"/>
      <c r="E74" s="3"/>
      <c r="F74" s="3"/>
      <c r="G74" s="3"/>
      <c r="H74" s="3"/>
    </row>
    <row r="75" spans="3:8" x14ac:dyDescent="0.25">
      <c r="D75" s="3"/>
      <c r="E75" s="3"/>
      <c r="F75" s="3"/>
      <c r="G75" s="3"/>
      <c r="H75" s="3"/>
    </row>
    <row r="76" spans="3:8" x14ac:dyDescent="0.25">
      <c r="D76" s="3"/>
      <c r="E76" s="3"/>
      <c r="F76" s="3"/>
      <c r="G76" s="3"/>
      <c r="H76" s="3"/>
    </row>
    <row r="77" spans="3:8" x14ac:dyDescent="0.25">
      <c r="D77" s="3"/>
      <c r="E77" s="3"/>
      <c r="F77" s="3"/>
      <c r="G77" s="3"/>
      <c r="H77" s="3"/>
    </row>
    <row r="78" spans="3:8" x14ac:dyDescent="0.25">
      <c r="D78" s="3"/>
      <c r="E78" s="3"/>
      <c r="F78" s="3"/>
      <c r="G78" s="3"/>
      <c r="H78" s="3"/>
    </row>
    <row r="79" spans="3:8" x14ac:dyDescent="0.25">
      <c r="D79" s="3"/>
      <c r="E79" s="3"/>
      <c r="F79" s="3"/>
      <c r="G79" s="3"/>
      <c r="H79" s="3"/>
    </row>
    <row r="80" spans="3:8" x14ac:dyDescent="0.25">
      <c r="D80" s="3"/>
      <c r="E80" s="3"/>
      <c r="F80" s="3"/>
      <c r="G80" s="3"/>
      <c r="H80" s="3"/>
    </row>
    <row r="81" spans="4:8" x14ac:dyDescent="0.25">
      <c r="D81" s="3"/>
      <c r="E81" s="3"/>
      <c r="F81" s="3"/>
      <c r="G81" s="3"/>
      <c r="H81" s="3"/>
    </row>
    <row r="82" spans="4:8" x14ac:dyDescent="0.25">
      <c r="D82" s="3"/>
      <c r="E82" s="3"/>
      <c r="F82" s="3"/>
      <c r="G82" s="3"/>
      <c r="H82" s="3"/>
    </row>
    <row r="83" spans="4:8" x14ac:dyDescent="0.25">
      <c r="D83" s="3"/>
      <c r="E83" s="3"/>
      <c r="F83" s="3"/>
      <c r="G83" s="3"/>
      <c r="H83" s="3"/>
    </row>
    <row r="84" spans="4:8" x14ac:dyDescent="0.25">
      <c r="D84" s="3"/>
      <c r="E84" s="3"/>
      <c r="F84" s="3"/>
      <c r="G84" s="3"/>
      <c r="H84" s="3"/>
    </row>
  </sheetData>
  <mergeCells count="28">
    <mergeCell ref="B2:D5"/>
    <mergeCell ref="E2:R2"/>
    <mergeCell ref="S2:T2"/>
    <mergeCell ref="E3:R4"/>
    <mergeCell ref="S3:T3"/>
    <mergeCell ref="S4:T4"/>
    <mergeCell ref="E5:R5"/>
    <mergeCell ref="S5:T5"/>
    <mergeCell ref="C7:D7"/>
    <mergeCell ref="B8:B28"/>
    <mergeCell ref="C8:D8"/>
    <mergeCell ref="C10:C27"/>
    <mergeCell ref="D10:D19"/>
    <mergeCell ref="D21:D27"/>
    <mergeCell ref="B29:E29"/>
    <mergeCell ref="B31:D34"/>
    <mergeCell ref="E31:R31"/>
    <mergeCell ref="S31:T31"/>
    <mergeCell ref="E32:R33"/>
    <mergeCell ref="S32:T32"/>
    <mergeCell ref="S33:T33"/>
    <mergeCell ref="E34:R34"/>
    <mergeCell ref="S34:T34"/>
    <mergeCell ref="C36:D36"/>
    <mergeCell ref="B37:B60"/>
    <mergeCell ref="C37:D47"/>
    <mergeCell ref="C49:D60"/>
    <mergeCell ref="B61:E61"/>
  </mergeCells>
  <printOptions horizontalCentered="1"/>
  <pageMargins left="0.31496062992125984" right="0.31496062992125984" top="0.55118110236220474" bottom="0.55118110236220474" header="0.31496062992125984" footer="0.31496062992125984"/>
  <pageSetup paperSize="9" scale="49" fitToHeight="0" orientation="landscape" horizontalDpi="1200" verticalDpi="1200" r:id="rId1"/>
  <rowBreaks count="1" manualBreakCount="1">
    <brk id="33" min="1" max="19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203C7-346A-4D50-B7F4-0CC46F77C4E8}">
  <sheetPr>
    <tabColor rgb="FF72B730"/>
    <pageSetUpPr fitToPage="1"/>
  </sheetPr>
  <dimension ref="B1:S38"/>
  <sheetViews>
    <sheetView showGridLines="0" topLeftCell="A12" zoomScaleNormal="100" zoomScaleSheetLayoutView="87" zoomScalePageLayoutView="70" workbookViewId="0">
      <selection activeCell="F1" sqref="F1:J1048576"/>
    </sheetView>
  </sheetViews>
  <sheetFormatPr defaultColWidth="8.88671875" defaultRowHeight="13.8" x14ac:dyDescent="0.25"/>
  <cols>
    <col min="1" max="1" width="2.88671875" style="3" customWidth="1"/>
    <col min="2" max="2" width="7.88671875" style="3" customWidth="1"/>
    <col min="3" max="3" width="19.88671875" style="2" customWidth="1"/>
    <col min="4" max="4" width="43.5546875" style="6" customWidth="1"/>
    <col min="5" max="5" width="14" style="2" bestFit="1" customWidth="1"/>
    <col min="6" max="7" width="13.88671875" style="2" hidden="1" customWidth="1"/>
    <col min="8" max="8" width="14" style="3" hidden="1" customWidth="1"/>
    <col min="9" max="9" width="13.88671875" style="3" hidden="1" customWidth="1"/>
    <col min="10" max="10" width="13.5546875" style="3" hidden="1" customWidth="1"/>
    <col min="11" max="12" width="14" style="3" bestFit="1" customWidth="1"/>
    <col min="13" max="13" width="13.88671875" style="3" bestFit="1" customWidth="1"/>
    <col min="14" max="14" width="12.109375" style="3" bestFit="1" customWidth="1"/>
    <col min="15" max="15" width="11.6640625" style="3" bestFit="1" customWidth="1"/>
    <col min="16" max="16" width="11.44140625" style="3" customWidth="1"/>
    <col min="17" max="17" width="12" style="3" bestFit="1" customWidth="1"/>
    <col min="18" max="18" width="15.44140625" style="3" bestFit="1" customWidth="1"/>
    <col min="19" max="19" width="13.88671875" style="3" bestFit="1" customWidth="1"/>
    <col min="20" max="20" width="8.88671875" style="3"/>
    <col min="21" max="21" width="11.5546875" style="3" bestFit="1" customWidth="1"/>
    <col min="22" max="16384" width="8.88671875" style="3"/>
  </cols>
  <sheetData>
    <row r="1" spans="2:19" s="1" customFormat="1" ht="15" customHeight="1" x14ac:dyDescent="0.3">
      <c r="D1" s="5"/>
    </row>
    <row r="2" spans="2:19" s="1" customFormat="1" ht="15.75" customHeight="1" x14ac:dyDescent="0.3">
      <c r="B2" s="191"/>
      <c r="C2" s="193"/>
      <c r="D2" s="178" t="s">
        <v>0</v>
      </c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67" t="s">
        <v>1</v>
      </c>
      <c r="S2" s="167"/>
    </row>
    <row r="3" spans="2:19" s="1" customFormat="1" ht="15.75" customHeight="1" x14ac:dyDescent="0.3">
      <c r="B3" s="194"/>
      <c r="C3" s="196"/>
      <c r="D3" s="166" t="s">
        <v>125</v>
      </c>
      <c r="E3" s="166"/>
      <c r="F3" s="166"/>
      <c r="G3" s="166"/>
      <c r="H3" s="166"/>
      <c r="I3" s="166"/>
      <c r="J3" s="166"/>
      <c r="K3" s="166"/>
      <c r="L3" s="166"/>
      <c r="M3" s="166"/>
      <c r="N3" s="166"/>
      <c r="O3" s="166"/>
      <c r="P3" s="166"/>
      <c r="Q3" s="166"/>
      <c r="R3" s="167" t="s">
        <v>3</v>
      </c>
      <c r="S3" s="167"/>
    </row>
    <row r="4" spans="2:19" s="1" customFormat="1" ht="15.75" customHeight="1" x14ac:dyDescent="0.3">
      <c r="B4" s="194"/>
      <c r="C4" s="196"/>
      <c r="D4" s="166"/>
      <c r="E4" s="166"/>
      <c r="F4" s="166"/>
      <c r="G4" s="166"/>
      <c r="H4" s="166"/>
      <c r="I4" s="166"/>
      <c r="J4" s="166"/>
      <c r="K4" s="166"/>
      <c r="L4" s="166"/>
      <c r="M4" s="166"/>
      <c r="N4" s="166"/>
      <c r="O4" s="166"/>
      <c r="P4" s="166"/>
      <c r="Q4" s="166"/>
      <c r="R4" s="167" t="s">
        <v>75</v>
      </c>
      <c r="S4" s="167"/>
    </row>
    <row r="5" spans="2:19" s="1" customFormat="1" ht="15.75" customHeight="1" x14ac:dyDescent="0.3">
      <c r="B5" s="197"/>
      <c r="C5" s="199"/>
      <c r="D5" s="176" t="s">
        <v>5</v>
      </c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7">
        <f ca="1">TODAY()</f>
        <v>45979</v>
      </c>
      <c r="S5" s="177"/>
    </row>
    <row r="6" spans="2:19" ht="2.25" customHeight="1" x14ac:dyDescent="0.25"/>
    <row r="7" spans="2:19" s="7" customFormat="1" ht="26.25" customHeight="1" x14ac:dyDescent="0.2">
      <c r="B7" s="19" t="s">
        <v>76</v>
      </c>
      <c r="C7" s="74" t="s">
        <v>7</v>
      </c>
      <c r="D7" s="19" t="s">
        <v>77</v>
      </c>
      <c r="E7" s="19" t="s">
        <v>9</v>
      </c>
      <c r="F7" s="18" t="s">
        <v>10</v>
      </c>
      <c r="G7" s="13" t="s">
        <v>11</v>
      </c>
      <c r="H7" s="13" t="s">
        <v>12</v>
      </c>
      <c r="I7" s="13" t="s">
        <v>13</v>
      </c>
      <c r="J7" s="13" t="s">
        <v>14</v>
      </c>
      <c r="K7" s="13" t="s">
        <v>15</v>
      </c>
      <c r="L7" s="13" t="s">
        <v>16</v>
      </c>
      <c r="M7" s="13" t="s">
        <v>17</v>
      </c>
      <c r="N7" s="13" t="s">
        <v>18</v>
      </c>
      <c r="O7" s="13" t="s">
        <v>19</v>
      </c>
      <c r="P7" s="13" t="s">
        <v>20</v>
      </c>
      <c r="Q7" s="13" t="s">
        <v>21</v>
      </c>
      <c r="R7" s="13" t="s">
        <v>22</v>
      </c>
      <c r="S7" s="13" t="s">
        <v>23</v>
      </c>
    </row>
    <row r="8" spans="2:19" ht="22.5" customHeight="1" x14ac:dyDescent="0.25">
      <c r="B8" s="182"/>
      <c r="C8" s="203" t="s">
        <v>126</v>
      </c>
      <c r="D8" s="24" t="s">
        <v>127</v>
      </c>
      <c r="E8" s="12" t="s">
        <v>64</v>
      </c>
      <c r="F8" s="20">
        <f>SUMIFS(Anexo_4[base_imponible_18],Anexo_4[gastos_operativos_kpi],$D$8,Anexo_4[periodo],$F$7)+SUMIFS(Anexo_4[base_imponible_10],Anexo_4[gastos_operativos_kpi],$D$8,Anexo_4[periodo],$F$7)</f>
        <v>0</v>
      </c>
      <c r="G8" s="20">
        <f>SUMIFS(Anexo_4[base_imponible_18],Anexo_4[gastos_operativos_kpi],$D$8,Anexo_4[periodo],$G$7)+SUMIFS(Anexo_4[base_imponible_10],Anexo_4[gastos_operativos_kpi],$D$8,Anexo_4[periodo],$G$7)</f>
        <v>0</v>
      </c>
      <c r="H8" s="20">
        <f>SUMIFS(Anexo_4[base_imponible_18],Anexo_4[gastos_operativos_kpi],$D$8,Anexo_4[periodo],$H$7)+SUMIFS(Anexo_4[base_imponible_10],Anexo_4[gastos_operativos_kpi],$D$8,Anexo_4[periodo],$H$7)</f>
        <v>0</v>
      </c>
      <c r="I8" s="20">
        <f>SUMIFS(Anexo_4[base_imponible_18],Anexo_4[gastos_operativos_kpi],$D$8,Anexo_4[periodo],$I$7)+SUMIFS(Anexo_4[base_imponible_10],Anexo_4[gastos_operativos_kpi],$D$8,Anexo_4[periodo],$I$7)</f>
        <v>0</v>
      </c>
      <c r="J8" s="20">
        <f>SUMIFS(Anexo_4[base_imponible_18],Anexo_4[gastos_operativos_kpi],$D$8,Anexo_4[periodo],$J$7)+SUMIFS(Anexo_4[base_imponible_10],Anexo_4[gastos_operativos_kpi],$D$8,Anexo_4[periodo],$J$7)</f>
        <v>0</v>
      </c>
      <c r="K8" s="20">
        <f>SUMIFS(Anexo_4[base_imponible_18],Anexo_4[gastos_operativos_kpi],$D$8,Anexo_4[periodo],$K$7)+SUMIFS(Anexo_4[base_imponible_10],Anexo_4[gastos_operativos_kpi],$D$8,Anexo_4[periodo],$K$7)</f>
        <v>33.9</v>
      </c>
      <c r="L8" s="20">
        <f>SUMIFS(Anexo_4[base_imponible_18],Anexo_4[gastos_operativos_kpi],$D$8,Anexo_4[periodo],$L$7)+SUMIFS(Anexo_4[base_imponible_10],Anexo_4[gastos_operativos_kpi],$D$8,Anexo_4[periodo],$L$7)</f>
        <v>0</v>
      </c>
      <c r="M8" s="20">
        <f>SUMIFS(Anexo_4[base_imponible_18],Anexo_4[gastos_operativos_kpi],$D$8,Anexo_4[periodo],$M$7)+SUMIFS(Anexo_4[base_imponible_10],Anexo_4[gastos_operativos_kpi],$D$8,Anexo_4[periodo],$M$7)</f>
        <v>0</v>
      </c>
      <c r="N8" s="20">
        <f>SUMIFS(Anexo_4[base_imponible_18],Anexo_4[gastos_operativos_kpi],$D$8,Anexo_4[periodo],$N$7)+SUMIFS(Anexo_4[base_imponible_10],Anexo_4[gastos_operativos_kpi],$D$8,Anexo_4[periodo],$N$7)</f>
        <v>0</v>
      </c>
      <c r="O8" s="20">
        <f>SUMIFS(Anexo_4[base_imponible_18],Anexo_4[gastos_operativos_kpi],$D$8,Anexo_4[periodo],$O$7)+SUMIFS(Anexo_4[base_imponible_10],Anexo_4[gastos_operativos_kpi],$D$8,Anexo_4[periodo],$O$7)</f>
        <v>0</v>
      </c>
      <c r="P8" s="20">
        <f>SUMIFS(Anexo_4[base_imponible_18],Anexo_4[gastos_operativos_kpi],$D$8,Anexo_4[periodo],$P$7)+SUMIFS(Anexo_4[base_imponible_10],Anexo_4[gastos_operativos_kpi],$D$8,Anexo_4[periodo],$P$7)</f>
        <v>0</v>
      </c>
      <c r="Q8" s="20">
        <f>SUMIFS(Anexo_4[base_imponible_18],Anexo_4[gastos_operativos_kpi],$D$8,Anexo_4[periodo],$Q$7)+SUMIFS(Anexo_4[base_imponible_10],Anexo_4[gastos_operativos_kpi],$D$8,Anexo_4[periodo],$Q$7)</f>
        <v>0</v>
      </c>
      <c r="R8" s="25">
        <f t="shared" ref="R8:R33" si="0">SUM(F8:Q8)</f>
        <v>33.9</v>
      </c>
      <c r="S8" s="25">
        <f t="shared" ref="S8:S33" si="1">AVERAGE(F8:Q8)</f>
        <v>2.8249999999999997</v>
      </c>
    </row>
    <row r="9" spans="2:19" ht="22.5" customHeight="1" x14ac:dyDescent="0.25">
      <c r="B9" s="182"/>
      <c r="C9" s="203"/>
      <c r="D9" s="24" t="s">
        <v>128</v>
      </c>
      <c r="E9" s="12" t="s">
        <v>64</v>
      </c>
      <c r="F9" s="20">
        <f>SUMIFS(Anexo_4[base_imponible_18],Anexo_4[gastos_operativos_kpi],$D$9,Anexo_4[periodo],$F$7)+SUMIFS(Anexo_4[base_imponible_10],Anexo_4[gastos_operativos_kpi],$D$9,Anexo_4[periodo],$F$7)</f>
        <v>0</v>
      </c>
      <c r="G9" s="20">
        <f>SUMIFS(Anexo_4[base_imponible_18],Anexo_4[gastos_operativos_kpi],$D$9,Anexo_4[periodo],$G$7)+SUMIFS(Anexo_4[base_imponible_10],Anexo_4[gastos_operativos_kpi],$D$9,Anexo_4[periodo],$G$7)</f>
        <v>0</v>
      </c>
      <c r="H9" s="20">
        <f>SUMIFS(Anexo_4[base_imponible_18],Anexo_4[gastos_operativos_kpi],$D$9,Anexo_4[periodo],$H$7)+SUMIFS(Anexo_4[base_imponible_10],Anexo_4[gastos_operativos_kpi],$D$9,Anexo_4[periodo],$H$7)</f>
        <v>0</v>
      </c>
      <c r="I9" s="20">
        <f>SUMIFS(Anexo_4[base_imponible_18],Anexo_4[gastos_operativos_kpi],$D$9,Anexo_4[periodo],$I$7)+SUMIFS(Anexo_4[base_imponible_10],Anexo_4[gastos_operativos_kpi],$D$9,Anexo_4[periodo],$I$7)</f>
        <v>0</v>
      </c>
      <c r="J9" s="20">
        <f>SUMIFS(Anexo_4[base_imponible_18],Anexo_4[gastos_operativos_kpi],$D$9,Anexo_4[periodo],$J$7)+SUMIFS(Anexo_4[base_imponible_10],Anexo_4[gastos_operativos_kpi],$D$9,Anexo_4[periodo],$J$7)</f>
        <v>0</v>
      </c>
      <c r="K9" s="20">
        <f>SUMIFS(Anexo_4[base_imponible_18],Anexo_4[gastos_operativos_kpi],$D$9,Anexo_4[periodo],$K$7)+SUMIFS(Anexo_4[base_imponible_10],Anexo_4[gastos_operativos_kpi],$D$9,Anexo_4[periodo],$K$7)</f>
        <v>0</v>
      </c>
      <c r="L9" s="20">
        <f>SUMIFS(Anexo_4[base_imponible_18],Anexo_4[gastos_operativos_kpi],$D$9,Anexo_4[periodo],$L$7)+SUMIFS(Anexo_4[base_imponible_10],Anexo_4[gastos_operativos_kpi],$D$9,Anexo_4[periodo],$L$7)</f>
        <v>0</v>
      </c>
      <c r="M9" s="20">
        <f>SUMIFS(Anexo_4[base_imponible_18],Anexo_4[gastos_operativos_kpi],$D$9,Anexo_4[periodo],$M$7)+SUMIFS(Anexo_4[base_imponible_10],Anexo_4[gastos_operativos_kpi],$D$9,Anexo_4[periodo],$M$7)</f>
        <v>0</v>
      </c>
      <c r="N9" s="20">
        <f>SUMIFS(Anexo_4[base_imponible_18],Anexo_4[gastos_operativos_kpi],$D$9,Anexo_4[periodo],$N$7)+SUMIFS(Anexo_4[base_imponible_10],Anexo_4[gastos_operativos_kpi],$D$9,Anexo_4[periodo],$N$7)</f>
        <v>0</v>
      </c>
      <c r="O9" s="20">
        <f>SUMIFS(Anexo_4[base_imponible_18],Anexo_4[gastos_operativos_kpi],$D$9,Anexo_4[periodo],$O$7)+SUMIFS(Anexo_4[base_imponible_10],Anexo_4[gastos_operativos_kpi],$D$9,Anexo_4[periodo],$O$7)</f>
        <v>0</v>
      </c>
      <c r="P9" s="20">
        <f>SUMIFS(Anexo_4[base_imponible_18],Anexo_4[gastos_operativos_kpi],$D$9,Anexo_4[periodo],$P$7)+SUMIFS(Anexo_4[base_imponible_10],Anexo_4[gastos_operativos_kpi],$D$9,Anexo_4[periodo],$P$7)</f>
        <v>0</v>
      </c>
      <c r="Q9" s="20">
        <f>SUMIFS(Anexo_4[base_imponible_18],Anexo_4[gastos_operativos_kpi],$D$9,Anexo_4[periodo],$Q$7)+SUMIFS(Anexo_4[base_imponible_10],Anexo_4[gastos_operativos_kpi],$D$9,Anexo_4[periodo],$Q$7)</f>
        <v>0</v>
      </c>
      <c r="R9" s="25">
        <f t="shared" si="0"/>
        <v>0</v>
      </c>
      <c r="S9" s="25">
        <f t="shared" si="1"/>
        <v>0</v>
      </c>
    </row>
    <row r="10" spans="2:19" ht="22.5" customHeight="1" x14ac:dyDescent="0.25">
      <c r="B10" s="182"/>
      <c r="C10" s="203"/>
      <c r="D10" s="24" t="s">
        <v>129</v>
      </c>
      <c r="E10" s="12" t="s">
        <v>64</v>
      </c>
      <c r="F10" s="20">
        <f>SUMIFS(Anexo_4[base_imponible_18],Anexo_4[gastos_operativos_kpi],$D$10,Anexo_4[periodo],$F$7)+SUMIFS(Anexo_4[base_imponible_10],Anexo_4[gastos_operativos_kpi],$D$10,Anexo_4[periodo],$F$7)</f>
        <v>0</v>
      </c>
      <c r="G10" s="20">
        <f>SUMIFS(Anexo_4[base_imponible_18],Anexo_4[gastos_operativos_kpi],$D$10,Anexo_4[periodo],$G$7)+SUMIFS(Anexo_4[base_imponible_10],Anexo_4[gastos_operativos_kpi],$D$10,Anexo_4[periodo],$G$7)</f>
        <v>0</v>
      </c>
      <c r="H10" s="20">
        <f>SUMIFS(Anexo_4[base_imponible_18],Anexo_4[gastos_operativos_kpi],$D$10,Anexo_4[periodo],$H$7)+SUMIFS(Anexo_4[base_imponible_10],Anexo_4[gastos_operativos_kpi],$D$10,Anexo_4[periodo],$H$7)</f>
        <v>0</v>
      </c>
      <c r="I10" s="20">
        <f>SUMIFS(Anexo_4[base_imponible_18],Anexo_4[gastos_operativos_kpi],$D$10,Anexo_4[periodo],$I$7)+SUMIFS(Anexo_4[base_imponible_10],Anexo_4[gastos_operativos_kpi],$D$10,Anexo_4[periodo],$I$7)</f>
        <v>0</v>
      </c>
      <c r="J10" s="20">
        <f>SUMIFS(Anexo_4[base_imponible_18],Anexo_4[gastos_operativos_kpi],$D$10,Anexo_4[periodo],$J$7)+SUMIFS(Anexo_4[base_imponible_10],Anexo_4[gastos_operativos_kpi],$D$10,Anexo_4[periodo],$J$7)</f>
        <v>0</v>
      </c>
      <c r="K10" s="20">
        <f>SUMIFS(Anexo_4[base_imponible_18],Anexo_4[gastos_operativos_kpi],$D$10,Anexo_4[periodo],$K$7)+SUMIFS(Anexo_4[base_imponible_10],Anexo_4[gastos_operativos_kpi],$D$10,Anexo_4[periodo],$K$7)</f>
        <v>0</v>
      </c>
      <c r="L10" s="20">
        <f>SUMIFS(Anexo_4[base_imponible_18],Anexo_4[gastos_operativos_kpi],$D$10,Anexo_4[periodo],$L$7)+SUMIFS(Anexo_4[base_imponible_10],Anexo_4[gastos_operativos_kpi],$D$10,Anexo_4[periodo],$L$7)</f>
        <v>55.93</v>
      </c>
      <c r="M10" s="20">
        <f>SUMIFS(Anexo_4[base_imponible_18],Anexo_4[gastos_operativos_kpi],$D$10,Anexo_4[periodo],$M$7)+SUMIFS(Anexo_4[base_imponible_10],Anexo_4[gastos_operativos_kpi],$D$10,Anexo_4[periodo],$M$7)</f>
        <v>0</v>
      </c>
      <c r="N10" s="20">
        <f>SUMIFS(Anexo_4[base_imponible_18],Anexo_4[gastos_operativos_kpi],$D$10,Anexo_4[periodo],$N$7)+SUMIFS(Anexo_4[base_imponible_10],Anexo_4[gastos_operativos_kpi],$D$10,Anexo_4[periodo],$N$7)</f>
        <v>30.59</v>
      </c>
      <c r="O10" s="20">
        <f>SUMIFS(Anexo_4[base_imponible_18],Anexo_4[gastos_operativos_kpi],$D$10,Anexo_4[periodo],$O$7)+SUMIFS(Anexo_4[base_imponible_10],Anexo_4[gastos_operativos_kpi],$D$10,Anexo_4[periodo],$O$7)</f>
        <v>0</v>
      </c>
      <c r="P10" s="20">
        <f>SUMIFS(Anexo_4[base_imponible_18],Anexo_4[gastos_operativos_kpi],$D$10,Anexo_4[periodo],$P$7)+SUMIFS(Anexo_4[base_imponible_10],Anexo_4[gastos_operativos_kpi],$D$10,Anexo_4[periodo],$P$7)</f>
        <v>0</v>
      </c>
      <c r="Q10" s="20">
        <f>SUMIFS(Anexo_4[base_imponible_18],Anexo_4[gastos_operativos_kpi],$D$10,Anexo_4[periodo],$Q$7)+SUMIFS(Anexo_4[base_imponible_10],Anexo_4[gastos_operativos_kpi],$D$10,Anexo_4[periodo],$Q$7)</f>
        <v>0</v>
      </c>
      <c r="R10" s="25">
        <f t="shared" si="0"/>
        <v>86.52</v>
      </c>
      <c r="S10" s="25">
        <f t="shared" si="1"/>
        <v>7.21</v>
      </c>
    </row>
    <row r="11" spans="2:19" ht="22.5" customHeight="1" x14ac:dyDescent="0.25">
      <c r="B11" s="182"/>
      <c r="C11" s="203"/>
      <c r="D11" s="24" t="s">
        <v>130</v>
      </c>
      <c r="E11" s="12" t="s">
        <v>64</v>
      </c>
      <c r="F11" s="20">
        <f>SUMIFS(Anexo_4[base_imponible_18],Anexo_4[gastos_operativos_kpi],$D$11,Anexo_4[periodo],$F$7)+SUMIFS(Anexo_4[base_imponible_10],Anexo_4[gastos_operativos_kpi],$D$11,Anexo_4[periodo],$F$7)</f>
        <v>0</v>
      </c>
      <c r="G11" s="20">
        <f>SUMIFS(Anexo_4[base_imponible_18],Anexo_4[gastos_operativos_kpi],$D$11,Anexo_4[periodo],$G$7)+SUMIFS(Anexo_4[base_imponible_10],Anexo_4[gastos_operativos_kpi],$D$11,Anexo_4[periodo],$G$7)</f>
        <v>0</v>
      </c>
      <c r="H11" s="20">
        <f>SUMIFS(Anexo_4[base_imponible_18],Anexo_4[gastos_operativos_kpi],$D$11,Anexo_4[periodo],$H$7)+SUMIFS(Anexo_4[base_imponible_10],Anexo_4[gastos_operativos_kpi],$D$11,Anexo_4[periodo],$H$7)</f>
        <v>0</v>
      </c>
      <c r="I11" s="20">
        <f>SUMIFS(Anexo_4[base_imponible_18],Anexo_4[gastos_operativos_kpi],$D$11,Anexo_4[periodo],$I$7)+SUMIFS(Anexo_4[base_imponible_10],Anexo_4[gastos_operativos_kpi],$D$11,Anexo_4[periodo],$I$7)</f>
        <v>0</v>
      </c>
      <c r="J11" s="20">
        <f>SUMIFS(Anexo_4[base_imponible_18],Anexo_4[gastos_operativos_kpi],$D$11,Anexo_4[periodo],$J$7)+SUMIFS(Anexo_4[base_imponible_10],Anexo_4[gastos_operativos_kpi],$D$11,Anexo_4[periodo],$J$7)</f>
        <v>0</v>
      </c>
      <c r="K11" s="20">
        <f>SUMIFS(Anexo_4[base_imponible_18],Anexo_4[gastos_operativos_kpi],$D$11,Anexo_4[periodo],$K$7)+SUMIFS(Anexo_4[base_imponible_10],Anexo_4[gastos_operativos_kpi],$D$11,Anexo_4[periodo],$K$7)</f>
        <v>451.70000000000005</v>
      </c>
      <c r="L11" s="20">
        <f>SUMIFS(Anexo_4[base_imponible_18],Anexo_4[gastos_operativos_kpi],$D$11,Anexo_4[periodo],$L$7)+SUMIFS(Anexo_4[base_imponible_10],Anexo_4[gastos_operativos_kpi],$D$11,Anexo_4[periodo],$L$7)</f>
        <v>470.34000000000003</v>
      </c>
      <c r="M11" s="20">
        <f>SUMIFS(Anexo_4[base_imponible_18],Anexo_4[gastos_operativos_kpi],$D$11,Anexo_4[periodo],$M$7)+SUMIFS(Anexo_4[base_imponible_10],Anexo_4[gastos_operativos_kpi],$D$11,Anexo_4[periodo],$M$7)</f>
        <v>242.48</v>
      </c>
      <c r="N11" s="20">
        <f>SUMIFS(Anexo_4[base_imponible_18],Anexo_4[gastos_operativos_kpi],$D$11,Anexo_4[periodo],$N$7)+SUMIFS(Anexo_4[base_imponible_10],Anexo_4[gastos_operativos_kpi],$D$11,Anexo_4[periodo],$N$7)</f>
        <v>415.26000000000005</v>
      </c>
      <c r="O11" s="20">
        <f>SUMIFS(Anexo_4[base_imponible_18],Anexo_4[gastos_operativos_kpi],$D$11,Anexo_4[periodo],$O$7)+SUMIFS(Anexo_4[base_imponible_10],Anexo_4[gastos_operativos_kpi],$D$11,Anexo_4[periodo],$O$7)</f>
        <v>0</v>
      </c>
      <c r="P11" s="20">
        <f>SUMIFS(Anexo_4[base_imponible_18],Anexo_4[gastos_operativos_kpi],$D$11,Anexo_4[periodo],$P$7)+SUMIFS(Anexo_4[base_imponible_10],Anexo_4[gastos_operativos_kpi],$D$11,Anexo_4[periodo],$P$7)</f>
        <v>0</v>
      </c>
      <c r="Q11" s="20">
        <f>SUMIFS(Anexo_4[base_imponible_18],Anexo_4[gastos_operativos_kpi],$D$11,Anexo_4[periodo],$Q$7)+SUMIFS(Anexo_4[base_imponible_10],Anexo_4[gastos_operativos_kpi],$D$11,Anexo_4[periodo],$Q$7)</f>
        <v>0</v>
      </c>
      <c r="R11" s="25">
        <f t="shared" si="0"/>
        <v>1579.78</v>
      </c>
      <c r="S11" s="25">
        <f t="shared" si="1"/>
        <v>131.64833333333334</v>
      </c>
    </row>
    <row r="12" spans="2:19" ht="22.5" customHeight="1" x14ac:dyDescent="0.25">
      <c r="B12" s="182"/>
      <c r="C12" s="203"/>
      <c r="D12" s="24" t="s">
        <v>131</v>
      </c>
      <c r="E12" s="12" t="s">
        <v>64</v>
      </c>
      <c r="F12" s="20">
        <f>SUMIFS(Anexo_4[base_imponible_18],Anexo_4[gastos_operativos_kpi],$D$12,Anexo_4[periodo],$F$7)+SUMIFS(Anexo_4[base_imponible_10],Anexo_4[gastos_operativos_kpi],$D$12,Anexo_4[periodo],$F$7)</f>
        <v>0</v>
      </c>
      <c r="G12" s="20">
        <f>SUMIFS(Anexo_4[base_imponible_18],Anexo_4[gastos_operativos_kpi],$D$12,Anexo_4[periodo],$G$7)+SUMIFS(Anexo_4[base_imponible_10],Anexo_4[gastos_operativos_kpi],$D$12,Anexo_4[periodo],$G$7)</f>
        <v>0</v>
      </c>
      <c r="H12" s="20">
        <f>SUMIFS(Anexo_4[base_imponible_18],Anexo_4[gastos_operativos_kpi],$D$12,Anexo_4[periodo],$H$7)+SUMIFS(Anexo_4[base_imponible_10],Anexo_4[gastos_operativos_kpi],$D$12,Anexo_4[periodo],$H$7)</f>
        <v>0</v>
      </c>
      <c r="I12" s="20">
        <f>SUMIFS(Anexo_4[base_imponible_18],Anexo_4[gastos_operativos_kpi],$D$12,Anexo_4[periodo],$I$7)+SUMIFS(Anexo_4[base_imponible_10],Anexo_4[gastos_operativos_kpi],$D$12,Anexo_4[periodo],$I$7)</f>
        <v>0</v>
      </c>
      <c r="J12" s="20">
        <f>SUMIFS(Anexo_4[base_imponible_18],Anexo_4[gastos_operativos_kpi],$D$12,Anexo_4[periodo],$J$7)+SUMIFS(Anexo_4[base_imponible_10],Anexo_4[gastos_operativos_kpi],$D$12,Anexo_4[periodo],$J$7)</f>
        <v>0</v>
      </c>
      <c r="K12" s="20">
        <f>SUMIFS(Anexo_4[base_imponible_18],Anexo_4[gastos_operativos_kpi],$D$12,Anexo_4[periodo],$K$7)+SUMIFS(Anexo_4[base_imponible_10],Anexo_4[gastos_operativos_kpi],$D$12,Anexo_4[periodo],$K$7)</f>
        <v>140.66999999999999</v>
      </c>
      <c r="L12" s="20">
        <f>SUMIFS(Anexo_4[base_imponible_18],Anexo_4[gastos_operativos_kpi],$D$12,Anexo_4[periodo],$L$7)+SUMIFS(Anexo_4[base_imponible_10],Anexo_4[gastos_operativos_kpi],$D$12,Anexo_4[periodo],$L$7)</f>
        <v>194.23</v>
      </c>
      <c r="M12" s="20">
        <f>SUMIFS(Anexo_4[base_imponible_18],Anexo_4[gastos_operativos_kpi],$D$12,Anexo_4[periodo],$M$7)+SUMIFS(Anexo_4[base_imponible_10],Anexo_4[gastos_operativos_kpi],$D$12,Anexo_4[periodo],$M$7)</f>
        <v>74.569999999999993</v>
      </c>
      <c r="N12" s="20">
        <f>SUMIFS(Anexo_4[base_imponible_18],Anexo_4[gastos_operativos_kpi],$D$12,Anexo_4[periodo],$N$7)+SUMIFS(Anexo_4[base_imponible_10],Anexo_4[gastos_operativos_kpi],$D$12,Anexo_4[periodo],$N$7)</f>
        <v>34.739999999999995</v>
      </c>
      <c r="O12" s="20">
        <f>SUMIFS(Anexo_4[base_imponible_18],Anexo_4[gastos_operativos_kpi],$D$12,Anexo_4[periodo],$O$7)+SUMIFS(Anexo_4[base_imponible_10],Anexo_4[gastos_operativos_kpi],$D$12,Anexo_4[periodo],$O$7)</f>
        <v>0</v>
      </c>
      <c r="P12" s="20">
        <f>SUMIFS(Anexo_4[base_imponible_18],Anexo_4[gastos_operativos_kpi],$D$12,Anexo_4[periodo],$P$7)+SUMIFS(Anexo_4[base_imponible_10],Anexo_4[gastos_operativos_kpi],$D$12,Anexo_4[periodo],$P$7)</f>
        <v>0</v>
      </c>
      <c r="Q12" s="20">
        <f>SUMIFS(Anexo_4[base_imponible_18],Anexo_4[gastos_operativos_kpi],$D$12,Anexo_4[periodo],$Q$7)+SUMIFS(Anexo_4[base_imponible_10],Anexo_4[gastos_operativos_kpi],$D$12,Anexo_4[periodo],$Q$7)</f>
        <v>0</v>
      </c>
      <c r="R12" s="25">
        <f t="shared" si="0"/>
        <v>444.21</v>
      </c>
      <c r="S12" s="25">
        <f t="shared" si="1"/>
        <v>37.017499999999998</v>
      </c>
    </row>
    <row r="13" spans="2:19" ht="22.5" customHeight="1" x14ac:dyDescent="0.25">
      <c r="B13" s="182"/>
      <c r="C13" s="203"/>
      <c r="D13" s="24" t="s">
        <v>132</v>
      </c>
      <c r="E13" s="12" t="s">
        <v>64</v>
      </c>
      <c r="F13" s="20">
        <f>SUMIFS(Anexo_4[base_imponible_18],Anexo_4[gastos_operativos_kpi],$D$13,Anexo_4[periodo],$F$7)+SUMIFS(Anexo_4[base_imponible_10],Anexo_4[gastos_operativos_kpi],$D$13,Anexo_4[periodo],$F$7)</f>
        <v>0</v>
      </c>
      <c r="G13" s="20">
        <f>SUMIFS(Anexo_4[base_imponible_18],Anexo_4[gastos_operativos_kpi],$D$13,Anexo_4[periodo],$G$7)+SUMIFS(Anexo_4[base_imponible_10],Anexo_4[gastos_operativos_kpi],$D$13,Anexo_4[periodo],$G$7)</f>
        <v>0</v>
      </c>
      <c r="H13" s="20">
        <f>SUMIFS(Anexo_4[base_imponible_18],Anexo_4[gastos_operativos_kpi],$D$13,Anexo_4[periodo],$H$7)+SUMIFS(Anexo_4[base_imponible_10],Anexo_4[gastos_operativos_kpi],$D$13,Anexo_4[periodo],$H$7)</f>
        <v>0</v>
      </c>
      <c r="I13" s="20">
        <f>SUMIFS(Anexo_4[base_imponible_18],Anexo_4[gastos_operativos_kpi],$D$13,Anexo_4[periodo],$I$7)+SUMIFS(Anexo_4[base_imponible_10],Anexo_4[gastos_operativos_kpi],$D$13,Anexo_4[periodo],$I$7)</f>
        <v>0</v>
      </c>
      <c r="J13" s="20">
        <f>SUMIFS(Anexo_4[base_imponible_18],Anexo_4[gastos_operativos_kpi],$D$13,Anexo_4[periodo],$J$7)+SUMIFS(Anexo_4[base_imponible_10],Anexo_4[gastos_operativos_kpi],$D$13,Anexo_4[periodo],$J$7)</f>
        <v>0</v>
      </c>
      <c r="K13" s="20">
        <f>SUMIFS(Anexo_4[base_imponible_18],Anexo_4[gastos_operativos_kpi],$D$13,Anexo_4[periodo],$K$7)+SUMIFS(Anexo_4[base_imponible_10],Anexo_4[gastos_operativos_kpi],$D$13,Anexo_4[periodo],$K$7)</f>
        <v>150.22999999999999</v>
      </c>
      <c r="L13" s="20">
        <f>SUMIFS(Anexo_4[base_imponible_18],Anexo_4[gastos_operativos_kpi],$D$13,Anexo_4[periodo],$L$7)+SUMIFS(Anexo_4[base_imponible_10],Anexo_4[gastos_operativos_kpi],$D$13,Anexo_4[periodo],$L$7)</f>
        <v>0</v>
      </c>
      <c r="M13" s="20">
        <f>SUMIFS(Anexo_4[base_imponible_18],Anexo_4[gastos_operativos_kpi],$D$13,Anexo_4[periodo],$M$7)+SUMIFS(Anexo_4[base_imponible_10],Anexo_4[gastos_operativos_kpi],$D$13,Anexo_4[periodo],$M$7)</f>
        <v>84.75</v>
      </c>
      <c r="N13" s="20">
        <f>SUMIFS(Anexo_4[base_imponible_18],Anexo_4[gastos_operativos_kpi],$D$13,Anexo_4[periodo],$N$7)+SUMIFS(Anexo_4[base_imponible_10],Anexo_4[gastos_operativos_kpi],$D$13,Anexo_4[periodo],$N$7)</f>
        <v>765.95</v>
      </c>
      <c r="O13" s="20">
        <f>SUMIFS(Anexo_4[base_imponible_18],Anexo_4[gastos_operativos_kpi],$D$13,Anexo_4[periodo],$O$7)+SUMIFS(Anexo_4[base_imponible_10],Anexo_4[gastos_operativos_kpi],$D$13,Anexo_4[periodo],$O$7)</f>
        <v>0</v>
      </c>
      <c r="P13" s="20">
        <f>SUMIFS(Anexo_4[base_imponible_18],Anexo_4[gastos_operativos_kpi],$D$13,Anexo_4[periodo],$P$7)+SUMIFS(Anexo_4[base_imponible_10],Anexo_4[gastos_operativos_kpi],$D$13,Anexo_4[periodo],$P$7)</f>
        <v>0</v>
      </c>
      <c r="Q13" s="20">
        <f>SUMIFS(Anexo_4[base_imponible_18],Anexo_4[gastos_operativos_kpi],$D$13,Anexo_4[periodo],$Q$7)+SUMIFS(Anexo_4[base_imponible_10],Anexo_4[gastos_operativos_kpi],$D$13,Anexo_4[periodo],$Q$7)</f>
        <v>0</v>
      </c>
      <c r="R13" s="25">
        <f t="shared" si="0"/>
        <v>1000.9300000000001</v>
      </c>
      <c r="S13" s="25">
        <f t="shared" si="1"/>
        <v>83.410833333333343</v>
      </c>
    </row>
    <row r="14" spans="2:19" ht="22.5" customHeight="1" x14ac:dyDescent="0.25">
      <c r="B14" s="182"/>
      <c r="C14" s="203"/>
      <c r="D14" s="24" t="s">
        <v>133</v>
      </c>
      <c r="E14" s="12" t="s">
        <v>64</v>
      </c>
      <c r="F14" s="20">
        <f>SUMIFS(Anexo_4[base_imponible_18],Anexo_4[gastos_operativos_kpi],$D$14,Anexo_4[periodo],$F$7)+SUMIFS(Anexo_4[base_imponible_10],Anexo_4[gastos_operativos_kpi],$D$14,Anexo_4[periodo],$F$7)</f>
        <v>0</v>
      </c>
      <c r="G14" s="20">
        <f>SUMIFS(Anexo_4[base_imponible_18],Anexo_4[gastos_operativos_kpi],$D$14,Anexo_4[periodo],$G$7)+SUMIFS(Anexo_4[base_imponible_10],Anexo_4[gastos_operativos_kpi],$D$14,Anexo_4[periodo],$G$7)</f>
        <v>0</v>
      </c>
      <c r="H14" s="20">
        <f>SUMIFS(Anexo_4[base_imponible_18],Anexo_4[gastos_operativos_kpi],$D$14,Anexo_4[periodo],$H$7)+SUMIFS(Anexo_4[base_imponible_10],Anexo_4[gastos_operativos_kpi],$D$14,Anexo_4[periodo],$H$7)</f>
        <v>0</v>
      </c>
      <c r="I14" s="20">
        <f>SUMIFS(Anexo_4[base_imponible_18],Anexo_4[gastos_operativos_kpi],$D$14,Anexo_4[periodo],$I$7)+SUMIFS(Anexo_4[base_imponible_10],Anexo_4[gastos_operativos_kpi],$D$14,Anexo_4[periodo],$I$7)</f>
        <v>0</v>
      </c>
      <c r="J14" s="20">
        <f>SUMIFS(Anexo_4[base_imponible_18],Anexo_4[gastos_operativos_kpi],$D$14,Anexo_4[periodo],$J$7)+SUMIFS(Anexo_4[base_imponible_10],Anexo_4[gastos_operativos_kpi],$D$14,Anexo_4[periodo],$J$7)</f>
        <v>0</v>
      </c>
      <c r="K14" s="20">
        <f>SUMIFS(Anexo_4[base_imponible_18],Anexo_4[gastos_operativos_kpi],$D$14,Anexo_4[periodo],$K$7)+SUMIFS(Anexo_4[base_imponible_10],Anexo_4[gastos_operativos_kpi],$D$14,Anexo_4[periodo],$K$7)</f>
        <v>55.08</v>
      </c>
      <c r="L14" s="20">
        <f>SUMIFS(Anexo_4[base_imponible_18],Anexo_4[gastos_operativos_kpi],$D$14,Anexo_4[periodo],$L$7)+SUMIFS(Anexo_4[base_imponible_10],Anexo_4[gastos_operativos_kpi],$D$14,Anexo_4[periodo],$L$7)</f>
        <v>33.299999999999997</v>
      </c>
      <c r="M14" s="20">
        <f>SUMIFS(Anexo_4[base_imponible_18],Anexo_4[gastos_operativos_kpi],$D$14,Anexo_4[periodo],$M$7)+SUMIFS(Anexo_4[base_imponible_10],Anexo_4[gastos_operativos_kpi],$D$14,Anexo_4[periodo],$M$7)</f>
        <v>44.92</v>
      </c>
      <c r="N14" s="20">
        <f>SUMIFS(Anexo_4[base_imponible_18],Anexo_4[gastos_operativos_kpi],$D$14,Anexo_4[periodo],$N$7)+SUMIFS(Anexo_4[base_imponible_10],Anexo_4[gastos_operativos_kpi],$D$14,Anexo_4[periodo],$N$7)</f>
        <v>149.15</v>
      </c>
      <c r="O14" s="20">
        <f>SUMIFS(Anexo_4[base_imponible_18],Anexo_4[gastos_operativos_kpi],$D$14,Anexo_4[periodo],$O$7)+SUMIFS(Anexo_4[base_imponible_10],Anexo_4[gastos_operativos_kpi],$D$14,Anexo_4[periodo],$O$7)</f>
        <v>0</v>
      </c>
      <c r="P14" s="20">
        <f>SUMIFS(Anexo_4[base_imponible_18],Anexo_4[gastos_operativos_kpi],$D$14,Anexo_4[periodo],$P$7)+SUMIFS(Anexo_4[base_imponible_10],Anexo_4[gastos_operativos_kpi],$D$14,Anexo_4[periodo],$P$7)</f>
        <v>0</v>
      </c>
      <c r="Q14" s="20">
        <f>SUMIFS(Anexo_4[base_imponible_18],Anexo_4[gastos_operativos_kpi],$D$14,Anexo_4[periodo],$Q$7)+SUMIFS(Anexo_4[base_imponible_10],Anexo_4[gastos_operativos_kpi],$D$14,Anexo_4[periodo],$Q$7)</f>
        <v>0</v>
      </c>
      <c r="R14" s="25">
        <f t="shared" si="0"/>
        <v>282.45000000000005</v>
      </c>
      <c r="S14" s="25">
        <f t="shared" si="1"/>
        <v>23.537500000000005</v>
      </c>
    </row>
    <row r="15" spans="2:19" ht="22.5" customHeight="1" x14ac:dyDescent="0.25">
      <c r="B15" s="182"/>
      <c r="C15" s="203"/>
      <c r="D15" s="24" t="s">
        <v>134</v>
      </c>
      <c r="E15" s="12" t="s">
        <v>64</v>
      </c>
      <c r="F15" s="20">
        <f>SUMIFS(Anexo_4[base_imponible_18],Anexo_4[gastos_operativos_kpi],$D$15,Anexo_4[periodo],$F$7)+SUMIFS(Anexo_4[base_imponible_10],Anexo_4[gastos_operativos_kpi],$D$15,Anexo_4[periodo],$F$7)</f>
        <v>0</v>
      </c>
      <c r="G15" s="20">
        <f>SUMIFS(Anexo_4[base_imponible_18],Anexo_4[gastos_operativos_kpi],$D$15,Anexo_4[periodo],$G$7)+SUMIFS(Anexo_4[base_imponible_10],Anexo_4[gastos_operativos_kpi],$D$15,Anexo_4[periodo],$G$7)</f>
        <v>0</v>
      </c>
      <c r="H15" s="20">
        <f>SUMIFS(Anexo_4[base_imponible_18],Anexo_4[gastos_operativos_kpi],$D$15,Anexo_4[periodo],$H$7)+SUMIFS(Anexo_4[base_imponible_10],Anexo_4[gastos_operativos_kpi],$D$15,Anexo_4[periodo],$H$7)</f>
        <v>0</v>
      </c>
      <c r="I15" s="20">
        <f>SUMIFS(Anexo_4[base_imponible_18],Anexo_4[gastos_operativos_kpi],$D$15,Anexo_4[periodo],$I$7)+SUMIFS(Anexo_4[base_imponible_10],Anexo_4[gastos_operativos_kpi],$D$15,Anexo_4[periodo],$I$7)</f>
        <v>0</v>
      </c>
      <c r="J15" s="20">
        <f>SUMIFS(Anexo_4[base_imponible_18],Anexo_4[gastos_operativos_kpi],$D$15,Anexo_4[periodo],$J$7)+SUMIFS(Anexo_4[base_imponible_10],Anexo_4[gastos_operativos_kpi],$D$15,Anexo_4[periodo],$J$7)</f>
        <v>0</v>
      </c>
      <c r="K15" s="20">
        <f>SUMIFS(Anexo_4[base_imponible_18],Anexo_4[gastos_operativos_kpi],$D$15,Anexo_4[periodo],$K$7)+SUMIFS(Anexo_4[base_imponible_10],Anexo_4[gastos_operativos_kpi],$D$15,Anexo_4[periodo],$K$7)</f>
        <v>0</v>
      </c>
      <c r="L15" s="20">
        <f>SUMIFS(Anexo_4[base_imponible_18],Anexo_4[gastos_operativos_kpi],$D$15,Anexo_4[periodo],$L$7)+SUMIFS(Anexo_4[base_imponible_10],Anexo_4[gastos_operativos_kpi],$D$15,Anexo_4[periodo],$L$7)</f>
        <v>1108.98</v>
      </c>
      <c r="M15" s="20">
        <f>SUMIFS(Anexo_4[base_imponible_18],Anexo_4[gastos_operativos_kpi],$D$15,Anexo_4[periodo],$M$7)+SUMIFS(Anexo_4[base_imponible_10],Anexo_4[gastos_operativos_kpi],$D$15,Anexo_4[periodo],$M$7)</f>
        <v>0</v>
      </c>
      <c r="N15" s="20">
        <f>SUMIFS(Anexo_4[base_imponible_18],Anexo_4[gastos_operativos_kpi],$D$15,Anexo_4[periodo],$N$7)+SUMIFS(Anexo_4[base_imponible_10],Anexo_4[gastos_operativos_kpi],$D$15,Anexo_4[periodo],$N$7)</f>
        <v>667.73</v>
      </c>
      <c r="O15" s="20">
        <f>SUMIFS(Anexo_4[base_imponible_18],Anexo_4[gastos_operativos_kpi],$D$15,Anexo_4[periodo],$O$7)+SUMIFS(Anexo_4[base_imponible_10],Anexo_4[gastos_operativos_kpi],$D$15,Anexo_4[periodo],$O$7)</f>
        <v>0</v>
      </c>
      <c r="P15" s="20">
        <f>SUMIFS(Anexo_4[base_imponible_18],Anexo_4[gastos_operativos_kpi],$D$15,Anexo_4[periodo],$P$7)+SUMIFS(Anexo_4[base_imponible_10],Anexo_4[gastos_operativos_kpi],$D$15,Anexo_4[periodo],$P$7)</f>
        <v>0</v>
      </c>
      <c r="Q15" s="20">
        <f>SUMIFS(Anexo_4[base_imponible_18],Anexo_4[gastos_operativos_kpi],$D$15,Anexo_4[periodo],$Q$7)+SUMIFS(Anexo_4[base_imponible_10],Anexo_4[gastos_operativos_kpi],$D$15,Anexo_4[periodo],$Q$7)</f>
        <v>0</v>
      </c>
      <c r="R15" s="25">
        <f t="shared" si="0"/>
        <v>1776.71</v>
      </c>
      <c r="S15" s="25">
        <f t="shared" si="1"/>
        <v>148.05916666666667</v>
      </c>
    </row>
    <row r="16" spans="2:19" ht="22.5" customHeight="1" x14ac:dyDescent="0.25">
      <c r="B16" s="182"/>
      <c r="C16" s="203"/>
      <c r="D16" s="24" t="s">
        <v>135</v>
      </c>
      <c r="E16" s="12" t="s">
        <v>64</v>
      </c>
      <c r="F16" s="20">
        <f>SUMIFS(Anexo_4[base_imponible_18],Anexo_4[gastos_operativos_kpi],$D$16,Anexo_4[periodo],$F$7)+SUMIFS(Anexo_4[base_imponible_10],Anexo_4[gastos_operativos_kpi],$D$16,Anexo_4[periodo],$F$7)</f>
        <v>0</v>
      </c>
      <c r="G16" s="20">
        <f>SUMIFS(Anexo_4[base_imponible_18],Anexo_4[gastos_operativos_kpi],$D$16,Anexo_4[periodo],$G$7)+SUMIFS(Anexo_4[base_imponible_10],Anexo_4[gastos_operativos_kpi],$D$16,Anexo_4[periodo],$G$7)</f>
        <v>0</v>
      </c>
      <c r="H16" s="20">
        <f>SUMIFS(Anexo_4[base_imponible_18],Anexo_4[gastos_operativos_kpi],$D$16,Anexo_4[periodo],$H$7)+SUMIFS(Anexo_4[base_imponible_10],Anexo_4[gastos_operativos_kpi],$D$16,Anexo_4[periodo],$H$7)</f>
        <v>0</v>
      </c>
      <c r="I16" s="20">
        <f>SUMIFS(Anexo_4[base_imponible_18],Anexo_4[gastos_operativos_kpi],$D$16,Anexo_4[periodo],$I$7)+SUMIFS(Anexo_4[base_imponible_10],Anexo_4[gastos_operativos_kpi],$D$16,Anexo_4[periodo],$I$7)</f>
        <v>0</v>
      </c>
      <c r="J16" s="20">
        <f>SUMIFS(Anexo_4[base_imponible_18],Anexo_4[gastos_operativos_kpi],$D$16,Anexo_4[periodo],$J$7)+SUMIFS(Anexo_4[base_imponible_10],Anexo_4[gastos_operativos_kpi],$D$16,Anexo_4[periodo],$J$7)</f>
        <v>0</v>
      </c>
      <c r="K16" s="20">
        <f>SUMIFS(Anexo_4[base_imponible_18],Anexo_4[gastos_operativos_kpi],$D$16,Anexo_4[periodo],$K$7)+SUMIFS(Anexo_4[base_imponible_10],Anexo_4[gastos_operativos_kpi],$D$16,Anexo_4[periodo],$K$7)</f>
        <v>0</v>
      </c>
      <c r="L16" s="20">
        <f>SUMIFS(Anexo_4[base_imponible_18],Anexo_4[gastos_operativos_kpi],$D$16,Anexo_4[periodo],$L$7)+SUMIFS(Anexo_4[base_imponible_10],Anexo_4[gastos_operativos_kpi],$D$16,Anexo_4[periodo],$L$7)</f>
        <v>2000</v>
      </c>
      <c r="M16" s="20">
        <f>SUMIFS(Anexo_4[base_imponible_18],Anexo_4[gastos_operativos_kpi],$D$16,Anexo_4[periodo],$M$7)+SUMIFS(Anexo_4[base_imponible_10],Anexo_4[gastos_operativos_kpi],$D$16,Anexo_4[periodo],$M$7)</f>
        <v>0</v>
      </c>
      <c r="N16" s="20">
        <f>SUMIFS(Anexo_4[base_imponible_18],Anexo_4[gastos_operativos_kpi],$D$16,Anexo_4[periodo],$N$7)+SUMIFS(Anexo_4[base_imponible_10],Anexo_4[gastos_operativos_kpi],$D$16,Anexo_4[periodo],$N$7)</f>
        <v>513.45000000000005</v>
      </c>
      <c r="O16" s="20">
        <f>SUMIFS(Anexo_4[base_imponible_18],Anexo_4[gastos_operativos_kpi],$D$16,Anexo_4[periodo],$O$7)+SUMIFS(Anexo_4[base_imponible_10],Anexo_4[gastos_operativos_kpi],$D$16,Anexo_4[periodo],$O$7)</f>
        <v>0</v>
      </c>
      <c r="P16" s="20">
        <f>SUMIFS(Anexo_4[base_imponible_18],Anexo_4[gastos_operativos_kpi],$D$16,Anexo_4[periodo],$P$7)+SUMIFS(Anexo_4[base_imponible_10],Anexo_4[gastos_operativos_kpi],$D$16,Anexo_4[periodo],$P$7)</f>
        <v>0</v>
      </c>
      <c r="Q16" s="20">
        <f>SUMIFS(Anexo_4[base_imponible_18],Anexo_4[gastos_operativos_kpi],$D$16,Anexo_4[periodo],$Q$7)+SUMIFS(Anexo_4[base_imponible_10],Anexo_4[gastos_operativos_kpi],$D$16,Anexo_4[periodo],$Q$7)</f>
        <v>0</v>
      </c>
      <c r="R16" s="25">
        <f t="shared" si="0"/>
        <v>2513.4499999999998</v>
      </c>
      <c r="S16" s="25">
        <f t="shared" si="1"/>
        <v>209.45416666666665</v>
      </c>
    </row>
    <row r="17" spans="2:19" ht="22.5" customHeight="1" x14ac:dyDescent="0.25">
      <c r="B17" s="182"/>
      <c r="C17" s="203"/>
      <c r="D17" s="24" t="s">
        <v>136</v>
      </c>
      <c r="E17" s="12" t="s">
        <v>64</v>
      </c>
      <c r="F17" s="20">
        <f>SUMIFS(Anexo_4[base_imponible_18],Anexo_4[gastos_operativos_kpi],$D$17,Anexo_4[periodo],$F$7)+SUMIFS(Anexo_4[base_imponible_10],Anexo_4[gastos_operativos_kpi],$D$17,Anexo_4[periodo],$F$7)</f>
        <v>0</v>
      </c>
      <c r="G17" s="20">
        <f>SUMIFS(Anexo_4[base_imponible_18],Anexo_4[gastos_operativos_kpi],$D$17,Anexo_4[periodo],$G$7)+SUMIFS(Anexo_4[base_imponible_10],Anexo_4[gastos_operativos_kpi],$D$17,Anexo_4[periodo],$G$7)</f>
        <v>0</v>
      </c>
      <c r="H17" s="20">
        <f>SUMIFS(Anexo_4[base_imponible_18],Anexo_4[gastos_operativos_kpi],$D$17,Anexo_4[periodo],$H$7)+SUMIFS(Anexo_4[base_imponible_10],Anexo_4[gastos_operativos_kpi],$D$17,Anexo_4[periodo],$H$7)</f>
        <v>0</v>
      </c>
      <c r="I17" s="20">
        <f>SUMIFS(Anexo_4[base_imponible_18],Anexo_4[gastos_operativos_kpi],$D$17,Anexo_4[periodo],$I$7)+SUMIFS(Anexo_4[base_imponible_10],Anexo_4[gastos_operativos_kpi],$D$17,Anexo_4[periodo],$I$7)</f>
        <v>0</v>
      </c>
      <c r="J17" s="20">
        <f>SUMIFS(Anexo_4[base_imponible_18],Anexo_4[gastos_operativos_kpi],$D$17,Anexo_4[periodo],$J$7)+SUMIFS(Anexo_4[base_imponible_10],Anexo_4[gastos_operativos_kpi],$D$17,Anexo_4[periodo],$J$7)</f>
        <v>0</v>
      </c>
      <c r="K17" s="20">
        <f>SUMIFS(Anexo_4[base_imponible_18],Anexo_4[gastos_operativos_kpi],$D$17,Anexo_4[periodo],$K$7)+SUMIFS(Anexo_4[base_imponible_10],Anexo_4[gastos_operativos_kpi],$D$17,Anexo_4[periodo],$K$7)</f>
        <v>355.93</v>
      </c>
      <c r="L17" s="20">
        <f>SUMIFS(Anexo_4[base_imponible_18],Anexo_4[gastos_operativos_kpi],$D$17,Anexo_4[periodo],$L$7)+SUMIFS(Anexo_4[base_imponible_10],Anexo_4[gastos_operativos_kpi],$D$17,Anexo_4[periodo],$L$7)</f>
        <v>0</v>
      </c>
      <c r="M17" s="20">
        <f>SUMIFS(Anexo_4[base_imponible_18],Anexo_4[gastos_operativos_kpi],$D$17,Anexo_4[periodo],$M$7)+SUMIFS(Anexo_4[base_imponible_10],Anexo_4[gastos_operativos_kpi],$D$17,Anexo_4[periodo],$M$7)</f>
        <v>186.44</v>
      </c>
      <c r="N17" s="20">
        <f>SUMIFS(Anexo_4[base_imponible_18],Anexo_4[gastos_operativos_kpi],$D$17,Anexo_4[periodo],$N$7)+SUMIFS(Anexo_4[base_imponible_10],Anexo_4[gastos_operativos_kpi],$D$17,Anexo_4[periodo],$N$7)</f>
        <v>59.32</v>
      </c>
      <c r="O17" s="20">
        <f>SUMIFS(Anexo_4[base_imponible_18],Anexo_4[gastos_operativos_kpi],$D$17,Anexo_4[periodo],$O$7)+SUMIFS(Anexo_4[base_imponible_10],Anexo_4[gastos_operativos_kpi],$D$17,Anexo_4[periodo],$O$7)</f>
        <v>0</v>
      </c>
      <c r="P17" s="20">
        <f>SUMIFS(Anexo_4[base_imponible_18],Anexo_4[gastos_operativos_kpi],$D$17,Anexo_4[periodo],$P$7)+SUMIFS(Anexo_4[base_imponible_10],Anexo_4[gastos_operativos_kpi],$D$17,Anexo_4[periodo],$P$7)</f>
        <v>0</v>
      </c>
      <c r="Q17" s="20">
        <f>SUMIFS(Anexo_4[base_imponible_18],Anexo_4[gastos_operativos_kpi],$D$17,Anexo_4[periodo],$Q$7)+SUMIFS(Anexo_4[base_imponible_10],Anexo_4[gastos_operativos_kpi],$D$17,Anexo_4[periodo],$Q$7)</f>
        <v>0</v>
      </c>
      <c r="R17" s="25">
        <f t="shared" si="0"/>
        <v>601.69000000000005</v>
      </c>
      <c r="S17" s="25">
        <f t="shared" si="1"/>
        <v>50.14083333333334</v>
      </c>
    </row>
    <row r="18" spans="2:19" ht="22.5" customHeight="1" x14ac:dyDescent="0.25">
      <c r="B18" s="182"/>
      <c r="C18" s="203"/>
      <c r="D18" s="24" t="s">
        <v>137</v>
      </c>
      <c r="E18" s="12" t="s">
        <v>64</v>
      </c>
      <c r="F18" s="20">
        <f>SUMIFS(Anexo_4[base_imponible_18],Anexo_4[gastos_operativos_kpi],$D$18,Anexo_4[periodo],$F$7)+SUMIFS(Anexo_4[base_imponible_10],Anexo_4[gastos_operativos_kpi],$D$18,Anexo_4[periodo],$F$7)</f>
        <v>0</v>
      </c>
      <c r="G18" s="20">
        <f>SUMIFS(Anexo_4[base_imponible_18],Anexo_4[gastos_operativos_kpi],$D$18,Anexo_4[periodo],$G$7)+SUMIFS(Anexo_4[base_imponible_10],Anexo_4[gastos_operativos_kpi],$D$18,Anexo_4[periodo],$G$7)</f>
        <v>0</v>
      </c>
      <c r="H18" s="20">
        <f>SUMIFS(Anexo_4[base_imponible_18],Anexo_4[gastos_operativos_kpi],$D$18,Anexo_4[periodo],$H$7)+SUMIFS(Anexo_4[base_imponible_10],Anexo_4[gastos_operativos_kpi],$D$18,Anexo_4[periodo],$H$7)</f>
        <v>0</v>
      </c>
      <c r="I18" s="20">
        <f>SUMIFS(Anexo_4[base_imponible_18],Anexo_4[gastos_operativos_kpi],$D$18,Anexo_4[periodo],$I$7)+SUMIFS(Anexo_4[base_imponible_10],Anexo_4[gastos_operativos_kpi],$D$18,Anexo_4[periodo],$I$7)</f>
        <v>0</v>
      </c>
      <c r="J18" s="20">
        <f>SUMIFS(Anexo_4[base_imponible_18],Anexo_4[gastos_operativos_kpi],$D$18,Anexo_4[periodo],$J$7)+SUMIFS(Anexo_4[base_imponible_10],Anexo_4[gastos_operativos_kpi],$D$18,Anexo_4[periodo],$J$7)</f>
        <v>0</v>
      </c>
      <c r="K18" s="20">
        <f>SUMIFS(Anexo_4[base_imponible_18],Anexo_4[gastos_operativos_kpi],$D$18,Anexo_4[periodo],$K$7)+SUMIFS(Anexo_4[base_imponible_10],Anexo_4[gastos_operativos_kpi],$D$18,Anexo_4[periodo],$K$7)</f>
        <v>214.41</v>
      </c>
      <c r="L18" s="20">
        <f>SUMIFS(Anexo_4[base_imponible_18],Anexo_4[gastos_operativos_kpi],$D$18,Anexo_4[periodo],$L$7)+SUMIFS(Anexo_4[base_imponible_10],Anexo_4[gastos_operativos_kpi],$D$18,Anexo_4[periodo],$L$7)</f>
        <v>254.24</v>
      </c>
      <c r="M18" s="20">
        <f>SUMIFS(Anexo_4[base_imponible_18],Anexo_4[gastos_operativos_kpi],$D$18,Anexo_4[periodo],$M$7)+SUMIFS(Anexo_4[base_imponible_10],Anexo_4[gastos_operativos_kpi],$D$18,Anexo_4[periodo],$M$7)</f>
        <v>36.020000000000003</v>
      </c>
      <c r="N18" s="20">
        <f>SUMIFS(Anexo_4[base_imponible_18],Anexo_4[gastos_operativos_kpi],$D$18,Anexo_4[periodo],$N$7)+SUMIFS(Anexo_4[base_imponible_10],Anexo_4[gastos_operativos_kpi],$D$18,Anexo_4[periodo],$N$7)</f>
        <v>780</v>
      </c>
      <c r="O18" s="20">
        <f>SUMIFS(Anexo_4[base_imponible_18],Anexo_4[gastos_operativos_kpi],$D$18,Anexo_4[periodo],$O$7)+SUMIFS(Anexo_4[base_imponible_10],Anexo_4[gastos_operativos_kpi],$D$18,Anexo_4[periodo],$O$7)</f>
        <v>0</v>
      </c>
      <c r="P18" s="20">
        <f>SUMIFS(Anexo_4[base_imponible_18],Anexo_4[gastos_operativos_kpi],$D$18,Anexo_4[periodo],$P$7)+SUMIFS(Anexo_4[base_imponible_10],Anexo_4[gastos_operativos_kpi],$D$18,Anexo_4[periodo],$P$7)</f>
        <v>0</v>
      </c>
      <c r="Q18" s="20">
        <f>SUMIFS(Anexo_4[base_imponible_18],Anexo_4[gastos_operativos_kpi],$D$18,Anexo_4[periodo],$Q$7)+SUMIFS(Anexo_4[base_imponible_10],Anexo_4[gastos_operativos_kpi],$D$18,Anexo_4[periodo],$Q$7)</f>
        <v>0</v>
      </c>
      <c r="R18" s="25">
        <f t="shared" si="0"/>
        <v>1284.67</v>
      </c>
      <c r="S18" s="25">
        <f t="shared" si="1"/>
        <v>107.05583333333334</v>
      </c>
    </row>
    <row r="19" spans="2:19" ht="22.5" customHeight="1" x14ac:dyDescent="0.25">
      <c r="B19" s="182"/>
      <c r="C19" s="203"/>
      <c r="D19" s="24" t="s">
        <v>138</v>
      </c>
      <c r="E19" s="12" t="s">
        <v>64</v>
      </c>
      <c r="F19" s="20">
        <f>SUMIFS(Anexo_4[base_imponible_18],Anexo_4[gastos_operativos_kpi],$D$19,Anexo_4[periodo],$F$7)+SUMIFS(Anexo_4[base_imponible_10],Anexo_4[gastos_operativos_kpi],$D$19,Anexo_4[periodo],$F$7)</f>
        <v>0</v>
      </c>
      <c r="G19" s="20">
        <f>SUMIFS(Anexo_4[base_imponible_18],Anexo_4[gastos_operativos_kpi],$D$19,Anexo_4[periodo],$G$7)+SUMIFS(Anexo_4[base_imponible_10],Anexo_4[gastos_operativos_kpi],$D$19,Anexo_4[periodo],$G$7)</f>
        <v>0</v>
      </c>
      <c r="H19" s="20">
        <f>SUMIFS(Anexo_4[base_imponible_18],Anexo_4[gastos_operativos_kpi],$D$19,Anexo_4[periodo],$H$7)+SUMIFS(Anexo_4[base_imponible_10],Anexo_4[gastos_operativos_kpi],$D$19,Anexo_4[periodo],$H$7)</f>
        <v>0</v>
      </c>
      <c r="I19" s="20">
        <f>SUMIFS(Anexo_4[base_imponible_18],Anexo_4[gastos_operativos_kpi],$D$19,Anexo_4[periodo],$I$7)+SUMIFS(Anexo_4[base_imponible_10],Anexo_4[gastos_operativos_kpi],$D$19,Anexo_4[periodo],$I$7)</f>
        <v>0</v>
      </c>
      <c r="J19" s="20">
        <f>SUMIFS(Anexo_4[base_imponible_18],Anexo_4[gastos_operativos_kpi],$D$19,Anexo_4[periodo],$J$7)+SUMIFS(Anexo_4[base_imponible_10],Anexo_4[gastos_operativos_kpi],$D$19,Anexo_4[periodo],$J$7)</f>
        <v>0</v>
      </c>
      <c r="K19" s="20">
        <f>SUMIFS(Anexo_4[base_imponible_18],Anexo_4[gastos_operativos_kpi],$D$19,Anexo_4[periodo],$K$7)+SUMIFS(Anexo_4[base_imponible_10],Anexo_4[gastos_operativos_kpi],$D$19,Anexo_4[periodo],$K$7)</f>
        <v>6847.93</v>
      </c>
      <c r="L19" s="20">
        <f>SUMIFS(Anexo_4[base_imponible_18],Anexo_4[gastos_operativos_kpi],$D$19,Anexo_4[periodo],$L$7)+SUMIFS(Anexo_4[base_imponible_10],Anexo_4[gastos_operativos_kpi],$D$19,Anexo_4[periodo],$L$7)</f>
        <v>7402.8499999999995</v>
      </c>
      <c r="M19" s="20">
        <f>SUMIFS(Anexo_4[base_imponible_18],Anexo_4[gastos_operativos_kpi],$D$19,Anexo_4[periodo],$M$7)+SUMIFS(Anexo_4[base_imponible_10],Anexo_4[gastos_operativos_kpi],$D$19,Anexo_4[periodo],$M$7)</f>
        <v>3420.8600000000006</v>
      </c>
      <c r="N19" s="20">
        <f>SUMIFS(Anexo_4[base_imponible_18],Anexo_4[gastos_operativos_kpi],$D$19,Anexo_4[periodo],$N$7)+SUMIFS(Anexo_4[base_imponible_10],Anexo_4[gastos_operativos_kpi],$D$19,Anexo_4[periodo],$N$7)</f>
        <v>2879.8</v>
      </c>
      <c r="O19" s="20">
        <f>SUMIFS(Anexo_4[base_imponible_18],Anexo_4[gastos_operativos_kpi],$D$19,Anexo_4[periodo],$O$7)+SUMIFS(Anexo_4[base_imponible_10],Anexo_4[gastos_operativos_kpi],$D$19,Anexo_4[periodo],$O$7)</f>
        <v>0</v>
      </c>
      <c r="P19" s="20">
        <f>SUMIFS(Anexo_4[base_imponible_18],Anexo_4[gastos_operativos_kpi],$D$19,Anexo_4[periodo],$P$7)+SUMIFS(Anexo_4[base_imponible_10],Anexo_4[gastos_operativos_kpi],$D$19,Anexo_4[periodo],$P$7)</f>
        <v>0</v>
      </c>
      <c r="Q19" s="20">
        <f>SUMIFS(Anexo_4[base_imponible_18],Anexo_4[gastos_operativos_kpi],$D$19,Anexo_4[periodo],$Q$7)+SUMIFS(Anexo_4[base_imponible_10],Anexo_4[gastos_operativos_kpi],$D$19,Anexo_4[periodo],$Q$7)</f>
        <v>0</v>
      </c>
      <c r="R19" s="25">
        <f t="shared" si="0"/>
        <v>20551.439999999999</v>
      </c>
      <c r="S19" s="25">
        <f t="shared" si="1"/>
        <v>1712.62</v>
      </c>
    </row>
    <row r="20" spans="2:19" ht="22.5" customHeight="1" x14ac:dyDescent="0.25">
      <c r="B20" s="182"/>
      <c r="C20" s="203"/>
      <c r="D20" s="24" t="s">
        <v>139</v>
      </c>
      <c r="E20" s="12" t="s">
        <v>64</v>
      </c>
      <c r="F20" s="20">
        <f>SUMIFS(Anexo_4[base_imponible_18],Anexo_4[gastos_operativos_kpi],$D$20,Anexo_4[periodo],$F$7)+SUMIFS(Anexo_4[base_imponible_10],Anexo_4[gastos_operativos_kpi],$D$20,Anexo_4[periodo],$F$7)</f>
        <v>0</v>
      </c>
      <c r="G20" s="20">
        <f>SUMIFS(Anexo_4[base_imponible_18],Anexo_4[gastos_operativos_kpi],$D$20,Anexo_4[periodo],$G$7)+SUMIFS(Anexo_4[base_imponible_10],Anexo_4[gastos_operativos_kpi],$D$20,Anexo_4[periodo],$G$7)</f>
        <v>0</v>
      </c>
      <c r="H20" s="20">
        <f>SUMIFS(Anexo_4[base_imponible_18],Anexo_4[gastos_operativos_kpi],$D$20,Anexo_4[periodo],$H$7)+SUMIFS(Anexo_4[base_imponible_10],Anexo_4[gastos_operativos_kpi],$D$20,Anexo_4[periodo],$H$7)</f>
        <v>0</v>
      </c>
      <c r="I20" s="20">
        <f>SUMIFS(Anexo_4[base_imponible_18],Anexo_4[gastos_operativos_kpi],$D$20,Anexo_4[periodo],$I$7)+SUMIFS(Anexo_4[base_imponible_10],Anexo_4[gastos_operativos_kpi],$D$20,Anexo_4[periodo],$I$7)</f>
        <v>0</v>
      </c>
      <c r="J20" s="20">
        <f>SUMIFS(Anexo_4[base_imponible_18],Anexo_4[gastos_operativos_kpi],$D$20,Anexo_4[periodo],$J$7)+SUMIFS(Anexo_4[base_imponible_10],Anexo_4[gastos_operativos_kpi],$D$20,Anexo_4[periodo],$J$7)</f>
        <v>0</v>
      </c>
      <c r="K20" s="20">
        <f>SUMIFS(Anexo_4[base_imponible_18],Anexo_4[gastos_operativos_kpi],$D$20,Anexo_4[periodo],$K$7)+SUMIFS(Anexo_4[base_imponible_10],Anexo_4[gastos_operativos_kpi],$D$20,Anexo_4[periodo],$K$7)</f>
        <v>1119.22</v>
      </c>
      <c r="L20" s="20">
        <f>SUMIFS(Anexo_4[base_imponible_18],Anexo_4[gastos_operativos_kpi],$D$20,Anexo_4[periodo],$L$7)+SUMIFS(Anexo_4[base_imponible_10],Anexo_4[gastos_operativos_kpi],$D$20,Anexo_4[periodo],$L$7)</f>
        <v>1571.1700000000003</v>
      </c>
      <c r="M20" s="20">
        <f>SUMIFS(Anexo_4[base_imponible_18],Anexo_4[gastos_operativos_kpi],$D$20,Anexo_4[periodo],$M$7)+SUMIFS(Anexo_4[base_imponible_10],Anexo_4[gastos_operativos_kpi],$D$20,Anexo_4[periodo],$M$7)</f>
        <v>2384.9699999999993</v>
      </c>
      <c r="N20" s="20">
        <f>SUMIFS(Anexo_4[base_imponible_18],Anexo_4[gastos_operativos_kpi],$D$20,Anexo_4[periodo],$N$7)+SUMIFS(Anexo_4[base_imponible_10],Anexo_4[gastos_operativos_kpi],$D$20,Anexo_4[periodo],$N$7)</f>
        <v>1865.1600000000003</v>
      </c>
      <c r="O20" s="20">
        <f>SUMIFS(Anexo_4[base_imponible_18],Anexo_4[gastos_operativos_kpi],$D$20,Anexo_4[periodo],$O$7)+SUMIFS(Anexo_4[base_imponible_10],Anexo_4[gastos_operativos_kpi],$D$20,Anexo_4[periodo],$O$7)</f>
        <v>0</v>
      </c>
      <c r="P20" s="20">
        <f>SUMIFS(Anexo_4[base_imponible_18],Anexo_4[gastos_operativos_kpi],$D$20,Anexo_4[periodo],$P$7)+SUMIFS(Anexo_4[base_imponible_10],Anexo_4[gastos_operativos_kpi],$D$20,Anexo_4[periodo],$P$7)</f>
        <v>0</v>
      </c>
      <c r="Q20" s="20">
        <f>SUMIFS(Anexo_4[base_imponible_18],Anexo_4[gastos_operativos_kpi],$D$20,Anexo_4[periodo],$Q$7)+SUMIFS(Anexo_4[base_imponible_10],Anexo_4[gastos_operativos_kpi],$D$20,Anexo_4[periodo],$Q$7)</f>
        <v>0</v>
      </c>
      <c r="R20" s="25">
        <f t="shared" si="0"/>
        <v>6940.52</v>
      </c>
      <c r="S20" s="25">
        <f t="shared" si="1"/>
        <v>578.37666666666667</v>
      </c>
    </row>
    <row r="21" spans="2:19" ht="22.5" customHeight="1" x14ac:dyDescent="0.25">
      <c r="B21" s="182"/>
      <c r="C21" s="203"/>
      <c r="D21" s="24" t="s">
        <v>140</v>
      </c>
      <c r="E21" s="12" t="s">
        <v>64</v>
      </c>
      <c r="F21" s="20">
        <f>SUMIFS(Anexo_4[base_imponible_18],Anexo_4[gastos_operativos_kpi],$D$21,Anexo_4[periodo],$F$7)+SUMIFS(Anexo_4[base_imponible_10],Anexo_4[gastos_operativos_kpi],$D$21,Anexo_4[periodo],$F$7)</f>
        <v>0</v>
      </c>
      <c r="G21" s="20">
        <f>SUMIFS(Anexo_4[base_imponible_18],Anexo_4[gastos_operativos_kpi],$D$21,Anexo_4[periodo],$G$7)+SUMIFS(Anexo_4[base_imponible_10],Anexo_4[gastos_operativos_kpi],$D$21,Anexo_4[periodo],$G$7)</f>
        <v>0</v>
      </c>
      <c r="H21" s="20">
        <f>SUMIFS(Anexo_4[base_imponible_18],Anexo_4[gastos_operativos_kpi],$D$21,Anexo_4[periodo],$H$7)+SUMIFS(Anexo_4[base_imponible_10],Anexo_4[gastos_operativos_kpi],$D$21,Anexo_4[periodo],$H$7)</f>
        <v>0</v>
      </c>
      <c r="I21" s="20">
        <f>SUMIFS(Anexo_4[base_imponible_18],Anexo_4[gastos_operativos_kpi],$D$21,Anexo_4[periodo],$I$7)+SUMIFS(Anexo_4[base_imponible_10],Anexo_4[gastos_operativos_kpi],$D$21,Anexo_4[periodo],$I$7)</f>
        <v>0</v>
      </c>
      <c r="J21" s="20">
        <f>SUMIFS(Anexo_4[base_imponible_18],Anexo_4[gastos_operativos_kpi],$D$21,Anexo_4[periodo],$J$7)+SUMIFS(Anexo_4[base_imponible_10],Anexo_4[gastos_operativos_kpi],$D$21,Anexo_4[periodo],$J$7)</f>
        <v>0</v>
      </c>
      <c r="K21" s="20">
        <f>SUMIFS(Anexo_4[base_imponible_18],Anexo_4[gastos_operativos_kpi],$D$21,Anexo_4[periodo],$K$7)+SUMIFS(Anexo_4[base_imponible_10],Anexo_4[gastos_operativos_kpi],$D$21,Anexo_4[periodo],$K$7)</f>
        <v>0</v>
      </c>
      <c r="L21" s="20">
        <f>SUMIFS(Anexo_4[base_imponible_18],Anexo_4[gastos_operativos_kpi],$D$21,Anexo_4[periodo],$L$7)+SUMIFS(Anexo_4[base_imponible_10],Anexo_4[gastos_operativos_kpi],$D$21,Anexo_4[periodo],$L$7)</f>
        <v>0</v>
      </c>
      <c r="M21" s="20">
        <f>SUMIFS(Anexo_4[base_imponible_18],Anexo_4[gastos_operativos_kpi],$D$21,Anexo_4[periodo],$M$7)+SUMIFS(Anexo_4[base_imponible_10],Anexo_4[gastos_operativos_kpi],$D$21,Anexo_4[periodo],$M$7)</f>
        <v>0</v>
      </c>
      <c r="N21" s="20">
        <f>SUMIFS(Anexo_4[base_imponible_18],Anexo_4[gastos_operativos_kpi],$D$21,Anexo_4[periodo],$N$7)+SUMIFS(Anexo_4[base_imponible_10],Anexo_4[gastos_operativos_kpi],$D$21,Anexo_4[periodo],$N$7)</f>
        <v>0</v>
      </c>
      <c r="O21" s="20">
        <f>SUMIFS(Anexo_4[base_imponible_18],Anexo_4[gastos_operativos_kpi],$D$21,Anexo_4[periodo],$O$7)+SUMIFS(Anexo_4[base_imponible_10],Anexo_4[gastos_operativos_kpi],$D$21,Anexo_4[periodo],$O$7)</f>
        <v>0</v>
      </c>
      <c r="P21" s="20">
        <f>SUMIFS(Anexo_4[base_imponible_18],Anexo_4[gastos_operativos_kpi],$D$21,Anexo_4[periodo],$P$7)+SUMIFS(Anexo_4[base_imponible_10],Anexo_4[gastos_operativos_kpi],$D$21,Anexo_4[periodo],$P$7)</f>
        <v>0</v>
      </c>
      <c r="Q21" s="20">
        <f>SUMIFS(Anexo_4[base_imponible_18],Anexo_4[gastos_operativos_kpi],$D$21,Anexo_4[periodo],$Q$7)+SUMIFS(Anexo_4[base_imponible_10],Anexo_4[gastos_operativos_kpi],$D$21,Anexo_4[periodo],$Q$7)</f>
        <v>0</v>
      </c>
      <c r="R21" s="25">
        <f t="shared" si="0"/>
        <v>0</v>
      </c>
      <c r="S21" s="25">
        <f t="shared" si="1"/>
        <v>0</v>
      </c>
    </row>
    <row r="22" spans="2:19" ht="22.5" customHeight="1" x14ac:dyDescent="0.25">
      <c r="B22" s="182"/>
      <c r="C22" s="203"/>
      <c r="D22" s="24" t="s">
        <v>141</v>
      </c>
      <c r="E22" s="12" t="s">
        <v>64</v>
      </c>
      <c r="F22" s="20">
        <f>SUMIFS(Anexo_4[base_imponible_18],Anexo_4[gastos_operativos_kpi],$D$22,Anexo_4[periodo],$F$7)+SUMIFS(Anexo_4[base_imponible_10],Anexo_4[gastos_operativos_kpi],$D$22,Anexo_4[periodo],$F$7)</f>
        <v>0</v>
      </c>
      <c r="G22" s="20">
        <f>SUMIFS(Anexo_4[base_imponible_18],Anexo_4[gastos_operativos_kpi],$D$22,Anexo_4[periodo],$G$7)+SUMIFS(Anexo_4[base_imponible_10],Anexo_4[gastos_operativos_kpi],$D$22,Anexo_4[periodo],$G$7)</f>
        <v>0</v>
      </c>
      <c r="H22" s="20">
        <f>SUMIFS(Anexo_4[base_imponible_18],Anexo_4[gastos_operativos_kpi],$D$22,Anexo_4[periodo],$H$7)+SUMIFS(Anexo_4[base_imponible_10],Anexo_4[gastos_operativos_kpi],$D$22,Anexo_4[periodo],$H$7)</f>
        <v>0</v>
      </c>
      <c r="I22" s="20">
        <f>SUMIFS(Anexo_4[base_imponible_18],Anexo_4[gastos_operativos_kpi],$D$22,Anexo_4[periodo],$I$7)+SUMIFS(Anexo_4[base_imponible_10],Anexo_4[gastos_operativos_kpi],$D$22,Anexo_4[periodo],$I$7)</f>
        <v>0</v>
      </c>
      <c r="J22" s="20">
        <f>SUMIFS(Anexo_4[base_imponible_18],Anexo_4[gastos_operativos_kpi],$D$22,Anexo_4[periodo],$J$7)+SUMIFS(Anexo_4[base_imponible_10],Anexo_4[gastos_operativos_kpi],$D$22,Anexo_4[periodo],$J$7)</f>
        <v>0</v>
      </c>
      <c r="K22" s="20">
        <f>SUMIFS(Anexo_4[base_imponible_18],Anexo_4[gastos_operativos_kpi],$D$22,Anexo_4[periodo],$K$7)+SUMIFS(Anexo_4[base_imponible_10],Anexo_4[gastos_operativos_kpi],$D$22,Anexo_4[periodo],$K$7)</f>
        <v>76.27</v>
      </c>
      <c r="L22" s="20">
        <f>SUMIFS(Anexo_4[base_imponible_18],Anexo_4[gastos_operativos_kpi],$D$22,Anexo_4[periodo],$L$7)+SUMIFS(Anexo_4[base_imponible_10],Anexo_4[gastos_operativos_kpi],$D$22,Anexo_4[periodo],$L$7)</f>
        <v>152.54</v>
      </c>
      <c r="M22" s="20">
        <f>SUMIFS(Anexo_4[base_imponible_18],Anexo_4[gastos_operativos_kpi],$D$22,Anexo_4[periodo],$M$7)+SUMIFS(Anexo_4[base_imponible_10],Anexo_4[gastos_operativos_kpi],$D$22,Anexo_4[periodo],$M$7)</f>
        <v>0</v>
      </c>
      <c r="N22" s="20">
        <f>SUMIFS(Anexo_4[base_imponible_18],Anexo_4[gastos_operativos_kpi],$D$22,Anexo_4[periodo],$N$7)+SUMIFS(Anexo_4[base_imponible_10],Anexo_4[gastos_operativos_kpi],$D$22,Anexo_4[periodo],$N$7)</f>
        <v>381.36</v>
      </c>
      <c r="O22" s="20">
        <f>SUMIFS(Anexo_4[base_imponible_18],Anexo_4[gastos_operativos_kpi],$D$22,Anexo_4[periodo],$O$7)+SUMIFS(Anexo_4[base_imponible_10],Anexo_4[gastos_operativos_kpi],$D$22,Anexo_4[periodo],$O$7)</f>
        <v>0</v>
      </c>
      <c r="P22" s="20">
        <f>SUMIFS(Anexo_4[base_imponible_18],Anexo_4[gastos_operativos_kpi],$D$22,Anexo_4[periodo],$P$7)+SUMIFS(Anexo_4[base_imponible_10],Anexo_4[gastos_operativos_kpi],$D$22,Anexo_4[periodo],$P$7)</f>
        <v>0</v>
      </c>
      <c r="Q22" s="20">
        <f>SUMIFS(Anexo_4[base_imponible_18],Anexo_4[gastos_operativos_kpi],$D$22,Anexo_4[periodo],$Q$7)+SUMIFS(Anexo_4[base_imponible_10],Anexo_4[gastos_operativos_kpi],$D$22,Anexo_4[periodo],$Q$7)</f>
        <v>0</v>
      </c>
      <c r="R22" s="25">
        <f t="shared" si="0"/>
        <v>610.17000000000007</v>
      </c>
      <c r="S22" s="25">
        <f t="shared" si="1"/>
        <v>50.847500000000004</v>
      </c>
    </row>
    <row r="23" spans="2:19" ht="22.5" customHeight="1" x14ac:dyDescent="0.25">
      <c r="B23" s="182"/>
      <c r="C23" s="203"/>
      <c r="D23" s="24" t="s">
        <v>142</v>
      </c>
      <c r="E23" s="12" t="s">
        <v>64</v>
      </c>
      <c r="F23" s="20">
        <f>SUMIFS(Anexo_4[base_imponible_18],Anexo_4[gastos_operativos_kpi],$D$23,Anexo_4[periodo],$F$7)+SUMIFS(Anexo_4[base_imponible_10],Anexo_4[gastos_operativos_kpi],$D$23,Anexo_4[periodo],$F$7)</f>
        <v>0</v>
      </c>
      <c r="G23" s="20">
        <f>SUMIFS(Anexo_4[base_imponible_18],Anexo_4[gastos_operativos_kpi],$D$23,Anexo_4[periodo],$G$7)+SUMIFS(Anexo_4[base_imponible_10],Anexo_4[gastos_operativos_kpi],$D$23,Anexo_4[periodo],$G$7)</f>
        <v>0</v>
      </c>
      <c r="H23" s="20">
        <f>SUMIFS(Anexo_4[base_imponible_18],Anexo_4[gastos_operativos_kpi],$D$23,Anexo_4[periodo],$H$7)+SUMIFS(Anexo_4[base_imponible_10],Anexo_4[gastos_operativos_kpi],$D$23,Anexo_4[periodo],$H$7)</f>
        <v>0</v>
      </c>
      <c r="I23" s="20">
        <f>SUMIFS(Anexo_4[base_imponible_18],Anexo_4[gastos_operativos_kpi],$D$23,Anexo_4[periodo],$I$7)+SUMIFS(Anexo_4[base_imponible_10],Anexo_4[gastos_operativos_kpi],$D$23,Anexo_4[periodo],$I$7)</f>
        <v>0</v>
      </c>
      <c r="J23" s="20">
        <f>SUMIFS(Anexo_4[base_imponible_18],Anexo_4[gastos_operativos_kpi],$D$23,Anexo_4[periodo],$J$7)+SUMIFS(Anexo_4[base_imponible_10],Anexo_4[gastos_operativos_kpi],$D$23,Anexo_4[periodo],$J$7)</f>
        <v>0</v>
      </c>
      <c r="K23" s="20">
        <f>SUMIFS(Anexo_4[base_imponible_18],Anexo_4[gastos_operativos_kpi],$D$23,Anexo_4[periodo],$K$7)+SUMIFS(Anexo_4[base_imponible_10],Anexo_4[gastos_operativos_kpi],$D$23,Anexo_4[periodo],$K$7)</f>
        <v>0</v>
      </c>
      <c r="L23" s="20">
        <f>SUMIFS(Anexo_4[base_imponible_18],Anexo_4[gastos_operativos_kpi],$D$23,Anexo_4[periodo],$L$7)+SUMIFS(Anexo_4[base_imponible_10],Anexo_4[gastos_operativos_kpi],$D$23,Anexo_4[periodo],$L$7)</f>
        <v>0</v>
      </c>
      <c r="M23" s="20">
        <f>SUMIFS(Anexo_4[base_imponible_18],Anexo_4[gastos_operativos_kpi],$D$23,Anexo_4[periodo],$M$7)+SUMIFS(Anexo_4[base_imponible_10],Anexo_4[gastos_operativos_kpi],$D$23,Anexo_4[periodo],$M$7)</f>
        <v>0</v>
      </c>
      <c r="N23" s="20">
        <f>SUMIFS(Anexo_4[base_imponible_18],Anexo_4[gastos_operativos_kpi],$D$23,Anexo_4[periodo],$N$7)+SUMIFS(Anexo_4[base_imponible_10],Anexo_4[gastos_operativos_kpi],$D$23,Anexo_4[periodo],$N$7)</f>
        <v>0</v>
      </c>
      <c r="O23" s="20">
        <f>SUMIFS(Anexo_4[base_imponible_18],Anexo_4[gastos_operativos_kpi],$D$23,Anexo_4[periodo],$O$7)+SUMIFS(Anexo_4[base_imponible_10],Anexo_4[gastos_operativos_kpi],$D$23,Anexo_4[periodo],$O$7)</f>
        <v>0</v>
      </c>
      <c r="P23" s="20">
        <f>SUMIFS(Anexo_4[base_imponible_18],Anexo_4[gastos_operativos_kpi],$D$23,Anexo_4[periodo],$P$7)+SUMIFS(Anexo_4[base_imponible_10],Anexo_4[gastos_operativos_kpi],$D$23,Anexo_4[periodo],$P$7)</f>
        <v>0</v>
      </c>
      <c r="Q23" s="20">
        <f>SUMIFS(Anexo_4[base_imponible_18],Anexo_4[gastos_operativos_kpi],$D$23,Anexo_4[periodo],$Q$7)+SUMIFS(Anexo_4[base_imponible_10],Anexo_4[gastos_operativos_kpi],$D$23,Anexo_4[periodo],$Q$7)</f>
        <v>0</v>
      </c>
      <c r="R23" s="25">
        <f t="shared" si="0"/>
        <v>0</v>
      </c>
      <c r="S23" s="25">
        <f t="shared" si="1"/>
        <v>0</v>
      </c>
    </row>
    <row r="24" spans="2:19" ht="22.5" customHeight="1" x14ac:dyDescent="0.25">
      <c r="B24" s="182"/>
      <c r="C24" s="203"/>
      <c r="D24" s="24" t="s">
        <v>143</v>
      </c>
      <c r="E24" s="12" t="s">
        <v>64</v>
      </c>
      <c r="F24" s="20">
        <f>SUMIFS(Anexo_4[base_imponible_18],Anexo_4[gastos_operativos_kpi],$D$24,Anexo_4[periodo],$F$7)+SUMIFS(Anexo_4[base_imponible_10],Anexo_4[gastos_operativos_kpi],$D$24,Anexo_4[periodo],$F$7)</f>
        <v>0</v>
      </c>
      <c r="G24" s="20">
        <f>SUMIFS(Anexo_4[base_imponible_18],Anexo_4[gastos_operativos_kpi],$D$24,Anexo_4[periodo],$G$7)+SUMIFS(Anexo_4[base_imponible_10],Anexo_4[gastos_operativos_kpi],$D$24,Anexo_4[periodo],$G$7)</f>
        <v>0</v>
      </c>
      <c r="H24" s="20">
        <f>SUMIFS(Anexo_4[base_imponible_18],Anexo_4[gastos_operativos_kpi],$D$24,Anexo_4[periodo],$H$7)+SUMIFS(Anexo_4[base_imponible_10],Anexo_4[gastos_operativos_kpi],$D$24,Anexo_4[periodo],$H$7)</f>
        <v>0</v>
      </c>
      <c r="I24" s="20">
        <f>SUMIFS(Anexo_4[base_imponible_18],Anexo_4[gastos_operativos_kpi],$D$24,Anexo_4[periodo],$I$7)+SUMIFS(Anexo_4[base_imponible_10],Anexo_4[gastos_operativos_kpi],$D$24,Anexo_4[periodo],$I$7)</f>
        <v>0</v>
      </c>
      <c r="J24" s="20">
        <f>SUMIFS(Anexo_4[base_imponible_18],Anexo_4[gastos_operativos_kpi],$D$24,Anexo_4[periodo],$J$7)+SUMIFS(Anexo_4[base_imponible_10],Anexo_4[gastos_operativos_kpi],$D$24,Anexo_4[periodo],$J$7)</f>
        <v>0</v>
      </c>
      <c r="K24" s="20">
        <f>SUMIFS(Anexo_4[base_imponible_18],Anexo_4[gastos_operativos_kpi],$D$24,Anexo_4[periodo],$K$7)+SUMIFS(Anexo_4[base_imponible_10],Anexo_4[gastos_operativos_kpi],$D$24,Anexo_4[periodo],$K$7)</f>
        <v>0</v>
      </c>
      <c r="L24" s="20">
        <f>SUMIFS(Anexo_4[base_imponible_18],Anexo_4[gastos_operativos_kpi],$D$24,Anexo_4[periodo],$L$7)+SUMIFS(Anexo_4[base_imponible_10],Anexo_4[gastos_operativos_kpi],$D$24,Anexo_4[periodo],$L$7)</f>
        <v>0</v>
      </c>
      <c r="M24" s="20">
        <f>SUMIFS(Anexo_4[base_imponible_18],Anexo_4[gastos_operativos_kpi],$D$24,Anexo_4[periodo],$M$7)+SUMIFS(Anexo_4[base_imponible_10],Anexo_4[gastos_operativos_kpi],$D$24,Anexo_4[periodo],$M$7)</f>
        <v>0</v>
      </c>
      <c r="N24" s="20">
        <f>SUMIFS(Anexo_4[base_imponible_18],Anexo_4[gastos_operativos_kpi],$D$24,Anexo_4[periodo],$N$7)+SUMIFS(Anexo_4[base_imponible_10],Anexo_4[gastos_operativos_kpi],$D$24,Anexo_4[periodo],$N$7)</f>
        <v>0</v>
      </c>
      <c r="O24" s="20">
        <f>SUMIFS(Anexo_4[base_imponible_18],Anexo_4[gastos_operativos_kpi],$D$24,Anexo_4[periodo],$O$7)+SUMIFS(Anexo_4[base_imponible_10],Anexo_4[gastos_operativos_kpi],$D$24,Anexo_4[periodo],$O$7)</f>
        <v>0</v>
      </c>
      <c r="P24" s="20">
        <f>SUMIFS(Anexo_4[base_imponible_18],Anexo_4[gastos_operativos_kpi],$D$24,Anexo_4[periodo],$P$7)+SUMIFS(Anexo_4[base_imponible_10],Anexo_4[gastos_operativos_kpi],$D$24,Anexo_4[periodo],$P$7)</f>
        <v>0</v>
      </c>
      <c r="Q24" s="20">
        <f>SUMIFS(Anexo_4[base_imponible_18],Anexo_4[gastos_operativos_kpi],$D$24,Anexo_4[periodo],$Q$7)+SUMIFS(Anexo_4[base_imponible_10],Anexo_4[gastos_operativos_kpi],$D$24,Anexo_4[periodo],$Q$7)</f>
        <v>0</v>
      </c>
      <c r="R24" s="25">
        <f t="shared" si="0"/>
        <v>0</v>
      </c>
      <c r="S24" s="25">
        <f t="shared" si="1"/>
        <v>0</v>
      </c>
    </row>
    <row r="25" spans="2:19" ht="22.5" customHeight="1" x14ac:dyDescent="0.25">
      <c r="B25" s="182"/>
      <c r="C25" s="203"/>
      <c r="D25" s="24" t="s">
        <v>144</v>
      </c>
      <c r="E25" s="12" t="s">
        <v>64</v>
      </c>
      <c r="F25" s="20">
        <f>SUMIFS(Anexo_4[base_imponible_18],Anexo_4[gastos_operativos_kpi],$D$25,Anexo_4[periodo],$F$7)+SUMIFS(Anexo_4[base_imponible_10],Anexo_4[gastos_operativos_kpi],$D$25,Anexo_4[periodo],$F$7)</f>
        <v>0</v>
      </c>
      <c r="G25" s="20">
        <f>SUMIFS(Anexo_4[base_imponible_18],Anexo_4[gastos_operativos_kpi],$D$25,Anexo_4[periodo],$G$7)+SUMIFS(Anexo_4[base_imponible_10],Anexo_4[gastos_operativos_kpi],$D$25,Anexo_4[periodo],$G$7)</f>
        <v>0</v>
      </c>
      <c r="H25" s="20">
        <f>SUMIFS(Anexo_4[base_imponible_18],Anexo_4[gastos_operativos_kpi],$D$25,Anexo_4[periodo],$H$7)+SUMIFS(Anexo_4[base_imponible_10],Anexo_4[gastos_operativos_kpi],$D$25,Anexo_4[periodo],$H$7)</f>
        <v>0</v>
      </c>
      <c r="I25" s="20">
        <f>SUMIFS(Anexo_4[base_imponible_18],Anexo_4[gastos_operativos_kpi],$D$25,Anexo_4[periodo],$I$7)+SUMIFS(Anexo_4[base_imponible_10],Anexo_4[gastos_operativos_kpi],$D$25,Anexo_4[periodo],$I$7)</f>
        <v>0</v>
      </c>
      <c r="J25" s="20">
        <f>SUMIFS(Anexo_4[base_imponible_18],Anexo_4[gastos_operativos_kpi],$D$25,Anexo_4[periodo],$J$7)+SUMIFS(Anexo_4[base_imponible_10],Anexo_4[gastos_operativos_kpi],$D$25,Anexo_4[periodo],$J$7)</f>
        <v>0</v>
      </c>
      <c r="K25" s="20">
        <f>SUMIFS(Anexo_4[base_imponible_18],Anexo_4[gastos_operativos_kpi],$D$25,Anexo_4[periodo],$K$7)+SUMIFS(Anexo_4[base_imponible_10],Anexo_4[gastos_operativos_kpi],$D$25,Anexo_4[periodo],$K$7)</f>
        <v>1131.7</v>
      </c>
      <c r="L25" s="20">
        <f>SUMIFS(Anexo_4[base_imponible_18],Anexo_4[gastos_operativos_kpi],$D$25,Anexo_4[periodo],$L$7)+SUMIFS(Anexo_4[base_imponible_10],Anexo_4[gastos_operativos_kpi],$D$25,Anexo_4[periodo],$L$7)</f>
        <v>0</v>
      </c>
      <c r="M25" s="20">
        <f>SUMIFS(Anexo_4[base_imponible_18],Anexo_4[gastos_operativos_kpi],$D$25,Anexo_4[periodo],$M$7)+SUMIFS(Anexo_4[base_imponible_10],Anexo_4[gastos_operativos_kpi],$D$25,Anexo_4[periodo],$M$7)</f>
        <v>0</v>
      </c>
      <c r="N25" s="20">
        <f>SUMIFS(Anexo_4[base_imponible_18],Anexo_4[gastos_operativos_kpi],$D$25,Anexo_4[periodo],$N$7)+SUMIFS(Anexo_4[base_imponible_10],Anexo_4[gastos_operativos_kpi],$D$25,Anexo_4[periodo],$N$7)</f>
        <v>0</v>
      </c>
      <c r="O25" s="20">
        <f>SUMIFS(Anexo_4[base_imponible_18],Anexo_4[gastos_operativos_kpi],$D$25,Anexo_4[periodo],$O$7)+SUMIFS(Anexo_4[base_imponible_10],Anexo_4[gastos_operativos_kpi],$D$25,Anexo_4[periodo],$O$7)</f>
        <v>0</v>
      </c>
      <c r="P25" s="20">
        <f>SUMIFS(Anexo_4[base_imponible_18],Anexo_4[gastos_operativos_kpi],$D$25,Anexo_4[periodo],$P$7)+SUMIFS(Anexo_4[base_imponible_10],Anexo_4[gastos_operativos_kpi],$D$25,Anexo_4[periodo],$P$7)</f>
        <v>0</v>
      </c>
      <c r="Q25" s="20">
        <f>SUMIFS(Anexo_4[base_imponible_18],Anexo_4[gastos_operativos_kpi],$D$25,Anexo_4[periodo],$Q$7)+SUMIFS(Anexo_4[base_imponible_10],Anexo_4[gastos_operativos_kpi],$D$25,Anexo_4[periodo],$Q$7)</f>
        <v>0</v>
      </c>
      <c r="R25" s="25">
        <f t="shared" si="0"/>
        <v>1131.7</v>
      </c>
      <c r="S25" s="25">
        <f t="shared" si="1"/>
        <v>94.308333333333337</v>
      </c>
    </row>
    <row r="26" spans="2:19" ht="22.5" customHeight="1" x14ac:dyDescent="0.25">
      <c r="B26" s="182"/>
      <c r="C26" s="203"/>
      <c r="D26" s="24" t="s">
        <v>145</v>
      </c>
      <c r="E26" s="12" t="s">
        <v>64</v>
      </c>
      <c r="F26" s="20">
        <f>SUMIFS(Anexo_4[base_imponible_18],Anexo_4[gastos_operativos_kpi],$D$26,Anexo_4[periodo],$F$7)+SUMIFS(Anexo_4[base_imponible_10],Anexo_4[gastos_operativos_kpi],$D$26,Anexo_4[periodo],$F$7)</f>
        <v>0</v>
      </c>
      <c r="G26" s="20">
        <f>SUMIFS(Anexo_4[base_imponible_18],Anexo_4[gastos_operativos_kpi],$D$26,Anexo_4[periodo],$G$7)+SUMIFS(Anexo_4[base_imponible_10],Anexo_4[gastos_operativos_kpi],$D$26,Anexo_4[periodo],$G$7)</f>
        <v>0</v>
      </c>
      <c r="H26" s="20">
        <f>SUMIFS(Anexo_4[base_imponible_18],Anexo_4[gastos_operativos_kpi],$D$26,Anexo_4[periodo],$H$7)+SUMIFS(Anexo_4[base_imponible_10],Anexo_4[gastos_operativos_kpi],$D$26,Anexo_4[periodo],$H$7)</f>
        <v>0</v>
      </c>
      <c r="I26" s="20">
        <f>SUMIFS(Anexo_4[base_imponible_18],Anexo_4[gastos_operativos_kpi],$D$26,Anexo_4[periodo],$I$7)+SUMIFS(Anexo_4[base_imponible_10],Anexo_4[gastos_operativos_kpi],$D$26,Anexo_4[periodo],$I$7)</f>
        <v>0</v>
      </c>
      <c r="J26" s="20">
        <f>SUMIFS(Anexo_4[base_imponible_18],Anexo_4[gastos_operativos_kpi],$D$26,Anexo_4[periodo],$J$7)+SUMIFS(Anexo_4[base_imponible_10],Anexo_4[gastos_operativos_kpi],$D$26,Anexo_4[periodo],$J$7)</f>
        <v>0</v>
      </c>
      <c r="K26" s="20">
        <f>SUMIFS(Anexo_4[base_imponible_18],Anexo_4[gastos_operativos_kpi],$D$26,Anexo_4[periodo],$K$7)+SUMIFS(Anexo_4[base_imponible_10],Anexo_4[gastos_operativos_kpi],$D$26,Anexo_4[periodo],$K$7)</f>
        <v>0</v>
      </c>
      <c r="L26" s="20">
        <f>SUMIFS(Anexo_4[base_imponible_18],Anexo_4[gastos_operativos_kpi],$D$26,Anexo_4[periodo],$L$7)+SUMIFS(Anexo_4[base_imponible_10],Anexo_4[gastos_operativos_kpi],$D$26,Anexo_4[periodo],$L$7)</f>
        <v>42.37</v>
      </c>
      <c r="M26" s="20">
        <f>SUMIFS(Anexo_4[base_imponible_18],Anexo_4[gastos_operativos_kpi],$D$26,Anexo_4[periodo],$M$7)+SUMIFS(Anexo_4[base_imponible_10],Anexo_4[gastos_operativos_kpi],$D$26,Anexo_4[periodo],$M$7)</f>
        <v>1074.55</v>
      </c>
      <c r="N26" s="20">
        <f>SUMIFS(Anexo_4[base_imponible_18],Anexo_4[gastos_operativos_kpi],$D$26,Anexo_4[periodo],$N$7)+SUMIFS(Anexo_4[base_imponible_10],Anexo_4[gastos_operativos_kpi],$D$26,Anexo_4[periodo],$N$7)</f>
        <v>0</v>
      </c>
      <c r="O26" s="20">
        <f>SUMIFS(Anexo_4[base_imponible_18],Anexo_4[gastos_operativos_kpi],$D$26,Anexo_4[periodo],$O$7)+SUMIFS(Anexo_4[base_imponible_10],Anexo_4[gastos_operativos_kpi],$D$26,Anexo_4[periodo],$O$7)</f>
        <v>0</v>
      </c>
      <c r="P26" s="20">
        <f>SUMIFS(Anexo_4[base_imponible_18],Anexo_4[gastos_operativos_kpi],$D$26,Anexo_4[periodo],$P$7)+SUMIFS(Anexo_4[base_imponible_10],Anexo_4[gastos_operativos_kpi],$D$26,Anexo_4[periodo],$P$7)</f>
        <v>0</v>
      </c>
      <c r="Q26" s="20">
        <f>SUMIFS(Anexo_4[base_imponible_18],Anexo_4[gastos_operativos_kpi],$D$26,Anexo_4[periodo],$Q$7)+SUMIFS(Anexo_4[base_imponible_10],Anexo_4[gastos_operativos_kpi],$D$26,Anexo_4[periodo],$Q$7)</f>
        <v>0</v>
      </c>
      <c r="R26" s="25">
        <f t="shared" si="0"/>
        <v>1116.9199999999998</v>
      </c>
      <c r="S26" s="25">
        <f t="shared" si="1"/>
        <v>93.076666666666654</v>
      </c>
    </row>
    <row r="27" spans="2:19" ht="22.5" customHeight="1" x14ac:dyDescent="0.25">
      <c r="B27" s="182"/>
      <c r="C27" s="203"/>
      <c r="D27" s="24" t="s">
        <v>146</v>
      </c>
      <c r="E27" s="12" t="s">
        <v>64</v>
      </c>
      <c r="F27" s="20">
        <f>SUMIFS(Anexo_4[base_imponible_18],Anexo_4[gastos_operativos_kpi],$D$27,Anexo_4[periodo],$F$7)+SUMIFS(Anexo_4[base_imponible_10],Anexo_4[gastos_operativos_kpi],$D$27,Anexo_4[periodo],$F$7)</f>
        <v>0</v>
      </c>
      <c r="G27" s="20">
        <f>SUMIFS(Anexo_4[base_imponible_18],Anexo_4[gastos_operativos_kpi],$D$27,Anexo_4[periodo],$G$7)+SUMIFS(Anexo_4[base_imponible_10],Anexo_4[gastos_operativos_kpi],$D$27,Anexo_4[periodo],$G$7)</f>
        <v>0</v>
      </c>
      <c r="H27" s="20">
        <f>SUMIFS(Anexo_4[base_imponible_18],Anexo_4[gastos_operativos_kpi],$D$27,Anexo_4[periodo],$H$7)+SUMIFS(Anexo_4[base_imponible_10],Anexo_4[gastos_operativos_kpi],$D$27,Anexo_4[periodo],$H$7)</f>
        <v>0</v>
      </c>
      <c r="I27" s="20">
        <f>SUMIFS(Anexo_4[base_imponible_18],Anexo_4[gastos_operativos_kpi],$D$27,Anexo_4[periodo],$I$7)+SUMIFS(Anexo_4[base_imponible_10],Anexo_4[gastos_operativos_kpi],$D$27,Anexo_4[periodo],$I$7)</f>
        <v>0</v>
      </c>
      <c r="J27" s="20">
        <f>SUMIFS(Anexo_4[base_imponible_18],Anexo_4[gastos_operativos_kpi],$D$27,Anexo_4[periodo],$J$7)+SUMIFS(Anexo_4[base_imponible_10],Anexo_4[gastos_operativos_kpi],$D$27,Anexo_4[periodo],$J$7)</f>
        <v>0</v>
      </c>
      <c r="K27" s="20">
        <f>SUMIFS(Anexo_4[base_imponible_18],Anexo_4[gastos_operativos_kpi],$D$27,Anexo_4[periodo],$K$7)+SUMIFS(Anexo_4[base_imponible_10],Anexo_4[gastos_operativos_kpi],$D$27,Anexo_4[periodo],$K$7)</f>
        <v>0</v>
      </c>
      <c r="L27" s="20">
        <f>SUMIFS(Anexo_4[base_imponible_18],Anexo_4[gastos_operativos_kpi],$D$27,Anexo_4[periodo],$L$7)+SUMIFS(Anexo_4[base_imponible_10],Anexo_4[gastos_operativos_kpi],$D$27,Anexo_4[periodo],$L$7)</f>
        <v>0</v>
      </c>
      <c r="M27" s="20">
        <f>SUMIFS(Anexo_4[base_imponible_18],Anexo_4[gastos_operativos_kpi],$D$27,Anexo_4[periodo],$M$7)+SUMIFS(Anexo_4[base_imponible_10],Anexo_4[gastos_operativos_kpi],$D$27,Anexo_4[periodo],$M$7)</f>
        <v>0</v>
      </c>
      <c r="N27" s="20">
        <f>SUMIFS(Anexo_4[base_imponible_18],Anexo_4[gastos_operativos_kpi],$D$27,Anexo_4[periodo],$N$7)+SUMIFS(Anexo_4[base_imponible_10],Anexo_4[gastos_operativos_kpi],$D$27,Anexo_4[periodo],$N$7)</f>
        <v>0</v>
      </c>
      <c r="O27" s="20">
        <f>SUMIFS(Anexo_4[base_imponible_18],Anexo_4[gastos_operativos_kpi],$D$27,Anexo_4[periodo],$O$7)+SUMIFS(Anexo_4[base_imponible_10],Anexo_4[gastos_operativos_kpi],$D$27,Anexo_4[periodo],$O$7)</f>
        <v>0</v>
      </c>
      <c r="P27" s="20">
        <f>SUMIFS(Anexo_4[base_imponible_18],Anexo_4[gastos_operativos_kpi],$D$27,Anexo_4[periodo],$P$7)+SUMIFS(Anexo_4[base_imponible_10],Anexo_4[gastos_operativos_kpi],$D$27,Anexo_4[periodo],$P$7)</f>
        <v>0</v>
      </c>
      <c r="Q27" s="20">
        <f>SUMIFS(Anexo_4[base_imponible_18],Anexo_4[gastos_operativos_kpi],$D$27,Anexo_4[periodo],$Q$7)+SUMIFS(Anexo_4[base_imponible_10],Anexo_4[gastos_operativos_kpi],$D$27,Anexo_4[periodo],$Q$7)</f>
        <v>0</v>
      </c>
      <c r="R27" s="25">
        <f t="shared" si="0"/>
        <v>0</v>
      </c>
      <c r="S27" s="25">
        <f t="shared" si="1"/>
        <v>0</v>
      </c>
    </row>
    <row r="28" spans="2:19" ht="22.5" customHeight="1" x14ac:dyDescent="0.25">
      <c r="B28" s="182"/>
      <c r="C28" s="203"/>
      <c r="D28" s="24" t="s">
        <v>147</v>
      </c>
      <c r="E28" s="12" t="s">
        <v>64</v>
      </c>
      <c r="F28" s="20">
        <f>SUMIFS(Anexo_4[base_imponible_18],Anexo_4[gastos_operativos_kpi],$D$28,Anexo_4[periodo],$F$7)+SUMIFS(Anexo_4[base_imponible_10],Anexo_4[gastos_operativos_kpi],$D$28,Anexo_4[periodo],$F$7)</f>
        <v>0</v>
      </c>
      <c r="G28" s="20">
        <f>SUMIFS(Anexo_4[base_imponible_18],Anexo_4[gastos_operativos_kpi],$D$28,Anexo_4[periodo],$G$7)+SUMIFS(Anexo_4[base_imponible_10],Anexo_4[gastos_operativos_kpi],$D$28,Anexo_4[periodo],$G$7)</f>
        <v>0</v>
      </c>
      <c r="H28" s="20">
        <f>SUMIFS(Anexo_4[base_imponible_18],Anexo_4[gastos_operativos_kpi],$D$28,Anexo_4[periodo],$H$7)+SUMIFS(Anexo_4[base_imponible_10],Anexo_4[gastos_operativos_kpi],$D$28,Anexo_4[periodo],$H$7)</f>
        <v>0</v>
      </c>
      <c r="I28" s="20">
        <f>SUMIFS(Anexo_4[base_imponible_18],Anexo_4[gastos_operativos_kpi],$D$28,Anexo_4[periodo],$I$7)+SUMIFS(Anexo_4[base_imponible_10],Anexo_4[gastos_operativos_kpi],$D$28,Anexo_4[periodo],$I$7)</f>
        <v>0</v>
      </c>
      <c r="J28" s="20">
        <f>SUMIFS(Anexo_4[base_imponible_18],Anexo_4[gastos_operativos_kpi],$D$28,Anexo_4[periodo],$J$7)+SUMIFS(Anexo_4[base_imponible_10],Anexo_4[gastos_operativos_kpi],$D$28,Anexo_4[periodo],$J$7)</f>
        <v>0</v>
      </c>
      <c r="K28" s="20">
        <f>SUMIFS(Anexo_4[base_imponible_18],Anexo_4[gastos_operativos_kpi],$D$28,Anexo_4[periodo],$K$7)+SUMIFS(Anexo_4[base_imponible_10],Anexo_4[gastos_operativos_kpi],$D$28,Anexo_4[periodo],$K$7)</f>
        <v>517.37</v>
      </c>
      <c r="L28" s="20">
        <f>SUMIFS(Anexo_4[base_imponible_18],Anexo_4[gastos_operativos_kpi],$D$28,Anexo_4[periodo],$L$7)+SUMIFS(Anexo_4[base_imponible_10],Anexo_4[gastos_operativos_kpi],$D$28,Anexo_4[periodo],$L$7)</f>
        <v>0</v>
      </c>
      <c r="M28" s="20">
        <f>SUMIFS(Anexo_4[base_imponible_18],Anexo_4[gastos_operativos_kpi],$D$28,Anexo_4[periodo],$M$7)+SUMIFS(Anexo_4[base_imponible_10],Anexo_4[gastos_operativos_kpi],$D$28,Anexo_4[periodo],$M$7)</f>
        <v>0</v>
      </c>
      <c r="N28" s="20">
        <f>SUMIFS(Anexo_4[base_imponible_18],Anexo_4[gastos_operativos_kpi],$D$28,Anexo_4[periodo],$N$7)+SUMIFS(Anexo_4[base_imponible_10],Anexo_4[gastos_operativos_kpi],$D$28,Anexo_4[periodo],$N$7)</f>
        <v>0</v>
      </c>
      <c r="O28" s="20">
        <f>SUMIFS(Anexo_4[base_imponible_18],Anexo_4[gastos_operativos_kpi],$D$28,Anexo_4[periodo],$O$7)+SUMIFS(Anexo_4[base_imponible_10],Anexo_4[gastos_operativos_kpi],$D$28,Anexo_4[periodo],$O$7)</f>
        <v>0</v>
      </c>
      <c r="P28" s="20">
        <f>SUMIFS(Anexo_4[base_imponible_18],Anexo_4[gastos_operativos_kpi],$D$28,Anexo_4[periodo],$P$7)+SUMIFS(Anexo_4[base_imponible_10],Anexo_4[gastos_operativos_kpi],$D$28,Anexo_4[periodo],$P$7)</f>
        <v>0</v>
      </c>
      <c r="Q28" s="20">
        <f>SUMIFS(Anexo_4[base_imponible_18],Anexo_4[gastos_operativos_kpi],$D$28,Anexo_4[periodo],$Q$7)+SUMIFS(Anexo_4[base_imponible_10],Anexo_4[gastos_operativos_kpi],$D$28,Anexo_4[periodo],$Q$7)</f>
        <v>0</v>
      </c>
      <c r="R28" s="25">
        <f t="shared" si="0"/>
        <v>517.37</v>
      </c>
      <c r="S28" s="25">
        <f t="shared" si="1"/>
        <v>43.114166666666669</v>
      </c>
    </row>
    <row r="29" spans="2:19" ht="22.5" customHeight="1" x14ac:dyDescent="0.25">
      <c r="B29" s="182"/>
      <c r="C29" s="203"/>
      <c r="D29" s="24" t="s">
        <v>148</v>
      </c>
      <c r="E29" s="12" t="s">
        <v>64</v>
      </c>
      <c r="F29" s="20">
        <f>SUMIFS(Anexo_4[base_imponible_18],Anexo_4[gastos_operativos_kpi],$D$29,Anexo_4[periodo],$F$7)+SUMIFS(Anexo_4[base_imponible_10],Anexo_4[gastos_operativos_kpi],$D$29,Anexo_4[periodo],$F$7)</f>
        <v>0</v>
      </c>
      <c r="G29" s="20">
        <f>SUMIFS(Anexo_4[base_imponible_18],Anexo_4[gastos_operativos_kpi],$D$29,Anexo_4[periodo],$G$7)+SUMIFS(Anexo_4[base_imponible_10],Anexo_4[gastos_operativos_kpi],$D$29,Anexo_4[periodo],$G$7)</f>
        <v>0</v>
      </c>
      <c r="H29" s="20">
        <f>SUMIFS(Anexo_4[base_imponible_18],Anexo_4[gastos_operativos_kpi],$D$29,Anexo_4[periodo],$H$7)+SUMIFS(Anexo_4[base_imponible_10],Anexo_4[gastos_operativos_kpi],$D$29,Anexo_4[periodo],$H$7)</f>
        <v>0</v>
      </c>
      <c r="I29" s="20">
        <f>SUMIFS(Anexo_4[base_imponible_18],Anexo_4[gastos_operativos_kpi],$D$29,Anexo_4[periodo],$I$7)+SUMIFS(Anexo_4[base_imponible_10],Anexo_4[gastos_operativos_kpi],$D$29,Anexo_4[periodo],$I$7)</f>
        <v>0</v>
      </c>
      <c r="J29" s="20">
        <f>SUMIFS(Anexo_4[base_imponible_18],Anexo_4[gastos_operativos_kpi],$D$29,Anexo_4[periodo],$J$7)+SUMIFS(Anexo_4[base_imponible_10],Anexo_4[gastos_operativos_kpi],$D$29,Anexo_4[periodo],$J$7)</f>
        <v>0</v>
      </c>
      <c r="K29" s="20">
        <f>SUMIFS(Anexo_4[base_imponible_18],Anexo_4[gastos_operativos_kpi],$D$29,Anexo_4[periodo],$K$7)+SUMIFS(Anexo_4[base_imponible_10],Anexo_4[gastos_operativos_kpi],$D$29,Anexo_4[periodo],$K$7)</f>
        <v>0</v>
      </c>
      <c r="L29" s="20">
        <f>SUMIFS(Anexo_4[base_imponible_18],Anexo_4[gastos_operativos_kpi],$D$29,Anexo_4[periodo],$L$7)+SUMIFS(Anexo_4[base_imponible_10],Anexo_4[gastos_operativos_kpi],$D$29,Anexo_4[periodo],$L$7)</f>
        <v>0</v>
      </c>
      <c r="M29" s="20">
        <f>SUMIFS(Anexo_4[base_imponible_18],Anexo_4[gastos_operativos_kpi],$D$29,Anexo_4[periodo],$M$7)+SUMIFS(Anexo_4[base_imponible_10],Anexo_4[gastos_operativos_kpi],$D$29,Anexo_4[periodo],$M$7)</f>
        <v>0</v>
      </c>
      <c r="N29" s="20">
        <f>SUMIFS(Anexo_4[base_imponible_18],Anexo_4[gastos_operativos_kpi],$D$29,Anexo_4[periodo],$N$7)+SUMIFS(Anexo_4[base_imponible_10],Anexo_4[gastos_operativos_kpi],$D$29,Anexo_4[periodo],$N$7)</f>
        <v>0</v>
      </c>
      <c r="O29" s="20">
        <f>SUMIFS(Anexo_4[base_imponible_18],Anexo_4[gastos_operativos_kpi],$D$29,Anexo_4[periodo],$O$7)+SUMIFS(Anexo_4[base_imponible_10],Anexo_4[gastos_operativos_kpi],$D$29,Anexo_4[periodo],$O$7)</f>
        <v>0</v>
      </c>
      <c r="P29" s="20">
        <f>SUMIFS(Anexo_4[base_imponible_18],Anexo_4[gastos_operativos_kpi],$D$29,Anexo_4[periodo],$P$7)+SUMIFS(Anexo_4[base_imponible_10],Anexo_4[gastos_operativos_kpi],$D$29,Anexo_4[periodo],$P$7)</f>
        <v>0</v>
      </c>
      <c r="Q29" s="20">
        <f>SUMIFS(Anexo_4[base_imponible_18],Anexo_4[gastos_operativos_kpi],$D$29,Anexo_4[periodo],$Q$7)+SUMIFS(Anexo_4[base_imponible_10],Anexo_4[gastos_operativos_kpi],$D$29,Anexo_4[periodo],$Q$7)</f>
        <v>0</v>
      </c>
      <c r="R29" s="25">
        <f t="shared" si="0"/>
        <v>0</v>
      </c>
      <c r="S29" s="25">
        <f t="shared" si="1"/>
        <v>0</v>
      </c>
    </row>
    <row r="30" spans="2:19" ht="22.5" customHeight="1" x14ac:dyDescent="0.25">
      <c r="B30" s="182"/>
      <c r="C30" s="203"/>
      <c r="D30" s="24" t="s">
        <v>149</v>
      </c>
      <c r="E30" s="12" t="s">
        <v>64</v>
      </c>
      <c r="F30" s="20">
        <f>SUMIFS(Anexo_4[base_imponible_18],Anexo_4[gastos_operativos_kpi],$D$30,Anexo_4[periodo],$F$7)+SUMIFS(Anexo_4[base_imponible_10],Anexo_4[gastos_operativos_kpi],$D$30,Anexo_4[periodo],$F$7)</f>
        <v>0</v>
      </c>
      <c r="G30" s="20">
        <f>SUMIFS(Anexo_4[base_imponible_18],Anexo_4[gastos_operativos_kpi],$D$30,Anexo_4[periodo],$G$7)+SUMIFS(Anexo_4[base_imponible_10],Anexo_4[gastos_operativos_kpi],$D$30,Anexo_4[periodo],$G$7)</f>
        <v>0</v>
      </c>
      <c r="H30" s="20">
        <f>SUMIFS(Anexo_4[base_imponible_18],Anexo_4[gastos_operativos_kpi],$D$30,Anexo_4[periodo],$H$7)+SUMIFS(Anexo_4[base_imponible_10],Anexo_4[gastos_operativos_kpi],$D$30,Anexo_4[periodo],$H$7)</f>
        <v>0</v>
      </c>
      <c r="I30" s="20">
        <f>SUMIFS(Anexo_4[base_imponible_18],Anexo_4[gastos_operativos_kpi],$D$30,Anexo_4[periodo],$I$7)+SUMIFS(Anexo_4[base_imponible_10],Anexo_4[gastos_operativos_kpi],$D$30,Anexo_4[periodo],$I$7)</f>
        <v>0</v>
      </c>
      <c r="J30" s="20">
        <f>SUMIFS(Anexo_4[base_imponible_18],Anexo_4[gastos_operativos_kpi],$D$30,Anexo_4[periodo],$J$7)+SUMIFS(Anexo_4[base_imponible_10],Anexo_4[gastos_operativos_kpi],$D$30,Anexo_4[periodo],$J$7)</f>
        <v>0</v>
      </c>
      <c r="K30" s="20">
        <f>SUMIFS(Anexo_4[base_imponible_18],Anexo_4[gastos_operativos_kpi],$D$30,Anexo_4[periodo],$K$7)+SUMIFS(Anexo_4[base_imponible_10],Anexo_4[gastos_operativos_kpi],$D$30,Anexo_4[periodo],$K$7)</f>
        <v>11250.600000000002</v>
      </c>
      <c r="L30" s="20">
        <f>SUMIFS(Anexo_4[base_imponible_18],Anexo_4[gastos_operativos_kpi],$D$30,Anexo_4[periodo],$L$7)+SUMIFS(Anexo_4[base_imponible_10],Anexo_4[gastos_operativos_kpi],$D$30,Anexo_4[periodo],$L$7)</f>
        <v>9813.7599999999984</v>
      </c>
      <c r="M30" s="20">
        <f>SUMIFS(Anexo_4[base_imponible_18],Anexo_4[gastos_operativos_kpi],$D$30,Anexo_4[periodo],$M$7)+SUMIFS(Anexo_4[base_imponible_10],Anexo_4[gastos_operativos_kpi],$D$30,Anexo_4[periodo],$M$7)</f>
        <v>10625.019999999995</v>
      </c>
      <c r="N30" s="20">
        <f>SUMIFS(Anexo_4[base_imponible_18],Anexo_4[gastos_operativos_kpi],$D$30,Anexo_4[periodo],$N$7)+SUMIFS(Anexo_4[base_imponible_10],Anexo_4[gastos_operativos_kpi],$D$30,Anexo_4[periodo],$N$7)</f>
        <v>13290.860000000004</v>
      </c>
      <c r="O30" s="20">
        <f>SUMIFS(Anexo_4[base_imponible_18],Anexo_4[gastos_operativos_kpi],$D$30,Anexo_4[periodo],$O$7)+SUMIFS(Anexo_4[base_imponible_10],Anexo_4[gastos_operativos_kpi],$D$30,Anexo_4[periodo],$O$7)</f>
        <v>0</v>
      </c>
      <c r="P30" s="20">
        <f>SUMIFS(Anexo_4[base_imponible_18],Anexo_4[gastos_operativos_kpi],$D$30,Anexo_4[periodo],$P$7)+SUMIFS(Anexo_4[base_imponible_10],Anexo_4[gastos_operativos_kpi],$D$30,Anexo_4[periodo],$P$7)</f>
        <v>0</v>
      </c>
      <c r="Q30" s="20">
        <f>SUMIFS(Anexo_4[base_imponible_18],Anexo_4[gastos_operativos_kpi],$D$30,Anexo_4[periodo],$Q$7)+SUMIFS(Anexo_4[base_imponible_10],Anexo_4[gastos_operativos_kpi],$D$30,Anexo_4[periodo],$Q$7)</f>
        <v>0</v>
      </c>
      <c r="R30" s="25">
        <f t="shared" si="0"/>
        <v>44980.240000000005</v>
      </c>
      <c r="S30" s="25">
        <f t="shared" si="1"/>
        <v>3748.3533333333339</v>
      </c>
    </row>
    <row r="31" spans="2:19" ht="22.5" customHeight="1" x14ac:dyDescent="0.25">
      <c r="B31" s="182"/>
      <c r="C31" s="203"/>
      <c r="D31" s="24" t="s">
        <v>150</v>
      </c>
      <c r="E31" s="12" t="s">
        <v>64</v>
      </c>
      <c r="F31" s="20">
        <f>SUMIFS(Anexo_4[base_imponible_18],Anexo_4[gastos_operativos_kpi],$D$31,Anexo_4[periodo],$F$7)+SUMIFS(Anexo_4[base_imponible_10],Anexo_4[gastos_operativos_kpi],$D$31,Anexo_4[periodo],$F$7)</f>
        <v>0</v>
      </c>
      <c r="G31" s="20">
        <f>SUMIFS(Anexo_4[base_imponible_18],Anexo_4[gastos_operativos_kpi],$D$31,Anexo_4[periodo],$G$7)+SUMIFS(Anexo_4[base_imponible_10],Anexo_4[gastos_operativos_kpi],$D$31,Anexo_4[periodo],$G$7)</f>
        <v>0</v>
      </c>
      <c r="H31" s="20">
        <f>SUMIFS(Anexo_4[base_imponible_18],Anexo_4[gastos_operativos_kpi],$D$31,Anexo_4[periodo],$H$7)+SUMIFS(Anexo_4[base_imponible_10],Anexo_4[gastos_operativos_kpi],$D$31,Anexo_4[periodo],$H$7)</f>
        <v>0</v>
      </c>
      <c r="I31" s="20">
        <f>SUMIFS(Anexo_4[base_imponible_18],Anexo_4[gastos_operativos_kpi],$D$31,Anexo_4[periodo],$I$7)+SUMIFS(Anexo_4[base_imponible_10],Anexo_4[gastos_operativos_kpi],$D$31,Anexo_4[periodo],$I$7)</f>
        <v>0</v>
      </c>
      <c r="J31" s="20">
        <f>SUMIFS(Anexo_4[base_imponible_18],Anexo_4[gastos_operativos_kpi],$D$31,Anexo_4[periodo],$J$7)+SUMIFS(Anexo_4[base_imponible_10],Anexo_4[gastos_operativos_kpi],$D$31,Anexo_4[periodo],$J$7)</f>
        <v>0</v>
      </c>
      <c r="K31" s="20">
        <f>SUMIFS(Anexo_4[base_imponible_18],Anexo_4[gastos_operativos_kpi],$D$31,Anexo_4[periodo],$K$7)+SUMIFS(Anexo_4[base_imponible_10],Anexo_4[gastos_operativos_kpi],$D$31,Anexo_4[periodo],$K$7)</f>
        <v>0</v>
      </c>
      <c r="L31" s="20">
        <f>SUMIFS(Anexo_4[base_imponible_18],Anexo_4[gastos_operativos_kpi],$D$31,Anexo_4[periodo],$L$7)+SUMIFS(Anexo_4[base_imponible_10],Anexo_4[gastos_operativos_kpi],$D$31,Anexo_4[periodo],$L$7)</f>
        <v>0</v>
      </c>
      <c r="M31" s="20">
        <f>SUMIFS(Anexo_4[base_imponible_18],Anexo_4[gastos_operativos_kpi],$D$31,Anexo_4[periodo],$M$7)+SUMIFS(Anexo_4[base_imponible_10],Anexo_4[gastos_operativos_kpi],$D$31,Anexo_4[periodo],$M$7)</f>
        <v>0</v>
      </c>
      <c r="N31" s="20">
        <f>SUMIFS(Anexo_4[base_imponible_18],Anexo_4[gastos_operativos_kpi],$D$31,Anexo_4[periodo],$N$7)+SUMIFS(Anexo_4[base_imponible_10],Anexo_4[gastos_operativos_kpi],$D$31,Anexo_4[periodo],$N$7)</f>
        <v>0</v>
      </c>
      <c r="O31" s="20">
        <f>SUMIFS(Anexo_4[base_imponible_18],Anexo_4[gastos_operativos_kpi],$D$31,Anexo_4[periodo],$O$7)+SUMIFS(Anexo_4[base_imponible_10],Anexo_4[gastos_operativos_kpi],$D$31,Anexo_4[periodo],$O$7)</f>
        <v>0</v>
      </c>
      <c r="P31" s="20">
        <f>SUMIFS(Anexo_4[base_imponible_18],Anexo_4[gastos_operativos_kpi],$D$31,Anexo_4[periodo],$P$7)+SUMIFS(Anexo_4[base_imponible_10],Anexo_4[gastos_operativos_kpi],$D$31,Anexo_4[periodo],$P$7)</f>
        <v>0</v>
      </c>
      <c r="Q31" s="20">
        <f>SUMIFS(Anexo_4[base_imponible_18],Anexo_4[gastos_operativos_kpi],$D$31,Anexo_4[periodo],$Q$7)+SUMIFS(Anexo_4[base_imponible_10],Anexo_4[gastos_operativos_kpi],$D$31,Anexo_4[periodo],$Q$7)</f>
        <v>0</v>
      </c>
      <c r="R31" s="25">
        <f t="shared" si="0"/>
        <v>0</v>
      </c>
      <c r="S31" s="25">
        <f t="shared" si="1"/>
        <v>0</v>
      </c>
    </row>
    <row r="32" spans="2:19" ht="22.5" customHeight="1" x14ac:dyDescent="0.25">
      <c r="B32" s="182"/>
      <c r="C32" s="203"/>
      <c r="D32" s="24" t="s">
        <v>151</v>
      </c>
      <c r="E32" s="12" t="s">
        <v>64</v>
      </c>
      <c r="F32" s="20">
        <f>SUMIFS(Anexo_4[base_imponible_18],Anexo_4[gastos_operativos_kpi],$D$32,Anexo_4[periodo],$F$7)+SUMIFS(Anexo_4[base_imponible_10],Anexo_4[gastos_operativos_kpi],$D$32,Anexo_4[periodo],$F$7)</f>
        <v>0</v>
      </c>
      <c r="G32" s="20">
        <f>SUMIFS(Anexo_4[base_imponible_18],Anexo_4[gastos_operativos_kpi],$D$32,Anexo_4[periodo],$G$7)+SUMIFS(Anexo_4[base_imponible_10],Anexo_4[gastos_operativos_kpi],$D$32,Anexo_4[periodo],$G$7)</f>
        <v>0</v>
      </c>
      <c r="H32" s="20">
        <f>SUMIFS(Anexo_4[base_imponible_18],Anexo_4[gastos_operativos_kpi],$D$32,Anexo_4[periodo],$H$7)+SUMIFS(Anexo_4[base_imponible_10],Anexo_4[gastos_operativos_kpi],$D$32,Anexo_4[periodo],$H$7)</f>
        <v>0</v>
      </c>
      <c r="I32" s="20">
        <f>SUMIFS(Anexo_4[base_imponible_18],Anexo_4[gastos_operativos_kpi],$D$32,Anexo_4[periodo],$I$7)+SUMIFS(Anexo_4[base_imponible_10],Anexo_4[gastos_operativos_kpi],$D$32,Anexo_4[periodo],$I$7)</f>
        <v>0</v>
      </c>
      <c r="J32" s="20">
        <f>SUMIFS(Anexo_4[base_imponible_18],Anexo_4[gastos_operativos_kpi],$D$32,Anexo_4[periodo],$J$7)+SUMIFS(Anexo_4[base_imponible_10],Anexo_4[gastos_operativos_kpi],$D$32,Anexo_4[periodo],$J$7)</f>
        <v>0</v>
      </c>
      <c r="K32" s="20">
        <f>SUMIFS(Anexo_4[base_imponible_18],Anexo_4[gastos_operativos_kpi],$D$32,Anexo_4[periodo],$K$7)+SUMIFS(Anexo_4[base_imponible_10],Anexo_4[gastos_operativos_kpi],$D$32,Anexo_4[periodo],$K$7)</f>
        <v>208.05</v>
      </c>
      <c r="L32" s="20">
        <f>SUMIFS(Anexo_4[base_imponible_18],Anexo_4[gastos_operativos_kpi],$D$32,Anexo_4[periodo],$L$7)+SUMIFS(Anexo_4[base_imponible_10],Anexo_4[gastos_operativos_kpi],$D$32,Anexo_4[periodo],$L$7)</f>
        <v>0</v>
      </c>
      <c r="M32" s="20">
        <f>SUMIFS(Anexo_4[base_imponible_18],Anexo_4[gastos_operativos_kpi],$D$32,Anexo_4[periodo],$M$7)+SUMIFS(Anexo_4[base_imponible_10],Anexo_4[gastos_operativos_kpi],$D$32,Anexo_4[periodo],$M$7)</f>
        <v>0</v>
      </c>
      <c r="N32" s="20">
        <f>SUMIFS(Anexo_4[base_imponible_18],Anexo_4[gastos_operativos_kpi],$D$32,Anexo_4[periodo],$N$7)+SUMIFS(Anexo_4[base_imponible_10],Anexo_4[gastos_operativos_kpi],$D$32,Anexo_4[periodo],$N$7)</f>
        <v>10.59</v>
      </c>
      <c r="O32" s="20">
        <f>SUMIFS(Anexo_4[base_imponible_18],Anexo_4[gastos_operativos_kpi],$D$32,Anexo_4[periodo],$O$7)+SUMIFS(Anexo_4[base_imponible_10],Anexo_4[gastos_operativos_kpi],$D$32,Anexo_4[periodo],$O$7)</f>
        <v>0</v>
      </c>
      <c r="P32" s="20">
        <f>SUMIFS(Anexo_4[base_imponible_18],Anexo_4[gastos_operativos_kpi],$D$32,Anexo_4[periodo],$P$7)+SUMIFS(Anexo_4[base_imponible_10],Anexo_4[gastos_operativos_kpi],$D$32,Anexo_4[periodo],$P$7)</f>
        <v>0</v>
      </c>
      <c r="Q32" s="20">
        <f>SUMIFS(Anexo_4[base_imponible_18],Anexo_4[gastos_operativos_kpi],$D$32,Anexo_4[periodo],$Q$7)+SUMIFS(Anexo_4[base_imponible_10],Anexo_4[gastos_operativos_kpi],$D$32,Anexo_4[periodo],$Q$7)</f>
        <v>0</v>
      </c>
      <c r="R32" s="25">
        <f t="shared" si="0"/>
        <v>218.64000000000001</v>
      </c>
      <c r="S32" s="25">
        <f t="shared" si="1"/>
        <v>18.220000000000002</v>
      </c>
    </row>
    <row r="33" spans="2:19" ht="22.5" customHeight="1" x14ac:dyDescent="0.25">
      <c r="B33" s="182"/>
      <c r="C33" s="203"/>
      <c r="D33" s="24" t="s">
        <v>152</v>
      </c>
      <c r="E33" s="12" t="s">
        <v>64</v>
      </c>
      <c r="F33" s="20">
        <f>SUMIFS(Anexo_4[base_imponible_18],Anexo_4[gastos_operativos_kpi],$D$33,Anexo_4[periodo],$F$7)+SUMIFS(Anexo_4[base_imponible_10],Anexo_4[gastos_operativos_kpi],$D$33,Anexo_4[periodo],$F$7)</f>
        <v>0</v>
      </c>
      <c r="G33" s="20">
        <f>SUMIFS(Anexo_4[base_imponible_18],Anexo_4[gastos_operativos_kpi],$D$33,Anexo_4[periodo],$G$7)+SUMIFS(Anexo_4[base_imponible_10],Anexo_4[gastos_operativos_kpi],$D$33,Anexo_4[periodo],$G$7)</f>
        <v>0</v>
      </c>
      <c r="H33" s="20">
        <f>SUMIFS(Anexo_4[base_imponible_18],Anexo_4[gastos_operativos_kpi],$D$33,Anexo_4[periodo],$H$7)+SUMIFS(Anexo_4[base_imponible_10],Anexo_4[gastos_operativos_kpi],$D$33,Anexo_4[periodo],$H$7)</f>
        <v>0</v>
      </c>
      <c r="I33" s="20">
        <f>SUMIFS(Anexo_4[base_imponible_18],Anexo_4[gastos_operativos_kpi],$D$33,Anexo_4[periodo],$I$7)+SUMIFS(Anexo_4[base_imponible_10],Anexo_4[gastos_operativos_kpi],$D$33,Anexo_4[periodo],$I$7)</f>
        <v>0</v>
      </c>
      <c r="J33" s="20">
        <f>SUMIFS(Anexo_4[base_imponible_18],Anexo_4[gastos_operativos_kpi],$D$33,Anexo_4[periodo],$J$7)+SUMIFS(Anexo_4[base_imponible_10],Anexo_4[gastos_operativos_kpi],$D$33,Anexo_4[periodo],$J$7)</f>
        <v>0</v>
      </c>
      <c r="K33" s="20">
        <f>SUMIFS(Anexo_4[base_imponible_18],Anexo_4[gastos_operativos_kpi],$D$33,Anexo_4[periodo],$K$7)+SUMIFS(Anexo_4[base_imponible_10],Anexo_4[gastos_operativos_kpi],$D$33,Anexo_4[periodo],$K$7)</f>
        <v>0</v>
      </c>
      <c r="L33" s="20">
        <f>SUMIFS(Anexo_4[base_imponible_18],Anexo_4[gastos_operativos_kpi],$D$33,Anexo_4[periodo],$L$7)+SUMIFS(Anexo_4[base_imponible_10],Anexo_4[gastos_operativos_kpi],$D$33,Anexo_4[periodo],$L$7)</f>
        <v>1233.9100000000001</v>
      </c>
      <c r="M33" s="20">
        <f>SUMIFS(Anexo_4[base_imponible_18],Anexo_4[gastos_operativos_kpi],$D$33,Anexo_4[periodo],$M$7)+SUMIFS(Anexo_4[base_imponible_10],Anexo_4[gastos_operativos_kpi],$D$33,Anexo_4[periodo],$M$7)</f>
        <v>716.06</v>
      </c>
      <c r="N33" s="20">
        <f>SUMIFS(Anexo_4[base_imponible_18],Anexo_4[gastos_operativos_kpi],$D$33,Anexo_4[periodo],$N$7)+SUMIFS(Anexo_4[base_imponible_10],Anexo_4[gastos_operativos_kpi],$D$33,Anexo_4[periodo],$N$7)</f>
        <v>477.56</v>
      </c>
      <c r="O33" s="20">
        <f>SUMIFS(Anexo_4[base_imponible_18],Anexo_4[gastos_operativos_kpi],$D$33,Anexo_4[periodo],$O$7)+SUMIFS(Anexo_4[base_imponible_10],Anexo_4[gastos_operativos_kpi],$D$33,Anexo_4[periodo],$O$7)</f>
        <v>0</v>
      </c>
      <c r="P33" s="20">
        <f>SUMIFS(Anexo_4[base_imponible_18],Anexo_4[gastos_operativos_kpi],$D$33,Anexo_4[periodo],$P$7)+SUMIFS(Anexo_4[base_imponible_10],Anexo_4[gastos_operativos_kpi],$D$33,Anexo_4[periodo],$P$7)</f>
        <v>0</v>
      </c>
      <c r="Q33" s="20">
        <f>SUMIFS(Anexo_4[base_imponible_18],Anexo_4[gastos_operativos_kpi],$D$33,Anexo_4[periodo],$Q$7)+SUMIFS(Anexo_4[base_imponible_10],Anexo_4[gastos_operativos_kpi],$D$33,Anexo_4[periodo],$Q$7)</f>
        <v>0</v>
      </c>
      <c r="R33" s="25">
        <f t="shared" si="0"/>
        <v>2427.5300000000002</v>
      </c>
      <c r="S33" s="25">
        <f t="shared" si="1"/>
        <v>202.29416666666668</v>
      </c>
    </row>
    <row r="34" spans="2:19" ht="22.5" customHeight="1" x14ac:dyDescent="0.25">
      <c r="B34" s="73"/>
      <c r="C34" s="190" t="s">
        <v>153</v>
      </c>
      <c r="D34" s="190"/>
      <c r="E34" s="21"/>
      <c r="F34" s="21">
        <f t="shared" ref="F34:S34" si="2">SUM(F8:F33)</f>
        <v>0</v>
      </c>
      <c r="G34" s="21">
        <f t="shared" si="2"/>
        <v>0</v>
      </c>
      <c r="H34" s="21">
        <f t="shared" si="2"/>
        <v>0</v>
      </c>
      <c r="I34" s="21">
        <f t="shared" si="2"/>
        <v>0</v>
      </c>
      <c r="J34" s="21">
        <f t="shared" si="2"/>
        <v>0</v>
      </c>
      <c r="K34" s="21">
        <f t="shared" si="2"/>
        <v>22553.06</v>
      </c>
      <c r="L34" s="21">
        <f t="shared" si="2"/>
        <v>24333.62</v>
      </c>
      <c r="M34" s="21">
        <f t="shared" si="2"/>
        <v>18890.639999999996</v>
      </c>
      <c r="N34" s="21">
        <f t="shared" si="2"/>
        <v>22321.520000000004</v>
      </c>
      <c r="O34" s="21">
        <f t="shared" si="2"/>
        <v>0</v>
      </c>
      <c r="P34" s="21">
        <f t="shared" si="2"/>
        <v>0</v>
      </c>
      <c r="Q34" s="21">
        <f t="shared" si="2"/>
        <v>0</v>
      </c>
      <c r="R34" s="21">
        <f t="shared" si="2"/>
        <v>88098.840000000011</v>
      </c>
      <c r="S34" s="21">
        <f t="shared" si="2"/>
        <v>7341.5700000000006</v>
      </c>
    </row>
    <row r="35" spans="2:19" ht="3" customHeight="1" x14ac:dyDescent="0.25">
      <c r="B35" s="73"/>
      <c r="C35" s="92"/>
      <c r="D35" s="93"/>
      <c r="E35" s="94"/>
      <c r="F35" s="95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7"/>
    </row>
    <row r="36" spans="2:19" ht="22.5" customHeight="1" x14ac:dyDescent="0.25">
      <c r="B36" s="73"/>
      <c r="C36" s="203"/>
      <c r="D36" s="24" t="s">
        <v>154</v>
      </c>
      <c r="E36" s="12" t="s">
        <v>64</v>
      </c>
      <c r="F36" s="20">
        <f>SUMIFS(Anexo_4[base_imponible_18],Anexo_4[gastos_operativos_kpi],$D$36,Anexo_4[periodo],$F$7)+SUMIFS(Anexo_4[base_imponible_10],Anexo_4[gastos_operativos_kpi],$D$36,Anexo_4[periodo],$F$7)</f>
        <v>0</v>
      </c>
      <c r="G36" s="20">
        <f>SUMIFS(Anexo_4[base_imponible_18],Anexo_4[gastos_operativos_kpi],$D$36,Anexo_4[periodo],$G$7)+SUMIFS(Anexo_4[base_imponible_10],Anexo_4[gastos_operativos_kpi],$D$36,Anexo_4[periodo],$G$7)</f>
        <v>0</v>
      </c>
      <c r="H36" s="20">
        <f>SUMIFS(Anexo_4[base_imponible_18],Anexo_4[gastos_operativos_kpi],$D$36,Anexo_4[periodo],$H$7)+SUMIFS(Anexo_4[base_imponible_10],Anexo_4[gastos_operativos_kpi],$D$36,Anexo_4[periodo],$H$7)</f>
        <v>0</v>
      </c>
      <c r="I36" s="20">
        <f>SUMIFS(Anexo_4[base_imponible_18],Anexo_4[gastos_operativos_kpi],$D$36,Anexo_4[periodo],$I$7)+SUMIFS(Anexo_4[base_imponible_10],Anexo_4[gastos_operativos_kpi],$D$36,Anexo_4[periodo],$I$7)</f>
        <v>0</v>
      </c>
      <c r="J36" s="20">
        <f>SUMIFS(Anexo_4[base_imponible_18],Anexo_4[gastos_operativos_kpi],$D$36,Anexo_4[periodo],$J$7)+SUMIFS(Anexo_4[base_imponible_10],Anexo_4[gastos_operativos_kpi],$D$36,Anexo_4[periodo],$J$7)</f>
        <v>0</v>
      </c>
      <c r="K36" s="20">
        <f>SUMIFS(Anexo_4[base_imponible_18],Anexo_4[gastos_operativos_kpi],$D$36,Anexo_4[periodo],$K$7)+SUMIFS(Anexo_4[base_imponible_10],Anexo_4[gastos_operativos_kpi],$D$36,Anexo_4[periodo],$K$7)</f>
        <v>0</v>
      </c>
      <c r="L36" s="20">
        <f>SUMIFS(Anexo_4[base_imponible_18],Anexo_4[gastos_operativos_kpi],$D$36,Anexo_4[periodo],$L$7)+SUMIFS(Anexo_4[base_imponible_10],Anexo_4[gastos_operativos_kpi],$D$36,Anexo_4[periodo],$L$7)</f>
        <v>679</v>
      </c>
      <c r="M36" s="20">
        <f>SUMIFS(Anexo_4[base_imponible_18],Anexo_4[gastos_operativos_kpi],$D$36,Anexo_4[periodo],$M$7)+SUMIFS(Anexo_4[base_imponible_10],Anexo_4[gastos_operativos_kpi],$D$36,Anexo_4[periodo],$M$7)</f>
        <v>1752.95</v>
      </c>
      <c r="N36" s="20">
        <f>SUMIFS(Anexo_4[base_imponible_18],Anexo_4[gastos_operativos_kpi],$D$36,Anexo_4[periodo],$N$7)+SUMIFS(Anexo_4[base_imponible_10],Anexo_4[gastos_operativos_kpi],$D$36,Anexo_4[periodo],$N$7)</f>
        <v>1549.95</v>
      </c>
      <c r="O36" s="20">
        <f>SUMIFS(Anexo_4[base_imponible_18],Anexo_4[gastos_operativos_kpi],$D$36,Anexo_4[periodo],$O$7)+SUMIFS(Anexo_4[base_imponible_10],Anexo_4[gastos_operativos_kpi],$D$36,Anexo_4[periodo],$O$7)</f>
        <v>0</v>
      </c>
      <c r="P36" s="20">
        <f>SUMIFS(Anexo_4[base_imponible_18],Anexo_4[gastos_operativos_kpi],$D$36,Anexo_4[periodo],$P$7)+SUMIFS(Anexo_4[base_imponible_10],Anexo_4[gastos_operativos_kpi],$D$36,Anexo_4[periodo],$P$7)</f>
        <v>0</v>
      </c>
      <c r="Q36" s="20">
        <f>SUMIFS(Anexo_4[base_imponible_18],Anexo_4[gastos_operativos_kpi],$D$36,Anexo_4[periodo],$Q$7)+SUMIFS(Anexo_4[base_imponible_10],Anexo_4[gastos_operativos_kpi],$D$36,Anexo_4[periodo],$Q$7)</f>
        <v>0</v>
      </c>
      <c r="R36" s="25">
        <f t="shared" ref="R36:R37" si="3">SUM(F36:Q36)</f>
        <v>3981.8999999999996</v>
      </c>
      <c r="S36" s="25">
        <f t="shared" ref="S36:S37" si="4">AVERAGE(F36:Q36)</f>
        <v>331.82499999999999</v>
      </c>
    </row>
    <row r="37" spans="2:19" ht="22.5" customHeight="1" x14ac:dyDescent="0.25">
      <c r="B37" s="73"/>
      <c r="C37" s="203"/>
      <c r="D37" s="24" t="s">
        <v>155</v>
      </c>
      <c r="E37" s="12" t="s">
        <v>64</v>
      </c>
      <c r="F37" s="20">
        <f>SUMIFS(Anexo_4[base_imponible_18],Anexo_4[gastos_operativos_kpi],$D$37,Anexo_4[periodo],$F$7)+SUMIFS(Anexo_4[base_imponible_10],Anexo_4[gastos_operativos_kpi],$D$37,Anexo_4[periodo],$F$7)</f>
        <v>0</v>
      </c>
      <c r="G37" s="20">
        <f>SUMIFS(Anexo_4[base_imponible_18],Anexo_4[gastos_operativos_kpi],$D$37,Anexo_4[periodo],$G$7)+SUMIFS(Anexo_4[base_imponible_10],Anexo_4[gastos_operativos_kpi],$D$37,Anexo_4[periodo],$G$7)</f>
        <v>0</v>
      </c>
      <c r="H37" s="20">
        <f>SUMIFS(Anexo_4[base_imponible_18],Anexo_4[gastos_operativos_kpi],$D$37,Anexo_4[periodo],$H$7)+SUMIFS(Anexo_4[base_imponible_10],Anexo_4[gastos_operativos_kpi],$D$37,Anexo_4[periodo],$H$7)</f>
        <v>0</v>
      </c>
      <c r="I37" s="20">
        <f>SUMIFS(Anexo_4[base_imponible_18],Anexo_4[gastos_operativos_kpi],$D$37,Anexo_4[periodo],$I$7)+SUMIFS(Anexo_4[base_imponible_10],Anexo_4[gastos_operativos_kpi],$D$37,Anexo_4[periodo],$I$7)</f>
        <v>0</v>
      </c>
      <c r="J37" s="20">
        <f>SUMIFS(Anexo_4[base_imponible_18],Anexo_4[gastos_operativos_kpi],$D$37,Anexo_4[periodo],$J$7)+SUMIFS(Anexo_4[base_imponible_10],Anexo_4[gastos_operativos_kpi],$D$37,Anexo_4[periodo],$J$7)</f>
        <v>0</v>
      </c>
      <c r="K37" s="20">
        <f>SUMIFS(Anexo_4[base_imponible_18],Anexo_4[gastos_operativos_kpi],$D$37,Anexo_4[periodo],$K$7)+SUMIFS(Anexo_4[base_imponible_10],Anexo_4[gastos_operativos_kpi],$D$37,Anexo_4[periodo],$K$7)</f>
        <v>290</v>
      </c>
      <c r="L37" s="20">
        <f>SUMIFS(Anexo_4[base_imponible_18],Anexo_4[gastos_operativos_kpi],$D$37,Anexo_4[periodo],$L$7)+SUMIFS(Anexo_4[base_imponible_10],Anexo_4[gastos_operativos_kpi],$D$37,Anexo_4[periodo],$L$7)</f>
        <v>2374</v>
      </c>
      <c r="M37" s="20">
        <f>SUMIFS(Anexo_4[base_imponible_18],Anexo_4[gastos_operativos_kpi],$D$37,Anexo_4[periodo],$M$7)+SUMIFS(Anexo_4[base_imponible_10],Anexo_4[gastos_operativos_kpi],$D$37,Anexo_4[periodo],$M$7)</f>
        <v>1514</v>
      </c>
      <c r="N37" s="20">
        <f>SUMIFS(Anexo_4[base_imponible_18],Anexo_4[gastos_operativos_kpi],$D$37,Anexo_4[periodo],$N$7)+SUMIFS(Anexo_4[base_imponible_10],Anexo_4[gastos_operativos_kpi],$D$37,Anexo_4[periodo],$N$7)</f>
        <v>440</v>
      </c>
      <c r="O37" s="20">
        <f>SUMIFS(Anexo_4[base_imponible_18],Anexo_4[gastos_operativos_kpi],$D$37,Anexo_4[periodo],$O$7)+SUMIFS(Anexo_4[base_imponible_10],Anexo_4[gastos_operativos_kpi],$D$37,Anexo_4[periodo],$O$7)</f>
        <v>0</v>
      </c>
      <c r="P37" s="20">
        <f>SUMIFS(Anexo_4[base_imponible_18],Anexo_4[gastos_operativos_kpi],$D$37,Anexo_4[periodo],$P$7)+SUMIFS(Anexo_4[base_imponible_10],Anexo_4[gastos_operativos_kpi],$D$37,Anexo_4[periodo],$P$7)</f>
        <v>0</v>
      </c>
      <c r="Q37" s="20">
        <f>SUMIFS(Anexo_4[base_imponible_18],Anexo_4[gastos_operativos_kpi],$D$37,Anexo_4[periodo],$Q$7)+SUMIFS(Anexo_4[base_imponible_10],Anexo_4[gastos_operativos_kpi],$D$37,Anexo_4[periodo],$Q$7)</f>
        <v>0</v>
      </c>
      <c r="R37" s="25">
        <f t="shared" si="3"/>
        <v>4618</v>
      </c>
      <c r="S37" s="25">
        <f t="shared" si="4"/>
        <v>384.83333333333331</v>
      </c>
    </row>
    <row r="38" spans="2:19" ht="22.5" customHeight="1" x14ac:dyDescent="0.25">
      <c r="B38" s="73"/>
      <c r="C38" s="190" t="s">
        <v>156</v>
      </c>
      <c r="D38" s="190"/>
      <c r="E38" s="21"/>
      <c r="F38" s="21">
        <f t="shared" ref="F38:S38" si="5">SUM(F36:F37)</f>
        <v>0</v>
      </c>
      <c r="G38" s="21">
        <f t="shared" si="5"/>
        <v>0</v>
      </c>
      <c r="H38" s="21">
        <f t="shared" si="5"/>
        <v>0</v>
      </c>
      <c r="I38" s="21">
        <f t="shared" si="5"/>
        <v>0</v>
      </c>
      <c r="J38" s="21">
        <f t="shared" si="5"/>
        <v>0</v>
      </c>
      <c r="K38" s="21">
        <f t="shared" si="5"/>
        <v>290</v>
      </c>
      <c r="L38" s="21">
        <f t="shared" si="5"/>
        <v>3053</v>
      </c>
      <c r="M38" s="21">
        <f t="shared" si="5"/>
        <v>3266.95</v>
      </c>
      <c r="N38" s="21">
        <f t="shared" si="5"/>
        <v>1989.95</v>
      </c>
      <c r="O38" s="21">
        <f t="shared" si="5"/>
        <v>0</v>
      </c>
      <c r="P38" s="21">
        <f t="shared" si="5"/>
        <v>0</v>
      </c>
      <c r="Q38" s="21">
        <f t="shared" si="5"/>
        <v>0</v>
      </c>
      <c r="R38" s="21">
        <f t="shared" si="5"/>
        <v>8599.9</v>
      </c>
      <c r="S38" s="21">
        <f t="shared" si="5"/>
        <v>716.6583333333333</v>
      </c>
    </row>
  </sheetData>
  <mergeCells count="13">
    <mergeCell ref="B2:C5"/>
    <mergeCell ref="D2:Q2"/>
    <mergeCell ref="R2:S2"/>
    <mergeCell ref="D3:Q4"/>
    <mergeCell ref="R3:S3"/>
    <mergeCell ref="R4:S4"/>
    <mergeCell ref="D5:Q5"/>
    <mergeCell ref="R5:S5"/>
    <mergeCell ref="B8:B33"/>
    <mergeCell ref="C8:C33"/>
    <mergeCell ref="C34:D34"/>
    <mergeCell ref="C36:C37"/>
    <mergeCell ref="C38:D38"/>
  </mergeCells>
  <printOptions horizontalCentered="1"/>
  <pageMargins left="0.31496062992125984" right="0.31496062992125984" top="0.55118110236220474" bottom="0.55118110236220474" header="0.31496062992125984" footer="0.31496062992125984"/>
  <pageSetup paperSize="9" scale="52" fitToHeight="0" orientation="landscape" horizontalDpi="1200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38571-7DA5-4687-86F5-7FDD69CD975A}">
  <sheetPr codeName="Hoja3">
    <tabColor rgb="FF72B730"/>
    <pageSetUpPr fitToPage="1"/>
  </sheetPr>
  <dimension ref="A1:AB2903"/>
  <sheetViews>
    <sheetView showGridLines="0" showZeros="0" topLeftCell="V1" zoomScale="85" zoomScaleNormal="85" zoomScaleSheetLayoutView="130" workbookViewId="0">
      <selection sqref="A1:AB1"/>
    </sheetView>
  </sheetViews>
  <sheetFormatPr defaultColWidth="12.6640625" defaultRowHeight="13.8" x14ac:dyDescent="0.3"/>
  <cols>
    <col min="1" max="1" width="11.77734375" style="23" bestFit="1" customWidth="1"/>
    <col min="2" max="2" width="38.77734375" style="1" bestFit="1" customWidth="1"/>
    <col min="3" max="3" width="9.21875" style="5" bestFit="1" customWidth="1"/>
    <col min="4" max="4" width="25" style="1" bestFit="1" customWidth="1"/>
    <col min="5" max="5" width="37.88671875" style="1" bestFit="1" customWidth="1"/>
    <col min="6" max="6" width="34.33203125" style="1" bestFit="1" customWidth="1"/>
    <col min="7" max="7" width="19.6640625" style="1" bestFit="1" customWidth="1"/>
    <col min="8" max="8" width="83.5546875" style="5" bestFit="1" customWidth="1"/>
    <col min="9" max="9" width="11" style="23" bestFit="1" customWidth="1"/>
    <col min="10" max="10" width="103.88671875" style="5" bestFit="1" customWidth="1"/>
    <col min="11" max="12" width="28.88671875" style="23" bestFit="1" customWidth="1"/>
    <col min="13" max="13" width="10.44140625" style="23" bestFit="1" customWidth="1"/>
    <col min="14" max="14" width="12.88671875" style="23" bestFit="1" customWidth="1"/>
    <col min="15" max="16" width="22.33203125" style="23" bestFit="1" customWidth="1"/>
    <col min="17" max="18" width="19.44140625" style="23" bestFit="1" customWidth="1"/>
    <col min="19" max="19" width="20.88671875" style="23" bestFit="1" customWidth="1"/>
    <col min="20" max="20" width="10.6640625" style="23" bestFit="1" customWidth="1"/>
    <col min="21" max="21" width="18.77734375" style="23" bestFit="1" customWidth="1"/>
    <col min="22" max="22" width="20.5546875" style="23" bestFit="1" customWidth="1"/>
    <col min="23" max="23" width="16.6640625" style="23" bestFit="1" customWidth="1"/>
    <col min="24" max="24" width="13.44140625" style="23" bestFit="1" customWidth="1"/>
    <col min="25" max="25" width="35.44140625" style="23" bestFit="1" customWidth="1"/>
    <col min="26" max="26" width="12" style="23" bestFit="1" customWidth="1"/>
    <col min="27" max="27" width="83.5546875" style="23" bestFit="1" customWidth="1"/>
    <col min="28" max="28" width="37.88671875" style="23" bestFit="1" customWidth="1"/>
    <col min="29" max="16384" width="12.6640625" style="23"/>
  </cols>
  <sheetData>
    <row r="1" spans="1:28" x14ac:dyDescent="0.3">
      <c r="A1" s="208" t="s">
        <v>9922</v>
      </c>
      <c r="B1" s="208" t="s">
        <v>9923</v>
      </c>
      <c r="C1" s="208" t="s">
        <v>9924</v>
      </c>
      <c r="D1" s="208" t="s">
        <v>9925</v>
      </c>
      <c r="E1" s="208" t="s">
        <v>9926</v>
      </c>
      <c r="F1" s="208" t="s">
        <v>9927</v>
      </c>
      <c r="G1" s="208" t="s">
        <v>9928</v>
      </c>
      <c r="H1" s="209" t="s">
        <v>9929</v>
      </c>
      <c r="I1" s="208" t="s">
        <v>9930</v>
      </c>
      <c r="J1" s="209" t="s">
        <v>9931</v>
      </c>
      <c r="K1" s="208" t="s">
        <v>9932</v>
      </c>
      <c r="L1" s="208" t="s">
        <v>9933</v>
      </c>
      <c r="M1" s="208" t="s">
        <v>9934</v>
      </c>
      <c r="N1" s="208" t="s">
        <v>9935</v>
      </c>
      <c r="O1" s="208" t="s">
        <v>9936</v>
      </c>
      <c r="P1" s="208" t="s">
        <v>9937</v>
      </c>
      <c r="Q1" s="208" t="s">
        <v>9938</v>
      </c>
      <c r="R1" s="208" t="s">
        <v>9939</v>
      </c>
      <c r="S1" s="208" t="s">
        <v>9940</v>
      </c>
      <c r="T1" s="208" t="s">
        <v>9941</v>
      </c>
      <c r="U1" s="208" t="s">
        <v>9942</v>
      </c>
      <c r="V1" s="208" t="s">
        <v>9943</v>
      </c>
      <c r="W1" s="208" t="s">
        <v>9944</v>
      </c>
      <c r="X1" s="208" t="s">
        <v>9945</v>
      </c>
      <c r="Y1" s="208" t="s">
        <v>9946</v>
      </c>
      <c r="Z1" s="208" t="s">
        <v>9947</v>
      </c>
      <c r="AA1" s="208" t="s">
        <v>9948</v>
      </c>
      <c r="AB1" s="210" t="s">
        <v>9949</v>
      </c>
    </row>
    <row r="2" spans="1:28" ht="27" customHeight="1" x14ac:dyDescent="0.3">
      <c r="A2" s="34" t="s">
        <v>161</v>
      </c>
      <c r="B2" s="36" t="str">
        <f t="shared" ref="B2:B65" si="0">PROPER(CHOOSE(LEFT(D2,2),"enero","febrero","marzo","abril","mayo","junio","julio","agosto","setiembre","octubre","noviembre","diciembre"))</f>
        <v>Junio</v>
      </c>
      <c r="C2" s="33" t="s">
        <v>162</v>
      </c>
      <c r="D2" s="33" t="s">
        <v>163</v>
      </c>
      <c r="E2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" s="32" t="s">
        <v>164</v>
      </c>
      <c r="G2" s="32" t="s">
        <v>165</v>
      </c>
      <c r="H2" s="139" t="s">
        <v>166</v>
      </c>
      <c r="I2" s="33" t="s">
        <v>167</v>
      </c>
      <c r="J2" s="143" t="s">
        <v>168</v>
      </c>
      <c r="K2" s="33" t="s">
        <v>169</v>
      </c>
      <c r="L2" s="102" t="str">
        <f>VLOOKUP(Anexo_4[[#This Row],[cod_doc]],TIPODOC,2,FALSE)</f>
        <v>FACTURA</v>
      </c>
      <c r="M2" s="33" t="s">
        <v>170</v>
      </c>
      <c r="N2" s="32">
        <v>10638</v>
      </c>
      <c r="O2" s="48">
        <v>166.54</v>
      </c>
      <c r="P2" s="49" t="s">
        <v>171</v>
      </c>
      <c r="Q2" s="81">
        <v>29.977199999999996</v>
      </c>
      <c r="R2" s="80" t="s">
        <v>171</v>
      </c>
      <c r="S2" s="48">
        <v>0</v>
      </c>
      <c r="T2" s="50">
        <v>196.52</v>
      </c>
      <c r="U2" s="33"/>
      <c r="V2" s="34"/>
      <c r="W2" s="33"/>
      <c r="X2" s="33"/>
      <c r="Y2" s="33"/>
      <c r="Z2" s="52" t="s">
        <v>172</v>
      </c>
      <c r="AA2" s="52" t="s">
        <v>166</v>
      </c>
      <c r="AB2" s="53" t="str">
        <f>IFERROR(VLOOKUP(Anexo_4[[#This Row],[cuenta]],OP,2,0),"-")</f>
        <v>-</v>
      </c>
    </row>
    <row r="3" spans="1:28" s="84" customFormat="1" ht="27" customHeight="1" x14ac:dyDescent="0.3">
      <c r="A3" s="75" t="s">
        <v>173</v>
      </c>
      <c r="B3" s="36" t="str">
        <f t="shared" si="0"/>
        <v>Junio</v>
      </c>
      <c r="C3" s="77" t="s">
        <v>162</v>
      </c>
      <c r="D3" s="77" t="s">
        <v>174</v>
      </c>
      <c r="E3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3" s="79" t="s">
        <v>175</v>
      </c>
      <c r="G3" s="79" t="s">
        <v>176</v>
      </c>
      <c r="H3" s="140" t="s">
        <v>177</v>
      </c>
      <c r="I3" s="77" t="s">
        <v>178</v>
      </c>
      <c r="J3" s="144" t="s">
        <v>179</v>
      </c>
      <c r="K3" s="77" t="s">
        <v>169</v>
      </c>
      <c r="L3" s="103" t="str">
        <f>VLOOKUP(Anexo_4[[#This Row],[cod_doc]],TIPODOC,2,FALSE)</f>
        <v>FACTURA</v>
      </c>
      <c r="M3" s="77" t="s">
        <v>180</v>
      </c>
      <c r="N3" s="79">
        <v>132626</v>
      </c>
      <c r="O3" s="80">
        <v>8.4700000000000006</v>
      </c>
      <c r="P3" s="81" t="s">
        <v>171</v>
      </c>
      <c r="Q3" s="81">
        <v>1.5246</v>
      </c>
      <c r="R3" s="80" t="s">
        <v>171</v>
      </c>
      <c r="S3" s="80">
        <v>0</v>
      </c>
      <c r="T3" s="82">
        <v>10</v>
      </c>
      <c r="U3" s="77"/>
      <c r="V3" s="75"/>
      <c r="W3" s="77"/>
      <c r="X3" s="77"/>
      <c r="Y3" s="77" t="s">
        <v>181</v>
      </c>
      <c r="Z3" s="77" t="s">
        <v>182</v>
      </c>
      <c r="AA3" s="83" t="s">
        <v>177</v>
      </c>
      <c r="AB3" s="104" t="str">
        <f>IFERROR(VLOOKUP(Anexo_4[[#This Row],[cuenta]],OP,2,0),"-")</f>
        <v>Balanza - Ventas</v>
      </c>
    </row>
    <row r="4" spans="1:28" s="84" customFormat="1" ht="27" customHeight="1" x14ac:dyDescent="0.3">
      <c r="A4" s="75" t="s">
        <v>173</v>
      </c>
      <c r="B4" s="36" t="str">
        <f t="shared" si="0"/>
        <v>Junio</v>
      </c>
      <c r="C4" s="77" t="s">
        <v>162</v>
      </c>
      <c r="D4" s="77" t="s">
        <v>183</v>
      </c>
      <c r="E4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4" s="79" t="s">
        <v>175</v>
      </c>
      <c r="G4" s="79" t="s">
        <v>176</v>
      </c>
      <c r="H4" s="140" t="s">
        <v>184</v>
      </c>
      <c r="I4" s="77" t="s">
        <v>178</v>
      </c>
      <c r="J4" s="144" t="s">
        <v>179</v>
      </c>
      <c r="K4" s="77" t="s">
        <v>169</v>
      </c>
      <c r="L4" s="103" t="str">
        <f>VLOOKUP(Anexo_4[[#This Row],[cod_doc]],TIPODOC,2,FALSE)</f>
        <v>FACTURA</v>
      </c>
      <c r="M4" s="77" t="s">
        <v>180</v>
      </c>
      <c r="N4" s="79">
        <v>132625</v>
      </c>
      <c r="O4" s="80">
        <v>8.4700000000000006</v>
      </c>
      <c r="P4" s="81" t="s">
        <v>171</v>
      </c>
      <c r="Q4" s="81">
        <v>1.5246</v>
      </c>
      <c r="R4" s="80" t="s">
        <v>171</v>
      </c>
      <c r="S4" s="80">
        <v>0</v>
      </c>
      <c r="T4" s="82">
        <v>10</v>
      </c>
      <c r="U4" s="77"/>
      <c r="V4" s="75"/>
      <c r="W4" s="77"/>
      <c r="X4" s="77"/>
      <c r="Y4" s="77" t="s">
        <v>185</v>
      </c>
      <c r="Z4" s="77" t="s">
        <v>182</v>
      </c>
      <c r="AA4" s="83" t="s">
        <v>184</v>
      </c>
      <c r="AB4" s="104" t="str">
        <f>IFERROR(VLOOKUP(Anexo_4[[#This Row],[cuenta]],OP,2,0),"-")</f>
        <v>Balanza - Ventas</v>
      </c>
    </row>
    <row r="5" spans="1:28" s="84" customFormat="1" ht="27" customHeight="1" x14ac:dyDescent="0.3">
      <c r="A5" s="75" t="s">
        <v>173</v>
      </c>
      <c r="B5" s="36" t="str">
        <f t="shared" si="0"/>
        <v>Junio</v>
      </c>
      <c r="C5" s="77" t="s">
        <v>162</v>
      </c>
      <c r="D5" s="77" t="s">
        <v>186</v>
      </c>
      <c r="E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5" s="79" t="s">
        <v>175</v>
      </c>
      <c r="G5" s="79" t="s">
        <v>176</v>
      </c>
      <c r="H5" s="140" t="s">
        <v>187</v>
      </c>
      <c r="I5" s="77" t="s">
        <v>178</v>
      </c>
      <c r="J5" s="144" t="s">
        <v>179</v>
      </c>
      <c r="K5" s="77" t="s">
        <v>169</v>
      </c>
      <c r="L5" s="103" t="str">
        <f>VLOOKUP(Anexo_4[[#This Row],[cod_doc]],TIPODOC,2,FALSE)</f>
        <v>FACTURA</v>
      </c>
      <c r="M5" s="77" t="s">
        <v>180</v>
      </c>
      <c r="N5" s="79">
        <v>132631</v>
      </c>
      <c r="O5" s="80">
        <v>8.4700000000000006</v>
      </c>
      <c r="P5" s="81" t="s">
        <v>171</v>
      </c>
      <c r="Q5" s="81">
        <v>1.5246</v>
      </c>
      <c r="R5" s="80" t="s">
        <v>171</v>
      </c>
      <c r="S5" s="80">
        <v>0</v>
      </c>
      <c r="T5" s="82">
        <v>10</v>
      </c>
      <c r="U5" s="77"/>
      <c r="V5" s="75"/>
      <c r="W5" s="77"/>
      <c r="X5" s="77"/>
      <c r="Y5" s="77" t="s">
        <v>188</v>
      </c>
      <c r="Z5" s="77" t="s">
        <v>182</v>
      </c>
      <c r="AA5" s="83" t="s">
        <v>187</v>
      </c>
      <c r="AB5" s="104" t="str">
        <f>IFERROR(VLOOKUP(Anexo_4[[#This Row],[cuenta]],OP,2,0),"-")</f>
        <v>Balanza - Ventas</v>
      </c>
    </row>
    <row r="6" spans="1:28" s="84" customFormat="1" ht="27" customHeight="1" x14ac:dyDescent="0.3">
      <c r="A6" s="75" t="s">
        <v>173</v>
      </c>
      <c r="B6" s="36" t="str">
        <f t="shared" si="0"/>
        <v>Junio</v>
      </c>
      <c r="C6" s="77" t="s">
        <v>162</v>
      </c>
      <c r="D6" s="77" t="s">
        <v>189</v>
      </c>
      <c r="E6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6" s="79" t="s">
        <v>190</v>
      </c>
      <c r="G6" s="79" t="s">
        <v>191</v>
      </c>
      <c r="H6" s="140" t="s">
        <v>192</v>
      </c>
      <c r="I6" s="77" t="s">
        <v>193</v>
      </c>
      <c r="J6" s="144" t="s">
        <v>194</v>
      </c>
      <c r="K6" s="77" t="s">
        <v>169</v>
      </c>
      <c r="L6" s="103" t="str">
        <f>VLOOKUP(Anexo_4[[#This Row],[cod_doc]],TIPODOC,2,FALSE)</f>
        <v>FACTURA</v>
      </c>
      <c r="M6" s="77" t="s">
        <v>195</v>
      </c>
      <c r="N6" s="79">
        <v>283349</v>
      </c>
      <c r="O6" s="80">
        <v>37.29</v>
      </c>
      <c r="P6" s="81" t="s">
        <v>171</v>
      </c>
      <c r="Q6" s="81">
        <v>6.7121999999999993</v>
      </c>
      <c r="R6" s="80" t="s">
        <v>171</v>
      </c>
      <c r="S6" s="80">
        <v>0</v>
      </c>
      <c r="T6" s="82">
        <v>44</v>
      </c>
      <c r="U6" s="77"/>
      <c r="V6" s="75"/>
      <c r="W6" s="77"/>
      <c r="X6" s="77"/>
      <c r="Y6" s="77"/>
      <c r="Z6" s="77" t="s">
        <v>196</v>
      </c>
      <c r="AA6" s="83" t="s">
        <v>192</v>
      </c>
      <c r="AB6" s="104" t="str">
        <f>IFERROR(VLOOKUP(Anexo_4[[#This Row],[cuenta]],OP,2,0),"-")</f>
        <v>Encomienda (Envío de documentación)</v>
      </c>
    </row>
    <row r="7" spans="1:28" s="84" customFormat="1" ht="27" customHeight="1" x14ac:dyDescent="0.3">
      <c r="A7" s="75" t="s">
        <v>173</v>
      </c>
      <c r="B7" s="36" t="str">
        <f t="shared" si="0"/>
        <v>Junio</v>
      </c>
      <c r="C7" s="77" t="s">
        <v>162</v>
      </c>
      <c r="D7" s="77" t="s">
        <v>197</v>
      </c>
      <c r="E7" s="78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7" s="79" t="s">
        <v>198</v>
      </c>
      <c r="G7" s="79" t="s">
        <v>199</v>
      </c>
      <c r="H7" s="140" t="s">
        <v>200</v>
      </c>
      <c r="I7" s="77" t="s">
        <v>201</v>
      </c>
      <c r="J7" s="144" t="s">
        <v>202</v>
      </c>
      <c r="K7" s="77" t="s">
        <v>169</v>
      </c>
      <c r="L7" s="103" t="str">
        <f>VLOOKUP(Anexo_4[[#This Row],[cod_doc]],TIPODOC,2,FALSE)</f>
        <v>FACTURA</v>
      </c>
      <c r="M7" s="77" t="s">
        <v>102</v>
      </c>
      <c r="N7" s="79">
        <v>2546</v>
      </c>
      <c r="O7" s="80">
        <v>701.69</v>
      </c>
      <c r="P7" s="81" t="s">
        <v>171</v>
      </c>
      <c r="Q7" s="81">
        <v>126.30420000000001</v>
      </c>
      <c r="R7" s="80" t="s">
        <v>171</v>
      </c>
      <c r="S7" s="80">
        <v>0</v>
      </c>
      <c r="T7" s="82">
        <v>828</v>
      </c>
      <c r="U7" s="77"/>
      <c r="V7" s="75"/>
      <c r="W7" s="77"/>
      <c r="X7" s="77"/>
      <c r="Y7" s="77"/>
      <c r="Z7" s="77" t="s">
        <v>203</v>
      </c>
      <c r="AA7" s="83" t="s">
        <v>200</v>
      </c>
      <c r="AB7" s="104" t="str">
        <f>IFERROR(VLOOKUP(Anexo_4[[#This Row],[cuenta]],OP,2,0),"-")</f>
        <v>-</v>
      </c>
    </row>
    <row r="8" spans="1:28" s="84" customFormat="1" ht="27" customHeight="1" x14ac:dyDescent="0.3">
      <c r="A8" s="75" t="s">
        <v>161</v>
      </c>
      <c r="B8" s="36" t="str">
        <f t="shared" si="0"/>
        <v>Junio</v>
      </c>
      <c r="C8" s="77" t="s">
        <v>162</v>
      </c>
      <c r="D8" s="77" t="s">
        <v>204</v>
      </c>
      <c r="E8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8" s="79" t="s">
        <v>164</v>
      </c>
      <c r="G8" s="79" t="s">
        <v>165</v>
      </c>
      <c r="H8" s="140" t="s">
        <v>205</v>
      </c>
      <c r="I8" s="77" t="s">
        <v>206</v>
      </c>
      <c r="J8" s="144" t="s">
        <v>207</v>
      </c>
      <c r="K8" s="77" t="s">
        <v>169</v>
      </c>
      <c r="L8" s="103" t="str">
        <f>VLOOKUP(Anexo_4[[#This Row],[cod_doc]],TIPODOC,2,FALSE)</f>
        <v>FACTURA</v>
      </c>
      <c r="M8" s="77" t="s">
        <v>208</v>
      </c>
      <c r="N8" s="79">
        <v>203</v>
      </c>
      <c r="O8" s="80">
        <v>152.54</v>
      </c>
      <c r="P8" s="81" t="s">
        <v>171</v>
      </c>
      <c r="Q8" s="81">
        <v>27.457199999999997</v>
      </c>
      <c r="R8" s="80" t="s">
        <v>171</v>
      </c>
      <c r="S8" s="80">
        <v>0</v>
      </c>
      <c r="T8" s="82">
        <v>180</v>
      </c>
      <c r="U8" s="77"/>
      <c r="V8" s="75"/>
      <c r="W8" s="77"/>
      <c r="X8" s="77"/>
      <c r="Y8" s="77"/>
      <c r="Z8" s="77" t="s">
        <v>209</v>
      </c>
      <c r="AA8" s="83" t="s">
        <v>205</v>
      </c>
      <c r="AB8" s="104" t="str">
        <f>IFERROR(VLOOKUP(Anexo_4[[#This Row],[cuenta]],OP,2,0),"-")</f>
        <v>-</v>
      </c>
    </row>
    <row r="9" spans="1:28" s="84" customFormat="1" ht="27" customHeight="1" x14ac:dyDescent="0.3">
      <c r="A9" s="75" t="s">
        <v>210</v>
      </c>
      <c r="B9" s="36" t="str">
        <f t="shared" si="0"/>
        <v>Junio</v>
      </c>
      <c r="C9" s="77" t="s">
        <v>162</v>
      </c>
      <c r="D9" s="77" t="s">
        <v>211</v>
      </c>
      <c r="E9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9" s="79" t="s">
        <v>164</v>
      </c>
      <c r="G9" s="79" t="s">
        <v>165</v>
      </c>
      <c r="H9" s="140" t="s">
        <v>212</v>
      </c>
      <c r="I9" s="77" t="s">
        <v>213</v>
      </c>
      <c r="J9" s="144" t="s">
        <v>214</v>
      </c>
      <c r="K9" s="77" t="s">
        <v>169</v>
      </c>
      <c r="L9" s="103" t="str">
        <f>VLOOKUP(Anexo_4[[#This Row],[cod_doc]],TIPODOC,2,FALSE)</f>
        <v>FACTURA</v>
      </c>
      <c r="M9" s="77" t="s">
        <v>102</v>
      </c>
      <c r="N9" s="79">
        <v>429</v>
      </c>
      <c r="O9" s="80">
        <v>79.900000000000006</v>
      </c>
      <c r="P9" s="81" t="s">
        <v>171</v>
      </c>
      <c r="Q9" s="81">
        <v>14.382</v>
      </c>
      <c r="R9" s="80" t="s">
        <v>171</v>
      </c>
      <c r="S9" s="80">
        <v>0</v>
      </c>
      <c r="T9" s="82">
        <v>94.28</v>
      </c>
      <c r="U9" s="77"/>
      <c r="V9" s="75"/>
      <c r="W9" s="77"/>
      <c r="X9" s="77"/>
      <c r="Y9" s="77"/>
      <c r="Z9" s="77" t="s">
        <v>209</v>
      </c>
      <c r="AA9" s="83" t="s">
        <v>212</v>
      </c>
      <c r="AB9" s="104" t="str">
        <f>IFERROR(VLOOKUP(Anexo_4[[#This Row],[cuenta]],OP,2,0),"-")</f>
        <v>-</v>
      </c>
    </row>
    <row r="10" spans="1:28" s="84" customFormat="1" ht="27" customHeight="1" x14ac:dyDescent="0.3">
      <c r="A10" s="75" t="s">
        <v>215</v>
      </c>
      <c r="B10" s="36" t="str">
        <f t="shared" si="0"/>
        <v>Junio</v>
      </c>
      <c r="C10" s="77" t="s">
        <v>162</v>
      </c>
      <c r="D10" s="77" t="s">
        <v>216</v>
      </c>
      <c r="E10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0" s="79" t="s">
        <v>217</v>
      </c>
      <c r="G10" s="79" t="s">
        <v>218</v>
      </c>
      <c r="H10" s="140" t="s">
        <v>219</v>
      </c>
      <c r="I10" s="77" t="s">
        <v>220</v>
      </c>
      <c r="J10" s="144" t="s">
        <v>221</v>
      </c>
      <c r="K10" s="77" t="s">
        <v>169</v>
      </c>
      <c r="L10" s="103" t="str">
        <f>VLOOKUP(Anexo_4[[#This Row],[cod_doc]],TIPODOC,2,FALSE)</f>
        <v>FACTURA</v>
      </c>
      <c r="M10" s="77" t="s">
        <v>222</v>
      </c>
      <c r="N10" s="79">
        <v>482</v>
      </c>
      <c r="O10" s="80">
        <v>240</v>
      </c>
      <c r="P10" s="81" t="s">
        <v>171</v>
      </c>
      <c r="Q10" s="81">
        <v>43.199999999999996</v>
      </c>
      <c r="R10" s="80" t="s">
        <v>171</v>
      </c>
      <c r="S10" s="80">
        <v>0</v>
      </c>
      <c r="T10" s="82">
        <v>283.2</v>
      </c>
      <c r="U10" s="77"/>
      <c r="V10" s="75"/>
      <c r="W10" s="77"/>
      <c r="X10" s="77"/>
      <c r="Y10" s="77"/>
      <c r="Z10" s="77" t="s">
        <v>223</v>
      </c>
      <c r="AA10" s="83" t="s">
        <v>219</v>
      </c>
      <c r="AB10" s="104" t="str">
        <f>IFERROR(VLOOKUP(Anexo_4[[#This Row],[cuenta]],OP,2,0),"-")</f>
        <v>Mantenimiento Vehicular (Preventivo)</v>
      </c>
    </row>
    <row r="11" spans="1:28" s="84" customFormat="1" ht="27" customHeight="1" x14ac:dyDescent="0.3">
      <c r="A11" s="75" t="s">
        <v>215</v>
      </c>
      <c r="B11" s="36" t="str">
        <f t="shared" si="0"/>
        <v>Junio</v>
      </c>
      <c r="C11" s="77" t="s">
        <v>162</v>
      </c>
      <c r="D11" s="77" t="s">
        <v>224</v>
      </c>
      <c r="E1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1" s="79" t="s">
        <v>217</v>
      </c>
      <c r="G11" s="79" t="s">
        <v>218</v>
      </c>
      <c r="H11" s="140" t="s">
        <v>219</v>
      </c>
      <c r="I11" s="77" t="s">
        <v>220</v>
      </c>
      <c r="J11" s="144" t="s">
        <v>221</v>
      </c>
      <c r="K11" s="77" t="s">
        <v>169</v>
      </c>
      <c r="L11" s="103" t="str">
        <f>VLOOKUP(Anexo_4[[#This Row],[cod_doc]],TIPODOC,2,FALSE)</f>
        <v>FACTURA</v>
      </c>
      <c r="M11" s="77" t="s">
        <v>222</v>
      </c>
      <c r="N11" s="79">
        <v>483</v>
      </c>
      <c r="O11" s="80">
        <v>733.05</v>
      </c>
      <c r="P11" s="81" t="s">
        <v>171</v>
      </c>
      <c r="Q11" s="81">
        <v>131.94899999999998</v>
      </c>
      <c r="R11" s="80" t="s">
        <v>171</v>
      </c>
      <c r="S11" s="80">
        <v>0</v>
      </c>
      <c r="T11" s="82">
        <v>865</v>
      </c>
      <c r="U11" s="77"/>
      <c r="V11" s="75"/>
      <c r="W11" s="77"/>
      <c r="X11" s="77"/>
      <c r="Y11" s="77"/>
      <c r="Z11" s="77" t="s">
        <v>223</v>
      </c>
      <c r="AA11" s="83" t="s">
        <v>219</v>
      </c>
      <c r="AB11" s="104" t="str">
        <f>IFERROR(VLOOKUP(Anexo_4[[#This Row],[cuenta]],OP,2,0),"-")</f>
        <v>Mantenimiento Vehicular (Preventivo)</v>
      </c>
    </row>
    <row r="12" spans="1:28" s="84" customFormat="1" ht="27" customHeight="1" x14ac:dyDescent="0.3">
      <c r="A12" s="75" t="s">
        <v>215</v>
      </c>
      <c r="B12" s="36" t="str">
        <f t="shared" si="0"/>
        <v>Junio</v>
      </c>
      <c r="C12" s="77" t="s">
        <v>162</v>
      </c>
      <c r="D12" s="77" t="s">
        <v>225</v>
      </c>
      <c r="E1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2" s="79" t="s">
        <v>175</v>
      </c>
      <c r="G12" s="79" t="s">
        <v>176</v>
      </c>
      <c r="H12" s="140" t="s">
        <v>226</v>
      </c>
      <c r="I12" s="77" t="s">
        <v>227</v>
      </c>
      <c r="J12" s="144" t="s">
        <v>228</v>
      </c>
      <c r="K12" s="77" t="s">
        <v>169</v>
      </c>
      <c r="L12" s="103" t="str">
        <f>VLOOKUP(Anexo_4[[#This Row],[cod_doc]],TIPODOC,2,FALSE)</f>
        <v>FACTURA</v>
      </c>
      <c r="M12" s="77" t="s">
        <v>222</v>
      </c>
      <c r="N12" s="79">
        <v>35937</v>
      </c>
      <c r="O12" s="80">
        <v>101.69</v>
      </c>
      <c r="P12" s="81" t="s">
        <v>171</v>
      </c>
      <c r="Q12" s="81">
        <v>18.304199999999998</v>
      </c>
      <c r="R12" s="80" t="s">
        <v>171</v>
      </c>
      <c r="S12" s="80">
        <v>0</v>
      </c>
      <c r="T12" s="82">
        <v>120</v>
      </c>
      <c r="U12" s="77"/>
      <c r="V12" s="75"/>
      <c r="W12" s="77"/>
      <c r="X12" s="77"/>
      <c r="Y12" s="77"/>
      <c r="Z12" s="77" t="s">
        <v>229</v>
      </c>
      <c r="AA12" s="83" t="s">
        <v>226</v>
      </c>
      <c r="AB12" s="104" t="str">
        <f>IFERROR(VLOOKUP(Anexo_4[[#This Row],[cuenta]],OP,2,0),"-")</f>
        <v>Revisión Técnica Vehicular</v>
      </c>
    </row>
    <row r="13" spans="1:28" s="84" customFormat="1" ht="27" customHeight="1" x14ac:dyDescent="0.3">
      <c r="A13" s="75" t="s">
        <v>215</v>
      </c>
      <c r="B13" s="36" t="str">
        <f t="shared" si="0"/>
        <v>Junio</v>
      </c>
      <c r="C13" s="77" t="s">
        <v>162</v>
      </c>
      <c r="D13" s="77" t="s">
        <v>230</v>
      </c>
      <c r="E13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3" s="79"/>
      <c r="G13" s="79"/>
      <c r="H13" s="140"/>
      <c r="I13" s="77" t="s">
        <v>231</v>
      </c>
      <c r="J13" s="144" t="s">
        <v>232</v>
      </c>
      <c r="K13" s="77" t="s">
        <v>169</v>
      </c>
      <c r="L13" s="103" t="str">
        <f>VLOOKUP(Anexo_4[[#This Row],[cod_doc]],TIPODOC,2,FALSE)</f>
        <v>FACTURA</v>
      </c>
      <c r="M13" s="77" t="s">
        <v>102</v>
      </c>
      <c r="N13" s="79" t="s">
        <v>233</v>
      </c>
      <c r="O13" s="80">
        <v>1701.69</v>
      </c>
      <c r="P13" s="81" t="s">
        <v>171</v>
      </c>
      <c r="Q13" s="81">
        <v>306.31</v>
      </c>
      <c r="R13" s="80" t="s">
        <v>171</v>
      </c>
      <c r="S13" s="80">
        <v>0</v>
      </c>
      <c r="T13" s="82">
        <v>2008</v>
      </c>
      <c r="U13" s="77"/>
      <c r="V13" s="75"/>
      <c r="W13" s="77"/>
      <c r="X13" s="77"/>
      <c r="Y13" s="77"/>
      <c r="Z13" s="77"/>
      <c r="AA13" s="83"/>
      <c r="AB13" s="104" t="str">
        <f>IFERROR(VLOOKUP(Anexo_4[[#This Row],[cuenta]],OP,2,0),"-")</f>
        <v>-</v>
      </c>
    </row>
    <row r="14" spans="1:28" s="84" customFormat="1" ht="27" customHeight="1" x14ac:dyDescent="0.3">
      <c r="A14" s="75" t="s">
        <v>173</v>
      </c>
      <c r="B14" s="36" t="str">
        <f t="shared" si="0"/>
        <v>Junio</v>
      </c>
      <c r="C14" s="77" t="s">
        <v>162</v>
      </c>
      <c r="D14" s="77" t="s">
        <v>234</v>
      </c>
      <c r="E14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4" s="79" t="s">
        <v>235</v>
      </c>
      <c r="G14" s="79" t="s">
        <v>236</v>
      </c>
      <c r="H14" s="140" t="s">
        <v>137</v>
      </c>
      <c r="I14" s="77" t="s">
        <v>237</v>
      </c>
      <c r="J14" s="144" t="s">
        <v>238</v>
      </c>
      <c r="K14" s="77" t="s">
        <v>239</v>
      </c>
      <c r="L14" s="103" t="str">
        <f>VLOOKUP(Anexo_4[[#This Row],[cod_doc]],TIPODOC,2,FALSE)</f>
        <v>BOLETA DE VENTA</v>
      </c>
      <c r="M14" s="77" t="s">
        <v>240</v>
      </c>
      <c r="N14" s="79">
        <v>372</v>
      </c>
      <c r="O14" s="80"/>
      <c r="P14" s="81" t="s">
        <v>171</v>
      </c>
      <c r="Q14" s="81">
        <v>0</v>
      </c>
      <c r="R14" s="80" t="s">
        <v>171</v>
      </c>
      <c r="S14" s="80">
        <v>170</v>
      </c>
      <c r="T14" s="82">
        <v>170</v>
      </c>
      <c r="U14" s="77"/>
      <c r="V14" s="75"/>
      <c r="W14" s="77"/>
      <c r="X14" s="77"/>
      <c r="Y14" s="77"/>
      <c r="Z14" s="77" t="s">
        <v>241</v>
      </c>
      <c r="AA14" s="83" t="s">
        <v>137</v>
      </c>
      <c r="AB14" s="104" t="str">
        <f>IFERROR(VLOOKUP(Anexo_4[[#This Row],[cuenta]],OP,2,0),"-")</f>
        <v>Mantenimiento Vehicular (Correctivo)</v>
      </c>
    </row>
    <row r="15" spans="1:28" s="84" customFormat="1" ht="27" customHeight="1" x14ac:dyDescent="0.3">
      <c r="A15" s="75" t="s">
        <v>215</v>
      </c>
      <c r="B15" s="36" t="str">
        <f t="shared" si="0"/>
        <v>Junio</v>
      </c>
      <c r="C15" s="77" t="s">
        <v>162</v>
      </c>
      <c r="D15" s="77" t="s">
        <v>242</v>
      </c>
      <c r="E15" s="78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15" s="79" t="s">
        <v>198</v>
      </c>
      <c r="G15" s="79" t="s">
        <v>199</v>
      </c>
      <c r="H15" s="140" t="s">
        <v>243</v>
      </c>
      <c r="I15" s="77" t="s">
        <v>244</v>
      </c>
      <c r="J15" s="144" t="s">
        <v>245</v>
      </c>
      <c r="K15" s="77" t="s">
        <v>239</v>
      </c>
      <c r="L15" s="103" t="str">
        <f>VLOOKUP(Anexo_4[[#This Row],[cod_doc]],TIPODOC,2,FALSE)</f>
        <v>BOLETA DE VENTA</v>
      </c>
      <c r="M15" s="77" t="s">
        <v>162</v>
      </c>
      <c r="N15" s="79">
        <v>8318</v>
      </c>
      <c r="O15" s="80"/>
      <c r="P15" s="81" t="s">
        <v>171</v>
      </c>
      <c r="Q15" s="81">
        <v>0</v>
      </c>
      <c r="R15" s="80" t="s">
        <v>171</v>
      </c>
      <c r="S15" s="80">
        <v>12</v>
      </c>
      <c r="T15" s="82">
        <v>12</v>
      </c>
      <c r="U15" s="77"/>
      <c r="V15" s="75"/>
      <c r="W15" s="77"/>
      <c r="X15" s="77"/>
      <c r="Y15" s="77"/>
      <c r="Z15" s="77" t="s">
        <v>246</v>
      </c>
      <c r="AA15" s="83" t="s">
        <v>243</v>
      </c>
      <c r="AB15" s="104" t="str">
        <f>IFERROR(VLOOKUP(Anexo_4[[#This Row],[cuenta]],OP,2,0),"-")</f>
        <v>-</v>
      </c>
    </row>
    <row r="16" spans="1:28" s="84" customFormat="1" ht="27" customHeight="1" x14ac:dyDescent="0.3">
      <c r="A16" s="75" t="s">
        <v>210</v>
      </c>
      <c r="B16" s="36" t="str">
        <f t="shared" si="0"/>
        <v>Junio</v>
      </c>
      <c r="C16" s="77" t="s">
        <v>162</v>
      </c>
      <c r="D16" s="77" t="s">
        <v>247</v>
      </c>
      <c r="E1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6" s="79" t="s">
        <v>248</v>
      </c>
      <c r="G16" s="79" t="s">
        <v>249</v>
      </c>
      <c r="H16" s="140" t="s">
        <v>250</v>
      </c>
      <c r="I16" s="77" t="s">
        <v>251</v>
      </c>
      <c r="J16" s="144" t="s">
        <v>252</v>
      </c>
      <c r="K16" s="77" t="s">
        <v>169</v>
      </c>
      <c r="L16" s="103" t="str">
        <f>VLOOKUP(Anexo_4[[#This Row],[cod_doc]],TIPODOC,2,FALSE)</f>
        <v>FACTURA</v>
      </c>
      <c r="M16" s="77" t="s">
        <v>253</v>
      </c>
      <c r="N16" s="79">
        <v>19288</v>
      </c>
      <c r="O16" s="80">
        <v>549.15</v>
      </c>
      <c r="P16" s="81" t="s">
        <v>171</v>
      </c>
      <c r="Q16" s="81">
        <v>98.846999999999994</v>
      </c>
      <c r="R16" s="80" t="s">
        <v>171</v>
      </c>
      <c r="S16" s="80">
        <v>0</v>
      </c>
      <c r="T16" s="82">
        <v>648</v>
      </c>
      <c r="U16" s="77" t="s">
        <v>254</v>
      </c>
      <c r="V16" s="75" t="s">
        <v>255</v>
      </c>
      <c r="W16" s="77"/>
      <c r="X16" s="77"/>
      <c r="Y16" s="77"/>
      <c r="Z16" s="77" t="s">
        <v>256</v>
      </c>
      <c r="AA16" s="83" t="s">
        <v>250</v>
      </c>
      <c r="AB16" s="104" t="str">
        <f>IFERROR(VLOOKUP(Anexo_4[[#This Row],[cuenta]],OP,2,0),"-")</f>
        <v>Materias Primas - RRSS</v>
      </c>
    </row>
    <row r="17" spans="1:28" s="84" customFormat="1" ht="27" customHeight="1" x14ac:dyDescent="0.3">
      <c r="A17" s="75" t="s">
        <v>210</v>
      </c>
      <c r="B17" s="36" t="str">
        <f t="shared" si="0"/>
        <v>Junio</v>
      </c>
      <c r="C17" s="77" t="s">
        <v>162</v>
      </c>
      <c r="D17" s="77" t="s">
        <v>257</v>
      </c>
      <c r="E17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7" s="79"/>
      <c r="G17" s="79"/>
      <c r="H17" s="140"/>
      <c r="I17" s="77" t="s">
        <v>258</v>
      </c>
      <c r="J17" s="144" t="s">
        <v>259</v>
      </c>
      <c r="K17" s="77" t="s">
        <v>169</v>
      </c>
      <c r="L17" s="103" t="str">
        <f>VLOOKUP(Anexo_4[[#This Row],[cod_doc]],TIPODOC,2,FALSE)</f>
        <v>FACTURA</v>
      </c>
      <c r="M17" s="77" t="s">
        <v>260</v>
      </c>
      <c r="N17" s="79" t="s">
        <v>261</v>
      </c>
      <c r="O17" s="80">
        <v>314.47000000000003</v>
      </c>
      <c r="P17" s="81" t="s">
        <v>171</v>
      </c>
      <c r="Q17" s="81">
        <v>56.59</v>
      </c>
      <c r="R17" s="80" t="s">
        <v>171</v>
      </c>
      <c r="S17" s="80">
        <v>0</v>
      </c>
      <c r="T17" s="82">
        <v>371.06</v>
      </c>
      <c r="U17" s="77"/>
      <c r="V17" s="75"/>
      <c r="W17" s="77"/>
      <c r="X17" s="77"/>
      <c r="Y17" s="77"/>
      <c r="Z17" s="77"/>
      <c r="AA17" s="83"/>
      <c r="AB17" s="104" t="str">
        <f>IFERROR(VLOOKUP(Anexo_4[[#This Row],[cuenta]],OP,2,0),"-")</f>
        <v>-</v>
      </c>
    </row>
    <row r="18" spans="1:28" s="84" customFormat="1" ht="27" customHeight="1" x14ac:dyDescent="0.3">
      <c r="A18" s="75" t="s">
        <v>210</v>
      </c>
      <c r="B18" s="36" t="str">
        <f t="shared" si="0"/>
        <v>Junio</v>
      </c>
      <c r="C18" s="77" t="s">
        <v>162</v>
      </c>
      <c r="D18" s="77" t="s">
        <v>262</v>
      </c>
      <c r="E18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8" s="79" t="s">
        <v>217</v>
      </c>
      <c r="G18" s="79" t="s">
        <v>218</v>
      </c>
      <c r="H18" s="140" t="s">
        <v>263</v>
      </c>
      <c r="I18" s="77" t="s">
        <v>264</v>
      </c>
      <c r="J18" s="144" t="s">
        <v>265</v>
      </c>
      <c r="K18" s="77" t="s">
        <v>169</v>
      </c>
      <c r="L18" s="103" t="str">
        <f>VLOOKUP(Anexo_4[[#This Row],[cod_doc]],TIPODOC,2,FALSE)</f>
        <v>FACTURA</v>
      </c>
      <c r="M18" s="77" t="s">
        <v>266</v>
      </c>
      <c r="N18" s="79">
        <v>478106</v>
      </c>
      <c r="O18" s="80">
        <v>6.78</v>
      </c>
      <c r="P18" s="81" t="s">
        <v>171</v>
      </c>
      <c r="Q18" s="81">
        <v>1.2203999999999999</v>
      </c>
      <c r="R18" s="80" t="s">
        <v>171</v>
      </c>
      <c r="S18" s="80">
        <v>0</v>
      </c>
      <c r="T18" s="82">
        <v>8</v>
      </c>
      <c r="U18" s="77"/>
      <c r="V18" s="75"/>
      <c r="W18" s="77"/>
      <c r="X18" s="77"/>
      <c r="Y18" s="77" t="s">
        <v>267</v>
      </c>
      <c r="Z18" s="77" t="s">
        <v>268</v>
      </c>
      <c r="AA18" s="83" t="s">
        <v>263</v>
      </c>
      <c r="AB18" s="104" t="str">
        <f>IFERROR(VLOOKUP(Anexo_4[[#This Row],[cuenta]],OP,2,0),"-")</f>
        <v>Transporte peajes - Ventas</v>
      </c>
    </row>
    <row r="19" spans="1:28" s="84" customFormat="1" ht="27" customHeight="1" x14ac:dyDescent="0.3">
      <c r="A19" s="75" t="s">
        <v>210</v>
      </c>
      <c r="B19" s="36" t="str">
        <f t="shared" si="0"/>
        <v>Junio</v>
      </c>
      <c r="C19" s="77" t="s">
        <v>162</v>
      </c>
      <c r="D19" s="77" t="s">
        <v>269</v>
      </c>
      <c r="E19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9" s="79" t="s">
        <v>217</v>
      </c>
      <c r="G19" s="79" t="s">
        <v>218</v>
      </c>
      <c r="H19" s="140" t="s">
        <v>270</v>
      </c>
      <c r="I19" s="77" t="s">
        <v>264</v>
      </c>
      <c r="J19" s="144" t="s">
        <v>265</v>
      </c>
      <c r="K19" s="77" t="s">
        <v>169</v>
      </c>
      <c r="L19" s="103" t="str">
        <f>VLOOKUP(Anexo_4[[#This Row],[cod_doc]],TIPODOC,2,FALSE)</f>
        <v>FACTURA</v>
      </c>
      <c r="M19" s="77" t="s">
        <v>271</v>
      </c>
      <c r="N19" s="79">
        <v>1748397</v>
      </c>
      <c r="O19" s="80">
        <v>6.78</v>
      </c>
      <c r="P19" s="81" t="s">
        <v>171</v>
      </c>
      <c r="Q19" s="81">
        <v>1.2203999999999999</v>
      </c>
      <c r="R19" s="80" t="s">
        <v>171</v>
      </c>
      <c r="S19" s="80">
        <v>0</v>
      </c>
      <c r="T19" s="82">
        <v>8</v>
      </c>
      <c r="U19" s="77"/>
      <c r="V19" s="75"/>
      <c r="W19" s="77"/>
      <c r="X19" s="77"/>
      <c r="Y19" s="77" t="s">
        <v>272</v>
      </c>
      <c r="Z19" s="77" t="s">
        <v>268</v>
      </c>
      <c r="AA19" s="83" t="s">
        <v>270</v>
      </c>
      <c r="AB19" s="104" t="str">
        <f>IFERROR(VLOOKUP(Anexo_4[[#This Row],[cuenta]],OP,2,0),"-")</f>
        <v>Transporte peajes - Ventas</v>
      </c>
    </row>
    <row r="20" spans="1:28" s="84" customFormat="1" ht="27" customHeight="1" x14ac:dyDescent="0.3">
      <c r="A20" s="75" t="s">
        <v>210</v>
      </c>
      <c r="B20" s="36" t="str">
        <f t="shared" si="0"/>
        <v>Junio</v>
      </c>
      <c r="C20" s="77" t="s">
        <v>162</v>
      </c>
      <c r="D20" s="77" t="s">
        <v>273</v>
      </c>
      <c r="E20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0" s="79" t="s">
        <v>217</v>
      </c>
      <c r="G20" s="79" t="s">
        <v>218</v>
      </c>
      <c r="H20" s="140" t="s">
        <v>274</v>
      </c>
      <c r="I20" s="77" t="s">
        <v>264</v>
      </c>
      <c r="J20" s="144" t="s">
        <v>265</v>
      </c>
      <c r="K20" s="77" t="s">
        <v>169</v>
      </c>
      <c r="L20" s="103" t="str">
        <f>VLOOKUP(Anexo_4[[#This Row],[cod_doc]],TIPODOC,2,FALSE)</f>
        <v>FACTURA</v>
      </c>
      <c r="M20" s="77" t="s">
        <v>275</v>
      </c>
      <c r="N20" s="79">
        <v>977336</v>
      </c>
      <c r="O20" s="80">
        <v>6.78</v>
      </c>
      <c r="P20" s="81" t="s">
        <v>171</v>
      </c>
      <c r="Q20" s="81">
        <v>1.2203999999999999</v>
      </c>
      <c r="R20" s="80" t="s">
        <v>171</v>
      </c>
      <c r="S20" s="80">
        <v>0</v>
      </c>
      <c r="T20" s="82">
        <v>8</v>
      </c>
      <c r="U20" s="77"/>
      <c r="V20" s="75"/>
      <c r="W20" s="77"/>
      <c r="X20" s="77"/>
      <c r="Y20" s="77" t="s">
        <v>276</v>
      </c>
      <c r="Z20" s="77" t="s">
        <v>268</v>
      </c>
      <c r="AA20" s="83" t="s">
        <v>274</v>
      </c>
      <c r="AB20" s="104" t="str">
        <f>IFERROR(VLOOKUP(Anexo_4[[#This Row],[cuenta]],OP,2,0),"-")</f>
        <v>Transporte peajes - Ventas</v>
      </c>
    </row>
    <row r="21" spans="1:28" s="84" customFormat="1" ht="27" customHeight="1" x14ac:dyDescent="0.3">
      <c r="A21" s="75" t="s">
        <v>210</v>
      </c>
      <c r="B21" s="36" t="str">
        <f t="shared" si="0"/>
        <v>Junio</v>
      </c>
      <c r="C21" s="77" t="s">
        <v>162</v>
      </c>
      <c r="D21" s="77" t="s">
        <v>277</v>
      </c>
      <c r="E2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1" s="79" t="s">
        <v>217</v>
      </c>
      <c r="G21" s="79" t="s">
        <v>218</v>
      </c>
      <c r="H21" s="140" t="s">
        <v>278</v>
      </c>
      <c r="I21" s="77" t="s">
        <v>264</v>
      </c>
      <c r="J21" s="144" t="s">
        <v>265</v>
      </c>
      <c r="K21" s="77" t="s">
        <v>169</v>
      </c>
      <c r="L21" s="103" t="str">
        <f>VLOOKUP(Anexo_4[[#This Row],[cod_doc]],TIPODOC,2,FALSE)</f>
        <v>FACTURA</v>
      </c>
      <c r="M21" s="77" t="s">
        <v>279</v>
      </c>
      <c r="N21" s="79">
        <v>1066340</v>
      </c>
      <c r="O21" s="80">
        <v>6.78</v>
      </c>
      <c r="P21" s="81" t="s">
        <v>171</v>
      </c>
      <c r="Q21" s="81">
        <v>1.2203999999999999</v>
      </c>
      <c r="R21" s="80" t="s">
        <v>171</v>
      </c>
      <c r="S21" s="80">
        <v>0</v>
      </c>
      <c r="T21" s="82">
        <v>8</v>
      </c>
      <c r="U21" s="77"/>
      <c r="V21" s="75"/>
      <c r="W21" s="77"/>
      <c r="X21" s="77"/>
      <c r="Y21" s="77" t="s">
        <v>280</v>
      </c>
      <c r="Z21" s="77" t="s">
        <v>268</v>
      </c>
      <c r="AA21" s="83" t="s">
        <v>278</v>
      </c>
      <c r="AB21" s="104" t="str">
        <f>IFERROR(VLOOKUP(Anexo_4[[#This Row],[cuenta]],OP,2,0),"-")</f>
        <v>Transporte peajes - Ventas</v>
      </c>
    </row>
    <row r="22" spans="1:28" s="84" customFormat="1" ht="27" customHeight="1" x14ac:dyDescent="0.3">
      <c r="A22" s="75" t="s">
        <v>210</v>
      </c>
      <c r="B22" s="36" t="str">
        <f t="shared" si="0"/>
        <v>Junio</v>
      </c>
      <c r="C22" s="77" t="s">
        <v>162</v>
      </c>
      <c r="D22" s="77" t="s">
        <v>281</v>
      </c>
      <c r="E2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2" s="79" t="s">
        <v>217</v>
      </c>
      <c r="G22" s="79" t="s">
        <v>218</v>
      </c>
      <c r="H22" s="140" t="s">
        <v>282</v>
      </c>
      <c r="I22" s="77" t="s">
        <v>264</v>
      </c>
      <c r="J22" s="144" t="s">
        <v>265</v>
      </c>
      <c r="K22" s="77" t="s">
        <v>169</v>
      </c>
      <c r="L22" s="103" t="str">
        <f>VLOOKUP(Anexo_4[[#This Row],[cod_doc]],TIPODOC,2,FALSE)</f>
        <v>FACTURA</v>
      </c>
      <c r="M22" s="77" t="s">
        <v>279</v>
      </c>
      <c r="N22" s="79">
        <v>1066503</v>
      </c>
      <c r="O22" s="80">
        <v>6.78</v>
      </c>
      <c r="P22" s="81" t="s">
        <v>171</v>
      </c>
      <c r="Q22" s="81">
        <v>1.2203999999999999</v>
      </c>
      <c r="R22" s="80" t="s">
        <v>171</v>
      </c>
      <c r="S22" s="80">
        <v>0</v>
      </c>
      <c r="T22" s="82">
        <v>8</v>
      </c>
      <c r="U22" s="77"/>
      <c r="V22" s="75"/>
      <c r="W22" s="77"/>
      <c r="X22" s="77"/>
      <c r="Y22" s="77" t="s">
        <v>283</v>
      </c>
      <c r="Z22" s="77" t="s">
        <v>268</v>
      </c>
      <c r="AA22" s="83" t="s">
        <v>282</v>
      </c>
      <c r="AB22" s="104" t="str">
        <f>IFERROR(VLOOKUP(Anexo_4[[#This Row],[cuenta]],OP,2,0),"-")</f>
        <v>Transporte peajes - Ventas</v>
      </c>
    </row>
    <row r="23" spans="1:28" s="84" customFormat="1" ht="27" customHeight="1" x14ac:dyDescent="0.3">
      <c r="A23" s="75" t="s">
        <v>210</v>
      </c>
      <c r="B23" s="36" t="str">
        <f t="shared" si="0"/>
        <v>Junio</v>
      </c>
      <c r="C23" s="77" t="s">
        <v>162</v>
      </c>
      <c r="D23" s="77" t="s">
        <v>284</v>
      </c>
      <c r="E23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3" s="79" t="s">
        <v>217</v>
      </c>
      <c r="G23" s="79" t="s">
        <v>218</v>
      </c>
      <c r="H23" s="140" t="s">
        <v>285</v>
      </c>
      <c r="I23" s="77" t="s">
        <v>286</v>
      </c>
      <c r="J23" s="144" t="s">
        <v>287</v>
      </c>
      <c r="K23" s="77" t="s">
        <v>169</v>
      </c>
      <c r="L23" s="103" t="str">
        <f>VLOOKUP(Anexo_4[[#This Row],[cod_doc]],TIPODOC,2,FALSE)</f>
        <v>FACTURA</v>
      </c>
      <c r="M23" s="77" t="s">
        <v>222</v>
      </c>
      <c r="N23" s="79">
        <v>17681</v>
      </c>
      <c r="O23" s="80"/>
      <c r="P23" s="81" t="s">
        <v>171</v>
      </c>
      <c r="Q23" s="81">
        <v>0</v>
      </c>
      <c r="R23" s="80" t="s">
        <v>171</v>
      </c>
      <c r="S23" s="80">
        <v>11</v>
      </c>
      <c r="T23" s="82">
        <v>11</v>
      </c>
      <c r="U23" s="77"/>
      <c r="V23" s="75"/>
      <c r="W23" s="77"/>
      <c r="X23" s="77"/>
      <c r="Y23" s="77" t="s">
        <v>288</v>
      </c>
      <c r="Z23" s="77" t="s">
        <v>182</v>
      </c>
      <c r="AA23" s="83" t="s">
        <v>285</v>
      </c>
      <c r="AB23" s="104" t="str">
        <f>IFERROR(VLOOKUP(Anexo_4[[#This Row],[cuenta]],OP,2,0),"-")</f>
        <v>Balanza - Ventas</v>
      </c>
    </row>
    <row r="24" spans="1:28" s="84" customFormat="1" ht="27" customHeight="1" x14ac:dyDescent="0.3">
      <c r="A24" s="75" t="s">
        <v>210</v>
      </c>
      <c r="B24" s="36" t="str">
        <f t="shared" si="0"/>
        <v>Junio</v>
      </c>
      <c r="C24" s="77" t="s">
        <v>162</v>
      </c>
      <c r="D24" s="77" t="s">
        <v>289</v>
      </c>
      <c r="E24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4" s="79" t="s">
        <v>217</v>
      </c>
      <c r="G24" s="79" t="s">
        <v>218</v>
      </c>
      <c r="H24" s="140" t="s">
        <v>290</v>
      </c>
      <c r="I24" s="77" t="s">
        <v>286</v>
      </c>
      <c r="J24" s="144" t="s">
        <v>287</v>
      </c>
      <c r="K24" s="77" t="s">
        <v>169</v>
      </c>
      <c r="L24" s="103" t="str">
        <f>VLOOKUP(Anexo_4[[#This Row],[cod_doc]],TIPODOC,2,FALSE)</f>
        <v>FACTURA</v>
      </c>
      <c r="M24" s="77" t="s">
        <v>222</v>
      </c>
      <c r="N24" s="79">
        <v>17687</v>
      </c>
      <c r="O24" s="80"/>
      <c r="P24" s="81" t="s">
        <v>171</v>
      </c>
      <c r="Q24" s="81">
        <v>0</v>
      </c>
      <c r="R24" s="80" t="s">
        <v>171</v>
      </c>
      <c r="S24" s="80">
        <v>11</v>
      </c>
      <c r="T24" s="82">
        <v>11</v>
      </c>
      <c r="U24" s="77"/>
      <c r="V24" s="75"/>
      <c r="W24" s="77"/>
      <c r="X24" s="77"/>
      <c r="Y24" s="77" t="s">
        <v>291</v>
      </c>
      <c r="Z24" s="77" t="s">
        <v>182</v>
      </c>
      <c r="AA24" s="83" t="s">
        <v>290</v>
      </c>
      <c r="AB24" s="104" t="str">
        <f>IFERROR(VLOOKUP(Anexo_4[[#This Row],[cuenta]],OP,2,0),"-")</f>
        <v>Balanza - Ventas</v>
      </c>
    </row>
    <row r="25" spans="1:28" s="84" customFormat="1" ht="27" customHeight="1" x14ac:dyDescent="0.3">
      <c r="A25" s="75" t="s">
        <v>210</v>
      </c>
      <c r="B25" s="36" t="str">
        <f t="shared" si="0"/>
        <v>Junio</v>
      </c>
      <c r="C25" s="77" t="s">
        <v>162</v>
      </c>
      <c r="D25" s="77" t="s">
        <v>292</v>
      </c>
      <c r="E25" s="78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25" s="79" t="s">
        <v>198</v>
      </c>
      <c r="G25" s="79" t="s">
        <v>199</v>
      </c>
      <c r="H25" s="140" t="s">
        <v>200</v>
      </c>
      <c r="I25" s="77" t="s">
        <v>293</v>
      </c>
      <c r="J25" s="144" t="s">
        <v>294</v>
      </c>
      <c r="K25" s="77" t="s">
        <v>169</v>
      </c>
      <c r="L25" s="103" t="str">
        <f>VLOOKUP(Anexo_4[[#This Row],[cod_doc]],TIPODOC,2,FALSE)</f>
        <v>FACTURA</v>
      </c>
      <c r="M25" s="77" t="s">
        <v>102</v>
      </c>
      <c r="N25" s="79">
        <v>4203</v>
      </c>
      <c r="O25" s="80">
        <v>80.510000000000005</v>
      </c>
      <c r="P25" s="81" t="s">
        <v>171</v>
      </c>
      <c r="Q25" s="81">
        <v>14.4918</v>
      </c>
      <c r="R25" s="80" t="s">
        <v>171</v>
      </c>
      <c r="S25" s="80">
        <v>0</v>
      </c>
      <c r="T25" s="82">
        <v>95</v>
      </c>
      <c r="U25" s="77"/>
      <c r="V25" s="75"/>
      <c r="W25" s="77"/>
      <c r="X25" s="77"/>
      <c r="Y25" s="77"/>
      <c r="Z25" s="77" t="s">
        <v>203</v>
      </c>
      <c r="AA25" s="83" t="s">
        <v>200</v>
      </c>
      <c r="AB25" s="104" t="str">
        <f>IFERROR(VLOOKUP(Anexo_4[[#This Row],[cuenta]],OP,2,0),"-")</f>
        <v>-</v>
      </c>
    </row>
    <row r="26" spans="1:28" s="84" customFormat="1" ht="27" customHeight="1" x14ac:dyDescent="0.3">
      <c r="A26" s="75" t="s">
        <v>295</v>
      </c>
      <c r="B26" s="36" t="str">
        <f t="shared" si="0"/>
        <v>Junio</v>
      </c>
      <c r="C26" s="77" t="s">
        <v>162</v>
      </c>
      <c r="D26" s="77" t="s">
        <v>296</v>
      </c>
      <c r="E2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6" s="79" t="s">
        <v>175</v>
      </c>
      <c r="G26" s="79" t="s">
        <v>176</v>
      </c>
      <c r="H26" s="140" t="s">
        <v>297</v>
      </c>
      <c r="I26" s="77" t="s">
        <v>298</v>
      </c>
      <c r="J26" s="144" t="s">
        <v>299</v>
      </c>
      <c r="K26" s="77" t="s">
        <v>169</v>
      </c>
      <c r="L26" s="103" t="str">
        <f>VLOOKUP(Anexo_4[[#This Row],[cod_doc]],TIPODOC,2,FALSE)</f>
        <v>FACTURA</v>
      </c>
      <c r="M26" s="77" t="s">
        <v>300</v>
      </c>
      <c r="N26" s="79">
        <v>2874740</v>
      </c>
      <c r="O26" s="80">
        <v>49.32</v>
      </c>
      <c r="P26" s="81" t="s">
        <v>171</v>
      </c>
      <c r="Q26" s="81">
        <v>8.8775999999999993</v>
      </c>
      <c r="R26" s="80" t="s">
        <v>171</v>
      </c>
      <c r="S26" s="80">
        <v>0</v>
      </c>
      <c r="T26" s="82">
        <v>58.2</v>
      </c>
      <c r="U26" s="77"/>
      <c r="V26" s="75"/>
      <c r="W26" s="77"/>
      <c r="X26" s="77"/>
      <c r="Y26" s="77" t="s">
        <v>301</v>
      </c>
      <c r="Z26" s="77" t="s">
        <v>302</v>
      </c>
      <c r="AA26" s="83" t="s">
        <v>297</v>
      </c>
      <c r="AB26" s="104" t="str">
        <f>IFERROR(VLOOKUP(Anexo_4[[#This Row],[cuenta]],OP,2,0),"-")</f>
        <v>Transporte peajes - Servicios</v>
      </c>
    </row>
    <row r="27" spans="1:28" s="84" customFormat="1" ht="27" customHeight="1" x14ac:dyDescent="0.3">
      <c r="A27" s="75" t="s">
        <v>215</v>
      </c>
      <c r="B27" s="36" t="str">
        <f t="shared" si="0"/>
        <v>Junio</v>
      </c>
      <c r="C27" s="77" t="s">
        <v>162</v>
      </c>
      <c r="D27" s="77" t="s">
        <v>303</v>
      </c>
      <c r="E27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7" s="79" t="s">
        <v>175</v>
      </c>
      <c r="G27" s="79" t="s">
        <v>176</v>
      </c>
      <c r="H27" s="140" t="s">
        <v>304</v>
      </c>
      <c r="I27" s="77" t="s">
        <v>305</v>
      </c>
      <c r="J27" s="144" t="s">
        <v>306</v>
      </c>
      <c r="K27" s="77" t="s">
        <v>169</v>
      </c>
      <c r="L27" s="103" t="str">
        <f>VLOOKUP(Anexo_4[[#This Row],[cod_doc]],TIPODOC,2,FALSE)</f>
        <v>FACTURA</v>
      </c>
      <c r="M27" s="77" t="s">
        <v>307</v>
      </c>
      <c r="N27" s="79">
        <v>604479</v>
      </c>
      <c r="O27" s="80">
        <v>20</v>
      </c>
      <c r="P27" s="81" t="s">
        <v>171</v>
      </c>
      <c r="Q27" s="81">
        <v>3.5999999999999996</v>
      </c>
      <c r="R27" s="80" t="s">
        <v>171</v>
      </c>
      <c r="S27" s="80">
        <v>0</v>
      </c>
      <c r="T27" s="82">
        <v>23.6</v>
      </c>
      <c r="U27" s="77"/>
      <c r="V27" s="75"/>
      <c r="W27" s="77"/>
      <c r="X27" s="77"/>
      <c r="Y27" s="77" t="s">
        <v>308</v>
      </c>
      <c r="Z27" s="77" t="s">
        <v>302</v>
      </c>
      <c r="AA27" s="83" t="s">
        <v>304</v>
      </c>
      <c r="AB27" s="104" t="str">
        <f>IFERROR(VLOOKUP(Anexo_4[[#This Row],[cuenta]],OP,2,0),"-")</f>
        <v>Transporte peajes - Servicios</v>
      </c>
    </row>
    <row r="28" spans="1:28" s="84" customFormat="1" ht="27" customHeight="1" x14ac:dyDescent="0.3">
      <c r="A28" s="75" t="s">
        <v>309</v>
      </c>
      <c r="B28" s="36" t="str">
        <f t="shared" si="0"/>
        <v>Junio</v>
      </c>
      <c r="C28" s="77" t="s">
        <v>162</v>
      </c>
      <c r="D28" s="77" t="s">
        <v>310</v>
      </c>
      <c r="E28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8" s="79" t="s">
        <v>175</v>
      </c>
      <c r="G28" s="79" t="s">
        <v>176</v>
      </c>
      <c r="H28" s="140" t="s">
        <v>311</v>
      </c>
      <c r="I28" s="77" t="s">
        <v>312</v>
      </c>
      <c r="J28" s="144" t="s">
        <v>313</v>
      </c>
      <c r="K28" s="77" t="s">
        <v>169</v>
      </c>
      <c r="L28" s="103" t="str">
        <f>VLOOKUP(Anexo_4[[#This Row],[cod_doc]],TIPODOC,2,FALSE)</f>
        <v>FACTURA</v>
      </c>
      <c r="M28" s="77" t="s">
        <v>314</v>
      </c>
      <c r="N28" s="79">
        <v>2668429</v>
      </c>
      <c r="O28" s="80">
        <v>19.07</v>
      </c>
      <c r="P28" s="81" t="s">
        <v>171</v>
      </c>
      <c r="Q28" s="81">
        <v>3.4325999999999999</v>
      </c>
      <c r="R28" s="80" t="s">
        <v>171</v>
      </c>
      <c r="S28" s="80">
        <v>0</v>
      </c>
      <c r="T28" s="82">
        <v>22.5</v>
      </c>
      <c r="U28" s="77"/>
      <c r="V28" s="75"/>
      <c r="W28" s="77"/>
      <c r="X28" s="77"/>
      <c r="Y28" s="77" t="s">
        <v>315</v>
      </c>
      <c r="Z28" s="77" t="s">
        <v>302</v>
      </c>
      <c r="AA28" s="83" t="s">
        <v>311</v>
      </c>
      <c r="AB28" s="104" t="str">
        <f>IFERROR(VLOOKUP(Anexo_4[[#This Row],[cuenta]],OP,2,0),"-")</f>
        <v>Transporte peajes - Servicios</v>
      </c>
    </row>
    <row r="29" spans="1:28" s="84" customFormat="1" ht="27" customHeight="1" x14ac:dyDescent="0.3">
      <c r="A29" s="75" t="s">
        <v>316</v>
      </c>
      <c r="B29" s="36" t="str">
        <f t="shared" si="0"/>
        <v>Junio</v>
      </c>
      <c r="C29" s="77" t="s">
        <v>162</v>
      </c>
      <c r="D29" s="77" t="s">
        <v>317</v>
      </c>
      <c r="E29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9" s="79" t="s">
        <v>175</v>
      </c>
      <c r="G29" s="79" t="s">
        <v>176</v>
      </c>
      <c r="H29" s="140" t="s">
        <v>318</v>
      </c>
      <c r="I29" s="77" t="s">
        <v>312</v>
      </c>
      <c r="J29" s="144" t="s">
        <v>313</v>
      </c>
      <c r="K29" s="77" t="s">
        <v>169</v>
      </c>
      <c r="L29" s="103" t="str">
        <f>VLOOKUP(Anexo_4[[#This Row],[cod_doc]],TIPODOC,2,FALSE)</f>
        <v>FACTURA</v>
      </c>
      <c r="M29" s="77" t="s">
        <v>319</v>
      </c>
      <c r="N29" s="79">
        <v>2281580</v>
      </c>
      <c r="O29" s="80">
        <v>19.07</v>
      </c>
      <c r="P29" s="81" t="s">
        <v>171</v>
      </c>
      <c r="Q29" s="81">
        <v>3.4325999999999999</v>
      </c>
      <c r="R29" s="80" t="s">
        <v>171</v>
      </c>
      <c r="S29" s="80">
        <v>0</v>
      </c>
      <c r="T29" s="82">
        <v>22.5</v>
      </c>
      <c r="U29" s="77"/>
      <c r="V29" s="75"/>
      <c r="W29" s="77"/>
      <c r="X29" s="77"/>
      <c r="Y29" s="77" t="s">
        <v>320</v>
      </c>
      <c r="Z29" s="77" t="s">
        <v>302</v>
      </c>
      <c r="AA29" s="83" t="s">
        <v>318</v>
      </c>
      <c r="AB29" s="104" t="str">
        <f>IFERROR(VLOOKUP(Anexo_4[[#This Row],[cuenta]],OP,2,0),"-")</f>
        <v>Transporte peajes - Servicios</v>
      </c>
    </row>
    <row r="30" spans="1:28" s="84" customFormat="1" ht="27" customHeight="1" x14ac:dyDescent="0.3">
      <c r="A30" s="75" t="s">
        <v>321</v>
      </c>
      <c r="B30" s="36" t="str">
        <f t="shared" si="0"/>
        <v>Junio</v>
      </c>
      <c r="C30" s="77" t="s">
        <v>162</v>
      </c>
      <c r="D30" s="77" t="s">
        <v>322</v>
      </c>
      <c r="E30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30" s="79" t="s">
        <v>175</v>
      </c>
      <c r="G30" s="79" t="s">
        <v>176</v>
      </c>
      <c r="H30" s="140" t="s">
        <v>323</v>
      </c>
      <c r="I30" s="77" t="s">
        <v>298</v>
      </c>
      <c r="J30" s="144" t="s">
        <v>299</v>
      </c>
      <c r="K30" s="77" t="s">
        <v>169</v>
      </c>
      <c r="L30" s="103" t="str">
        <f>VLOOKUP(Anexo_4[[#This Row],[cod_doc]],TIPODOC,2,FALSE)</f>
        <v>FACTURA</v>
      </c>
      <c r="M30" s="77" t="s">
        <v>324</v>
      </c>
      <c r="N30" s="79">
        <v>2153527</v>
      </c>
      <c r="O30" s="80">
        <v>49.32</v>
      </c>
      <c r="P30" s="81" t="s">
        <v>171</v>
      </c>
      <c r="Q30" s="81">
        <v>8.8775999999999993</v>
      </c>
      <c r="R30" s="80" t="s">
        <v>171</v>
      </c>
      <c r="S30" s="80">
        <v>0</v>
      </c>
      <c r="T30" s="82">
        <v>58.2</v>
      </c>
      <c r="U30" s="77"/>
      <c r="V30" s="75"/>
      <c r="W30" s="77"/>
      <c r="X30" s="77"/>
      <c r="Y30" s="77" t="s">
        <v>325</v>
      </c>
      <c r="Z30" s="77" t="s">
        <v>302</v>
      </c>
      <c r="AA30" s="83" t="s">
        <v>323</v>
      </c>
      <c r="AB30" s="104" t="str">
        <f>IFERROR(VLOOKUP(Anexo_4[[#This Row],[cuenta]],OP,2,0),"-")</f>
        <v>Transporte peajes - Servicios</v>
      </c>
    </row>
    <row r="31" spans="1:28" s="84" customFormat="1" ht="27" customHeight="1" x14ac:dyDescent="0.3">
      <c r="A31" s="75" t="s">
        <v>309</v>
      </c>
      <c r="B31" s="36" t="str">
        <f t="shared" si="0"/>
        <v>Junio</v>
      </c>
      <c r="C31" s="77" t="s">
        <v>162</v>
      </c>
      <c r="D31" s="77" t="s">
        <v>326</v>
      </c>
      <c r="E3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31" s="79" t="s">
        <v>175</v>
      </c>
      <c r="G31" s="79" t="s">
        <v>176</v>
      </c>
      <c r="H31" s="140" t="s">
        <v>327</v>
      </c>
      <c r="I31" s="77" t="s">
        <v>298</v>
      </c>
      <c r="J31" s="144" t="s">
        <v>299</v>
      </c>
      <c r="K31" s="77" t="s">
        <v>169</v>
      </c>
      <c r="L31" s="103" t="str">
        <f>VLOOKUP(Anexo_4[[#This Row],[cod_doc]],TIPODOC,2,FALSE)</f>
        <v>FACTURA</v>
      </c>
      <c r="M31" s="77" t="s">
        <v>328</v>
      </c>
      <c r="N31" s="79">
        <v>2203923</v>
      </c>
      <c r="O31" s="80">
        <v>49.32</v>
      </c>
      <c r="P31" s="81" t="s">
        <v>171</v>
      </c>
      <c r="Q31" s="81">
        <v>8.8775999999999993</v>
      </c>
      <c r="R31" s="80" t="s">
        <v>171</v>
      </c>
      <c r="S31" s="80">
        <v>0</v>
      </c>
      <c r="T31" s="82">
        <v>58.2</v>
      </c>
      <c r="U31" s="77"/>
      <c r="V31" s="75"/>
      <c r="W31" s="77"/>
      <c r="X31" s="77"/>
      <c r="Y31" s="77" t="s">
        <v>329</v>
      </c>
      <c r="Z31" s="77" t="s">
        <v>302</v>
      </c>
      <c r="AA31" s="83" t="s">
        <v>327</v>
      </c>
      <c r="AB31" s="104" t="str">
        <f>IFERROR(VLOOKUP(Anexo_4[[#This Row],[cuenta]],OP,2,0),"-")</f>
        <v>Transporte peajes - Servicios</v>
      </c>
    </row>
    <row r="32" spans="1:28" s="84" customFormat="1" ht="27" customHeight="1" x14ac:dyDescent="0.3">
      <c r="A32" s="75" t="s">
        <v>321</v>
      </c>
      <c r="B32" s="36" t="str">
        <f t="shared" si="0"/>
        <v>Junio</v>
      </c>
      <c r="C32" s="77" t="s">
        <v>162</v>
      </c>
      <c r="D32" s="77" t="s">
        <v>330</v>
      </c>
      <c r="E3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32" s="79" t="s">
        <v>175</v>
      </c>
      <c r="G32" s="79" t="s">
        <v>176</v>
      </c>
      <c r="H32" s="140" t="s">
        <v>331</v>
      </c>
      <c r="I32" s="77" t="s">
        <v>332</v>
      </c>
      <c r="J32" s="144" t="s">
        <v>333</v>
      </c>
      <c r="K32" s="77" t="s">
        <v>334</v>
      </c>
      <c r="L32" s="103" t="str">
        <f>VLOOKUP(Anexo_4[[#This Row],[cod_doc]],TIPODOC,2,FALSE)</f>
        <v>TICKET DE MAQ. REGISTRADORA</v>
      </c>
      <c r="M32" s="77" t="s">
        <v>335</v>
      </c>
      <c r="N32" s="79">
        <v>325033609</v>
      </c>
      <c r="O32" s="80"/>
      <c r="P32" s="81" t="s">
        <v>171</v>
      </c>
      <c r="Q32" s="81">
        <v>0</v>
      </c>
      <c r="R32" s="80" t="s">
        <v>171</v>
      </c>
      <c r="S32" s="80">
        <v>19.5</v>
      </c>
      <c r="T32" s="82">
        <v>19.5</v>
      </c>
      <c r="U32" s="77"/>
      <c r="V32" s="75"/>
      <c r="W32" s="77"/>
      <c r="X32" s="77"/>
      <c r="Y32" s="77" t="s">
        <v>336</v>
      </c>
      <c r="Z32" s="77" t="s">
        <v>302</v>
      </c>
      <c r="AA32" s="83" t="s">
        <v>331</v>
      </c>
      <c r="AB32" s="104" t="str">
        <f>IFERROR(VLOOKUP(Anexo_4[[#This Row],[cuenta]],OP,2,0),"-")</f>
        <v>Transporte peajes - Servicios</v>
      </c>
    </row>
    <row r="33" spans="1:28" s="84" customFormat="1" ht="27" customHeight="1" x14ac:dyDescent="0.3">
      <c r="A33" s="75" t="s">
        <v>321</v>
      </c>
      <c r="B33" s="36" t="str">
        <f t="shared" si="0"/>
        <v>Junio</v>
      </c>
      <c r="C33" s="77" t="s">
        <v>162</v>
      </c>
      <c r="D33" s="77" t="s">
        <v>337</v>
      </c>
      <c r="E33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33" s="79" t="s">
        <v>175</v>
      </c>
      <c r="G33" s="79" t="s">
        <v>176</v>
      </c>
      <c r="H33" s="140" t="s">
        <v>338</v>
      </c>
      <c r="I33" s="77" t="s">
        <v>332</v>
      </c>
      <c r="J33" s="144" t="s">
        <v>333</v>
      </c>
      <c r="K33" s="77" t="s">
        <v>334</v>
      </c>
      <c r="L33" s="103" t="str">
        <f>VLOOKUP(Anexo_4[[#This Row],[cod_doc]],TIPODOC,2,FALSE)</f>
        <v>TICKET DE MAQ. REGISTRADORA</v>
      </c>
      <c r="M33" s="77" t="s">
        <v>339</v>
      </c>
      <c r="N33" s="79">
        <v>325030850</v>
      </c>
      <c r="O33" s="80"/>
      <c r="P33" s="81" t="s">
        <v>171</v>
      </c>
      <c r="Q33" s="81">
        <v>0</v>
      </c>
      <c r="R33" s="80" t="s">
        <v>171</v>
      </c>
      <c r="S33" s="80">
        <v>19.5</v>
      </c>
      <c r="T33" s="82">
        <v>19.5</v>
      </c>
      <c r="U33" s="77"/>
      <c r="V33" s="75"/>
      <c r="W33" s="77"/>
      <c r="X33" s="77"/>
      <c r="Y33" s="77" t="s">
        <v>340</v>
      </c>
      <c r="Z33" s="77" t="s">
        <v>302</v>
      </c>
      <c r="AA33" s="83" t="s">
        <v>338</v>
      </c>
      <c r="AB33" s="104" t="str">
        <f>IFERROR(VLOOKUP(Anexo_4[[#This Row],[cuenta]],OP,2,0),"-")</f>
        <v>Transporte peajes - Servicios</v>
      </c>
    </row>
    <row r="34" spans="1:28" s="84" customFormat="1" ht="27" customHeight="1" x14ac:dyDescent="0.3">
      <c r="A34" s="75" t="s">
        <v>321</v>
      </c>
      <c r="B34" s="36" t="str">
        <f t="shared" si="0"/>
        <v>Junio</v>
      </c>
      <c r="C34" s="77" t="s">
        <v>162</v>
      </c>
      <c r="D34" s="77" t="s">
        <v>341</v>
      </c>
      <c r="E34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34" s="79" t="s">
        <v>175</v>
      </c>
      <c r="G34" s="79" t="s">
        <v>176</v>
      </c>
      <c r="H34" s="140" t="s">
        <v>342</v>
      </c>
      <c r="I34" s="77" t="s">
        <v>305</v>
      </c>
      <c r="J34" s="144" t="s">
        <v>306</v>
      </c>
      <c r="K34" s="77" t="s">
        <v>169</v>
      </c>
      <c r="L34" s="103" t="str">
        <f>VLOOKUP(Anexo_4[[#This Row],[cod_doc]],TIPODOC,2,FALSE)</f>
        <v>FACTURA</v>
      </c>
      <c r="M34" s="77" t="s">
        <v>343</v>
      </c>
      <c r="N34" s="79">
        <v>774194</v>
      </c>
      <c r="O34" s="80">
        <v>20</v>
      </c>
      <c r="P34" s="81" t="s">
        <v>171</v>
      </c>
      <c r="Q34" s="81">
        <v>3.5999999999999996</v>
      </c>
      <c r="R34" s="80" t="s">
        <v>171</v>
      </c>
      <c r="S34" s="80">
        <v>0</v>
      </c>
      <c r="T34" s="82">
        <v>23.6</v>
      </c>
      <c r="U34" s="77"/>
      <c r="V34" s="75"/>
      <c r="W34" s="77"/>
      <c r="X34" s="77"/>
      <c r="Y34" s="77" t="s">
        <v>344</v>
      </c>
      <c r="Z34" s="77" t="s">
        <v>302</v>
      </c>
      <c r="AA34" s="83" t="s">
        <v>342</v>
      </c>
      <c r="AB34" s="104" t="str">
        <f>IFERROR(VLOOKUP(Anexo_4[[#This Row],[cuenta]],OP,2,0),"-")</f>
        <v>Transporte peajes - Servicios</v>
      </c>
    </row>
    <row r="35" spans="1:28" s="84" customFormat="1" ht="27" customHeight="1" x14ac:dyDescent="0.3">
      <c r="A35" s="75" t="s">
        <v>321</v>
      </c>
      <c r="B35" s="36" t="str">
        <f t="shared" si="0"/>
        <v>Junio</v>
      </c>
      <c r="C35" s="77" t="s">
        <v>162</v>
      </c>
      <c r="D35" s="77" t="s">
        <v>345</v>
      </c>
      <c r="E3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35" s="79" t="s">
        <v>175</v>
      </c>
      <c r="G35" s="79" t="s">
        <v>176</v>
      </c>
      <c r="H35" s="140" t="s">
        <v>346</v>
      </c>
      <c r="I35" s="77" t="s">
        <v>332</v>
      </c>
      <c r="J35" s="144" t="s">
        <v>333</v>
      </c>
      <c r="K35" s="77" t="s">
        <v>334</v>
      </c>
      <c r="L35" s="103" t="str">
        <f>VLOOKUP(Anexo_4[[#This Row],[cod_doc]],TIPODOC,2,FALSE)</f>
        <v>TICKET DE MAQ. REGISTRADORA</v>
      </c>
      <c r="M35" s="77" t="s">
        <v>347</v>
      </c>
      <c r="N35" s="79">
        <v>325029943</v>
      </c>
      <c r="O35" s="80"/>
      <c r="P35" s="81" t="s">
        <v>171</v>
      </c>
      <c r="Q35" s="81">
        <v>0</v>
      </c>
      <c r="R35" s="80" t="s">
        <v>171</v>
      </c>
      <c r="S35" s="80">
        <v>19.5</v>
      </c>
      <c r="T35" s="82">
        <v>19.5</v>
      </c>
      <c r="U35" s="77"/>
      <c r="V35" s="75"/>
      <c r="W35" s="77"/>
      <c r="X35" s="77"/>
      <c r="Y35" s="77" t="s">
        <v>348</v>
      </c>
      <c r="Z35" s="77" t="s">
        <v>302</v>
      </c>
      <c r="AA35" s="83" t="s">
        <v>346</v>
      </c>
      <c r="AB35" s="104" t="str">
        <f>IFERROR(VLOOKUP(Anexo_4[[#This Row],[cuenta]],OP,2,0),"-")</f>
        <v>Transporte peajes - Servicios</v>
      </c>
    </row>
    <row r="36" spans="1:28" s="84" customFormat="1" ht="27" customHeight="1" x14ac:dyDescent="0.3">
      <c r="A36" s="75" t="s">
        <v>349</v>
      </c>
      <c r="B36" s="36" t="str">
        <f t="shared" si="0"/>
        <v>Junio</v>
      </c>
      <c r="C36" s="77" t="s">
        <v>162</v>
      </c>
      <c r="D36" s="77" t="s">
        <v>350</v>
      </c>
      <c r="E3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36" s="79" t="s">
        <v>175</v>
      </c>
      <c r="G36" s="79" t="s">
        <v>176</v>
      </c>
      <c r="H36" s="140" t="s">
        <v>351</v>
      </c>
      <c r="I36" s="77" t="s">
        <v>264</v>
      </c>
      <c r="J36" s="144" t="s">
        <v>265</v>
      </c>
      <c r="K36" s="77" t="s">
        <v>169</v>
      </c>
      <c r="L36" s="103" t="str">
        <f>VLOOKUP(Anexo_4[[#This Row],[cod_doc]],TIPODOC,2,FALSE)</f>
        <v>FACTURA</v>
      </c>
      <c r="M36" s="77" t="s">
        <v>352</v>
      </c>
      <c r="N36" s="79">
        <v>1773203</v>
      </c>
      <c r="O36" s="80">
        <v>10.17</v>
      </c>
      <c r="P36" s="81" t="s">
        <v>171</v>
      </c>
      <c r="Q36" s="81">
        <v>1.8306</v>
      </c>
      <c r="R36" s="80" t="s">
        <v>171</v>
      </c>
      <c r="S36" s="80">
        <v>0</v>
      </c>
      <c r="T36" s="82">
        <v>12</v>
      </c>
      <c r="U36" s="77"/>
      <c r="V36" s="75"/>
      <c r="W36" s="77"/>
      <c r="X36" s="77"/>
      <c r="Y36" s="77" t="s">
        <v>353</v>
      </c>
      <c r="Z36" s="77" t="s">
        <v>302</v>
      </c>
      <c r="AA36" s="83" t="s">
        <v>351</v>
      </c>
      <c r="AB36" s="104" t="str">
        <f>IFERROR(VLOOKUP(Anexo_4[[#This Row],[cuenta]],OP,2,0),"-")</f>
        <v>Transporte peajes - Servicios</v>
      </c>
    </row>
    <row r="37" spans="1:28" s="84" customFormat="1" ht="27" customHeight="1" x14ac:dyDescent="0.3">
      <c r="A37" s="75" t="s">
        <v>295</v>
      </c>
      <c r="B37" s="36" t="str">
        <f t="shared" si="0"/>
        <v>Junio</v>
      </c>
      <c r="C37" s="77" t="s">
        <v>162</v>
      </c>
      <c r="D37" s="77" t="s">
        <v>354</v>
      </c>
      <c r="E37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37" s="79" t="s">
        <v>355</v>
      </c>
      <c r="G37" s="79" t="s">
        <v>356</v>
      </c>
      <c r="H37" s="140" t="s">
        <v>357</v>
      </c>
      <c r="I37" s="77" t="s">
        <v>358</v>
      </c>
      <c r="J37" s="144" t="s">
        <v>359</v>
      </c>
      <c r="K37" s="77" t="s">
        <v>239</v>
      </c>
      <c r="L37" s="103" t="str">
        <f>VLOOKUP(Anexo_4[[#This Row],[cod_doc]],TIPODOC,2,FALSE)</f>
        <v>BOLETA DE VENTA</v>
      </c>
      <c r="M37" s="77" t="s">
        <v>162</v>
      </c>
      <c r="N37" s="79">
        <v>731</v>
      </c>
      <c r="O37" s="80"/>
      <c r="P37" s="81" t="s">
        <v>171</v>
      </c>
      <c r="Q37" s="81">
        <v>0</v>
      </c>
      <c r="R37" s="80" t="s">
        <v>171</v>
      </c>
      <c r="S37" s="80">
        <v>15</v>
      </c>
      <c r="T37" s="82">
        <v>15</v>
      </c>
      <c r="U37" s="77"/>
      <c r="V37" s="75"/>
      <c r="W37" s="77"/>
      <c r="X37" s="77"/>
      <c r="Y37" s="77" t="s">
        <v>360</v>
      </c>
      <c r="Z37" s="77" t="s">
        <v>361</v>
      </c>
      <c r="AA37" s="83" t="s">
        <v>357</v>
      </c>
      <c r="AB37" s="104" t="str">
        <f>IFERROR(VLOOKUP(Anexo_4[[#This Row],[cuenta]],OP,2,0),"-")</f>
        <v>Alimentacion (Operativo)</v>
      </c>
    </row>
    <row r="38" spans="1:28" s="84" customFormat="1" ht="27" customHeight="1" x14ac:dyDescent="0.3">
      <c r="A38" s="75" t="s">
        <v>316</v>
      </c>
      <c r="B38" s="36" t="str">
        <f t="shared" si="0"/>
        <v>Junio</v>
      </c>
      <c r="C38" s="77" t="s">
        <v>162</v>
      </c>
      <c r="D38" s="77" t="s">
        <v>362</v>
      </c>
      <c r="E38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38" s="79" t="s">
        <v>355</v>
      </c>
      <c r="G38" s="79" t="s">
        <v>356</v>
      </c>
      <c r="H38" s="140" t="s">
        <v>363</v>
      </c>
      <c r="I38" s="77" t="s">
        <v>358</v>
      </c>
      <c r="J38" s="144" t="s">
        <v>359</v>
      </c>
      <c r="K38" s="77" t="s">
        <v>239</v>
      </c>
      <c r="L38" s="103" t="str">
        <f>VLOOKUP(Anexo_4[[#This Row],[cod_doc]],TIPODOC,2,FALSE)</f>
        <v>BOLETA DE VENTA</v>
      </c>
      <c r="M38" s="77" t="s">
        <v>162</v>
      </c>
      <c r="N38" s="79">
        <v>735</v>
      </c>
      <c r="O38" s="80"/>
      <c r="P38" s="81" t="s">
        <v>171</v>
      </c>
      <c r="Q38" s="81">
        <v>0</v>
      </c>
      <c r="R38" s="80" t="s">
        <v>171</v>
      </c>
      <c r="S38" s="80">
        <v>30</v>
      </c>
      <c r="T38" s="82">
        <v>30</v>
      </c>
      <c r="U38" s="77"/>
      <c r="V38" s="75"/>
      <c r="W38" s="77"/>
      <c r="X38" s="77"/>
      <c r="Y38" s="77" t="s">
        <v>364</v>
      </c>
      <c r="Z38" s="77" t="s">
        <v>361</v>
      </c>
      <c r="AA38" s="83" t="s">
        <v>363</v>
      </c>
      <c r="AB38" s="104" t="str">
        <f>IFERROR(VLOOKUP(Anexo_4[[#This Row],[cuenta]],OP,2,0),"-")</f>
        <v>Alimentacion (Operativo)</v>
      </c>
    </row>
    <row r="39" spans="1:28" s="84" customFormat="1" ht="27" customHeight="1" x14ac:dyDescent="0.3">
      <c r="A39" s="75" t="s">
        <v>295</v>
      </c>
      <c r="B39" s="36" t="str">
        <f t="shared" si="0"/>
        <v>Junio</v>
      </c>
      <c r="C39" s="77" t="s">
        <v>162</v>
      </c>
      <c r="D39" s="77" t="s">
        <v>365</v>
      </c>
      <c r="E39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39" s="79" t="s">
        <v>355</v>
      </c>
      <c r="G39" s="79" t="s">
        <v>356</v>
      </c>
      <c r="H39" s="140" t="s">
        <v>366</v>
      </c>
      <c r="I39" s="77" t="s">
        <v>367</v>
      </c>
      <c r="J39" s="144" t="s">
        <v>368</v>
      </c>
      <c r="K39" s="77" t="s">
        <v>239</v>
      </c>
      <c r="L39" s="103" t="str">
        <f>VLOOKUP(Anexo_4[[#This Row],[cod_doc]],TIPODOC,2,FALSE)</f>
        <v>BOLETA DE VENTA</v>
      </c>
      <c r="M39" s="77" t="s">
        <v>369</v>
      </c>
      <c r="N39" s="79">
        <v>34526</v>
      </c>
      <c r="O39" s="80"/>
      <c r="P39" s="81" t="s">
        <v>171</v>
      </c>
      <c r="Q39" s="81">
        <v>0</v>
      </c>
      <c r="R39" s="80" t="s">
        <v>171</v>
      </c>
      <c r="S39" s="80">
        <v>15</v>
      </c>
      <c r="T39" s="82">
        <v>15</v>
      </c>
      <c r="U39" s="77"/>
      <c r="V39" s="75"/>
      <c r="W39" s="77"/>
      <c r="X39" s="77"/>
      <c r="Y39" s="77" t="s">
        <v>370</v>
      </c>
      <c r="Z39" s="77" t="s">
        <v>361</v>
      </c>
      <c r="AA39" s="83" t="s">
        <v>366</v>
      </c>
      <c r="AB39" s="104" t="str">
        <f>IFERROR(VLOOKUP(Anexo_4[[#This Row],[cuenta]],OP,2,0),"-")</f>
        <v>Alimentacion (Operativo)</v>
      </c>
    </row>
    <row r="40" spans="1:28" s="84" customFormat="1" ht="27" customHeight="1" x14ac:dyDescent="0.3">
      <c r="A40" s="75" t="s">
        <v>295</v>
      </c>
      <c r="B40" s="36" t="str">
        <f t="shared" si="0"/>
        <v>Junio</v>
      </c>
      <c r="C40" s="77" t="s">
        <v>162</v>
      </c>
      <c r="D40" s="77" t="s">
        <v>371</v>
      </c>
      <c r="E40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40" s="79" t="s">
        <v>355</v>
      </c>
      <c r="G40" s="79" t="s">
        <v>356</v>
      </c>
      <c r="H40" s="140" t="s">
        <v>372</v>
      </c>
      <c r="I40" s="77" t="s">
        <v>373</v>
      </c>
      <c r="J40" s="144" t="s">
        <v>374</v>
      </c>
      <c r="K40" s="77" t="s">
        <v>169</v>
      </c>
      <c r="L40" s="103" t="str">
        <f>VLOOKUP(Anexo_4[[#This Row],[cod_doc]],TIPODOC,2,FALSE)</f>
        <v>FACTURA</v>
      </c>
      <c r="M40" s="77" t="s">
        <v>102</v>
      </c>
      <c r="N40" s="79">
        <v>171</v>
      </c>
      <c r="O40" s="80">
        <v>59.32</v>
      </c>
      <c r="P40" s="81" t="s">
        <v>171</v>
      </c>
      <c r="Q40" s="81">
        <v>10.6776</v>
      </c>
      <c r="R40" s="80" t="s">
        <v>171</v>
      </c>
      <c r="S40" s="80">
        <v>0</v>
      </c>
      <c r="T40" s="82">
        <v>70</v>
      </c>
      <c r="U40" s="77"/>
      <c r="V40" s="75"/>
      <c r="W40" s="77"/>
      <c r="X40" s="77"/>
      <c r="Y40" s="77" t="s">
        <v>375</v>
      </c>
      <c r="Z40" s="77" t="s">
        <v>376</v>
      </c>
      <c r="AA40" s="83" t="s">
        <v>372</v>
      </c>
      <c r="AB40" s="104" t="str">
        <f>IFERROR(VLOOKUP(Anexo_4[[#This Row],[cuenta]],OP,2,0),"-")</f>
        <v>Alojamiento (Operativo)</v>
      </c>
    </row>
    <row r="41" spans="1:28" s="84" customFormat="1" ht="27" customHeight="1" x14ac:dyDescent="0.3">
      <c r="A41" s="75" t="s">
        <v>210</v>
      </c>
      <c r="B41" s="36" t="str">
        <f t="shared" si="0"/>
        <v>Junio</v>
      </c>
      <c r="C41" s="77" t="s">
        <v>162</v>
      </c>
      <c r="D41" s="77" t="s">
        <v>377</v>
      </c>
      <c r="E4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41" s="79" t="s">
        <v>235</v>
      </c>
      <c r="G41" s="79" t="s">
        <v>236</v>
      </c>
      <c r="H41" s="140" t="s">
        <v>378</v>
      </c>
      <c r="I41" s="77" t="s">
        <v>264</v>
      </c>
      <c r="J41" s="144" t="s">
        <v>265</v>
      </c>
      <c r="K41" s="77" t="s">
        <v>169</v>
      </c>
      <c r="L41" s="103" t="str">
        <f>VLOOKUP(Anexo_4[[#This Row],[cod_doc]],TIPODOC,2,FALSE)</f>
        <v>FACTURA</v>
      </c>
      <c r="M41" s="77" t="s">
        <v>379</v>
      </c>
      <c r="N41" s="79">
        <v>2070460</v>
      </c>
      <c r="O41" s="80">
        <v>6.78</v>
      </c>
      <c r="P41" s="81" t="s">
        <v>171</v>
      </c>
      <c r="Q41" s="81">
        <v>1.2203999999999999</v>
      </c>
      <c r="R41" s="80" t="s">
        <v>171</v>
      </c>
      <c r="S41" s="80">
        <v>0</v>
      </c>
      <c r="T41" s="82">
        <v>8</v>
      </c>
      <c r="U41" s="77"/>
      <c r="V41" s="75"/>
      <c r="W41" s="77"/>
      <c r="X41" s="77"/>
      <c r="Y41" s="77" t="s">
        <v>380</v>
      </c>
      <c r="Z41" s="77" t="s">
        <v>302</v>
      </c>
      <c r="AA41" s="83" t="s">
        <v>378</v>
      </c>
      <c r="AB41" s="104" t="str">
        <f>IFERROR(VLOOKUP(Anexo_4[[#This Row],[cuenta]],OP,2,0),"-")</f>
        <v>Transporte peajes - Servicios</v>
      </c>
    </row>
    <row r="42" spans="1:28" s="84" customFormat="1" ht="27" customHeight="1" x14ac:dyDescent="0.3">
      <c r="A42" s="75" t="s">
        <v>210</v>
      </c>
      <c r="B42" s="36" t="str">
        <f t="shared" si="0"/>
        <v>Junio</v>
      </c>
      <c r="C42" s="77" t="s">
        <v>162</v>
      </c>
      <c r="D42" s="77" t="s">
        <v>381</v>
      </c>
      <c r="E4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42" s="79" t="s">
        <v>235</v>
      </c>
      <c r="G42" s="79" t="s">
        <v>236</v>
      </c>
      <c r="H42" s="140" t="s">
        <v>382</v>
      </c>
      <c r="I42" s="77" t="s">
        <v>383</v>
      </c>
      <c r="J42" s="144" t="s">
        <v>384</v>
      </c>
      <c r="K42" s="77" t="s">
        <v>169</v>
      </c>
      <c r="L42" s="103" t="str">
        <f>VLOOKUP(Anexo_4[[#This Row],[cod_doc]],TIPODOC,2,FALSE)</f>
        <v>FACTURA</v>
      </c>
      <c r="M42" s="77" t="s">
        <v>103</v>
      </c>
      <c r="N42" s="79">
        <v>16559</v>
      </c>
      <c r="O42" s="80">
        <v>16.95</v>
      </c>
      <c r="P42" s="81" t="s">
        <v>171</v>
      </c>
      <c r="Q42" s="81">
        <v>3.0509999999999997</v>
      </c>
      <c r="R42" s="80" t="s">
        <v>171</v>
      </c>
      <c r="S42" s="80">
        <v>0</v>
      </c>
      <c r="T42" s="82">
        <v>20</v>
      </c>
      <c r="U42" s="77"/>
      <c r="V42" s="75"/>
      <c r="W42" s="77"/>
      <c r="X42" s="77"/>
      <c r="Y42" s="77" t="s">
        <v>385</v>
      </c>
      <c r="Z42" s="77" t="s">
        <v>386</v>
      </c>
      <c r="AA42" s="83" t="s">
        <v>382</v>
      </c>
      <c r="AB42" s="104" t="str">
        <f>IFERROR(VLOOKUP(Anexo_4[[#This Row],[cuenta]],OP,2,0),"-")</f>
        <v>Balanza - Servicios</v>
      </c>
    </row>
    <row r="43" spans="1:28" s="84" customFormat="1" ht="27" customHeight="1" x14ac:dyDescent="0.3">
      <c r="A43" s="75" t="s">
        <v>210</v>
      </c>
      <c r="B43" s="36" t="str">
        <f t="shared" si="0"/>
        <v>Junio</v>
      </c>
      <c r="C43" s="77" t="s">
        <v>162</v>
      </c>
      <c r="D43" s="77" t="s">
        <v>387</v>
      </c>
      <c r="E43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43" s="79" t="s">
        <v>235</v>
      </c>
      <c r="G43" s="79" t="s">
        <v>236</v>
      </c>
      <c r="H43" s="140" t="s">
        <v>388</v>
      </c>
      <c r="I43" s="77" t="s">
        <v>383</v>
      </c>
      <c r="J43" s="144" t="s">
        <v>384</v>
      </c>
      <c r="K43" s="77" t="s">
        <v>169</v>
      </c>
      <c r="L43" s="103" t="str">
        <f>VLOOKUP(Anexo_4[[#This Row],[cod_doc]],TIPODOC,2,FALSE)</f>
        <v>FACTURA</v>
      </c>
      <c r="M43" s="77" t="s">
        <v>103</v>
      </c>
      <c r="N43" s="79">
        <v>16558</v>
      </c>
      <c r="O43" s="80">
        <v>16.95</v>
      </c>
      <c r="P43" s="81" t="s">
        <v>171</v>
      </c>
      <c r="Q43" s="81">
        <v>3.0509999999999997</v>
      </c>
      <c r="R43" s="80" t="s">
        <v>171</v>
      </c>
      <c r="S43" s="80">
        <v>0</v>
      </c>
      <c r="T43" s="82">
        <v>20</v>
      </c>
      <c r="U43" s="77"/>
      <c r="V43" s="75"/>
      <c r="W43" s="77"/>
      <c r="X43" s="77"/>
      <c r="Y43" s="77" t="s">
        <v>389</v>
      </c>
      <c r="Z43" s="77" t="s">
        <v>386</v>
      </c>
      <c r="AA43" s="83" t="s">
        <v>388</v>
      </c>
      <c r="AB43" s="104" t="str">
        <f>IFERROR(VLOOKUP(Anexo_4[[#This Row],[cuenta]],OP,2,0),"-")</f>
        <v>Balanza - Servicios</v>
      </c>
    </row>
    <row r="44" spans="1:28" s="84" customFormat="1" ht="27" customHeight="1" x14ac:dyDescent="0.3">
      <c r="A44" s="75" t="s">
        <v>173</v>
      </c>
      <c r="B44" s="36" t="str">
        <f t="shared" si="0"/>
        <v>Junio</v>
      </c>
      <c r="C44" s="77" t="s">
        <v>162</v>
      </c>
      <c r="D44" s="77" t="s">
        <v>390</v>
      </c>
      <c r="E44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44" s="79" t="s">
        <v>391</v>
      </c>
      <c r="G44" s="79" t="s">
        <v>392</v>
      </c>
      <c r="H44" s="140" t="s">
        <v>393</v>
      </c>
      <c r="I44" s="77" t="s">
        <v>383</v>
      </c>
      <c r="J44" s="144" t="s">
        <v>384</v>
      </c>
      <c r="K44" s="77" t="s">
        <v>169</v>
      </c>
      <c r="L44" s="103" t="str">
        <f>VLOOKUP(Anexo_4[[#This Row],[cod_doc]],TIPODOC,2,FALSE)</f>
        <v>FACTURA</v>
      </c>
      <c r="M44" s="77" t="s">
        <v>103</v>
      </c>
      <c r="N44" s="79">
        <v>16551</v>
      </c>
      <c r="O44" s="80">
        <v>16.95</v>
      </c>
      <c r="P44" s="81" t="s">
        <v>171</v>
      </c>
      <c r="Q44" s="81">
        <v>3.0509999999999997</v>
      </c>
      <c r="R44" s="80" t="s">
        <v>171</v>
      </c>
      <c r="S44" s="80">
        <v>0</v>
      </c>
      <c r="T44" s="82">
        <v>20</v>
      </c>
      <c r="U44" s="77"/>
      <c r="V44" s="75"/>
      <c r="W44" s="77"/>
      <c r="X44" s="77"/>
      <c r="Y44" s="77" t="s">
        <v>394</v>
      </c>
      <c r="Z44" s="77" t="s">
        <v>182</v>
      </c>
      <c r="AA44" s="83" t="s">
        <v>393</v>
      </c>
      <c r="AB44" s="104" t="str">
        <f>IFERROR(VLOOKUP(Anexo_4[[#This Row],[cuenta]],OP,2,0),"-")</f>
        <v>Balanza - Ventas</v>
      </c>
    </row>
    <row r="45" spans="1:28" s="84" customFormat="1" ht="27" customHeight="1" x14ac:dyDescent="0.3">
      <c r="A45" s="75" t="s">
        <v>173</v>
      </c>
      <c r="B45" s="36" t="str">
        <f t="shared" si="0"/>
        <v>Junio</v>
      </c>
      <c r="C45" s="77" t="s">
        <v>162</v>
      </c>
      <c r="D45" s="77" t="s">
        <v>395</v>
      </c>
      <c r="E4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45" s="79" t="s">
        <v>391</v>
      </c>
      <c r="G45" s="79" t="s">
        <v>392</v>
      </c>
      <c r="H45" s="140" t="s">
        <v>396</v>
      </c>
      <c r="I45" s="77" t="s">
        <v>264</v>
      </c>
      <c r="J45" s="144" t="s">
        <v>265</v>
      </c>
      <c r="K45" s="77" t="s">
        <v>169</v>
      </c>
      <c r="L45" s="103" t="str">
        <f>VLOOKUP(Anexo_4[[#This Row],[cod_doc]],TIPODOC,2,FALSE)</f>
        <v>FACTURA</v>
      </c>
      <c r="M45" s="77" t="s">
        <v>271</v>
      </c>
      <c r="N45" s="79">
        <v>1747456</v>
      </c>
      <c r="O45" s="80">
        <v>6.78</v>
      </c>
      <c r="P45" s="81" t="s">
        <v>171</v>
      </c>
      <c r="Q45" s="81">
        <v>1.2203999999999999</v>
      </c>
      <c r="R45" s="80" t="s">
        <v>171</v>
      </c>
      <c r="S45" s="80">
        <v>0</v>
      </c>
      <c r="T45" s="82">
        <v>8</v>
      </c>
      <c r="U45" s="77"/>
      <c r="V45" s="75"/>
      <c r="W45" s="77"/>
      <c r="X45" s="77"/>
      <c r="Y45" s="77" t="s">
        <v>397</v>
      </c>
      <c r="Z45" s="77" t="s">
        <v>268</v>
      </c>
      <c r="AA45" s="83" t="s">
        <v>396</v>
      </c>
      <c r="AB45" s="104" t="str">
        <f>IFERROR(VLOOKUP(Anexo_4[[#This Row],[cuenta]],OP,2,0),"-")</f>
        <v>Transporte peajes - Ventas</v>
      </c>
    </row>
    <row r="46" spans="1:28" s="84" customFormat="1" ht="27" customHeight="1" x14ac:dyDescent="0.3">
      <c r="A46" s="75" t="s">
        <v>173</v>
      </c>
      <c r="B46" s="36" t="str">
        <f t="shared" si="0"/>
        <v>Junio</v>
      </c>
      <c r="C46" s="77" t="s">
        <v>162</v>
      </c>
      <c r="D46" s="77" t="s">
        <v>398</v>
      </c>
      <c r="E4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46" s="79" t="s">
        <v>391</v>
      </c>
      <c r="G46" s="79" t="s">
        <v>392</v>
      </c>
      <c r="H46" s="140" t="s">
        <v>399</v>
      </c>
      <c r="I46" s="77" t="s">
        <v>264</v>
      </c>
      <c r="J46" s="144" t="s">
        <v>265</v>
      </c>
      <c r="K46" s="77" t="s">
        <v>169</v>
      </c>
      <c r="L46" s="103" t="str">
        <f>VLOOKUP(Anexo_4[[#This Row],[cod_doc]],TIPODOC,2,FALSE)</f>
        <v>FACTURA</v>
      </c>
      <c r="M46" s="77" t="s">
        <v>352</v>
      </c>
      <c r="N46" s="79">
        <v>1767428</v>
      </c>
      <c r="O46" s="80">
        <v>6.78</v>
      </c>
      <c r="P46" s="81" t="s">
        <v>171</v>
      </c>
      <c r="Q46" s="81">
        <v>1.2203999999999999</v>
      </c>
      <c r="R46" s="80" t="s">
        <v>171</v>
      </c>
      <c r="S46" s="80">
        <v>0</v>
      </c>
      <c r="T46" s="82">
        <v>8</v>
      </c>
      <c r="U46" s="77"/>
      <c r="V46" s="75"/>
      <c r="W46" s="77"/>
      <c r="X46" s="77"/>
      <c r="Y46" s="77" t="s">
        <v>400</v>
      </c>
      <c r="Z46" s="77" t="s">
        <v>268</v>
      </c>
      <c r="AA46" s="83" t="s">
        <v>399</v>
      </c>
      <c r="AB46" s="104" t="str">
        <f>IFERROR(VLOOKUP(Anexo_4[[#This Row],[cuenta]],OP,2,0),"-")</f>
        <v>Transporte peajes - Ventas</v>
      </c>
    </row>
    <row r="47" spans="1:28" s="84" customFormat="1" ht="27" customHeight="1" x14ac:dyDescent="0.3">
      <c r="A47" s="75" t="s">
        <v>215</v>
      </c>
      <c r="B47" s="36" t="str">
        <f t="shared" si="0"/>
        <v>Junio</v>
      </c>
      <c r="C47" s="77" t="s">
        <v>162</v>
      </c>
      <c r="D47" s="77" t="s">
        <v>401</v>
      </c>
      <c r="E47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47" s="79" t="s">
        <v>391</v>
      </c>
      <c r="G47" s="79" t="s">
        <v>392</v>
      </c>
      <c r="H47" s="140" t="s">
        <v>402</v>
      </c>
      <c r="I47" s="77" t="s">
        <v>264</v>
      </c>
      <c r="J47" s="144" t="s">
        <v>265</v>
      </c>
      <c r="K47" s="77" t="s">
        <v>169</v>
      </c>
      <c r="L47" s="103" t="str">
        <f>VLOOKUP(Anexo_4[[#This Row],[cod_doc]],TIPODOC,2,FALSE)</f>
        <v>FACTURA</v>
      </c>
      <c r="M47" s="77" t="s">
        <v>352</v>
      </c>
      <c r="N47" s="79">
        <v>1769284</v>
      </c>
      <c r="O47" s="80">
        <v>6.78</v>
      </c>
      <c r="P47" s="81" t="s">
        <v>171</v>
      </c>
      <c r="Q47" s="81">
        <v>1.2203999999999999</v>
      </c>
      <c r="R47" s="80" t="s">
        <v>171</v>
      </c>
      <c r="S47" s="80">
        <v>0</v>
      </c>
      <c r="T47" s="82">
        <v>8</v>
      </c>
      <c r="U47" s="77"/>
      <c r="V47" s="75"/>
      <c r="W47" s="77"/>
      <c r="X47" s="77"/>
      <c r="Y47" s="77" t="s">
        <v>403</v>
      </c>
      <c r="Z47" s="77" t="s">
        <v>268</v>
      </c>
      <c r="AA47" s="83" t="s">
        <v>402</v>
      </c>
      <c r="AB47" s="104" t="str">
        <f>IFERROR(VLOOKUP(Anexo_4[[#This Row],[cuenta]],OP,2,0),"-")</f>
        <v>Transporte peajes - Ventas</v>
      </c>
    </row>
    <row r="48" spans="1:28" s="84" customFormat="1" ht="27" customHeight="1" x14ac:dyDescent="0.3">
      <c r="A48" s="75" t="s">
        <v>210</v>
      </c>
      <c r="B48" s="36" t="str">
        <f t="shared" si="0"/>
        <v>Junio</v>
      </c>
      <c r="C48" s="77" t="s">
        <v>162</v>
      </c>
      <c r="D48" s="77" t="s">
        <v>404</v>
      </c>
      <c r="E48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48" s="79" t="s">
        <v>235</v>
      </c>
      <c r="G48" s="79" t="s">
        <v>236</v>
      </c>
      <c r="H48" s="140" t="s">
        <v>405</v>
      </c>
      <c r="I48" s="77" t="s">
        <v>264</v>
      </c>
      <c r="J48" s="144" t="s">
        <v>265</v>
      </c>
      <c r="K48" s="77" t="s">
        <v>169</v>
      </c>
      <c r="L48" s="103" t="str">
        <f>VLOOKUP(Anexo_4[[#This Row],[cod_doc]],TIPODOC,2,FALSE)</f>
        <v>FACTURA</v>
      </c>
      <c r="M48" s="77" t="s">
        <v>406</v>
      </c>
      <c r="N48" s="79">
        <v>2353590</v>
      </c>
      <c r="O48" s="80">
        <v>6.78</v>
      </c>
      <c r="P48" s="81" t="s">
        <v>171</v>
      </c>
      <c r="Q48" s="81">
        <v>1.2203999999999999</v>
      </c>
      <c r="R48" s="80" t="s">
        <v>171</v>
      </c>
      <c r="S48" s="80">
        <v>0</v>
      </c>
      <c r="T48" s="82">
        <v>8</v>
      </c>
      <c r="U48" s="77"/>
      <c r="V48" s="75"/>
      <c r="W48" s="77"/>
      <c r="X48" s="77"/>
      <c r="Y48" s="77" t="s">
        <v>407</v>
      </c>
      <c r="Z48" s="77" t="s">
        <v>302</v>
      </c>
      <c r="AA48" s="83" t="s">
        <v>405</v>
      </c>
      <c r="AB48" s="104" t="str">
        <f>IFERROR(VLOOKUP(Anexo_4[[#This Row],[cuenta]],OP,2,0),"-")</f>
        <v>Transporte peajes - Servicios</v>
      </c>
    </row>
    <row r="49" spans="1:28" s="84" customFormat="1" ht="27" customHeight="1" x14ac:dyDescent="0.3">
      <c r="A49" s="75" t="s">
        <v>316</v>
      </c>
      <c r="B49" s="36" t="str">
        <f t="shared" si="0"/>
        <v>Junio</v>
      </c>
      <c r="C49" s="77" t="s">
        <v>162</v>
      </c>
      <c r="D49" s="77" t="s">
        <v>408</v>
      </c>
      <c r="E49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49" s="79" t="s">
        <v>235</v>
      </c>
      <c r="G49" s="79" t="s">
        <v>236</v>
      </c>
      <c r="H49" s="140" t="s">
        <v>409</v>
      </c>
      <c r="I49" s="77" t="s">
        <v>264</v>
      </c>
      <c r="J49" s="144" t="s">
        <v>265</v>
      </c>
      <c r="K49" s="77" t="s">
        <v>169</v>
      </c>
      <c r="L49" s="103" t="str">
        <f>VLOOKUP(Anexo_4[[#This Row],[cod_doc]],TIPODOC,2,FALSE)</f>
        <v>FACTURA</v>
      </c>
      <c r="M49" s="77" t="s">
        <v>352</v>
      </c>
      <c r="N49" s="79">
        <v>1771273</v>
      </c>
      <c r="O49" s="80">
        <v>6.78</v>
      </c>
      <c r="P49" s="81" t="s">
        <v>171</v>
      </c>
      <c r="Q49" s="81">
        <v>1.2203999999999999</v>
      </c>
      <c r="R49" s="80" t="s">
        <v>171</v>
      </c>
      <c r="S49" s="80">
        <v>0</v>
      </c>
      <c r="T49" s="82">
        <v>8</v>
      </c>
      <c r="U49" s="77"/>
      <c r="V49" s="75"/>
      <c r="W49" s="77"/>
      <c r="X49" s="77"/>
      <c r="Y49" s="77" t="s">
        <v>410</v>
      </c>
      <c r="Z49" s="77" t="s">
        <v>302</v>
      </c>
      <c r="AA49" s="83" t="s">
        <v>409</v>
      </c>
      <c r="AB49" s="104" t="str">
        <f>IFERROR(VLOOKUP(Anexo_4[[#This Row],[cuenta]],OP,2,0),"-")</f>
        <v>Transporte peajes - Servicios</v>
      </c>
    </row>
    <row r="50" spans="1:28" s="84" customFormat="1" ht="27" customHeight="1" x14ac:dyDescent="0.3">
      <c r="A50" s="75" t="s">
        <v>215</v>
      </c>
      <c r="B50" s="36" t="str">
        <f t="shared" si="0"/>
        <v>Junio</v>
      </c>
      <c r="C50" s="77" t="s">
        <v>162</v>
      </c>
      <c r="D50" s="77" t="s">
        <v>411</v>
      </c>
      <c r="E50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50" s="79" t="s">
        <v>391</v>
      </c>
      <c r="G50" s="79" t="s">
        <v>392</v>
      </c>
      <c r="H50" s="140" t="s">
        <v>412</v>
      </c>
      <c r="I50" s="77" t="s">
        <v>264</v>
      </c>
      <c r="J50" s="144" t="s">
        <v>265</v>
      </c>
      <c r="K50" s="77" t="s">
        <v>169</v>
      </c>
      <c r="L50" s="103" t="str">
        <f>VLOOKUP(Anexo_4[[#This Row],[cod_doc]],TIPODOC,2,FALSE)</f>
        <v>FACTURA</v>
      </c>
      <c r="M50" s="77" t="s">
        <v>271</v>
      </c>
      <c r="N50" s="79">
        <v>1749412</v>
      </c>
      <c r="O50" s="80">
        <v>6.78</v>
      </c>
      <c r="P50" s="81" t="s">
        <v>171</v>
      </c>
      <c r="Q50" s="81">
        <v>1.2203999999999999</v>
      </c>
      <c r="R50" s="80" t="s">
        <v>171</v>
      </c>
      <c r="S50" s="80">
        <v>0</v>
      </c>
      <c r="T50" s="82">
        <v>8</v>
      </c>
      <c r="U50" s="77"/>
      <c r="V50" s="75"/>
      <c r="W50" s="77"/>
      <c r="X50" s="77"/>
      <c r="Y50" s="77" t="s">
        <v>413</v>
      </c>
      <c r="Z50" s="77" t="s">
        <v>302</v>
      </c>
      <c r="AA50" s="83" t="s">
        <v>412</v>
      </c>
      <c r="AB50" s="104" t="str">
        <f>IFERROR(VLOOKUP(Anexo_4[[#This Row],[cuenta]],OP,2,0),"-")</f>
        <v>Transporte peajes - Servicios</v>
      </c>
    </row>
    <row r="51" spans="1:28" s="84" customFormat="1" ht="27" customHeight="1" x14ac:dyDescent="0.3">
      <c r="A51" s="75" t="s">
        <v>316</v>
      </c>
      <c r="B51" s="36" t="str">
        <f t="shared" si="0"/>
        <v>Junio</v>
      </c>
      <c r="C51" s="77" t="s">
        <v>162</v>
      </c>
      <c r="D51" s="77" t="s">
        <v>414</v>
      </c>
      <c r="E5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51" s="79" t="s">
        <v>391</v>
      </c>
      <c r="G51" s="79" t="s">
        <v>392</v>
      </c>
      <c r="H51" s="140" t="s">
        <v>415</v>
      </c>
      <c r="I51" s="77" t="s">
        <v>264</v>
      </c>
      <c r="J51" s="144" t="s">
        <v>265</v>
      </c>
      <c r="K51" s="77" t="s">
        <v>169</v>
      </c>
      <c r="L51" s="103" t="str">
        <f>VLOOKUP(Anexo_4[[#This Row],[cod_doc]],TIPODOC,2,FALSE)</f>
        <v>FACTURA</v>
      </c>
      <c r="M51" s="77" t="s">
        <v>271</v>
      </c>
      <c r="N51" s="79">
        <v>1751406</v>
      </c>
      <c r="O51" s="80">
        <v>6.78</v>
      </c>
      <c r="P51" s="81" t="s">
        <v>171</v>
      </c>
      <c r="Q51" s="81">
        <v>1.2203999999999999</v>
      </c>
      <c r="R51" s="80" t="s">
        <v>171</v>
      </c>
      <c r="S51" s="80">
        <v>0</v>
      </c>
      <c r="T51" s="82">
        <v>8</v>
      </c>
      <c r="U51" s="77"/>
      <c r="V51" s="75"/>
      <c r="W51" s="77"/>
      <c r="X51" s="77"/>
      <c r="Y51" s="77" t="s">
        <v>416</v>
      </c>
      <c r="Z51" s="77" t="s">
        <v>302</v>
      </c>
      <c r="AA51" s="83" t="s">
        <v>415</v>
      </c>
      <c r="AB51" s="104" t="str">
        <f>IFERROR(VLOOKUP(Anexo_4[[#This Row],[cuenta]],OP,2,0),"-")</f>
        <v>Transporte peajes - Servicios</v>
      </c>
    </row>
    <row r="52" spans="1:28" s="84" customFormat="1" ht="27" customHeight="1" x14ac:dyDescent="0.3">
      <c r="A52" s="75" t="s">
        <v>316</v>
      </c>
      <c r="B52" s="36" t="str">
        <f t="shared" si="0"/>
        <v>Junio</v>
      </c>
      <c r="C52" s="77" t="s">
        <v>162</v>
      </c>
      <c r="D52" s="77" t="s">
        <v>417</v>
      </c>
      <c r="E5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52" s="79" t="s">
        <v>418</v>
      </c>
      <c r="G52" s="79" t="s">
        <v>419</v>
      </c>
      <c r="H52" s="140" t="s">
        <v>420</v>
      </c>
      <c r="I52" s="77" t="s">
        <v>383</v>
      </c>
      <c r="J52" s="144" t="s">
        <v>384</v>
      </c>
      <c r="K52" s="77" t="s">
        <v>169</v>
      </c>
      <c r="L52" s="103" t="str">
        <f>VLOOKUP(Anexo_4[[#This Row],[cod_doc]],TIPODOC,2,FALSE)</f>
        <v>FACTURA</v>
      </c>
      <c r="M52" s="77" t="s">
        <v>421</v>
      </c>
      <c r="N52" s="79">
        <v>34843</v>
      </c>
      <c r="O52" s="80">
        <v>8.4700000000000006</v>
      </c>
      <c r="P52" s="81" t="s">
        <v>171</v>
      </c>
      <c r="Q52" s="81">
        <v>1.5246</v>
      </c>
      <c r="R52" s="80" t="s">
        <v>171</v>
      </c>
      <c r="S52" s="80">
        <v>0</v>
      </c>
      <c r="T52" s="82">
        <v>10</v>
      </c>
      <c r="U52" s="77"/>
      <c r="V52" s="75"/>
      <c r="W52" s="77"/>
      <c r="X52" s="77"/>
      <c r="Y52" s="77" t="s">
        <v>422</v>
      </c>
      <c r="Z52" s="77" t="s">
        <v>386</v>
      </c>
      <c r="AA52" s="83" t="s">
        <v>420</v>
      </c>
      <c r="AB52" s="104" t="str">
        <f>IFERROR(VLOOKUP(Anexo_4[[#This Row],[cuenta]],OP,2,0),"-")</f>
        <v>Balanza - Servicios</v>
      </c>
    </row>
    <row r="53" spans="1:28" s="84" customFormat="1" ht="27" customHeight="1" x14ac:dyDescent="0.3">
      <c r="A53" s="75" t="s">
        <v>210</v>
      </c>
      <c r="B53" s="36" t="str">
        <f t="shared" si="0"/>
        <v>Junio</v>
      </c>
      <c r="C53" s="77" t="s">
        <v>162</v>
      </c>
      <c r="D53" s="77" t="s">
        <v>423</v>
      </c>
      <c r="E53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53" s="79" t="s">
        <v>175</v>
      </c>
      <c r="G53" s="79" t="s">
        <v>176</v>
      </c>
      <c r="H53" s="140" t="s">
        <v>424</v>
      </c>
      <c r="I53" s="77" t="s">
        <v>383</v>
      </c>
      <c r="J53" s="144" t="s">
        <v>384</v>
      </c>
      <c r="K53" s="77" t="s">
        <v>169</v>
      </c>
      <c r="L53" s="103" t="str">
        <f>VLOOKUP(Anexo_4[[#This Row],[cod_doc]],TIPODOC,2,FALSE)</f>
        <v>FACTURA</v>
      </c>
      <c r="M53" s="77" t="s">
        <v>421</v>
      </c>
      <c r="N53" s="79">
        <v>34819</v>
      </c>
      <c r="O53" s="80">
        <v>8.4700000000000006</v>
      </c>
      <c r="P53" s="81" t="s">
        <v>171</v>
      </c>
      <c r="Q53" s="81">
        <v>1.5246</v>
      </c>
      <c r="R53" s="80" t="s">
        <v>171</v>
      </c>
      <c r="S53" s="80">
        <v>0</v>
      </c>
      <c r="T53" s="82">
        <v>10</v>
      </c>
      <c r="U53" s="77"/>
      <c r="V53" s="75"/>
      <c r="W53" s="77"/>
      <c r="X53" s="77"/>
      <c r="Y53" s="77" t="s">
        <v>425</v>
      </c>
      <c r="Z53" s="77" t="s">
        <v>182</v>
      </c>
      <c r="AA53" s="83" t="s">
        <v>424</v>
      </c>
      <c r="AB53" s="104" t="str">
        <f>IFERROR(VLOOKUP(Anexo_4[[#This Row],[cuenta]],OP,2,0),"-")</f>
        <v>Balanza - Ventas</v>
      </c>
    </row>
    <row r="54" spans="1:28" s="84" customFormat="1" ht="27" customHeight="1" x14ac:dyDescent="0.3">
      <c r="A54" s="75" t="s">
        <v>215</v>
      </c>
      <c r="B54" s="36" t="str">
        <f t="shared" si="0"/>
        <v>Junio</v>
      </c>
      <c r="C54" s="77" t="s">
        <v>162</v>
      </c>
      <c r="D54" s="77" t="s">
        <v>426</v>
      </c>
      <c r="E54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54" s="79" t="s">
        <v>217</v>
      </c>
      <c r="G54" s="79" t="s">
        <v>218</v>
      </c>
      <c r="H54" s="140" t="s">
        <v>427</v>
      </c>
      <c r="I54" s="77" t="s">
        <v>264</v>
      </c>
      <c r="J54" s="144" t="s">
        <v>265</v>
      </c>
      <c r="K54" s="77" t="s">
        <v>169</v>
      </c>
      <c r="L54" s="103" t="str">
        <f>VLOOKUP(Anexo_4[[#This Row],[cod_doc]],TIPODOC,2,FALSE)</f>
        <v>FACTURA</v>
      </c>
      <c r="M54" s="77" t="s">
        <v>379</v>
      </c>
      <c r="N54" s="79">
        <v>2071359</v>
      </c>
      <c r="O54" s="80">
        <v>6.78</v>
      </c>
      <c r="P54" s="81" t="s">
        <v>171</v>
      </c>
      <c r="Q54" s="81">
        <v>1.2203999999999999</v>
      </c>
      <c r="R54" s="80" t="s">
        <v>171</v>
      </c>
      <c r="S54" s="80">
        <v>0</v>
      </c>
      <c r="T54" s="82">
        <v>8</v>
      </c>
      <c r="U54" s="77"/>
      <c r="V54" s="75"/>
      <c r="W54" s="77"/>
      <c r="X54" s="77"/>
      <c r="Y54" s="77" t="s">
        <v>428</v>
      </c>
      <c r="Z54" s="77" t="s">
        <v>268</v>
      </c>
      <c r="AA54" s="83" t="s">
        <v>427</v>
      </c>
      <c r="AB54" s="104" t="str">
        <f>IFERROR(VLOOKUP(Anexo_4[[#This Row],[cuenta]],OP,2,0),"-")</f>
        <v>Transporte peajes - Ventas</v>
      </c>
    </row>
    <row r="55" spans="1:28" s="84" customFormat="1" ht="27" customHeight="1" x14ac:dyDescent="0.3">
      <c r="A55" s="75" t="s">
        <v>215</v>
      </c>
      <c r="B55" s="36" t="str">
        <f t="shared" si="0"/>
        <v>Junio</v>
      </c>
      <c r="C55" s="77" t="s">
        <v>162</v>
      </c>
      <c r="D55" s="77" t="s">
        <v>429</v>
      </c>
      <c r="E5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55" s="79" t="s">
        <v>175</v>
      </c>
      <c r="G55" s="79" t="s">
        <v>176</v>
      </c>
      <c r="H55" s="140" t="s">
        <v>430</v>
      </c>
      <c r="I55" s="77" t="s">
        <v>264</v>
      </c>
      <c r="J55" s="144" t="s">
        <v>265</v>
      </c>
      <c r="K55" s="77" t="s">
        <v>169</v>
      </c>
      <c r="L55" s="103" t="str">
        <f>VLOOKUP(Anexo_4[[#This Row],[cod_doc]],TIPODOC,2,FALSE)</f>
        <v>FACTURA</v>
      </c>
      <c r="M55" s="77" t="s">
        <v>271</v>
      </c>
      <c r="N55" s="79">
        <v>1749519</v>
      </c>
      <c r="O55" s="80">
        <v>10.17</v>
      </c>
      <c r="P55" s="81" t="s">
        <v>171</v>
      </c>
      <c r="Q55" s="81">
        <v>1.8306</v>
      </c>
      <c r="R55" s="80" t="s">
        <v>171</v>
      </c>
      <c r="S55" s="80">
        <v>0</v>
      </c>
      <c r="T55" s="82">
        <v>12</v>
      </c>
      <c r="U55" s="77"/>
      <c r="V55" s="75"/>
      <c r="W55" s="77"/>
      <c r="X55" s="77"/>
      <c r="Y55" s="77" t="s">
        <v>431</v>
      </c>
      <c r="Z55" s="77" t="s">
        <v>302</v>
      </c>
      <c r="AA55" s="83" t="s">
        <v>430</v>
      </c>
      <c r="AB55" s="104" t="str">
        <f>IFERROR(VLOOKUP(Anexo_4[[#This Row],[cuenta]],OP,2,0),"-")</f>
        <v>Transporte peajes - Servicios</v>
      </c>
    </row>
    <row r="56" spans="1:28" s="84" customFormat="1" ht="27" customHeight="1" x14ac:dyDescent="0.3">
      <c r="A56" s="75" t="s">
        <v>316</v>
      </c>
      <c r="B56" s="36" t="str">
        <f t="shared" si="0"/>
        <v>Junio</v>
      </c>
      <c r="C56" s="77" t="s">
        <v>162</v>
      </c>
      <c r="D56" s="77" t="s">
        <v>432</v>
      </c>
      <c r="E5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56" s="79" t="s">
        <v>418</v>
      </c>
      <c r="G56" s="79" t="s">
        <v>419</v>
      </c>
      <c r="H56" s="140" t="s">
        <v>433</v>
      </c>
      <c r="I56" s="77" t="s">
        <v>264</v>
      </c>
      <c r="J56" s="144" t="s">
        <v>265</v>
      </c>
      <c r="K56" s="77" t="s">
        <v>169</v>
      </c>
      <c r="L56" s="103" t="str">
        <f>VLOOKUP(Anexo_4[[#This Row],[cod_doc]],TIPODOC,2,FALSE)</f>
        <v>FACTURA</v>
      </c>
      <c r="M56" s="77" t="s">
        <v>406</v>
      </c>
      <c r="N56" s="79">
        <v>2357240</v>
      </c>
      <c r="O56" s="80">
        <v>6.78</v>
      </c>
      <c r="P56" s="81" t="s">
        <v>171</v>
      </c>
      <c r="Q56" s="81">
        <v>1.2203999999999999</v>
      </c>
      <c r="R56" s="80" t="s">
        <v>171</v>
      </c>
      <c r="S56" s="80">
        <v>0</v>
      </c>
      <c r="T56" s="82">
        <v>8</v>
      </c>
      <c r="U56" s="77"/>
      <c r="V56" s="75"/>
      <c r="W56" s="77"/>
      <c r="X56" s="77"/>
      <c r="Y56" s="77" t="s">
        <v>434</v>
      </c>
      <c r="Z56" s="77" t="s">
        <v>302</v>
      </c>
      <c r="AA56" s="83" t="s">
        <v>433</v>
      </c>
      <c r="AB56" s="104" t="str">
        <f>IFERROR(VLOOKUP(Anexo_4[[#This Row],[cuenta]],OP,2,0),"-")</f>
        <v>Transporte peajes - Servicios</v>
      </c>
    </row>
    <row r="57" spans="1:28" s="84" customFormat="1" ht="27" customHeight="1" x14ac:dyDescent="0.3">
      <c r="A57" s="75" t="s">
        <v>161</v>
      </c>
      <c r="B57" s="36" t="str">
        <f t="shared" si="0"/>
        <v>Junio</v>
      </c>
      <c r="C57" s="77" t="s">
        <v>162</v>
      </c>
      <c r="D57" s="77" t="s">
        <v>435</v>
      </c>
      <c r="E57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57" s="79" t="s">
        <v>164</v>
      </c>
      <c r="G57" s="79" t="s">
        <v>165</v>
      </c>
      <c r="H57" s="140" t="s">
        <v>436</v>
      </c>
      <c r="I57" s="77" t="s">
        <v>437</v>
      </c>
      <c r="J57" s="144" t="s">
        <v>438</v>
      </c>
      <c r="K57" s="77" t="s">
        <v>439</v>
      </c>
      <c r="L57" s="103" t="str">
        <f>VLOOKUP(Anexo_4[[#This Row],[cod_doc]],TIPODOC,2,FALSE)</f>
        <v>RECIBO POR SERV. PUBLICOS</v>
      </c>
      <c r="M57" s="77" t="s">
        <v>440</v>
      </c>
      <c r="N57" s="79">
        <v>70410182</v>
      </c>
      <c r="O57" s="80">
        <v>67.709999999999994</v>
      </c>
      <c r="P57" s="81" t="s">
        <v>171</v>
      </c>
      <c r="Q57" s="81">
        <v>12.187799999999999</v>
      </c>
      <c r="R57" s="80" t="s">
        <v>171</v>
      </c>
      <c r="S57" s="80">
        <v>0</v>
      </c>
      <c r="T57" s="82">
        <v>79.900000000000006</v>
      </c>
      <c r="U57" s="77"/>
      <c r="V57" s="75"/>
      <c r="W57" s="77"/>
      <c r="X57" s="77"/>
      <c r="Y57" s="77"/>
      <c r="Z57" s="77" t="s">
        <v>209</v>
      </c>
      <c r="AA57" s="83" t="s">
        <v>436</v>
      </c>
      <c r="AB57" s="104" t="str">
        <f>IFERROR(VLOOKUP(Anexo_4[[#This Row],[cuenta]],OP,2,0),"-")</f>
        <v>-</v>
      </c>
    </row>
    <row r="58" spans="1:28" s="84" customFormat="1" ht="27" customHeight="1" x14ac:dyDescent="0.3">
      <c r="A58" s="75" t="s">
        <v>316</v>
      </c>
      <c r="B58" s="36" t="str">
        <f t="shared" si="0"/>
        <v>Junio</v>
      </c>
      <c r="C58" s="77" t="s">
        <v>162</v>
      </c>
      <c r="D58" s="77" t="s">
        <v>441</v>
      </c>
      <c r="E58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58" s="79" t="s">
        <v>442</v>
      </c>
      <c r="G58" s="79" t="s">
        <v>443</v>
      </c>
      <c r="H58" s="140" t="s">
        <v>444</v>
      </c>
      <c r="I58" s="77" t="s">
        <v>445</v>
      </c>
      <c r="J58" s="144" t="s">
        <v>446</v>
      </c>
      <c r="K58" s="77" t="s">
        <v>169</v>
      </c>
      <c r="L58" s="103" t="str">
        <f>VLOOKUP(Anexo_4[[#This Row],[cod_doc]],TIPODOC,2,FALSE)</f>
        <v>FACTURA</v>
      </c>
      <c r="M58" s="77" t="s">
        <v>102</v>
      </c>
      <c r="N58" s="79">
        <v>2841</v>
      </c>
      <c r="O58" s="80">
        <v>254.24</v>
      </c>
      <c r="P58" s="81" t="s">
        <v>171</v>
      </c>
      <c r="Q58" s="81">
        <v>45.763199999999998</v>
      </c>
      <c r="R58" s="80" t="s">
        <v>171</v>
      </c>
      <c r="S58" s="80">
        <v>0</v>
      </c>
      <c r="T58" s="82">
        <v>300</v>
      </c>
      <c r="U58" s="77"/>
      <c r="V58" s="75"/>
      <c r="W58" s="77"/>
      <c r="X58" s="77"/>
      <c r="Y58" s="77"/>
      <c r="Z58" s="77" t="s">
        <v>447</v>
      </c>
      <c r="AA58" s="83" t="s">
        <v>444</v>
      </c>
      <c r="AB58" s="104" t="str">
        <f>IFERROR(VLOOKUP(Anexo_4[[#This Row],[cuenta]],OP,2,0),"-")</f>
        <v>-</v>
      </c>
    </row>
    <row r="59" spans="1:28" s="84" customFormat="1" ht="27" customHeight="1" x14ac:dyDescent="0.3">
      <c r="A59" s="75" t="s">
        <v>321</v>
      </c>
      <c r="B59" s="36" t="str">
        <f t="shared" si="0"/>
        <v>Junio</v>
      </c>
      <c r="C59" s="77" t="s">
        <v>162</v>
      </c>
      <c r="D59" s="77" t="s">
        <v>448</v>
      </c>
      <c r="E59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59" s="79" t="s">
        <v>449</v>
      </c>
      <c r="G59" s="79" t="s">
        <v>450</v>
      </c>
      <c r="H59" s="140" t="s">
        <v>451</v>
      </c>
      <c r="I59" s="77" t="s">
        <v>452</v>
      </c>
      <c r="J59" s="144" t="s">
        <v>453</v>
      </c>
      <c r="K59" s="77" t="s">
        <v>169</v>
      </c>
      <c r="L59" s="103" t="str">
        <f>VLOOKUP(Anexo_4[[#This Row],[cod_doc]],TIPODOC,2,FALSE)</f>
        <v>FACTURA</v>
      </c>
      <c r="M59" s="77" t="s">
        <v>454</v>
      </c>
      <c r="N59" s="79">
        <v>165424</v>
      </c>
      <c r="O59" s="80">
        <v>375.79</v>
      </c>
      <c r="P59" s="81" t="s">
        <v>171</v>
      </c>
      <c r="Q59" s="81">
        <v>67.642200000000003</v>
      </c>
      <c r="R59" s="80" t="s">
        <v>171</v>
      </c>
      <c r="S59" s="80">
        <v>0</v>
      </c>
      <c r="T59" s="82">
        <v>926.16</v>
      </c>
      <c r="U59" s="77"/>
      <c r="V59" s="75"/>
      <c r="W59" s="77"/>
      <c r="X59" s="77"/>
      <c r="Y59" s="77"/>
      <c r="Z59" s="77" t="s">
        <v>455</v>
      </c>
      <c r="AA59" s="83" t="s">
        <v>451</v>
      </c>
      <c r="AB59" s="104" t="str">
        <f>IFERROR(VLOOKUP(Anexo_4[[#This Row],[cuenta]],OP,2,0),"-")</f>
        <v>Combustible (Vehiculos)</v>
      </c>
    </row>
    <row r="60" spans="1:28" s="84" customFormat="1" ht="27" customHeight="1" x14ac:dyDescent="0.3">
      <c r="A60" s="75" t="s">
        <v>321</v>
      </c>
      <c r="B60" s="36" t="str">
        <f t="shared" si="0"/>
        <v>Junio</v>
      </c>
      <c r="C60" s="77" t="s">
        <v>162</v>
      </c>
      <c r="D60" s="77" t="s">
        <v>448</v>
      </c>
      <c r="E60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60" s="79" t="s">
        <v>456</v>
      </c>
      <c r="G60" s="79" t="s">
        <v>457</v>
      </c>
      <c r="H60" s="140" t="s">
        <v>451</v>
      </c>
      <c r="I60" s="77" t="s">
        <v>452</v>
      </c>
      <c r="J60" s="144" t="s">
        <v>453</v>
      </c>
      <c r="K60" s="77" t="s">
        <v>169</v>
      </c>
      <c r="L60" s="103" t="str">
        <f>VLOOKUP(Anexo_4[[#This Row],[cod_doc]],TIPODOC,2,FALSE)</f>
        <v>FACTURA</v>
      </c>
      <c r="M60" s="77" t="s">
        <v>454</v>
      </c>
      <c r="N60" s="79">
        <v>165424</v>
      </c>
      <c r="O60" s="80">
        <v>214.18</v>
      </c>
      <c r="P60" s="81" t="s">
        <v>171</v>
      </c>
      <c r="Q60" s="81">
        <v>38.552399999999999</v>
      </c>
      <c r="R60" s="80" t="s">
        <v>171</v>
      </c>
      <c r="S60" s="80">
        <v>0</v>
      </c>
      <c r="T60" s="82">
        <v>926.16</v>
      </c>
      <c r="U60" s="77"/>
      <c r="V60" s="75"/>
      <c r="W60" s="77"/>
      <c r="X60" s="77"/>
      <c r="Y60" s="77"/>
      <c r="Z60" s="77" t="s">
        <v>455</v>
      </c>
      <c r="AA60" s="83" t="s">
        <v>451</v>
      </c>
      <c r="AB60" s="104" t="str">
        <f>IFERROR(VLOOKUP(Anexo_4[[#This Row],[cuenta]],OP,2,0),"-")</f>
        <v>Combustible (Vehiculos)</v>
      </c>
    </row>
    <row r="61" spans="1:28" s="84" customFormat="1" ht="27" customHeight="1" x14ac:dyDescent="0.3">
      <c r="A61" s="75" t="s">
        <v>321</v>
      </c>
      <c r="B61" s="36" t="str">
        <f t="shared" si="0"/>
        <v>Junio</v>
      </c>
      <c r="C61" s="77" t="s">
        <v>162</v>
      </c>
      <c r="D61" s="77" t="s">
        <v>448</v>
      </c>
      <c r="E6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61" s="79" t="s">
        <v>235</v>
      </c>
      <c r="G61" s="79" t="s">
        <v>236</v>
      </c>
      <c r="H61" s="140" t="s">
        <v>451</v>
      </c>
      <c r="I61" s="77" t="s">
        <v>452</v>
      </c>
      <c r="J61" s="144" t="s">
        <v>453</v>
      </c>
      <c r="K61" s="77" t="s">
        <v>169</v>
      </c>
      <c r="L61" s="103" t="str">
        <f>VLOOKUP(Anexo_4[[#This Row],[cod_doc]],TIPODOC,2,FALSE)</f>
        <v>FACTURA</v>
      </c>
      <c r="M61" s="77" t="s">
        <v>454</v>
      </c>
      <c r="N61" s="79">
        <v>165424</v>
      </c>
      <c r="O61" s="80">
        <v>159.5</v>
      </c>
      <c r="P61" s="81" t="s">
        <v>171</v>
      </c>
      <c r="Q61" s="81">
        <v>28.709999999999997</v>
      </c>
      <c r="R61" s="80" t="s">
        <v>171</v>
      </c>
      <c r="S61" s="80">
        <v>0</v>
      </c>
      <c r="T61" s="82">
        <v>926.16</v>
      </c>
      <c r="U61" s="77"/>
      <c r="V61" s="75"/>
      <c r="W61" s="77"/>
      <c r="X61" s="77"/>
      <c r="Y61" s="77"/>
      <c r="Z61" s="77" t="s">
        <v>455</v>
      </c>
      <c r="AA61" s="83" t="s">
        <v>451</v>
      </c>
      <c r="AB61" s="104" t="str">
        <f>IFERROR(VLOOKUP(Anexo_4[[#This Row],[cuenta]],OP,2,0),"-")</f>
        <v>Combustible (Vehiculos)</v>
      </c>
    </row>
    <row r="62" spans="1:28" s="84" customFormat="1" ht="27" customHeight="1" x14ac:dyDescent="0.3">
      <c r="A62" s="75" t="s">
        <v>321</v>
      </c>
      <c r="B62" s="36" t="str">
        <f t="shared" si="0"/>
        <v>Junio</v>
      </c>
      <c r="C62" s="77" t="s">
        <v>162</v>
      </c>
      <c r="D62" s="77" t="s">
        <v>448</v>
      </c>
      <c r="E6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62" s="79" t="s">
        <v>458</v>
      </c>
      <c r="G62" s="79" t="s">
        <v>459</v>
      </c>
      <c r="H62" s="140" t="s">
        <v>451</v>
      </c>
      <c r="I62" s="77" t="s">
        <v>452</v>
      </c>
      <c r="J62" s="144" t="s">
        <v>453</v>
      </c>
      <c r="K62" s="77" t="s">
        <v>169</v>
      </c>
      <c r="L62" s="103" t="str">
        <f>VLOOKUP(Anexo_4[[#This Row],[cod_doc]],TIPODOC,2,FALSE)</f>
        <v>FACTURA</v>
      </c>
      <c r="M62" s="77" t="s">
        <v>454</v>
      </c>
      <c r="N62" s="79">
        <v>165424</v>
      </c>
      <c r="O62" s="80">
        <v>35.409999999999997</v>
      </c>
      <c r="P62" s="81" t="s">
        <v>171</v>
      </c>
      <c r="Q62" s="81">
        <v>6.3737999999999992</v>
      </c>
      <c r="R62" s="80" t="s">
        <v>171</v>
      </c>
      <c r="S62" s="80">
        <v>0</v>
      </c>
      <c r="T62" s="82">
        <v>926.16</v>
      </c>
      <c r="U62" s="77"/>
      <c r="V62" s="75"/>
      <c r="W62" s="77"/>
      <c r="X62" s="77"/>
      <c r="Y62" s="77"/>
      <c r="Z62" s="77" t="s">
        <v>455</v>
      </c>
      <c r="AA62" s="83" t="s">
        <v>451</v>
      </c>
      <c r="AB62" s="104" t="str">
        <f>IFERROR(VLOOKUP(Anexo_4[[#This Row],[cuenta]],OP,2,0),"-")</f>
        <v>Combustible (Vehiculos)</v>
      </c>
    </row>
    <row r="63" spans="1:28" s="84" customFormat="1" ht="27" customHeight="1" x14ac:dyDescent="0.3">
      <c r="A63" s="75" t="s">
        <v>321</v>
      </c>
      <c r="B63" s="36" t="str">
        <f t="shared" si="0"/>
        <v>Junio</v>
      </c>
      <c r="C63" s="77" t="s">
        <v>162</v>
      </c>
      <c r="D63" s="77" t="s">
        <v>460</v>
      </c>
      <c r="E63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63" s="79" t="s">
        <v>175</v>
      </c>
      <c r="G63" s="79" t="s">
        <v>176</v>
      </c>
      <c r="H63" s="140" t="s">
        <v>451</v>
      </c>
      <c r="I63" s="77" t="s">
        <v>452</v>
      </c>
      <c r="J63" s="144" t="s">
        <v>453</v>
      </c>
      <c r="K63" s="77" t="s">
        <v>169</v>
      </c>
      <c r="L63" s="103" t="str">
        <f>VLOOKUP(Anexo_4[[#This Row],[cod_doc]],TIPODOC,2,FALSE)</f>
        <v>FACTURA</v>
      </c>
      <c r="M63" s="77" t="s">
        <v>461</v>
      </c>
      <c r="N63" s="79">
        <v>143089</v>
      </c>
      <c r="O63" s="80">
        <v>2169.12</v>
      </c>
      <c r="P63" s="81" t="s">
        <v>171</v>
      </c>
      <c r="Q63" s="81">
        <v>390.44159999999999</v>
      </c>
      <c r="R63" s="80" t="s">
        <v>171</v>
      </c>
      <c r="S63" s="80">
        <v>0</v>
      </c>
      <c r="T63" s="82">
        <v>3460.86</v>
      </c>
      <c r="U63" s="77"/>
      <c r="V63" s="75"/>
      <c r="W63" s="77"/>
      <c r="X63" s="77"/>
      <c r="Y63" s="77"/>
      <c r="Z63" s="77" t="s">
        <v>455</v>
      </c>
      <c r="AA63" s="83" t="s">
        <v>451</v>
      </c>
      <c r="AB63" s="104" t="str">
        <f>IFERROR(VLOOKUP(Anexo_4[[#This Row],[cuenta]],OP,2,0),"-")</f>
        <v>Combustible (Vehiculos)</v>
      </c>
    </row>
    <row r="64" spans="1:28" s="84" customFormat="1" ht="27" customHeight="1" x14ac:dyDescent="0.3">
      <c r="A64" s="75" t="s">
        <v>321</v>
      </c>
      <c r="B64" s="36" t="str">
        <f t="shared" si="0"/>
        <v>Junio</v>
      </c>
      <c r="C64" s="77" t="s">
        <v>162</v>
      </c>
      <c r="D64" s="77" t="s">
        <v>460</v>
      </c>
      <c r="E64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64" s="79" t="s">
        <v>391</v>
      </c>
      <c r="G64" s="79" t="s">
        <v>392</v>
      </c>
      <c r="H64" s="140" t="s">
        <v>451</v>
      </c>
      <c r="I64" s="77" t="s">
        <v>452</v>
      </c>
      <c r="J64" s="144" t="s">
        <v>453</v>
      </c>
      <c r="K64" s="77" t="s">
        <v>169</v>
      </c>
      <c r="L64" s="103" t="str">
        <f>VLOOKUP(Anexo_4[[#This Row],[cod_doc]],TIPODOC,2,FALSE)</f>
        <v>FACTURA</v>
      </c>
      <c r="M64" s="77" t="s">
        <v>461</v>
      </c>
      <c r="N64" s="79">
        <v>143089</v>
      </c>
      <c r="O64" s="80">
        <v>202.63</v>
      </c>
      <c r="P64" s="81" t="s">
        <v>171</v>
      </c>
      <c r="Q64" s="81">
        <v>36.473399999999998</v>
      </c>
      <c r="R64" s="80" t="s">
        <v>171</v>
      </c>
      <c r="S64" s="80">
        <v>0</v>
      </c>
      <c r="T64" s="82">
        <v>3460.86</v>
      </c>
      <c r="U64" s="77"/>
      <c r="V64" s="75"/>
      <c r="W64" s="77"/>
      <c r="X64" s="77"/>
      <c r="Y64" s="77"/>
      <c r="Z64" s="77" t="s">
        <v>455</v>
      </c>
      <c r="AA64" s="83" t="s">
        <v>451</v>
      </c>
      <c r="AB64" s="104" t="str">
        <f>IFERROR(VLOOKUP(Anexo_4[[#This Row],[cuenta]],OP,2,0),"-")</f>
        <v>Combustible (Vehiculos)</v>
      </c>
    </row>
    <row r="65" spans="1:28" s="84" customFormat="1" ht="27" customHeight="1" x14ac:dyDescent="0.3">
      <c r="A65" s="75" t="s">
        <v>321</v>
      </c>
      <c r="B65" s="36" t="str">
        <f t="shared" si="0"/>
        <v>Junio</v>
      </c>
      <c r="C65" s="77" t="s">
        <v>162</v>
      </c>
      <c r="D65" s="77" t="s">
        <v>460</v>
      </c>
      <c r="E6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65" s="79" t="s">
        <v>217</v>
      </c>
      <c r="G65" s="79" t="s">
        <v>218</v>
      </c>
      <c r="H65" s="140" t="s">
        <v>451</v>
      </c>
      <c r="I65" s="77" t="s">
        <v>452</v>
      </c>
      <c r="J65" s="144" t="s">
        <v>453</v>
      </c>
      <c r="K65" s="77" t="s">
        <v>169</v>
      </c>
      <c r="L65" s="103" t="str">
        <f>VLOOKUP(Anexo_4[[#This Row],[cod_doc]],TIPODOC,2,FALSE)</f>
        <v>FACTURA</v>
      </c>
      <c r="M65" s="77" t="s">
        <v>461</v>
      </c>
      <c r="N65" s="79">
        <v>143089</v>
      </c>
      <c r="O65" s="80">
        <v>561.17999999999995</v>
      </c>
      <c r="P65" s="81" t="s">
        <v>171</v>
      </c>
      <c r="Q65" s="81">
        <v>101.01239999999999</v>
      </c>
      <c r="R65" s="80" t="s">
        <v>171</v>
      </c>
      <c r="S65" s="80">
        <v>0</v>
      </c>
      <c r="T65" s="82">
        <v>3460.86</v>
      </c>
      <c r="U65" s="77"/>
      <c r="V65" s="75"/>
      <c r="W65" s="77"/>
      <c r="X65" s="77"/>
      <c r="Y65" s="77"/>
      <c r="Z65" s="77" t="s">
        <v>455</v>
      </c>
      <c r="AA65" s="83" t="s">
        <v>451</v>
      </c>
      <c r="AB65" s="104" t="str">
        <f>IFERROR(VLOOKUP(Anexo_4[[#This Row],[cuenta]],OP,2,0),"-")</f>
        <v>Combustible (Vehiculos)</v>
      </c>
    </row>
    <row r="66" spans="1:28" s="84" customFormat="1" ht="27" customHeight="1" x14ac:dyDescent="0.3">
      <c r="A66" s="75" t="s">
        <v>173</v>
      </c>
      <c r="B66" s="36" t="str">
        <f t="shared" ref="B66:B129" si="1">PROPER(CHOOSE(LEFT(D66,2),"enero","febrero","marzo","abril","mayo","junio","julio","agosto","setiembre","octubre","noviembre","diciembre"))</f>
        <v>Junio</v>
      </c>
      <c r="C66" s="77" t="s">
        <v>162</v>
      </c>
      <c r="D66" s="77" t="s">
        <v>462</v>
      </c>
      <c r="E66" s="78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66" s="79" t="s">
        <v>198</v>
      </c>
      <c r="G66" s="79" t="s">
        <v>199</v>
      </c>
      <c r="H66" s="140" t="s">
        <v>463</v>
      </c>
      <c r="I66" s="77" t="s">
        <v>464</v>
      </c>
      <c r="J66" s="144" t="s">
        <v>465</v>
      </c>
      <c r="K66" s="77" t="s">
        <v>169</v>
      </c>
      <c r="L66" s="103" t="str">
        <f>VLOOKUP(Anexo_4[[#This Row],[cod_doc]],TIPODOC,2,FALSE)</f>
        <v>FACTURA</v>
      </c>
      <c r="M66" s="77" t="s">
        <v>102</v>
      </c>
      <c r="N66" s="79">
        <v>1</v>
      </c>
      <c r="O66" s="80">
        <v>400</v>
      </c>
      <c r="P66" s="81" t="s">
        <v>171</v>
      </c>
      <c r="Q66" s="81">
        <v>72</v>
      </c>
      <c r="R66" s="80" t="s">
        <v>171</v>
      </c>
      <c r="S66" s="80">
        <v>0</v>
      </c>
      <c r="T66" s="82">
        <v>472</v>
      </c>
      <c r="U66" s="77" t="s">
        <v>466</v>
      </c>
      <c r="V66" s="75" t="s">
        <v>467</v>
      </c>
      <c r="W66" s="77"/>
      <c r="X66" s="77"/>
      <c r="Y66" s="77"/>
      <c r="Z66" s="77" t="s">
        <v>468</v>
      </c>
      <c r="AA66" s="83" t="s">
        <v>463</v>
      </c>
      <c r="AB66" s="104" t="str">
        <f>IFERROR(VLOOKUP(Anexo_4[[#This Row],[cuenta]],OP,2,0),"-")</f>
        <v>Transporte de Carga  - Ventas</v>
      </c>
    </row>
    <row r="67" spans="1:28" s="84" customFormat="1" ht="27" customHeight="1" x14ac:dyDescent="0.3">
      <c r="A67" s="75" t="s">
        <v>316</v>
      </c>
      <c r="B67" s="36" t="str">
        <f t="shared" si="1"/>
        <v>Junio</v>
      </c>
      <c r="C67" s="77" t="s">
        <v>162</v>
      </c>
      <c r="D67" s="77" t="s">
        <v>469</v>
      </c>
      <c r="E67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67" s="79" t="s">
        <v>217</v>
      </c>
      <c r="G67" s="79" t="s">
        <v>218</v>
      </c>
      <c r="H67" s="140" t="s">
        <v>470</v>
      </c>
      <c r="I67" s="77" t="s">
        <v>227</v>
      </c>
      <c r="J67" s="144" t="s">
        <v>228</v>
      </c>
      <c r="K67" s="77" t="s">
        <v>169</v>
      </c>
      <c r="L67" s="103" t="str">
        <f>VLOOKUP(Anexo_4[[#This Row],[cod_doc]],TIPODOC,2,FALSE)</f>
        <v>FACTURA</v>
      </c>
      <c r="M67" s="77" t="s">
        <v>222</v>
      </c>
      <c r="N67" s="79">
        <v>36013</v>
      </c>
      <c r="O67" s="80">
        <v>84.75</v>
      </c>
      <c r="P67" s="81" t="s">
        <v>171</v>
      </c>
      <c r="Q67" s="81">
        <v>15.254999999999999</v>
      </c>
      <c r="R67" s="80" t="s">
        <v>171</v>
      </c>
      <c r="S67" s="80">
        <v>0</v>
      </c>
      <c r="T67" s="82">
        <v>100</v>
      </c>
      <c r="U67" s="77"/>
      <c r="V67" s="75"/>
      <c r="W67" s="77"/>
      <c r="X67" s="77"/>
      <c r="Y67" s="77"/>
      <c r="Z67" s="77" t="s">
        <v>229</v>
      </c>
      <c r="AA67" s="83" t="s">
        <v>470</v>
      </c>
      <c r="AB67" s="104" t="str">
        <f>IFERROR(VLOOKUP(Anexo_4[[#This Row],[cuenta]],OP,2,0),"-")</f>
        <v>Revisión Técnica Vehicular</v>
      </c>
    </row>
    <row r="68" spans="1:28" s="84" customFormat="1" ht="27" customHeight="1" x14ac:dyDescent="0.3">
      <c r="A68" s="75" t="s">
        <v>316</v>
      </c>
      <c r="B68" s="36" t="str">
        <f t="shared" si="1"/>
        <v>Junio</v>
      </c>
      <c r="C68" s="77" t="s">
        <v>162</v>
      </c>
      <c r="D68" s="77" t="s">
        <v>471</v>
      </c>
      <c r="E68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68" s="79" t="s">
        <v>217</v>
      </c>
      <c r="G68" s="79" t="s">
        <v>218</v>
      </c>
      <c r="H68" s="140" t="s">
        <v>472</v>
      </c>
      <c r="I68" s="77" t="s">
        <v>227</v>
      </c>
      <c r="J68" s="144" t="s">
        <v>228</v>
      </c>
      <c r="K68" s="77" t="s">
        <v>169</v>
      </c>
      <c r="L68" s="103" t="str">
        <f>VLOOKUP(Anexo_4[[#This Row],[cod_doc]],TIPODOC,2,FALSE)</f>
        <v>FACTURA</v>
      </c>
      <c r="M68" s="77" t="s">
        <v>222</v>
      </c>
      <c r="N68" s="79">
        <v>36014</v>
      </c>
      <c r="O68" s="80">
        <v>101.69</v>
      </c>
      <c r="P68" s="81" t="s">
        <v>171</v>
      </c>
      <c r="Q68" s="81">
        <v>18.304199999999998</v>
      </c>
      <c r="R68" s="80" t="s">
        <v>171</v>
      </c>
      <c r="S68" s="80">
        <v>0</v>
      </c>
      <c r="T68" s="82">
        <v>120</v>
      </c>
      <c r="U68" s="77"/>
      <c r="V68" s="75"/>
      <c r="W68" s="77"/>
      <c r="X68" s="77"/>
      <c r="Y68" s="77"/>
      <c r="Z68" s="77" t="s">
        <v>229</v>
      </c>
      <c r="AA68" s="83" t="s">
        <v>472</v>
      </c>
      <c r="AB68" s="104" t="str">
        <f>IFERROR(VLOOKUP(Anexo_4[[#This Row],[cuenta]],OP,2,0),"-")</f>
        <v>Revisión Técnica Vehicular</v>
      </c>
    </row>
    <row r="69" spans="1:28" s="84" customFormat="1" ht="27" customHeight="1" x14ac:dyDescent="0.3">
      <c r="A69" s="75" t="s">
        <v>173</v>
      </c>
      <c r="B69" s="36" t="str">
        <f t="shared" si="1"/>
        <v>Junio</v>
      </c>
      <c r="C69" s="77" t="s">
        <v>162</v>
      </c>
      <c r="D69" s="77" t="s">
        <v>473</v>
      </c>
      <c r="E69" s="78" t="str">
        <f>IF(LEFT(Anexo_4[[#This Row],[c_costos]],2)="91","OPERACIONES",IF(LEFT(Anexo_4[[#This Row],[c_costos]],2)="97","G. FINANCIEROS",IF(LEFT(Anexo_4[[#This Row],[c_costos]],2)="95","G. VENTAS","G. ADMINISTRACIÓN")))</f>
        <v>G. FINANCIEROS</v>
      </c>
      <c r="F69" s="79" t="s">
        <v>474</v>
      </c>
      <c r="G69" s="79" t="s">
        <v>475</v>
      </c>
      <c r="H69" s="140" t="s">
        <v>476</v>
      </c>
      <c r="I69" s="77" t="s">
        <v>477</v>
      </c>
      <c r="J69" s="144" t="s">
        <v>478</v>
      </c>
      <c r="K69" s="77" t="s">
        <v>169</v>
      </c>
      <c r="L69" s="103" t="str">
        <f>VLOOKUP(Anexo_4[[#This Row],[cod_doc]],TIPODOC,2,FALSE)</f>
        <v>FACTURA</v>
      </c>
      <c r="M69" s="77" t="s">
        <v>479</v>
      </c>
      <c r="N69" s="79">
        <v>33142638</v>
      </c>
      <c r="O69" s="80"/>
      <c r="P69" s="81" t="s">
        <v>171</v>
      </c>
      <c r="Q69" s="81">
        <v>0</v>
      </c>
      <c r="R69" s="80" t="s">
        <v>171</v>
      </c>
      <c r="S69" s="80">
        <v>10</v>
      </c>
      <c r="T69" s="82">
        <v>10</v>
      </c>
      <c r="U69" s="77"/>
      <c r="V69" s="75"/>
      <c r="W69" s="77"/>
      <c r="X69" s="77"/>
      <c r="Y69" s="77"/>
      <c r="Z69" s="77" t="s">
        <v>480</v>
      </c>
      <c r="AA69" s="83" t="s">
        <v>476</v>
      </c>
      <c r="AB69" s="104" t="str">
        <f>IFERROR(VLOOKUP(Anexo_4[[#This Row],[cuenta]],OP,2,0),"-")</f>
        <v>-</v>
      </c>
    </row>
    <row r="70" spans="1:28" s="84" customFormat="1" ht="27" customHeight="1" x14ac:dyDescent="0.3">
      <c r="A70" s="75" t="s">
        <v>173</v>
      </c>
      <c r="B70" s="36" t="str">
        <f t="shared" si="1"/>
        <v>Junio</v>
      </c>
      <c r="C70" s="77" t="s">
        <v>162</v>
      </c>
      <c r="D70" s="77" t="s">
        <v>481</v>
      </c>
      <c r="E70" s="78" t="str">
        <f>IF(LEFT(Anexo_4[[#This Row],[c_costos]],2)="91","OPERACIONES",IF(LEFT(Anexo_4[[#This Row],[c_costos]],2)="97","G. FINANCIEROS",IF(LEFT(Anexo_4[[#This Row],[c_costos]],2)="95","G. VENTAS","G. ADMINISTRACIÓN")))</f>
        <v>G. FINANCIEROS</v>
      </c>
      <c r="F70" s="79" t="s">
        <v>474</v>
      </c>
      <c r="G70" s="79" t="s">
        <v>475</v>
      </c>
      <c r="H70" s="140" t="s">
        <v>482</v>
      </c>
      <c r="I70" s="77" t="s">
        <v>477</v>
      </c>
      <c r="J70" s="144" t="s">
        <v>478</v>
      </c>
      <c r="K70" s="77" t="s">
        <v>169</v>
      </c>
      <c r="L70" s="103" t="str">
        <f>VLOOKUP(Anexo_4[[#This Row],[cod_doc]],TIPODOC,2,FALSE)</f>
        <v>FACTURA</v>
      </c>
      <c r="M70" s="77" t="s">
        <v>479</v>
      </c>
      <c r="N70" s="79">
        <v>33158260</v>
      </c>
      <c r="O70" s="80"/>
      <c r="P70" s="81" t="s">
        <v>171</v>
      </c>
      <c r="Q70" s="81">
        <v>0</v>
      </c>
      <c r="R70" s="80" t="s">
        <v>171</v>
      </c>
      <c r="S70" s="80">
        <v>9.3000000000000007</v>
      </c>
      <c r="T70" s="82">
        <v>9.3000000000000007</v>
      </c>
      <c r="U70" s="77"/>
      <c r="V70" s="75"/>
      <c r="W70" s="77"/>
      <c r="X70" s="77"/>
      <c r="Y70" s="77"/>
      <c r="Z70" s="77" t="s">
        <v>483</v>
      </c>
      <c r="AA70" s="83" t="s">
        <v>482</v>
      </c>
      <c r="AB70" s="104" t="str">
        <f>IFERROR(VLOOKUP(Anexo_4[[#This Row],[cuenta]],OP,2,0),"-")</f>
        <v>-</v>
      </c>
    </row>
    <row r="71" spans="1:28" s="84" customFormat="1" ht="27" customHeight="1" x14ac:dyDescent="0.3">
      <c r="A71" s="75" t="s">
        <v>295</v>
      </c>
      <c r="B71" s="36" t="str">
        <f t="shared" si="1"/>
        <v>Junio</v>
      </c>
      <c r="C71" s="77" t="s">
        <v>162</v>
      </c>
      <c r="D71" s="77" t="s">
        <v>484</v>
      </c>
      <c r="E7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71" s="79" t="s">
        <v>217</v>
      </c>
      <c r="G71" s="79" t="s">
        <v>218</v>
      </c>
      <c r="H71" s="140" t="s">
        <v>485</v>
      </c>
      <c r="I71" s="77" t="s">
        <v>264</v>
      </c>
      <c r="J71" s="144" t="s">
        <v>265</v>
      </c>
      <c r="K71" s="77" t="s">
        <v>169</v>
      </c>
      <c r="L71" s="103" t="str">
        <f>VLOOKUP(Anexo_4[[#This Row],[cod_doc]],TIPODOC,2,FALSE)</f>
        <v>FACTURA</v>
      </c>
      <c r="M71" s="77" t="s">
        <v>266</v>
      </c>
      <c r="N71" s="79">
        <v>478653</v>
      </c>
      <c r="O71" s="80">
        <v>6.78</v>
      </c>
      <c r="P71" s="81" t="s">
        <v>171</v>
      </c>
      <c r="Q71" s="81">
        <v>1.2203999999999999</v>
      </c>
      <c r="R71" s="80" t="s">
        <v>171</v>
      </c>
      <c r="S71" s="80">
        <v>0</v>
      </c>
      <c r="T71" s="82">
        <v>8</v>
      </c>
      <c r="U71" s="77"/>
      <c r="V71" s="75"/>
      <c r="W71" s="77"/>
      <c r="X71" s="77"/>
      <c r="Y71" s="77" t="s">
        <v>486</v>
      </c>
      <c r="Z71" s="77" t="s">
        <v>302</v>
      </c>
      <c r="AA71" s="83" t="s">
        <v>485</v>
      </c>
      <c r="AB71" s="104" t="str">
        <f>IFERROR(VLOOKUP(Anexo_4[[#This Row],[cuenta]],OP,2,0),"-")</f>
        <v>Transporte peajes - Servicios</v>
      </c>
    </row>
    <row r="72" spans="1:28" s="84" customFormat="1" ht="27" customHeight="1" x14ac:dyDescent="0.3">
      <c r="A72" s="75" t="s">
        <v>295</v>
      </c>
      <c r="B72" s="36" t="str">
        <f t="shared" si="1"/>
        <v>Junio</v>
      </c>
      <c r="C72" s="77" t="s">
        <v>162</v>
      </c>
      <c r="D72" s="77" t="s">
        <v>487</v>
      </c>
      <c r="E7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72" s="79" t="s">
        <v>217</v>
      </c>
      <c r="G72" s="79" t="s">
        <v>218</v>
      </c>
      <c r="H72" s="140" t="s">
        <v>488</v>
      </c>
      <c r="I72" s="77" t="s">
        <v>264</v>
      </c>
      <c r="J72" s="144" t="s">
        <v>265</v>
      </c>
      <c r="K72" s="77" t="s">
        <v>169</v>
      </c>
      <c r="L72" s="103" t="str">
        <f>VLOOKUP(Anexo_4[[#This Row],[cod_doc]],TIPODOC,2,FALSE)</f>
        <v>FACTURA</v>
      </c>
      <c r="M72" s="77" t="s">
        <v>271</v>
      </c>
      <c r="N72" s="79">
        <v>1750250</v>
      </c>
      <c r="O72" s="80">
        <v>6.78</v>
      </c>
      <c r="P72" s="81" t="s">
        <v>171</v>
      </c>
      <c r="Q72" s="81">
        <v>1.2203999999999999</v>
      </c>
      <c r="R72" s="80" t="s">
        <v>171</v>
      </c>
      <c r="S72" s="80">
        <v>0</v>
      </c>
      <c r="T72" s="82">
        <v>8</v>
      </c>
      <c r="U72" s="77"/>
      <c r="V72" s="75"/>
      <c r="W72" s="77"/>
      <c r="X72" s="77"/>
      <c r="Y72" s="77" t="s">
        <v>489</v>
      </c>
      <c r="Z72" s="77" t="s">
        <v>302</v>
      </c>
      <c r="AA72" s="83" t="s">
        <v>488</v>
      </c>
      <c r="AB72" s="104" t="str">
        <f>IFERROR(VLOOKUP(Anexo_4[[#This Row],[cuenta]],OP,2,0),"-")</f>
        <v>Transporte peajes - Servicios</v>
      </c>
    </row>
    <row r="73" spans="1:28" s="84" customFormat="1" ht="27" customHeight="1" x14ac:dyDescent="0.3">
      <c r="A73" s="75" t="s">
        <v>295</v>
      </c>
      <c r="B73" s="36" t="str">
        <f t="shared" si="1"/>
        <v>Junio</v>
      </c>
      <c r="C73" s="77" t="s">
        <v>162</v>
      </c>
      <c r="D73" s="77" t="s">
        <v>490</v>
      </c>
      <c r="E73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73" s="79" t="s">
        <v>217</v>
      </c>
      <c r="G73" s="79" t="s">
        <v>218</v>
      </c>
      <c r="H73" s="140" t="s">
        <v>491</v>
      </c>
      <c r="I73" s="77" t="s">
        <v>264</v>
      </c>
      <c r="J73" s="144" t="s">
        <v>265</v>
      </c>
      <c r="K73" s="77" t="s">
        <v>169</v>
      </c>
      <c r="L73" s="103" t="str">
        <f>VLOOKUP(Anexo_4[[#This Row],[cod_doc]],TIPODOC,2,FALSE)</f>
        <v>FACTURA</v>
      </c>
      <c r="M73" s="77" t="s">
        <v>352</v>
      </c>
      <c r="N73" s="79">
        <v>1770412</v>
      </c>
      <c r="O73" s="80">
        <v>6.78</v>
      </c>
      <c r="P73" s="81" t="s">
        <v>171</v>
      </c>
      <c r="Q73" s="81">
        <v>1.2203999999999999</v>
      </c>
      <c r="R73" s="80" t="s">
        <v>171</v>
      </c>
      <c r="S73" s="80">
        <v>0</v>
      </c>
      <c r="T73" s="82">
        <v>8</v>
      </c>
      <c r="U73" s="77"/>
      <c r="V73" s="75"/>
      <c r="W73" s="77"/>
      <c r="X73" s="77"/>
      <c r="Y73" s="77" t="s">
        <v>492</v>
      </c>
      <c r="Z73" s="77" t="s">
        <v>302</v>
      </c>
      <c r="AA73" s="83" t="s">
        <v>491</v>
      </c>
      <c r="AB73" s="104" t="str">
        <f>IFERROR(VLOOKUP(Anexo_4[[#This Row],[cuenta]],OP,2,0),"-")</f>
        <v>Transporte peajes - Servicios</v>
      </c>
    </row>
    <row r="74" spans="1:28" s="84" customFormat="1" ht="27" customHeight="1" x14ac:dyDescent="0.3">
      <c r="A74" s="75" t="s">
        <v>295</v>
      </c>
      <c r="B74" s="36" t="str">
        <f t="shared" si="1"/>
        <v>Junio</v>
      </c>
      <c r="C74" s="77" t="s">
        <v>162</v>
      </c>
      <c r="D74" s="77" t="s">
        <v>493</v>
      </c>
      <c r="E74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74" s="79" t="s">
        <v>217</v>
      </c>
      <c r="G74" s="79" t="s">
        <v>218</v>
      </c>
      <c r="H74" s="140" t="s">
        <v>494</v>
      </c>
      <c r="I74" s="77" t="s">
        <v>264</v>
      </c>
      <c r="J74" s="144" t="s">
        <v>265</v>
      </c>
      <c r="K74" s="77" t="s">
        <v>169</v>
      </c>
      <c r="L74" s="103" t="str">
        <f>VLOOKUP(Anexo_4[[#This Row],[cod_doc]],TIPODOC,2,FALSE)</f>
        <v>FACTURA</v>
      </c>
      <c r="M74" s="77" t="s">
        <v>279</v>
      </c>
      <c r="N74" s="79">
        <v>1067690</v>
      </c>
      <c r="O74" s="80">
        <v>6.78</v>
      </c>
      <c r="P74" s="81" t="s">
        <v>171</v>
      </c>
      <c r="Q74" s="81">
        <v>1.2203999999999999</v>
      </c>
      <c r="R74" s="80" t="s">
        <v>171</v>
      </c>
      <c r="S74" s="80">
        <v>0</v>
      </c>
      <c r="T74" s="82">
        <v>8</v>
      </c>
      <c r="U74" s="77"/>
      <c r="V74" s="75"/>
      <c r="W74" s="77"/>
      <c r="X74" s="77"/>
      <c r="Y74" s="77" t="s">
        <v>495</v>
      </c>
      <c r="Z74" s="77" t="s">
        <v>302</v>
      </c>
      <c r="AA74" s="83" t="s">
        <v>494</v>
      </c>
      <c r="AB74" s="104" t="str">
        <f>IFERROR(VLOOKUP(Anexo_4[[#This Row],[cuenta]],OP,2,0),"-")</f>
        <v>Transporte peajes - Servicios</v>
      </c>
    </row>
    <row r="75" spans="1:28" s="84" customFormat="1" ht="27" customHeight="1" x14ac:dyDescent="0.3">
      <c r="A75" s="75" t="s">
        <v>316</v>
      </c>
      <c r="B75" s="36" t="str">
        <f t="shared" si="1"/>
        <v>Junio</v>
      </c>
      <c r="C75" s="77" t="s">
        <v>162</v>
      </c>
      <c r="D75" s="77" t="s">
        <v>496</v>
      </c>
      <c r="E7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75" s="79" t="s">
        <v>391</v>
      </c>
      <c r="G75" s="79" t="s">
        <v>392</v>
      </c>
      <c r="H75" s="140" t="s">
        <v>497</v>
      </c>
      <c r="I75" s="77" t="s">
        <v>264</v>
      </c>
      <c r="J75" s="144" t="s">
        <v>265</v>
      </c>
      <c r="K75" s="77" t="s">
        <v>169</v>
      </c>
      <c r="L75" s="103" t="str">
        <f>VLOOKUP(Anexo_4[[#This Row],[cod_doc]],TIPODOC,2,FALSE)</f>
        <v>FACTURA</v>
      </c>
      <c r="M75" s="77" t="s">
        <v>352</v>
      </c>
      <c r="N75" s="79">
        <v>1771105</v>
      </c>
      <c r="O75" s="80">
        <v>6.78</v>
      </c>
      <c r="P75" s="81" t="s">
        <v>171</v>
      </c>
      <c r="Q75" s="81">
        <v>1.2203999999999999</v>
      </c>
      <c r="R75" s="80" t="s">
        <v>171</v>
      </c>
      <c r="S75" s="80">
        <v>0</v>
      </c>
      <c r="T75" s="82">
        <v>8</v>
      </c>
      <c r="U75" s="77"/>
      <c r="V75" s="75"/>
      <c r="W75" s="77"/>
      <c r="X75" s="77"/>
      <c r="Y75" s="77" t="s">
        <v>498</v>
      </c>
      <c r="Z75" s="77" t="s">
        <v>302</v>
      </c>
      <c r="AA75" s="83" t="s">
        <v>497</v>
      </c>
      <c r="AB75" s="104" t="str">
        <f>IFERROR(VLOOKUP(Anexo_4[[#This Row],[cuenta]],OP,2,0),"-")</f>
        <v>Transporte peajes - Servicios</v>
      </c>
    </row>
    <row r="76" spans="1:28" s="84" customFormat="1" ht="27" customHeight="1" x14ac:dyDescent="0.3">
      <c r="A76" s="75" t="s">
        <v>316</v>
      </c>
      <c r="B76" s="36" t="str">
        <f t="shared" si="1"/>
        <v>Junio</v>
      </c>
      <c r="C76" s="77" t="s">
        <v>162</v>
      </c>
      <c r="D76" s="77" t="s">
        <v>499</v>
      </c>
      <c r="E7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76" s="79" t="s">
        <v>235</v>
      </c>
      <c r="G76" s="79" t="s">
        <v>236</v>
      </c>
      <c r="H76" s="140" t="s">
        <v>500</v>
      </c>
      <c r="I76" s="77" t="s">
        <v>264</v>
      </c>
      <c r="J76" s="144" t="s">
        <v>265</v>
      </c>
      <c r="K76" s="77" t="s">
        <v>169</v>
      </c>
      <c r="L76" s="103" t="str">
        <f>VLOOKUP(Anexo_4[[#This Row],[cod_doc]],TIPODOC,2,FALSE)</f>
        <v>FACTURA</v>
      </c>
      <c r="M76" s="77" t="s">
        <v>271</v>
      </c>
      <c r="N76" s="79">
        <v>1751405</v>
      </c>
      <c r="O76" s="80">
        <v>6.78</v>
      </c>
      <c r="P76" s="81" t="s">
        <v>171</v>
      </c>
      <c r="Q76" s="81">
        <v>1.2203999999999999</v>
      </c>
      <c r="R76" s="80" t="s">
        <v>171</v>
      </c>
      <c r="S76" s="80">
        <v>0</v>
      </c>
      <c r="T76" s="82">
        <v>8</v>
      </c>
      <c r="U76" s="77"/>
      <c r="V76" s="75"/>
      <c r="W76" s="77"/>
      <c r="X76" s="77"/>
      <c r="Y76" s="77" t="s">
        <v>501</v>
      </c>
      <c r="Z76" s="77" t="s">
        <v>302</v>
      </c>
      <c r="AA76" s="83" t="s">
        <v>500</v>
      </c>
      <c r="AB76" s="104" t="str">
        <f>IFERROR(VLOOKUP(Anexo_4[[#This Row],[cuenta]],OP,2,0),"-")</f>
        <v>Transporte peajes - Servicios</v>
      </c>
    </row>
    <row r="77" spans="1:28" s="84" customFormat="1" ht="27" customHeight="1" x14ac:dyDescent="0.3">
      <c r="A77" s="75" t="s">
        <v>316</v>
      </c>
      <c r="B77" s="36" t="str">
        <f t="shared" si="1"/>
        <v>Junio</v>
      </c>
      <c r="C77" s="77" t="s">
        <v>162</v>
      </c>
      <c r="D77" s="77" t="s">
        <v>502</v>
      </c>
      <c r="E77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77" s="79" t="s">
        <v>391</v>
      </c>
      <c r="G77" s="79" t="s">
        <v>392</v>
      </c>
      <c r="H77" s="140" t="s">
        <v>503</v>
      </c>
      <c r="I77" s="77" t="s">
        <v>504</v>
      </c>
      <c r="J77" s="144" t="s">
        <v>505</v>
      </c>
      <c r="K77" s="77" t="s">
        <v>169</v>
      </c>
      <c r="L77" s="103" t="str">
        <f>VLOOKUP(Anexo_4[[#This Row],[cod_doc]],TIPODOC,2,FALSE)</f>
        <v>FACTURA</v>
      </c>
      <c r="M77" s="77" t="s">
        <v>222</v>
      </c>
      <c r="N77" s="79">
        <v>18073</v>
      </c>
      <c r="O77" s="80">
        <v>21.19</v>
      </c>
      <c r="P77" s="81" t="s">
        <v>171</v>
      </c>
      <c r="Q77" s="81">
        <v>3.8142</v>
      </c>
      <c r="R77" s="80" t="s">
        <v>171</v>
      </c>
      <c r="S77" s="80">
        <v>0</v>
      </c>
      <c r="T77" s="82">
        <v>25</v>
      </c>
      <c r="U77" s="77"/>
      <c r="V77" s="75"/>
      <c r="W77" s="77"/>
      <c r="X77" s="77"/>
      <c r="Y77" s="77" t="s">
        <v>506</v>
      </c>
      <c r="Z77" s="77" t="s">
        <v>507</v>
      </c>
      <c r="AA77" s="83" t="s">
        <v>503</v>
      </c>
      <c r="AB77" s="104" t="str">
        <f>IFERROR(VLOOKUP(Anexo_4[[#This Row],[cuenta]],OP,2,0),"-")</f>
        <v>Transporte lavado (Higienización)</v>
      </c>
    </row>
    <row r="78" spans="1:28" s="84" customFormat="1" ht="27" customHeight="1" x14ac:dyDescent="0.3">
      <c r="A78" s="75" t="s">
        <v>316</v>
      </c>
      <c r="B78" s="36" t="str">
        <f t="shared" si="1"/>
        <v>Junio</v>
      </c>
      <c r="C78" s="77" t="s">
        <v>162</v>
      </c>
      <c r="D78" s="77" t="s">
        <v>508</v>
      </c>
      <c r="E78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78" s="79" t="s">
        <v>418</v>
      </c>
      <c r="G78" s="79" t="s">
        <v>419</v>
      </c>
      <c r="H78" s="140" t="s">
        <v>509</v>
      </c>
      <c r="I78" s="77" t="s">
        <v>383</v>
      </c>
      <c r="J78" s="144" t="s">
        <v>384</v>
      </c>
      <c r="K78" s="77" t="s">
        <v>169</v>
      </c>
      <c r="L78" s="103" t="str">
        <f>VLOOKUP(Anexo_4[[#This Row],[cod_doc]],TIPODOC,2,FALSE)</f>
        <v>FACTURA</v>
      </c>
      <c r="M78" s="77" t="s">
        <v>103</v>
      </c>
      <c r="N78" s="79">
        <v>16596</v>
      </c>
      <c r="O78" s="80">
        <v>16.95</v>
      </c>
      <c r="P78" s="81" t="s">
        <v>171</v>
      </c>
      <c r="Q78" s="81">
        <v>3.0509999999999997</v>
      </c>
      <c r="R78" s="80" t="s">
        <v>171</v>
      </c>
      <c r="S78" s="80">
        <v>0</v>
      </c>
      <c r="T78" s="82">
        <v>20</v>
      </c>
      <c r="U78" s="77"/>
      <c r="V78" s="75"/>
      <c r="W78" s="77"/>
      <c r="X78" s="77"/>
      <c r="Y78" s="77" t="s">
        <v>510</v>
      </c>
      <c r="Z78" s="77" t="s">
        <v>182</v>
      </c>
      <c r="AA78" s="83" t="s">
        <v>509</v>
      </c>
      <c r="AB78" s="104" t="str">
        <f>IFERROR(VLOOKUP(Anexo_4[[#This Row],[cuenta]],OP,2,0),"-")</f>
        <v>Balanza - Ventas</v>
      </c>
    </row>
    <row r="79" spans="1:28" s="84" customFormat="1" ht="27" customHeight="1" x14ac:dyDescent="0.3">
      <c r="A79" s="75" t="s">
        <v>173</v>
      </c>
      <c r="B79" s="36" t="str">
        <f t="shared" si="1"/>
        <v>Junio</v>
      </c>
      <c r="C79" s="77" t="s">
        <v>162</v>
      </c>
      <c r="D79" s="77" t="s">
        <v>511</v>
      </c>
      <c r="E79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79" s="79" t="s">
        <v>235</v>
      </c>
      <c r="G79" s="79" t="s">
        <v>236</v>
      </c>
      <c r="H79" s="140" t="s">
        <v>512</v>
      </c>
      <c r="I79" s="77" t="s">
        <v>264</v>
      </c>
      <c r="J79" s="144" t="s">
        <v>265</v>
      </c>
      <c r="K79" s="77" t="s">
        <v>169</v>
      </c>
      <c r="L79" s="103" t="str">
        <f>VLOOKUP(Anexo_4[[#This Row],[cod_doc]],TIPODOC,2,FALSE)</f>
        <v>FACTURA</v>
      </c>
      <c r="M79" s="77" t="s">
        <v>379</v>
      </c>
      <c r="N79" s="79">
        <v>2069543</v>
      </c>
      <c r="O79" s="80">
        <v>6.78</v>
      </c>
      <c r="P79" s="81" t="s">
        <v>171</v>
      </c>
      <c r="Q79" s="81">
        <v>1.2203999999999999</v>
      </c>
      <c r="R79" s="80" t="s">
        <v>171</v>
      </c>
      <c r="S79" s="80">
        <v>0</v>
      </c>
      <c r="T79" s="82">
        <v>8</v>
      </c>
      <c r="U79" s="77"/>
      <c r="V79" s="75"/>
      <c r="W79" s="77"/>
      <c r="X79" s="77"/>
      <c r="Y79" s="77" t="s">
        <v>513</v>
      </c>
      <c r="Z79" s="77" t="s">
        <v>302</v>
      </c>
      <c r="AA79" s="83" t="s">
        <v>512</v>
      </c>
      <c r="AB79" s="104" t="str">
        <f>IFERROR(VLOOKUP(Anexo_4[[#This Row],[cuenta]],OP,2,0),"-")</f>
        <v>Transporte peajes - Servicios</v>
      </c>
    </row>
    <row r="80" spans="1:28" s="84" customFormat="1" ht="27" customHeight="1" x14ac:dyDescent="0.3">
      <c r="A80" s="75" t="s">
        <v>173</v>
      </c>
      <c r="B80" s="36" t="str">
        <f t="shared" si="1"/>
        <v>Junio</v>
      </c>
      <c r="C80" s="77" t="s">
        <v>162</v>
      </c>
      <c r="D80" s="77" t="s">
        <v>514</v>
      </c>
      <c r="E80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80" s="79" t="s">
        <v>235</v>
      </c>
      <c r="G80" s="79" t="s">
        <v>236</v>
      </c>
      <c r="H80" s="140" t="s">
        <v>515</v>
      </c>
      <c r="I80" s="77" t="s">
        <v>264</v>
      </c>
      <c r="J80" s="144" t="s">
        <v>265</v>
      </c>
      <c r="K80" s="77" t="s">
        <v>169</v>
      </c>
      <c r="L80" s="103" t="str">
        <f>VLOOKUP(Anexo_4[[#This Row],[cod_doc]],TIPODOC,2,FALSE)</f>
        <v>FACTURA</v>
      </c>
      <c r="M80" s="77" t="s">
        <v>406</v>
      </c>
      <c r="N80" s="79">
        <v>2352384</v>
      </c>
      <c r="O80" s="80">
        <v>6.78</v>
      </c>
      <c r="P80" s="81" t="s">
        <v>171</v>
      </c>
      <c r="Q80" s="81">
        <v>1.2203999999999999</v>
      </c>
      <c r="R80" s="80" t="s">
        <v>171</v>
      </c>
      <c r="S80" s="80">
        <v>0</v>
      </c>
      <c r="T80" s="82">
        <v>8</v>
      </c>
      <c r="U80" s="77"/>
      <c r="V80" s="75"/>
      <c r="W80" s="77"/>
      <c r="X80" s="77"/>
      <c r="Y80" s="77" t="s">
        <v>516</v>
      </c>
      <c r="Z80" s="77" t="s">
        <v>302</v>
      </c>
      <c r="AA80" s="83" t="s">
        <v>515</v>
      </c>
      <c r="AB80" s="104" t="str">
        <f>IFERROR(VLOOKUP(Anexo_4[[#This Row],[cuenta]],OP,2,0),"-")</f>
        <v>Transporte peajes - Servicios</v>
      </c>
    </row>
    <row r="81" spans="1:28" s="84" customFormat="1" ht="27" customHeight="1" x14ac:dyDescent="0.3">
      <c r="A81" s="75" t="s">
        <v>173</v>
      </c>
      <c r="B81" s="36" t="str">
        <f t="shared" si="1"/>
        <v>Junio</v>
      </c>
      <c r="C81" s="77" t="s">
        <v>162</v>
      </c>
      <c r="D81" s="77" t="s">
        <v>517</v>
      </c>
      <c r="E8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81" s="79" t="s">
        <v>235</v>
      </c>
      <c r="G81" s="79" t="s">
        <v>236</v>
      </c>
      <c r="H81" s="140" t="s">
        <v>518</v>
      </c>
      <c r="I81" s="77" t="s">
        <v>264</v>
      </c>
      <c r="J81" s="144" t="s">
        <v>265</v>
      </c>
      <c r="K81" s="77" t="s">
        <v>169</v>
      </c>
      <c r="L81" s="103" t="str">
        <f>VLOOKUP(Anexo_4[[#This Row],[cod_doc]],TIPODOC,2,FALSE)</f>
        <v>FACTURA</v>
      </c>
      <c r="M81" s="77" t="s">
        <v>519</v>
      </c>
      <c r="N81" s="79">
        <v>386548</v>
      </c>
      <c r="O81" s="80">
        <v>6.78</v>
      </c>
      <c r="P81" s="81" t="s">
        <v>171</v>
      </c>
      <c r="Q81" s="81">
        <v>1.2203999999999999</v>
      </c>
      <c r="R81" s="80" t="s">
        <v>171</v>
      </c>
      <c r="S81" s="80">
        <v>0</v>
      </c>
      <c r="T81" s="82">
        <v>8</v>
      </c>
      <c r="U81" s="77"/>
      <c r="V81" s="75"/>
      <c r="W81" s="77"/>
      <c r="X81" s="77"/>
      <c r="Y81" s="77" t="s">
        <v>520</v>
      </c>
      <c r="Z81" s="77" t="s">
        <v>268</v>
      </c>
      <c r="AA81" s="83" t="s">
        <v>518</v>
      </c>
      <c r="AB81" s="104" t="str">
        <f>IFERROR(VLOOKUP(Anexo_4[[#This Row],[cuenta]],OP,2,0),"-")</f>
        <v>Transporte peajes - Ventas</v>
      </c>
    </row>
    <row r="82" spans="1:28" s="84" customFormat="1" ht="27" customHeight="1" x14ac:dyDescent="0.3">
      <c r="A82" s="75" t="s">
        <v>173</v>
      </c>
      <c r="B82" s="36" t="str">
        <f t="shared" si="1"/>
        <v>Junio</v>
      </c>
      <c r="C82" s="77" t="s">
        <v>162</v>
      </c>
      <c r="D82" s="77" t="s">
        <v>521</v>
      </c>
      <c r="E8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82" s="79" t="s">
        <v>235</v>
      </c>
      <c r="G82" s="79" t="s">
        <v>236</v>
      </c>
      <c r="H82" s="140" t="s">
        <v>522</v>
      </c>
      <c r="I82" s="77" t="s">
        <v>264</v>
      </c>
      <c r="J82" s="144" t="s">
        <v>265</v>
      </c>
      <c r="K82" s="77" t="s">
        <v>169</v>
      </c>
      <c r="L82" s="103" t="str">
        <f>VLOOKUP(Anexo_4[[#This Row],[cod_doc]],TIPODOC,2,FALSE)</f>
        <v>FACTURA</v>
      </c>
      <c r="M82" s="77" t="s">
        <v>266</v>
      </c>
      <c r="N82" s="79">
        <v>477859</v>
      </c>
      <c r="O82" s="80">
        <v>6.78</v>
      </c>
      <c r="P82" s="81" t="s">
        <v>171</v>
      </c>
      <c r="Q82" s="81">
        <v>1.2203999999999999</v>
      </c>
      <c r="R82" s="80" t="s">
        <v>171</v>
      </c>
      <c r="S82" s="80">
        <v>0</v>
      </c>
      <c r="T82" s="82">
        <v>8</v>
      </c>
      <c r="U82" s="77"/>
      <c r="V82" s="75"/>
      <c r="W82" s="77"/>
      <c r="X82" s="77"/>
      <c r="Y82" s="77" t="s">
        <v>523</v>
      </c>
      <c r="Z82" s="77" t="s">
        <v>302</v>
      </c>
      <c r="AA82" s="83" t="s">
        <v>522</v>
      </c>
      <c r="AB82" s="104" t="str">
        <f>IFERROR(VLOOKUP(Anexo_4[[#This Row],[cuenta]],OP,2,0),"-")</f>
        <v>Transporte peajes - Servicios</v>
      </c>
    </row>
    <row r="83" spans="1:28" s="84" customFormat="1" ht="27" customHeight="1" x14ac:dyDescent="0.3">
      <c r="A83" s="75" t="s">
        <v>215</v>
      </c>
      <c r="B83" s="36" t="str">
        <f t="shared" si="1"/>
        <v>Junio</v>
      </c>
      <c r="C83" s="77" t="s">
        <v>162</v>
      </c>
      <c r="D83" s="77" t="s">
        <v>524</v>
      </c>
      <c r="E83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83" s="79" t="s">
        <v>235</v>
      </c>
      <c r="G83" s="79" t="s">
        <v>236</v>
      </c>
      <c r="H83" s="140" t="s">
        <v>525</v>
      </c>
      <c r="I83" s="77" t="s">
        <v>504</v>
      </c>
      <c r="J83" s="144" t="s">
        <v>505</v>
      </c>
      <c r="K83" s="77" t="s">
        <v>169</v>
      </c>
      <c r="L83" s="103" t="str">
        <f>VLOOKUP(Anexo_4[[#This Row],[cod_doc]],TIPODOC,2,FALSE)</f>
        <v>FACTURA</v>
      </c>
      <c r="M83" s="77" t="s">
        <v>222</v>
      </c>
      <c r="N83" s="79">
        <v>18027</v>
      </c>
      <c r="O83" s="80">
        <v>21.19</v>
      </c>
      <c r="P83" s="81" t="s">
        <v>171</v>
      </c>
      <c r="Q83" s="81">
        <v>3.8142</v>
      </c>
      <c r="R83" s="80" t="s">
        <v>171</v>
      </c>
      <c r="S83" s="80">
        <v>0</v>
      </c>
      <c r="T83" s="82">
        <v>25</v>
      </c>
      <c r="U83" s="77"/>
      <c r="V83" s="75"/>
      <c r="W83" s="77"/>
      <c r="X83" s="77"/>
      <c r="Y83" s="77" t="s">
        <v>526</v>
      </c>
      <c r="Z83" s="77" t="s">
        <v>507</v>
      </c>
      <c r="AA83" s="83" t="s">
        <v>525</v>
      </c>
      <c r="AB83" s="104" t="str">
        <f>IFERROR(VLOOKUP(Anexo_4[[#This Row],[cuenta]],OP,2,0),"-")</f>
        <v>Transporte lavado (Higienización)</v>
      </c>
    </row>
    <row r="84" spans="1:28" s="84" customFormat="1" ht="27" customHeight="1" x14ac:dyDescent="0.3">
      <c r="A84" s="75" t="s">
        <v>210</v>
      </c>
      <c r="B84" s="36" t="str">
        <f t="shared" si="1"/>
        <v>Junio</v>
      </c>
      <c r="C84" s="77" t="s">
        <v>162</v>
      </c>
      <c r="D84" s="77" t="s">
        <v>527</v>
      </c>
      <c r="E84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84" s="79" t="s">
        <v>391</v>
      </c>
      <c r="G84" s="79" t="s">
        <v>392</v>
      </c>
      <c r="H84" s="140" t="s">
        <v>528</v>
      </c>
      <c r="I84" s="77" t="s">
        <v>529</v>
      </c>
      <c r="J84" s="144" t="s">
        <v>530</v>
      </c>
      <c r="K84" s="77" t="s">
        <v>169</v>
      </c>
      <c r="L84" s="103" t="str">
        <f>VLOOKUP(Anexo_4[[#This Row],[cod_doc]],TIPODOC,2,FALSE)</f>
        <v>FACTURA</v>
      </c>
      <c r="M84" s="77" t="s">
        <v>531</v>
      </c>
      <c r="N84" s="79">
        <v>1161</v>
      </c>
      <c r="O84" s="80">
        <v>8.4700000000000006</v>
      </c>
      <c r="P84" s="81" t="s">
        <v>171</v>
      </c>
      <c r="Q84" s="81">
        <v>1.5246</v>
      </c>
      <c r="R84" s="80" t="s">
        <v>171</v>
      </c>
      <c r="S84" s="80">
        <v>0</v>
      </c>
      <c r="T84" s="82">
        <v>10</v>
      </c>
      <c r="U84" s="77"/>
      <c r="V84" s="75"/>
      <c r="W84" s="77"/>
      <c r="X84" s="77"/>
      <c r="Y84" s="77" t="s">
        <v>532</v>
      </c>
      <c r="Z84" s="77" t="s">
        <v>182</v>
      </c>
      <c r="AA84" s="83" t="s">
        <v>528</v>
      </c>
      <c r="AB84" s="104" t="str">
        <f>IFERROR(VLOOKUP(Anexo_4[[#This Row],[cuenta]],OP,2,0),"-")</f>
        <v>Balanza - Ventas</v>
      </c>
    </row>
    <row r="85" spans="1:28" s="84" customFormat="1" ht="27" customHeight="1" x14ac:dyDescent="0.3">
      <c r="A85" s="75" t="s">
        <v>533</v>
      </c>
      <c r="B85" s="36" t="str">
        <f t="shared" si="1"/>
        <v>Junio</v>
      </c>
      <c r="C85" s="77" t="s">
        <v>162</v>
      </c>
      <c r="D85" s="77" t="s">
        <v>534</v>
      </c>
      <c r="E8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85" s="79" t="s">
        <v>248</v>
      </c>
      <c r="G85" s="79" t="s">
        <v>249</v>
      </c>
      <c r="H85" s="140" t="s">
        <v>535</v>
      </c>
      <c r="I85" s="77" t="s">
        <v>536</v>
      </c>
      <c r="J85" s="144" t="s">
        <v>537</v>
      </c>
      <c r="K85" s="77" t="s">
        <v>169</v>
      </c>
      <c r="L85" s="103" t="str">
        <f>VLOOKUP(Anexo_4[[#This Row],[cod_doc]],TIPODOC,2,FALSE)</f>
        <v>FACTURA</v>
      </c>
      <c r="M85" s="77" t="s">
        <v>538</v>
      </c>
      <c r="N85" s="79">
        <v>6456</v>
      </c>
      <c r="O85" s="80">
        <v>151.19999999999999</v>
      </c>
      <c r="P85" s="81" t="s">
        <v>171</v>
      </c>
      <c r="Q85" s="81">
        <v>27.215999999999998</v>
      </c>
      <c r="R85" s="80" t="s">
        <v>171</v>
      </c>
      <c r="S85" s="80">
        <v>0</v>
      </c>
      <c r="T85" s="82">
        <v>178.42</v>
      </c>
      <c r="U85" s="77" t="s">
        <v>539</v>
      </c>
      <c r="V85" s="75" t="s">
        <v>540</v>
      </c>
      <c r="W85" s="77"/>
      <c r="X85" s="77"/>
      <c r="Y85" s="77"/>
      <c r="Z85" s="77" t="s">
        <v>256</v>
      </c>
      <c r="AA85" s="83" t="s">
        <v>535</v>
      </c>
      <c r="AB85" s="104" t="str">
        <f>IFERROR(VLOOKUP(Anexo_4[[#This Row],[cuenta]],OP,2,0),"-")</f>
        <v>Materias Primas - RRSS</v>
      </c>
    </row>
    <row r="86" spans="1:28" s="84" customFormat="1" ht="27" customHeight="1" x14ac:dyDescent="0.3">
      <c r="A86" s="75" t="s">
        <v>533</v>
      </c>
      <c r="B86" s="36" t="str">
        <f t="shared" si="1"/>
        <v>Junio</v>
      </c>
      <c r="C86" s="77" t="s">
        <v>162</v>
      </c>
      <c r="D86" s="77" t="s">
        <v>541</v>
      </c>
      <c r="E8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86" s="79" t="s">
        <v>248</v>
      </c>
      <c r="G86" s="79" t="s">
        <v>249</v>
      </c>
      <c r="H86" s="140" t="s">
        <v>542</v>
      </c>
      <c r="I86" s="77" t="s">
        <v>536</v>
      </c>
      <c r="J86" s="144" t="s">
        <v>537</v>
      </c>
      <c r="K86" s="77" t="s">
        <v>169</v>
      </c>
      <c r="L86" s="103" t="str">
        <f>VLOOKUP(Anexo_4[[#This Row],[cod_doc]],TIPODOC,2,FALSE)</f>
        <v>FACTURA</v>
      </c>
      <c r="M86" s="77" t="s">
        <v>538</v>
      </c>
      <c r="N86" s="79">
        <v>6457</v>
      </c>
      <c r="O86" s="80">
        <v>416</v>
      </c>
      <c r="P86" s="81" t="s">
        <v>171</v>
      </c>
      <c r="Q86" s="81">
        <v>74.88</v>
      </c>
      <c r="R86" s="80" t="s">
        <v>171</v>
      </c>
      <c r="S86" s="80">
        <v>0</v>
      </c>
      <c r="T86" s="82">
        <v>490.88</v>
      </c>
      <c r="U86" s="77" t="s">
        <v>543</v>
      </c>
      <c r="V86" s="75" t="s">
        <v>540</v>
      </c>
      <c r="W86" s="77"/>
      <c r="X86" s="77"/>
      <c r="Y86" s="77"/>
      <c r="Z86" s="77" t="s">
        <v>256</v>
      </c>
      <c r="AA86" s="83" t="s">
        <v>542</v>
      </c>
      <c r="AB86" s="104" t="str">
        <f>IFERROR(VLOOKUP(Anexo_4[[#This Row],[cuenta]],OP,2,0),"-")</f>
        <v>Materias Primas - RRSS</v>
      </c>
    </row>
    <row r="87" spans="1:28" s="84" customFormat="1" ht="27" customHeight="1" x14ac:dyDescent="0.3">
      <c r="A87" s="75" t="s">
        <v>533</v>
      </c>
      <c r="B87" s="36" t="str">
        <f t="shared" si="1"/>
        <v>Junio</v>
      </c>
      <c r="C87" s="77" t="s">
        <v>162</v>
      </c>
      <c r="D87" s="77" t="s">
        <v>544</v>
      </c>
      <c r="E87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87" s="79" t="s">
        <v>248</v>
      </c>
      <c r="G87" s="79" t="s">
        <v>249</v>
      </c>
      <c r="H87" s="140" t="s">
        <v>545</v>
      </c>
      <c r="I87" s="77" t="s">
        <v>536</v>
      </c>
      <c r="J87" s="144" t="s">
        <v>537</v>
      </c>
      <c r="K87" s="77" t="s">
        <v>169</v>
      </c>
      <c r="L87" s="103" t="str">
        <f>VLOOKUP(Anexo_4[[#This Row],[cod_doc]],TIPODOC,2,FALSE)</f>
        <v>FACTURA</v>
      </c>
      <c r="M87" s="77" t="s">
        <v>538</v>
      </c>
      <c r="N87" s="79">
        <v>6455</v>
      </c>
      <c r="O87" s="80">
        <v>333</v>
      </c>
      <c r="P87" s="81" t="s">
        <v>171</v>
      </c>
      <c r="Q87" s="81">
        <v>59.94</v>
      </c>
      <c r="R87" s="80" t="s">
        <v>171</v>
      </c>
      <c r="S87" s="80">
        <v>0</v>
      </c>
      <c r="T87" s="82">
        <v>392.94</v>
      </c>
      <c r="U87" s="77" t="s">
        <v>546</v>
      </c>
      <c r="V87" s="75" t="s">
        <v>540</v>
      </c>
      <c r="W87" s="77"/>
      <c r="X87" s="77"/>
      <c r="Y87" s="77"/>
      <c r="Z87" s="77" t="s">
        <v>256</v>
      </c>
      <c r="AA87" s="83" t="s">
        <v>545</v>
      </c>
      <c r="AB87" s="104" t="str">
        <f>IFERROR(VLOOKUP(Anexo_4[[#This Row],[cuenta]],OP,2,0),"-")</f>
        <v>Materias Primas - RRSS</v>
      </c>
    </row>
    <row r="88" spans="1:28" s="84" customFormat="1" ht="27" customHeight="1" x14ac:dyDescent="0.3">
      <c r="A88" s="75" t="s">
        <v>533</v>
      </c>
      <c r="B88" s="36" t="str">
        <f t="shared" si="1"/>
        <v>Junio</v>
      </c>
      <c r="C88" s="77" t="s">
        <v>162</v>
      </c>
      <c r="D88" s="77" t="s">
        <v>547</v>
      </c>
      <c r="E88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88" s="79" t="s">
        <v>248</v>
      </c>
      <c r="G88" s="79" t="s">
        <v>249</v>
      </c>
      <c r="H88" s="140" t="s">
        <v>548</v>
      </c>
      <c r="I88" s="77" t="s">
        <v>536</v>
      </c>
      <c r="J88" s="144" t="s">
        <v>537</v>
      </c>
      <c r="K88" s="77" t="s">
        <v>169</v>
      </c>
      <c r="L88" s="103" t="str">
        <f>VLOOKUP(Anexo_4[[#This Row],[cod_doc]],TIPODOC,2,FALSE)</f>
        <v>FACTURA</v>
      </c>
      <c r="M88" s="77" t="s">
        <v>538</v>
      </c>
      <c r="N88" s="79">
        <v>6453</v>
      </c>
      <c r="O88" s="80">
        <v>9.9</v>
      </c>
      <c r="P88" s="81" t="s">
        <v>171</v>
      </c>
      <c r="Q88" s="81">
        <v>1.782</v>
      </c>
      <c r="R88" s="80" t="s">
        <v>171</v>
      </c>
      <c r="S88" s="80">
        <v>0</v>
      </c>
      <c r="T88" s="82">
        <v>11.68</v>
      </c>
      <c r="U88" s="77" t="s">
        <v>549</v>
      </c>
      <c r="V88" s="75" t="s">
        <v>540</v>
      </c>
      <c r="W88" s="77"/>
      <c r="X88" s="77"/>
      <c r="Y88" s="77"/>
      <c r="Z88" s="77" t="s">
        <v>256</v>
      </c>
      <c r="AA88" s="83" t="s">
        <v>548</v>
      </c>
      <c r="AB88" s="104" t="str">
        <f>IFERROR(VLOOKUP(Anexo_4[[#This Row],[cuenta]],OP,2,0),"-")</f>
        <v>Materias Primas - RRSS</v>
      </c>
    </row>
    <row r="89" spans="1:28" s="84" customFormat="1" ht="27" customHeight="1" x14ac:dyDescent="0.3">
      <c r="A89" s="75" t="s">
        <v>533</v>
      </c>
      <c r="B89" s="36" t="str">
        <f t="shared" si="1"/>
        <v>Junio</v>
      </c>
      <c r="C89" s="77" t="s">
        <v>162</v>
      </c>
      <c r="D89" s="77" t="s">
        <v>550</v>
      </c>
      <c r="E89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89" s="79" t="s">
        <v>248</v>
      </c>
      <c r="G89" s="79" t="s">
        <v>249</v>
      </c>
      <c r="H89" s="140" t="s">
        <v>551</v>
      </c>
      <c r="I89" s="77" t="s">
        <v>536</v>
      </c>
      <c r="J89" s="144" t="s">
        <v>537</v>
      </c>
      <c r="K89" s="77" t="s">
        <v>169</v>
      </c>
      <c r="L89" s="103" t="str">
        <f>VLOOKUP(Anexo_4[[#This Row],[cod_doc]],TIPODOC,2,FALSE)</f>
        <v>FACTURA</v>
      </c>
      <c r="M89" s="77" t="s">
        <v>538</v>
      </c>
      <c r="N89" s="79">
        <v>6454</v>
      </c>
      <c r="O89" s="80">
        <v>63</v>
      </c>
      <c r="P89" s="81" t="s">
        <v>171</v>
      </c>
      <c r="Q89" s="81">
        <v>11.34</v>
      </c>
      <c r="R89" s="80" t="s">
        <v>171</v>
      </c>
      <c r="S89" s="80">
        <v>0</v>
      </c>
      <c r="T89" s="82">
        <v>74.34</v>
      </c>
      <c r="U89" s="77" t="s">
        <v>552</v>
      </c>
      <c r="V89" s="75" t="s">
        <v>540</v>
      </c>
      <c r="W89" s="77"/>
      <c r="X89" s="77"/>
      <c r="Y89" s="77"/>
      <c r="Z89" s="77" t="s">
        <v>256</v>
      </c>
      <c r="AA89" s="83" t="s">
        <v>551</v>
      </c>
      <c r="AB89" s="104" t="str">
        <f>IFERROR(VLOOKUP(Anexo_4[[#This Row],[cuenta]],OP,2,0),"-")</f>
        <v>Materias Primas - RRSS</v>
      </c>
    </row>
    <row r="90" spans="1:28" s="84" customFormat="1" ht="27" customHeight="1" x14ac:dyDescent="0.3">
      <c r="A90" s="75" t="s">
        <v>533</v>
      </c>
      <c r="B90" s="36" t="str">
        <f t="shared" si="1"/>
        <v>Junio</v>
      </c>
      <c r="C90" s="77" t="s">
        <v>162</v>
      </c>
      <c r="D90" s="77" t="s">
        <v>553</v>
      </c>
      <c r="E90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90" s="79" t="s">
        <v>248</v>
      </c>
      <c r="G90" s="79" t="s">
        <v>249</v>
      </c>
      <c r="H90" s="140" t="s">
        <v>554</v>
      </c>
      <c r="I90" s="77" t="s">
        <v>536</v>
      </c>
      <c r="J90" s="144" t="s">
        <v>537</v>
      </c>
      <c r="K90" s="77" t="s">
        <v>169</v>
      </c>
      <c r="L90" s="103" t="str">
        <f>VLOOKUP(Anexo_4[[#This Row],[cod_doc]],TIPODOC,2,FALSE)</f>
        <v>FACTURA</v>
      </c>
      <c r="M90" s="77" t="s">
        <v>538</v>
      </c>
      <c r="N90" s="79">
        <v>6452</v>
      </c>
      <c r="O90" s="80">
        <v>215</v>
      </c>
      <c r="P90" s="81" t="s">
        <v>171</v>
      </c>
      <c r="Q90" s="81">
        <v>38.699999999999996</v>
      </c>
      <c r="R90" s="80" t="s">
        <v>171</v>
      </c>
      <c r="S90" s="80">
        <v>0</v>
      </c>
      <c r="T90" s="82">
        <v>253.7</v>
      </c>
      <c r="U90" s="77" t="s">
        <v>555</v>
      </c>
      <c r="V90" s="75" t="s">
        <v>540</v>
      </c>
      <c r="W90" s="77"/>
      <c r="X90" s="77"/>
      <c r="Y90" s="77"/>
      <c r="Z90" s="77" t="s">
        <v>256</v>
      </c>
      <c r="AA90" s="83" t="s">
        <v>554</v>
      </c>
      <c r="AB90" s="104" t="str">
        <f>IFERROR(VLOOKUP(Anexo_4[[#This Row],[cuenta]],OP,2,0),"-")</f>
        <v>Materias Primas - RRSS</v>
      </c>
    </row>
    <row r="91" spans="1:28" s="84" customFormat="1" ht="27" customHeight="1" x14ac:dyDescent="0.3">
      <c r="A91" s="75" t="s">
        <v>533</v>
      </c>
      <c r="B91" s="36" t="str">
        <f t="shared" si="1"/>
        <v>Junio</v>
      </c>
      <c r="C91" s="77" t="s">
        <v>162</v>
      </c>
      <c r="D91" s="77" t="s">
        <v>556</v>
      </c>
      <c r="E9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91" s="79" t="s">
        <v>248</v>
      </c>
      <c r="G91" s="79" t="s">
        <v>249</v>
      </c>
      <c r="H91" s="140" t="s">
        <v>557</v>
      </c>
      <c r="I91" s="77" t="s">
        <v>536</v>
      </c>
      <c r="J91" s="144" t="s">
        <v>537</v>
      </c>
      <c r="K91" s="77" t="s">
        <v>169</v>
      </c>
      <c r="L91" s="103" t="str">
        <f>VLOOKUP(Anexo_4[[#This Row],[cod_doc]],TIPODOC,2,FALSE)</f>
        <v>FACTURA</v>
      </c>
      <c r="M91" s="77" t="s">
        <v>538</v>
      </c>
      <c r="N91" s="79">
        <v>6450</v>
      </c>
      <c r="O91" s="80">
        <v>99.5</v>
      </c>
      <c r="P91" s="81" t="s">
        <v>171</v>
      </c>
      <c r="Q91" s="81">
        <v>17.91</v>
      </c>
      <c r="R91" s="80" t="s">
        <v>171</v>
      </c>
      <c r="S91" s="80">
        <v>0</v>
      </c>
      <c r="T91" s="82">
        <v>117.41</v>
      </c>
      <c r="U91" s="77" t="s">
        <v>558</v>
      </c>
      <c r="V91" s="75" t="s">
        <v>540</v>
      </c>
      <c r="W91" s="77"/>
      <c r="X91" s="77"/>
      <c r="Y91" s="77"/>
      <c r="Z91" s="77" t="s">
        <v>256</v>
      </c>
      <c r="AA91" s="83" t="s">
        <v>557</v>
      </c>
      <c r="AB91" s="104" t="str">
        <f>IFERROR(VLOOKUP(Anexo_4[[#This Row],[cuenta]],OP,2,0),"-")</f>
        <v>Materias Primas - RRSS</v>
      </c>
    </row>
    <row r="92" spans="1:28" s="84" customFormat="1" ht="27" customHeight="1" x14ac:dyDescent="0.3">
      <c r="A92" s="75" t="s">
        <v>533</v>
      </c>
      <c r="B92" s="36" t="str">
        <f t="shared" si="1"/>
        <v>Junio</v>
      </c>
      <c r="C92" s="77" t="s">
        <v>162</v>
      </c>
      <c r="D92" s="77" t="s">
        <v>559</v>
      </c>
      <c r="E9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92" s="79" t="s">
        <v>248</v>
      </c>
      <c r="G92" s="79" t="s">
        <v>249</v>
      </c>
      <c r="H92" s="140" t="s">
        <v>560</v>
      </c>
      <c r="I92" s="77" t="s">
        <v>536</v>
      </c>
      <c r="J92" s="144" t="s">
        <v>537</v>
      </c>
      <c r="K92" s="77" t="s">
        <v>169</v>
      </c>
      <c r="L92" s="103" t="str">
        <f>VLOOKUP(Anexo_4[[#This Row],[cod_doc]],TIPODOC,2,FALSE)</f>
        <v>FACTURA</v>
      </c>
      <c r="M92" s="77" t="s">
        <v>538</v>
      </c>
      <c r="N92" s="79">
        <v>6451</v>
      </c>
      <c r="O92" s="80">
        <v>78.3</v>
      </c>
      <c r="P92" s="81" t="s">
        <v>171</v>
      </c>
      <c r="Q92" s="81">
        <v>14.093999999999999</v>
      </c>
      <c r="R92" s="80" t="s">
        <v>171</v>
      </c>
      <c r="S92" s="80">
        <v>0</v>
      </c>
      <c r="T92" s="82">
        <v>92.39</v>
      </c>
      <c r="U92" s="77" t="s">
        <v>561</v>
      </c>
      <c r="V92" s="75" t="s">
        <v>540</v>
      </c>
      <c r="W92" s="77"/>
      <c r="X92" s="77"/>
      <c r="Y92" s="77"/>
      <c r="Z92" s="77" t="s">
        <v>256</v>
      </c>
      <c r="AA92" s="83" t="s">
        <v>560</v>
      </c>
      <c r="AB92" s="104" t="str">
        <f>IFERROR(VLOOKUP(Anexo_4[[#This Row],[cuenta]],OP,2,0),"-")</f>
        <v>Materias Primas - RRSS</v>
      </c>
    </row>
    <row r="93" spans="1:28" s="84" customFormat="1" ht="27" customHeight="1" x14ac:dyDescent="0.3">
      <c r="A93" s="75" t="s">
        <v>533</v>
      </c>
      <c r="B93" s="36" t="str">
        <f t="shared" si="1"/>
        <v>Junio</v>
      </c>
      <c r="C93" s="77" t="s">
        <v>162</v>
      </c>
      <c r="D93" s="77" t="s">
        <v>562</v>
      </c>
      <c r="E93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93" s="79" t="s">
        <v>248</v>
      </c>
      <c r="G93" s="79" t="s">
        <v>249</v>
      </c>
      <c r="H93" s="140" t="s">
        <v>563</v>
      </c>
      <c r="I93" s="77" t="s">
        <v>536</v>
      </c>
      <c r="J93" s="144" t="s">
        <v>537</v>
      </c>
      <c r="K93" s="77" t="s">
        <v>169</v>
      </c>
      <c r="L93" s="103" t="str">
        <f>VLOOKUP(Anexo_4[[#This Row],[cod_doc]],TIPODOC,2,FALSE)</f>
        <v>FACTURA</v>
      </c>
      <c r="M93" s="77" t="s">
        <v>538</v>
      </c>
      <c r="N93" s="79">
        <v>6449</v>
      </c>
      <c r="O93" s="80">
        <v>556</v>
      </c>
      <c r="P93" s="81" t="s">
        <v>171</v>
      </c>
      <c r="Q93" s="81">
        <v>100.08</v>
      </c>
      <c r="R93" s="80" t="s">
        <v>171</v>
      </c>
      <c r="S93" s="80">
        <v>0</v>
      </c>
      <c r="T93" s="82">
        <v>656.08</v>
      </c>
      <c r="U93" s="77" t="s">
        <v>564</v>
      </c>
      <c r="V93" s="75" t="s">
        <v>540</v>
      </c>
      <c r="W93" s="77"/>
      <c r="X93" s="77"/>
      <c r="Y93" s="77"/>
      <c r="Z93" s="77" t="s">
        <v>256</v>
      </c>
      <c r="AA93" s="83" t="s">
        <v>563</v>
      </c>
      <c r="AB93" s="104" t="str">
        <f>IFERROR(VLOOKUP(Anexo_4[[#This Row],[cuenta]],OP,2,0),"-")</f>
        <v>Materias Primas - RRSS</v>
      </c>
    </row>
    <row r="94" spans="1:28" s="84" customFormat="1" ht="27" customHeight="1" x14ac:dyDescent="0.3">
      <c r="A94" s="75" t="s">
        <v>533</v>
      </c>
      <c r="B94" s="36" t="str">
        <f t="shared" si="1"/>
        <v>Junio</v>
      </c>
      <c r="C94" s="77" t="s">
        <v>162</v>
      </c>
      <c r="D94" s="77" t="s">
        <v>565</v>
      </c>
      <c r="E94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94" s="79" t="s">
        <v>248</v>
      </c>
      <c r="G94" s="79" t="s">
        <v>249</v>
      </c>
      <c r="H94" s="140" t="s">
        <v>566</v>
      </c>
      <c r="I94" s="77" t="s">
        <v>536</v>
      </c>
      <c r="J94" s="144" t="s">
        <v>537</v>
      </c>
      <c r="K94" s="77" t="s">
        <v>169</v>
      </c>
      <c r="L94" s="103" t="str">
        <f>VLOOKUP(Anexo_4[[#This Row],[cod_doc]],TIPODOC,2,FALSE)</f>
        <v>FACTURA</v>
      </c>
      <c r="M94" s="77" t="s">
        <v>538</v>
      </c>
      <c r="N94" s="79">
        <v>6448</v>
      </c>
      <c r="O94" s="80">
        <v>86.4</v>
      </c>
      <c r="P94" s="81" t="s">
        <v>171</v>
      </c>
      <c r="Q94" s="81">
        <v>15.552</v>
      </c>
      <c r="R94" s="80" t="s">
        <v>171</v>
      </c>
      <c r="S94" s="80">
        <v>0</v>
      </c>
      <c r="T94" s="82">
        <v>101.95</v>
      </c>
      <c r="U94" s="77" t="s">
        <v>567</v>
      </c>
      <c r="V94" s="75" t="s">
        <v>540</v>
      </c>
      <c r="W94" s="77"/>
      <c r="X94" s="77"/>
      <c r="Y94" s="77"/>
      <c r="Z94" s="77" t="s">
        <v>256</v>
      </c>
      <c r="AA94" s="83" t="s">
        <v>566</v>
      </c>
      <c r="AB94" s="104" t="str">
        <f>IFERROR(VLOOKUP(Anexo_4[[#This Row],[cuenta]],OP,2,0),"-")</f>
        <v>Materias Primas - RRSS</v>
      </c>
    </row>
    <row r="95" spans="1:28" s="84" customFormat="1" ht="27" customHeight="1" x14ac:dyDescent="0.3">
      <c r="A95" s="75" t="s">
        <v>533</v>
      </c>
      <c r="B95" s="36" t="str">
        <f t="shared" si="1"/>
        <v>Junio</v>
      </c>
      <c r="C95" s="77" t="s">
        <v>162</v>
      </c>
      <c r="D95" s="77" t="s">
        <v>568</v>
      </c>
      <c r="E9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95" s="79" t="s">
        <v>248</v>
      </c>
      <c r="G95" s="79" t="s">
        <v>249</v>
      </c>
      <c r="H95" s="140" t="s">
        <v>569</v>
      </c>
      <c r="I95" s="77" t="s">
        <v>536</v>
      </c>
      <c r="J95" s="144" t="s">
        <v>537</v>
      </c>
      <c r="K95" s="77" t="s">
        <v>169</v>
      </c>
      <c r="L95" s="103" t="str">
        <f>VLOOKUP(Anexo_4[[#This Row],[cod_doc]],TIPODOC,2,FALSE)</f>
        <v>FACTURA</v>
      </c>
      <c r="M95" s="77" t="s">
        <v>538</v>
      </c>
      <c r="N95" s="79">
        <v>6447</v>
      </c>
      <c r="O95" s="80">
        <v>387</v>
      </c>
      <c r="P95" s="81" t="s">
        <v>171</v>
      </c>
      <c r="Q95" s="81">
        <v>69.66</v>
      </c>
      <c r="R95" s="80" t="s">
        <v>171</v>
      </c>
      <c r="S95" s="80">
        <v>0</v>
      </c>
      <c r="T95" s="82">
        <v>456.66</v>
      </c>
      <c r="U95" s="77" t="s">
        <v>570</v>
      </c>
      <c r="V95" s="75" t="s">
        <v>540</v>
      </c>
      <c r="W95" s="77"/>
      <c r="X95" s="77"/>
      <c r="Y95" s="77"/>
      <c r="Z95" s="77" t="s">
        <v>256</v>
      </c>
      <c r="AA95" s="83" t="s">
        <v>569</v>
      </c>
      <c r="AB95" s="104" t="str">
        <f>IFERROR(VLOOKUP(Anexo_4[[#This Row],[cuenta]],OP,2,0),"-")</f>
        <v>Materias Primas - RRSS</v>
      </c>
    </row>
    <row r="96" spans="1:28" s="84" customFormat="1" ht="27" customHeight="1" x14ac:dyDescent="0.3">
      <c r="A96" s="75" t="s">
        <v>533</v>
      </c>
      <c r="B96" s="36" t="str">
        <f t="shared" si="1"/>
        <v>Junio</v>
      </c>
      <c r="C96" s="77" t="s">
        <v>162</v>
      </c>
      <c r="D96" s="77" t="s">
        <v>571</v>
      </c>
      <c r="E9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96" s="79" t="s">
        <v>248</v>
      </c>
      <c r="G96" s="79" t="s">
        <v>249</v>
      </c>
      <c r="H96" s="140" t="s">
        <v>572</v>
      </c>
      <c r="I96" s="77" t="s">
        <v>536</v>
      </c>
      <c r="J96" s="144" t="s">
        <v>537</v>
      </c>
      <c r="K96" s="77" t="s">
        <v>169</v>
      </c>
      <c r="L96" s="103" t="str">
        <f>VLOOKUP(Anexo_4[[#This Row],[cod_doc]],TIPODOC,2,FALSE)</f>
        <v>FACTURA</v>
      </c>
      <c r="M96" s="77" t="s">
        <v>538</v>
      </c>
      <c r="N96" s="79">
        <v>6446</v>
      </c>
      <c r="O96" s="80">
        <v>52.5</v>
      </c>
      <c r="P96" s="81" t="s">
        <v>171</v>
      </c>
      <c r="Q96" s="81">
        <v>9.4499999999999993</v>
      </c>
      <c r="R96" s="80" t="s">
        <v>171</v>
      </c>
      <c r="S96" s="80">
        <v>0</v>
      </c>
      <c r="T96" s="82">
        <v>61.95</v>
      </c>
      <c r="U96" s="77" t="s">
        <v>573</v>
      </c>
      <c r="V96" s="75" t="s">
        <v>540</v>
      </c>
      <c r="W96" s="77"/>
      <c r="X96" s="77"/>
      <c r="Y96" s="77"/>
      <c r="Z96" s="77" t="s">
        <v>256</v>
      </c>
      <c r="AA96" s="83" t="s">
        <v>572</v>
      </c>
      <c r="AB96" s="104" t="str">
        <f>IFERROR(VLOOKUP(Anexo_4[[#This Row],[cuenta]],OP,2,0),"-")</f>
        <v>Materias Primas - RRSS</v>
      </c>
    </row>
    <row r="97" spans="1:28" s="84" customFormat="1" ht="27" customHeight="1" x14ac:dyDescent="0.3">
      <c r="A97" s="75" t="s">
        <v>533</v>
      </c>
      <c r="B97" s="36" t="str">
        <f t="shared" si="1"/>
        <v>Junio</v>
      </c>
      <c r="C97" s="77" t="s">
        <v>162</v>
      </c>
      <c r="D97" s="77" t="s">
        <v>574</v>
      </c>
      <c r="E97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97" s="79" t="s">
        <v>248</v>
      </c>
      <c r="G97" s="79" t="s">
        <v>249</v>
      </c>
      <c r="H97" s="140" t="s">
        <v>575</v>
      </c>
      <c r="I97" s="77" t="s">
        <v>536</v>
      </c>
      <c r="J97" s="144" t="s">
        <v>537</v>
      </c>
      <c r="K97" s="77" t="s">
        <v>169</v>
      </c>
      <c r="L97" s="103" t="str">
        <f>VLOOKUP(Anexo_4[[#This Row],[cod_doc]],TIPODOC,2,FALSE)</f>
        <v>FACTURA</v>
      </c>
      <c r="M97" s="77" t="s">
        <v>538</v>
      </c>
      <c r="N97" s="79">
        <v>6445</v>
      </c>
      <c r="O97" s="80">
        <v>344</v>
      </c>
      <c r="P97" s="81" t="s">
        <v>171</v>
      </c>
      <c r="Q97" s="81">
        <v>61.919999999999995</v>
      </c>
      <c r="R97" s="80" t="s">
        <v>171</v>
      </c>
      <c r="S97" s="80">
        <v>0</v>
      </c>
      <c r="T97" s="82">
        <v>405.92</v>
      </c>
      <c r="U97" s="77" t="s">
        <v>576</v>
      </c>
      <c r="V97" s="75" t="s">
        <v>540</v>
      </c>
      <c r="W97" s="77"/>
      <c r="X97" s="77"/>
      <c r="Y97" s="77"/>
      <c r="Z97" s="77" t="s">
        <v>256</v>
      </c>
      <c r="AA97" s="83" t="s">
        <v>575</v>
      </c>
      <c r="AB97" s="104" t="str">
        <f>IFERROR(VLOOKUP(Anexo_4[[#This Row],[cuenta]],OP,2,0),"-")</f>
        <v>Materias Primas - RRSS</v>
      </c>
    </row>
    <row r="98" spans="1:28" s="84" customFormat="1" ht="27" customHeight="1" x14ac:dyDescent="0.3">
      <c r="A98" s="75" t="s">
        <v>173</v>
      </c>
      <c r="B98" s="36" t="str">
        <f t="shared" si="1"/>
        <v>Junio</v>
      </c>
      <c r="C98" s="77" t="s">
        <v>162</v>
      </c>
      <c r="D98" s="77" t="s">
        <v>577</v>
      </c>
      <c r="E98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98" s="79" t="s">
        <v>235</v>
      </c>
      <c r="G98" s="79" t="s">
        <v>236</v>
      </c>
      <c r="H98" s="140" t="s">
        <v>578</v>
      </c>
      <c r="I98" s="77" t="s">
        <v>286</v>
      </c>
      <c r="J98" s="144" t="s">
        <v>287</v>
      </c>
      <c r="K98" s="77" t="s">
        <v>169</v>
      </c>
      <c r="L98" s="103" t="str">
        <f>VLOOKUP(Anexo_4[[#This Row],[cod_doc]],TIPODOC,2,FALSE)</f>
        <v>FACTURA</v>
      </c>
      <c r="M98" s="77" t="s">
        <v>222</v>
      </c>
      <c r="N98" s="79">
        <v>17645</v>
      </c>
      <c r="O98" s="80"/>
      <c r="P98" s="81" t="s">
        <v>171</v>
      </c>
      <c r="Q98" s="81">
        <v>0</v>
      </c>
      <c r="R98" s="80" t="s">
        <v>171</v>
      </c>
      <c r="S98" s="80">
        <v>22</v>
      </c>
      <c r="T98" s="82">
        <v>22</v>
      </c>
      <c r="U98" s="77"/>
      <c r="V98" s="75"/>
      <c r="W98" s="77"/>
      <c r="X98" s="77"/>
      <c r="Y98" s="77"/>
      <c r="Z98" s="77" t="s">
        <v>386</v>
      </c>
      <c r="AA98" s="83" t="s">
        <v>578</v>
      </c>
      <c r="AB98" s="104" t="str">
        <f>IFERROR(VLOOKUP(Anexo_4[[#This Row],[cuenta]],OP,2,0),"-")</f>
        <v>Balanza - Servicios</v>
      </c>
    </row>
    <row r="99" spans="1:28" s="84" customFormat="1" ht="27" customHeight="1" x14ac:dyDescent="0.3">
      <c r="A99" s="75" t="s">
        <v>215</v>
      </c>
      <c r="B99" s="36" t="str">
        <f t="shared" si="1"/>
        <v>Junio</v>
      </c>
      <c r="C99" s="77" t="s">
        <v>162</v>
      </c>
      <c r="D99" s="77" t="s">
        <v>579</v>
      </c>
      <c r="E99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99" s="79" t="s">
        <v>235</v>
      </c>
      <c r="G99" s="79" t="s">
        <v>236</v>
      </c>
      <c r="H99" s="140" t="s">
        <v>580</v>
      </c>
      <c r="I99" s="77" t="s">
        <v>383</v>
      </c>
      <c r="J99" s="144" t="s">
        <v>384</v>
      </c>
      <c r="K99" s="77" t="s">
        <v>169</v>
      </c>
      <c r="L99" s="103" t="str">
        <f>VLOOKUP(Anexo_4[[#This Row],[cod_doc]],TIPODOC,2,FALSE)</f>
        <v>FACTURA</v>
      </c>
      <c r="M99" s="77" t="s">
        <v>421</v>
      </c>
      <c r="N99" s="79">
        <v>34832</v>
      </c>
      <c r="O99" s="80">
        <v>8.4700000000000006</v>
      </c>
      <c r="P99" s="81" t="s">
        <v>171</v>
      </c>
      <c r="Q99" s="81">
        <v>1.5246</v>
      </c>
      <c r="R99" s="80" t="s">
        <v>171</v>
      </c>
      <c r="S99" s="80">
        <v>0</v>
      </c>
      <c r="T99" s="82">
        <v>10</v>
      </c>
      <c r="U99" s="77"/>
      <c r="V99" s="75"/>
      <c r="W99" s="77"/>
      <c r="X99" s="77"/>
      <c r="Y99" s="77" t="s">
        <v>581</v>
      </c>
      <c r="Z99" s="77" t="s">
        <v>386</v>
      </c>
      <c r="AA99" s="83" t="s">
        <v>580</v>
      </c>
      <c r="AB99" s="104" t="str">
        <f>IFERROR(VLOOKUP(Anexo_4[[#This Row],[cuenta]],OP,2,0),"-")</f>
        <v>Balanza - Servicios</v>
      </c>
    </row>
    <row r="100" spans="1:28" s="84" customFormat="1" ht="27" customHeight="1" x14ac:dyDescent="0.3">
      <c r="A100" s="75" t="s">
        <v>316</v>
      </c>
      <c r="B100" s="36" t="str">
        <f t="shared" si="1"/>
        <v>Junio</v>
      </c>
      <c r="C100" s="77" t="s">
        <v>162</v>
      </c>
      <c r="D100" s="77" t="s">
        <v>582</v>
      </c>
      <c r="E100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00" s="79" t="s">
        <v>217</v>
      </c>
      <c r="G100" s="79" t="s">
        <v>218</v>
      </c>
      <c r="H100" s="140" t="s">
        <v>583</v>
      </c>
      <c r="I100" s="77" t="s">
        <v>264</v>
      </c>
      <c r="J100" s="144" t="s">
        <v>265</v>
      </c>
      <c r="K100" s="77" t="s">
        <v>169</v>
      </c>
      <c r="L100" s="103" t="str">
        <f>VLOOKUP(Anexo_4[[#This Row],[cod_doc]],TIPODOC,2,FALSE)</f>
        <v>FACTURA</v>
      </c>
      <c r="M100" s="77" t="s">
        <v>406</v>
      </c>
      <c r="N100" s="79">
        <v>2356987</v>
      </c>
      <c r="O100" s="80">
        <v>6.78</v>
      </c>
      <c r="P100" s="81" t="s">
        <v>171</v>
      </c>
      <c r="Q100" s="81">
        <v>1.2203999999999999</v>
      </c>
      <c r="R100" s="80" t="s">
        <v>171</v>
      </c>
      <c r="S100" s="80">
        <v>0</v>
      </c>
      <c r="T100" s="82">
        <v>8</v>
      </c>
      <c r="U100" s="77"/>
      <c r="V100" s="75"/>
      <c r="W100" s="77"/>
      <c r="X100" s="77"/>
      <c r="Y100" s="77" t="s">
        <v>584</v>
      </c>
      <c r="Z100" s="77" t="s">
        <v>268</v>
      </c>
      <c r="AA100" s="83" t="s">
        <v>583</v>
      </c>
      <c r="AB100" s="104" t="str">
        <f>IFERROR(VLOOKUP(Anexo_4[[#This Row],[cuenta]],OP,2,0),"-")</f>
        <v>Transporte peajes - Ventas</v>
      </c>
    </row>
    <row r="101" spans="1:28" s="84" customFormat="1" ht="27" customHeight="1" x14ac:dyDescent="0.3">
      <c r="A101" s="75" t="s">
        <v>316</v>
      </c>
      <c r="B101" s="36" t="str">
        <f t="shared" si="1"/>
        <v>Junio</v>
      </c>
      <c r="C101" s="77" t="s">
        <v>162</v>
      </c>
      <c r="D101" s="77" t="s">
        <v>585</v>
      </c>
      <c r="E10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01" s="79" t="s">
        <v>217</v>
      </c>
      <c r="G101" s="79" t="s">
        <v>218</v>
      </c>
      <c r="H101" s="140" t="s">
        <v>586</v>
      </c>
      <c r="I101" s="77" t="s">
        <v>264</v>
      </c>
      <c r="J101" s="144" t="s">
        <v>265</v>
      </c>
      <c r="K101" s="77" t="s">
        <v>169</v>
      </c>
      <c r="L101" s="103" t="str">
        <f>VLOOKUP(Anexo_4[[#This Row],[cod_doc]],TIPODOC,2,FALSE)</f>
        <v>FACTURA</v>
      </c>
      <c r="M101" s="77" t="s">
        <v>352</v>
      </c>
      <c r="N101" s="79">
        <v>1771106</v>
      </c>
      <c r="O101" s="80">
        <v>6.78</v>
      </c>
      <c r="P101" s="81" t="s">
        <v>171</v>
      </c>
      <c r="Q101" s="81">
        <v>1.2203999999999999</v>
      </c>
      <c r="R101" s="80" t="s">
        <v>171</v>
      </c>
      <c r="S101" s="80">
        <v>0</v>
      </c>
      <c r="T101" s="82">
        <v>8</v>
      </c>
      <c r="U101" s="77"/>
      <c r="V101" s="75"/>
      <c r="W101" s="77"/>
      <c r="X101" s="77"/>
      <c r="Y101" s="77" t="s">
        <v>587</v>
      </c>
      <c r="Z101" s="77" t="s">
        <v>268</v>
      </c>
      <c r="AA101" s="83" t="s">
        <v>586</v>
      </c>
      <c r="AB101" s="104" t="str">
        <f>IFERROR(VLOOKUP(Anexo_4[[#This Row],[cuenta]],OP,2,0),"-")</f>
        <v>Transporte peajes - Ventas</v>
      </c>
    </row>
    <row r="102" spans="1:28" s="84" customFormat="1" ht="27" customHeight="1" x14ac:dyDescent="0.3">
      <c r="A102" s="75" t="s">
        <v>210</v>
      </c>
      <c r="B102" s="36" t="str">
        <f t="shared" si="1"/>
        <v>Junio</v>
      </c>
      <c r="C102" s="77" t="s">
        <v>162</v>
      </c>
      <c r="D102" s="77" t="s">
        <v>588</v>
      </c>
      <c r="E10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02" s="79" t="s">
        <v>391</v>
      </c>
      <c r="G102" s="79" t="s">
        <v>392</v>
      </c>
      <c r="H102" s="140" t="s">
        <v>589</v>
      </c>
      <c r="I102" s="77" t="s">
        <v>529</v>
      </c>
      <c r="J102" s="144" t="s">
        <v>530</v>
      </c>
      <c r="K102" s="77" t="s">
        <v>169</v>
      </c>
      <c r="L102" s="103" t="str">
        <f>VLOOKUP(Anexo_4[[#This Row],[cod_doc]],TIPODOC,2,FALSE)</f>
        <v>FACTURA</v>
      </c>
      <c r="M102" s="77" t="s">
        <v>531</v>
      </c>
      <c r="N102" s="79">
        <v>1157</v>
      </c>
      <c r="O102" s="80">
        <v>8.4700000000000006</v>
      </c>
      <c r="P102" s="81" t="s">
        <v>171</v>
      </c>
      <c r="Q102" s="81">
        <v>1.5246</v>
      </c>
      <c r="R102" s="80" t="s">
        <v>171</v>
      </c>
      <c r="S102" s="80">
        <v>0</v>
      </c>
      <c r="T102" s="82">
        <v>10</v>
      </c>
      <c r="U102" s="77"/>
      <c r="V102" s="75"/>
      <c r="W102" s="77"/>
      <c r="X102" s="77"/>
      <c r="Y102" s="77" t="s">
        <v>590</v>
      </c>
      <c r="Z102" s="77" t="s">
        <v>182</v>
      </c>
      <c r="AA102" s="83" t="s">
        <v>589</v>
      </c>
      <c r="AB102" s="104" t="str">
        <f>IFERROR(VLOOKUP(Anexo_4[[#This Row],[cuenta]],OP,2,0),"-")</f>
        <v>Balanza - Ventas</v>
      </c>
    </row>
    <row r="103" spans="1:28" s="84" customFormat="1" ht="27" customHeight="1" x14ac:dyDescent="0.3">
      <c r="A103" s="75" t="s">
        <v>349</v>
      </c>
      <c r="B103" s="36" t="str">
        <f t="shared" si="1"/>
        <v>Junio</v>
      </c>
      <c r="C103" s="77" t="s">
        <v>162</v>
      </c>
      <c r="D103" s="77" t="s">
        <v>591</v>
      </c>
      <c r="E103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03" s="79" t="s">
        <v>592</v>
      </c>
      <c r="G103" s="79" t="s">
        <v>593</v>
      </c>
      <c r="H103" s="140" t="s">
        <v>594</v>
      </c>
      <c r="I103" s="77" t="s">
        <v>595</v>
      </c>
      <c r="J103" s="144" t="s">
        <v>596</v>
      </c>
      <c r="K103" s="77" t="s">
        <v>169</v>
      </c>
      <c r="L103" s="103" t="str">
        <f>VLOOKUP(Anexo_4[[#This Row],[cod_doc]],TIPODOC,2,FALSE)</f>
        <v>FACTURA</v>
      </c>
      <c r="M103" s="77" t="s">
        <v>102</v>
      </c>
      <c r="N103" s="79">
        <v>1682</v>
      </c>
      <c r="O103" s="80">
        <v>76.27</v>
      </c>
      <c r="P103" s="81" t="s">
        <v>171</v>
      </c>
      <c r="Q103" s="81">
        <v>13.728599999999998</v>
      </c>
      <c r="R103" s="80" t="s">
        <v>171</v>
      </c>
      <c r="S103" s="80">
        <v>0</v>
      </c>
      <c r="T103" s="82">
        <v>90</v>
      </c>
      <c r="U103" s="77"/>
      <c r="V103" s="75"/>
      <c r="W103" s="77"/>
      <c r="X103" s="77"/>
      <c r="Y103" s="77"/>
      <c r="Z103" s="77" t="s">
        <v>597</v>
      </c>
      <c r="AA103" s="83" t="s">
        <v>594</v>
      </c>
      <c r="AB103" s="104" t="str">
        <f>IFERROR(VLOOKUP(Anexo_4[[#This Row],[cuenta]],OP,2,0),"-")</f>
        <v>Mantenimiento Preventivo (Montacarga)</v>
      </c>
    </row>
    <row r="104" spans="1:28" s="84" customFormat="1" ht="27" customHeight="1" x14ac:dyDescent="0.3">
      <c r="A104" s="75" t="s">
        <v>316</v>
      </c>
      <c r="B104" s="36" t="str">
        <f t="shared" si="1"/>
        <v>Junio</v>
      </c>
      <c r="C104" s="77" t="s">
        <v>162</v>
      </c>
      <c r="D104" s="77" t="s">
        <v>598</v>
      </c>
      <c r="E104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04" s="79" t="s">
        <v>217</v>
      </c>
      <c r="G104" s="79" t="s">
        <v>218</v>
      </c>
      <c r="H104" s="140" t="s">
        <v>599</v>
      </c>
      <c r="I104" s="77" t="s">
        <v>600</v>
      </c>
      <c r="J104" s="144" t="s">
        <v>601</v>
      </c>
      <c r="K104" s="77" t="s">
        <v>169</v>
      </c>
      <c r="L104" s="103" t="str">
        <f>VLOOKUP(Anexo_4[[#This Row],[cod_doc]],TIPODOC,2,FALSE)</f>
        <v>FACTURA</v>
      </c>
      <c r="M104" s="77" t="s">
        <v>180</v>
      </c>
      <c r="N104" s="79">
        <v>19737</v>
      </c>
      <c r="O104" s="80">
        <v>427.96</v>
      </c>
      <c r="P104" s="81" t="s">
        <v>171</v>
      </c>
      <c r="Q104" s="81">
        <v>77.032799999999995</v>
      </c>
      <c r="R104" s="80" t="s">
        <v>171</v>
      </c>
      <c r="S104" s="80">
        <v>0</v>
      </c>
      <c r="T104" s="82">
        <v>505</v>
      </c>
      <c r="U104" s="77"/>
      <c r="V104" s="75"/>
      <c r="W104" s="77"/>
      <c r="X104" s="77"/>
      <c r="Y104" s="77"/>
      <c r="Z104" s="77" t="s">
        <v>223</v>
      </c>
      <c r="AA104" s="83" t="s">
        <v>599</v>
      </c>
      <c r="AB104" s="104" t="str">
        <f>IFERROR(VLOOKUP(Anexo_4[[#This Row],[cuenta]],OP,2,0),"-")</f>
        <v>Mantenimiento Vehicular (Preventivo)</v>
      </c>
    </row>
    <row r="105" spans="1:28" s="84" customFormat="1" ht="27" customHeight="1" x14ac:dyDescent="0.3">
      <c r="A105" s="75" t="s">
        <v>349</v>
      </c>
      <c r="B105" s="36" t="str">
        <f t="shared" si="1"/>
        <v>Junio</v>
      </c>
      <c r="C105" s="77" t="s">
        <v>162</v>
      </c>
      <c r="D105" s="77" t="s">
        <v>602</v>
      </c>
      <c r="E10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05" s="79" t="s">
        <v>175</v>
      </c>
      <c r="G105" s="79" t="s">
        <v>176</v>
      </c>
      <c r="H105" s="140" t="s">
        <v>603</v>
      </c>
      <c r="I105" s="77" t="s">
        <v>604</v>
      </c>
      <c r="J105" s="144" t="s">
        <v>605</v>
      </c>
      <c r="K105" s="77" t="s">
        <v>169</v>
      </c>
      <c r="L105" s="103" t="str">
        <f>VLOOKUP(Anexo_4[[#This Row],[cod_doc]],TIPODOC,2,FALSE)</f>
        <v>FACTURA</v>
      </c>
      <c r="M105" s="77" t="s">
        <v>606</v>
      </c>
      <c r="N105" s="79">
        <v>26653</v>
      </c>
      <c r="O105" s="80">
        <v>1662.22</v>
      </c>
      <c r="P105" s="81" t="s">
        <v>171</v>
      </c>
      <c r="Q105" s="81">
        <v>299.19959999999998</v>
      </c>
      <c r="R105" s="80" t="s">
        <v>171</v>
      </c>
      <c r="S105" s="80">
        <v>0</v>
      </c>
      <c r="T105" s="82">
        <v>1961.42</v>
      </c>
      <c r="U105" s="77"/>
      <c r="V105" s="75"/>
      <c r="W105" s="77"/>
      <c r="X105" s="77"/>
      <c r="Y105" s="77"/>
      <c r="Z105" s="77" t="s">
        <v>223</v>
      </c>
      <c r="AA105" s="83" t="s">
        <v>603</v>
      </c>
      <c r="AB105" s="104" t="str">
        <f>IFERROR(VLOOKUP(Anexo_4[[#This Row],[cuenta]],OP,2,0),"-")</f>
        <v>Mantenimiento Vehicular (Preventivo)</v>
      </c>
    </row>
    <row r="106" spans="1:28" s="84" customFormat="1" ht="27" customHeight="1" x14ac:dyDescent="0.3">
      <c r="A106" s="75" t="s">
        <v>349</v>
      </c>
      <c r="B106" s="36" t="str">
        <f t="shared" si="1"/>
        <v>Junio</v>
      </c>
      <c r="C106" s="77" t="s">
        <v>162</v>
      </c>
      <c r="D106" s="77" t="s">
        <v>607</v>
      </c>
      <c r="E10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06" s="79" t="s">
        <v>456</v>
      </c>
      <c r="G106" s="79" t="s">
        <v>457</v>
      </c>
      <c r="H106" s="140" t="s">
        <v>608</v>
      </c>
      <c r="I106" s="77" t="s">
        <v>609</v>
      </c>
      <c r="J106" s="144" t="s">
        <v>610</v>
      </c>
      <c r="K106" s="77" t="s">
        <v>169</v>
      </c>
      <c r="L106" s="103" t="str">
        <f>VLOOKUP(Anexo_4[[#This Row],[cod_doc]],TIPODOC,2,FALSE)</f>
        <v>FACTURA</v>
      </c>
      <c r="M106" s="77" t="s">
        <v>102</v>
      </c>
      <c r="N106" s="79">
        <v>2103</v>
      </c>
      <c r="O106" s="80">
        <v>42.37</v>
      </c>
      <c r="P106" s="81" t="s">
        <v>171</v>
      </c>
      <c r="Q106" s="81">
        <v>7.6265999999999989</v>
      </c>
      <c r="R106" s="80" t="s">
        <v>171</v>
      </c>
      <c r="S106" s="80">
        <v>0</v>
      </c>
      <c r="T106" s="82">
        <v>50</v>
      </c>
      <c r="U106" s="77"/>
      <c r="V106" s="75"/>
      <c r="W106" s="77"/>
      <c r="X106" s="77"/>
      <c r="Y106" s="77"/>
      <c r="Z106" s="77" t="s">
        <v>507</v>
      </c>
      <c r="AA106" s="83" t="s">
        <v>608</v>
      </c>
      <c r="AB106" s="104" t="str">
        <f>IFERROR(VLOOKUP(Anexo_4[[#This Row],[cuenta]],OP,2,0),"-")</f>
        <v>Transporte lavado (Higienización)</v>
      </c>
    </row>
    <row r="107" spans="1:28" s="84" customFormat="1" ht="27" customHeight="1" x14ac:dyDescent="0.3">
      <c r="A107" s="75" t="s">
        <v>316</v>
      </c>
      <c r="B107" s="36" t="str">
        <f t="shared" si="1"/>
        <v>Junio</v>
      </c>
      <c r="C107" s="77" t="s">
        <v>162</v>
      </c>
      <c r="D107" s="77" t="s">
        <v>611</v>
      </c>
      <c r="E107" s="78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107" s="79" t="s">
        <v>198</v>
      </c>
      <c r="G107" s="79" t="s">
        <v>199</v>
      </c>
      <c r="H107" s="140" t="s">
        <v>243</v>
      </c>
      <c r="I107" s="77" t="s">
        <v>244</v>
      </c>
      <c r="J107" s="144" t="s">
        <v>245</v>
      </c>
      <c r="K107" s="77" t="s">
        <v>239</v>
      </c>
      <c r="L107" s="103" t="str">
        <f>VLOOKUP(Anexo_4[[#This Row],[cod_doc]],TIPODOC,2,FALSE)</f>
        <v>BOLETA DE VENTA</v>
      </c>
      <c r="M107" s="77" t="s">
        <v>162</v>
      </c>
      <c r="N107" s="79">
        <v>8319</v>
      </c>
      <c r="O107" s="80"/>
      <c r="P107" s="81" t="s">
        <v>171</v>
      </c>
      <c r="Q107" s="81">
        <v>0</v>
      </c>
      <c r="R107" s="80" t="s">
        <v>171</v>
      </c>
      <c r="S107" s="80">
        <v>6</v>
      </c>
      <c r="T107" s="82">
        <v>6</v>
      </c>
      <c r="U107" s="77"/>
      <c r="V107" s="75"/>
      <c r="W107" s="77"/>
      <c r="X107" s="77"/>
      <c r="Y107" s="77"/>
      <c r="Z107" s="77" t="s">
        <v>246</v>
      </c>
      <c r="AA107" s="83" t="s">
        <v>243</v>
      </c>
      <c r="AB107" s="104" t="str">
        <f>IFERROR(VLOOKUP(Anexo_4[[#This Row],[cuenta]],OP,2,0),"-")</f>
        <v>-</v>
      </c>
    </row>
    <row r="108" spans="1:28" s="84" customFormat="1" ht="27" customHeight="1" x14ac:dyDescent="0.3">
      <c r="A108" s="75" t="s">
        <v>316</v>
      </c>
      <c r="B108" s="36" t="str">
        <f t="shared" si="1"/>
        <v>Junio</v>
      </c>
      <c r="C108" s="77" t="s">
        <v>162</v>
      </c>
      <c r="D108" s="77" t="s">
        <v>612</v>
      </c>
      <c r="E108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08" s="79" t="s">
        <v>248</v>
      </c>
      <c r="G108" s="79" t="s">
        <v>249</v>
      </c>
      <c r="H108" s="140" t="s">
        <v>613</v>
      </c>
      <c r="I108" s="77" t="s">
        <v>614</v>
      </c>
      <c r="J108" s="144" t="s">
        <v>615</v>
      </c>
      <c r="K108" s="77" t="s">
        <v>169</v>
      </c>
      <c r="L108" s="103" t="str">
        <f>VLOOKUP(Anexo_4[[#This Row],[cod_doc]],TIPODOC,2,FALSE)</f>
        <v>FACTURA</v>
      </c>
      <c r="M108" s="77" t="s">
        <v>102</v>
      </c>
      <c r="N108" s="79">
        <v>1322</v>
      </c>
      <c r="O108" s="80">
        <v>2753.26</v>
      </c>
      <c r="P108" s="81" t="s">
        <v>171</v>
      </c>
      <c r="Q108" s="81">
        <v>495.58680000000004</v>
      </c>
      <c r="R108" s="80" t="s">
        <v>171</v>
      </c>
      <c r="S108" s="80">
        <v>0</v>
      </c>
      <c r="T108" s="82">
        <v>3248.85</v>
      </c>
      <c r="U108" s="77" t="s">
        <v>616</v>
      </c>
      <c r="V108" s="75" t="s">
        <v>467</v>
      </c>
      <c r="W108" s="77"/>
      <c r="X108" s="77"/>
      <c r="Y108" s="77"/>
      <c r="Z108" s="77" t="s">
        <v>256</v>
      </c>
      <c r="AA108" s="83" t="s">
        <v>613</v>
      </c>
      <c r="AB108" s="104" t="str">
        <f>IFERROR(VLOOKUP(Anexo_4[[#This Row],[cuenta]],OP,2,0),"-")</f>
        <v>Materias Primas - RRSS</v>
      </c>
    </row>
    <row r="109" spans="1:28" s="84" customFormat="1" ht="27" customHeight="1" x14ac:dyDescent="0.3">
      <c r="A109" s="75" t="s">
        <v>349</v>
      </c>
      <c r="B109" s="36" t="str">
        <f t="shared" si="1"/>
        <v>Junio</v>
      </c>
      <c r="C109" s="77" t="s">
        <v>162</v>
      </c>
      <c r="D109" s="77" t="s">
        <v>617</v>
      </c>
      <c r="E109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09" s="79" t="s">
        <v>248</v>
      </c>
      <c r="G109" s="79" t="s">
        <v>249</v>
      </c>
      <c r="H109" s="140" t="s">
        <v>618</v>
      </c>
      <c r="I109" s="77" t="s">
        <v>619</v>
      </c>
      <c r="J109" s="144" t="s">
        <v>620</v>
      </c>
      <c r="K109" s="77" t="s">
        <v>169</v>
      </c>
      <c r="L109" s="103" t="str">
        <f>VLOOKUP(Anexo_4[[#This Row],[cod_doc]],TIPODOC,2,FALSE)</f>
        <v>FACTURA</v>
      </c>
      <c r="M109" s="77" t="s">
        <v>621</v>
      </c>
      <c r="N109" s="79">
        <v>865</v>
      </c>
      <c r="O109" s="80">
        <v>180.07</v>
      </c>
      <c r="P109" s="81" t="s">
        <v>171</v>
      </c>
      <c r="Q109" s="81">
        <v>32.412599999999998</v>
      </c>
      <c r="R109" s="80" t="s">
        <v>171</v>
      </c>
      <c r="S109" s="80">
        <v>0</v>
      </c>
      <c r="T109" s="82">
        <v>212.48</v>
      </c>
      <c r="U109" s="77" t="s">
        <v>622</v>
      </c>
      <c r="V109" s="75" t="s">
        <v>467</v>
      </c>
      <c r="W109" s="77"/>
      <c r="X109" s="77"/>
      <c r="Y109" s="77"/>
      <c r="Z109" s="77" t="s">
        <v>256</v>
      </c>
      <c r="AA109" s="83" t="s">
        <v>618</v>
      </c>
      <c r="AB109" s="104" t="str">
        <f>IFERROR(VLOOKUP(Anexo_4[[#This Row],[cuenta]],OP,2,0),"-")</f>
        <v>Materias Primas - RRSS</v>
      </c>
    </row>
    <row r="110" spans="1:28" s="84" customFormat="1" ht="27" customHeight="1" x14ac:dyDescent="0.3">
      <c r="A110" s="75" t="s">
        <v>210</v>
      </c>
      <c r="B110" s="36" t="str">
        <f t="shared" si="1"/>
        <v>Junio</v>
      </c>
      <c r="C110" s="77" t="s">
        <v>162</v>
      </c>
      <c r="D110" s="77" t="s">
        <v>623</v>
      </c>
      <c r="E110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10" s="79" t="s">
        <v>248</v>
      </c>
      <c r="G110" s="79" t="s">
        <v>249</v>
      </c>
      <c r="H110" s="140" t="s">
        <v>624</v>
      </c>
      <c r="I110" s="77" t="s">
        <v>625</v>
      </c>
      <c r="J110" s="144" t="s">
        <v>626</v>
      </c>
      <c r="K110" s="77" t="s">
        <v>169</v>
      </c>
      <c r="L110" s="103" t="str">
        <f>VLOOKUP(Anexo_4[[#This Row],[cod_doc]],TIPODOC,2,FALSE)</f>
        <v>FACTURA</v>
      </c>
      <c r="M110" s="77" t="s">
        <v>180</v>
      </c>
      <c r="N110" s="79">
        <v>16224</v>
      </c>
      <c r="O110" s="80">
        <v>357.19</v>
      </c>
      <c r="P110" s="81" t="s">
        <v>171</v>
      </c>
      <c r="Q110" s="81">
        <v>64.294200000000004</v>
      </c>
      <c r="R110" s="80" t="s">
        <v>171</v>
      </c>
      <c r="S110" s="80">
        <v>0</v>
      </c>
      <c r="T110" s="82">
        <v>421.48</v>
      </c>
      <c r="U110" s="77" t="s">
        <v>627</v>
      </c>
      <c r="V110" s="75" t="s">
        <v>467</v>
      </c>
      <c r="W110" s="77"/>
      <c r="X110" s="77"/>
      <c r="Y110" s="77"/>
      <c r="Z110" s="77" t="s">
        <v>256</v>
      </c>
      <c r="AA110" s="83" t="s">
        <v>624</v>
      </c>
      <c r="AB110" s="104" t="str">
        <f>IFERROR(VLOOKUP(Anexo_4[[#This Row],[cuenta]],OP,2,0),"-")</f>
        <v>Materias Primas - RRSS</v>
      </c>
    </row>
    <row r="111" spans="1:28" s="84" customFormat="1" ht="27" customHeight="1" x14ac:dyDescent="0.3">
      <c r="A111" s="75" t="s">
        <v>533</v>
      </c>
      <c r="B111" s="36" t="str">
        <f t="shared" si="1"/>
        <v>Junio</v>
      </c>
      <c r="C111" s="77" t="s">
        <v>162</v>
      </c>
      <c r="D111" s="77" t="s">
        <v>628</v>
      </c>
      <c r="E111" s="78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111" s="79" t="s">
        <v>198</v>
      </c>
      <c r="G111" s="79" t="s">
        <v>199</v>
      </c>
      <c r="H111" s="140" t="s">
        <v>192</v>
      </c>
      <c r="I111" s="77" t="s">
        <v>629</v>
      </c>
      <c r="J111" s="144" t="s">
        <v>630</v>
      </c>
      <c r="K111" s="77" t="s">
        <v>169</v>
      </c>
      <c r="L111" s="103" t="str">
        <f>VLOOKUP(Anexo_4[[#This Row],[cod_doc]],TIPODOC,2,FALSE)</f>
        <v>FACTURA</v>
      </c>
      <c r="M111" s="77" t="s">
        <v>631</v>
      </c>
      <c r="N111" s="79">
        <v>5383</v>
      </c>
      <c r="O111" s="80">
        <v>5.08</v>
      </c>
      <c r="P111" s="81" t="s">
        <v>171</v>
      </c>
      <c r="Q111" s="81">
        <v>0.91439999999999999</v>
      </c>
      <c r="R111" s="80" t="s">
        <v>171</v>
      </c>
      <c r="S111" s="80">
        <v>0</v>
      </c>
      <c r="T111" s="82">
        <v>6</v>
      </c>
      <c r="U111" s="77"/>
      <c r="V111" s="75"/>
      <c r="W111" s="77"/>
      <c r="X111" s="77"/>
      <c r="Y111" s="77"/>
      <c r="Z111" s="77" t="s">
        <v>196</v>
      </c>
      <c r="AA111" s="83" t="s">
        <v>192</v>
      </c>
      <c r="AB111" s="104" t="str">
        <f>IFERROR(VLOOKUP(Anexo_4[[#This Row],[cuenta]],OP,2,0),"-")</f>
        <v>Encomienda (Envío de documentación)</v>
      </c>
    </row>
    <row r="112" spans="1:28" s="84" customFormat="1" ht="27" customHeight="1" x14ac:dyDescent="0.3">
      <c r="A112" s="75" t="s">
        <v>295</v>
      </c>
      <c r="B112" s="36" t="str">
        <f t="shared" si="1"/>
        <v>Junio</v>
      </c>
      <c r="C112" s="77" t="s">
        <v>162</v>
      </c>
      <c r="D112" s="77" t="s">
        <v>632</v>
      </c>
      <c r="E11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12" s="79" t="s">
        <v>355</v>
      </c>
      <c r="G112" s="79" t="s">
        <v>356</v>
      </c>
      <c r="H112" s="140" t="s">
        <v>633</v>
      </c>
      <c r="I112" s="77" t="s">
        <v>634</v>
      </c>
      <c r="J112" s="144" t="s">
        <v>635</v>
      </c>
      <c r="K112" s="77" t="s">
        <v>169</v>
      </c>
      <c r="L112" s="103" t="str">
        <f>VLOOKUP(Anexo_4[[#This Row],[cod_doc]],TIPODOC,2,FALSE)</f>
        <v>FACTURA</v>
      </c>
      <c r="M112" s="77" t="s">
        <v>102</v>
      </c>
      <c r="N112" s="79">
        <v>2705</v>
      </c>
      <c r="O112" s="80">
        <v>13.56</v>
      </c>
      <c r="P112" s="81" t="s">
        <v>171</v>
      </c>
      <c r="Q112" s="81">
        <v>2.4407999999999999</v>
      </c>
      <c r="R112" s="80" t="s">
        <v>171</v>
      </c>
      <c r="S112" s="80">
        <v>0</v>
      </c>
      <c r="T112" s="82">
        <v>16</v>
      </c>
      <c r="U112" s="77"/>
      <c r="V112" s="75"/>
      <c r="W112" s="77"/>
      <c r="X112" s="77"/>
      <c r="Y112" s="77"/>
      <c r="Z112" s="77" t="s">
        <v>361</v>
      </c>
      <c r="AA112" s="83" t="s">
        <v>633</v>
      </c>
      <c r="AB112" s="104" t="str">
        <f>IFERROR(VLOOKUP(Anexo_4[[#This Row],[cuenta]],OP,2,0),"-")</f>
        <v>Alimentacion (Operativo)</v>
      </c>
    </row>
    <row r="113" spans="1:28" s="84" customFormat="1" ht="27" customHeight="1" x14ac:dyDescent="0.3">
      <c r="A113" s="75" t="s">
        <v>533</v>
      </c>
      <c r="B113" s="36" t="str">
        <f t="shared" si="1"/>
        <v>Junio</v>
      </c>
      <c r="C113" s="77" t="s">
        <v>162</v>
      </c>
      <c r="D113" s="77" t="s">
        <v>636</v>
      </c>
      <c r="E113" s="78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113" s="79" t="s">
        <v>198</v>
      </c>
      <c r="G113" s="79" t="s">
        <v>199</v>
      </c>
      <c r="H113" s="140" t="s">
        <v>637</v>
      </c>
      <c r="I113" s="77" t="s">
        <v>638</v>
      </c>
      <c r="J113" s="144" t="s">
        <v>639</v>
      </c>
      <c r="K113" s="77" t="s">
        <v>169</v>
      </c>
      <c r="L113" s="103" t="str">
        <f>VLOOKUP(Anexo_4[[#This Row],[cod_doc]],TIPODOC,2,FALSE)</f>
        <v>FACTURA</v>
      </c>
      <c r="M113" s="77" t="s">
        <v>640</v>
      </c>
      <c r="N113" s="79">
        <v>13788</v>
      </c>
      <c r="O113" s="80">
        <v>16.95</v>
      </c>
      <c r="P113" s="81" t="s">
        <v>171</v>
      </c>
      <c r="Q113" s="81">
        <v>3.0509999999999997</v>
      </c>
      <c r="R113" s="80" t="s">
        <v>171</v>
      </c>
      <c r="S113" s="80">
        <v>0</v>
      </c>
      <c r="T113" s="82">
        <v>20</v>
      </c>
      <c r="U113" s="77"/>
      <c r="V113" s="75"/>
      <c r="W113" s="77"/>
      <c r="X113" s="77"/>
      <c r="Y113" s="77"/>
      <c r="Z113" s="77" t="s">
        <v>196</v>
      </c>
      <c r="AA113" s="83" t="s">
        <v>637</v>
      </c>
      <c r="AB113" s="104" t="str">
        <f>IFERROR(VLOOKUP(Anexo_4[[#This Row],[cuenta]],OP,2,0),"-")</f>
        <v>Encomienda (Envío de documentación)</v>
      </c>
    </row>
    <row r="114" spans="1:28" s="84" customFormat="1" ht="27" customHeight="1" x14ac:dyDescent="0.3">
      <c r="A114" s="75" t="s">
        <v>210</v>
      </c>
      <c r="B114" s="36" t="str">
        <f t="shared" si="1"/>
        <v>Junio</v>
      </c>
      <c r="C114" s="77" t="s">
        <v>162</v>
      </c>
      <c r="D114" s="77" t="s">
        <v>641</v>
      </c>
      <c r="E114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14" s="79" t="s">
        <v>592</v>
      </c>
      <c r="G114" s="79" t="s">
        <v>593</v>
      </c>
      <c r="H114" s="140" t="s">
        <v>642</v>
      </c>
      <c r="I114" s="77" t="s">
        <v>643</v>
      </c>
      <c r="J114" s="144" t="s">
        <v>644</v>
      </c>
      <c r="K114" s="77" t="s">
        <v>169</v>
      </c>
      <c r="L114" s="103" t="str">
        <f>VLOOKUP(Anexo_4[[#This Row],[cod_doc]],TIPODOC,2,FALSE)</f>
        <v>FACTURA</v>
      </c>
      <c r="M114" s="77" t="s">
        <v>102</v>
      </c>
      <c r="N114" s="79">
        <v>3933</v>
      </c>
      <c r="O114" s="80">
        <v>127.5</v>
      </c>
      <c r="P114" s="81" t="s">
        <v>171</v>
      </c>
      <c r="Q114" s="81">
        <v>22.95</v>
      </c>
      <c r="R114" s="80" t="s">
        <v>171</v>
      </c>
      <c r="S114" s="80">
        <v>0</v>
      </c>
      <c r="T114" s="82">
        <v>150.44999999999999</v>
      </c>
      <c r="U114" s="77"/>
      <c r="V114" s="75"/>
      <c r="W114" s="77"/>
      <c r="X114" s="77"/>
      <c r="Y114" s="77"/>
      <c r="Z114" s="77" t="s">
        <v>645</v>
      </c>
      <c r="AA114" s="83" t="s">
        <v>642</v>
      </c>
      <c r="AB114" s="104" t="str">
        <f>IFERROR(VLOOKUP(Anexo_4[[#This Row],[cuenta]],OP,2,0),"-")</f>
        <v>Montacarga - Servicios</v>
      </c>
    </row>
    <row r="115" spans="1:28" s="84" customFormat="1" ht="27" customHeight="1" x14ac:dyDescent="0.3">
      <c r="A115" s="75" t="s">
        <v>210</v>
      </c>
      <c r="B115" s="36" t="str">
        <f t="shared" si="1"/>
        <v>Junio</v>
      </c>
      <c r="C115" s="77" t="s">
        <v>162</v>
      </c>
      <c r="D115" s="77" t="s">
        <v>646</v>
      </c>
      <c r="E115" s="78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115" s="79" t="s">
        <v>198</v>
      </c>
      <c r="G115" s="79" t="s">
        <v>199</v>
      </c>
      <c r="H115" s="140" t="s">
        <v>647</v>
      </c>
      <c r="I115" s="77" t="s">
        <v>643</v>
      </c>
      <c r="J115" s="144" t="s">
        <v>644</v>
      </c>
      <c r="K115" s="77" t="s">
        <v>169</v>
      </c>
      <c r="L115" s="103" t="str">
        <f>VLOOKUP(Anexo_4[[#This Row],[cod_doc]],TIPODOC,2,FALSE)</f>
        <v>FACTURA</v>
      </c>
      <c r="M115" s="77" t="s">
        <v>102</v>
      </c>
      <c r="N115" s="79">
        <v>3932</v>
      </c>
      <c r="O115" s="80">
        <v>212.5</v>
      </c>
      <c r="P115" s="81" t="s">
        <v>171</v>
      </c>
      <c r="Q115" s="81">
        <v>38.25</v>
      </c>
      <c r="R115" s="80" t="s">
        <v>171</v>
      </c>
      <c r="S115" s="80">
        <v>0</v>
      </c>
      <c r="T115" s="82">
        <v>250.75</v>
      </c>
      <c r="U115" s="77"/>
      <c r="V115" s="75"/>
      <c r="W115" s="77"/>
      <c r="X115" s="77"/>
      <c r="Y115" s="77"/>
      <c r="Z115" s="77" t="s">
        <v>648</v>
      </c>
      <c r="AA115" s="83" t="s">
        <v>647</v>
      </c>
      <c r="AB115" s="104" t="str">
        <f>IFERROR(VLOOKUP(Anexo_4[[#This Row],[cuenta]],OP,2,0),"-")</f>
        <v>Montacarga - Ventas</v>
      </c>
    </row>
    <row r="116" spans="1:28" s="84" customFormat="1" ht="27" customHeight="1" x14ac:dyDescent="0.3">
      <c r="A116" s="75" t="s">
        <v>533</v>
      </c>
      <c r="B116" s="36" t="str">
        <f t="shared" si="1"/>
        <v>Junio</v>
      </c>
      <c r="C116" s="77" t="s">
        <v>162</v>
      </c>
      <c r="D116" s="77" t="s">
        <v>649</v>
      </c>
      <c r="E116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16" s="79" t="s">
        <v>650</v>
      </c>
      <c r="G116" s="79" t="s">
        <v>651</v>
      </c>
      <c r="H116" s="140" t="s">
        <v>652</v>
      </c>
      <c r="I116" s="77" t="s">
        <v>653</v>
      </c>
      <c r="J116" s="144" t="s">
        <v>654</v>
      </c>
      <c r="K116" s="77" t="s">
        <v>169</v>
      </c>
      <c r="L116" s="103" t="str">
        <f>VLOOKUP(Anexo_4[[#This Row],[cod_doc]],TIPODOC,2,FALSE)</f>
        <v>FACTURA</v>
      </c>
      <c r="M116" s="77" t="s">
        <v>655</v>
      </c>
      <c r="N116" s="79">
        <v>15923</v>
      </c>
      <c r="O116" s="80">
        <v>192</v>
      </c>
      <c r="P116" s="81" t="s">
        <v>171</v>
      </c>
      <c r="Q116" s="81">
        <v>34.56</v>
      </c>
      <c r="R116" s="80" t="s">
        <v>171</v>
      </c>
      <c r="S116" s="80">
        <v>0</v>
      </c>
      <c r="T116" s="82">
        <v>226.56</v>
      </c>
      <c r="U116" s="77"/>
      <c r="V116" s="75"/>
      <c r="W116" s="77"/>
      <c r="X116" s="77"/>
      <c r="Y116" s="77"/>
      <c r="Z116" s="77" t="s">
        <v>656</v>
      </c>
      <c r="AA116" s="83" t="s">
        <v>652</v>
      </c>
      <c r="AB116" s="104" t="str">
        <f>IFERROR(VLOOKUP(Anexo_4[[#This Row],[cuenta]],OP,2,0),"-")</f>
        <v>-</v>
      </c>
    </row>
    <row r="117" spans="1:28" s="84" customFormat="1" ht="27" customHeight="1" x14ac:dyDescent="0.3">
      <c r="A117" s="75" t="s">
        <v>533</v>
      </c>
      <c r="B117" s="36" t="str">
        <f t="shared" si="1"/>
        <v>Junio</v>
      </c>
      <c r="C117" s="77" t="s">
        <v>162</v>
      </c>
      <c r="D117" s="77" t="s">
        <v>657</v>
      </c>
      <c r="E117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17" s="79" t="s">
        <v>175</v>
      </c>
      <c r="G117" s="79" t="s">
        <v>176</v>
      </c>
      <c r="H117" s="140" t="s">
        <v>658</v>
      </c>
      <c r="I117" s="77" t="s">
        <v>264</v>
      </c>
      <c r="J117" s="144" t="s">
        <v>265</v>
      </c>
      <c r="K117" s="77" t="s">
        <v>169</v>
      </c>
      <c r="L117" s="103" t="str">
        <f>VLOOKUP(Anexo_4[[#This Row],[cod_doc]],TIPODOC,2,FALSE)</f>
        <v>FACTURA</v>
      </c>
      <c r="M117" s="77" t="s">
        <v>266</v>
      </c>
      <c r="N117" s="79">
        <v>479968</v>
      </c>
      <c r="O117" s="80">
        <v>10.17</v>
      </c>
      <c r="P117" s="81" t="s">
        <v>171</v>
      </c>
      <c r="Q117" s="81">
        <v>1.8306</v>
      </c>
      <c r="R117" s="80" t="s">
        <v>171</v>
      </c>
      <c r="S117" s="80">
        <v>0</v>
      </c>
      <c r="T117" s="82">
        <v>12</v>
      </c>
      <c r="U117" s="77"/>
      <c r="V117" s="75"/>
      <c r="W117" s="77"/>
      <c r="X117" s="77"/>
      <c r="Y117" s="77" t="s">
        <v>659</v>
      </c>
      <c r="Z117" s="77" t="s">
        <v>302</v>
      </c>
      <c r="AA117" s="83" t="s">
        <v>658</v>
      </c>
      <c r="AB117" s="104" t="str">
        <f>IFERROR(VLOOKUP(Anexo_4[[#This Row],[cuenta]],OP,2,0),"-")</f>
        <v>Transporte peajes - Servicios</v>
      </c>
    </row>
    <row r="118" spans="1:28" s="84" customFormat="1" ht="27" customHeight="1" x14ac:dyDescent="0.3">
      <c r="A118" s="75" t="s">
        <v>349</v>
      </c>
      <c r="B118" s="36" t="str">
        <f t="shared" si="1"/>
        <v>Junio</v>
      </c>
      <c r="C118" s="77" t="s">
        <v>162</v>
      </c>
      <c r="D118" s="77" t="s">
        <v>660</v>
      </c>
      <c r="E118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18" s="79" t="s">
        <v>175</v>
      </c>
      <c r="G118" s="79" t="s">
        <v>176</v>
      </c>
      <c r="H118" s="140" t="s">
        <v>661</v>
      </c>
      <c r="I118" s="77" t="s">
        <v>264</v>
      </c>
      <c r="J118" s="144" t="s">
        <v>265</v>
      </c>
      <c r="K118" s="77" t="s">
        <v>169</v>
      </c>
      <c r="L118" s="103" t="str">
        <f>VLOOKUP(Anexo_4[[#This Row],[cod_doc]],TIPODOC,2,FALSE)</f>
        <v>FACTURA</v>
      </c>
      <c r="M118" s="77" t="s">
        <v>271</v>
      </c>
      <c r="N118" s="79">
        <v>1754186</v>
      </c>
      <c r="O118" s="80">
        <v>10.17</v>
      </c>
      <c r="P118" s="81" t="s">
        <v>171</v>
      </c>
      <c r="Q118" s="81">
        <v>1.8306</v>
      </c>
      <c r="R118" s="80" t="s">
        <v>171</v>
      </c>
      <c r="S118" s="80">
        <v>0</v>
      </c>
      <c r="T118" s="82">
        <v>12</v>
      </c>
      <c r="U118" s="77"/>
      <c r="V118" s="75"/>
      <c r="W118" s="77"/>
      <c r="X118" s="77"/>
      <c r="Y118" s="77" t="s">
        <v>662</v>
      </c>
      <c r="Z118" s="77" t="s">
        <v>302</v>
      </c>
      <c r="AA118" s="83" t="s">
        <v>661</v>
      </c>
      <c r="AB118" s="104" t="str">
        <f>IFERROR(VLOOKUP(Anexo_4[[#This Row],[cuenta]],OP,2,0),"-")</f>
        <v>Transporte peajes - Servicios</v>
      </c>
    </row>
    <row r="119" spans="1:28" s="84" customFormat="1" ht="27" customHeight="1" x14ac:dyDescent="0.3">
      <c r="A119" s="75" t="s">
        <v>540</v>
      </c>
      <c r="B119" s="36" t="str">
        <f t="shared" si="1"/>
        <v>Junio</v>
      </c>
      <c r="C119" s="77" t="s">
        <v>162</v>
      </c>
      <c r="D119" s="77" t="s">
        <v>663</v>
      </c>
      <c r="E119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19" s="79" t="s">
        <v>175</v>
      </c>
      <c r="G119" s="79" t="s">
        <v>176</v>
      </c>
      <c r="H119" s="140" t="s">
        <v>664</v>
      </c>
      <c r="I119" s="77" t="s">
        <v>264</v>
      </c>
      <c r="J119" s="144" t="s">
        <v>265</v>
      </c>
      <c r="K119" s="77" t="s">
        <v>169</v>
      </c>
      <c r="L119" s="103" t="str">
        <f>VLOOKUP(Anexo_4[[#This Row],[cod_doc]],TIPODOC,2,FALSE)</f>
        <v>FACTURA</v>
      </c>
      <c r="M119" s="77" t="s">
        <v>379</v>
      </c>
      <c r="N119" s="79">
        <v>2078138</v>
      </c>
      <c r="O119" s="80">
        <v>10.17</v>
      </c>
      <c r="P119" s="81" t="s">
        <v>171</v>
      </c>
      <c r="Q119" s="81">
        <v>1.8306</v>
      </c>
      <c r="R119" s="80" t="s">
        <v>171</v>
      </c>
      <c r="S119" s="80">
        <v>0</v>
      </c>
      <c r="T119" s="82">
        <v>12</v>
      </c>
      <c r="U119" s="77"/>
      <c r="V119" s="75"/>
      <c r="W119" s="77"/>
      <c r="X119" s="77"/>
      <c r="Y119" s="77" t="s">
        <v>665</v>
      </c>
      <c r="Z119" s="77" t="s">
        <v>268</v>
      </c>
      <c r="AA119" s="83" t="s">
        <v>664</v>
      </c>
      <c r="AB119" s="104" t="str">
        <f>IFERROR(VLOOKUP(Anexo_4[[#This Row],[cuenta]],OP,2,0),"-")</f>
        <v>Transporte peajes - Ventas</v>
      </c>
    </row>
    <row r="120" spans="1:28" s="84" customFormat="1" ht="27" customHeight="1" x14ac:dyDescent="0.3">
      <c r="A120" s="75" t="s">
        <v>533</v>
      </c>
      <c r="B120" s="36" t="str">
        <f t="shared" si="1"/>
        <v>Junio</v>
      </c>
      <c r="C120" s="77" t="s">
        <v>162</v>
      </c>
      <c r="D120" s="77" t="s">
        <v>666</v>
      </c>
      <c r="E120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20" s="79" t="s">
        <v>418</v>
      </c>
      <c r="G120" s="79" t="s">
        <v>419</v>
      </c>
      <c r="H120" s="140" t="s">
        <v>667</v>
      </c>
      <c r="I120" s="77" t="s">
        <v>264</v>
      </c>
      <c r="J120" s="144" t="s">
        <v>265</v>
      </c>
      <c r="K120" s="77" t="s">
        <v>169</v>
      </c>
      <c r="L120" s="103" t="str">
        <f>VLOOKUP(Anexo_4[[#This Row],[cod_doc]],TIPODOC,2,FALSE)</f>
        <v>FACTURA</v>
      </c>
      <c r="M120" s="77" t="s">
        <v>279</v>
      </c>
      <c r="N120" s="79">
        <v>1070749</v>
      </c>
      <c r="O120" s="80">
        <v>10.17</v>
      </c>
      <c r="P120" s="81" t="s">
        <v>171</v>
      </c>
      <c r="Q120" s="81">
        <v>1.8306</v>
      </c>
      <c r="R120" s="80" t="s">
        <v>171</v>
      </c>
      <c r="S120" s="80">
        <v>0</v>
      </c>
      <c r="T120" s="82">
        <v>12</v>
      </c>
      <c r="U120" s="77"/>
      <c r="V120" s="75"/>
      <c r="W120" s="77"/>
      <c r="X120" s="77"/>
      <c r="Y120" s="77" t="s">
        <v>668</v>
      </c>
      <c r="Z120" s="77" t="s">
        <v>302</v>
      </c>
      <c r="AA120" s="83" t="s">
        <v>667</v>
      </c>
      <c r="AB120" s="104" t="str">
        <f>IFERROR(VLOOKUP(Anexo_4[[#This Row],[cuenta]],OP,2,0),"-")</f>
        <v>Transporte peajes - Servicios</v>
      </c>
    </row>
    <row r="121" spans="1:28" s="84" customFormat="1" ht="27" customHeight="1" x14ac:dyDescent="0.3">
      <c r="A121" s="75" t="s">
        <v>533</v>
      </c>
      <c r="B121" s="36" t="str">
        <f t="shared" si="1"/>
        <v>Junio</v>
      </c>
      <c r="C121" s="77" t="s">
        <v>162</v>
      </c>
      <c r="D121" s="77" t="s">
        <v>669</v>
      </c>
      <c r="E12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21" s="79" t="s">
        <v>391</v>
      </c>
      <c r="G121" s="79" t="s">
        <v>392</v>
      </c>
      <c r="H121" s="140" t="s">
        <v>670</v>
      </c>
      <c r="I121" s="77" t="s">
        <v>264</v>
      </c>
      <c r="J121" s="144" t="s">
        <v>265</v>
      </c>
      <c r="K121" s="77" t="s">
        <v>169</v>
      </c>
      <c r="L121" s="103" t="str">
        <f>VLOOKUP(Anexo_4[[#This Row],[cod_doc]],TIPODOC,2,FALSE)</f>
        <v>FACTURA</v>
      </c>
      <c r="M121" s="77" t="s">
        <v>271</v>
      </c>
      <c r="N121" s="79">
        <v>1754625</v>
      </c>
      <c r="O121" s="80">
        <v>6.78</v>
      </c>
      <c r="P121" s="81" t="s">
        <v>171</v>
      </c>
      <c r="Q121" s="81">
        <v>1.2203999999999999</v>
      </c>
      <c r="R121" s="80" t="s">
        <v>171</v>
      </c>
      <c r="S121" s="80">
        <v>0</v>
      </c>
      <c r="T121" s="82">
        <v>8</v>
      </c>
      <c r="U121" s="77"/>
      <c r="V121" s="75"/>
      <c r="W121" s="77"/>
      <c r="X121" s="77"/>
      <c r="Y121" s="77" t="s">
        <v>671</v>
      </c>
      <c r="Z121" s="77" t="s">
        <v>302</v>
      </c>
      <c r="AA121" s="83" t="s">
        <v>670</v>
      </c>
      <c r="AB121" s="104" t="str">
        <f>IFERROR(VLOOKUP(Anexo_4[[#This Row],[cuenta]],OP,2,0),"-")</f>
        <v>Transporte peajes - Servicios</v>
      </c>
    </row>
    <row r="122" spans="1:28" s="84" customFormat="1" ht="27" customHeight="1" x14ac:dyDescent="0.3">
      <c r="A122" s="75" t="s">
        <v>533</v>
      </c>
      <c r="B122" s="36" t="str">
        <f t="shared" si="1"/>
        <v>Junio</v>
      </c>
      <c r="C122" s="77" t="s">
        <v>162</v>
      </c>
      <c r="D122" s="77" t="s">
        <v>672</v>
      </c>
      <c r="E12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22" s="79" t="s">
        <v>391</v>
      </c>
      <c r="G122" s="79" t="s">
        <v>392</v>
      </c>
      <c r="H122" s="140" t="s">
        <v>673</v>
      </c>
      <c r="I122" s="77" t="s">
        <v>264</v>
      </c>
      <c r="J122" s="144" t="s">
        <v>265</v>
      </c>
      <c r="K122" s="77" t="s">
        <v>169</v>
      </c>
      <c r="L122" s="103" t="str">
        <f>VLOOKUP(Anexo_4[[#This Row],[cod_doc]],TIPODOC,2,FALSE)</f>
        <v>FACTURA</v>
      </c>
      <c r="M122" s="77" t="s">
        <v>352</v>
      </c>
      <c r="N122" s="79">
        <v>1774486</v>
      </c>
      <c r="O122" s="80">
        <v>6.78</v>
      </c>
      <c r="P122" s="81" t="s">
        <v>171</v>
      </c>
      <c r="Q122" s="81">
        <v>1.2203999999999999</v>
      </c>
      <c r="R122" s="80" t="s">
        <v>171</v>
      </c>
      <c r="S122" s="80">
        <v>0</v>
      </c>
      <c r="T122" s="82">
        <v>8</v>
      </c>
      <c r="U122" s="77"/>
      <c r="V122" s="75"/>
      <c r="W122" s="77"/>
      <c r="X122" s="77"/>
      <c r="Y122" s="77" t="s">
        <v>674</v>
      </c>
      <c r="Z122" s="77" t="s">
        <v>302</v>
      </c>
      <c r="AA122" s="83" t="s">
        <v>673</v>
      </c>
      <c r="AB122" s="104" t="str">
        <f>IFERROR(VLOOKUP(Anexo_4[[#This Row],[cuenta]],OP,2,0),"-")</f>
        <v>Transporte peajes - Servicios</v>
      </c>
    </row>
    <row r="123" spans="1:28" s="84" customFormat="1" ht="27" customHeight="1" x14ac:dyDescent="0.3">
      <c r="A123" s="75" t="s">
        <v>540</v>
      </c>
      <c r="B123" s="36" t="str">
        <f t="shared" si="1"/>
        <v>Junio</v>
      </c>
      <c r="C123" s="77" t="s">
        <v>162</v>
      </c>
      <c r="D123" s="77" t="s">
        <v>675</v>
      </c>
      <c r="E123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23" s="79" t="s">
        <v>391</v>
      </c>
      <c r="G123" s="79" t="s">
        <v>392</v>
      </c>
      <c r="H123" s="140" t="s">
        <v>676</v>
      </c>
      <c r="I123" s="77" t="s">
        <v>264</v>
      </c>
      <c r="J123" s="144" t="s">
        <v>265</v>
      </c>
      <c r="K123" s="77" t="s">
        <v>169</v>
      </c>
      <c r="L123" s="103" t="str">
        <f>VLOOKUP(Anexo_4[[#This Row],[cod_doc]],TIPODOC,2,FALSE)</f>
        <v>FACTURA</v>
      </c>
      <c r="M123" s="77" t="s">
        <v>352</v>
      </c>
      <c r="N123" s="79">
        <v>1775395</v>
      </c>
      <c r="O123" s="80">
        <v>6.78</v>
      </c>
      <c r="P123" s="81" t="s">
        <v>171</v>
      </c>
      <c r="Q123" s="81">
        <v>1.2203999999999999</v>
      </c>
      <c r="R123" s="80" t="s">
        <v>171</v>
      </c>
      <c r="S123" s="80">
        <v>0</v>
      </c>
      <c r="T123" s="82">
        <v>8</v>
      </c>
      <c r="U123" s="77"/>
      <c r="V123" s="75"/>
      <c r="W123" s="77"/>
      <c r="X123" s="77"/>
      <c r="Y123" s="77" t="s">
        <v>677</v>
      </c>
      <c r="Z123" s="77" t="s">
        <v>302</v>
      </c>
      <c r="AA123" s="83" t="s">
        <v>676</v>
      </c>
      <c r="AB123" s="104" t="str">
        <f>IFERROR(VLOOKUP(Anexo_4[[#This Row],[cuenta]],OP,2,0),"-")</f>
        <v>Transporte peajes - Servicios</v>
      </c>
    </row>
    <row r="124" spans="1:28" s="84" customFormat="1" ht="27" customHeight="1" x14ac:dyDescent="0.3">
      <c r="A124" s="75" t="s">
        <v>540</v>
      </c>
      <c r="B124" s="36" t="str">
        <f t="shared" si="1"/>
        <v>Junio</v>
      </c>
      <c r="C124" s="77" t="s">
        <v>162</v>
      </c>
      <c r="D124" s="77" t="s">
        <v>678</v>
      </c>
      <c r="E124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24" s="79" t="s">
        <v>391</v>
      </c>
      <c r="G124" s="79" t="s">
        <v>392</v>
      </c>
      <c r="H124" s="140" t="s">
        <v>679</v>
      </c>
      <c r="I124" s="77" t="s">
        <v>264</v>
      </c>
      <c r="J124" s="144" t="s">
        <v>265</v>
      </c>
      <c r="K124" s="77" t="s">
        <v>169</v>
      </c>
      <c r="L124" s="103" t="str">
        <f>VLOOKUP(Anexo_4[[#This Row],[cod_doc]],TIPODOC,2,FALSE)</f>
        <v>FACTURA</v>
      </c>
      <c r="M124" s="77" t="s">
        <v>271</v>
      </c>
      <c r="N124" s="79">
        <v>1755645</v>
      </c>
      <c r="O124" s="80">
        <v>6.78</v>
      </c>
      <c r="P124" s="81" t="s">
        <v>171</v>
      </c>
      <c r="Q124" s="81">
        <v>1.2203999999999999</v>
      </c>
      <c r="R124" s="80" t="s">
        <v>171</v>
      </c>
      <c r="S124" s="80">
        <v>0</v>
      </c>
      <c r="T124" s="82">
        <v>8</v>
      </c>
      <c r="U124" s="77"/>
      <c r="V124" s="75"/>
      <c r="W124" s="77"/>
      <c r="X124" s="77"/>
      <c r="Y124" s="77" t="s">
        <v>680</v>
      </c>
      <c r="Z124" s="77" t="s">
        <v>302</v>
      </c>
      <c r="AA124" s="83" t="s">
        <v>679</v>
      </c>
      <c r="AB124" s="104" t="str">
        <f>IFERROR(VLOOKUP(Anexo_4[[#This Row],[cuenta]],OP,2,0),"-")</f>
        <v>Transporte peajes - Servicios</v>
      </c>
    </row>
    <row r="125" spans="1:28" s="84" customFormat="1" ht="27" customHeight="1" x14ac:dyDescent="0.3">
      <c r="A125" s="75" t="s">
        <v>540</v>
      </c>
      <c r="B125" s="36" t="str">
        <f t="shared" si="1"/>
        <v>Junio</v>
      </c>
      <c r="C125" s="77" t="s">
        <v>162</v>
      </c>
      <c r="D125" s="77" t="s">
        <v>681</v>
      </c>
      <c r="E125" s="78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125" s="79" t="s">
        <v>198</v>
      </c>
      <c r="G125" s="79" t="s">
        <v>199</v>
      </c>
      <c r="H125" s="140" t="s">
        <v>633</v>
      </c>
      <c r="I125" s="77" t="s">
        <v>682</v>
      </c>
      <c r="J125" s="144" t="s">
        <v>683</v>
      </c>
      <c r="K125" s="77" t="s">
        <v>169</v>
      </c>
      <c r="L125" s="103" t="str">
        <f>VLOOKUP(Anexo_4[[#This Row],[cod_doc]],TIPODOC,2,FALSE)</f>
        <v>FACTURA</v>
      </c>
      <c r="M125" s="77" t="s">
        <v>222</v>
      </c>
      <c r="N125" s="79">
        <v>5118</v>
      </c>
      <c r="O125" s="80"/>
      <c r="P125" s="81">
        <v>61.82</v>
      </c>
      <c r="Q125" s="81">
        <v>0</v>
      </c>
      <c r="R125" s="80">
        <v>6.18</v>
      </c>
      <c r="S125" s="80">
        <v>0</v>
      </c>
      <c r="T125" s="82">
        <v>68</v>
      </c>
      <c r="U125" s="77"/>
      <c r="V125" s="75"/>
      <c r="W125" s="77"/>
      <c r="X125" s="77"/>
      <c r="Y125" s="77"/>
      <c r="Z125" s="77" t="s">
        <v>684</v>
      </c>
      <c r="AA125" s="83" t="s">
        <v>633</v>
      </c>
      <c r="AB125" s="104" t="str">
        <f>IFERROR(VLOOKUP(Anexo_4[[#This Row],[cuenta]],OP,2,0),"-")</f>
        <v>-</v>
      </c>
    </row>
    <row r="126" spans="1:28" s="84" customFormat="1" ht="27" customHeight="1" x14ac:dyDescent="0.3">
      <c r="A126" s="75" t="s">
        <v>685</v>
      </c>
      <c r="B126" s="36" t="str">
        <f t="shared" si="1"/>
        <v>Junio</v>
      </c>
      <c r="C126" s="77" t="s">
        <v>162</v>
      </c>
      <c r="D126" s="77" t="s">
        <v>686</v>
      </c>
      <c r="E12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26" s="79" t="s">
        <v>248</v>
      </c>
      <c r="G126" s="79" t="s">
        <v>249</v>
      </c>
      <c r="H126" s="140" t="s">
        <v>687</v>
      </c>
      <c r="I126" s="77" t="s">
        <v>688</v>
      </c>
      <c r="J126" s="144" t="s">
        <v>689</v>
      </c>
      <c r="K126" s="77" t="s">
        <v>169</v>
      </c>
      <c r="L126" s="103" t="str">
        <f>VLOOKUP(Anexo_4[[#This Row],[cod_doc]],TIPODOC,2,FALSE)</f>
        <v>FACTURA</v>
      </c>
      <c r="M126" s="77" t="s">
        <v>222</v>
      </c>
      <c r="N126" s="79">
        <v>1671</v>
      </c>
      <c r="O126" s="80">
        <v>54.41</v>
      </c>
      <c r="P126" s="81" t="s">
        <v>171</v>
      </c>
      <c r="Q126" s="81">
        <v>9.7937999999999992</v>
      </c>
      <c r="R126" s="80" t="s">
        <v>171</v>
      </c>
      <c r="S126" s="80">
        <v>0</v>
      </c>
      <c r="T126" s="82">
        <v>64.2</v>
      </c>
      <c r="U126" s="77" t="s">
        <v>690</v>
      </c>
      <c r="V126" s="75" t="s">
        <v>467</v>
      </c>
      <c r="W126" s="77"/>
      <c r="X126" s="77"/>
      <c r="Y126" s="77"/>
      <c r="Z126" s="77" t="s">
        <v>256</v>
      </c>
      <c r="AA126" s="83" t="s">
        <v>687</v>
      </c>
      <c r="AB126" s="104" t="str">
        <f>IFERROR(VLOOKUP(Anexo_4[[#This Row],[cuenta]],OP,2,0),"-")</f>
        <v>Materias Primas - RRSS</v>
      </c>
    </row>
    <row r="127" spans="1:28" s="84" customFormat="1" ht="27" customHeight="1" x14ac:dyDescent="0.3">
      <c r="A127" s="75" t="s">
        <v>215</v>
      </c>
      <c r="B127" s="36" t="str">
        <f t="shared" si="1"/>
        <v>Junio</v>
      </c>
      <c r="C127" s="77" t="s">
        <v>162</v>
      </c>
      <c r="D127" s="77" t="s">
        <v>691</v>
      </c>
      <c r="E127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27" s="79" t="s">
        <v>355</v>
      </c>
      <c r="G127" s="79" t="s">
        <v>356</v>
      </c>
      <c r="H127" s="140" t="s">
        <v>692</v>
      </c>
      <c r="I127" s="77" t="s">
        <v>464</v>
      </c>
      <c r="J127" s="144" t="s">
        <v>465</v>
      </c>
      <c r="K127" s="77" t="s">
        <v>169</v>
      </c>
      <c r="L127" s="103" t="str">
        <f>VLOOKUP(Anexo_4[[#This Row],[cod_doc]],TIPODOC,2,FALSE)</f>
        <v>FACTURA</v>
      </c>
      <c r="M127" s="77" t="s">
        <v>102</v>
      </c>
      <c r="N127" s="79">
        <v>2</v>
      </c>
      <c r="O127" s="80">
        <v>762.72</v>
      </c>
      <c r="P127" s="81" t="s">
        <v>171</v>
      </c>
      <c r="Q127" s="81">
        <v>137.28960000000001</v>
      </c>
      <c r="R127" s="80" t="s">
        <v>171</v>
      </c>
      <c r="S127" s="80">
        <v>0</v>
      </c>
      <c r="T127" s="82">
        <v>900.01</v>
      </c>
      <c r="U127" s="77" t="s">
        <v>693</v>
      </c>
      <c r="V127" s="75" t="s">
        <v>467</v>
      </c>
      <c r="W127" s="77"/>
      <c r="X127" s="77"/>
      <c r="Y127" s="77"/>
      <c r="Z127" s="77" t="s">
        <v>468</v>
      </c>
      <c r="AA127" s="83" t="s">
        <v>692</v>
      </c>
      <c r="AB127" s="104" t="str">
        <f>IFERROR(VLOOKUP(Anexo_4[[#This Row],[cuenta]],OP,2,0),"-")</f>
        <v>Transporte de Carga  - Ventas</v>
      </c>
    </row>
    <row r="128" spans="1:28" s="84" customFormat="1" ht="27" customHeight="1" x14ac:dyDescent="0.3">
      <c r="A128" s="75" t="s">
        <v>533</v>
      </c>
      <c r="B128" s="36" t="str">
        <f t="shared" si="1"/>
        <v>Junio</v>
      </c>
      <c r="C128" s="77" t="s">
        <v>162</v>
      </c>
      <c r="D128" s="77" t="s">
        <v>694</v>
      </c>
      <c r="E128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28" s="79"/>
      <c r="G128" s="79"/>
      <c r="H128" s="140"/>
      <c r="I128" s="77" t="s">
        <v>231</v>
      </c>
      <c r="J128" s="144" t="s">
        <v>232</v>
      </c>
      <c r="K128" s="77" t="s">
        <v>169</v>
      </c>
      <c r="L128" s="103" t="str">
        <f>VLOOKUP(Anexo_4[[#This Row],[cod_doc]],TIPODOC,2,FALSE)</f>
        <v>FACTURA</v>
      </c>
      <c r="M128" s="77" t="s">
        <v>102</v>
      </c>
      <c r="N128" s="79" t="s">
        <v>695</v>
      </c>
      <c r="O128" s="80">
        <v>1601.69</v>
      </c>
      <c r="P128" s="81" t="s">
        <v>171</v>
      </c>
      <c r="Q128" s="81">
        <v>288.31</v>
      </c>
      <c r="R128" s="80" t="s">
        <v>171</v>
      </c>
      <c r="S128" s="80">
        <v>0</v>
      </c>
      <c r="T128" s="82">
        <v>1890</v>
      </c>
      <c r="U128" s="77"/>
      <c r="V128" s="75"/>
      <c r="W128" s="77"/>
      <c r="X128" s="77"/>
      <c r="Y128" s="77"/>
      <c r="Z128" s="77"/>
      <c r="AA128" s="83"/>
      <c r="AB128" s="104" t="str">
        <f>IFERROR(VLOOKUP(Anexo_4[[#This Row],[cuenta]],OP,2,0),"-")</f>
        <v>-</v>
      </c>
    </row>
    <row r="129" spans="1:28" s="84" customFormat="1" ht="27" customHeight="1" x14ac:dyDescent="0.3">
      <c r="A129" s="75" t="s">
        <v>533</v>
      </c>
      <c r="B129" s="36" t="str">
        <f t="shared" si="1"/>
        <v>Junio</v>
      </c>
      <c r="C129" s="77" t="s">
        <v>162</v>
      </c>
      <c r="D129" s="77" t="s">
        <v>696</v>
      </c>
      <c r="E129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29" s="79"/>
      <c r="G129" s="79"/>
      <c r="H129" s="140"/>
      <c r="I129" s="77" t="s">
        <v>231</v>
      </c>
      <c r="J129" s="144" t="s">
        <v>232</v>
      </c>
      <c r="K129" s="77" t="s">
        <v>169</v>
      </c>
      <c r="L129" s="103" t="str">
        <f>VLOOKUP(Anexo_4[[#This Row],[cod_doc]],TIPODOC,2,FALSE)</f>
        <v>FACTURA</v>
      </c>
      <c r="M129" s="77" t="s">
        <v>102</v>
      </c>
      <c r="N129" s="79" t="s">
        <v>697</v>
      </c>
      <c r="O129" s="80">
        <v>40.68</v>
      </c>
      <c r="P129" s="81" t="s">
        <v>171</v>
      </c>
      <c r="Q129" s="81">
        <v>7.32</v>
      </c>
      <c r="R129" s="80" t="s">
        <v>171</v>
      </c>
      <c r="S129" s="80">
        <v>0</v>
      </c>
      <c r="T129" s="82">
        <v>48</v>
      </c>
      <c r="U129" s="77"/>
      <c r="V129" s="75"/>
      <c r="W129" s="77"/>
      <c r="X129" s="77"/>
      <c r="Y129" s="77"/>
      <c r="Z129" s="77"/>
      <c r="AA129" s="83"/>
      <c r="AB129" s="104" t="str">
        <f>IFERROR(VLOOKUP(Anexo_4[[#This Row],[cuenta]],OP,2,0),"-")</f>
        <v>-</v>
      </c>
    </row>
    <row r="130" spans="1:28" s="84" customFormat="1" ht="27" customHeight="1" x14ac:dyDescent="0.3">
      <c r="A130" s="75" t="s">
        <v>533</v>
      </c>
      <c r="B130" s="36" t="str">
        <f t="shared" ref="B130:B193" si="2">PROPER(CHOOSE(LEFT(D130,2),"enero","febrero","marzo","abril","mayo","junio","julio","agosto","setiembre","octubre","noviembre","diciembre"))</f>
        <v>Junio</v>
      </c>
      <c r="C130" s="77" t="s">
        <v>162</v>
      </c>
      <c r="D130" s="77" t="s">
        <v>698</v>
      </c>
      <c r="E130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30" s="79"/>
      <c r="G130" s="79"/>
      <c r="H130" s="140"/>
      <c r="I130" s="77" t="s">
        <v>699</v>
      </c>
      <c r="J130" s="144" t="s">
        <v>700</v>
      </c>
      <c r="K130" s="77" t="s">
        <v>169</v>
      </c>
      <c r="L130" s="103" t="str">
        <f>VLOOKUP(Anexo_4[[#This Row],[cod_doc]],TIPODOC,2,FALSE)</f>
        <v>FACTURA</v>
      </c>
      <c r="M130" s="77" t="s">
        <v>102</v>
      </c>
      <c r="N130" s="79" t="s">
        <v>701</v>
      </c>
      <c r="O130" s="80">
        <v>77.97</v>
      </c>
      <c r="P130" s="81" t="s">
        <v>171</v>
      </c>
      <c r="Q130" s="81">
        <v>14.03</v>
      </c>
      <c r="R130" s="80" t="s">
        <v>171</v>
      </c>
      <c r="S130" s="80">
        <v>0</v>
      </c>
      <c r="T130" s="82">
        <v>92</v>
      </c>
      <c r="U130" s="77"/>
      <c r="V130" s="75"/>
      <c r="W130" s="77"/>
      <c r="X130" s="77"/>
      <c r="Y130" s="77"/>
      <c r="Z130" s="77"/>
      <c r="AA130" s="83"/>
      <c r="AB130" s="104" t="str">
        <f>IFERROR(VLOOKUP(Anexo_4[[#This Row],[cuenta]],OP,2,0),"-")</f>
        <v>-</v>
      </c>
    </row>
    <row r="131" spans="1:28" s="84" customFormat="1" ht="27" customHeight="1" x14ac:dyDescent="0.3">
      <c r="A131" s="75" t="s">
        <v>533</v>
      </c>
      <c r="B131" s="36" t="str">
        <f t="shared" si="2"/>
        <v>Junio</v>
      </c>
      <c r="C131" s="77" t="s">
        <v>162</v>
      </c>
      <c r="D131" s="77" t="s">
        <v>702</v>
      </c>
      <c r="E13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31" s="79" t="s">
        <v>456</v>
      </c>
      <c r="G131" s="79" t="s">
        <v>457</v>
      </c>
      <c r="H131" s="140" t="s">
        <v>703</v>
      </c>
      <c r="I131" s="77" t="s">
        <v>704</v>
      </c>
      <c r="J131" s="144" t="s">
        <v>705</v>
      </c>
      <c r="K131" s="77" t="s">
        <v>169</v>
      </c>
      <c r="L131" s="103" t="str">
        <f>VLOOKUP(Anexo_4[[#This Row],[cod_doc]],TIPODOC,2,FALSE)</f>
        <v>FACTURA</v>
      </c>
      <c r="M131" s="77" t="s">
        <v>222</v>
      </c>
      <c r="N131" s="79">
        <v>3036</v>
      </c>
      <c r="O131" s="80">
        <v>194.92</v>
      </c>
      <c r="P131" s="81" t="s">
        <v>171</v>
      </c>
      <c r="Q131" s="81">
        <v>35.085599999999999</v>
      </c>
      <c r="R131" s="80" t="s">
        <v>171</v>
      </c>
      <c r="S131" s="80">
        <v>0</v>
      </c>
      <c r="T131" s="82">
        <v>230</v>
      </c>
      <c r="U131" s="77"/>
      <c r="V131" s="75"/>
      <c r="W131" s="77"/>
      <c r="X131" s="77"/>
      <c r="Y131" s="77"/>
      <c r="Z131" s="77" t="s">
        <v>507</v>
      </c>
      <c r="AA131" s="83" t="s">
        <v>703</v>
      </c>
      <c r="AB131" s="104" t="str">
        <f>IFERROR(VLOOKUP(Anexo_4[[#This Row],[cuenta]],OP,2,0),"-")</f>
        <v>Transporte lavado (Higienización)</v>
      </c>
    </row>
    <row r="132" spans="1:28" s="84" customFormat="1" ht="27" customHeight="1" x14ac:dyDescent="0.3">
      <c r="A132" s="75" t="s">
        <v>540</v>
      </c>
      <c r="B132" s="36" t="str">
        <f t="shared" si="2"/>
        <v>Junio</v>
      </c>
      <c r="C132" s="77" t="s">
        <v>162</v>
      </c>
      <c r="D132" s="77" t="s">
        <v>706</v>
      </c>
      <c r="E13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32" s="79" t="s">
        <v>456</v>
      </c>
      <c r="G132" s="79" t="s">
        <v>457</v>
      </c>
      <c r="H132" s="140" t="s">
        <v>707</v>
      </c>
      <c r="I132" s="77" t="s">
        <v>708</v>
      </c>
      <c r="J132" s="144" t="s">
        <v>709</v>
      </c>
      <c r="K132" s="77" t="s">
        <v>169</v>
      </c>
      <c r="L132" s="103" t="str">
        <f>VLOOKUP(Anexo_4[[#This Row],[cod_doc]],TIPODOC,2,FALSE)</f>
        <v>FACTURA</v>
      </c>
      <c r="M132" s="77" t="s">
        <v>222</v>
      </c>
      <c r="N132" s="79">
        <v>2120</v>
      </c>
      <c r="O132" s="80">
        <v>508.47</v>
      </c>
      <c r="P132" s="81" t="s">
        <v>171</v>
      </c>
      <c r="Q132" s="81">
        <v>91.524600000000007</v>
      </c>
      <c r="R132" s="80" t="s">
        <v>171</v>
      </c>
      <c r="S132" s="80">
        <v>0</v>
      </c>
      <c r="T132" s="82">
        <v>600</v>
      </c>
      <c r="U132" s="77"/>
      <c r="V132" s="75"/>
      <c r="W132" s="77"/>
      <c r="X132" s="77"/>
      <c r="Y132" s="77"/>
      <c r="Z132" s="77" t="s">
        <v>710</v>
      </c>
      <c r="AA132" s="83" t="s">
        <v>707</v>
      </c>
      <c r="AB132" s="104" t="str">
        <f>IFERROR(VLOOKUP(Anexo_4[[#This Row],[cuenta]],OP,2,0),"-")</f>
        <v>Accesorios Vehiculares</v>
      </c>
    </row>
    <row r="133" spans="1:28" s="84" customFormat="1" ht="27" customHeight="1" x14ac:dyDescent="0.3">
      <c r="A133" s="75" t="s">
        <v>316</v>
      </c>
      <c r="B133" s="36" t="str">
        <f t="shared" si="2"/>
        <v>Junio</v>
      </c>
      <c r="C133" s="77" t="s">
        <v>162</v>
      </c>
      <c r="D133" s="77" t="s">
        <v>711</v>
      </c>
      <c r="E133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33" s="79" t="s">
        <v>248</v>
      </c>
      <c r="G133" s="79" t="s">
        <v>249</v>
      </c>
      <c r="H133" s="140" t="s">
        <v>712</v>
      </c>
      <c r="I133" s="77" t="s">
        <v>625</v>
      </c>
      <c r="J133" s="144" t="s">
        <v>626</v>
      </c>
      <c r="K133" s="77" t="s">
        <v>169</v>
      </c>
      <c r="L133" s="103" t="str">
        <f>VLOOKUP(Anexo_4[[#This Row],[cod_doc]],TIPODOC,2,FALSE)</f>
        <v>FACTURA</v>
      </c>
      <c r="M133" s="77" t="s">
        <v>180</v>
      </c>
      <c r="N133" s="79">
        <v>16247</v>
      </c>
      <c r="O133" s="80">
        <v>348.29</v>
      </c>
      <c r="P133" s="81" t="s">
        <v>171</v>
      </c>
      <c r="Q133" s="81">
        <v>62.6922</v>
      </c>
      <c r="R133" s="80" t="s">
        <v>171</v>
      </c>
      <c r="S133" s="80">
        <v>0</v>
      </c>
      <c r="T133" s="82">
        <v>410.98</v>
      </c>
      <c r="U133" s="77" t="s">
        <v>713</v>
      </c>
      <c r="V133" s="75" t="s">
        <v>467</v>
      </c>
      <c r="W133" s="77"/>
      <c r="X133" s="77"/>
      <c r="Y133" s="77"/>
      <c r="Z133" s="77" t="s">
        <v>256</v>
      </c>
      <c r="AA133" s="83" t="s">
        <v>712</v>
      </c>
      <c r="AB133" s="104" t="str">
        <f>IFERROR(VLOOKUP(Anexo_4[[#This Row],[cuenta]],OP,2,0),"-")</f>
        <v>Materias Primas - RRSS</v>
      </c>
    </row>
    <row r="134" spans="1:28" s="84" customFormat="1" ht="27" customHeight="1" x14ac:dyDescent="0.3">
      <c r="A134" s="75" t="s">
        <v>316</v>
      </c>
      <c r="B134" s="36" t="str">
        <f t="shared" si="2"/>
        <v>Junio</v>
      </c>
      <c r="C134" s="77" t="s">
        <v>162</v>
      </c>
      <c r="D134" s="77" t="s">
        <v>714</v>
      </c>
      <c r="E134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34" s="79" t="s">
        <v>248</v>
      </c>
      <c r="G134" s="79" t="s">
        <v>249</v>
      </c>
      <c r="H134" s="140" t="s">
        <v>715</v>
      </c>
      <c r="I134" s="77" t="s">
        <v>625</v>
      </c>
      <c r="J134" s="144" t="s">
        <v>626</v>
      </c>
      <c r="K134" s="77" t="s">
        <v>169</v>
      </c>
      <c r="L134" s="103" t="str">
        <f>VLOOKUP(Anexo_4[[#This Row],[cod_doc]],TIPODOC,2,FALSE)</f>
        <v>FACTURA</v>
      </c>
      <c r="M134" s="77" t="s">
        <v>180</v>
      </c>
      <c r="N134" s="79">
        <v>16242</v>
      </c>
      <c r="O134" s="80">
        <v>182.85</v>
      </c>
      <c r="P134" s="81" t="s">
        <v>171</v>
      </c>
      <c r="Q134" s="81">
        <v>32.912999999999997</v>
      </c>
      <c r="R134" s="80" t="s">
        <v>171</v>
      </c>
      <c r="S134" s="80">
        <v>0</v>
      </c>
      <c r="T134" s="82">
        <v>215.76</v>
      </c>
      <c r="U134" s="77" t="s">
        <v>716</v>
      </c>
      <c r="V134" s="75" t="s">
        <v>467</v>
      </c>
      <c r="W134" s="77"/>
      <c r="X134" s="77"/>
      <c r="Y134" s="77"/>
      <c r="Z134" s="77" t="s">
        <v>256</v>
      </c>
      <c r="AA134" s="83" t="s">
        <v>715</v>
      </c>
      <c r="AB134" s="104" t="str">
        <f>IFERROR(VLOOKUP(Anexo_4[[#This Row],[cuenta]],OP,2,0),"-")</f>
        <v>Materias Primas - RRSS</v>
      </c>
    </row>
    <row r="135" spans="1:28" s="84" customFormat="1" ht="27" customHeight="1" x14ac:dyDescent="0.3">
      <c r="A135" s="75" t="s">
        <v>349</v>
      </c>
      <c r="B135" s="36" t="str">
        <f t="shared" si="2"/>
        <v>Junio</v>
      </c>
      <c r="C135" s="77" t="s">
        <v>162</v>
      </c>
      <c r="D135" s="77" t="s">
        <v>717</v>
      </c>
      <c r="E13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35" s="79" t="s">
        <v>248</v>
      </c>
      <c r="G135" s="79" t="s">
        <v>249</v>
      </c>
      <c r="H135" s="140" t="s">
        <v>718</v>
      </c>
      <c r="I135" s="77" t="s">
        <v>625</v>
      </c>
      <c r="J135" s="144" t="s">
        <v>626</v>
      </c>
      <c r="K135" s="77" t="s">
        <v>169</v>
      </c>
      <c r="L135" s="103" t="str">
        <f>VLOOKUP(Anexo_4[[#This Row],[cod_doc]],TIPODOC,2,FALSE)</f>
        <v>FACTURA</v>
      </c>
      <c r="M135" s="77" t="s">
        <v>180</v>
      </c>
      <c r="N135" s="79">
        <v>16253</v>
      </c>
      <c r="O135" s="80">
        <v>265.06</v>
      </c>
      <c r="P135" s="81" t="s">
        <v>171</v>
      </c>
      <c r="Q135" s="81">
        <v>47.710799999999999</v>
      </c>
      <c r="R135" s="80" t="s">
        <v>171</v>
      </c>
      <c r="S135" s="80">
        <v>0</v>
      </c>
      <c r="T135" s="82">
        <v>312.77999999999997</v>
      </c>
      <c r="U135" s="77" t="s">
        <v>719</v>
      </c>
      <c r="V135" s="75" t="s">
        <v>467</v>
      </c>
      <c r="W135" s="77"/>
      <c r="X135" s="77"/>
      <c r="Y135" s="77"/>
      <c r="Z135" s="77" t="s">
        <v>256</v>
      </c>
      <c r="AA135" s="83" t="s">
        <v>718</v>
      </c>
      <c r="AB135" s="104" t="str">
        <f>IFERROR(VLOOKUP(Anexo_4[[#This Row],[cuenta]],OP,2,0),"-")</f>
        <v>Materias Primas - RRSS</v>
      </c>
    </row>
    <row r="136" spans="1:28" s="84" customFormat="1" ht="27" customHeight="1" x14ac:dyDescent="0.3">
      <c r="A136" s="75" t="s">
        <v>685</v>
      </c>
      <c r="B136" s="36" t="str">
        <f t="shared" si="2"/>
        <v>Junio</v>
      </c>
      <c r="C136" s="77" t="s">
        <v>162</v>
      </c>
      <c r="D136" s="77" t="s">
        <v>720</v>
      </c>
      <c r="E13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36" s="79" t="s">
        <v>175</v>
      </c>
      <c r="G136" s="79" t="s">
        <v>176</v>
      </c>
      <c r="H136" s="140" t="s">
        <v>721</v>
      </c>
      <c r="I136" s="77" t="s">
        <v>264</v>
      </c>
      <c r="J136" s="144" t="s">
        <v>265</v>
      </c>
      <c r="K136" s="77" t="s">
        <v>169</v>
      </c>
      <c r="L136" s="103" t="str">
        <f>VLOOKUP(Anexo_4[[#This Row],[cod_doc]],TIPODOC,2,FALSE)</f>
        <v>FACTURA</v>
      </c>
      <c r="M136" s="77" t="s">
        <v>275</v>
      </c>
      <c r="N136" s="79">
        <v>981933</v>
      </c>
      <c r="O136" s="80">
        <v>10.17</v>
      </c>
      <c r="P136" s="81" t="s">
        <v>171</v>
      </c>
      <c r="Q136" s="81">
        <v>1.8306</v>
      </c>
      <c r="R136" s="80" t="s">
        <v>171</v>
      </c>
      <c r="S136" s="80">
        <v>0</v>
      </c>
      <c r="T136" s="82">
        <v>12</v>
      </c>
      <c r="U136" s="77"/>
      <c r="V136" s="75"/>
      <c r="W136" s="77"/>
      <c r="X136" s="77"/>
      <c r="Y136" s="77" t="s">
        <v>722</v>
      </c>
      <c r="Z136" s="77" t="s">
        <v>302</v>
      </c>
      <c r="AA136" s="83" t="s">
        <v>721</v>
      </c>
      <c r="AB136" s="104" t="str">
        <f>IFERROR(VLOOKUP(Anexo_4[[#This Row],[cuenta]],OP,2,0),"-")</f>
        <v>Transporte peajes - Servicios</v>
      </c>
    </row>
    <row r="137" spans="1:28" s="84" customFormat="1" ht="27" customHeight="1" x14ac:dyDescent="0.3">
      <c r="A137" s="75" t="s">
        <v>685</v>
      </c>
      <c r="B137" s="36" t="str">
        <f t="shared" si="2"/>
        <v>Junio</v>
      </c>
      <c r="C137" s="77" t="s">
        <v>162</v>
      </c>
      <c r="D137" s="77" t="s">
        <v>723</v>
      </c>
      <c r="E137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37" s="79" t="s">
        <v>175</v>
      </c>
      <c r="G137" s="79" t="s">
        <v>176</v>
      </c>
      <c r="H137" s="140" t="s">
        <v>724</v>
      </c>
      <c r="I137" s="77" t="s">
        <v>264</v>
      </c>
      <c r="J137" s="144" t="s">
        <v>265</v>
      </c>
      <c r="K137" s="77" t="s">
        <v>169</v>
      </c>
      <c r="L137" s="103" t="str">
        <f>VLOOKUP(Anexo_4[[#This Row],[cod_doc]],TIPODOC,2,FALSE)</f>
        <v>FACTURA</v>
      </c>
      <c r="M137" s="77" t="s">
        <v>271</v>
      </c>
      <c r="N137" s="79">
        <v>1756688</v>
      </c>
      <c r="O137" s="80">
        <v>10.17</v>
      </c>
      <c r="P137" s="81" t="s">
        <v>171</v>
      </c>
      <c r="Q137" s="81">
        <v>1.8306</v>
      </c>
      <c r="R137" s="80" t="s">
        <v>171</v>
      </c>
      <c r="S137" s="80">
        <v>0</v>
      </c>
      <c r="T137" s="82">
        <v>12</v>
      </c>
      <c r="U137" s="77"/>
      <c r="V137" s="75"/>
      <c r="W137" s="77"/>
      <c r="X137" s="77"/>
      <c r="Y137" s="77" t="s">
        <v>725</v>
      </c>
      <c r="Z137" s="77" t="s">
        <v>302</v>
      </c>
      <c r="AA137" s="83" t="s">
        <v>724</v>
      </c>
      <c r="AB137" s="104" t="str">
        <f>IFERROR(VLOOKUP(Anexo_4[[#This Row],[cuenta]],OP,2,0),"-")</f>
        <v>Transporte peajes - Servicios</v>
      </c>
    </row>
    <row r="138" spans="1:28" s="84" customFormat="1" ht="27" customHeight="1" x14ac:dyDescent="0.3">
      <c r="A138" s="75" t="s">
        <v>540</v>
      </c>
      <c r="B138" s="36" t="str">
        <f t="shared" si="2"/>
        <v>Junio</v>
      </c>
      <c r="C138" s="77" t="s">
        <v>162</v>
      </c>
      <c r="D138" s="77" t="s">
        <v>726</v>
      </c>
      <c r="E138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38" s="79" t="s">
        <v>235</v>
      </c>
      <c r="G138" s="79" t="s">
        <v>236</v>
      </c>
      <c r="H138" s="140" t="s">
        <v>727</v>
      </c>
      <c r="I138" s="77" t="s">
        <v>264</v>
      </c>
      <c r="J138" s="144" t="s">
        <v>265</v>
      </c>
      <c r="K138" s="77" t="s">
        <v>169</v>
      </c>
      <c r="L138" s="103" t="str">
        <f>VLOOKUP(Anexo_4[[#This Row],[cod_doc]],TIPODOC,2,FALSE)</f>
        <v>FACTURA</v>
      </c>
      <c r="M138" s="77" t="s">
        <v>271</v>
      </c>
      <c r="N138" s="79">
        <v>1755714</v>
      </c>
      <c r="O138" s="80">
        <v>3.39</v>
      </c>
      <c r="P138" s="81" t="s">
        <v>171</v>
      </c>
      <c r="Q138" s="81">
        <v>0.61019999999999996</v>
      </c>
      <c r="R138" s="80" t="s">
        <v>171</v>
      </c>
      <c r="S138" s="80">
        <v>0</v>
      </c>
      <c r="T138" s="82">
        <v>8</v>
      </c>
      <c r="U138" s="77"/>
      <c r="V138" s="75"/>
      <c r="W138" s="77"/>
      <c r="X138" s="77"/>
      <c r="Y138" s="77" t="s">
        <v>728</v>
      </c>
      <c r="Z138" s="77" t="s">
        <v>302</v>
      </c>
      <c r="AA138" s="83" t="s">
        <v>727</v>
      </c>
      <c r="AB138" s="104" t="str">
        <f>IFERROR(VLOOKUP(Anexo_4[[#This Row],[cuenta]],OP,2,0),"-")</f>
        <v>Transporte peajes - Servicios</v>
      </c>
    </row>
    <row r="139" spans="1:28" s="84" customFormat="1" ht="27" customHeight="1" x14ac:dyDescent="0.3">
      <c r="A139" s="75" t="s">
        <v>540</v>
      </c>
      <c r="B139" s="36" t="str">
        <f t="shared" si="2"/>
        <v>Junio</v>
      </c>
      <c r="C139" s="77" t="s">
        <v>162</v>
      </c>
      <c r="D139" s="77" t="s">
        <v>726</v>
      </c>
      <c r="E139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39" s="79" t="s">
        <v>235</v>
      </c>
      <c r="G139" s="79" t="s">
        <v>236</v>
      </c>
      <c r="H139" s="140" t="s">
        <v>727</v>
      </c>
      <c r="I139" s="77" t="s">
        <v>264</v>
      </c>
      <c r="J139" s="144" t="s">
        <v>265</v>
      </c>
      <c r="K139" s="77" t="s">
        <v>169</v>
      </c>
      <c r="L139" s="103" t="str">
        <f>VLOOKUP(Anexo_4[[#This Row],[cod_doc]],TIPODOC,2,FALSE)</f>
        <v>FACTURA</v>
      </c>
      <c r="M139" s="77" t="s">
        <v>271</v>
      </c>
      <c r="N139" s="79">
        <v>1755714</v>
      </c>
      <c r="O139" s="80">
        <v>3.39</v>
      </c>
      <c r="P139" s="81" t="s">
        <v>171</v>
      </c>
      <c r="Q139" s="81">
        <v>0.61019999999999996</v>
      </c>
      <c r="R139" s="80" t="s">
        <v>171</v>
      </c>
      <c r="S139" s="80">
        <v>0</v>
      </c>
      <c r="T139" s="82">
        <v>8</v>
      </c>
      <c r="U139" s="77"/>
      <c r="V139" s="75"/>
      <c r="W139" s="77"/>
      <c r="X139" s="77"/>
      <c r="Y139" s="77" t="s">
        <v>728</v>
      </c>
      <c r="Z139" s="77" t="s">
        <v>268</v>
      </c>
      <c r="AA139" s="83" t="s">
        <v>727</v>
      </c>
      <c r="AB139" s="104" t="str">
        <f>IFERROR(VLOOKUP(Anexo_4[[#This Row],[cuenta]],OP,2,0),"-")</f>
        <v>Transporte peajes - Ventas</v>
      </c>
    </row>
    <row r="140" spans="1:28" s="84" customFormat="1" ht="27" customHeight="1" x14ac:dyDescent="0.3">
      <c r="A140" s="75" t="s">
        <v>685</v>
      </c>
      <c r="B140" s="36" t="str">
        <f t="shared" si="2"/>
        <v>Junio</v>
      </c>
      <c r="C140" s="77" t="s">
        <v>162</v>
      </c>
      <c r="D140" s="77" t="s">
        <v>729</v>
      </c>
      <c r="E140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40" s="79" t="s">
        <v>175</v>
      </c>
      <c r="G140" s="79" t="s">
        <v>176</v>
      </c>
      <c r="H140" s="140" t="s">
        <v>730</v>
      </c>
      <c r="I140" s="77" t="s">
        <v>264</v>
      </c>
      <c r="J140" s="144" t="s">
        <v>265</v>
      </c>
      <c r="K140" s="77" t="s">
        <v>169</v>
      </c>
      <c r="L140" s="103" t="str">
        <f>VLOOKUP(Anexo_4[[#This Row],[cod_doc]],TIPODOC,2,FALSE)</f>
        <v>FACTURA</v>
      </c>
      <c r="M140" s="77" t="s">
        <v>279</v>
      </c>
      <c r="N140" s="79">
        <v>1072069</v>
      </c>
      <c r="O140" s="80">
        <v>10.17</v>
      </c>
      <c r="P140" s="81" t="s">
        <v>171</v>
      </c>
      <c r="Q140" s="81">
        <v>1.8306</v>
      </c>
      <c r="R140" s="80" t="s">
        <v>171</v>
      </c>
      <c r="S140" s="80">
        <v>0</v>
      </c>
      <c r="T140" s="82">
        <v>12</v>
      </c>
      <c r="U140" s="77"/>
      <c r="V140" s="75"/>
      <c r="W140" s="77"/>
      <c r="X140" s="77"/>
      <c r="Y140" s="77" t="s">
        <v>731</v>
      </c>
      <c r="Z140" s="77" t="s">
        <v>302</v>
      </c>
      <c r="AA140" s="83" t="s">
        <v>730</v>
      </c>
      <c r="AB140" s="104" t="str">
        <f>IFERROR(VLOOKUP(Anexo_4[[#This Row],[cuenta]],OP,2,0),"-")</f>
        <v>Transporte peajes - Servicios</v>
      </c>
    </row>
    <row r="141" spans="1:28" s="84" customFormat="1" ht="27" customHeight="1" x14ac:dyDescent="0.3">
      <c r="A141" s="75" t="s">
        <v>540</v>
      </c>
      <c r="B141" s="36" t="str">
        <f t="shared" si="2"/>
        <v>Junio</v>
      </c>
      <c r="C141" s="77" t="s">
        <v>162</v>
      </c>
      <c r="D141" s="77" t="s">
        <v>732</v>
      </c>
      <c r="E14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41" s="79" t="s">
        <v>235</v>
      </c>
      <c r="G141" s="79" t="s">
        <v>236</v>
      </c>
      <c r="H141" s="140" t="s">
        <v>733</v>
      </c>
      <c r="I141" s="77" t="s">
        <v>383</v>
      </c>
      <c r="J141" s="144" t="s">
        <v>384</v>
      </c>
      <c r="K141" s="77" t="s">
        <v>169</v>
      </c>
      <c r="L141" s="103" t="str">
        <f>VLOOKUP(Anexo_4[[#This Row],[cod_doc]],TIPODOC,2,FALSE)</f>
        <v>FACTURA</v>
      </c>
      <c r="M141" s="77" t="s">
        <v>103</v>
      </c>
      <c r="N141" s="79">
        <v>16628</v>
      </c>
      <c r="O141" s="80">
        <v>8.48</v>
      </c>
      <c r="P141" s="81" t="s">
        <v>171</v>
      </c>
      <c r="Q141" s="81">
        <v>1.5264</v>
      </c>
      <c r="R141" s="80" t="s">
        <v>171</v>
      </c>
      <c r="S141" s="80">
        <v>0</v>
      </c>
      <c r="T141" s="82">
        <v>20</v>
      </c>
      <c r="U141" s="77"/>
      <c r="V141" s="75"/>
      <c r="W141" s="77"/>
      <c r="X141" s="77"/>
      <c r="Y141" s="77" t="s">
        <v>734</v>
      </c>
      <c r="Z141" s="77" t="s">
        <v>386</v>
      </c>
      <c r="AA141" s="83" t="s">
        <v>733</v>
      </c>
      <c r="AB141" s="104" t="str">
        <f>IFERROR(VLOOKUP(Anexo_4[[#This Row],[cuenta]],OP,2,0),"-")</f>
        <v>Balanza - Servicios</v>
      </c>
    </row>
    <row r="142" spans="1:28" s="84" customFormat="1" ht="27" customHeight="1" x14ac:dyDescent="0.3">
      <c r="A142" s="75" t="s">
        <v>540</v>
      </c>
      <c r="B142" s="36" t="str">
        <f t="shared" si="2"/>
        <v>Junio</v>
      </c>
      <c r="C142" s="77" t="s">
        <v>162</v>
      </c>
      <c r="D142" s="77" t="s">
        <v>732</v>
      </c>
      <c r="E14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42" s="79" t="s">
        <v>235</v>
      </c>
      <c r="G142" s="79" t="s">
        <v>236</v>
      </c>
      <c r="H142" s="140" t="s">
        <v>733</v>
      </c>
      <c r="I142" s="77" t="s">
        <v>383</v>
      </c>
      <c r="J142" s="144" t="s">
        <v>384</v>
      </c>
      <c r="K142" s="77" t="s">
        <v>169</v>
      </c>
      <c r="L142" s="103" t="str">
        <f>VLOOKUP(Anexo_4[[#This Row],[cod_doc]],TIPODOC,2,FALSE)</f>
        <v>FACTURA</v>
      </c>
      <c r="M142" s="77" t="s">
        <v>103</v>
      </c>
      <c r="N142" s="79">
        <v>16628</v>
      </c>
      <c r="O142" s="80">
        <v>8.4700000000000006</v>
      </c>
      <c r="P142" s="81" t="s">
        <v>171</v>
      </c>
      <c r="Q142" s="81">
        <v>1.5246</v>
      </c>
      <c r="R142" s="80" t="s">
        <v>171</v>
      </c>
      <c r="S142" s="80">
        <v>0</v>
      </c>
      <c r="T142" s="82">
        <v>20</v>
      </c>
      <c r="U142" s="77"/>
      <c r="V142" s="75"/>
      <c r="W142" s="77"/>
      <c r="X142" s="77"/>
      <c r="Y142" s="77" t="s">
        <v>734</v>
      </c>
      <c r="Z142" s="77" t="s">
        <v>182</v>
      </c>
      <c r="AA142" s="83" t="s">
        <v>733</v>
      </c>
      <c r="AB142" s="104" t="str">
        <f>IFERROR(VLOOKUP(Anexo_4[[#This Row],[cuenta]],OP,2,0),"-")</f>
        <v>Balanza - Ventas</v>
      </c>
    </row>
    <row r="143" spans="1:28" s="84" customFormat="1" ht="27" customHeight="1" x14ac:dyDescent="0.3">
      <c r="A143" s="75" t="s">
        <v>685</v>
      </c>
      <c r="B143" s="36" t="str">
        <f t="shared" si="2"/>
        <v>Junio</v>
      </c>
      <c r="C143" s="77" t="s">
        <v>162</v>
      </c>
      <c r="D143" s="77" t="s">
        <v>735</v>
      </c>
      <c r="E143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43" s="79" t="s">
        <v>391</v>
      </c>
      <c r="G143" s="79" t="s">
        <v>392</v>
      </c>
      <c r="H143" s="140" t="s">
        <v>736</v>
      </c>
      <c r="I143" s="77" t="s">
        <v>383</v>
      </c>
      <c r="J143" s="144" t="s">
        <v>384</v>
      </c>
      <c r="K143" s="77" t="s">
        <v>169</v>
      </c>
      <c r="L143" s="103" t="str">
        <f>VLOOKUP(Anexo_4[[#This Row],[cod_doc]],TIPODOC,2,FALSE)</f>
        <v>FACTURA</v>
      </c>
      <c r="M143" s="77" t="s">
        <v>103</v>
      </c>
      <c r="N143" s="79">
        <v>16634</v>
      </c>
      <c r="O143" s="80">
        <v>16.95</v>
      </c>
      <c r="P143" s="81" t="s">
        <v>171</v>
      </c>
      <c r="Q143" s="81">
        <v>3.0509999999999997</v>
      </c>
      <c r="R143" s="80" t="s">
        <v>171</v>
      </c>
      <c r="S143" s="80">
        <v>0</v>
      </c>
      <c r="T143" s="82">
        <v>20</v>
      </c>
      <c r="U143" s="77"/>
      <c r="V143" s="75"/>
      <c r="W143" s="77"/>
      <c r="X143" s="77"/>
      <c r="Y143" s="77" t="s">
        <v>737</v>
      </c>
      <c r="Z143" s="77" t="s">
        <v>386</v>
      </c>
      <c r="AA143" s="83" t="s">
        <v>736</v>
      </c>
      <c r="AB143" s="104" t="str">
        <f>IFERROR(VLOOKUP(Anexo_4[[#This Row],[cuenta]],OP,2,0),"-")</f>
        <v>Balanza - Servicios</v>
      </c>
    </row>
    <row r="144" spans="1:28" s="84" customFormat="1" ht="27" customHeight="1" x14ac:dyDescent="0.3">
      <c r="A144" s="75" t="s">
        <v>738</v>
      </c>
      <c r="B144" s="36" t="str">
        <f t="shared" si="2"/>
        <v>Junio</v>
      </c>
      <c r="C144" s="77" t="s">
        <v>162</v>
      </c>
      <c r="D144" s="77" t="s">
        <v>739</v>
      </c>
      <c r="E144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44" s="79" t="s">
        <v>391</v>
      </c>
      <c r="G144" s="79" t="s">
        <v>392</v>
      </c>
      <c r="H144" s="140" t="s">
        <v>740</v>
      </c>
      <c r="I144" s="77" t="s">
        <v>383</v>
      </c>
      <c r="J144" s="144" t="s">
        <v>384</v>
      </c>
      <c r="K144" s="77" t="s">
        <v>169</v>
      </c>
      <c r="L144" s="103" t="str">
        <f>VLOOKUP(Anexo_4[[#This Row],[cod_doc]],TIPODOC,2,FALSE)</f>
        <v>FACTURA</v>
      </c>
      <c r="M144" s="77" t="s">
        <v>103</v>
      </c>
      <c r="N144" s="79">
        <v>16640</v>
      </c>
      <c r="O144" s="80">
        <v>16.95</v>
      </c>
      <c r="P144" s="81" t="s">
        <v>171</v>
      </c>
      <c r="Q144" s="81">
        <v>3.0509999999999997</v>
      </c>
      <c r="R144" s="80" t="s">
        <v>171</v>
      </c>
      <c r="S144" s="80">
        <v>0</v>
      </c>
      <c r="T144" s="82">
        <v>20</v>
      </c>
      <c r="U144" s="77"/>
      <c r="V144" s="75"/>
      <c r="W144" s="77"/>
      <c r="X144" s="77"/>
      <c r="Y144" s="77" t="s">
        <v>741</v>
      </c>
      <c r="Z144" s="77" t="s">
        <v>386</v>
      </c>
      <c r="AA144" s="83" t="s">
        <v>740</v>
      </c>
      <c r="AB144" s="104" t="str">
        <f>IFERROR(VLOOKUP(Anexo_4[[#This Row],[cuenta]],OP,2,0),"-")</f>
        <v>Balanza - Servicios</v>
      </c>
    </row>
    <row r="145" spans="1:28" s="84" customFormat="1" ht="27" customHeight="1" x14ac:dyDescent="0.3">
      <c r="A145" s="75" t="s">
        <v>738</v>
      </c>
      <c r="B145" s="36" t="str">
        <f t="shared" si="2"/>
        <v>Junio</v>
      </c>
      <c r="C145" s="77" t="s">
        <v>162</v>
      </c>
      <c r="D145" s="77" t="s">
        <v>742</v>
      </c>
      <c r="E14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45" s="79" t="s">
        <v>391</v>
      </c>
      <c r="G145" s="79" t="s">
        <v>392</v>
      </c>
      <c r="H145" s="140" t="s">
        <v>743</v>
      </c>
      <c r="I145" s="77" t="s">
        <v>264</v>
      </c>
      <c r="J145" s="144" t="s">
        <v>265</v>
      </c>
      <c r="K145" s="77" t="s">
        <v>169</v>
      </c>
      <c r="L145" s="103" t="str">
        <f>VLOOKUP(Anexo_4[[#This Row],[cod_doc]],TIPODOC,2,FALSE)</f>
        <v>FACTURA</v>
      </c>
      <c r="M145" s="77" t="s">
        <v>379</v>
      </c>
      <c r="N145" s="79">
        <v>2081029</v>
      </c>
      <c r="O145" s="80">
        <v>6.78</v>
      </c>
      <c r="P145" s="81" t="s">
        <v>171</v>
      </c>
      <c r="Q145" s="81">
        <v>1.2203999999999999</v>
      </c>
      <c r="R145" s="80" t="s">
        <v>171</v>
      </c>
      <c r="S145" s="80">
        <v>0</v>
      </c>
      <c r="T145" s="82">
        <v>8</v>
      </c>
      <c r="U145" s="77"/>
      <c r="V145" s="75"/>
      <c r="W145" s="77"/>
      <c r="X145" s="77"/>
      <c r="Y145" s="77" t="s">
        <v>744</v>
      </c>
      <c r="Z145" s="77" t="s">
        <v>302</v>
      </c>
      <c r="AA145" s="83" t="s">
        <v>743</v>
      </c>
      <c r="AB145" s="104" t="str">
        <f>IFERROR(VLOOKUP(Anexo_4[[#This Row],[cuenta]],OP,2,0),"-")</f>
        <v>Transporte peajes - Servicios</v>
      </c>
    </row>
    <row r="146" spans="1:28" s="84" customFormat="1" ht="27" customHeight="1" x14ac:dyDescent="0.3">
      <c r="A146" s="75" t="s">
        <v>738</v>
      </c>
      <c r="B146" s="36" t="str">
        <f t="shared" si="2"/>
        <v>Junio</v>
      </c>
      <c r="C146" s="77" t="s">
        <v>162</v>
      </c>
      <c r="D146" s="77" t="s">
        <v>745</v>
      </c>
      <c r="E14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46" s="79" t="s">
        <v>391</v>
      </c>
      <c r="G146" s="79" t="s">
        <v>392</v>
      </c>
      <c r="H146" s="140" t="s">
        <v>746</v>
      </c>
      <c r="I146" s="77" t="s">
        <v>264</v>
      </c>
      <c r="J146" s="144" t="s">
        <v>265</v>
      </c>
      <c r="K146" s="77" t="s">
        <v>169</v>
      </c>
      <c r="L146" s="103" t="str">
        <f>VLOOKUP(Anexo_4[[#This Row],[cod_doc]],TIPODOC,2,FALSE)</f>
        <v>FACTURA</v>
      </c>
      <c r="M146" s="77" t="s">
        <v>271</v>
      </c>
      <c r="N146" s="79">
        <v>1757907</v>
      </c>
      <c r="O146" s="80">
        <v>6.78</v>
      </c>
      <c r="P146" s="81" t="s">
        <v>171</v>
      </c>
      <c r="Q146" s="81">
        <v>1.2203999999999999</v>
      </c>
      <c r="R146" s="80" t="s">
        <v>171</v>
      </c>
      <c r="S146" s="80">
        <v>0</v>
      </c>
      <c r="T146" s="82">
        <v>8</v>
      </c>
      <c r="U146" s="77"/>
      <c r="V146" s="75"/>
      <c r="W146" s="77"/>
      <c r="X146" s="77"/>
      <c r="Y146" s="77" t="s">
        <v>747</v>
      </c>
      <c r="Z146" s="77" t="s">
        <v>302</v>
      </c>
      <c r="AA146" s="83" t="s">
        <v>746</v>
      </c>
      <c r="AB146" s="104" t="str">
        <f>IFERROR(VLOOKUP(Anexo_4[[#This Row],[cuenta]],OP,2,0),"-")</f>
        <v>Transporte peajes - Servicios</v>
      </c>
    </row>
    <row r="147" spans="1:28" s="84" customFormat="1" ht="27" customHeight="1" x14ac:dyDescent="0.3">
      <c r="A147" s="75" t="s">
        <v>738</v>
      </c>
      <c r="B147" s="36" t="str">
        <f t="shared" si="2"/>
        <v>Junio</v>
      </c>
      <c r="C147" s="77" t="s">
        <v>162</v>
      </c>
      <c r="D147" s="77" t="s">
        <v>748</v>
      </c>
      <c r="E147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47" s="79" t="s">
        <v>235</v>
      </c>
      <c r="G147" s="79" t="s">
        <v>236</v>
      </c>
      <c r="H147" s="140" t="s">
        <v>749</v>
      </c>
      <c r="I147" s="77" t="s">
        <v>264</v>
      </c>
      <c r="J147" s="144" t="s">
        <v>265</v>
      </c>
      <c r="K147" s="77" t="s">
        <v>169</v>
      </c>
      <c r="L147" s="103" t="str">
        <f>VLOOKUP(Anexo_4[[#This Row],[cod_doc]],TIPODOC,2,FALSE)</f>
        <v>FACTURA</v>
      </c>
      <c r="M147" s="77" t="s">
        <v>379</v>
      </c>
      <c r="N147" s="79">
        <v>2081057</v>
      </c>
      <c r="O147" s="80">
        <v>6.78</v>
      </c>
      <c r="P147" s="81" t="s">
        <v>171</v>
      </c>
      <c r="Q147" s="81">
        <v>1.2203999999999999</v>
      </c>
      <c r="R147" s="80" t="s">
        <v>171</v>
      </c>
      <c r="S147" s="80">
        <v>0</v>
      </c>
      <c r="T147" s="82">
        <v>8</v>
      </c>
      <c r="U147" s="77"/>
      <c r="V147" s="75"/>
      <c r="W147" s="77"/>
      <c r="X147" s="77"/>
      <c r="Y147" s="77" t="s">
        <v>750</v>
      </c>
      <c r="Z147" s="77" t="s">
        <v>302</v>
      </c>
      <c r="AA147" s="83" t="s">
        <v>749</v>
      </c>
      <c r="AB147" s="104" t="str">
        <f>IFERROR(VLOOKUP(Anexo_4[[#This Row],[cuenta]],OP,2,0),"-")</f>
        <v>Transporte peajes - Servicios</v>
      </c>
    </row>
    <row r="148" spans="1:28" s="84" customFormat="1" ht="27" customHeight="1" x14ac:dyDescent="0.3">
      <c r="A148" s="75" t="s">
        <v>738</v>
      </c>
      <c r="B148" s="36" t="str">
        <f t="shared" si="2"/>
        <v>Junio</v>
      </c>
      <c r="C148" s="77" t="s">
        <v>162</v>
      </c>
      <c r="D148" s="77" t="s">
        <v>751</v>
      </c>
      <c r="E148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48" s="79" t="s">
        <v>235</v>
      </c>
      <c r="G148" s="79" t="s">
        <v>236</v>
      </c>
      <c r="H148" s="140" t="s">
        <v>752</v>
      </c>
      <c r="I148" s="77" t="s">
        <v>264</v>
      </c>
      <c r="J148" s="144" t="s">
        <v>265</v>
      </c>
      <c r="K148" s="77" t="s">
        <v>169</v>
      </c>
      <c r="L148" s="103" t="str">
        <f>VLOOKUP(Anexo_4[[#This Row],[cod_doc]],TIPODOC,2,FALSE)</f>
        <v>FACTURA</v>
      </c>
      <c r="M148" s="77" t="s">
        <v>271</v>
      </c>
      <c r="N148" s="79">
        <v>1757810</v>
      </c>
      <c r="O148" s="80">
        <v>6.78</v>
      </c>
      <c r="P148" s="81" t="s">
        <v>171</v>
      </c>
      <c r="Q148" s="81">
        <v>1.2203999999999999</v>
      </c>
      <c r="R148" s="80" t="s">
        <v>171</v>
      </c>
      <c r="S148" s="80">
        <v>0</v>
      </c>
      <c r="T148" s="82">
        <v>8</v>
      </c>
      <c r="U148" s="77"/>
      <c r="V148" s="75"/>
      <c r="W148" s="77"/>
      <c r="X148" s="77"/>
      <c r="Y148" s="77" t="s">
        <v>753</v>
      </c>
      <c r="Z148" s="77" t="s">
        <v>302</v>
      </c>
      <c r="AA148" s="83" t="s">
        <v>752</v>
      </c>
      <c r="AB148" s="104" t="str">
        <f>IFERROR(VLOOKUP(Anexo_4[[#This Row],[cuenta]],OP,2,0),"-")</f>
        <v>Transporte peajes - Servicios</v>
      </c>
    </row>
    <row r="149" spans="1:28" s="84" customFormat="1" ht="27" customHeight="1" x14ac:dyDescent="0.3">
      <c r="A149" s="75" t="s">
        <v>685</v>
      </c>
      <c r="B149" s="36" t="str">
        <f t="shared" si="2"/>
        <v>Junio</v>
      </c>
      <c r="C149" s="77" t="s">
        <v>162</v>
      </c>
      <c r="D149" s="77" t="s">
        <v>754</v>
      </c>
      <c r="E149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49" s="79" t="s">
        <v>391</v>
      </c>
      <c r="G149" s="79" t="s">
        <v>392</v>
      </c>
      <c r="H149" s="140" t="s">
        <v>755</v>
      </c>
      <c r="I149" s="77" t="s">
        <v>264</v>
      </c>
      <c r="J149" s="144" t="s">
        <v>265</v>
      </c>
      <c r="K149" s="77" t="s">
        <v>169</v>
      </c>
      <c r="L149" s="103" t="str">
        <f>VLOOKUP(Anexo_4[[#This Row],[cod_doc]],TIPODOC,2,FALSE)</f>
        <v>FACTURA</v>
      </c>
      <c r="M149" s="77" t="s">
        <v>271</v>
      </c>
      <c r="N149" s="79">
        <v>1756803</v>
      </c>
      <c r="O149" s="80">
        <v>6.78</v>
      </c>
      <c r="P149" s="81" t="s">
        <v>171</v>
      </c>
      <c r="Q149" s="81">
        <v>1.2203999999999999</v>
      </c>
      <c r="R149" s="80" t="s">
        <v>171</v>
      </c>
      <c r="S149" s="80">
        <v>0</v>
      </c>
      <c r="T149" s="82">
        <v>8</v>
      </c>
      <c r="U149" s="77"/>
      <c r="V149" s="75"/>
      <c r="W149" s="77"/>
      <c r="X149" s="77"/>
      <c r="Y149" s="77" t="s">
        <v>756</v>
      </c>
      <c r="Z149" s="77" t="s">
        <v>302</v>
      </c>
      <c r="AA149" s="83" t="s">
        <v>755</v>
      </c>
      <c r="AB149" s="104" t="str">
        <f>IFERROR(VLOOKUP(Anexo_4[[#This Row],[cuenta]],OP,2,0),"-")</f>
        <v>Transporte peajes - Servicios</v>
      </c>
    </row>
    <row r="150" spans="1:28" s="84" customFormat="1" ht="27" customHeight="1" x14ac:dyDescent="0.3">
      <c r="A150" s="75" t="s">
        <v>685</v>
      </c>
      <c r="B150" s="36" t="str">
        <f t="shared" si="2"/>
        <v>Junio</v>
      </c>
      <c r="C150" s="77" t="s">
        <v>162</v>
      </c>
      <c r="D150" s="77" t="s">
        <v>757</v>
      </c>
      <c r="E150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50" s="79" t="s">
        <v>391</v>
      </c>
      <c r="G150" s="79" t="s">
        <v>392</v>
      </c>
      <c r="H150" s="140" t="s">
        <v>758</v>
      </c>
      <c r="I150" s="77" t="s">
        <v>264</v>
      </c>
      <c r="J150" s="144" t="s">
        <v>265</v>
      </c>
      <c r="K150" s="77" t="s">
        <v>169</v>
      </c>
      <c r="L150" s="103" t="str">
        <f>VLOOKUP(Anexo_4[[#This Row],[cod_doc]],TIPODOC,2,FALSE)</f>
        <v>FACTURA</v>
      </c>
      <c r="M150" s="77" t="s">
        <v>352</v>
      </c>
      <c r="N150" s="79">
        <v>1776609</v>
      </c>
      <c r="O150" s="80">
        <v>6.78</v>
      </c>
      <c r="P150" s="81" t="s">
        <v>171</v>
      </c>
      <c r="Q150" s="81">
        <v>1.2203999999999999</v>
      </c>
      <c r="R150" s="80" t="s">
        <v>171</v>
      </c>
      <c r="S150" s="80">
        <v>0</v>
      </c>
      <c r="T150" s="82">
        <v>8</v>
      </c>
      <c r="U150" s="77"/>
      <c r="V150" s="75"/>
      <c r="W150" s="77"/>
      <c r="X150" s="77"/>
      <c r="Y150" s="77" t="s">
        <v>759</v>
      </c>
      <c r="Z150" s="77" t="s">
        <v>302</v>
      </c>
      <c r="AA150" s="83" t="s">
        <v>758</v>
      </c>
      <c r="AB150" s="104" t="str">
        <f>IFERROR(VLOOKUP(Anexo_4[[#This Row],[cuenta]],OP,2,0),"-")</f>
        <v>Transporte peajes - Servicios</v>
      </c>
    </row>
    <row r="151" spans="1:28" s="84" customFormat="1" ht="27" customHeight="1" x14ac:dyDescent="0.3">
      <c r="A151" s="75" t="s">
        <v>540</v>
      </c>
      <c r="B151" s="36" t="str">
        <f t="shared" si="2"/>
        <v>Junio</v>
      </c>
      <c r="C151" s="77" t="s">
        <v>162</v>
      </c>
      <c r="D151" s="77" t="s">
        <v>760</v>
      </c>
      <c r="E15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51" s="79" t="s">
        <v>235</v>
      </c>
      <c r="G151" s="79" t="s">
        <v>236</v>
      </c>
      <c r="H151" s="140" t="s">
        <v>761</v>
      </c>
      <c r="I151" s="77" t="s">
        <v>264</v>
      </c>
      <c r="J151" s="144" t="s">
        <v>265</v>
      </c>
      <c r="K151" s="77" t="s">
        <v>169</v>
      </c>
      <c r="L151" s="103" t="str">
        <f>VLOOKUP(Anexo_4[[#This Row],[cod_doc]],TIPODOC,2,FALSE)</f>
        <v>FACTURA</v>
      </c>
      <c r="M151" s="77" t="s">
        <v>352</v>
      </c>
      <c r="N151" s="79">
        <v>1775595</v>
      </c>
      <c r="O151" s="80">
        <v>3.39</v>
      </c>
      <c r="P151" s="81" t="s">
        <v>171</v>
      </c>
      <c r="Q151" s="81">
        <v>0.61019999999999996</v>
      </c>
      <c r="R151" s="80" t="s">
        <v>171</v>
      </c>
      <c r="S151" s="80">
        <v>0</v>
      </c>
      <c r="T151" s="82">
        <v>8</v>
      </c>
      <c r="U151" s="77"/>
      <c r="V151" s="75"/>
      <c r="W151" s="77"/>
      <c r="X151" s="77"/>
      <c r="Y151" s="77" t="s">
        <v>762</v>
      </c>
      <c r="Z151" s="77" t="s">
        <v>302</v>
      </c>
      <c r="AA151" s="83" t="s">
        <v>761</v>
      </c>
      <c r="AB151" s="104" t="str">
        <f>IFERROR(VLOOKUP(Anexo_4[[#This Row],[cuenta]],OP,2,0),"-")</f>
        <v>Transporte peajes - Servicios</v>
      </c>
    </row>
    <row r="152" spans="1:28" s="84" customFormat="1" ht="27" customHeight="1" x14ac:dyDescent="0.3">
      <c r="A152" s="75" t="s">
        <v>540</v>
      </c>
      <c r="B152" s="36" t="str">
        <f t="shared" si="2"/>
        <v>Junio</v>
      </c>
      <c r="C152" s="77" t="s">
        <v>162</v>
      </c>
      <c r="D152" s="77" t="s">
        <v>760</v>
      </c>
      <c r="E15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52" s="79" t="s">
        <v>235</v>
      </c>
      <c r="G152" s="79" t="s">
        <v>236</v>
      </c>
      <c r="H152" s="140" t="s">
        <v>761</v>
      </c>
      <c r="I152" s="77" t="s">
        <v>264</v>
      </c>
      <c r="J152" s="144" t="s">
        <v>265</v>
      </c>
      <c r="K152" s="77" t="s">
        <v>169</v>
      </c>
      <c r="L152" s="103" t="str">
        <f>VLOOKUP(Anexo_4[[#This Row],[cod_doc]],TIPODOC,2,FALSE)</f>
        <v>FACTURA</v>
      </c>
      <c r="M152" s="77" t="s">
        <v>352</v>
      </c>
      <c r="N152" s="79">
        <v>1775595</v>
      </c>
      <c r="O152" s="80">
        <v>3.39</v>
      </c>
      <c r="P152" s="81" t="s">
        <v>171</v>
      </c>
      <c r="Q152" s="81">
        <v>0.61019999999999996</v>
      </c>
      <c r="R152" s="80" t="s">
        <v>171</v>
      </c>
      <c r="S152" s="80">
        <v>0</v>
      </c>
      <c r="T152" s="82">
        <v>8</v>
      </c>
      <c r="U152" s="77"/>
      <c r="V152" s="75"/>
      <c r="W152" s="77"/>
      <c r="X152" s="77"/>
      <c r="Y152" s="77" t="s">
        <v>762</v>
      </c>
      <c r="Z152" s="77" t="s">
        <v>268</v>
      </c>
      <c r="AA152" s="83" t="s">
        <v>761</v>
      </c>
      <c r="AB152" s="104" t="str">
        <f>IFERROR(VLOOKUP(Anexo_4[[#This Row],[cuenta]],OP,2,0),"-")</f>
        <v>Transporte peajes - Ventas</v>
      </c>
    </row>
    <row r="153" spans="1:28" s="84" customFormat="1" ht="27" customHeight="1" x14ac:dyDescent="0.3">
      <c r="A153" s="75" t="s">
        <v>763</v>
      </c>
      <c r="B153" s="36" t="str">
        <f t="shared" si="2"/>
        <v>Junio</v>
      </c>
      <c r="C153" s="77" t="s">
        <v>162</v>
      </c>
      <c r="D153" s="77" t="s">
        <v>764</v>
      </c>
      <c r="E153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53" s="79" t="s">
        <v>175</v>
      </c>
      <c r="G153" s="79" t="s">
        <v>176</v>
      </c>
      <c r="H153" s="140" t="s">
        <v>765</v>
      </c>
      <c r="I153" s="77" t="s">
        <v>452</v>
      </c>
      <c r="J153" s="144" t="s">
        <v>453</v>
      </c>
      <c r="K153" s="77" t="s">
        <v>169</v>
      </c>
      <c r="L153" s="103" t="str">
        <f>VLOOKUP(Anexo_4[[#This Row],[cod_doc]],TIPODOC,2,FALSE)</f>
        <v>FACTURA</v>
      </c>
      <c r="M153" s="77" t="s">
        <v>461</v>
      </c>
      <c r="N153" s="79">
        <v>143945</v>
      </c>
      <c r="O153" s="80">
        <v>778.19</v>
      </c>
      <c r="P153" s="81" t="s">
        <v>171</v>
      </c>
      <c r="Q153" s="81">
        <v>140.07419999999999</v>
      </c>
      <c r="R153" s="80" t="s">
        <v>171</v>
      </c>
      <c r="S153" s="80">
        <v>0</v>
      </c>
      <c r="T153" s="82">
        <v>1404.94</v>
      </c>
      <c r="U153" s="77"/>
      <c r="V153" s="75"/>
      <c r="W153" s="77"/>
      <c r="X153" s="77"/>
      <c r="Y153" s="77"/>
      <c r="Z153" s="77" t="s">
        <v>455</v>
      </c>
      <c r="AA153" s="83" t="s">
        <v>765</v>
      </c>
      <c r="AB153" s="104" t="str">
        <f>IFERROR(VLOOKUP(Anexo_4[[#This Row],[cuenta]],OP,2,0),"-")</f>
        <v>Combustible (Vehiculos)</v>
      </c>
    </row>
    <row r="154" spans="1:28" s="84" customFormat="1" ht="27" customHeight="1" x14ac:dyDescent="0.3">
      <c r="A154" s="75" t="s">
        <v>763</v>
      </c>
      <c r="B154" s="36" t="str">
        <f t="shared" si="2"/>
        <v>Junio</v>
      </c>
      <c r="C154" s="77" t="s">
        <v>162</v>
      </c>
      <c r="D154" s="77" t="s">
        <v>764</v>
      </c>
      <c r="E154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54" s="79" t="s">
        <v>391</v>
      </c>
      <c r="G154" s="79" t="s">
        <v>392</v>
      </c>
      <c r="H154" s="140" t="s">
        <v>765</v>
      </c>
      <c r="I154" s="77" t="s">
        <v>452</v>
      </c>
      <c r="J154" s="144" t="s">
        <v>453</v>
      </c>
      <c r="K154" s="77" t="s">
        <v>169</v>
      </c>
      <c r="L154" s="103" t="str">
        <f>VLOOKUP(Anexo_4[[#This Row],[cod_doc]],TIPODOC,2,FALSE)</f>
        <v>FACTURA</v>
      </c>
      <c r="M154" s="77" t="s">
        <v>461</v>
      </c>
      <c r="N154" s="79">
        <v>143945</v>
      </c>
      <c r="O154" s="80">
        <v>195.09</v>
      </c>
      <c r="P154" s="81" t="s">
        <v>171</v>
      </c>
      <c r="Q154" s="81">
        <v>35.116199999999999</v>
      </c>
      <c r="R154" s="80" t="s">
        <v>171</v>
      </c>
      <c r="S154" s="80">
        <v>0</v>
      </c>
      <c r="T154" s="82">
        <v>1404.94</v>
      </c>
      <c r="U154" s="77"/>
      <c r="V154" s="75"/>
      <c r="W154" s="77"/>
      <c r="X154" s="77"/>
      <c r="Y154" s="77"/>
      <c r="Z154" s="77" t="s">
        <v>455</v>
      </c>
      <c r="AA154" s="83" t="s">
        <v>765</v>
      </c>
      <c r="AB154" s="104" t="str">
        <f>IFERROR(VLOOKUP(Anexo_4[[#This Row],[cuenta]],OP,2,0),"-")</f>
        <v>Combustible (Vehiculos)</v>
      </c>
    </row>
    <row r="155" spans="1:28" s="84" customFormat="1" ht="27" customHeight="1" x14ac:dyDescent="0.3">
      <c r="A155" s="75" t="s">
        <v>763</v>
      </c>
      <c r="B155" s="36" t="str">
        <f t="shared" si="2"/>
        <v>Junio</v>
      </c>
      <c r="C155" s="77" t="s">
        <v>162</v>
      </c>
      <c r="D155" s="77" t="s">
        <v>764</v>
      </c>
      <c r="E15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55" s="79" t="s">
        <v>217</v>
      </c>
      <c r="G155" s="79" t="s">
        <v>218</v>
      </c>
      <c r="H155" s="140" t="s">
        <v>765</v>
      </c>
      <c r="I155" s="77" t="s">
        <v>452</v>
      </c>
      <c r="J155" s="144" t="s">
        <v>453</v>
      </c>
      <c r="K155" s="77" t="s">
        <v>169</v>
      </c>
      <c r="L155" s="103" t="str">
        <f>VLOOKUP(Anexo_4[[#This Row],[cod_doc]],TIPODOC,2,FALSE)</f>
        <v>FACTURA</v>
      </c>
      <c r="M155" s="77" t="s">
        <v>461</v>
      </c>
      <c r="N155" s="79">
        <v>143945</v>
      </c>
      <c r="O155" s="80">
        <v>217.35</v>
      </c>
      <c r="P155" s="81" t="s">
        <v>171</v>
      </c>
      <c r="Q155" s="81">
        <v>39.122999999999998</v>
      </c>
      <c r="R155" s="80" t="s">
        <v>171</v>
      </c>
      <c r="S155" s="80">
        <v>0</v>
      </c>
      <c r="T155" s="82">
        <v>1404.94</v>
      </c>
      <c r="U155" s="77"/>
      <c r="V155" s="75"/>
      <c r="W155" s="77"/>
      <c r="X155" s="77"/>
      <c r="Y155" s="77"/>
      <c r="Z155" s="77" t="s">
        <v>455</v>
      </c>
      <c r="AA155" s="83" t="s">
        <v>765</v>
      </c>
      <c r="AB155" s="104" t="str">
        <f>IFERROR(VLOOKUP(Anexo_4[[#This Row],[cuenta]],OP,2,0),"-")</f>
        <v>Combustible (Vehiculos)</v>
      </c>
    </row>
    <row r="156" spans="1:28" s="84" customFormat="1" ht="27" customHeight="1" x14ac:dyDescent="0.3">
      <c r="A156" s="75" t="s">
        <v>763</v>
      </c>
      <c r="B156" s="36" t="str">
        <f t="shared" si="2"/>
        <v>Junio</v>
      </c>
      <c r="C156" s="77" t="s">
        <v>162</v>
      </c>
      <c r="D156" s="77" t="s">
        <v>766</v>
      </c>
      <c r="E15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56" s="79" t="s">
        <v>449</v>
      </c>
      <c r="G156" s="79" t="s">
        <v>450</v>
      </c>
      <c r="H156" s="140" t="s">
        <v>765</v>
      </c>
      <c r="I156" s="77" t="s">
        <v>452</v>
      </c>
      <c r="J156" s="144" t="s">
        <v>453</v>
      </c>
      <c r="K156" s="77" t="s">
        <v>169</v>
      </c>
      <c r="L156" s="103" t="str">
        <f>VLOOKUP(Anexo_4[[#This Row],[cod_doc]],TIPODOC,2,FALSE)</f>
        <v>FACTURA</v>
      </c>
      <c r="M156" s="77" t="s">
        <v>454</v>
      </c>
      <c r="N156" s="79">
        <v>166460</v>
      </c>
      <c r="O156" s="80">
        <v>367.36</v>
      </c>
      <c r="P156" s="81" t="s">
        <v>171</v>
      </c>
      <c r="Q156" s="81">
        <v>66.124799999999993</v>
      </c>
      <c r="R156" s="80" t="s">
        <v>171</v>
      </c>
      <c r="S156" s="80">
        <v>0</v>
      </c>
      <c r="T156" s="82">
        <v>1090.79</v>
      </c>
      <c r="U156" s="77"/>
      <c r="V156" s="75"/>
      <c r="W156" s="77"/>
      <c r="X156" s="77"/>
      <c r="Y156" s="77"/>
      <c r="Z156" s="77" t="s">
        <v>455</v>
      </c>
      <c r="AA156" s="83" t="s">
        <v>765</v>
      </c>
      <c r="AB156" s="104" t="str">
        <f>IFERROR(VLOOKUP(Anexo_4[[#This Row],[cuenta]],OP,2,0),"-")</f>
        <v>Combustible (Vehiculos)</v>
      </c>
    </row>
    <row r="157" spans="1:28" s="84" customFormat="1" ht="27" customHeight="1" x14ac:dyDescent="0.3">
      <c r="A157" s="75" t="s">
        <v>763</v>
      </c>
      <c r="B157" s="36" t="str">
        <f t="shared" si="2"/>
        <v>Junio</v>
      </c>
      <c r="C157" s="77" t="s">
        <v>162</v>
      </c>
      <c r="D157" s="77" t="s">
        <v>766</v>
      </c>
      <c r="E157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57" s="79" t="s">
        <v>456</v>
      </c>
      <c r="G157" s="79" t="s">
        <v>457</v>
      </c>
      <c r="H157" s="140" t="s">
        <v>765</v>
      </c>
      <c r="I157" s="77" t="s">
        <v>452</v>
      </c>
      <c r="J157" s="144" t="s">
        <v>453</v>
      </c>
      <c r="K157" s="77" t="s">
        <v>169</v>
      </c>
      <c r="L157" s="103" t="str">
        <f>VLOOKUP(Anexo_4[[#This Row],[cod_doc]],TIPODOC,2,FALSE)</f>
        <v>FACTURA</v>
      </c>
      <c r="M157" s="77" t="s">
        <v>454</v>
      </c>
      <c r="N157" s="79">
        <v>166460</v>
      </c>
      <c r="O157" s="80">
        <v>180.85</v>
      </c>
      <c r="P157" s="81" t="s">
        <v>171</v>
      </c>
      <c r="Q157" s="81">
        <v>32.552999999999997</v>
      </c>
      <c r="R157" s="80" t="s">
        <v>171</v>
      </c>
      <c r="S157" s="80">
        <v>0</v>
      </c>
      <c r="T157" s="82">
        <v>1090.79</v>
      </c>
      <c r="U157" s="77"/>
      <c r="V157" s="75"/>
      <c r="W157" s="77"/>
      <c r="X157" s="77"/>
      <c r="Y157" s="77"/>
      <c r="Z157" s="77" t="s">
        <v>455</v>
      </c>
      <c r="AA157" s="83" t="s">
        <v>765</v>
      </c>
      <c r="AB157" s="104" t="str">
        <f>IFERROR(VLOOKUP(Anexo_4[[#This Row],[cuenta]],OP,2,0),"-")</f>
        <v>Combustible (Vehiculos)</v>
      </c>
    </row>
    <row r="158" spans="1:28" s="84" customFormat="1" ht="27" customHeight="1" x14ac:dyDescent="0.3">
      <c r="A158" s="75" t="s">
        <v>763</v>
      </c>
      <c r="B158" s="36" t="str">
        <f t="shared" si="2"/>
        <v>Junio</v>
      </c>
      <c r="C158" s="77" t="s">
        <v>162</v>
      </c>
      <c r="D158" s="77" t="s">
        <v>766</v>
      </c>
      <c r="E158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58" s="79" t="s">
        <v>235</v>
      </c>
      <c r="G158" s="79" t="s">
        <v>236</v>
      </c>
      <c r="H158" s="140" t="s">
        <v>765</v>
      </c>
      <c r="I158" s="77" t="s">
        <v>452</v>
      </c>
      <c r="J158" s="144" t="s">
        <v>453</v>
      </c>
      <c r="K158" s="77" t="s">
        <v>169</v>
      </c>
      <c r="L158" s="103" t="str">
        <f>VLOOKUP(Anexo_4[[#This Row],[cod_doc]],TIPODOC,2,FALSE)</f>
        <v>FACTURA</v>
      </c>
      <c r="M158" s="77" t="s">
        <v>454</v>
      </c>
      <c r="N158" s="79">
        <v>166460</v>
      </c>
      <c r="O158" s="80">
        <v>222.72</v>
      </c>
      <c r="P158" s="81" t="s">
        <v>171</v>
      </c>
      <c r="Q158" s="81">
        <v>40.089599999999997</v>
      </c>
      <c r="R158" s="80" t="s">
        <v>171</v>
      </c>
      <c r="S158" s="80">
        <v>0</v>
      </c>
      <c r="T158" s="82">
        <v>1090.79</v>
      </c>
      <c r="U158" s="77"/>
      <c r="V158" s="75"/>
      <c r="W158" s="77"/>
      <c r="X158" s="77"/>
      <c r="Y158" s="77"/>
      <c r="Z158" s="77" t="s">
        <v>455</v>
      </c>
      <c r="AA158" s="83" t="s">
        <v>765</v>
      </c>
      <c r="AB158" s="104" t="str">
        <f>IFERROR(VLOOKUP(Anexo_4[[#This Row],[cuenta]],OP,2,0),"-")</f>
        <v>Combustible (Vehiculos)</v>
      </c>
    </row>
    <row r="159" spans="1:28" s="84" customFormat="1" ht="27" customHeight="1" x14ac:dyDescent="0.3">
      <c r="A159" s="75" t="s">
        <v>763</v>
      </c>
      <c r="B159" s="36" t="str">
        <f t="shared" si="2"/>
        <v>Junio</v>
      </c>
      <c r="C159" s="77" t="s">
        <v>162</v>
      </c>
      <c r="D159" s="77" t="s">
        <v>766</v>
      </c>
      <c r="E159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59" s="79" t="s">
        <v>458</v>
      </c>
      <c r="G159" s="79" t="s">
        <v>459</v>
      </c>
      <c r="H159" s="140" t="s">
        <v>765</v>
      </c>
      <c r="I159" s="77" t="s">
        <v>452</v>
      </c>
      <c r="J159" s="144" t="s">
        <v>453</v>
      </c>
      <c r="K159" s="77" t="s">
        <v>169</v>
      </c>
      <c r="L159" s="103" t="str">
        <f>VLOOKUP(Anexo_4[[#This Row],[cod_doc]],TIPODOC,2,FALSE)</f>
        <v>FACTURA</v>
      </c>
      <c r="M159" s="77" t="s">
        <v>454</v>
      </c>
      <c r="N159" s="79">
        <v>166460</v>
      </c>
      <c r="O159" s="80">
        <v>68.72</v>
      </c>
      <c r="P159" s="81" t="s">
        <v>171</v>
      </c>
      <c r="Q159" s="81">
        <v>12.3696</v>
      </c>
      <c r="R159" s="80" t="s">
        <v>171</v>
      </c>
      <c r="S159" s="80">
        <v>0</v>
      </c>
      <c r="T159" s="82">
        <v>1090.79</v>
      </c>
      <c r="U159" s="77"/>
      <c r="V159" s="75"/>
      <c r="W159" s="77"/>
      <c r="X159" s="77"/>
      <c r="Y159" s="77"/>
      <c r="Z159" s="77" t="s">
        <v>455</v>
      </c>
      <c r="AA159" s="83" t="s">
        <v>765</v>
      </c>
      <c r="AB159" s="104" t="str">
        <f>IFERROR(VLOOKUP(Anexo_4[[#This Row],[cuenta]],OP,2,0),"-")</f>
        <v>Combustible (Vehiculos)</v>
      </c>
    </row>
    <row r="160" spans="1:28" s="84" customFormat="1" ht="27" customHeight="1" x14ac:dyDescent="0.3">
      <c r="A160" s="75" t="s">
        <v>763</v>
      </c>
      <c r="B160" s="36" t="str">
        <f t="shared" si="2"/>
        <v>Junio</v>
      </c>
      <c r="C160" s="77" t="s">
        <v>162</v>
      </c>
      <c r="D160" s="77" t="s">
        <v>766</v>
      </c>
      <c r="E160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60" s="79" t="s">
        <v>458</v>
      </c>
      <c r="G160" s="79" t="s">
        <v>459</v>
      </c>
      <c r="H160" s="140" t="s">
        <v>765</v>
      </c>
      <c r="I160" s="77" t="s">
        <v>452</v>
      </c>
      <c r="J160" s="144" t="s">
        <v>453</v>
      </c>
      <c r="K160" s="77" t="s">
        <v>169</v>
      </c>
      <c r="L160" s="103" t="str">
        <f>VLOOKUP(Anexo_4[[#This Row],[cod_doc]],TIPODOC,2,FALSE)</f>
        <v>FACTURA</v>
      </c>
      <c r="M160" s="77" t="s">
        <v>454</v>
      </c>
      <c r="N160" s="79">
        <v>166460</v>
      </c>
      <c r="O160" s="80">
        <v>84.75</v>
      </c>
      <c r="P160" s="81" t="s">
        <v>171</v>
      </c>
      <c r="Q160" s="81">
        <v>15.254999999999999</v>
      </c>
      <c r="R160" s="80" t="s">
        <v>171</v>
      </c>
      <c r="S160" s="80">
        <v>0</v>
      </c>
      <c r="T160" s="82">
        <v>1090.79</v>
      </c>
      <c r="U160" s="77"/>
      <c r="V160" s="75"/>
      <c r="W160" s="77"/>
      <c r="X160" s="77"/>
      <c r="Y160" s="77"/>
      <c r="Z160" s="77" t="s">
        <v>455</v>
      </c>
      <c r="AA160" s="83" t="s">
        <v>765</v>
      </c>
      <c r="AB160" s="104" t="str">
        <f>IFERROR(VLOOKUP(Anexo_4[[#This Row],[cuenta]],OP,2,0),"-")</f>
        <v>Combustible (Vehiculos)</v>
      </c>
    </row>
    <row r="161" spans="1:28" s="84" customFormat="1" ht="27" customHeight="1" x14ac:dyDescent="0.3">
      <c r="A161" s="75" t="s">
        <v>349</v>
      </c>
      <c r="B161" s="36" t="str">
        <f t="shared" si="2"/>
        <v>Junio</v>
      </c>
      <c r="C161" s="77" t="s">
        <v>162</v>
      </c>
      <c r="D161" s="77" t="s">
        <v>767</v>
      </c>
      <c r="E161" s="78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161" s="79" t="s">
        <v>198</v>
      </c>
      <c r="G161" s="79" t="s">
        <v>199</v>
      </c>
      <c r="H161" s="140" t="s">
        <v>768</v>
      </c>
      <c r="I161" s="77" t="s">
        <v>769</v>
      </c>
      <c r="J161" s="144" t="s">
        <v>770</v>
      </c>
      <c r="K161" s="77" t="s">
        <v>169</v>
      </c>
      <c r="L161" s="103" t="str">
        <f>VLOOKUP(Anexo_4[[#This Row],[cod_doc]],TIPODOC,2,FALSE)</f>
        <v>FACTURA</v>
      </c>
      <c r="M161" s="77" t="s">
        <v>102</v>
      </c>
      <c r="N161" s="79">
        <v>37</v>
      </c>
      <c r="O161" s="80">
        <v>450</v>
      </c>
      <c r="P161" s="81" t="s">
        <v>171</v>
      </c>
      <c r="Q161" s="81">
        <v>81</v>
      </c>
      <c r="R161" s="80" t="s">
        <v>171</v>
      </c>
      <c r="S161" s="80">
        <v>0</v>
      </c>
      <c r="T161" s="82">
        <v>531</v>
      </c>
      <c r="U161" s="77" t="s">
        <v>771</v>
      </c>
      <c r="V161" s="75" t="s">
        <v>467</v>
      </c>
      <c r="W161" s="77"/>
      <c r="X161" s="77"/>
      <c r="Y161" s="77"/>
      <c r="Z161" s="77" t="s">
        <v>468</v>
      </c>
      <c r="AA161" s="83" t="s">
        <v>768</v>
      </c>
      <c r="AB161" s="104" t="str">
        <f>IFERROR(VLOOKUP(Anexo_4[[#This Row],[cuenta]],OP,2,0),"-")</f>
        <v>Transporte de Carga  - Ventas</v>
      </c>
    </row>
    <row r="162" spans="1:28" s="84" customFormat="1" ht="27" customHeight="1" x14ac:dyDescent="0.3">
      <c r="A162" s="75" t="s">
        <v>349</v>
      </c>
      <c r="B162" s="36" t="str">
        <f t="shared" si="2"/>
        <v>Junio</v>
      </c>
      <c r="C162" s="77" t="s">
        <v>162</v>
      </c>
      <c r="D162" s="77" t="s">
        <v>772</v>
      </c>
      <c r="E16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62" s="79" t="s">
        <v>355</v>
      </c>
      <c r="G162" s="79" t="s">
        <v>356</v>
      </c>
      <c r="H162" s="140" t="s">
        <v>773</v>
      </c>
      <c r="I162" s="77" t="s">
        <v>464</v>
      </c>
      <c r="J162" s="144" t="s">
        <v>465</v>
      </c>
      <c r="K162" s="77" t="s">
        <v>169</v>
      </c>
      <c r="L162" s="103" t="str">
        <f>VLOOKUP(Anexo_4[[#This Row],[cod_doc]],TIPODOC,2,FALSE)</f>
        <v>FACTURA</v>
      </c>
      <c r="M162" s="77" t="s">
        <v>102</v>
      </c>
      <c r="N162" s="79">
        <v>6</v>
      </c>
      <c r="O162" s="80">
        <v>450</v>
      </c>
      <c r="P162" s="81" t="s">
        <v>171</v>
      </c>
      <c r="Q162" s="81">
        <v>81</v>
      </c>
      <c r="R162" s="80" t="s">
        <v>171</v>
      </c>
      <c r="S162" s="80">
        <v>0</v>
      </c>
      <c r="T162" s="82">
        <v>531</v>
      </c>
      <c r="U162" s="77" t="s">
        <v>774</v>
      </c>
      <c r="V162" s="75" t="s">
        <v>467</v>
      </c>
      <c r="W162" s="77"/>
      <c r="X162" s="77"/>
      <c r="Y162" s="77"/>
      <c r="Z162" s="77" t="s">
        <v>468</v>
      </c>
      <c r="AA162" s="83" t="s">
        <v>773</v>
      </c>
      <c r="AB162" s="104" t="str">
        <f>IFERROR(VLOOKUP(Anexo_4[[#This Row],[cuenta]],OP,2,0),"-")</f>
        <v>Transporte de Carga  - Ventas</v>
      </c>
    </row>
    <row r="163" spans="1:28" s="84" customFormat="1" ht="27" customHeight="1" x14ac:dyDescent="0.3">
      <c r="A163" s="75" t="s">
        <v>533</v>
      </c>
      <c r="B163" s="36" t="str">
        <f t="shared" si="2"/>
        <v>Junio</v>
      </c>
      <c r="C163" s="77" t="s">
        <v>162</v>
      </c>
      <c r="D163" s="77" t="s">
        <v>775</v>
      </c>
      <c r="E163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63" s="79" t="s">
        <v>190</v>
      </c>
      <c r="G163" s="79" t="s">
        <v>191</v>
      </c>
      <c r="H163" s="140" t="s">
        <v>776</v>
      </c>
      <c r="I163" s="77" t="s">
        <v>777</v>
      </c>
      <c r="J163" s="144" t="s">
        <v>778</v>
      </c>
      <c r="K163" s="77" t="s">
        <v>169</v>
      </c>
      <c r="L163" s="103" t="str">
        <f>VLOOKUP(Anexo_4[[#This Row],[cod_doc]],TIPODOC,2,FALSE)</f>
        <v>FACTURA</v>
      </c>
      <c r="M163" s="77" t="s">
        <v>222</v>
      </c>
      <c r="N163" s="79">
        <v>52364</v>
      </c>
      <c r="O163" s="80">
        <v>33.9</v>
      </c>
      <c r="P163" s="81" t="s">
        <v>171</v>
      </c>
      <c r="Q163" s="81">
        <v>6.1019999999999994</v>
      </c>
      <c r="R163" s="80" t="s">
        <v>171</v>
      </c>
      <c r="S163" s="80">
        <v>0</v>
      </c>
      <c r="T163" s="82">
        <v>40</v>
      </c>
      <c r="U163" s="77"/>
      <c r="V163" s="75"/>
      <c r="W163" s="77"/>
      <c r="X163" s="77"/>
      <c r="Y163" s="77"/>
      <c r="Z163" s="77" t="s">
        <v>779</v>
      </c>
      <c r="AA163" s="83" t="s">
        <v>776</v>
      </c>
      <c r="AB163" s="104" t="str">
        <f>IFERROR(VLOOKUP(Anexo_4[[#This Row],[cuenta]],OP,2,0),"-")</f>
        <v>Transporte de Personal</v>
      </c>
    </row>
    <row r="164" spans="1:28" s="84" customFormat="1" ht="27" customHeight="1" x14ac:dyDescent="0.3">
      <c r="A164" s="75" t="s">
        <v>349</v>
      </c>
      <c r="B164" s="36" t="str">
        <f t="shared" si="2"/>
        <v>Junio</v>
      </c>
      <c r="C164" s="77" t="s">
        <v>162</v>
      </c>
      <c r="D164" s="77" t="s">
        <v>780</v>
      </c>
      <c r="E164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64" s="79" t="s">
        <v>217</v>
      </c>
      <c r="G164" s="79" t="s">
        <v>218</v>
      </c>
      <c r="H164" s="140" t="s">
        <v>781</v>
      </c>
      <c r="I164" s="77" t="s">
        <v>264</v>
      </c>
      <c r="J164" s="144" t="s">
        <v>265</v>
      </c>
      <c r="K164" s="77" t="s">
        <v>169</v>
      </c>
      <c r="L164" s="103" t="str">
        <f>VLOOKUP(Anexo_4[[#This Row],[cod_doc]],TIPODOC,2,FALSE)</f>
        <v>FACTURA</v>
      </c>
      <c r="M164" s="77" t="s">
        <v>406</v>
      </c>
      <c r="N164" s="79">
        <v>2360157</v>
      </c>
      <c r="O164" s="80">
        <v>6.78</v>
      </c>
      <c r="P164" s="81" t="s">
        <v>171</v>
      </c>
      <c r="Q164" s="81">
        <v>1.2203999999999999</v>
      </c>
      <c r="R164" s="80" t="s">
        <v>171</v>
      </c>
      <c r="S164" s="80">
        <v>0</v>
      </c>
      <c r="T164" s="82">
        <v>8</v>
      </c>
      <c r="U164" s="77"/>
      <c r="V164" s="75"/>
      <c r="W164" s="77"/>
      <c r="X164" s="77"/>
      <c r="Y164" s="77" t="s">
        <v>782</v>
      </c>
      <c r="Z164" s="77" t="s">
        <v>268</v>
      </c>
      <c r="AA164" s="83" t="s">
        <v>781</v>
      </c>
      <c r="AB164" s="104" t="str">
        <f>IFERROR(VLOOKUP(Anexo_4[[#This Row],[cuenta]],OP,2,0),"-")</f>
        <v>Transporte peajes - Ventas</v>
      </c>
    </row>
    <row r="165" spans="1:28" s="84" customFormat="1" ht="27" customHeight="1" x14ac:dyDescent="0.3">
      <c r="A165" s="75" t="s">
        <v>349</v>
      </c>
      <c r="B165" s="36" t="str">
        <f t="shared" si="2"/>
        <v>Junio</v>
      </c>
      <c r="C165" s="77" t="s">
        <v>162</v>
      </c>
      <c r="D165" s="77" t="s">
        <v>783</v>
      </c>
      <c r="E16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65" s="79" t="s">
        <v>217</v>
      </c>
      <c r="G165" s="79" t="s">
        <v>218</v>
      </c>
      <c r="H165" s="140" t="s">
        <v>784</v>
      </c>
      <c r="I165" s="77" t="s">
        <v>264</v>
      </c>
      <c r="J165" s="144" t="s">
        <v>265</v>
      </c>
      <c r="K165" s="77" t="s">
        <v>169</v>
      </c>
      <c r="L165" s="103" t="str">
        <f>VLOOKUP(Anexo_4[[#This Row],[cod_doc]],TIPODOC,2,FALSE)</f>
        <v>FACTURA</v>
      </c>
      <c r="M165" s="77" t="s">
        <v>352</v>
      </c>
      <c r="N165" s="79">
        <v>1773643</v>
      </c>
      <c r="O165" s="80">
        <v>6.78</v>
      </c>
      <c r="P165" s="81" t="s">
        <v>171</v>
      </c>
      <c r="Q165" s="81">
        <v>1.2203999999999999</v>
      </c>
      <c r="R165" s="80" t="s">
        <v>171</v>
      </c>
      <c r="S165" s="80">
        <v>0</v>
      </c>
      <c r="T165" s="82">
        <v>8</v>
      </c>
      <c r="U165" s="77"/>
      <c r="V165" s="75"/>
      <c r="W165" s="77"/>
      <c r="X165" s="77"/>
      <c r="Y165" s="77" t="s">
        <v>785</v>
      </c>
      <c r="Z165" s="77" t="s">
        <v>268</v>
      </c>
      <c r="AA165" s="83" t="s">
        <v>784</v>
      </c>
      <c r="AB165" s="104" t="str">
        <f>IFERROR(VLOOKUP(Anexo_4[[#This Row],[cuenta]],OP,2,0),"-")</f>
        <v>Transporte peajes - Ventas</v>
      </c>
    </row>
    <row r="166" spans="1:28" s="84" customFormat="1" ht="27" customHeight="1" x14ac:dyDescent="0.3">
      <c r="A166" s="75" t="s">
        <v>533</v>
      </c>
      <c r="B166" s="36" t="str">
        <f t="shared" si="2"/>
        <v>Junio</v>
      </c>
      <c r="C166" s="77" t="s">
        <v>162</v>
      </c>
      <c r="D166" s="77" t="s">
        <v>786</v>
      </c>
      <c r="E16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66" s="79" t="s">
        <v>217</v>
      </c>
      <c r="G166" s="79" t="s">
        <v>218</v>
      </c>
      <c r="H166" s="140" t="s">
        <v>787</v>
      </c>
      <c r="I166" s="77" t="s">
        <v>264</v>
      </c>
      <c r="J166" s="144" t="s">
        <v>265</v>
      </c>
      <c r="K166" s="77" t="s">
        <v>169</v>
      </c>
      <c r="L166" s="103" t="str">
        <f>VLOOKUP(Anexo_4[[#This Row],[cod_doc]],TIPODOC,2,FALSE)</f>
        <v>FACTURA</v>
      </c>
      <c r="M166" s="77" t="s">
        <v>406</v>
      </c>
      <c r="N166" s="79">
        <v>2361629</v>
      </c>
      <c r="O166" s="80">
        <v>6.78</v>
      </c>
      <c r="P166" s="81" t="s">
        <v>171</v>
      </c>
      <c r="Q166" s="81">
        <v>1.2203999999999999</v>
      </c>
      <c r="R166" s="80" t="s">
        <v>171</v>
      </c>
      <c r="S166" s="80">
        <v>0</v>
      </c>
      <c r="T166" s="82">
        <v>8</v>
      </c>
      <c r="U166" s="77"/>
      <c r="V166" s="75"/>
      <c r="W166" s="77"/>
      <c r="X166" s="77"/>
      <c r="Y166" s="77" t="s">
        <v>788</v>
      </c>
      <c r="Z166" s="77" t="s">
        <v>302</v>
      </c>
      <c r="AA166" s="83" t="s">
        <v>787</v>
      </c>
      <c r="AB166" s="104" t="str">
        <f>IFERROR(VLOOKUP(Anexo_4[[#This Row],[cuenta]],OP,2,0),"-")</f>
        <v>Transporte peajes - Servicios</v>
      </c>
    </row>
    <row r="167" spans="1:28" s="84" customFormat="1" ht="27" customHeight="1" x14ac:dyDescent="0.3">
      <c r="A167" s="75" t="s">
        <v>533</v>
      </c>
      <c r="B167" s="36" t="str">
        <f t="shared" si="2"/>
        <v>Junio</v>
      </c>
      <c r="C167" s="77" t="s">
        <v>162</v>
      </c>
      <c r="D167" s="77" t="s">
        <v>789</v>
      </c>
      <c r="E167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67" s="79" t="s">
        <v>217</v>
      </c>
      <c r="G167" s="79" t="s">
        <v>218</v>
      </c>
      <c r="H167" s="140" t="s">
        <v>790</v>
      </c>
      <c r="I167" s="77" t="s">
        <v>264</v>
      </c>
      <c r="J167" s="144" t="s">
        <v>265</v>
      </c>
      <c r="K167" s="77" t="s">
        <v>169</v>
      </c>
      <c r="L167" s="103" t="str">
        <f>VLOOKUP(Anexo_4[[#This Row],[cod_doc]],TIPODOC,2,FALSE)</f>
        <v>FACTURA</v>
      </c>
      <c r="M167" s="77" t="s">
        <v>379</v>
      </c>
      <c r="N167" s="79">
        <v>2077542</v>
      </c>
      <c r="O167" s="80">
        <v>6.78</v>
      </c>
      <c r="P167" s="81" t="s">
        <v>171</v>
      </c>
      <c r="Q167" s="81">
        <v>1.2203999999999999</v>
      </c>
      <c r="R167" s="80" t="s">
        <v>171</v>
      </c>
      <c r="S167" s="80">
        <v>0</v>
      </c>
      <c r="T167" s="82">
        <v>8</v>
      </c>
      <c r="U167" s="77"/>
      <c r="V167" s="75"/>
      <c r="W167" s="77"/>
      <c r="X167" s="77"/>
      <c r="Y167" s="77" t="s">
        <v>791</v>
      </c>
      <c r="Z167" s="77" t="s">
        <v>302</v>
      </c>
      <c r="AA167" s="83" t="s">
        <v>790</v>
      </c>
      <c r="AB167" s="104" t="str">
        <f>IFERROR(VLOOKUP(Anexo_4[[#This Row],[cuenta]],OP,2,0),"-")</f>
        <v>Transporte peajes - Servicios</v>
      </c>
    </row>
    <row r="168" spans="1:28" s="84" customFormat="1" ht="27" customHeight="1" x14ac:dyDescent="0.3">
      <c r="A168" s="75" t="s">
        <v>533</v>
      </c>
      <c r="B168" s="36" t="str">
        <f t="shared" si="2"/>
        <v>Junio</v>
      </c>
      <c r="C168" s="77" t="s">
        <v>162</v>
      </c>
      <c r="D168" s="77" t="s">
        <v>792</v>
      </c>
      <c r="E168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68" s="79" t="s">
        <v>217</v>
      </c>
      <c r="G168" s="79" t="s">
        <v>218</v>
      </c>
      <c r="H168" s="140" t="s">
        <v>793</v>
      </c>
      <c r="I168" s="77" t="s">
        <v>264</v>
      </c>
      <c r="J168" s="144" t="s">
        <v>265</v>
      </c>
      <c r="K168" s="77" t="s">
        <v>169</v>
      </c>
      <c r="L168" s="103" t="str">
        <f>VLOOKUP(Anexo_4[[#This Row],[cod_doc]],TIPODOC,2,FALSE)</f>
        <v>FACTURA</v>
      </c>
      <c r="M168" s="77" t="s">
        <v>406</v>
      </c>
      <c r="N168" s="79">
        <v>2361341</v>
      </c>
      <c r="O168" s="80">
        <v>6.78</v>
      </c>
      <c r="P168" s="81" t="s">
        <v>171</v>
      </c>
      <c r="Q168" s="81">
        <v>1.2203999999999999</v>
      </c>
      <c r="R168" s="80" t="s">
        <v>171</v>
      </c>
      <c r="S168" s="80">
        <v>0</v>
      </c>
      <c r="T168" s="82">
        <v>8</v>
      </c>
      <c r="U168" s="77"/>
      <c r="V168" s="75"/>
      <c r="W168" s="77"/>
      <c r="X168" s="77"/>
      <c r="Y168" s="77" t="s">
        <v>794</v>
      </c>
      <c r="Z168" s="77" t="s">
        <v>302</v>
      </c>
      <c r="AA168" s="83" t="s">
        <v>793</v>
      </c>
      <c r="AB168" s="104" t="str">
        <f>IFERROR(VLOOKUP(Anexo_4[[#This Row],[cuenta]],OP,2,0),"-")</f>
        <v>Transporte peajes - Servicios</v>
      </c>
    </row>
    <row r="169" spans="1:28" s="84" customFormat="1" ht="27" customHeight="1" x14ac:dyDescent="0.3">
      <c r="A169" s="75" t="s">
        <v>533</v>
      </c>
      <c r="B169" s="36" t="str">
        <f t="shared" si="2"/>
        <v>Junio</v>
      </c>
      <c r="C169" s="77" t="s">
        <v>162</v>
      </c>
      <c r="D169" s="77" t="s">
        <v>795</v>
      </c>
      <c r="E169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69" s="79" t="s">
        <v>217</v>
      </c>
      <c r="G169" s="79" t="s">
        <v>218</v>
      </c>
      <c r="H169" s="140" t="s">
        <v>796</v>
      </c>
      <c r="I169" s="77" t="s">
        <v>264</v>
      </c>
      <c r="J169" s="144" t="s">
        <v>265</v>
      </c>
      <c r="K169" s="77" t="s">
        <v>169</v>
      </c>
      <c r="L169" s="103" t="str">
        <f>VLOOKUP(Anexo_4[[#This Row],[cod_doc]],TIPODOC,2,FALSE)</f>
        <v>FACTURA</v>
      </c>
      <c r="M169" s="77" t="s">
        <v>352</v>
      </c>
      <c r="N169" s="79">
        <v>1774271</v>
      </c>
      <c r="O169" s="80">
        <v>6.78</v>
      </c>
      <c r="P169" s="81" t="s">
        <v>171</v>
      </c>
      <c r="Q169" s="81">
        <v>1.2203999999999999</v>
      </c>
      <c r="R169" s="80" t="s">
        <v>171</v>
      </c>
      <c r="S169" s="80">
        <v>0</v>
      </c>
      <c r="T169" s="82">
        <v>8</v>
      </c>
      <c r="U169" s="77"/>
      <c r="V169" s="75"/>
      <c r="W169" s="77"/>
      <c r="X169" s="77"/>
      <c r="Y169" s="77" t="s">
        <v>797</v>
      </c>
      <c r="Z169" s="77" t="s">
        <v>302</v>
      </c>
      <c r="AA169" s="83" t="s">
        <v>796</v>
      </c>
      <c r="AB169" s="104" t="str">
        <f>IFERROR(VLOOKUP(Anexo_4[[#This Row],[cuenta]],OP,2,0),"-")</f>
        <v>Transporte peajes - Servicios</v>
      </c>
    </row>
    <row r="170" spans="1:28" s="84" customFormat="1" ht="27" customHeight="1" x14ac:dyDescent="0.3">
      <c r="A170" s="75" t="s">
        <v>540</v>
      </c>
      <c r="B170" s="36" t="str">
        <f t="shared" si="2"/>
        <v>Junio</v>
      </c>
      <c r="C170" s="77" t="s">
        <v>162</v>
      </c>
      <c r="D170" s="77" t="s">
        <v>798</v>
      </c>
      <c r="E170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70" s="79" t="s">
        <v>217</v>
      </c>
      <c r="G170" s="79" t="s">
        <v>218</v>
      </c>
      <c r="H170" s="140" t="s">
        <v>799</v>
      </c>
      <c r="I170" s="77" t="s">
        <v>264</v>
      </c>
      <c r="J170" s="144" t="s">
        <v>265</v>
      </c>
      <c r="K170" s="77" t="s">
        <v>169</v>
      </c>
      <c r="L170" s="103" t="str">
        <f>VLOOKUP(Anexo_4[[#This Row],[cod_doc]],TIPODOC,2,FALSE)</f>
        <v>FACTURA</v>
      </c>
      <c r="M170" s="77" t="s">
        <v>406</v>
      </c>
      <c r="N170" s="79">
        <v>2362609</v>
      </c>
      <c r="O170" s="80">
        <v>6.78</v>
      </c>
      <c r="P170" s="81" t="s">
        <v>171</v>
      </c>
      <c r="Q170" s="81">
        <v>1.2203999999999999</v>
      </c>
      <c r="R170" s="80" t="s">
        <v>171</v>
      </c>
      <c r="S170" s="80">
        <v>0</v>
      </c>
      <c r="T170" s="82">
        <v>8</v>
      </c>
      <c r="U170" s="77"/>
      <c r="V170" s="75"/>
      <c r="W170" s="77"/>
      <c r="X170" s="77"/>
      <c r="Y170" s="77" t="s">
        <v>800</v>
      </c>
      <c r="Z170" s="77" t="s">
        <v>268</v>
      </c>
      <c r="AA170" s="83" t="s">
        <v>799</v>
      </c>
      <c r="AB170" s="104" t="str">
        <f>IFERROR(VLOOKUP(Anexo_4[[#This Row],[cuenta]],OP,2,0),"-")</f>
        <v>Transporte peajes - Ventas</v>
      </c>
    </row>
    <row r="171" spans="1:28" s="84" customFormat="1" ht="27" customHeight="1" x14ac:dyDescent="0.3">
      <c r="A171" s="75" t="s">
        <v>540</v>
      </c>
      <c r="B171" s="36" t="str">
        <f t="shared" si="2"/>
        <v>Junio</v>
      </c>
      <c r="C171" s="77" t="s">
        <v>162</v>
      </c>
      <c r="D171" s="77" t="s">
        <v>801</v>
      </c>
      <c r="E17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71" s="79" t="s">
        <v>217</v>
      </c>
      <c r="G171" s="79" t="s">
        <v>218</v>
      </c>
      <c r="H171" s="140" t="s">
        <v>802</v>
      </c>
      <c r="I171" s="77" t="s">
        <v>264</v>
      </c>
      <c r="J171" s="144" t="s">
        <v>265</v>
      </c>
      <c r="K171" s="77" t="s">
        <v>169</v>
      </c>
      <c r="L171" s="103" t="str">
        <f>VLOOKUP(Anexo_4[[#This Row],[cod_doc]],TIPODOC,2,FALSE)</f>
        <v>FACTURA</v>
      </c>
      <c r="M171" s="77" t="s">
        <v>379</v>
      </c>
      <c r="N171" s="79">
        <v>2078583</v>
      </c>
      <c r="O171" s="80">
        <v>6.78</v>
      </c>
      <c r="P171" s="81" t="s">
        <v>171</v>
      </c>
      <c r="Q171" s="81">
        <v>1.2203999999999999</v>
      </c>
      <c r="R171" s="80" t="s">
        <v>171</v>
      </c>
      <c r="S171" s="80">
        <v>0</v>
      </c>
      <c r="T171" s="82">
        <v>8</v>
      </c>
      <c r="U171" s="77"/>
      <c r="V171" s="75"/>
      <c r="W171" s="77"/>
      <c r="X171" s="77"/>
      <c r="Y171" s="77" t="s">
        <v>803</v>
      </c>
      <c r="Z171" s="77" t="s">
        <v>268</v>
      </c>
      <c r="AA171" s="83" t="s">
        <v>802</v>
      </c>
      <c r="AB171" s="104" t="str">
        <f>IFERROR(VLOOKUP(Anexo_4[[#This Row],[cuenta]],OP,2,0),"-")</f>
        <v>Transporte peajes - Ventas</v>
      </c>
    </row>
    <row r="172" spans="1:28" s="84" customFormat="1" ht="27" customHeight="1" x14ac:dyDescent="0.3">
      <c r="A172" s="75" t="s">
        <v>685</v>
      </c>
      <c r="B172" s="36" t="str">
        <f t="shared" si="2"/>
        <v>Junio</v>
      </c>
      <c r="C172" s="77" t="s">
        <v>162</v>
      </c>
      <c r="D172" s="77" t="s">
        <v>804</v>
      </c>
      <c r="E17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72" s="79" t="s">
        <v>217</v>
      </c>
      <c r="G172" s="79" t="s">
        <v>218</v>
      </c>
      <c r="H172" s="140" t="s">
        <v>805</v>
      </c>
      <c r="I172" s="77" t="s">
        <v>264</v>
      </c>
      <c r="J172" s="144" t="s">
        <v>265</v>
      </c>
      <c r="K172" s="77" t="s">
        <v>169</v>
      </c>
      <c r="L172" s="103" t="str">
        <f>VLOOKUP(Anexo_4[[#This Row],[cod_doc]],TIPODOC,2,FALSE)</f>
        <v>FACTURA</v>
      </c>
      <c r="M172" s="77" t="s">
        <v>406</v>
      </c>
      <c r="N172" s="79">
        <v>2363758</v>
      </c>
      <c r="O172" s="80">
        <v>6.78</v>
      </c>
      <c r="P172" s="81" t="s">
        <v>171</v>
      </c>
      <c r="Q172" s="81">
        <v>1.2203999999999999</v>
      </c>
      <c r="R172" s="80" t="s">
        <v>171</v>
      </c>
      <c r="S172" s="80">
        <v>0</v>
      </c>
      <c r="T172" s="82">
        <v>8</v>
      </c>
      <c r="U172" s="77"/>
      <c r="V172" s="75"/>
      <c r="W172" s="77"/>
      <c r="X172" s="77"/>
      <c r="Y172" s="77" t="s">
        <v>806</v>
      </c>
      <c r="Z172" s="77" t="s">
        <v>268</v>
      </c>
      <c r="AA172" s="83" t="s">
        <v>805</v>
      </c>
      <c r="AB172" s="104" t="str">
        <f>IFERROR(VLOOKUP(Anexo_4[[#This Row],[cuenta]],OP,2,0),"-")</f>
        <v>Transporte peajes - Ventas</v>
      </c>
    </row>
    <row r="173" spans="1:28" s="84" customFormat="1" ht="27" customHeight="1" x14ac:dyDescent="0.3">
      <c r="A173" s="75" t="s">
        <v>685</v>
      </c>
      <c r="B173" s="36" t="str">
        <f t="shared" si="2"/>
        <v>Junio</v>
      </c>
      <c r="C173" s="77" t="s">
        <v>162</v>
      </c>
      <c r="D173" s="77" t="s">
        <v>807</v>
      </c>
      <c r="E173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73" s="79" t="s">
        <v>217</v>
      </c>
      <c r="G173" s="79" t="s">
        <v>218</v>
      </c>
      <c r="H173" s="140" t="s">
        <v>808</v>
      </c>
      <c r="I173" s="77" t="s">
        <v>264</v>
      </c>
      <c r="J173" s="144" t="s">
        <v>265</v>
      </c>
      <c r="K173" s="77" t="s">
        <v>169</v>
      </c>
      <c r="L173" s="103" t="str">
        <f>VLOOKUP(Anexo_4[[#This Row],[cod_doc]],TIPODOC,2,FALSE)</f>
        <v>FACTURA</v>
      </c>
      <c r="M173" s="77" t="s">
        <v>379</v>
      </c>
      <c r="N173" s="79">
        <v>2079878</v>
      </c>
      <c r="O173" s="80">
        <v>6.78</v>
      </c>
      <c r="P173" s="81" t="s">
        <v>171</v>
      </c>
      <c r="Q173" s="81">
        <v>1.2203999999999999</v>
      </c>
      <c r="R173" s="80" t="s">
        <v>171</v>
      </c>
      <c r="S173" s="80">
        <v>0</v>
      </c>
      <c r="T173" s="82">
        <v>8</v>
      </c>
      <c r="U173" s="77"/>
      <c r="V173" s="75"/>
      <c r="W173" s="77"/>
      <c r="X173" s="77"/>
      <c r="Y173" s="77" t="s">
        <v>809</v>
      </c>
      <c r="Z173" s="77" t="s">
        <v>268</v>
      </c>
      <c r="AA173" s="83" t="s">
        <v>808</v>
      </c>
      <c r="AB173" s="104" t="str">
        <f>IFERROR(VLOOKUP(Anexo_4[[#This Row],[cuenta]],OP,2,0),"-")</f>
        <v>Transporte peajes - Ventas</v>
      </c>
    </row>
    <row r="174" spans="1:28" s="84" customFormat="1" ht="27" customHeight="1" x14ac:dyDescent="0.3">
      <c r="A174" s="75" t="s">
        <v>738</v>
      </c>
      <c r="B174" s="36" t="str">
        <f t="shared" si="2"/>
        <v>Junio</v>
      </c>
      <c r="C174" s="77" t="s">
        <v>162</v>
      </c>
      <c r="D174" s="77" t="s">
        <v>810</v>
      </c>
      <c r="E174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74" s="79" t="s">
        <v>217</v>
      </c>
      <c r="G174" s="79" t="s">
        <v>218</v>
      </c>
      <c r="H174" s="140" t="s">
        <v>811</v>
      </c>
      <c r="I174" s="77" t="s">
        <v>264</v>
      </c>
      <c r="J174" s="144" t="s">
        <v>265</v>
      </c>
      <c r="K174" s="77" t="s">
        <v>169</v>
      </c>
      <c r="L174" s="103" t="str">
        <f>VLOOKUP(Anexo_4[[#This Row],[cod_doc]],TIPODOC,2,FALSE)</f>
        <v>FACTURA</v>
      </c>
      <c r="M174" s="77" t="s">
        <v>406</v>
      </c>
      <c r="N174" s="79">
        <v>2365082</v>
      </c>
      <c r="O174" s="80">
        <v>6.78</v>
      </c>
      <c r="P174" s="81" t="s">
        <v>171</v>
      </c>
      <c r="Q174" s="81">
        <v>1.2203999999999999</v>
      </c>
      <c r="R174" s="80" t="s">
        <v>171</v>
      </c>
      <c r="S174" s="80">
        <v>0</v>
      </c>
      <c r="T174" s="82">
        <v>8</v>
      </c>
      <c r="U174" s="77"/>
      <c r="V174" s="75"/>
      <c r="W174" s="77"/>
      <c r="X174" s="77"/>
      <c r="Y174" s="77" t="s">
        <v>812</v>
      </c>
      <c r="Z174" s="77" t="s">
        <v>268</v>
      </c>
      <c r="AA174" s="83" t="s">
        <v>811</v>
      </c>
      <c r="AB174" s="104" t="str">
        <f>IFERROR(VLOOKUP(Anexo_4[[#This Row],[cuenta]],OP,2,0),"-")</f>
        <v>Transporte peajes - Ventas</v>
      </c>
    </row>
    <row r="175" spans="1:28" s="84" customFormat="1" ht="27" customHeight="1" x14ac:dyDescent="0.3">
      <c r="A175" s="75" t="s">
        <v>738</v>
      </c>
      <c r="B175" s="36" t="str">
        <f t="shared" si="2"/>
        <v>Junio</v>
      </c>
      <c r="C175" s="77" t="s">
        <v>162</v>
      </c>
      <c r="D175" s="77" t="s">
        <v>813</v>
      </c>
      <c r="E17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75" s="79" t="s">
        <v>217</v>
      </c>
      <c r="G175" s="79" t="s">
        <v>218</v>
      </c>
      <c r="H175" s="140" t="s">
        <v>814</v>
      </c>
      <c r="I175" s="77" t="s">
        <v>264</v>
      </c>
      <c r="J175" s="144" t="s">
        <v>265</v>
      </c>
      <c r="K175" s="77" t="s">
        <v>169</v>
      </c>
      <c r="L175" s="103" t="str">
        <f>VLOOKUP(Anexo_4[[#This Row],[cod_doc]],TIPODOC,2,FALSE)</f>
        <v>FACTURA</v>
      </c>
      <c r="M175" s="77" t="s">
        <v>352</v>
      </c>
      <c r="N175" s="79">
        <v>1777760</v>
      </c>
      <c r="O175" s="80">
        <v>6.78</v>
      </c>
      <c r="P175" s="81" t="s">
        <v>171</v>
      </c>
      <c r="Q175" s="81">
        <v>1.2203999999999999</v>
      </c>
      <c r="R175" s="80" t="s">
        <v>171</v>
      </c>
      <c r="S175" s="80">
        <v>0</v>
      </c>
      <c r="T175" s="82">
        <v>8</v>
      </c>
      <c r="U175" s="77"/>
      <c r="V175" s="75"/>
      <c r="W175" s="77"/>
      <c r="X175" s="77"/>
      <c r="Y175" s="77" t="s">
        <v>815</v>
      </c>
      <c r="Z175" s="77" t="s">
        <v>268</v>
      </c>
      <c r="AA175" s="83" t="s">
        <v>814</v>
      </c>
      <c r="AB175" s="104" t="str">
        <f>IFERROR(VLOOKUP(Anexo_4[[#This Row],[cuenta]],OP,2,0),"-")</f>
        <v>Transporte peajes - Ventas</v>
      </c>
    </row>
    <row r="176" spans="1:28" s="84" customFormat="1" ht="27" customHeight="1" x14ac:dyDescent="0.3">
      <c r="A176" s="75" t="s">
        <v>685</v>
      </c>
      <c r="B176" s="36" t="str">
        <f t="shared" si="2"/>
        <v>Junio</v>
      </c>
      <c r="C176" s="77" t="s">
        <v>162</v>
      </c>
      <c r="D176" s="77" t="s">
        <v>816</v>
      </c>
      <c r="E17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76" s="79" t="s">
        <v>217</v>
      </c>
      <c r="G176" s="79" t="s">
        <v>218</v>
      </c>
      <c r="H176" s="140" t="s">
        <v>817</v>
      </c>
      <c r="I176" s="77" t="s">
        <v>383</v>
      </c>
      <c r="J176" s="144" t="s">
        <v>384</v>
      </c>
      <c r="K176" s="77" t="s">
        <v>169</v>
      </c>
      <c r="L176" s="103" t="str">
        <f>VLOOKUP(Anexo_4[[#This Row],[cod_doc]],TIPODOC,2,FALSE)</f>
        <v>FACTURA</v>
      </c>
      <c r="M176" s="77" t="s">
        <v>103</v>
      </c>
      <c r="N176" s="79">
        <v>16633</v>
      </c>
      <c r="O176" s="80">
        <v>16.95</v>
      </c>
      <c r="P176" s="81" t="s">
        <v>171</v>
      </c>
      <c r="Q176" s="81">
        <v>3.0509999999999997</v>
      </c>
      <c r="R176" s="80" t="s">
        <v>171</v>
      </c>
      <c r="S176" s="80">
        <v>0</v>
      </c>
      <c r="T176" s="82">
        <v>20</v>
      </c>
      <c r="U176" s="77"/>
      <c r="V176" s="75"/>
      <c r="W176" s="77"/>
      <c r="X176" s="77"/>
      <c r="Y176" s="77" t="s">
        <v>818</v>
      </c>
      <c r="Z176" s="77" t="s">
        <v>182</v>
      </c>
      <c r="AA176" s="83" t="s">
        <v>817</v>
      </c>
      <c r="AB176" s="104" t="str">
        <f>IFERROR(VLOOKUP(Anexo_4[[#This Row],[cuenta]],OP,2,0),"-")</f>
        <v>Balanza - Ventas</v>
      </c>
    </row>
    <row r="177" spans="1:28" s="84" customFormat="1" ht="27" customHeight="1" x14ac:dyDescent="0.3">
      <c r="A177" s="75" t="s">
        <v>738</v>
      </c>
      <c r="B177" s="36" t="str">
        <f t="shared" si="2"/>
        <v>Junio</v>
      </c>
      <c r="C177" s="77" t="s">
        <v>162</v>
      </c>
      <c r="D177" s="77" t="s">
        <v>819</v>
      </c>
      <c r="E177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77" s="79" t="s">
        <v>217</v>
      </c>
      <c r="G177" s="79" t="s">
        <v>218</v>
      </c>
      <c r="H177" s="140" t="s">
        <v>820</v>
      </c>
      <c r="I177" s="77" t="s">
        <v>383</v>
      </c>
      <c r="J177" s="144" t="s">
        <v>384</v>
      </c>
      <c r="K177" s="77" t="s">
        <v>169</v>
      </c>
      <c r="L177" s="103" t="str">
        <f>VLOOKUP(Anexo_4[[#This Row],[cod_doc]],TIPODOC,2,FALSE)</f>
        <v>FACTURA</v>
      </c>
      <c r="M177" s="77" t="s">
        <v>103</v>
      </c>
      <c r="N177" s="79">
        <v>16639</v>
      </c>
      <c r="O177" s="80">
        <v>16.95</v>
      </c>
      <c r="P177" s="81" t="s">
        <v>171</v>
      </c>
      <c r="Q177" s="81">
        <v>3.0509999999999997</v>
      </c>
      <c r="R177" s="80" t="s">
        <v>171</v>
      </c>
      <c r="S177" s="80">
        <v>0</v>
      </c>
      <c r="T177" s="82">
        <v>20</v>
      </c>
      <c r="U177" s="77"/>
      <c r="V177" s="75"/>
      <c r="W177" s="77"/>
      <c r="X177" s="77"/>
      <c r="Y177" s="77" t="s">
        <v>821</v>
      </c>
      <c r="Z177" s="77" t="s">
        <v>386</v>
      </c>
      <c r="AA177" s="83" t="s">
        <v>820</v>
      </c>
      <c r="AB177" s="104" t="str">
        <f>IFERROR(VLOOKUP(Anexo_4[[#This Row],[cuenta]],OP,2,0),"-")</f>
        <v>Balanza - Servicios</v>
      </c>
    </row>
    <row r="178" spans="1:28" s="84" customFormat="1" ht="27" customHeight="1" x14ac:dyDescent="0.3">
      <c r="A178" s="75" t="s">
        <v>533</v>
      </c>
      <c r="B178" s="36" t="str">
        <f t="shared" si="2"/>
        <v>Junio</v>
      </c>
      <c r="C178" s="77" t="s">
        <v>162</v>
      </c>
      <c r="D178" s="77" t="s">
        <v>822</v>
      </c>
      <c r="E178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78" s="79" t="s">
        <v>823</v>
      </c>
      <c r="G178" s="79" t="s">
        <v>824</v>
      </c>
      <c r="H178" s="140" t="s">
        <v>825</v>
      </c>
      <c r="I178" s="77" t="s">
        <v>826</v>
      </c>
      <c r="J178" s="144" t="s">
        <v>827</v>
      </c>
      <c r="K178" s="77" t="s">
        <v>169</v>
      </c>
      <c r="L178" s="103" t="str">
        <f>VLOOKUP(Anexo_4[[#This Row],[cod_doc]],TIPODOC,2,FALSE)</f>
        <v>FACTURA</v>
      </c>
      <c r="M178" s="77" t="s">
        <v>828</v>
      </c>
      <c r="N178" s="79">
        <v>656</v>
      </c>
      <c r="O178" s="80">
        <v>101.69</v>
      </c>
      <c r="P178" s="81" t="s">
        <v>171</v>
      </c>
      <c r="Q178" s="81">
        <v>18.304199999999998</v>
      </c>
      <c r="R178" s="80" t="s">
        <v>171</v>
      </c>
      <c r="S178" s="80">
        <v>0</v>
      </c>
      <c r="T178" s="82">
        <v>120</v>
      </c>
      <c r="U178" s="77"/>
      <c r="V178" s="75"/>
      <c r="W178" s="77"/>
      <c r="X178" s="77"/>
      <c r="Y178" s="77"/>
      <c r="Z178" s="77" t="s">
        <v>829</v>
      </c>
      <c r="AA178" s="83" t="s">
        <v>825</v>
      </c>
      <c r="AB178" s="104" t="str">
        <f>IFERROR(VLOOKUP(Anexo_4[[#This Row],[cuenta]],OP,2,0),"-")</f>
        <v>-</v>
      </c>
    </row>
    <row r="179" spans="1:28" s="84" customFormat="1" ht="27" customHeight="1" x14ac:dyDescent="0.3">
      <c r="A179" s="75" t="s">
        <v>533</v>
      </c>
      <c r="B179" s="36" t="str">
        <f t="shared" si="2"/>
        <v>Junio</v>
      </c>
      <c r="C179" s="77" t="s">
        <v>162</v>
      </c>
      <c r="D179" s="77" t="s">
        <v>830</v>
      </c>
      <c r="E179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79" s="79" t="s">
        <v>823</v>
      </c>
      <c r="G179" s="79" t="s">
        <v>824</v>
      </c>
      <c r="H179" s="140" t="s">
        <v>831</v>
      </c>
      <c r="I179" s="77" t="s">
        <v>832</v>
      </c>
      <c r="J179" s="144" t="s">
        <v>833</v>
      </c>
      <c r="K179" s="77" t="s">
        <v>169</v>
      </c>
      <c r="L179" s="103" t="str">
        <f>VLOOKUP(Anexo_4[[#This Row],[cod_doc]],TIPODOC,2,FALSE)</f>
        <v>FACTURA</v>
      </c>
      <c r="M179" s="77" t="s">
        <v>222</v>
      </c>
      <c r="N179" s="79">
        <v>1541</v>
      </c>
      <c r="O179" s="80">
        <v>102.12</v>
      </c>
      <c r="P179" s="81" t="s">
        <v>171</v>
      </c>
      <c r="Q179" s="81">
        <v>18.381599999999999</v>
      </c>
      <c r="R179" s="80" t="s">
        <v>171</v>
      </c>
      <c r="S179" s="80">
        <v>0</v>
      </c>
      <c r="T179" s="82">
        <v>120.5</v>
      </c>
      <c r="U179" s="77"/>
      <c r="V179" s="75"/>
      <c r="W179" s="77"/>
      <c r="X179" s="77"/>
      <c r="Y179" s="77"/>
      <c r="Z179" s="77" t="s">
        <v>829</v>
      </c>
      <c r="AA179" s="83" t="s">
        <v>831</v>
      </c>
      <c r="AB179" s="104" t="str">
        <f>IFERROR(VLOOKUP(Anexo_4[[#This Row],[cuenta]],OP,2,0),"-")</f>
        <v>-</v>
      </c>
    </row>
    <row r="180" spans="1:28" s="84" customFormat="1" ht="27" customHeight="1" x14ac:dyDescent="0.3">
      <c r="A180" s="75" t="s">
        <v>309</v>
      </c>
      <c r="B180" s="36" t="str">
        <f t="shared" si="2"/>
        <v>Junio</v>
      </c>
      <c r="C180" s="77" t="s">
        <v>162</v>
      </c>
      <c r="D180" s="77" t="s">
        <v>834</v>
      </c>
      <c r="E180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80" s="79" t="s">
        <v>355</v>
      </c>
      <c r="G180" s="79" t="s">
        <v>356</v>
      </c>
      <c r="H180" s="140" t="s">
        <v>835</v>
      </c>
      <c r="I180" s="77" t="s">
        <v>464</v>
      </c>
      <c r="J180" s="144" t="s">
        <v>465</v>
      </c>
      <c r="K180" s="77" t="s">
        <v>169</v>
      </c>
      <c r="L180" s="103" t="str">
        <f>VLOOKUP(Anexo_4[[#This Row],[cod_doc]],TIPODOC,2,FALSE)</f>
        <v>FACTURA</v>
      </c>
      <c r="M180" s="77" t="s">
        <v>102</v>
      </c>
      <c r="N180" s="79">
        <v>5</v>
      </c>
      <c r="O180" s="80">
        <v>338.99</v>
      </c>
      <c r="P180" s="81" t="s">
        <v>171</v>
      </c>
      <c r="Q180" s="81">
        <v>61.0182</v>
      </c>
      <c r="R180" s="80" t="s">
        <v>171</v>
      </c>
      <c r="S180" s="80">
        <v>0</v>
      </c>
      <c r="T180" s="82">
        <v>400.01</v>
      </c>
      <c r="U180" s="77" t="s">
        <v>836</v>
      </c>
      <c r="V180" s="75" t="s">
        <v>467</v>
      </c>
      <c r="W180" s="77"/>
      <c r="X180" s="77"/>
      <c r="Y180" s="77"/>
      <c r="Z180" s="77" t="s">
        <v>468</v>
      </c>
      <c r="AA180" s="83" t="s">
        <v>835</v>
      </c>
      <c r="AB180" s="104" t="str">
        <f>IFERROR(VLOOKUP(Anexo_4[[#This Row],[cuenta]],OP,2,0),"-")</f>
        <v>Transporte de Carga  - Ventas</v>
      </c>
    </row>
    <row r="181" spans="1:28" s="84" customFormat="1" ht="27" customHeight="1" x14ac:dyDescent="0.3">
      <c r="A181" s="75" t="s">
        <v>540</v>
      </c>
      <c r="B181" s="36" t="str">
        <f t="shared" si="2"/>
        <v>Junio</v>
      </c>
      <c r="C181" s="77" t="s">
        <v>162</v>
      </c>
      <c r="D181" s="77" t="s">
        <v>837</v>
      </c>
      <c r="E18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81" s="79" t="s">
        <v>355</v>
      </c>
      <c r="G181" s="79" t="s">
        <v>356</v>
      </c>
      <c r="H181" s="140" t="s">
        <v>838</v>
      </c>
      <c r="I181" s="77" t="s">
        <v>839</v>
      </c>
      <c r="J181" s="144" t="s">
        <v>840</v>
      </c>
      <c r="K181" s="77" t="s">
        <v>169</v>
      </c>
      <c r="L181" s="103" t="str">
        <f>VLOOKUP(Anexo_4[[#This Row],[cod_doc]],TIPODOC,2,FALSE)</f>
        <v>FACTURA</v>
      </c>
      <c r="M181" s="77" t="s">
        <v>102</v>
      </c>
      <c r="N181" s="79">
        <v>3235</v>
      </c>
      <c r="O181" s="80">
        <v>554.24</v>
      </c>
      <c r="P181" s="81" t="s">
        <v>171</v>
      </c>
      <c r="Q181" s="81">
        <v>99.763199999999998</v>
      </c>
      <c r="R181" s="80" t="s">
        <v>171</v>
      </c>
      <c r="S181" s="80">
        <v>0</v>
      </c>
      <c r="T181" s="82">
        <v>654</v>
      </c>
      <c r="U181" s="77"/>
      <c r="V181" s="75"/>
      <c r="W181" s="77"/>
      <c r="X181" s="77"/>
      <c r="Y181" s="77"/>
      <c r="Z181" s="77" t="s">
        <v>223</v>
      </c>
      <c r="AA181" s="83" t="s">
        <v>838</v>
      </c>
      <c r="AB181" s="104" t="str">
        <f>IFERROR(VLOOKUP(Anexo_4[[#This Row],[cuenta]],OP,2,0),"-")</f>
        <v>Mantenimiento Vehicular (Preventivo)</v>
      </c>
    </row>
    <row r="182" spans="1:28" s="84" customFormat="1" ht="27" customHeight="1" x14ac:dyDescent="0.3">
      <c r="A182" s="75" t="s">
        <v>841</v>
      </c>
      <c r="B182" s="36" t="str">
        <f t="shared" si="2"/>
        <v>Junio</v>
      </c>
      <c r="C182" s="77" t="s">
        <v>162</v>
      </c>
      <c r="D182" s="77" t="s">
        <v>842</v>
      </c>
      <c r="E182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82" s="79" t="s">
        <v>442</v>
      </c>
      <c r="G182" s="79" t="s">
        <v>443</v>
      </c>
      <c r="H182" s="140" t="s">
        <v>843</v>
      </c>
      <c r="I182" s="77" t="s">
        <v>844</v>
      </c>
      <c r="J182" s="144" t="s">
        <v>845</v>
      </c>
      <c r="K182" s="77" t="s">
        <v>169</v>
      </c>
      <c r="L182" s="103" t="str">
        <f>VLOOKUP(Anexo_4[[#This Row],[cod_doc]],TIPODOC,2,FALSE)</f>
        <v>FACTURA</v>
      </c>
      <c r="M182" s="77" t="s">
        <v>222</v>
      </c>
      <c r="N182" s="79">
        <v>16824</v>
      </c>
      <c r="O182" s="80">
        <v>179.84</v>
      </c>
      <c r="P182" s="81" t="s">
        <v>171</v>
      </c>
      <c r="Q182" s="81">
        <v>32.371200000000002</v>
      </c>
      <c r="R182" s="80" t="s">
        <v>171</v>
      </c>
      <c r="S182" s="80">
        <v>0</v>
      </c>
      <c r="T182" s="82">
        <v>212.21</v>
      </c>
      <c r="U182" s="77"/>
      <c r="V182" s="75"/>
      <c r="W182" s="77"/>
      <c r="X182" s="77"/>
      <c r="Y182" s="77"/>
      <c r="Z182" s="77" t="s">
        <v>846</v>
      </c>
      <c r="AA182" s="83" t="s">
        <v>843</v>
      </c>
      <c r="AB182" s="104" t="str">
        <f>IFERROR(VLOOKUP(Anexo_4[[#This Row],[cuenta]],OP,2,0),"-")</f>
        <v>-</v>
      </c>
    </row>
    <row r="183" spans="1:28" s="84" customFormat="1" ht="27" customHeight="1" x14ac:dyDescent="0.3">
      <c r="A183" s="75" t="s">
        <v>841</v>
      </c>
      <c r="B183" s="36" t="str">
        <f t="shared" si="2"/>
        <v>Junio</v>
      </c>
      <c r="C183" s="77" t="s">
        <v>162</v>
      </c>
      <c r="D183" s="77" t="s">
        <v>847</v>
      </c>
      <c r="E183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83" s="79" t="s">
        <v>442</v>
      </c>
      <c r="G183" s="79" t="s">
        <v>443</v>
      </c>
      <c r="H183" s="140" t="s">
        <v>848</v>
      </c>
      <c r="I183" s="77" t="s">
        <v>844</v>
      </c>
      <c r="J183" s="144" t="s">
        <v>845</v>
      </c>
      <c r="K183" s="77" t="s">
        <v>169</v>
      </c>
      <c r="L183" s="103" t="str">
        <f>VLOOKUP(Anexo_4[[#This Row],[cod_doc]],TIPODOC,2,FALSE)</f>
        <v>FACTURA</v>
      </c>
      <c r="M183" s="77" t="s">
        <v>222</v>
      </c>
      <c r="N183" s="79">
        <v>16822</v>
      </c>
      <c r="O183" s="80">
        <v>953</v>
      </c>
      <c r="P183" s="81" t="s">
        <v>171</v>
      </c>
      <c r="Q183" s="81">
        <v>171.54</v>
      </c>
      <c r="R183" s="80" t="s">
        <v>171</v>
      </c>
      <c r="S183" s="80">
        <v>0</v>
      </c>
      <c r="T183" s="82">
        <v>1124.54</v>
      </c>
      <c r="U183" s="77"/>
      <c r="V183" s="75"/>
      <c r="W183" s="77"/>
      <c r="X183" s="77"/>
      <c r="Y183" s="77"/>
      <c r="Z183" s="77" t="s">
        <v>846</v>
      </c>
      <c r="AA183" s="83" t="s">
        <v>848</v>
      </c>
      <c r="AB183" s="104" t="str">
        <f>IFERROR(VLOOKUP(Anexo_4[[#This Row],[cuenta]],OP,2,0),"-")</f>
        <v>-</v>
      </c>
    </row>
    <row r="184" spans="1:28" s="84" customFormat="1" ht="27" customHeight="1" x14ac:dyDescent="0.3">
      <c r="A184" s="75" t="s">
        <v>685</v>
      </c>
      <c r="B184" s="36" t="str">
        <f t="shared" si="2"/>
        <v>Junio</v>
      </c>
      <c r="C184" s="77" t="s">
        <v>162</v>
      </c>
      <c r="D184" s="77" t="s">
        <v>849</v>
      </c>
      <c r="E184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84" s="79" t="s">
        <v>355</v>
      </c>
      <c r="G184" s="79" t="s">
        <v>356</v>
      </c>
      <c r="H184" s="140" t="s">
        <v>850</v>
      </c>
      <c r="I184" s="77" t="s">
        <v>851</v>
      </c>
      <c r="J184" s="144" t="s">
        <v>852</v>
      </c>
      <c r="K184" s="77" t="s">
        <v>169</v>
      </c>
      <c r="L184" s="103" t="str">
        <f>VLOOKUP(Anexo_4[[#This Row],[cod_doc]],TIPODOC,2,FALSE)</f>
        <v>FACTURA</v>
      </c>
      <c r="M184" s="77" t="s">
        <v>222</v>
      </c>
      <c r="N184" s="79">
        <v>14497</v>
      </c>
      <c r="O184" s="80">
        <v>7865.25</v>
      </c>
      <c r="P184" s="81" t="s">
        <v>171</v>
      </c>
      <c r="Q184" s="81">
        <v>1415.7449999999999</v>
      </c>
      <c r="R184" s="80" t="s">
        <v>171</v>
      </c>
      <c r="S184" s="80">
        <v>0</v>
      </c>
      <c r="T184" s="82">
        <v>9281</v>
      </c>
      <c r="U184" s="77" t="s">
        <v>853</v>
      </c>
      <c r="V184" s="75" t="s">
        <v>467</v>
      </c>
      <c r="W184" s="77"/>
      <c r="X184" s="77"/>
      <c r="Y184" s="77"/>
      <c r="Z184" s="77" t="s">
        <v>854</v>
      </c>
      <c r="AA184" s="83" t="s">
        <v>850</v>
      </c>
      <c r="AB184" s="104" t="str">
        <f>IFERROR(VLOOKUP(Anexo_4[[#This Row],[cuenta]],OP,2,0),"-")</f>
        <v>Disposición Final de RR.SS - Peligrosos</v>
      </c>
    </row>
    <row r="185" spans="1:28" s="84" customFormat="1" ht="27" customHeight="1" x14ac:dyDescent="0.3">
      <c r="A185" s="75" t="s">
        <v>841</v>
      </c>
      <c r="B185" s="36" t="str">
        <f t="shared" si="2"/>
        <v>Junio</v>
      </c>
      <c r="C185" s="77" t="s">
        <v>162</v>
      </c>
      <c r="D185" s="77" t="s">
        <v>855</v>
      </c>
      <c r="E185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85" s="79" t="s">
        <v>164</v>
      </c>
      <c r="G185" s="79" t="s">
        <v>165</v>
      </c>
      <c r="H185" s="140" t="s">
        <v>856</v>
      </c>
      <c r="I185" s="77" t="s">
        <v>213</v>
      </c>
      <c r="J185" s="144" t="s">
        <v>214</v>
      </c>
      <c r="K185" s="77" t="s">
        <v>169</v>
      </c>
      <c r="L185" s="103" t="str">
        <f>VLOOKUP(Anexo_4[[#This Row],[cod_doc]],TIPODOC,2,FALSE)</f>
        <v>FACTURA</v>
      </c>
      <c r="M185" s="77" t="s">
        <v>102</v>
      </c>
      <c r="N185" s="79">
        <v>438</v>
      </c>
      <c r="O185" s="80">
        <v>59.9</v>
      </c>
      <c r="P185" s="81" t="s">
        <v>171</v>
      </c>
      <c r="Q185" s="81">
        <v>10.782</v>
      </c>
      <c r="R185" s="80" t="s">
        <v>171</v>
      </c>
      <c r="S185" s="80">
        <v>0</v>
      </c>
      <c r="T185" s="82">
        <v>70.680000000000007</v>
      </c>
      <c r="U185" s="77"/>
      <c r="V185" s="75"/>
      <c r="W185" s="77"/>
      <c r="X185" s="77"/>
      <c r="Y185" s="77"/>
      <c r="Z185" s="77" t="s">
        <v>209</v>
      </c>
      <c r="AA185" s="83" t="s">
        <v>856</v>
      </c>
      <c r="AB185" s="104" t="str">
        <f>IFERROR(VLOOKUP(Anexo_4[[#This Row],[cuenta]],OP,2,0),"-")</f>
        <v>-</v>
      </c>
    </row>
    <row r="186" spans="1:28" s="84" customFormat="1" ht="27" customHeight="1" x14ac:dyDescent="0.3">
      <c r="A186" s="75" t="s">
        <v>857</v>
      </c>
      <c r="B186" s="36" t="str">
        <f t="shared" si="2"/>
        <v>Junio</v>
      </c>
      <c r="C186" s="77" t="s">
        <v>162</v>
      </c>
      <c r="D186" s="77" t="s">
        <v>858</v>
      </c>
      <c r="E18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86" s="79" t="s">
        <v>248</v>
      </c>
      <c r="G186" s="79" t="s">
        <v>249</v>
      </c>
      <c r="H186" s="140" t="s">
        <v>859</v>
      </c>
      <c r="I186" s="77" t="s">
        <v>536</v>
      </c>
      <c r="J186" s="144" t="s">
        <v>537</v>
      </c>
      <c r="K186" s="77" t="s">
        <v>169</v>
      </c>
      <c r="L186" s="103" t="str">
        <f>VLOOKUP(Anexo_4[[#This Row],[cod_doc]],TIPODOC,2,FALSE)</f>
        <v>FACTURA</v>
      </c>
      <c r="M186" s="77" t="s">
        <v>538</v>
      </c>
      <c r="N186" s="79">
        <v>6492</v>
      </c>
      <c r="O186" s="80">
        <v>162</v>
      </c>
      <c r="P186" s="81" t="s">
        <v>171</v>
      </c>
      <c r="Q186" s="81">
        <v>29.16</v>
      </c>
      <c r="R186" s="80" t="s">
        <v>171</v>
      </c>
      <c r="S186" s="80">
        <v>0</v>
      </c>
      <c r="T186" s="82">
        <v>191.16</v>
      </c>
      <c r="U186" s="77" t="s">
        <v>860</v>
      </c>
      <c r="V186" s="75" t="s">
        <v>467</v>
      </c>
      <c r="W186" s="77"/>
      <c r="X186" s="77"/>
      <c r="Y186" s="77"/>
      <c r="Z186" s="77" t="s">
        <v>256</v>
      </c>
      <c r="AA186" s="83" t="s">
        <v>859</v>
      </c>
      <c r="AB186" s="104" t="str">
        <f>IFERROR(VLOOKUP(Anexo_4[[#This Row],[cuenta]],OP,2,0),"-")</f>
        <v>Materias Primas - RRSS</v>
      </c>
    </row>
    <row r="187" spans="1:28" s="84" customFormat="1" ht="27" customHeight="1" x14ac:dyDescent="0.3">
      <c r="A187" s="75" t="s">
        <v>857</v>
      </c>
      <c r="B187" s="36" t="str">
        <f t="shared" si="2"/>
        <v>Junio</v>
      </c>
      <c r="C187" s="77" t="s">
        <v>162</v>
      </c>
      <c r="D187" s="77" t="s">
        <v>861</v>
      </c>
      <c r="E187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87" s="79" t="s">
        <v>248</v>
      </c>
      <c r="G187" s="79" t="s">
        <v>249</v>
      </c>
      <c r="H187" s="140" t="s">
        <v>862</v>
      </c>
      <c r="I187" s="77" t="s">
        <v>536</v>
      </c>
      <c r="J187" s="144" t="s">
        <v>537</v>
      </c>
      <c r="K187" s="77" t="s">
        <v>169</v>
      </c>
      <c r="L187" s="103" t="str">
        <f>VLOOKUP(Anexo_4[[#This Row],[cod_doc]],TIPODOC,2,FALSE)</f>
        <v>FACTURA</v>
      </c>
      <c r="M187" s="77" t="s">
        <v>538</v>
      </c>
      <c r="N187" s="79">
        <v>6494</v>
      </c>
      <c r="O187" s="80">
        <v>77.5</v>
      </c>
      <c r="P187" s="81" t="s">
        <v>171</v>
      </c>
      <c r="Q187" s="81">
        <v>13.95</v>
      </c>
      <c r="R187" s="80" t="s">
        <v>171</v>
      </c>
      <c r="S187" s="80">
        <v>0</v>
      </c>
      <c r="T187" s="82">
        <v>91.45</v>
      </c>
      <c r="U187" s="77" t="s">
        <v>863</v>
      </c>
      <c r="V187" s="75" t="s">
        <v>467</v>
      </c>
      <c r="W187" s="77"/>
      <c r="X187" s="77"/>
      <c r="Y187" s="77"/>
      <c r="Z187" s="77" t="s">
        <v>256</v>
      </c>
      <c r="AA187" s="83" t="s">
        <v>862</v>
      </c>
      <c r="AB187" s="104" t="str">
        <f>IFERROR(VLOOKUP(Anexo_4[[#This Row],[cuenta]],OP,2,0),"-")</f>
        <v>Materias Primas - RRSS</v>
      </c>
    </row>
    <row r="188" spans="1:28" s="84" customFormat="1" ht="27" customHeight="1" x14ac:dyDescent="0.3">
      <c r="A188" s="75" t="s">
        <v>857</v>
      </c>
      <c r="B188" s="36" t="str">
        <f t="shared" si="2"/>
        <v>Junio</v>
      </c>
      <c r="C188" s="77" t="s">
        <v>162</v>
      </c>
      <c r="D188" s="77" t="s">
        <v>864</v>
      </c>
      <c r="E188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88" s="79" t="s">
        <v>248</v>
      </c>
      <c r="G188" s="79" t="s">
        <v>249</v>
      </c>
      <c r="H188" s="140" t="s">
        <v>865</v>
      </c>
      <c r="I188" s="77" t="s">
        <v>536</v>
      </c>
      <c r="J188" s="144" t="s">
        <v>537</v>
      </c>
      <c r="K188" s="77" t="s">
        <v>169</v>
      </c>
      <c r="L188" s="103" t="str">
        <f>VLOOKUP(Anexo_4[[#This Row],[cod_doc]],TIPODOC,2,FALSE)</f>
        <v>FACTURA</v>
      </c>
      <c r="M188" s="77" t="s">
        <v>538</v>
      </c>
      <c r="N188" s="79">
        <v>6493</v>
      </c>
      <c r="O188" s="80">
        <v>351</v>
      </c>
      <c r="P188" s="81" t="s">
        <v>171</v>
      </c>
      <c r="Q188" s="81">
        <v>63.18</v>
      </c>
      <c r="R188" s="80" t="s">
        <v>171</v>
      </c>
      <c r="S188" s="80">
        <v>0</v>
      </c>
      <c r="T188" s="82">
        <v>414.18</v>
      </c>
      <c r="U188" s="77" t="s">
        <v>866</v>
      </c>
      <c r="V188" s="75" t="s">
        <v>467</v>
      </c>
      <c r="W188" s="77"/>
      <c r="X188" s="77"/>
      <c r="Y188" s="77"/>
      <c r="Z188" s="77" t="s">
        <v>256</v>
      </c>
      <c r="AA188" s="83" t="s">
        <v>865</v>
      </c>
      <c r="AB188" s="104" t="str">
        <f>IFERROR(VLOOKUP(Anexo_4[[#This Row],[cuenta]],OP,2,0),"-")</f>
        <v>Materias Primas - RRSS</v>
      </c>
    </row>
    <row r="189" spans="1:28" s="84" customFormat="1" ht="27" customHeight="1" x14ac:dyDescent="0.3">
      <c r="A189" s="75" t="s">
        <v>857</v>
      </c>
      <c r="B189" s="36" t="str">
        <f t="shared" si="2"/>
        <v>Junio</v>
      </c>
      <c r="C189" s="77" t="s">
        <v>162</v>
      </c>
      <c r="D189" s="77" t="s">
        <v>867</v>
      </c>
      <c r="E189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89" s="79" t="s">
        <v>248</v>
      </c>
      <c r="G189" s="79" t="s">
        <v>249</v>
      </c>
      <c r="H189" s="140" t="s">
        <v>868</v>
      </c>
      <c r="I189" s="77" t="s">
        <v>536</v>
      </c>
      <c r="J189" s="144" t="s">
        <v>537</v>
      </c>
      <c r="K189" s="77" t="s">
        <v>169</v>
      </c>
      <c r="L189" s="103" t="str">
        <f>VLOOKUP(Anexo_4[[#This Row],[cod_doc]],TIPODOC,2,FALSE)</f>
        <v>FACTURA</v>
      </c>
      <c r="M189" s="77" t="s">
        <v>538</v>
      </c>
      <c r="N189" s="79">
        <v>6495</v>
      </c>
      <c r="O189" s="80">
        <v>301</v>
      </c>
      <c r="P189" s="81" t="s">
        <v>171</v>
      </c>
      <c r="Q189" s="81">
        <v>54.18</v>
      </c>
      <c r="R189" s="80" t="s">
        <v>171</v>
      </c>
      <c r="S189" s="80">
        <v>0</v>
      </c>
      <c r="T189" s="82">
        <v>355.18</v>
      </c>
      <c r="U189" s="77" t="s">
        <v>869</v>
      </c>
      <c r="V189" s="75" t="s">
        <v>467</v>
      </c>
      <c r="W189" s="77"/>
      <c r="X189" s="77"/>
      <c r="Y189" s="77"/>
      <c r="Z189" s="77" t="s">
        <v>256</v>
      </c>
      <c r="AA189" s="83" t="s">
        <v>868</v>
      </c>
      <c r="AB189" s="104" t="str">
        <f>IFERROR(VLOOKUP(Anexo_4[[#This Row],[cuenta]],OP,2,0),"-")</f>
        <v>Materias Primas - RRSS</v>
      </c>
    </row>
    <row r="190" spans="1:28" s="84" customFormat="1" ht="27" customHeight="1" x14ac:dyDescent="0.3">
      <c r="A190" s="75" t="s">
        <v>857</v>
      </c>
      <c r="B190" s="36" t="str">
        <f t="shared" si="2"/>
        <v>Junio</v>
      </c>
      <c r="C190" s="77" t="s">
        <v>162</v>
      </c>
      <c r="D190" s="77" t="s">
        <v>870</v>
      </c>
      <c r="E190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90" s="79" t="s">
        <v>248</v>
      </c>
      <c r="G190" s="79" t="s">
        <v>249</v>
      </c>
      <c r="H190" s="140" t="s">
        <v>871</v>
      </c>
      <c r="I190" s="77" t="s">
        <v>536</v>
      </c>
      <c r="J190" s="144" t="s">
        <v>537</v>
      </c>
      <c r="K190" s="77" t="s">
        <v>169</v>
      </c>
      <c r="L190" s="103" t="str">
        <f>VLOOKUP(Anexo_4[[#This Row],[cod_doc]],TIPODOC,2,FALSE)</f>
        <v>FACTURA</v>
      </c>
      <c r="M190" s="77" t="s">
        <v>538</v>
      </c>
      <c r="N190" s="79">
        <v>6496</v>
      </c>
      <c r="O190" s="80">
        <v>41.5</v>
      </c>
      <c r="P190" s="81" t="s">
        <v>171</v>
      </c>
      <c r="Q190" s="81">
        <v>7.47</v>
      </c>
      <c r="R190" s="80" t="s">
        <v>171</v>
      </c>
      <c r="S190" s="80">
        <v>0</v>
      </c>
      <c r="T190" s="82">
        <v>48.97</v>
      </c>
      <c r="U190" s="77" t="s">
        <v>872</v>
      </c>
      <c r="V190" s="75" t="s">
        <v>467</v>
      </c>
      <c r="W190" s="77"/>
      <c r="X190" s="77"/>
      <c r="Y190" s="77"/>
      <c r="Z190" s="77" t="s">
        <v>256</v>
      </c>
      <c r="AA190" s="83" t="s">
        <v>871</v>
      </c>
      <c r="AB190" s="104" t="str">
        <f>IFERROR(VLOOKUP(Anexo_4[[#This Row],[cuenta]],OP,2,0),"-")</f>
        <v>Materias Primas - RRSS</v>
      </c>
    </row>
    <row r="191" spans="1:28" s="84" customFormat="1" ht="27" customHeight="1" x14ac:dyDescent="0.3">
      <c r="A191" s="75" t="s">
        <v>857</v>
      </c>
      <c r="B191" s="36" t="str">
        <f t="shared" si="2"/>
        <v>Junio</v>
      </c>
      <c r="C191" s="77" t="s">
        <v>162</v>
      </c>
      <c r="D191" s="77" t="s">
        <v>873</v>
      </c>
      <c r="E19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91" s="79" t="s">
        <v>248</v>
      </c>
      <c r="G191" s="79" t="s">
        <v>249</v>
      </c>
      <c r="H191" s="140" t="s">
        <v>874</v>
      </c>
      <c r="I191" s="77" t="s">
        <v>536</v>
      </c>
      <c r="J191" s="144" t="s">
        <v>537</v>
      </c>
      <c r="K191" s="77" t="s">
        <v>169</v>
      </c>
      <c r="L191" s="103" t="str">
        <f>VLOOKUP(Anexo_4[[#This Row],[cod_doc]],TIPODOC,2,FALSE)</f>
        <v>FACTURA</v>
      </c>
      <c r="M191" s="77" t="s">
        <v>538</v>
      </c>
      <c r="N191" s="79">
        <v>6497</v>
      </c>
      <c r="O191" s="80">
        <v>1288</v>
      </c>
      <c r="P191" s="81" t="s">
        <v>171</v>
      </c>
      <c r="Q191" s="81">
        <v>231.84</v>
      </c>
      <c r="R191" s="80" t="s">
        <v>171</v>
      </c>
      <c r="S191" s="80">
        <v>0</v>
      </c>
      <c r="T191" s="82">
        <v>1519.84</v>
      </c>
      <c r="U191" s="77" t="s">
        <v>875</v>
      </c>
      <c r="V191" s="75" t="s">
        <v>467</v>
      </c>
      <c r="W191" s="77"/>
      <c r="X191" s="77"/>
      <c r="Y191" s="77"/>
      <c r="Z191" s="77" t="s">
        <v>256</v>
      </c>
      <c r="AA191" s="83" t="s">
        <v>874</v>
      </c>
      <c r="AB191" s="104" t="str">
        <f>IFERROR(VLOOKUP(Anexo_4[[#This Row],[cuenta]],OP,2,0),"-")</f>
        <v>Materias Primas - RRSS</v>
      </c>
    </row>
    <row r="192" spans="1:28" s="84" customFormat="1" ht="27" customHeight="1" x14ac:dyDescent="0.3">
      <c r="A192" s="75" t="s">
        <v>349</v>
      </c>
      <c r="B192" s="36" t="str">
        <f t="shared" si="2"/>
        <v>Junio</v>
      </c>
      <c r="C192" s="77" t="s">
        <v>162</v>
      </c>
      <c r="D192" s="77" t="s">
        <v>876</v>
      </c>
      <c r="E19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92" s="79" t="s">
        <v>248</v>
      </c>
      <c r="G192" s="79" t="s">
        <v>249</v>
      </c>
      <c r="H192" s="140" t="s">
        <v>877</v>
      </c>
      <c r="I192" s="77" t="s">
        <v>625</v>
      </c>
      <c r="J192" s="144" t="s">
        <v>626</v>
      </c>
      <c r="K192" s="77" t="s">
        <v>169</v>
      </c>
      <c r="L192" s="103" t="str">
        <f>VLOOKUP(Anexo_4[[#This Row],[cod_doc]],TIPODOC,2,FALSE)</f>
        <v>FACTURA</v>
      </c>
      <c r="M192" s="77" t="s">
        <v>180</v>
      </c>
      <c r="N192" s="79">
        <v>16252</v>
      </c>
      <c r="O192" s="80">
        <v>278.20999999999998</v>
      </c>
      <c r="P192" s="81" t="s">
        <v>171</v>
      </c>
      <c r="Q192" s="81">
        <v>50.077799999999996</v>
      </c>
      <c r="R192" s="80" t="s">
        <v>171</v>
      </c>
      <c r="S192" s="80">
        <v>0</v>
      </c>
      <c r="T192" s="82">
        <v>328.3</v>
      </c>
      <c r="U192" s="77" t="s">
        <v>878</v>
      </c>
      <c r="V192" s="75" t="s">
        <v>467</v>
      </c>
      <c r="W192" s="77"/>
      <c r="X192" s="77"/>
      <c r="Y192" s="77"/>
      <c r="Z192" s="77" t="s">
        <v>256</v>
      </c>
      <c r="AA192" s="83" t="s">
        <v>877</v>
      </c>
      <c r="AB192" s="104" t="str">
        <f>IFERROR(VLOOKUP(Anexo_4[[#This Row],[cuenta]],OP,2,0),"-")</f>
        <v>Materias Primas - RRSS</v>
      </c>
    </row>
    <row r="193" spans="1:28" s="84" customFormat="1" ht="27" customHeight="1" x14ac:dyDescent="0.3">
      <c r="A193" s="75" t="s">
        <v>841</v>
      </c>
      <c r="B193" s="36" t="str">
        <f t="shared" si="2"/>
        <v>Junio</v>
      </c>
      <c r="C193" s="77" t="s">
        <v>162</v>
      </c>
      <c r="D193" s="77" t="s">
        <v>879</v>
      </c>
      <c r="E193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93" s="79" t="s">
        <v>592</v>
      </c>
      <c r="G193" s="79" t="s">
        <v>593</v>
      </c>
      <c r="H193" s="140" t="s">
        <v>880</v>
      </c>
      <c r="I193" s="77" t="s">
        <v>881</v>
      </c>
      <c r="J193" s="144" t="s">
        <v>882</v>
      </c>
      <c r="K193" s="77" t="s">
        <v>169</v>
      </c>
      <c r="L193" s="103" t="str">
        <f>VLOOKUP(Anexo_4[[#This Row],[cod_doc]],TIPODOC,2,FALSE)</f>
        <v>FACTURA</v>
      </c>
      <c r="M193" s="77" t="s">
        <v>222</v>
      </c>
      <c r="N193" s="79">
        <v>70114</v>
      </c>
      <c r="O193" s="80">
        <v>15.25</v>
      </c>
      <c r="P193" s="81" t="s">
        <v>171</v>
      </c>
      <c r="Q193" s="81">
        <v>2.7450000000000001</v>
      </c>
      <c r="R193" s="80" t="s">
        <v>171</v>
      </c>
      <c r="S193" s="80">
        <v>0</v>
      </c>
      <c r="T193" s="82">
        <v>18</v>
      </c>
      <c r="U193" s="77"/>
      <c r="V193" s="75"/>
      <c r="W193" s="77"/>
      <c r="X193" s="77"/>
      <c r="Y193" s="77"/>
      <c r="Z193" s="77" t="s">
        <v>883</v>
      </c>
      <c r="AA193" s="83" t="s">
        <v>880</v>
      </c>
      <c r="AB193" s="104" t="str">
        <f>IFERROR(VLOOKUP(Anexo_4[[#This Row],[cuenta]],OP,2,0),"-")</f>
        <v>-</v>
      </c>
    </row>
    <row r="194" spans="1:28" s="84" customFormat="1" ht="27" customHeight="1" x14ac:dyDescent="0.3">
      <c r="A194" s="75" t="s">
        <v>857</v>
      </c>
      <c r="B194" s="36" t="str">
        <f t="shared" ref="B194:B257" si="3">PROPER(CHOOSE(LEFT(D194,2),"enero","febrero","marzo","abril","mayo","junio","julio","agosto","setiembre","octubre","noviembre","diciembre"))</f>
        <v>Junio</v>
      </c>
      <c r="C194" s="77" t="s">
        <v>162</v>
      </c>
      <c r="D194" s="77" t="s">
        <v>884</v>
      </c>
      <c r="E194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94" s="79" t="s">
        <v>217</v>
      </c>
      <c r="G194" s="79" t="s">
        <v>218</v>
      </c>
      <c r="H194" s="140" t="s">
        <v>885</v>
      </c>
      <c r="I194" s="77" t="s">
        <v>886</v>
      </c>
      <c r="J194" s="144" t="s">
        <v>887</v>
      </c>
      <c r="K194" s="77" t="s">
        <v>169</v>
      </c>
      <c r="L194" s="103" t="str">
        <f>VLOOKUP(Anexo_4[[#This Row],[cod_doc]],TIPODOC,2,FALSE)</f>
        <v>FACTURA</v>
      </c>
      <c r="M194" s="77" t="s">
        <v>343</v>
      </c>
      <c r="N194" s="79">
        <v>1539</v>
      </c>
      <c r="O194" s="80">
        <v>305.37</v>
      </c>
      <c r="P194" s="81" t="s">
        <v>171</v>
      </c>
      <c r="Q194" s="81">
        <v>54.9666</v>
      </c>
      <c r="R194" s="80" t="s">
        <v>171</v>
      </c>
      <c r="S194" s="80">
        <v>0</v>
      </c>
      <c r="T194" s="82">
        <v>720.69</v>
      </c>
      <c r="U194" s="77"/>
      <c r="V194" s="75"/>
      <c r="W194" s="77"/>
      <c r="X194" s="77"/>
      <c r="Y194" s="77"/>
      <c r="Z194" s="77" t="s">
        <v>710</v>
      </c>
      <c r="AA194" s="83" t="s">
        <v>885</v>
      </c>
      <c r="AB194" s="104" t="str">
        <f>IFERROR(VLOOKUP(Anexo_4[[#This Row],[cuenta]],OP,2,0),"-")</f>
        <v>Accesorios Vehiculares</v>
      </c>
    </row>
    <row r="195" spans="1:28" s="84" customFormat="1" ht="27" customHeight="1" x14ac:dyDescent="0.3">
      <c r="A195" s="75" t="s">
        <v>857</v>
      </c>
      <c r="B195" s="36" t="str">
        <f t="shared" si="3"/>
        <v>Junio</v>
      </c>
      <c r="C195" s="77" t="s">
        <v>162</v>
      </c>
      <c r="D195" s="77" t="s">
        <v>884</v>
      </c>
      <c r="E19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95" s="79" t="s">
        <v>449</v>
      </c>
      <c r="G195" s="79" t="s">
        <v>450</v>
      </c>
      <c r="H195" s="140" t="s">
        <v>885</v>
      </c>
      <c r="I195" s="77" t="s">
        <v>886</v>
      </c>
      <c r="J195" s="144" t="s">
        <v>887</v>
      </c>
      <c r="K195" s="77" t="s">
        <v>169</v>
      </c>
      <c r="L195" s="103" t="str">
        <f>VLOOKUP(Anexo_4[[#This Row],[cod_doc]],TIPODOC,2,FALSE)</f>
        <v>FACTURA</v>
      </c>
      <c r="M195" s="77" t="s">
        <v>343</v>
      </c>
      <c r="N195" s="79">
        <v>1539</v>
      </c>
      <c r="O195" s="80">
        <v>305.38</v>
      </c>
      <c r="P195" s="81" t="s">
        <v>171</v>
      </c>
      <c r="Q195" s="81">
        <v>54.968399999999995</v>
      </c>
      <c r="R195" s="80" t="s">
        <v>171</v>
      </c>
      <c r="S195" s="80">
        <v>0</v>
      </c>
      <c r="T195" s="82">
        <v>720.69</v>
      </c>
      <c r="U195" s="77"/>
      <c r="V195" s="75"/>
      <c r="W195" s="77"/>
      <c r="X195" s="77"/>
      <c r="Y195" s="77"/>
      <c r="Z195" s="77" t="s">
        <v>710</v>
      </c>
      <c r="AA195" s="83" t="s">
        <v>885</v>
      </c>
      <c r="AB195" s="104" t="str">
        <f>IFERROR(VLOOKUP(Anexo_4[[#This Row],[cuenta]],OP,2,0),"-")</f>
        <v>Accesorios Vehiculares</v>
      </c>
    </row>
    <row r="196" spans="1:28" s="84" customFormat="1" ht="27" customHeight="1" x14ac:dyDescent="0.3">
      <c r="A196" s="75" t="s">
        <v>857</v>
      </c>
      <c r="B196" s="36" t="str">
        <f t="shared" si="3"/>
        <v>Junio</v>
      </c>
      <c r="C196" s="77" t="s">
        <v>162</v>
      </c>
      <c r="D196" s="77" t="s">
        <v>888</v>
      </c>
      <c r="E19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96" s="79" t="s">
        <v>175</v>
      </c>
      <c r="G196" s="79" t="s">
        <v>176</v>
      </c>
      <c r="H196" s="140" t="s">
        <v>889</v>
      </c>
      <c r="I196" s="77" t="s">
        <v>604</v>
      </c>
      <c r="J196" s="144" t="s">
        <v>605</v>
      </c>
      <c r="K196" s="77" t="s">
        <v>169</v>
      </c>
      <c r="L196" s="103" t="str">
        <f>VLOOKUP(Anexo_4[[#This Row],[cod_doc]],TIPODOC,2,FALSE)</f>
        <v>FACTURA</v>
      </c>
      <c r="M196" s="77" t="s">
        <v>606</v>
      </c>
      <c r="N196" s="79">
        <v>26715</v>
      </c>
      <c r="O196" s="80">
        <v>1093.1600000000001</v>
      </c>
      <c r="P196" s="81" t="s">
        <v>171</v>
      </c>
      <c r="Q196" s="81">
        <v>196.7688</v>
      </c>
      <c r="R196" s="80" t="s">
        <v>171</v>
      </c>
      <c r="S196" s="80">
        <v>0</v>
      </c>
      <c r="T196" s="82">
        <v>1289.93</v>
      </c>
      <c r="U196" s="77"/>
      <c r="V196" s="75"/>
      <c r="W196" s="77"/>
      <c r="X196" s="77"/>
      <c r="Y196" s="77"/>
      <c r="Z196" s="77" t="s">
        <v>223</v>
      </c>
      <c r="AA196" s="83" t="s">
        <v>889</v>
      </c>
      <c r="AB196" s="104" t="str">
        <f>IFERROR(VLOOKUP(Anexo_4[[#This Row],[cuenta]],OP,2,0),"-")</f>
        <v>Mantenimiento Vehicular (Preventivo)</v>
      </c>
    </row>
    <row r="197" spans="1:28" s="84" customFormat="1" ht="27" customHeight="1" x14ac:dyDescent="0.3">
      <c r="A197" s="75" t="s">
        <v>316</v>
      </c>
      <c r="B197" s="36" t="str">
        <f t="shared" si="3"/>
        <v>Junio</v>
      </c>
      <c r="C197" s="77" t="s">
        <v>162</v>
      </c>
      <c r="D197" s="77" t="s">
        <v>890</v>
      </c>
      <c r="E197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97" s="79" t="s">
        <v>355</v>
      </c>
      <c r="G197" s="79" t="s">
        <v>356</v>
      </c>
      <c r="H197" s="140" t="s">
        <v>891</v>
      </c>
      <c r="I197" s="77" t="s">
        <v>464</v>
      </c>
      <c r="J197" s="144" t="s">
        <v>465</v>
      </c>
      <c r="K197" s="77" t="s">
        <v>169</v>
      </c>
      <c r="L197" s="103" t="str">
        <f>VLOOKUP(Anexo_4[[#This Row],[cod_doc]],TIPODOC,2,FALSE)</f>
        <v>FACTURA</v>
      </c>
      <c r="M197" s="77" t="s">
        <v>102</v>
      </c>
      <c r="N197" s="79">
        <v>4</v>
      </c>
      <c r="O197" s="80">
        <v>700</v>
      </c>
      <c r="P197" s="81" t="s">
        <v>171</v>
      </c>
      <c r="Q197" s="81">
        <v>126</v>
      </c>
      <c r="R197" s="80" t="s">
        <v>171</v>
      </c>
      <c r="S197" s="80">
        <v>0</v>
      </c>
      <c r="T197" s="82">
        <v>826</v>
      </c>
      <c r="U197" s="77" t="s">
        <v>892</v>
      </c>
      <c r="V197" s="75" t="s">
        <v>467</v>
      </c>
      <c r="W197" s="77"/>
      <c r="X197" s="77"/>
      <c r="Y197" s="77"/>
      <c r="Z197" s="77" t="s">
        <v>893</v>
      </c>
      <c r="AA197" s="83" t="s">
        <v>891</v>
      </c>
      <c r="AB197" s="104" t="str">
        <f>IFERROR(VLOOKUP(Anexo_4[[#This Row],[cuenta]],OP,2,0),"-")</f>
        <v>Transporte de Carga - Servicios</v>
      </c>
    </row>
    <row r="198" spans="1:28" s="84" customFormat="1" ht="27" customHeight="1" x14ac:dyDescent="0.3">
      <c r="A198" s="75" t="s">
        <v>295</v>
      </c>
      <c r="B198" s="36" t="str">
        <f t="shared" si="3"/>
        <v>Junio</v>
      </c>
      <c r="C198" s="77" t="s">
        <v>162</v>
      </c>
      <c r="D198" s="77" t="s">
        <v>894</v>
      </c>
      <c r="E198" s="78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198" s="79" t="s">
        <v>198</v>
      </c>
      <c r="G198" s="79" t="s">
        <v>199</v>
      </c>
      <c r="H198" s="140" t="s">
        <v>895</v>
      </c>
      <c r="I198" s="77" t="s">
        <v>464</v>
      </c>
      <c r="J198" s="144" t="s">
        <v>465</v>
      </c>
      <c r="K198" s="77" t="s">
        <v>169</v>
      </c>
      <c r="L198" s="103" t="str">
        <f>VLOOKUP(Anexo_4[[#This Row],[cod_doc]],TIPODOC,2,FALSE)</f>
        <v>FACTURA</v>
      </c>
      <c r="M198" s="77" t="s">
        <v>102</v>
      </c>
      <c r="N198" s="79">
        <v>3</v>
      </c>
      <c r="O198" s="80">
        <v>400</v>
      </c>
      <c r="P198" s="81" t="s">
        <v>171</v>
      </c>
      <c r="Q198" s="81">
        <v>72</v>
      </c>
      <c r="R198" s="80" t="s">
        <v>171</v>
      </c>
      <c r="S198" s="80">
        <v>0</v>
      </c>
      <c r="T198" s="82">
        <v>472</v>
      </c>
      <c r="U198" s="77" t="s">
        <v>896</v>
      </c>
      <c r="V198" s="75" t="s">
        <v>467</v>
      </c>
      <c r="W198" s="77"/>
      <c r="X198" s="77"/>
      <c r="Y198" s="77"/>
      <c r="Z198" s="77" t="s">
        <v>468</v>
      </c>
      <c r="AA198" s="83" t="s">
        <v>895</v>
      </c>
      <c r="AB198" s="104" t="str">
        <f>IFERROR(VLOOKUP(Anexo_4[[#This Row],[cuenta]],OP,2,0),"-")</f>
        <v>Transporte de Carga  - Ventas</v>
      </c>
    </row>
    <row r="199" spans="1:28" s="84" customFormat="1" ht="27" customHeight="1" x14ac:dyDescent="0.3">
      <c r="A199" s="75" t="s">
        <v>841</v>
      </c>
      <c r="B199" s="36" t="str">
        <f t="shared" si="3"/>
        <v>Junio</v>
      </c>
      <c r="C199" s="77" t="s">
        <v>162</v>
      </c>
      <c r="D199" s="77" t="s">
        <v>897</v>
      </c>
      <c r="E199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99" s="79" t="s">
        <v>190</v>
      </c>
      <c r="G199" s="79" t="s">
        <v>191</v>
      </c>
      <c r="H199" s="140" t="s">
        <v>898</v>
      </c>
      <c r="I199" s="77" t="s">
        <v>899</v>
      </c>
      <c r="J199" s="144" t="s">
        <v>900</v>
      </c>
      <c r="K199" s="77" t="s">
        <v>169</v>
      </c>
      <c r="L199" s="103" t="str">
        <f>VLOOKUP(Anexo_4[[#This Row],[cod_doc]],TIPODOC,2,FALSE)</f>
        <v>FACTURA</v>
      </c>
      <c r="M199" s="77" t="s">
        <v>102</v>
      </c>
      <c r="N199" s="79">
        <v>473</v>
      </c>
      <c r="O199" s="80">
        <v>161.02000000000001</v>
      </c>
      <c r="P199" s="81" t="s">
        <v>171</v>
      </c>
      <c r="Q199" s="81">
        <v>28.983599999999999</v>
      </c>
      <c r="R199" s="80" t="s">
        <v>171</v>
      </c>
      <c r="S199" s="80">
        <v>0</v>
      </c>
      <c r="T199" s="82">
        <v>190</v>
      </c>
      <c r="U199" s="77"/>
      <c r="V199" s="75"/>
      <c r="W199" s="77"/>
      <c r="X199" s="77"/>
      <c r="Y199" s="77"/>
      <c r="Z199" s="77" t="s">
        <v>901</v>
      </c>
      <c r="AA199" s="83" t="s">
        <v>898</v>
      </c>
      <c r="AB199" s="104" t="str">
        <f>IFERROR(VLOOKUP(Anexo_4[[#This Row],[cuenta]],OP,2,0),"-")</f>
        <v>-</v>
      </c>
    </row>
    <row r="200" spans="1:28" s="84" customFormat="1" ht="27" customHeight="1" x14ac:dyDescent="0.3">
      <c r="A200" s="75" t="s">
        <v>902</v>
      </c>
      <c r="B200" s="36" t="str">
        <f t="shared" si="3"/>
        <v>Junio</v>
      </c>
      <c r="C200" s="77" t="s">
        <v>162</v>
      </c>
      <c r="D200" s="77" t="s">
        <v>903</v>
      </c>
      <c r="E200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00" s="79"/>
      <c r="G200" s="79"/>
      <c r="H200" s="140"/>
      <c r="I200" s="77" t="s">
        <v>904</v>
      </c>
      <c r="J200" s="144" t="s">
        <v>905</v>
      </c>
      <c r="K200" s="77" t="s">
        <v>169</v>
      </c>
      <c r="L200" s="103" t="str">
        <f>VLOOKUP(Anexo_4[[#This Row],[cod_doc]],TIPODOC,2,FALSE)</f>
        <v>FACTURA</v>
      </c>
      <c r="M200" s="77" t="s">
        <v>180</v>
      </c>
      <c r="N200" s="79" t="s">
        <v>906</v>
      </c>
      <c r="O200" s="80"/>
      <c r="P200" s="81">
        <v>132.74</v>
      </c>
      <c r="Q200" s="81">
        <v>0</v>
      </c>
      <c r="R200" s="80">
        <v>13.26</v>
      </c>
      <c r="S200" s="80">
        <v>0</v>
      </c>
      <c r="T200" s="82">
        <v>146</v>
      </c>
      <c r="U200" s="77"/>
      <c r="V200" s="75"/>
      <c r="W200" s="77"/>
      <c r="X200" s="77"/>
      <c r="Y200" s="77"/>
      <c r="Z200" s="77"/>
      <c r="AA200" s="83"/>
      <c r="AB200" s="104" t="str">
        <f>IFERROR(VLOOKUP(Anexo_4[[#This Row],[cuenta]],OP,2,0),"-")</f>
        <v>-</v>
      </c>
    </row>
    <row r="201" spans="1:28" s="84" customFormat="1" ht="27" customHeight="1" x14ac:dyDescent="0.3">
      <c r="A201" s="75" t="s">
        <v>907</v>
      </c>
      <c r="B201" s="36" t="str">
        <f t="shared" si="3"/>
        <v>Junio</v>
      </c>
      <c r="C201" s="77" t="s">
        <v>162</v>
      </c>
      <c r="D201" s="77" t="s">
        <v>908</v>
      </c>
      <c r="E201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01" s="79"/>
      <c r="G201" s="79"/>
      <c r="H201" s="140"/>
      <c r="I201" s="77" t="s">
        <v>909</v>
      </c>
      <c r="J201" s="144" t="s">
        <v>910</v>
      </c>
      <c r="K201" s="77" t="s">
        <v>169</v>
      </c>
      <c r="L201" s="103" t="str">
        <f>VLOOKUP(Anexo_4[[#This Row],[cod_doc]],TIPODOC,2,FALSE)</f>
        <v>FACTURA</v>
      </c>
      <c r="M201" s="77" t="s">
        <v>102</v>
      </c>
      <c r="N201" s="79" t="s">
        <v>911</v>
      </c>
      <c r="O201" s="80">
        <v>450</v>
      </c>
      <c r="P201" s="81" t="s">
        <v>171</v>
      </c>
      <c r="Q201" s="81">
        <v>81</v>
      </c>
      <c r="R201" s="80" t="s">
        <v>171</v>
      </c>
      <c r="S201" s="80">
        <v>0</v>
      </c>
      <c r="T201" s="82">
        <v>531</v>
      </c>
      <c r="U201" s="77" t="s">
        <v>912</v>
      </c>
      <c r="V201" s="75" t="s">
        <v>467</v>
      </c>
      <c r="W201" s="77"/>
      <c r="X201" s="77"/>
      <c r="Y201" s="77"/>
      <c r="Z201" s="77"/>
      <c r="AA201" s="83"/>
      <c r="AB201" s="104" t="str">
        <f>IFERROR(VLOOKUP(Anexo_4[[#This Row],[cuenta]],OP,2,0),"-")</f>
        <v>-</v>
      </c>
    </row>
    <row r="202" spans="1:28" s="84" customFormat="1" ht="27" customHeight="1" x14ac:dyDescent="0.3">
      <c r="A202" s="75" t="s">
        <v>913</v>
      </c>
      <c r="B202" s="36" t="str">
        <f t="shared" si="3"/>
        <v>Junio</v>
      </c>
      <c r="C202" s="77" t="s">
        <v>162</v>
      </c>
      <c r="D202" s="77" t="s">
        <v>914</v>
      </c>
      <c r="E20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02" s="79" t="s">
        <v>248</v>
      </c>
      <c r="G202" s="79" t="s">
        <v>249</v>
      </c>
      <c r="H202" s="140"/>
      <c r="I202" s="77" t="s">
        <v>625</v>
      </c>
      <c r="J202" s="144" t="s">
        <v>626</v>
      </c>
      <c r="K202" s="77" t="s">
        <v>169</v>
      </c>
      <c r="L202" s="103" t="str">
        <f>VLOOKUP(Anexo_4[[#This Row],[cod_doc]],TIPODOC,2,FALSE)</f>
        <v>FACTURA</v>
      </c>
      <c r="M202" s="77" t="s">
        <v>180</v>
      </c>
      <c r="N202" s="79" t="s">
        <v>915</v>
      </c>
      <c r="O202" s="80">
        <v>221.19</v>
      </c>
      <c r="P202" s="81" t="s">
        <v>171</v>
      </c>
      <c r="Q202" s="81">
        <v>39.82</v>
      </c>
      <c r="R202" s="80" t="s">
        <v>171</v>
      </c>
      <c r="S202" s="80">
        <v>0</v>
      </c>
      <c r="T202" s="82">
        <v>261.01</v>
      </c>
      <c r="U202" s="77" t="s">
        <v>916</v>
      </c>
      <c r="V202" s="75" t="s">
        <v>467</v>
      </c>
      <c r="W202" s="77"/>
      <c r="X202" s="77"/>
      <c r="Y202" s="77"/>
      <c r="Z202" s="77"/>
      <c r="AA202" s="83"/>
      <c r="AB202" s="104" t="str">
        <f>IFERROR(VLOOKUP(Anexo_4[[#This Row],[cuenta]],OP,2,0),"-")</f>
        <v>-</v>
      </c>
    </row>
    <row r="203" spans="1:28" s="84" customFormat="1" ht="27" customHeight="1" x14ac:dyDescent="0.3">
      <c r="A203" s="75" t="s">
        <v>913</v>
      </c>
      <c r="B203" s="36" t="str">
        <f t="shared" si="3"/>
        <v>Junio</v>
      </c>
      <c r="C203" s="77" t="s">
        <v>162</v>
      </c>
      <c r="D203" s="77" t="s">
        <v>917</v>
      </c>
      <c r="E203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03" s="79" t="s">
        <v>248</v>
      </c>
      <c r="G203" s="79" t="s">
        <v>249</v>
      </c>
      <c r="H203" s="140"/>
      <c r="I203" s="77" t="s">
        <v>625</v>
      </c>
      <c r="J203" s="144" t="s">
        <v>626</v>
      </c>
      <c r="K203" s="77" t="s">
        <v>169</v>
      </c>
      <c r="L203" s="103" t="str">
        <f>VLOOKUP(Anexo_4[[#This Row],[cod_doc]],TIPODOC,2,FALSE)</f>
        <v>FACTURA</v>
      </c>
      <c r="M203" s="77" t="s">
        <v>180</v>
      </c>
      <c r="N203" s="79" t="s">
        <v>918</v>
      </c>
      <c r="O203" s="80">
        <v>389.82</v>
      </c>
      <c r="P203" s="81" t="s">
        <v>171</v>
      </c>
      <c r="Q203" s="81">
        <v>70.150000000000006</v>
      </c>
      <c r="R203" s="80" t="s">
        <v>171</v>
      </c>
      <c r="S203" s="80">
        <v>0</v>
      </c>
      <c r="T203" s="82">
        <v>459.97</v>
      </c>
      <c r="U203" s="77" t="s">
        <v>919</v>
      </c>
      <c r="V203" s="75" t="s">
        <v>467</v>
      </c>
      <c r="W203" s="77"/>
      <c r="X203" s="77"/>
      <c r="Y203" s="77"/>
      <c r="Z203" s="77"/>
      <c r="AA203" s="83"/>
      <c r="AB203" s="104" t="str">
        <f>IFERROR(VLOOKUP(Anexo_4[[#This Row],[cuenta]],OP,2,0),"-")</f>
        <v>-</v>
      </c>
    </row>
    <row r="204" spans="1:28" s="84" customFormat="1" ht="27" customHeight="1" x14ac:dyDescent="0.3">
      <c r="A204" s="75" t="s">
        <v>920</v>
      </c>
      <c r="B204" s="36" t="str">
        <f t="shared" si="3"/>
        <v>Junio</v>
      </c>
      <c r="C204" s="77" t="s">
        <v>162</v>
      </c>
      <c r="D204" s="77" t="s">
        <v>921</v>
      </c>
      <c r="E204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04" s="79" t="s">
        <v>248</v>
      </c>
      <c r="G204" s="79" t="s">
        <v>249</v>
      </c>
      <c r="H204" s="140"/>
      <c r="I204" s="77" t="s">
        <v>625</v>
      </c>
      <c r="J204" s="144" t="s">
        <v>626</v>
      </c>
      <c r="K204" s="77" t="s">
        <v>169</v>
      </c>
      <c r="L204" s="103" t="str">
        <f>VLOOKUP(Anexo_4[[#This Row],[cod_doc]],TIPODOC,2,FALSE)</f>
        <v>FACTURA</v>
      </c>
      <c r="M204" s="77" t="s">
        <v>180</v>
      </c>
      <c r="N204" s="79" t="s">
        <v>922</v>
      </c>
      <c r="O204" s="80">
        <v>6497.43</v>
      </c>
      <c r="P204" s="81" t="s">
        <v>171</v>
      </c>
      <c r="Q204" s="81">
        <v>1169.54</v>
      </c>
      <c r="R204" s="80" t="s">
        <v>171</v>
      </c>
      <c r="S204" s="80">
        <v>0</v>
      </c>
      <c r="T204" s="82">
        <v>7666.97</v>
      </c>
      <c r="U204" s="77" t="s">
        <v>923</v>
      </c>
      <c r="V204" s="75" t="s">
        <v>467</v>
      </c>
      <c r="W204" s="77"/>
      <c r="X204" s="77"/>
      <c r="Y204" s="77"/>
      <c r="Z204" s="77"/>
      <c r="AA204" s="83"/>
      <c r="AB204" s="104" t="str">
        <f>IFERROR(VLOOKUP(Anexo_4[[#This Row],[cuenta]],OP,2,0),"-")</f>
        <v>-</v>
      </c>
    </row>
    <row r="205" spans="1:28" s="84" customFormat="1" ht="27" customHeight="1" x14ac:dyDescent="0.3">
      <c r="A205" s="75" t="s">
        <v>924</v>
      </c>
      <c r="B205" s="36" t="str">
        <f t="shared" si="3"/>
        <v>Junio</v>
      </c>
      <c r="C205" s="77" t="s">
        <v>162</v>
      </c>
      <c r="D205" s="77" t="s">
        <v>925</v>
      </c>
      <c r="E20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05" s="79" t="s">
        <v>248</v>
      </c>
      <c r="G205" s="79" t="s">
        <v>249</v>
      </c>
      <c r="H205" s="140"/>
      <c r="I205" s="77" t="s">
        <v>625</v>
      </c>
      <c r="J205" s="144" t="s">
        <v>626</v>
      </c>
      <c r="K205" s="77" t="s">
        <v>169</v>
      </c>
      <c r="L205" s="103" t="str">
        <f>VLOOKUP(Anexo_4[[#This Row],[cod_doc]],TIPODOC,2,FALSE)</f>
        <v>FACTURA</v>
      </c>
      <c r="M205" s="77" t="s">
        <v>180</v>
      </c>
      <c r="N205" s="79" t="s">
        <v>926</v>
      </c>
      <c r="O205" s="80">
        <v>3074.07</v>
      </c>
      <c r="P205" s="81" t="s">
        <v>171</v>
      </c>
      <c r="Q205" s="81">
        <v>553.34</v>
      </c>
      <c r="R205" s="80" t="s">
        <v>171</v>
      </c>
      <c r="S205" s="80">
        <v>0</v>
      </c>
      <c r="T205" s="82">
        <v>3627.41</v>
      </c>
      <c r="U205" s="77" t="s">
        <v>927</v>
      </c>
      <c r="V205" s="75" t="s">
        <v>467</v>
      </c>
      <c r="W205" s="77"/>
      <c r="X205" s="77"/>
      <c r="Y205" s="77"/>
      <c r="Z205" s="77"/>
      <c r="AA205" s="83"/>
      <c r="AB205" s="104" t="str">
        <f>IFERROR(VLOOKUP(Anexo_4[[#This Row],[cuenta]],OP,2,0),"-")</f>
        <v>-</v>
      </c>
    </row>
    <row r="206" spans="1:28" s="84" customFormat="1" ht="27" customHeight="1" x14ac:dyDescent="0.3">
      <c r="A206" s="75" t="s">
        <v>928</v>
      </c>
      <c r="B206" s="36" t="str">
        <f t="shared" si="3"/>
        <v>Junio</v>
      </c>
      <c r="C206" s="77" t="s">
        <v>162</v>
      </c>
      <c r="D206" s="77" t="s">
        <v>929</v>
      </c>
      <c r="E20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06" s="79" t="s">
        <v>418</v>
      </c>
      <c r="G206" s="79" t="s">
        <v>419</v>
      </c>
      <c r="H206" s="140" t="s">
        <v>930</v>
      </c>
      <c r="I206" s="77" t="s">
        <v>178</v>
      </c>
      <c r="J206" s="144" t="s">
        <v>179</v>
      </c>
      <c r="K206" s="77" t="s">
        <v>169</v>
      </c>
      <c r="L206" s="103" t="str">
        <f>VLOOKUP(Anexo_4[[#This Row],[cod_doc]],TIPODOC,2,FALSE)</f>
        <v>FACTURA</v>
      </c>
      <c r="M206" s="77" t="s">
        <v>180</v>
      </c>
      <c r="N206" s="79">
        <v>133154</v>
      </c>
      <c r="O206" s="80">
        <v>8.4700000000000006</v>
      </c>
      <c r="P206" s="81" t="s">
        <v>171</v>
      </c>
      <c r="Q206" s="81">
        <v>1.5246</v>
      </c>
      <c r="R206" s="80" t="s">
        <v>171</v>
      </c>
      <c r="S206" s="80">
        <v>0</v>
      </c>
      <c r="T206" s="82">
        <v>10</v>
      </c>
      <c r="U206" s="77"/>
      <c r="V206" s="75"/>
      <c r="W206" s="77"/>
      <c r="X206" s="77"/>
      <c r="Y206" s="77"/>
      <c r="Z206" s="77" t="s">
        <v>182</v>
      </c>
      <c r="AA206" s="83" t="s">
        <v>930</v>
      </c>
      <c r="AB206" s="104" t="str">
        <f>IFERROR(VLOOKUP(Anexo_4[[#This Row],[cuenta]],OP,2,0),"-")</f>
        <v>Balanza - Ventas</v>
      </c>
    </row>
    <row r="207" spans="1:28" s="84" customFormat="1" ht="27" customHeight="1" x14ac:dyDescent="0.3">
      <c r="A207" s="75" t="s">
        <v>215</v>
      </c>
      <c r="B207" s="36" t="str">
        <f t="shared" si="3"/>
        <v>Junio</v>
      </c>
      <c r="C207" s="77" t="s">
        <v>162</v>
      </c>
      <c r="D207" s="77" t="s">
        <v>931</v>
      </c>
      <c r="E207" s="78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207" s="79" t="s">
        <v>198</v>
      </c>
      <c r="G207" s="79" t="s">
        <v>199</v>
      </c>
      <c r="H207" s="140" t="s">
        <v>932</v>
      </c>
      <c r="I207" s="77" t="s">
        <v>933</v>
      </c>
      <c r="J207" s="144" t="s">
        <v>934</v>
      </c>
      <c r="K207" s="77" t="s">
        <v>169</v>
      </c>
      <c r="L207" s="103" t="str">
        <f>VLOOKUP(Anexo_4[[#This Row],[cod_doc]],TIPODOC,2,FALSE)</f>
        <v>FACTURA</v>
      </c>
      <c r="M207" s="77" t="s">
        <v>102</v>
      </c>
      <c r="N207" s="79">
        <v>497</v>
      </c>
      <c r="O207" s="80">
        <v>400</v>
      </c>
      <c r="P207" s="81" t="s">
        <v>171</v>
      </c>
      <c r="Q207" s="81">
        <v>72</v>
      </c>
      <c r="R207" s="80" t="s">
        <v>171</v>
      </c>
      <c r="S207" s="80">
        <v>0</v>
      </c>
      <c r="T207" s="82">
        <v>472</v>
      </c>
      <c r="U207" s="77" t="s">
        <v>935</v>
      </c>
      <c r="V207" s="75" t="s">
        <v>467</v>
      </c>
      <c r="W207" s="77"/>
      <c r="X207" s="77"/>
      <c r="Y207" s="77"/>
      <c r="Z207" s="77" t="s">
        <v>468</v>
      </c>
      <c r="AA207" s="83" t="s">
        <v>932</v>
      </c>
      <c r="AB207" s="104" t="str">
        <f>IFERROR(VLOOKUP(Anexo_4[[#This Row],[cuenta]],OP,2,0),"-")</f>
        <v>Transporte de Carga  - Ventas</v>
      </c>
    </row>
    <row r="208" spans="1:28" s="84" customFormat="1" ht="27" customHeight="1" x14ac:dyDescent="0.3">
      <c r="A208" s="75" t="s">
        <v>215</v>
      </c>
      <c r="B208" s="36" t="str">
        <f t="shared" si="3"/>
        <v>Junio</v>
      </c>
      <c r="C208" s="77" t="s">
        <v>162</v>
      </c>
      <c r="D208" s="77" t="s">
        <v>936</v>
      </c>
      <c r="E208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08" s="79" t="s">
        <v>592</v>
      </c>
      <c r="G208" s="79" t="s">
        <v>593</v>
      </c>
      <c r="H208" s="140" t="s">
        <v>765</v>
      </c>
      <c r="I208" s="77" t="s">
        <v>937</v>
      </c>
      <c r="J208" s="144" t="s">
        <v>938</v>
      </c>
      <c r="K208" s="77" t="s">
        <v>169</v>
      </c>
      <c r="L208" s="103" t="str">
        <f>VLOOKUP(Anexo_4[[#This Row],[cod_doc]],TIPODOC,2,FALSE)</f>
        <v>FACTURA</v>
      </c>
      <c r="M208" s="77" t="s">
        <v>939</v>
      </c>
      <c r="N208" s="79">
        <v>7894</v>
      </c>
      <c r="O208" s="80">
        <v>242.13</v>
      </c>
      <c r="P208" s="81" t="s">
        <v>171</v>
      </c>
      <c r="Q208" s="81">
        <v>43.583399999999997</v>
      </c>
      <c r="R208" s="80" t="s">
        <v>171</v>
      </c>
      <c r="S208" s="80">
        <v>0</v>
      </c>
      <c r="T208" s="82">
        <v>285.70999999999998</v>
      </c>
      <c r="U208" s="77"/>
      <c r="V208" s="75"/>
      <c r="W208" s="77"/>
      <c r="X208" s="77"/>
      <c r="Y208" s="77"/>
      <c r="Z208" s="77" t="s">
        <v>455</v>
      </c>
      <c r="AA208" s="83" t="s">
        <v>765</v>
      </c>
      <c r="AB208" s="104" t="str">
        <f>IFERROR(VLOOKUP(Anexo_4[[#This Row],[cuenta]],OP,2,0),"-")</f>
        <v>Combustible (Vehiculos)</v>
      </c>
    </row>
    <row r="209" spans="1:28" s="84" customFormat="1" ht="27" customHeight="1" x14ac:dyDescent="0.3">
      <c r="A209" s="75" t="s">
        <v>210</v>
      </c>
      <c r="B209" s="36" t="str">
        <f t="shared" si="3"/>
        <v>Junio</v>
      </c>
      <c r="C209" s="77" t="s">
        <v>162</v>
      </c>
      <c r="D209" s="77" t="s">
        <v>940</v>
      </c>
      <c r="E209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09" s="79" t="s">
        <v>592</v>
      </c>
      <c r="G209" s="79" t="s">
        <v>593</v>
      </c>
      <c r="H209" s="140" t="s">
        <v>941</v>
      </c>
      <c r="I209" s="77" t="s">
        <v>937</v>
      </c>
      <c r="J209" s="144" t="s">
        <v>938</v>
      </c>
      <c r="K209" s="77" t="s">
        <v>169</v>
      </c>
      <c r="L209" s="103" t="str">
        <f>VLOOKUP(Anexo_4[[#This Row],[cod_doc]],TIPODOC,2,FALSE)</f>
        <v>FACTURA</v>
      </c>
      <c r="M209" s="77" t="s">
        <v>942</v>
      </c>
      <c r="N209" s="79">
        <v>10502</v>
      </c>
      <c r="O209" s="80">
        <v>63.99</v>
      </c>
      <c r="P209" s="81" t="s">
        <v>171</v>
      </c>
      <c r="Q209" s="81">
        <v>11.5182</v>
      </c>
      <c r="R209" s="80" t="s">
        <v>171</v>
      </c>
      <c r="S209" s="80">
        <v>0</v>
      </c>
      <c r="T209" s="82">
        <v>75.510000000000005</v>
      </c>
      <c r="U209" s="77"/>
      <c r="V209" s="75"/>
      <c r="W209" s="77"/>
      <c r="X209" s="77"/>
      <c r="Y209" s="77"/>
      <c r="Z209" s="77" t="s">
        <v>455</v>
      </c>
      <c r="AA209" s="83" t="s">
        <v>941</v>
      </c>
      <c r="AB209" s="104" t="str">
        <f>IFERROR(VLOOKUP(Anexo_4[[#This Row],[cuenta]],OP,2,0),"-")</f>
        <v>Combustible (Vehiculos)</v>
      </c>
    </row>
    <row r="210" spans="1:28" s="84" customFormat="1" ht="27" customHeight="1" x14ac:dyDescent="0.3">
      <c r="A210" s="75" t="s">
        <v>215</v>
      </c>
      <c r="B210" s="36" t="str">
        <f t="shared" si="3"/>
        <v>Junio</v>
      </c>
      <c r="C210" s="77" t="s">
        <v>162</v>
      </c>
      <c r="D210" s="77" t="s">
        <v>943</v>
      </c>
      <c r="E210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10" s="79" t="s">
        <v>592</v>
      </c>
      <c r="G210" s="79" t="s">
        <v>593</v>
      </c>
      <c r="H210" s="140" t="s">
        <v>765</v>
      </c>
      <c r="I210" s="77" t="s">
        <v>937</v>
      </c>
      <c r="J210" s="144" t="s">
        <v>938</v>
      </c>
      <c r="K210" s="77" t="s">
        <v>169</v>
      </c>
      <c r="L210" s="103" t="str">
        <f>VLOOKUP(Anexo_4[[#This Row],[cod_doc]],TIPODOC,2,FALSE)</f>
        <v>FACTURA</v>
      </c>
      <c r="M210" s="77" t="s">
        <v>942</v>
      </c>
      <c r="N210" s="79">
        <v>10509</v>
      </c>
      <c r="O210" s="80">
        <v>58.99</v>
      </c>
      <c r="P210" s="81" t="s">
        <v>171</v>
      </c>
      <c r="Q210" s="81">
        <v>10.6182</v>
      </c>
      <c r="R210" s="80" t="s">
        <v>171</v>
      </c>
      <c r="S210" s="80">
        <v>0</v>
      </c>
      <c r="T210" s="82">
        <v>69.61</v>
      </c>
      <c r="U210" s="77"/>
      <c r="V210" s="75"/>
      <c r="W210" s="77"/>
      <c r="X210" s="77"/>
      <c r="Y210" s="77"/>
      <c r="Z210" s="77" t="s">
        <v>455</v>
      </c>
      <c r="AA210" s="83" t="s">
        <v>765</v>
      </c>
      <c r="AB210" s="104" t="str">
        <f>IFERROR(VLOOKUP(Anexo_4[[#This Row],[cuenta]],OP,2,0),"-")</f>
        <v>Combustible (Vehiculos)</v>
      </c>
    </row>
    <row r="211" spans="1:28" s="84" customFormat="1" ht="27" customHeight="1" x14ac:dyDescent="0.3">
      <c r="A211" s="75" t="s">
        <v>928</v>
      </c>
      <c r="B211" s="36" t="str">
        <f t="shared" si="3"/>
        <v>Junio</v>
      </c>
      <c r="C211" s="77" t="s">
        <v>162</v>
      </c>
      <c r="D211" s="77" t="s">
        <v>944</v>
      </c>
      <c r="E21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11" s="79" t="s">
        <v>456</v>
      </c>
      <c r="G211" s="79" t="s">
        <v>457</v>
      </c>
      <c r="H211" s="140" t="s">
        <v>945</v>
      </c>
      <c r="I211" s="77" t="s">
        <v>946</v>
      </c>
      <c r="J211" s="144" t="s">
        <v>947</v>
      </c>
      <c r="K211" s="77" t="s">
        <v>169</v>
      </c>
      <c r="L211" s="103" t="str">
        <f>VLOOKUP(Anexo_4[[#This Row],[cod_doc]],TIPODOC,2,FALSE)</f>
        <v>FACTURA</v>
      </c>
      <c r="M211" s="77" t="s">
        <v>102</v>
      </c>
      <c r="N211" s="79">
        <v>306</v>
      </c>
      <c r="O211" s="80">
        <v>186.44</v>
      </c>
      <c r="P211" s="81" t="s">
        <v>171</v>
      </c>
      <c r="Q211" s="81">
        <v>33.559199999999997</v>
      </c>
      <c r="R211" s="80" t="s">
        <v>171</v>
      </c>
      <c r="S211" s="80">
        <v>0</v>
      </c>
      <c r="T211" s="82">
        <v>220</v>
      </c>
      <c r="U211" s="77"/>
      <c r="V211" s="75"/>
      <c r="W211" s="77"/>
      <c r="X211" s="77"/>
      <c r="Y211" s="77"/>
      <c r="Z211" s="77" t="s">
        <v>241</v>
      </c>
      <c r="AA211" s="83" t="s">
        <v>945</v>
      </c>
      <c r="AB211" s="104" t="str">
        <f>IFERROR(VLOOKUP(Anexo_4[[#This Row],[cuenta]],OP,2,0),"-")</f>
        <v>Mantenimiento Vehicular (Correctivo)</v>
      </c>
    </row>
    <row r="212" spans="1:28" s="84" customFormat="1" ht="27" customHeight="1" x14ac:dyDescent="0.3">
      <c r="A212" s="75" t="s">
        <v>920</v>
      </c>
      <c r="B212" s="36" t="str">
        <f t="shared" si="3"/>
        <v>Junio</v>
      </c>
      <c r="C212" s="77" t="s">
        <v>162</v>
      </c>
      <c r="D212" s="77" t="s">
        <v>948</v>
      </c>
      <c r="E212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12" s="79"/>
      <c r="G212" s="79"/>
      <c r="H212" s="140"/>
      <c r="I212" s="77" t="s">
        <v>949</v>
      </c>
      <c r="J212" s="144" t="s">
        <v>950</v>
      </c>
      <c r="K212" s="77" t="s">
        <v>169</v>
      </c>
      <c r="L212" s="103" t="str">
        <f>VLOOKUP(Anexo_4[[#This Row],[cod_doc]],TIPODOC,2,FALSE)</f>
        <v>FACTURA</v>
      </c>
      <c r="M212" s="77" t="s">
        <v>222</v>
      </c>
      <c r="N212" s="79" t="s">
        <v>951</v>
      </c>
      <c r="O212" s="80">
        <v>102</v>
      </c>
      <c r="P212" s="81" t="s">
        <v>171</v>
      </c>
      <c r="Q212" s="81">
        <v>18.36</v>
      </c>
      <c r="R212" s="80" t="s">
        <v>171</v>
      </c>
      <c r="S212" s="80">
        <v>0</v>
      </c>
      <c r="T212" s="82">
        <v>120.36</v>
      </c>
      <c r="U212" s="77"/>
      <c r="V212" s="75"/>
      <c r="W212" s="77"/>
      <c r="X212" s="77"/>
      <c r="Y212" s="77"/>
      <c r="Z212" s="77"/>
      <c r="AA212" s="83"/>
      <c r="AB212" s="104" t="str">
        <f>IFERROR(VLOOKUP(Anexo_4[[#This Row],[cuenta]],OP,2,0),"-")</f>
        <v>-</v>
      </c>
    </row>
    <row r="213" spans="1:28" s="84" customFormat="1" ht="27" customHeight="1" x14ac:dyDescent="0.3">
      <c r="A213" s="75" t="s">
        <v>928</v>
      </c>
      <c r="B213" s="36" t="str">
        <f t="shared" si="3"/>
        <v>Junio</v>
      </c>
      <c r="C213" s="77" t="s">
        <v>162</v>
      </c>
      <c r="D213" s="77" t="s">
        <v>952</v>
      </c>
      <c r="E213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13" s="79" t="s">
        <v>953</v>
      </c>
      <c r="G213" s="79" t="s">
        <v>954</v>
      </c>
      <c r="H213" s="140" t="s">
        <v>955</v>
      </c>
      <c r="I213" s="77" t="s">
        <v>956</v>
      </c>
      <c r="J213" s="144" t="s">
        <v>957</v>
      </c>
      <c r="K213" s="77" t="s">
        <v>169</v>
      </c>
      <c r="L213" s="103" t="str">
        <f>VLOOKUP(Anexo_4[[#This Row],[cod_doc]],TIPODOC,2,FALSE)</f>
        <v>FACTURA</v>
      </c>
      <c r="M213" s="77" t="s">
        <v>102</v>
      </c>
      <c r="N213" s="79">
        <v>479</v>
      </c>
      <c r="O213" s="80">
        <v>300</v>
      </c>
      <c r="P213" s="81" t="s">
        <v>171</v>
      </c>
      <c r="Q213" s="81">
        <v>54</v>
      </c>
      <c r="R213" s="80" t="s">
        <v>171</v>
      </c>
      <c r="S213" s="80">
        <v>0</v>
      </c>
      <c r="T213" s="82">
        <v>354</v>
      </c>
      <c r="U213" s="77"/>
      <c r="V213" s="75"/>
      <c r="W213" s="77"/>
      <c r="X213" s="77"/>
      <c r="Y213" s="77"/>
      <c r="Z213" s="77" t="s">
        <v>958</v>
      </c>
      <c r="AA213" s="83" t="s">
        <v>955</v>
      </c>
      <c r="AB213" s="104" t="str">
        <f>IFERROR(VLOOKUP(Anexo_4[[#This Row],[cuenta]],OP,2,0),"-")</f>
        <v>-</v>
      </c>
    </row>
    <row r="214" spans="1:28" s="84" customFormat="1" ht="27" customHeight="1" x14ac:dyDescent="0.3">
      <c r="A214" s="75" t="s">
        <v>295</v>
      </c>
      <c r="B214" s="36" t="str">
        <f t="shared" si="3"/>
        <v>Junio</v>
      </c>
      <c r="C214" s="77" t="s">
        <v>162</v>
      </c>
      <c r="D214" s="77" t="s">
        <v>959</v>
      </c>
      <c r="E214" s="78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214" s="79" t="s">
        <v>198</v>
      </c>
      <c r="G214" s="79" t="s">
        <v>199</v>
      </c>
      <c r="H214" s="140" t="s">
        <v>960</v>
      </c>
      <c r="I214" s="77" t="s">
        <v>643</v>
      </c>
      <c r="J214" s="144" t="s">
        <v>644</v>
      </c>
      <c r="K214" s="77" t="s">
        <v>169</v>
      </c>
      <c r="L214" s="103" t="str">
        <f>VLOOKUP(Anexo_4[[#This Row],[cod_doc]],TIPODOC,2,FALSE)</f>
        <v>FACTURA</v>
      </c>
      <c r="M214" s="77" t="s">
        <v>102</v>
      </c>
      <c r="N214" s="79">
        <v>3940</v>
      </c>
      <c r="O214" s="80">
        <v>212.5</v>
      </c>
      <c r="P214" s="81" t="s">
        <v>171</v>
      </c>
      <c r="Q214" s="81">
        <v>38.25</v>
      </c>
      <c r="R214" s="80" t="s">
        <v>171</v>
      </c>
      <c r="S214" s="80">
        <v>0</v>
      </c>
      <c r="T214" s="82">
        <v>250.75</v>
      </c>
      <c r="U214" s="77"/>
      <c r="V214" s="75"/>
      <c r="W214" s="77"/>
      <c r="X214" s="77"/>
      <c r="Y214" s="77"/>
      <c r="Z214" s="77" t="s">
        <v>648</v>
      </c>
      <c r="AA214" s="83" t="s">
        <v>960</v>
      </c>
      <c r="AB214" s="104" t="str">
        <f>IFERROR(VLOOKUP(Anexo_4[[#This Row],[cuenta]],OP,2,0),"-")</f>
        <v>Montacarga - Ventas</v>
      </c>
    </row>
    <row r="215" spans="1:28" s="84" customFormat="1" ht="27" customHeight="1" x14ac:dyDescent="0.3">
      <c r="A215" s="75" t="s">
        <v>215</v>
      </c>
      <c r="B215" s="36" t="str">
        <f t="shared" si="3"/>
        <v>Junio</v>
      </c>
      <c r="C215" s="77" t="s">
        <v>162</v>
      </c>
      <c r="D215" s="77" t="s">
        <v>961</v>
      </c>
      <c r="E21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15" s="79" t="s">
        <v>355</v>
      </c>
      <c r="G215" s="79" t="s">
        <v>356</v>
      </c>
      <c r="H215" s="140" t="s">
        <v>962</v>
      </c>
      <c r="I215" s="77" t="s">
        <v>643</v>
      </c>
      <c r="J215" s="144" t="s">
        <v>644</v>
      </c>
      <c r="K215" s="77" t="s">
        <v>169</v>
      </c>
      <c r="L215" s="103" t="str">
        <f>VLOOKUP(Anexo_4[[#This Row],[cod_doc]],TIPODOC,2,FALSE)</f>
        <v>FACTURA</v>
      </c>
      <c r="M215" s="77" t="s">
        <v>102</v>
      </c>
      <c r="N215" s="79">
        <v>3935</v>
      </c>
      <c r="O215" s="80">
        <v>382.5</v>
      </c>
      <c r="P215" s="81" t="s">
        <v>171</v>
      </c>
      <c r="Q215" s="81">
        <v>68.849999999999994</v>
      </c>
      <c r="R215" s="80" t="s">
        <v>171</v>
      </c>
      <c r="S215" s="80">
        <v>0</v>
      </c>
      <c r="T215" s="82">
        <v>451.35</v>
      </c>
      <c r="U215" s="77"/>
      <c r="V215" s="75"/>
      <c r="W215" s="77"/>
      <c r="X215" s="77"/>
      <c r="Y215" s="77"/>
      <c r="Z215" s="77" t="s">
        <v>645</v>
      </c>
      <c r="AA215" s="83" t="s">
        <v>962</v>
      </c>
      <c r="AB215" s="104" t="str">
        <f>IFERROR(VLOOKUP(Anexo_4[[#This Row],[cuenta]],OP,2,0),"-")</f>
        <v>Montacarga - Servicios</v>
      </c>
    </row>
    <row r="216" spans="1:28" s="84" customFormat="1" ht="27" customHeight="1" x14ac:dyDescent="0.3">
      <c r="A216" s="75" t="s">
        <v>349</v>
      </c>
      <c r="B216" s="36" t="str">
        <f t="shared" si="3"/>
        <v>Junio</v>
      </c>
      <c r="C216" s="77" t="s">
        <v>162</v>
      </c>
      <c r="D216" s="77" t="s">
        <v>963</v>
      </c>
      <c r="E216" s="78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216" s="79" t="s">
        <v>198</v>
      </c>
      <c r="G216" s="79" t="s">
        <v>199</v>
      </c>
      <c r="H216" s="140" t="s">
        <v>964</v>
      </c>
      <c r="I216" s="77" t="s">
        <v>643</v>
      </c>
      <c r="J216" s="144" t="s">
        <v>644</v>
      </c>
      <c r="K216" s="77" t="s">
        <v>169</v>
      </c>
      <c r="L216" s="103" t="str">
        <f>VLOOKUP(Anexo_4[[#This Row],[cod_doc]],TIPODOC,2,FALSE)</f>
        <v>FACTURA</v>
      </c>
      <c r="M216" s="77" t="s">
        <v>102</v>
      </c>
      <c r="N216" s="79">
        <v>3947</v>
      </c>
      <c r="O216" s="80">
        <v>595</v>
      </c>
      <c r="P216" s="81" t="s">
        <v>171</v>
      </c>
      <c r="Q216" s="81">
        <v>107.1</v>
      </c>
      <c r="R216" s="80" t="s">
        <v>171</v>
      </c>
      <c r="S216" s="80">
        <v>0</v>
      </c>
      <c r="T216" s="82">
        <v>702.1</v>
      </c>
      <c r="U216" s="77" t="s">
        <v>965</v>
      </c>
      <c r="V216" s="75" t="s">
        <v>966</v>
      </c>
      <c r="W216" s="77"/>
      <c r="X216" s="77"/>
      <c r="Y216" s="77"/>
      <c r="Z216" s="77" t="s">
        <v>648</v>
      </c>
      <c r="AA216" s="83" t="s">
        <v>964</v>
      </c>
      <c r="AB216" s="104" t="str">
        <f>IFERROR(VLOOKUP(Anexo_4[[#This Row],[cuenta]],OP,2,0),"-")</f>
        <v>Montacarga - Ventas</v>
      </c>
    </row>
    <row r="217" spans="1:28" s="84" customFormat="1" ht="27" customHeight="1" x14ac:dyDescent="0.3">
      <c r="A217" s="75" t="s">
        <v>316</v>
      </c>
      <c r="B217" s="36" t="str">
        <f t="shared" si="3"/>
        <v>Junio</v>
      </c>
      <c r="C217" s="77" t="s">
        <v>162</v>
      </c>
      <c r="D217" s="77" t="s">
        <v>967</v>
      </c>
      <c r="E217" s="78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217" s="79" t="s">
        <v>198</v>
      </c>
      <c r="G217" s="79" t="s">
        <v>199</v>
      </c>
      <c r="H217" s="140" t="s">
        <v>968</v>
      </c>
      <c r="I217" s="77" t="s">
        <v>643</v>
      </c>
      <c r="J217" s="144" t="s">
        <v>644</v>
      </c>
      <c r="K217" s="77" t="s">
        <v>169</v>
      </c>
      <c r="L217" s="103" t="str">
        <f>VLOOKUP(Anexo_4[[#This Row],[cod_doc]],TIPODOC,2,FALSE)</f>
        <v>FACTURA</v>
      </c>
      <c r="M217" s="77" t="s">
        <v>102</v>
      </c>
      <c r="N217" s="79">
        <v>3941</v>
      </c>
      <c r="O217" s="80">
        <v>127.5</v>
      </c>
      <c r="P217" s="81" t="s">
        <v>171</v>
      </c>
      <c r="Q217" s="81">
        <v>22.95</v>
      </c>
      <c r="R217" s="80" t="s">
        <v>171</v>
      </c>
      <c r="S217" s="80">
        <v>0</v>
      </c>
      <c r="T217" s="82">
        <v>150.44999999999999</v>
      </c>
      <c r="U217" s="77"/>
      <c r="V217" s="75"/>
      <c r="W217" s="77"/>
      <c r="X217" s="77"/>
      <c r="Y217" s="77"/>
      <c r="Z217" s="77" t="s">
        <v>648</v>
      </c>
      <c r="AA217" s="83" t="s">
        <v>968</v>
      </c>
      <c r="AB217" s="104" t="str">
        <f>IFERROR(VLOOKUP(Anexo_4[[#This Row],[cuenta]],OP,2,0),"-")</f>
        <v>Montacarga - Ventas</v>
      </c>
    </row>
    <row r="218" spans="1:28" s="84" customFormat="1" ht="27" customHeight="1" x14ac:dyDescent="0.3">
      <c r="A218" s="75" t="s">
        <v>841</v>
      </c>
      <c r="B218" s="36" t="str">
        <f t="shared" si="3"/>
        <v>Junio</v>
      </c>
      <c r="C218" s="77" t="s">
        <v>162</v>
      </c>
      <c r="D218" s="77" t="s">
        <v>969</v>
      </c>
      <c r="E218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18" s="79" t="s">
        <v>164</v>
      </c>
      <c r="G218" s="79" t="s">
        <v>165</v>
      </c>
      <c r="H218" s="140" t="s">
        <v>970</v>
      </c>
      <c r="I218" s="77" t="s">
        <v>971</v>
      </c>
      <c r="J218" s="144" t="s">
        <v>972</v>
      </c>
      <c r="K218" s="77" t="s">
        <v>169</v>
      </c>
      <c r="L218" s="103" t="str">
        <f>VLOOKUP(Anexo_4[[#This Row],[cod_doc]],TIPODOC,2,FALSE)</f>
        <v>FACTURA</v>
      </c>
      <c r="M218" s="77" t="s">
        <v>973</v>
      </c>
      <c r="N218" s="79">
        <v>299687</v>
      </c>
      <c r="O218" s="80">
        <v>31</v>
      </c>
      <c r="P218" s="81" t="s">
        <v>171</v>
      </c>
      <c r="Q218" s="81">
        <v>5.58</v>
      </c>
      <c r="R218" s="80" t="s">
        <v>171</v>
      </c>
      <c r="S218" s="80">
        <v>0</v>
      </c>
      <c r="T218" s="82">
        <v>36.58</v>
      </c>
      <c r="U218" s="77"/>
      <c r="V218" s="75"/>
      <c r="W218" s="77"/>
      <c r="X218" s="77"/>
      <c r="Y218" s="77"/>
      <c r="Z218" s="77" t="s">
        <v>974</v>
      </c>
      <c r="AA218" s="83" t="s">
        <v>970</v>
      </c>
      <c r="AB218" s="104" t="str">
        <f>IFERROR(VLOOKUP(Anexo_4[[#This Row],[cuenta]],OP,2,0),"-")</f>
        <v>-</v>
      </c>
    </row>
    <row r="219" spans="1:28" s="84" customFormat="1" ht="27" customHeight="1" x14ac:dyDescent="0.3">
      <c r="A219" s="75" t="s">
        <v>841</v>
      </c>
      <c r="B219" s="36" t="str">
        <f t="shared" si="3"/>
        <v>Junio</v>
      </c>
      <c r="C219" s="77" t="s">
        <v>162</v>
      </c>
      <c r="D219" s="77" t="s">
        <v>975</v>
      </c>
      <c r="E219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19" s="79" t="s">
        <v>164</v>
      </c>
      <c r="G219" s="79" t="s">
        <v>165</v>
      </c>
      <c r="H219" s="140" t="s">
        <v>976</v>
      </c>
      <c r="I219" s="77" t="s">
        <v>971</v>
      </c>
      <c r="J219" s="144" t="s">
        <v>972</v>
      </c>
      <c r="K219" s="77" t="s">
        <v>169</v>
      </c>
      <c r="L219" s="103" t="str">
        <f>VLOOKUP(Anexo_4[[#This Row],[cod_doc]],TIPODOC,2,FALSE)</f>
        <v>FACTURA</v>
      </c>
      <c r="M219" s="77" t="s">
        <v>973</v>
      </c>
      <c r="N219" s="79">
        <v>299686</v>
      </c>
      <c r="O219" s="80">
        <v>465</v>
      </c>
      <c r="P219" s="81" t="s">
        <v>171</v>
      </c>
      <c r="Q219" s="81">
        <v>83.7</v>
      </c>
      <c r="R219" s="80" t="s">
        <v>171</v>
      </c>
      <c r="S219" s="80">
        <v>0</v>
      </c>
      <c r="T219" s="82">
        <v>548.70000000000005</v>
      </c>
      <c r="U219" s="77"/>
      <c r="V219" s="75"/>
      <c r="W219" s="77"/>
      <c r="X219" s="77"/>
      <c r="Y219" s="77"/>
      <c r="Z219" s="77" t="s">
        <v>977</v>
      </c>
      <c r="AA219" s="83" t="s">
        <v>976</v>
      </c>
      <c r="AB219" s="104" t="str">
        <f>IFERROR(VLOOKUP(Anexo_4[[#This Row],[cuenta]],OP,2,0),"-")</f>
        <v>-</v>
      </c>
    </row>
    <row r="220" spans="1:28" s="84" customFormat="1" ht="27" customHeight="1" x14ac:dyDescent="0.3">
      <c r="A220" s="75" t="s">
        <v>467</v>
      </c>
      <c r="B220" s="36" t="str">
        <f t="shared" si="3"/>
        <v>Junio</v>
      </c>
      <c r="C220" s="77" t="s">
        <v>162</v>
      </c>
      <c r="D220" s="77" t="s">
        <v>978</v>
      </c>
      <c r="E220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20" s="79" t="s">
        <v>248</v>
      </c>
      <c r="G220" s="79" t="s">
        <v>249</v>
      </c>
      <c r="H220" s="140" t="s">
        <v>979</v>
      </c>
      <c r="I220" s="77" t="s">
        <v>980</v>
      </c>
      <c r="J220" s="144" t="s">
        <v>981</v>
      </c>
      <c r="K220" s="77" t="s">
        <v>169</v>
      </c>
      <c r="L220" s="103" t="str">
        <f>VLOOKUP(Anexo_4[[#This Row],[cod_doc]],TIPODOC,2,FALSE)</f>
        <v>FACTURA</v>
      </c>
      <c r="M220" s="77" t="s">
        <v>982</v>
      </c>
      <c r="N220" s="79">
        <v>1704</v>
      </c>
      <c r="O220" s="80">
        <v>109.32</v>
      </c>
      <c r="P220" s="81" t="s">
        <v>171</v>
      </c>
      <c r="Q220" s="81">
        <v>19.677599999999998</v>
      </c>
      <c r="R220" s="80" t="s">
        <v>171</v>
      </c>
      <c r="S220" s="80">
        <v>0</v>
      </c>
      <c r="T220" s="82">
        <v>129</v>
      </c>
      <c r="U220" s="77" t="s">
        <v>983</v>
      </c>
      <c r="V220" s="75" t="s">
        <v>966</v>
      </c>
      <c r="W220" s="77"/>
      <c r="X220" s="77"/>
      <c r="Y220" s="77"/>
      <c r="Z220" s="77" t="s">
        <v>256</v>
      </c>
      <c r="AA220" s="83" t="s">
        <v>979</v>
      </c>
      <c r="AB220" s="104" t="str">
        <f>IFERROR(VLOOKUP(Anexo_4[[#This Row],[cuenta]],OP,2,0),"-")</f>
        <v>Materias Primas - RRSS</v>
      </c>
    </row>
    <row r="221" spans="1:28" s="84" customFormat="1" ht="27" customHeight="1" x14ac:dyDescent="0.3">
      <c r="A221" s="75" t="s">
        <v>467</v>
      </c>
      <c r="B221" s="36" t="str">
        <f t="shared" si="3"/>
        <v>Junio</v>
      </c>
      <c r="C221" s="77" t="s">
        <v>162</v>
      </c>
      <c r="D221" s="77" t="s">
        <v>984</v>
      </c>
      <c r="E22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21" s="79" t="s">
        <v>248</v>
      </c>
      <c r="G221" s="79" t="s">
        <v>249</v>
      </c>
      <c r="H221" s="140" t="s">
        <v>985</v>
      </c>
      <c r="I221" s="77" t="s">
        <v>980</v>
      </c>
      <c r="J221" s="144" t="s">
        <v>981</v>
      </c>
      <c r="K221" s="77" t="s">
        <v>169</v>
      </c>
      <c r="L221" s="103" t="str">
        <f>VLOOKUP(Anexo_4[[#This Row],[cod_doc]],TIPODOC,2,FALSE)</f>
        <v>FACTURA</v>
      </c>
      <c r="M221" s="77" t="s">
        <v>982</v>
      </c>
      <c r="N221" s="79">
        <v>1705</v>
      </c>
      <c r="O221" s="80">
        <v>663.73</v>
      </c>
      <c r="P221" s="81" t="s">
        <v>171</v>
      </c>
      <c r="Q221" s="81">
        <v>119.4714</v>
      </c>
      <c r="R221" s="80" t="s">
        <v>171</v>
      </c>
      <c r="S221" s="80">
        <v>0</v>
      </c>
      <c r="T221" s="82">
        <v>783.2</v>
      </c>
      <c r="U221" s="77" t="s">
        <v>986</v>
      </c>
      <c r="V221" s="75" t="s">
        <v>966</v>
      </c>
      <c r="W221" s="77"/>
      <c r="X221" s="77"/>
      <c r="Y221" s="77"/>
      <c r="Z221" s="77" t="s">
        <v>256</v>
      </c>
      <c r="AA221" s="83" t="s">
        <v>985</v>
      </c>
      <c r="AB221" s="104" t="str">
        <f>IFERROR(VLOOKUP(Anexo_4[[#This Row],[cuenta]],OP,2,0),"-")</f>
        <v>Materias Primas - RRSS</v>
      </c>
    </row>
    <row r="222" spans="1:28" s="84" customFormat="1" ht="27" customHeight="1" x14ac:dyDescent="0.3">
      <c r="A222" s="75" t="s">
        <v>467</v>
      </c>
      <c r="B222" s="36" t="str">
        <f t="shared" si="3"/>
        <v>Junio</v>
      </c>
      <c r="C222" s="77" t="s">
        <v>162</v>
      </c>
      <c r="D222" s="77" t="s">
        <v>987</v>
      </c>
      <c r="E22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22" s="79" t="s">
        <v>248</v>
      </c>
      <c r="G222" s="79" t="s">
        <v>249</v>
      </c>
      <c r="H222" s="140" t="s">
        <v>988</v>
      </c>
      <c r="I222" s="77" t="s">
        <v>980</v>
      </c>
      <c r="J222" s="144" t="s">
        <v>981</v>
      </c>
      <c r="K222" s="77" t="s">
        <v>169</v>
      </c>
      <c r="L222" s="103" t="str">
        <f>VLOOKUP(Anexo_4[[#This Row],[cod_doc]],TIPODOC,2,FALSE)</f>
        <v>FACTURA</v>
      </c>
      <c r="M222" s="77" t="s">
        <v>982</v>
      </c>
      <c r="N222" s="79">
        <v>1706</v>
      </c>
      <c r="O222" s="80">
        <v>352.53</v>
      </c>
      <c r="P222" s="81" t="s">
        <v>171</v>
      </c>
      <c r="Q222" s="81">
        <v>63.45539999999999</v>
      </c>
      <c r="R222" s="80" t="s">
        <v>171</v>
      </c>
      <c r="S222" s="80">
        <v>0</v>
      </c>
      <c r="T222" s="82">
        <v>415.99</v>
      </c>
      <c r="U222" s="77" t="s">
        <v>989</v>
      </c>
      <c r="V222" s="75" t="s">
        <v>966</v>
      </c>
      <c r="W222" s="77"/>
      <c r="X222" s="77"/>
      <c r="Y222" s="77"/>
      <c r="Z222" s="77" t="s">
        <v>256</v>
      </c>
      <c r="AA222" s="83" t="s">
        <v>988</v>
      </c>
      <c r="AB222" s="104" t="str">
        <f>IFERROR(VLOOKUP(Anexo_4[[#This Row],[cuenta]],OP,2,0),"-")</f>
        <v>Materias Primas - RRSS</v>
      </c>
    </row>
    <row r="223" spans="1:28" s="84" customFormat="1" ht="27" customHeight="1" x14ac:dyDescent="0.3">
      <c r="A223" s="75" t="s">
        <v>841</v>
      </c>
      <c r="B223" s="36" t="str">
        <f t="shared" si="3"/>
        <v>Junio</v>
      </c>
      <c r="C223" s="77" t="s">
        <v>162</v>
      </c>
      <c r="D223" s="77" t="s">
        <v>990</v>
      </c>
      <c r="E223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23" s="79" t="s">
        <v>355</v>
      </c>
      <c r="G223" s="79" t="s">
        <v>356</v>
      </c>
      <c r="H223" s="140" t="s">
        <v>633</v>
      </c>
      <c r="I223" s="77" t="s">
        <v>991</v>
      </c>
      <c r="J223" s="144" t="s">
        <v>992</v>
      </c>
      <c r="K223" s="77" t="s">
        <v>169</v>
      </c>
      <c r="L223" s="103" t="str">
        <f>VLOOKUP(Anexo_4[[#This Row],[cod_doc]],TIPODOC,2,FALSE)</f>
        <v>FACTURA</v>
      </c>
      <c r="M223" s="77" t="s">
        <v>222</v>
      </c>
      <c r="N223" s="79">
        <v>6514</v>
      </c>
      <c r="O223" s="80">
        <v>20.76</v>
      </c>
      <c r="P223" s="81" t="s">
        <v>171</v>
      </c>
      <c r="Q223" s="81">
        <v>3.7368000000000001</v>
      </c>
      <c r="R223" s="80" t="s">
        <v>171</v>
      </c>
      <c r="S223" s="80">
        <v>0</v>
      </c>
      <c r="T223" s="82">
        <v>24.5</v>
      </c>
      <c r="U223" s="77"/>
      <c r="V223" s="75"/>
      <c r="W223" s="77"/>
      <c r="X223" s="77"/>
      <c r="Y223" s="77"/>
      <c r="Z223" s="77" t="s">
        <v>361</v>
      </c>
      <c r="AA223" s="83" t="s">
        <v>633</v>
      </c>
      <c r="AB223" s="104" t="str">
        <f>IFERROR(VLOOKUP(Anexo_4[[#This Row],[cuenta]],OP,2,0),"-")</f>
        <v>Alimentacion (Operativo)</v>
      </c>
    </row>
    <row r="224" spans="1:28" s="84" customFormat="1" ht="27" customHeight="1" x14ac:dyDescent="0.3">
      <c r="A224" s="75" t="s">
        <v>993</v>
      </c>
      <c r="B224" s="36" t="str">
        <f t="shared" si="3"/>
        <v>Junio</v>
      </c>
      <c r="C224" s="77" t="s">
        <v>162</v>
      </c>
      <c r="D224" s="77" t="s">
        <v>994</v>
      </c>
      <c r="E224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24" s="79" t="s">
        <v>164</v>
      </c>
      <c r="G224" s="79" t="s">
        <v>165</v>
      </c>
      <c r="H224" s="140" t="s">
        <v>637</v>
      </c>
      <c r="I224" s="77" t="s">
        <v>638</v>
      </c>
      <c r="J224" s="144" t="s">
        <v>639</v>
      </c>
      <c r="K224" s="77" t="s">
        <v>169</v>
      </c>
      <c r="L224" s="103" t="str">
        <f>VLOOKUP(Anexo_4[[#This Row],[cod_doc]],TIPODOC,2,FALSE)</f>
        <v>FACTURA</v>
      </c>
      <c r="M224" s="77" t="s">
        <v>995</v>
      </c>
      <c r="N224" s="79">
        <v>5189</v>
      </c>
      <c r="O224" s="80">
        <v>28.81</v>
      </c>
      <c r="P224" s="81" t="s">
        <v>171</v>
      </c>
      <c r="Q224" s="81">
        <v>5.1857999999999995</v>
      </c>
      <c r="R224" s="80" t="s">
        <v>171</v>
      </c>
      <c r="S224" s="80">
        <v>0</v>
      </c>
      <c r="T224" s="82">
        <v>34</v>
      </c>
      <c r="U224" s="77"/>
      <c r="V224" s="75"/>
      <c r="W224" s="77"/>
      <c r="X224" s="77"/>
      <c r="Y224" s="77"/>
      <c r="Z224" s="77" t="s">
        <v>196</v>
      </c>
      <c r="AA224" s="83" t="s">
        <v>637</v>
      </c>
      <c r="AB224" s="104" t="str">
        <f>IFERROR(VLOOKUP(Anexo_4[[#This Row],[cuenta]],OP,2,0),"-")</f>
        <v>Encomienda (Envío de documentación)</v>
      </c>
    </row>
    <row r="225" spans="1:28" s="84" customFormat="1" ht="27" customHeight="1" x14ac:dyDescent="0.3">
      <c r="A225" s="75" t="s">
        <v>996</v>
      </c>
      <c r="B225" s="36" t="str">
        <f t="shared" si="3"/>
        <v>Junio</v>
      </c>
      <c r="C225" s="77" t="s">
        <v>162</v>
      </c>
      <c r="D225" s="77" t="s">
        <v>997</v>
      </c>
      <c r="E22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25" s="79" t="s">
        <v>456</v>
      </c>
      <c r="G225" s="79" t="s">
        <v>457</v>
      </c>
      <c r="H225" s="140" t="s">
        <v>608</v>
      </c>
      <c r="I225" s="77" t="s">
        <v>998</v>
      </c>
      <c r="J225" s="144" t="s">
        <v>999</v>
      </c>
      <c r="K225" s="77" t="s">
        <v>169</v>
      </c>
      <c r="L225" s="103" t="str">
        <f>VLOOKUP(Anexo_4[[#This Row],[cod_doc]],TIPODOC,2,FALSE)</f>
        <v>FACTURA</v>
      </c>
      <c r="M225" s="77" t="s">
        <v>102</v>
      </c>
      <c r="N225" s="79">
        <v>921</v>
      </c>
      <c r="O225" s="80">
        <v>29.66</v>
      </c>
      <c r="P225" s="81" t="s">
        <v>171</v>
      </c>
      <c r="Q225" s="81">
        <v>5.3388</v>
      </c>
      <c r="R225" s="80" t="s">
        <v>171</v>
      </c>
      <c r="S225" s="80">
        <v>0</v>
      </c>
      <c r="T225" s="82">
        <v>35</v>
      </c>
      <c r="U225" s="77"/>
      <c r="V225" s="75"/>
      <c r="W225" s="77"/>
      <c r="X225" s="77"/>
      <c r="Y225" s="77"/>
      <c r="Z225" s="77" t="s">
        <v>507</v>
      </c>
      <c r="AA225" s="83" t="s">
        <v>608</v>
      </c>
      <c r="AB225" s="104" t="str">
        <f>IFERROR(VLOOKUP(Anexo_4[[#This Row],[cuenta]],OP,2,0),"-")</f>
        <v>Transporte lavado (Higienización)</v>
      </c>
    </row>
    <row r="226" spans="1:28" s="84" customFormat="1" ht="27" customHeight="1" x14ac:dyDescent="0.3">
      <c r="A226" s="75" t="s">
        <v>993</v>
      </c>
      <c r="B226" s="36" t="str">
        <f t="shared" si="3"/>
        <v>Junio</v>
      </c>
      <c r="C226" s="77" t="s">
        <v>162</v>
      </c>
      <c r="D226" s="77" t="s">
        <v>1000</v>
      </c>
      <c r="E22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26" s="79" t="s">
        <v>248</v>
      </c>
      <c r="G226" s="79" t="s">
        <v>249</v>
      </c>
      <c r="H226" s="140" t="s">
        <v>988</v>
      </c>
      <c r="I226" s="77" t="s">
        <v>980</v>
      </c>
      <c r="J226" s="144" t="s">
        <v>981</v>
      </c>
      <c r="K226" s="77" t="s">
        <v>169</v>
      </c>
      <c r="L226" s="103" t="str">
        <f>VLOOKUP(Anexo_4[[#This Row],[cod_doc]],TIPODOC,2,FALSE)</f>
        <v>FACTURA</v>
      </c>
      <c r="M226" s="77" t="s">
        <v>180</v>
      </c>
      <c r="N226" s="79">
        <v>626</v>
      </c>
      <c r="O226" s="80">
        <v>966.11</v>
      </c>
      <c r="P226" s="81" t="s">
        <v>171</v>
      </c>
      <c r="Q226" s="81">
        <v>173.8998</v>
      </c>
      <c r="R226" s="80" t="s">
        <v>171</v>
      </c>
      <c r="S226" s="80">
        <v>0</v>
      </c>
      <c r="T226" s="82">
        <v>1140.01</v>
      </c>
      <c r="U226" s="77" t="s">
        <v>1001</v>
      </c>
      <c r="V226" s="75" t="s">
        <v>966</v>
      </c>
      <c r="W226" s="77"/>
      <c r="X226" s="77"/>
      <c r="Y226" s="77"/>
      <c r="Z226" s="77" t="s">
        <v>256</v>
      </c>
      <c r="AA226" s="83" t="s">
        <v>988</v>
      </c>
      <c r="AB226" s="104" t="str">
        <f>IFERROR(VLOOKUP(Anexo_4[[#This Row],[cuenta]],OP,2,0),"-")</f>
        <v>Materias Primas - RRSS</v>
      </c>
    </row>
    <row r="227" spans="1:28" s="84" customFormat="1" ht="27" customHeight="1" x14ac:dyDescent="0.3">
      <c r="A227" s="75" t="s">
        <v>996</v>
      </c>
      <c r="B227" s="36" t="str">
        <f t="shared" si="3"/>
        <v>Junio</v>
      </c>
      <c r="C227" s="77" t="s">
        <v>162</v>
      </c>
      <c r="D227" s="77" t="s">
        <v>1002</v>
      </c>
      <c r="E227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27" s="79" t="s">
        <v>248</v>
      </c>
      <c r="G227" s="79" t="s">
        <v>249</v>
      </c>
      <c r="H227" s="140" t="s">
        <v>1003</v>
      </c>
      <c r="I227" s="77" t="s">
        <v>1004</v>
      </c>
      <c r="J227" s="144" t="s">
        <v>1005</v>
      </c>
      <c r="K227" s="77" t="s">
        <v>169</v>
      </c>
      <c r="L227" s="103" t="str">
        <f>VLOOKUP(Anexo_4[[#This Row],[cod_doc]],TIPODOC,2,FALSE)</f>
        <v>FACTURA</v>
      </c>
      <c r="M227" s="77" t="s">
        <v>180</v>
      </c>
      <c r="N227" s="79">
        <v>21589</v>
      </c>
      <c r="O227" s="80">
        <v>11186.44</v>
      </c>
      <c r="P227" s="81" t="s">
        <v>171</v>
      </c>
      <c r="Q227" s="81">
        <v>2013.5591999999999</v>
      </c>
      <c r="R227" s="80" t="s">
        <v>171</v>
      </c>
      <c r="S227" s="80">
        <v>0</v>
      </c>
      <c r="T227" s="82">
        <v>13200</v>
      </c>
      <c r="U227" s="77" t="s">
        <v>1006</v>
      </c>
      <c r="V227" s="75" t="s">
        <v>1007</v>
      </c>
      <c r="W227" s="77"/>
      <c r="X227" s="77"/>
      <c r="Y227" s="77"/>
      <c r="Z227" s="77" t="s">
        <v>256</v>
      </c>
      <c r="AA227" s="83" t="s">
        <v>1003</v>
      </c>
      <c r="AB227" s="104" t="str">
        <f>IFERROR(VLOOKUP(Anexo_4[[#This Row],[cuenta]],OP,2,0),"-")</f>
        <v>Materias Primas - RRSS</v>
      </c>
    </row>
    <row r="228" spans="1:28" s="84" customFormat="1" ht="27" customHeight="1" x14ac:dyDescent="0.3">
      <c r="A228" s="75" t="s">
        <v>996</v>
      </c>
      <c r="B228" s="36" t="str">
        <f t="shared" si="3"/>
        <v>Junio</v>
      </c>
      <c r="C228" s="77" t="s">
        <v>162</v>
      </c>
      <c r="D228" s="77" t="s">
        <v>1008</v>
      </c>
      <c r="E228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28" s="79" t="s">
        <v>248</v>
      </c>
      <c r="G228" s="79" t="s">
        <v>249</v>
      </c>
      <c r="H228" s="140" t="s">
        <v>1009</v>
      </c>
      <c r="I228" s="77" t="s">
        <v>1004</v>
      </c>
      <c r="J228" s="144" t="s">
        <v>1005</v>
      </c>
      <c r="K228" s="77" t="s">
        <v>169</v>
      </c>
      <c r="L228" s="103" t="str">
        <f>VLOOKUP(Anexo_4[[#This Row],[cod_doc]],TIPODOC,2,FALSE)</f>
        <v>FACTURA</v>
      </c>
      <c r="M228" s="77" t="s">
        <v>180</v>
      </c>
      <c r="N228" s="79">
        <v>21588</v>
      </c>
      <c r="O228" s="80">
        <v>6220.34</v>
      </c>
      <c r="P228" s="81" t="s">
        <v>171</v>
      </c>
      <c r="Q228" s="81">
        <v>1119.6612</v>
      </c>
      <c r="R228" s="80" t="s">
        <v>171</v>
      </c>
      <c r="S228" s="80">
        <v>0</v>
      </c>
      <c r="T228" s="82">
        <v>7340</v>
      </c>
      <c r="U228" s="77" t="s">
        <v>1010</v>
      </c>
      <c r="V228" s="75" t="s">
        <v>1007</v>
      </c>
      <c r="W228" s="77"/>
      <c r="X228" s="77"/>
      <c r="Y228" s="77"/>
      <c r="Z228" s="77" t="s">
        <v>256</v>
      </c>
      <c r="AA228" s="83" t="s">
        <v>1009</v>
      </c>
      <c r="AB228" s="104" t="str">
        <f>IFERROR(VLOOKUP(Anexo_4[[#This Row],[cuenta]],OP,2,0),"-")</f>
        <v>Materias Primas - RRSS</v>
      </c>
    </row>
    <row r="229" spans="1:28" s="84" customFormat="1" ht="27" customHeight="1" x14ac:dyDescent="0.3">
      <c r="A229" s="75" t="s">
        <v>928</v>
      </c>
      <c r="B229" s="36" t="str">
        <f t="shared" si="3"/>
        <v>Junio</v>
      </c>
      <c r="C229" s="77" t="s">
        <v>162</v>
      </c>
      <c r="D229" s="77" t="s">
        <v>1011</v>
      </c>
      <c r="E229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29" s="79" t="s">
        <v>248</v>
      </c>
      <c r="G229" s="79" t="s">
        <v>249</v>
      </c>
      <c r="H229" s="140" t="s">
        <v>1012</v>
      </c>
      <c r="I229" s="77" t="s">
        <v>625</v>
      </c>
      <c r="J229" s="144" t="s">
        <v>626</v>
      </c>
      <c r="K229" s="77" t="s">
        <v>169</v>
      </c>
      <c r="L229" s="103" t="str">
        <f>VLOOKUP(Anexo_4[[#This Row],[cod_doc]],TIPODOC,2,FALSE)</f>
        <v>FACTURA</v>
      </c>
      <c r="M229" s="77" t="s">
        <v>180</v>
      </c>
      <c r="N229" s="79">
        <v>16294</v>
      </c>
      <c r="O229" s="80">
        <v>386.61</v>
      </c>
      <c r="P229" s="81" t="s">
        <v>171</v>
      </c>
      <c r="Q229" s="81">
        <v>69.589799999999997</v>
      </c>
      <c r="R229" s="80" t="s">
        <v>171</v>
      </c>
      <c r="S229" s="80">
        <v>0</v>
      </c>
      <c r="T229" s="82">
        <v>456.19</v>
      </c>
      <c r="U229" s="77" t="s">
        <v>1013</v>
      </c>
      <c r="V229" s="75" t="s">
        <v>966</v>
      </c>
      <c r="W229" s="77"/>
      <c r="X229" s="77"/>
      <c r="Y229" s="77"/>
      <c r="Z229" s="77" t="s">
        <v>256</v>
      </c>
      <c r="AA229" s="83" t="s">
        <v>1012</v>
      </c>
      <c r="AB229" s="104" t="str">
        <f>IFERROR(VLOOKUP(Anexo_4[[#This Row],[cuenta]],OP,2,0),"-")</f>
        <v>Materias Primas - RRSS</v>
      </c>
    </row>
    <row r="230" spans="1:28" s="84" customFormat="1" ht="27" customHeight="1" x14ac:dyDescent="0.3">
      <c r="A230" s="75" t="s">
        <v>928</v>
      </c>
      <c r="B230" s="36" t="str">
        <f t="shared" si="3"/>
        <v>Junio</v>
      </c>
      <c r="C230" s="77" t="s">
        <v>162</v>
      </c>
      <c r="D230" s="77" t="s">
        <v>1014</v>
      </c>
      <c r="E230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30" s="79" t="s">
        <v>248</v>
      </c>
      <c r="G230" s="79" t="s">
        <v>249</v>
      </c>
      <c r="H230" s="140" t="s">
        <v>1015</v>
      </c>
      <c r="I230" s="77" t="s">
        <v>625</v>
      </c>
      <c r="J230" s="144" t="s">
        <v>626</v>
      </c>
      <c r="K230" s="77" t="s">
        <v>169</v>
      </c>
      <c r="L230" s="103" t="str">
        <f>VLOOKUP(Anexo_4[[#This Row],[cod_doc]],TIPODOC,2,FALSE)</f>
        <v>FACTURA</v>
      </c>
      <c r="M230" s="77" t="s">
        <v>180</v>
      </c>
      <c r="N230" s="79">
        <v>16298</v>
      </c>
      <c r="O230" s="80">
        <v>167.24</v>
      </c>
      <c r="P230" s="81" t="s">
        <v>171</v>
      </c>
      <c r="Q230" s="81">
        <v>30.103200000000001</v>
      </c>
      <c r="R230" s="80" t="s">
        <v>171</v>
      </c>
      <c r="S230" s="80">
        <v>0</v>
      </c>
      <c r="T230" s="82">
        <v>197.36</v>
      </c>
      <c r="U230" s="77" t="s">
        <v>1016</v>
      </c>
      <c r="V230" s="75" t="s">
        <v>966</v>
      </c>
      <c r="W230" s="77"/>
      <c r="X230" s="77"/>
      <c r="Y230" s="77"/>
      <c r="Z230" s="77" t="s">
        <v>256</v>
      </c>
      <c r="AA230" s="83" t="s">
        <v>1015</v>
      </c>
      <c r="AB230" s="104" t="str">
        <f>IFERROR(VLOOKUP(Anexo_4[[#This Row],[cuenta]],OP,2,0),"-")</f>
        <v>Materias Primas - RRSS</v>
      </c>
    </row>
    <row r="231" spans="1:28" s="84" customFormat="1" ht="27" customHeight="1" x14ac:dyDescent="0.3">
      <c r="A231" s="75" t="s">
        <v>540</v>
      </c>
      <c r="B231" s="36" t="str">
        <f t="shared" si="3"/>
        <v>Junio</v>
      </c>
      <c r="C231" s="77" t="s">
        <v>162</v>
      </c>
      <c r="D231" s="77" t="s">
        <v>1017</v>
      </c>
      <c r="E23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31" s="79" t="s">
        <v>248</v>
      </c>
      <c r="G231" s="79" t="s">
        <v>249</v>
      </c>
      <c r="H231" s="140" t="s">
        <v>1018</v>
      </c>
      <c r="I231" s="77" t="s">
        <v>625</v>
      </c>
      <c r="J231" s="144" t="s">
        <v>626</v>
      </c>
      <c r="K231" s="77" t="s">
        <v>169</v>
      </c>
      <c r="L231" s="103" t="str">
        <f>VLOOKUP(Anexo_4[[#This Row],[cod_doc]],TIPODOC,2,FALSE)</f>
        <v>FACTURA</v>
      </c>
      <c r="M231" s="77" t="s">
        <v>180</v>
      </c>
      <c r="N231" s="79">
        <v>16265</v>
      </c>
      <c r="O231" s="80">
        <v>229.32</v>
      </c>
      <c r="P231" s="81" t="s">
        <v>171</v>
      </c>
      <c r="Q231" s="81">
        <v>41.2776</v>
      </c>
      <c r="R231" s="80" t="s">
        <v>171</v>
      </c>
      <c r="S231" s="80">
        <v>0</v>
      </c>
      <c r="T231" s="82">
        <v>270.60000000000002</v>
      </c>
      <c r="U231" s="77" t="s">
        <v>1019</v>
      </c>
      <c r="V231" s="75" t="s">
        <v>966</v>
      </c>
      <c r="W231" s="77"/>
      <c r="X231" s="77"/>
      <c r="Y231" s="77"/>
      <c r="Z231" s="77" t="s">
        <v>256</v>
      </c>
      <c r="AA231" s="83" t="s">
        <v>1018</v>
      </c>
      <c r="AB231" s="104" t="str">
        <f>IFERROR(VLOOKUP(Anexo_4[[#This Row],[cuenta]],OP,2,0),"-")</f>
        <v>Materias Primas - RRSS</v>
      </c>
    </row>
    <row r="232" spans="1:28" s="84" customFormat="1" ht="27" customHeight="1" x14ac:dyDescent="0.3">
      <c r="A232" s="75" t="s">
        <v>1020</v>
      </c>
      <c r="B232" s="36" t="str">
        <f t="shared" si="3"/>
        <v>Junio</v>
      </c>
      <c r="C232" s="77" t="s">
        <v>162</v>
      </c>
      <c r="D232" s="77" t="s">
        <v>1021</v>
      </c>
      <c r="E23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32" s="79" t="s">
        <v>248</v>
      </c>
      <c r="G232" s="79" t="s">
        <v>249</v>
      </c>
      <c r="H232" s="140" t="s">
        <v>1022</v>
      </c>
      <c r="I232" s="77" t="s">
        <v>625</v>
      </c>
      <c r="J232" s="144" t="s">
        <v>626</v>
      </c>
      <c r="K232" s="77" t="s">
        <v>169</v>
      </c>
      <c r="L232" s="103" t="str">
        <f>VLOOKUP(Anexo_4[[#This Row],[cod_doc]],TIPODOC,2,FALSE)</f>
        <v>FACTURA</v>
      </c>
      <c r="M232" s="77" t="s">
        <v>180</v>
      </c>
      <c r="N232" s="79">
        <v>16271</v>
      </c>
      <c r="O232" s="80">
        <v>347.33</v>
      </c>
      <c r="P232" s="81" t="s">
        <v>171</v>
      </c>
      <c r="Q232" s="81">
        <v>62.519399999999997</v>
      </c>
      <c r="R232" s="80" t="s">
        <v>171</v>
      </c>
      <c r="S232" s="80">
        <v>0</v>
      </c>
      <c r="T232" s="82">
        <v>409.85</v>
      </c>
      <c r="U232" s="77" t="s">
        <v>1023</v>
      </c>
      <c r="V232" s="75" t="s">
        <v>966</v>
      </c>
      <c r="W232" s="77"/>
      <c r="X232" s="77"/>
      <c r="Y232" s="77"/>
      <c r="Z232" s="77" t="s">
        <v>256</v>
      </c>
      <c r="AA232" s="83" t="s">
        <v>1022</v>
      </c>
      <c r="AB232" s="104" t="str">
        <f>IFERROR(VLOOKUP(Anexo_4[[#This Row],[cuenta]],OP,2,0),"-")</f>
        <v>Materias Primas - RRSS</v>
      </c>
    </row>
    <row r="233" spans="1:28" s="84" customFormat="1" ht="27" customHeight="1" x14ac:dyDescent="0.3">
      <c r="A233" s="75" t="s">
        <v>841</v>
      </c>
      <c r="B233" s="36" t="str">
        <f t="shared" si="3"/>
        <v>Junio</v>
      </c>
      <c r="C233" s="77" t="s">
        <v>162</v>
      </c>
      <c r="D233" s="77" t="s">
        <v>1024</v>
      </c>
      <c r="E233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33" s="79" t="s">
        <v>248</v>
      </c>
      <c r="G233" s="79" t="s">
        <v>249</v>
      </c>
      <c r="H233" s="140" t="s">
        <v>1025</v>
      </c>
      <c r="I233" s="77" t="s">
        <v>625</v>
      </c>
      <c r="J233" s="144" t="s">
        <v>626</v>
      </c>
      <c r="K233" s="77" t="s">
        <v>169</v>
      </c>
      <c r="L233" s="103" t="str">
        <f>VLOOKUP(Anexo_4[[#This Row],[cod_doc]],TIPODOC,2,FALSE)</f>
        <v>FACTURA</v>
      </c>
      <c r="M233" s="77" t="s">
        <v>180</v>
      </c>
      <c r="N233" s="79">
        <v>16283</v>
      </c>
      <c r="O233" s="80">
        <v>295.23</v>
      </c>
      <c r="P233" s="81" t="s">
        <v>171</v>
      </c>
      <c r="Q233" s="81">
        <v>53.141400000000004</v>
      </c>
      <c r="R233" s="80" t="s">
        <v>171</v>
      </c>
      <c r="S233" s="80">
        <v>0</v>
      </c>
      <c r="T233" s="82">
        <v>348.38</v>
      </c>
      <c r="U233" s="77" t="s">
        <v>1026</v>
      </c>
      <c r="V233" s="75" t="s">
        <v>966</v>
      </c>
      <c r="W233" s="77"/>
      <c r="X233" s="77"/>
      <c r="Y233" s="77"/>
      <c r="Z233" s="77" t="s">
        <v>256</v>
      </c>
      <c r="AA233" s="83" t="s">
        <v>1025</v>
      </c>
      <c r="AB233" s="104" t="str">
        <f>IFERROR(VLOOKUP(Anexo_4[[#This Row],[cuenta]],OP,2,0),"-")</f>
        <v>Materias Primas - RRSS</v>
      </c>
    </row>
    <row r="234" spans="1:28" s="84" customFormat="1" ht="27" customHeight="1" x14ac:dyDescent="0.3">
      <c r="A234" s="75" t="s">
        <v>857</v>
      </c>
      <c r="B234" s="36" t="str">
        <f t="shared" si="3"/>
        <v>Junio</v>
      </c>
      <c r="C234" s="77" t="s">
        <v>162</v>
      </c>
      <c r="D234" s="77" t="s">
        <v>1027</v>
      </c>
      <c r="E234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34" s="79" t="s">
        <v>1028</v>
      </c>
      <c r="G234" s="79" t="s">
        <v>1029</v>
      </c>
      <c r="H234" s="140" t="s">
        <v>1030</v>
      </c>
      <c r="I234" s="77" t="s">
        <v>1031</v>
      </c>
      <c r="J234" s="144" t="s">
        <v>1032</v>
      </c>
      <c r="K234" s="77" t="s">
        <v>169</v>
      </c>
      <c r="L234" s="103" t="str">
        <f>VLOOKUP(Anexo_4[[#This Row],[cod_doc]],TIPODOC,2,FALSE)</f>
        <v>FACTURA</v>
      </c>
      <c r="M234" s="77" t="s">
        <v>222</v>
      </c>
      <c r="N234" s="79">
        <v>7911</v>
      </c>
      <c r="O234" s="80">
        <v>975</v>
      </c>
      <c r="P234" s="81" t="s">
        <v>171</v>
      </c>
      <c r="Q234" s="81">
        <v>175.5</v>
      </c>
      <c r="R234" s="80" t="s">
        <v>171</v>
      </c>
      <c r="S234" s="80">
        <v>0</v>
      </c>
      <c r="T234" s="82">
        <v>1150.5</v>
      </c>
      <c r="U234" s="77" t="s">
        <v>1033</v>
      </c>
      <c r="V234" s="75" t="s">
        <v>966</v>
      </c>
      <c r="W234" s="77"/>
      <c r="X234" s="77"/>
      <c r="Y234" s="77"/>
      <c r="Z234" s="77" t="s">
        <v>1034</v>
      </c>
      <c r="AA234" s="83" t="s">
        <v>1030</v>
      </c>
      <c r="AB234" s="104" t="str">
        <f>IFERROR(VLOOKUP(Anexo_4[[#This Row],[cuenta]],OP,2,0),"-")</f>
        <v>-</v>
      </c>
    </row>
    <row r="235" spans="1:28" s="84" customFormat="1" ht="27" customHeight="1" x14ac:dyDescent="0.3">
      <c r="A235" s="75" t="s">
        <v>685</v>
      </c>
      <c r="B235" s="36" t="str">
        <f t="shared" si="3"/>
        <v>Junio</v>
      </c>
      <c r="C235" s="77" t="s">
        <v>162</v>
      </c>
      <c r="D235" s="77" t="s">
        <v>1035</v>
      </c>
      <c r="E235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35" s="79" t="s">
        <v>1028</v>
      </c>
      <c r="G235" s="79" t="s">
        <v>1029</v>
      </c>
      <c r="H235" s="140" t="s">
        <v>1036</v>
      </c>
      <c r="I235" s="77" t="s">
        <v>1037</v>
      </c>
      <c r="J235" s="144" t="s">
        <v>1038</v>
      </c>
      <c r="K235" s="77" t="s">
        <v>169</v>
      </c>
      <c r="L235" s="103" t="str">
        <f>VLOOKUP(Anexo_4[[#This Row],[cod_doc]],TIPODOC,2,FALSE)</f>
        <v>FACTURA</v>
      </c>
      <c r="M235" s="77" t="s">
        <v>222</v>
      </c>
      <c r="N235" s="79">
        <v>347</v>
      </c>
      <c r="O235" s="80">
        <v>814.47</v>
      </c>
      <c r="P235" s="81" t="s">
        <v>171</v>
      </c>
      <c r="Q235" s="81">
        <v>146.6046</v>
      </c>
      <c r="R235" s="80" t="s">
        <v>171</v>
      </c>
      <c r="S235" s="80">
        <v>0</v>
      </c>
      <c r="T235" s="82">
        <v>961.07</v>
      </c>
      <c r="U235" s="77" t="s">
        <v>1039</v>
      </c>
      <c r="V235" s="75" t="s">
        <v>966</v>
      </c>
      <c r="W235" s="77"/>
      <c r="X235" s="77"/>
      <c r="Y235" s="77"/>
      <c r="Z235" s="77" t="s">
        <v>1034</v>
      </c>
      <c r="AA235" s="83" t="s">
        <v>1036</v>
      </c>
      <c r="AB235" s="104" t="str">
        <f>IFERROR(VLOOKUP(Anexo_4[[#This Row],[cuenta]],OP,2,0),"-")</f>
        <v>-</v>
      </c>
    </row>
    <row r="236" spans="1:28" s="84" customFormat="1" ht="27" customHeight="1" x14ac:dyDescent="0.3">
      <c r="A236" s="75" t="s">
        <v>996</v>
      </c>
      <c r="B236" s="36" t="str">
        <f t="shared" si="3"/>
        <v>Junio</v>
      </c>
      <c r="C236" s="77" t="s">
        <v>162</v>
      </c>
      <c r="D236" s="77" t="s">
        <v>1040</v>
      </c>
      <c r="E236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36" s="79" t="s">
        <v>650</v>
      </c>
      <c r="G236" s="79" t="s">
        <v>651</v>
      </c>
      <c r="H236" s="140" t="s">
        <v>1041</v>
      </c>
      <c r="I236" s="77" t="s">
        <v>653</v>
      </c>
      <c r="J236" s="144" t="s">
        <v>654</v>
      </c>
      <c r="K236" s="77" t="s">
        <v>169</v>
      </c>
      <c r="L236" s="103" t="str">
        <f>VLOOKUP(Anexo_4[[#This Row],[cod_doc]],TIPODOC,2,FALSE)</f>
        <v>FACTURA</v>
      </c>
      <c r="M236" s="77" t="s">
        <v>1042</v>
      </c>
      <c r="N236" s="79">
        <v>11241</v>
      </c>
      <c r="O236" s="80">
        <v>215</v>
      </c>
      <c r="P236" s="81" t="s">
        <v>171</v>
      </c>
      <c r="Q236" s="81">
        <v>38.699999999999996</v>
      </c>
      <c r="R236" s="80" t="s">
        <v>171</v>
      </c>
      <c r="S236" s="80">
        <v>0</v>
      </c>
      <c r="T236" s="82">
        <v>253.7</v>
      </c>
      <c r="U236" s="77"/>
      <c r="V236" s="75"/>
      <c r="W236" s="77"/>
      <c r="X236" s="77"/>
      <c r="Y236" s="77"/>
      <c r="Z236" s="77" t="s">
        <v>656</v>
      </c>
      <c r="AA236" s="83" t="s">
        <v>1041</v>
      </c>
      <c r="AB236" s="104" t="str">
        <f>IFERROR(VLOOKUP(Anexo_4[[#This Row],[cuenta]],OP,2,0),"-")</f>
        <v>-</v>
      </c>
    </row>
    <row r="237" spans="1:28" s="84" customFormat="1" ht="27" customHeight="1" x14ac:dyDescent="0.3">
      <c r="A237" s="75" t="s">
        <v>928</v>
      </c>
      <c r="B237" s="36" t="str">
        <f t="shared" si="3"/>
        <v>Junio</v>
      </c>
      <c r="C237" s="77" t="s">
        <v>162</v>
      </c>
      <c r="D237" s="77" t="s">
        <v>1043</v>
      </c>
      <c r="E237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37" s="79" t="s">
        <v>164</v>
      </c>
      <c r="G237" s="79" t="s">
        <v>165</v>
      </c>
      <c r="H237" s="140" t="s">
        <v>1044</v>
      </c>
      <c r="I237" s="77" t="s">
        <v>437</v>
      </c>
      <c r="J237" s="144" t="s">
        <v>438</v>
      </c>
      <c r="K237" s="77" t="s">
        <v>439</v>
      </c>
      <c r="L237" s="103" t="str">
        <f>VLOOKUP(Anexo_4[[#This Row],[cod_doc]],TIPODOC,2,FALSE)</f>
        <v>RECIBO POR SERV. PUBLICOS</v>
      </c>
      <c r="M237" s="77" t="s">
        <v>1045</v>
      </c>
      <c r="N237" s="79">
        <v>71193322</v>
      </c>
      <c r="O237" s="80">
        <v>121.1</v>
      </c>
      <c r="P237" s="81" t="s">
        <v>171</v>
      </c>
      <c r="Q237" s="81">
        <v>21.797999999999998</v>
      </c>
      <c r="R237" s="80" t="s">
        <v>171</v>
      </c>
      <c r="S237" s="80">
        <v>0</v>
      </c>
      <c r="T237" s="82">
        <v>142.9</v>
      </c>
      <c r="U237" s="77"/>
      <c r="V237" s="75"/>
      <c r="W237" s="77"/>
      <c r="X237" s="77"/>
      <c r="Y237" s="77"/>
      <c r="Z237" s="77" t="s">
        <v>1046</v>
      </c>
      <c r="AA237" s="83" t="s">
        <v>1044</v>
      </c>
      <c r="AB237" s="104" t="str">
        <f>IFERROR(VLOOKUP(Anexo_4[[#This Row],[cuenta]],OP,2,0),"-")</f>
        <v>-</v>
      </c>
    </row>
    <row r="238" spans="1:28" s="84" customFormat="1" ht="27" customHeight="1" x14ac:dyDescent="0.3">
      <c r="A238" s="75" t="s">
        <v>316</v>
      </c>
      <c r="B238" s="36" t="str">
        <f t="shared" si="3"/>
        <v>Junio</v>
      </c>
      <c r="C238" s="77" t="s">
        <v>162</v>
      </c>
      <c r="D238" s="77" t="s">
        <v>1047</v>
      </c>
      <c r="E238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38" s="79" t="s">
        <v>164</v>
      </c>
      <c r="G238" s="79" t="s">
        <v>165</v>
      </c>
      <c r="H238" s="140" t="s">
        <v>970</v>
      </c>
      <c r="I238" s="77" t="s">
        <v>971</v>
      </c>
      <c r="J238" s="144" t="s">
        <v>972</v>
      </c>
      <c r="K238" s="77" t="s">
        <v>439</v>
      </c>
      <c r="L238" s="103" t="str">
        <f>VLOOKUP(Anexo_4[[#This Row],[cod_doc]],TIPODOC,2,FALSE)</f>
        <v>RECIBO POR SERV. PUBLICOS</v>
      </c>
      <c r="M238" s="77" t="s">
        <v>1048</v>
      </c>
      <c r="N238" s="79">
        <v>546172223</v>
      </c>
      <c r="O238" s="80">
        <v>913.18</v>
      </c>
      <c r="P238" s="81" t="s">
        <v>171</v>
      </c>
      <c r="Q238" s="81">
        <v>164.3724</v>
      </c>
      <c r="R238" s="80" t="s">
        <v>171</v>
      </c>
      <c r="S238" s="80">
        <v>0</v>
      </c>
      <c r="T238" s="82">
        <v>1077.55</v>
      </c>
      <c r="U238" s="77"/>
      <c r="V238" s="75"/>
      <c r="W238" s="77"/>
      <c r="X238" s="77"/>
      <c r="Y238" s="77"/>
      <c r="Z238" s="77" t="s">
        <v>974</v>
      </c>
      <c r="AA238" s="83" t="s">
        <v>970</v>
      </c>
      <c r="AB238" s="104" t="str">
        <f>IFERROR(VLOOKUP(Anexo_4[[#This Row],[cuenta]],OP,2,0),"-")</f>
        <v>-</v>
      </c>
    </row>
    <row r="239" spans="1:28" s="84" customFormat="1" ht="27" customHeight="1" x14ac:dyDescent="0.3">
      <c r="A239" s="75" t="s">
        <v>857</v>
      </c>
      <c r="B239" s="36" t="str">
        <f t="shared" si="3"/>
        <v>Junio</v>
      </c>
      <c r="C239" s="77" t="s">
        <v>162</v>
      </c>
      <c r="D239" s="77" t="s">
        <v>1049</v>
      </c>
      <c r="E239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39" s="79"/>
      <c r="G239" s="79"/>
      <c r="H239" s="140"/>
      <c r="I239" s="77" t="s">
        <v>258</v>
      </c>
      <c r="J239" s="144" t="s">
        <v>259</v>
      </c>
      <c r="K239" s="77" t="s">
        <v>169</v>
      </c>
      <c r="L239" s="103" t="str">
        <f>VLOOKUP(Anexo_4[[#This Row],[cod_doc]],TIPODOC,2,FALSE)</f>
        <v>FACTURA</v>
      </c>
      <c r="M239" s="77" t="s">
        <v>1050</v>
      </c>
      <c r="N239" s="79" t="s">
        <v>1051</v>
      </c>
      <c r="O239" s="80">
        <v>129.66</v>
      </c>
      <c r="P239" s="81" t="s">
        <v>171</v>
      </c>
      <c r="Q239" s="81">
        <v>23.34</v>
      </c>
      <c r="R239" s="80" t="s">
        <v>171</v>
      </c>
      <c r="S239" s="80">
        <v>0</v>
      </c>
      <c r="T239" s="82">
        <v>153</v>
      </c>
      <c r="U239" s="77"/>
      <c r="V239" s="75"/>
      <c r="W239" s="77"/>
      <c r="X239" s="77"/>
      <c r="Y239" s="77"/>
      <c r="Z239" s="77"/>
      <c r="AA239" s="83"/>
      <c r="AB239" s="104" t="str">
        <f>IFERROR(VLOOKUP(Anexo_4[[#This Row],[cuenta]],OP,2,0),"-")</f>
        <v>-</v>
      </c>
    </row>
    <row r="240" spans="1:28" s="84" customFormat="1" ht="27" customHeight="1" x14ac:dyDescent="0.3">
      <c r="A240" s="75" t="s">
        <v>857</v>
      </c>
      <c r="B240" s="36" t="str">
        <f t="shared" si="3"/>
        <v>Junio</v>
      </c>
      <c r="C240" s="77" t="s">
        <v>162</v>
      </c>
      <c r="D240" s="77" t="s">
        <v>1052</v>
      </c>
      <c r="E240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40" s="79"/>
      <c r="G240" s="79"/>
      <c r="H240" s="140"/>
      <c r="I240" s="77" t="s">
        <v>258</v>
      </c>
      <c r="J240" s="144" t="s">
        <v>259</v>
      </c>
      <c r="K240" s="77" t="s">
        <v>169</v>
      </c>
      <c r="L240" s="103" t="str">
        <f>VLOOKUP(Anexo_4[[#This Row],[cod_doc]],TIPODOC,2,FALSE)</f>
        <v>FACTURA</v>
      </c>
      <c r="M240" s="77" t="s">
        <v>1050</v>
      </c>
      <c r="N240" s="79" t="s">
        <v>1053</v>
      </c>
      <c r="O240" s="80">
        <v>129.66</v>
      </c>
      <c r="P240" s="81" t="s">
        <v>171</v>
      </c>
      <c r="Q240" s="81">
        <v>23.34</v>
      </c>
      <c r="R240" s="80" t="s">
        <v>171</v>
      </c>
      <c r="S240" s="80">
        <v>0</v>
      </c>
      <c r="T240" s="82">
        <v>153</v>
      </c>
      <c r="U240" s="77"/>
      <c r="V240" s="75"/>
      <c r="W240" s="77"/>
      <c r="X240" s="77"/>
      <c r="Y240" s="77"/>
      <c r="Z240" s="77"/>
      <c r="AA240" s="83"/>
      <c r="AB240" s="104" t="str">
        <f>IFERROR(VLOOKUP(Anexo_4[[#This Row],[cuenta]],OP,2,0),"-")</f>
        <v>-</v>
      </c>
    </row>
    <row r="241" spans="1:28" s="84" customFormat="1" ht="27" customHeight="1" x14ac:dyDescent="0.3">
      <c r="A241" s="75" t="s">
        <v>1054</v>
      </c>
      <c r="B241" s="36" t="str">
        <f t="shared" si="3"/>
        <v>Junio</v>
      </c>
      <c r="C241" s="77" t="s">
        <v>162</v>
      </c>
      <c r="D241" s="77" t="s">
        <v>1055</v>
      </c>
      <c r="E24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41" s="79" t="s">
        <v>175</v>
      </c>
      <c r="G241" s="79" t="s">
        <v>176</v>
      </c>
      <c r="H241" s="140" t="s">
        <v>765</v>
      </c>
      <c r="I241" s="77" t="s">
        <v>452</v>
      </c>
      <c r="J241" s="144" t="s">
        <v>453</v>
      </c>
      <c r="K241" s="77" t="s">
        <v>169</v>
      </c>
      <c r="L241" s="103" t="str">
        <f>VLOOKUP(Anexo_4[[#This Row],[cod_doc]],TIPODOC,2,FALSE)</f>
        <v>FACTURA</v>
      </c>
      <c r="M241" s="77" t="s">
        <v>1056</v>
      </c>
      <c r="N241" s="79">
        <v>169531</v>
      </c>
      <c r="O241" s="80">
        <v>398.37</v>
      </c>
      <c r="P241" s="81" t="s">
        <v>171</v>
      </c>
      <c r="Q241" s="81">
        <v>71.706599999999995</v>
      </c>
      <c r="R241" s="80" t="s">
        <v>171</v>
      </c>
      <c r="S241" s="80">
        <v>0</v>
      </c>
      <c r="T241" s="82">
        <v>915.32</v>
      </c>
      <c r="U241" s="77"/>
      <c r="V241" s="75"/>
      <c r="W241" s="77"/>
      <c r="X241" s="77"/>
      <c r="Y241" s="77"/>
      <c r="Z241" s="77" t="s">
        <v>455</v>
      </c>
      <c r="AA241" s="83" t="s">
        <v>765</v>
      </c>
      <c r="AB241" s="104" t="str">
        <f>IFERROR(VLOOKUP(Anexo_4[[#This Row],[cuenta]],OP,2,0),"-")</f>
        <v>Combustible (Vehiculos)</v>
      </c>
    </row>
    <row r="242" spans="1:28" s="84" customFormat="1" ht="27" customHeight="1" x14ac:dyDescent="0.3">
      <c r="A242" s="75" t="s">
        <v>1054</v>
      </c>
      <c r="B242" s="36" t="str">
        <f t="shared" si="3"/>
        <v>Junio</v>
      </c>
      <c r="C242" s="77" t="s">
        <v>162</v>
      </c>
      <c r="D242" s="77" t="s">
        <v>1055</v>
      </c>
      <c r="E24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42" s="79" t="s">
        <v>391</v>
      </c>
      <c r="G242" s="79" t="s">
        <v>392</v>
      </c>
      <c r="H242" s="140" t="s">
        <v>765</v>
      </c>
      <c r="I242" s="77" t="s">
        <v>452</v>
      </c>
      <c r="J242" s="144" t="s">
        <v>453</v>
      </c>
      <c r="K242" s="77" t="s">
        <v>169</v>
      </c>
      <c r="L242" s="103" t="str">
        <f>VLOOKUP(Anexo_4[[#This Row],[cod_doc]],TIPODOC,2,FALSE)</f>
        <v>FACTURA</v>
      </c>
      <c r="M242" s="77" t="s">
        <v>1056</v>
      </c>
      <c r="N242" s="79">
        <v>169531</v>
      </c>
      <c r="O242" s="80">
        <v>131.56</v>
      </c>
      <c r="P242" s="81" t="s">
        <v>171</v>
      </c>
      <c r="Q242" s="81">
        <v>23.680799999999998</v>
      </c>
      <c r="R242" s="80" t="s">
        <v>171</v>
      </c>
      <c r="S242" s="80">
        <v>0</v>
      </c>
      <c r="T242" s="82">
        <v>915.32</v>
      </c>
      <c r="U242" s="77"/>
      <c r="V242" s="75"/>
      <c r="W242" s="77"/>
      <c r="X242" s="77"/>
      <c r="Y242" s="77"/>
      <c r="Z242" s="77" t="s">
        <v>455</v>
      </c>
      <c r="AA242" s="83" t="s">
        <v>765</v>
      </c>
      <c r="AB242" s="104" t="str">
        <f>IFERROR(VLOOKUP(Anexo_4[[#This Row],[cuenta]],OP,2,0),"-")</f>
        <v>Combustible (Vehiculos)</v>
      </c>
    </row>
    <row r="243" spans="1:28" s="84" customFormat="1" ht="27" customHeight="1" x14ac:dyDescent="0.3">
      <c r="A243" s="75" t="s">
        <v>1054</v>
      </c>
      <c r="B243" s="36" t="str">
        <f t="shared" si="3"/>
        <v>Junio</v>
      </c>
      <c r="C243" s="77" t="s">
        <v>162</v>
      </c>
      <c r="D243" s="77" t="s">
        <v>1055</v>
      </c>
      <c r="E243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43" s="79" t="s">
        <v>217</v>
      </c>
      <c r="G243" s="79" t="s">
        <v>218</v>
      </c>
      <c r="H243" s="140" t="s">
        <v>765</v>
      </c>
      <c r="I243" s="77" t="s">
        <v>452</v>
      </c>
      <c r="J243" s="144" t="s">
        <v>453</v>
      </c>
      <c r="K243" s="77" t="s">
        <v>169</v>
      </c>
      <c r="L243" s="103" t="str">
        <f>VLOOKUP(Anexo_4[[#This Row],[cod_doc]],TIPODOC,2,FALSE)</f>
        <v>FACTURA</v>
      </c>
      <c r="M243" s="77" t="s">
        <v>1056</v>
      </c>
      <c r="N243" s="79">
        <v>169531</v>
      </c>
      <c r="O243" s="80">
        <v>245.76</v>
      </c>
      <c r="P243" s="81" t="s">
        <v>171</v>
      </c>
      <c r="Q243" s="81">
        <v>44.236799999999995</v>
      </c>
      <c r="R243" s="80" t="s">
        <v>171</v>
      </c>
      <c r="S243" s="80">
        <v>0</v>
      </c>
      <c r="T243" s="82">
        <v>915.32</v>
      </c>
      <c r="U243" s="77"/>
      <c r="V243" s="75"/>
      <c r="W243" s="77"/>
      <c r="X243" s="77"/>
      <c r="Y243" s="77"/>
      <c r="Z243" s="77" t="s">
        <v>455</v>
      </c>
      <c r="AA243" s="83" t="s">
        <v>765</v>
      </c>
      <c r="AB243" s="104" t="str">
        <f>IFERROR(VLOOKUP(Anexo_4[[#This Row],[cuenta]],OP,2,0),"-")</f>
        <v>Combustible (Vehiculos)</v>
      </c>
    </row>
    <row r="244" spans="1:28" s="84" customFormat="1" ht="27" customHeight="1" x14ac:dyDescent="0.3">
      <c r="A244" s="75" t="s">
        <v>1054</v>
      </c>
      <c r="B244" s="36" t="str">
        <f t="shared" si="3"/>
        <v>Junio</v>
      </c>
      <c r="C244" s="77" t="s">
        <v>162</v>
      </c>
      <c r="D244" s="77" t="s">
        <v>1057</v>
      </c>
      <c r="E244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44" s="79" t="s">
        <v>449</v>
      </c>
      <c r="G244" s="79" t="s">
        <v>450</v>
      </c>
      <c r="H244" s="140" t="s">
        <v>765</v>
      </c>
      <c r="I244" s="77" t="s">
        <v>452</v>
      </c>
      <c r="J244" s="144" t="s">
        <v>453</v>
      </c>
      <c r="K244" s="77" t="s">
        <v>169</v>
      </c>
      <c r="L244" s="103" t="str">
        <f>VLOOKUP(Anexo_4[[#This Row],[cod_doc]],TIPODOC,2,FALSE)</f>
        <v>FACTURA</v>
      </c>
      <c r="M244" s="77" t="s">
        <v>1056</v>
      </c>
      <c r="N244" s="79">
        <v>169533</v>
      </c>
      <c r="O244" s="80">
        <v>546.91999999999996</v>
      </c>
      <c r="P244" s="81" t="s">
        <v>171</v>
      </c>
      <c r="Q244" s="81">
        <v>98.445599999999985</v>
      </c>
      <c r="R244" s="80" t="s">
        <v>171</v>
      </c>
      <c r="S244" s="80">
        <v>0</v>
      </c>
      <c r="T244" s="82">
        <v>1257.49</v>
      </c>
      <c r="U244" s="77"/>
      <c r="V244" s="75"/>
      <c r="W244" s="77"/>
      <c r="X244" s="77"/>
      <c r="Y244" s="77"/>
      <c r="Z244" s="77" t="s">
        <v>455</v>
      </c>
      <c r="AA244" s="83" t="s">
        <v>765</v>
      </c>
      <c r="AB244" s="104" t="str">
        <f>IFERROR(VLOOKUP(Anexo_4[[#This Row],[cuenta]],OP,2,0),"-")</f>
        <v>Combustible (Vehiculos)</v>
      </c>
    </row>
    <row r="245" spans="1:28" s="84" customFormat="1" ht="27" customHeight="1" x14ac:dyDescent="0.3">
      <c r="A245" s="75" t="s">
        <v>1054</v>
      </c>
      <c r="B245" s="36" t="str">
        <f t="shared" si="3"/>
        <v>Junio</v>
      </c>
      <c r="C245" s="77" t="s">
        <v>162</v>
      </c>
      <c r="D245" s="77" t="s">
        <v>1057</v>
      </c>
      <c r="E24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45" s="79" t="s">
        <v>456</v>
      </c>
      <c r="G245" s="79" t="s">
        <v>457</v>
      </c>
      <c r="H245" s="140" t="s">
        <v>765</v>
      </c>
      <c r="I245" s="77" t="s">
        <v>452</v>
      </c>
      <c r="J245" s="144" t="s">
        <v>453</v>
      </c>
      <c r="K245" s="77" t="s">
        <v>169</v>
      </c>
      <c r="L245" s="103" t="str">
        <f>VLOOKUP(Anexo_4[[#This Row],[cod_doc]],TIPODOC,2,FALSE)</f>
        <v>FACTURA</v>
      </c>
      <c r="M245" s="77" t="s">
        <v>1056</v>
      </c>
      <c r="N245" s="79">
        <v>169533</v>
      </c>
      <c r="O245" s="80">
        <v>177.13</v>
      </c>
      <c r="P245" s="81" t="s">
        <v>171</v>
      </c>
      <c r="Q245" s="81">
        <v>31.883399999999998</v>
      </c>
      <c r="R245" s="80" t="s">
        <v>171</v>
      </c>
      <c r="S245" s="80">
        <v>0</v>
      </c>
      <c r="T245" s="82">
        <v>1257.49</v>
      </c>
      <c r="U245" s="77"/>
      <c r="V245" s="75"/>
      <c r="W245" s="77"/>
      <c r="X245" s="77"/>
      <c r="Y245" s="77"/>
      <c r="Z245" s="77" t="s">
        <v>455</v>
      </c>
      <c r="AA245" s="83" t="s">
        <v>765</v>
      </c>
      <c r="AB245" s="104" t="str">
        <f>IFERROR(VLOOKUP(Anexo_4[[#This Row],[cuenta]],OP,2,0),"-")</f>
        <v>Combustible (Vehiculos)</v>
      </c>
    </row>
    <row r="246" spans="1:28" s="84" customFormat="1" ht="27" customHeight="1" x14ac:dyDescent="0.3">
      <c r="A246" s="75" t="s">
        <v>1054</v>
      </c>
      <c r="B246" s="36" t="str">
        <f t="shared" si="3"/>
        <v>Junio</v>
      </c>
      <c r="C246" s="77" t="s">
        <v>162</v>
      </c>
      <c r="D246" s="77" t="s">
        <v>1057</v>
      </c>
      <c r="E24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46" s="79" t="s">
        <v>235</v>
      </c>
      <c r="G246" s="79" t="s">
        <v>236</v>
      </c>
      <c r="H246" s="140" t="s">
        <v>765</v>
      </c>
      <c r="I246" s="77" t="s">
        <v>452</v>
      </c>
      <c r="J246" s="144" t="s">
        <v>453</v>
      </c>
      <c r="K246" s="77" t="s">
        <v>169</v>
      </c>
      <c r="L246" s="103" t="str">
        <f>VLOOKUP(Anexo_4[[#This Row],[cod_doc]],TIPODOC,2,FALSE)</f>
        <v>FACTURA</v>
      </c>
      <c r="M246" s="77" t="s">
        <v>1056</v>
      </c>
      <c r="N246" s="79">
        <v>169533</v>
      </c>
      <c r="O246" s="80">
        <v>307.47000000000003</v>
      </c>
      <c r="P246" s="81" t="s">
        <v>171</v>
      </c>
      <c r="Q246" s="81">
        <v>55.3446</v>
      </c>
      <c r="R246" s="80" t="s">
        <v>171</v>
      </c>
      <c r="S246" s="80">
        <v>0</v>
      </c>
      <c r="T246" s="82">
        <v>1257.49</v>
      </c>
      <c r="U246" s="77"/>
      <c r="V246" s="75"/>
      <c r="W246" s="77"/>
      <c r="X246" s="77"/>
      <c r="Y246" s="77"/>
      <c r="Z246" s="77" t="s">
        <v>455</v>
      </c>
      <c r="AA246" s="83" t="s">
        <v>765</v>
      </c>
      <c r="AB246" s="104" t="str">
        <f>IFERROR(VLOOKUP(Anexo_4[[#This Row],[cuenta]],OP,2,0),"-")</f>
        <v>Combustible (Vehiculos)</v>
      </c>
    </row>
    <row r="247" spans="1:28" s="84" customFormat="1" ht="27" customHeight="1" x14ac:dyDescent="0.3">
      <c r="A247" s="75" t="s">
        <v>1054</v>
      </c>
      <c r="B247" s="36" t="str">
        <f t="shared" si="3"/>
        <v>Junio</v>
      </c>
      <c r="C247" s="77" t="s">
        <v>162</v>
      </c>
      <c r="D247" s="77" t="s">
        <v>1057</v>
      </c>
      <c r="E247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47" s="79" t="s">
        <v>458</v>
      </c>
      <c r="G247" s="79" t="s">
        <v>459</v>
      </c>
      <c r="H247" s="140" t="s">
        <v>765</v>
      </c>
      <c r="I247" s="77" t="s">
        <v>452</v>
      </c>
      <c r="J247" s="144" t="s">
        <v>453</v>
      </c>
      <c r="K247" s="77" t="s">
        <v>169</v>
      </c>
      <c r="L247" s="103" t="str">
        <f>VLOOKUP(Anexo_4[[#This Row],[cod_doc]],TIPODOC,2,FALSE)</f>
        <v>FACTURA</v>
      </c>
      <c r="M247" s="77" t="s">
        <v>1056</v>
      </c>
      <c r="N247" s="79">
        <v>169533</v>
      </c>
      <c r="O247" s="80">
        <v>34.15</v>
      </c>
      <c r="P247" s="81" t="s">
        <v>171</v>
      </c>
      <c r="Q247" s="81">
        <v>6.1469999999999994</v>
      </c>
      <c r="R247" s="80" t="s">
        <v>171</v>
      </c>
      <c r="S247" s="80">
        <v>0</v>
      </c>
      <c r="T247" s="82">
        <v>1257.49</v>
      </c>
      <c r="U247" s="77"/>
      <c r="V247" s="75"/>
      <c r="W247" s="77"/>
      <c r="X247" s="77"/>
      <c r="Y247" s="77"/>
      <c r="Z247" s="77" t="s">
        <v>455</v>
      </c>
      <c r="AA247" s="83" t="s">
        <v>765</v>
      </c>
      <c r="AB247" s="104" t="str">
        <f>IFERROR(VLOOKUP(Anexo_4[[#This Row],[cuenta]],OP,2,0),"-")</f>
        <v>Combustible (Vehiculos)</v>
      </c>
    </row>
    <row r="248" spans="1:28" s="84" customFormat="1" ht="27" customHeight="1" x14ac:dyDescent="0.3">
      <c r="A248" s="75" t="s">
        <v>857</v>
      </c>
      <c r="B248" s="36" t="str">
        <f t="shared" si="3"/>
        <v>Junio</v>
      </c>
      <c r="C248" s="77" t="s">
        <v>162</v>
      </c>
      <c r="D248" s="77" t="s">
        <v>1058</v>
      </c>
      <c r="E248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48" s="79" t="s">
        <v>190</v>
      </c>
      <c r="G248" s="79" t="s">
        <v>191</v>
      </c>
      <c r="H248" s="140" t="s">
        <v>1059</v>
      </c>
      <c r="I248" s="77" t="s">
        <v>1060</v>
      </c>
      <c r="J248" s="144" t="s">
        <v>1061</v>
      </c>
      <c r="K248" s="77" t="s">
        <v>169</v>
      </c>
      <c r="L248" s="103" t="str">
        <f>VLOOKUP(Anexo_4[[#This Row],[cod_doc]],TIPODOC,2,FALSE)</f>
        <v>FACTURA</v>
      </c>
      <c r="M248" s="77" t="s">
        <v>1062</v>
      </c>
      <c r="N248" s="79">
        <v>117985</v>
      </c>
      <c r="O248" s="80">
        <v>204.24</v>
      </c>
      <c r="P248" s="81" t="s">
        <v>171</v>
      </c>
      <c r="Q248" s="81">
        <v>36.763199999999998</v>
      </c>
      <c r="R248" s="80" t="s">
        <v>171</v>
      </c>
      <c r="S248" s="80">
        <v>0</v>
      </c>
      <c r="T248" s="82">
        <v>241</v>
      </c>
      <c r="U248" s="77"/>
      <c r="V248" s="75"/>
      <c r="W248" s="77"/>
      <c r="X248" s="77"/>
      <c r="Y248" s="77"/>
      <c r="Z248" s="77" t="s">
        <v>1063</v>
      </c>
      <c r="AA248" s="83" t="s">
        <v>1059</v>
      </c>
      <c r="AB248" s="104" t="str">
        <f>IFERROR(VLOOKUP(Anexo_4[[#This Row],[cuenta]],OP,2,0),"-")</f>
        <v>-</v>
      </c>
    </row>
    <row r="249" spans="1:28" s="84" customFormat="1" ht="27" customHeight="1" x14ac:dyDescent="0.3">
      <c r="A249" s="75" t="s">
        <v>993</v>
      </c>
      <c r="B249" s="36" t="str">
        <f t="shared" si="3"/>
        <v>Junio</v>
      </c>
      <c r="C249" s="77" t="s">
        <v>162</v>
      </c>
      <c r="D249" s="77" t="s">
        <v>1064</v>
      </c>
      <c r="E249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49" s="79" t="s">
        <v>355</v>
      </c>
      <c r="G249" s="79" t="s">
        <v>356</v>
      </c>
      <c r="H249" s="140" t="s">
        <v>1065</v>
      </c>
      <c r="I249" s="77" t="s">
        <v>1060</v>
      </c>
      <c r="J249" s="144" t="s">
        <v>1061</v>
      </c>
      <c r="K249" s="77" t="s">
        <v>169</v>
      </c>
      <c r="L249" s="103" t="str">
        <f>VLOOKUP(Anexo_4[[#This Row],[cod_doc]],TIPODOC,2,FALSE)</f>
        <v>FACTURA</v>
      </c>
      <c r="M249" s="77" t="s">
        <v>1062</v>
      </c>
      <c r="N249" s="79">
        <v>118349</v>
      </c>
      <c r="O249" s="80">
        <v>211.02</v>
      </c>
      <c r="P249" s="81" t="s">
        <v>171</v>
      </c>
      <c r="Q249" s="81">
        <v>37.983600000000003</v>
      </c>
      <c r="R249" s="80" t="s">
        <v>171</v>
      </c>
      <c r="S249" s="80">
        <v>0</v>
      </c>
      <c r="T249" s="82">
        <v>249</v>
      </c>
      <c r="U249" s="77"/>
      <c r="V249" s="75"/>
      <c r="W249" s="77"/>
      <c r="X249" s="77"/>
      <c r="Y249" s="77"/>
      <c r="Z249" s="77" t="s">
        <v>1066</v>
      </c>
      <c r="AA249" s="83" t="s">
        <v>1065</v>
      </c>
      <c r="AB249" s="104" t="str">
        <f>IFERROR(VLOOKUP(Anexo_4[[#This Row],[cuenta]],OP,2,0),"-")</f>
        <v>-</v>
      </c>
    </row>
    <row r="250" spans="1:28" s="84" customFormat="1" ht="27" customHeight="1" x14ac:dyDescent="0.3">
      <c r="A250" s="75" t="s">
        <v>928</v>
      </c>
      <c r="B250" s="36" t="str">
        <f t="shared" si="3"/>
        <v>Junio</v>
      </c>
      <c r="C250" s="77" t="s">
        <v>162</v>
      </c>
      <c r="D250" s="77" t="s">
        <v>1067</v>
      </c>
      <c r="E250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50" s="79" t="s">
        <v>190</v>
      </c>
      <c r="G250" s="79" t="s">
        <v>191</v>
      </c>
      <c r="H250" s="140" t="s">
        <v>1068</v>
      </c>
      <c r="I250" s="77" t="s">
        <v>1069</v>
      </c>
      <c r="J250" s="144" t="s">
        <v>1070</v>
      </c>
      <c r="K250" s="77" t="s">
        <v>169</v>
      </c>
      <c r="L250" s="103" t="str">
        <f>VLOOKUP(Anexo_4[[#This Row],[cod_doc]],TIPODOC,2,FALSE)</f>
        <v>FACTURA</v>
      </c>
      <c r="M250" s="77" t="s">
        <v>102</v>
      </c>
      <c r="N250" s="79">
        <v>289</v>
      </c>
      <c r="O250" s="80">
        <v>69.92</v>
      </c>
      <c r="P250" s="81" t="s">
        <v>171</v>
      </c>
      <c r="Q250" s="81">
        <v>12.585599999999999</v>
      </c>
      <c r="R250" s="80" t="s">
        <v>171</v>
      </c>
      <c r="S250" s="80">
        <v>0</v>
      </c>
      <c r="T250" s="82">
        <v>82.5</v>
      </c>
      <c r="U250" s="77"/>
      <c r="V250" s="75"/>
      <c r="W250" s="77"/>
      <c r="X250" s="77"/>
      <c r="Y250" s="77"/>
      <c r="Z250" s="77" t="s">
        <v>1071</v>
      </c>
      <c r="AA250" s="83" t="s">
        <v>1068</v>
      </c>
      <c r="AB250" s="104" t="str">
        <f>IFERROR(VLOOKUP(Anexo_4[[#This Row],[cuenta]],OP,2,0),"-")</f>
        <v>Gastos de Ferreteria</v>
      </c>
    </row>
    <row r="251" spans="1:28" s="84" customFormat="1" ht="27" customHeight="1" x14ac:dyDescent="0.3">
      <c r="A251" s="75" t="s">
        <v>533</v>
      </c>
      <c r="B251" s="36" t="str">
        <f t="shared" si="3"/>
        <v>Junio</v>
      </c>
      <c r="C251" s="77" t="s">
        <v>162</v>
      </c>
      <c r="D251" s="77" t="s">
        <v>1072</v>
      </c>
      <c r="E25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51" s="79" t="s">
        <v>355</v>
      </c>
      <c r="G251" s="79" t="s">
        <v>356</v>
      </c>
      <c r="H251" s="140" t="s">
        <v>1073</v>
      </c>
      <c r="I251" s="77" t="s">
        <v>1074</v>
      </c>
      <c r="J251" s="144" t="s">
        <v>1075</v>
      </c>
      <c r="K251" s="77" t="s">
        <v>169</v>
      </c>
      <c r="L251" s="103" t="str">
        <f>VLOOKUP(Anexo_4[[#This Row],[cod_doc]],TIPODOC,2,FALSE)</f>
        <v>FACTURA</v>
      </c>
      <c r="M251" s="77" t="s">
        <v>102</v>
      </c>
      <c r="N251" s="79">
        <v>2282</v>
      </c>
      <c r="O251" s="80">
        <v>90</v>
      </c>
      <c r="P251" s="81" t="s">
        <v>171</v>
      </c>
      <c r="Q251" s="81">
        <v>16.2</v>
      </c>
      <c r="R251" s="80" t="s">
        <v>171</v>
      </c>
      <c r="S251" s="80">
        <v>0</v>
      </c>
      <c r="T251" s="82">
        <v>106.2</v>
      </c>
      <c r="U251" s="77"/>
      <c r="V251" s="75"/>
      <c r="W251" s="77"/>
      <c r="X251" s="77"/>
      <c r="Y251" s="77"/>
      <c r="Z251" s="77" t="s">
        <v>645</v>
      </c>
      <c r="AA251" s="83" t="s">
        <v>1073</v>
      </c>
      <c r="AB251" s="104" t="str">
        <f>IFERROR(VLOOKUP(Anexo_4[[#This Row],[cuenta]],OP,2,0),"-")</f>
        <v>Montacarga - Servicios</v>
      </c>
    </row>
    <row r="252" spans="1:28" s="84" customFormat="1" ht="27" customHeight="1" x14ac:dyDescent="0.3">
      <c r="A252" s="75" t="s">
        <v>685</v>
      </c>
      <c r="B252" s="36" t="str">
        <f t="shared" si="3"/>
        <v>Junio</v>
      </c>
      <c r="C252" s="77" t="s">
        <v>162</v>
      </c>
      <c r="D252" s="77" t="s">
        <v>1076</v>
      </c>
      <c r="E25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52" s="79" t="s">
        <v>355</v>
      </c>
      <c r="G252" s="79" t="s">
        <v>356</v>
      </c>
      <c r="H252" s="140" t="s">
        <v>1077</v>
      </c>
      <c r="I252" s="77" t="s">
        <v>1074</v>
      </c>
      <c r="J252" s="144" t="s">
        <v>1075</v>
      </c>
      <c r="K252" s="77" t="s">
        <v>169</v>
      </c>
      <c r="L252" s="103" t="str">
        <f>VLOOKUP(Anexo_4[[#This Row],[cod_doc]],TIPODOC,2,FALSE)</f>
        <v>FACTURA</v>
      </c>
      <c r="M252" s="77" t="s">
        <v>102</v>
      </c>
      <c r="N252" s="79">
        <v>2287</v>
      </c>
      <c r="O252" s="80">
        <v>60</v>
      </c>
      <c r="P252" s="81" t="s">
        <v>171</v>
      </c>
      <c r="Q252" s="81">
        <v>10.799999999999999</v>
      </c>
      <c r="R252" s="80" t="s">
        <v>171</v>
      </c>
      <c r="S252" s="80">
        <v>0</v>
      </c>
      <c r="T252" s="82">
        <v>70.8</v>
      </c>
      <c r="U252" s="77"/>
      <c r="V252" s="75"/>
      <c r="W252" s="77"/>
      <c r="X252" s="77"/>
      <c r="Y252" s="77"/>
      <c r="Z252" s="77" t="s">
        <v>645</v>
      </c>
      <c r="AA252" s="83" t="s">
        <v>1077</v>
      </c>
      <c r="AB252" s="104" t="str">
        <f>IFERROR(VLOOKUP(Anexo_4[[#This Row],[cuenta]],OP,2,0),"-")</f>
        <v>Montacarga - Servicios</v>
      </c>
    </row>
    <row r="253" spans="1:28" s="84" customFormat="1" ht="27" customHeight="1" x14ac:dyDescent="0.3">
      <c r="A253" s="75" t="s">
        <v>685</v>
      </c>
      <c r="B253" s="36" t="str">
        <f t="shared" si="3"/>
        <v>Junio</v>
      </c>
      <c r="C253" s="77" t="s">
        <v>162</v>
      </c>
      <c r="D253" s="77" t="s">
        <v>1078</v>
      </c>
      <c r="E253" s="78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253" s="79" t="s">
        <v>198</v>
      </c>
      <c r="G253" s="79" t="s">
        <v>199</v>
      </c>
      <c r="H253" s="140" t="s">
        <v>1079</v>
      </c>
      <c r="I253" s="77" t="s">
        <v>464</v>
      </c>
      <c r="J253" s="144" t="s">
        <v>465</v>
      </c>
      <c r="K253" s="77" t="s">
        <v>169</v>
      </c>
      <c r="L253" s="103" t="str">
        <f>VLOOKUP(Anexo_4[[#This Row],[cod_doc]],TIPODOC,2,FALSE)</f>
        <v>FACTURA</v>
      </c>
      <c r="M253" s="77" t="s">
        <v>102</v>
      </c>
      <c r="N253" s="79">
        <v>7</v>
      </c>
      <c r="O253" s="80">
        <v>762.72</v>
      </c>
      <c r="P253" s="81" t="s">
        <v>171</v>
      </c>
      <c r="Q253" s="81">
        <v>137.28960000000001</v>
      </c>
      <c r="R253" s="80" t="s">
        <v>171</v>
      </c>
      <c r="S253" s="80">
        <v>0</v>
      </c>
      <c r="T253" s="82">
        <v>900.01</v>
      </c>
      <c r="U253" s="77" t="s">
        <v>1080</v>
      </c>
      <c r="V253" s="75" t="s">
        <v>966</v>
      </c>
      <c r="W253" s="77"/>
      <c r="X253" s="77"/>
      <c r="Y253" s="77"/>
      <c r="Z253" s="77" t="s">
        <v>468</v>
      </c>
      <c r="AA253" s="83" t="s">
        <v>1079</v>
      </c>
      <c r="AB253" s="104" t="str">
        <f>IFERROR(VLOOKUP(Anexo_4[[#This Row],[cuenta]],OP,2,0),"-")</f>
        <v>Transporte de Carga  - Ventas</v>
      </c>
    </row>
    <row r="254" spans="1:28" s="84" customFormat="1" ht="27" customHeight="1" x14ac:dyDescent="0.3">
      <c r="A254" s="75" t="s">
        <v>685</v>
      </c>
      <c r="B254" s="36" t="str">
        <f t="shared" si="3"/>
        <v>Junio</v>
      </c>
      <c r="C254" s="77" t="s">
        <v>162</v>
      </c>
      <c r="D254" s="77" t="s">
        <v>1081</v>
      </c>
      <c r="E254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54" s="79" t="s">
        <v>650</v>
      </c>
      <c r="G254" s="79" t="s">
        <v>651</v>
      </c>
      <c r="H254" s="140" t="s">
        <v>1082</v>
      </c>
      <c r="I254" s="77" t="s">
        <v>1083</v>
      </c>
      <c r="J254" s="144" t="s">
        <v>1084</v>
      </c>
      <c r="K254" s="77" t="s">
        <v>239</v>
      </c>
      <c r="L254" s="103" t="str">
        <f>VLOOKUP(Anexo_4[[#This Row],[cod_doc]],TIPODOC,2,FALSE)</f>
        <v>BOLETA DE VENTA</v>
      </c>
      <c r="M254" s="77" t="s">
        <v>162</v>
      </c>
      <c r="N254" s="79">
        <v>2351</v>
      </c>
      <c r="O254" s="80"/>
      <c r="P254" s="81" t="s">
        <v>171</v>
      </c>
      <c r="Q254" s="81">
        <v>0</v>
      </c>
      <c r="R254" s="80" t="s">
        <v>171</v>
      </c>
      <c r="S254" s="80">
        <v>57</v>
      </c>
      <c r="T254" s="82">
        <v>57</v>
      </c>
      <c r="U254" s="77"/>
      <c r="V254" s="75"/>
      <c r="W254" s="77"/>
      <c r="X254" s="77"/>
      <c r="Y254" s="77"/>
      <c r="Z254" s="77" t="s">
        <v>684</v>
      </c>
      <c r="AA254" s="83" t="s">
        <v>1082</v>
      </c>
      <c r="AB254" s="104" t="str">
        <f>IFERROR(VLOOKUP(Anexo_4[[#This Row],[cuenta]],OP,2,0),"-")</f>
        <v>-</v>
      </c>
    </row>
    <row r="255" spans="1:28" s="84" customFormat="1" ht="27" customHeight="1" x14ac:dyDescent="0.3">
      <c r="A255" s="75" t="s">
        <v>685</v>
      </c>
      <c r="B255" s="36" t="str">
        <f t="shared" si="3"/>
        <v>Junio</v>
      </c>
      <c r="C255" s="77" t="s">
        <v>162</v>
      </c>
      <c r="D255" s="77" t="s">
        <v>1085</v>
      </c>
      <c r="E255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55" s="79" t="s">
        <v>650</v>
      </c>
      <c r="G255" s="79" t="s">
        <v>651</v>
      </c>
      <c r="H255" s="140" t="s">
        <v>1082</v>
      </c>
      <c r="I255" s="77" t="s">
        <v>1086</v>
      </c>
      <c r="J255" s="144" t="s">
        <v>1087</v>
      </c>
      <c r="K255" s="77" t="s">
        <v>239</v>
      </c>
      <c r="L255" s="103" t="str">
        <f>VLOOKUP(Anexo_4[[#This Row],[cod_doc]],TIPODOC,2,FALSE)</f>
        <v>BOLETA DE VENTA</v>
      </c>
      <c r="M255" s="77" t="s">
        <v>162</v>
      </c>
      <c r="N255" s="79">
        <v>13</v>
      </c>
      <c r="O255" s="80"/>
      <c r="P255" s="81" t="s">
        <v>171</v>
      </c>
      <c r="Q255" s="81">
        <v>0</v>
      </c>
      <c r="R255" s="80" t="s">
        <v>171</v>
      </c>
      <c r="S255" s="80">
        <v>22.5</v>
      </c>
      <c r="T255" s="82">
        <v>22.5</v>
      </c>
      <c r="U255" s="77"/>
      <c r="V255" s="75"/>
      <c r="W255" s="77"/>
      <c r="X255" s="77"/>
      <c r="Y255" s="77"/>
      <c r="Z255" s="77" t="s">
        <v>684</v>
      </c>
      <c r="AA255" s="83" t="s">
        <v>1082</v>
      </c>
      <c r="AB255" s="104" t="str">
        <f>IFERROR(VLOOKUP(Anexo_4[[#This Row],[cuenta]],OP,2,0),"-")</f>
        <v>-</v>
      </c>
    </row>
    <row r="256" spans="1:28" s="84" customFormat="1" ht="27" customHeight="1" x14ac:dyDescent="0.3">
      <c r="A256" s="75" t="s">
        <v>685</v>
      </c>
      <c r="B256" s="36" t="str">
        <f t="shared" si="3"/>
        <v>Junio</v>
      </c>
      <c r="C256" s="77" t="s">
        <v>162</v>
      </c>
      <c r="D256" s="77" t="s">
        <v>1088</v>
      </c>
      <c r="E256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56" s="79" t="s">
        <v>650</v>
      </c>
      <c r="G256" s="79" t="s">
        <v>651</v>
      </c>
      <c r="H256" s="140" t="s">
        <v>1082</v>
      </c>
      <c r="I256" s="77" t="s">
        <v>1089</v>
      </c>
      <c r="J256" s="144" t="s">
        <v>1090</v>
      </c>
      <c r="K256" s="77" t="s">
        <v>169</v>
      </c>
      <c r="L256" s="103" t="str">
        <f>VLOOKUP(Anexo_4[[#This Row],[cod_doc]],TIPODOC,2,FALSE)</f>
        <v>FACTURA</v>
      </c>
      <c r="M256" s="77" t="s">
        <v>102</v>
      </c>
      <c r="N256" s="79">
        <v>475</v>
      </c>
      <c r="O256" s="80"/>
      <c r="P256" s="81">
        <v>189.09</v>
      </c>
      <c r="Q256" s="81">
        <v>0</v>
      </c>
      <c r="R256" s="80">
        <v>18.91</v>
      </c>
      <c r="S256" s="80">
        <v>0</v>
      </c>
      <c r="T256" s="82">
        <v>208</v>
      </c>
      <c r="U256" s="77"/>
      <c r="V256" s="75"/>
      <c r="W256" s="77"/>
      <c r="X256" s="77"/>
      <c r="Y256" s="77"/>
      <c r="Z256" s="77" t="s">
        <v>684</v>
      </c>
      <c r="AA256" s="83" t="s">
        <v>1082</v>
      </c>
      <c r="AB256" s="104" t="str">
        <f>IFERROR(VLOOKUP(Anexo_4[[#This Row],[cuenta]],OP,2,0),"-")</f>
        <v>-</v>
      </c>
    </row>
    <row r="257" spans="1:28" s="84" customFormat="1" ht="27" customHeight="1" x14ac:dyDescent="0.3">
      <c r="A257" s="75" t="s">
        <v>540</v>
      </c>
      <c r="B257" s="36" t="str">
        <f t="shared" si="3"/>
        <v>Junio</v>
      </c>
      <c r="C257" s="77" t="s">
        <v>162</v>
      </c>
      <c r="D257" s="77" t="s">
        <v>1091</v>
      </c>
      <c r="E257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57" s="79" t="s">
        <v>650</v>
      </c>
      <c r="G257" s="79" t="s">
        <v>651</v>
      </c>
      <c r="H257" s="140" t="s">
        <v>1082</v>
      </c>
      <c r="I257" s="77" t="s">
        <v>1092</v>
      </c>
      <c r="J257" s="144" t="s">
        <v>1093</v>
      </c>
      <c r="K257" s="77" t="s">
        <v>169</v>
      </c>
      <c r="L257" s="103" t="str">
        <f>VLOOKUP(Anexo_4[[#This Row],[cod_doc]],TIPODOC,2,FALSE)</f>
        <v>FACTURA</v>
      </c>
      <c r="M257" s="77" t="s">
        <v>180</v>
      </c>
      <c r="N257" s="79">
        <v>35</v>
      </c>
      <c r="O257" s="80">
        <v>203.39</v>
      </c>
      <c r="P257" s="81" t="s">
        <v>171</v>
      </c>
      <c r="Q257" s="81">
        <v>36.610199999999999</v>
      </c>
      <c r="R257" s="80" t="s">
        <v>171</v>
      </c>
      <c r="S257" s="80">
        <v>0</v>
      </c>
      <c r="T257" s="82">
        <v>240</v>
      </c>
      <c r="U257" s="77"/>
      <c r="V257" s="75"/>
      <c r="W257" s="77"/>
      <c r="X257" s="77"/>
      <c r="Y257" s="77"/>
      <c r="Z257" s="77" t="s">
        <v>684</v>
      </c>
      <c r="AA257" s="83" t="s">
        <v>1082</v>
      </c>
      <c r="AB257" s="104" t="str">
        <f>IFERROR(VLOOKUP(Anexo_4[[#This Row],[cuenta]],OP,2,0),"-")</f>
        <v>-</v>
      </c>
    </row>
    <row r="258" spans="1:28" s="84" customFormat="1" ht="27" customHeight="1" x14ac:dyDescent="0.3">
      <c r="A258" s="75" t="s">
        <v>540</v>
      </c>
      <c r="B258" s="36" t="str">
        <f t="shared" ref="B258:B321" si="4">PROPER(CHOOSE(LEFT(D258,2),"enero","febrero","marzo","abril","mayo","junio","julio","agosto","setiembre","octubre","noviembre","diciembre"))</f>
        <v>Junio</v>
      </c>
      <c r="C258" s="77" t="s">
        <v>162</v>
      </c>
      <c r="D258" s="77" t="s">
        <v>1094</v>
      </c>
      <c r="E258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58" s="79" t="s">
        <v>650</v>
      </c>
      <c r="G258" s="79" t="s">
        <v>651</v>
      </c>
      <c r="H258" s="140" t="s">
        <v>1082</v>
      </c>
      <c r="I258" s="77" t="s">
        <v>1095</v>
      </c>
      <c r="J258" s="144" t="s">
        <v>1096</v>
      </c>
      <c r="K258" s="77" t="s">
        <v>169</v>
      </c>
      <c r="L258" s="103" t="str">
        <f>VLOOKUP(Anexo_4[[#This Row],[cod_doc]],TIPODOC,2,FALSE)</f>
        <v>FACTURA</v>
      </c>
      <c r="M258" s="77" t="s">
        <v>222</v>
      </c>
      <c r="N258" s="79">
        <v>412</v>
      </c>
      <c r="O258" s="80">
        <v>19.489999999999998</v>
      </c>
      <c r="P258" s="81" t="s">
        <v>171</v>
      </c>
      <c r="Q258" s="81">
        <v>3.5081999999999995</v>
      </c>
      <c r="R258" s="80" t="s">
        <v>171</v>
      </c>
      <c r="S258" s="80">
        <v>0</v>
      </c>
      <c r="T258" s="82">
        <v>23</v>
      </c>
      <c r="U258" s="77"/>
      <c r="V258" s="75"/>
      <c r="W258" s="77"/>
      <c r="X258" s="77"/>
      <c r="Y258" s="77"/>
      <c r="Z258" s="77" t="s">
        <v>684</v>
      </c>
      <c r="AA258" s="83" t="s">
        <v>1082</v>
      </c>
      <c r="AB258" s="104" t="str">
        <f>IFERROR(VLOOKUP(Anexo_4[[#This Row],[cuenta]],OP,2,0),"-")</f>
        <v>-</v>
      </c>
    </row>
    <row r="259" spans="1:28" s="84" customFormat="1" ht="27" customHeight="1" x14ac:dyDescent="0.3">
      <c r="A259" s="75" t="s">
        <v>540</v>
      </c>
      <c r="B259" s="36" t="str">
        <f t="shared" si="4"/>
        <v>Junio</v>
      </c>
      <c r="C259" s="77" t="s">
        <v>162</v>
      </c>
      <c r="D259" s="77" t="s">
        <v>1097</v>
      </c>
      <c r="E259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59" s="79" t="s">
        <v>650</v>
      </c>
      <c r="G259" s="79" t="s">
        <v>651</v>
      </c>
      <c r="H259" s="140" t="s">
        <v>1098</v>
      </c>
      <c r="I259" s="77" t="s">
        <v>1099</v>
      </c>
      <c r="J259" s="144" t="s">
        <v>1100</v>
      </c>
      <c r="K259" s="77" t="s">
        <v>169</v>
      </c>
      <c r="L259" s="103" t="str">
        <f>VLOOKUP(Anexo_4[[#This Row],[cod_doc]],TIPODOC,2,FALSE)</f>
        <v>FACTURA</v>
      </c>
      <c r="M259" s="77" t="s">
        <v>222</v>
      </c>
      <c r="N259" s="79">
        <v>3363</v>
      </c>
      <c r="O259" s="80">
        <v>16.100000000000001</v>
      </c>
      <c r="P259" s="81" t="s">
        <v>171</v>
      </c>
      <c r="Q259" s="81">
        <v>2.8980000000000001</v>
      </c>
      <c r="R259" s="80" t="s">
        <v>171</v>
      </c>
      <c r="S259" s="80">
        <v>0</v>
      </c>
      <c r="T259" s="82">
        <v>19</v>
      </c>
      <c r="U259" s="77"/>
      <c r="V259" s="75"/>
      <c r="W259" s="77"/>
      <c r="X259" s="77"/>
      <c r="Y259" s="77"/>
      <c r="Z259" s="77" t="s">
        <v>684</v>
      </c>
      <c r="AA259" s="83" t="s">
        <v>1098</v>
      </c>
      <c r="AB259" s="104" t="str">
        <f>IFERROR(VLOOKUP(Anexo_4[[#This Row],[cuenta]],OP,2,0),"-")</f>
        <v>-</v>
      </c>
    </row>
    <row r="260" spans="1:28" s="84" customFormat="1" ht="27" customHeight="1" x14ac:dyDescent="0.3">
      <c r="A260" s="75" t="s">
        <v>540</v>
      </c>
      <c r="B260" s="36" t="str">
        <f t="shared" si="4"/>
        <v>Junio</v>
      </c>
      <c r="C260" s="77" t="s">
        <v>162</v>
      </c>
      <c r="D260" s="77" t="s">
        <v>1101</v>
      </c>
      <c r="E260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60" s="79" t="s">
        <v>650</v>
      </c>
      <c r="G260" s="79" t="s">
        <v>651</v>
      </c>
      <c r="H260" s="140" t="s">
        <v>1082</v>
      </c>
      <c r="I260" s="77" t="s">
        <v>1102</v>
      </c>
      <c r="J260" s="144" t="s">
        <v>1103</v>
      </c>
      <c r="K260" s="77" t="s">
        <v>169</v>
      </c>
      <c r="L260" s="103" t="str">
        <f>VLOOKUP(Anexo_4[[#This Row],[cod_doc]],TIPODOC,2,FALSE)</f>
        <v>FACTURA</v>
      </c>
      <c r="M260" s="77" t="s">
        <v>102</v>
      </c>
      <c r="N260" s="79">
        <v>442</v>
      </c>
      <c r="O260" s="80">
        <v>87.71</v>
      </c>
      <c r="P260" s="81" t="s">
        <v>171</v>
      </c>
      <c r="Q260" s="81">
        <v>15.787799999999999</v>
      </c>
      <c r="R260" s="80" t="s">
        <v>171</v>
      </c>
      <c r="S260" s="80">
        <v>0</v>
      </c>
      <c r="T260" s="82">
        <v>103.5</v>
      </c>
      <c r="U260" s="77"/>
      <c r="V260" s="75"/>
      <c r="W260" s="77"/>
      <c r="X260" s="77"/>
      <c r="Y260" s="77"/>
      <c r="Z260" s="77" t="s">
        <v>684</v>
      </c>
      <c r="AA260" s="83" t="s">
        <v>1082</v>
      </c>
      <c r="AB260" s="104" t="str">
        <f>IFERROR(VLOOKUP(Anexo_4[[#This Row],[cuenta]],OP,2,0),"-")</f>
        <v>-</v>
      </c>
    </row>
    <row r="261" spans="1:28" s="84" customFormat="1" ht="27" customHeight="1" x14ac:dyDescent="0.3">
      <c r="A261" s="75" t="s">
        <v>540</v>
      </c>
      <c r="B261" s="36" t="str">
        <f t="shared" si="4"/>
        <v>Junio</v>
      </c>
      <c r="C261" s="77" t="s">
        <v>162</v>
      </c>
      <c r="D261" s="77" t="s">
        <v>1104</v>
      </c>
      <c r="E261" s="78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261" s="79" t="s">
        <v>198</v>
      </c>
      <c r="G261" s="79" t="s">
        <v>199</v>
      </c>
      <c r="H261" s="140" t="s">
        <v>1105</v>
      </c>
      <c r="I261" s="77" t="s">
        <v>201</v>
      </c>
      <c r="J261" s="144" t="s">
        <v>202</v>
      </c>
      <c r="K261" s="77" t="s">
        <v>169</v>
      </c>
      <c r="L261" s="103" t="str">
        <f>VLOOKUP(Anexo_4[[#This Row],[cod_doc]],TIPODOC,2,FALSE)</f>
        <v>FACTURA</v>
      </c>
      <c r="M261" s="77" t="s">
        <v>102</v>
      </c>
      <c r="N261" s="79">
        <v>2559</v>
      </c>
      <c r="O261" s="80">
        <v>381.36</v>
      </c>
      <c r="P261" s="81" t="s">
        <v>171</v>
      </c>
      <c r="Q261" s="81">
        <v>68.644800000000004</v>
      </c>
      <c r="R261" s="80" t="s">
        <v>171</v>
      </c>
      <c r="S261" s="80">
        <v>0</v>
      </c>
      <c r="T261" s="82">
        <v>450</v>
      </c>
      <c r="U261" s="77"/>
      <c r="V261" s="75"/>
      <c r="W261" s="77"/>
      <c r="X261" s="77"/>
      <c r="Y261" s="77"/>
      <c r="Z261" s="77" t="s">
        <v>203</v>
      </c>
      <c r="AA261" s="83" t="s">
        <v>1105</v>
      </c>
      <c r="AB261" s="104" t="str">
        <f>IFERROR(VLOOKUP(Anexo_4[[#This Row],[cuenta]],OP,2,0),"-")</f>
        <v>-</v>
      </c>
    </row>
    <row r="262" spans="1:28" s="84" customFormat="1" ht="27" customHeight="1" x14ac:dyDescent="0.3">
      <c r="A262" s="75" t="s">
        <v>349</v>
      </c>
      <c r="B262" s="36" t="str">
        <f t="shared" si="4"/>
        <v>Junio</v>
      </c>
      <c r="C262" s="77" t="s">
        <v>162</v>
      </c>
      <c r="D262" s="77" t="s">
        <v>1106</v>
      </c>
      <c r="E262" s="78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262" s="79" t="s">
        <v>198</v>
      </c>
      <c r="G262" s="79" t="s">
        <v>199</v>
      </c>
      <c r="H262" s="140" t="s">
        <v>1105</v>
      </c>
      <c r="I262" s="77" t="s">
        <v>1107</v>
      </c>
      <c r="J262" s="144" t="s">
        <v>1108</v>
      </c>
      <c r="K262" s="77" t="s">
        <v>169</v>
      </c>
      <c r="L262" s="103" t="str">
        <f>VLOOKUP(Anexo_4[[#This Row],[cod_doc]],TIPODOC,2,FALSE)</f>
        <v>FACTURA</v>
      </c>
      <c r="M262" s="77" t="s">
        <v>222</v>
      </c>
      <c r="N262" s="79">
        <v>33</v>
      </c>
      <c r="O262" s="80">
        <v>71.19</v>
      </c>
      <c r="P262" s="81" t="s">
        <v>171</v>
      </c>
      <c r="Q262" s="81">
        <v>12.8142</v>
      </c>
      <c r="R262" s="80" t="s">
        <v>171</v>
      </c>
      <c r="S262" s="80">
        <v>0</v>
      </c>
      <c r="T262" s="82">
        <v>84</v>
      </c>
      <c r="U262" s="77"/>
      <c r="V262" s="75"/>
      <c r="W262" s="77"/>
      <c r="X262" s="77"/>
      <c r="Y262" s="77"/>
      <c r="Z262" s="77" t="s">
        <v>203</v>
      </c>
      <c r="AA262" s="83" t="s">
        <v>1105</v>
      </c>
      <c r="AB262" s="104" t="str">
        <f>IFERROR(VLOOKUP(Anexo_4[[#This Row],[cuenta]],OP,2,0),"-")</f>
        <v>-</v>
      </c>
    </row>
    <row r="263" spans="1:28" s="84" customFormat="1" ht="27" customHeight="1" x14ac:dyDescent="0.3">
      <c r="A263" s="75" t="s">
        <v>996</v>
      </c>
      <c r="B263" s="36" t="str">
        <f t="shared" si="4"/>
        <v>Junio</v>
      </c>
      <c r="C263" s="77" t="s">
        <v>162</v>
      </c>
      <c r="D263" s="77" t="s">
        <v>1109</v>
      </c>
      <c r="E263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63" s="79" t="s">
        <v>248</v>
      </c>
      <c r="G263" s="79" t="s">
        <v>249</v>
      </c>
      <c r="H263" s="140" t="s">
        <v>1110</v>
      </c>
      <c r="I263" s="77" t="s">
        <v>1111</v>
      </c>
      <c r="J263" s="144" t="s">
        <v>1112</v>
      </c>
      <c r="K263" s="77" t="s">
        <v>169</v>
      </c>
      <c r="L263" s="103" t="str">
        <f>VLOOKUP(Anexo_4[[#This Row],[cod_doc]],TIPODOC,2,FALSE)</f>
        <v>FACTURA</v>
      </c>
      <c r="M263" s="77" t="s">
        <v>1113</v>
      </c>
      <c r="N263" s="79">
        <v>6924</v>
      </c>
      <c r="O263" s="80">
        <v>593.61</v>
      </c>
      <c r="P263" s="81" t="s">
        <v>171</v>
      </c>
      <c r="Q263" s="81">
        <v>106.8498</v>
      </c>
      <c r="R263" s="80" t="s">
        <v>171</v>
      </c>
      <c r="S263" s="80">
        <v>0</v>
      </c>
      <c r="T263" s="82">
        <v>700.45</v>
      </c>
      <c r="U263" s="77" t="s">
        <v>1114</v>
      </c>
      <c r="V263" s="75" t="s">
        <v>966</v>
      </c>
      <c r="W263" s="77"/>
      <c r="X263" s="77"/>
      <c r="Y263" s="77"/>
      <c r="Z263" s="77" t="s">
        <v>256</v>
      </c>
      <c r="AA263" s="83" t="s">
        <v>1110</v>
      </c>
      <c r="AB263" s="104" t="str">
        <f>IFERROR(VLOOKUP(Anexo_4[[#This Row],[cuenta]],OP,2,0),"-")</f>
        <v>Materias Primas - RRSS</v>
      </c>
    </row>
    <row r="264" spans="1:28" s="84" customFormat="1" ht="27" customHeight="1" x14ac:dyDescent="0.3">
      <c r="A264" s="75" t="s">
        <v>349</v>
      </c>
      <c r="B264" s="36" t="str">
        <f t="shared" si="4"/>
        <v>Junio</v>
      </c>
      <c r="C264" s="77" t="s">
        <v>162</v>
      </c>
      <c r="D264" s="77" t="s">
        <v>1115</v>
      </c>
      <c r="E264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64" s="79" t="s">
        <v>355</v>
      </c>
      <c r="G264" s="79" t="s">
        <v>356</v>
      </c>
      <c r="H264" s="140" t="s">
        <v>1116</v>
      </c>
      <c r="I264" s="77" t="s">
        <v>1074</v>
      </c>
      <c r="J264" s="144" t="s">
        <v>1075</v>
      </c>
      <c r="K264" s="77" t="s">
        <v>169</v>
      </c>
      <c r="L264" s="103" t="str">
        <f>VLOOKUP(Anexo_4[[#This Row],[cod_doc]],TIPODOC,2,FALSE)</f>
        <v>FACTURA</v>
      </c>
      <c r="M264" s="77" t="s">
        <v>102</v>
      </c>
      <c r="N264" s="79">
        <v>2275</v>
      </c>
      <c r="O264" s="80">
        <v>60</v>
      </c>
      <c r="P264" s="81" t="s">
        <v>171</v>
      </c>
      <c r="Q264" s="81">
        <v>10.799999999999999</v>
      </c>
      <c r="R264" s="80" t="s">
        <v>171</v>
      </c>
      <c r="S264" s="80">
        <v>0</v>
      </c>
      <c r="T264" s="82">
        <v>70.8</v>
      </c>
      <c r="U264" s="77"/>
      <c r="V264" s="75"/>
      <c r="W264" s="77"/>
      <c r="X264" s="77"/>
      <c r="Y264" s="77"/>
      <c r="Z264" s="77" t="s">
        <v>645</v>
      </c>
      <c r="AA264" s="83" t="s">
        <v>1116</v>
      </c>
      <c r="AB264" s="104" t="str">
        <f>IFERROR(VLOOKUP(Anexo_4[[#This Row],[cuenta]],OP,2,0),"-")</f>
        <v>Montacarga - Servicios</v>
      </c>
    </row>
    <row r="265" spans="1:28" s="84" customFormat="1" ht="27" customHeight="1" x14ac:dyDescent="0.3">
      <c r="A265" s="75" t="s">
        <v>841</v>
      </c>
      <c r="B265" s="36" t="str">
        <f t="shared" si="4"/>
        <v>Junio</v>
      </c>
      <c r="C265" s="77" t="s">
        <v>162</v>
      </c>
      <c r="D265" s="77" t="s">
        <v>1117</v>
      </c>
      <c r="E265" s="78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265" s="79" t="s">
        <v>198</v>
      </c>
      <c r="G265" s="79" t="s">
        <v>199</v>
      </c>
      <c r="H265" s="140" t="s">
        <v>1118</v>
      </c>
      <c r="I265" s="77" t="s">
        <v>643</v>
      </c>
      <c r="J265" s="144" t="s">
        <v>644</v>
      </c>
      <c r="K265" s="77" t="s">
        <v>169</v>
      </c>
      <c r="L265" s="103" t="str">
        <f>VLOOKUP(Anexo_4[[#This Row],[cod_doc]],TIPODOC,2,FALSE)</f>
        <v>FACTURA</v>
      </c>
      <c r="M265" s="77" t="s">
        <v>102</v>
      </c>
      <c r="N265" s="79">
        <v>3965</v>
      </c>
      <c r="O265" s="80">
        <v>340</v>
      </c>
      <c r="P265" s="81" t="s">
        <v>171</v>
      </c>
      <c r="Q265" s="81">
        <v>61.199999999999996</v>
      </c>
      <c r="R265" s="80" t="s">
        <v>171</v>
      </c>
      <c r="S265" s="80">
        <v>0</v>
      </c>
      <c r="T265" s="82">
        <v>401.2</v>
      </c>
      <c r="U265" s="77"/>
      <c r="V265" s="75"/>
      <c r="W265" s="77"/>
      <c r="X265" s="77"/>
      <c r="Y265" s="77"/>
      <c r="Z265" s="77" t="s">
        <v>648</v>
      </c>
      <c r="AA265" s="83" t="s">
        <v>1118</v>
      </c>
      <c r="AB265" s="104" t="str">
        <f>IFERROR(VLOOKUP(Anexo_4[[#This Row],[cuenta]],OP,2,0),"-")</f>
        <v>Montacarga - Ventas</v>
      </c>
    </row>
    <row r="266" spans="1:28" s="84" customFormat="1" ht="27" customHeight="1" x14ac:dyDescent="0.3">
      <c r="A266" s="75" t="s">
        <v>857</v>
      </c>
      <c r="B266" s="36" t="str">
        <f t="shared" si="4"/>
        <v>Junio</v>
      </c>
      <c r="C266" s="77" t="s">
        <v>162</v>
      </c>
      <c r="D266" s="77" t="s">
        <v>1119</v>
      </c>
      <c r="E26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66" s="79" t="s">
        <v>391</v>
      </c>
      <c r="G266" s="79" t="s">
        <v>392</v>
      </c>
      <c r="H266" s="140" t="s">
        <v>1120</v>
      </c>
      <c r="I266" s="77" t="s">
        <v>504</v>
      </c>
      <c r="J266" s="144" t="s">
        <v>505</v>
      </c>
      <c r="K266" s="77" t="s">
        <v>169</v>
      </c>
      <c r="L266" s="103" t="str">
        <f>VLOOKUP(Anexo_4[[#This Row],[cod_doc]],TIPODOC,2,FALSE)</f>
        <v>FACTURA</v>
      </c>
      <c r="M266" s="77" t="s">
        <v>222</v>
      </c>
      <c r="N266" s="79">
        <v>18248</v>
      </c>
      <c r="O266" s="80">
        <v>15.25</v>
      </c>
      <c r="P266" s="81" t="s">
        <v>171</v>
      </c>
      <c r="Q266" s="81">
        <v>2.7450000000000001</v>
      </c>
      <c r="R266" s="80" t="s">
        <v>171</v>
      </c>
      <c r="S266" s="80">
        <v>0</v>
      </c>
      <c r="T266" s="82">
        <v>18</v>
      </c>
      <c r="U266" s="77"/>
      <c r="V266" s="75"/>
      <c r="W266" s="77"/>
      <c r="X266" s="77"/>
      <c r="Y266" s="77" t="s">
        <v>1121</v>
      </c>
      <c r="Z266" s="77" t="s">
        <v>507</v>
      </c>
      <c r="AA266" s="83" t="s">
        <v>1120</v>
      </c>
      <c r="AB266" s="104" t="str">
        <f>IFERROR(VLOOKUP(Anexo_4[[#This Row],[cuenta]],OP,2,0),"-")</f>
        <v>Transporte lavado (Higienización)</v>
      </c>
    </row>
    <row r="267" spans="1:28" s="84" customFormat="1" ht="27" customHeight="1" x14ac:dyDescent="0.3">
      <c r="A267" s="75" t="s">
        <v>841</v>
      </c>
      <c r="B267" s="36" t="str">
        <f t="shared" si="4"/>
        <v>Junio</v>
      </c>
      <c r="C267" s="77" t="s">
        <v>162</v>
      </c>
      <c r="D267" s="77" t="s">
        <v>1122</v>
      </c>
      <c r="E267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67" s="79" t="s">
        <v>391</v>
      </c>
      <c r="G267" s="79" t="s">
        <v>392</v>
      </c>
      <c r="H267" s="140" t="s">
        <v>1123</v>
      </c>
      <c r="I267" s="77" t="s">
        <v>264</v>
      </c>
      <c r="J267" s="144" t="s">
        <v>265</v>
      </c>
      <c r="K267" s="77" t="s">
        <v>169</v>
      </c>
      <c r="L267" s="103" t="str">
        <f>VLOOKUP(Anexo_4[[#This Row],[cod_doc]],TIPODOC,2,FALSE)</f>
        <v>FACTURA</v>
      </c>
      <c r="M267" s="77" t="s">
        <v>352</v>
      </c>
      <c r="N267" s="79">
        <v>1780270</v>
      </c>
      <c r="O267" s="80">
        <v>6.78</v>
      </c>
      <c r="P267" s="81" t="s">
        <v>171</v>
      </c>
      <c r="Q267" s="81">
        <v>1.2203999999999999</v>
      </c>
      <c r="R267" s="80" t="s">
        <v>171</v>
      </c>
      <c r="S267" s="80">
        <v>0</v>
      </c>
      <c r="T267" s="82">
        <v>8</v>
      </c>
      <c r="U267" s="77"/>
      <c r="V267" s="75"/>
      <c r="W267" s="77"/>
      <c r="X267" s="77"/>
      <c r="Y267" s="77" t="s">
        <v>1124</v>
      </c>
      <c r="Z267" s="77" t="s">
        <v>268</v>
      </c>
      <c r="AA267" s="83" t="s">
        <v>1123</v>
      </c>
      <c r="AB267" s="104" t="str">
        <f>IFERROR(VLOOKUP(Anexo_4[[#This Row],[cuenta]],OP,2,0),"-")</f>
        <v>Transporte peajes - Ventas</v>
      </c>
    </row>
    <row r="268" spans="1:28" s="84" customFormat="1" ht="27" customHeight="1" x14ac:dyDescent="0.3">
      <c r="A268" s="75" t="s">
        <v>928</v>
      </c>
      <c r="B268" s="36" t="str">
        <f t="shared" si="4"/>
        <v>Junio</v>
      </c>
      <c r="C268" s="77" t="s">
        <v>162</v>
      </c>
      <c r="D268" s="77" t="s">
        <v>1125</v>
      </c>
      <c r="E268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68" s="79" t="s">
        <v>391</v>
      </c>
      <c r="G268" s="79" t="s">
        <v>392</v>
      </c>
      <c r="H268" s="140" t="s">
        <v>1126</v>
      </c>
      <c r="I268" s="77" t="s">
        <v>264</v>
      </c>
      <c r="J268" s="144" t="s">
        <v>265</v>
      </c>
      <c r="K268" s="77" t="s">
        <v>169</v>
      </c>
      <c r="L268" s="103" t="str">
        <f>VLOOKUP(Anexo_4[[#This Row],[cod_doc]],TIPODOC,2,FALSE)</f>
        <v>FACTURA</v>
      </c>
      <c r="M268" s="77" t="s">
        <v>271</v>
      </c>
      <c r="N268" s="79">
        <v>1762070</v>
      </c>
      <c r="O268" s="80">
        <v>6.78</v>
      </c>
      <c r="P268" s="81" t="s">
        <v>171</v>
      </c>
      <c r="Q268" s="81">
        <v>1.2203999999999999</v>
      </c>
      <c r="R268" s="80" t="s">
        <v>171</v>
      </c>
      <c r="S268" s="80">
        <v>0</v>
      </c>
      <c r="T268" s="82">
        <v>8</v>
      </c>
      <c r="U268" s="77"/>
      <c r="V268" s="75"/>
      <c r="W268" s="77"/>
      <c r="X268" s="77"/>
      <c r="Y268" s="77" t="s">
        <v>1127</v>
      </c>
      <c r="Z268" s="77" t="s">
        <v>302</v>
      </c>
      <c r="AA268" s="83" t="s">
        <v>1126</v>
      </c>
      <c r="AB268" s="104" t="str">
        <f>IFERROR(VLOOKUP(Anexo_4[[#This Row],[cuenta]],OP,2,0),"-")</f>
        <v>Transporte peajes - Servicios</v>
      </c>
    </row>
    <row r="269" spans="1:28" s="84" customFormat="1" ht="27" customHeight="1" x14ac:dyDescent="0.3">
      <c r="A269" s="75" t="s">
        <v>467</v>
      </c>
      <c r="B269" s="36" t="str">
        <f t="shared" si="4"/>
        <v>Junio</v>
      </c>
      <c r="C269" s="77" t="s">
        <v>162</v>
      </c>
      <c r="D269" s="77" t="s">
        <v>1128</v>
      </c>
      <c r="E269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69" s="79" t="s">
        <v>175</v>
      </c>
      <c r="G269" s="79" t="s">
        <v>176</v>
      </c>
      <c r="H269" s="140" t="s">
        <v>1129</v>
      </c>
      <c r="I269" s="77" t="s">
        <v>383</v>
      </c>
      <c r="J269" s="144" t="s">
        <v>384</v>
      </c>
      <c r="K269" s="77" t="s">
        <v>169</v>
      </c>
      <c r="L269" s="103" t="str">
        <f>VLOOKUP(Anexo_4[[#This Row],[cod_doc]],TIPODOC,2,FALSE)</f>
        <v>FACTURA</v>
      </c>
      <c r="M269" s="77" t="s">
        <v>421</v>
      </c>
      <c r="N269" s="79">
        <v>34952</v>
      </c>
      <c r="O269" s="80">
        <v>8.4700000000000006</v>
      </c>
      <c r="P269" s="81" t="s">
        <v>171</v>
      </c>
      <c r="Q269" s="81">
        <v>1.5246</v>
      </c>
      <c r="R269" s="80" t="s">
        <v>171</v>
      </c>
      <c r="S269" s="80">
        <v>0</v>
      </c>
      <c r="T269" s="82">
        <v>10</v>
      </c>
      <c r="U269" s="77"/>
      <c r="V269" s="75"/>
      <c r="W269" s="77"/>
      <c r="X269" s="77"/>
      <c r="Y269" s="77" t="s">
        <v>1130</v>
      </c>
      <c r="Z269" s="77" t="s">
        <v>182</v>
      </c>
      <c r="AA269" s="83" t="s">
        <v>1129</v>
      </c>
      <c r="AB269" s="104" t="str">
        <f>IFERROR(VLOOKUP(Anexo_4[[#This Row],[cuenta]],OP,2,0),"-")</f>
        <v>Balanza - Ventas</v>
      </c>
    </row>
    <row r="270" spans="1:28" s="84" customFormat="1" ht="27" customHeight="1" x14ac:dyDescent="0.3">
      <c r="A270" s="75" t="s">
        <v>467</v>
      </c>
      <c r="B270" s="36" t="str">
        <f t="shared" si="4"/>
        <v>Junio</v>
      </c>
      <c r="C270" s="77" t="s">
        <v>162</v>
      </c>
      <c r="D270" s="77" t="s">
        <v>1131</v>
      </c>
      <c r="E270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70" s="79" t="s">
        <v>175</v>
      </c>
      <c r="G270" s="79" t="s">
        <v>176</v>
      </c>
      <c r="H270" s="140" t="s">
        <v>1132</v>
      </c>
      <c r="I270" s="77" t="s">
        <v>383</v>
      </c>
      <c r="J270" s="144" t="s">
        <v>384</v>
      </c>
      <c r="K270" s="77" t="s">
        <v>169</v>
      </c>
      <c r="L270" s="103" t="str">
        <f>VLOOKUP(Anexo_4[[#This Row],[cod_doc]],TIPODOC,2,FALSE)</f>
        <v>FACTURA</v>
      </c>
      <c r="M270" s="77" t="s">
        <v>421</v>
      </c>
      <c r="N270" s="79">
        <v>34951</v>
      </c>
      <c r="O270" s="80">
        <v>8.4700000000000006</v>
      </c>
      <c r="P270" s="81" t="s">
        <v>171</v>
      </c>
      <c r="Q270" s="81">
        <v>1.5246</v>
      </c>
      <c r="R270" s="80" t="s">
        <v>171</v>
      </c>
      <c r="S270" s="80">
        <v>0</v>
      </c>
      <c r="T270" s="82">
        <v>10</v>
      </c>
      <c r="U270" s="77"/>
      <c r="V270" s="75"/>
      <c r="W270" s="77"/>
      <c r="X270" s="77"/>
      <c r="Y270" s="77" t="s">
        <v>1133</v>
      </c>
      <c r="Z270" s="77" t="s">
        <v>182</v>
      </c>
      <c r="AA270" s="83" t="s">
        <v>1132</v>
      </c>
      <c r="AB270" s="104" t="str">
        <f>IFERROR(VLOOKUP(Anexo_4[[#This Row],[cuenta]],OP,2,0),"-")</f>
        <v>Balanza - Ventas</v>
      </c>
    </row>
    <row r="271" spans="1:28" s="84" customFormat="1" ht="27" customHeight="1" x14ac:dyDescent="0.3">
      <c r="A271" s="75" t="s">
        <v>996</v>
      </c>
      <c r="B271" s="36" t="str">
        <f t="shared" si="4"/>
        <v>Junio</v>
      </c>
      <c r="C271" s="77" t="s">
        <v>162</v>
      </c>
      <c r="D271" s="77" t="s">
        <v>1134</v>
      </c>
      <c r="E27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71" s="79" t="s">
        <v>175</v>
      </c>
      <c r="G271" s="79" t="s">
        <v>176</v>
      </c>
      <c r="H271" s="140" t="s">
        <v>1135</v>
      </c>
      <c r="I271" s="77" t="s">
        <v>504</v>
      </c>
      <c r="J271" s="144" t="s">
        <v>505</v>
      </c>
      <c r="K271" s="77" t="s">
        <v>169</v>
      </c>
      <c r="L271" s="103" t="str">
        <f>VLOOKUP(Anexo_4[[#This Row],[cod_doc]],TIPODOC,2,FALSE)</f>
        <v>FACTURA</v>
      </c>
      <c r="M271" s="77" t="s">
        <v>222</v>
      </c>
      <c r="N271" s="79">
        <v>18312</v>
      </c>
      <c r="O271" s="80">
        <v>29.66</v>
      </c>
      <c r="P271" s="81" t="s">
        <v>171</v>
      </c>
      <c r="Q271" s="81">
        <v>5.3388</v>
      </c>
      <c r="R271" s="80" t="s">
        <v>171</v>
      </c>
      <c r="S271" s="80">
        <v>0</v>
      </c>
      <c r="T271" s="82">
        <v>35</v>
      </c>
      <c r="U271" s="77"/>
      <c r="V271" s="75"/>
      <c r="W271" s="77"/>
      <c r="X271" s="77"/>
      <c r="Y271" s="77" t="s">
        <v>1136</v>
      </c>
      <c r="Z271" s="77" t="s">
        <v>507</v>
      </c>
      <c r="AA271" s="83" t="s">
        <v>1135</v>
      </c>
      <c r="AB271" s="104" t="str">
        <f>IFERROR(VLOOKUP(Anexo_4[[#This Row],[cuenta]],OP,2,0),"-")</f>
        <v>Transporte lavado (Higienización)</v>
      </c>
    </row>
    <row r="272" spans="1:28" s="84" customFormat="1" ht="27" customHeight="1" x14ac:dyDescent="0.3">
      <c r="A272" s="75" t="s">
        <v>996</v>
      </c>
      <c r="B272" s="36" t="str">
        <f t="shared" si="4"/>
        <v>Junio</v>
      </c>
      <c r="C272" s="77" t="s">
        <v>162</v>
      </c>
      <c r="D272" s="77" t="s">
        <v>1137</v>
      </c>
      <c r="E27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72" s="79" t="s">
        <v>175</v>
      </c>
      <c r="G272" s="79" t="s">
        <v>176</v>
      </c>
      <c r="H272" s="140" t="s">
        <v>1138</v>
      </c>
      <c r="I272" s="77" t="s">
        <v>264</v>
      </c>
      <c r="J272" s="144" t="s">
        <v>265</v>
      </c>
      <c r="K272" s="77" t="s">
        <v>169</v>
      </c>
      <c r="L272" s="103" t="str">
        <f>VLOOKUP(Anexo_4[[#This Row],[cod_doc]],TIPODOC,2,FALSE)</f>
        <v>FACTURA</v>
      </c>
      <c r="M272" s="77" t="s">
        <v>352</v>
      </c>
      <c r="N272" s="79">
        <v>1784117</v>
      </c>
      <c r="O272" s="80">
        <v>10.17</v>
      </c>
      <c r="P272" s="81" t="s">
        <v>171</v>
      </c>
      <c r="Q272" s="81">
        <v>1.8306</v>
      </c>
      <c r="R272" s="80" t="s">
        <v>171</v>
      </c>
      <c r="S272" s="80">
        <v>0</v>
      </c>
      <c r="T272" s="82">
        <v>12</v>
      </c>
      <c r="U272" s="77"/>
      <c r="V272" s="75"/>
      <c r="W272" s="77"/>
      <c r="X272" s="77"/>
      <c r="Y272" s="77" t="s">
        <v>1139</v>
      </c>
      <c r="Z272" s="77" t="s">
        <v>268</v>
      </c>
      <c r="AA272" s="83" t="s">
        <v>1138</v>
      </c>
      <c r="AB272" s="104" t="str">
        <f>IFERROR(VLOOKUP(Anexo_4[[#This Row],[cuenta]],OP,2,0),"-")</f>
        <v>Transporte peajes - Ventas</v>
      </c>
    </row>
    <row r="273" spans="1:28" s="84" customFormat="1" ht="27" customHeight="1" x14ac:dyDescent="0.3">
      <c r="A273" s="75" t="s">
        <v>996</v>
      </c>
      <c r="B273" s="36" t="str">
        <f t="shared" si="4"/>
        <v>Junio</v>
      </c>
      <c r="C273" s="77" t="s">
        <v>162</v>
      </c>
      <c r="D273" s="77" t="s">
        <v>1140</v>
      </c>
      <c r="E273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73" s="79" t="s">
        <v>175</v>
      </c>
      <c r="G273" s="79" t="s">
        <v>176</v>
      </c>
      <c r="H273" s="140" t="s">
        <v>1141</v>
      </c>
      <c r="I273" s="77" t="s">
        <v>264</v>
      </c>
      <c r="J273" s="144" t="s">
        <v>265</v>
      </c>
      <c r="K273" s="77" t="s">
        <v>169</v>
      </c>
      <c r="L273" s="103" t="str">
        <f>VLOOKUP(Anexo_4[[#This Row],[cod_doc]],TIPODOC,2,FALSE)</f>
        <v>FACTURA</v>
      </c>
      <c r="M273" s="77" t="s">
        <v>406</v>
      </c>
      <c r="N273" s="79">
        <v>2373219</v>
      </c>
      <c r="O273" s="80">
        <v>10.17</v>
      </c>
      <c r="P273" s="81" t="s">
        <v>171</v>
      </c>
      <c r="Q273" s="81">
        <v>1.8306</v>
      </c>
      <c r="R273" s="80" t="s">
        <v>171</v>
      </c>
      <c r="S273" s="80">
        <v>0</v>
      </c>
      <c r="T273" s="82">
        <v>12</v>
      </c>
      <c r="U273" s="77"/>
      <c r="V273" s="75"/>
      <c r="W273" s="77"/>
      <c r="X273" s="77"/>
      <c r="Y273" s="77" t="s">
        <v>1142</v>
      </c>
      <c r="Z273" s="77" t="s">
        <v>268</v>
      </c>
      <c r="AA273" s="83" t="s">
        <v>1141</v>
      </c>
      <c r="AB273" s="104" t="str">
        <f>IFERROR(VLOOKUP(Anexo_4[[#This Row],[cuenta]],OP,2,0),"-")</f>
        <v>Transporte peajes - Ventas</v>
      </c>
    </row>
    <row r="274" spans="1:28" s="84" customFormat="1" ht="27" customHeight="1" x14ac:dyDescent="0.3">
      <c r="A274" s="75" t="s">
        <v>928</v>
      </c>
      <c r="B274" s="36" t="str">
        <f t="shared" si="4"/>
        <v>Junio</v>
      </c>
      <c r="C274" s="77" t="s">
        <v>162</v>
      </c>
      <c r="D274" s="77" t="s">
        <v>1143</v>
      </c>
      <c r="E274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74" s="79" t="s">
        <v>175</v>
      </c>
      <c r="G274" s="79" t="s">
        <v>176</v>
      </c>
      <c r="H274" s="140" t="s">
        <v>1144</v>
      </c>
      <c r="I274" s="77" t="s">
        <v>264</v>
      </c>
      <c r="J274" s="144" t="s">
        <v>265</v>
      </c>
      <c r="K274" s="77" t="s">
        <v>169</v>
      </c>
      <c r="L274" s="103" t="str">
        <f>VLOOKUP(Anexo_4[[#This Row],[cod_doc]],TIPODOC,2,FALSE)</f>
        <v>FACTURA</v>
      </c>
      <c r="M274" s="77" t="s">
        <v>406</v>
      </c>
      <c r="N274" s="79">
        <v>2370644</v>
      </c>
      <c r="O274" s="80">
        <v>10.17</v>
      </c>
      <c r="P274" s="81" t="s">
        <v>171</v>
      </c>
      <c r="Q274" s="81">
        <v>1.8306</v>
      </c>
      <c r="R274" s="80" t="s">
        <v>171</v>
      </c>
      <c r="S274" s="80">
        <v>0</v>
      </c>
      <c r="T274" s="82">
        <v>12</v>
      </c>
      <c r="U274" s="77"/>
      <c r="V274" s="75"/>
      <c r="W274" s="77"/>
      <c r="X274" s="77"/>
      <c r="Y274" s="77" t="s">
        <v>1145</v>
      </c>
      <c r="Z274" s="77" t="s">
        <v>268</v>
      </c>
      <c r="AA274" s="83" t="s">
        <v>1144</v>
      </c>
      <c r="AB274" s="104" t="str">
        <f>IFERROR(VLOOKUP(Anexo_4[[#This Row],[cuenta]],OP,2,0),"-")</f>
        <v>Transporte peajes - Ventas</v>
      </c>
    </row>
    <row r="275" spans="1:28" s="84" customFormat="1" ht="27" customHeight="1" x14ac:dyDescent="0.3">
      <c r="A275" s="75" t="s">
        <v>928</v>
      </c>
      <c r="B275" s="36" t="str">
        <f t="shared" si="4"/>
        <v>Junio</v>
      </c>
      <c r="C275" s="77" t="s">
        <v>162</v>
      </c>
      <c r="D275" s="77" t="s">
        <v>1146</v>
      </c>
      <c r="E27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75" s="79" t="s">
        <v>175</v>
      </c>
      <c r="G275" s="79" t="s">
        <v>176</v>
      </c>
      <c r="H275" s="140" t="s">
        <v>1147</v>
      </c>
      <c r="I275" s="77" t="s">
        <v>264</v>
      </c>
      <c r="J275" s="144" t="s">
        <v>265</v>
      </c>
      <c r="K275" s="77" t="s">
        <v>169</v>
      </c>
      <c r="L275" s="103" t="str">
        <f>VLOOKUP(Anexo_4[[#This Row],[cod_doc]],TIPODOC,2,FALSE)</f>
        <v>FACTURA</v>
      </c>
      <c r="M275" s="77" t="s">
        <v>379</v>
      </c>
      <c r="N275" s="79">
        <v>2086038</v>
      </c>
      <c r="O275" s="80">
        <v>10.17</v>
      </c>
      <c r="P275" s="81" t="s">
        <v>171</v>
      </c>
      <c r="Q275" s="81">
        <v>1.8306</v>
      </c>
      <c r="R275" s="80" t="s">
        <v>171</v>
      </c>
      <c r="S275" s="80">
        <v>0</v>
      </c>
      <c r="T275" s="82">
        <v>12</v>
      </c>
      <c r="U275" s="77"/>
      <c r="V275" s="75"/>
      <c r="W275" s="77"/>
      <c r="X275" s="77"/>
      <c r="Y275" s="77" t="s">
        <v>1148</v>
      </c>
      <c r="Z275" s="77" t="s">
        <v>268</v>
      </c>
      <c r="AA275" s="83" t="s">
        <v>1147</v>
      </c>
      <c r="AB275" s="104" t="str">
        <f>IFERROR(VLOOKUP(Anexo_4[[#This Row],[cuenta]],OP,2,0),"-")</f>
        <v>Transporte peajes - Ventas</v>
      </c>
    </row>
    <row r="276" spans="1:28" s="84" customFormat="1" ht="27" customHeight="1" x14ac:dyDescent="0.3">
      <c r="A276" s="75" t="s">
        <v>841</v>
      </c>
      <c r="B276" s="36" t="str">
        <f t="shared" si="4"/>
        <v>Junio</v>
      </c>
      <c r="C276" s="77" t="s">
        <v>162</v>
      </c>
      <c r="D276" s="77" t="s">
        <v>1149</v>
      </c>
      <c r="E27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76" s="79" t="s">
        <v>391</v>
      </c>
      <c r="G276" s="79" t="s">
        <v>392</v>
      </c>
      <c r="H276" s="140" t="s">
        <v>1150</v>
      </c>
      <c r="I276" s="77" t="s">
        <v>383</v>
      </c>
      <c r="J276" s="144" t="s">
        <v>384</v>
      </c>
      <c r="K276" s="77" t="s">
        <v>169</v>
      </c>
      <c r="L276" s="103" t="str">
        <f>VLOOKUP(Anexo_4[[#This Row],[cod_doc]],TIPODOC,2,FALSE)</f>
        <v>FACTURA</v>
      </c>
      <c r="M276" s="77" t="s">
        <v>103</v>
      </c>
      <c r="N276" s="79">
        <v>16661</v>
      </c>
      <c r="O276" s="80">
        <v>16.95</v>
      </c>
      <c r="P276" s="81" t="s">
        <v>171</v>
      </c>
      <c r="Q276" s="81">
        <v>3.0509999999999997</v>
      </c>
      <c r="R276" s="80" t="s">
        <v>171</v>
      </c>
      <c r="S276" s="80">
        <v>0</v>
      </c>
      <c r="T276" s="82">
        <v>20</v>
      </c>
      <c r="U276" s="77"/>
      <c r="V276" s="75"/>
      <c r="W276" s="77"/>
      <c r="X276" s="77"/>
      <c r="Y276" s="77" t="s">
        <v>1151</v>
      </c>
      <c r="Z276" s="77" t="s">
        <v>182</v>
      </c>
      <c r="AA276" s="83" t="s">
        <v>1150</v>
      </c>
      <c r="AB276" s="104" t="str">
        <f>IFERROR(VLOOKUP(Anexo_4[[#This Row],[cuenta]],OP,2,0),"-")</f>
        <v>Balanza - Ventas</v>
      </c>
    </row>
    <row r="277" spans="1:28" s="84" customFormat="1" ht="27" customHeight="1" x14ac:dyDescent="0.3">
      <c r="A277" s="75" t="s">
        <v>857</v>
      </c>
      <c r="B277" s="36" t="str">
        <f t="shared" si="4"/>
        <v>Junio</v>
      </c>
      <c r="C277" s="77" t="s">
        <v>162</v>
      </c>
      <c r="D277" s="77" t="s">
        <v>1152</v>
      </c>
      <c r="E277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77" s="79" t="s">
        <v>391</v>
      </c>
      <c r="G277" s="79" t="s">
        <v>392</v>
      </c>
      <c r="H277" s="140" t="s">
        <v>1153</v>
      </c>
      <c r="I277" s="77" t="s">
        <v>504</v>
      </c>
      <c r="J277" s="144" t="s">
        <v>505</v>
      </c>
      <c r="K277" s="77" t="s">
        <v>169</v>
      </c>
      <c r="L277" s="103" t="str">
        <f>VLOOKUP(Anexo_4[[#This Row],[cod_doc]],TIPODOC,2,FALSE)</f>
        <v>FACTURA</v>
      </c>
      <c r="M277" s="77" t="s">
        <v>222</v>
      </c>
      <c r="N277" s="79">
        <v>18247</v>
      </c>
      <c r="O277" s="80">
        <v>21.19</v>
      </c>
      <c r="P277" s="81" t="s">
        <v>171</v>
      </c>
      <c r="Q277" s="81">
        <v>3.8142</v>
      </c>
      <c r="R277" s="80" t="s">
        <v>171</v>
      </c>
      <c r="S277" s="80">
        <v>0</v>
      </c>
      <c r="T277" s="82">
        <v>25</v>
      </c>
      <c r="U277" s="77"/>
      <c r="V277" s="75"/>
      <c r="W277" s="77"/>
      <c r="X277" s="77"/>
      <c r="Y277" s="77" t="s">
        <v>1154</v>
      </c>
      <c r="Z277" s="77" t="s">
        <v>507</v>
      </c>
      <c r="AA277" s="83" t="s">
        <v>1153</v>
      </c>
      <c r="AB277" s="104" t="str">
        <f>IFERROR(VLOOKUP(Anexo_4[[#This Row],[cuenta]],OP,2,0),"-")</f>
        <v>Transporte lavado (Higienización)</v>
      </c>
    </row>
    <row r="278" spans="1:28" s="84" customFormat="1" ht="27" customHeight="1" x14ac:dyDescent="0.3">
      <c r="A278" s="75" t="s">
        <v>928</v>
      </c>
      <c r="B278" s="36" t="str">
        <f t="shared" si="4"/>
        <v>Junio</v>
      </c>
      <c r="C278" s="77" t="s">
        <v>162</v>
      </c>
      <c r="D278" s="77" t="s">
        <v>1155</v>
      </c>
      <c r="E278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78" s="79" t="s">
        <v>391</v>
      </c>
      <c r="G278" s="79" t="s">
        <v>392</v>
      </c>
      <c r="H278" s="140" t="s">
        <v>1156</v>
      </c>
      <c r="I278" s="77" t="s">
        <v>264</v>
      </c>
      <c r="J278" s="144" t="s">
        <v>265</v>
      </c>
      <c r="K278" s="77" t="s">
        <v>169</v>
      </c>
      <c r="L278" s="103" t="str">
        <f>VLOOKUP(Anexo_4[[#This Row],[cod_doc]],TIPODOC,2,FALSE)</f>
        <v>FACTURA</v>
      </c>
      <c r="M278" s="77" t="s">
        <v>352</v>
      </c>
      <c r="N278" s="79">
        <v>1782151</v>
      </c>
      <c r="O278" s="80">
        <v>6.78</v>
      </c>
      <c r="P278" s="81" t="s">
        <v>171</v>
      </c>
      <c r="Q278" s="81">
        <v>1.2203999999999999</v>
      </c>
      <c r="R278" s="80" t="s">
        <v>171</v>
      </c>
      <c r="S278" s="80">
        <v>0</v>
      </c>
      <c r="T278" s="82">
        <v>8</v>
      </c>
      <c r="U278" s="77"/>
      <c r="V278" s="75"/>
      <c r="W278" s="77"/>
      <c r="X278" s="77"/>
      <c r="Y278" s="77" t="s">
        <v>1157</v>
      </c>
      <c r="Z278" s="77" t="s">
        <v>302</v>
      </c>
      <c r="AA278" s="83" t="s">
        <v>1156</v>
      </c>
      <c r="AB278" s="104" t="str">
        <f>IFERROR(VLOOKUP(Anexo_4[[#This Row],[cuenta]],OP,2,0),"-")</f>
        <v>Transporte peajes - Servicios</v>
      </c>
    </row>
    <row r="279" spans="1:28" s="84" customFormat="1" ht="27" customHeight="1" x14ac:dyDescent="0.3">
      <c r="A279" s="75" t="s">
        <v>996</v>
      </c>
      <c r="B279" s="36" t="str">
        <f t="shared" si="4"/>
        <v>Junio</v>
      </c>
      <c r="C279" s="77" t="s">
        <v>162</v>
      </c>
      <c r="D279" s="77" t="s">
        <v>1158</v>
      </c>
      <c r="E279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79" s="79" t="s">
        <v>391</v>
      </c>
      <c r="G279" s="79" t="s">
        <v>392</v>
      </c>
      <c r="H279" s="140" t="s">
        <v>1159</v>
      </c>
      <c r="I279" s="77" t="s">
        <v>178</v>
      </c>
      <c r="J279" s="144" t="s">
        <v>179</v>
      </c>
      <c r="K279" s="77" t="s">
        <v>169</v>
      </c>
      <c r="L279" s="103" t="str">
        <f>VLOOKUP(Anexo_4[[#This Row],[cod_doc]],TIPODOC,2,FALSE)</f>
        <v>FACTURA</v>
      </c>
      <c r="M279" s="77" t="s">
        <v>180</v>
      </c>
      <c r="N279" s="79">
        <v>133254</v>
      </c>
      <c r="O279" s="80">
        <v>8.4700000000000006</v>
      </c>
      <c r="P279" s="81" t="s">
        <v>171</v>
      </c>
      <c r="Q279" s="81">
        <v>1.5246</v>
      </c>
      <c r="R279" s="80" t="s">
        <v>171</v>
      </c>
      <c r="S279" s="80">
        <v>0</v>
      </c>
      <c r="T279" s="82">
        <v>10</v>
      </c>
      <c r="U279" s="77"/>
      <c r="V279" s="75"/>
      <c r="W279" s="77"/>
      <c r="X279" s="77"/>
      <c r="Y279" s="77" t="s">
        <v>1160</v>
      </c>
      <c r="Z279" s="77" t="s">
        <v>386</v>
      </c>
      <c r="AA279" s="83" t="s">
        <v>1159</v>
      </c>
      <c r="AB279" s="104" t="str">
        <f>IFERROR(VLOOKUP(Anexo_4[[#This Row],[cuenta]],OP,2,0),"-")</f>
        <v>Balanza - Servicios</v>
      </c>
    </row>
    <row r="280" spans="1:28" s="84" customFormat="1" ht="27" customHeight="1" x14ac:dyDescent="0.3">
      <c r="A280" s="75" t="s">
        <v>996</v>
      </c>
      <c r="B280" s="36" t="str">
        <f t="shared" si="4"/>
        <v>Junio</v>
      </c>
      <c r="C280" s="77" t="s">
        <v>162</v>
      </c>
      <c r="D280" s="77" t="s">
        <v>1161</v>
      </c>
      <c r="E280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80" s="79" t="s">
        <v>391</v>
      </c>
      <c r="G280" s="79" t="s">
        <v>392</v>
      </c>
      <c r="H280" s="140" t="s">
        <v>1162</v>
      </c>
      <c r="I280" s="77" t="s">
        <v>178</v>
      </c>
      <c r="J280" s="144" t="s">
        <v>179</v>
      </c>
      <c r="K280" s="77" t="s">
        <v>169</v>
      </c>
      <c r="L280" s="103" t="str">
        <f>VLOOKUP(Anexo_4[[#This Row],[cod_doc]],TIPODOC,2,FALSE)</f>
        <v>FACTURA</v>
      </c>
      <c r="M280" s="77" t="s">
        <v>180</v>
      </c>
      <c r="N280" s="79">
        <v>133240</v>
      </c>
      <c r="O280" s="80">
        <v>8.4700000000000006</v>
      </c>
      <c r="P280" s="81" t="s">
        <v>171</v>
      </c>
      <c r="Q280" s="81">
        <v>1.5246</v>
      </c>
      <c r="R280" s="80" t="s">
        <v>171</v>
      </c>
      <c r="S280" s="80">
        <v>0</v>
      </c>
      <c r="T280" s="82">
        <v>10</v>
      </c>
      <c r="U280" s="77"/>
      <c r="V280" s="75"/>
      <c r="W280" s="77"/>
      <c r="X280" s="77"/>
      <c r="Y280" s="77" t="s">
        <v>1163</v>
      </c>
      <c r="Z280" s="77" t="s">
        <v>386</v>
      </c>
      <c r="AA280" s="83" t="s">
        <v>1162</v>
      </c>
      <c r="AB280" s="104" t="str">
        <f>IFERROR(VLOOKUP(Anexo_4[[#This Row],[cuenta]],OP,2,0),"-")</f>
        <v>Balanza - Servicios</v>
      </c>
    </row>
    <row r="281" spans="1:28" s="84" customFormat="1" ht="27" customHeight="1" x14ac:dyDescent="0.3">
      <c r="A281" s="75" t="s">
        <v>996</v>
      </c>
      <c r="B281" s="36" t="str">
        <f t="shared" si="4"/>
        <v>Junio</v>
      </c>
      <c r="C281" s="77" t="s">
        <v>162</v>
      </c>
      <c r="D281" s="77" t="s">
        <v>1164</v>
      </c>
      <c r="E28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81" s="79" t="s">
        <v>391</v>
      </c>
      <c r="G281" s="79" t="s">
        <v>392</v>
      </c>
      <c r="H281" s="140" t="s">
        <v>1165</v>
      </c>
      <c r="I281" s="77" t="s">
        <v>178</v>
      </c>
      <c r="J281" s="144" t="s">
        <v>179</v>
      </c>
      <c r="K281" s="77" t="s">
        <v>169</v>
      </c>
      <c r="L281" s="103" t="str">
        <f>VLOOKUP(Anexo_4[[#This Row],[cod_doc]],TIPODOC,2,FALSE)</f>
        <v>FACTURA</v>
      </c>
      <c r="M281" s="77" t="s">
        <v>180</v>
      </c>
      <c r="N281" s="79">
        <v>133248</v>
      </c>
      <c r="O281" s="80">
        <v>8.4700000000000006</v>
      </c>
      <c r="P281" s="81" t="s">
        <v>171</v>
      </c>
      <c r="Q281" s="81">
        <v>1.5246</v>
      </c>
      <c r="R281" s="80" t="s">
        <v>171</v>
      </c>
      <c r="S281" s="80">
        <v>0</v>
      </c>
      <c r="T281" s="82">
        <v>10</v>
      </c>
      <c r="U281" s="77"/>
      <c r="V281" s="75"/>
      <c r="W281" s="77"/>
      <c r="X281" s="77"/>
      <c r="Y281" s="77" t="s">
        <v>1166</v>
      </c>
      <c r="Z281" s="77" t="s">
        <v>386</v>
      </c>
      <c r="AA281" s="83" t="s">
        <v>1165</v>
      </c>
      <c r="AB281" s="104" t="str">
        <f>IFERROR(VLOOKUP(Anexo_4[[#This Row],[cuenta]],OP,2,0),"-")</f>
        <v>Balanza - Servicios</v>
      </c>
    </row>
    <row r="282" spans="1:28" s="84" customFormat="1" ht="27" customHeight="1" x14ac:dyDescent="0.3">
      <c r="A282" s="75" t="s">
        <v>857</v>
      </c>
      <c r="B282" s="36" t="str">
        <f t="shared" si="4"/>
        <v>Junio</v>
      </c>
      <c r="C282" s="77" t="s">
        <v>162</v>
      </c>
      <c r="D282" s="77" t="s">
        <v>1167</v>
      </c>
      <c r="E28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82" s="79" t="s">
        <v>248</v>
      </c>
      <c r="G282" s="79" t="s">
        <v>249</v>
      </c>
      <c r="H282" s="140" t="s">
        <v>1168</v>
      </c>
      <c r="I282" s="77" t="s">
        <v>536</v>
      </c>
      <c r="J282" s="144" t="s">
        <v>537</v>
      </c>
      <c r="K282" s="77" t="s">
        <v>169</v>
      </c>
      <c r="L282" s="103" t="str">
        <f>VLOOKUP(Anexo_4[[#This Row],[cod_doc]],TIPODOC,2,FALSE)</f>
        <v>FACTURA</v>
      </c>
      <c r="M282" s="77" t="s">
        <v>538</v>
      </c>
      <c r="N282" s="79">
        <v>6490</v>
      </c>
      <c r="O282" s="80">
        <v>258</v>
      </c>
      <c r="P282" s="81" t="s">
        <v>171</v>
      </c>
      <c r="Q282" s="81">
        <v>46.44</v>
      </c>
      <c r="R282" s="80" t="s">
        <v>171</v>
      </c>
      <c r="S282" s="80">
        <v>0</v>
      </c>
      <c r="T282" s="82">
        <v>304.44</v>
      </c>
      <c r="U282" s="77" t="s">
        <v>1169</v>
      </c>
      <c r="V282" s="75" t="s">
        <v>966</v>
      </c>
      <c r="W282" s="77"/>
      <c r="X282" s="77"/>
      <c r="Y282" s="77"/>
      <c r="Z282" s="77" t="s">
        <v>256</v>
      </c>
      <c r="AA282" s="83" t="s">
        <v>1168</v>
      </c>
      <c r="AB282" s="104" t="str">
        <f>IFERROR(VLOOKUP(Anexo_4[[#This Row],[cuenta]],OP,2,0),"-")</f>
        <v>Materias Primas - RRSS</v>
      </c>
    </row>
    <row r="283" spans="1:28" s="84" customFormat="1" ht="27" customHeight="1" x14ac:dyDescent="0.3">
      <c r="A283" s="75" t="s">
        <v>857</v>
      </c>
      <c r="B283" s="36" t="str">
        <f t="shared" si="4"/>
        <v>Junio</v>
      </c>
      <c r="C283" s="77" t="s">
        <v>162</v>
      </c>
      <c r="D283" s="77" t="s">
        <v>1170</v>
      </c>
      <c r="E283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83" s="79" t="s">
        <v>248</v>
      </c>
      <c r="G283" s="79" t="s">
        <v>249</v>
      </c>
      <c r="H283" s="140" t="s">
        <v>1171</v>
      </c>
      <c r="I283" s="77" t="s">
        <v>536</v>
      </c>
      <c r="J283" s="144" t="s">
        <v>537</v>
      </c>
      <c r="K283" s="77" t="s">
        <v>169</v>
      </c>
      <c r="L283" s="103" t="str">
        <f>VLOOKUP(Anexo_4[[#This Row],[cod_doc]],TIPODOC,2,FALSE)</f>
        <v>FACTURA</v>
      </c>
      <c r="M283" s="77" t="s">
        <v>538</v>
      </c>
      <c r="N283" s="79">
        <v>6486</v>
      </c>
      <c r="O283" s="80">
        <v>210.6</v>
      </c>
      <c r="P283" s="81" t="s">
        <v>171</v>
      </c>
      <c r="Q283" s="81">
        <v>37.907999999999994</v>
      </c>
      <c r="R283" s="80" t="s">
        <v>171</v>
      </c>
      <c r="S283" s="80">
        <v>0</v>
      </c>
      <c r="T283" s="82">
        <v>248.51</v>
      </c>
      <c r="U283" s="77" t="s">
        <v>1172</v>
      </c>
      <c r="V283" s="75" t="s">
        <v>966</v>
      </c>
      <c r="W283" s="77"/>
      <c r="X283" s="77"/>
      <c r="Y283" s="77"/>
      <c r="Z283" s="77" t="s">
        <v>256</v>
      </c>
      <c r="AA283" s="83" t="s">
        <v>1171</v>
      </c>
      <c r="AB283" s="104" t="str">
        <f>IFERROR(VLOOKUP(Anexo_4[[#This Row],[cuenta]],OP,2,0),"-")</f>
        <v>Materias Primas - RRSS</v>
      </c>
    </row>
    <row r="284" spans="1:28" s="84" customFormat="1" ht="27" customHeight="1" x14ac:dyDescent="0.3">
      <c r="A284" s="75" t="s">
        <v>857</v>
      </c>
      <c r="B284" s="36" t="str">
        <f t="shared" si="4"/>
        <v>Junio</v>
      </c>
      <c r="C284" s="77" t="s">
        <v>162</v>
      </c>
      <c r="D284" s="77" t="s">
        <v>1173</v>
      </c>
      <c r="E284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84" s="79" t="s">
        <v>248</v>
      </c>
      <c r="G284" s="79" t="s">
        <v>249</v>
      </c>
      <c r="H284" s="140" t="s">
        <v>1174</v>
      </c>
      <c r="I284" s="77" t="s">
        <v>536</v>
      </c>
      <c r="J284" s="144" t="s">
        <v>537</v>
      </c>
      <c r="K284" s="77" t="s">
        <v>169</v>
      </c>
      <c r="L284" s="103" t="str">
        <f>VLOOKUP(Anexo_4[[#This Row],[cod_doc]],TIPODOC,2,FALSE)</f>
        <v>FACTURA</v>
      </c>
      <c r="M284" s="77" t="s">
        <v>538</v>
      </c>
      <c r="N284" s="79">
        <v>6489</v>
      </c>
      <c r="O284" s="80">
        <v>13.5</v>
      </c>
      <c r="P284" s="81" t="s">
        <v>171</v>
      </c>
      <c r="Q284" s="81">
        <v>2.4299999999999997</v>
      </c>
      <c r="R284" s="80" t="s">
        <v>171</v>
      </c>
      <c r="S284" s="80">
        <v>0</v>
      </c>
      <c r="T284" s="82">
        <v>15.93</v>
      </c>
      <c r="U284" s="77" t="s">
        <v>1175</v>
      </c>
      <c r="V284" s="75" t="s">
        <v>966</v>
      </c>
      <c r="W284" s="77"/>
      <c r="X284" s="77"/>
      <c r="Y284" s="77"/>
      <c r="Z284" s="77" t="s">
        <v>256</v>
      </c>
      <c r="AA284" s="83" t="s">
        <v>1174</v>
      </c>
      <c r="AB284" s="104" t="str">
        <f>IFERROR(VLOOKUP(Anexo_4[[#This Row],[cuenta]],OP,2,0),"-")</f>
        <v>Materias Primas - RRSS</v>
      </c>
    </row>
    <row r="285" spans="1:28" s="84" customFormat="1" ht="27" customHeight="1" x14ac:dyDescent="0.3">
      <c r="A285" s="75" t="s">
        <v>857</v>
      </c>
      <c r="B285" s="36" t="str">
        <f t="shared" si="4"/>
        <v>Junio</v>
      </c>
      <c r="C285" s="77" t="s">
        <v>162</v>
      </c>
      <c r="D285" s="77" t="s">
        <v>1176</v>
      </c>
      <c r="E28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85" s="79" t="s">
        <v>248</v>
      </c>
      <c r="G285" s="79" t="s">
        <v>249</v>
      </c>
      <c r="H285" s="140" t="s">
        <v>1177</v>
      </c>
      <c r="I285" s="77" t="s">
        <v>536</v>
      </c>
      <c r="J285" s="144" t="s">
        <v>537</v>
      </c>
      <c r="K285" s="77" t="s">
        <v>169</v>
      </c>
      <c r="L285" s="103" t="str">
        <f>VLOOKUP(Anexo_4[[#This Row],[cod_doc]],TIPODOC,2,FALSE)</f>
        <v>FACTURA</v>
      </c>
      <c r="M285" s="77" t="s">
        <v>538</v>
      </c>
      <c r="N285" s="79">
        <v>6488</v>
      </c>
      <c r="O285" s="80">
        <v>120.75</v>
      </c>
      <c r="P285" s="81" t="s">
        <v>171</v>
      </c>
      <c r="Q285" s="81">
        <v>21.734999999999999</v>
      </c>
      <c r="R285" s="80" t="s">
        <v>171</v>
      </c>
      <c r="S285" s="80">
        <v>0</v>
      </c>
      <c r="T285" s="82">
        <v>142.49</v>
      </c>
      <c r="U285" s="77" t="s">
        <v>1178</v>
      </c>
      <c r="V285" s="75" t="s">
        <v>966</v>
      </c>
      <c r="W285" s="77"/>
      <c r="X285" s="77"/>
      <c r="Y285" s="77"/>
      <c r="Z285" s="77" t="s">
        <v>256</v>
      </c>
      <c r="AA285" s="83" t="s">
        <v>1177</v>
      </c>
      <c r="AB285" s="104" t="str">
        <f>IFERROR(VLOOKUP(Anexo_4[[#This Row],[cuenta]],OP,2,0),"-")</f>
        <v>Materias Primas - RRSS</v>
      </c>
    </row>
    <row r="286" spans="1:28" s="84" customFormat="1" ht="27" customHeight="1" x14ac:dyDescent="0.3">
      <c r="A286" s="75" t="s">
        <v>857</v>
      </c>
      <c r="B286" s="36" t="str">
        <f t="shared" si="4"/>
        <v>Junio</v>
      </c>
      <c r="C286" s="77" t="s">
        <v>162</v>
      </c>
      <c r="D286" s="77" t="s">
        <v>1179</v>
      </c>
      <c r="E28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86" s="79" t="s">
        <v>248</v>
      </c>
      <c r="G286" s="79" t="s">
        <v>249</v>
      </c>
      <c r="H286" s="140" t="s">
        <v>1180</v>
      </c>
      <c r="I286" s="77" t="s">
        <v>536</v>
      </c>
      <c r="J286" s="144" t="s">
        <v>537</v>
      </c>
      <c r="K286" s="77" t="s">
        <v>169</v>
      </c>
      <c r="L286" s="103" t="str">
        <f>VLOOKUP(Anexo_4[[#This Row],[cod_doc]],TIPODOC,2,FALSE)</f>
        <v>FACTURA</v>
      </c>
      <c r="M286" s="77" t="s">
        <v>538</v>
      </c>
      <c r="N286" s="79">
        <v>6487</v>
      </c>
      <c r="O286" s="80">
        <v>297</v>
      </c>
      <c r="P286" s="81" t="s">
        <v>171</v>
      </c>
      <c r="Q286" s="81">
        <v>53.46</v>
      </c>
      <c r="R286" s="80" t="s">
        <v>171</v>
      </c>
      <c r="S286" s="80">
        <v>0</v>
      </c>
      <c r="T286" s="82">
        <v>350.46</v>
      </c>
      <c r="U286" s="77" t="s">
        <v>1181</v>
      </c>
      <c r="V286" s="75" t="s">
        <v>966</v>
      </c>
      <c r="W286" s="77"/>
      <c r="X286" s="77"/>
      <c r="Y286" s="77"/>
      <c r="Z286" s="77" t="s">
        <v>256</v>
      </c>
      <c r="AA286" s="83" t="s">
        <v>1180</v>
      </c>
      <c r="AB286" s="104" t="str">
        <f>IFERROR(VLOOKUP(Anexo_4[[#This Row],[cuenta]],OP,2,0),"-")</f>
        <v>Materias Primas - RRSS</v>
      </c>
    </row>
    <row r="287" spans="1:28" s="84" customFormat="1" ht="27" customHeight="1" x14ac:dyDescent="0.3">
      <c r="A287" s="75" t="s">
        <v>857</v>
      </c>
      <c r="B287" s="36" t="str">
        <f t="shared" si="4"/>
        <v>Junio</v>
      </c>
      <c r="C287" s="77" t="s">
        <v>162</v>
      </c>
      <c r="D287" s="77" t="s">
        <v>1182</v>
      </c>
      <c r="E287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87" s="79" t="s">
        <v>248</v>
      </c>
      <c r="G287" s="79" t="s">
        <v>249</v>
      </c>
      <c r="H287" s="140" t="s">
        <v>1183</v>
      </c>
      <c r="I287" s="77" t="s">
        <v>536</v>
      </c>
      <c r="J287" s="144" t="s">
        <v>537</v>
      </c>
      <c r="K287" s="77" t="s">
        <v>169</v>
      </c>
      <c r="L287" s="103" t="str">
        <f>VLOOKUP(Anexo_4[[#This Row],[cod_doc]],TIPODOC,2,FALSE)</f>
        <v>FACTURA</v>
      </c>
      <c r="M287" s="77" t="s">
        <v>538</v>
      </c>
      <c r="N287" s="79">
        <v>6491</v>
      </c>
      <c r="O287" s="80">
        <v>32</v>
      </c>
      <c r="P287" s="81" t="s">
        <v>171</v>
      </c>
      <c r="Q287" s="81">
        <v>5.76</v>
      </c>
      <c r="R287" s="80" t="s">
        <v>171</v>
      </c>
      <c r="S287" s="80">
        <v>0</v>
      </c>
      <c r="T287" s="82">
        <v>37.76</v>
      </c>
      <c r="U287" s="77" t="s">
        <v>1184</v>
      </c>
      <c r="V287" s="75" t="s">
        <v>966</v>
      </c>
      <c r="W287" s="77"/>
      <c r="X287" s="77"/>
      <c r="Y287" s="77"/>
      <c r="Z287" s="77" t="s">
        <v>256</v>
      </c>
      <c r="AA287" s="83" t="s">
        <v>1183</v>
      </c>
      <c r="AB287" s="104" t="str">
        <f>IFERROR(VLOOKUP(Anexo_4[[#This Row],[cuenta]],OP,2,0),"-")</f>
        <v>Materias Primas - RRSS</v>
      </c>
    </row>
    <row r="288" spans="1:28" s="84" customFormat="1" ht="27" customHeight="1" x14ac:dyDescent="0.3">
      <c r="A288" s="75" t="s">
        <v>993</v>
      </c>
      <c r="B288" s="36" t="str">
        <f t="shared" si="4"/>
        <v>Junio</v>
      </c>
      <c r="C288" s="77" t="s">
        <v>162</v>
      </c>
      <c r="D288" s="77" t="s">
        <v>1185</v>
      </c>
      <c r="E288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88" s="79" t="s">
        <v>217</v>
      </c>
      <c r="G288" s="79" t="s">
        <v>218</v>
      </c>
      <c r="H288" s="140" t="s">
        <v>1186</v>
      </c>
      <c r="I288" s="77" t="s">
        <v>1187</v>
      </c>
      <c r="J288" s="144" t="s">
        <v>1188</v>
      </c>
      <c r="K288" s="77" t="s">
        <v>169</v>
      </c>
      <c r="L288" s="103" t="str">
        <f>VLOOKUP(Anexo_4[[#This Row],[cod_doc]],TIPODOC,2,FALSE)</f>
        <v>FACTURA</v>
      </c>
      <c r="M288" s="77" t="s">
        <v>222</v>
      </c>
      <c r="N288" s="79">
        <v>1793</v>
      </c>
      <c r="O288" s="80">
        <v>25.42</v>
      </c>
      <c r="P288" s="81" t="s">
        <v>171</v>
      </c>
      <c r="Q288" s="81">
        <v>4.5756000000000006</v>
      </c>
      <c r="R288" s="80" t="s">
        <v>171</v>
      </c>
      <c r="S288" s="80">
        <v>0</v>
      </c>
      <c r="T288" s="82">
        <v>30</v>
      </c>
      <c r="U288" s="77"/>
      <c r="V288" s="75"/>
      <c r="W288" s="77"/>
      <c r="X288" s="77"/>
      <c r="Y288" s="77" t="s">
        <v>1189</v>
      </c>
      <c r="Z288" s="77" t="s">
        <v>507</v>
      </c>
      <c r="AA288" s="83" t="s">
        <v>1186</v>
      </c>
      <c r="AB288" s="104" t="str">
        <f>IFERROR(VLOOKUP(Anexo_4[[#This Row],[cuenta]],OP,2,0),"-")</f>
        <v>Transporte lavado (Higienización)</v>
      </c>
    </row>
    <row r="289" spans="1:28" s="84" customFormat="1" ht="27" customHeight="1" x14ac:dyDescent="0.3">
      <c r="A289" s="75" t="s">
        <v>1190</v>
      </c>
      <c r="B289" s="36" t="str">
        <f t="shared" si="4"/>
        <v>Junio</v>
      </c>
      <c r="C289" s="77" t="s">
        <v>162</v>
      </c>
      <c r="D289" s="77" t="s">
        <v>1191</v>
      </c>
      <c r="E289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89" s="79" t="s">
        <v>164</v>
      </c>
      <c r="G289" s="79" t="s">
        <v>165</v>
      </c>
      <c r="H289" s="140" t="s">
        <v>637</v>
      </c>
      <c r="I289" s="77" t="s">
        <v>638</v>
      </c>
      <c r="J289" s="144" t="s">
        <v>639</v>
      </c>
      <c r="K289" s="77" t="s">
        <v>169</v>
      </c>
      <c r="L289" s="103" t="str">
        <f>VLOOKUP(Anexo_4[[#This Row],[cod_doc]],TIPODOC,2,FALSE)</f>
        <v>FACTURA</v>
      </c>
      <c r="M289" s="77" t="s">
        <v>640</v>
      </c>
      <c r="N289" s="79">
        <v>13862</v>
      </c>
      <c r="O289" s="80">
        <v>18.64</v>
      </c>
      <c r="P289" s="81" t="s">
        <v>171</v>
      </c>
      <c r="Q289" s="81">
        <v>3.3552</v>
      </c>
      <c r="R289" s="80" t="s">
        <v>171</v>
      </c>
      <c r="S289" s="80">
        <v>0</v>
      </c>
      <c r="T289" s="82">
        <v>22</v>
      </c>
      <c r="U289" s="77"/>
      <c r="V289" s="75"/>
      <c r="W289" s="77"/>
      <c r="X289" s="77"/>
      <c r="Y289" s="77"/>
      <c r="Z289" s="77" t="s">
        <v>196</v>
      </c>
      <c r="AA289" s="83" t="s">
        <v>637</v>
      </c>
      <c r="AB289" s="104" t="str">
        <f>IFERROR(VLOOKUP(Anexo_4[[#This Row],[cuenta]],OP,2,0),"-")</f>
        <v>Encomienda (Envío de documentación)</v>
      </c>
    </row>
    <row r="290" spans="1:28" s="84" customFormat="1" ht="27" customHeight="1" x14ac:dyDescent="0.3">
      <c r="A290" s="75" t="s">
        <v>1190</v>
      </c>
      <c r="B290" s="36" t="str">
        <f t="shared" si="4"/>
        <v>Junio</v>
      </c>
      <c r="C290" s="77" t="s">
        <v>162</v>
      </c>
      <c r="D290" s="77" t="s">
        <v>1192</v>
      </c>
      <c r="E290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90" s="79" t="s">
        <v>217</v>
      </c>
      <c r="G290" s="79" t="s">
        <v>218</v>
      </c>
      <c r="H290" s="140" t="s">
        <v>1193</v>
      </c>
      <c r="I290" s="77" t="s">
        <v>264</v>
      </c>
      <c r="J290" s="144" t="s">
        <v>265</v>
      </c>
      <c r="K290" s="77" t="s">
        <v>169</v>
      </c>
      <c r="L290" s="103" t="str">
        <f>VLOOKUP(Anexo_4[[#This Row],[cod_doc]],TIPODOC,2,FALSE)</f>
        <v>FACTURA</v>
      </c>
      <c r="M290" s="77" t="s">
        <v>379</v>
      </c>
      <c r="N290" s="79">
        <v>2092409</v>
      </c>
      <c r="O290" s="80">
        <v>6.78</v>
      </c>
      <c r="P290" s="81" t="s">
        <v>171</v>
      </c>
      <c r="Q290" s="81">
        <v>1.2203999999999999</v>
      </c>
      <c r="R290" s="80" t="s">
        <v>171</v>
      </c>
      <c r="S290" s="80">
        <v>0</v>
      </c>
      <c r="T290" s="82">
        <v>8</v>
      </c>
      <c r="U290" s="77"/>
      <c r="V290" s="75"/>
      <c r="W290" s="77"/>
      <c r="X290" s="77"/>
      <c r="Y290" s="77" t="s">
        <v>1194</v>
      </c>
      <c r="Z290" s="77" t="s">
        <v>268</v>
      </c>
      <c r="AA290" s="83" t="s">
        <v>1193</v>
      </c>
      <c r="AB290" s="104" t="str">
        <f>IFERROR(VLOOKUP(Anexo_4[[#This Row],[cuenta]],OP,2,0),"-")</f>
        <v>Transporte peajes - Ventas</v>
      </c>
    </row>
    <row r="291" spans="1:28" s="84" customFormat="1" ht="27" customHeight="1" x14ac:dyDescent="0.3">
      <c r="A291" s="75" t="s">
        <v>1190</v>
      </c>
      <c r="B291" s="36" t="str">
        <f t="shared" si="4"/>
        <v>Junio</v>
      </c>
      <c r="C291" s="77" t="s">
        <v>162</v>
      </c>
      <c r="D291" s="77" t="s">
        <v>1195</v>
      </c>
      <c r="E29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91" s="79" t="s">
        <v>217</v>
      </c>
      <c r="G291" s="79" t="s">
        <v>218</v>
      </c>
      <c r="H291" s="140" t="s">
        <v>1196</v>
      </c>
      <c r="I291" s="77" t="s">
        <v>383</v>
      </c>
      <c r="J291" s="144" t="s">
        <v>384</v>
      </c>
      <c r="K291" s="77" t="s">
        <v>169</v>
      </c>
      <c r="L291" s="103" t="str">
        <f>VLOOKUP(Anexo_4[[#This Row],[cod_doc]],TIPODOC,2,FALSE)</f>
        <v>FACTURA</v>
      </c>
      <c r="M291" s="77" t="s">
        <v>103</v>
      </c>
      <c r="N291" s="79">
        <v>16735</v>
      </c>
      <c r="O291" s="80">
        <v>16.95</v>
      </c>
      <c r="P291" s="81" t="s">
        <v>171</v>
      </c>
      <c r="Q291" s="81">
        <v>3.0509999999999997</v>
      </c>
      <c r="R291" s="80" t="s">
        <v>171</v>
      </c>
      <c r="S291" s="80">
        <v>0</v>
      </c>
      <c r="T291" s="82">
        <v>20</v>
      </c>
      <c r="U291" s="77"/>
      <c r="V291" s="75"/>
      <c r="W291" s="77"/>
      <c r="X291" s="77"/>
      <c r="Y291" s="77" t="s">
        <v>1197</v>
      </c>
      <c r="Z291" s="77" t="s">
        <v>182</v>
      </c>
      <c r="AA291" s="83" t="s">
        <v>1196</v>
      </c>
      <c r="AB291" s="104" t="str">
        <f>IFERROR(VLOOKUP(Anexo_4[[#This Row],[cuenta]],OP,2,0),"-")</f>
        <v>Balanza - Ventas</v>
      </c>
    </row>
    <row r="292" spans="1:28" s="84" customFormat="1" ht="27" customHeight="1" x14ac:dyDescent="0.3">
      <c r="A292" s="75" t="s">
        <v>857</v>
      </c>
      <c r="B292" s="36" t="str">
        <f t="shared" si="4"/>
        <v>Junio</v>
      </c>
      <c r="C292" s="77" t="s">
        <v>162</v>
      </c>
      <c r="D292" s="77" t="s">
        <v>1198</v>
      </c>
      <c r="E29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92" s="79" t="s">
        <v>592</v>
      </c>
      <c r="G292" s="79" t="s">
        <v>593</v>
      </c>
      <c r="H292" s="140" t="s">
        <v>1199</v>
      </c>
      <c r="I292" s="77" t="s">
        <v>937</v>
      </c>
      <c r="J292" s="144" t="s">
        <v>938</v>
      </c>
      <c r="K292" s="77" t="s">
        <v>169</v>
      </c>
      <c r="L292" s="103" t="str">
        <f>VLOOKUP(Anexo_4[[#This Row],[cod_doc]],TIPODOC,2,FALSE)</f>
        <v>FACTURA</v>
      </c>
      <c r="M292" s="77" t="s">
        <v>942</v>
      </c>
      <c r="N292" s="79">
        <v>10626</v>
      </c>
      <c r="O292" s="80">
        <v>252.28</v>
      </c>
      <c r="P292" s="81" t="s">
        <v>171</v>
      </c>
      <c r="Q292" s="81">
        <v>45.410399999999996</v>
      </c>
      <c r="R292" s="80" t="s">
        <v>171</v>
      </c>
      <c r="S292" s="80">
        <v>0</v>
      </c>
      <c r="T292" s="82">
        <v>297.69</v>
      </c>
      <c r="U292" s="77"/>
      <c r="V292" s="75"/>
      <c r="W292" s="77"/>
      <c r="X292" s="77"/>
      <c r="Y292" s="77"/>
      <c r="Z292" s="77" t="s">
        <v>455</v>
      </c>
      <c r="AA292" s="83" t="s">
        <v>1199</v>
      </c>
      <c r="AB292" s="104" t="str">
        <f>IFERROR(VLOOKUP(Anexo_4[[#This Row],[cuenta]],OP,2,0),"-")</f>
        <v>Combustible (Vehiculos)</v>
      </c>
    </row>
    <row r="293" spans="1:28" s="84" customFormat="1" ht="27" customHeight="1" x14ac:dyDescent="0.3">
      <c r="A293" s="75" t="s">
        <v>857</v>
      </c>
      <c r="B293" s="36" t="str">
        <f t="shared" si="4"/>
        <v>Junio</v>
      </c>
      <c r="C293" s="77" t="s">
        <v>162</v>
      </c>
      <c r="D293" s="77" t="s">
        <v>1200</v>
      </c>
      <c r="E293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93" s="79" t="s">
        <v>592</v>
      </c>
      <c r="G293" s="79" t="s">
        <v>593</v>
      </c>
      <c r="H293" s="140" t="s">
        <v>1201</v>
      </c>
      <c r="I293" s="77" t="s">
        <v>937</v>
      </c>
      <c r="J293" s="144" t="s">
        <v>938</v>
      </c>
      <c r="K293" s="77" t="s">
        <v>169</v>
      </c>
      <c r="L293" s="103" t="str">
        <f>VLOOKUP(Anexo_4[[#This Row],[cod_doc]],TIPODOC,2,FALSE)</f>
        <v>FACTURA</v>
      </c>
      <c r="M293" s="77" t="s">
        <v>939</v>
      </c>
      <c r="N293" s="79">
        <v>8037</v>
      </c>
      <c r="O293" s="80">
        <v>164.38</v>
      </c>
      <c r="P293" s="81" t="s">
        <v>171</v>
      </c>
      <c r="Q293" s="81">
        <v>29.588399999999996</v>
      </c>
      <c r="R293" s="80" t="s">
        <v>171</v>
      </c>
      <c r="S293" s="80">
        <v>0</v>
      </c>
      <c r="T293" s="82">
        <v>193.97</v>
      </c>
      <c r="U293" s="77"/>
      <c r="V293" s="75"/>
      <c r="W293" s="77"/>
      <c r="X293" s="77"/>
      <c r="Y293" s="77"/>
      <c r="Z293" s="77" t="s">
        <v>455</v>
      </c>
      <c r="AA293" s="83" t="s">
        <v>1201</v>
      </c>
      <c r="AB293" s="104" t="str">
        <f>IFERROR(VLOOKUP(Anexo_4[[#This Row],[cuenta]],OP,2,0),"-")</f>
        <v>Combustible (Vehiculos)</v>
      </c>
    </row>
    <row r="294" spans="1:28" s="84" customFormat="1" ht="27" customHeight="1" x14ac:dyDescent="0.3">
      <c r="A294" s="75" t="s">
        <v>928</v>
      </c>
      <c r="B294" s="36" t="str">
        <f t="shared" si="4"/>
        <v>Junio</v>
      </c>
      <c r="C294" s="77" t="s">
        <v>162</v>
      </c>
      <c r="D294" s="77" t="s">
        <v>1202</v>
      </c>
      <c r="E294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94" s="79" t="s">
        <v>248</v>
      </c>
      <c r="G294" s="79" t="s">
        <v>249</v>
      </c>
      <c r="H294" s="140" t="s">
        <v>1203</v>
      </c>
      <c r="I294" s="77" t="s">
        <v>625</v>
      </c>
      <c r="J294" s="144" t="s">
        <v>626</v>
      </c>
      <c r="K294" s="77" t="s">
        <v>169</v>
      </c>
      <c r="L294" s="103" t="str">
        <f>VLOOKUP(Anexo_4[[#This Row],[cod_doc]],TIPODOC,2,FALSE)</f>
        <v>FACTURA</v>
      </c>
      <c r="M294" s="77" t="s">
        <v>180</v>
      </c>
      <c r="N294" s="79">
        <v>16295</v>
      </c>
      <c r="O294" s="80">
        <v>191.14</v>
      </c>
      <c r="P294" s="81" t="s">
        <v>171</v>
      </c>
      <c r="Q294" s="81">
        <v>34.405199999999994</v>
      </c>
      <c r="R294" s="80" t="s">
        <v>171</v>
      </c>
      <c r="S294" s="80">
        <v>0</v>
      </c>
      <c r="T294" s="82">
        <v>225.53</v>
      </c>
      <c r="U294" s="77" t="s">
        <v>1204</v>
      </c>
      <c r="V294" s="75" t="s">
        <v>1007</v>
      </c>
      <c r="W294" s="77"/>
      <c r="X294" s="77"/>
      <c r="Y294" s="77"/>
      <c r="Z294" s="77" t="s">
        <v>256</v>
      </c>
      <c r="AA294" s="83" t="s">
        <v>1203</v>
      </c>
      <c r="AB294" s="104" t="str">
        <f>IFERROR(VLOOKUP(Anexo_4[[#This Row],[cuenta]],OP,2,0),"-")</f>
        <v>Materias Primas - RRSS</v>
      </c>
    </row>
    <row r="295" spans="1:28" s="84" customFormat="1" ht="27" customHeight="1" x14ac:dyDescent="0.3">
      <c r="A295" s="75" t="s">
        <v>685</v>
      </c>
      <c r="B295" s="36" t="str">
        <f t="shared" si="4"/>
        <v>Junio</v>
      </c>
      <c r="C295" s="77" t="s">
        <v>162</v>
      </c>
      <c r="D295" s="77" t="s">
        <v>1205</v>
      </c>
      <c r="E29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95" s="79" t="s">
        <v>248</v>
      </c>
      <c r="G295" s="79" t="s">
        <v>249</v>
      </c>
      <c r="H295" s="140" t="s">
        <v>1206</v>
      </c>
      <c r="I295" s="77" t="s">
        <v>625</v>
      </c>
      <c r="J295" s="144" t="s">
        <v>626</v>
      </c>
      <c r="K295" s="77" t="s">
        <v>169</v>
      </c>
      <c r="L295" s="103" t="str">
        <f>VLOOKUP(Anexo_4[[#This Row],[cod_doc]],TIPODOC,2,FALSE)</f>
        <v>FACTURA</v>
      </c>
      <c r="M295" s="77" t="s">
        <v>180</v>
      </c>
      <c r="N295" s="79">
        <v>16270</v>
      </c>
      <c r="O295" s="80">
        <v>185.43</v>
      </c>
      <c r="P295" s="81" t="s">
        <v>171</v>
      </c>
      <c r="Q295" s="81">
        <v>33.377400000000002</v>
      </c>
      <c r="R295" s="80" t="s">
        <v>171</v>
      </c>
      <c r="S295" s="80">
        <v>0</v>
      </c>
      <c r="T295" s="82">
        <v>218.81</v>
      </c>
      <c r="U295" s="77" t="s">
        <v>1207</v>
      </c>
      <c r="V295" s="75" t="s">
        <v>1007</v>
      </c>
      <c r="W295" s="77"/>
      <c r="X295" s="77"/>
      <c r="Y295" s="77"/>
      <c r="Z295" s="77" t="s">
        <v>256</v>
      </c>
      <c r="AA295" s="83" t="s">
        <v>1206</v>
      </c>
      <c r="AB295" s="104" t="str">
        <f>IFERROR(VLOOKUP(Anexo_4[[#This Row],[cuenta]],OP,2,0),"-")</f>
        <v>Materias Primas - RRSS</v>
      </c>
    </row>
    <row r="296" spans="1:28" s="84" customFormat="1" ht="27" customHeight="1" x14ac:dyDescent="0.3">
      <c r="A296" s="75" t="s">
        <v>1190</v>
      </c>
      <c r="B296" s="36" t="str">
        <f t="shared" si="4"/>
        <v>Junio</v>
      </c>
      <c r="C296" s="77" t="s">
        <v>162</v>
      </c>
      <c r="D296" s="77" t="s">
        <v>1208</v>
      </c>
      <c r="E29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96" s="79" t="s">
        <v>248</v>
      </c>
      <c r="G296" s="79" t="s">
        <v>249</v>
      </c>
      <c r="H296" s="140" t="s">
        <v>985</v>
      </c>
      <c r="I296" s="77" t="s">
        <v>980</v>
      </c>
      <c r="J296" s="144" t="s">
        <v>981</v>
      </c>
      <c r="K296" s="77" t="s">
        <v>169</v>
      </c>
      <c r="L296" s="103" t="str">
        <f>VLOOKUP(Anexo_4[[#This Row],[cod_doc]],TIPODOC,2,FALSE)</f>
        <v>FACTURA</v>
      </c>
      <c r="M296" s="77" t="s">
        <v>180</v>
      </c>
      <c r="N296" s="79">
        <v>627</v>
      </c>
      <c r="O296" s="80">
        <v>108.47</v>
      </c>
      <c r="P296" s="81" t="s">
        <v>171</v>
      </c>
      <c r="Q296" s="81">
        <v>19.5246</v>
      </c>
      <c r="R296" s="80" t="s">
        <v>171</v>
      </c>
      <c r="S296" s="80">
        <v>0</v>
      </c>
      <c r="T296" s="82">
        <v>127.99</v>
      </c>
      <c r="U296" s="77" t="s">
        <v>1209</v>
      </c>
      <c r="V296" s="75" t="s">
        <v>1007</v>
      </c>
      <c r="W296" s="77"/>
      <c r="X296" s="77"/>
      <c r="Y296" s="77"/>
      <c r="Z296" s="77" t="s">
        <v>256</v>
      </c>
      <c r="AA296" s="83" t="s">
        <v>985</v>
      </c>
      <c r="AB296" s="104" t="str">
        <f>IFERROR(VLOOKUP(Anexo_4[[#This Row],[cuenta]],OP,2,0),"-")</f>
        <v>Materias Primas - RRSS</v>
      </c>
    </row>
    <row r="297" spans="1:28" s="84" customFormat="1" ht="27" customHeight="1" x14ac:dyDescent="0.3">
      <c r="A297" s="75" t="s">
        <v>841</v>
      </c>
      <c r="B297" s="36" t="str">
        <f t="shared" si="4"/>
        <v>Junio</v>
      </c>
      <c r="C297" s="77" t="s">
        <v>162</v>
      </c>
      <c r="D297" s="77" t="s">
        <v>1210</v>
      </c>
      <c r="E297" s="78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297" s="79" t="s">
        <v>198</v>
      </c>
      <c r="G297" s="79" t="s">
        <v>199</v>
      </c>
      <c r="H297" s="140" t="s">
        <v>1211</v>
      </c>
      <c r="I297" s="77" t="s">
        <v>1212</v>
      </c>
      <c r="J297" s="144" t="s">
        <v>1213</v>
      </c>
      <c r="K297" s="77" t="s">
        <v>169</v>
      </c>
      <c r="L297" s="103" t="str">
        <f>VLOOKUP(Anexo_4[[#This Row],[cod_doc]],TIPODOC,2,FALSE)</f>
        <v>FACTURA</v>
      </c>
      <c r="M297" s="77" t="s">
        <v>180</v>
      </c>
      <c r="N297" s="79">
        <v>1788</v>
      </c>
      <c r="O297" s="80">
        <v>2245.7600000000002</v>
      </c>
      <c r="P297" s="81" t="s">
        <v>171</v>
      </c>
      <c r="Q297" s="81">
        <v>404.23680000000002</v>
      </c>
      <c r="R297" s="80" t="s">
        <v>171</v>
      </c>
      <c r="S297" s="80">
        <v>0</v>
      </c>
      <c r="T297" s="82">
        <v>2650</v>
      </c>
      <c r="U297" s="77" t="s">
        <v>1214</v>
      </c>
      <c r="V297" s="75" t="s">
        <v>1007</v>
      </c>
      <c r="W297" s="77"/>
      <c r="X297" s="77"/>
      <c r="Y297" s="77"/>
      <c r="Z297" s="77" t="s">
        <v>468</v>
      </c>
      <c r="AA297" s="83" t="s">
        <v>1211</v>
      </c>
      <c r="AB297" s="104" t="str">
        <f>IFERROR(VLOOKUP(Anexo_4[[#This Row],[cuenta]],OP,2,0),"-")</f>
        <v>Transporte de Carga  - Ventas</v>
      </c>
    </row>
    <row r="298" spans="1:28" s="84" customFormat="1" ht="27" customHeight="1" x14ac:dyDescent="0.3">
      <c r="A298" s="75" t="s">
        <v>841</v>
      </c>
      <c r="B298" s="36" t="str">
        <f t="shared" si="4"/>
        <v>Junio</v>
      </c>
      <c r="C298" s="77" t="s">
        <v>162</v>
      </c>
      <c r="D298" s="77" t="s">
        <v>1215</v>
      </c>
      <c r="E298" s="78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298" s="79" t="s">
        <v>198</v>
      </c>
      <c r="G298" s="79" t="s">
        <v>199</v>
      </c>
      <c r="H298" s="140" t="s">
        <v>1216</v>
      </c>
      <c r="I298" s="77" t="s">
        <v>1212</v>
      </c>
      <c r="J298" s="144" t="s">
        <v>1213</v>
      </c>
      <c r="K298" s="77" t="s">
        <v>169</v>
      </c>
      <c r="L298" s="103" t="str">
        <f>VLOOKUP(Anexo_4[[#This Row],[cod_doc]],TIPODOC,2,FALSE)</f>
        <v>FACTURA</v>
      </c>
      <c r="M298" s="77" t="s">
        <v>180</v>
      </c>
      <c r="N298" s="79">
        <v>1787</v>
      </c>
      <c r="O298" s="80">
        <v>1525.42</v>
      </c>
      <c r="P298" s="81" t="s">
        <v>171</v>
      </c>
      <c r="Q298" s="81">
        <v>274.57560000000001</v>
      </c>
      <c r="R298" s="80" t="s">
        <v>171</v>
      </c>
      <c r="S298" s="80">
        <v>0</v>
      </c>
      <c r="T298" s="82">
        <v>1800</v>
      </c>
      <c r="U298" s="77" t="s">
        <v>1217</v>
      </c>
      <c r="V298" s="75" t="s">
        <v>1007</v>
      </c>
      <c r="W298" s="77"/>
      <c r="X298" s="77"/>
      <c r="Y298" s="77"/>
      <c r="Z298" s="77" t="s">
        <v>468</v>
      </c>
      <c r="AA298" s="83" t="s">
        <v>1216</v>
      </c>
      <c r="AB298" s="104" t="str">
        <f>IFERROR(VLOOKUP(Anexo_4[[#This Row],[cuenta]],OP,2,0),"-")</f>
        <v>Transporte de Carga  - Ventas</v>
      </c>
    </row>
    <row r="299" spans="1:28" s="84" customFormat="1" ht="27" customHeight="1" x14ac:dyDescent="0.3">
      <c r="A299" s="75" t="s">
        <v>295</v>
      </c>
      <c r="B299" s="36" t="str">
        <f t="shared" si="4"/>
        <v>Junio</v>
      </c>
      <c r="C299" s="77" t="s">
        <v>162</v>
      </c>
      <c r="D299" s="77" t="s">
        <v>1218</v>
      </c>
      <c r="E299" s="78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299" s="79" t="s">
        <v>198</v>
      </c>
      <c r="G299" s="79" t="s">
        <v>199</v>
      </c>
      <c r="H299" s="140" t="s">
        <v>1219</v>
      </c>
      <c r="I299" s="77" t="s">
        <v>1212</v>
      </c>
      <c r="J299" s="144" t="s">
        <v>1213</v>
      </c>
      <c r="K299" s="77" t="s">
        <v>169</v>
      </c>
      <c r="L299" s="103" t="str">
        <f>VLOOKUP(Anexo_4[[#This Row],[cod_doc]],TIPODOC,2,FALSE)</f>
        <v>FACTURA</v>
      </c>
      <c r="M299" s="77" t="s">
        <v>180</v>
      </c>
      <c r="N299" s="79">
        <v>1767</v>
      </c>
      <c r="O299" s="80">
        <v>1525.42</v>
      </c>
      <c r="P299" s="81" t="s">
        <v>171</v>
      </c>
      <c r="Q299" s="81">
        <v>274.57560000000001</v>
      </c>
      <c r="R299" s="80" t="s">
        <v>171</v>
      </c>
      <c r="S299" s="80">
        <v>0</v>
      </c>
      <c r="T299" s="82">
        <v>1800</v>
      </c>
      <c r="U299" s="77" t="s">
        <v>1220</v>
      </c>
      <c r="V299" s="75" t="s">
        <v>1007</v>
      </c>
      <c r="W299" s="77"/>
      <c r="X299" s="77"/>
      <c r="Y299" s="77"/>
      <c r="Z299" s="77" t="s">
        <v>468</v>
      </c>
      <c r="AA299" s="83" t="s">
        <v>1219</v>
      </c>
      <c r="AB299" s="104" t="str">
        <f>IFERROR(VLOOKUP(Anexo_4[[#This Row],[cuenta]],OP,2,0),"-")</f>
        <v>Transporte de Carga  - Ventas</v>
      </c>
    </row>
    <row r="300" spans="1:28" s="84" customFormat="1" ht="27" customHeight="1" x14ac:dyDescent="0.3">
      <c r="A300" s="75" t="s">
        <v>966</v>
      </c>
      <c r="B300" s="36" t="str">
        <f t="shared" si="4"/>
        <v>Junio</v>
      </c>
      <c r="C300" s="77" t="s">
        <v>162</v>
      </c>
      <c r="D300" s="77" t="s">
        <v>1221</v>
      </c>
      <c r="E300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300" s="79" t="s">
        <v>650</v>
      </c>
      <c r="G300" s="79" t="s">
        <v>651</v>
      </c>
      <c r="H300" s="140" t="s">
        <v>1222</v>
      </c>
      <c r="I300" s="77" t="s">
        <v>1089</v>
      </c>
      <c r="J300" s="144" t="s">
        <v>1090</v>
      </c>
      <c r="K300" s="77" t="s">
        <v>169</v>
      </c>
      <c r="L300" s="103" t="str">
        <f>VLOOKUP(Anexo_4[[#This Row],[cod_doc]],TIPODOC,2,FALSE)</f>
        <v>FACTURA</v>
      </c>
      <c r="M300" s="77" t="s">
        <v>102</v>
      </c>
      <c r="N300" s="79">
        <v>481</v>
      </c>
      <c r="O300" s="80"/>
      <c r="P300" s="81">
        <v>239.09</v>
      </c>
      <c r="Q300" s="81">
        <v>0</v>
      </c>
      <c r="R300" s="80">
        <v>23.91</v>
      </c>
      <c r="S300" s="80">
        <v>0</v>
      </c>
      <c r="T300" s="82">
        <v>263</v>
      </c>
      <c r="U300" s="77"/>
      <c r="V300" s="75"/>
      <c r="W300" s="77"/>
      <c r="X300" s="77"/>
      <c r="Y300" s="77"/>
      <c r="Z300" s="77" t="s">
        <v>684</v>
      </c>
      <c r="AA300" s="83" t="s">
        <v>1222</v>
      </c>
      <c r="AB300" s="104" t="str">
        <f>IFERROR(VLOOKUP(Anexo_4[[#This Row],[cuenta]],OP,2,0),"-")</f>
        <v>-</v>
      </c>
    </row>
    <row r="301" spans="1:28" s="84" customFormat="1" ht="27" customHeight="1" x14ac:dyDescent="0.3">
      <c r="A301" s="75" t="s">
        <v>966</v>
      </c>
      <c r="B301" s="36" t="str">
        <f t="shared" si="4"/>
        <v>Junio</v>
      </c>
      <c r="C301" s="77" t="s">
        <v>162</v>
      </c>
      <c r="D301" s="77" t="s">
        <v>1223</v>
      </c>
      <c r="E30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301" s="79" t="s">
        <v>355</v>
      </c>
      <c r="G301" s="79" t="s">
        <v>356</v>
      </c>
      <c r="H301" s="140" t="s">
        <v>1224</v>
      </c>
      <c r="I301" s="77" t="s">
        <v>1225</v>
      </c>
      <c r="J301" s="144" t="s">
        <v>1226</v>
      </c>
      <c r="K301" s="77" t="s">
        <v>169</v>
      </c>
      <c r="L301" s="103" t="str">
        <f>VLOOKUP(Anexo_4[[#This Row],[cod_doc]],TIPODOC,2,FALSE)</f>
        <v>FACTURA</v>
      </c>
      <c r="M301" s="77" t="s">
        <v>222</v>
      </c>
      <c r="N301" s="79">
        <v>20597</v>
      </c>
      <c r="O301" s="80">
        <v>7908.1</v>
      </c>
      <c r="P301" s="81" t="s">
        <v>171</v>
      </c>
      <c r="Q301" s="81">
        <v>1423.4580000000001</v>
      </c>
      <c r="R301" s="80" t="s">
        <v>171</v>
      </c>
      <c r="S301" s="80">
        <v>0</v>
      </c>
      <c r="T301" s="82">
        <v>9331.56</v>
      </c>
      <c r="U301" s="77"/>
      <c r="V301" s="75"/>
      <c r="W301" s="77"/>
      <c r="X301" s="77"/>
      <c r="Y301" s="77" t="s">
        <v>1227</v>
      </c>
      <c r="Z301" s="77" t="s">
        <v>854</v>
      </c>
      <c r="AA301" s="83" t="s">
        <v>1224</v>
      </c>
      <c r="AB301" s="104" t="str">
        <f>IFERROR(VLOOKUP(Anexo_4[[#This Row],[cuenta]],OP,2,0),"-")</f>
        <v>Disposición Final de RR.SS - Peligrosos</v>
      </c>
    </row>
    <row r="302" spans="1:28" s="84" customFormat="1" ht="27" customHeight="1" x14ac:dyDescent="0.3">
      <c r="A302" s="75" t="s">
        <v>966</v>
      </c>
      <c r="B302" s="36" t="str">
        <f t="shared" si="4"/>
        <v>Junio</v>
      </c>
      <c r="C302" s="77" t="s">
        <v>162</v>
      </c>
      <c r="D302" s="77" t="s">
        <v>1228</v>
      </c>
      <c r="E30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302" s="79" t="s">
        <v>355</v>
      </c>
      <c r="G302" s="79" t="s">
        <v>356</v>
      </c>
      <c r="H302" s="140" t="s">
        <v>1224</v>
      </c>
      <c r="I302" s="77" t="s">
        <v>1225</v>
      </c>
      <c r="J302" s="144" t="s">
        <v>1226</v>
      </c>
      <c r="K302" s="77" t="s">
        <v>169</v>
      </c>
      <c r="L302" s="103" t="str">
        <f>VLOOKUP(Anexo_4[[#This Row],[cod_doc]],TIPODOC,2,FALSE)</f>
        <v>FACTURA</v>
      </c>
      <c r="M302" s="77" t="s">
        <v>222</v>
      </c>
      <c r="N302" s="79">
        <v>20598</v>
      </c>
      <c r="O302" s="80">
        <v>664.13</v>
      </c>
      <c r="P302" s="81" t="s">
        <v>171</v>
      </c>
      <c r="Q302" s="81">
        <v>119.54339999999999</v>
      </c>
      <c r="R302" s="80" t="s">
        <v>171</v>
      </c>
      <c r="S302" s="80">
        <v>0</v>
      </c>
      <c r="T302" s="82">
        <v>783.67</v>
      </c>
      <c r="U302" s="77"/>
      <c r="V302" s="75"/>
      <c r="W302" s="77"/>
      <c r="X302" s="77"/>
      <c r="Y302" s="77" t="s">
        <v>1229</v>
      </c>
      <c r="Z302" s="77" t="s">
        <v>854</v>
      </c>
      <c r="AA302" s="83" t="s">
        <v>1224</v>
      </c>
      <c r="AB302" s="104" t="str">
        <f>IFERROR(VLOOKUP(Anexo_4[[#This Row],[cuenta]],OP,2,0),"-")</f>
        <v>Disposición Final de RR.SS - Peligrosos</v>
      </c>
    </row>
    <row r="303" spans="1:28" s="84" customFormat="1" ht="27" customHeight="1" x14ac:dyDescent="0.3">
      <c r="A303" s="75" t="s">
        <v>1230</v>
      </c>
      <c r="B303" s="36" t="str">
        <f t="shared" si="4"/>
        <v>Junio</v>
      </c>
      <c r="C303" s="77" t="s">
        <v>162</v>
      </c>
      <c r="D303" s="77" t="s">
        <v>1231</v>
      </c>
      <c r="E303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303" s="79" t="s">
        <v>355</v>
      </c>
      <c r="G303" s="79" t="s">
        <v>356</v>
      </c>
      <c r="H303" s="140" t="s">
        <v>1232</v>
      </c>
      <c r="I303" s="77" t="s">
        <v>1233</v>
      </c>
      <c r="J303" s="144" t="s">
        <v>1234</v>
      </c>
      <c r="K303" s="77" t="s">
        <v>169</v>
      </c>
      <c r="L303" s="103" t="str">
        <f>VLOOKUP(Anexo_4[[#This Row],[cod_doc]],TIPODOC,2,FALSE)</f>
        <v>FACTURA</v>
      </c>
      <c r="M303" s="77" t="s">
        <v>102</v>
      </c>
      <c r="N303" s="79">
        <v>1174</v>
      </c>
      <c r="O303" s="80">
        <v>150</v>
      </c>
      <c r="P303" s="81" t="s">
        <v>171</v>
      </c>
      <c r="Q303" s="81">
        <v>27</v>
      </c>
      <c r="R303" s="80" t="s">
        <v>171</v>
      </c>
      <c r="S303" s="80">
        <v>0</v>
      </c>
      <c r="T303" s="82">
        <v>604.87</v>
      </c>
      <c r="U303" s="77"/>
      <c r="V303" s="75"/>
      <c r="W303" s="77"/>
      <c r="X303" s="77"/>
      <c r="Y303" s="77"/>
      <c r="Z303" s="77" t="s">
        <v>645</v>
      </c>
      <c r="AA303" s="83" t="s">
        <v>1232</v>
      </c>
      <c r="AB303" s="104" t="str">
        <f>IFERROR(VLOOKUP(Anexo_4[[#This Row],[cuenta]],OP,2,0),"-")</f>
        <v>Montacarga - Servicios</v>
      </c>
    </row>
    <row r="304" spans="1:28" s="84" customFormat="1" ht="27" customHeight="1" x14ac:dyDescent="0.3">
      <c r="A304" s="75" t="s">
        <v>1230</v>
      </c>
      <c r="B304" s="36" t="str">
        <f t="shared" si="4"/>
        <v>Junio</v>
      </c>
      <c r="C304" s="77" t="s">
        <v>162</v>
      </c>
      <c r="D304" s="77" t="s">
        <v>1231</v>
      </c>
      <c r="E304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304" s="79" t="s">
        <v>355</v>
      </c>
      <c r="G304" s="79" t="s">
        <v>356</v>
      </c>
      <c r="H304" s="140" t="s">
        <v>1232</v>
      </c>
      <c r="I304" s="77" t="s">
        <v>1233</v>
      </c>
      <c r="J304" s="144" t="s">
        <v>1234</v>
      </c>
      <c r="K304" s="77" t="s">
        <v>169</v>
      </c>
      <c r="L304" s="103" t="str">
        <f>VLOOKUP(Anexo_4[[#This Row],[cod_doc]],TIPODOC,2,FALSE)</f>
        <v>FACTURA</v>
      </c>
      <c r="M304" s="77" t="s">
        <v>102</v>
      </c>
      <c r="N304" s="79">
        <v>1174</v>
      </c>
      <c r="O304" s="80">
        <v>362.6</v>
      </c>
      <c r="P304" s="81" t="s">
        <v>171</v>
      </c>
      <c r="Q304" s="81">
        <v>65.268000000000001</v>
      </c>
      <c r="R304" s="80" t="s">
        <v>171</v>
      </c>
      <c r="S304" s="80">
        <v>0</v>
      </c>
      <c r="T304" s="82">
        <v>604.87</v>
      </c>
      <c r="U304" s="77"/>
      <c r="V304" s="75"/>
      <c r="W304" s="77"/>
      <c r="X304" s="77"/>
      <c r="Y304" s="77"/>
      <c r="Z304" s="77" t="s">
        <v>1235</v>
      </c>
      <c r="AA304" s="83" t="s">
        <v>1232</v>
      </c>
      <c r="AB304" s="104" t="str">
        <f>IFERROR(VLOOKUP(Anexo_4[[#This Row],[cuenta]],OP,2,0),"-")</f>
        <v>Disposición Final de RR.SS - No Aprovechables</v>
      </c>
    </row>
    <row r="305" spans="1:28" s="84" customFormat="1" ht="27" customHeight="1" x14ac:dyDescent="0.3">
      <c r="A305" s="75" t="s">
        <v>966</v>
      </c>
      <c r="B305" s="36" t="str">
        <f t="shared" si="4"/>
        <v>Junio</v>
      </c>
      <c r="C305" s="77" t="s">
        <v>162</v>
      </c>
      <c r="D305" s="77" t="s">
        <v>1236</v>
      </c>
      <c r="E30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305" s="79" t="s">
        <v>248</v>
      </c>
      <c r="G305" s="79" t="s">
        <v>249</v>
      </c>
      <c r="H305" s="140" t="s">
        <v>1237</v>
      </c>
      <c r="I305" s="77" t="s">
        <v>625</v>
      </c>
      <c r="J305" s="144" t="s">
        <v>626</v>
      </c>
      <c r="K305" s="77" t="s">
        <v>169</v>
      </c>
      <c r="L305" s="103" t="str">
        <f>VLOOKUP(Anexo_4[[#This Row],[cod_doc]],TIPODOC,2,FALSE)</f>
        <v>FACTURA</v>
      </c>
      <c r="M305" s="77" t="s">
        <v>180</v>
      </c>
      <c r="N305" s="79">
        <v>16328</v>
      </c>
      <c r="O305" s="80">
        <v>201.97</v>
      </c>
      <c r="P305" s="81" t="s">
        <v>171</v>
      </c>
      <c r="Q305" s="81">
        <v>36.354599999999998</v>
      </c>
      <c r="R305" s="80" t="s">
        <v>171</v>
      </c>
      <c r="S305" s="80">
        <v>0</v>
      </c>
      <c r="T305" s="82">
        <v>238.32</v>
      </c>
      <c r="U305" s="77" t="s">
        <v>1238</v>
      </c>
      <c r="V305" s="75" t="s">
        <v>1007</v>
      </c>
      <c r="W305" s="77"/>
      <c r="X305" s="77"/>
      <c r="Y305" s="77"/>
      <c r="Z305" s="77" t="s">
        <v>256</v>
      </c>
      <c r="AA305" s="83" t="s">
        <v>1237</v>
      </c>
      <c r="AB305" s="104" t="str">
        <f>IFERROR(VLOOKUP(Anexo_4[[#This Row],[cuenta]],OP,2,0),"-")</f>
        <v>Materias Primas - RRSS</v>
      </c>
    </row>
    <row r="306" spans="1:28" s="84" customFormat="1" ht="27" customHeight="1" x14ac:dyDescent="0.3">
      <c r="A306" s="75" t="s">
        <v>966</v>
      </c>
      <c r="B306" s="36" t="str">
        <f t="shared" si="4"/>
        <v>Junio</v>
      </c>
      <c r="C306" s="77" t="s">
        <v>162</v>
      </c>
      <c r="D306" s="77" t="s">
        <v>1239</v>
      </c>
      <c r="E30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306" s="79" t="s">
        <v>248</v>
      </c>
      <c r="G306" s="79" t="s">
        <v>249</v>
      </c>
      <c r="H306" s="140" t="s">
        <v>985</v>
      </c>
      <c r="I306" s="77" t="s">
        <v>980</v>
      </c>
      <c r="J306" s="144" t="s">
        <v>981</v>
      </c>
      <c r="K306" s="77" t="s">
        <v>169</v>
      </c>
      <c r="L306" s="103" t="str">
        <f>VLOOKUP(Anexo_4[[#This Row],[cod_doc]],TIPODOC,2,FALSE)</f>
        <v>FACTURA</v>
      </c>
      <c r="M306" s="77" t="s">
        <v>982</v>
      </c>
      <c r="N306" s="79">
        <v>1708</v>
      </c>
      <c r="O306" s="80">
        <v>82.37</v>
      </c>
      <c r="P306" s="81" t="s">
        <v>171</v>
      </c>
      <c r="Q306" s="81">
        <v>14.826600000000001</v>
      </c>
      <c r="R306" s="80" t="s">
        <v>171</v>
      </c>
      <c r="S306" s="80">
        <v>0</v>
      </c>
      <c r="T306" s="82">
        <v>97.2</v>
      </c>
      <c r="U306" s="77" t="s">
        <v>1240</v>
      </c>
      <c r="V306" s="75" t="s">
        <v>1007</v>
      </c>
      <c r="W306" s="77"/>
      <c r="X306" s="77"/>
      <c r="Y306" s="77"/>
      <c r="Z306" s="77" t="s">
        <v>256</v>
      </c>
      <c r="AA306" s="83" t="s">
        <v>985</v>
      </c>
      <c r="AB306" s="104" t="str">
        <f>IFERROR(VLOOKUP(Anexo_4[[#This Row],[cuenta]],OP,2,0),"-")</f>
        <v>Materias Primas - RRSS</v>
      </c>
    </row>
    <row r="307" spans="1:28" s="84" customFormat="1" ht="27" customHeight="1" x14ac:dyDescent="0.3">
      <c r="A307" s="75" t="s">
        <v>966</v>
      </c>
      <c r="B307" s="36" t="str">
        <f t="shared" si="4"/>
        <v>Junio</v>
      </c>
      <c r="C307" s="77" t="s">
        <v>162</v>
      </c>
      <c r="D307" s="77" t="s">
        <v>1241</v>
      </c>
      <c r="E307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307" s="79" t="s">
        <v>248</v>
      </c>
      <c r="G307" s="79" t="s">
        <v>249</v>
      </c>
      <c r="H307" s="140" t="s">
        <v>1242</v>
      </c>
      <c r="I307" s="77" t="s">
        <v>980</v>
      </c>
      <c r="J307" s="144" t="s">
        <v>981</v>
      </c>
      <c r="K307" s="77" t="s">
        <v>169</v>
      </c>
      <c r="L307" s="103" t="str">
        <f>VLOOKUP(Anexo_4[[#This Row],[cod_doc]],TIPODOC,2,FALSE)</f>
        <v>FACTURA</v>
      </c>
      <c r="M307" s="77" t="s">
        <v>982</v>
      </c>
      <c r="N307" s="79">
        <v>1707</v>
      </c>
      <c r="O307" s="80">
        <v>443.22</v>
      </c>
      <c r="P307" s="81" t="s">
        <v>171</v>
      </c>
      <c r="Q307" s="81">
        <v>79.779600000000002</v>
      </c>
      <c r="R307" s="80" t="s">
        <v>171</v>
      </c>
      <c r="S307" s="80">
        <v>0</v>
      </c>
      <c r="T307" s="82">
        <v>523</v>
      </c>
      <c r="U307" s="77" t="s">
        <v>1243</v>
      </c>
      <c r="V307" s="75" t="s">
        <v>1007</v>
      </c>
      <c r="W307" s="77"/>
      <c r="X307" s="77"/>
      <c r="Y307" s="77"/>
      <c r="Z307" s="77" t="s">
        <v>256</v>
      </c>
      <c r="AA307" s="83" t="s">
        <v>1242</v>
      </c>
      <c r="AB307" s="104" t="str">
        <f>IFERROR(VLOOKUP(Anexo_4[[#This Row],[cuenta]],OP,2,0),"-")</f>
        <v>Materias Primas - RRSS</v>
      </c>
    </row>
    <row r="308" spans="1:28" s="84" customFormat="1" ht="27" customHeight="1" x14ac:dyDescent="0.3">
      <c r="A308" s="75" t="s">
        <v>1190</v>
      </c>
      <c r="B308" s="36" t="str">
        <f t="shared" si="4"/>
        <v>Junio</v>
      </c>
      <c r="C308" s="77" t="s">
        <v>162</v>
      </c>
      <c r="D308" s="77" t="s">
        <v>1244</v>
      </c>
      <c r="E308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308" s="79" t="s">
        <v>355</v>
      </c>
      <c r="G308" s="79" t="s">
        <v>356</v>
      </c>
      <c r="H308" s="140" t="s">
        <v>1245</v>
      </c>
      <c r="I308" s="77" t="s">
        <v>1246</v>
      </c>
      <c r="J308" s="144" t="s">
        <v>1247</v>
      </c>
      <c r="K308" s="77" t="s">
        <v>169</v>
      </c>
      <c r="L308" s="103" t="str">
        <f>VLOOKUP(Anexo_4[[#This Row],[cod_doc]],TIPODOC,2,FALSE)</f>
        <v>FACTURA</v>
      </c>
      <c r="M308" s="77" t="s">
        <v>102</v>
      </c>
      <c r="N308" s="79">
        <v>844</v>
      </c>
      <c r="O308" s="80">
        <v>1610.17</v>
      </c>
      <c r="P308" s="81" t="s">
        <v>171</v>
      </c>
      <c r="Q308" s="81">
        <v>289.8306</v>
      </c>
      <c r="R308" s="80" t="s">
        <v>171</v>
      </c>
      <c r="S308" s="80">
        <v>0</v>
      </c>
      <c r="T308" s="82">
        <v>1900</v>
      </c>
      <c r="U308" s="77" t="s">
        <v>1248</v>
      </c>
      <c r="V308" s="75" t="s">
        <v>1007</v>
      </c>
      <c r="W308" s="77"/>
      <c r="X308" s="77"/>
      <c r="Y308" s="77"/>
      <c r="Z308" s="77" t="s">
        <v>893</v>
      </c>
      <c r="AA308" s="83" t="s">
        <v>1245</v>
      </c>
      <c r="AB308" s="104" t="str">
        <f>IFERROR(VLOOKUP(Anexo_4[[#This Row],[cuenta]],OP,2,0),"-")</f>
        <v>Transporte de Carga - Servicios</v>
      </c>
    </row>
    <row r="309" spans="1:28" s="84" customFormat="1" ht="27" customHeight="1" x14ac:dyDescent="0.3">
      <c r="A309" s="75" t="s">
        <v>1190</v>
      </c>
      <c r="B309" s="36" t="str">
        <f t="shared" si="4"/>
        <v>Junio</v>
      </c>
      <c r="C309" s="77" t="s">
        <v>162</v>
      </c>
      <c r="D309" s="77" t="s">
        <v>1249</v>
      </c>
      <c r="E309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309" s="79" t="s">
        <v>650</v>
      </c>
      <c r="G309" s="79" t="s">
        <v>651</v>
      </c>
      <c r="H309" s="140" t="s">
        <v>1250</v>
      </c>
      <c r="I309" s="77" t="s">
        <v>653</v>
      </c>
      <c r="J309" s="144" t="s">
        <v>654</v>
      </c>
      <c r="K309" s="77" t="s">
        <v>169</v>
      </c>
      <c r="L309" s="103" t="str">
        <f>VLOOKUP(Anexo_4[[#This Row],[cod_doc]],TIPODOC,2,FALSE)</f>
        <v>FACTURA</v>
      </c>
      <c r="M309" s="77" t="s">
        <v>655</v>
      </c>
      <c r="N309" s="79">
        <v>16028</v>
      </c>
      <c r="O309" s="80">
        <v>192</v>
      </c>
      <c r="P309" s="81" t="s">
        <v>171</v>
      </c>
      <c r="Q309" s="81">
        <v>34.56</v>
      </c>
      <c r="R309" s="80" t="s">
        <v>171</v>
      </c>
      <c r="S309" s="80">
        <v>0</v>
      </c>
      <c r="T309" s="82">
        <v>226.56</v>
      </c>
      <c r="U309" s="77"/>
      <c r="V309" s="75"/>
      <c r="W309" s="77"/>
      <c r="X309" s="77"/>
      <c r="Y309" s="77"/>
      <c r="Z309" s="77" t="s">
        <v>656</v>
      </c>
      <c r="AA309" s="83" t="s">
        <v>1250</v>
      </c>
      <c r="AB309" s="104" t="str">
        <f>IFERROR(VLOOKUP(Anexo_4[[#This Row],[cuenta]],OP,2,0),"-")</f>
        <v>-</v>
      </c>
    </row>
    <row r="310" spans="1:28" s="84" customFormat="1" ht="27" customHeight="1" x14ac:dyDescent="0.3">
      <c r="A310" s="75" t="s">
        <v>295</v>
      </c>
      <c r="B310" s="36" t="str">
        <f t="shared" si="4"/>
        <v>Junio</v>
      </c>
      <c r="C310" s="77" t="s">
        <v>162</v>
      </c>
      <c r="D310" s="77" t="s">
        <v>1251</v>
      </c>
      <c r="E310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310" s="79" t="s">
        <v>650</v>
      </c>
      <c r="G310" s="79" t="s">
        <v>651</v>
      </c>
      <c r="H310" s="140" t="s">
        <v>1252</v>
      </c>
      <c r="I310" s="77" t="s">
        <v>1253</v>
      </c>
      <c r="J310" s="144" t="s">
        <v>1254</v>
      </c>
      <c r="K310" s="77" t="s">
        <v>169</v>
      </c>
      <c r="L310" s="103" t="str">
        <f>VLOOKUP(Anexo_4[[#This Row],[cod_doc]],TIPODOC,2,FALSE)</f>
        <v>FACTURA</v>
      </c>
      <c r="M310" s="77" t="s">
        <v>1255</v>
      </c>
      <c r="N310" s="79">
        <v>2584</v>
      </c>
      <c r="O310" s="80">
        <v>10.17</v>
      </c>
      <c r="P310" s="81" t="s">
        <v>171</v>
      </c>
      <c r="Q310" s="81">
        <v>1.8306</v>
      </c>
      <c r="R310" s="80" t="s">
        <v>171</v>
      </c>
      <c r="S310" s="80">
        <v>0</v>
      </c>
      <c r="T310" s="82">
        <v>12</v>
      </c>
      <c r="U310" s="77"/>
      <c r="V310" s="75"/>
      <c r="W310" s="77"/>
      <c r="X310" s="77"/>
      <c r="Y310" s="77"/>
      <c r="Z310" s="77" t="s">
        <v>684</v>
      </c>
      <c r="AA310" s="83" t="s">
        <v>1252</v>
      </c>
      <c r="AB310" s="104" t="str">
        <f>IFERROR(VLOOKUP(Anexo_4[[#This Row],[cuenta]],OP,2,0),"-")</f>
        <v>-</v>
      </c>
    </row>
    <row r="311" spans="1:28" s="84" customFormat="1" ht="27" customHeight="1" x14ac:dyDescent="0.3">
      <c r="A311" s="75" t="s">
        <v>295</v>
      </c>
      <c r="B311" s="36" t="str">
        <f t="shared" si="4"/>
        <v>Junio</v>
      </c>
      <c r="C311" s="77" t="s">
        <v>162</v>
      </c>
      <c r="D311" s="77" t="s">
        <v>1256</v>
      </c>
      <c r="E311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311" s="79" t="s">
        <v>650</v>
      </c>
      <c r="G311" s="79" t="s">
        <v>651</v>
      </c>
      <c r="H311" s="140" t="s">
        <v>1252</v>
      </c>
      <c r="I311" s="77" t="s">
        <v>1253</v>
      </c>
      <c r="J311" s="144" t="s">
        <v>1254</v>
      </c>
      <c r="K311" s="77" t="s">
        <v>169</v>
      </c>
      <c r="L311" s="103" t="str">
        <f>VLOOKUP(Anexo_4[[#This Row],[cod_doc]],TIPODOC,2,FALSE)</f>
        <v>FACTURA</v>
      </c>
      <c r="M311" s="77" t="s">
        <v>1255</v>
      </c>
      <c r="N311" s="79">
        <v>2583</v>
      </c>
      <c r="O311" s="80">
        <v>10</v>
      </c>
      <c r="P311" s="81" t="s">
        <v>171</v>
      </c>
      <c r="Q311" s="81">
        <v>1.7999999999999998</v>
      </c>
      <c r="R311" s="80" t="s">
        <v>171</v>
      </c>
      <c r="S311" s="80">
        <v>0</v>
      </c>
      <c r="T311" s="82">
        <v>11.8</v>
      </c>
      <c r="U311" s="77"/>
      <c r="V311" s="75"/>
      <c r="W311" s="77"/>
      <c r="X311" s="77"/>
      <c r="Y311" s="77"/>
      <c r="Z311" s="77" t="s">
        <v>684</v>
      </c>
      <c r="AA311" s="83" t="s">
        <v>1252</v>
      </c>
      <c r="AB311" s="104" t="str">
        <f>IFERROR(VLOOKUP(Anexo_4[[#This Row],[cuenta]],OP,2,0),"-")</f>
        <v>-</v>
      </c>
    </row>
    <row r="312" spans="1:28" s="84" customFormat="1" ht="27" customHeight="1" x14ac:dyDescent="0.3">
      <c r="A312" s="75" t="s">
        <v>738</v>
      </c>
      <c r="B312" s="36" t="str">
        <f t="shared" si="4"/>
        <v>Junio</v>
      </c>
      <c r="C312" s="77" t="s">
        <v>162</v>
      </c>
      <c r="D312" s="77" t="s">
        <v>1257</v>
      </c>
      <c r="E312" s="78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312" s="79" t="s">
        <v>198</v>
      </c>
      <c r="G312" s="79" t="s">
        <v>199</v>
      </c>
      <c r="H312" s="140" t="s">
        <v>1258</v>
      </c>
      <c r="I312" s="77" t="s">
        <v>643</v>
      </c>
      <c r="J312" s="144" t="s">
        <v>644</v>
      </c>
      <c r="K312" s="77" t="s">
        <v>169</v>
      </c>
      <c r="L312" s="103" t="str">
        <f>VLOOKUP(Anexo_4[[#This Row],[cod_doc]],TIPODOC,2,FALSE)</f>
        <v>FACTURA</v>
      </c>
      <c r="M312" s="77" t="s">
        <v>102</v>
      </c>
      <c r="N312" s="79">
        <v>3955</v>
      </c>
      <c r="O312" s="80">
        <v>170</v>
      </c>
      <c r="P312" s="81" t="s">
        <v>171</v>
      </c>
      <c r="Q312" s="81">
        <v>30.599999999999998</v>
      </c>
      <c r="R312" s="80" t="s">
        <v>171</v>
      </c>
      <c r="S312" s="80">
        <v>0</v>
      </c>
      <c r="T312" s="82">
        <v>200.6</v>
      </c>
      <c r="U312" s="77"/>
      <c r="V312" s="75"/>
      <c r="W312" s="77"/>
      <c r="X312" s="77"/>
      <c r="Y312" s="77"/>
      <c r="Z312" s="77" t="s">
        <v>648</v>
      </c>
      <c r="AA312" s="83" t="s">
        <v>1258</v>
      </c>
      <c r="AB312" s="104" t="str">
        <f>IFERROR(VLOOKUP(Anexo_4[[#This Row],[cuenta]],OP,2,0),"-")</f>
        <v>Montacarga - Ventas</v>
      </c>
    </row>
    <row r="313" spans="1:28" s="84" customFormat="1" ht="27" customHeight="1" x14ac:dyDescent="0.3">
      <c r="A313" s="75" t="s">
        <v>841</v>
      </c>
      <c r="B313" s="36" t="str">
        <f t="shared" si="4"/>
        <v>Junio</v>
      </c>
      <c r="C313" s="77" t="s">
        <v>162</v>
      </c>
      <c r="D313" s="77" t="s">
        <v>1259</v>
      </c>
      <c r="E313" s="78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313" s="79" t="s">
        <v>198</v>
      </c>
      <c r="G313" s="79" t="s">
        <v>199</v>
      </c>
      <c r="H313" s="140" t="s">
        <v>1260</v>
      </c>
      <c r="I313" s="77" t="s">
        <v>643</v>
      </c>
      <c r="J313" s="144" t="s">
        <v>644</v>
      </c>
      <c r="K313" s="77" t="s">
        <v>169</v>
      </c>
      <c r="L313" s="103" t="str">
        <f>VLOOKUP(Anexo_4[[#This Row],[cod_doc]],TIPODOC,2,FALSE)</f>
        <v>FACTURA</v>
      </c>
      <c r="M313" s="77" t="s">
        <v>102</v>
      </c>
      <c r="N313" s="79">
        <v>3967</v>
      </c>
      <c r="O313" s="80">
        <v>340</v>
      </c>
      <c r="P313" s="81" t="s">
        <v>171</v>
      </c>
      <c r="Q313" s="81">
        <v>61.199999999999996</v>
      </c>
      <c r="R313" s="80" t="s">
        <v>171</v>
      </c>
      <c r="S313" s="80">
        <v>0</v>
      </c>
      <c r="T313" s="82">
        <v>401.2</v>
      </c>
      <c r="U313" s="77"/>
      <c r="V313" s="75"/>
      <c r="W313" s="77"/>
      <c r="X313" s="77"/>
      <c r="Y313" s="77"/>
      <c r="Z313" s="77" t="s">
        <v>648</v>
      </c>
      <c r="AA313" s="83" t="s">
        <v>1260</v>
      </c>
      <c r="AB313" s="104" t="str">
        <f>IFERROR(VLOOKUP(Anexo_4[[#This Row],[cuenta]],OP,2,0),"-")</f>
        <v>Montacarga - Ventas</v>
      </c>
    </row>
    <row r="314" spans="1:28" s="84" customFormat="1" ht="27" customHeight="1" x14ac:dyDescent="0.3">
      <c r="A314" s="75" t="s">
        <v>928</v>
      </c>
      <c r="B314" s="36" t="str">
        <f t="shared" si="4"/>
        <v>Junio</v>
      </c>
      <c r="C314" s="77" t="s">
        <v>162</v>
      </c>
      <c r="D314" s="77" t="s">
        <v>1261</v>
      </c>
      <c r="E314" s="78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314" s="79" t="s">
        <v>198</v>
      </c>
      <c r="G314" s="79" t="s">
        <v>199</v>
      </c>
      <c r="H314" s="140" t="s">
        <v>1262</v>
      </c>
      <c r="I314" s="77" t="s">
        <v>1263</v>
      </c>
      <c r="J314" s="144" t="s">
        <v>1264</v>
      </c>
      <c r="K314" s="77" t="s">
        <v>169</v>
      </c>
      <c r="L314" s="103" t="str">
        <f>VLOOKUP(Anexo_4[[#This Row],[cod_doc]],TIPODOC,2,FALSE)</f>
        <v>FACTURA</v>
      </c>
      <c r="M314" s="77" t="s">
        <v>102</v>
      </c>
      <c r="N314" s="79">
        <v>888</v>
      </c>
      <c r="O314" s="80">
        <v>1525.42</v>
      </c>
      <c r="P314" s="81" t="s">
        <v>171</v>
      </c>
      <c r="Q314" s="81">
        <v>274.57560000000001</v>
      </c>
      <c r="R314" s="80" t="s">
        <v>171</v>
      </c>
      <c r="S314" s="80">
        <v>0</v>
      </c>
      <c r="T314" s="82">
        <v>1800</v>
      </c>
      <c r="U314" s="77" t="s">
        <v>1265</v>
      </c>
      <c r="V314" s="75" t="s">
        <v>1007</v>
      </c>
      <c r="W314" s="77"/>
      <c r="X314" s="77"/>
      <c r="Y314" s="77"/>
      <c r="Z314" s="77" t="s">
        <v>468</v>
      </c>
      <c r="AA314" s="83" t="s">
        <v>1262</v>
      </c>
      <c r="AB314" s="104" t="str">
        <f>IFERROR(VLOOKUP(Anexo_4[[#This Row],[cuenta]],OP,2,0),"-")</f>
        <v>Transporte de Carga  - Ventas</v>
      </c>
    </row>
    <row r="315" spans="1:28" s="84" customFormat="1" ht="27" customHeight="1" x14ac:dyDescent="0.3">
      <c r="A315" s="75" t="s">
        <v>966</v>
      </c>
      <c r="B315" s="36" t="str">
        <f t="shared" si="4"/>
        <v>Junio</v>
      </c>
      <c r="C315" s="77" t="s">
        <v>162</v>
      </c>
      <c r="D315" s="77" t="s">
        <v>1266</v>
      </c>
      <c r="E31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315" s="79" t="s">
        <v>456</v>
      </c>
      <c r="G315" s="79" t="s">
        <v>457</v>
      </c>
      <c r="H315" s="140" t="s">
        <v>1267</v>
      </c>
      <c r="I315" s="77" t="s">
        <v>227</v>
      </c>
      <c r="J315" s="144" t="s">
        <v>228</v>
      </c>
      <c r="K315" s="77" t="s">
        <v>169</v>
      </c>
      <c r="L315" s="103" t="str">
        <f>VLOOKUP(Anexo_4[[#This Row],[cod_doc]],TIPODOC,2,FALSE)</f>
        <v>FACTURA</v>
      </c>
      <c r="M315" s="77" t="s">
        <v>222</v>
      </c>
      <c r="N315" s="79">
        <v>36342</v>
      </c>
      <c r="O315" s="80">
        <v>67.8</v>
      </c>
      <c r="P315" s="81" t="s">
        <v>171</v>
      </c>
      <c r="Q315" s="81">
        <v>12.203999999999999</v>
      </c>
      <c r="R315" s="80" t="s">
        <v>171</v>
      </c>
      <c r="S315" s="80">
        <v>0</v>
      </c>
      <c r="T315" s="82">
        <v>80</v>
      </c>
      <c r="U315" s="77"/>
      <c r="V315" s="75"/>
      <c r="W315" s="77"/>
      <c r="X315" s="77"/>
      <c r="Y315" s="77"/>
      <c r="Z315" s="77" t="s">
        <v>229</v>
      </c>
      <c r="AA315" s="83" t="s">
        <v>1267</v>
      </c>
      <c r="AB315" s="104" t="str">
        <f>IFERROR(VLOOKUP(Anexo_4[[#This Row],[cuenta]],OP,2,0),"-")</f>
        <v>Revisión Técnica Vehicular</v>
      </c>
    </row>
    <row r="316" spans="1:28" s="84" customFormat="1" ht="27" customHeight="1" x14ac:dyDescent="0.3">
      <c r="A316" s="75" t="s">
        <v>540</v>
      </c>
      <c r="B316" s="36" t="str">
        <f t="shared" si="4"/>
        <v>Junio</v>
      </c>
      <c r="C316" s="77" t="s">
        <v>162</v>
      </c>
      <c r="D316" s="77" t="s">
        <v>1268</v>
      </c>
      <c r="E316" s="78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316" s="79" t="s">
        <v>198</v>
      </c>
      <c r="G316" s="79" t="s">
        <v>199</v>
      </c>
      <c r="H316" s="140" t="s">
        <v>1269</v>
      </c>
      <c r="I316" s="77" t="s">
        <v>1270</v>
      </c>
      <c r="J316" s="144" t="s">
        <v>1271</v>
      </c>
      <c r="K316" s="77" t="s">
        <v>169</v>
      </c>
      <c r="L316" s="103" t="str">
        <f>VLOOKUP(Anexo_4[[#This Row],[cod_doc]],TIPODOC,2,FALSE)</f>
        <v>FACTURA</v>
      </c>
      <c r="M316" s="77" t="s">
        <v>1272</v>
      </c>
      <c r="N316" s="79">
        <v>1429573</v>
      </c>
      <c r="O316" s="80">
        <v>168.64</v>
      </c>
      <c r="P316" s="81" t="s">
        <v>171</v>
      </c>
      <c r="Q316" s="81">
        <v>30.355199999999996</v>
      </c>
      <c r="R316" s="80" t="s">
        <v>171</v>
      </c>
      <c r="S316" s="80">
        <v>0</v>
      </c>
      <c r="T316" s="82">
        <v>199</v>
      </c>
      <c r="U316" s="77"/>
      <c r="V316" s="75"/>
      <c r="W316" s="77"/>
      <c r="X316" s="77"/>
      <c r="Y316" s="77"/>
      <c r="Z316" s="77" t="s">
        <v>684</v>
      </c>
      <c r="AA316" s="83" t="s">
        <v>1269</v>
      </c>
      <c r="AB316" s="104" t="str">
        <f>IFERROR(VLOOKUP(Anexo_4[[#This Row],[cuenta]],OP,2,0),"-")</f>
        <v>-</v>
      </c>
    </row>
    <row r="317" spans="1:28" s="84" customFormat="1" ht="27" customHeight="1" x14ac:dyDescent="0.3">
      <c r="A317" s="75" t="s">
        <v>966</v>
      </c>
      <c r="B317" s="36" t="str">
        <f t="shared" si="4"/>
        <v>Junio</v>
      </c>
      <c r="C317" s="77" t="s">
        <v>162</v>
      </c>
      <c r="D317" s="77" t="s">
        <v>1273</v>
      </c>
      <c r="E317" s="78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317" s="79" t="s">
        <v>198</v>
      </c>
      <c r="G317" s="79" t="s">
        <v>199</v>
      </c>
      <c r="H317" s="140" t="s">
        <v>192</v>
      </c>
      <c r="I317" s="77" t="s">
        <v>638</v>
      </c>
      <c r="J317" s="144" t="s">
        <v>639</v>
      </c>
      <c r="K317" s="77" t="s">
        <v>169</v>
      </c>
      <c r="L317" s="103" t="str">
        <f>VLOOKUP(Anexo_4[[#This Row],[cod_doc]],TIPODOC,2,FALSE)</f>
        <v>FACTURA</v>
      </c>
      <c r="M317" s="77" t="s">
        <v>640</v>
      </c>
      <c r="N317" s="79">
        <v>13874</v>
      </c>
      <c r="O317" s="80">
        <v>16.95</v>
      </c>
      <c r="P317" s="81" t="s">
        <v>171</v>
      </c>
      <c r="Q317" s="81">
        <v>3.0509999999999997</v>
      </c>
      <c r="R317" s="80" t="s">
        <v>171</v>
      </c>
      <c r="S317" s="80">
        <v>0</v>
      </c>
      <c r="T317" s="82">
        <v>20</v>
      </c>
      <c r="U317" s="77"/>
      <c r="V317" s="75"/>
      <c r="W317" s="77"/>
      <c r="X317" s="77"/>
      <c r="Y317" s="77"/>
      <c r="Z317" s="77" t="s">
        <v>196</v>
      </c>
      <c r="AA317" s="83" t="s">
        <v>192</v>
      </c>
      <c r="AB317" s="104" t="str">
        <f>IFERROR(VLOOKUP(Anexo_4[[#This Row],[cuenta]],OP,2,0),"-")</f>
        <v>Encomienda (Envío de documentación)</v>
      </c>
    </row>
    <row r="318" spans="1:28" s="84" customFormat="1" ht="27" customHeight="1" x14ac:dyDescent="0.3">
      <c r="A318" s="75" t="s">
        <v>966</v>
      </c>
      <c r="B318" s="36" t="str">
        <f t="shared" si="4"/>
        <v>Junio</v>
      </c>
      <c r="C318" s="77" t="s">
        <v>162</v>
      </c>
      <c r="D318" s="77" t="s">
        <v>1274</v>
      </c>
      <c r="E318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318" s="79" t="s">
        <v>190</v>
      </c>
      <c r="G318" s="79" t="s">
        <v>191</v>
      </c>
      <c r="H318" s="140" t="s">
        <v>192</v>
      </c>
      <c r="I318" s="77" t="s">
        <v>193</v>
      </c>
      <c r="J318" s="144" t="s">
        <v>194</v>
      </c>
      <c r="K318" s="77" t="s">
        <v>169</v>
      </c>
      <c r="L318" s="103" t="str">
        <f>VLOOKUP(Anexo_4[[#This Row],[cod_doc]],TIPODOC,2,FALSE)</f>
        <v>FACTURA</v>
      </c>
      <c r="M318" s="77" t="s">
        <v>195</v>
      </c>
      <c r="N318" s="79">
        <v>286505</v>
      </c>
      <c r="O318" s="80">
        <v>16.95</v>
      </c>
      <c r="P318" s="81" t="s">
        <v>171</v>
      </c>
      <c r="Q318" s="81">
        <v>3.0509999999999997</v>
      </c>
      <c r="R318" s="80" t="s">
        <v>171</v>
      </c>
      <c r="S318" s="80">
        <v>0</v>
      </c>
      <c r="T318" s="82">
        <v>20</v>
      </c>
      <c r="U318" s="77"/>
      <c r="V318" s="75"/>
      <c r="W318" s="77"/>
      <c r="X318" s="77"/>
      <c r="Y318" s="77"/>
      <c r="Z318" s="77" t="s">
        <v>196</v>
      </c>
      <c r="AA318" s="83" t="s">
        <v>192</v>
      </c>
      <c r="AB318" s="104" t="str">
        <f>IFERROR(VLOOKUP(Anexo_4[[#This Row],[cuenta]],OP,2,0),"-")</f>
        <v>Encomienda (Envío de documentación)</v>
      </c>
    </row>
    <row r="319" spans="1:28" s="84" customFormat="1" ht="27" customHeight="1" x14ac:dyDescent="0.3">
      <c r="A319" s="75" t="s">
        <v>966</v>
      </c>
      <c r="B319" s="36" t="str">
        <f t="shared" si="4"/>
        <v>Junio</v>
      </c>
      <c r="C319" s="77" t="s">
        <v>162</v>
      </c>
      <c r="D319" s="77" t="s">
        <v>1275</v>
      </c>
      <c r="E319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319" s="79" t="s">
        <v>418</v>
      </c>
      <c r="G319" s="79" t="s">
        <v>419</v>
      </c>
      <c r="H319" s="140" t="s">
        <v>1276</v>
      </c>
      <c r="I319" s="77" t="s">
        <v>1277</v>
      </c>
      <c r="J319" s="144" t="s">
        <v>1278</v>
      </c>
      <c r="K319" s="77" t="s">
        <v>169</v>
      </c>
      <c r="L319" s="103" t="str">
        <f>VLOOKUP(Anexo_4[[#This Row],[cod_doc]],TIPODOC,2,FALSE)</f>
        <v>FACTURA</v>
      </c>
      <c r="M319" s="77" t="s">
        <v>1279</v>
      </c>
      <c r="N319" s="79">
        <v>39254</v>
      </c>
      <c r="O319" s="80">
        <v>25.42</v>
      </c>
      <c r="P319" s="81" t="s">
        <v>171</v>
      </c>
      <c r="Q319" s="81">
        <v>4.5756000000000006</v>
      </c>
      <c r="R319" s="80" t="s">
        <v>171</v>
      </c>
      <c r="S319" s="80">
        <v>0</v>
      </c>
      <c r="T319" s="82">
        <v>30</v>
      </c>
      <c r="U319" s="77"/>
      <c r="V319" s="75"/>
      <c r="W319" s="77"/>
      <c r="X319" s="77"/>
      <c r="Y319" s="77"/>
      <c r="Z319" s="77" t="s">
        <v>302</v>
      </c>
      <c r="AA319" s="83" t="s">
        <v>1276</v>
      </c>
      <c r="AB319" s="104" t="str">
        <f>IFERROR(VLOOKUP(Anexo_4[[#This Row],[cuenta]],OP,2,0),"-")</f>
        <v>Transporte peajes - Servicios</v>
      </c>
    </row>
    <row r="320" spans="1:28" s="84" customFormat="1" ht="27" customHeight="1" x14ac:dyDescent="0.3">
      <c r="A320" s="75" t="s">
        <v>993</v>
      </c>
      <c r="B320" s="36" t="str">
        <f t="shared" si="4"/>
        <v>Junio</v>
      </c>
      <c r="C320" s="77" t="s">
        <v>162</v>
      </c>
      <c r="D320" s="77" t="s">
        <v>1280</v>
      </c>
      <c r="E320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320" s="79" t="s">
        <v>418</v>
      </c>
      <c r="G320" s="79" t="s">
        <v>419</v>
      </c>
      <c r="H320" s="140" t="s">
        <v>1281</v>
      </c>
      <c r="I320" s="77" t="s">
        <v>383</v>
      </c>
      <c r="J320" s="144" t="s">
        <v>384</v>
      </c>
      <c r="K320" s="77" t="s">
        <v>169</v>
      </c>
      <c r="L320" s="103" t="str">
        <f>VLOOKUP(Anexo_4[[#This Row],[cod_doc]],TIPODOC,2,FALSE)</f>
        <v>FACTURA</v>
      </c>
      <c r="M320" s="77" t="s">
        <v>421</v>
      </c>
      <c r="N320" s="79">
        <v>34986</v>
      </c>
      <c r="O320" s="80">
        <v>8.4700000000000006</v>
      </c>
      <c r="P320" s="81" t="s">
        <v>171</v>
      </c>
      <c r="Q320" s="81">
        <v>1.5246</v>
      </c>
      <c r="R320" s="80" t="s">
        <v>171</v>
      </c>
      <c r="S320" s="80">
        <v>0</v>
      </c>
      <c r="T320" s="82">
        <v>10</v>
      </c>
      <c r="U320" s="77"/>
      <c r="V320" s="75"/>
      <c r="W320" s="77"/>
      <c r="X320" s="77"/>
      <c r="Y320" s="77" t="s">
        <v>1282</v>
      </c>
      <c r="Z320" s="77" t="s">
        <v>386</v>
      </c>
      <c r="AA320" s="83" t="s">
        <v>1281</v>
      </c>
      <c r="AB320" s="104" t="str">
        <f>IFERROR(VLOOKUP(Anexo_4[[#This Row],[cuenta]],OP,2,0),"-")</f>
        <v>Balanza - Servicios</v>
      </c>
    </row>
    <row r="321" spans="1:28" s="84" customFormat="1" ht="27" customHeight="1" x14ac:dyDescent="0.3">
      <c r="A321" s="75" t="s">
        <v>966</v>
      </c>
      <c r="B321" s="36" t="str">
        <f t="shared" si="4"/>
        <v>Junio</v>
      </c>
      <c r="C321" s="77" t="s">
        <v>162</v>
      </c>
      <c r="D321" s="77" t="s">
        <v>1283</v>
      </c>
      <c r="E32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321" s="79" t="s">
        <v>217</v>
      </c>
      <c r="G321" s="79" t="s">
        <v>218</v>
      </c>
      <c r="H321" s="140" t="s">
        <v>1284</v>
      </c>
      <c r="I321" s="77" t="s">
        <v>383</v>
      </c>
      <c r="J321" s="144" t="s">
        <v>384</v>
      </c>
      <c r="K321" s="77" t="s">
        <v>169</v>
      </c>
      <c r="L321" s="103" t="str">
        <f>VLOOKUP(Anexo_4[[#This Row],[cod_doc]],TIPODOC,2,FALSE)</f>
        <v>FACTURA</v>
      </c>
      <c r="M321" s="77" t="s">
        <v>103</v>
      </c>
      <c r="N321" s="79">
        <v>16746</v>
      </c>
      <c r="O321" s="80">
        <v>16.95</v>
      </c>
      <c r="P321" s="81" t="s">
        <v>171</v>
      </c>
      <c r="Q321" s="81">
        <v>3.0509999999999997</v>
      </c>
      <c r="R321" s="80" t="s">
        <v>171</v>
      </c>
      <c r="S321" s="80">
        <v>0</v>
      </c>
      <c r="T321" s="82">
        <v>20</v>
      </c>
      <c r="U321" s="77"/>
      <c r="V321" s="75"/>
      <c r="W321" s="77"/>
      <c r="X321" s="77"/>
      <c r="Y321" s="77" t="s">
        <v>1285</v>
      </c>
      <c r="Z321" s="77" t="s">
        <v>182</v>
      </c>
      <c r="AA321" s="83" t="s">
        <v>1284</v>
      </c>
      <c r="AB321" s="104" t="str">
        <f>IFERROR(VLOOKUP(Anexo_4[[#This Row],[cuenta]],OP,2,0),"-")</f>
        <v>Balanza - Ventas</v>
      </c>
    </row>
    <row r="322" spans="1:28" s="84" customFormat="1" ht="27" customHeight="1" x14ac:dyDescent="0.3">
      <c r="A322" s="75" t="s">
        <v>857</v>
      </c>
      <c r="B322" s="36" t="str">
        <f t="shared" ref="B322:B385" si="5">PROPER(CHOOSE(LEFT(D322,2),"enero","febrero","marzo","abril","mayo","junio","julio","agosto","setiembre","octubre","noviembre","diciembre"))</f>
        <v>Junio</v>
      </c>
      <c r="C322" s="77" t="s">
        <v>162</v>
      </c>
      <c r="D322" s="77" t="s">
        <v>1286</v>
      </c>
      <c r="E32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322" s="79" t="s">
        <v>217</v>
      </c>
      <c r="G322" s="79" t="s">
        <v>218</v>
      </c>
      <c r="H322" s="140" t="s">
        <v>1287</v>
      </c>
      <c r="I322" s="77" t="s">
        <v>383</v>
      </c>
      <c r="J322" s="144" t="s">
        <v>384</v>
      </c>
      <c r="K322" s="77" t="s">
        <v>169</v>
      </c>
      <c r="L322" s="103" t="str">
        <f>VLOOKUP(Anexo_4[[#This Row],[cod_doc]],TIPODOC,2,FALSE)</f>
        <v>FACTURA</v>
      </c>
      <c r="M322" s="77" t="s">
        <v>103</v>
      </c>
      <c r="N322" s="79">
        <v>16673</v>
      </c>
      <c r="O322" s="80">
        <v>16.95</v>
      </c>
      <c r="P322" s="81" t="s">
        <v>171</v>
      </c>
      <c r="Q322" s="81">
        <v>3.0509999999999997</v>
      </c>
      <c r="R322" s="80" t="s">
        <v>171</v>
      </c>
      <c r="S322" s="80">
        <v>0</v>
      </c>
      <c r="T322" s="82">
        <v>20</v>
      </c>
      <c r="U322" s="77"/>
      <c r="V322" s="75"/>
      <c r="W322" s="77"/>
      <c r="X322" s="77"/>
      <c r="Y322" s="77" t="s">
        <v>1288</v>
      </c>
      <c r="Z322" s="77" t="s">
        <v>386</v>
      </c>
      <c r="AA322" s="83" t="s">
        <v>1287</v>
      </c>
      <c r="AB322" s="104" t="str">
        <f>IFERROR(VLOOKUP(Anexo_4[[#This Row],[cuenta]],OP,2,0),"-")</f>
        <v>Balanza - Servicios</v>
      </c>
    </row>
    <row r="323" spans="1:28" s="84" customFormat="1" ht="27" customHeight="1" x14ac:dyDescent="0.3">
      <c r="A323" s="75" t="s">
        <v>928</v>
      </c>
      <c r="B323" s="36" t="str">
        <f t="shared" si="5"/>
        <v>Junio</v>
      </c>
      <c r="C323" s="77" t="s">
        <v>162</v>
      </c>
      <c r="D323" s="77" t="s">
        <v>1289</v>
      </c>
      <c r="E323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323" s="79" t="s">
        <v>217</v>
      </c>
      <c r="G323" s="79" t="s">
        <v>218</v>
      </c>
      <c r="H323" s="140" t="s">
        <v>1290</v>
      </c>
      <c r="I323" s="77" t="s">
        <v>383</v>
      </c>
      <c r="J323" s="144" t="s">
        <v>384</v>
      </c>
      <c r="K323" s="77" t="s">
        <v>169</v>
      </c>
      <c r="L323" s="103" t="str">
        <f>VLOOKUP(Anexo_4[[#This Row],[cod_doc]],TIPODOC,2,FALSE)</f>
        <v>FACTURA</v>
      </c>
      <c r="M323" s="77" t="s">
        <v>103</v>
      </c>
      <c r="N323" s="79">
        <v>16693</v>
      </c>
      <c r="O323" s="80">
        <v>16.95</v>
      </c>
      <c r="P323" s="81" t="s">
        <v>171</v>
      </c>
      <c r="Q323" s="81">
        <v>3.0509999999999997</v>
      </c>
      <c r="R323" s="80" t="s">
        <v>171</v>
      </c>
      <c r="S323" s="80">
        <v>0</v>
      </c>
      <c r="T323" s="82">
        <v>20</v>
      </c>
      <c r="U323" s="77"/>
      <c r="V323" s="75"/>
      <c r="W323" s="77"/>
      <c r="X323" s="77"/>
      <c r="Y323" s="77" t="s">
        <v>1291</v>
      </c>
      <c r="Z323" s="77" t="s">
        <v>386</v>
      </c>
      <c r="AA323" s="83" t="s">
        <v>1290</v>
      </c>
      <c r="AB323" s="104" t="str">
        <f>IFERROR(VLOOKUP(Anexo_4[[#This Row],[cuenta]],OP,2,0),"-")</f>
        <v>Balanza - Servicios</v>
      </c>
    </row>
    <row r="324" spans="1:28" s="84" customFormat="1" ht="27" customHeight="1" x14ac:dyDescent="0.3">
      <c r="A324" s="75" t="s">
        <v>1190</v>
      </c>
      <c r="B324" s="36" t="str">
        <f t="shared" si="5"/>
        <v>Junio</v>
      </c>
      <c r="C324" s="77" t="s">
        <v>162</v>
      </c>
      <c r="D324" s="77" t="s">
        <v>1292</v>
      </c>
      <c r="E324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324" s="79" t="s">
        <v>235</v>
      </c>
      <c r="G324" s="79" t="s">
        <v>236</v>
      </c>
      <c r="H324" s="140" t="s">
        <v>1293</v>
      </c>
      <c r="I324" s="77" t="s">
        <v>383</v>
      </c>
      <c r="J324" s="144" t="s">
        <v>384</v>
      </c>
      <c r="K324" s="77" t="s">
        <v>169</v>
      </c>
      <c r="L324" s="103" t="str">
        <f>VLOOKUP(Anexo_4[[#This Row],[cod_doc]],TIPODOC,2,FALSE)</f>
        <v>FACTURA</v>
      </c>
      <c r="M324" s="77" t="s">
        <v>103</v>
      </c>
      <c r="N324" s="79">
        <v>16737</v>
      </c>
      <c r="O324" s="80">
        <v>16.95</v>
      </c>
      <c r="P324" s="81" t="s">
        <v>171</v>
      </c>
      <c r="Q324" s="81">
        <v>3.0509999999999997</v>
      </c>
      <c r="R324" s="80" t="s">
        <v>171</v>
      </c>
      <c r="S324" s="80">
        <v>0</v>
      </c>
      <c r="T324" s="82">
        <v>20</v>
      </c>
      <c r="U324" s="77"/>
      <c r="V324" s="75"/>
      <c r="W324" s="77"/>
      <c r="X324" s="77"/>
      <c r="Y324" s="77" t="s">
        <v>1294</v>
      </c>
      <c r="Z324" s="77" t="s">
        <v>386</v>
      </c>
      <c r="AA324" s="83" t="s">
        <v>1293</v>
      </c>
      <c r="AB324" s="104" t="str">
        <f>IFERROR(VLOOKUP(Anexo_4[[#This Row],[cuenta]],OP,2,0),"-")</f>
        <v>Balanza - Servicios</v>
      </c>
    </row>
    <row r="325" spans="1:28" s="84" customFormat="1" ht="27" customHeight="1" x14ac:dyDescent="0.3">
      <c r="A325" s="75" t="s">
        <v>1190</v>
      </c>
      <c r="B325" s="36" t="str">
        <f t="shared" si="5"/>
        <v>Junio</v>
      </c>
      <c r="C325" s="77" t="s">
        <v>162</v>
      </c>
      <c r="D325" s="77" t="s">
        <v>1295</v>
      </c>
      <c r="E32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325" s="79" t="s">
        <v>235</v>
      </c>
      <c r="G325" s="79" t="s">
        <v>236</v>
      </c>
      <c r="H325" s="140" t="s">
        <v>1296</v>
      </c>
      <c r="I325" s="77" t="s">
        <v>383</v>
      </c>
      <c r="J325" s="144" t="s">
        <v>384</v>
      </c>
      <c r="K325" s="77" t="s">
        <v>169</v>
      </c>
      <c r="L325" s="103" t="str">
        <f>VLOOKUP(Anexo_4[[#This Row],[cod_doc]],TIPODOC,2,FALSE)</f>
        <v>FACTURA</v>
      </c>
      <c r="M325" s="77" t="s">
        <v>103</v>
      </c>
      <c r="N325" s="79">
        <v>16736</v>
      </c>
      <c r="O325" s="80">
        <v>16.95</v>
      </c>
      <c r="P325" s="81" t="s">
        <v>171</v>
      </c>
      <c r="Q325" s="81">
        <v>3.0509999999999997</v>
      </c>
      <c r="R325" s="80" t="s">
        <v>171</v>
      </c>
      <c r="S325" s="80">
        <v>0</v>
      </c>
      <c r="T325" s="82">
        <v>20</v>
      </c>
      <c r="U325" s="77"/>
      <c r="V325" s="75"/>
      <c r="W325" s="77"/>
      <c r="X325" s="77"/>
      <c r="Y325" s="77" t="s">
        <v>1297</v>
      </c>
      <c r="Z325" s="77" t="s">
        <v>386</v>
      </c>
      <c r="AA325" s="83" t="s">
        <v>1296</v>
      </c>
      <c r="AB325" s="104" t="str">
        <f>IFERROR(VLOOKUP(Anexo_4[[#This Row],[cuenta]],OP,2,0),"-")</f>
        <v>Balanza - Servicios</v>
      </c>
    </row>
    <row r="326" spans="1:28" s="84" customFormat="1" ht="27" customHeight="1" x14ac:dyDescent="0.3">
      <c r="A326" s="75" t="s">
        <v>1190</v>
      </c>
      <c r="B326" s="36" t="str">
        <f t="shared" si="5"/>
        <v>Junio</v>
      </c>
      <c r="C326" s="77" t="s">
        <v>162</v>
      </c>
      <c r="D326" s="77" t="s">
        <v>1298</v>
      </c>
      <c r="E32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326" s="79" t="s">
        <v>418</v>
      </c>
      <c r="G326" s="79" t="s">
        <v>419</v>
      </c>
      <c r="H326" s="140" t="s">
        <v>1299</v>
      </c>
      <c r="I326" s="77" t="s">
        <v>286</v>
      </c>
      <c r="J326" s="144" t="s">
        <v>287</v>
      </c>
      <c r="K326" s="77" t="s">
        <v>169</v>
      </c>
      <c r="L326" s="103" t="str">
        <f>VLOOKUP(Anexo_4[[#This Row],[cod_doc]],TIPODOC,2,FALSE)</f>
        <v>FACTURA</v>
      </c>
      <c r="M326" s="77" t="s">
        <v>222</v>
      </c>
      <c r="N326" s="79">
        <v>17818</v>
      </c>
      <c r="O326" s="80"/>
      <c r="P326" s="81" t="s">
        <v>171</v>
      </c>
      <c r="Q326" s="81">
        <v>0</v>
      </c>
      <c r="R326" s="80" t="s">
        <v>171</v>
      </c>
      <c r="S326" s="80">
        <v>11</v>
      </c>
      <c r="T326" s="82">
        <v>11</v>
      </c>
      <c r="U326" s="77"/>
      <c r="V326" s="75"/>
      <c r="W326" s="77"/>
      <c r="X326" s="77"/>
      <c r="Y326" s="77" t="s">
        <v>1300</v>
      </c>
      <c r="Z326" s="77" t="s">
        <v>182</v>
      </c>
      <c r="AA326" s="83" t="s">
        <v>1299</v>
      </c>
      <c r="AB326" s="104" t="str">
        <f>IFERROR(VLOOKUP(Anexo_4[[#This Row],[cuenta]],OP,2,0),"-")</f>
        <v>Balanza - Ventas</v>
      </c>
    </row>
    <row r="327" spans="1:28" s="84" customFormat="1" ht="27" customHeight="1" x14ac:dyDescent="0.3">
      <c r="A327" s="75" t="s">
        <v>996</v>
      </c>
      <c r="B327" s="36" t="str">
        <f t="shared" si="5"/>
        <v>Junio</v>
      </c>
      <c r="C327" s="77" t="s">
        <v>162</v>
      </c>
      <c r="D327" s="77" t="s">
        <v>1301</v>
      </c>
      <c r="E327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327" s="79" t="s">
        <v>456</v>
      </c>
      <c r="G327" s="79" t="s">
        <v>457</v>
      </c>
      <c r="H327" s="140" t="s">
        <v>1302</v>
      </c>
      <c r="I327" s="77" t="s">
        <v>178</v>
      </c>
      <c r="J327" s="144" t="s">
        <v>179</v>
      </c>
      <c r="K327" s="77" t="s">
        <v>169</v>
      </c>
      <c r="L327" s="103" t="str">
        <f>VLOOKUP(Anexo_4[[#This Row],[cod_doc]],TIPODOC,2,FALSE)</f>
        <v>FACTURA</v>
      </c>
      <c r="M327" s="77" t="s">
        <v>180</v>
      </c>
      <c r="N327" s="79">
        <v>133227</v>
      </c>
      <c r="O327" s="80">
        <v>8.4700000000000006</v>
      </c>
      <c r="P327" s="81" t="s">
        <v>171</v>
      </c>
      <c r="Q327" s="81">
        <v>1.5246</v>
      </c>
      <c r="R327" s="80" t="s">
        <v>171</v>
      </c>
      <c r="S327" s="80">
        <v>0</v>
      </c>
      <c r="T327" s="82">
        <v>10</v>
      </c>
      <c r="U327" s="77"/>
      <c r="V327" s="75"/>
      <c r="W327" s="77"/>
      <c r="X327" s="77"/>
      <c r="Y327" s="77" t="s">
        <v>1303</v>
      </c>
      <c r="Z327" s="77" t="s">
        <v>386</v>
      </c>
      <c r="AA327" s="83" t="s">
        <v>1302</v>
      </c>
      <c r="AB327" s="104" t="str">
        <f>IFERROR(VLOOKUP(Anexo_4[[#This Row],[cuenta]],OP,2,0),"-")</f>
        <v>Balanza - Servicios</v>
      </c>
    </row>
    <row r="328" spans="1:28" s="84" customFormat="1" ht="27" customHeight="1" x14ac:dyDescent="0.3">
      <c r="A328" s="75" t="s">
        <v>996</v>
      </c>
      <c r="B328" s="36" t="str">
        <f t="shared" si="5"/>
        <v>Junio</v>
      </c>
      <c r="C328" s="77" t="s">
        <v>162</v>
      </c>
      <c r="D328" s="77" t="s">
        <v>1304</v>
      </c>
      <c r="E328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328" s="79" t="s">
        <v>456</v>
      </c>
      <c r="G328" s="79" t="s">
        <v>457</v>
      </c>
      <c r="H328" s="140" t="s">
        <v>1305</v>
      </c>
      <c r="I328" s="77" t="s">
        <v>178</v>
      </c>
      <c r="J328" s="144" t="s">
        <v>179</v>
      </c>
      <c r="K328" s="77" t="s">
        <v>169</v>
      </c>
      <c r="L328" s="103" t="str">
        <f>VLOOKUP(Anexo_4[[#This Row],[cod_doc]],TIPODOC,2,FALSE)</f>
        <v>FACTURA</v>
      </c>
      <c r="M328" s="77" t="s">
        <v>180</v>
      </c>
      <c r="N328" s="79">
        <v>133234</v>
      </c>
      <c r="O328" s="80">
        <v>8.4700000000000006</v>
      </c>
      <c r="P328" s="81" t="s">
        <v>171</v>
      </c>
      <c r="Q328" s="81">
        <v>1.5246</v>
      </c>
      <c r="R328" s="80" t="s">
        <v>171</v>
      </c>
      <c r="S328" s="80">
        <v>0</v>
      </c>
      <c r="T328" s="82">
        <v>10</v>
      </c>
      <c r="U328" s="77"/>
      <c r="V328" s="75"/>
      <c r="W328" s="77"/>
      <c r="X328" s="77"/>
      <c r="Y328" s="77" t="s">
        <v>1306</v>
      </c>
      <c r="Z328" s="77" t="s">
        <v>386</v>
      </c>
      <c r="AA328" s="83" t="s">
        <v>1305</v>
      </c>
      <c r="AB328" s="104" t="str">
        <f>IFERROR(VLOOKUP(Anexo_4[[#This Row],[cuenta]],OP,2,0),"-")</f>
        <v>Balanza - Servicios</v>
      </c>
    </row>
    <row r="329" spans="1:28" s="84" customFormat="1" ht="27" customHeight="1" x14ac:dyDescent="0.3">
      <c r="A329" s="75" t="s">
        <v>996</v>
      </c>
      <c r="B329" s="36" t="str">
        <f t="shared" si="5"/>
        <v>Junio</v>
      </c>
      <c r="C329" s="77" t="s">
        <v>162</v>
      </c>
      <c r="D329" s="77" t="s">
        <v>1307</v>
      </c>
      <c r="E329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329" s="79" t="s">
        <v>456</v>
      </c>
      <c r="G329" s="79" t="s">
        <v>457</v>
      </c>
      <c r="H329" s="140" t="s">
        <v>1308</v>
      </c>
      <c r="I329" s="77" t="s">
        <v>178</v>
      </c>
      <c r="J329" s="144" t="s">
        <v>179</v>
      </c>
      <c r="K329" s="77" t="s">
        <v>169</v>
      </c>
      <c r="L329" s="103" t="str">
        <f>VLOOKUP(Anexo_4[[#This Row],[cod_doc]],TIPODOC,2,FALSE)</f>
        <v>FACTURA</v>
      </c>
      <c r="M329" s="77" t="s">
        <v>180</v>
      </c>
      <c r="N329" s="79">
        <v>133243</v>
      </c>
      <c r="O329" s="80">
        <v>8.4700000000000006</v>
      </c>
      <c r="P329" s="81" t="s">
        <v>171</v>
      </c>
      <c r="Q329" s="81">
        <v>1.5246</v>
      </c>
      <c r="R329" s="80" t="s">
        <v>171</v>
      </c>
      <c r="S329" s="80">
        <v>0</v>
      </c>
      <c r="T329" s="82">
        <v>10</v>
      </c>
      <c r="U329" s="77"/>
      <c r="V329" s="75"/>
      <c r="W329" s="77"/>
      <c r="X329" s="77"/>
      <c r="Y329" s="77" t="s">
        <v>1309</v>
      </c>
      <c r="Z329" s="77" t="s">
        <v>386</v>
      </c>
      <c r="AA329" s="83" t="s">
        <v>1308</v>
      </c>
      <c r="AB329" s="104" t="str">
        <f>IFERROR(VLOOKUP(Anexo_4[[#This Row],[cuenta]],OP,2,0),"-")</f>
        <v>Balanza - Servicios</v>
      </c>
    </row>
    <row r="330" spans="1:28" s="84" customFormat="1" ht="27" customHeight="1" x14ac:dyDescent="0.3">
      <c r="A330" s="75" t="s">
        <v>996</v>
      </c>
      <c r="B330" s="36" t="str">
        <f t="shared" si="5"/>
        <v>Junio</v>
      </c>
      <c r="C330" s="77" t="s">
        <v>162</v>
      </c>
      <c r="D330" s="77" t="s">
        <v>1310</v>
      </c>
      <c r="E330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330" s="79" t="s">
        <v>456</v>
      </c>
      <c r="G330" s="79" t="s">
        <v>457</v>
      </c>
      <c r="H330" s="140" t="s">
        <v>1311</v>
      </c>
      <c r="I330" s="77" t="s">
        <v>178</v>
      </c>
      <c r="J330" s="144" t="s">
        <v>179</v>
      </c>
      <c r="K330" s="77" t="s">
        <v>169</v>
      </c>
      <c r="L330" s="103" t="str">
        <f>VLOOKUP(Anexo_4[[#This Row],[cod_doc]],TIPODOC,2,FALSE)</f>
        <v>FACTURA</v>
      </c>
      <c r="M330" s="77" t="s">
        <v>180</v>
      </c>
      <c r="N330" s="79">
        <v>133252</v>
      </c>
      <c r="O330" s="80">
        <v>8.4700000000000006</v>
      </c>
      <c r="P330" s="81" t="s">
        <v>171</v>
      </c>
      <c r="Q330" s="81">
        <v>1.5246</v>
      </c>
      <c r="R330" s="80" t="s">
        <v>171</v>
      </c>
      <c r="S330" s="80">
        <v>0</v>
      </c>
      <c r="T330" s="82">
        <v>10</v>
      </c>
      <c r="U330" s="77"/>
      <c r="V330" s="75"/>
      <c r="W330" s="77"/>
      <c r="X330" s="77"/>
      <c r="Y330" s="77" t="s">
        <v>1312</v>
      </c>
      <c r="Z330" s="77" t="s">
        <v>386</v>
      </c>
      <c r="AA330" s="83" t="s">
        <v>1311</v>
      </c>
      <c r="AB330" s="104" t="str">
        <f>IFERROR(VLOOKUP(Anexo_4[[#This Row],[cuenta]],OP,2,0),"-")</f>
        <v>Balanza - Servicios</v>
      </c>
    </row>
    <row r="331" spans="1:28" s="84" customFormat="1" ht="27" customHeight="1" x14ac:dyDescent="0.3">
      <c r="A331" s="75" t="s">
        <v>467</v>
      </c>
      <c r="B331" s="36" t="str">
        <f t="shared" si="5"/>
        <v>Junio</v>
      </c>
      <c r="C331" s="77" t="s">
        <v>162</v>
      </c>
      <c r="D331" s="77" t="s">
        <v>1313</v>
      </c>
      <c r="E33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331" s="79" t="s">
        <v>217</v>
      </c>
      <c r="G331" s="79" t="s">
        <v>218</v>
      </c>
      <c r="H331" s="140" t="s">
        <v>1314</v>
      </c>
      <c r="I331" s="77" t="s">
        <v>178</v>
      </c>
      <c r="J331" s="144" t="s">
        <v>179</v>
      </c>
      <c r="K331" s="77" t="s">
        <v>169</v>
      </c>
      <c r="L331" s="103" t="str">
        <f>VLOOKUP(Anexo_4[[#This Row],[cod_doc]],TIPODOC,2,FALSE)</f>
        <v>FACTURA</v>
      </c>
      <c r="M331" s="77" t="s">
        <v>180</v>
      </c>
      <c r="N331" s="79">
        <v>133173</v>
      </c>
      <c r="O331" s="80">
        <v>8.4700000000000006</v>
      </c>
      <c r="P331" s="81" t="s">
        <v>171</v>
      </c>
      <c r="Q331" s="81">
        <v>1.5246</v>
      </c>
      <c r="R331" s="80" t="s">
        <v>171</v>
      </c>
      <c r="S331" s="80">
        <v>0</v>
      </c>
      <c r="T331" s="82">
        <v>10</v>
      </c>
      <c r="U331" s="77"/>
      <c r="V331" s="75"/>
      <c r="W331" s="77"/>
      <c r="X331" s="77"/>
      <c r="Y331" s="77" t="s">
        <v>1315</v>
      </c>
      <c r="Z331" s="77" t="s">
        <v>386</v>
      </c>
      <c r="AA331" s="83" t="s">
        <v>1314</v>
      </c>
      <c r="AB331" s="104" t="str">
        <f>IFERROR(VLOOKUP(Anexo_4[[#This Row],[cuenta]],OP,2,0),"-")</f>
        <v>Balanza - Servicios</v>
      </c>
    </row>
    <row r="332" spans="1:28" s="84" customFormat="1" ht="27" customHeight="1" x14ac:dyDescent="0.3">
      <c r="A332" s="75" t="s">
        <v>996</v>
      </c>
      <c r="B332" s="36" t="str">
        <f t="shared" si="5"/>
        <v>Junio</v>
      </c>
      <c r="C332" s="77" t="s">
        <v>162</v>
      </c>
      <c r="D332" s="77" t="s">
        <v>1316</v>
      </c>
      <c r="E33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332" s="79" t="s">
        <v>217</v>
      </c>
      <c r="G332" s="79" t="s">
        <v>218</v>
      </c>
      <c r="H332" s="140" t="s">
        <v>1317</v>
      </c>
      <c r="I332" s="77" t="s">
        <v>178</v>
      </c>
      <c r="J332" s="144" t="s">
        <v>179</v>
      </c>
      <c r="K332" s="77" t="s">
        <v>169</v>
      </c>
      <c r="L332" s="103" t="str">
        <f>VLOOKUP(Anexo_4[[#This Row],[cod_doc]],TIPODOC,2,FALSE)</f>
        <v>FACTURA</v>
      </c>
      <c r="M332" s="77" t="s">
        <v>180</v>
      </c>
      <c r="N332" s="79">
        <v>133222</v>
      </c>
      <c r="O332" s="80">
        <v>8.4700000000000006</v>
      </c>
      <c r="P332" s="81" t="s">
        <v>171</v>
      </c>
      <c r="Q332" s="81">
        <v>1.5246</v>
      </c>
      <c r="R332" s="80" t="s">
        <v>171</v>
      </c>
      <c r="S332" s="80">
        <v>0</v>
      </c>
      <c r="T332" s="82">
        <v>10</v>
      </c>
      <c r="U332" s="77"/>
      <c r="V332" s="75"/>
      <c r="W332" s="77"/>
      <c r="X332" s="77"/>
      <c r="Y332" s="77" t="s">
        <v>1318</v>
      </c>
      <c r="Z332" s="77" t="s">
        <v>386</v>
      </c>
      <c r="AA332" s="83" t="s">
        <v>1317</v>
      </c>
      <c r="AB332" s="104" t="str">
        <f>IFERROR(VLOOKUP(Anexo_4[[#This Row],[cuenta]],OP,2,0),"-")</f>
        <v>Balanza - Servicios</v>
      </c>
    </row>
    <row r="333" spans="1:28" s="84" customFormat="1" ht="27" customHeight="1" x14ac:dyDescent="0.3">
      <c r="A333" s="75" t="s">
        <v>1190</v>
      </c>
      <c r="B333" s="36" t="str">
        <f t="shared" si="5"/>
        <v>Junio</v>
      </c>
      <c r="C333" s="77" t="s">
        <v>162</v>
      </c>
      <c r="D333" s="77" t="s">
        <v>1319</v>
      </c>
      <c r="E333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333" s="79" t="s">
        <v>235</v>
      </c>
      <c r="G333" s="79" t="s">
        <v>236</v>
      </c>
      <c r="H333" s="140" t="s">
        <v>1320</v>
      </c>
      <c r="I333" s="77" t="s">
        <v>264</v>
      </c>
      <c r="J333" s="144" t="s">
        <v>265</v>
      </c>
      <c r="K333" s="77" t="s">
        <v>169</v>
      </c>
      <c r="L333" s="103" t="str">
        <f>VLOOKUP(Anexo_4[[#This Row],[cod_doc]],TIPODOC,2,FALSE)</f>
        <v>FACTURA</v>
      </c>
      <c r="M333" s="77" t="s">
        <v>271</v>
      </c>
      <c r="N333" s="79">
        <v>1767402</v>
      </c>
      <c r="O333" s="80">
        <v>6.78</v>
      </c>
      <c r="P333" s="81" t="s">
        <v>171</v>
      </c>
      <c r="Q333" s="81">
        <v>1.2203999999999999</v>
      </c>
      <c r="R333" s="80" t="s">
        <v>171</v>
      </c>
      <c r="S333" s="80">
        <v>0</v>
      </c>
      <c r="T333" s="82">
        <v>8</v>
      </c>
      <c r="U333" s="77"/>
      <c r="V333" s="75"/>
      <c r="W333" s="77"/>
      <c r="X333" s="77"/>
      <c r="Y333" s="77" t="s">
        <v>1321</v>
      </c>
      <c r="Z333" s="77" t="s">
        <v>302</v>
      </c>
      <c r="AA333" s="83" t="s">
        <v>1320</v>
      </c>
      <c r="AB333" s="104" t="str">
        <f>IFERROR(VLOOKUP(Anexo_4[[#This Row],[cuenta]],OP,2,0),"-")</f>
        <v>Transporte peajes - Servicios</v>
      </c>
    </row>
    <row r="334" spans="1:28" s="84" customFormat="1" ht="27" customHeight="1" x14ac:dyDescent="0.3">
      <c r="A334" s="75" t="s">
        <v>685</v>
      </c>
      <c r="B334" s="36" t="str">
        <f t="shared" si="5"/>
        <v>Junio</v>
      </c>
      <c r="C334" s="77" t="s">
        <v>162</v>
      </c>
      <c r="D334" s="77" t="s">
        <v>1322</v>
      </c>
      <c r="E334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334" s="79" t="s">
        <v>235</v>
      </c>
      <c r="G334" s="79" t="s">
        <v>236</v>
      </c>
      <c r="H334" s="140" t="s">
        <v>1323</v>
      </c>
      <c r="I334" s="77" t="s">
        <v>264</v>
      </c>
      <c r="J334" s="144" t="s">
        <v>265</v>
      </c>
      <c r="K334" s="77" t="s">
        <v>169</v>
      </c>
      <c r="L334" s="103" t="str">
        <f>VLOOKUP(Anexo_4[[#This Row],[cod_doc]],TIPODOC,2,FALSE)</f>
        <v>FACTURA</v>
      </c>
      <c r="M334" s="77" t="s">
        <v>379</v>
      </c>
      <c r="N334" s="79">
        <v>2079916</v>
      </c>
      <c r="O334" s="80">
        <v>6.78</v>
      </c>
      <c r="P334" s="81" t="s">
        <v>171</v>
      </c>
      <c r="Q334" s="81">
        <v>1.2203999999999999</v>
      </c>
      <c r="R334" s="80" t="s">
        <v>171</v>
      </c>
      <c r="S334" s="80">
        <v>0</v>
      </c>
      <c r="T334" s="82">
        <v>8</v>
      </c>
      <c r="U334" s="77"/>
      <c r="V334" s="75"/>
      <c r="W334" s="77"/>
      <c r="X334" s="77"/>
      <c r="Y334" s="77" t="s">
        <v>1324</v>
      </c>
      <c r="Z334" s="77" t="s">
        <v>268</v>
      </c>
      <c r="AA334" s="83" t="s">
        <v>1323</v>
      </c>
      <c r="AB334" s="104" t="str">
        <f>IFERROR(VLOOKUP(Anexo_4[[#This Row],[cuenta]],OP,2,0),"-")</f>
        <v>Transporte peajes - Ventas</v>
      </c>
    </row>
    <row r="335" spans="1:28" s="84" customFormat="1" ht="27" customHeight="1" x14ac:dyDescent="0.3">
      <c r="A335" s="75" t="s">
        <v>685</v>
      </c>
      <c r="B335" s="36" t="str">
        <f t="shared" si="5"/>
        <v>Junio</v>
      </c>
      <c r="C335" s="77" t="s">
        <v>162</v>
      </c>
      <c r="D335" s="77" t="s">
        <v>1325</v>
      </c>
      <c r="E33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335" s="79" t="s">
        <v>235</v>
      </c>
      <c r="G335" s="79" t="s">
        <v>236</v>
      </c>
      <c r="H335" s="140" t="s">
        <v>1326</v>
      </c>
      <c r="I335" s="77" t="s">
        <v>264</v>
      </c>
      <c r="J335" s="144" t="s">
        <v>265</v>
      </c>
      <c r="K335" s="77" t="s">
        <v>169</v>
      </c>
      <c r="L335" s="103" t="str">
        <f>VLOOKUP(Anexo_4[[#This Row],[cod_doc]],TIPODOC,2,FALSE)</f>
        <v>FACTURA</v>
      </c>
      <c r="M335" s="77" t="s">
        <v>406</v>
      </c>
      <c r="N335" s="79">
        <v>2363852</v>
      </c>
      <c r="O335" s="80">
        <v>6.78</v>
      </c>
      <c r="P335" s="81" t="s">
        <v>171</v>
      </c>
      <c r="Q335" s="81">
        <v>1.2203999999999999</v>
      </c>
      <c r="R335" s="80" t="s">
        <v>171</v>
      </c>
      <c r="S335" s="80">
        <v>0</v>
      </c>
      <c r="T335" s="82">
        <v>8</v>
      </c>
      <c r="U335" s="77"/>
      <c r="V335" s="75"/>
      <c r="W335" s="77"/>
      <c r="X335" s="77"/>
      <c r="Y335" s="77" t="s">
        <v>1327</v>
      </c>
      <c r="Z335" s="77" t="s">
        <v>268</v>
      </c>
      <c r="AA335" s="83" t="s">
        <v>1326</v>
      </c>
      <c r="AB335" s="104" t="str">
        <f>IFERROR(VLOOKUP(Anexo_4[[#This Row],[cuenta]],OP,2,0),"-")</f>
        <v>Transporte peajes - Ventas</v>
      </c>
    </row>
    <row r="336" spans="1:28" s="84" customFormat="1" ht="27" customHeight="1" x14ac:dyDescent="0.3">
      <c r="A336" s="75" t="s">
        <v>1190</v>
      </c>
      <c r="B336" s="36" t="str">
        <f t="shared" si="5"/>
        <v>Junio</v>
      </c>
      <c r="C336" s="77" t="s">
        <v>162</v>
      </c>
      <c r="D336" s="77" t="s">
        <v>1328</v>
      </c>
      <c r="E33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336" s="79" t="s">
        <v>217</v>
      </c>
      <c r="G336" s="79" t="s">
        <v>218</v>
      </c>
      <c r="H336" s="140" t="s">
        <v>1329</v>
      </c>
      <c r="I336" s="77" t="s">
        <v>264</v>
      </c>
      <c r="J336" s="144" t="s">
        <v>265</v>
      </c>
      <c r="K336" s="77" t="s">
        <v>169</v>
      </c>
      <c r="L336" s="103" t="str">
        <f>VLOOKUP(Anexo_4[[#This Row],[cod_doc]],TIPODOC,2,FALSE)</f>
        <v>FACTURA</v>
      </c>
      <c r="M336" s="77" t="s">
        <v>271</v>
      </c>
      <c r="N336" s="79">
        <v>1768103</v>
      </c>
      <c r="O336" s="80">
        <v>6.78</v>
      </c>
      <c r="P336" s="81" t="s">
        <v>171</v>
      </c>
      <c r="Q336" s="81">
        <v>1.2203999999999999</v>
      </c>
      <c r="R336" s="80" t="s">
        <v>171</v>
      </c>
      <c r="S336" s="80">
        <v>0</v>
      </c>
      <c r="T336" s="82">
        <v>8</v>
      </c>
      <c r="U336" s="77"/>
      <c r="V336" s="75"/>
      <c r="W336" s="77"/>
      <c r="X336" s="77"/>
      <c r="Y336" s="77" t="s">
        <v>1330</v>
      </c>
      <c r="Z336" s="77" t="s">
        <v>302</v>
      </c>
      <c r="AA336" s="83" t="s">
        <v>1329</v>
      </c>
      <c r="AB336" s="104" t="str">
        <f>IFERROR(VLOOKUP(Anexo_4[[#This Row],[cuenta]],OP,2,0),"-")</f>
        <v>Transporte peajes - Servicios</v>
      </c>
    </row>
    <row r="337" spans="1:28" s="84" customFormat="1" ht="27" customHeight="1" x14ac:dyDescent="0.3">
      <c r="A337" s="75" t="s">
        <v>857</v>
      </c>
      <c r="B337" s="36" t="str">
        <f t="shared" si="5"/>
        <v>Junio</v>
      </c>
      <c r="C337" s="77" t="s">
        <v>162</v>
      </c>
      <c r="D337" s="77" t="s">
        <v>1331</v>
      </c>
      <c r="E337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337" s="79" t="s">
        <v>217</v>
      </c>
      <c r="G337" s="79" t="s">
        <v>218</v>
      </c>
      <c r="H337" s="140" t="s">
        <v>1332</v>
      </c>
      <c r="I337" s="77" t="s">
        <v>264</v>
      </c>
      <c r="J337" s="144" t="s">
        <v>265</v>
      </c>
      <c r="K337" s="77" t="s">
        <v>169</v>
      </c>
      <c r="L337" s="103" t="str">
        <f>VLOOKUP(Anexo_4[[#This Row],[cod_doc]],TIPODOC,2,FALSE)</f>
        <v>FACTURA</v>
      </c>
      <c r="M337" s="77" t="s">
        <v>406</v>
      </c>
      <c r="N337" s="79">
        <v>2369393</v>
      </c>
      <c r="O337" s="80">
        <v>6.78</v>
      </c>
      <c r="P337" s="81" t="s">
        <v>171</v>
      </c>
      <c r="Q337" s="81">
        <v>1.2203999999999999</v>
      </c>
      <c r="R337" s="80" t="s">
        <v>171</v>
      </c>
      <c r="S337" s="80">
        <v>0</v>
      </c>
      <c r="T337" s="82">
        <v>8</v>
      </c>
      <c r="U337" s="77"/>
      <c r="V337" s="75"/>
      <c r="W337" s="77"/>
      <c r="X337" s="77"/>
      <c r="Y337" s="77" t="s">
        <v>1333</v>
      </c>
      <c r="Z337" s="77" t="s">
        <v>302</v>
      </c>
      <c r="AA337" s="83" t="s">
        <v>1332</v>
      </c>
      <c r="AB337" s="104" t="str">
        <f>IFERROR(VLOOKUP(Anexo_4[[#This Row],[cuenta]],OP,2,0),"-")</f>
        <v>Transporte peajes - Servicios</v>
      </c>
    </row>
    <row r="338" spans="1:28" s="84" customFormat="1" ht="27" customHeight="1" x14ac:dyDescent="0.3">
      <c r="A338" s="75" t="s">
        <v>857</v>
      </c>
      <c r="B338" s="36" t="str">
        <f t="shared" si="5"/>
        <v>Junio</v>
      </c>
      <c r="C338" s="77" t="s">
        <v>162</v>
      </c>
      <c r="D338" s="77" t="s">
        <v>1334</v>
      </c>
      <c r="E338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338" s="79" t="s">
        <v>217</v>
      </c>
      <c r="G338" s="79" t="s">
        <v>218</v>
      </c>
      <c r="H338" s="140" t="s">
        <v>1335</v>
      </c>
      <c r="I338" s="77" t="s">
        <v>264</v>
      </c>
      <c r="J338" s="144" t="s">
        <v>265</v>
      </c>
      <c r="K338" s="77" t="s">
        <v>169</v>
      </c>
      <c r="L338" s="103" t="str">
        <f>VLOOKUP(Anexo_4[[#This Row],[cod_doc]],TIPODOC,2,FALSE)</f>
        <v>FACTURA</v>
      </c>
      <c r="M338" s="77" t="s">
        <v>379</v>
      </c>
      <c r="N338" s="79">
        <v>2085166</v>
      </c>
      <c r="O338" s="80">
        <v>6.78</v>
      </c>
      <c r="P338" s="81" t="s">
        <v>171</v>
      </c>
      <c r="Q338" s="81">
        <v>1.2203999999999999</v>
      </c>
      <c r="R338" s="80" t="s">
        <v>171</v>
      </c>
      <c r="S338" s="80">
        <v>0</v>
      </c>
      <c r="T338" s="82">
        <v>8</v>
      </c>
      <c r="U338" s="77"/>
      <c r="V338" s="75"/>
      <c r="W338" s="77"/>
      <c r="X338" s="77"/>
      <c r="Y338" s="77" t="s">
        <v>1336</v>
      </c>
      <c r="Z338" s="77" t="s">
        <v>302</v>
      </c>
      <c r="AA338" s="83" t="s">
        <v>1335</v>
      </c>
      <c r="AB338" s="104" t="str">
        <f>IFERROR(VLOOKUP(Anexo_4[[#This Row],[cuenta]],OP,2,0),"-")</f>
        <v>Transporte peajes - Servicios</v>
      </c>
    </row>
    <row r="339" spans="1:28" s="84" customFormat="1" ht="27" customHeight="1" x14ac:dyDescent="0.3">
      <c r="A339" s="75" t="s">
        <v>467</v>
      </c>
      <c r="B339" s="36" t="str">
        <f t="shared" si="5"/>
        <v>Junio</v>
      </c>
      <c r="C339" s="77" t="s">
        <v>162</v>
      </c>
      <c r="D339" s="77" t="s">
        <v>1337</v>
      </c>
      <c r="E339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339" s="79" t="s">
        <v>217</v>
      </c>
      <c r="G339" s="79" t="s">
        <v>218</v>
      </c>
      <c r="H339" s="140" t="s">
        <v>1338</v>
      </c>
      <c r="I339" s="77" t="s">
        <v>264</v>
      </c>
      <c r="J339" s="144" t="s">
        <v>265</v>
      </c>
      <c r="K339" s="77" t="s">
        <v>169</v>
      </c>
      <c r="L339" s="103" t="str">
        <f>VLOOKUP(Anexo_4[[#This Row],[cod_doc]],TIPODOC,2,FALSE)</f>
        <v>FACTURA</v>
      </c>
      <c r="M339" s="77" t="s">
        <v>406</v>
      </c>
      <c r="N339" s="79">
        <v>2371883</v>
      </c>
      <c r="O339" s="80">
        <v>6.78</v>
      </c>
      <c r="P339" s="81" t="s">
        <v>171</v>
      </c>
      <c r="Q339" s="81">
        <v>1.2203999999999999</v>
      </c>
      <c r="R339" s="80" t="s">
        <v>171</v>
      </c>
      <c r="S339" s="80">
        <v>0</v>
      </c>
      <c r="T339" s="82">
        <v>8</v>
      </c>
      <c r="U339" s="77"/>
      <c r="V339" s="75"/>
      <c r="W339" s="77"/>
      <c r="X339" s="77"/>
      <c r="Y339" s="77" t="s">
        <v>1339</v>
      </c>
      <c r="Z339" s="77" t="s">
        <v>302</v>
      </c>
      <c r="AA339" s="83" t="s">
        <v>1338</v>
      </c>
      <c r="AB339" s="104" t="str">
        <f>IFERROR(VLOOKUP(Anexo_4[[#This Row],[cuenta]],OP,2,0),"-")</f>
        <v>Transporte peajes - Servicios</v>
      </c>
    </row>
    <row r="340" spans="1:28" s="84" customFormat="1" ht="27" customHeight="1" x14ac:dyDescent="0.3">
      <c r="A340" s="75" t="s">
        <v>467</v>
      </c>
      <c r="B340" s="36" t="str">
        <f t="shared" si="5"/>
        <v>Junio</v>
      </c>
      <c r="C340" s="77" t="s">
        <v>162</v>
      </c>
      <c r="D340" s="77" t="s">
        <v>1340</v>
      </c>
      <c r="E340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340" s="79" t="s">
        <v>217</v>
      </c>
      <c r="G340" s="79" t="s">
        <v>218</v>
      </c>
      <c r="H340" s="140" t="s">
        <v>1341</v>
      </c>
      <c r="I340" s="77" t="s">
        <v>264</v>
      </c>
      <c r="J340" s="144" t="s">
        <v>265</v>
      </c>
      <c r="K340" s="77" t="s">
        <v>169</v>
      </c>
      <c r="L340" s="103" t="str">
        <f>VLOOKUP(Anexo_4[[#This Row],[cod_doc]],TIPODOC,2,FALSE)</f>
        <v>FACTURA</v>
      </c>
      <c r="M340" s="77" t="s">
        <v>352</v>
      </c>
      <c r="N340" s="79">
        <v>1783270</v>
      </c>
      <c r="O340" s="80">
        <v>6.78</v>
      </c>
      <c r="P340" s="81" t="s">
        <v>171</v>
      </c>
      <c r="Q340" s="81">
        <v>1.2203999999999999</v>
      </c>
      <c r="R340" s="80" t="s">
        <v>171</v>
      </c>
      <c r="S340" s="80">
        <v>0</v>
      </c>
      <c r="T340" s="82">
        <v>8</v>
      </c>
      <c r="U340" s="77"/>
      <c r="V340" s="75"/>
      <c r="W340" s="77"/>
      <c r="X340" s="77"/>
      <c r="Y340" s="77" t="s">
        <v>1342</v>
      </c>
      <c r="Z340" s="77" t="s">
        <v>302</v>
      </c>
      <c r="AA340" s="83" t="s">
        <v>1341</v>
      </c>
      <c r="AB340" s="104" t="str">
        <f>IFERROR(VLOOKUP(Anexo_4[[#This Row],[cuenta]],OP,2,0),"-")</f>
        <v>Transporte peajes - Servicios</v>
      </c>
    </row>
    <row r="341" spans="1:28" s="84" customFormat="1" ht="27" customHeight="1" x14ac:dyDescent="0.3">
      <c r="A341" s="75" t="s">
        <v>928</v>
      </c>
      <c r="B341" s="36" t="str">
        <f t="shared" si="5"/>
        <v>Junio</v>
      </c>
      <c r="C341" s="77" t="s">
        <v>162</v>
      </c>
      <c r="D341" s="77" t="s">
        <v>1343</v>
      </c>
      <c r="E34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341" s="79" t="s">
        <v>217</v>
      </c>
      <c r="G341" s="79" t="s">
        <v>218</v>
      </c>
      <c r="H341" s="140" t="s">
        <v>1344</v>
      </c>
      <c r="I341" s="77" t="s">
        <v>264</v>
      </c>
      <c r="J341" s="144" t="s">
        <v>265</v>
      </c>
      <c r="K341" s="77" t="s">
        <v>169</v>
      </c>
      <c r="L341" s="103" t="str">
        <f>VLOOKUP(Anexo_4[[#This Row],[cod_doc]],TIPODOC,2,FALSE)</f>
        <v>FACTURA</v>
      </c>
      <c r="M341" s="77" t="s">
        <v>271</v>
      </c>
      <c r="N341" s="79">
        <v>1761998</v>
      </c>
      <c r="O341" s="80">
        <v>3.39</v>
      </c>
      <c r="P341" s="81" t="s">
        <v>171</v>
      </c>
      <c r="Q341" s="81">
        <v>0.61019999999999996</v>
      </c>
      <c r="R341" s="80" t="s">
        <v>171</v>
      </c>
      <c r="S341" s="80">
        <v>0</v>
      </c>
      <c r="T341" s="82">
        <v>8</v>
      </c>
      <c r="U341" s="77"/>
      <c r="V341" s="75"/>
      <c r="W341" s="77"/>
      <c r="X341" s="77"/>
      <c r="Y341" s="77" t="s">
        <v>1345</v>
      </c>
      <c r="Z341" s="77" t="s">
        <v>302</v>
      </c>
      <c r="AA341" s="83" t="s">
        <v>1344</v>
      </c>
      <c r="AB341" s="104" t="str">
        <f>IFERROR(VLOOKUP(Anexo_4[[#This Row],[cuenta]],OP,2,0),"-")</f>
        <v>Transporte peajes - Servicios</v>
      </c>
    </row>
    <row r="342" spans="1:28" s="84" customFormat="1" ht="27" customHeight="1" x14ac:dyDescent="0.3">
      <c r="A342" s="75" t="s">
        <v>928</v>
      </c>
      <c r="B342" s="36" t="str">
        <f t="shared" si="5"/>
        <v>Junio</v>
      </c>
      <c r="C342" s="77" t="s">
        <v>162</v>
      </c>
      <c r="D342" s="77" t="s">
        <v>1343</v>
      </c>
      <c r="E34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342" s="79" t="s">
        <v>217</v>
      </c>
      <c r="G342" s="79" t="s">
        <v>218</v>
      </c>
      <c r="H342" s="140" t="s">
        <v>1344</v>
      </c>
      <c r="I342" s="77" t="s">
        <v>264</v>
      </c>
      <c r="J342" s="144" t="s">
        <v>265</v>
      </c>
      <c r="K342" s="77" t="s">
        <v>169</v>
      </c>
      <c r="L342" s="103" t="str">
        <f>VLOOKUP(Anexo_4[[#This Row],[cod_doc]],TIPODOC,2,FALSE)</f>
        <v>FACTURA</v>
      </c>
      <c r="M342" s="77" t="s">
        <v>271</v>
      </c>
      <c r="N342" s="79">
        <v>1761998</v>
      </c>
      <c r="O342" s="80">
        <v>3.39</v>
      </c>
      <c r="P342" s="81" t="s">
        <v>171</v>
      </c>
      <c r="Q342" s="81">
        <v>0.61019999999999996</v>
      </c>
      <c r="R342" s="80" t="s">
        <v>171</v>
      </c>
      <c r="S342" s="80">
        <v>0</v>
      </c>
      <c r="T342" s="82">
        <v>8</v>
      </c>
      <c r="U342" s="77"/>
      <c r="V342" s="75"/>
      <c r="W342" s="77"/>
      <c r="X342" s="77"/>
      <c r="Y342" s="77" t="s">
        <v>1345</v>
      </c>
      <c r="Z342" s="77" t="s">
        <v>268</v>
      </c>
      <c r="AA342" s="83" t="s">
        <v>1344</v>
      </c>
      <c r="AB342" s="104" t="str">
        <f>IFERROR(VLOOKUP(Anexo_4[[#This Row],[cuenta]],OP,2,0),"-")</f>
        <v>Transporte peajes - Ventas</v>
      </c>
    </row>
    <row r="343" spans="1:28" s="84" customFormat="1" ht="27" customHeight="1" x14ac:dyDescent="0.3">
      <c r="A343" s="75" t="s">
        <v>928</v>
      </c>
      <c r="B343" s="36" t="str">
        <f t="shared" si="5"/>
        <v>Junio</v>
      </c>
      <c r="C343" s="77" t="s">
        <v>162</v>
      </c>
      <c r="D343" s="77" t="s">
        <v>1346</v>
      </c>
      <c r="E343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343" s="79" t="s">
        <v>217</v>
      </c>
      <c r="G343" s="79" t="s">
        <v>218</v>
      </c>
      <c r="H343" s="140" t="s">
        <v>1347</v>
      </c>
      <c r="I343" s="77" t="s">
        <v>264</v>
      </c>
      <c r="J343" s="144" t="s">
        <v>265</v>
      </c>
      <c r="K343" s="77" t="s">
        <v>169</v>
      </c>
      <c r="L343" s="103" t="str">
        <f>VLOOKUP(Anexo_4[[#This Row],[cod_doc]],TIPODOC,2,FALSE)</f>
        <v>FACTURA</v>
      </c>
      <c r="M343" s="77" t="s">
        <v>352</v>
      </c>
      <c r="N343" s="79">
        <v>1782190</v>
      </c>
      <c r="O343" s="80">
        <v>3.39</v>
      </c>
      <c r="P343" s="81" t="s">
        <v>171</v>
      </c>
      <c r="Q343" s="81">
        <v>0.61019999999999996</v>
      </c>
      <c r="R343" s="80" t="s">
        <v>171</v>
      </c>
      <c r="S343" s="80">
        <v>0</v>
      </c>
      <c r="T343" s="82">
        <v>8</v>
      </c>
      <c r="U343" s="77"/>
      <c r="V343" s="75"/>
      <c r="W343" s="77"/>
      <c r="X343" s="77"/>
      <c r="Y343" s="77" t="s">
        <v>1348</v>
      </c>
      <c r="Z343" s="77" t="s">
        <v>302</v>
      </c>
      <c r="AA343" s="83" t="s">
        <v>1347</v>
      </c>
      <c r="AB343" s="104" t="str">
        <f>IFERROR(VLOOKUP(Anexo_4[[#This Row],[cuenta]],OP,2,0),"-")</f>
        <v>Transporte peajes - Servicios</v>
      </c>
    </row>
    <row r="344" spans="1:28" s="84" customFormat="1" ht="27" customHeight="1" x14ac:dyDescent="0.3">
      <c r="A344" s="75" t="s">
        <v>928</v>
      </c>
      <c r="B344" s="36" t="str">
        <f t="shared" si="5"/>
        <v>Junio</v>
      </c>
      <c r="C344" s="77" t="s">
        <v>162</v>
      </c>
      <c r="D344" s="77" t="s">
        <v>1346</v>
      </c>
      <c r="E344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344" s="79" t="s">
        <v>217</v>
      </c>
      <c r="G344" s="79" t="s">
        <v>218</v>
      </c>
      <c r="H344" s="140" t="s">
        <v>1347</v>
      </c>
      <c r="I344" s="77" t="s">
        <v>264</v>
      </c>
      <c r="J344" s="144" t="s">
        <v>265</v>
      </c>
      <c r="K344" s="77" t="s">
        <v>169</v>
      </c>
      <c r="L344" s="103" t="str">
        <f>VLOOKUP(Anexo_4[[#This Row],[cod_doc]],TIPODOC,2,FALSE)</f>
        <v>FACTURA</v>
      </c>
      <c r="M344" s="77" t="s">
        <v>352</v>
      </c>
      <c r="N344" s="79">
        <v>1782190</v>
      </c>
      <c r="O344" s="80">
        <v>3.39</v>
      </c>
      <c r="P344" s="81" t="s">
        <v>171</v>
      </c>
      <c r="Q344" s="81">
        <v>0.61019999999999996</v>
      </c>
      <c r="R344" s="80" t="s">
        <v>171</v>
      </c>
      <c r="S344" s="80">
        <v>0</v>
      </c>
      <c r="T344" s="82">
        <v>8</v>
      </c>
      <c r="U344" s="77"/>
      <c r="V344" s="75"/>
      <c r="W344" s="77"/>
      <c r="X344" s="77"/>
      <c r="Y344" s="77" t="s">
        <v>1348</v>
      </c>
      <c r="Z344" s="77" t="s">
        <v>268</v>
      </c>
      <c r="AA344" s="83" t="s">
        <v>1347</v>
      </c>
      <c r="AB344" s="104" t="str">
        <f>IFERROR(VLOOKUP(Anexo_4[[#This Row],[cuenta]],OP,2,0),"-")</f>
        <v>Transporte peajes - Ventas</v>
      </c>
    </row>
    <row r="345" spans="1:28" s="84" customFormat="1" ht="27" customHeight="1" x14ac:dyDescent="0.3">
      <c r="A345" s="75" t="s">
        <v>996</v>
      </c>
      <c r="B345" s="36" t="str">
        <f t="shared" si="5"/>
        <v>Junio</v>
      </c>
      <c r="C345" s="77" t="s">
        <v>162</v>
      </c>
      <c r="D345" s="77" t="s">
        <v>1349</v>
      </c>
      <c r="E34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345" s="79" t="s">
        <v>217</v>
      </c>
      <c r="G345" s="79" t="s">
        <v>218</v>
      </c>
      <c r="H345" s="140" t="s">
        <v>1350</v>
      </c>
      <c r="I345" s="77" t="s">
        <v>264</v>
      </c>
      <c r="J345" s="144" t="s">
        <v>265</v>
      </c>
      <c r="K345" s="77" t="s">
        <v>169</v>
      </c>
      <c r="L345" s="103" t="str">
        <f>VLOOKUP(Anexo_4[[#This Row],[cod_doc]],TIPODOC,2,FALSE)</f>
        <v>FACTURA</v>
      </c>
      <c r="M345" s="77" t="s">
        <v>379</v>
      </c>
      <c r="N345" s="79">
        <v>2088457</v>
      </c>
      <c r="O345" s="80">
        <v>6.78</v>
      </c>
      <c r="P345" s="81" t="s">
        <v>171</v>
      </c>
      <c r="Q345" s="81">
        <v>1.2203999999999999</v>
      </c>
      <c r="R345" s="80" t="s">
        <v>171</v>
      </c>
      <c r="S345" s="80">
        <v>0</v>
      </c>
      <c r="T345" s="82">
        <v>8</v>
      </c>
      <c r="U345" s="77"/>
      <c r="V345" s="75"/>
      <c r="W345" s="77"/>
      <c r="X345" s="77"/>
      <c r="Y345" s="77" t="s">
        <v>1351</v>
      </c>
      <c r="Z345" s="77" t="s">
        <v>268</v>
      </c>
      <c r="AA345" s="83" t="s">
        <v>1350</v>
      </c>
      <c r="AB345" s="104" t="str">
        <f>IFERROR(VLOOKUP(Anexo_4[[#This Row],[cuenta]],OP,2,0),"-")</f>
        <v>Transporte peajes - Ventas</v>
      </c>
    </row>
    <row r="346" spans="1:28" s="84" customFormat="1" ht="27" customHeight="1" x14ac:dyDescent="0.3">
      <c r="A346" s="75" t="s">
        <v>996</v>
      </c>
      <c r="B346" s="36" t="str">
        <f t="shared" si="5"/>
        <v>Junio</v>
      </c>
      <c r="C346" s="77" t="s">
        <v>162</v>
      </c>
      <c r="D346" s="77" t="s">
        <v>1352</v>
      </c>
      <c r="E34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346" s="79" t="s">
        <v>217</v>
      </c>
      <c r="G346" s="79" t="s">
        <v>218</v>
      </c>
      <c r="H346" s="140" t="s">
        <v>1353</v>
      </c>
      <c r="I346" s="77" t="s">
        <v>264</v>
      </c>
      <c r="J346" s="144" t="s">
        <v>265</v>
      </c>
      <c r="K346" s="77" t="s">
        <v>169</v>
      </c>
      <c r="L346" s="103" t="str">
        <f>VLOOKUP(Anexo_4[[#This Row],[cod_doc]],TIPODOC,2,FALSE)</f>
        <v>FACTURA</v>
      </c>
      <c r="M346" s="77" t="s">
        <v>271</v>
      </c>
      <c r="N346" s="79">
        <v>1764012</v>
      </c>
      <c r="O346" s="80">
        <v>6.78</v>
      </c>
      <c r="P346" s="81" t="s">
        <v>171</v>
      </c>
      <c r="Q346" s="81">
        <v>1.2203999999999999</v>
      </c>
      <c r="R346" s="80" t="s">
        <v>171</v>
      </c>
      <c r="S346" s="80">
        <v>0</v>
      </c>
      <c r="T346" s="82">
        <v>8</v>
      </c>
      <c r="U346" s="77"/>
      <c r="V346" s="75"/>
      <c r="W346" s="77"/>
      <c r="X346" s="77"/>
      <c r="Y346" s="77" t="s">
        <v>1354</v>
      </c>
      <c r="Z346" s="77" t="s">
        <v>268</v>
      </c>
      <c r="AA346" s="83" t="s">
        <v>1353</v>
      </c>
      <c r="AB346" s="104" t="str">
        <f>IFERROR(VLOOKUP(Anexo_4[[#This Row],[cuenta]],OP,2,0),"-")</f>
        <v>Transporte peajes - Ventas</v>
      </c>
    </row>
    <row r="347" spans="1:28" s="84" customFormat="1" ht="27" customHeight="1" x14ac:dyDescent="0.3">
      <c r="A347" s="75" t="s">
        <v>841</v>
      </c>
      <c r="B347" s="36" t="str">
        <f t="shared" si="5"/>
        <v>Junio</v>
      </c>
      <c r="C347" s="77" t="s">
        <v>162</v>
      </c>
      <c r="D347" s="77" t="s">
        <v>1355</v>
      </c>
      <c r="E347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347" s="79" t="s">
        <v>217</v>
      </c>
      <c r="G347" s="79" t="s">
        <v>218</v>
      </c>
      <c r="H347" s="140" t="s">
        <v>1356</v>
      </c>
      <c r="I347" s="77" t="s">
        <v>264</v>
      </c>
      <c r="J347" s="144" t="s">
        <v>265</v>
      </c>
      <c r="K347" s="77" t="s">
        <v>169</v>
      </c>
      <c r="L347" s="103" t="str">
        <f>VLOOKUP(Anexo_4[[#This Row],[cod_doc]],TIPODOC,2,FALSE)</f>
        <v>FACTURA</v>
      </c>
      <c r="M347" s="77" t="s">
        <v>406</v>
      </c>
      <c r="N347" s="79">
        <v>2368130</v>
      </c>
      <c r="O347" s="80">
        <v>6.78</v>
      </c>
      <c r="P347" s="81" t="s">
        <v>171</v>
      </c>
      <c r="Q347" s="81">
        <v>1.2203999999999999</v>
      </c>
      <c r="R347" s="80" t="s">
        <v>171</v>
      </c>
      <c r="S347" s="80">
        <v>0</v>
      </c>
      <c r="T347" s="82">
        <v>8</v>
      </c>
      <c r="U347" s="77"/>
      <c r="V347" s="75"/>
      <c r="W347" s="77"/>
      <c r="X347" s="77"/>
      <c r="Y347" s="77" t="s">
        <v>1357</v>
      </c>
      <c r="Z347" s="77" t="s">
        <v>268</v>
      </c>
      <c r="AA347" s="83" t="s">
        <v>1356</v>
      </c>
      <c r="AB347" s="104" t="str">
        <f>IFERROR(VLOOKUP(Anexo_4[[#This Row],[cuenta]],OP,2,0),"-")</f>
        <v>Transporte peajes - Ventas</v>
      </c>
    </row>
    <row r="348" spans="1:28" s="84" customFormat="1" ht="27" customHeight="1" x14ac:dyDescent="0.3">
      <c r="A348" s="75" t="s">
        <v>841</v>
      </c>
      <c r="B348" s="36" t="str">
        <f t="shared" si="5"/>
        <v>Junio</v>
      </c>
      <c r="C348" s="77" t="s">
        <v>162</v>
      </c>
      <c r="D348" s="77" t="s">
        <v>1358</v>
      </c>
      <c r="E348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348" s="79" t="s">
        <v>217</v>
      </c>
      <c r="G348" s="79" t="s">
        <v>218</v>
      </c>
      <c r="H348" s="140" t="s">
        <v>1359</v>
      </c>
      <c r="I348" s="77" t="s">
        <v>264</v>
      </c>
      <c r="J348" s="144" t="s">
        <v>265</v>
      </c>
      <c r="K348" s="77" t="s">
        <v>169</v>
      </c>
      <c r="L348" s="103" t="str">
        <f>VLOOKUP(Anexo_4[[#This Row],[cod_doc]],TIPODOC,2,FALSE)</f>
        <v>FACTURA</v>
      </c>
      <c r="M348" s="77" t="s">
        <v>379</v>
      </c>
      <c r="N348" s="79">
        <v>2083991</v>
      </c>
      <c r="O348" s="80">
        <v>6.78</v>
      </c>
      <c r="P348" s="81" t="s">
        <v>171</v>
      </c>
      <c r="Q348" s="81">
        <v>1.2203999999999999</v>
      </c>
      <c r="R348" s="80" t="s">
        <v>171</v>
      </c>
      <c r="S348" s="80">
        <v>0</v>
      </c>
      <c r="T348" s="82">
        <v>8</v>
      </c>
      <c r="U348" s="77"/>
      <c r="V348" s="75"/>
      <c r="W348" s="77"/>
      <c r="X348" s="77"/>
      <c r="Y348" s="77" t="s">
        <v>1360</v>
      </c>
      <c r="Z348" s="77" t="s">
        <v>268</v>
      </c>
      <c r="AA348" s="83" t="s">
        <v>1359</v>
      </c>
      <c r="AB348" s="104" t="str">
        <f>IFERROR(VLOOKUP(Anexo_4[[#This Row],[cuenta]],OP,2,0),"-")</f>
        <v>Transporte peajes - Ventas</v>
      </c>
    </row>
    <row r="349" spans="1:28" s="84" customFormat="1" ht="27" customHeight="1" x14ac:dyDescent="0.3">
      <c r="A349" s="75" t="s">
        <v>966</v>
      </c>
      <c r="B349" s="36" t="str">
        <f t="shared" si="5"/>
        <v>Junio</v>
      </c>
      <c r="C349" s="77" t="s">
        <v>162</v>
      </c>
      <c r="D349" s="77" t="s">
        <v>1361</v>
      </c>
      <c r="E349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349" s="79" t="s">
        <v>355</v>
      </c>
      <c r="G349" s="79" t="s">
        <v>356</v>
      </c>
      <c r="H349" s="140" t="s">
        <v>1362</v>
      </c>
      <c r="I349" s="77" t="s">
        <v>1363</v>
      </c>
      <c r="J349" s="144" t="s">
        <v>1364</v>
      </c>
      <c r="K349" s="77" t="s">
        <v>169</v>
      </c>
      <c r="L349" s="103" t="str">
        <f>VLOOKUP(Anexo_4[[#This Row],[cod_doc]],TIPODOC,2,FALSE)</f>
        <v>FACTURA</v>
      </c>
      <c r="M349" s="77" t="s">
        <v>222</v>
      </c>
      <c r="N349" s="79">
        <v>947</v>
      </c>
      <c r="O349" s="80">
        <v>5.51</v>
      </c>
      <c r="P349" s="81" t="s">
        <v>171</v>
      </c>
      <c r="Q349" s="81">
        <v>0.9917999999999999</v>
      </c>
      <c r="R349" s="80" t="s">
        <v>171</v>
      </c>
      <c r="S349" s="80">
        <v>0</v>
      </c>
      <c r="T349" s="82">
        <v>6.5</v>
      </c>
      <c r="U349" s="77"/>
      <c r="V349" s="75"/>
      <c r="W349" s="77"/>
      <c r="X349" s="77"/>
      <c r="Y349" s="77"/>
      <c r="Z349" s="77" t="s">
        <v>1071</v>
      </c>
      <c r="AA349" s="83" t="s">
        <v>1362</v>
      </c>
      <c r="AB349" s="104" t="str">
        <f>IFERROR(VLOOKUP(Anexo_4[[#This Row],[cuenta]],OP,2,0),"-")</f>
        <v>Gastos de Ferreteria</v>
      </c>
    </row>
    <row r="350" spans="1:28" s="84" customFormat="1" ht="27" customHeight="1" x14ac:dyDescent="0.3">
      <c r="A350" s="75" t="s">
        <v>857</v>
      </c>
      <c r="B350" s="36" t="str">
        <f t="shared" si="5"/>
        <v>Junio</v>
      </c>
      <c r="C350" s="77" t="s">
        <v>162</v>
      </c>
      <c r="D350" s="77" t="s">
        <v>1365</v>
      </c>
      <c r="E350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350" s="79" t="s">
        <v>1366</v>
      </c>
      <c r="G350" s="79" t="s">
        <v>1367</v>
      </c>
      <c r="H350" s="140" t="s">
        <v>1368</v>
      </c>
      <c r="I350" s="77" t="s">
        <v>1369</v>
      </c>
      <c r="J350" s="144" t="s">
        <v>1370</v>
      </c>
      <c r="K350" s="77" t="s">
        <v>169</v>
      </c>
      <c r="L350" s="103" t="str">
        <f>VLOOKUP(Anexo_4[[#This Row],[cod_doc]],TIPODOC,2,FALSE)</f>
        <v>FACTURA</v>
      </c>
      <c r="M350" s="77" t="s">
        <v>102</v>
      </c>
      <c r="N350" s="79">
        <v>423</v>
      </c>
      <c r="O350" s="80">
        <v>118.64</v>
      </c>
      <c r="P350" s="81" t="s">
        <v>171</v>
      </c>
      <c r="Q350" s="81">
        <v>21.3552</v>
      </c>
      <c r="R350" s="80" t="s">
        <v>171</v>
      </c>
      <c r="S350" s="80">
        <v>0</v>
      </c>
      <c r="T350" s="82">
        <v>140</v>
      </c>
      <c r="U350" s="77"/>
      <c r="V350" s="75"/>
      <c r="W350" s="77"/>
      <c r="X350" s="77"/>
      <c r="Y350" s="77"/>
      <c r="Z350" s="77" t="s">
        <v>1371</v>
      </c>
      <c r="AA350" s="83" t="s">
        <v>1368</v>
      </c>
      <c r="AB350" s="104" t="str">
        <f>IFERROR(VLOOKUP(Anexo_4[[#This Row],[cuenta]],OP,2,0),"-")</f>
        <v>-</v>
      </c>
    </row>
    <row r="351" spans="1:28" s="84" customFormat="1" ht="27" customHeight="1" x14ac:dyDescent="0.3">
      <c r="A351" s="75" t="s">
        <v>966</v>
      </c>
      <c r="B351" s="36" t="str">
        <f t="shared" si="5"/>
        <v>Junio</v>
      </c>
      <c r="C351" s="77" t="s">
        <v>162</v>
      </c>
      <c r="D351" s="77" t="s">
        <v>1372</v>
      </c>
      <c r="E35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351" s="79" t="s">
        <v>355</v>
      </c>
      <c r="G351" s="79" t="s">
        <v>356</v>
      </c>
      <c r="H351" s="140" t="s">
        <v>1373</v>
      </c>
      <c r="I351" s="77" t="s">
        <v>1374</v>
      </c>
      <c r="J351" s="144" t="s">
        <v>1375</v>
      </c>
      <c r="K351" s="77" t="s">
        <v>169</v>
      </c>
      <c r="L351" s="103" t="str">
        <f>VLOOKUP(Anexo_4[[#This Row],[cod_doc]],TIPODOC,2,FALSE)</f>
        <v>FACTURA</v>
      </c>
      <c r="M351" s="77" t="s">
        <v>102</v>
      </c>
      <c r="N351" s="79">
        <v>660</v>
      </c>
      <c r="O351" s="80">
        <v>565.85</v>
      </c>
      <c r="P351" s="81" t="s">
        <v>171</v>
      </c>
      <c r="Q351" s="81">
        <v>101.85299999999999</v>
      </c>
      <c r="R351" s="80" t="s">
        <v>171</v>
      </c>
      <c r="S351" s="80">
        <v>0</v>
      </c>
      <c r="T351" s="82">
        <v>667.7</v>
      </c>
      <c r="U351" s="77"/>
      <c r="V351" s="75"/>
      <c r="W351" s="77"/>
      <c r="X351" s="77"/>
      <c r="Y351" s="77"/>
      <c r="Z351" s="77" t="s">
        <v>1376</v>
      </c>
      <c r="AA351" s="83" t="s">
        <v>1373</v>
      </c>
      <c r="AB351" s="104" t="str">
        <f>IFERROR(VLOOKUP(Anexo_4[[#This Row],[cuenta]],OP,2,0),"-")</f>
        <v>Stockas</v>
      </c>
    </row>
    <row r="352" spans="1:28" s="84" customFormat="1" ht="27" customHeight="1" x14ac:dyDescent="0.3">
      <c r="A352" s="75" t="s">
        <v>540</v>
      </c>
      <c r="B352" s="36" t="str">
        <f t="shared" si="5"/>
        <v>Junio</v>
      </c>
      <c r="C352" s="77" t="s">
        <v>162</v>
      </c>
      <c r="D352" s="77" t="s">
        <v>1377</v>
      </c>
      <c r="E35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352" s="79" t="s">
        <v>355</v>
      </c>
      <c r="G352" s="79" t="s">
        <v>356</v>
      </c>
      <c r="H352" s="140" t="s">
        <v>1373</v>
      </c>
      <c r="I352" s="77" t="s">
        <v>1374</v>
      </c>
      <c r="J352" s="144" t="s">
        <v>1375</v>
      </c>
      <c r="K352" s="77" t="s">
        <v>169</v>
      </c>
      <c r="L352" s="103" t="str">
        <f>VLOOKUP(Anexo_4[[#This Row],[cod_doc]],TIPODOC,2,FALSE)</f>
        <v>FACTURA</v>
      </c>
      <c r="M352" s="77" t="s">
        <v>102</v>
      </c>
      <c r="N352" s="79">
        <v>650</v>
      </c>
      <c r="O352" s="80">
        <v>565.85</v>
      </c>
      <c r="P352" s="81" t="s">
        <v>171</v>
      </c>
      <c r="Q352" s="81">
        <v>101.85299999999999</v>
      </c>
      <c r="R352" s="80" t="s">
        <v>171</v>
      </c>
      <c r="S352" s="80">
        <v>0</v>
      </c>
      <c r="T352" s="82">
        <v>667.7</v>
      </c>
      <c r="U352" s="77"/>
      <c r="V352" s="75"/>
      <c r="W352" s="77"/>
      <c r="X352" s="77"/>
      <c r="Y352" s="77"/>
      <c r="Z352" s="77" t="s">
        <v>1376</v>
      </c>
      <c r="AA352" s="83" t="s">
        <v>1373</v>
      </c>
      <c r="AB352" s="104" t="str">
        <f>IFERROR(VLOOKUP(Anexo_4[[#This Row],[cuenta]],OP,2,0),"-")</f>
        <v>Stockas</v>
      </c>
    </row>
    <row r="353" spans="1:28" s="84" customFormat="1" ht="27" customHeight="1" x14ac:dyDescent="0.3">
      <c r="A353" s="75" t="s">
        <v>1378</v>
      </c>
      <c r="B353" s="36" t="str">
        <f t="shared" si="5"/>
        <v>Junio</v>
      </c>
      <c r="C353" s="77" t="s">
        <v>162</v>
      </c>
      <c r="D353" s="77" t="s">
        <v>1379</v>
      </c>
      <c r="E353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353" s="79" t="s">
        <v>248</v>
      </c>
      <c r="G353" s="79" t="s">
        <v>249</v>
      </c>
      <c r="H353" s="140" t="s">
        <v>1380</v>
      </c>
      <c r="I353" s="77" t="s">
        <v>536</v>
      </c>
      <c r="J353" s="144" t="s">
        <v>537</v>
      </c>
      <c r="K353" s="77" t="s">
        <v>169</v>
      </c>
      <c r="L353" s="103" t="str">
        <f>VLOOKUP(Anexo_4[[#This Row],[cod_doc]],TIPODOC,2,FALSE)</f>
        <v>FACTURA</v>
      </c>
      <c r="M353" s="77" t="s">
        <v>538</v>
      </c>
      <c r="N353" s="79">
        <v>6528</v>
      </c>
      <c r="O353" s="80">
        <v>100</v>
      </c>
      <c r="P353" s="81" t="s">
        <v>171</v>
      </c>
      <c r="Q353" s="81">
        <v>18</v>
      </c>
      <c r="R353" s="80" t="s">
        <v>171</v>
      </c>
      <c r="S353" s="80">
        <v>0</v>
      </c>
      <c r="T353" s="82">
        <v>118</v>
      </c>
      <c r="U353" s="77" t="s">
        <v>1381</v>
      </c>
      <c r="V353" s="75" t="s">
        <v>1007</v>
      </c>
      <c r="W353" s="77"/>
      <c r="X353" s="77"/>
      <c r="Y353" s="77"/>
      <c r="Z353" s="77" t="s">
        <v>256</v>
      </c>
      <c r="AA353" s="83" t="s">
        <v>1380</v>
      </c>
      <c r="AB353" s="104" t="str">
        <f>IFERROR(VLOOKUP(Anexo_4[[#This Row],[cuenta]],OP,2,0),"-")</f>
        <v>Materias Primas - RRSS</v>
      </c>
    </row>
    <row r="354" spans="1:28" s="84" customFormat="1" ht="27" customHeight="1" x14ac:dyDescent="0.3">
      <c r="A354" s="75" t="s">
        <v>1378</v>
      </c>
      <c r="B354" s="36" t="str">
        <f t="shared" si="5"/>
        <v>Junio</v>
      </c>
      <c r="C354" s="77" t="s">
        <v>162</v>
      </c>
      <c r="D354" s="77" t="s">
        <v>1382</v>
      </c>
      <c r="E354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354" s="79" t="s">
        <v>248</v>
      </c>
      <c r="G354" s="79" t="s">
        <v>249</v>
      </c>
      <c r="H354" s="140" t="s">
        <v>1383</v>
      </c>
      <c r="I354" s="77" t="s">
        <v>536</v>
      </c>
      <c r="J354" s="144" t="s">
        <v>537</v>
      </c>
      <c r="K354" s="77" t="s">
        <v>169</v>
      </c>
      <c r="L354" s="103" t="str">
        <f>VLOOKUP(Anexo_4[[#This Row],[cod_doc]],TIPODOC,2,FALSE)</f>
        <v>FACTURA</v>
      </c>
      <c r="M354" s="77" t="s">
        <v>538</v>
      </c>
      <c r="N354" s="79">
        <v>6529</v>
      </c>
      <c r="O354" s="80">
        <v>15</v>
      </c>
      <c r="P354" s="81" t="s">
        <v>171</v>
      </c>
      <c r="Q354" s="81">
        <v>2.6999999999999997</v>
      </c>
      <c r="R354" s="80" t="s">
        <v>171</v>
      </c>
      <c r="S354" s="80">
        <v>0</v>
      </c>
      <c r="T354" s="82">
        <v>17.7</v>
      </c>
      <c r="U354" s="77" t="s">
        <v>1384</v>
      </c>
      <c r="V354" s="75" t="s">
        <v>1007</v>
      </c>
      <c r="W354" s="77"/>
      <c r="X354" s="77"/>
      <c r="Y354" s="77"/>
      <c r="Z354" s="77" t="s">
        <v>256</v>
      </c>
      <c r="AA354" s="83" t="s">
        <v>1383</v>
      </c>
      <c r="AB354" s="104" t="str">
        <f>IFERROR(VLOOKUP(Anexo_4[[#This Row],[cuenta]],OP,2,0),"-")</f>
        <v>Materias Primas - RRSS</v>
      </c>
    </row>
    <row r="355" spans="1:28" s="84" customFormat="1" ht="27" customHeight="1" x14ac:dyDescent="0.3">
      <c r="A355" s="75" t="s">
        <v>1378</v>
      </c>
      <c r="B355" s="36" t="str">
        <f t="shared" si="5"/>
        <v>Junio</v>
      </c>
      <c r="C355" s="77" t="s">
        <v>162</v>
      </c>
      <c r="D355" s="77" t="s">
        <v>1385</v>
      </c>
      <c r="E35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355" s="79" t="s">
        <v>248</v>
      </c>
      <c r="G355" s="79" t="s">
        <v>249</v>
      </c>
      <c r="H355" s="140" t="s">
        <v>1386</v>
      </c>
      <c r="I355" s="77" t="s">
        <v>536</v>
      </c>
      <c r="J355" s="144" t="s">
        <v>537</v>
      </c>
      <c r="K355" s="77" t="s">
        <v>169</v>
      </c>
      <c r="L355" s="103" t="str">
        <f>VLOOKUP(Anexo_4[[#This Row],[cod_doc]],TIPODOC,2,FALSE)</f>
        <v>FACTURA</v>
      </c>
      <c r="M355" s="77" t="s">
        <v>538</v>
      </c>
      <c r="N355" s="79">
        <v>6526</v>
      </c>
      <c r="O355" s="80">
        <v>216</v>
      </c>
      <c r="P355" s="81" t="s">
        <v>171</v>
      </c>
      <c r="Q355" s="81">
        <v>38.879999999999995</v>
      </c>
      <c r="R355" s="80" t="s">
        <v>171</v>
      </c>
      <c r="S355" s="80">
        <v>0</v>
      </c>
      <c r="T355" s="82">
        <v>254.88</v>
      </c>
      <c r="U355" s="77" t="s">
        <v>1387</v>
      </c>
      <c r="V355" s="75" t="s">
        <v>1007</v>
      </c>
      <c r="W355" s="77"/>
      <c r="X355" s="77"/>
      <c r="Y355" s="77"/>
      <c r="Z355" s="77" t="s">
        <v>256</v>
      </c>
      <c r="AA355" s="83" t="s">
        <v>1386</v>
      </c>
      <c r="AB355" s="104" t="str">
        <f>IFERROR(VLOOKUP(Anexo_4[[#This Row],[cuenta]],OP,2,0),"-")</f>
        <v>Materias Primas - RRSS</v>
      </c>
    </row>
    <row r="356" spans="1:28" s="84" customFormat="1" ht="27" customHeight="1" x14ac:dyDescent="0.3">
      <c r="A356" s="75" t="s">
        <v>1378</v>
      </c>
      <c r="B356" s="36" t="str">
        <f t="shared" si="5"/>
        <v>Junio</v>
      </c>
      <c r="C356" s="77" t="s">
        <v>162</v>
      </c>
      <c r="D356" s="77" t="s">
        <v>1388</v>
      </c>
      <c r="E35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356" s="79" t="s">
        <v>248</v>
      </c>
      <c r="G356" s="79" t="s">
        <v>249</v>
      </c>
      <c r="H356" s="140" t="s">
        <v>1389</v>
      </c>
      <c r="I356" s="77" t="s">
        <v>536</v>
      </c>
      <c r="J356" s="144" t="s">
        <v>537</v>
      </c>
      <c r="K356" s="77" t="s">
        <v>169</v>
      </c>
      <c r="L356" s="103" t="str">
        <f>VLOOKUP(Anexo_4[[#This Row],[cod_doc]],TIPODOC,2,FALSE)</f>
        <v>FACTURA</v>
      </c>
      <c r="M356" s="77" t="s">
        <v>538</v>
      </c>
      <c r="N356" s="79">
        <v>6521</v>
      </c>
      <c r="O356" s="80">
        <v>732</v>
      </c>
      <c r="P356" s="81" t="s">
        <v>171</v>
      </c>
      <c r="Q356" s="81">
        <v>131.76</v>
      </c>
      <c r="R356" s="80" t="s">
        <v>171</v>
      </c>
      <c r="S356" s="80">
        <v>0</v>
      </c>
      <c r="T356" s="82">
        <v>863.76</v>
      </c>
      <c r="U356" s="77" t="s">
        <v>1390</v>
      </c>
      <c r="V356" s="75" t="s">
        <v>1007</v>
      </c>
      <c r="W356" s="77"/>
      <c r="X356" s="77"/>
      <c r="Y356" s="77"/>
      <c r="Z356" s="77" t="s">
        <v>256</v>
      </c>
      <c r="AA356" s="83" t="s">
        <v>1389</v>
      </c>
      <c r="AB356" s="104" t="str">
        <f>IFERROR(VLOOKUP(Anexo_4[[#This Row],[cuenta]],OP,2,0),"-")</f>
        <v>Materias Primas - RRSS</v>
      </c>
    </row>
    <row r="357" spans="1:28" s="84" customFormat="1" ht="27" customHeight="1" x14ac:dyDescent="0.3">
      <c r="A357" s="75" t="s">
        <v>1378</v>
      </c>
      <c r="B357" s="36" t="str">
        <f t="shared" si="5"/>
        <v>Junio</v>
      </c>
      <c r="C357" s="77" t="s">
        <v>162</v>
      </c>
      <c r="D357" s="77" t="s">
        <v>1391</v>
      </c>
      <c r="E357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357" s="79" t="s">
        <v>248</v>
      </c>
      <c r="G357" s="79" t="s">
        <v>249</v>
      </c>
      <c r="H357" s="140" t="s">
        <v>1392</v>
      </c>
      <c r="I357" s="77" t="s">
        <v>536</v>
      </c>
      <c r="J357" s="144" t="s">
        <v>537</v>
      </c>
      <c r="K357" s="77" t="s">
        <v>169</v>
      </c>
      <c r="L357" s="103" t="str">
        <f>VLOOKUP(Anexo_4[[#This Row],[cod_doc]],TIPODOC,2,FALSE)</f>
        <v>FACTURA</v>
      </c>
      <c r="M357" s="77" t="s">
        <v>538</v>
      </c>
      <c r="N357" s="79">
        <v>6527</v>
      </c>
      <c r="O357" s="80">
        <v>342</v>
      </c>
      <c r="P357" s="81" t="s">
        <v>171</v>
      </c>
      <c r="Q357" s="81">
        <v>61.559999999999995</v>
      </c>
      <c r="R357" s="80" t="s">
        <v>171</v>
      </c>
      <c r="S357" s="80">
        <v>0</v>
      </c>
      <c r="T357" s="82">
        <v>403.56</v>
      </c>
      <c r="U357" s="77" t="s">
        <v>1393</v>
      </c>
      <c r="V357" s="75" t="s">
        <v>1007</v>
      </c>
      <c r="W357" s="77"/>
      <c r="X357" s="77"/>
      <c r="Y357" s="77"/>
      <c r="Z357" s="77" t="s">
        <v>256</v>
      </c>
      <c r="AA357" s="83" t="s">
        <v>1392</v>
      </c>
      <c r="AB357" s="104" t="str">
        <f>IFERROR(VLOOKUP(Anexo_4[[#This Row],[cuenta]],OP,2,0),"-")</f>
        <v>Materias Primas - RRSS</v>
      </c>
    </row>
    <row r="358" spans="1:28" s="84" customFormat="1" ht="27" customHeight="1" x14ac:dyDescent="0.3">
      <c r="A358" s="75" t="s">
        <v>1378</v>
      </c>
      <c r="B358" s="36" t="str">
        <f t="shared" si="5"/>
        <v>Junio</v>
      </c>
      <c r="C358" s="77" t="s">
        <v>162</v>
      </c>
      <c r="D358" s="77" t="s">
        <v>1394</v>
      </c>
      <c r="E358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358" s="79" t="s">
        <v>248</v>
      </c>
      <c r="G358" s="79" t="s">
        <v>249</v>
      </c>
      <c r="H358" s="140" t="s">
        <v>1395</v>
      </c>
      <c r="I358" s="77" t="s">
        <v>536</v>
      </c>
      <c r="J358" s="144" t="s">
        <v>537</v>
      </c>
      <c r="K358" s="77" t="s">
        <v>169</v>
      </c>
      <c r="L358" s="103" t="str">
        <f>VLOOKUP(Anexo_4[[#This Row],[cod_doc]],TIPODOC,2,FALSE)</f>
        <v>FACTURA</v>
      </c>
      <c r="M358" s="77" t="s">
        <v>538</v>
      </c>
      <c r="N358" s="79">
        <v>6524</v>
      </c>
      <c r="O358" s="80">
        <v>518.75</v>
      </c>
      <c r="P358" s="81" t="s">
        <v>171</v>
      </c>
      <c r="Q358" s="81">
        <v>93.375</v>
      </c>
      <c r="R358" s="80" t="s">
        <v>171</v>
      </c>
      <c r="S358" s="80">
        <v>0</v>
      </c>
      <c r="T358" s="82">
        <v>612.13</v>
      </c>
      <c r="U358" s="77" t="s">
        <v>1396</v>
      </c>
      <c r="V358" s="75" t="s">
        <v>1007</v>
      </c>
      <c r="W358" s="77"/>
      <c r="X358" s="77"/>
      <c r="Y358" s="77"/>
      <c r="Z358" s="77" t="s">
        <v>256</v>
      </c>
      <c r="AA358" s="83" t="s">
        <v>1395</v>
      </c>
      <c r="AB358" s="104" t="str">
        <f>IFERROR(VLOOKUP(Anexo_4[[#This Row],[cuenta]],OP,2,0),"-")</f>
        <v>Materias Primas - RRSS</v>
      </c>
    </row>
    <row r="359" spans="1:28" s="84" customFormat="1" ht="27" customHeight="1" x14ac:dyDescent="0.3">
      <c r="A359" s="75" t="s">
        <v>1378</v>
      </c>
      <c r="B359" s="36" t="str">
        <f t="shared" si="5"/>
        <v>Junio</v>
      </c>
      <c r="C359" s="77" t="s">
        <v>162</v>
      </c>
      <c r="D359" s="77" t="s">
        <v>1397</v>
      </c>
      <c r="E359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359" s="79" t="s">
        <v>248</v>
      </c>
      <c r="G359" s="79" t="s">
        <v>249</v>
      </c>
      <c r="H359" s="140" t="s">
        <v>1398</v>
      </c>
      <c r="I359" s="77" t="s">
        <v>536</v>
      </c>
      <c r="J359" s="144" t="s">
        <v>537</v>
      </c>
      <c r="K359" s="77" t="s">
        <v>169</v>
      </c>
      <c r="L359" s="103" t="str">
        <f>VLOOKUP(Anexo_4[[#This Row],[cod_doc]],TIPODOC,2,FALSE)</f>
        <v>FACTURA</v>
      </c>
      <c r="M359" s="77" t="s">
        <v>538</v>
      </c>
      <c r="N359" s="79">
        <v>6525</v>
      </c>
      <c r="O359" s="80">
        <v>11.5</v>
      </c>
      <c r="P359" s="81" t="s">
        <v>171</v>
      </c>
      <c r="Q359" s="81">
        <v>2.0699999999999998</v>
      </c>
      <c r="R359" s="80" t="s">
        <v>171</v>
      </c>
      <c r="S359" s="80">
        <v>0</v>
      </c>
      <c r="T359" s="82">
        <v>13.57</v>
      </c>
      <c r="U359" s="77" t="s">
        <v>1399</v>
      </c>
      <c r="V359" s="75" t="s">
        <v>1007</v>
      </c>
      <c r="W359" s="77"/>
      <c r="X359" s="77"/>
      <c r="Y359" s="77"/>
      <c r="Z359" s="77" t="s">
        <v>256</v>
      </c>
      <c r="AA359" s="83" t="s">
        <v>1398</v>
      </c>
      <c r="AB359" s="104" t="str">
        <f>IFERROR(VLOOKUP(Anexo_4[[#This Row],[cuenta]],OP,2,0),"-")</f>
        <v>Materias Primas - RRSS</v>
      </c>
    </row>
    <row r="360" spans="1:28" s="84" customFormat="1" ht="27" customHeight="1" x14ac:dyDescent="0.3">
      <c r="A360" s="75" t="s">
        <v>1378</v>
      </c>
      <c r="B360" s="36" t="str">
        <f t="shared" si="5"/>
        <v>Junio</v>
      </c>
      <c r="C360" s="77" t="s">
        <v>162</v>
      </c>
      <c r="D360" s="77" t="s">
        <v>1400</v>
      </c>
      <c r="E360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360" s="79" t="s">
        <v>248</v>
      </c>
      <c r="G360" s="79" t="s">
        <v>249</v>
      </c>
      <c r="H360" s="140" t="s">
        <v>1401</v>
      </c>
      <c r="I360" s="77" t="s">
        <v>536</v>
      </c>
      <c r="J360" s="144" t="s">
        <v>537</v>
      </c>
      <c r="K360" s="77" t="s">
        <v>169</v>
      </c>
      <c r="L360" s="103" t="str">
        <f>VLOOKUP(Anexo_4[[#This Row],[cod_doc]],TIPODOC,2,FALSE)</f>
        <v>FACTURA</v>
      </c>
      <c r="M360" s="77" t="s">
        <v>538</v>
      </c>
      <c r="N360" s="79">
        <v>6522</v>
      </c>
      <c r="O360" s="80">
        <v>148.5</v>
      </c>
      <c r="P360" s="81" t="s">
        <v>171</v>
      </c>
      <c r="Q360" s="81">
        <v>26.73</v>
      </c>
      <c r="R360" s="80" t="s">
        <v>171</v>
      </c>
      <c r="S360" s="80">
        <v>0</v>
      </c>
      <c r="T360" s="82">
        <v>175.23</v>
      </c>
      <c r="U360" s="77" t="s">
        <v>1402</v>
      </c>
      <c r="V360" s="75" t="s">
        <v>1007</v>
      </c>
      <c r="W360" s="77"/>
      <c r="X360" s="77"/>
      <c r="Y360" s="77"/>
      <c r="Z360" s="77" t="s">
        <v>256</v>
      </c>
      <c r="AA360" s="83" t="s">
        <v>1401</v>
      </c>
      <c r="AB360" s="104" t="str">
        <f>IFERROR(VLOOKUP(Anexo_4[[#This Row],[cuenta]],OP,2,0),"-")</f>
        <v>Materias Primas - RRSS</v>
      </c>
    </row>
    <row r="361" spans="1:28" s="84" customFormat="1" ht="27" customHeight="1" x14ac:dyDescent="0.3">
      <c r="A361" s="75" t="s">
        <v>1378</v>
      </c>
      <c r="B361" s="36" t="str">
        <f t="shared" si="5"/>
        <v>Junio</v>
      </c>
      <c r="C361" s="77" t="s">
        <v>162</v>
      </c>
      <c r="D361" s="77" t="s">
        <v>1403</v>
      </c>
      <c r="E36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361" s="79" t="s">
        <v>248</v>
      </c>
      <c r="G361" s="79" t="s">
        <v>249</v>
      </c>
      <c r="H361" s="140" t="s">
        <v>1404</v>
      </c>
      <c r="I361" s="77" t="s">
        <v>536</v>
      </c>
      <c r="J361" s="144" t="s">
        <v>537</v>
      </c>
      <c r="K361" s="77" t="s">
        <v>169</v>
      </c>
      <c r="L361" s="103" t="str">
        <f>VLOOKUP(Anexo_4[[#This Row],[cod_doc]],TIPODOC,2,FALSE)</f>
        <v>FACTURA</v>
      </c>
      <c r="M361" s="77" t="s">
        <v>538</v>
      </c>
      <c r="N361" s="79">
        <v>6523</v>
      </c>
      <c r="O361" s="80">
        <v>54</v>
      </c>
      <c r="P361" s="81" t="s">
        <v>171</v>
      </c>
      <c r="Q361" s="81">
        <v>9.7199999999999989</v>
      </c>
      <c r="R361" s="80" t="s">
        <v>171</v>
      </c>
      <c r="S361" s="80">
        <v>0</v>
      </c>
      <c r="T361" s="82">
        <v>63.72</v>
      </c>
      <c r="U361" s="77" t="s">
        <v>1405</v>
      </c>
      <c r="V361" s="75" t="s">
        <v>1007</v>
      </c>
      <c r="W361" s="77"/>
      <c r="X361" s="77"/>
      <c r="Y361" s="77"/>
      <c r="Z361" s="77" t="s">
        <v>256</v>
      </c>
      <c r="AA361" s="83" t="s">
        <v>1404</v>
      </c>
      <c r="AB361" s="104" t="str">
        <f>IFERROR(VLOOKUP(Anexo_4[[#This Row],[cuenta]],OP,2,0),"-")</f>
        <v>Materias Primas - RRSS</v>
      </c>
    </row>
    <row r="362" spans="1:28" s="84" customFormat="1" ht="27" customHeight="1" x14ac:dyDescent="0.3">
      <c r="A362" s="75" t="s">
        <v>1378</v>
      </c>
      <c r="B362" s="36" t="str">
        <f t="shared" si="5"/>
        <v>Junio</v>
      </c>
      <c r="C362" s="77" t="s">
        <v>162</v>
      </c>
      <c r="D362" s="77" t="s">
        <v>1406</v>
      </c>
      <c r="E36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362" s="79" t="s">
        <v>248</v>
      </c>
      <c r="G362" s="79" t="s">
        <v>249</v>
      </c>
      <c r="H362" s="140" t="s">
        <v>1407</v>
      </c>
      <c r="I362" s="77" t="s">
        <v>536</v>
      </c>
      <c r="J362" s="144" t="s">
        <v>537</v>
      </c>
      <c r="K362" s="77" t="s">
        <v>169</v>
      </c>
      <c r="L362" s="103" t="str">
        <f>VLOOKUP(Anexo_4[[#This Row],[cod_doc]],TIPODOC,2,FALSE)</f>
        <v>FACTURA</v>
      </c>
      <c r="M362" s="77" t="s">
        <v>538</v>
      </c>
      <c r="N362" s="79">
        <v>6532</v>
      </c>
      <c r="O362" s="80">
        <v>864</v>
      </c>
      <c r="P362" s="81" t="s">
        <v>171</v>
      </c>
      <c r="Q362" s="81">
        <v>155.51999999999998</v>
      </c>
      <c r="R362" s="80" t="s">
        <v>171</v>
      </c>
      <c r="S362" s="80">
        <v>0</v>
      </c>
      <c r="T362" s="82">
        <v>1019.52</v>
      </c>
      <c r="U362" s="77" t="s">
        <v>1408</v>
      </c>
      <c r="V362" s="75" t="s">
        <v>1007</v>
      </c>
      <c r="W362" s="77"/>
      <c r="X362" s="77"/>
      <c r="Y362" s="77"/>
      <c r="Z362" s="77" t="s">
        <v>256</v>
      </c>
      <c r="AA362" s="83" t="s">
        <v>1407</v>
      </c>
      <c r="AB362" s="104" t="str">
        <f>IFERROR(VLOOKUP(Anexo_4[[#This Row],[cuenta]],OP,2,0),"-")</f>
        <v>Materias Primas - RRSS</v>
      </c>
    </row>
    <row r="363" spans="1:28" s="84" customFormat="1" ht="27" customHeight="1" x14ac:dyDescent="0.3">
      <c r="A363" s="75" t="s">
        <v>1378</v>
      </c>
      <c r="B363" s="36" t="str">
        <f t="shared" si="5"/>
        <v>Junio</v>
      </c>
      <c r="C363" s="77" t="s">
        <v>162</v>
      </c>
      <c r="D363" s="77" t="s">
        <v>1409</v>
      </c>
      <c r="E363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363" s="79" t="s">
        <v>248</v>
      </c>
      <c r="G363" s="79" t="s">
        <v>249</v>
      </c>
      <c r="H363" s="140" t="s">
        <v>1410</v>
      </c>
      <c r="I363" s="77" t="s">
        <v>536</v>
      </c>
      <c r="J363" s="144" t="s">
        <v>537</v>
      </c>
      <c r="K363" s="77" t="s">
        <v>169</v>
      </c>
      <c r="L363" s="103" t="str">
        <f>VLOOKUP(Anexo_4[[#This Row],[cod_doc]],TIPODOC,2,FALSE)</f>
        <v>FACTURA</v>
      </c>
      <c r="M363" s="77" t="s">
        <v>538</v>
      </c>
      <c r="N363" s="79">
        <v>6530</v>
      </c>
      <c r="O363" s="80">
        <v>473</v>
      </c>
      <c r="P363" s="81" t="s">
        <v>171</v>
      </c>
      <c r="Q363" s="81">
        <v>85.14</v>
      </c>
      <c r="R363" s="80" t="s">
        <v>171</v>
      </c>
      <c r="S363" s="80">
        <v>0</v>
      </c>
      <c r="T363" s="82">
        <v>558.14</v>
      </c>
      <c r="U363" s="77" t="s">
        <v>1411</v>
      </c>
      <c r="V363" s="75" t="s">
        <v>1007</v>
      </c>
      <c r="W363" s="77"/>
      <c r="X363" s="77"/>
      <c r="Y363" s="77"/>
      <c r="Z363" s="77" t="s">
        <v>256</v>
      </c>
      <c r="AA363" s="83" t="s">
        <v>1410</v>
      </c>
      <c r="AB363" s="104" t="str">
        <f>IFERROR(VLOOKUP(Anexo_4[[#This Row],[cuenta]],OP,2,0),"-")</f>
        <v>Materias Primas - RRSS</v>
      </c>
    </row>
    <row r="364" spans="1:28" s="84" customFormat="1" ht="27" customHeight="1" x14ac:dyDescent="0.3">
      <c r="A364" s="75" t="s">
        <v>1378</v>
      </c>
      <c r="B364" s="36" t="str">
        <f t="shared" si="5"/>
        <v>Junio</v>
      </c>
      <c r="C364" s="77" t="s">
        <v>162</v>
      </c>
      <c r="D364" s="77" t="s">
        <v>1412</v>
      </c>
      <c r="E364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364" s="79" t="s">
        <v>248</v>
      </c>
      <c r="G364" s="79" t="s">
        <v>249</v>
      </c>
      <c r="H364" s="140" t="s">
        <v>1413</v>
      </c>
      <c r="I364" s="77" t="s">
        <v>536</v>
      </c>
      <c r="J364" s="144" t="s">
        <v>537</v>
      </c>
      <c r="K364" s="77" t="s">
        <v>169</v>
      </c>
      <c r="L364" s="103" t="str">
        <f>VLOOKUP(Anexo_4[[#This Row],[cod_doc]],TIPODOC,2,FALSE)</f>
        <v>FACTURA</v>
      </c>
      <c r="M364" s="77" t="s">
        <v>538</v>
      </c>
      <c r="N364" s="79">
        <v>6531</v>
      </c>
      <c r="O364" s="80">
        <v>78</v>
      </c>
      <c r="P364" s="81" t="s">
        <v>171</v>
      </c>
      <c r="Q364" s="81">
        <v>14.04</v>
      </c>
      <c r="R364" s="80" t="s">
        <v>171</v>
      </c>
      <c r="S364" s="80">
        <v>0</v>
      </c>
      <c r="T364" s="82">
        <v>92.04</v>
      </c>
      <c r="U364" s="77" t="s">
        <v>1414</v>
      </c>
      <c r="V364" s="75" t="s">
        <v>1007</v>
      </c>
      <c r="W364" s="77"/>
      <c r="X364" s="77"/>
      <c r="Y364" s="77"/>
      <c r="Z364" s="77" t="s">
        <v>256</v>
      </c>
      <c r="AA364" s="83" t="s">
        <v>1413</v>
      </c>
      <c r="AB364" s="104" t="str">
        <f>IFERROR(VLOOKUP(Anexo_4[[#This Row],[cuenta]],OP,2,0),"-")</f>
        <v>Materias Primas - RRSS</v>
      </c>
    </row>
    <row r="365" spans="1:28" s="84" customFormat="1" ht="27" customHeight="1" x14ac:dyDescent="0.3">
      <c r="A365" s="75" t="s">
        <v>1190</v>
      </c>
      <c r="B365" s="36" t="str">
        <f t="shared" si="5"/>
        <v>Junio</v>
      </c>
      <c r="C365" s="77" t="s">
        <v>162</v>
      </c>
      <c r="D365" s="77" t="s">
        <v>1415</v>
      </c>
      <c r="E36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365" s="79" t="s">
        <v>248</v>
      </c>
      <c r="G365" s="79" t="s">
        <v>249</v>
      </c>
      <c r="H365" s="140" t="s">
        <v>1416</v>
      </c>
      <c r="I365" s="77" t="s">
        <v>625</v>
      </c>
      <c r="J365" s="144" t="s">
        <v>626</v>
      </c>
      <c r="K365" s="77" t="s">
        <v>169</v>
      </c>
      <c r="L365" s="103" t="str">
        <f>VLOOKUP(Anexo_4[[#This Row],[cod_doc]],TIPODOC,2,FALSE)</f>
        <v>FACTURA</v>
      </c>
      <c r="M365" s="77" t="s">
        <v>180</v>
      </c>
      <c r="N365" s="79">
        <v>16320</v>
      </c>
      <c r="O365" s="80">
        <v>309.39</v>
      </c>
      <c r="P365" s="81" t="s">
        <v>171</v>
      </c>
      <c r="Q365" s="81">
        <v>55.690199999999997</v>
      </c>
      <c r="R365" s="80" t="s">
        <v>171</v>
      </c>
      <c r="S365" s="80">
        <v>0</v>
      </c>
      <c r="T365" s="82">
        <v>365.07</v>
      </c>
      <c r="U365" s="77" t="s">
        <v>1417</v>
      </c>
      <c r="V365" s="75" t="s">
        <v>1007</v>
      </c>
      <c r="W365" s="77"/>
      <c r="X365" s="77"/>
      <c r="Y365" s="77"/>
      <c r="Z365" s="77" t="s">
        <v>256</v>
      </c>
      <c r="AA365" s="83" t="s">
        <v>1416</v>
      </c>
      <c r="AB365" s="104" t="str">
        <f>IFERROR(VLOOKUP(Anexo_4[[#This Row],[cuenta]],OP,2,0),"-")</f>
        <v>Materias Primas - RRSS</v>
      </c>
    </row>
    <row r="366" spans="1:28" s="84" customFormat="1" ht="27" customHeight="1" x14ac:dyDescent="0.3">
      <c r="A366" s="75" t="s">
        <v>993</v>
      </c>
      <c r="B366" s="36" t="str">
        <f t="shared" si="5"/>
        <v>Junio</v>
      </c>
      <c r="C366" s="77" t="s">
        <v>162</v>
      </c>
      <c r="D366" s="77" t="s">
        <v>1418</v>
      </c>
      <c r="E36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366" s="79" t="s">
        <v>248</v>
      </c>
      <c r="G366" s="79" t="s">
        <v>249</v>
      </c>
      <c r="H366" s="140" t="s">
        <v>1419</v>
      </c>
      <c r="I366" s="77" t="s">
        <v>625</v>
      </c>
      <c r="J366" s="144" t="s">
        <v>626</v>
      </c>
      <c r="K366" s="77" t="s">
        <v>169</v>
      </c>
      <c r="L366" s="103" t="str">
        <f>VLOOKUP(Anexo_4[[#This Row],[cod_doc]],TIPODOC,2,FALSE)</f>
        <v>FACTURA</v>
      </c>
      <c r="M366" s="77" t="s">
        <v>180</v>
      </c>
      <c r="N366" s="79">
        <v>16313</v>
      </c>
      <c r="O366" s="80">
        <v>125.39</v>
      </c>
      <c r="P366" s="81" t="s">
        <v>171</v>
      </c>
      <c r="Q366" s="81">
        <v>22.5702</v>
      </c>
      <c r="R366" s="80" t="s">
        <v>171</v>
      </c>
      <c r="S366" s="80">
        <v>0</v>
      </c>
      <c r="T366" s="82">
        <v>147.94</v>
      </c>
      <c r="U366" s="77" t="s">
        <v>1420</v>
      </c>
      <c r="V366" s="75" t="s">
        <v>1007</v>
      </c>
      <c r="W366" s="77"/>
      <c r="X366" s="77"/>
      <c r="Y366" s="77"/>
      <c r="Z366" s="77" t="s">
        <v>256</v>
      </c>
      <c r="AA366" s="83" t="s">
        <v>1419</v>
      </c>
      <c r="AB366" s="104" t="str">
        <f>IFERROR(VLOOKUP(Anexo_4[[#This Row],[cuenta]],OP,2,0),"-")</f>
        <v>Materias Primas - RRSS</v>
      </c>
    </row>
    <row r="367" spans="1:28" s="84" customFormat="1" ht="27" customHeight="1" x14ac:dyDescent="0.3">
      <c r="A367" s="75" t="s">
        <v>1378</v>
      </c>
      <c r="B367" s="36" t="str">
        <f t="shared" si="5"/>
        <v>Junio</v>
      </c>
      <c r="C367" s="77" t="s">
        <v>162</v>
      </c>
      <c r="D367" s="77" t="s">
        <v>1421</v>
      </c>
      <c r="E367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367" s="79" t="s">
        <v>418</v>
      </c>
      <c r="G367" s="79" t="s">
        <v>419</v>
      </c>
      <c r="H367" s="140" t="s">
        <v>1422</v>
      </c>
      <c r="I367" s="77" t="s">
        <v>178</v>
      </c>
      <c r="J367" s="144" t="s">
        <v>179</v>
      </c>
      <c r="K367" s="77" t="s">
        <v>169</v>
      </c>
      <c r="L367" s="103" t="str">
        <f>VLOOKUP(Anexo_4[[#This Row],[cod_doc]],TIPODOC,2,FALSE)</f>
        <v>FACTURA</v>
      </c>
      <c r="M367" s="77" t="s">
        <v>180</v>
      </c>
      <c r="N367" s="79">
        <v>133564</v>
      </c>
      <c r="O367" s="80">
        <v>8.4700000000000006</v>
      </c>
      <c r="P367" s="81" t="s">
        <v>171</v>
      </c>
      <c r="Q367" s="81">
        <v>1.5246</v>
      </c>
      <c r="R367" s="80" t="s">
        <v>171</v>
      </c>
      <c r="S367" s="80">
        <v>0</v>
      </c>
      <c r="T367" s="82">
        <v>10</v>
      </c>
      <c r="U367" s="77"/>
      <c r="V367" s="75"/>
      <c r="W367" s="77"/>
      <c r="X367" s="77"/>
      <c r="Y367" s="77" t="s">
        <v>1423</v>
      </c>
      <c r="Z367" s="77" t="s">
        <v>386</v>
      </c>
      <c r="AA367" s="83" t="s">
        <v>1422</v>
      </c>
      <c r="AB367" s="104" t="str">
        <f>IFERROR(VLOOKUP(Anexo_4[[#This Row],[cuenta]],OP,2,0),"-")</f>
        <v>Balanza - Servicios</v>
      </c>
    </row>
    <row r="368" spans="1:28" s="84" customFormat="1" ht="27" customHeight="1" x14ac:dyDescent="0.3">
      <c r="A368" s="75" t="s">
        <v>1378</v>
      </c>
      <c r="B368" s="36" t="str">
        <f t="shared" si="5"/>
        <v>Junio</v>
      </c>
      <c r="C368" s="77" t="s">
        <v>162</v>
      </c>
      <c r="D368" s="77" t="s">
        <v>1424</v>
      </c>
      <c r="E368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368" s="79" t="s">
        <v>175</v>
      </c>
      <c r="G368" s="79" t="s">
        <v>176</v>
      </c>
      <c r="H368" s="140" t="s">
        <v>1425</v>
      </c>
      <c r="I368" s="77" t="s">
        <v>264</v>
      </c>
      <c r="J368" s="144" t="s">
        <v>265</v>
      </c>
      <c r="K368" s="77" t="s">
        <v>169</v>
      </c>
      <c r="L368" s="103" t="str">
        <f>VLOOKUP(Anexo_4[[#This Row],[cod_doc]],TIPODOC,2,FALSE)</f>
        <v>FACTURA</v>
      </c>
      <c r="M368" s="77" t="s">
        <v>406</v>
      </c>
      <c r="N368" s="79">
        <v>2381218</v>
      </c>
      <c r="O368" s="80">
        <v>10.17</v>
      </c>
      <c r="P368" s="81" t="s">
        <v>171</v>
      </c>
      <c r="Q368" s="81">
        <v>1.8306</v>
      </c>
      <c r="R368" s="80" t="s">
        <v>171</v>
      </c>
      <c r="S368" s="80">
        <v>0</v>
      </c>
      <c r="T368" s="82">
        <v>12</v>
      </c>
      <c r="U368" s="77"/>
      <c r="V368" s="75"/>
      <c r="W368" s="77"/>
      <c r="X368" s="77"/>
      <c r="Y368" s="77" t="s">
        <v>1426</v>
      </c>
      <c r="Z368" s="77" t="s">
        <v>302</v>
      </c>
      <c r="AA368" s="83" t="s">
        <v>1425</v>
      </c>
      <c r="AB368" s="104" t="str">
        <f>IFERROR(VLOOKUP(Anexo_4[[#This Row],[cuenta]],OP,2,0),"-")</f>
        <v>Transporte peajes - Servicios</v>
      </c>
    </row>
    <row r="369" spans="1:28" s="84" customFormat="1" ht="27" customHeight="1" x14ac:dyDescent="0.3">
      <c r="A369" s="75" t="s">
        <v>1378</v>
      </c>
      <c r="B369" s="36" t="str">
        <f t="shared" si="5"/>
        <v>Junio</v>
      </c>
      <c r="C369" s="77" t="s">
        <v>162</v>
      </c>
      <c r="D369" s="77" t="s">
        <v>1427</v>
      </c>
      <c r="E369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369" s="79" t="s">
        <v>175</v>
      </c>
      <c r="G369" s="79" t="s">
        <v>176</v>
      </c>
      <c r="H369" s="140" t="s">
        <v>1428</v>
      </c>
      <c r="I369" s="77" t="s">
        <v>264</v>
      </c>
      <c r="J369" s="144" t="s">
        <v>265</v>
      </c>
      <c r="K369" s="77" t="s">
        <v>169</v>
      </c>
      <c r="L369" s="103" t="str">
        <f>VLOOKUP(Anexo_4[[#This Row],[cod_doc]],TIPODOC,2,FALSE)</f>
        <v>FACTURA</v>
      </c>
      <c r="M369" s="77" t="s">
        <v>352</v>
      </c>
      <c r="N369" s="79">
        <v>1790717</v>
      </c>
      <c r="O369" s="80">
        <v>10.17</v>
      </c>
      <c r="P369" s="81" t="s">
        <v>171</v>
      </c>
      <c r="Q369" s="81">
        <v>1.8306</v>
      </c>
      <c r="R369" s="80" t="s">
        <v>171</v>
      </c>
      <c r="S369" s="80">
        <v>0</v>
      </c>
      <c r="T369" s="82">
        <v>12</v>
      </c>
      <c r="U369" s="77"/>
      <c r="V369" s="75"/>
      <c r="W369" s="77"/>
      <c r="X369" s="77"/>
      <c r="Y369" s="77" t="s">
        <v>1429</v>
      </c>
      <c r="Z369" s="77" t="s">
        <v>302</v>
      </c>
      <c r="AA369" s="83" t="s">
        <v>1428</v>
      </c>
      <c r="AB369" s="104" t="str">
        <f>IFERROR(VLOOKUP(Anexo_4[[#This Row],[cuenta]],OP,2,0),"-")</f>
        <v>Transporte peajes - Servicios</v>
      </c>
    </row>
    <row r="370" spans="1:28" s="84" customFormat="1" ht="27" customHeight="1" x14ac:dyDescent="0.3">
      <c r="A370" s="75" t="s">
        <v>1430</v>
      </c>
      <c r="B370" s="36" t="str">
        <f t="shared" si="5"/>
        <v>Junio</v>
      </c>
      <c r="C370" s="77" t="s">
        <v>162</v>
      </c>
      <c r="D370" s="77" t="s">
        <v>1431</v>
      </c>
      <c r="E370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370" s="79" t="s">
        <v>175</v>
      </c>
      <c r="G370" s="79" t="s">
        <v>176</v>
      </c>
      <c r="H370" s="140" t="s">
        <v>1432</v>
      </c>
      <c r="I370" s="77" t="s">
        <v>264</v>
      </c>
      <c r="J370" s="144" t="s">
        <v>265</v>
      </c>
      <c r="K370" s="77" t="s">
        <v>169</v>
      </c>
      <c r="L370" s="103" t="str">
        <f>VLOOKUP(Anexo_4[[#This Row],[cod_doc]],TIPODOC,2,FALSE)</f>
        <v>FACTURA</v>
      </c>
      <c r="M370" s="77" t="s">
        <v>406</v>
      </c>
      <c r="N370" s="79">
        <v>2380136</v>
      </c>
      <c r="O370" s="80">
        <v>10.17</v>
      </c>
      <c r="P370" s="81" t="s">
        <v>171</v>
      </c>
      <c r="Q370" s="81">
        <v>1.8306</v>
      </c>
      <c r="R370" s="80" t="s">
        <v>171</v>
      </c>
      <c r="S370" s="80">
        <v>0</v>
      </c>
      <c r="T370" s="82">
        <v>12</v>
      </c>
      <c r="U370" s="77"/>
      <c r="V370" s="75"/>
      <c r="W370" s="77"/>
      <c r="X370" s="77"/>
      <c r="Y370" s="77" t="s">
        <v>1433</v>
      </c>
      <c r="Z370" s="77" t="s">
        <v>302</v>
      </c>
      <c r="AA370" s="83" t="s">
        <v>1432</v>
      </c>
      <c r="AB370" s="104" t="str">
        <f>IFERROR(VLOOKUP(Anexo_4[[#This Row],[cuenta]],OP,2,0),"-")</f>
        <v>Transporte peajes - Servicios</v>
      </c>
    </row>
    <row r="371" spans="1:28" s="84" customFormat="1" ht="27" customHeight="1" x14ac:dyDescent="0.3">
      <c r="A371" s="75" t="s">
        <v>1430</v>
      </c>
      <c r="B371" s="36" t="str">
        <f t="shared" si="5"/>
        <v>Junio</v>
      </c>
      <c r="C371" s="77" t="s">
        <v>162</v>
      </c>
      <c r="D371" s="77" t="s">
        <v>1434</v>
      </c>
      <c r="E37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371" s="79" t="s">
        <v>175</v>
      </c>
      <c r="G371" s="79" t="s">
        <v>176</v>
      </c>
      <c r="H371" s="140" t="s">
        <v>1435</v>
      </c>
      <c r="I371" s="77" t="s">
        <v>264</v>
      </c>
      <c r="J371" s="144" t="s">
        <v>265</v>
      </c>
      <c r="K371" s="77" t="s">
        <v>169</v>
      </c>
      <c r="L371" s="103" t="str">
        <f>VLOOKUP(Anexo_4[[#This Row],[cod_doc]],TIPODOC,2,FALSE)</f>
        <v>FACTURA</v>
      </c>
      <c r="M371" s="77" t="s">
        <v>379</v>
      </c>
      <c r="N371" s="79">
        <v>2094639</v>
      </c>
      <c r="O371" s="80">
        <v>5.09</v>
      </c>
      <c r="P371" s="81" t="s">
        <v>171</v>
      </c>
      <c r="Q371" s="81">
        <v>0.9161999999999999</v>
      </c>
      <c r="R371" s="80" t="s">
        <v>171</v>
      </c>
      <c r="S371" s="80">
        <v>0</v>
      </c>
      <c r="T371" s="82">
        <v>12</v>
      </c>
      <c r="U371" s="77"/>
      <c r="V371" s="75"/>
      <c r="W371" s="77"/>
      <c r="X371" s="77"/>
      <c r="Y371" s="77" t="s">
        <v>1436</v>
      </c>
      <c r="Z371" s="77" t="s">
        <v>302</v>
      </c>
      <c r="AA371" s="83" t="s">
        <v>1435</v>
      </c>
      <c r="AB371" s="104" t="str">
        <f>IFERROR(VLOOKUP(Anexo_4[[#This Row],[cuenta]],OP,2,0),"-")</f>
        <v>Transporte peajes - Servicios</v>
      </c>
    </row>
    <row r="372" spans="1:28" s="84" customFormat="1" ht="27" customHeight="1" x14ac:dyDescent="0.3">
      <c r="A372" s="75" t="s">
        <v>1430</v>
      </c>
      <c r="B372" s="36" t="str">
        <f t="shared" si="5"/>
        <v>Junio</v>
      </c>
      <c r="C372" s="77" t="s">
        <v>162</v>
      </c>
      <c r="D372" s="77" t="s">
        <v>1434</v>
      </c>
      <c r="E37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372" s="79" t="s">
        <v>175</v>
      </c>
      <c r="G372" s="79" t="s">
        <v>176</v>
      </c>
      <c r="H372" s="140" t="s">
        <v>1435</v>
      </c>
      <c r="I372" s="77" t="s">
        <v>264</v>
      </c>
      <c r="J372" s="144" t="s">
        <v>265</v>
      </c>
      <c r="K372" s="77" t="s">
        <v>169</v>
      </c>
      <c r="L372" s="103" t="str">
        <f>VLOOKUP(Anexo_4[[#This Row],[cod_doc]],TIPODOC,2,FALSE)</f>
        <v>FACTURA</v>
      </c>
      <c r="M372" s="77" t="s">
        <v>379</v>
      </c>
      <c r="N372" s="79">
        <v>2094639</v>
      </c>
      <c r="O372" s="80">
        <v>5.08</v>
      </c>
      <c r="P372" s="81" t="s">
        <v>171</v>
      </c>
      <c r="Q372" s="81">
        <v>0.91439999999999999</v>
      </c>
      <c r="R372" s="80" t="s">
        <v>171</v>
      </c>
      <c r="S372" s="80">
        <v>0</v>
      </c>
      <c r="T372" s="82">
        <v>12</v>
      </c>
      <c r="U372" s="77"/>
      <c r="V372" s="75"/>
      <c r="W372" s="77"/>
      <c r="X372" s="77"/>
      <c r="Y372" s="77" t="s">
        <v>1436</v>
      </c>
      <c r="Z372" s="77" t="s">
        <v>268</v>
      </c>
      <c r="AA372" s="83" t="s">
        <v>1435</v>
      </c>
      <c r="AB372" s="104" t="str">
        <f>IFERROR(VLOOKUP(Anexo_4[[#This Row],[cuenta]],OP,2,0),"-")</f>
        <v>Transporte peajes - Ventas</v>
      </c>
    </row>
    <row r="373" spans="1:28" s="84" customFormat="1" ht="27" customHeight="1" x14ac:dyDescent="0.3">
      <c r="A373" s="75" t="s">
        <v>966</v>
      </c>
      <c r="B373" s="36" t="str">
        <f t="shared" si="5"/>
        <v>Junio</v>
      </c>
      <c r="C373" s="77" t="s">
        <v>162</v>
      </c>
      <c r="D373" s="77" t="s">
        <v>1437</v>
      </c>
      <c r="E373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373" s="79" t="s">
        <v>175</v>
      </c>
      <c r="G373" s="79" t="s">
        <v>176</v>
      </c>
      <c r="H373" s="140" t="s">
        <v>1438</v>
      </c>
      <c r="I373" s="77" t="s">
        <v>264</v>
      </c>
      <c r="J373" s="144" t="s">
        <v>265</v>
      </c>
      <c r="K373" s="77" t="s">
        <v>169</v>
      </c>
      <c r="L373" s="103" t="str">
        <f>VLOOKUP(Anexo_4[[#This Row],[cod_doc]],TIPODOC,2,FALSE)</f>
        <v>FACTURA</v>
      </c>
      <c r="M373" s="77" t="s">
        <v>352</v>
      </c>
      <c r="N373" s="79">
        <v>1788852</v>
      </c>
      <c r="O373" s="80">
        <v>10.17</v>
      </c>
      <c r="P373" s="81" t="s">
        <v>171</v>
      </c>
      <c r="Q373" s="81">
        <v>1.8306</v>
      </c>
      <c r="R373" s="80" t="s">
        <v>171</v>
      </c>
      <c r="S373" s="80">
        <v>0</v>
      </c>
      <c r="T373" s="82">
        <v>12</v>
      </c>
      <c r="U373" s="77"/>
      <c r="V373" s="75"/>
      <c r="W373" s="77"/>
      <c r="X373" s="77"/>
      <c r="Y373" s="77" t="s">
        <v>1439</v>
      </c>
      <c r="Z373" s="77" t="s">
        <v>268</v>
      </c>
      <c r="AA373" s="83" t="s">
        <v>1438</v>
      </c>
      <c r="AB373" s="104" t="str">
        <f>IFERROR(VLOOKUP(Anexo_4[[#This Row],[cuenta]],OP,2,0),"-")</f>
        <v>Transporte peajes - Ventas</v>
      </c>
    </row>
    <row r="374" spans="1:28" s="84" customFormat="1" ht="27" customHeight="1" x14ac:dyDescent="0.3">
      <c r="A374" s="75" t="s">
        <v>966</v>
      </c>
      <c r="B374" s="36" t="str">
        <f t="shared" si="5"/>
        <v>Junio</v>
      </c>
      <c r="C374" s="77" t="s">
        <v>162</v>
      </c>
      <c r="D374" s="77" t="s">
        <v>1440</v>
      </c>
      <c r="E374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374" s="79" t="s">
        <v>175</v>
      </c>
      <c r="G374" s="79" t="s">
        <v>176</v>
      </c>
      <c r="H374" s="140" t="s">
        <v>1441</v>
      </c>
      <c r="I374" s="77" t="s">
        <v>264</v>
      </c>
      <c r="J374" s="144" t="s">
        <v>265</v>
      </c>
      <c r="K374" s="77" t="s">
        <v>169</v>
      </c>
      <c r="L374" s="103" t="str">
        <f>VLOOKUP(Anexo_4[[#This Row],[cod_doc]],TIPODOC,2,FALSE)</f>
        <v>FACTURA</v>
      </c>
      <c r="M374" s="77" t="s">
        <v>271</v>
      </c>
      <c r="N374" s="79">
        <v>1768712</v>
      </c>
      <c r="O374" s="80">
        <v>10.17</v>
      </c>
      <c r="P374" s="81" t="s">
        <v>171</v>
      </c>
      <c r="Q374" s="81">
        <v>1.8306</v>
      </c>
      <c r="R374" s="80" t="s">
        <v>171</v>
      </c>
      <c r="S374" s="80">
        <v>0</v>
      </c>
      <c r="T374" s="82">
        <v>12</v>
      </c>
      <c r="U374" s="77"/>
      <c r="V374" s="75"/>
      <c r="W374" s="77"/>
      <c r="X374" s="77"/>
      <c r="Y374" s="77" t="s">
        <v>1442</v>
      </c>
      <c r="Z374" s="77" t="s">
        <v>268</v>
      </c>
      <c r="AA374" s="83" t="s">
        <v>1441</v>
      </c>
      <c r="AB374" s="104" t="str">
        <f>IFERROR(VLOOKUP(Anexo_4[[#This Row],[cuenta]],OP,2,0),"-")</f>
        <v>Transporte peajes - Ventas</v>
      </c>
    </row>
    <row r="375" spans="1:28" s="84" customFormat="1" ht="27" customHeight="1" x14ac:dyDescent="0.3">
      <c r="A375" s="75" t="s">
        <v>738</v>
      </c>
      <c r="B375" s="36" t="str">
        <f t="shared" si="5"/>
        <v>Junio</v>
      </c>
      <c r="C375" s="77" t="s">
        <v>162</v>
      </c>
      <c r="D375" s="77" t="s">
        <v>1443</v>
      </c>
      <c r="E37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375" s="79" t="s">
        <v>449</v>
      </c>
      <c r="G375" s="79" t="s">
        <v>450</v>
      </c>
      <c r="H375" s="140" t="s">
        <v>1444</v>
      </c>
      <c r="I375" s="77" t="s">
        <v>1445</v>
      </c>
      <c r="J375" s="144" t="s">
        <v>1446</v>
      </c>
      <c r="K375" s="77" t="s">
        <v>169</v>
      </c>
      <c r="L375" s="103" t="str">
        <f>VLOOKUP(Anexo_4[[#This Row],[cod_doc]],TIPODOC,2,FALSE)</f>
        <v>FACTURA</v>
      </c>
      <c r="M375" s="77" t="s">
        <v>222</v>
      </c>
      <c r="N375" s="79">
        <v>7445</v>
      </c>
      <c r="O375" s="80">
        <v>11.02</v>
      </c>
      <c r="P375" s="81" t="s">
        <v>171</v>
      </c>
      <c r="Q375" s="81">
        <v>1.9835999999999998</v>
      </c>
      <c r="R375" s="80" t="s">
        <v>171</v>
      </c>
      <c r="S375" s="80">
        <v>0</v>
      </c>
      <c r="T375" s="82">
        <v>13</v>
      </c>
      <c r="U375" s="77"/>
      <c r="V375" s="75"/>
      <c r="W375" s="77"/>
      <c r="X375" s="77"/>
      <c r="Y375" s="77" t="s">
        <v>1447</v>
      </c>
      <c r="Z375" s="77" t="s">
        <v>386</v>
      </c>
      <c r="AA375" s="83" t="s">
        <v>1444</v>
      </c>
      <c r="AB375" s="104" t="str">
        <f>IFERROR(VLOOKUP(Anexo_4[[#This Row],[cuenta]],OP,2,0),"-")</f>
        <v>Balanza - Servicios</v>
      </c>
    </row>
    <row r="376" spans="1:28" s="84" customFormat="1" ht="27" customHeight="1" x14ac:dyDescent="0.3">
      <c r="A376" s="75" t="s">
        <v>349</v>
      </c>
      <c r="B376" s="36" t="str">
        <f t="shared" si="5"/>
        <v>Junio</v>
      </c>
      <c r="C376" s="77" t="s">
        <v>162</v>
      </c>
      <c r="D376" s="77" t="s">
        <v>1448</v>
      </c>
      <c r="E37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376" s="79" t="s">
        <v>418</v>
      </c>
      <c r="G376" s="79" t="s">
        <v>419</v>
      </c>
      <c r="H376" s="140" t="s">
        <v>1449</v>
      </c>
      <c r="I376" s="77" t="s">
        <v>1445</v>
      </c>
      <c r="J376" s="144" t="s">
        <v>1446</v>
      </c>
      <c r="K376" s="77" t="s">
        <v>169</v>
      </c>
      <c r="L376" s="103" t="str">
        <f>VLOOKUP(Anexo_4[[#This Row],[cod_doc]],TIPODOC,2,FALSE)</f>
        <v>FACTURA</v>
      </c>
      <c r="M376" s="77" t="s">
        <v>222</v>
      </c>
      <c r="N376" s="79">
        <v>7399</v>
      </c>
      <c r="O376" s="80">
        <v>11.02</v>
      </c>
      <c r="P376" s="81" t="s">
        <v>171</v>
      </c>
      <c r="Q376" s="81">
        <v>1.9835999999999998</v>
      </c>
      <c r="R376" s="80" t="s">
        <v>171</v>
      </c>
      <c r="S376" s="80">
        <v>0</v>
      </c>
      <c r="T376" s="82">
        <v>13</v>
      </c>
      <c r="U376" s="77"/>
      <c r="V376" s="75"/>
      <c r="W376" s="77"/>
      <c r="X376" s="77"/>
      <c r="Y376" s="77" t="s">
        <v>1450</v>
      </c>
      <c r="Z376" s="77" t="s">
        <v>386</v>
      </c>
      <c r="AA376" s="83" t="s">
        <v>1449</v>
      </c>
      <c r="AB376" s="104" t="str">
        <f>IFERROR(VLOOKUP(Anexo_4[[#This Row],[cuenta]],OP,2,0),"-")</f>
        <v>Balanza - Servicios</v>
      </c>
    </row>
    <row r="377" spans="1:28" s="84" customFormat="1" ht="27" customHeight="1" x14ac:dyDescent="0.3">
      <c r="A377" s="75" t="s">
        <v>349</v>
      </c>
      <c r="B377" s="36" t="str">
        <f t="shared" si="5"/>
        <v>Junio</v>
      </c>
      <c r="C377" s="77" t="s">
        <v>162</v>
      </c>
      <c r="D377" s="77" t="s">
        <v>1451</v>
      </c>
      <c r="E377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377" s="79" t="s">
        <v>418</v>
      </c>
      <c r="G377" s="79" t="s">
        <v>419</v>
      </c>
      <c r="H377" s="140" t="s">
        <v>1452</v>
      </c>
      <c r="I377" s="77" t="s">
        <v>1445</v>
      </c>
      <c r="J377" s="144" t="s">
        <v>1446</v>
      </c>
      <c r="K377" s="77" t="s">
        <v>169</v>
      </c>
      <c r="L377" s="103" t="str">
        <f>VLOOKUP(Anexo_4[[#This Row],[cod_doc]],TIPODOC,2,FALSE)</f>
        <v>FACTURA</v>
      </c>
      <c r="M377" s="77" t="s">
        <v>222</v>
      </c>
      <c r="N377" s="79">
        <v>7400</v>
      </c>
      <c r="O377" s="80">
        <v>11.02</v>
      </c>
      <c r="P377" s="81" t="s">
        <v>171</v>
      </c>
      <c r="Q377" s="81">
        <v>1.9835999999999998</v>
      </c>
      <c r="R377" s="80" t="s">
        <v>171</v>
      </c>
      <c r="S377" s="80">
        <v>0</v>
      </c>
      <c r="T377" s="82">
        <v>13</v>
      </c>
      <c r="U377" s="77"/>
      <c r="V377" s="75"/>
      <c r="W377" s="77"/>
      <c r="X377" s="77"/>
      <c r="Y377" s="77" t="s">
        <v>1453</v>
      </c>
      <c r="Z377" s="77" t="s">
        <v>386</v>
      </c>
      <c r="AA377" s="83" t="s">
        <v>1452</v>
      </c>
      <c r="AB377" s="104" t="str">
        <f>IFERROR(VLOOKUP(Anexo_4[[#This Row],[cuenta]],OP,2,0),"-")</f>
        <v>Balanza - Servicios</v>
      </c>
    </row>
    <row r="378" spans="1:28" s="84" customFormat="1" ht="27" customHeight="1" x14ac:dyDescent="0.3">
      <c r="A378" s="75" t="s">
        <v>349</v>
      </c>
      <c r="B378" s="36" t="str">
        <f t="shared" si="5"/>
        <v>Junio</v>
      </c>
      <c r="C378" s="77" t="s">
        <v>162</v>
      </c>
      <c r="D378" s="77" t="s">
        <v>1454</v>
      </c>
      <c r="E378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378" s="79" t="s">
        <v>418</v>
      </c>
      <c r="G378" s="79" t="s">
        <v>419</v>
      </c>
      <c r="H378" s="140" t="s">
        <v>1455</v>
      </c>
      <c r="I378" s="77" t="s">
        <v>1445</v>
      </c>
      <c r="J378" s="144" t="s">
        <v>1446</v>
      </c>
      <c r="K378" s="77" t="s">
        <v>169</v>
      </c>
      <c r="L378" s="103" t="str">
        <f>VLOOKUP(Anexo_4[[#This Row],[cod_doc]],TIPODOC,2,FALSE)</f>
        <v>FACTURA</v>
      </c>
      <c r="M378" s="77" t="s">
        <v>222</v>
      </c>
      <c r="N378" s="79">
        <v>7402</v>
      </c>
      <c r="O378" s="80">
        <v>11.02</v>
      </c>
      <c r="P378" s="81" t="s">
        <v>171</v>
      </c>
      <c r="Q378" s="81">
        <v>1.9835999999999998</v>
      </c>
      <c r="R378" s="80" t="s">
        <v>171</v>
      </c>
      <c r="S378" s="80">
        <v>0</v>
      </c>
      <c r="T378" s="82">
        <v>13</v>
      </c>
      <c r="U378" s="77"/>
      <c r="V378" s="75"/>
      <c r="W378" s="77"/>
      <c r="X378" s="77"/>
      <c r="Y378" s="77" t="s">
        <v>1456</v>
      </c>
      <c r="Z378" s="77" t="s">
        <v>386</v>
      </c>
      <c r="AA378" s="83" t="s">
        <v>1455</v>
      </c>
      <c r="AB378" s="104" t="str">
        <f>IFERROR(VLOOKUP(Anexo_4[[#This Row],[cuenta]],OP,2,0),"-")</f>
        <v>Balanza - Servicios</v>
      </c>
    </row>
    <row r="379" spans="1:28" s="84" customFormat="1" ht="27" customHeight="1" x14ac:dyDescent="0.3">
      <c r="A379" s="75" t="s">
        <v>1190</v>
      </c>
      <c r="B379" s="36" t="str">
        <f t="shared" si="5"/>
        <v>Junio</v>
      </c>
      <c r="C379" s="77" t="s">
        <v>162</v>
      </c>
      <c r="D379" s="77" t="s">
        <v>1457</v>
      </c>
      <c r="E379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379" s="79" t="s">
        <v>449</v>
      </c>
      <c r="G379" s="79" t="s">
        <v>450</v>
      </c>
      <c r="H379" s="140" t="s">
        <v>1458</v>
      </c>
      <c r="I379" s="77" t="s">
        <v>312</v>
      </c>
      <c r="J379" s="144" t="s">
        <v>313</v>
      </c>
      <c r="K379" s="77" t="s">
        <v>169</v>
      </c>
      <c r="L379" s="103" t="str">
        <f>VLOOKUP(Anexo_4[[#This Row],[cod_doc]],TIPODOC,2,FALSE)</f>
        <v>FACTURA</v>
      </c>
      <c r="M379" s="77" t="s">
        <v>1459</v>
      </c>
      <c r="N379" s="79">
        <v>1977176</v>
      </c>
      <c r="O379" s="80">
        <v>12.71</v>
      </c>
      <c r="P379" s="81" t="s">
        <v>171</v>
      </c>
      <c r="Q379" s="81">
        <v>2.2878000000000003</v>
      </c>
      <c r="R379" s="80" t="s">
        <v>171</v>
      </c>
      <c r="S379" s="80">
        <v>0</v>
      </c>
      <c r="T379" s="82">
        <v>15</v>
      </c>
      <c r="U379" s="77"/>
      <c r="V379" s="75"/>
      <c r="W379" s="77"/>
      <c r="X379" s="77"/>
      <c r="Y379" s="77" t="s">
        <v>1460</v>
      </c>
      <c r="Z379" s="77" t="s">
        <v>302</v>
      </c>
      <c r="AA379" s="83" t="s">
        <v>1458</v>
      </c>
      <c r="AB379" s="104" t="str">
        <f>IFERROR(VLOOKUP(Anexo_4[[#This Row],[cuenta]],OP,2,0),"-")</f>
        <v>Transporte peajes - Servicios</v>
      </c>
    </row>
    <row r="380" spans="1:28" s="84" customFormat="1" ht="27" customHeight="1" x14ac:dyDescent="0.3">
      <c r="A380" s="75" t="s">
        <v>993</v>
      </c>
      <c r="B380" s="36" t="str">
        <f t="shared" si="5"/>
        <v>Junio</v>
      </c>
      <c r="C380" s="77" t="s">
        <v>162</v>
      </c>
      <c r="D380" s="77" t="s">
        <v>1461</v>
      </c>
      <c r="E380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380" s="79" t="s">
        <v>449</v>
      </c>
      <c r="G380" s="79" t="s">
        <v>450</v>
      </c>
      <c r="H380" s="140" t="s">
        <v>1462</v>
      </c>
      <c r="I380" s="77" t="s">
        <v>312</v>
      </c>
      <c r="J380" s="144" t="s">
        <v>313</v>
      </c>
      <c r="K380" s="77" t="s">
        <v>169</v>
      </c>
      <c r="L380" s="103" t="str">
        <f>VLOOKUP(Anexo_4[[#This Row],[cod_doc]],TIPODOC,2,FALSE)</f>
        <v>FACTURA</v>
      </c>
      <c r="M380" s="77" t="s">
        <v>1463</v>
      </c>
      <c r="N380" s="79">
        <v>3742614</v>
      </c>
      <c r="O380" s="80">
        <v>12.71</v>
      </c>
      <c r="P380" s="81" t="s">
        <v>171</v>
      </c>
      <c r="Q380" s="81">
        <v>2.2878000000000003</v>
      </c>
      <c r="R380" s="80" t="s">
        <v>171</v>
      </c>
      <c r="S380" s="80">
        <v>0</v>
      </c>
      <c r="T380" s="82">
        <v>15</v>
      </c>
      <c r="U380" s="77"/>
      <c r="V380" s="75"/>
      <c r="W380" s="77"/>
      <c r="X380" s="77"/>
      <c r="Y380" s="77" t="s">
        <v>1464</v>
      </c>
      <c r="Z380" s="77" t="s">
        <v>302</v>
      </c>
      <c r="AA380" s="83" t="s">
        <v>1462</v>
      </c>
      <c r="AB380" s="104" t="str">
        <f>IFERROR(VLOOKUP(Anexo_4[[#This Row],[cuenta]],OP,2,0),"-")</f>
        <v>Transporte peajes - Servicios</v>
      </c>
    </row>
    <row r="381" spans="1:28" s="84" customFormat="1" ht="27" customHeight="1" x14ac:dyDescent="0.3">
      <c r="A381" s="75" t="s">
        <v>1190</v>
      </c>
      <c r="B381" s="36" t="str">
        <f t="shared" si="5"/>
        <v>Junio</v>
      </c>
      <c r="C381" s="77" t="s">
        <v>162</v>
      </c>
      <c r="D381" s="77" t="s">
        <v>1465</v>
      </c>
      <c r="E38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381" s="79" t="s">
        <v>449</v>
      </c>
      <c r="G381" s="79" t="s">
        <v>450</v>
      </c>
      <c r="H381" s="140" t="s">
        <v>1466</v>
      </c>
      <c r="I381" s="77" t="s">
        <v>312</v>
      </c>
      <c r="J381" s="144" t="s">
        <v>313</v>
      </c>
      <c r="K381" s="77" t="s">
        <v>169</v>
      </c>
      <c r="L381" s="103" t="str">
        <f>VLOOKUP(Anexo_4[[#This Row],[cod_doc]],TIPODOC,2,FALSE)</f>
        <v>FACTURA</v>
      </c>
      <c r="M381" s="77" t="s">
        <v>1463</v>
      </c>
      <c r="N381" s="79">
        <v>3743611</v>
      </c>
      <c r="O381" s="80">
        <v>12.71</v>
      </c>
      <c r="P381" s="81" t="s">
        <v>171</v>
      </c>
      <c r="Q381" s="81">
        <v>2.2878000000000003</v>
      </c>
      <c r="R381" s="80" t="s">
        <v>171</v>
      </c>
      <c r="S381" s="80">
        <v>0</v>
      </c>
      <c r="T381" s="82">
        <v>15</v>
      </c>
      <c r="U381" s="77"/>
      <c r="V381" s="75"/>
      <c r="W381" s="77"/>
      <c r="X381" s="77"/>
      <c r="Y381" s="77" t="s">
        <v>1467</v>
      </c>
      <c r="Z381" s="77" t="s">
        <v>302</v>
      </c>
      <c r="AA381" s="83" t="s">
        <v>1466</v>
      </c>
      <c r="AB381" s="104" t="str">
        <f>IFERROR(VLOOKUP(Anexo_4[[#This Row],[cuenta]],OP,2,0),"-")</f>
        <v>Transporte peajes - Servicios</v>
      </c>
    </row>
    <row r="382" spans="1:28" s="84" customFormat="1" ht="27" customHeight="1" x14ac:dyDescent="0.3">
      <c r="A382" s="75" t="s">
        <v>996</v>
      </c>
      <c r="B382" s="36" t="str">
        <f t="shared" si="5"/>
        <v>Junio</v>
      </c>
      <c r="C382" s="77" t="s">
        <v>162</v>
      </c>
      <c r="D382" s="77" t="s">
        <v>1468</v>
      </c>
      <c r="E38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382" s="79" t="s">
        <v>449</v>
      </c>
      <c r="G382" s="79" t="s">
        <v>450</v>
      </c>
      <c r="H382" s="140" t="s">
        <v>1469</v>
      </c>
      <c r="I382" s="77" t="s">
        <v>312</v>
      </c>
      <c r="J382" s="144" t="s">
        <v>313</v>
      </c>
      <c r="K382" s="77" t="s">
        <v>169</v>
      </c>
      <c r="L382" s="103" t="str">
        <f>VLOOKUP(Anexo_4[[#This Row],[cod_doc]],TIPODOC,2,FALSE)</f>
        <v>FACTURA</v>
      </c>
      <c r="M382" s="77" t="s">
        <v>1470</v>
      </c>
      <c r="N382" s="79">
        <v>595855</v>
      </c>
      <c r="O382" s="80">
        <v>12.71</v>
      </c>
      <c r="P382" s="81" t="s">
        <v>171</v>
      </c>
      <c r="Q382" s="81">
        <v>2.2878000000000003</v>
      </c>
      <c r="R382" s="80" t="s">
        <v>171</v>
      </c>
      <c r="S382" s="80">
        <v>0</v>
      </c>
      <c r="T382" s="82">
        <v>15</v>
      </c>
      <c r="U382" s="77"/>
      <c r="V382" s="75"/>
      <c r="W382" s="77"/>
      <c r="X382" s="77"/>
      <c r="Y382" s="77" t="s">
        <v>1471</v>
      </c>
      <c r="Z382" s="77" t="s">
        <v>302</v>
      </c>
      <c r="AA382" s="83" t="s">
        <v>1469</v>
      </c>
      <c r="AB382" s="104" t="str">
        <f>IFERROR(VLOOKUP(Anexo_4[[#This Row],[cuenta]],OP,2,0),"-")</f>
        <v>Transporte peajes - Servicios</v>
      </c>
    </row>
    <row r="383" spans="1:28" s="84" customFormat="1" ht="27" customHeight="1" x14ac:dyDescent="0.3">
      <c r="A383" s="75" t="s">
        <v>467</v>
      </c>
      <c r="B383" s="36" t="str">
        <f t="shared" si="5"/>
        <v>Junio</v>
      </c>
      <c r="C383" s="77" t="s">
        <v>162</v>
      </c>
      <c r="D383" s="77" t="s">
        <v>1472</v>
      </c>
      <c r="E383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383" s="79" t="s">
        <v>449</v>
      </c>
      <c r="G383" s="79" t="s">
        <v>450</v>
      </c>
      <c r="H383" s="140" t="s">
        <v>1473</v>
      </c>
      <c r="I383" s="77" t="s">
        <v>312</v>
      </c>
      <c r="J383" s="144" t="s">
        <v>313</v>
      </c>
      <c r="K383" s="77" t="s">
        <v>169</v>
      </c>
      <c r="L383" s="103" t="str">
        <f>VLOOKUP(Anexo_4[[#This Row],[cod_doc]],TIPODOC,2,FALSE)</f>
        <v>FACTURA</v>
      </c>
      <c r="M383" s="77" t="s">
        <v>1474</v>
      </c>
      <c r="N383" s="79">
        <v>3033026</v>
      </c>
      <c r="O383" s="80">
        <v>12.71</v>
      </c>
      <c r="P383" s="81" t="s">
        <v>171</v>
      </c>
      <c r="Q383" s="81">
        <v>2.2878000000000003</v>
      </c>
      <c r="R383" s="80" t="s">
        <v>171</v>
      </c>
      <c r="S383" s="80">
        <v>0</v>
      </c>
      <c r="T383" s="82">
        <v>15</v>
      </c>
      <c r="U383" s="77"/>
      <c r="V383" s="75"/>
      <c r="W383" s="77"/>
      <c r="X383" s="77"/>
      <c r="Y383" s="77" t="s">
        <v>1475</v>
      </c>
      <c r="Z383" s="77" t="s">
        <v>302</v>
      </c>
      <c r="AA383" s="83" t="s">
        <v>1473</v>
      </c>
      <c r="AB383" s="104" t="str">
        <f>IFERROR(VLOOKUP(Anexo_4[[#This Row],[cuenta]],OP,2,0),"-")</f>
        <v>Transporte peajes - Servicios</v>
      </c>
    </row>
    <row r="384" spans="1:28" s="84" customFormat="1" ht="27" customHeight="1" x14ac:dyDescent="0.3">
      <c r="A384" s="75" t="s">
        <v>993</v>
      </c>
      <c r="B384" s="36" t="str">
        <f t="shared" si="5"/>
        <v>Junio</v>
      </c>
      <c r="C384" s="77" t="s">
        <v>162</v>
      </c>
      <c r="D384" s="77" t="s">
        <v>1476</v>
      </c>
      <c r="E384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384" s="79" t="s">
        <v>449</v>
      </c>
      <c r="G384" s="79" t="s">
        <v>450</v>
      </c>
      <c r="H384" s="140" t="s">
        <v>1477</v>
      </c>
      <c r="I384" s="77" t="s">
        <v>312</v>
      </c>
      <c r="J384" s="144" t="s">
        <v>313</v>
      </c>
      <c r="K384" s="77" t="s">
        <v>169</v>
      </c>
      <c r="L384" s="103" t="str">
        <f>VLOOKUP(Anexo_4[[#This Row],[cod_doc]],TIPODOC,2,FALSE)</f>
        <v>FACTURA</v>
      </c>
      <c r="M384" s="77" t="s">
        <v>1478</v>
      </c>
      <c r="N384" s="79">
        <v>1256930</v>
      </c>
      <c r="O384" s="80">
        <v>12.71</v>
      </c>
      <c r="P384" s="81" t="s">
        <v>171</v>
      </c>
      <c r="Q384" s="81">
        <v>2.2878000000000003</v>
      </c>
      <c r="R384" s="80" t="s">
        <v>171</v>
      </c>
      <c r="S384" s="80">
        <v>0</v>
      </c>
      <c r="T384" s="82">
        <v>15</v>
      </c>
      <c r="U384" s="77"/>
      <c r="V384" s="75"/>
      <c r="W384" s="77"/>
      <c r="X384" s="77"/>
      <c r="Y384" s="77" t="s">
        <v>1479</v>
      </c>
      <c r="Z384" s="77" t="s">
        <v>302</v>
      </c>
      <c r="AA384" s="83" t="s">
        <v>1477</v>
      </c>
      <c r="AB384" s="104" t="str">
        <f>IFERROR(VLOOKUP(Anexo_4[[#This Row],[cuenta]],OP,2,0),"-")</f>
        <v>Transporte peajes - Servicios</v>
      </c>
    </row>
    <row r="385" spans="1:28" s="84" customFormat="1" ht="27" customHeight="1" x14ac:dyDescent="0.3">
      <c r="A385" s="75" t="s">
        <v>996</v>
      </c>
      <c r="B385" s="36" t="str">
        <f t="shared" si="5"/>
        <v>Junio</v>
      </c>
      <c r="C385" s="77" t="s">
        <v>162</v>
      </c>
      <c r="D385" s="77" t="s">
        <v>1480</v>
      </c>
      <c r="E38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385" s="79" t="s">
        <v>449</v>
      </c>
      <c r="G385" s="79" t="s">
        <v>450</v>
      </c>
      <c r="H385" s="140" t="s">
        <v>1481</v>
      </c>
      <c r="I385" s="77" t="s">
        <v>312</v>
      </c>
      <c r="J385" s="144" t="s">
        <v>313</v>
      </c>
      <c r="K385" s="77" t="s">
        <v>169</v>
      </c>
      <c r="L385" s="103" t="str">
        <f>VLOOKUP(Anexo_4[[#This Row],[cod_doc]],TIPODOC,2,FALSE)</f>
        <v>FACTURA</v>
      </c>
      <c r="M385" s="77" t="s">
        <v>1482</v>
      </c>
      <c r="N385" s="79">
        <v>3166451</v>
      </c>
      <c r="O385" s="80">
        <v>12.71</v>
      </c>
      <c r="P385" s="81" t="s">
        <v>171</v>
      </c>
      <c r="Q385" s="81">
        <v>2.2878000000000003</v>
      </c>
      <c r="R385" s="80" t="s">
        <v>171</v>
      </c>
      <c r="S385" s="80">
        <v>0</v>
      </c>
      <c r="T385" s="82">
        <v>15</v>
      </c>
      <c r="U385" s="77"/>
      <c r="V385" s="75"/>
      <c r="W385" s="77"/>
      <c r="X385" s="77"/>
      <c r="Y385" s="77" t="s">
        <v>1483</v>
      </c>
      <c r="Z385" s="77" t="s">
        <v>302</v>
      </c>
      <c r="AA385" s="83" t="s">
        <v>1481</v>
      </c>
      <c r="AB385" s="104" t="str">
        <f>IFERROR(VLOOKUP(Anexo_4[[#This Row],[cuenta]],OP,2,0),"-")</f>
        <v>Transporte peajes - Servicios</v>
      </c>
    </row>
    <row r="386" spans="1:28" s="84" customFormat="1" ht="27" customHeight="1" x14ac:dyDescent="0.3">
      <c r="A386" s="75" t="s">
        <v>857</v>
      </c>
      <c r="B386" s="36" t="str">
        <f t="shared" ref="B386:B449" si="6">PROPER(CHOOSE(LEFT(D386,2),"enero","febrero","marzo","abril","mayo","junio","julio","agosto","setiembre","octubre","noviembre","diciembre"))</f>
        <v>Junio</v>
      </c>
      <c r="C386" s="77" t="s">
        <v>162</v>
      </c>
      <c r="D386" s="77" t="s">
        <v>1484</v>
      </c>
      <c r="E38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386" s="79" t="s">
        <v>449</v>
      </c>
      <c r="G386" s="79" t="s">
        <v>450</v>
      </c>
      <c r="H386" s="140" t="s">
        <v>1485</v>
      </c>
      <c r="I386" s="77" t="s">
        <v>312</v>
      </c>
      <c r="J386" s="144" t="s">
        <v>313</v>
      </c>
      <c r="K386" s="77" t="s">
        <v>169</v>
      </c>
      <c r="L386" s="103" t="str">
        <f>VLOOKUP(Anexo_4[[#This Row],[cod_doc]],TIPODOC,2,FALSE)</f>
        <v>FACTURA</v>
      </c>
      <c r="M386" s="77" t="s">
        <v>1486</v>
      </c>
      <c r="N386" s="79">
        <v>2181902</v>
      </c>
      <c r="O386" s="80">
        <v>12.71</v>
      </c>
      <c r="P386" s="81" t="s">
        <v>171</v>
      </c>
      <c r="Q386" s="81">
        <v>2.2878000000000003</v>
      </c>
      <c r="R386" s="80" t="s">
        <v>171</v>
      </c>
      <c r="S386" s="80">
        <v>0</v>
      </c>
      <c r="T386" s="82">
        <v>15</v>
      </c>
      <c r="U386" s="77"/>
      <c r="V386" s="75"/>
      <c r="W386" s="77"/>
      <c r="X386" s="77"/>
      <c r="Y386" s="77" t="s">
        <v>1487</v>
      </c>
      <c r="Z386" s="77" t="s">
        <v>302</v>
      </c>
      <c r="AA386" s="83" t="s">
        <v>1485</v>
      </c>
      <c r="AB386" s="104" t="str">
        <f>IFERROR(VLOOKUP(Anexo_4[[#This Row],[cuenta]],OP,2,0),"-")</f>
        <v>Transporte peajes - Servicios</v>
      </c>
    </row>
    <row r="387" spans="1:28" s="84" customFormat="1" ht="27" customHeight="1" x14ac:dyDescent="0.3">
      <c r="A387" s="75" t="s">
        <v>738</v>
      </c>
      <c r="B387" s="36" t="str">
        <f t="shared" si="6"/>
        <v>Junio</v>
      </c>
      <c r="C387" s="77" t="s">
        <v>162</v>
      </c>
      <c r="D387" s="77" t="s">
        <v>1488</v>
      </c>
      <c r="E387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387" s="79" t="s">
        <v>449</v>
      </c>
      <c r="G387" s="79" t="s">
        <v>450</v>
      </c>
      <c r="H387" s="140" t="s">
        <v>1489</v>
      </c>
      <c r="I387" s="77" t="s">
        <v>312</v>
      </c>
      <c r="J387" s="144" t="s">
        <v>313</v>
      </c>
      <c r="K387" s="77" t="s">
        <v>169</v>
      </c>
      <c r="L387" s="103" t="str">
        <f>VLOOKUP(Anexo_4[[#This Row],[cod_doc]],TIPODOC,2,FALSE)</f>
        <v>FACTURA</v>
      </c>
      <c r="M387" s="77" t="s">
        <v>1490</v>
      </c>
      <c r="N387" s="79">
        <v>594139</v>
      </c>
      <c r="O387" s="80">
        <v>12.71</v>
      </c>
      <c r="P387" s="81" t="s">
        <v>171</v>
      </c>
      <c r="Q387" s="81">
        <v>2.2878000000000003</v>
      </c>
      <c r="R387" s="80" t="s">
        <v>171</v>
      </c>
      <c r="S387" s="80">
        <v>0</v>
      </c>
      <c r="T387" s="82">
        <v>15</v>
      </c>
      <c r="U387" s="77"/>
      <c r="V387" s="75"/>
      <c r="W387" s="77"/>
      <c r="X387" s="77"/>
      <c r="Y387" s="77" t="s">
        <v>1491</v>
      </c>
      <c r="Z387" s="77" t="s">
        <v>302</v>
      </c>
      <c r="AA387" s="83" t="s">
        <v>1489</v>
      </c>
      <c r="AB387" s="104" t="str">
        <f>IFERROR(VLOOKUP(Anexo_4[[#This Row],[cuenta]],OP,2,0),"-")</f>
        <v>Transporte peajes - Servicios</v>
      </c>
    </row>
    <row r="388" spans="1:28" s="84" customFormat="1" ht="27" customHeight="1" x14ac:dyDescent="0.3">
      <c r="A388" s="75" t="s">
        <v>467</v>
      </c>
      <c r="B388" s="36" t="str">
        <f t="shared" si="6"/>
        <v>Junio</v>
      </c>
      <c r="C388" s="77" t="s">
        <v>162</v>
      </c>
      <c r="D388" s="77" t="s">
        <v>1492</v>
      </c>
      <c r="E388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388" s="79" t="s">
        <v>449</v>
      </c>
      <c r="G388" s="79" t="s">
        <v>450</v>
      </c>
      <c r="H388" s="140" t="s">
        <v>1493</v>
      </c>
      <c r="I388" s="77" t="s">
        <v>312</v>
      </c>
      <c r="J388" s="144" t="s">
        <v>313</v>
      </c>
      <c r="K388" s="77" t="s">
        <v>169</v>
      </c>
      <c r="L388" s="103" t="str">
        <f>VLOOKUP(Anexo_4[[#This Row],[cod_doc]],TIPODOC,2,FALSE)</f>
        <v>FACTURA</v>
      </c>
      <c r="M388" s="77" t="s">
        <v>1470</v>
      </c>
      <c r="N388" s="79">
        <v>595322</v>
      </c>
      <c r="O388" s="80">
        <v>12.71</v>
      </c>
      <c r="P388" s="81" t="s">
        <v>171</v>
      </c>
      <c r="Q388" s="81">
        <v>2.2878000000000003</v>
      </c>
      <c r="R388" s="80" t="s">
        <v>171</v>
      </c>
      <c r="S388" s="80">
        <v>0</v>
      </c>
      <c r="T388" s="82">
        <v>15</v>
      </c>
      <c r="U388" s="77"/>
      <c r="V388" s="75"/>
      <c r="W388" s="77"/>
      <c r="X388" s="77"/>
      <c r="Y388" s="77" t="s">
        <v>1494</v>
      </c>
      <c r="Z388" s="77" t="s">
        <v>302</v>
      </c>
      <c r="AA388" s="83" t="s">
        <v>1493</v>
      </c>
      <c r="AB388" s="104" t="str">
        <f>IFERROR(VLOOKUP(Anexo_4[[#This Row],[cuenta]],OP,2,0),"-")</f>
        <v>Transporte peajes - Servicios</v>
      </c>
    </row>
    <row r="389" spans="1:28" s="84" customFormat="1" ht="27" customHeight="1" x14ac:dyDescent="0.3">
      <c r="A389" s="75" t="s">
        <v>857</v>
      </c>
      <c r="B389" s="36" t="str">
        <f t="shared" si="6"/>
        <v>Junio</v>
      </c>
      <c r="C389" s="77" t="s">
        <v>162</v>
      </c>
      <c r="D389" s="77" t="s">
        <v>1495</v>
      </c>
      <c r="E389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389" s="79" t="s">
        <v>449</v>
      </c>
      <c r="G389" s="79" t="s">
        <v>450</v>
      </c>
      <c r="H389" s="140" t="s">
        <v>1496</v>
      </c>
      <c r="I389" s="77" t="s">
        <v>312</v>
      </c>
      <c r="J389" s="144" t="s">
        <v>313</v>
      </c>
      <c r="K389" s="77" t="s">
        <v>169</v>
      </c>
      <c r="L389" s="103" t="str">
        <f>VLOOKUP(Anexo_4[[#This Row],[cod_doc]],TIPODOC,2,FALSE)</f>
        <v>FACTURA</v>
      </c>
      <c r="M389" s="77" t="s">
        <v>1490</v>
      </c>
      <c r="N389" s="79">
        <v>595539</v>
      </c>
      <c r="O389" s="80">
        <v>12.71</v>
      </c>
      <c r="P389" s="81" t="s">
        <v>171</v>
      </c>
      <c r="Q389" s="81">
        <v>2.2878000000000003</v>
      </c>
      <c r="R389" s="80" t="s">
        <v>171</v>
      </c>
      <c r="S389" s="80">
        <v>0</v>
      </c>
      <c r="T389" s="82">
        <v>15</v>
      </c>
      <c r="U389" s="77"/>
      <c r="V389" s="75"/>
      <c r="W389" s="77"/>
      <c r="X389" s="77"/>
      <c r="Y389" s="77" t="s">
        <v>1497</v>
      </c>
      <c r="Z389" s="77" t="s">
        <v>302</v>
      </c>
      <c r="AA389" s="83" t="s">
        <v>1496</v>
      </c>
      <c r="AB389" s="104" t="str">
        <f>IFERROR(VLOOKUP(Anexo_4[[#This Row],[cuenta]],OP,2,0),"-")</f>
        <v>Transporte peajes - Servicios</v>
      </c>
    </row>
    <row r="390" spans="1:28" s="84" customFormat="1" ht="27" customHeight="1" x14ac:dyDescent="0.3">
      <c r="A390" s="75" t="s">
        <v>685</v>
      </c>
      <c r="B390" s="36" t="str">
        <f t="shared" si="6"/>
        <v>Junio</v>
      </c>
      <c r="C390" s="77" t="s">
        <v>162</v>
      </c>
      <c r="D390" s="77" t="s">
        <v>1498</v>
      </c>
      <c r="E390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390" s="79" t="s">
        <v>449</v>
      </c>
      <c r="G390" s="79" t="s">
        <v>450</v>
      </c>
      <c r="H390" s="140" t="s">
        <v>1499</v>
      </c>
      <c r="I390" s="77" t="s">
        <v>312</v>
      </c>
      <c r="J390" s="144" t="s">
        <v>313</v>
      </c>
      <c r="K390" s="77" t="s">
        <v>169</v>
      </c>
      <c r="L390" s="103" t="str">
        <f>VLOOKUP(Anexo_4[[#This Row],[cod_doc]],TIPODOC,2,FALSE)</f>
        <v>FACTURA</v>
      </c>
      <c r="M390" s="77" t="s">
        <v>1474</v>
      </c>
      <c r="N390" s="79">
        <v>3026311</v>
      </c>
      <c r="O390" s="80">
        <v>12.71</v>
      </c>
      <c r="P390" s="81" t="s">
        <v>171</v>
      </c>
      <c r="Q390" s="81">
        <v>2.2878000000000003</v>
      </c>
      <c r="R390" s="80" t="s">
        <v>171</v>
      </c>
      <c r="S390" s="80">
        <v>0</v>
      </c>
      <c r="T390" s="82">
        <v>15</v>
      </c>
      <c r="U390" s="77"/>
      <c r="V390" s="75"/>
      <c r="W390" s="77"/>
      <c r="X390" s="77"/>
      <c r="Y390" s="77" t="s">
        <v>1500</v>
      </c>
      <c r="Z390" s="77" t="s">
        <v>302</v>
      </c>
      <c r="AA390" s="83" t="s">
        <v>1499</v>
      </c>
      <c r="AB390" s="104" t="str">
        <f>IFERROR(VLOOKUP(Anexo_4[[#This Row],[cuenta]],OP,2,0),"-")</f>
        <v>Transporte peajes - Servicios</v>
      </c>
    </row>
    <row r="391" spans="1:28" s="84" customFormat="1" ht="27" customHeight="1" x14ac:dyDescent="0.3">
      <c r="A391" s="75" t="s">
        <v>533</v>
      </c>
      <c r="B391" s="36" t="str">
        <f t="shared" si="6"/>
        <v>Junio</v>
      </c>
      <c r="C391" s="77" t="s">
        <v>162</v>
      </c>
      <c r="D391" s="77" t="s">
        <v>1501</v>
      </c>
      <c r="E39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391" s="79" t="s">
        <v>449</v>
      </c>
      <c r="G391" s="79" t="s">
        <v>450</v>
      </c>
      <c r="H391" s="140" t="s">
        <v>1502</v>
      </c>
      <c r="I391" s="77" t="s">
        <v>312</v>
      </c>
      <c r="J391" s="144" t="s">
        <v>313</v>
      </c>
      <c r="K391" s="77" t="s">
        <v>169</v>
      </c>
      <c r="L391" s="103" t="str">
        <f>VLOOKUP(Anexo_4[[#This Row],[cod_doc]],TIPODOC,2,FALSE)</f>
        <v>FACTURA</v>
      </c>
      <c r="M391" s="77" t="s">
        <v>314</v>
      </c>
      <c r="N391" s="79">
        <v>2670444</v>
      </c>
      <c r="O391" s="80">
        <v>12.71</v>
      </c>
      <c r="P391" s="81" t="s">
        <v>171</v>
      </c>
      <c r="Q391" s="81">
        <v>2.2878000000000003</v>
      </c>
      <c r="R391" s="80" t="s">
        <v>171</v>
      </c>
      <c r="S391" s="80">
        <v>0</v>
      </c>
      <c r="T391" s="82">
        <v>15</v>
      </c>
      <c r="U391" s="77"/>
      <c r="V391" s="75"/>
      <c r="W391" s="77"/>
      <c r="X391" s="77"/>
      <c r="Y391" s="77" t="s">
        <v>1503</v>
      </c>
      <c r="Z391" s="77" t="s">
        <v>302</v>
      </c>
      <c r="AA391" s="83" t="s">
        <v>1502</v>
      </c>
      <c r="AB391" s="104" t="str">
        <f>IFERROR(VLOOKUP(Anexo_4[[#This Row],[cuenta]],OP,2,0),"-")</f>
        <v>Transporte peajes - Servicios</v>
      </c>
    </row>
    <row r="392" spans="1:28" s="84" customFormat="1" ht="27" customHeight="1" x14ac:dyDescent="0.3">
      <c r="A392" s="75" t="s">
        <v>738</v>
      </c>
      <c r="B392" s="36" t="str">
        <f t="shared" si="6"/>
        <v>Junio</v>
      </c>
      <c r="C392" s="77" t="s">
        <v>162</v>
      </c>
      <c r="D392" s="77" t="s">
        <v>1504</v>
      </c>
      <c r="E39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392" s="79" t="s">
        <v>449</v>
      </c>
      <c r="G392" s="79" t="s">
        <v>450</v>
      </c>
      <c r="H392" s="140" t="s">
        <v>1505</v>
      </c>
      <c r="I392" s="77" t="s">
        <v>312</v>
      </c>
      <c r="J392" s="144" t="s">
        <v>313</v>
      </c>
      <c r="K392" s="77" t="s">
        <v>169</v>
      </c>
      <c r="L392" s="103" t="str">
        <f>VLOOKUP(Anexo_4[[#This Row],[cod_doc]],TIPODOC,2,FALSE)</f>
        <v>FACTURA</v>
      </c>
      <c r="M392" s="77" t="s">
        <v>1506</v>
      </c>
      <c r="N392" s="79">
        <v>646487</v>
      </c>
      <c r="O392" s="80">
        <v>12.71</v>
      </c>
      <c r="P392" s="81" t="s">
        <v>171</v>
      </c>
      <c r="Q392" s="81">
        <v>2.2878000000000003</v>
      </c>
      <c r="R392" s="80" t="s">
        <v>171</v>
      </c>
      <c r="S392" s="80">
        <v>0</v>
      </c>
      <c r="T392" s="82">
        <v>15</v>
      </c>
      <c r="U392" s="77"/>
      <c r="V392" s="75"/>
      <c r="W392" s="77"/>
      <c r="X392" s="77"/>
      <c r="Y392" s="77" t="s">
        <v>1507</v>
      </c>
      <c r="Z392" s="77" t="s">
        <v>302</v>
      </c>
      <c r="AA392" s="83" t="s">
        <v>1505</v>
      </c>
      <c r="AB392" s="104" t="str">
        <f>IFERROR(VLOOKUP(Anexo_4[[#This Row],[cuenta]],OP,2,0),"-")</f>
        <v>Transporte peajes - Servicios</v>
      </c>
    </row>
    <row r="393" spans="1:28" s="84" customFormat="1" ht="27" customHeight="1" x14ac:dyDescent="0.3">
      <c r="A393" s="75" t="s">
        <v>685</v>
      </c>
      <c r="B393" s="36" t="str">
        <f t="shared" si="6"/>
        <v>Junio</v>
      </c>
      <c r="C393" s="77" t="s">
        <v>162</v>
      </c>
      <c r="D393" s="77" t="s">
        <v>1508</v>
      </c>
      <c r="E393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393" s="79" t="s">
        <v>449</v>
      </c>
      <c r="G393" s="79" t="s">
        <v>450</v>
      </c>
      <c r="H393" s="140" t="s">
        <v>1509</v>
      </c>
      <c r="I393" s="77" t="s">
        <v>312</v>
      </c>
      <c r="J393" s="144" t="s">
        <v>313</v>
      </c>
      <c r="K393" s="77" t="s">
        <v>169</v>
      </c>
      <c r="L393" s="103" t="str">
        <f>VLOOKUP(Anexo_4[[#This Row],[cod_doc]],TIPODOC,2,FALSE)</f>
        <v>FACTURA</v>
      </c>
      <c r="M393" s="77" t="s">
        <v>1459</v>
      </c>
      <c r="N393" s="79">
        <v>1968965</v>
      </c>
      <c r="O393" s="80">
        <v>12.71</v>
      </c>
      <c r="P393" s="81" t="s">
        <v>171</v>
      </c>
      <c r="Q393" s="81">
        <v>2.2878000000000003</v>
      </c>
      <c r="R393" s="80" t="s">
        <v>171</v>
      </c>
      <c r="S393" s="80">
        <v>0</v>
      </c>
      <c r="T393" s="82">
        <v>15</v>
      </c>
      <c r="U393" s="77"/>
      <c r="V393" s="75"/>
      <c r="W393" s="77"/>
      <c r="X393" s="77"/>
      <c r="Y393" s="77" t="s">
        <v>1510</v>
      </c>
      <c r="Z393" s="77" t="s">
        <v>302</v>
      </c>
      <c r="AA393" s="83" t="s">
        <v>1509</v>
      </c>
      <c r="AB393" s="104" t="str">
        <f>IFERROR(VLOOKUP(Anexo_4[[#This Row],[cuenta]],OP,2,0),"-")</f>
        <v>Transporte peajes - Servicios</v>
      </c>
    </row>
    <row r="394" spans="1:28" s="84" customFormat="1" ht="27" customHeight="1" x14ac:dyDescent="0.3">
      <c r="A394" s="75" t="s">
        <v>349</v>
      </c>
      <c r="B394" s="36" t="str">
        <f t="shared" si="6"/>
        <v>Junio</v>
      </c>
      <c r="C394" s="77" t="s">
        <v>162</v>
      </c>
      <c r="D394" s="77" t="s">
        <v>1511</v>
      </c>
      <c r="E394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394" s="79" t="s">
        <v>449</v>
      </c>
      <c r="G394" s="79" t="s">
        <v>450</v>
      </c>
      <c r="H394" s="140" t="s">
        <v>1512</v>
      </c>
      <c r="I394" s="77" t="s">
        <v>312</v>
      </c>
      <c r="J394" s="144" t="s">
        <v>313</v>
      </c>
      <c r="K394" s="77" t="s">
        <v>169</v>
      </c>
      <c r="L394" s="103" t="str">
        <f>VLOOKUP(Anexo_4[[#This Row],[cod_doc]],TIPODOC,2,FALSE)</f>
        <v>FACTURA</v>
      </c>
      <c r="M394" s="77" t="s">
        <v>1463</v>
      </c>
      <c r="N394" s="79">
        <v>3728467</v>
      </c>
      <c r="O394" s="80">
        <v>12.71</v>
      </c>
      <c r="P394" s="81" t="s">
        <v>171</v>
      </c>
      <c r="Q394" s="81">
        <v>2.2878000000000003</v>
      </c>
      <c r="R394" s="80" t="s">
        <v>171</v>
      </c>
      <c r="S394" s="80">
        <v>0</v>
      </c>
      <c r="T394" s="82">
        <v>15</v>
      </c>
      <c r="U394" s="77"/>
      <c r="V394" s="75"/>
      <c r="W394" s="77"/>
      <c r="X394" s="77"/>
      <c r="Y394" s="77" t="s">
        <v>1513</v>
      </c>
      <c r="Z394" s="77" t="s">
        <v>302</v>
      </c>
      <c r="AA394" s="83" t="s">
        <v>1512</v>
      </c>
      <c r="AB394" s="104" t="str">
        <f>IFERROR(VLOOKUP(Anexo_4[[#This Row],[cuenta]],OP,2,0),"-")</f>
        <v>Transporte peajes - Servicios</v>
      </c>
    </row>
    <row r="395" spans="1:28" s="84" customFormat="1" ht="27" customHeight="1" x14ac:dyDescent="0.3">
      <c r="A395" s="75" t="s">
        <v>295</v>
      </c>
      <c r="B395" s="36" t="str">
        <f t="shared" si="6"/>
        <v>Junio</v>
      </c>
      <c r="C395" s="77" t="s">
        <v>162</v>
      </c>
      <c r="D395" s="77" t="s">
        <v>1514</v>
      </c>
      <c r="E39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395" s="79" t="s">
        <v>449</v>
      </c>
      <c r="G395" s="79" t="s">
        <v>450</v>
      </c>
      <c r="H395" s="140" t="s">
        <v>1515</v>
      </c>
      <c r="I395" s="77" t="s">
        <v>312</v>
      </c>
      <c r="J395" s="144" t="s">
        <v>313</v>
      </c>
      <c r="K395" s="77" t="s">
        <v>169</v>
      </c>
      <c r="L395" s="103" t="str">
        <f>VLOOKUP(Anexo_4[[#This Row],[cod_doc]],TIPODOC,2,FALSE)</f>
        <v>FACTURA</v>
      </c>
      <c r="M395" s="77" t="s">
        <v>1474</v>
      </c>
      <c r="N395" s="79">
        <v>3019863</v>
      </c>
      <c r="O395" s="80">
        <v>12.71</v>
      </c>
      <c r="P395" s="81" t="s">
        <v>171</v>
      </c>
      <c r="Q395" s="81">
        <v>2.2878000000000003</v>
      </c>
      <c r="R395" s="80" t="s">
        <v>171</v>
      </c>
      <c r="S395" s="80">
        <v>0</v>
      </c>
      <c r="T395" s="82">
        <v>15</v>
      </c>
      <c r="U395" s="77"/>
      <c r="V395" s="75"/>
      <c r="W395" s="77"/>
      <c r="X395" s="77"/>
      <c r="Y395" s="77" t="s">
        <v>1516</v>
      </c>
      <c r="Z395" s="77" t="s">
        <v>302</v>
      </c>
      <c r="AA395" s="83" t="s">
        <v>1515</v>
      </c>
      <c r="AB395" s="104" t="str">
        <f>IFERROR(VLOOKUP(Anexo_4[[#This Row],[cuenta]],OP,2,0),"-")</f>
        <v>Transporte peajes - Servicios</v>
      </c>
    </row>
    <row r="396" spans="1:28" s="84" customFormat="1" ht="27" customHeight="1" x14ac:dyDescent="0.3">
      <c r="A396" s="75" t="s">
        <v>533</v>
      </c>
      <c r="B396" s="36" t="str">
        <f t="shared" si="6"/>
        <v>Junio</v>
      </c>
      <c r="C396" s="77" t="s">
        <v>162</v>
      </c>
      <c r="D396" s="77" t="s">
        <v>1517</v>
      </c>
      <c r="E39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396" s="79" t="s">
        <v>449</v>
      </c>
      <c r="G396" s="79" t="s">
        <v>450</v>
      </c>
      <c r="H396" s="140" t="s">
        <v>1518</v>
      </c>
      <c r="I396" s="77" t="s">
        <v>312</v>
      </c>
      <c r="J396" s="144" t="s">
        <v>313</v>
      </c>
      <c r="K396" s="77" t="s">
        <v>169</v>
      </c>
      <c r="L396" s="103" t="str">
        <f>VLOOKUP(Anexo_4[[#This Row],[cod_doc]],TIPODOC,2,FALSE)</f>
        <v>FACTURA</v>
      </c>
      <c r="M396" s="77" t="s">
        <v>1490</v>
      </c>
      <c r="N396" s="79">
        <v>592673</v>
      </c>
      <c r="O396" s="80">
        <v>12.71</v>
      </c>
      <c r="P396" s="81" t="s">
        <v>171</v>
      </c>
      <c r="Q396" s="81">
        <v>2.2878000000000003</v>
      </c>
      <c r="R396" s="80" t="s">
        <v>171</v>
      </c>
      <c r="S396" s="80">
        <v>0</v>
      </c>
      <c r="T396" s="82">
        <v>15</v>
      </c>
      <c r="U396" s="77"/>
      <c r="V396" s="75"/>
      <c r="W396" s="77"/>
      <c r="X396" s="77"/>
      <c r="Y396" s="77" t="s">
        <v>1519</v>
      </c>
      <c r="Z396" s="77" t="s">
        <v>302</v>
      </c>
      <c r="AA396" s="83" t="s">
        <v>1518</v>
      </c>
      <c r="AB396" s="104" t="str">
        <f>IFERROR(VLOOKUP(Anexo_4[[#This Row],[cuenta]],OP,2,0),"-")</f>
        <v>Transporte peajes - Servicios</v>
      </c>
    </row>
    <row r="397" spans="1:28" s="84" customFormat="1" ht="27" customHeight="1" x14ac:dyDescent="0.3">
      <c r="A397" s="75" t="s">
        <v>349</v>
      </c>
      <c r="B397" s="36" t="str">
        <f t="shared" si="6"/>
        <v>Junio</v>
      </c>
      <c r="C397" s="77" t="s">
        <v>162</v>
      </c>
      <c r="D397" s="77" t="s">
        <v>1520</v>
      </c>
      <c r="E397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397" s="79" t="s">
        <v>449</v>
      </c>
      <c r="G397" s="79" t="s">
        <v>450</v>
      </c>
      <c r="H397" s="140" t="s">
        <v>1521</v>
      </c>
      <c r="I397" s="77" t="s">
        <v>312</v>
      </c>
      <c r="J397" s="144" t="s">
        <v>313</v>
      </c>
      <c r="K397" s="77" t="s">
        <v>169</v>
      </c>
      <c r="L397" s="103" t="str">
        <f>VLOOKUP(Anexo_4[[#This Row],[cod_doc]],TIPODOC,2,FALSE)</f>
        <v>FACTURA</v>
      </c>
      <c r="M397" s="77" t="s">
        <v>1506</v>
      </c>
      <c r="N397" s="79">
        <v>645342</v>
      </c>
      <c r="O397" s="80">
        <v>12.71</v>
      </c>
      <c r="P397" s="81" t="s">
        <v>171</v>
      </c>
      <c r="Q397" s="81">
        <v>2.2878000000000003</v>
      </c>
      <c r="R397" s="80" t="s">
        <v>171</v>
      </c>
      <c r="S397" s="80">
        <v>0</v>
      </c>
      <c r="T397" s="82">
        <v>15</v>
      </c>
      <c r="U397" s="77"/>
      <c r="V397" s="75"/>
      <c r="W397" s="77"/>
      <c r="X397" s="77"/>
      <c r="Y397" s="77" t="s">
        <v>1522</v>
      </c>
      <c r="Z397" s="77" t="s">
        <v>302</v>
      </c>
      <c r="AA397" s="83" t="s">
        <v>1521</v>
      </c>
      <c r="AB397" s="104" t="str">
        <f>IFERROR(VLOOKUP(Anexo_4[[#This Row],[cuenta]],OP,2,0),"-")</f>
        <v>Transporte peajes - Servicios</v>
      </c>
    </row>
    <row r="398" spans="1:28" s="84" customFormat="1" ht="27" customHeight="1" x14ac:dyDescent="0.3">
      <c r="A398" s="75" t="s">
        <v>210</v>
      </c>
      <c r="B398" s="36" t="str">
        <f t="shared" si="6"/>
        <v>Junio</v>
      </c>
      <c r="C398" s="77" t="s">
        <v>162</v>
      </c>
      <c r="D398" s="77" t="s">
        <v>1523</v>
      </c>
      <c r="E398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398" s="79" t="s">
        <v>449</v>
      </c>
      <c r="G398" s="79" t="s">
        <v>450</v>
      </c>
      <c r="H398" s="140" t="s">
        <v>1524</v>
      </c>
      <c r="I398" s="77" t="s">
        <v>312</v>
      </c>
      <c r="J398" s="144" t="s">
        <v>313</v>
      </c>
      <c r="K398" s="77" t="s">
        <v>169</v>
      </c>
      <c r="L398" s="103" t="str">
        <f>VLOOKUP(Anexo_4[[#This Row],[cod_doc]],TIPODOC,2,FALSE)</f>
        <v>FACTURA</v>
      </c>
      <c r="M398" s="77" t="s">
        <v>319</v>
      </c>
      <c r="N398" s="79">
        <v>2278917</v>
      </c>
      <c r="O398" s="80">
        <v>12.71</v>
      </c>
      <c r="P398" s="81" t="s">
        <v>171</v>
      </c>
      <c r="Q398" s="81">
        <v>2.2878000000000003</v>
      </c>
      <c r="R398" s="80" t="s">
        <v>171</v>
      </c>
      <c r="S398" s="80">
        <v>0</v>
      </c>
      <c r="T398" s="82">
        <v>15</v>
      </c>
      <c r="U398" s="77"/>
      <c r="V398" s="75"/>
      <c r="W398" s="77"/>
      <c r="X398" s="77"/>
      <c r="Y398" s="77" t="s">
        <v>1525</v>
      </c>
      <c r="Z398" s="77" t="s">
        <v>302</v>
      </c>
      <c r="AA398" s="83" t="s">
        <v>1524</v>
      </c>
      <c r="AB398" s="104" t="str">
        <f>IFERROR(VLOOKUP(Anexo_4[[#This Row],[cuenta]],OP,2,0),"-")</f>
        <v>Transporte peajes - Servicios</v>
      </c>
    </row>
    <row r="399" spans="1:28" s="84" customFormat="1" ht="27" customHeight="1" x14ac:dyDescent="0.3">
      <c r="A399" s="75" t="s">
        <v>210</v>
      </c>
      <c r="B399" s="36" t="str">
        <f t="shared" si="6"/>
        <v>Junio</v>
      </c>
      <c r="C399" s="77" t="s">
        <v>162</v>
      </c>
      <c r="D399" s="77" t="s">
        <v>1526</v>
      </c>
      <c r="E399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399" s="79" t="s">
        <v>449</v>
      </c>
      <c r="G399" s="79" t="s">
        <v>450</v>
      </c>
      <c r="H399" s="140" t="s">
        <v>1527</v>
      </c>
      <c r="I399" s="77" t="s">
        <v>312</v>
      </c>
      <c r="J399" s="144" t="s">
        <v>313</v>
      </c>
      <c r="K399" s="77" t="s">
        <v>169</v>
      </c>
      <c r="L399" s="103" t="str">
        <f>VLOOKUP(Anexo_4[[#This Row],[cod_doc]],TIPODOC,2,FALSE)</f>
        <v>FACTURA</v>
      </c>
      <c r="M399" s="77" t="s">
        <v>1478</v>
      </c>
      <c r="N399" s="79">
        <v>1245176</v>
      </c>
      <c r="O399" s="80">
        <v>12.71</v>
      </c>
      <c r="P399" s="81" t="s">
        <v>171</v>
      </c>
      <c r="Q399" s="81">
        <v>2.2878000000000003</v>
      </c>
      <c r="R399" s="80" t="s">
        <v>171</v>
      </c>
      <c r="S399" s="80">
        <v>0</v>
      </c>
      <c r="T399" s="82">
        <v>15</v>
      </c>
      <c r="U399" s="77"/>
      <c r="V399" s="75"/>
      <c r="W399" s="77"/>
      <c r="X399" s="77"/>
      <c r="Y399" s="77" t="s">
        <v>1528</v>
      </c>
      <c r="Z399" s="77" t="s">
        <v>302</v>
      </c>
      <c r="AA399" s="83" t="s">
        <v>1527</v>
      </c>
      <c r="AB399" s="104" t="str">
        <f>IFERROR(VLOOKUP(Anexo_4[[#This Row],[cuenta]],OP,2,0),"-")</f>
        <v>Transporte peajes - Servicios</v>
      </c>
    </row>
    <row r="400" spans="1:28" s="84" customFormat="1" ht="27" customHeight="1" x14ac:dyDescent="0.3">
      <c r="A400" s="75" t="s">
        <v>295</v>
      </c>
      <c r="B400" s="36" t="str">
        <f t="shared" si="6"/>
        <v>Junio</v>
      </c>
      <c r="C400" s="77" t="s">
        <v>162</v>
      </c>
      <c r="D400" s="77" t="s">
        <v>1529</v>
      </c>
      <c r="E400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400" s="79" t="s">
        <v>449</v>
      </c>
      <c r="G400" s="79" t="s">
        <v>450</v>
      </c>
      <c r="H400" s="140" t="s">
        <v>1530</v>
      </c>
      <c r="I400" s="77" t="s">
        <v>312</v>
      </c>
      <c r="J400" s="144" t="s">
        <v>313</v>
      </c>
      <c r="K400" s="77" t="s">
        <v>169</v>
      </c>
      <c r="L400" s="103" t="str">
        <f>VLOOKUP(Anexo_4[[#This Row],[cod_doc]],TIPODOC,2,FALSE)</f>
        <v>FACTURA</v>
      </c>
      <c r="M400" s="77" t="s">
        <v>195</v>
      </c>
      <c r="N400" s="79">
        <v>1162433</v>
      </c>
      <c r="O400" s="80">
        <v>12.71</v>
      </c>
      <c r="P400" s="81" t="s">
        <v>171</v>
      </c>
      <c r="Q400" s="81">
        <v>2.2878000000000003</v>
      </c>
      <c r="R400" s="80" t="s">
        <v>171</v>
      </c>
      <c r="S400" s="80">
        <v>0</v>
      </c>
      <c r="T400" s="82">
        <v>15</v>
      </c>
      <c r="U400" s="77"/>
      <c r="V400" s="75"/>
      <c r="W400" s="77"/>
      <c r="X400" s="77"/>
      <c r="Y400" s="77" t="s">
        <v>1531</v>
      </c>
      <c r="Z400" s="77" t="s">
        <v>302</v>
      </c>
      <c r="AA400" s="83" t="s">
        <v>1530</v>
      </c>
      <c r="AB400" s="104" t="str">
        <f>IFERROR(VLOOKUP(Anexo_4[[#This Row],[cuenta]],OP,2,0),"-")</f>
        <v>Transporte peajes - Servicios</v>
      </c>
    </row>
    <row r="401" spans="1:28" s="84" customFormat="1" ht="27" customHeight="1" x14ac:dyDescent="0.3">
      <c r="A401" s="75" t="s">
        <v>966</v>
      </c>
      <c r="B401" s="36" t="str">
        <f t="shared" si="6"/>
        <v>Junio</v>
      </c>
      <c r="C401" s="77" t="s">
        <v>162</v>
      </c>
      <c r="D401" s="77" t="s">
        <v>1532</v>
      </c>
      <c r="E40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401" s="79" t="s">
        <v>355</v>
      </c>
      <c r="G401" s="79" t="s">
        <v>356</v>
      </c>
      <c r="H401" s="140" t="s">
        <v>1533</v>
      </c>
      <c r="I401" s="77" t="s">
        <v>1534</v>
      </c>
      <c r="J401" s="144" t="s">
        <v>1535</v>
      </c>
      <c r="K401" s="77" t="s">
        <v>239</v>
      </c>
      <c r="L401" s="103" t="str">
        <f>VLOOKUP(Anexo_4[[#This Row],[cod_doc]],TIPODOC,2,FALSE)</f>
        <v>BOLETA DE VENTA</v>
      </c>
      <c r="M401" s="77" t="s">
        <v>162</v>
      </c>
      <c r="N401" s="79">
        <v>223</v>
      </c>
      <c r="O401" s="80"/>
      <c r="P401" s="81" t="s">
        <v>171</v>
      </c>
      <c r="Q401" s="81">
        <v>0</v>
      </c>
      <c r="R401" s="80" t="s">
        <v>171</v>
      </c>
      <c r="S401" s="80">
        <v>100</v>
      </c>
      <c r="T401" s="82">
        <v>100</v>
      </c>
      <c r="U401" s="77"/>
      <c r="V401" s="75"/>
      <c r="W401" s="77"/>
      <c r="X401" s="77"/>
      <c r="Y401" s="77" t="s">
        <v>1536</v>
      </c>
      <c r="Z401" s="77" t="s">
        <v>376</v>
      </c>
      <c r="AA401" s="83" t="s">
        <v>1533</v>
      </c>
      <c r="AB401" s="104" t="str">
        <f>IFERROR(VLOOKUP(Anexo_4[[#This Row],[cuenta]],OP,2,0),"-")</f>
        <v>Alojamiento (Operativo)</v>
      </c>
    </row>
    <row r="402" spans="1:28" s="84" customFormat="1" ht="27" customHeight="1" x14ac:dyDescent="0.3">
      <c r="A402" s="75" t="s">
        <v>1378</v>
      </c>
      <c r="B402" s="36" t="str">
        <f t="shared" si="6"/>
        <v>Junio</v>
      </c>
      <c r="C402" s="77" t="s">
        <v>162</v>
      </c>
      <c r="D402" s="77" t="s">
        <v>1537</v>
      </c>
      <c r="E40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402" s="79" t="s">
        <v>235</v>
      </c>
      <c r="G402" s="79" t="s">
        <v>236</v>
      </c>
      <c r="H402" s="140" t="s">
        <v>1538</v>
      </c>
      <c r="I402" s="77" t="s">
        <v>264</v>
      </c>
      <c r="J402" s="144" t="s">
        <v>265</v>
      </c>
      <c r="K402" s="77" t="s">
        <v>169</v>
      </c>
      <c r="L402" s="103" t="str">
        <f>VLOOKUP(Anexo_4[[#This Row],[cod_doc]],TIPODOC,2,FALSE)</f>
        <v>FACTURA</v>
      </c>
      <c r="M402" s="77" t="s">
        <v>271</v>
      </c>
      <c r="N402" s="79">
        <v>1770457</v>
      </c>
      <c r="O402" s="80">
        <v>6.78</v>
      </c>
      <c r="P402" s="81" t="s">
        <v>171</v>
      </c>
      <c r="Q402" s="81">
        <v>1.2203999999999999</v>
      </c>
      <c r="R402" s="80" t="s">
        <v>171</v>
      </c>
      <c r="S402" s="80">
        <v>0</v>
      </c>
      <c r="T402" s="82">
        <v>8</v>
      </c>
      <c r="U402" s="77"/>
      <c r="V402" s="75"/>
      <c r="W402" s="77"/>
      <c r="X402" s="77"/>
      <c r="Y402" s="77" t="s">
        <v>1539</v>
      </c>
      <c r="Z402" s="77" t="s">
        <v>302</v>
      </c>
      <c r="AA402" s="83" t="s">
        <v>1538</v>
      </c>
      <c r="AB402" s="104" t="str">
        <f>IFERROR(VLOOKUP(Anexo_4[[#This Row],[cuenta]],OP,2,0),"-")</f>
        <v>Transporte peajes - Servicios</v>
      </c>
    </row>
    <row r="403" spans="1:28" s="84" customFormat="1" ht="27" customHeight="1" x14ac:dyDescent="0.3">
      <c r="A403" s="75" t="s">
        <v>1378</v>
      </c>
      <c r="B403" s="36" t="str">
        <f t="shared" si="6"/>
        <v>Junio</v>
      </c>
      <c r="C403" s="77" t="s">
        <v>162</v>
      </c>
      <c r="D403" s="77" t="s">
        <v>1540</v>
      </c>
      <c r="E403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403" s="79" t="s">
        <v>235</v>
      </c>
      <c r="G403" s="79" t="s">
        <v>236</v>
      </c>
      <c r="H403" s="140" t="s">
        <v>1541</v>
      </c>
      <c r="I403" s="77" t="s">
        <v>178</v>
      </c>
      <c r="J403" s="144" t="s">
        <v>179</v>
      </c>
      <c r="K403" s="77" t="s">
        <v>169</v>
      </c>
      <c r="L403" s="103" t="str">
        <f>VLOOKUP(Anexo_4[[#This Row],[cod_doc]],TIPODOC,2,FALSE)</f>
        <v>FACTURA</v>
      </c>
      <c r="M403" s="77" t="s">
        <v>180</v>
      </c>
      <c r="N403" s="79">
        <v>133518</v>
      </c>
      <c r="O403" s="80">
        <v>8.4700000000000006</v>
      </c>
      <c r="P403" s="81" t="s">
        <v>171</v>
      </c>
      <c r="Q403" s="81">
        <v>1.5246</v>
      </c>
      <c r="R403" s="80" t="s">
        <v>171</v>
      </c>
      <c r="S403" s="80">
        <v>0</v>
      </c>
      <c r="T403" s="82">
        <v>10</v>
      </c>
      <c r="U403" s="77"/>
      <c r="V403" s="75"/>
      <c r="W403" s="77"/>
      <c r="X403" s="77"/>
      <c r="Y403" s="77" t="s">
        <v>1542</v>
      </c>
      <c r="Z403" s="77" t="s">
        <v>386</v>
      </c>
      <c r="AA403" s="83" t="s">
        <v>1541</v>
      </c>
      <c r="AB403" s="104" t="str">
        <f>IFERROR(VLOOKUP(Anexo_4[[#This Row],[cuenta]],OP,2,0),"-")</f>
        <v>Balanza - Servicios</v>
      </c>
    </row>
    <row r="404" spans="1:28" s="84" customFormat="1" ht="27" customHeight="1" x14ac:dyDescent="0.3">
      <c r="A404" s="75" t="s">
        <v>1430</v>
      </c>
      <c r="B404" s="36" t="str">
        <f t="shared" si="6"/>
        <v>Junio</v>
      </c>
      <c r="C404" s="77" t="s">
        <v>162</v>
      </c>
      <c r="D404" s="77" t="s">
        <v>1543</v>
      </c>
      <c r="E404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404" s="79" t="s">
        <v>391</v>
      </c>
      <c r="G404" s="79" t="s">
        <v>392</v>
      </c>
      <c r="H404" s="140" t="s">
        <v>1544</v>
      </c>
      <c r="I404" s="77" t="s">
        <v>264</v>
      </c>
      <c r="J404" s="144" t="s">
        <v>265</v>
      </c>
      <c r="K404" s="77" t="s">
        <v>169</v>
      </c>
      <c r="L404" s="103" t="str">
        <f>VLOOKUP(Anexo_4[[#This Row],[cod_doc]],TIPODOC,2,FALSE)</f>
        <v>FACTURA</v>
      </c>
      <c r="M404" s="77" t="s">
        <v>406</v>
      </c>
      <c r="N404" s="79">
        <v>2380327</v>
      </c>
      <c r="O404" s="80">
        <v>6.78</v>
      </c>
      <c r="P404" s="81" t="s">
        <v>171</v>
      </c>
      <c r="Q404" s="81">
        <v>1.2203999999999999</v>
      </c>
      <c r="R404" s="80" t="s">
        <v>171</v>
      </c>
      <c r="S404" s="80">
        <v>0</v>
      </c>
      <c r="T404" s="82">
        <v>8</v>
      </c>
      <c r="U404" s="77"/>
      <c r="V404" s="75"/>
      <c r="W404" s="77"/>
      <c r="X404" s="77"/>
      <c r="Y404" s="77" t="s">
        <v>1545</v>
      </c>
      <c r="Z404" s="77" t="s">
        <v>302</v>
      </c>
      <c r="AA404" s="83" t="s">
        <v>1544</v>
      </c>
      <c r="AB404" s="104" t="str">
        <f>IFERROR(VLOOKUP(Anexo_4[[#This Row],[cuenta]],OP,2,0),"-")</f>
        <v>Transporte peajes - Servicios</v>
      </c>
    </row>
    <row r="405" spans="1:28" s="84" customFormat="1" ht="27" customHeight="1" x14ac:dyDescent="0.3">
      <c r="A405" s="75" t="s">
        <v>1430</v>
      </c>
      <c r="B405" s="36" t="str">
        <f t="shared" si="6"/>
        <v>Junio</v>
      </c>
      <c r="C405" s="77" t="s">
        <v>162</v>
      </c>
      <c r="D405" s="77" t="s">
        <v>1546</v>
      </c>
      <c r="E40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405" s="79" t="s">
        <v>391</v>
      </c>
      <c r="G405" s="79" t="s">
        <v>392</v>
      </c>
      <c r="H405" s="140" t="s">
        <v>1547</v>
      </c>
      <c r="I405" s="77" t="s">
        <v>264</v>
      </c>
      <c r="J405" s="144" t="s">
        <v>265</v>
      </c>
      <c r="K405" s="77" t="s">
        <v>169</v>
      </c>
      <c r="L405" s="103" t="str">
        <f>VLOOKUP(Anexo_4[[#This Row],[cod_doc]],TIPODOC,2,FALSE)</f>
        <v>FACTURA</v>
      </c>
      <c r="M405" s="77" t="s">
        <v>1548</v>
      </c>
      <c r="N405" s="79">
        <v>1869371</v>
      </c>
      <c r="O405" s="80">
        <v>6.53</v>
      </c>
      <c r="P405" s="81" t="s">
        <v>171</v>
      </c>
      <c r="Q405" s="81">
        <v>1.1754</v>
      </c>
      <c r="R405" s="80" t="s">
        <v>171</v>
      </c>
      <c r="S405" s="80">
        <v>0</v>
      </c>
      <c r="T405" s="82">
        <v>7.7</v>
      </c>
      <c r="U405" s="77"/>
      <c r="V405" s="75"/>
      <c r="W405" s="77"/>
      <c r="X405" s="77"/>
      <c r="Y405" s="77" t="s">
        <v>1549</v>
      </c>
      <c r="Z405" s="77" t="s">
        <v>302</v>
      </c>
      <c r="AA405" s="83" t="s">
        <v>1547</v>
      </c>
      <c r="AB405" s="104" t="str">
        <f>IFERROR(VLOOKUP(Anexo_4[[#This Row],[cuenta]],OP,2,0),"-")</f>
        <v>Transporte peajes - Servicios</v>
      </c>
    </row>
    <row r="406" spans="1:28" s="84" customFormat="1" ht="27" customHeight="1" x14ac:dyDescent="0.3">
      <c r="A406" s="75" t="s">
        <v>1190</v>
      </c>
      <c r="B406" s="36" t="str">
        <f t="shared" si="6"/>
        <v>Junio</v>
      </c>
      <c r="C406" s="77" t="s">
        <v>162</v>
      </c>
      <c r="D406" s="77" t="s">
        <v>1550</v>
      </c>
      <c r="E40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406" s="79" t="s">
        <v>391</v>
      </c>
      <c r="G406" s="79" t="s">
        <v>392</v>
      </c>
      <c r="H406" s="140" t="s">
        <v>1551</v>
      </c>
      <c r="I406" s="77" t="s">
        <v>1552</v>
      </c>
      <c r="J406" s="144" t="s">
        <v>1553</v>
      </c>
      <c r="K406" s="77" t="s">
        <v>169</v>
      </c>
      <c r="L406" s="103" t="str">
        <f>VLOOKUP(Anexo_4[[#This Row],[cod_doc]],TIPODOC,2,FALSE)</f>
        <v>FACTURA</v>
      </c>
      <c r="M406" s="77" t="s">
        <v>1554</v>
      </c>
      <c r="N406" s="79">
        <v>639832</v>
      </c>
      <c r="O406" s="80">
        <v>6.53</v>
      </c>
      <c r="P406" s="81" t="s">
        <v>171</v>
      </c>
      <c r="Q406" s="81">
        <v>1.1754</v>
      </c>
      <c r="R406" s="80" t="s">
        <v>171</v>
      </c>
      <c r="S406" s="80">
        <v>0</v>
      </c>
      <c r="T406" s="82">
        <v>7.7</v>
      </c>
      <c r="U406" s="77"/>
      <c r="V406" s="75"/>
      <c r="W406" s="77"/>
      <c r="X406" s="77"/>
      <c r="Y406" s="77" t="s">
        <v>1555</v>
      </c>
      <c r="Z406" s="77" t="s">
        <v>302</v>
      </c>
      <c r="AA406" s="83" t="s">
        <v>1551</v>
      </c>
      <c r="AB406" s="104" t="str">
        <f>IFERROR(VLOOKUP(Anexo_4[[#This Row],[cuenta]],OP,2,0),"-")</f>
        <v>Transporte peajes - Servicios</v>
      </c>
    </row>
    <row r="407" spans="1:28" s="84" customFormat="1" ht="27" customHeight="1" x14ac:dyDescent="0.3">
      <c r="A407" s="75" t="s">
        <v>1190</v>
      </c>
      <c r="B407" s="36" t="str">
        <f t="shared" si="6"/>
        <v>Junio</v>
      </c>
      <c r="C407" s="77" t="s">
        <v>162</v>
      </c>
      <c r="D407" s="77" t="s">
        <v>1556</v>
      </c>
      <c r="E407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407" s="79" t="s">
        <v>391</v>
      </c>
      <c r="G407" s="79" t="s">
        <v>392</v>
      </c>
      <c r="H407" s="140" t="s">
        <v>1557</v>
      </c>
      <c r="I407" s="77" t="s">
        <v>1552</v>
      </c>
      <c r="J407" s="144" t="s">
        <v>1553</v>
      </c>
      <c r="K407" s="77" t="s">
        <v>169</v>
      </c>
      <c r="L407" s="103" t="str">
        <f>VLOOKUP(Anexo_4[[#This Row],[cod_doc]],TIPODOC,2,FALSE)</f>
        <v>FACTURA</v>
      </c>
      <c r="M407" s="77" t="s">
        <v>1558</v>
      </c>
      <c r="N407" s="79">
        <v>628839</v>
      </c>
      <c r="O407" s="80">
        <v>6.53</v>
      </c>
      <c r="P407" s="81" t="s">
        <v>171</v>
      </c>
      <c r="Q407" s="81">
        <v>1.1754</v>
      </c>
      <c r="R407" s="80" t="s">
        <v>171</v>
      </c>
      <c r="S407" s="80">
        <v>0</v>
      </c>
      <c r="T407" s="82">
        <v>7.7</v>
      </c>
      <c r="U407" s="77"/>
      <c r="V407" s="75"/>
      <c r="W407" s="77"/>
      <c r="X407" s="77"/>
      <c r="Y407" s="77" t="s">
        <v>1559</v>
      </c>
      <c r="Z407" s="77" t="s">
        <v>302</v>
      </c>
      <c r="AA407" s="83" t="s">
        <v>1557</v>
      </c>
      <c r="AB407" s="104" t="str">
        <f>IFERROR(VLOOKUP(Anexo_4[[#This Row],[cuenta]],OP,2,0),"-")</f>
        <v>Transporte peajes - Servicios</v>
      </c>
    </row>
    <row r="408" spans="1:28" s="84" customFormat="1" ht="27" customHeight="1" x14ac:dyDescent="0.3">
      <c r="A408" s="75" t="s">
        <v>993</v>
      </c>
      <c r="B408" s="36" t="str">
        <f t="shared" si="6"/>
        <v>Junio</v>
      </c>
      <c r="C408" s="77" t="s">
        <v>162</v>
      </c>
      <c r="D408" s="77" t="s">
        <v>1560</v>
      </c>
      <c r="E408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408" s="79" t="s">
        <v>391</v>
      </c>
      <c r="G408" s="79" t="s">
        <v>392</v>
      </c>
      <c r="H408" s="140" t="s">
        <v>1561</v>
      </c>
      <c r="I408" s="77" t="s">
        <v>264</v>
      </c>
      <c r="J408" s="144" t="s">
        <v>265</v>
      </c>
      <c r="K408" s="77" t="s">
        <v>169</v>
      </c>
      <c r="L408" s="103" t="str">
        <f>VLOOKUP(Anexo_4[[#This Row],[cod_doc]],TIPODOC,2,FALSE)</f>
        <v>FACTURA</v>
      </c>
      <c r="M408" s="77" t="s">
        <v>1562</v>
      </c>
      <c r="N408" s="79">
        <v>441658</v>
      </c>
      <c r="O408" s="80">
        <v>6.53</v>
      </c>
      <c r="P408" s="81" t="s">
        <v>171</v>
      </c>
      <c r="Q408" s="81">
        <v>1.1754</v>
      </c>
      <c r="R408" s="80" t="s">
        <v>171</v>
      </c>
      <c r="S408" s="80">
        <v>0</v>
      </c>
      <c r="T408" s="82">
        <v>7.7</v>
      </c>
      <c r="U408" s="77"/>
      <c r="V408" s="75"/>
      <c r="W408" s="77"/>
      <c r="X408" s="77"/>
      <c r="Y408" s="77" t="s">
        <v>1563</v>
      </c>
      <c r="Z408" s="77" t="s">
        <v>302</v>
      </c>
      <c r="AA408" s="83" t="s">
        <v>1561</v>
      </c>
      <c r="AB408" s="104" t="str">
        <f>IFERROR(VLOOKUP(Anexo_4[[#This Row],[cuenta]],OP,2,0),"-")</f>
        <v>Transporte peajes - Servicios</v>
      </c>
    </row>
    <row r="409" spans="1:28" s="84" customFormat="1" ht="27" customHeight="1" x14ac:dyDescent="0.3">
      <c r="A409" s="75" t="s">
        <v>1190</v>
      </c>
      <c r="B409" s="36" t="str">
        <f t="shared" si="6"/>
        <v>Junio</v>
      </c>
      <c r="C409" s="77" t="s">
        <v>162</v>
      </c>
      <c r="D409" s="77" t="s">
        <v>1564</v>
      </c>
      <c r="E409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409" s="79" t="s">
        <v>391</v>
      </c>
      <c r="G409" s="79" t="s">
        <v>392</v>
      </c>
      <c r="H409" s="140" t="s">
        <v>765</v>
      </c>
      <c r="I409" s="77" t="s">
        <v>1565</v>
      </c>
      <c r="J409" s="144" t="s">
        <v>1566</v>
      </c>
      <c r="K409" s="77" t="s">
        <v>169</v>
      </c>
      <c r="L409" s="103" t="str">
        <f>VLOOKUP(Anexo_4[[#This Row],[cod_doc]],TIPODOC,2,FALSE)</f>
        <v>FACTURA</v>
      </c>
      <c r="M409" s="77" t="s">
        <v>222</v>
      </c>
      <c r="N409" s="79">
        <v>46261</v>
      </c>
      <c r="O409" s="80">
        <v>127.12</v>
      </c>
      <c r="P409" s="81" t="s">
        <v>171</v>
      </c>
      <c r="Q409" s="81">
        <v>22.881599999999999</v>
      </c>
      <c r="R409" s="80" t="s">
        <v>171</v>
      </c>
      <c r="S409" s="80">
        <v>0</v>
      </c>
      <c r="T409" s="82">
        <v>150</v>
      </c>
      <c r="U409" s="77"/>
      <c r="V409" s="75"/>
      <c r="W409" s="77"/>
      <c r="X409" s="77"/>
      <c r="Y409" s="77" t="s">
        <v>1567</v>
      </c>
      <c r="Z409" s="77" t="s">
        <v>455</v>
      </c>
      <c r="AA409" s="83" t="s">
        <v>765</v>
      </c>
      <c r="AB409" s="104" t="str">
        <f>IFERROR(VLOOKUP(Anexo_4[[#This Row],[cuenta]],OP,2,0),"-")</f>
        <v>Combustible (Vehiculos)</v>
      </c>
    </row>
    <row r="410" spans="1:28" s="84" customFormat="1" ht="27" customHeight="1" x14ac:dyDescent="0.3">
      <c r="A410" s="75" t="s">
        <v>841</v>
      </c>
      <c r="B410" s="36" t="str">
        <f t="shared" si="6"/>
        <v>Junio</v>
      </c>
      <c r="C410" s="77" t="s">
        <v>162</v>
      </c>
      <c r="D410" s="77" t="s">
        <v>1568</v>
      </c>
      <c r="E410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410" s="79" t="s">
        <v>235</v>
      </c>
      <c r="G410" s="79" t="s">
        <v>236</v>
      </c>
      <c r="H410" s="140" t="s">
        <v>1569</v>
      </c>
      <c r="I410" s="77" t="s">
        <v>383</v>
      </c>
      <c r="J410" s="144" t="s">
        <v>384</v>
      </c>
      <c r="K410" s="77" t="s">
        <v>169</v>
      </c>
      <c r="L410" s="103" t="str">
        <f>VLOOKUP(Anexo_4[[#This Row],[cod_doc]],TIPODOC,2,FALSE)</f>
        <v>FACTURA</v>
      </c>
      <c r="M410" s="77" t="s">
        <v>421</v>
      </c>
      <c r="N410" s="79">
        <v>34921</v>
      </c>
      <c r="O410" s="80">
        <v>8.4700000000000006</v>
      </c>
      <c r="P410" s="81" t="s">
        <v>171</v>
      </c>
      <c r="Q410" s="81">
        <v>1.5246</v>
      </c>
      <c r="R410" s="80" t="s">
        <v>171</v>
      </c>
      <c r="S410" s="80">
        <v>0</v>
      </c>
      <c r="T410" s="82">
        <v>10</v>
      </c>
      <c r="U410" s="77"/>
      <c r="V410" s="75"/>
      <c r="W410" s="77"/>
      <c r="X410" s="77"/>
      <c r="Y410" s="77" t="s">
        <v>1570</v>
      </c>
      <c r="Z410" s="77" t="s">
        <v>182</v>
      </c>
      <c r="AA410" s="83" t="s">
        <v>1569</v>
      </c>
      <c r="AB410" s="104" t="str">
        <f>IFERROR(VLOOKUP(Anexo_4[[#This Row],[cuenta]],OP,2,0),"-")</f>
        <v>Balanza - Ventas</v>
      </c>
    </row>
    <row r="411" spans="1:28" s="84" customFormat="1" ht="27" customHeight="1" x14ac:dyDescent="0.3">
      <c r="A411" s="75" t="s">
        <v>996</v>
      </c>
      <c r="B411" s="36" t="str">
        <f t="shared" si="6"/>
        <v>Junio</v>
      </c>
      <c r="C411" s="77" t="s">
        <v>162</v>
      </c>
      <c r="D411" s="77" t="s">
        <v>1571</v>
      </c>
      <c r="E41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411" s="79" t="s">
        <v>235</v>
      </c>
      <c r="G411" s="79" t="s">
        <v>236</v>
      </c>
      <c r="H411" s="140" t="s">
        <v>1572</v>
      </c>
      <c r="I411" s="77" t="s">
        <v>383</v>
      </c>
      <c r="J411" s="144" t="s">
        <v>384</v>
      </c>
      <c r="K411" s="77" t="s">
        <v>169</v>
      </c>
      <c r="L411" s="103" t="str">
        <f>VLOOKUP(Anexo_4[[#This Row],[cod_doc]],TIPODOC,2,FALSE)</f>
        <v>FACTURA</v>
      </c>
      <c r="M411" s="77" t="s">
        <v>103</v>
      </c>
      <c r="N411" s="79">
        <v>16711</v>
      </c>
      <c r="O411" s="80">
        <v>16.95</v>
      </c>
      <c r="P411" s="81" t="s">
        <v>171</v>
      </c>
      <c r="Q411" s="81">
        <v>3.0509999999999997</v>
      </c>
      <c r="R411" s="80" t="s">
        <v>171</v>
      </c>
      <c r="S411" s="80">
        <v>0</v>
      </c>
      <c r="T411" s="82">
        <v>20</v>
      </c>
      <c r="U411" s="77"/>
      <c r="V411" s="75"/>
      <c r="W411" s="77"/>
      <c r="X411" s="77"/>
      <c r="Y411" s="77" t="s">
        <v>1573</v>
      </c>
      <c r="Z411" s="77" t="s">
        <v>386</v>
      </c>
      <c r="AA411" s="83" t="s">
        <v>1572</v>
      </c>
      <c r="AB411" s="104" t="str">
        <f>IFERROR(VLOOKUP(Anexo_4[[#This Row],[cuenta]],OP,2,0),"-")</f>
        <v>Balanza - Servicios</v>
      </c>
    </row>
    <row r="412" spans="1:28" s="84" customFormat="1" ht="27" customHeight="1" x14ac:dyDescent="0.3">
      <c r="A412" s="75" t="s">
        <v>467</v>
      </c>
      <c r="B412" s="36" t="str">
        <f t="shared" si="6"/>
        <v>Junio</v>
      </c>
      <c r="C412" s="77" t="s">
        <v>162</v>
      </c>
      <c r="D412" s="77" t="s">
        <v>1574</v>
      </c>
      <c r="E41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412" s="79" t="s">
        <v>235</v>
      </c>
      <c r="G412" s="79" t="s">
        <v>236</v>
      </c>
      <c r="H412" s="140" t="s">
        <v>1575</v>
      </c>
      <c r="I412" s="77" t="s">
        <v>383</v>
      </c>
      <c r="J412" s="144" t="s">
        <v>384</v>
      </c>
      <c r="K412" s="77" t="s">
        <v>169</v>
      </c>
      <c r="L412" s="103" t="str">
        <f>VLOOKUP(Anexo_4[[#This Row],[cod_doc]],TIPODOC,2,FALSE)</f>
        <v>FACTURA</v>
      </c>
      <c r="M412" s="77" t="s">
        <v>103</v>
      </c>
      <c r="N412" s="79">
        <v>16708</v>
      </c>
      <c r="O412" s="80">
        <v>16.95</v>
      </c>
      <c r="P412" s="81" t="s">
        <v>171</v>
      </c>
      <c r="Q412" s="81">
        <v>3.0509999999999997</v>
      </c>
      <c r="R412" s="80" t="s">
        <v>171</v>
      </c>
      <c r="S412" s="80">
        <v>0</v>
      </c>
      <c r="T412" s="82">
        <v>20</v>
      </c>
      <c r="U412" s="77"/>
      <c r="V412" s="75"/>
      <c r="W412" s="77"/>
      <c r="X412" s="77"/>
      <c r="Y412" s="77" t="s">
        <v>1576</v>
      </c>
      <c r="Z412" s="77" t="s">
        <v>386</v>
      </c>
      <c r="AA412" s="83" t="s">
        <v>1575</v>
      </c>
      <c r="AB412" s="104" t="str">
        <f>IFERROR(VLOOKUP(Anexo_4[[#This Row],[cuenta]],OP,2,0),"-")</f>
        <v>Balanza - Servicios</v>
      </c>
    </row>
    <row r="413" spans="1:28" s="84" customFormat="1" ht="27" customHeight="1" x14ac:dyDescent="0.3">
      <c r="A413" s="75" t="s">
        <v>467</v>
      </c>
      <c r="B413" s="36" t="str">
        <f t="shared" si="6"/>
        <v>Junio</v>
      </c>
      <c r="C413" s="77" t="s">
        <v>162</v>
      </c>
      <c r="D413" s="77" t="s">
        <v>1577</v>
      </c>
      <c r="E413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413" s="79" t="s">
        <v>235</v>
      </c>
      <c r="G413" s="79" t="s">
        <v>236</v>
      </c>
      <c r="H413" s="140" t="s">
        <v>1578</v>
      </c>
      <c r="I413" s="77" t="s">
        <v>178</v>
      </c>
      <c r="J413" s="144" t="s">
        <v>179</v>
      </c>
      <c r="K413" s="77" t="s">
        <v>169</v>
      </c>
      <c r="L413" s="103" t="str">
        <f>VLOOKUP(Anexo_4[[#This Row],[cod_doc]],TIPODOC,2,FALSE)</f>
        <v>FACTURA</v>
      </c>
      <c r="M413" s="77" t="s">
        <v>180</v>
      </c>
      <c r="N413" s="79">
        <v>133208</v>
      </c>
      <c r="O413" s="80">
        <v>8.4700000000000006</v>
      </c>
      <c r="P413" s="81" t="s">
        <v>171</v>
      </c>
      <c r="Q413" s="81">
        <v>1.5246</v>
      </c>
      <c r="R413" s="80" t="s">
        <v>171</v>
      </c>
      <c r="S413" s="80">
        <v>0</v>
      </c>
      <c r="T413" s="82">
        <v>10</v>
      </c>
      <c r="U413" s="77"/>
      <c r="V413" s="75"/>
      <c r="W413" s="77"/>
      <c r="X413" s="77"/>
      <c r="Y413" s="77" t="s">
        <v>1579</v>
      </c>
      <c r="Z413" s="77" t="s">
        <v>386</v>
      </c>
      <c r="AA413" s="83" t="s">
        <v>1578</v>
      </c>
      <c r="AB413" s="104" t="str">
        <f>IFERROR(VLOOKUP(Anexo_4[[#This Row],[cuenta]],OP,2,0),"-")</f>
        <v>Balanza - Servicios</v>
      </c>
    </row>
    <row r="414" spans="1:28" s="84" customFormat="1" ht="27" customHeight="1" x14ac:dyDescent="0.3">
      <c r="A414" s="75" t="s">
        <v>467</v>
      </c>
      <c r="B414" s="36" t="str">
        <f t="shared" si="6"/>
        <v>Junio</v>
      </c>
      <c r="C414" s="77" t="s">
        <v>162</v>
      </c>
      <c r="D414" s="77" t="s">
        <v>1580</v>
      </c>
      <c r="E414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414" s="79" t="s">
        <v>235</v>
      </c>
      <c r="G414" s="79" t="s">
        <v>236</v>
      </c>
      <c r="H414" s="140" t="s">
        <v>1581</v>
      </c>
      <c r="I414" s="77" t="s">
        <v>264</v>
      </c>
      <c r="J414" s="144" t="s">
        <v>265</v>
      </c>
      <c r="K414" s="77" t="s">
        <v>169</v>
      </c>
      <c r="L414" s="103" t="str">
        <f>VLOOKUP(Anexo_4[[#This Row],[cod_doc]],TIPODOC,2,FALSE)</f>
        <v>FACTURA</v>
      </c>
      <c r="M414" s="77" t="s">
        <v>379</v>
      </c>
      <c r="N414" s="79">
        <v>2087356</v>
      </c>
      <c r="O414" s="80">
        <v>6.78</v>
      </c>
      <c r="P414" s="81" t="s">
        <v>171</v>
      </c>
      <c r="Q414" s="81">
        <v>1.2203999999999999</v>
      </c>
      <c r="R414" s="80" t="s">
        <v>171</v>
      </c>
      <c r="S414" s="80">
        <v>0</v>
      </c>
      <c r="T414" s="82">
        <v>8</v>
      </c>
      <c r="U414" s="77"/>
      <c r="V414" s="75"/>
      <c r="W414" s="77"/>
      <c r="X414" s="77"/>
      <c r="Y414" s="77" t="s">
        <v>1582</v>
      </c>
      <c r="Z414" s="77" t="s">
        <v>302</v>
      </c>
      <c r="AA414" s="83" t="s">
        <v>1581</v>
      </c>
      <c r="AB414" s="104" t="str">
        <f>IFERROR(VLOOKUP(Anexo_4[[#This Row],[cuenta]],OP,2,0),"-")</f>
        <v>Transporte peajes - Servicios</v>
      </c>
    </row>
    <row r="415" spans="1:28" s="84" customFormat="1" ht="27" customHeight="1" x14ac:dyDescent="0.3">
      <c r="A415" s="75" t="s">
        <v>467</v>
      </c>
      <c r="B415" s="36" t="str">
        <f t="shared" si="6"/>
        <v>Junio</v>
      </c>
      <c r="C415" s="77" t="s">
        <v>162</v>
      </c>
      <c r="D415" s="77" t="s">
        <v>1583</v>
      </c>
      <c r="E41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415" s="79" t="s">
        <v>235</v>
      </c>
      <c r="G415" s="79" t="s">
        <v>236</v>
      </c>
      <c r="H415" s="140" t="s">
        <v>1584</v>
      </c>
      <c r="I415" s="77" t="s">
        <v>264</v>
      </c>
      <c r="J415" s="144" t="s">
        <v>265</v>
      </c>
      <c r="K415" s="77" t="s">
        <v>169</v>
      </c>
      <c r="L415" s="103" t="str">
        <f>VLOOKUP(Anexo_4[[#This Row],[cod_doc]],TIPODOC,2,FALSE)</f>
        <v>FACTURA</v>
      </c>
      <c r="M415" s="77" t="s">
        <v>271</v>
      </c>
      <c r="N415" s="79">
        <v>1763337</v>
      </c>
      <c r="O415" s="80">
        <v>6.78</v>
      </c>
      <c r="P415" s="81" t="s">
        <v>171</v>
      </c>
      <c r="Q415" s="81">
        <v>1.2203999999999999</v>
      </c>
      <c r="R415" s="80" t="s">
        <v>171</v>
      </c>
      <c r="S415" s="80">
        <v>0</v>
      </c>
      <c r="T415" s="82">
        <v>8</v>
      </c>
      <c r="U415" s="77"/>
      <c r="V415" s="75"/>
      <c r="W415" s="77"/>
      <c r="X415" s="77"/>
      <c r="Y415" s="77" t="s">
        <v>1585</v>
      </c>
      <c r="Z415" s="77" t="s">
        <v>302</v>
      </c>
      <c r="AA415" s="83" t="s">
        <v>1584</v>
      </c>
      <c r="AB415" s="104" t="str">
        <f>IFERROR(VLOOKUP(Anexo_4[[#This Row],[cuenta]],OP,2,0),"-")</f>
        <v>Transporte peajes - Servicios</v>
      </c>
    </row>
    <row r="416" spans="1:28" s="84" customFormat="1" ht="27" customHeight="1" x14ac:dyDescent="0.3">
      <c r="A416" s="75" t="s">
        <v>996</v>
      </c>
      <c r="B416" s="36" t="str">
        <f t="shared" si="6"/>
        <v>Junio</v>
      </c>
      <c r="C416" s="77" t="s">
        <v>162</v>
      </c>
      <c r="D416" s="77" t="s">
        <v>1586</v>
      </c>
      <c r="E41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416" s="79" t="s">
        <v>235</v>
      </c>
      <c r="G416" s="79" t="s">
        <v>236</v>
      </c>
      <c r="H416" s="140" t="s">
        <v>1587</v>
      </c>
      <c r="I416" s="77" t="s">
        <v>264</v>
      </c>
      <c r="J416" s="144" t="s">
        <v>265</v>
      </c>
      <c r="K416" s="77" t="s">
        <v>169</v>
      </c>
      <c r="L416" s="103" t="str">
        <f>VLOOKUP(Anexo_4[[#This Row],[cod_doc]],TIPODOC,2,FALSE)</f>
        <v>FACTURA</v>
      </c>
      <c r="M416" s="77" t="s">
        <v>406</v>
      </c>
      <c r="N416" s="79">
        <v>2373153</v>
      </c>
      <c r="O416" s="80">
        <v>6.78</v>
      </c>
      <c r="P416" s="81" t="s">
        <v>171</v>
      </c>
      <c r="Q416" s="81">
        <v>1.2203999999999999</v>
      </c>
      <c r="R416" s="80" t="s">
        <v>171</v>
      </c>
      <c r="S416" s="80">
        <v>0</v>
      </c>
      <c r="T416" s="82">
        <v>8</v>
      </c>
      <c r="U416" s="77"/>
      <c r="V416" s="75"/>
      <c r="W416" s="77"/>
      <c r="X416" s="77"/>
      <c r="Y416" s="77" t="s">
        <v>1588</v>
      </c>
      <c r="Z416" s="77" t="s">
        <v>302</v>
      </c>
      <c r="AA416" s="83" t="s">
        <v>1587</v>
      </c>
      <c r="AB416" s="104" t="str">
        <f>IFERROR(VLOOKUP(Anexo_4[[#This Row],[cuenta]],OP,2,0),"-")</f>
        <v>Transporte peajes - Servicios</v>
      </c>
    </row>
    <row r="417" spans="1:28" s="84" customFormat="1" ht="27" customHeight="1" x14ac:dyDescent="0.3">
      <c r="A417" s="75" t="s">
        <v>857</v>
      </c>
      <c r="B417" s="36" t="str">
        <f t="shared" si="6"/>
        <v>Junio</v>
      </c>
      <c r="C417" s="77" t="s">
        <v>162</v>
      </c>
      <c r="D417" s="77" t="s">
        <v>1589</v>
      </c>
      <c r="E417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417" s="79" t="s">
        <v>235</v>
      </c>
      <c r="G417" s="79" t="s">
        <v>236</v>
      </c>
      <c r="H417" s="140" t="s">
        <v>1590</v>
      </c>
      <c r="I417" s="77" t="s">
        <v>264</v>
      </c>
      <c r="J417" s="144" t="s">
        <v>265</v>
      </c>
      <c r="K417" s="77" t="s">
        <v>169</v>
      </c>
      <c r="L417" s="103" t="str">
        <f>VLOOKUP(Anexo_4[[#This Row],[cod_doc]],TIPODOC,2,FALSE)</f>
        <v>FACTURA</v>
      </c>
      <c r="M417" s="77" t="s">
        <v>352</v>
      </c>
      <c r="N417" s="79">
        <v>1781167</v>
      </c>
      <c r="O417" s="80">
        <v>6.78</v>
      </c>
      <c r="P417" s="81" t="s">
        <v>171</v>
      </c>
      <c r="Q417" s="81">
        <v>1.2203999999999999</v>
      </c>
      <c r="R417" s="80" t="s">
        <v>171</v>
      </c>
      <c r="S417" s="80">
        <v>0</v>
      </c>
      <c r="T417" s="82">
        <v>8</v>
      </c>
      <c r="U417" s="77"/>
      <c r="V417" s="75"/>
      <c r="W417" s="77"/>
      <c r="X417" s="77"/>
      <c r="Y417" s="77" t="s">
        <v>1591</v>
      </c>
      <c r="Z417" s="77" t="s">
        <v>302</v>
      </c>
      <c r="AA417" s="83" t="s">
        <v>1590</v>
      </c>
      <c r="AB417" s="104" t="str">
        <f>IFERROR(VLOOKUP(Anexo_4[[#This Row],[cuenta]],OP,2,0),"-")</f>
        <v>Transporte peajes - Servicios</v>
      </c>
    </row>
    <row r="418" spans="1:28" s="84" customFormat="1" ht="27" customHeight="1" x14ac:dyDescent="0.3">
      <c r="A418" s="75" t="s">
        <v>857</v>
      </c>
      <c r="B418" s="36" t="str">
        <f t="shared" si="6"/>
        <v>Junio</v>
      </c>
      <c r="C418" s="77" t="s">
        <v>162</v>
      </c>
      <c r="D418" s="77" t="s">
        <v>1592</v>
      </c>
      <c r="E418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418" s="79" t="s">
        <v>235</v>
      </c>
      <c r="G418" s="79" t="s">
        <v>236</v>
      </c>
      <c r="H418" s="140" t="s">
        <v>1593</v>
      </c>
      <c r="I418" s="77" t="s">
        <v>264</v>
      </c>
      <c r="J418" s="144" t="s">
        <v>265</v>
      </c>
      <c r="K418" s="77" t="s">
        <v>169</v>
      </c>
      <c r="L418" s="103" t="str">
        <f>VLOOKUP(Anexo_4[[#This Row],[cod_doc]],TIPODOC,2,FALSE)</f>
        <v>FACTURA</v>
      </c>
      <c r="M418" s="77" t="s">
        <v>406</v>
      </c>
      <c r="N418" s="79">
        <v>2369380</v>
      </c>
      <c r="O418" s="80">
        <v>6.78</v>
      </c>
      <c r="P418" s="81" t="s">
        <v>171</v>
      </c>
      <c r="Q418" s="81">
        <v>1.2203999999999999</v>
      </c>
      <c r="R418" s="80" t="s">
        <v>171</v>
      </c>
      <c r="S418" s="80">
        <v>0</v>
      </c>
      <c r="T418" s="82">
        <v>8</v>
      </c>
      <c r="U418" s="77"/>
      <c r="V418" s="75"/>
      <c r="W418" s="77"/>
      <c r="X418" s="77"/>
      <c r="Y418" s="77" t="s">
        <v>1594</v>
      </c>
      <c r="Z418" s="77" t="s">
        <v>302</v>
      </c>
      <c r="AA418" s="83" t="s">
        <v>1593</v>
      </c>
      <c r="AB418" s="104" t="str">
        <f>IFERROR(VLOOKUP(Anexo_4[[#This Row],[cuenta]],OP,2,0),"-")</f>
        <v>Transporte peajes - Servicios</v>
      </c>
    </row>
    <row r="419" spans="1:28" s="84" customFormat="1" ht="27" customHeight="1" x14ac:dyDescent="0.3">
      <c r="A419" s="75" t="s">
        <v>857</v>
      </c>
      <c r="B419" s="36" t="str">
        <f t="shared" si="6"/>
        <v>Junio</v>
      </c>
      <c r="C419" s="77" t="s">
        <v>162</v>
      </c>
      <c r="D419" s="77" t="s">
        <v>1595</v>
      </c>
      <c r="E419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419" s="79" t="s">
        <v>235</v>
      </c>
      <c r="G419" s="79" t="s">
        <v>236</v>
      </c>
      <c r="H419" s="140" t="s">
        <v>1596</v>
      </c>
      <c r="I419" s="77" t="s">
        <v>264</v>
      </c>
      <c r="J419" s="144" t="s">
        <v>265</v>
      </c>
      <c r="K419" s="77" t="s">
        <v>169</v>
      </c>
      <c r="L419" s="103" t="str">
        <f>VLOOKUP(Anexo_4[[#This Row],[cod_doc]],TIPODOC,2,FALSE)</f>
        <v>FACTURA</v>
      </c>
      <c r="M419" s="77" t="s">
        <v>279</v>
      </c>
      <c r="N419" s="79">
        <v>1075039</v>
      </c>
      <c r="O419" s="80">
        <v>6.78</v>
      </c>
      <c r="P419" s="81" t="s">
        <v>171</v>
      </c>
      <c r="Q419" s="81">
        <v>1.2203999999999999</v>
      </c>
      <c r="R419" s="80" t="s">
        <v>171</v>
      </c>
      <c r="S419" s="80">
        <v>0</v>
      </c>
      <c r="T419" s="82">
        <v>8</v>
      </c>
      <c r="U419" s="77"/>
      <c r="V419" s="75"/>
      <c r="W419" s="77"/>
      <c r="X419" s="77"/>
      <c r="Y419" s="77" t="s">
        <v>1447</v>
      </c>
      <c r="Z419" s="77" t="s">
        <v>302</v>
      </c>
      <c r="AA419" s="83" t="s">
        <v>1596</v>
      </c>
      <c r="AB419" s="104" t="str">
        <f>IFERROR(VLOOKUP(Anexo_4[[#This Row],[cuenta]],OP,2,0),"-")</f>
        <v>Transporte peajes - Servicios</v>
      </c>
    </row>
    <row r="420" spans="1:28" s="84" customFormat="1" ht="27" customHeight="1" x14ac:dyDescent="0.3">
      <c r="A420" s="75" t="s">
        <v>857</v>
      </c>
      <c r="B420" s="36" t="str">
        <f t="shared" si="6"/>
        <v>Junio</v>
      </c>
      <c r="C420" s="77" t="s">
        <v>162</v>
      </c>
      <c r="D420" s="77" t="s">
        <v>1597</v>
      </c>
      <c r="E420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420" s="79" t="s">
        <v>235</v>
      </c>
      <c r="G420" s="79" t="s">
        <v>236</v>
      </c>
      <c r="H420" s="140" t="s">
        <v>1598</v>
      </c>
      <c r="I420" s="77" t="s">
        <v>264</v>
      </c>
      <c r="J420" s="144" t="s">
        <v>265</v>
      </c>
      <c r="K420" s="77" t="s">
        <v>169</v>
      </c>
      <c r="L420" s="103" t="str">
        <f>VLOOKUP(Anexo_4[[#This Row],[cod_doc]],TIPODOC,2,FALSE)</f>
        <v>FACTURA</v>
      </c>
      <c r="M420" s="77" t="s">
        <v>275</v>
      </c>
      <c r="N420" s="79">
        <v>984491</v>
      </c>
      <c r="O420" s="80">
        <v>6.78</v>
      </c>
      <c r="P420" s="81" t="s">
        <v>171</v>
      </c>
      <c r="Q420" s="81">
        <v>1.2203999999999999</v>
      </c>
      <c r="R420" s="80" t="s">
        <v>171</v>
      </c>
      <c r="S420" s="80">
        <v>0</v>
      </c>
      <c r="T420" s="82">
        <v>8</v>
      </c>
      <c r="U420" s="77"/>
      <c r="V420" s="75"/>
      <c r="W420" s="77"/>
      <c r="X420" s="77"/>
      <c r="Y420" s="77" t="s">
        <v>1599</v>
      </c>
      <c r="Z420" s="77" t="s">
        <v>302</v>
      </c>
      <c r="AA420" s="83" t="s">
        <v>1598</v>
      </c>
      <c r="AB420" s="104" t="str">
        <f>IFERROR(VLOOKUP(Anexo_4[[#This Row],[cuenta]],OP,2,0),"-")</f>
        <v>Transporte peajes - Servicios</v>
      </c>
    </row>
    <row r="421" spans="1:28" s="84" customFormat="1" ht="27" customHeight="1" x14ac:dyDescent="0.3">
      <c r="A421" s="75" t="s">
        <v>1430</v>
      </c>
      <c r="B421" s="36" t="str">
        <f t="shared" si="6"/>
        <v>Junio</v>
      </c>
      <c r="C421" s="77" t="s">
        <v>162</v>
      </c>
      <c r="D421" s="77" t="s">
        <v>1600</v>
      </c>
      <c r="E421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421" s="79" t="s">
        <v>650</v>
      </c>
      <c r="G421" s="79" t="s">
        <v>651</v>
      </c>
      <c r="H421" s="140" t="s">
        <v>1601</v>
      </c>
      <c r="I421" s="77" t="s">
        <v>653</v>
      </c>
      <c r="J421" s="144" t="s">
        <v>654</v>
      </c>
      <c r="K421" s="77" t="s">
        <v>169</v>
      </c>
      <c r="L421" s="103" t="str">
        <f>VLOOKUP(Anexo_4[[#This Row],[cod_doc]],TIPODOC,2,FALSE)</f>
        <v>FACTURA</v>
      </c>
      <c r="M421" s="77" t="s">
        <v>655</v>
      </c>
      <c r="N421" s="79">
        <v>16047</v>
      </c>
      <c r="O421" s="80">
        <v>106</v>
      </c>
      <c r="P421" s="81" t="s">
        <v>171</v>
      </c>
      <c r="Q421" s="81">
        <v>19.079999999999998</v>
      </c>
      <c r="R421" s="80" t="s">
        <v>171</v>
      </c>
      <c r="S421" s="80">
        <v>0</v>
      </c>
      <c r="T421" s="82">
        <v>125.08</v>
      </c>
      <c r="U421" s="77"/>
      <c r="V421" s="75"/>
      <c r="W421" s="77"/>
      <c r="X421" s="77"/>
      <c r="Y421" s="77"/>
      <c r="Z421" s="77" t="s">
        <v>1602</v>
      </c>
      <c r="AA421" s="83" t="s">
        <v>1601</v>
      </c>
      <c r="AB421" s="104" t="str">
        <f>IFERROR(VLOOKUP(Anexo_4[[#This Row],[cuenta]],OP,2,0),"-")</f>
        <v>Ingreso</v>
      </c>
    </row>
    <row r="422" spans="1:28" s="84" customFormat="1" ht="27" customHeight="1" x14ac:dyDescent="0.3">
      <c r="A422" s="75" t="s">
        <v>1230</v>
      </c>
      <c r="B422" s="36" t="str">
        <f t="shared" si="6"/>
        <v>Junio</v>
      </c>
      <c r="C422" s="77" t="s">
        <v>162</v>
      </c>
      <c r="D422" s="77" t="s">
        <v>1603</v>
      </c>
      <c r="E422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422" s="79"/>
      <c r="G422" s="79"/>
      <c r="H422" s="140"/>
      <c r="I422" s="77" t="s">
        <v>1604</v>
      </c>
      <c r="J422" s="144" t="s">
        <v>1605</v>
      </c>
      <c r="K422" s="77" t="s">
        <v>169</v>
      </c>
      <c r="L422" s="103" t="str">
        <f>VLOOKUP(Anexo_4[[#This Row],[cod_doc]],TIPODOC,2,FALSE)</f>
        <v>FACTURA</v>
      </c>
      <c r="M422" s="77" t="s">
        <v>1606</v>
      </c>
      <c r="N422" s="79" t="s">
        <v>1607</v>
      </c>
      <c r="O422" s="80">
        <v>112975.42</v>
      </c>
      <c r="P422" s="81" t="s">
        <v>171</v>
      </c>
      <c r="Q422" s="81">
        <v>20335.580000000002</v>
      </c>
      <c r="R422" s="80" t="s">
        <v>171</v>
      </c>
      <c r="S422" s="80">
        <v>0</v>
      </c>
      <c r="T422" s="82">
        <v>133311</v>
      </c>
      <c r="U422" s="77"/>
      <c r="V422" s="75"/>
      <c r="W422" s="77"/>
      <c r="X422" s="77"/>
      <c r="Y422" s="77"/>
      <c r="Z422" s="77"/>
      <c r="AA422" s="83"/>
      <c r="AB422" s="104" t="str">
        <f>IFERROR(VLOOKUP(Anexo_4[[#This Row],[cuenta]],OP,2,0),"-")</f>
        <v>-</v>
      </c>
    </row>
    <row r="423" spans="1:28" s="84" customFormat="1" ht="27" customHeight="1" x14ac:dyDescent="0.3">
      <c r="A423" s="75" t="s">
        <v>210</v>
      </c>
      <c r="B423" s="36" t="str">
        <f t="shared" si="6"/>
        <v>Junio</v>
      </c>
      <c r="C423" s="77" t="s">
        <v>162</v>
      </c>
      <c r="D423" s="77" t="s">
        <v>1608</v>
      </c>
      <c r="E423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423" s="79" t="s">
        <v>355</v>
      </c>
      <c r="G423" s="79" t="s">
        <v>356</v>
      </c>
      <c r="H423" s="140" t="s">
        <v>1609</v>
      </c>
      <c r="I423" s="77" t="s">
        <v>1610</v>
      </c>
      <c r="J423" s="144" t="s">
        <v>1611</v>
      </c>
      <c r="K423" s="77" t="s">
        <v>169</v>
      </c>
      <c r="L423" s="103" t="str">
        <f>VLOOKUP(Anexo_4[[#This Row],[cod_doc]],TIPODOC,2,FALSE)</f>
        <v>FACTURA</v>
      </c>
      <c r="M423" s="77" t="s">
        <v>222</v>
      </c>
      <c r="N423" s="79">
        <v>7664</v>
      </c>
      <c r="O423" s="80">
        <v>55.08</v>
      </c>
      <c r="P423" s="81" t="s">
        <v>171</v>
      </c>
      <c r="Q423" s="81">
        <v>9.9143999999999988</v>
      </c>
      <c r="R423" s="80" t="s">
        <v>171</v>
      </c>
      <c r="S423" s="80">
        <v>0</v>
      </c>
      <c r="T423" s="82">
        <v>65</v>
      </c>
      <c r="U423" s="77"/>
      <c r="V423" s="75"/>
      <c r="W423" s="77"/>
      <c r="X423" s="77"/>
      <c r="Y423" s="77" t="s">
        <v>1612</v>
      </c>
      <c r="Z423" s="77" t="s">
        <v>1071</v>
      </c>
      <c r="AA423" s="83" t="s">
        <v>1609</v>
      </c>
      <c r="AB423" s="104" t="str">
        <f>IFERROR(VLOOKUP(Anexo_4[[#This Row],[cuenta]],OP,2,0),"-")</f>
        <v>Gastos de Ferreteria</v>
      </c>
    </row>
    <row r="424" spans="1:28" s="84" customFormat="1" ht="27" customHeight="1" x14ac:dyDescent="0.3">
      <c r="A424" s="75" t="s">
        <v>540</v>
      </c>
      <c r="B424" s="36" t="str">
        <f t="shared" si="6"/>
        <v>Junio</v>
      </c>
      <c r="C424" s="77" t="s">
        <v>162</v>
      </c>
      <c r="D424" s="77" t="s">
        <v>1613</v>
      </c>
      <c r="E424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424" s="79" t="s">
        <v>355</v>
      </c>
      <c r="G424" s="79" t="s">
        <v>356</v>
      </c>
      <c r="H424" s="140" t="s">
        <v>1614</v>
      </c>
      <c r="I424" s="77" t="s">
        <v>1610</v>
      </c>
      <c r="J424" s="144" t="s">
        <v>1611</v>
      </c>
      <c r="K424" s="77" t="s">
        <v>169</v>
      </c>
      <c r="L424" s="103" t="str">
        <f>VLOOKUP(Anexo_4[[#This Row],[cod_doc]],TIPODOC,2,FALSE)</f>
        <v>FACTURA</v>
      </c>
      <c r="M424" s="77" t="s">
        <v>222</v>
      </c>
      <c r="N424" s="79">
        <v>7693</v>
      </c>
      <c r="O424" s="80">
        <v>77.540000000000006</v>
      </c>
      <c r="P424" s="81" t="s">
        <v>171</v>
      </c>
      <c r="Q424" s="81">
        <v>13.9572</v>
      </c>
      <c r="R424" s="80" t="s">
        <v>171</v>
      </c>
      <c r="S424" s="80">
        <v>0</v>
      </c>
      <c r="T424" s="82">
        <v>91.5</v>
      </c>
      <c r="U424" s="77"/>
      <c r="V424" s="75"/>
      <c r="W424" s="77"/>
      <c r="X424" s="77"/>
      <c r="Y424" s="77" t="s">
        <v>1615</v>
      </c>
      <c r="Z424" s="77" t="s">
        <v>1071</v>
      </c>
      <c r="AA424" s="83" t="s">
        <v>1614</v>
      </c>
      <c r="AB424" s="104" t="str">
        <f>IFERROR(VLOOKUP(Anexo_4[[#This Row],[cuenta]],OP,2,0),"-")</f>
        <v>Gastos de Ferreteria</v>
      </c>
    </row>
    <row r="425" spans="1:28" s="84" customFormat="1" ht="27" customHeight="1" x14ac:dyDescent="0.3">
      <c r="A425" s="75" t="s">
        <v>1190</v>
      </c>
      <c r="B425" s="36" t="str">
        <f t="shared" si="6"/>
        <v>Junio</v>
      </c>
      <c r="C425" s="77" t="s">
        <v>162</v>
      </c>
      <c r="D425" s="77" t="s">
        <v>1616</v>
      </c>
      <c r="E42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425" s="79" t="s">
        <v>355</v>
      </c>
      <c r="G425" s="79" t="s">
        <v>356</v>
      </c>
      <c r="H425" s="140" t="s">
        <v>1617</v>
      </c>
      <c r="I425" s="77" t="s">
        <v>1618</v>
      </c>
      <c r="J425" s="144" t="s">
        <v>1619</v>
      </c>
      <c r="K425" s="77" t="s">
        <v>169</v>
      </c>
      <c r="L425" s="103" t="str">
        <f>VLOOKUP(Anexo_4[[#This Row],[cod_doc]],TIPODOC,2,FALSE)</f>
        <v>FACTURA</v>
      </c>
      <c r="M425" s="77" t="s">
        <v>982</v>
      </c>
      <c r="N425" s="79">
        <v>312</v>
      </c>
      <c r="O425" s="80"/>
      <c r="P425" s="81">
        <v>90.91</v>
      </c>
      <c r="Q425" s="81">
        <v>0</v>
      </c>
      <c r="R425" s="80">
        <v>9.09</v>
      </c>
      <c r="S425" s="80">
        <v>0</v>
      </c>
      <c r="T425" s="82">
        <v>100</v>
      </c>
      <c r="U425" s="77"/>
      <c r="V425" s="75"/>
      <c r="W425" s="77"/>
      <c r="X425" s="77"/>
      <c r="Y425" s="77" t="s">
        <v>1620</v>
      </c>
      <c r="Z425" s="77" t="s">
        <v>376</v>
      </c>
      <c r="AA425" s="83" t="s">
        <v>1617</v>
      </c>
      <c r="AB425" s="104" t="str">
        <f>IFERROR(VLOOKUP(Anexo_4[[#This Row],[cuenta]],OP,2,0),"-")</f>
        <v>Alojamiento (Operativo)</v>
      </c>
    </row>
    <row r="426" spans="1:28" s="84" customFormat="1" ht="27" customHeight="1" x14ac:dyDescent="0.3">
      <c r="A426" s="75" t="s">
        <v>1378</v>
      </c>
      <c r="B426" s="36" t="str">
        <f t="shared" si="6"/>
        <v>Junio</v>
      </c>
      <c r="C426" s="77" t="s">
        <v>162</v>
      </c>
      <c r="D426" s="77" t="s">
        <v>1621</v>
      </c>
      <c r="E42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426" s="79" t="s">
        <v>458</v>
      </c>
      <c r="G426" s="79" t="s">
        <v>459</v>
      </c>
      <c r="H426" s="140" t="s">
        <v>1622</v>
      </c>
      <c r="I426" s="77" t="s">
        <v>600</v>
      </c>
      <c r="J426" s="144" t="s">
        <v>601</v>
      </c>
      <c r="K426" s="77" t="s">
        <v>169</v>
      </c>
      <c r="L426" s="103" t="str">
        <f>VLOOKUP(Anexo_4[[#This Row],[cod_doc]],TIPODOC,2,FALSE)</f>
        <v>FACTURA</v>
      </c>
      <c r="M426" s="77" t="s">
        <v>180</v>
      </c>
      <c r="N426" s="79">
        <v>20048</v>
      </c>
      <c r="O426" s="80">
        <v>27.97</v>
      </c>
      <c r="P426" s="81" t="s">
        <v>171</v>
      </c>
      <c r="Q426" s="81">
        <v>5.0345999999999993</v>
      </c>
      <c r="R426" s="80" t="s">
        <v>171</v>
      </c>
      <c r="S426" s="80">
        <v>0</v>
      </c>
      <c r="T426" s="82">
        <v>33</v>
      </c>
      <c r="U426" s="77"/>
      <c r="V426" s="75"/>
      <c r="W426" s="77"/>
      <c r="X426" s="77"/>
      <c r="Y426" s="77"/>
      <c r="Z426" s="77" t="s">
        <v>241</v>
      </c>
      <c r="AA426" s="83" t="s">
        <v>1622</v>
      </c>
      <c r="AB426" s="104" t="str">
        <f>IFERROR(VLOOKUP(Anexo_4[[#This Row],[cuenta]],OP,2,0),"-")</f>
        <v>Mantenimiento Vehicular (Correctivo)</v>
      </c>
    </row>
    <row r="427" spans="1:28" s="84" customFormat="1" ht="27" customHeight="1" x14ac:dyDescent="0.3">
      <c r="A427" s="75" t="s">
        <v>1623</v>
      </c>
      <c r="B427" s="36" t="str">
        <f t="shared" si="6"/>
        <v>Junio</v>
      </c>
      <c r="C427" s="77" t="s">
        <v>162</v>
      </c>
      <c r="D427" s="77" t="s">
        <v>1624</v>
      </c>
      <c r="E427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427" s="79" t="s">
        <v>248</v>
      </c>
      <c r="G427" s="79" t="s">
        <v>249</v>
      </c>
      <c r="H427" s="140" t="s">
        <v>1625</v>
      </c>
      <c r="I427" s="77" t="s">
        <v>980</v>
      </c>
      <c r="J427" s="144" t="s">
        <v>981</v>
      </c>
      <c r="K427" s="77" t="s">
        <v>169</v>
      </c>
      <c r="L427" s="103" t="str">
        <f>VLOOKUP(Anexo_4[[#This Row],[cod_doc]],TIPODOC,2,FALSE)</f>
        <v>FACTURA</v>
      </c>
      <c r="M427" s="77" t="s">
        <v>180</v>
      </c>
      <c r="N427" s="79">
        <v>628</v>
      </c>
      <c r="O427" s="80">
        <v>1450.85</v>
      </c>
      <c r="P427" s="81" t="s">
        <v>171</v>
      </c>
      <c r="Q427" s="81">
        <v>261.15299999999996</v>
      </c>
      <c r="R427" s="80" t="s">
        <v>171</v>
      </c>
      <c r="S427" s="80">
        <v>0</v>
      </c>
      <c r="T427" s="82">
        <v>1712</v>
      </c>
      <c r="U427" s="77" t="s">
        <v>1626</v>
      </c>
      <c r="V427" s="75" t="s">
        <v>1627</v>
      </c>
      <c r="W427" s="77"/>
      <c r="X427" s="77"/>
      <c r="Y427" s="77"/>
      <c r="Z427" s="77" t="s">
        <v>256</v>
      </c>
      <c r="AA427" s="83" t="s">
        <v>1625</v>
      </c>
      <c r="AB427" s="104" t="str">
        <f>IFERROR(VLOOKUP(Anexo_4[[#This Row],[cuenta]],OP,2,0),"-")</f>
        <v>Materias Primas - RRSS</v>
      </c>
    </row>
    <row r="428" spans="1:28" s="84" customFormat="1" ht="27" customHeight="1" x14ac:dyDescent="0.3">
      <c r="A428" s="75" t="s">
        <v>966</v>
      </c>
      <c r="B428" s="36" t="str">
        <f t="shared" si="6"/>
        <v>Junio</v>
      </c>
      <c r="C428" s="77" t="s">
        <v>162</v>
      </c>
      <c r="D428" s="77" t="s">
        <v>1628</v>
      </c>
      <c r="E428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428" s="79" t="s">
        <v>235</v>
      </c>
      <c r="G428" s="79" t="s">
        <v>236</v>
      </c>
      <c r="H428" s="140" t="s">
        <v>1629</v>
      </c>
      <c r="I428" s="77" t="s">
        <v>383</v>
      </c>
      <c r="J428" s="144" t="s">
        <v>384</v>
      </c>
      <c r="K428" s="77" t="s">
        <v>169</v>
      </c>
      <c r="L428" s="103" t="str">
        <f>VLOOKUP(Anexo_4[[#This Row],[cod_doc]],TIPODOC,2,FALSE)</f>
        <v>FACTURA</v>
      </c>
      <c r="M428" s="77" t="s">
        <v>103</v>
      </c>
      <c r="N428" s="79">
        <v>16742</v>
      </c>
      <c r="O428" s="80">
        <v>16.95</v>
      </c>
      <c r="P428" s="81" t="s">
        <v>171</v>
      </c>
      <c r="Q428" s="81">
        <v>3.0509999999999997</v>
      </c>
      <c r="R428" s="80" t="s">
        <v>171</v>
      </c>
      <c r="S428" s="80">
        <v>0</v>
      </c>
      <c r="T428" s="82">
        <v>20</v>
      </c>
      <c r="U428" s="77"/>
      <c r="V428" s="75"/>
      <c r="W428" s="77"/>
      <c r="X428" s="77"/>
      <c r="Y428" s="77" t="s">
        <v>1630</v>
      </c>
      <c r="Z428" s="77" t="s">
        <v>386</v>
      </c>
      <c r="AA428" s="83" t="s">
        <v>1629</v>
      </c>
      <c r="AB428" s="104" t="str">
        <f>IFERROR(VLOOKUP(Anexo_4[[#This Row],[cuenta]],OP,2,0),"-")</f>
        <v>Balanza - Servicios</v>
      </c>
    </row>
    <row r="429" spans="1:28" s="84" customFormat="1" ht="27" customHeight="1" x14ac:dyDescent="0.3">
      <c r="A429" s="75" t="s">
        <v>966</v>
      </c>
      <c r="B429" s="36" t="str">
        <f t="shared" si="6"/>
        <v>Junio</v>
      </c>
      <c r="C429" s="77" t="s">
        <v>162</v>
      </c>
      <c r="D429" s="77" t="s">
        <v>1631</v>
      </c>
      <c r="E429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429" s="79" t="s">
        <v>235</v>
      </c>
      <c r="G429" s="79" t="s">
        <v>236</v>
      </c>
      <c r="H429" s="140" t="s">
        <v>1632</v>
      </c>
      <c r="I429" s="77" t="s">
        <v>383</v>
      </c>
      <c r="J429" s="144" t="s">
        <v>384</v>
      </c>
      <c r="K429" s="77" t="s">
        <v>169</v>
      </c>
      <c r="L429" s="103" t="str">
        <f>VLOOKUP(Anexo_4[[#This Row],[cod_doc]],TIPODOC,2,FALSE)</f>
        <v>FACTURA</v>
      </c>
      <c r="M429" s="77" t="s">
        <v>103</v>
      </c>
      <c r="N429" s="79">
        <v>16744</v>
      </c>
      <c r="O429" s="80">
        <v>16.95</v>
      </c>
      <c r="P429" s="81" t="s">
        <v>171</v>
      </c>
      <c r="Q429" s="81">
        <v>3.0509999999999997</v>
      </c>
      <c r="R429" s="80" t="s">
        <v>171</v>
      </c>
      <c r="S429" s="80">
        <v>0</v>
      </c>
      <c r="T429" s="82">
        <v>20</v>
      </c>
      <c r="U429" s="77"/>
      <c r="V429" s="75"/>
      <c r="W429" s="77"/>
      <c r="X429" s="77"/>
      <c r="Y429" s="77" t="s">
        <v>1633</v>
      </c>
      <c r="Z429" s="77" t="s">
        <v>386</v>
      </c>
      <c r="AA429" s="83" t="s">
        <v>1632</v>
      </c>
      <c r="AB429" s="104" t="str">
        <f>IFERROR(VLOOKUP(Anexo_4[[#This Row],[cuenta]],OP,2,0),"-")</f>
        <v>Balanza - Servicios</v>
      </c>
    </row>
    <row r="430" spans="1:28" s="84" customFormat="1" ht="27" customHeight="1" x14ac:dyDescent="0.3">
      <c r="A430" s="75" t="s">
        <v>993</v>
      </c>
      <c r="B430" s="36" t="str">
        <f t="shared" si="6"/>
        <v>Junio</v>
      </c>
      <c r="C430" s="77" t="s">
        <v>162</v>
      </c>
      <c r="D430" s="77" t="s">
        <v>1634</v>
      </c>
      <c r="E430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430" s="79" t="s">
        <v>235</v>
      </c>
      <c r="G430" s="79" t="s">
        <v>236</v>
      </c>
      <c r="H430" s="140" t="s">
        <v>1635</v>
      </c>
      <c r="I430" s="77" t="s">
        <v>286</v>
      </c>
      <c r="J430" s="144" t="s">
        <v>287</v>
      </c>
      <c r="K430" s="77" t="s">
        <v>169</v>
      </c>
      <c r="L430" s="103" t="str">
        <f>VLOOKUP(Anexo_4[[#This Row],[cod_doc]],TIPODOC,2,FALSE)</f>
        <v>FACTURA</v>
      </c>
      <c r="M430" s="77" t="s">
        <v>222</v>
      </c>
      <c r="N430" s="79">
        <v>17806</v>
      </c>
      <c r="O430" s="80"/>
      <c r="P430" s="81" t="s">
        <v>171</v>
      </c>
      <c r="Q430" s="81">
        <v>0</v>
      </c>
      <c r="R430" s="80" t="s">
        <v>171</v>
      </c>
      <c r="S430" s="80">
        <v>11</v>
      </c>
      <c r="T430" s="82">
        <v>11</v>
      </c>
      <c r="U430" s="77"/>
      <c r="V430" s="75"/>
      <c r="W430" s="77"/>
      <c r="X430" s="77"/>
      <c r="Y430" s="77" t="s">
        <v>1636</v>
      </c>
      <c r="Z430" s="77" t="s">
        <v>386</v>
      </c>
      <c r="AA430" s="83" t="s">
        <v>1635</v>
      </c>
      <c r="AB430" s="104" t="str">
        <f>IFERROR(VLOOKUP(Anexo_4[[#This Row],[cuenta]],OP,2,0),"-")</f>
        <v>Balanza - Servicios</v>
      </c>
    </row>
    <row r="431" spans="1:28" s="84" customFormat="1" ht="27" customHeight="1" x14ac:dyDescent="0.3">
      <c r="A431" s="75" t="s">
        <v>1623</v>
      </c>
      <c r="B431" s="36" t="str">
        <f t="shared" si="6"/>
        <v>Junio</v>
      </c>
      <c r="C431" s="77" t="s">
        <v>162</v>
      </c>
      <c r="D431" s="77" t="s">
        <v>1637</v>
      </c>
      <c r="E43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431" s="79" t="s">
        <v>175</v>
      </c>
      <c r="G431" s="79" t="s">
        <v>176</v>
      </c>
      <c r="H431" s="140" t="s">
        <v>1638</v>
      </c>
      <c r="I431" s="77" t="s">
        <v>264</v>
      </c>
      <c r="J431" s="144" t="s">
        <v>265</v>
      </c>
      <c r="K431" s="77" t="s">
        <v>169</v>
      </c>
      <c r="L431" s="103" t="str">
        <f>VLOOKUP(Anexo_4[[#This Row],[cod_doc]],TIPODOC,2,FALSE)</f>
        <v>FACTURA</v>
      </c>
      <c r="M431" s="77" t="s">
        <v>352</v>
      </c>
      <c r="N431" s="79">
        <v>1793367</v>
      </c>
      <c r="O431" s="80">
        <v>10.17</v>
      </c>
      <c r="P431" s="81" t="s">
        <v>171</v>
      </c>
      <c r="Q431" s="81">
        <v>1.8306</v>
      </c>
      <c r="R431" s="80" t="s">
        <v>171</v>
      </c>
      <c r="S431" s="80">
        <v>0</v>
      </c>
      <c r="T431" s="82">
        <v>12</v>
      </c>
      <c r="U431" s="77"/>
      <c r="V431" s="75"/>
      <c r="W431" s="77"/>
      <c r="X431" s="77"/>
      <c r="Y431" s="77" t="s">
        <v>1639</v>
      </c>
      <c r="Z431" s="77" t="s">
        <v>302</v>
      </c>
      <c r="AA431" s="83" t="s">
        <v>1638</v>
      </c>
      <c r="AB431" s="104" t="str">
        <f>IFERROR(VLOOKUP(Anexo_4[[#This Row],[cuenta]],OP,2,0),"-")</f>
        <v>Transporte peajes - Servicios</v>
      </c>
    </row>
    <row r="432" spans="1:28" s="84" customFormat="1" ht="27" customHeight="1" x14ac:dyDescent="0.3">
      <c r="A432" s="75" t="s">
        <v>1623</v>
      </c>
      <c r="B432" s="36" t="str">
        <f t="shared" si="6"/>
        <v>Junio</v>
      </c>
      <c r="C432" s="77" t="s">
        <v>162</v>
      </c>
      <c r="D432" s="77" t="s">
        <v>1640</v>
      </c>
      <c r="E43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432" s="79" t="s">
        <v>175</v>
      </c>
      <c r="G432" s="79" t="s">
        <v>176</v>
      </c>
      <c r="H432" s="140" t="s">
        <v>1641</v>
      </c>
      <c r="I432" s="77" t="s">
        <v>264</v>
      </c>
      <c r="J432" s="144" t="s">
        <v>265</v>
      </c>
      <c r="K432" s="77" t="s">
        <v>169</v>
      </c>
      <c r="L432" s="103" t="str">
        <f>VLOOKUP(Anexo_4[[#This Row],[cod_doc]],TIPODOC,2,FALSE)</f>
        <v>FACTURA</v>
      </c>
      <c r="M432" s="77" t="s">
        <v>271</v>
      </c>
      <c r="N432" s="79">
        <v>1773178</v>
      </c>
      <c r="O432" s="80">
        <v>10.17</v>
      </c>
      <c r="P432" s="81" t="s">
        <v>171</v>
      </c>
      <c r="Q432" s="81">
        <v>1.8306</v>
      </c>
      <c r="R432" s="80" t="s">
        <v>171</v>
      </c>
      <c r="S432" s="80">
        <v>0</v>
      </c>
      <c r="T432" s="82">
        <v>12</v>
      </c>
      <c r="U432" s="77"/>
      <c r="V432" s="75"/>
      <c r="W432" s="77"/>
      <c r="X432" s="77"/>
      <c r="Y432" s="77" t="s">
        <v>1642</v>
      </c>
      <c r="Z432" s="77" t="s">
        <v>302</v>
      </c>
      <c r="AA432" s="83" t="s">
        <v>1641</v>
      </c>
      <c r="AB432" s="104" t="str">
        <f>IFERROR(VLOOKUP(Anexo_4[[#This Row],[cuenta]],OP,2,0),"-")</f>
        <v>Transporte peajes - Servicios</v>
      </c>
    </row>
    <row r="433" spans="1:28" s="84" customFormat="1" ht="27" customHeight="1" x14ac:dyDescent="0.3">
      <c r="A433" s="75" t="s">
        <v>1623</v>
      </c>
      <c r="B433" s="36" t="str">
        <f t="shared" si="6"/>
        <v>Junio</v>
      </c>
      <c r="C433" s="77" t="s">
        <v>162</v>
      </c>
      <c r="D433" s="77" t="s">
        <v>1643</v>
      </c>
      <c r="E433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433" s="79" t="s">
        <v>235</v>
      </c>
      <c r="G433" s="79" t="s">
        <v>236</v>
      </c>
      <c r="H433" s="140" t="s">
        <v>1644</v>
      </c>
      <c r="I433" s="77" t="s">
        <v>264</v>
      </c>
      <c r="J433" s="144" t="s">
        <v>265</v>
      </c>
      <c r="K433" s="77" t="s">
        <v>169</v>
      </c>
      <c r="L433" s="103" t="str">
        <f>VLOOKUP(Anexo_4[[#This Row],[cod_doc]],TIPODOC,2,FALSE)</f>
        <v>FACTURA</v>
      </c>
      <c r="M433" s="77" t="s">
        <v>271</v>
      </c>
      <c r="N433" s="79">
        <v>1773171</v>
      </c>
      <c r="O433" s="80">
        <v>6.78</v>
      </c>
      <c r="P433" s="81" t="s">
        <v>171</v>
      </c>
      <c r="Q433" s="81">
        <v>1.2203999999999999</v>
      </c>
      <c r="R433" s="80" t="s">
        <v>171</v>
      </c>
      <c r="S433" s="80">
        <v>0</v>
      </c>
      <c r="T433" s="82">
        <v>8</v>
      </c>
      <c r="U433" s="77"/>
      <c r="V433" s="75"/>
      <c r="W433" s="77"/>
      <c r="X433" s="77"/>
      <c r="Y433" s="77" t="s">
        <v>1645</v>
      </c>
      <c r="Z433" s="77" t="s">
        <v>302</v>
      </c>
      <c r="AA433" s="83" t="s">
        <v>1644</v>
      </c>
      <c r="AB433" s="104" t="str">
        <f>IFERROR(VLOOKUP(Anexo_4[[#This Row],[cuenta]],OP,2,0),"-")</f>
        <v>Transporte peajes - Servicios</v>
      </c>
    </row>
    <row r="434" spans="1:28" s="84" customFormat="1" ht="27" customHeight="1" x14ac:dyDescent="0.3">
      <c r="A434" s="75" t="s">
        <v>1623</v>
      </c>
      <c r="B434" s="36" t="str">
        <f t="shared" si="6"/>
        <v>Junio</v>
      </c>
      <c r="C434" s="77" t="s">
        <v>162</v>
      </c>
      <c r="D434" s="77" t="s">
        <v>1646</v>
      </c>
      <c r="E434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434" s="79" t="s">
        <v>235</v>
      </c>
      <c r="G434" s="79" t="s">
        <v>236</v>
      </c>
      <c r="H434" s="140" t="s">
        <v>1647</v>
      </c>
      <c r="I434" s="77" t="s">
        <v>264</v>
      </c>
      <c r="J434" s="144" t="s">
        <v>265</v>
      </c>
      <c r="K434" s="77" t="s">
        <v>169</v>
      </c>
      <c r="L434" s="103" t="str">
        <f>VLOOKUP(Anexo_4[[#This Row],[cod_doc]],TIPODOC,2,FALSE)</f>
        <v>FACTURA</v>
      </c>
      <c r="M434" s="77" t="s">
        <v>352</v>
      </c>
      <c r="N434" s="79">
        <v>1793223</v>
      </c>
      <c r="O434" s="80">
        <v>6.78</v>
      </c>
      <c r="P434" s="81" t="s">
        <v>171</v>
      </c>
      <c r="Q434" s="81">
        <v>1.2203999999999999</v>
      </c>
      <c r="R434" s="80" t="s">
        <v>171</v>
      </c>
      <c r="S434" s="80">
        <v>0</v>
      </c>
      <c r="T434" s="82">
        <v>8</v>
      </c>
      <c r="U434" s="77"/>
      <c r="V434" s="75"/>
      <c r="W434" s="77"/>
      <c r="X434" s="77"/>
      <c r="Y434" s="77" t="s">
        <v>1648</v>
      </c>
      <c r="Z434" s="77" t="s">
        <v>302</v>
      </c>
      <c r="AA434" s="83" t="s">
        <v>1647</v>
      </c>
      <c r="AB434" s="104" t="str">
        <f>IFERROR(VLOOKUP(Anexo_4[[#This Row],[cuenta]],OP,2,0),"-")</f>
        <v>Transporte peajes - Servicios</v>
      </c>
    </row>
    <row r="435" spans="1:28" s="84" customFormat="1" ht="27" customHeight="1" x14ac:dyDescent="0.3">
      <c r="A435" s="75" t="s">
        <v>966</v>
      </c>
      <c r="B435" s="36" t="str">
        <f t="shared" si="6"/>
        <v>Junio</v>
      </c>
      <c r="C435" s="77" t="s">
        <v>162</v>
      </c>
      <c r="D435" s="77" t="s">
        <v>1649</v>
      </c>
      <c r="E43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435" s="79" t="s">
        <v>235</v>
      </c>
      <c r="G435" s="79" t="s">
        <v>236</v>
      </c>
      <c r="H435" s="140" t="s">
        <v>1650</v>
      </c>
      <c r="I435" s="77" t="s">
        <v>264</v>
      </c>
      <c r="J435" s="144" t="s">
        <v>265</v>
      </c>
      <c r="K435" s="77" t="s">
        <v>169</v>
      </c>
      <c r="L435" s="103" t="str">
        <f>VLOOKUP(Anexo_4[[#This Row],[cod_doc]],TIPODOC,2,FALSE)</f>
        <v>FACTURA</v>
      </c>
      <c r="M435" s="77" t="s">
        <v>271</v>
      </c>
      <c r="N435" s="79">
        <v>1768506</v>
      </c>
      <c r="O435" s="80">
        <v>6.78</v>
      </c>
      <c r="P435" s="81" t="s">
        <v>171</v>
      </c>
      <c r="Q435" s="81">
        <v>1.2203999999999999</v>
      </c>
      <c r="R435" s="80" t="s">
        <v>171</v>
      </c>
      <c r="S435" s="80">
        <v>0</v>
      </c>
      <c r="T435" s="82">
        <v>8</v>
      </c>
      <c r="U435" s="77"/>
      <c r="V435" s="75"/>
      <c r="W435" s="77"/>
      <c r="X435" s="77"/>
      <c r="Y435" s="77" t="s">
        <v>1651</v>
      </c>
      <c r="Z435" s="77" t="s">
        <v>302</v>
      </c>
      <c r="AA435" s="83" t="s">
        <v>1650</v>
      </c>
      <c r="AB435" s="104" t="str">
        <f>IFERROR(VLOOKUP(Anexo_4[[#This Row],[cuenta]],OP,2,0),"-")</f>
        <v>Transporte peajes - Servicios</v>
      </c>
    </row>
    <row r="436" spans="1:28" s="84" customFormat="1" ht="27" customHeight="1" x14ac:dyDescent="0.3">
      <c r="A436" s="75" t="s">
        <v>993</v>
      </c>
      <c r="B436" s="36" t="str">
        <f t="shared" si="6"/>
        <v>Junio</v>
      </c>
      <c r="C436" s="77" t="s">
        <v>162</v>
      </c>
      <c r="D436" s="77" t="s">
        <v>1652</v>
      </c>
      <c r="E43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436" s="79" t="s">
        <v>235</v>
      </c>
      <c r="G436" s="79" t="s">
        <v>236</v>
      </c>
      <c r="H436" s="140" t="s">
        <v>1653</v>
      </c>
      <c r="I436" s="77" t="s">
        <v>264</v>
      </c>
      <c r="J436" s="144" t="s">
        <v>265</v>
      </c>
      <c r="K436" s="77" t="s">
        <v>169</v>
      </c>
      <c r="L436" s="103" t="str">
        <f>VLOOKUP(Anexo_4[[#This Row],[cod_doc]],TIPODOC,2,FALSE)</f>
        <v>FACTURA</v>
      </c>
      <c r="M436" s="77" t="s">
        <v>279</v>
      </c>
      <c r="N436" s="79">
        <v>1078975</v>
      </c>
      <c r="O436" s="80">
        <v>6.78</v>
      </c>
      <c r="P436" s="81" t="s">
        <v>171</v>
      </c>
      <c r="Q436" s="81">
        <v>1.2203999999999999</v>
      </c>
      <c r="R436" s="80" t="s">
        <v>171</v>
      </c>
      <c r="S436" s="80">
        <v>0</v>
      </c>
      <c r="T436" s="82">
        <v>8</v>
      </c>
      <c r="U436" s="77"/>
      <c r="V436" s="75"/>
      <c r="W436" s="77"/>
      <c r="X436" s="77"/>
      <c r="Y436" s="77" t="s">
        <v>1654</v>
      </c>
      <c r="Z436" s="77" t="s">
        <v>302</v>
      </c>
      <c r="AA436" s="83" t="s">
        <v>1653</v>
      </c>
      <c r="AB436" s="104" t="str">
        <f>IFERROR(VLOOKUP(Anexo_4[[#This Row],[cuenta]],OP,2,0),"-")</f>
        <v>Transporte peajes - Servicios</v>
      </c>
    </row>
    <row r="437" spans="1:28" s="84" customFormat="1" ht="27" customHeight="1" x14ac:dyDescent="0.3">
      <c r="A437" s="75" t="s">
        <v>993</v>
      </c>
      <c r="B437" s="36" t="str">
        <f t="shared" si="6"/>
        <v>Junio</v>
      </c>
      <c r="C437" s="77" t="s">
        <v>162</v>
      </c>
      <c r="D437" s="77" t="s">
        <v>1655</v>
      </c>
      <c r="E437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437" s="79" t="s">
        <v>235</v>
      </c>
      <c r="G437" s="79" t="s">
        <v>236</v>
      </c>
      <c r="H437" s="140" t="s">
        <v>1656</v>
      </c>
      <c r="I437" s="77" t="s">
        <v>264</v>
      </c>
      <c r="J437" s="144" t="s">
        <v>265</v>
      </c>
      <c r="K437" s="77" t="s">
        <v>169</v>
      </c>
      <c r="L437" s="103" t="str">
        <f>VLOOKUP(Anexo_4[[#This Row],[cod_doc]],TIPODOC,2,FALSE)</f>
        <v>FACTURA</v>
      </c>
      <c r="M437" s="77" t="s">
        <v>266</v>
      </c>
      <c r="N437" s="79">
        <v>483731</v>
      </c>
      <c r="O437" s="80">
        <v>6.78</v>
      </c>
      <c r="P437" s="81" t="s">
        <v>171</v>
      </c>
      <c r="Q437" s="81">
        <v>1.2203999999999999</v>
      </c>
      <c r="R437" s="80" t="s">
        <v>171</v>
      </c>
      <c r="S437" s="80">
        <v>0</v>
      </c>
      <c r="T437" s="82">
        <v>8</v>
      </c>
      <c r="U437" s="77"/>
      <c r="V437" s="75"/>
      <c r="W437" s="77"/>
      <c r="X437" s="77"/>
      <c r="Y437" s="77" t="s">
        <v>1657</v>
      </c>
      <c r="Z437" s="77" t="s">
        <v>302</v>
      </c>
      <c r="AA437" s="83" t="s">
        <v>1656</v>
      </c>
      <c r="AB437" s="104" t="str">
        <f>IFERROR(VLOOKUP(Anexo_4[[#This Row],[cuenta]],OP,2,0),"-")</f>
        <v>Transporte peajes - Servicios</v>
      </c>
    </row>
    <row r="438" spans="1:28" s="84" customFormat="1" ht="27" customHeight="1" x14ac:dyDescent="0.3">
      <c r="A438" s="75" t="s">
        <v>993</v>
      </c>
      <c r="B438" s="36" t="str">
        <f t="shared" si="6"/>
        <v>Junio</v>
      </c>
      <c r="C438" s="77" t="s">
        <v>162</v>
      </c>
      <c r="D438" s="77" t="s">
        <v>1658</v>
      </c>
      <c r="E438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438" s="79" t="s">
        <v>235</v>
      </c>
      <c r="G438" s="79" t="s">
        <v>236</v>
      </c>
      <c r="H438" s="140" t="s">
        <v>1659</v>
      </c>
      <c r="I438" s="77" t="s">
        <v>264</v>
      </c>
      <c r="J438" s="144" t="s">
        <v>265</v>
      </c>
      <c r="K438" s="77" t="s">
        <v>169</v>
      </c>
      <c r="L438" s="103" t="str">
        <f>VLOOKUP(Anexo_4[[#This Row],[cod_doc]],TIPODOC,2,FALSE)</f>
        <v>FACTURA</v>
      </c>
      <c r="M438" s="77" t="s">
        <v>271</v>
      </c>
      <c r="N438" s="79">
        <v>1766579</v>
      </c>
      <c r="O438" s="80">
        <v>6.78</v>
      </c>
      <c r="P438" s="81" t="s">
        <v>171</v>
      </c>
      <c r="Q438" s="81">
        <v>1.2203999999999999</v>
      </c>
      <c r="R438" s="80" t="s">
        <v>171</v>
      </c>
      <c r="S438" s="80">
        <v>0</v>
      </c>
      <c r="T438" s="82">
        <v>8</v>
      </c>
      <c r="U438" s="77"/>
      <c r="V438" s="75"/>
      <c r="W438" s="77"/>
      <c r="X438" s="77"/>
      <c r="Y438" s="77" t="s">
        <v>1660</v>
      </c>
      <c r="Z438" s="77" t="s">
        <v>302</v>
      </c>
      <c r="AA438" s="83" t="s">
        <v>1659</v>
      </c>
      <c r="AB438" s="104" t="str">
        <f>IFERROR(VLOOKUP(Anexo_4[[#This Row],[cuenta]],OP,2,0),"-")</f>
        <v>Transporte peajes - Servicios</v>
      </c>
    </row>
    <row r="439" spans="1:28" s="84" customFormat="1" ht="27" customHeight="1" x14ac:dyDescent="0.3">
      <c r="A439" s="75" t="s">
        <v>1623</v>
      </c>
      <c r="B439" s="36" t="str">
        <f t="shared" si="6"/>
        <v>Junio</v>
      </c>
      <c r="C439" s="77" t="s">
        <v>162</v>
      </c>
      <c r="D439" s="77" t="s">
        <v>1661</v>
      </c>
      <c r="E439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439" s="79" t="s">
        <v>217</v>
      </c>
      <c r="G439" s="79" t="s">
        <v>218</v>
      </c>
      <c r="H439" s="140" t="s">
        <v>1662</v>
      </c>
      <c r="I439" s="77" t="s">
        <v>264</v>
      </c>
      <c r="J439" s="144" t="s">
        <v>265</v>
      </c>
      <c r="K439" s="77" t="s">
        <v>169</v>
      </c>
      <c r="L439" s="103" t="str">
        <f>VLOOKUP(Anexo_4[[#This Row],[cod_doc]],TIPODOC,2,FALSE)</f>
        <v>FACTURA</v>
      </c>
      <c r="M439" s="77" t="s">
        <v>379</v>
      </c>
      <c r="N439" s="79">
        <v>2098923</v>
      </c>
      <c r="O439" s="80">
        <v>3.39</v>
      </c>
      <c r="P439" s="81" t="s">
        <v>171</v>
      </c>
      <c r="Q439" s="81">
        <v>0.61019999999999996</v>
      </c>
      <c r="R439" s="80" t="s">
        <v>171</v>
      </c>
      <c r="S439" s="80">
        <v>0</v>
      </c>
      <c r="T439" s="82">
        <v>8</v>
      </c>
      <c r="U439" s="77"/>
      <c r="V439" s="75"/>
      <c r="W439" s="77"/>
      <c r="X439" s="77"/>
      <c r="Y439" s="77" t="s">
        <v>1663</v>
      </c>
      <c r="Z439" s="77" t="s">
        <v>302</v>
      </c>
      <c r="AA439" s="83" t="s">
        <v>1662</v>
      </c>
      <c r="AB439" s="104" t="str">
        <f>IFERROR(VLOOKUP(Anexo_4[[#This Row],[cuenta]],OP,2,0),"-")</f>
        <v>Transporte peajes - Servicios</v>
      </c>
    </row>
    <row r="440" spans="1:28" s="84" customFormat="1" ht="27" customHeight="1" x14ac:dyDescent="0.3">
      <c r="A440" s="75" t="s">
        <v>1623</v>
      </c>
      <c r="B440" s="36" t="str">
        <f t="shared" si="6"/>
        <v>Junio</v>
      </c>
      <c r="C440" s="77" t="s">
        <v>162</v>
      </c>
      <c r="D440" s="77" t="s">
        <v>1661</v>
      </c>
      <c r="E440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440" s="79" t="s">
        <v>217</v>
      </c>
      <c r="G440" s="79" t="s">
        <v>218</v>
      </c>
      <c r="H440" s="140" t="s">
        <v>1662</v>
      </c>
      <c r="I440" s="77" t="s">
        <v>264</v>
      </c>
      <c r="J440" s="144" t="s">
        <v>265</v>
      </c>
      <c r="K440" s="77" t="s">
        <v>169</v>
      </c>
      <c r="L440" s="103" t="str">
        <f>VLOOKUP(Anexo_4[[#This Row],[cod_doc]],TIPODOC,2,FALSE)</f>
        <v>FACTURA</v>
      </c>
      <c r="M440" s="77" t="s">
        <v>379</v>
      </c>
      <c r="N440" s="79">
        <v>2098923</v>
      </c>
      <c r="O440" s="80">
        <v>3.39</v>
      </c>
      <c r="P440" s="81" t="s">
        <v>171</v>
      </c>
      <c r="Q440" s="81">
        <v>0.61019999999999996</v>
      </c>
      <c r="R440" s="80" t="s">
        <v>171</v>
      </c>
      <c r="S440" s="80">
        <v>0</v>
      </c>
      <c r="T440" s="82">
        <v>8</v>
      </c>
      <c r="U440" s="77"/>
      <c r="V440" s="75"/>
      <c r="W440" s="77"/>
      <c r="X440" s="77"/>
      <c r="Y440" s="77" t="s">
        <v>1663</v>
      </c>
      <c r="Z440" s="77" t="s">
        <v>268</v>
      </c>
      <c r="AA440" s="83" t="s">
        <v>1662</v>
      </c>
      <c r="AB440" s="104" t="str">
        <f>IFERROR(VLOOKUP(Anexo_4[[#This Row],[cuenta]],OP,2,0),"-")</f>
        <v>Transporte peajes - Ventas</v>
      </c>
    </row>
    <row r="441" spans="1:28" s="84" customFormat="1" ht="27" customHeight="1" x14ac:dyDescent="0.3">
      <c r="A441" s="75" t="s">
        <v>1623</v>
      </c>
      <c r="B441" s="36" t="str">
        <f t="shared" si="6"/>
        <v>Junio</v>
      </c>
      <c r="C441" s="77" t="s">
        <v>162</v>
      </c>
      <c r="D441" s="77" t="s">
        <v>1664</v>
      </c>
      <c r="E44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441" s="79" t="s">
        <v>217</v>
      </c>
      <c r="G441" s="79" t="s">
        <v>218</v>
      </c>
      <c r="H441" s="140" t="s">
        <v>1665</v>
      </c>
      <c r="I441" s="77" t="s">
        <v>264</v>
      </c>
      <c r="J441" s="144" t="s">
        <v>265</v>
      </c>
      <c r="K441" s="77" t="s">
        <v>169</v>
      </c>
      <c r="L441" s="103" t="str">
        <f>VLOOKUP(Anexo_4[[#This Row],[cod_doc]],TIPODOC,2,FALSE)</f>
        <v>FACTURA</v>
      </c>
      <c r="M441" s="77" t="s">
        <v>406</v>
      </c>
      <c r="N441" s="79">
        <v>2384256</v>
      </c>
      <c r="O441" s="80">
        <v>3.39</v>
      </c>
      <c r="P441" s="81" t="s">
        <v>171</v>
      </c>
      <c r="Q441" s="81">
        <v>0.61019999999999996</v>
      </c>
      <c r="R441" s="80" t="s">
        <v>171</v>
      </c>
      <c r="S441" s="80">
        <v>0</v>
      </c>
      <c r="T441" s="82">
        <v>8</v>
      </c>
      <c r="U441" s="77"/>
      <c r="V441" s="75"/>
      <c r="W441" s="77"/>
      <c r="X441" s="77"/>
      <c r="Y441" s="77" t="s">
        <v>1666</v>
      </c>
      <c r="Z441" s="77" t="s">
        <v>302</v>
      </c>
      <c r="AA441" s="83" t="s">
        <v>1665</v>
      </c>
      <c r="AB441" s="104" t="str">
        <f>IFERROR(VLOOKUP(Anexo_4[[#This Row],[cuenta]],OP,2,0),"-")</f>
        <v>Transporte peajes - Servicios</v>
      </c>
    </row>
    <row r="442" spans="1:28" s="84" customFormat="1" ht="27" customHeight="1" x14ac:dyDescent="0.3">
      <c r="A442" s="75" t="s">
        <v>1623</v>
      </c>
      <c r="B442" s="36" t="str">
        <f t="shared" si="6"/>
        <v>Junio</v>
      </c>
      <c r="C442" s="77" t="s">
        <v>162</v>
      </c>
      <c r="D442" s="77" t="s">
        <v>1664</v>
      </c>
      <c r="E44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442" s="79" t="s">
        <v>217</v>
      </c>
      <c r="G442" s="79" t="s">
        <v>218</v>
      </c>
      <c r="H442" s="140" t="s">
        <v>1665</v>
      </c>
      <c r="I442" s="77" t="s">
        <v>264</v>
      </c>
      <c r="J442" s="144" t="s">
        <v>265</v>
      </c>
      <c r="K442" s="77" t="s">
        <v>169</v>
      </c>
      <c r="L442" s="103" t="str">
        <f>VLOOKUP(Anexo_4[[#This Row],[cod_doc]],TIPODOC,2,FALSE)</f>
        <v>FACTURA</v>
      </c>
      <c r="M442" s="77" t="s">
        <v>406</v>
      </c>
      <c r="N442" s="79">
        <v>2384256</v>
      </c>
      <c r="O442" s="80">
        <v>3.39</v>
      </c>
      <c r="P442" s="81" t="s">
        <v>171</v>
      </c>
      <c r="Q442" s="81">
        <v>0.61019999999999996</v>
      </c>
      <c r="R442" s="80" t="s">
        <v>171</v>
      </c>
      <c r="S442" s="80">
        <v>0</v>
      </c>
      <c r="T442" s="82">
        <v>8</v>
      </c>
      <c r="U442" s="77"/>
      <c r="V442" s="75"/>
      <c r="W442" s="77"/>
      <c r="X442" s="77"/>
      <c r="Y442" s="77" t="s">
        <v>1666</v>
      </c>
      <c r="Z442" s="77" t="s">
        <v>268</v>
      </c>
      <c r="AA442" s="83" t="s">
        <v>1665</v>
      </c>
      <c r="AB442" s="104" t="str">
        <f>IFERROR(VLOOKUP(Anexo_4[[#This Row],[cuenta]],OP,2,0),"-")</f>
        <v>Transporte peajes - Ventas</v>
      </c>
    </row>
    <row r="443" spans="1:28" s="84" customFormat="1" ht="27" customHeight="1" x14ac:dyDescent="0.3">
      <c r="A443" s="75" t="s">
        <v>1378</v>
      </c>
      <c r="B443" s="36" t="str">
        <f t="shared" si="6"/>
        <v>Junio</v>
      </c>
      <c r="C443" s="77" t="s">
        <v>162</v>
      </c>
      <c r="D443" s="77" t="s">
        <v>1667</v>
      </c>
      <c r="E443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443" s="79" t="s">
        <v>217</v>
      </c>
      <c r="G443" s="79" t="s">
        <v>218</v>
      </c>
      <c r="H443" s="140" t="s">
        <v>1668</v>
      </c>
      <c r="I443" s="77" t="s">
        <v>264</v>
      </c>
      <c r="J443" s="144" t="s">
        <v>265</v>
      </c>
      <c r="K443" s="77" t="s">
        <v>169</v>
      </c>
      <c r="L443" s="103" t="str">
        <f>VLOOKUP(Anexo_4[[#This Row],[cod_doc]],TIPODOC,2,FALSE)</f>
        <v>FACTURA</v>
      </c>
      <c r="M443" s="77" t="s">
        <v>379</v>
      </c>
      <c r="N443" s="79">
        <v>2095899</v>
      </c>
      <c r="O443" s="80">
        <v>3.39</v>
      </c>
      <c r="P443" s="81" t="s">
        <v>171</v>
      </c>
      <c r="Q443" s="81">
        <v>0.61019999999999996</v>
      </c>
      <c r="R443" s="80" t="s">
        <v>171</v>
      </c>
      <c r="S443" s="80">
        <v>0</v>
      </c>
      <c r="T443" s="82">
        <v>8</v>
      </c>
      <c r="U443" s="77"/>
      <c r="V443" s="75"/>
      <c r="W443" s="77"/>
      <c r="X443" s="77"/>
      <c r="Y443" s="77" t="s">
        <v>1669</v>
      </c>
      <c r="Z443" s="77" t="s">
        <v>302</v>
      </c>
      <c r="AA443" s="83" t="s">
        <v>1668</v>
      </c>
      <c r="AB443" s="104" t="str">
        <f>IFERROR(VLOOKUP(Anexo_4[[#This Row],[cuenta]],OP,2,0),"-")</f>
        <v>Transporte peajes - Servicios</v>
      </c>
    </row>
    <row r="444" spans="1:28" s="84" customFormat="1" ht="27" customHeight="1" x14ac:dyDescent="0.3">
      <c r="A444" s="75" t="s">
        <v>1378</v>
      </c>
      <c r="B444" s="36" t="str">
        <f t="shared" si="6"/>
        <v>Junio</v>
      </c>
      <c r="C444" s="77" t="s">
        <v>162</v>
      </c>
      <c r="D444" s="77" t="s">
        <v>1667</v>
      </c>
      <c r="E444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444" s="79" t="s">
        <v>217</v>
      </c>
      <c r="G444" s="79" t="s">
        <v>218</v>
      </c>
      <c r="H444" s="140" t="s">
        <v>1668</v>
      </c>
      <c r="I444" s="77" t="s">
        <v>264</v>
      </c>
      <c r="J444" s="144" t="s">
        <v>265</v>
      </c>
      <c r="K444" s="77" t="s">
        <v>169</v>
      </c>
      <c r="L444" s="103" t="str">
        <f>VLOOKUP(Anexo_4[[#This Row],[cod_doc]],TIPODOC,2,FALSE)</f>
        <v>FACTURA</v>
      </c>
      <c r="M444" s="77" t="s">
        <v>379</v>
      </c>
      <c r="N444" s="79">
        <v>2095899</v>
      </c>
      <c r="O444" s="80">
        <v>3.39</v>
      </c>
      <c r="P444" s="81" t="s">
        <v>171</v>
      </c>
      <c r="Q444" s="81">
        <v>0.61019999999999996</v>
      </c>
      <c r="R444" s="80" t="s">
        <v>171</v>
      </c>
      <c r="S444" s="80">
        <v>0</v>
      </c>
      <c r="T444" s="82">
        <v>8</v>
      </c>
      <c r="U444" s="77"/>
      <c r="V444" s="75"/>
      <c r="W444" s="77"/>
      <c r="X444" s="77"/>
      <c r="Y444" s="77" t="s">
        <v>1669</v>
      </c>
      <c r="Z444" s="77" t="s">
        <v>268</v>
      </c>
      <c r="AA444" s="83" t="s">
        <v>1668</v>
      </c>
      <c r="AB444" s="104" t="str">
        <f>IFERROR(VLOOKUP(Anexo_4[[#This Row],[cuenta]],OP,2,0),"-")</f>
        <v>Transporte peajes - Ventas</v>
      </c>
    </row>
    <row r="445" spans="1:28" s="84" customFormat="1" ht="27" customHeight="1" x14ac:dyDescent="0.3">
      <c r="A445" s="75" t="s">
        <v>1378</v>
      </c>
      <c r="B445" s="36" t="str">
        <f t="shared" si="6"/>
        <v>Junio</v>
      </c>
      <c r="C445" s="77" t="s">
        <v>162</v>
      </c>
      <c r="D445" s="77" t="s">
        <v>1670</v>
      </c>
      <c r="E44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445" s="79" t="s">
        <v>217</v>
      </c>
      <c r="G445" s="79" t="s">
        <v>218</v>
      </c>
      <c r="H445" s="140" t="s">
        <v>1671</v>
      </c>
      <c r="I445" s="77" t="s">
        <v>264</v>
      </c>
      <c r="J445" s="144" t="s">
        <v>265</v>
      </c>
      <c r="K445" s="77" t="s">
        <v>169</v>
      </c>
      <c r="L445" s="103" t="str">
        <f>VLOOKUP(Anexo_4[[#This Row],[cod_doc]],TIPODOC,2,FALSE)</f>
        <v>FACTURA</v>
      </c>
      <c r="M445" s="77" t="s">
        <v>406</v>
      </c>
      <c r="N445" s="79">
        <v>2381263</v>
      </c>
      <c r="O445" s="80">
        <v>3.39</v>
      </c>
      <c r="P445" s="81" t="s">
        <v>171</v>
      </c>
      <c r="Q445" s="81">
        <v>0.61019999999999996</v>
      </c>
      <c r="R445" s="80" t="s">
        <v>171</v>
      </c>
      <c r="S445" s="80">
        <v>0</v>
      </c>
      <c r="T445" s="82">
        <v>8</v>
      </c>
      <c r="U445" s="77"/>
      <c r="V445" s="75"/>
      <c r="W445" s="77"/>
      <c r="X445" s="77"/>
      <c r="Y445" s="77" t="s">
        <v>1672</v>
      </c>
      <c r="Z445" s="77" t="s">
        <v>302</v>
      </c>
      <c r="AA445" s="83" t="s">
        <v>1671</v>
      </c>
      <c r="AB445" s="104" t="str">
        <f>IFERROR(VLOOKUP(Anexo_4[[#This Row],[cuenta]],OP,2,0),"-")</f>
        <v>Transporte peajes - Servicios</v>
      </c>
    </row>
    <row r="446" spans="1:28" s="84" customFormat="1" ht="27" customHeight="1" x14ac:dyDescent="0.3">
      <c r="A446" s="75" t="s">
        <v>1378</v>
      </c>
      <c r="B446" s="36" t="str">
        <f t="shared" si="6"/>
        <v>Junio</v>
      </c>
      <c r="C446" s="77" t="s">
        <v>162</v>
      </c>
      <c r="D446" s="77" t="s">
        <v>1670</v>
      </c>
      <c r="E44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446" s="79" t="s">
        <v>217</v>
      </c>
      <c r="G446" s="79" t="s">
        <v>218</v>
      </c>
      <c r="H446" s="140" t="s">
        <v>1671</v>
      </c>
      <c r="I446" s="77" t="s">
        <v>264</v>
      </c>
      <c r="J446" s="144" t="s">
        <v>265</v>
      </c>
      <c r="K446" s="77" t="s">
        <v>169</v>
      </c>
      <c r="L446" s="103" t="str">
        <f>VLOOKUP(Anexo_4[[#This Row],[cod_doc]],TIPODOC,2,FALSE)</f>
        <v>FACTURA</v>
      </c>
      <c r="M446" s="77" t="s">
        <v>406</v>
      </c>
      <c r="N446" s="79">
        <v>2381263</v>
      </c>
      <c r="O446" s="80">
        <v>3.39</v>
      </c>
      <c r="P446" s="81" t="s">
        <v>171</v>
      </c>
      <c r="Q446" s="81">
        <v>0.61019999999999996</v>
      </c>
      <c r="R446" s="80" t="s">
        <v>171</v>
      </c>
      <c r="S446" s="80">
        <v>0</v>
      </c>
      <c r="T446" s="82">
        <v>8</v>
      </c>
      <c r="U446" s="77"/>
      <c r="V446" s="75"/>
      <c r="W446" s="77"/>
      <c r="X446" s="77"/>
      <c r="Y446" s="77" t="s">
        <v>1672</v>
      </c>
      <c r="Z446" s="77" t="s">
        <v>268</v>
      </c>
      <c r="AA446" s="83" t="s">
        <v>1671</v>
      </c>
      <c r="AB446" s="104" t="str">
        <f>IFERROR(VLOOKUP(Anexo_4[[#This Row],[cuenta]],OP,2,0),"-")</f>
        <v>Transporte peajes - Ventas</v>
      </c>
    </row>
    <row r="447" spans="1:28" s="84" customFormat="1" ht="27" customHeight="1" x14ac:dyDescent="0.3">
      <c r="A447" s="75" t="s">
        <v>1430</v>
      </c>
      <c r="B447" s="36" t="str">
        <f t="shared" si="6"/>
        <v>Junio</v>
      </c>
      <c r="C447" s="77" t="s">
        <v>162</v>
      </c>
      <c r="D447" s="77" t="s">
        <v>1673</v>
      </c>
      <c r="E447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447" s="79" t="s">
        <v>217</v>
      </c>
      <c r="G447" s="79" t="s">
        <v>218</v>
      </c>
      <c r="H447" s="140" t="s">
        <v>1674</v>
      </c>
      <c r="I447" s="77" t="s">
        <v>264</v>
      </c>
      <c r="J447" s="144" t="s">
        <v>265</v>
      </c>
      <c r="K447" s="77" t="s">
        <v>169</v>
      </c>
      <c r="L447" s="103" t="str">
        <f>VLOOKUP(Anexo_4[[#This Row],[cod_doc]],TIPODOC,2,FALSE)</f>
        <v>FACTURA</v>
      </c>
      <c r="M447" s="77" t="s">
        <v>379</v>
      </c>
      <c r="N447" s="79">
        <v>2094717</v>
      </c>
      <c r="O447" s="80">
        <v>3.39</v>
      </c>
      <c r="P447" s="81" t="s">
        <v>171</v>
      </c>
      <c r="Q447" s="81">
        <v>0.61019999999999996</v>
      </c>
      <c r="R447" s="80" t="s">
        <v>171</v>
      </c>
      <c r="S447" s="80">
        <v>0</v>
      </c>
      <c r="T447" s="82">
        <v>8</v>
      </c>
      <c r="U447" s="77"/>
      <c r="V447" s="75"/>
      <c r="W447" s="77"/>
      <c r="X447" s="77"/>
      <c r="Y447" s="77" t="s">
        <v>1675</v>
      </c>
      <c r="Z447" s="77" t="s">
        <v>302</v>
      </c>
      <c r="AA447" s="83" t="s">
        <v>1674</v>
      </c>
      <c r="AB447" s="104" t="str">
        <f>IFERROR(VLOOKUP(Anexo_4[[#This Row],[cuenta]],OP,2,0),"-")</f>
        <v>Transporte peajes - Servicios</v>
      </c>
    </row>
    <row r="448" spans="1:28" s="84" customFormat="1" ht="27" customHeight="1" x14ac:dyDescent="0.3">
      <c r="A448" s="75" t="s">
        <v>1430</v>
      </c>
      <c r="B448" s="36" t="str">
        <f t="shared" si="6"/>
        <v>Junio</v>
      </c>
      <c r="C448" s="77" t="s">
        <v>162</v>
      </c>
      <c r="D448" s="77" t="s">
        <v>1673</v>
      </c>
      <c r="E448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448" s="79" t="s">
        <v>217</v>
      </c>
      <c r="G448" s="79" t="s">
        <v>218</v>
      </c>
      <c r="H448" s="140" t="s">
        <v>1674</v>
      </c>
      <c r="I448" s="77" t="s">
        <v>264</v>
      </c>
      <c r="J448" s="144" t="s">
        <v>265</v>
      </c>
      <c r="K448" s="77" t="s">
        <v>169</v>
      </c>
      <c r="L448" s="103" t="str">
        <f>VLOOKUP(Anexo_4[[#This Row],[cod_doc]],TIPODOC,2,FALSE)</f>
        <v>FACTURA</v>
      </c>
      <c r="M448" s="77" t="s">
        <v>379</v>
      </c>
      <c r="N448" s="79">
        <v>2094717</v>
      </c>
      <c r="O448" s="80">
        <v>3.39</v>
      </c>
      <c r="P448" s="81" t="s">
        <v>171</v>
      </c>
      <c r="Q448" s="81">
        <v>0.61019999999999996</v>
      </c>
      <c r="R448" s="80" t="s">
        <v>171</v>
      </c>
      <c r="S448" s="80">
        <v>0</v>
      </c>
      <c r="T448" s="82">
        <v>8</v>
      </c>
      <c r="U448" s="77"/>
      <c r="V448" s="75"/>
      <c r="W448" s="77"/>
      <c r="X448" s="77"/>
      <c r="Y448" s="77" t="s">
        <v>1675</v>
      </c>
      <c r="Z448" s="77" t="s">
        <v>268</v>
      </c>
      <c r="AA448" s="83" t="s">
        <v>1674</v>
      </c>
      <c r="AB448" s="104" t="str">
        <f>IFERROR(VLOOKUP(Anexo_4[[#This Row],[cuenta]],OP,2,0),"-")</f>
        <v>Transporte peajes - Ventas</v>
      </c>
    </row>
    <row r="449" spans="1:28" s="84" customFormat="1" ht="27" customHeight="1" x14ac:dyDescent="0.3">
      <c r="A449" s="75" t="s">
        <v>993</v>
      </c>
      <c r="B449" s="36" t="str">
        <f t="shared" si="6"/>
        <v>Junio</v>
      </c>
      <c r="C449" s="77" t="s">
        <v>162</v>
      </c>
      <c r="D449" s="77" t="s">
        <v>1676</v>
      </c>
      <c r="E449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449" s="79" t="s">
        <v>217</v>
      </c>
      <c r="G449" s="79" t="s">
        <v>218</v>
      </c>
      <c r="H449" s="140" t="s">
        <v>1677</v>
      </c>
      <c r="I449" s="77" t="s">
        <v>264</v>
      </c>
      <c r="J449" s="144" t="s">
        <v>265</v>
      </c>
      <c r="K449" s="77" t="s">
        <v>169</v>
      </c>
      <c r="L449" s="103" t="str">
        <f>VLOOKUP(Anexo_4[[#This Row],[cod_doc]],TIPODOC,2,FALSE)</f>
        <v>FACTURA</v>
      </c>
      <c r="M449" s="77" t="s">
        <v>406</v>
      </c>
      <c r="N449" s="79">
        <v>2376263</v>
      </c>
      <c r="O449" s="80">
        <v>6.78</v>
      </c>
      <c r="P449" s="81" t="s">
        <v>171</v>
      </c>
      <c r="Q449" s="81">
        <v>1.2203999999999999</v>
      </c>
      <c r="R449" s="80" t="s">
        <v>171</v>
      </c>
      <c r="S449" s="80">
        <v>0</v>
      </c>
      <c r="T449" s="82">
        <v>8</v>
      </c>
      <c r="U449" s="77"/>
      <c r="V449" s="75"/>
      <c r="W449" s="77"/>
      <c r="X449" s="77"/>
      <c r="Y449" s="77" t="s">
        <v>1678</v>
      </c>
      <c r="Z449" s="77" t="s">
        <v>268</v>
      </c>
      <c r="AA449" s="83" t="s">
        <v>1677</v>
      </c>
      <c r="AB449" s="104" t="str">
        <f>IFERROR(VLOOKUP(Anexo_4[[#This Row],[cuenta]],OP,2,0),"-")</f>
        <v>Transporte peajes - Ventas</v>
      </c>
    </row>
    <row r="450" spans="1:28" s="84" customFormat="1" ht="27" customHeight="1" x14ac:dyDescent="0.3">
      <c r="A450" s="75" t="s">
        <v>1430</v>
      </c>
      <c r="B450" s="36" t="str">
        <f t="shared" ref="B450:B513" si="7">PROPER(CHOOSE(LEFT(D450,2),"enero","febrero","marzo","abril","mayo","junio","julio","agosto","setiembre","octubre","noviembre","diciembre"))</f>
        <v>Junio</v>
      </c>
      <c r="C450" s="77" t="s">
        <v>162</v>
      </c>
      <c r="D450" s="77" t="s">
        <v>1679</v>
      </c>
      <c r="E450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450" s="79" t="s">
        <v>235</v>
      </c>
      <c r="G450" s="79" t="s">
        <v>236</v>
      </c>
      <c r="H450" s="140" t="s">
        <v>1680</v>
      </c>
      <c r="I450" s="77" t="s">
        <v>383</v>
      </c>
      <c r="J450" s="144" t="s">
        <v>384</v>
      </c>
      <c r="K450" s="77" t="s">
        <v>169</v>
      </c>
      <c r="L450" s="103" t="str">
        <f>VLOOKUP(Anexo_4[[#This Row],[cod_doc]],TIPODOC,2,FALSE)</f>
        <v>FACTURA</v>
      </c>
      <c r="M450" s="77" t="s">
        <v>421</v>
      </c>
      <c r="N450" s="79">
        <v>35010</v>
      </c>
      <c r="O450" s="80">
        <v>8.4700000000000006</v>
      </c>
      <c r="P450" s="81" t="s">
        <v>171</v>
      </c>
      <c r="Q450" s="81">
        <v>1.5246</v>
      </c>
      <c r="R450" s="80" t="s">
        <v>171</v>
      </c>
      <c r="S450" s="80">
        <v>0</v>
      </c>
      <c r="T450" s="82">
        <v>10</v>
      </c>
      <c r="U450" s="77"/>
      <c r="V450" s="75"/>
      <c r="W450" s="77"/>
      <c r="X450" s="77"/>
      <c r="Y450" s="77" t="s">
        <v>1681</v>
      </c>
      <c r="Z450" s="77" t="s">
        <v>182</v>
      </c>
      <c r="AA450" s="83" t="s">
        <v>1680</v>
      </c>
      <c r="AB450" s="104" t="str">
        <f>IFERROR(VLOOKUP(Anexo_4[[#This Row],[cuenta]],OP,2,0),"-")</f>
        <v>Balanza - Ventas</v>
      </c>
    </row>
    <row r="451" spans="1:28" s="84" customFormat="1" ht="27" customHeight="1" x14ac:dyDescent="0.3">
      <c r="A451" s="75" t="s">
        <v>1623</v>
      </c>
      <c r="B451" s="36" t="str">
        <f t="shared" si="7"/>
        <v>Junio</v>
      </c>
      <c r="C451" s="77" t="s">
        <v>162</v>
      </c>
      <c r="D451" s="77" t="s">
        <v>1682</v>
      </c>
      <c r="E45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451" s="79" t="s">
        <v>391</v>
      </c>
      <c r="G451" s="79" t="s">
        <v>392</v>
      </c>
      <c r="H451" s="140" t="s">
        <v>1683</v>
      </c>
      <c r="I451" s="77" t="s">
        <v>264</v>
      </c>
      <c r="J451" s="144" t="s">
        <v>265</v>
      </c>
      <c r="K451" s="77" t="s">
        <v>169</v>
      </c>
      <c r="L451" s="103" t="str">
        <f>VLOOKUP(Anexo_4[[#This Row],[cod_doc]],TIPODOC,2,FALSE)</f>
        <v>FACTURA</v>
      </c>
      <c r="M451" s="77" t="s">
        <v>271</v>
      </c>
      <c r="N451" s="79">
        <v>1772957</v>
      </c>
      <c r="O451" s="80">
        <v>3.39</v>
      </c>
      <c r="P451" s="81" t="s">
        <v>171</v>
      </c>
      <c r="Q451" s="81">
        <v>0.61019999999999996</v>
      </c>
      <c r="R451" s="80" t="s">
        <v>171</v>
      </c>
      <c r="S451" s="80">
        <v>0</v>
      </c>
      <c r="T451" s="82">
        <v>8</v>
      </c>
      <c r="U451" s="77"/>
      <c r="V451" s="75"/>
      <c r="W451" s="77"/>
      <c r="X451" s="77"/>
      <c r="Y451" s="77" t="s">
        <v>1684</v>
      </c>
      <c r="Z451" s="77" t="s">
        <v>302</v>
      </c>
      <c r="AA451" s="83" t="s">
        <v>1683</v>
      </c>
      <c r="AB451" s="104" t="str">
        <f>IFERROR(VLOOKUP(Anexo_4[[#This Row],[cuenta]],OP,2,0),"-")</f>
        <v>Transporte peajes - Servicios</v>
      </c>
    </row>
    <row r="452" spans="1:28" s="84" customFormat="1" ht="27" customHeight="1" x14ac:dyDescent="0.3">
      <c r="A452" s="75" t="s">
        <v>1623</v>
      </c>
      <c r="B452" s="36" t="str">
        <f t="shared" si="7"/>
        <v>Junio</v>
      </c>
      <c r="C452" s="77" t="s">
        <v>162</v>
      </c>
      <c r="D452" s="77" t="s">
        <v>1682</v>
      </c>
      <c r="E45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452" s="79" t="s">
        <v>391</v>
      </c>
      <c r="G452" s="79" t="s">
        <v>392</v>
      </c>
      <c r="H452" s="140" t="s">
        <v>1683</v>
      </c>
      <c r="I452" s="77" t="s">
        <v>264</v>
      </c>
      <c r="J452" s="144" t="s">
        <v>265</v>
      </c>
      <c r="K452" s="77" t="s">
        <v>169</v>
      </c>
      <c r="L452" s="103" t="str">
        <f>VLOOKUP(Anexo_4[[#This Row],[cod_doc]],TIPODOC,2,FALSE)</f>
        <v>FACTURA</v>
      </c>
      <c r="M452" s="77" t="s">
        <v>271</v>
      </c>
      <c r="N452" s="79">
        <v>1772957</v>
      </c>
      <c r="O452" s="80">
        <v>3.39</v>
      </c>
      <c r="P452" s="81" t="s">
        <v>171</v>
      </c>
      <c r="Q452" s="81">
        <v>0.61019999999999996</v>
      </c>
      <c r="R452" s="80" t="s">
        <v>171</v>
      </c>
      <c r="S452" s="80">
        <v>0</v>
      </c>
      <c r="T452" s="82">
        <v>8</v>
      </c>
      <c r="U452" s="77"/>
      <c r="V452" s="75"/>
      <c r="W452" s="77"/>
      <c r="X452" s="77"/>
      <c r="Y452" s="77" t="s">
        <v>1684</v>
      </c>
      <c r="Z452" s="77" t="s">
        <v>268</v>
      </c>
      <c r="AA452" s="83" t="s">
        <v>1683</v>
      </c>
      <c r="AB452" s="104" t="str">
        <f>IFERROR(VLOOKUP(Anexo_4[[#This Row],[cuenta]],OP,2,0),"-")</f>
        <v>Transporte peajes - Ventas</v>
      </c>
    </row>
    <row r="453" spans="1:28" s="84" customFormat="1" ht="27" customHeight="1" x14ac:dyDescent="0.3">
      <c r="A453" s="75" t="s">
        <v>1430</v>
      </c>
      <c r="B453" s="36" t="str">
        <f t="shared" si="7"/>
        <v>Junio</v>
      </c>
      <c r="C453" s="77" t="s">
        <v>162</v>
      </c>
      <c r="D453" s="77" t="s">
        <v>1685</v>
      </c>
      <c r="E453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453" s="79" t="s">
        <v>355</v>
      </c>
      <c r="G453" s="79" t="s">
        <v>356</v>
      </c>
      <c r="H453" s="140" t="s">
        <v>1686</v>
      </c>
      <c r="I453" s="77" t="s">
        <v>1687</v>
      </c>
      <c r="J453" s="144" t="s">
        <v>1688</v>
      </c>
      <c r="K453" s="77" t="s">
        <v>169</v>
      </c>
      <c r="L453" s="103" t="str">
        <f>VLOOKUP(Anexo_4[[#This Row],[cod_doc]],TIPODOC,2,FALSE)</f>
        <v>FACTURA</v>
      </c>
      <c r="M453" s="77" t="s">
        <v>102</v>
      </c>
      <c r="N453" s="79">
        <v>745</v>
      </c>
      <c r="O453" s="80">
        <v>245.76</v>
      </c>
      <c r="P453" s="81" t="s">
        <v>171</v>
      </c>
      <c r="Q453" s="81">
        <v>44.236799999999995</v>
      </c>
      <c r="R453" s="80" t="s">
        <v>171</v>
      </c>
      <c r="S453" s="80">
        <v>0</v>
      </c>
      <c r="T453" s="82">
        <v>290</v>
      </c>
      <c r="U453" s="77"/>
      <c r="V453" s="75"/>
      <c r="W453" s="77"/>
      <c r="X453" s="77"/>
      <c r="Y453" s="77"/>
      <c r="Z453" s="77" t="s">
        <v>1689</v>
      </c>
      <c r="AA453" s="83" t="s">
        <v>1686</v>
      </c>
      <c r="AB453" s="104" t="str">
        <f>IFERROR(VLOOKUP(Anexo_4[[#This Row],[cuenta]],OP,2,0),"-")</f>
        <v>Impresión de fichas de servicio / Check List</v>
      </c>
    </row>
    <row r="454" spans="1:28" s="84" customFormat="1" ht="27" customHeight="1" x14ac:dyDescent="0.3">
      <c r="A454" s="75" t="s">
        <v>1430</v>
      </c>
      <c r="B454" s="36" t="str">
        <f t="shared" si="7"/>
        <v>Junio</v>
      </c>
      <c r="C454" s="77" t="s">
        <v>162</v>
      </c>
      <c r="D454" s="77" t="s">
        <v>1690</v>
      </c>
      <c r="E454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454" s="79" t="s">
        <v>355</v>
      </c>
      <c r="G454" s="79" t="s">
        <v>356</v>
      </c>
      <c r="H454" s="140" t="s">
        <v>1691</v>
      </c>
      <c r="I454" s="77" t="s">
        <v>1069</v>
      </c>
      <c r="J454" s="144" t="s">
        <v>1070</v>
      </c>
      <c r="K454" s="77" t="s">
        <v>169</v>
      </c>
      <c r="L454" s="103" t="str">
        <f>VLOOKUP(Anexo_4[[#This Row],[cod_doc]],TIPODOC,2,FALSE)</f>
        <v>FACTURA</v>
      </c>
      <c r="M454" s="77" t="s">
        <v>102</v>
      </c>
      <c r="N454" s="79">
        <v>296</v>
      </c>
      <c r="O454" s="80">
        <v>271.61</v>
      </c>
      <c r="P454" s="81" t="s">
        <v>171</v>
      </c>
      <c r="Q454" s="81">
        <v>48.889800000000001</v>
      </c>
      <c r="R454" s="80" t="s">
        <v>171</v>
      </c>
      <c r="S454" s="80">
        <v>0</v>
      </c>
      <c r="T454" s="82">
        <v>320.5</v>
      </c>
      <c r="U454" s="77"/>
      <c r="V454" s="75"/>
      <c r="W454" s="77"/>
      <c r="X454" s="77"/>
      <c r="Y454" s="77"/>
      <c r="Z454" s="77" t="s">
        <v>1689</v>
      </c>
      <c r="AA454" s="83" t="s">
        <v>1691</v>
      </c>
      <c r="AB454" s="104" t="str">
        <f>IFERROR(VLOOKUP(Anexo_4[[#This Row],[cuenta]],OP,2,0),"-")</f>
        <v>Impresión de fichas de servicio / Check List</v>
      </c>
    </row>
    <row r="455" spans="1:28" s="84" customFormat="1" ht="27" customHeight="1" x14ac:dyDescent="0.3">
      <c r="A455" s="75" t="s">
        <v>1623</v>
      </c>
      <c r="B455" s="36" t="str">
        <f t="shared" si="7"/>
        <v>Junio</v>
      </c>
      <c r="C455" s="77" t="s">
        <v>162</v>
      </c>
      <c r="D455" s="77" t="s">
        <v>1692</v>
      </c>
      <c r="E45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455" s="79" t="s">
        <v>456</v>
      </c>
      <c r="G455" s="79" t="s">
        <v>457</v>
      </c>
      <c r="H455" s="140" t="s">
        <v>608</v>
      </c>
      <c r="I455" s="77" t="s">
        <v>998</v>
      </c>
      <c r="J455" s="144" t="s">
        <v>999</v>
      </c>
      <c r="K455" s="77" t="s">
        <v>169</v>
      </c>
      <c r="L455" s="103" t="str">
        <f>VLOOKUP(Anexo_4[[#This Row],[cod_doc]],TIPODOC,2,FALSE)</f>
        <v>FACTURA</v>
      </c>
      <c r="M455" s="77" t="s">
        <v>102</v>
      </c>
      <c r="N455" s="79">
        <v>927</v>
      </c>
      <c r="O455" s="80">
        <v>29.66</v>
      </c>
      <c r="P455" s="81" t="s">
        <v>171</v>
      </c>
      <c r="Q455" s="81">
        <v>5.3388</v>
      </c>
      <c r="R455" s="80" t="s">
        <v>171</v>
      </c>
      <c r="S455" s="80">
        <v>0</v>
      </c>
      <c r="T455" s="82">
        <v>35</v>
      </c>
      <c r="U455" s="77"/>
      <c r="V455" s="75"/>
      <c r="W455" s="77"/>
      <c r="X455" s="77"/>
      <c r="Y455" s="77"/>
      <c r="Z455" s="77" t="s">
        <v>507</v>
      </c>
      <c r="AA455" s="83" t="s">
        <v>608</v>
      </c>
      <c r="AB455" s="104" t="str">
        <f>IFERROR(VLOOKUP(Anexo_4[[#This Row],[cuenta]],OP,2,0),"-")</f>
        <v>Transporte lavado (Higienización)</v>
      </c>
    </row>
    <row r="456" spans="1:28" s="84" customFormat="1" ht="27" customHeight="1" x14ac:dyDescent="0.3">
      <c r="A456" s="75" t="s">
        <v>966</v>
      </c>
      <c r="B456" s="36" t="str">
        <f t="shared" si="7"/>
        <v>Junio</v>
      </c>
      <c r="C456" s="77" t="s">
        <v>162</v>
      </c>
      <c r="D456" s="77" t="s">
        <v>1693</v>
      </c>
      <c r="E45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456" s="79" t="s">
        <v>418</v>
      </c>
      <c r="G456" s="79" t="s">
        <v>419</v>
      </c>
      <c r="H456" s="140" t="s">
        <v>1694</v>
      </c>
      <c r="I456" s="77" t="s">
        <v>1695</v>
      </c>
      <c r="J456" s="144" t="s">
        <v>1696</v>
      </c>
      <c r="K456" s="77" t="s">
        <v>169</v>
      </c>
      <c r="L456" s="103" t="str">
        <f>VLOOKUP(Anexo_4[[#This Row],[cod_doc]],TIPODOC,2,FALSE)</f>
        <v>FACTURA</v>
      </c>
      <c r="M456" s="77" t="s">
        <v>982</v>
      </c>
      <c r="N456" s="79">
        <v>16587</v>
      </c>
      <c r="O456" s="80">
        <v>10.17</v>
      </c>
      <c r="P456" s="81" t="s">
        <v>171</v>
      </c>
      <c r="Q456" s="81">
        <v>1.8306</v>
      </c>
      <c r="R456" s="80" t="s">
        <v>171</v>
      </c>
      <c r="S456" s="80">
        <v>0</v>
      </c>
      <c r="T456" s="82">
        <v>12</v>
      </c>
      <c r="U456" s="77"/>
      <c r="V456" s="75"/>
      <c r="W456" s="77"/>
      <c r="X456" s="77"/>
      <c r="Y456" s="77" t="s">
        <v>1697</v>
      </c>
      <c r="Z456" s="77" t="s">
        <v>386</v>
      </c>
      <c r="AA456" s="83" t="s">
        <v>1694</v>
      </c>
      <c r="AB456" s="104" t="str">
        <f>IFERROR(VLOOKUP(Anexo_4[[#This Row],[cuenta]],OP,2,0),"-")</f>
        <v>Balanza - Servicios</v>
      </c>
    </row>
    <row r="457" spans="1:28" s="84" customFormat="1" ht="27" customHeight="1" x14ac:dyDescent="0.3">
      <c r="A457" s="75" t="s">
        <v>1623</v>
      </c>
      <c r="B457" s="36" t="str">
        <f t="shared" si="7"/>
        <v>Junio</v>
      </c>
      <c r="C457" s="77" t="s">
        <v>162</v>
      </c>
      <c r="D457" s="77" t="s">
        <v>1698</v>
      </c>
      <c r="E457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457" s="79" t="s">
        <v>217</v>
      </c>
      <c r="G457" s="79" t="s">
        <v>218</v>
      </c>
      <c r="H457" s="140" t="s">
        <v>1699</v>
      </c>
      <c r="I457" s="77" t="s">
        <v>178</v>
      </c>
      <c r="J457" s="144" t="s">
        <v>179</v>
      </c>
      <c r="K457" s="77" t="s">
        <v>169</v>
      </c>
      <c r="L457" s="103" t="str">
        <f>VLOOKUP(Anexo_4[[#This Row],[cod_doc]],TIPODOC,2,FALSE)</f>
        <v>FACTURA</v>
      </c>
      <c r="M457" s="77" t="s">
        <v>180</v>
      </c>
      <c r="N457" s="79">
        <v>133625</v>
      </c>
      <c r="O457" s="80">
        <v>8.4700000000000006</v>
      </c>
      <c r="P457" s="81" t="s">
        <v>171</v>
      </c>
      <c r="Q457" s="81">
        <v>1.5246</v>
      </c>
      <c r="R457" s="80" t="s">
        <v>171</v>
      </c>
      <c r="S457" s="80">
        <v>0</v>
      </c>
      <c r="T457" s="82">
        <v>10</v>
      </c>
      <c r="U457" s="77"/>
      <c r="V457" s="75"/>
      <c r="W457" s="77"/>
      <c r="X457" s="77"/>
      <c r="Y457" s="77" t="s">
        <v>1700</v>
      </c>
      <c r="Z457" s="77" t="s">
        <v>386</v>
      </c>
      <c r="AA457" s="83" t="s">
        <v>1699</v>
      </c>
      <c r="AB457" s="104" t="str">
        <f>IFERROR(VLOOKUP(Anexo_4[[#This Row],[cuenta]],OP,2,0),"-")</f>
        <v>Balanza - Servicios</v>
      </c>
    </row>
    <row r="458" spans="1:28" s="84" customFormat="1" ht="27" customHeight="1" x14ac:dyDescent="0.3">
      <c r="A458" s="75" t="s">
        <v>993</v>
      </c>
      <c r="B458" s="36" t="str">
        <f t="shared" si="7"/>
        <v>Junio</v>
      </c>
      <c r="C458" s="77" t="s">
        <v>162</v>
      </c>
      <c r="D458" s="77" t="s">
        <v>1701</v>
      </c>
      <c r="E458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458" s="79" t="s">
        <v>217</v>
      </c>
      <c r="G458" s="79" t="s">
        <v>218</v>
      </c>
      <c r="H458" s="140" t="s">
        <v>1702</v>
      </c>
      <c r="I458" s="77" t="s">
        <v>178</v>
      </c>
      <c r="J458" s="144" t="s">
        <v>179</v>
      </c>
      <c r="K458" s="77" t="s">
        <v>169</v>
      </c>
      <c r="L458" s="103" t="str">
        <f>VLOOKUP(Anexo_4[[#This Row],[cod_doc]],TIPODOC,2,FALSE)</f>
        <v>FACTURA</v>
      </c>
      <c r="M458" s="77" t="s">
        <v>180</v>
      </c>
      <c r="N458" s="79">
        <v>133347</v>
      </c>
      <c r="O458" s="80">
        <v>8.4700000000000006</v>
      </c>
      <c r="P458" s="81" t="s">
        <v>171</v>
      </c>
      <c r="Q458" s="81">
        <v>1.5246</v>
      </c>
      <c r="R458" s="80" t="s">
        <v>171</v>
      </c>
      <c r="S458" s="80">
        <v>0</v>
      </c>
      <c r="T458" s="82">
        <v>10</v>
      </c>
      <c r="U458" s="77"/>
      <c r="V458" s="75"/>
      <c r="W458" s="77"/>
      <c r="X458" s="77"/>
      <c r="Y458" s="77" t="s">
        <v>1703</v>
      </c>
      <c r="Z458" s="77" t="s">
        <v>386</v>
      </c>
      <c r="AA458" s="83" t="s">
        <v>1702</v>
      </c>
      <c r="AB458" s="104" t="str">
        <f>IFERROR(VLOOKUP(Anexo_4[[#This Row],[cuenta]],OP,2,0),"-")</f>
        <v>Balanza - Servicios</v>
      </c>
    </row>
    <row r="459" spans="1:28" s="84" customFormat="1" ht="27" customHeight="1" x14ac:dyDescent="0.3">
      <c r="A459" s="75" t="s">
        <v>1623</v>
      </c>
      <c r="B459" s="36" t="str">
        <f t="shared" si="7"/>
        <v>Junio</v>
      </c>
      <c r="C459" s="77" t="s">
        <v>162</v>
      </c>
      <c r="D459" s="77" t="s">
        <v>1704</v>
      </c>
      <c r="E459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459" s="79" t="s">
        <v>235</v>
      </c>
      <c r="G459" s="79" t="s">
        <v>236</v>
      </c>
      <c r="H459" s="140" t="s">
        <v>1705</v>
      </c>
      <c r="I459" s="77" t="s">
        <v>178</v>
      </c>
      <c r="J459" s="144" t="s">
        <v>179</v>
      </c>
      <c r="K459" s="77" t="s">
        <v>169</v>
      </c>
      <c r="L459" s="103" t="str">
        <f>VLOOKUP(Anexo_4[[#This Row],[cod_doc]],TIPODOC,2,FALSE)</f>
        <v>FACTURA</v>
      </c>
      <c r="M459" s="77" t="s">
        <v>180</v>
      </c>
      <c r="N459" s="79">
        <v>133640</v>
      </c>
      <c r="O459" s="80">
        <v>8.4700000000000006</v>
      </c>
      <c r="P459" s="81" t="s">
        <v>171</v>
      </c>
      <c r="Q459" s="81">
        <v>1.5246</v>
      </c>
      <c r="R459" s="80" t="s">
        <v>171</v>
      </c>
      <c r="S459" s="80">
        <v>0</v>
      </c>
      <c r="T459" s="82">
        <v>10</v>
      </c>
      <c r="U459" s="77"/>
      <c r="V459" s="75"/>
      <c r="W459" s="77"/>
      <c r="X459" s="77"/>
      <c r="Y459" s="77" t="s">
        <v>1706</v>
      </c>
      <c r="Z459" s="77" t="s">
        <v>386</v>
      </c>
      <c r="AA459" s="83" t="s">
        <v>1705</v>
      </c>
      <c r="AB459" s="104" t="str">
        <f>IFERROR(VLOOKUP(Anexo_4[[#This Row],[cuenta]],OP,2,0),"-")</f>
        <v>Balanza - Servicios</v>
      </c>
    </row>
    <row r="460" spans="1:28" s="84" customFormat="1" ht="27" customHeight="1" x14ac:dyDescent="0.3">
      <c r="A460" s="75" t="s">
        <v>1378</v>
      </c>
      <c r="B460" s="36" t="str">
        <f t="shared" si="7"/>
        <v>Junio</v>
      </c>
      <c r="C460" s="77" t="s">
        <v>162</v>
      </c>
      <c r="D460" s="77" t="s">
        <v>1707</v>
      </c>
      <c r="E460" s="78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460" s="79" t="s">
        <v>198</v>
      </c>
      <c r="G460" s="79" t="s">
        <v>199</v>
      </c>
      <c r="H460" s="140" t="s">
        <v>1708</v>
      </c>
      <c r="I460" s="77" t="s">
        <v>1709</v>
      </c>
      <c r="J460" s="144" t="s">
        <v>1710</v>
      </c>
      <c r="K460" s="77" t="s">
        <v>169</v>
      </c>
      <c r="L460" s="103" t="str">
        <f>VLOOKUP(Anexo_4[[#This Row],[cod_doc]],TIPODOC,2,FALSE)</f>
        <v>FACTURA</v>
      </c>
      <c r="M460" s="77" t="s">
        <v>102</v>
      </c>
      <c r="N460" s="79">
        <v>138</v>
      </c>
      <c r="O460" s="80">
        <v>1372.88</v>
      </c>
      <c r="P460" s="81" t="s">
        <v>171</v>
      </c>
      <c r="Q460" s="81">
        <v>247.11840000000001</v>
      </c>
      <c r="R460" s="80" t="s">
        <v>171</v>
      </c>
      <c r="S460" s="80">
        <v>0</v>
      </c>
      <c r="T460" s="82">
        <v>1620</v>
      </c>
      <c r="U460" s="77" t="s">
        <v>1711</v>
      </c>
      <c r="V460" s="75" t="s">
        <v>1627</v>
      </c>
      <c r="W460" s="77"/>
      <c r="X460" s="77"/>
      <c r="Y460" s="77"/>
      <c r="Z460" s="77" t="s">
        <v>468</v>
      </c>
      <c r="AA460" s="83" t="s">
        <v>1708</v>
      </c>
      <c r="AB460" s="104" t="str">
        <f>IFERROR(VLOOKUP(Anexo_4[[#This Row],[cuenta]],OP,2,0),"-")</f>
        <v>Transporte de Carga  - Ventas</v>
      </c>
    </row>
    <row r="461" spans="1:28" s="84" customFormat="1" ht="27" customHeight="1" x14ac:dyDescent="0.3">
      <c r="A461" s="75" t="s">
        <v>1378</v>
      </c>
      <c r="B461" s="36" t="str">
        <f t="shared" si="7"/>
        <v>Junio</v>
      </c>
      <c r="C461" s="77" t="s">
        <v>162</v>
      </c>
      <c r="D461" s="77" t="s">
        <v>1712</v>
      </c>
      <c r="E461" s="78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461" s="79" t="s">
        <v>198</v>
      </c>
      <c r="G461" s="79" t="s">
        <v>199</v>
      </c>
      <c r="H461" s="140" t="s">
        <v>1713</v>
      </c>
      <c r="I461" s="77" t="s">
        <v>1714</v>
      </c>
      <c r="J461" s="144" t="s">
        <v>1715</v>
      </c>
      <c r="K461" s="77" t="s">
        <v>169</v>
      </c>
      <c r="L461" s="103" t="str">
        <f>VLOOKUP(Anexo_4[[#This Row],[cod_doc]],TIPODOC,2,FALSE)</f>
        <v>FACTURA</v>
      </c>
      <c r="M461" s="77" t="s">
        <v>102</v>
      </c>
      <c r="N461" s="79">
        <v>220</v>
      </c>
      <c r="O461" s="80">
        <v>2118.64</v>
      </c>
      <c r="P461" s="81" t="s">
        <v>171</v>
      </c>
      <c r="Q461" s="81">
        <v>381.35519999999997</v>
      </c>
      <c r="R461" s="80" t="s">
        <v>171</v>
      </c>
      <c r="S461" s="80">
        <v>0</v>
      </c>
      <c r="T461" s="82">
        <v>2500</v>
      </c>
      <c r="U461" s="77" t="s">
        <v>1716</v>
      </c>
      <c r="V461" s="75" t="s">
        <v>1627</v>
      </c>
      <c r="W461" s="77"/>
      <c r="X461" s="77"/>
      <c r="Y461" s="77"/>
      <c r="Z461" s="77" t="s">
        <v>468</v>
      </c>
      <c r="AA461" s="83" t="s">
        <v>1713</v>
      </c>
      <c r="AB461" s="104" t="str">
        <f>IFERROR(VLOOKUP(Anexo_4[[#This Row],[cuenta]],OP,2,0),"-")</f>
        <v>Transporte de Carga  - Ventas</v>
      </c>
    </row>
    <row r="462" spans="1:28" s="84" customFormat="1" ht="27" customHeight="1" x14ac:dyDescent="0.3">
      <c r="A462" s="75" t="s">
        <v>1717</v>
      </c>
      <c r="B462" s="36" t="str">
        <f t="shared" si="7"/>
        <v>Junio</v>
      </c>
      <c r="C462" s="77" t="s">
        <v>162</v>
      </c>
      <c r="D462" s="77" t="s">
        <v>1718</v>
      </c>
      <c r="E46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462" s="79" t="s">
        <v>355</v>
      </c>
      <c r="G462" s="79" t="s">
        <v>356</v>
      </c>
      <c r="H462" s="140" t="s">
        <v>1719</v>
      </c>
      <c r="I462" s="77" t="s">
        <v>464</v>
      </c>
      <c r="J462" s="144" t="s">
        <v>465</v>
      </c>
      <c r="K462" s="77" t="s">
        <v>169</v>
      </c>
      <c r="L462" s="103" t="str">
        <f>VLOOKUP(Anexo_4[[#This Row],[cod_doc]],TIPODOC,2,FALSE)</f>
        <v>FACTURA</v>
      </c>
      <c r="M462" s="77" t="s">
        <v>102</v>
      </c>
      <c r="N462" s="79">
        <v>11</v>
      </c>
      <c r="O462" s="80">
        <v>254.24</v>
      </c>
      <c r="P462" s="81" t="s">
        <v>171</v>
      </c>
      <c r="Q462" s="81">
        <v>45.763199999999998</v>
      </c>
      <c r="R462" s="80" t="s">
        <v>171</v>
      </c>
      <c r="S462" s="80">
        <v>0</v>
      </c>
      <c r="T462" s="82">
        <v>300</v>
      </c>
      <c r="U462" s="77"/>
      <c r="V462" s="75"/>
      <c r="W462" s="77"/>
      <c r="X462" s="77"/>
      <c r="Y462" s="77"/>
      <c r="Z462" s="77" t="s">
        <v>893</v>
      </c>
      <c r="AA462" s="83" t="s">
        <v>1719</v>
      </c>
      <c r="AB462" s="104" t="str">
        <f>IFERROR(VLOOKUP(Anexo_4[[#This Row],[cuenta]],OP,2,0),"-")</f>
        <v>Transporte de Carga - Servicios</v>
      </c>
    </row>
    <row r="463" spans="1:28" s="84" customFormat="1" ht="27" customHeight="1" x14ac:dyDescent="0.3">
      <c r="A463" s="75" t="s">
        <v>993</v>
      </c>
      <c r="B463" s="36" t="str">
        <f t="shared" si="7"/>
        <v>Junio</v>
      </c>
      <c r="C463" s="77" t="s">
        <v>162</v>
      </c>
      <c r="D463" s="77" t="s">
        <v>1720</v>
      </c>
      <c r="E463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463" s="79" t="s">
        <v>355</v>
      </c>
      <c r="G463" s="79" t="s">
        <v>356</v>
      </c>
      <c r="H463" s="140" t="s">
        <v>1721</v>
      </c>
      <c r="I463" s="77" t="s">
        <v>464</v>
      </c>
      <c r="J463" s="144" t="s">
        <v>465</v>
      </c>
      <c r="K463" s="77" t="s">
        <v>169</v>
      </c>
      <c r="L463" s="103" t="str">
        <f>VLOOKUP(Anexo_4[[#This Row],[cod_doc]],TIPODOC,2,FALSE)</f>
        <v>FACTURA</v>
      </c>
      <c r="M463" s="77" t="s">
        <v>102</v>
      </c>
      <c r="N463" s="79">
        <v>8</v>
      </c>
      <c r="O463" s="80">
        <v>700</v>
      </c>
      <c r="P463" s="81" t="s">
        <v>171</v>
      </c>
      <c r="Q463" s="81">
        <v>126</v>
      </c>
      <c r="R463" s="80" t="s">
        <v>171</v>
      </c>
      <c r="S463" s="80">
        <v>0</v>
      </c>
      <c r="T463" s="82">
        <v>826</v>
      </c>
      <c r="U463" s="77" t="s">
        <v>1722</v>
      </c>
      <c r="V463" s="75" t="s">
        <v>1627</v>
      </c>
      <c r="W463" s="77"/>
      <c r="X463" s="77"/>
      <c r="Y463" s="77"/>
      <c r="Z463" s="77" t="s">
        <v>893</v>
      </c>
      <c r="AA463" s="83" t="s">
        <v>1721</v>
      </c>
      <c r="AB463" s="104" t="str">
        <f>IFERROR(VLOOKUP(Anexo_4[[#This Row],[cuenta]],OP,2,0),"-")</f>
        <v>Transporte de Carga - Servicios</v>
      </c>
    </row>
    <row r="464" spans="1:28" s="84" customFormat="1" ht="27" customHeight="1" x14ac:dyDescent="0.3">
      <c r="A464" s="75" t="s">
        <v>1190</v>
      </c>
      <c r="B464" s="36" t="str">
        <f t="shared" si="7"/>
        <v>Junio</v>
      </c>
      <c r="C464" s="77" t="s">
        <v>162</v>
      </c>
      <c r="D464" s="77" t="s">
        <v>1723</v>
      </c>
      <c r="E464" s="78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464" s="79" t="s">
        <v>198</v>
      </c>
      <c r="G464" s="79" t="s">
        <v>199</v>
      </c>
      <c r="H464" s="140" t="s">
        <v>1724</v>
      </c>
      <c r="I464" s="77" t="s">
        <v>464</v>
      </c>
      <c r="J464" s="144" t="s">
        <v>465</v>
      </c>
      <c r="K464" s="77" t="s">
        <v>169</v>
      </c>
      <c r="L464" s="103" t="str">
        <f>VLOOKUP(Anexo_4[[#This Row],[cod_doc]],TIPODOC,2,FALSE)</f>
        <v>FACTURA</v>
      </c>
      <c r="M464" s="77" t="s">
        <v>102</v>
      </c>
      <c r="N464" s="79">
        <v>9</v>
      </c>
      <c r="O464" s="80">
        <v>762.72</v>
      </c>
      <c r="P464" s="81" t="s">
        <v>171</v>
      </c>
      <c r="Q464" s="81">
        <v>137.28960000000001</v>
      </c>
      <c r="R464" s="80" t="s">
        <v>171</v>
      </c>
      <c r="S464" s="80">
        <v>0</v>
      </c>
      <c r="T464" s="82">
        <v>900.01</v>
      </c>
      <c r="U464" s="77" t="s">
        <v>1725</v>
      </c>
      <c r="V464" s="75" t="s">
        <v>1627</v>
      </c>
      <c r="W464" s="77"/>
      <c r="X464" s="77"/>
      <c r="Y464" s="77"/>
      <c r="Z464" s="77" t="s">
        <v>468</v>
      </c>
      <c r="AA464" s="83" t="s">
        <v>1724</v>
      </c>
      <c r="AB464" s="104" t="str">
        <f>IFERROR(VLOOKUP(Anexo_4[[#This Row],[cuenta]],OP,2,0),"-")</f>
        <v>Transporte de Carga  - Ventas</v>
      </c>
    </row>
    <row r="465" spans="1:28" s="84" customFormat="1" ht="27" customHeight="1" x14ac:dyDescent="0.3">
      <c r="A465" s="75" t="s">
        <v>928</v>
      </c>
      <c r="B465" s="36" t="str">
        <f t="shared" si="7"/>
        <v>Junio</v>
      </c>
      <c r="C465" s="77" t="s">
        <v>162</v>
      </c>
      <c r="D465" s="77" t="s">
        <v>1726</v>
      </c>
      <c r="E46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465" s="79" t="s">
        <v>355</v>
      </c>
      <c r="G465" s="79" t="s">
        <v>356</v>
      </c>
      <c r="H465" s="140" t="s">
        <v>1727</v>
      </c>
      <c r="I465" s="77" t="s">
        <v>1728</v>
      </c>
      <c r="J465" s="144" t="s">
        <v>1729</v>
      </c>
      <c r="K465" s="77" t="s">
        <v>169</v>
      </c>
      <c r="L465" s="103" t="str">
        <f>VLOOKUP(Anexo_4[[#This Row],[cod_doc]],TIPODOC,2,FALSE)</f>
        <v>FACTURA</v>
      </c>
      <c r="M465" s="77" t="s">
        <v>102</v>
      </c>
      <c r="N465" s="79">
        <v>414</v>
      </c>
      <c r="O465" s="80">
        <v>127.12</v>
      </c>
      <c r="P465" s="81" t="s">
        <v>171</v>
      </c>
      <c r="Q465" s="81">
        <v>22.881599999999999</v>
      </c>
      <c r="R465" s="80" t="s">
        <v>171</v>
      </c>
      <c r="S465" s="80">
        <v>0</v>
      </c>
      <c r="T465" s="82">
        <v>150</v>
      </c>
      <c r="U465" s="77"/>
      <c r="V465" s="75"/>
      <c r="W465" s="77"/>
      <c r="X465" s="77"/>
      <c r="Y465" s="77"/>
      <c r="Z465" s="77" t="s">
        <v>893</v>
      </c>
      <c r="AA465" s="83" t="s">
        <v>1727</v>
      </c>
      <c r="AB465" s="104" t="str">
        <f>IFERROR(VLOOKUP(Anexo_4[[#This Row],[cuenta]],OP,2,0),"-")</f>
        <v>Transporte de Carga - Servicios</v>
      </c>
    </row>
    <row r="466" spans="1:28" s="84" customFormat="1" ht="27" customHeight="1" x14ac:dyDescent="0.3">
      <c r="A466" s="75" t="s">
        <v>1623</v>
      </c>
      <c r="B466" s="36" t="str">
        <f t="shared" si="7"/>
        <v>Junio</v>
      </c>
      <c r="C466" s="77" t="s">
        <v>162</v>
      </c>
      <c r="D466" s="77" t="s">
        <v>1730</v>
      </c>
      <c r="E466" s="78" t="str">
        <f>IF(LEFT(Anexo_4[[#This Row],[c_costos]],2)="91","OPERACIONES",IF(LEFT(Anexo_4[[#This Row],[c_costos]],2)="97","G. FINANCIEROS",IF(LEFT(Anexo_4[[#This Row],[c_costos]],2)="95","G. VENTAS","G. ADMINISTRACIÓN")))</f>
        <v>G. FINANCIEROS</v>
      </c>
      <c r="F466" s="79" t="s">
        <v>474</v>
      </c>
      <c r="G466" s="79" t="s">
        <v>475</v>
      </c>
      <c r="H466" s="140" t="s">
        <v>1731</v>
      </c>
      <c r="I466" s="77" t="s">
        <v>477</v>
      </c>
      <c r="J466" s="144" t="s">
        <v>478</v>
      </c>
      <c r="K466" s="77" t="s">
        <v>169</v>
      </c>
      <c r="L466" s="103" t="str">
        <f>VLOOKUP(Anexo_4[[#This Row],[cod_doc]],TIPODOC,2,FALSE)</f>
        <v>FACTURA</v>
      </c>
      <c r="M466" s="77" t="s">
        <v>479</v>
      </c>
      <c r="N466" s="79">
        <v>34173259</v>
      </c>
      <c r="O466" s="80"/>
      <c r="P466" s="81" t="s">
        <v>171</v>
      </c>
      <c r="Q466" s="81">
        <v>0</v>
      </c>
      <c r="R466" s="80" t="s">
        <v>171</v>
      </c>
      <c r="S466" s="80">
        <v>22.5</v>
      </c>
      <c r="T466" s="82">
        <v>22.5</v>
      </c>
      <c r="U466" s="77"/>
      <c r="V466" s="75"/>
      <c r="W466" s="77"/>
      <c r="X466" s="77"/>
      <c r="Y466" s="77"/>
      <c r="Z466" s="77" t="s">
        <v>483</v>
      </c>
      <c r="AA466" s="83" t="s">
        <v>1731</v>
      </c>
      <c r="AB466" s="104" t="str">
        <f>IFERROR(VLOOKUP(Anexo_4[[#This Row],[cuenta]],OP,2,0),"-")</f>
        <v>-</v>
      </c>
    </row>
    <row r="467" spans="1:28" s="84" customFormat="1" ht="27" customHeight="1" x14ac:dyDescent="0.3">
      <c r="A467" s="75" t="s">
        <v>1623</v>
      </c>
      <c r="B467" s="36" t="str">
        <f t="shared" si="7"/>
        <v>Junio</v>
      </c>
      <c r="C467" s="77" t="s">
        <v>162</v>
      </c>
      <c r="D467" s="77" t="s">
        <v>1732</v>
      </c>
      <c r="E467" s="78" t="str">
        <f>IF(LEFT(Anexo_4[[#This Row],[c_costos]],2)="91","OPERACIONES",IF(LEFT(Anexo_4[[#This Row],[c_costos]],2)="97","G. FINANCIEROS",IF(LEFT(Anexo_4[[#This Row],[c_costos]],2)="95","G. VENTAS","G. ADMINISTRACIÓN")))</f>
        <v>G. FINANCIEROS</v>
      </c>
      <c r="F467" s="79" t="s">
        <v>474</v>
      </c>
      <c r="G467" s="79" t="s">
        <v>475</v>
      </c>
      <c r="H467" s="140" t="s">
        <v>1731</v>
      </c>
      <c r="I467" s="77" t="s">
        <v>477</v>
      </c>
      <c r="J467" s="144" t="s">
        <v>478</v>
      </c>
      <c r="K467" s="77" t="s">
        <v>169</v>
      </c>
      <c r="L467" s="103" t="str">
        <f>VLOOKUP(Anexo_4[[#This Row],[cod_doc]],TIPODOC,2,FALSE)</f>
        <v>FACTURA</v>
      </c>
      <c r="M467" s="77" t="s">
        <v>479</v>
      </c>
      <c r="N467" s="79">
        <v>34165619</v>
      </c>
      <c r="O467" s="80"/>
      <c r="P467" s="81" t="s">
        <v>171</v>
      </c>
      <c r="Q467" s="81">
        <v>0</v>
      </c>
      <c r="R467" s="80" t="s">
        <v>171</v>
      </c>
      <c r="S467" s="80">
        <v>28.1</v>
      </c>
      <c r="T467" s="82">
        <v>28.1</v>
      </c>
      <c r="U467" s="77"/>
      <c r="V467" s="75"/>
      <c r="W467" s="77"/>
      <c r="X467" s="77"/>
      <c r="Y467" s="77"/>
      <c r="Z467" s="77" t="s">
        <v>483</v>
      </c>
      <c r="AA467" s="83" t="s">
        <v>1731</v>
      </c>
      <c r="AB467" s="104" t="str">
        <f>IFERROR(VLOOKUP(Anexo_4[[#This Row],[cuenta]],OP,2,0),"-")</f>
        <v>-</v>
      </c>
    </row>
    <row r="468" spans="1:28" s="84" customFormat="1" ht="27" customHeight="1" x14ac:dyDescent="0.3">
      <c r="A468" s="75" t="s">
        <v>467</v>
      </c>
      <c r="B468" s="36" t="str">
        <f t="shared" si="7"/>
        <v>Junio</v>
      </c>
      <c r="C468" s="77" t="s">
        <v>162</v>
      </c>
      <c r="D468" s="77" t="s">
        <v>1733</v>
      </c>
      <c r="E468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468" s="79" t="s">
        <v>1028</v>
      </c>
      <c r="G468" s="79" t="s">
        <v>1029</v>
      </c>
      <c r="H468" s="140" t="s">
        <v>1734</v>
      </c>
      <c r="I468" s="77" t="s">
        <v>1735</v>
      </c>
      <c r="J468" s="144" t="s">
        <v>1736</v>
      </c>
      <c r="K468" s="77" t="s">
        <v>169</v>
      </c>
      <c r="L468" s="103" t="str">
        <f>VLOOKUP(Anexo_4[[#This Row],[cod_doc]],TIPODOC,2,FALSE)</f>
        <v>FACTURA</v>
      </c>
      <c r="M468" s="77" t="s">
        <v>631</v>
      </c>
      <c r="N468" s="79">
        <v>163341</v>
      </c>
      <c r="O468" s="80"/>
      <c r="P468" s="81" t="s">
        <v>171</v>
      </c>
      <c r="Q468" s="81">
        <v>0</v>
      </c>
      <c r="R468" s="80" t="s">
        <v>171</v>
      </c>
      <c r="S468" s="80">
        <v>6.7</v>
      </c>
      <c r="T468" s="82">
        <v>6.7</v>
      </c>
      <c r="U468" s="77"/>
      <c r="V468" s="75"/>
      <c r="W468" s="77"/>
      <c r="X468" s="77"/>
      <c r="Y468" s="77"/>
      <c r="Z468" s="77" t="s">
        <v>1737</v>
      </c>
      <c r="AA468" s="83" t="s">
        <v>1734</v>
      </c>
      <c r="AB468" s="104" t="str">
        <f>IFERROR(VLOOKUP(Anexo_4[[#This Row],[cuenta]],OP,2,0),"-")</f>
        <v>-</v>
      </c>
    </row>
    <row r="469" spans="1:28" s="84" customFormat="1" ht="27" customHeight="1" x14ac:dyDescent="0.3">
      <c r="A469" s="75" t="s">
        <v>996</v>
      </c>
      <c r="B469" s="36" t="str">
        <f t="shared" si="7"/>
        <v>Junio</v>
      </c>
      <c r="C469" s="77" t="s">
        <v>162</v>
      </c>
      <c r="D469" s="77" t="s">
        <v>1738</v>
      </c>
      <c r="E469" s="78" t="str">
        <f>IF(LEFT(Anexo_4[[#This Row],[c_costos]],2)="91","OPERACIONES",IF(LEFT(Anexo_4[[#This Row],[c_costos]],2)="97","G. FINANCIEROS",IF(LEFT(Anexo_4[[#This Row],[c_costos]],2)="95","G. VENTAS","G. ADMINISTRACIÓN")))</f>
        <v>G. FINANCIEROS</v>
      </c>
      <c r="F469" s="79" t="s">
        <v>474</v>
      </c>
      <c r="G469" s="79" t="s">
        <v>475</v>
      </c>
      <c r="H469" s="140" t="s">
        <v>1731</v>
      </c>
      <c r="I469" s="77" t="s">
        <v>1739</v>
      </c>
      <c r="J469" s="144" t="s">
        <v>1740</v>
      </c>
      <c r="K469" s="77" t="s">
        <v>169</v>
      </c>
      <c r="L469" s="103" t="str">
        <f>VLOOKUP(Anexo_4[[#This Row],[cod_doc]],TIPODOC,2,FALSE)</f>
        <v>FACTURA</v>
      </c>
      <c r="M469" s="77" t="s">
        <v>1741</v>
      </c>
      <c r="N469" s="79">
        <v>3478908</v>
      </c>
      <c r="O469" s="80"/>
      <c r="P469" s="81" t="s">
        <v>171</v>
      </c>
      <c r="Q469" s="81">
        <v>0</v>
      </c>
      <c r="R469" s="80" t="s">
        <v>171</v>
      </c>
      <c r="S469" s="80">
        <v>5.3</v>
      </c>
      <c r="T469" s="82">
        <v>5.3</v>
      </c>
      <c r="U469" s="77"/>
      <c r="V469" s="75"/>
      <c r="W469" s="77"/>
      <c r="X469" s="77"/>
      <c r="Y469" s="77"/>
      <c r="Z469" s="77" t="s">
        <v>483</v>
      </c>
      <c r="AA469" s="83" t="s">
        <v>1731</v>
      </c>
      <c r="AB469" s="104" t="str">
        <f>IFERROR(VLOOKUP(Anexo_4[[#This Row],[cuenta]],OP,2,0),"-")</f>
        <v>-</v>
      </c>
    </row>
    <row r="470" spans="1:28" s="84" customFormat="1" ht="27" customHeight="1" x14ac:dyDescent="0.3">
      <c r="A470" s="75" t="s">
        <v>1430</v>
      </c>
      <c r="B470" s="36" t="str">
        <f t="shared" si="7"/>
        <v>Junio</v>
      </c>
      <c r="C470" s="77" t="s">
        <v>162</v>
      </c>
      <c r="D470" s="77" t="s">
        <v>1742</v>
      </c>
      <c r="E470" s="78" t="str">
        <f>IF(LEFT(Anexo_4[[#This Row],[c_costos]],2)="91","OPERACIONES",IF(LEFT(Anexo_4[[#This Row],[c_costos]],2)="97","G. FINANCIEROS",IF(LEFT(Anexo_4[[#This Row],[c_costos]],2)="95","G. VENTAS","G. ADMINISTRACIÓN")))</f>
        <v>G. FINANCIEROS</v>
      </c>
      <c r="F470" s="79" t="s">
        <v>474</v>
      </c>
      <c r="G470" s="79" t="s">
        <v>475</v>
      </c>
      <c r="H470" s="140" t="s">
        <v>1731</v>
      </c>
      <c r="I470" s="77" t="s">
        <v>477</v>
      </c>
      <c r="J470" s="144" t="s">
        <v>478</v>
      </c>
      <c r="K470" s="77" t="s">
        <v>169</v>
      </c>
      <c r="L470" s="103" t="str">
        <f>VLOOKUP(Anexo_4[[#This Row],[cod_doc]],TIPODOC,2,FALSE)</f>
        <v>FACTURA</v>
      </c>
      <c r="M470" s="77" t="s">
        <v>479</v>
      </c>
      <c r="N470" s="79">
        <v>34107608</v>
      </c>
      <c r="O470" s="80"/>
      <c r="P470" s="81" t="s">
        <v>171</v>
      </c>
      <c r="Q470" s="81">
        <v>0</v>
      </c>
      <c r="R470" s="80" t="s">
        <v>171</v>
      </c>
      <c r="S470" s="80">
        <v>22.6</v>
      </c>
      <c r="T470" s="82">
        <v>22.6</v>
      </c>
      <c r="U470" s="77"/>
      <c r="V470" s="75"/>
      <c r="W470" s="77"/>
      <c r="X470" s="77"/>
      <c r="Y470" s="77"/>
      <c r="Z470" s="77" t="s">
        <v>483</v>
      </c>
      <c r="AA470" s="83" t="s">
        <v>1731</v>
      </c>
      <c r="AB470" s="104" t="str">
        <f>IFERROR(VLOOKUP(Anexo_4[[#This Row],[cuenta]],OP,2,0),"-")</f>
        <v>-</v>
      </c>
    </row>
    <row r="471" spans="1:28" s="84" customFormat="1" ht="27" customHeight="1" x14ac:dyDescent="0.3">
      <c r="A471" s="75" t="s">
        <v>1430</v>
      </c>
      <c r="B471" s="36" t="str">
        <f t="shared" si="7"/>
        <v>Junio</v>
      </c>
      <c r="C471" s="77" t="s">
        <v>162</v>
      </c>
      <c r="D471" s="77" t="s">
        <v>1743</v>
      </c>
      <c r="E471" s="78" t="str">
        <f>IF(LEFT(Anexo_4[[#This Row],[c_costos]],2)="91","OPERACIONES",IF(LEFT(Anexo_4[[#This Row],[c_costos]],2)="97","G. FINANCIEROS",IF(LEFT(Anexo_4[[#This Row],[c_costos]],2)="95","G. VENTAS","G. ADMINISTRACIÓN")))</f>
        <v>G. FINANCIEROS</v>
      </c>
      <c r="F471" s="79" t="s">
        <v>474</v>
      </c>
      <c r="G471" s="79" t="s">
        <v>475</v>
      </c>
      <c r="H471" s="140" t="s">
        <v>1731</v>
      </c>
      <c r="I471" s="77" t="s">
        <v>477</v>
      </c>
      <c r="J471" s="144" t="s">
        <v>478</v>
      </c>
      <c r="K471" s="77" t="s">
        <v>169</v>
      </c>
      <c r="L471" s="103" t="str">
        <f>VLOOKUP(Anexo_4[[#This Row],[cod_doc]],TIPODOC,2,FALSE)</f>
        <v>FACTURA</v>
      </c>
      <c r="M471" s="77" t="s">
        <v>479</v>
      </c>
      <c r="N471" s="79">
        <v>34107559</v>
      </c>
      <c r="O471" s="80"/>
      <c r="P471" s="81" t="s">
        <v>171</v>
      </c>
      <c r="Q471" s="81">
        <v>0</v>
      </c>
      <c r="R471" s="80" t="s">
        <v>171</v>
      </c>
      <c r="S471" s="80">
        <v>20.5</v>
      </c>
      <c r="T471" s="82">
        <v>20.5</v>
      </c>
      <c r="U471" s="77"/>
      <c r="V471" s="75"/>
      <c r="W471" s="77"/>
      <c r="X471" s="77"/>
      <c r="Y471" s="77"/>
      <c r="Z471" s="77" t="s">
        <v>483</v>
      </c>
      <c r="AA471" s="83" t="s">
        <v>1731</v>
      </c>
      <c r="AB471" s="104" t="str">
        <f>IFERROR(VLOOKUP(Anexo_4[[#This Row],[cuenta]],OP,2,0),"-")</f>
        <v>-</v>
      </c>
    </row>
    <row r="472" spans="1:28" s="84" customFormat="1" ht="27" customHeight="1" x14ac:dyDescent="0.3">
      <c r="A472" s="75" t="s">
        <v>857</v>
      </c>
      <c r="B472" s="36" t="str">
        <f t="shared" si="7"/>
        <v>Junio</v>
      </c>
      <c r="C472" s="77" t="s">
        <v>162</v>
      </c>
      <c r="D472" s="77" t="s">
        <v>1744</v>
      </c>
      <c r="E472" s="78" t="str">
        <f>IF(LEFT(Anexo_4[[#This Row],[c_costos]],2)="91","OPERACIONES",IF(LEFT(Anexo_4[[#This Row],[c_costos]],2)="97","G. FINANCIEROS",IF(LEFT(Anexo_4[[#This Row],[c_costos]],2)="95","G. VENTAS","G. ADMINISTRACIÓN")))</f>
        <v>G. FINANCIEROS</v>
      </c>
      <c r="F472" s="79" t="s">
        <v>474</v>
      </c>
      <c r="G472" s="79" t="s">
        <v>475</v>
      </c>
      <c r="H472" s="140" t="s">
        <v>1745</v>
      </c>
      <c r="I472" s="77" t="s">
        <v>477</v>
      </c>
      <c r="J472" s="144" t="s">
        <v>478</v>
      </c>
      <c r="K472" s="77" t="s">
        <v>169</v>
      </c>
      <c r="L472" s="103" t="str">
        <f>VLOOKUP(Anexo_4[[#This Row],[cod_doc]],TIPODOC,2,FALSE)</f>
        <v>FACTURA</v>
      </c>
      <c r="M472" s="77" t="s">
        <v>479</v>
      </c>
      <c r="N472" s="79">
        <v>33908644</v>
      </c>
      <c r="O472" s="80"/>
      <c r="P472" s="81" t="s">
        <v>171</v>
      </c>
      <c r="Q472" s="81">
        <v>0</v>
      </c>
      <c r="R472" s="80" t="s">
        <v>171</v>
      </c>
      <c r="S472" s="80">
        <v>10</v>
      </c>
      <c r="T472" s="82">
        <v>10</v>
      </c>
      <c r="U472" s="77"/>
      <c r="V472" s="75"/>
      <c r="W472" s="77"/>
      <c r="X472" s="77"/>
      <c r="Y472" s="77"/>
      <c r="Z472" s="77" t="s">
        <v>483</v>
      </c>
      <c r="AA472" s="83" t="s">
        <v>1745</v>
      </c>
      <c r="AB472" s="104" t="str">
        <f>IFERROR(VLOOKUP(Anexo_4[[#This Row],[cuenta]],OP,2,0),"-")</f>
        <v>-</v>
      </c>
    </row>
    <row r="473" spans="1:28" s="84" customFormat="1" ht="27" customHeight="1" x14ac:dyDescent="0.3">
      <c r="A473" s="75" t="s">
        <v>1623</v>
      </c>
      <c r="B473" s="36" t="str">
        <f t="shared" si="7"/>
        <v>Junio</v>
      </c>
      <c r="C473" s="77" t="s">
        <v>162</v>
      </c>
      <c r="D473" s="77" t="s">
        <v>1746</v>
      </c>
      <c r="E473" s="78" t="str">
        <f>IF(LEFT(Anexo_4[[#This Row],[c_costos]],2)="91","OPERACIONES",IF(LEFT(Anexo_4[[#This Row],[c_costos]],2)="97","G. FINANCIEROS",IF(LEFT(Anexo_4[[#This Row],[c_costos]],2)="95","G. VENTAS","G. ADMINISTRACIÓN")))</f>
        <v>G. FINANCIEROS</v>
      </c>
      <c r="F473" s="79" t="s">
        <v>474</v>
      </c>
      <c r="G473" s="79" t="s">
        <v>475</v>
      </c>
      <c r="H473" s="140" t="s">
        <v>1745</v>
      </c>
      <c r="I473" s="77" t="s">
        <v>1747</v>
      </c>
      <c r="J473" s="144" t="s">
        <v>1748</v>
      </c>
      <c r="K473" s="77" t="s">
        <v>169</v>
      </c>
      <c r="L473" s="103" t="str">
        <f>VLOOKUP(Anexo_4[[#This Row],[cod_doc]],TIPODOC,2,FALSE)</f>
        <v>FACTURA</v>
      </c>
      <c r="M473" s="77" t="s">
        <v>1749</v>
      </c>
      <c r="N473" s="79">
        <v>22442303</v>
      </c>
      <c r="O473" s="80"/>
      <c r="P473" s="81" t="s">
        <v>171</v>
      </c>
      <c r="Q473" s="81">
        <v>0</v>
      </c>
      <c r="R473" s="80" t="s">
        <v>171</v>
      </c>
      <c r="S473" s="80">
        <v>30</v>
      </c>
      <c r="T473" s="82">
        <v>30</v>
      </c>
      <c r="U473" s="77"/>
      <c r="V473" s="75"/>
      <c r="W473" s="77"/>
      <c r="X473" s="77"/>
      <c r="Y473" s="77"/>
      <c r="Z473" s="77" t="s">
        <v>483</v>
      </c>
      <c r="AA473" s="83" t="s">
        <v>1745</v>
      </c>
      <c r="AB473" s="104" t="str">
        <f>IFERROR(VLOOKUP(Anexo_4[[#This Row],[cuenta]],OP,2,0),"-")</f>
        <v>-</v>
      </c>
    </row>
    <row r="474" spans="1:28" s="84" customFormat="1" ht="27" customHeight="1" x14ac:dyDescent="0.3">
      <c r="A474" s="75" t="s">
        <v>1430</v>
      </c>
      <c r="B474" s="36" t="str">
        <f t="shared" si="7"/>
        <v>Junio</v>
      </c>
      <c r="C474" s="77" t="s">
        <v>162</v>
      </c>
      <c r="D474" s="77" t="s">
        <v>1750</v>
      </c>
      <c r="E474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474" s="79" t="s">
        <v>823</v>
      </c>
      <c r="G474" s="79" t="s">
        <v>824</v>
      </c>
      <c r="H474" s="140" t="s">
        <v>1751</v>
      </c>
      <c r="I474" s="77" t="s">
        <v>1752</v>
      </c>
      <c r="J474" s="144" t="s">
        <v>1753</v>
      </c>
      <c r="K474" s="77" t="s">
        <v>169</v>
      </c>
      <c r="L474" s="103" t="str">
        <f>VLOOKUP(Anexo_4[[#This Row],[cod_doc]],TIPODOC,2,FALSE)</f>
        <v>FACTURA</v>
      </c>
      <c r="M474" s="77" t="s">
        <v>1754</v>
      </c>
      <c r="N474" s="79">
        <v>12</v>
      </c>
      <c r="O474" s="80">
        <v>4545.78</v>
      </c>
      <c r="P474" s="81" t="s">
        <v>171</v>
      </c>
      <c r="Q474" s="81">
        <v>818.24039999999991</v>
      </c>
      <c r="R474" s="80" t="s">
        <v>171</v>
      </c>
      <c r="S474" s="80">
        <v>0</v>
      </c>
      <c r="T474" s="82">
        <v>5364</v>
      </c>
      <c r="U474" s="77" t="s">
        <v>1755</v>
      </c>
      <c r="V474" s="75" t="s">
        <v>1007</v>
      </c>
      <c r="W474" s="77"/>
      <c r="X474" s="77"/>
      <c r="Y474" s="77"/>
      <c r="Z474" s="77" t="s">
        <v>1756</v>
      </c>
      <c r="AA474" s="83" t="s">
        <v>1751</v>
      </c>
      <c r="AB474" s="104" t="str">
        <f>IFERROR(VLOOKUP(Anexo_4[[#This Row],[cuenta]],OP,2,0),"-")</f>
        <v>-</v>
      </c>
    </row>
    <row r="475" spans="1:28" s="84" customFormat="1" ht="27" customHeight="1" x14ac:dyDescent="0.3">
      <c r="A475" s="75" t="s">
        <v>1623</v>
      </c>
      <c r="B475" s="36" t="str">
        <f t="shared" si="7"/>
        <v>Junio</v>
      </c>
      <c r="C475" s="77" t="s">
        <v>162</v>
      </c>
      <c r="D475" s="77" t="s">
        <v>1757</v>
      </c>
      <c r="E47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475" s="79" t="s">
        <v>235</v>
      </c>
      <c r="G475" s="79" t="s">
        <v>236</v>
      </c>
      <c r="H475" s="140" t="s">
        <v>765</v>
      </c>
      <c r="I475" s="77" t="s">
        <v>452</v>
      </c>
      <c r="J475" s="144" t="s">
        <v>453</v>
      </c>
      <c r="K475" s="77" t="s">
        <v>169</v>
      </c>
      <c r="L475" s="103" t="str">
        <f>VLOOKUP(Anexo_4[[#This Row],[cod_doc]],TIPODOC,2,FALSE)</f>
        <v>FACTURA</v>
      </c>
      <c r="M475" s="77" t="s">
        <v>1056</v>
      </c>
      <c r="N475" s="79">
        <v>171296</v>
      </c>
      <c r="O475" s="80">
        <v>176.63</v>
      </c>
      <c r="P475" s="81" t="s">
        <v>171</v>
      </c>
      <c r="Q475" s="81">
        <v>31.793399999999998</v>
      </c>
      <c r="R475" s="80" t="s">
        <v>171</v>
      </c>
      <c r="S475" s="80">
        <v>0</v>
      </c>
      <c r="T475" s="82">
        <v>208.42</v>
      </c>
      <c r="U475" s="77"/>
      <c r="V475" s="75"/>
      <c r="W475" s="77"/>
      <c r="X475" s="77"/>
      <c r="Y475" s="77"/>
      <c r="Z475" s="77" t="s">
        <v>455</v>
      </c>
      <c r="AA475" s="83" t="s">
        <v>765</v>
      </c>
      <c r="AB475" s="104" t="str">
        <f>IFERROR(VLOOKUP(Anexo_4[[#This Row],[cuenta]],OP,2,0),"-")</f>
        <v>Combustible (Vehiculos)</v>
      </c>
    </row>
    <row r="476" spans="1:28" s="84" customFormat="1" ht="27" customHeight="1" x14ac:dyDescent="0.3">
      <c r="A476" s="75" t="s">
        <v>1623</v>
      </c>
      <c r="B476" s="36" t="str">
        <f t="shared" si="7"/>
        <v>Junio</v>
      </c>
      <c r="C476" s="77" t="s">
        <v>162</v>
      </c>
      <c r="D476" s="77" t="s">
        <v>1758</v>
      </c>
      <c r="E47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476" s="79" t="s">
        <v>456</v>
      </c>
      <c r="G476" s="79" t="s">
        <v>457</v>
      </c>
      <c r="H476" s="140" t="s">
        <v>1759</v>
      </c>
      <c r="I476" s="77" t="s">
        <v>178</v>
      </c>
      <c r="J476" s="144" t="s">
        <v>179</v>
      </c>
      <c r="K476" s="77" t="s">
        <v>169</v>
      </c>
      <c r="L476" s="103" t="str">
        <f>VLOOKUP(Anexo_4[[#This Row],[cod_doc]],TIPODOC,2,FALSE)</f>
        <v>FACTURA</v>
      </c>
      <c r="M476" s="77" t="s">
        <v>180</v>
      </c>
      <c r="N476" s="79">
        <v>133652</v>
      </c>
      <c r="O476" s="80">
        <v>8.4700000000000006</v>
      </c>
      <c r="P476" s="81" t="s">
        <v>171</v>
      </c>
      <c r="Q476" s="81">
        <v>1.5246</v>
      </c>
      <c r="R476" s="80" t="s">
        <v>171</v>
      </c>
      <c r="S476" s="80">
        <v>0</v>
      </c>
      <c r="T476" s="82">
        <v>10</v>
      </c>
      <c r="U476" s="77"/>
      <c r="V476" s="75"/>
      <c r="W476" s="77"/>
      <c r="X476" s="77"/>
      <c r="Y476" s="77" t="s">
        <v>1760</v>
      </c>
      <c r="Z476" s="77" t="s">
        <v>386</v>
      </c>
      <c r="AA476" s="83" t="s">
        <v>1759</v>
      </c>
      <c r="AB476" s="104" t="str">
        <f>IFERROR(VLOOKUP(Anexo_4[[#This Row],[cuenta]],OP,2,0),"-")</f>
        <v>Balanza - Servicios</v>
      </c>
    </row>
    <row r="477" spans="1:28" s="84" customFormat="1" ht="27" customHeight="1" x14ac:dyDescent="0.3">
      <c r="A477" s="75" t="s">
        <v>1623</v>
      </c>
      <c r="B477" s="36" t="str">
        <f t="shared" si="7"/>
        <v>Junio</v>
      </c>
      <c r="C477" s="77" t="s">
        <v>162</v>
      </c>
      <c r="D477" s="77" t="s">
        <v>1761</v>
      </c>
      <c r="E477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477" s="79" t="s">
        <v>650</v>
      </c>
      <c r="G477" s="79" t="s">
        <v>651</v>
      </c>
      <c r="H477" s="140" t="s">
        <v>1762</v>
      </c>
      <c r="I477" s="77" t="s">
        <v>653</v>
      </c>
      <c r="J477" s="144" t="s">
        <v>654</v>
      </c>
      <c r="K477" s="77" t="s">
        <v>169</v>
      </c>
      <c r="L477" s="103" t="str">
        <f>VLOOKUP(Anexo_4[[#This Row],[cod_doc]],TIPODOC,2,FALSE)</f>
        <v>FACTURA</v>
      </c>
      <c r="M477" s="77" t="s">
        <v>655</v>
      </c>
      <c r="N477" s="79">
        <v>16079</v>
      </c>
      <c r="O477" s="80">
        <v>184</v>
      </c>
      <c r="P477" s="81" t="s">
        <v>171</v>
      </c>
      <c r="Q477" s="81">
        <v>33.119999999999997</v>
      </c>
      <c r="R477" s="80" t="s">
        <v>171</v>
      </c>
      <c r="S477" s="80">
        <v>0</v>
      </c>
      <c r="T477" s="82">
        <v>217.12</v>
      </c>
      <c r="U477" s="77"/>
      <c r="V477" s="75"/>
      <c r="W477" s="77"/>
      <c r="X477" s="77"/>
      <c r="Y477" s="77"/>
      <c r="Z477" s="77" t="s">
        <v>1602</v>
      </c>
      <c r="AA477" s="83" t="s">
        <v>1762</v>
      </c>
      <c r="AB477" s="104" t="str">
        <f>IFERROR(VLOOKUP(Anexo_4[[#This Row],[cuenta]],OP,2,0),"-")</f>
        <v>Ingreso</v>
      </c>
    </row>
    <row r="478" spans="1:28" s="84" customFormat="1" ht="27" customHeight="1" x14ac:dyDescent="0.3">
      <c r="A478" s="75" t="s">
        <v>1623</v>
      </c>
      <c r="B478" s="36" t="str">
        <f t="shared" si="7"/>
        <v>Junio</v>
      </c>
      <c r="C478" s="77" t="s">
        <v>162</v>
      </c>
      <c r="D478" s="77" t="s">
        <v>1763</v>
      </c>
      <c r="E478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478" s="79" t="s">
        <v>175</v>
      </c>
      <c r="G478" s="79" t="s">
        <v>176</v>
      </c>
      <c r="H478" s="140" t="s">
        <v>765</v>
      </c>
      <c r="I478" s="77" t="s">
        <v>452</v>
      </c>
      <c r="J478" s="144" t="s">
        <v>453</v>
      </c>
      <c r="K478" s="77" t="s">
        <v>169</v>
      </c>
      <c r="L478" s="103" t="str">
        <f>VLOOKUP(Anexo_4[[#This Row],[cod_doc]],TIPODOC,2,FALSE)</f>
        <v>FACTURA</v>
      </c>
      <c r="M478" s="77" t="s">
        <v>1056</v>
      </c>
      <c r="N478" s="79">
        <v>170630</v>
      </c>
      <c r="O478" s="80">
        <v>390.48</v>
      </c>
      <c r="P478" s="81" t="s">
        <v>171</v>
      </c>
      <c r="Q478" s="81">
        <v>70.2864</v>
      </c>
      <c r="R478" s="80" t="s">
        <v>171</v>
      </c>
      <c r="S478" s="80">
        <v>0</v>
      </c>
      <c r="T478" s="82">
        <v>1928.71</v>
      </c>
      <c r="U478" s="77"/>
      <c r="V478" s="75"/>
      <c r="W478" s="77"/>
      <c r="X478" s="77"/>
      <c r="Y478" s="77"/>
      <c r="Z478" s="77" t="s">
        <v>455</v>
      </c>
      <c r="AA478" s="83" t="s">
        <v>765</v>
      </c>
      <c r="AB478" s="104" t="str">
        <f>IFERROR(VLOOKUP(Anexo_4[[#This Row],[cuenta]],OP,2,0),"-")</f>
        <v>Combustible (Vehiculos)</v>
      </c>
    </row>
    <row r="479" spans="1:28" s="84" customFormat="1" ht="27" customHeight="1" x14ac:dyDescent="0.3">
      <c r="A479" s="75" t="s">
        <v>1623</v>
      </c>
      <c r="B479" s="36" t="str">
        <f t="shared" si="7"/>
        <v>Junio</v>
      </c>
      <c r="C479" s="77" t="s">
        <v>162</v>
      </c>
      <c r="D479" s="77" t="s">
        <v>1763</v>
      </c>
      <c r="E479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479" s="79" t="s">
        <v>391</v>
      </c>
      <c r="G479" s="79" t="s">
        <v>392</v>
      </c>
      <c r="H479" s="140" t="s">
        <v>765</v>
      </c>
      <c r="I479" s="77" t="s">
        <v>452</v>
      </c>
      <c r="J479" s="144" t="s">
        <v>453</v>
      </c>
      <c r="K479" s="77" t="s">
        <v>169</v>
      </c>
      <c r="L479" s="103" t="str">
        <f>VLOOKUP(Anexo_4[[#This Row],[cod_doc]],TIPODOC,2,FALSE)</f>
        <v>FACTURA</v>
      </c>
      <c r="M479" s="77" t="s">
        <v>1056</v>
      </c>
      <c r="N479" s="79">
        <v>170630</v>
      </c>
      <c r="O479" s="80">
        <v>771.77</v>
      </c>
      <c r="P479" s="81" t="s">
        <v>171</v>
      </c>
      <c r="Q479" s="81">
        <v>138.9186</v>
      </c>
      <c r="R479" s="80" t="s">
        <v>171</v>
      </c>
      <c r="S479" s="80">
        <v>0</v>
      </c>
      <c r="T479" s="82">
        <v>1928.71</v>
      </c>
      <c r="U479" s="77"/>
      <c r="V479" s="75"/>
      <c r="W479" s="77"/>
      <c r="X479" s="77"/>
      <c r="Y479" s="77"/>
      <c r="Z479" s="77" t="s">
        <v>455</v>
      </c>
      <c r="AA479" s="83" t="s">
        <v>765</v>
      </c>
      <c r="AB479" s="104" t="str">
        <f>IFERROR(VLOOKUP(Anexo_4[[#This Row],[cuenta]],OP,2,0),"-")</f>
        <v>Combustible (Vehiculos)</v>
      </c>
    </row>
    <row r="480" spans="1:28" s="84" customFormat="1" ht="27" customHeight="1" x14ac:dyDescent="0.3">
      <c r="A480" s="75" t="s">
        <v>1623</v>
      </c>
      <c r="B480" s="36" t="str">
        <f t="shared" si="7"/>
        <v>Junio</v>
      </c>
      <c r="C480" s="77" t="s">
        <v>162</v>
      </c>
      <c r="D480" s="77" t="s">
        <v>1763</v>
      </c>
      <c r="E480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480" s="79" t="s">
        <v>217</v>
      </c>
      <c r="G480" s="79" t="s">
        <v>218</v>
      </c>
      <c r="H480" s="140" t="s">
        <v>765</v>
      </c>
      <c r="I480" s="77" t="s">
        <v>452</v>
      </c>
      <c r="J480" s="144" t="s">
        <v>453</v>
      </c>
      <c r="K480" s="77" t="s">
        <v>169</v>
      </c>
      <c r="L480" s="103" t="str">
        <f>VLOOKUP(Anexo_4[[#This Row],[cod_doc]],TIPODOC,2,FALSE)</f>
        <v>FACTURA</v>
      </c>
      <c r="M480" s="77" t="s">
        <v>1056</v>
      </c>
      <c r="N480" s="79">
        <v>170630</v>
      </c>
      <c r="O480" s="80">
        <v>472.25</v>
      </c>
      <c r="P480" s="81" t="s">
        <v>171</v>
      </c>
      <c r="Q480" s="81">
        <v>85.004999999999995</v>
      </c>
      <c r="R480" s="80" t="s">
        <v>171</v>
      </c>
      <c r="S480" s="80">
        <v>0</v>
      </c>
      <c r="T480" s="82">
        <v>1928.71</v>
      </c>
      <c r="U480" s="77"/>
      <c r="V480" s="75"/>
      <c r="W480" s="77"/>
      <c r="X480" s="77"/>
      <c r="Y480" s="77"/>
      <c r="Z480" s="77" t="s">
        <v>455</v>
      </c>
      <c r="AA480" s="83" t="s">
        <v>765</v>
      </c>
      <c r="AB480" s="104" t="str">
        <f>IFERROR(VLOOKUP(Anexo_4[[#This Row],[cuenta]],OP,2,0),"-")</f>
        <v>Combustible (Vehiculos)</v>
      </c>
    </row>
    <row r="481" spans="1:28" s="84" customFormat="1" ht="27" customHeight="1" x14ac:dyDescent="0.3">
      <c r="A481" s="75" t="s">
        <v>1623</v>
      </c>
      <c r="B481" s="36" t="str">
        <f t="shared" si="7"/>
        <v>Junio</v>
      </c>
      <c r="C481" s="77" t="s">
        <v>162</v>
      </c>
      <c r="D481" s="77" t="s">
        <v>1764</v>
      </c>
      <c r="E48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481" s="79" t="s">
        <v>449</v>
      </c>
      <c r="G481" s="79" t="s">
        <v>450</v>
      </c>
      <c r="H481" s="140" t="s">
        <v>765</v>
      </c>
      <c r="I481" s="77" t="s">
        <v>452</v>
      </c>
      <c r="J481" s="144" t="s">
        <v>453</v>
      </c>
      <c r="K481" s="77" t="s">
        <v>169</v>
      </c>
      <c r="L481" s="103" t="str">
        <f>VLOOKUP(Anexo_4[[#This Row],[cod_doc]],TIPODOC,2,FALSE)</f>
        <v>FACTURA</v>
      </c>
      <c r="M481" s="77" t="s">
        <v>1056</v>
      </c>
      <c r="N481" s="79">
        <v>170648</v>
      </c>
      <c r="O481" s="80">
        <v>516.66999999999996</v>
      </c>
      <c r="P481" s="81" t="s">
        <v>171</v>
      </c>
      <c r="Q481" s="81">
        <v>93.000599999999991</v>
      </c>
      <c r="R481" s="80" t="s">
        <v>171</v>
      </c>
      <c r="S481" s="80">
        <v>0</v>
      </c>
      <c r="T481" s="82">
        <v>1010.53</v>
      </c>
      <c r="U481" s="77"/>
      <c r="V481" s="75"/>
      <c r="W481" s="77"/>
      <c r="X481" s="77"/>
      <c r="Y481" s="77"/>
      <c r="Z481" s="77" t="s">
        <v>455</v>
      </c>
      <c r="AA481" s="83" t="s">
        <v>765</v>
      </c>
      <c r="AB481" s="104" t="str">
        <f>IFERROR(VLOOKUP(Anexo_4[[#This Row],[cuenta]],OP,2,0),"-")</f>
        <v>Combustible (Vehiculos)</v>
      </c>
    </row>
    <row r="482" spans="1:28" s="84" customFormat="1" ht="27" customHeight="1" x14ac:dyDescent="0.3">
      <c r="A482" s="75" t="s">
        <v>1623</v>
      </c>
      <c r="B482" s="36" t="str">
        <f t="shared" si="7"/>
        <v>Junio</v>
      </c>
      <c r="C482" s="77" t="s">
        <v>162</v>
      </c>
      <c r="D482" s="77" t="s">
        <v>1764</v>
      </c>
      <c r="E48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482" s="79" t="s">
        <v>235</v>
      </c>
      <c r="G482" s="79" t="s">
        <v>236</v>
      </c>
      <c r="H482" s="140" t="s">
        <v>765</v>
      </c>
      <c r="I482" s="77" t="s">
        <v>452</v>
      </c>
      <c r="J482" s="144" t="s">
        <v>453</v>
      </c>
      <c r="K482" s="77" t="s">
        <v>169</v>
      </c>
      <c r="L482" s="103" t="str">
        <f>VLOOKUP(Anexo_4[[#This Row],[cod_doc]],TIPODOC,2,FALSE)</f>
        <v>FACTURA</v>
      </c>
      <c r="M482" s="77" t="s">
        <v>1056</v>
      </c>
      <c r="N482" s="79">
        <v>170648</v>
      </c>
      <c r="O482" s="80">
        <v>266.10000000000002</v>
      </c>
      <c r="P482" s="81" t="s">
        <v>171</v>
      </c>
      <c r="Q482" s="81">
        <v>47.898000000000003</v>
      </c>
      <c r="R482" s="80" t="s">
        <v>171</v>
      </c>
      <c r="S482" s="80">
        <v>0</v>
      </c>
      <c r="T482" s="82">
        <v>1010.53</v>
      </c>
      <c r="U482" s="77"/>
      <c r="V482" s="75"/>
      <c r="W482" s="77"/>
      <c r="X482" s="77"/>
      <c r="Y482" s="77"/>
      <c r="Z482" s="77" t="s">
        <v>455</v>
      </c>
      <c r="AA482" s="83" t="s">
        <v>765</v>
      </c>
      <c r="AB482" s="104" t="str">
        <f>IFERROR(VLOOKUP(Anexo_4[[#This Row],[cuenta]],OP,2,0),"-")</f>
        <v>Combustible (Vehiculos)</v>
      </c>
    </row>
    <row r="483" spans="1:28" s="84" customFormat="1" ht="27" customHeight="1" x14ac:dyDescent="0.3">
      <c r="A483" s="75" t="s">
        <v>1623</v>
      </c>
      <c r="B483" s="36" t="str">
        <f t="shared" si="7"/>
        <v>Junio</v>
      </c>
      <c r="C483" s="77" t="s">
        <v>162</v>
      </c>
      <c r="D483" s="77" t="s">
        <v>1764</v>
      </c>
      <c r="E483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483" s="79" t="s">
        <v>458</v>
      </c>
      <c r="G483" s="79" t="s">
        <v>459</v>
      </c>
      <c r="H483" s="140" t="s">
        <v>765</v>
      </c>
      <c r="I483" s="77" t="s">
        <v>452</v>
      </c>
      <c r="J483" s="144" t="s">
        <v>453</v>
      </c>
      <c r="K483" s="77" t="s">
        <v>169</v>
      </c>
      <c r="L483" s="103" t="str">
        <f>VLOOKUP(Anexo_4[[#This Row],[cod_doc]],TIPODOC,2,FALSE)</f>
        <v>FACTURA</v>
      </c>
      <c r="M483" s="77" t="s">
        <v>1056</v>
      </c>
      <c r="N483" s="79">
        <v>170648</v>
      </c>
      <c r="O483" s="80">
        <v>73.61</v>
      </c>
      <c r="P483" s="81" t="s">
        <v>171</v>
      </c>
      <c r="Q483" s="81">
        <v>13.249799999999999</v>
      </c>
      <c r="R483" s="80" t="s">
        <v>171</v>
      </c>
      <c r="S483" s="80">
        <v>0</v>
      </c>
      <c r="T483" s="82">
        <v>1010.53</v>
      </c>
      <c r="U483" s="77"/>
      <c r="V483" s="75"/>
      <c r="W483" s="77"/>
      <c r="X483" s="77"/>
      <c r="Y483" s="77"/>
      <c r="Z483" s="77" t="s">
        <v>455</v>
      </c>
      <c r="AA483" s="83" t="s">
        <v>765</v>
      </c>
      <c r="AB483" s="104" t="str">
        <f>IFERROR(VLOOKUP(Anexo_4[[#This Row],[cuenta]],OP,2,0),"-")</f>
        <v>Combustible (Vehiculos)</v>
      </c>
    </row>
    <row r="484" spans="1:28" s="84" customFormat="1" ht="27" customHeight="1" x14ac:dyDescent="0.3">
      <c r="A484" s="75" t="s">
        <v>1430</v>
      </c>
      <c r="B484" s="36" t="str">
        <f t="shared" si="7"/>
        <v>Junio</v>
      </c>
      <c r="C484" s="77" t="s">
        <v>162</v>
      </c>
      <c r="D484" s="77" t="s">
        <v>1765</v>
      </c>
      <c r="E484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484" s="79" t="s">
        <v>217</v>
      </c>
      <c r="G484" s="79" t="s">
        <v>218</v>
      </c>
      <c r="H484" s="140" t="s">
        <v>1766</v>
      </c>
      <c r="I484" s="77" t="s">
        <v>383</v>
      </c>
      <c r="J484" s="144" t="s">
        <v>384</v>
      </c>
      <c r="K484" s="77" t="s">
        <v>169</v>
      </c>
      <c r="L484" s="103" t="str">
        <f>VLOOKUP(Anexo_4[[#This Row],[cod_doc]],TIPODOC,2,FALSE)</f>
        <v>FACTURA</v>
      </c>
      <c r="M484" s="77" t="s">
        <v>103</v>
      </c>
      <c r="N484" s="79">
        <v>16769</v>
      </c>
      <c r="O484" s="80">
        <v>16.95</v>
      </c>
      <c r="P484" s="81" t="s">
        <v>171</v>
      </c>
      <c r="Q484" s="81">
        <v>3.0509999999999997</v>
      </c>
      <c r="R484" s="80" t="s">
        <v>171</v>
      </c>
      <c r="S484" s="80">
        <v>0</v>
      </c>
      <c r="T484" s="82">
        <v>20</v>
      </c>
      <c r="U484" s="77"/>
      <c r="V484" s="75"/>
      <c r="W484" s="77"/>
      <c r="X484" s="77"/>
      <c r="Y484" s="77" t="s">
        <v>1767</v>
      </c>
      <c r="Z484" s="77" t="s">
        <v>386</v>
      </c>
      <c r="AA484" s="83" t="s">
        <v>1766</v>
      </c>
      <c r="AB484" s="104" t="str">
        <f>IFERROR(VLOOKUP(Anexo_4[[#This Row],[cuenta]],OP,2,0),"-")</f>
        <v>Balanza - Servicios</v>
      </c>
    </row>
    <row r="485" spans="1:28" s="84" customFormat="1" ht="27" customHeight="1" x14ac:dyDescent="0.3">
      <c r="A485" s="75" t="s">
        <v>1378</v>
      </c>
      <c r="B485" s="36" t="str">
        <f t="shared" si="7"/>
        <v>Junio</v>
      </c>
      <c r="C485" s="77" t="s">
        <v>162</v>
      </c>
      <c r="D485" s="77" t="s">
        <v>1768</v>
      </c>
      <c r="E48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485" s="79" t="s">
        <v>391</v>
      </c>
      <c r="G485" s="79" t="s">
        <v>392</v>
      </c>
      <c r="H485" s="140" t="s">
        <v>1769</v>
      </c>
      <c r="I485" s="77" t="s">
        <v>529</v>
      </c>
      <c r="J485" s="144" t="s">
        <v>530</v>
      </c>
      <c r="K485" s="77" t="s">
        <v>169</v>
      </c>
      <c r="L485" s="103" t="str">
        <f>VLOOKUP(Anexo_4[[#This Row],[cod_doc]],TIPODOC,2,FALSE)</f>
        <v>FACTURA</v>
      </c>
      <c r="M485" s="77" t="s">
        <v>531</v>
      </c>
      <c r="N485" s="79">
        <v>1509</v>
      </c>
      <c r="O485" s="80">
        <v>8.4700000000000006</v>
      </c>
      <c r="P485" s="81" t="s">
        <v>171</v>
      </c>
      <c r="Q485" s="81">
        <v>1.5246</v>
      </c>
      <c r="R485" s="80" t="s">
        <v>171</v>
      </c>
      <c r="S485" s="80">
        <v>0</v>
      </c>
      <c r="T485" s="82">
        <v>10</v>
      </c>
      <c r="U485" s="77"/>
      <c r="V485" s="75"/>
      <c r="W485" s="77"/>
      <c r="X485" s="77"/>
      <c r="Y485" s="77" t="s">
        <v>1770</v>
      </c>
      <c r="Z485" s="77" t="s">
        <v>182</v>
      </c>
      <c r="AA485" s="83" t="s">
        <v>1769</v>
      </c>
      <c r="AB485" s="104" t="str">
        <f>IFERROR(VLOOKUP(Anexo_4[[#This Row],[cuenta]],OP,2,0),"-")</f>
        <v>Balanza - Ventas</v>
      </c>
    </row>
    <row r="486" spans="1:28" s="84" customFormat="1" ht="27" customHeight="1" x14ac:dyDescent="0.3">
      <c r="A486" s="75" t="s">
        <v>1378</v>
      </c>
      <c r="B486" s="36" t="str">
        <f t="shared" si="7"/>
        <v>Junio</v>
      </c>
      <c r="C486" s="77" t="s">
        <v>162</v>
      </c>
      <c r="D486" s="77" t="s">
        <v>1771</v>
      </c>
      <c r="E48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486" s="79" t="s">
        <v>391</v>
      </c>
      <c r="G486" s="79" t="s">
        <v>392</v>
      </c>
      <c r="H486" s="140" t="s">
        <v>1772</v>
      </c>
      <c r="I486" s="77" t="s">
        <v>529</v>
      </c>
      <c r="J486" s="144" t="s">
        <v>530</v>
      </c>
      <c r="K486" s="77" t="s">
        <v>169</v>
      </c>
      <c r="L486" s="103" t="str">
        <f>VLOOKUP(Anexo_4[[#This Row],[cod_doc]],TIPODOC,2,FALSE)</f>
        <v>FACTURA</v>
      </c>
      <c r="M486" s="77" t="s">
        <v>531</v>
      </c>
      <c r="N486" s="79">
        <v>1514</v>
      </c>
      <c r="O486" s="80">
        <v>8.4700000000000006</v>
      </c>
      <c r="P486" s="81" t="s">
        <v>171</v>
      </c>
      <c r="Q486" s="81">
        <v>1.5246</v>
      </c>
      <c r="R486" s="80" t="s">
        <v>171</v>
      </c>
      <c r="S486" s="80">
        <v>0</v>
      </c>
      <c r="T486" s="82">
        <v>10</v>
      </c>
      <c r="U486" s="77"/>
      <c r="V486" s="75"/>
      <c r="W486" s="77"/>
      <c r="X486" s="77"/>
      <c r="Y486" s="77" t="s">
        <v>1773</v>
      </c>
      <c r="Z486" s="77" t="s">
        <v>182</v>
      </c>
      <c r="AA486" s="83" t="s">
        <v>1772</v>
      </c>
      <c r="AB486" s="104" t="str">
        <f>IFERROR(VLOOKUP(Anexo_4[[#This Row],[cuenta]],OP,2,0),"-")</f>
        <v>Balanza - Ventas</v>
      </c>
    </row>
    <row r="487" spans="1:28" s="84" customFormat="1" ht="27" customHeight="1" x14ac:dyDescent="0.3">
      <c r="A487" s="75" t="s">
        <v>1378</v>
      </c>
      <c r="B487" s="36" t="str">
        <f t="shared" si="7"/>
        <v>Junio</v>
      </c>
      <c r="C487" s="77" t="s">
        <v>162</v>
      </c>
      <c r="D487" s="77" t="s">
        <v>1774</v>
      </c>
      <c r="E487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487" s="79" t="s">
        <v>391</v>
      </c>
      <c r="G487" s="79" t="s">
        <v>392</v>
      </c>
      <c r="H487" s="140" t="s">
        <v>1775</v>
      </c>
      <c r="I487" s="77" t="s">
        <v>504</v>
      </c>
      <c r="J487" s="144" t="s">
        <v>505</v>
      </c>
      <c r="K487" s="77" t="s">
        <v>169</v>
      </c>
      <c r="L487" s="103" t="str">
        <f>VLOOKUP(Anexo_4[[#This Row],[cod_doc]],TIPODOC,2,FALSE)</f>
        <v>FACTURA</v>
      </c>
      <c r="M487" s="77" t="s">
        <v>222</v>
      </c>
      <c r="N487" s="79">
        <v>18459</v>
      </c>
      <c r="O487" s="80">
        <v>21.19</v>
      </c>
      <c r="P487" s="81" t="s">
        <v>171</v>
      </c>
      <c r="Q487" s="81">
        <v>3.8142</v>
      </c>
      <c r="R487" s="80" t="s">
        <v>171</v>
      </c>
      <c r="S487" s="80">
        <v>0</v>
      </c>
      <c r="T487" s="82">
        <v>25</v>
      </c>
      <c r="U487" s="77"/>
      <c r="V487" s="75"/>
      <c r="W487" s="77"/>
      <c r="X487" s="77"/>
      <c r="Y487" s="77" t="s">
        <v>1776</v>
      </c>
      <c r="Z487" s="77" t="s">
        <v>507</v>
      </c>
      <c r="AA487" s="83" t="s">
        <v>1775</v>
      </c>
      <c r="AB487" s="104" t="str">
        <f>IFERROR(VLOOKUP(Anexo_4[[#This Row],[cuenta]],OP,2,0),"-")</f>
        <v>Transporte lavado (Higienización)</v>
      </c>
    </row>
    <row r="488" spans="1:28" s="84" customFormat="1" ht="27" customHeight="1" x14ac:dyDescent="0.3">
      <c r="A488" s="75" t="s">
        <v>1378</v>
      </c>
      <c r="B488" s="36" t="str">
        <f t="shared" si="7"/>
        <v>Junio</v>
      </c>
      <c r="C488" s="77" t="s">
        <v>162</v>
      </c>
      <c r="D488" s="77" t="s">
        <v>1777</v>
      </c>
      <c r="E488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488" s="79" t="s">
        <v>248</v>
      </c>
      <c r="G488" s="79" t="s">
        <v>249</v>
      </c>
      <c r="H488" s="140" t="s">
        <v>1778</v>
      </c>
      <c r="I488" s="77" t="s">
        <v>625</v>
      </c>
      <c r="J488" s="144" t="s">
        <v>626</v>
      </c>
      <c r="K488" s="77" t="s">
        <v>169</v>
      </c>
      <c r="L488" s="103" t="str">
        <f>VLOOKUP(Anexo_4[[#This Row],[cod_doc]],TIPODOC,2,FALSE)</f>
        <v>FACTURA</v>
      </c>
      <c r="M488" s="77" t="s">
        <v>180</v>
      </c>
      <c r="N488" s="79">
        <v>16339</v>
      </c>
      <c r="O488" s="80">
        <v>171.46</v>
      </c>
      <c r="P488" s="81" t="s">
        <v>171</v>
      </c>
      <c r="Q488" s="81">
        <v>30.8628</v>
      </c>
      <c r="R488" s="80" t="s">
        <v>171</v>
      </c>
      <c r="S488" s="80">
        <v>0</v>
      </c>
      <c r="T488" s="82">
        <v>202.32</v>
      </c>
      <c r="U488" s="77" t="s">
        <v>1779</v>
      </c>
      <c r="V488" s="75" t="s">
        <v>1780</v>
      </c>
      <c r="W488" s="77"/>
      <c r="X488" s="77"/>
      <c r="Y488" s="77"/>
      <c r="Z488" s="77" t="s">
        <v>256</v>
      </c>
      <c r="AA488" s="83" t="s">
        <v>1778</v>
      </c>
      <c r="AB488" s="104" t="str">
        <f>IFERROR(VLOOKUP(Anexo_4[[#This Row],[cuenta]],OP,2,0),"-")</f>
        <v>Materias Primas - RRSS</v>
      </c>
    </row>
    <row r="489" spans="1:28" s="84" customFormat="1" ht="27" customHeight="1" x14ac:dyDescent="0.3">
      <c r="A489" s="75" t="s">
        <v>1623</v>
      </c>
      <c r="B489" s="36" t="str">
        <f t="shared" si="7"/>
        <v>Junio</v>
      </c>
      <c r="C489" s="77" t="s">
        <v>162</v>
      </c>
      <c r="D489" s="77" t="s">
        <v>1781</v>
      </c>
      <c r="E489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489" s="79" t="s">
        <v>248</v>
      </c>
      <c r="G489" s="79" t="s">
        <v>249</v>
      </c>
      <c r="H489" s="140" t="s">
        <v>1782</v>
      </c>
      <c r="I489" s="77" t="s">
        <v>1783</v>
      </c>
      <c r="J489" s="144" t="s">
        <v>1784</v>
      </c>
      <c r="K489" s="77" t="s">
        <v>169</v>
      </c>
      <c r="L489" s="103" t="str">
        <f>VLOOKUP(Anexo_4[[#This Row],[cod_doc]],TIPODOC,2,FALSE)</f>
        <v>FACTURA</v>
      </c>
      <c r="M489" s="77" t="s">
        <v>102</v>
      </c>
      <c r="N489" s="79">
        <v>877</v>
      </c>
      <c r="O489" s="80">
        <v>474.58</v>
      </c>
      <c r="P489" s="81" t="s">
        <v>171</v>
      </c>
      <c r="Q489" s="81">
        <v>85.424399999999991</v>
      </c>
      <c r="R489" s="80" t="s">
        <v>171</v>
      </c>
      <c r="S489" s="80">
        <v>0</v>
      </c>
      <c r="T489" s="82">
        <v>560</v>
      </c>
      <c r="U489" s="77" t="s">
        <v>1785</v>
      </c>
      <c r="V489" s="75" t="s">
        <v>1786</v>
      </c>
      <c r="W489" s="77"/>
      <c r="X489" s="77"/>
      <c r="Y489" s="77"/>
      <c r="Z489" s="77" t="s">
        <v>256</v>
      </c>
      <c r="AA489" s="83" t="s">
        <v>1782</v>
      </c>
      <c r="AB489" s="104" t="str">
        <f>IFERROR(VLOOKUP(Anexo_4[[#This Row],[cuenta]],OP,2,0),"-")</f>
        <v>Materias Primas - RRSS</v>
      </c>
    </row>
    <row r="490" spans="1:28" s="84" customFormat="1" ht="27" customHeight="1" x14ac:dyDescent="0.3">
      <c r="A490" s="75" t="s">
        <v>467</v>
      </c>
      <c r="B490" s="36" t="str">
        <f t="shared" si="7"/>
        <v>Junio</v>
      </c>
      <c r="C490" s="77" t="s">
        <v>162</v>
      </c>
      <c r="D490" s="77" t="s">
        <v>1787</v>
      </c>
      <c r="E490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490" s="79" t="s">
        <v>355</v>
      </c>
      <c r="G490" s="79" t="s">
        <v>356</v>
      </c>
      <c r="H490" s="140" t="s">
        <v>1788</v>
      </c>
      <c r="I490" s="77" t="s">
        <v>1074</v>
      </c>
      <c r="J490" s="144" t="s">
        <v>1075</v>
      </c>
      <c r="K490" s="77" t="s">
        <v>169</v>
      </c>
      <c r="L490" s="103" t="str">
        <f>VLOOKUP(Anexo_4[[#This Row],[cod_doc]],TIPODOC,2,FALSE)</f>
        <v>FACTURA</v>
      </c>
      <c r="M490" s="77" t="s">
        <v>102</v>
      </c>
      <c r="N490" s="79">
        <v>2307</v>
      </c>
      <c r="O490" s="80">
        <v>100</v>
      </c>
      <c r="P490" s="81" t="s">
        <v>171</v>
      </c>
      <c r="Q490" s="81">
        <v>18</v>
      </c>
      <c r="R490" s="80" t="s">
        <v>171</v>
      </c>
      <c r="S490" s="80">
        <v>0</v>
      </c>
      <c r="T490" s="82">
        <v>118</v>
      </c>
      <c r="U490" s="77"/>
      <c r="V490" s="75"/>
      <c r="W490" s="77"/>
      <c r="X490" s="77"/>
      <c r="Y490" s="77"/>
      <c r="Z490" s="77" t="s">
        <v>645</v>
      </c>
      <c r="AA490" s="83" t="s">
        <v>1788</v>
      </c>
      <c r="AB490" s="104" t="str">
        <f>IFERROR(VLOOKUP(Anexo_4[[#This Row],[cuenta]],OP,2,0),"-")</f>
        <v>Montacarga - Servicios</v>
      </c>
    </row>
    <row r="491" spans="1:28" s="84" customFormat="1" ht="27" customHeight="1" x14ac:dyDescent="0.3">
      <c r="A491" s="75" t="s">
        <v>467</v>
      </c>
      <c r="B491" s="36" t="str">
        <f t="shared" si="7"/>
        <v>Junio</v>
      </c>
      <c r="C491" s="77" t="s">
        <v>162</v>
      </c>
      <c r="D491" s="77" t="s">
        <v>1789</v>
      </c>
      <c r="E491" s="78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491" s="79" t="s">
        <v>198</v>
      </c>
      <c r="G491" s="79" t="s">
        <v>199</v>
      </c>
      <c r="H491" s="140" t="s">
        <v>1790</v>
      </c>
      <c r="I491" s="77" t="s">
        <v>643</v>
      </c>
      <c r="J491" s="144" t="s">
        <v>644</v>
      </c>
      <c r="K491" s="77" t="s">
        <v>169</v>
      </c>
      <c r="L491" s="103" t="str">
        <f>VLOOKUP(Anexo_4[[#This Row],[cod_doc]],TIPODOC,2,FALSE)</f>
        <v>FACTURA</v>
      </c>
      <c r="M491" s="77" t="s">
        <v>102</v>
      </c>
      <c r="N491" s="79">
        <v>3972</v>
      </c>
      <c r="O491" s="80">
        <v>255</v>
      </c>
      <c r="P491" s="81" t="s">
        <v>171</v>
      </c>
      <c r="Q491" s="81">
        <v>45.9</v>
      </c>
      <c r="R491" s="80" t="s">
        <v>171</v>
      </c>
      <c r="S491" s="80">
        <v>0</v>
      </c>
      <c r="T491" s="82">
        <v>300.89999999999998</v>
      </c>
      <c r="U491" s="77"/>
      <c r="V491" s="75"/>
      <c r="W491" s="77"/>
      <c r="X491" s="77"/>
      <c r="Y491" s="77"/>
      <c r="Z491" s="77" t="s">
        <v>648</v>
      </c>
      <c r="AA491" s="83" t="s">
        <v>1790</v>
      </c>
      <c r="AB491" s="104" t="str">
        <f>IFERROR(VLOOKUP(Anexo_4[[#This Row],[cuenta]],OP,2,0),"-")</f>
        <v>Montacarga - Ventas</v>
      </c>
    </row>
    <row r="492" spans="1:28" s="84" customFormat="1" ht="27" customHeight="1" x14ac:dyDescent="0.3">
      <c r="A492" s="75" t="s">
        <v>857</v>
      </c>
      <c r="B492" s="36" t="str">
        <f t="shared" si="7"/>
        <v>Junio</v>
      </c>
      <c r="C492" s="77" t="s">
        <v>162</v>
      </c>
      <c r="D492" s="77" t="s">
        <v>1791</v>
      </c>
      <c r="E492" s="78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492" s="79" t="s">
        <v>198</v>
      </c>
      <c r="G492" s="79" t="s">
        <v>199</v>
      </c>
      <c r="H492" s="140" t="s">
        <v>1792</v>
      </c>
      <c r="I492" s="77" t="s">
        <v>643</v>
      </c>
      <c r="J492" s="144" t="s">
        <v>644</v>
      </c>
      <c r="K492" s="77" t="s">
        <v>169</v>
      </c>
      <c r="L492" s="103" t="str">
        <f>VLOOKUP(Anexo_4[[#This Row],[cod_doc]],TIPODOC,2,FALSE)</f>
        <v>FACTURA</v>
      </c>
      <c r="M492" s="77" t="s">
        <v>102</v>
      </c>
      <c r="N492" s="79">
        <v>3968</v>
      </c>
      <c r="O492" s="80">
        <v>170</v>
      </c>
      <c r="P492" s="81" t="s">
        <v>171</v>
      </c>
      <c r="Q492" s="81">
        <v>30.599999999999998</v>
      </c>
      <c r="R492" s="80" t="s">
        <v>171</v>
      </c>
      <c r="S492" s="80">
        <v>0</v>
      </c>
      <c r="T492" s="82">
        <v>200.6</v>
      </c>
      <c r="U492" s="77"/>
      <c r="V492" s="75"/>
      <c r="W492" s="77"/>
      <c r="X492" s="77"/>
      <c r="Y492" s="77"/>
      <c r="Z492" s="77" t="s">
        <v>648</v>
      </c>
      <c r="AA492" s="83" t="s">
        <v>1792</v>
      </c>
      <c r="AB492" s="104" t="str">
        <f>IFERROR(VLOOKUP(Anexo_4[[#This Row],[cuenta]],OP,2,0),"-")</f>
        <v>Montacarga - Ventas</v>
      </c>
    </row>
    <row r="493" spans="1:28" s="84" customFormat="1" ht="27" customHeight="1" x14ac:dyDescent="0.3">
      <c r="A493" s="75" t="s">
        <v>966</v>
      </c>
      <c r="B493" s="36" t="str">
        <f t="shared" si="7"/>
        <v>Junio</v>
      </c>
      <c r="C493" s="77" t="s">
        <v>162</v>
      </c>
      <c r="D493" s="77" t="s">
        <v>1793</v>
      </c>
      <c r="E493" s="78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493" s="79" t="s">
        <v>198</v>
      </c>
      <c r="G493" s="79" t="s">
        <v>199</v>
      </c>
      <c r="H493" s="140" t="s">
        <v>1794</v>
      </c>
      <c r="I493" s="77" t="s">
        <v>643</v>
      </c>
      <c r="J493" s="144" t="s">
        <v>644</v>
      </c>
      <c r="K493" s="77" t="s">
        <v>169</v>
      </c>
      <c r="L493" s="103" t="str">
        <f>VLOOKUP(Anexo_4[[#This Row],[cod_doc]],TIPODOC,2,FALSE)</f>
        <v>FACTURA</v>
      </c>
      <c r="M493" s="77" t="s">
        <v>102</v>
      </c>
      <c r="N493" s="79">
        <v>3991</v>
      </c>
      <c r="O493" s="80">
        <v>595</v>
      </c>
      <c r="P493" s="81" t="s">
        <v>171</v>
      </c>
      <c r="Q493" s="81">
        <v>107.1</v>
      </c>
      <c r="R493" s="80" t="s">
        <v>171</v>
      </c>
      <c r="S493" s="80">
        <v>0</v>
      </c>
      <c r="T493" s="82">
        <v>702.1</v>
      </c>
      <c r="U493" s="77" t="s">
        <v>1795</v>
      </c>
      <c r="V493" s="75" t="s">
        <v>1627</v>
      </c>
      <c r="W493" s="77"/>
      <c r="X493" s="77"/>
      <c r="Y493" s="77"/>
      <c r="Z493" s="77" t="s">
        <v>648</v>
      </c>
      <c r="AA493" s="83" t="s">
        <v>1794</v>
      </c>
      <c r="AB493" s="104" t="str">
        <f>IFERROR(VLOOKUP(Anexo_4[[#This Row],[cuenta]],OP,2,0),"-")</f>
        <v>Montacarga - Ventas</v>
      </c>
    </row>
    <row r="494" spans="1:28" s="84" customFormat="1" ht="27" customHeight="1" x14ac:dyDescent="0.3">
      <c r="A494" s="75" t="s">
        <v>1378</v>
      </c>
      <c r="B494" s="36" t="str">
        <f t="shared" si="7"/>
        <v>Junio</v>
      </c>
      <c r="C494" s="77" t="s">
        <v>162</v>
      </c>
      <c r="D494" s="77" t="s">
        <v>1796</v>
      </c>
      <c r="E494" s="78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494" s="79" t="s">
        <v>198</v>
      </c>
      <c r="G494" s="79" t="s">
        <v>199</v>
      </c>
      <c r="H494" s="140" t="s">
        <v>1797</v>
      </c>
      <c r="I494" s="77" t="s">
        <v>643</v>
      </c>
      <c r="J494" s="144" t="s">
        <v>644</v>
      </c>
      <c r="K494" s="77" t="s">
        <v>169</v>
      </c>
      <c r="L494" s="103" t="str">
        <f>VLOOKUP(Anexo_4[[#This Row],[cod_doc]],TIPODOC,2,FALSE)</f>
        <v>FACTURA</v>
      </c>
      <c r="M494" s="77" t="s">
        <v>102</v>
      </c>
      <c r="N494" s="79">
        <v>3998</v>
      </c>
      <c r="O494" s="80">
        <v>212.5</v>
      </c>
      <c r="P494" s="81" t="s">
        <v>171</v>
      </c>
      <c r="Q494" s="81">
        <v>38.25</v>
      </c>
      <c r="R494" s="80" t="s">
        <v>171</v>
      </c>
      <c r="S494" s="80">
        <v>0</v>
      </c>
      <c r="T494" s="82">
        <v>250.75</v>
      </c>
      <c r="U494" s="77"/>
      <c r="V494" s="75"/>
      <c r="W494" s="77"/>
      <c r="X494" s="77"/>
      <c r="Y494" s="77"/>
      <c r="Z494" s="77" t="s">
        <v>648</v>
      </c>
      <c r="AA494" s="83" t="s">
        <v>1797</v>
      </c>
      <c r="AB494" s="104" t="str">
        <f>IFERROR(VLOOKUP(Anexo_4[[#This Row],[cuenta]],OP,2,0),"-")</f>
        <v>Montacarga - Ventas</v>
      </c>
    </row>
    <row r="495" spans="1:28" s="84" customFormat="1" ht="27" customHeight="1" x14ac:dyDescent="0.3">
      <c r="A495" s="75" t="s">
        <v>993</v>
      </c>
      <c r="B495" s="36" t="str">
        <f t="shared" si="7"/>
        <v>Junio</v>
      </c>
      <c r="C495" s="77" t="s">
        <v>162</v>
      </c>
      <c r="D495" s="77" t="s">
        <v>1798</v>
      </c>
      <c r="E49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495" s="79" t="s">
        <v>592</v>
      </c>
      <c r="G495" s="79" t="s">
        <v>593</v>
      </c>
      <c r="H495" s="140" t="s">
        <v>1799</v>
      </c>
      <c r="I495" s="77" t="s">
        <v>643</v>
      </c>
      <c r="J495" s="144" t="s">
        <v>644</v>
      </c>
      <c r="K495" s="77" t="s">
        <v>169</v>
      </c>
      <c r="L495" s="103" t="str">
        <f>VLOOKUP(Anexo_4[[#This Row],[cod_doc]],TIPODOC,2,FALSE)</f>
        <v>FACTURA</v>
      </c>
      <c r="M495" s="77" t="s">
        <v>102</v>
      </c>
      <c r="N495" s="79">
        <v>3985</v>
      </c>
      <c r="O495" s="80">
        <v>637.5</v>
      </c>
      <c r="P495" s="81" t="s">
        <v>171</v>
      </c>
      <c r="Q495" s="81">
        <v>114.75</v>
      </c>
      <c r="R495" s="80" t="s">
        <v>171</v>
      </c>
      <c r="S495" s="80">
        <v>0</v>
      </c>
      <c r="T495" s="82">
        <v>752.25</v>
      </c>
      <c r="U495" s="77" t="s">
        <v>1800</v>
      </c>
      <c r="V495" s="75" t="s">
        <v>1627</v>
      </c>
      <c r="W495" s="77"/>
      <c r="X495" s="77"/>
      <c r="Y495" s="77"/>
      <c r="Z495" s="77" t="s">
        <v>648</v>
      </c>
      <c r="AA495" s="83" t="s">
        <v>1799</v>
      </c>
      <c r="AB495" s="104" t="str">
        <f>IFERROR(VLOOKUP(Anexo_4[[#This Row],[cuenta]],OP,2,0),"-")</f>
        <v>Montacarga - Ventas</v>
      </c>
    </row>
    <row r="496" spans="1:28" s="84" customFormat="1" ht="27" customHeight="1" x14ac:dyDescent="0.3">
      <c r="A496" s="75" t="s">
        <v>928</v>
      </c>
      <c r="B496" s="36" t="str">
        <f t="shared" si="7"/>
        <v>Junio</v>
      </c>
      <c r="C496" s="77" t="s">
        <v>162</v>
      </c>
      <c r="D496" s="77" t="s">
        <v>1801</v>
      </c>
      <c r="E496" s="78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496" s="79" t="s">
        <v>198</v>
      </c>
      <c r="G496" s="79" t="s">
        <v>199</v>
      </c>
      <c r="H496" s="140" t="s">
        <v>1802</v>
      </c>
      <c r="I496" s="77" t="s">
        <v>643</v>
      </c>
      <c r="J496" s="144" t="s">
        <v>644</v>
      </c>
      <c r="K496" s="77" t="s">
        <v>169</v>
      </c>
      <c r="L496" s="103" t="str">
        <f>VLOOKUP(Anexo_4[[#This Row],[cod_doc]],TIPODOC,2,FALSE)</f>
        <v>FACTURA</v>
      </c>
      <c r="M496" s="77" t="s">
        <v>102</v>
      </c>
      <c r="N496" s="79">
        <v>3970</v>
      </c>
      <c r="O496" s="80">
        <v>170</v>
      </c>
      <c r="P496" s="81" t="s">
        <v>171</v>
      </c>
      <c r="Q496" s="81">
        <v>30.599999999999998</v>
      </c>
      <c r="R496" s="80" t="s">
        <v>171</v>
      </c>
      <c r="S496" s="80">
        <v>0</v>
      </c>
      <c r="T496" s="82">
        <v>200.6</v>
      </c>
      <c r="U496" s="77"/>
      <c r="V496" s="75"/>
      <c r="W496" s="77"/>
      <c r="X496" s="77"/>
      <c r="Y496" s="77"/>
      <c r="Z496" s="77" t="s">
        <v>648</v>
      </c>
      <c r="AA496" s="83" t="s">
        <v>1802</v>
      </c>
      <c r="AB496" s="104" t="str">
        <f>IFERROR(VLOOKUP(Anexo_4[[#This Row],[cuenta]],OP,2,0),"-")</f>
        <v>Montacarga - Ventas</v>
      </c>
    </row>
    <row r="497" spans="1:28" s="84" customFormat="1" ht="27" customHeight="1" x14ac:dyDescent="0.3">
      <c r="A497" s="75" t="s">
        <v>966</v>
      </c>
      <c r="B497" s="36" t="str">
        <f t="shared" si="7"/>
        <v>Junio</v>
      </c>
      <c r="C497" s="77" t="s">
        <v>162</v>
      </c>
      <c r="D497" s="77" t="s">
        <v>1803</v>
      </c>
      <c r="E497" s="78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497" s="79" t="s">
        <v>198</v>
      </c>
      <c r="G497" s="79" t="s">
        <v>199</v>
      </c>
      <c r="H497" s="140" t="s">
        <v>1804</v>
      </c>
      <c r="I497" s="77" t="s">
        <v>643</v>
      </c>
      <c r="J497" s="144" t="s">
        <v>644</v>
      </c>
      <c r="K497" s="77" t="s">
        <v>169</v>
      </c>
      <c r="L497" s="103" t="str">
        <f>VLOOKUP(Anexo_4[[#This Row],[cod_doc]],TIPODOC,2,FALSE)</f>
        <v>FACTURA</v>
      </c>
      <c r="M497" s="77" t="s">
        <v>102</v>
      </c>
      <c r="N497" s="79">
        <v>3987</v>
      </c>
      <c r="O497" s="80">
        <v>170</v>
      </c>
      <c r="P497" s="81" t="s">
        <v>171</v>
      </c>
      <c r="Q497" s="81">
        <v>30.599999999999998</v>
      </c>
      <c r="R497" s="80" t="s">
        <v>171</v>
      </c>
      <c r="S497" s="80">
        <v>0</v>
      </c>
      <c r="T497" s="82">
        <v>200.6</v>
      </c>
      <c r="U497" s="77"/>
      <c r="V497" s="75"/>
      <c r="W497" s="77"/>
      <c r="X497" s="77"/>
      <c r="Y497" s="77"/>
      <c r="Z497" s="77" t="s">
        <v>648</v>
      </c>
      <c r="AA497" s="83" t="s">
        <v>1804</v>
      </c>
      <c r="AB497" s="104" t="str">
        <f>IFERROR(VLOOKUP(Anexo_4[[#This Row],[cuenta]],OP,2,0),"-")</f>
        <v>Montacarga - Ventas</v>
      </c>
    </row>
    <row r="498" spans="1:28" s="84" customFormat="1" ht="27" customHeight="1" x14ac:dyDescent="0.3">
      <c r="A498" s="75" t="s">
        <v>966</v>
      </c>
      <c r="B498" s="36" t="str">
        <f t="shared" si="7"/>
        <v>Junio</v>
      </c>
      <c r="C498" s="77" t="s">
        <v>162</v>
      </c>
      <c r="D498" s="77" t="s">
        <v>1805</v>
      </c>
      <c r="E498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498" s="79" t="s">
        <v>355</v>
      </c>
      <c r="G498" s="79" t="s">
        <v>356</v>
      </c>
      <c r="H498" s="140" t="s">
        <v>1806</v>
      </c>
      <c r="I498" s="77" t="s">
        <v>991</v>
      </c>
      <c r="J498" s="144" t="s">
        <v>992</v>
      </c>
      <c r="K498" s="77" t="s">
        <v>169</v>
      </c>
      <c r="L498" s="103" t="str">
        <f>VLOOKUP(Anexo_4[[#This Row],[cod_doc]],TIPODOC,2,FALSE)</f>
        <v>FACTURA</v>
      </c>
      <c r="M498" s="77" t="s">
        <v>222</v>
      </c>
      <c r="N498" s="79">
        <v>6607</v>
      </c>
      <c r="O498" s="80">
        <v>20.76</v>
      </c>
      <c r="P498" s="81" t="s">
        <v>171</v>
      </c>
      <c r="Q498" s="81">
        <v>3.7368000000000001</v>
      </c>
      <c r="R498" s="80" t="s">
        <v>171</v>
      </c>
      <c r="S498" s="80">
        <v>0</v>
      </c>
      <c r="T498" s="82">
        <v>24.5</v>
      </c>
      <c r="U498" s="77"/>
      <c r="V498" s="75"/>
      <c r="W498" s="77"/>
      <c r="X498" s="77"/>
      <c r="Y498" s="77"/>
      <c r="Z498" s="77" t="s">
        <v>361</v>
      </c>
      <c r="AA498" s="83" t="s">
        <v>1806</v>
      </c>
      <c r="AB498" s="104" t="str">
        <f>IFERROR(VLOOKUP(Anexo_4[[#This Row],[cuenta]],OP,2,0),"-")</f>
        <v>Alimentacion (Operativo)</v>
      </c>
    </row>
    <row r="499" spans="1:28" s="84" customFormat="1" ht="27" customHeight="1" x14ac:dyDescent="0.3">
      <c r="A499" s="75" t="s">
        <v>1430</v>
      </c>
      <c r="B499" s="36" t="str">
        <f t="shared" si="7"/>
        <v>Junio</v>
      </c>
      <c r="C499" s="77" t="s">
        <v>162</v>
      </c>
      <c r="D499" s="77" t="s">
        <v>1807</v>
      </c>
      <c r="E499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499" s="79" t="s">
        <v>449</v>
      </c>
      <c r="G499" s="79" t="s">
        <v>450</v>
      </c>
      <c r="H499" s="140" t="s">
        <v>1808</v>
      </c>
      <c r="I499" s="77" t="s">
        <v>1809</v>
      </c>
      <c r="J499" s="144" t="s">
        <v>1810</v>
      </c>
      <c r="K499" s="77" t="s">
        <v>169</v>
      </c>
      <c r="L499" s="103" t="str">
        <f>VLOOKUP(Anexo_4[[#This Row],[cod_doc]],TIPODOC,2,FALSE)</f>
        <v>FACTURA</v>
      </c>
      <c r="M499" s="77" t="s">
        <v>102</v>
      </c>
      <c r="N499" s="79">
        <v>44</v>
      </c>
      <c r="O499" s="80">
        <v>1737.3</v>
      </c>
      <c r="P499" s="81" t="s">
        <v>171</v>
      </c>
      <c r="Q499" s="81">
        <v>312.714</v>
      </c>
      <c r="R499" s="80" t="s">
        <v>171</v>
      </c>
      <c r="S499" s="80">
        <v>0</v>
      </c>
      <c r="T499" s="82">
        <v>2050.0100000000002</v>
      </c>
      <c r="U499" s="77"/>
      <c r="V499" s="75"/>
      <c r="W499" s="77"/>
      <c r="X499" s="77"/>
      <c r="Y499" s="77"/>
      <c r="Z499" s="77" t="s">
        <v>223</v>
      </c>
      <c r="AA499" s="83" t="s">
        <v>1808</v>
      </c>
      <c r="AB499" s="104" t="str">
        <f>IFERROR(VLOOKUP(Anexo_4[[#This Row],[cuenta]],OP,2,0),"-")</f>
        <v>Mantenimiento Vehicular (Preventivo)</v>
      </c>
    </row>
    <row r="500" spans="1:28" s="84" customFormat="1" ht="27" customHeight="1" x14ac:dyDescent="0.3">
      <c r="A500" s="75" t="s">
        <v>1430</v>
      </c>
      <c r="B500" s="36" t="str">
        <f t="shared" si="7"/>
        <v>Junio</v>
      </c>
      <c r="C500" s="77" t="s">
        <v>162</v>
      </c>
      <c r="D500" s="77" t="s">
        <v>1811</v>
      </c>
      <c r="E500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500" s="79" t="s">
        <v>449</v>
      </c>
      <c r="G500" s="79" t="s">
        <v>450</v>
      </c>
      <c r="H500" s="140" t="s">
        <v>1808</v>
      </c>
      <c r="I500" s="77" t="s">
        <v>1809</v>
      </c>
      <c r="J500" s="144" t="s">
        <v>1810</v>
      </c>
      <c r="K500" s="77" t="s">
        <v>169</v>
      </c>
      <c r="L500" s="103" t="str">
        <f>VLOOKUP(Anexo_4[[#This Row],[cod_doc]],TIPODOC,2,FALSE)</f>
        <v>FACTURA</v>
      </c>
      <c r="M500" s="77" t="s">
        <v>102</v>
      </c>
      <c r="N500" s="79">
        <v>45</v>
      </c>
      <c r="O500" s="80">
        <v>400</v>
      </c>
      <c r="P500" s="81" t="s">
        <v>171</v>
      </c>
      <c r="Q500" s="81">
        <v>72</v>
      </c>
      <c r="R500" s="80" t="s">
        <v>171</v>
      </c>
      <c r="S500" s="80">
        <v>0</v>
      </c>
      <c r="T500" s="82">
        <v>472</v>
      </c>
      <c r="U500" s="77"/>
      <c r="V500" s="75"/>
      <c r="W500" s="77"/>
      <c r="X500" s="77"/>
      <c r="Y500" s="77"/>
      <c r="Z500" s="77" t="s">
        <v>223</v>
      </c>
      <c r="AA500" s="83" t="s">
        <v>1808</v>
      </c>
      <c r="AB500" s="104" t="str">
        <f>IFERROR(VLOOKUP(Anexo_4[[#This Row],[cuenta]],OP,2,0),"-")</f>
        <v>Mantenimiento Vehicular (Preventivo)</v>
      </c>
    </row>
    <row r="501" spans="1:28" s="84" customFormat="1" ht="27" customHeight="1" x14ac:dyDescent="0.3">
      <c r="A501" s="75" t="s">
        <v>1812</v>
      </c>
      <c r="B501" s="36" t="str">
        <f t="shared" si="7"/>
        <v>Junio</v>
      </c>
      <c r="C501" s="77" t="s">
        <v>162</v>
      </c>
      <c r="D501" s="77" t="s">
        <v>1813</v>
      </c>
      <c r="E501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501" s="79"/>
      <c r="G501" s="79"/>
      <c r="H501" s="140"/>
      <c r="I501" s="77" t="s">
        <v>1814</v>
      </c>
      <c r="J501" s="144" t="s">
        <v>1815</v>
      </c>
      <c r="K501" s="77" t="s">
        <v>169</v>
      </c>
      <c r="L501" s="103" t="str">
        <f>VLOOKUP(Anexo_4[[#This Row],[cod_doc]],TIPODOC,2,FALSE)</f>
        <v>FACTURA</v>
      </c>
      <c r="M501" s="77" t="s">
        <v>222</v>
      </c>
      <c r="N501" s="79" t="s">
        <v>1816</v>
      </c>
      <c r="O501" s="80">
        <v>26.27</v>
      </c>
      <c r="P501" s="81" t="s">
        <v>171</v>
      </c>
      <c r="Q501" s="81">
        <v>4.7300000000000004</v>
      </c>
      <c r="R501" s="80" t="s">
        <v>171</v>
      </c>
      <c r="S501" s="80">
        <v>0</v>
      </c>
      <c r="T501" s="82">
        <v>31</v>
      </c>
      <c r="U501" s="77"/>
      <c r="V501" s="75"/>
      <c r="W501" s="77"/>
      <c r="X501" s="77"/>
      <c r="Y501" s="77" t="s">
        <v>1817</v>
      </c>
      <c r="Z501" s="77"/>
      <c r="AA501" s="83"/>
      <c r="AB501" s="104" t="str">
        <f>IFERROR(VLOOKUP(Anexo_4[[#This Row],[cuenta]],OP,2,0),"-")</f>
        <v>-</v>
      </c>
    </row>
    <row r="502" spans="1:28" s="84" customFormat="1" ht="27" customHeight="1" x14ac:dyDescent="0.3">
      <c r="A502" s="75" t="s">
        <v>1812</v>
      </c>
      <c r="B502" s="36" t="str">
        <f t="shared" si="7"/>
        <v>Junio</v>
      </c>
      <c r="C502" s="77" t="s">
        <v>162</v>
      </c>
      <c r="D502" s="77" t="s">
        <v>1818</v>
      </c>
      <c r="E502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502" s="79"/>
      <c r="G502" s="79"/>
      <c r="H502" s="140"/>
      <c r="I502" s="77" t="s">
        <v>1819</v>
      </c>
      <c r="J502" s="144" t="s">
        <v>1820</v>
      </c>
      <c r="K502" s="77" t="s">
        <v>169</v>
      </c>
      <c r="L502" s="103" t="str">
        <f>VLOOKUP(Anexo_4[[#This Row],[cod_doc]],TIPODOC,2,FALSE)</f>
        <v>FACTURA</v>
      </c>
      <c r="M502" s="77" t="s">
        <v>102</v>
      </c>
      <c r="N502" s="79" t="s">
        <v>1821</v>
      </c>
      <c r="O502" s="80">
        <v>221.19</v>
      </c>
      <c r="P502" s="81" t="s">
        <v>171</v>
      </c>
      <c r="Q502" s="81">
        <v>39.81</v>
      </c>
      <c r="R502" s="80" t="s">
        <v>171</v>
      </c>
      <c r="S502" s="80">
        <v>0</v>
      </c>
      <c r="T502" s="82">
        <v>261</v>
      </c>
      <c r="U502" s="77"/>
      <c r="V502" s="75"/>
      <c r="W502" s="77"/>
      <c r="X502" s="77"/>
      <c r="Y502" s="77"/>
      <c r="Z502" s="77"/>
      <c r="AA502" s="83"/>
      <c r="AB502" s="104" t="str">
        <f>IFERROR(VLOOKUP(Anexo_4[[#This Row],[cuenta]],OP,2,0),"-")</f>
        <v>-</v>
      </c>
    </row>
    <row r="503" spans="1:28" s="84" customFormat="1" ht="27" customHeight="1" x14ac:dyDescent="0.3">
      <c r="A503" s="75" t="s">
        <v>1822</v>
      </c>
      <c r="B503" s="36" t="str">
        <f t="shared" si="7"/>
        <v>Junio</v>
      </c>
      <c r="C503" s="77" t="s">
        <v>162</v>
      </c>
      <c r="D503" s="77" t="s">
        <v>1823</v>
      </c>
      <c r="E503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503" s="79"/>
      <c r="G503" s="79"/>
      <c r="H503" s="140"/>
      <c r="I503" s="77" t="s">
        <v>1824</v>
      </c>
      <c r="J503" s="144" t="s">
        <v>1825</v>
      </c>
      <c r="K503" s="77" t="s">
        <v>169</v>
      </c>
      <c r="L503" s="103" t="str">
        <f>VLOOKUP(Anexo_4[[#This Row],[cod_doc]],TIPODOC,2,FALSE)</f>
        <v>FACTURA</v>
      </c>
      <c r="M503" s="77" t="s">
        <v>222</v>
      </c>
      <c r="N503" s="79" t="s">
        <v>1826</v>
      </c>
      <c r="O503" s="80">
        <v>84.75</v>
      </c>
      <c r="P503" s="81" t="s">
        <v>171</v>
      </c>
      <c r="Q503" s="81">
        <v>15.25</v>
      </c>
      <c r="R503" s="80" t="s">
        <v>171</v>
      </c>
      <c r="S503" s="80">
        <v>0</v>
      </c>
      <c r="T503" s="82">
        <v>100</v>
      </c>
      <c r="U503" s="77"/>
      <c r="V503" s="75"/>
      <c r="W503" s="77"/>
      <c r="X503" s="77"/>
      <c r="Y503" s="77"/>
      <c r="Z503" s="77"/>
      <c r="AA503" s="83"/>
      <c r="AB503" s="104" t="str">
        <f>IFERROR(VLOOKUP(Anexo_4[[#This Row],[cuenta]],OP,2,0),"-")</f>
        <v>-</v>
      </c>
    </row>
    <row r="504" spans="1:28" s="84" customFormat="1" ht="27" customHeight="1" x14ac:dyDescent="0.3">
      <c r="A504" s="75" t="s">
        <v>1827</v>
      </c>
      <c r="B504" s="36" t="str">
        <f t="shared" si="7"/>
        <v>Junio</v>
      </c>
      <c r="C504" s="77" t="s">
        <v>162</v>
      </c>
      <c r="D504" s="77" t="s">
        <v>1828</v>
      </c>
      <c r="E504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504" s="79"/>
      <c r="G504" s="79"/>
      <c r="H504" s="140"/>
      <c r="I504" s="77" t="s">
        <v>1829</v>
      </c>
      <c r="J504" s="144" t="s">
        <v>1830</v>
      </c>
      <c r="K504" s="77" t="s">
        <v>169</v>
      </c>
      <c r="L504" s="103" t="str">
        <f>VLOOKUP(Anexo_4[[#This Row],[cod_doc]],TIPODOC,2,FALSE)</f>
        <v>FACTURA</v>
      </c>
      <c r="M504" s="77" t="s">
        <v>1831</v>
      </c>
      <c r="N504" s="79" t="s">
        <v>1832</v>
      </c>
      <c r="O504" s="80">
        <v>23.55</v>
      </c>
      <c r="P504" s="81" t="s">
        <v>171</v>
      </c>
      <c r="Q504" s="81">
        <v>4.25</v>
      </c>
      <c r="R504" s="80" t="s">
        <v>171</v>
      </c>
      <c r="S504" s="80">
        <v>0</v>
      </c>
      <c r="T504" s="82">
        <v>27.8</v>
      </c>
      <c r="U504" s="77"/>
      <c r="V504" s="75"/>
      <c r="W504" s="77"/>
      <c r="X504" s="77"/>
      <c r="Y504" s="77" t="s">
        <v>1833</v>
      </c>
      <c r="Z504" s="77"/>
      <c r="AA504" s="83"/>
      <c r="AB504" s="104" t="str">
        <f>IFERROR(VLOOKUP(Anexo_4[[#This Row],[cuenta]],OP,2,0),"-")</f>
        <v>-</v>
      </c>
    </row>
    <row r="505" spans="1:28" s="84" customFormat="1" ht="27" customHeight="1" x14ac:dyDescent="0.3">
      <c r="A505" s="75" t="s">
        <v>316</v>
      </c>
      <c r="B505" s="36" t="str">
        <f t="shared" si="7"/>
        <v>Junio</v>
      </c>
      <c r="C505" s="77" t="s">
        <v>162</v>
      </c>
      <c r="D505" s="77" t="s">
        <v>1834</v>
      </c>
      <c r="E505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505" s="79" t="s">
        <v>190</v>
      </c>
      <c r="G505" s="79" t="s">
        <v>191</v>
      </c>
      <c r="H505" s="140" t="s">
        <v>1835</v>
      </c>
      <c r="I505" s="77" t="s">
        <v>1836</v>
      </c>
      <c r="J505" s="144" t="s">
        <v>1837</v>
      </c>
      <c r="K505" s="77" t="s">
        <v>169</v>
      </c>
      <c r="L505" s="103" t="str">
        <f>VLOOKUP(Anexo_4[[#This Row],[cod_doc]],TIPODOC,2,FALSE)</f>
        <v>FACTURA</v>
      </c>
      <c r="M505" s="77" t="s">
        <v>105</v>
      </c>
      <c r="N505" s="79">
        <v>2638</v>
      </c>
      <c r="O505" s="80">
        <v>1258.6400000000001</v>
      </c>
      <c r="P505" s="81" t="s">
        <v>171</v>
      </c>
      <c r="Q505" s="81">
        <v>226.55520000000001</v>
      </c>
      <c r="R505" s="80" t="s">
        <v>171</v>
      </c>
      <c r="S505" s="80">
        <v>0</v>
      </c>
      <c r="T505" s="82">
        <v>1485.2</v>
      </c>
      <c r="U505" s="77"/>
      <c r="V505" s="75"/>
      <c r="W505" s="77"/>
      <c r="X505" s="77"/>
      <c r="Y505" s="77" t="s">
        <v>1838</v>
      </c>
      <c r="Z505" s="77" t="s">
        <v>1839</v>
      </c>
      <c r="AA505" s="83" t="s">
        <v>1835</v>
      </c>
      <c r="AB505" s="104" t="str">
        <f>IFERROR(VLOOKUP(Anexo_4[[#This Row],[cuenta]],OP,2,0),"-")</f>
        <v>-</v>
      </c>
    </row>
    <row r="506" spans="1:28" s="84" customFormat="1" ht="27" customHeight="1" x14ac:dyDescent="0.3">
      <c r="A506" s="75" t="s">
        <v>857</v>
      </c>
      <c r="B506" s="36" t="str">
        <f t="shared" si="7"/>
        <v>Junio</v>
      </c>
      <c r="C506" s="77" t="s">
        <v>162</v>
      </c>
      <c r="D506" s="77" t="s">
        <v>1840</v>
      </c>
      <c r="E50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506" s="79" t="s">
        <v>248</v>
      </c>
      <c r="G506" s="79" t="s">
        <v>249</v>
      </c>
      <c r="H506" s="140" t="s">
        <v>1841</v>
      </c>
      <c r="I506" s="77" t="s">
        <v>1111</v>
      </c>
      <c r="J506" s="144" t="s">
        <v>1112</v>
      </c>
      <c r="K506" s="77" t="s">
        <v>169</v>
      </c>
      <c r="L506" s="103" t="str">
        <f>VLOOKUP(Anexo_4[[#This Row],[cod_doc]],TIPODOC,2,FALSE)</f>
        <v>FACTURA</v>
      </c>
      <c r="M506" s="77" t="s">
        <v>1113</v>
      </c>
      <c r="N506" s="79">
        <v>6923</v>
      </c>
      <c r="O506" s="80">
        <v>2888.18</v>
      </c>
      <c r="P506" s="81" t="s">
        <v>171</v>
      </c>
      <c r="Q506" s="81">
        <v>519.87239999999997</v>
      </c>
      <c r="R506" s="80" t="s">
        <v>171</v>
      </c>
      <c r="S506" s="80">
        <v>0</v>
      </c>
      <c r="T506" s="82">
        <v>3408.05</v>
      </c>
      <c r="U506" s="77" t="s">
        <v>1842</v>
      </c>
      <c r="V506" s="75" t="s">
        <v>1843</v>
      </c>
      <c r="W506" s="77"/>
      <c r="X506" s="77"/>
      <c r="Y506" s="77" t="s">
        <v>1844</v>
      </c>
      <c r="Z506" s="77" t="s">
        <v>256</v>
      </c>
      <c r="AA506" s="83" t="s">
        <v>1841</v>
      </c>
      <c r="AB506" s="104" t="str">
        <f>IFERROR(VLOOKUP(Anexo_4[[#This Row],[cuenta]],OP,2,0),"-")</f>
        <v>Materias Primas - RRSS</v>
      </c>
    </row>
    <row r="507" spans="1:28" s="84" customFormat="1" ht="27" customHeight="1" x14ac:dyDescent="0.3">
      <c r="A507" s="75" t="s">
        <v>857</v>
      </c>
      <c r="B507" s="36" t="str">
        <f t="shared" si="7"/>
        <v>Junio</v>
      </c>
      <c r="C507" s="77" t="s">
        <v>162</v>
      </c>
      <c r="D507" s="77" t="s">
        <v>1845</v>
      </c>
      <c r="E507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507" s="79" t="s">
        <v>248</v>
      </c>
      <c r="G507" s="79" t="s">
        <v>249</v>
      </c>
      <c r="H507" s="140" t="s">
        <v>1846</v>
      </c>
      <c r="I507" s="77" t="s">
        <v>1111</v>
      </c>
      <c r="J507" s="144" t="s">
        <v>1112</v>
      </c>
      <c r="K507" s="77" t="s">
        <v>169</v>
      </c>
      <c r="L507" s="103" t="str">
        <f>VLOOKUP(Anexo_4[[#This Row],[cod_doc]],TIPODOC,2,FALSE)</f>
        <v>FACTURA</v>
      </c>
      <c r="M507" s="77" t="s">
        <v>1113</v>
      </c>
      <c r="N507" s="79">
        <v>6922</v>
      </c>
      <c r="O507" s="80">
        <v>587.29</v>
      </c>
      <c r="P507" s="81" t="s">
        <v>171</v>
      </c>
      <c r="Q507" s="81">
        <v>105.7122</v>
      </c>
      <c r="R507" s="80" t="s">
        <v>171</v>
      </c>
      <c r="S507" s="80">
        <v>0</v>
      </c>
      <c r="T507" s="82">
        <v>693</v>
      </c>
      <c r="U507" s="77" t="s">
        <v>1847</v>
      </c>
      <c r="V507" s="75" t="s">
        <v>1843</v>
      </c>
      <c r="W507" s="77"/>
      <c r="X507" s="77"/>
      <c r="Y507" s="77" t="s">
        <v>1848</v>
      </c>
      <c r="Z507" s="77" t="s">
        <v>256</v>
      </c>
      <c r="AA507" s="83" t="s">
        <v>1846</v>
      </c>
      <c r="AB507" s="104" t="str">
        <f>IFERROR(VLOOKUP(Anexo_4[[#This Row],[cuenta]],OP,2,0),"-")</f>
        <v>Materias Primas - RRSS</v>
      </c>
    </row>
    <row r="508" spans="1:28" s="84" customFormat="1" ht="27" customHeight="1" x14ac:dyDescent="0.3">
      <c r="A508" s="75" t="s">
        <v>467</v>
      </c>
      <c r="B508" s="36" t="str">
        <f t="shared" si="7"/>
        <v>Junio</v>
      </c>
      <c r="C508" s="77" t="s">
        <v>162</v>
      </c>
      <c r="D508" s="77" t="s">
        <v>1849</v>
      </c>
      <c r="E508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508" s="79" t="s">
        <v>1028</v>
      </c>
      <c r="G508" s="79" t="s">
        <v>1029</v>
      </c>
      <c r="H508" s="140" t="s">
        <v>1850</v>
      </c>
      <c r="I508" s="77" t="s">
        <v>1735</v>
      </c>
      <c r="J508" s="144" t="s">
        <v>1736</v>
      </c>
      <c r="K508" s="77" t="s">
        <v>169</v>
      </c>
      <c r="L508" s="103" t="str">
        <f>VLOOKUP(Anexo_4[[#This Row],[cod_doc]],TIPODOC,2,FALSE)</f>
        <v>FACTURA</v>
      </c>
      <c r="M508" s="77" t="s">
        <v>631</v>
      </c>
      <c r="N508" s="79">
        <v>163340</v>
      </c>
      <c r="O508" s="80"/>
      <c r="P508" s="81" t="s">
        <v>171</v>
      </c>
      <c r="Q508" s="81">
        <v>0</v>
      </c>
      <c r="R508" s="80" t="s">
        <v>171</v>
      </c>
      <c r="S508" s="80">
        <v>226.19</v>
      </c>
      <c r="T508" s="82">
        <v>226.19</v>
      </c>
      <c r="U508" s="77"/>
      <c r="V508" s="75"/>
      <c r="W508" s="77"/>
      <c r="X508" s="77"/>
      <c r="Y508" s="77"/>
      <c r="Z508" s="77" t="s">
        <v>1737</v>
      </c>
      <c r="AA508" s="83" t="s">
        <v>1850</v>
      </c>
      <c r="AB508" s="104" t="str">
        <f>IFERROR(VLOOKUP(Anexo_4[[#This Row],[cuenta]],OP,2,0),"-")</f>
        <v>-</v>
      </c>
    </row>
    <row r="509" spans="1:28" s="84" customFormat="1" ht="27" customHeight="1" x14ac:dyDescent="0.3">
      <c r="A509" s="75" t="s">
        <v>857</v>
      </c>
      <c r="B509" s="36" t="str">
        <f t="shared" si="7"/>
        <v>Junio</v>
      </c>
      <c r="C509" s="77" t="s">
        <v>162</v>
      </c>
      <c r="D509" s="77" t="s">
        <v>1851</v>
      </c>
      <c r="E509" s="78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509" s="79" t="s">
        <v>198</v>
      </c>
      <c r="G509" s="79" t="s">
        <v>199</v>
      </c>
      <c r="H509" s="140" t="s">
        <v>1852</v>
      </c>
      <c r="I509" s="77" t="s">
        <v>1853</v>
      </c>
      <c r="J509" s="144" t="s">
        <v>1854</v>
      </c>
      <c r="K509" s="77" t="s">
        <v>169</v>
      </c>
      <c r="L509" s="103" t="str">
        <f>VLOOKUP(Anexo_4[[#This Row],[cod_doc]],TIPODOC,2,FALSE)</f>
        <v>FACTURA</v>
      </c>
      <c r="M509" s="77" t="s">
        <v>1855</v>
      </c>
      <c r="N509" s="79">
        <v>121804</v>
      </c>
      <c r="O509" s="80">
        <v>720.15</v>
      </c>
      <c r="P509" s="81" t="s">
        <v>171</v>
      </c>
      <c r="Q509" s="81">
        <v>129.62699999999998</v>
      </c>
      <c r="R509" s="80" t="s">
        <v>171</v>
      </c>
      <c r="S509" s="80">
        <v>0</v>
      </c>
      <c r="T509" s="82">
        <v>849.78</v>
      </c>
      <c r="U509" s="77"/>
      <c r="V509" s="75"/>
      <c r="W509" s="77"/>
      <c r="X509" s="77"/>
      <c r="Y509" s="77" t="s">
        <v>1856</v>
      </c>
      <c r="Z509" s="77" t="s">
        <v>246</v>
      </c>
      <c r="AA509" s="83" t="s">
        <v>1852</v>
      </c>
      <c r="AB509" s="104" t="str">
        <f>IFERROR(VLOOKUP(Anexo_4[[#This Row],[cuenta]],OP,2,0),"-")</f>
        <v>-</v>
      </c>
    </row>
    <row r="510" spans="1:28" s="84" customFormat="1" ht="27" customHeight="1" x14ac:dyDescent="0.3">
      <c r="A510" s="75" t="s">
        <v>316</v>
      </c>
      <c r="B510" s="36" t="str">
        <f t="shared" si="7"/>
        <v>Junio</v>
      </c>
      <c r="C510" s="77" t="s">
        <v>162</v>
      </c>
      <c r="D510" s="77" t="s">
        <v>1857</v>
      </c>
      <c r="E510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510" s="79" t="s">
        <v>190</v>
      </c>
      <c r="G510" s="79" t="s">
        <v>191</v>
      </c>
      <c r="H510" s="140" t="s">
        <v>1835</v>
      </c>
      <c r="I510" s="77" t="s">
        <v>1829</v>
      </c>
      <c r="J510" s="144" t="s">
        <v>1830</v>
      </c>
      <c r="K510" s="77" t="s">
        <v>169</v>
      </c>
      <c r="L510" s="103" t="str">
        <f>VLOOKUP(Anexo_4[[#This Row],[cod_doc]],TIPODOC,2,FALSE)</f>
        <v>FACTURA</v>
      </c>
      <c r="M510" s="77" t="s">
        <v>1858</v>
      </c>
      <c r="N510" s="79">
        <v>71172</v>
      </c>
      <c r="O510" s="80">
        <v>174.83</v>
      </c>
      <c r="P510" s="81" t="s">
        <v>171</v>
      </c>
      <c r="Q510" s="81">
        <v>31.4694</v>
      </c>
      <c r="R510" s="80" t="s">
        <v>171</v>
      </c>
      <c r="S510" s="80">
        <v>0</v>
      </c>
      <c r="T510" s="82">
        <v>206.3</v>
      </c>
      <c r="U510" s="77"/>
      <c r="V510" s="75"/>
      <c r="W510" s="77"/>
      <c r="X510" s="77"/>
      <c r="Y510" s="77" t="s">
        <v>1838</v>
      </c>
      <c r="Z510" s="77" t="s">
        <v>1839</v>
      </c>
      <c r="AA510" s="83" t="s">
        <v>1835</v>
      </c>
      <c r="AB510" s="104" t="str">
        <f>IFERROR(VLOOKUP(Anexo_4[[#This Row],[cuenta]],OP,2,0),"-")</f>
        <v>-</v>
      </c>
    </row>
    <row r="511" spans="1:28" s="84" customFormat="1" ht="27" customHeight="1" x14ac:dyDescent="0.3">
      <c r="A511" s="75" t="s">
        <v>685</v>
      </c>
      <c r="B511" s="36" t="str">
        <f t="shared" si="7"/>
        <v>Junio</v>
      </c>
      <c r="C511" s="77" t="s">
        <v>162</v>
      </c>
      <c r="D511" s="77" t="s">
        <v>1859</v>
      </c>
      <c r="E511" s="78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511" s="79" t="s">
        <v>198</v>
      </c>
      <c r="G511" s="79" t="s">
        <v>199</v>
      </c>
      <c r="H511" s="140" t="s">
        <v>1860</v>
      </c>
      <c r="I511" s="77" t="s">
        <v>1270</v>
      </c>
      <c r="J511" s="144" t="s">
        <v>1271</v>
      </c>
      <c r="K511" s="77" t="s">
        <v>169</v>
      </c>
      <c r="L511" s="103" t="str">
        <f>VLOOKUP(Anexo_4[[#This Row],[cod_doc]],TIPODOC,2,FALSE)</f>
        <v>FACTURA</v>
      </c>
      <c r="M511" s="77" t="s">
        <v>1272</v>
      </c>
      <c r="N511" s="79">
        <v>1441829</v>
      </c>
      <c r="O511" s="80">
        <v>579.41</v>
      </c>
      <c r="P511" s="81" t="s">
        <v>171</v>
      </c>
      <c r="Q511" s="81">
        <v>104.29379999999999</v>
      </c>
      <c r="R511" s="80" t="s">
        <v>171</v>
      </c>
      <c r="S511" s="80">
        <v>0</v>
      </c>
      <c r="T511" s="82">
        <v>683.7</v>
      </c>
      <c r="U511" s="77"/>
      <c r="V511" s="75"/>
      <c r="W511" s="77"/>
      <c r="X511" s="77"/>
      <c r="Y511" s="77" t="s">
        <v>1861</v>
      </c>
      <c r="Z511" s="77" t="s">
        <v>246</v>
      </c>
      <c r="AA511" s="83" t="s">
        <v>1860</v>
      </c>
      <c r="AB511" s="104" t="str">
        <f>IFERROR(VLOOKUP(Anexo_4[[#This Row],[cuenta]],OP,2,0),"-")</f>
        <v>-</v>
      </c>
    </row>
    <row r="512" spans="1:28" s="84" customFormat="1" ht="27" customHeight="1" x14ac:dyDescent="0.3">
      <c r="A512" s="75" t="s">
        <v>857</v>
      </c>
      <c r="B512" s="36" t="str">
        <f t="shared" si="7"/>
        <v>Junio</v>
      </c>
      <c r="C512" s="77" t="s">
        <v>162</v>
      </c>
      <c r="D512" s="77" t="s">
        <v>1862</v>
      </c>
      <c r="E51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512" s="79" t="s">
        <v>248</v>
      </c>
      <c r="G512" s="79" t="s">
        <v>249</v>
      </c>
      <c r="H512" s="140" t="s">
        <v>1863</v>
      </c>
      <c r="I512" s="77" t="s">
        <v>1111</v>
      </c>
      <c r="J512" s="144" t="s">
        <v>1112</v>
      </c>
      <c r="K512" s="77" t="s">
        <v>169</v>
      </c>
      <c r="L512" s="103" t="str">
        <f>VLOOKUP(Anexo_4[[#This Row],[cod_doc]],TIPODOC,2,FALSE)</f>
        <v>FACTURA</v>
      </c>
      <c r="M512" s="77" t="s">
        <v>1113</v>
      </c>
      <c r="N512" s="79">
        <v>6921</v>
      </c>
      <c r="O512" s="80">
        <v>1322.88</v>
      </c>
      <c r="P512" s="81" t="s">
        <v>171</v>
      </c>
      <c r="Q512" s="81">
        <v>238.11840000000001</v>
      </c>
      <c r="R512" s="80" t="s">
        <v>171</v>
      </c>
      <c r="S512" s="80">
        <v>0</v>
      </c>
      <c r="T512" s="82">
        <v>1561</v>
      </c>
      <c r="U512" s="77"/>
      <c r="V512" s="75"/>
      <c r="W512" s="77"/>
      <c r="X512" s="77"/>
      <c r="Y512" s="77"/>
      <c r="Z512" s="77" t="s">
        <v>256</v>
      </c>
      <c r="AA512" s="83" t="s">
        <v>1863</v>
      </c>
      <c r="AB512" s="104" t="str">
        <f>IFERROR(VLOOKUP(Anexo_4[[#This Row],[cuenta]],OP,2,0),"-")</f>
        <v>Materias Primas - RRSS</v>
      </c>
    </row>
    <row r="513" spans="1:28" s="84" customFormat="1" ht="27" customHeight="1" x14ac:dyDescent="0.3">
      <c r="A513" s="75" t="s">
        <v>1623</v>
      </c>
      <c r="B513" s="36" t="str">
        <f t="shared" si="7"/>
        <v>Junio</v>
      </c>
      <c r="C513" s="77" t="s">
        <v>162</v>
      </c>
      <c r="D513" s="77" t="s">
        <v>1864</v>
      </c>
      <c r="E513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513" s="79" t="s">
        <v>248</v>
      </c>
      <c r="G513" s="79" t="s">
        <v>249</v>
      </c>
      <c r="H513" s="140" t="s">
        <v>1865</v>
      </c>
      <c r="I513" s="77" t="s">
        <v>625</v>
      </c>
      <c r="J513" s="144" t="s">
        <v>626</v>
      </c>
      <c r="K513" s="77" t="s">
        <v>169</v>
      </c>
      <c r="L513" s="103" t="str">
        <f>VLOOKUP(Anexo_4[[#This Row],[cod_doc]],TIPODOC,2,FALSE)</f>
        <v>FACTURA</v>
      </c>
      <c r="M513" s="77" t="s">
        <v>180</v>
      </c>
      <c r="N513" s="79">
        <v>16359</v>
      </c>
      <c r="O513" s="80">
        <v>5290.99</v>
      </c>
      <c r="P513" s="81" t="s">
        <v>171</v>
      </c>
      <c r="Q513" s="81">
        <v>952.37819999999988</v>
      </c>
      <c r="R513" s="80" t="s">
        <v>171</v>
      </c>
      <c r="S513" s="80">
        <v>0</v>
      </c>
      <c r="T513" s="82">
        <v>6243.35</v>
      </c>
      <c r="U513" s="77" t="s">
        <v>1866</v>
      </c>
      <c r="V513" s="75" t="s">
        <v>1780</v>
      </c>
      <c r="W513" s="77"/>
      <c r="X513" s="77"/>
      <c r="Y513" s="77" t="s">
        <v>1867</v>
      </c>
      <c r="Z513" s="77" t="s">
        <v>256</v>
      </c>
      <c r="AA513" s="83" t="s">
        <v>1865</v>
      </c>
      <c r="AB513" s="104" t="str">
        <f>IFERROR(VLOOKUP(Anexo_4[[#This Row],[cuenta]],OP,2,0),"-")</f>
        <v>Materias Primas - RRSS</v>
      </c>
    </row>
    <row r="514" spans="1:28" s="84" customFormat="1" ht="27" customHeight="1" x14ac:dyDescent="0.3">
      <c r="A514" s="75" t="s">
        <v>1623</v>
      </c>
      <c r="B514" s="36" t="str">
        <f t="shared" ref="B514:B577" si="8">PROPER(CHOOSE(LEFT(D514,2),"enero","febrero","marzo","abril","mayo","junio","julio","agosto","setiembre","octubre","noviembre","diciembre"))</f>
        <v>Junio</v>
      </c>
      <c r="C514" s="77" t="s">
        <v>162</v>
      </c>
      <c r="D514" s="77" t="s">
        <v>1868</v>
      </c>
      <c r="E514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514" s="79" t="s">
        <v>248</v>
      </c>
      <c r="G514" s="79" t="s">
        <v>249</v>
      </c>
      <c r="H514" s="140" t="s">
        <v>1869</v>
      </c>
      <c r="I514" s="77" t="s">
        <v>625</v>
      </c>
      <c r="J514" s="144" t="s">
        <v>626</v>
      </c>
      <c r="K514" s="77" t="s">
        <v>169</v>
      </c>
      <c r="L514" s="103" t="str">
        <f>VLOOKUP(Anexo_4[[#This Row],[cod_doc]],TIPODOC,2,FALSE)</f>
        <v>FACTURA</v>
      </c>
      <c r="M514" s="77" t="s">
        <v>180</v>
      </c>
      <c r="N514" s="79">
        <v>16383</v>
      </c>
      <c r="O514" s="80">
        <v>196.07</v>
      </c>
      <c r="P514" s="81" t="s">
        <v>171</v>
      </c>
      <c r="Q514" s="81">
        <v>35.2926</v>
      </c>
      <c r="R514" s="80" t="s">
        <v>171</v>
      </c>
      <c r="S514" s="80">
        <v>0</v>
      </c>
      <c r="T514" s="82">
        <v>231.38</v>
      </c>
      <c r="U514" s="77" t="s">
        <v>1870</v>
      </c>
      <c r="V514" s="75" t="s">
        <v>1780</v>
      </c>
      <c r="W514" s="77"/>
      <c r="X514" s="77"/>
      <c r="Y514" s="77" t="s">
        <v>1871</v>
      </c>
      <c r="Z514" s="77" t="s">
        <v>256</v>
      </c>
      <c r="AA514" s="83" t="s">
        <v>1869</v>
      </c>
      <c r="AB514" s="104" t="str">
        <f>IFERROR(VLOOKUP(Anexo_4[[#This Row],[cuenta]],OP,2,0),"-")</f>
        <v>Materias Primas - RRSS</v>
      </c>
    </row>
    <row r="515" spans="1:28" s="84" customFormat="1" ht="27" customHeight="1" x14ac:dyDescent="0.3">
      <c r="A515" s="75" t="s">
        <v>1623</v>
      </c>
      <c r="B515" s="36" t="str">
        <f t="shared" si="8"/>
        <v>Junio</v>
      </c>
      <c r="C515" s="77" t="s">
        <v>162</v>
      </c>
      <c r="D515" s="77" t="s">
        <v>1872</v>
      </c>
      <c r="E51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515" s="79" t="s">
        <v>248</v>
      </c>
      <c r="G515" s="79" t="s">
        <v>249</v>
      </c>
      <c r="H515" s="140" t="s">
        <v>1873</v>
      </c>
      <c r="I515" s="77" t="s">
        <v>625</v>
      </c>
      <c r="J515" s="144" t="s">
        <v>626</v>
      </c>
      <c r="K515" s="77" t="s">
        <v>169</v>
      </c>
      <c r="L515" s="103" t="str">
        <f>VLOOKUP(Anexo_4[[#This Row],[cod_doc]],TIPODOC,2,FALSE)</f>
        <v>FACTURA</v>
      </c>
      <c r="M515" s="77" t="s">
        <v>180</v>
      </c>
      <c r="N515" s="79">
        <v>16358</v>
      </c>
      <c r="O515" s="80">
        <v>8156.31</v>
      </c>
      <c r="P515" s="81" t="s">
        <v>171</v>
      </c>
      <c r="Q515" s="81">
        <v>1468.1358</v>
      </c>
      <c r="R515" s="80" t="s">
        <v>171</v>
      </c>
      <c r="S515" s="80">
        <v>0</v>
      </c>
      <c r="T515" s="82">
        <v>9624.4599999999991</v>
      </c>
      <c r="U515" s="77" t="s">
        <v>1874</v>
      </c>
      <c r="V515" s="75" t="s">
        <v>1780</v>
      </c>
      <c r="W515" s="77"/>
      <c r="X515" s="77"/>
      <c r="Y515" s="77" t="s">
        <v>1875</v>
      </c>
      <c r="Z515" s="77" t="s">
        <v>256</v>
      </c>
      <c r="AA515" s="83" t="s">
        <v>1873</v>
      </c>
      <c r="AB515" s="104" t="str">
        <f>IFERROR(VLOOKUP(Anexo_4[[#This Row],[cuenta]],OP,2,0),"-")</f>
        <v>Materias Primas - RRSS</v>
      </c>
    </row>
    <row r="516" spans="1:28" s="84" customFormat="1" ht="27" customHeight="1" x14ac:dyDescent="0.3">
      <c r="A516" s="75" t="s">
        <v>1876</v>
      </c>
      <c r="B516" s="36" t="str">
        <f t="shared" si="8"/>
        <v>Junio</v>
      </c>
      <c r="C516" s="77" t="s">
        <v>162</v>
      </c>
      <c r="D516" s="77" t="s">
        <v>1877</v>
      </c>
      <c r="E516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516" s="79"/>
      <c r="G516" s="79"/>
      <c r="H516" s="140"/>
      <c r="I516" s="77" t="s">
        <v>653</v>
      </c>
      <c r="J516" s="144" t="s">
        <v>654</v>
      </c>
      <c r="K516" s="77" t="s">
        <v>169</v>
      </c>
      <c r="L516" s="103" t="str">
        <f>VLOOKUP(Anexo_4[[#This Row],[cod_doc]],TIPODOC,2,FALSE)</f>
        <v>FACTURA</v>
      </c>
      <c r="M516" s="77" t="s">
        <v>655</v>
      </c>
      <c r="N516" s="79" t="s">
        <v>1878</v>
      </c>
      <c r="O516" s="80">
        <v>219</v>
      </c>
      <c r="P516" s="81" t="s">
        <v>171</v>
      </c>
      <c r="Q516" s="81">
        <v>39.42</v>
      </c>
      <c r="R516" s="80" t="s">
        <v>171</v>
      </c>
      <c r="S516" s="80">
        <v>0</v>
      </c>
      <c r="T516" s="82">
        <v>258.42</v>
      </c>
      <c r="U516" s="77"/>
      <c r="V516" s="75"/>
      <c r="W516" s="77"/>
      <c r="X516" s="77"/>
      <c r="Y516" s="77"/>
      <c r="Z516" s="77"/>
      <c r="AA516" s="83"/>
      <c r="AB516" s="104" t="str">
        <f>IFERROR(VLOOKUP(Anexo_4[[#This Row],[cuenta]],OP,2,0),"-")</f>
        <v>-</v>
      </c>
    </row>
    <row r="517" spans="1:28" s="84" customFormat="1" ht="27" customHeight="1" x14ac:dyDescent="0.3">
      <c r="A517" s="75" t="s">
        <v>966</v>
      </c>
      <c r="B517" s="36" t="str">
        <f t="shared" si="8"/>
        <v>Junio</v>
      </c>
      <c r="C517" s="77" t="s">
        <v>162</v>
      </c>
      <c r="D517" s="77" t="s">
        <v>1879</v>
      </c>
      <c r="E517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517" s="79" t="s">
        <v>248</v>
      </c>
      <c r="G517" s="79" t="s">
        <v>249</v>
      </c>
      <c r="H517" s="140" t="s">
        <v>1880</v>
      </c>
      <c r="I517" s="77" t="s">
        <v>980</v>
      </c>
      <c r="J517" s="144" t="s">
        <v>981</v>
      </c>
      <c r="K517" s="77" t="s">
        <v>169</v>
      </c>
      <c r="L517" s="103" t="str">
        <f>VLOOKUP(Anexo_4[[#This Row],[cod_doc]],TIPODOC,2,FALSE)</f>
        <v>FACTURA</v>
      </c>
      <c r="M517" s="77" t="s">
        <v>982</v>
      </c>
      <c r="N517" s="79">
        <v>1709</v>
      </c>
      <c r="O517" s="80">
        <v>257.12</v>
      </c>
      <c r="P517" s="81" t="s">
        <v>171</v>
      </c>
      <c r="Q517" s="81">
        <v>46.281599999999997</v>
      </c>
      <c r="R517" s="80" t="s">
        <v>171</v>
      </c>
      <c r="S517" s="80">
        <v>0</v>
      </c>
      <c r="T517" s="82">
        <v>303.39999999999998</v>
      </c>
      <c r="U517" s="77" t="s">
        <v>1881</v>
      </c>
      <c r="V517" s="75" t="s">
        <v>1780</v>
      </c>
      <c r="W517" s="77"/>
      <c r="X517" s="77"/>
      <c r="Y517" s="77"/>
      <c r="Z517" s="77" t="s">
        <v>256</v>
      </c>
      <c r="AA517" s="83" t="s">
        <v>1880</v>
      </c>
      <c r="AB517" s="104" t="str">
        <f>IFERROR(VLOOKUP(Anexo_4[[#This Row],[cuenta]],OP,2,0),"-")</f>
        <v>Materias Primas - RRSS</v>
      </c>
    </row>
    <row r="518" spans="1:28" s="84" customFormat="1" ht="27" customHeight="1" x14ac:dyDescent="0.3">
      <c r="A518" s="75" t="s">
        <v>1430</v>
      </c>
      <c r="B518" s="36" t="str">
        <f t="shared" si="8"/>
        <v>Junio</v>
      </c>
      <c r="C518" s="77" t="s">
        <v>162</v>
      </c>
      <c r="D518" s="77" t="s">
        <v>1882</v>
      </c>
      <c r="E518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518" s="79" t="s">
        <v>442</v>
      </c>
      <c r="G518" s="79" t="s">
        <v>443</v>
      </c>
      <c r="H518" s="140" t="s">
        <v>1883</v>
      </c>
      <c r="I518" s="77" t="s">
        <v>1884</v>
      </c>
      <c r="J518" s="144" t="s">
        <v>1885</v>
      </c>
      <c r="K518" s="77" t="s">
        <v>169</v>
      </c>
      <c r="L518" s="103" t="str">
        <f>VLOOKUP(Anexo_4[[#This Row],[cod_doc]],TIPODOC,2,FALSE)</f>
        <v>FACTURA</v>
      </c>
      <c r="M518" s="77" t="s">
        <v>102</v>
      </c>
      <c r="N518" s="79">
        <v>2098</v>
      </c>
      <c r="O518" s="80">
        <v>63.56</v>
      </c>
      <c r="P518" s="81" t="s">
        <v>171</v>
      </c>
      <c r="Q518" s="81">
        <v>11.440799999999999</v>
      </c>
      <c r="R518" s="80" t="s">
        <v>171</v>
      </c>
      <c r="S518" s="80">
        <v>0</v>
      </c>
      <c r="T518" s="82">
        <v>75</v>
      </c>
      <c r="U518" s="77"/>
      <c r="V518" s="75"/>
      <c r="W518" s="77"/>
      <c r="X518" s="77"/>
      <c r="Y518" s="77"/>
      <c r="Z518" s="77" t="s">
        <v>1886</v>
      </c>
      <c r="AA518" s="83" t="s">
        <v>1883</v>
      </c>
      <c r="AB518" s="104" t="str">
        <f>IFERROR(VLOOKUP(Anexo_4[[#This Row],[cuenta]],OP,2,0),"-")</f>
        <v>-</v>
      </c>
    </row>
    <row r="519" spans="1:28" s="84" customFormat="1" ht="27" customHeight="1" x14ac:dyDescent="0.3">
      <c r="A519" s="75" t="s">
        <v>540</v>
      </c>
      <c r="B519" s="36" t="str">
        <f t="shared" si="8"/>
        <v>Junio</v>
      </c>
      <c r="C519" s="77" t="s">
        <v>162</v>
      </c>
      <c r="D519" s="77" t="s">
        <v>1887</v>
      </c>
      <c r="E519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519" s="79" t="s">
        <v>823</v>
      </c>
      <c r="G519" s="79" t="s">
        <v>824</v>
      </c>
      <c r="H519" s="140" t="s">
        <v>1888</v>
      </c>
      <c r="I519" s="77" t="s">
        <v>1889</v>
      </c>
      <c r="J519" s="144" t="s">
        <v>1890</v>
      </c>
      <c r="K519" s="77" t="s">
        <v>169</v>
      </c>
      <c r="L519" s="103" t="str">
        <f>VLOOKUP(Anexo_4[[#This Row],[cod_doc]],TIPODOC,2,FALSE)</f>
        <v>FACTURA</v>
      </c>
      <c r="M519" s="77" t="s">
        <v>102</v>
      </c>
      <c r="N519" s="79">
        <v>1761</v>
      </c>
      <c r="O519" s="80">
        <v>5000</v>
      </c>
      <c r="P519" s="81" t="s">
        <v>171</v>
      </c>
      <c r="Q519" s="81">
        <v>900</v>
      </c>
      <c r="R519" s="80" t="s">
        <v>171</v>
      </c>
      <c r="S519" s="80">
        <v>0</v>
      </c>
      <c r="T519" s="82">
        <v>5900</v>
      </c>
      <c r="U519" s="77"/>
      <c r="V519" s="75"/>
      <c r="W519" s="77"/>
      <c r="X519" s="77"/>
      <c r="Y519" s="77" t="s">
        <v>1891</v>
      </c>
      <c r="Z519" s="77" t="s">
        <v>1756</v>
      </c>
      <c r="AA519" s="83" t="s">
        <v>1888</v>
      </c>
      <c r="AB519" s="104" t="str">
        <f>IFERROR(VLOOKUP(Anexo_4[[#This Row],[cuenta]],OP,2,0),"-")</f>
        <v>-</v>
      </c>
    </row>
    <row r="520" spans="1:28" s="84" customFormat="1" ht="27" customHeight="1" x14ac:dyDescent="0.3">
      <c r="A520" s="75" t="s">
        <v>1623</v>
      </c>
      <c r="B520" s="36" t="str">
        <f t="shared" si="8"/>
        <v>Junio</v>
      </c>
      <c r="C520" s="77" t="s">
        <v>162</v>
      </c>
      <c r="D520" s="77" t="s">
        <v>1892</v>
      </c>
      <c r="E520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520" s="79" t="s">
        <v>650</v>
      </c>
      <c r="G520" s="79" t="s">
        <v>651</v>
      </c>
      <c r="H520" s="140" t="s">
        <v>1893</v>
      </c>
      <c r="I520" s="77" t="s">
        <v>1894</v>
      </c>
      <c r="J520" s="144" t="s">
        <v>1895</v>
      </c>
      <c r="K520" s="77" t="s">
        <v>1896</v>
      </c>
      <c r="L520" s="103" t="str">
        <f>VLOOKUP(Anexo_4[[#This Row],[cod_doc]],TIPODOC,2,FALSE)</f>
        <v>NOTA DE CREDITO</v>
      </c>
      <c r="M520" s="77" t="s">
        <v>102</v>
      </c>
      <c r="N520" s="79">
        <v>34</v>
      </c>
      <c r="O520" s="80">
        <v>0</v>
      </c>
      <c r="P520" s="81" t="s">
        <v>171</v>
      </c>
      <c r="Q520" s="81">
        <v>0</v>
      </c>
      <c r="R520" s="80" t="s">
        <v>171</v>
      </c>
      <c r="S520" s="80">
        <v>-230</v>
      </c>
      <c r="T520" s="82">
        <v>-230</v>
      </c>
      <c r="U520" s="77"/>
      <c r="V520" s="75"/>
      <c r="W520" s="77" t="s">
        <v>162</v>
      </c>
      <c r="X520" s="77" t="s">
        <v>102</v>
      </c>
      <c r="Y520" s="77" t="s">
        <v>1897</v>
      </c>
      <c r="Z520" s="77" t="s">
        <v>684</v>
      </c>
      <c r="AA520" s="83" t="s">
        <v>1893</v>
      </c>
      <c r="AB520" s="104" t="str">
        <f>IFERROR(VLOOKUP(Anexo_4[[#This Row],[cuenta]],OP,2,0),"-")</f>
        <v>-</v>
      </c>
    </row>
    <row r="521" spans="1:28" s="84" customFormat="1" ht="27" customHeight="1" x14ac:dyDescent="0.3">
      <c r="A521" s="75" t="s">
        <v>215</v>
      </c>
      <c r="B521" s="36" t="str">
        <f t="shared" si="8"/>
        <v>Junio</v>
      </c>
      <c r="C521" s="77" t="s">
        <v>162</v>
      </c>
      <c r="D521" s="77" t="s">
        <v>1898</v>
      </c>
      <c r="E521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521" s="79" t="s">
        <v>442</v>
      </c>
      <c r="G521" s="79" t="s">
        <v>443</v>
      </c>
      <c r="H521" s="140" t="s">
        <v>1899</v>
      </c>
      <c r="I521" s="77" t="s">
        <v>886</v>
      </c>
      <c r="J521" s="144" t="s">
        <v>887</v>
      </c>
      <c r="K521" s="77" t="s">
        <v>1896</v>
      </c>
      <c r="L521" s="103" t="str">
        <f>VLOOKUP(Anexo_4[[#This Row],[cod_doc]],TIPODOC,2,FALSE)</f>
        <v>NOTA DE CREDITO</v>
      </c>
      <c r="M521" s="77" t="s">
        <v>1900</v>
      </c>
      <c r="N521" s="79">
        <v>70</v>
      </c>
      <c r="O521" s="80">
        <v>-768.72</v>
      </c>
      <c r="P521" s="81" t="s">
        <v>171</v>
      </c>
      <c r="Q521" s="81">
        <v>-138.36000000000001</v>
      </c>
      <c r="R521" s="80" t="s">
        <v>171</v>
      </c>
      <c r="S521" s="80">
        <v>0</v>
      </c>
      <c r="T521" s="82">
        <v>-907.08</v>
      </c>
      <c r="U521" s="77"/>
      <c r="V521" s="75"/>
      <c r="W521" s="77" t="s">
        <v>162</v>
      </c>
      <c r="X521" s="77" t="s">
        <v>343</v>
      </c>
      <c r="Y521" s="77" t="s">
        <v>1901</v>
      </c>
      <c r="Z521" s="77" t="s">
        <v>846</v>
      </c>
      <c r="AA521" s="83" t="s">
        <v>1899</v>
      </c>
      <c r="AB521" s="104" t="str">
        <f>IFERROR(VLOOKUP(Anexo_4[[#This Row],[cuenta]],OP,2,0),"-")</f>
        <v>-</v>
      </c>
    </row>
    <row r="522" spans="1:28" s="84" customFormat="1" ht="27" customHeight="1" x14ac:dyDescent="0.3">
      <c r="A522" s="75" t="s">
        <v>533</v>
      </c>
      <c r="B522" s="36" t="str">
        <f t="shared" si="8"/>
        <v>Junio</v>
      </c>
      <c r="C522" s="77" t="s">
        <v>162</v>
      </c>
      <c r="D522" s="77" t="s">
        <v>1902</v>
      </c>
      <c r="E522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522" s="79" t="s">
        <v>190</v>
      </c>
      <c r="G522" s="79" t="s">
        <v>191</v>
      </c>
      <c r="H522" s="140" t="s">
        <v>1903</v>
      </c>
      <c r="I522" s="77" t="s">
        <v>1836</v>
      </c>
      <c r="J522" s="144" t="s">
        <v>1837</v>
      </c>
      <c r="K522" s="77" t="s">
        <v>169</v>
      </c>
      <c r="L522" s="103" t="str">
        <f>VLOOKUP(Anexo_4[[#This Row],[cod_doc]],TIPODOC,2,FALSE)</f>
        <v>FACTURA</v>
      </c>
      <c r="M522" s="77" t="s">
        <v>105</v>
      </c>
      <c r="N522" s="79">
        <v>2661</v>
      </c>
      <c r="O522" s="80">
        <v>74.239999999999995</v>
      </c>
      <c r="P522" s="81" t="s">
        <v>171</v>
      </c>
      <c r="Q522" s="81">
        <v>13.363199999999999</v>
      </c>
      <c r="R522" s="80" t="s">
        <v>171</v>
      </c>
      <c r="S522" s="80">
        <v>0</v>
      </c>
      <c r="T522" s="82">
        <v>87.6</v>
      </c>
      <c r="U522" s="77"/>
      <c r="V522" s="75"/>
      <c r="W522" s="77"/>
      <c r="X522" s="77"/>
      <c r="Y522" s="77"/>
      <c r="Z522" s="77" t="s">
        <v>1839</v>
      </c>
      <c r="AA522" s="83" t="s">
        <v>1903</v>
      </c>
      <c r="AB522" s="104" t="str">
        <f>IFERROR(VLOOKUP(Anexo_4[[#This Row],[cuenta]],OP,2,0),"-")</f>
        <v>-</v>
      </c>
    </row>
    <row r="523" spans="1:28" s="84" customFormat="1" ht="27" customHeight="1" x14ac:dyDescent="0.3">
      <c r="A523" s="75" t="s">
        <v>928</v>
      </c>
      <c r="B523" s="36" t="str">
        <f t="shared" si="8"/>
        <v>Junio</v>
      </c>
      <c r="C523" s="77" t="s">
        <v>162</v>
      </c>
      <c r="D523" s="77" t="s">
        <v>1904</v>
      </c>
      <c r="E523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523" s="79" t="s">
        <v>190</v>
      </c>
      <c r="G523" s="79" t="s">
        <v>191</v>
      </c>
      <c r="H523" s="140" t="s">
        <v>1905</v>
      </c>
      <c r="I523" s="77" t="s">
        <v>1836</v>
      </c>
      <c r="J523" s="144" t="s">
        <v>1837</v>
      </c>
      <c r="K523" s="77" t="s">
        <v>1896</v>
      </c>
      <c r="L523" s="103" t="str">
        <f>VLOOKUP(Anexo_4[[#This Row],[cod_doc]],TIPODOC,2,FALSE)</f>
        <v>NOTA DE CREDITO</v>
      </c>
      <c r="M523" s="77" t="s">
        <v>1906</v>
      </c>
      <c r="N523" s="79">
        <v>126</v>
      </c>
      <c r="O523" s="80">
        <v>-1258.6400000000001</v>
      </c>
      <c r="P523" s="81" t="s">
        <v>171</v>
      </c>
      <c r="Q523" s="81">
        <v>-226.56</v>
      </c>
      <c r="R523" s="80" t="s">
        <v>171</v>
      </c>
      <c r="S523" s="80">
        <v>0</v>
      </c>
      <c r="T523" s="82">
        <v>-1485.2</v>
      </c>
      <c r="U523" s="77"/>
      <c r="V523" s="75"/>
      <c r="W523" s="77" t="s">
        <v>162</v>
      </c>
      <c r="X523" s="77" t="s">
        <v>105</v>
      </c>
      <c r="Y523" s="77" t="s">
        <v>1907</v>
      </c>
      <c r="Z523" s="77" t="s">
        <v>1839</v>
      </c>
      <c r="AA523" s="83" t="s">
        <v>1905</v>
      </c>
      <c r="AB523" s="104" t="str">
        <f>IFERROR(VLOOKUP(Anexo_4[[#This Row],[cuenta]],OP,2,0),"-")</f>
        <v>-</v>
      </c>
    </row>
    <row r="524" spans="1:28" s="84" customFormat="1" ht="27" customHeight="1" x14ac:dyDescent="0.3">
      <c r="A524" s="75" t="s">
        <v>928</v>
      </c>
      <c r="B524" s="36" t="str">
        <f t="shared" si="8"/>
        <v>Junio</v>
      </c>
      <c r="C524" s="77" t="s">
        <v>162</v>
      </c>
      <c r="D524" s="77" t="s">
        <v>1908</v>
      </c>
      <c r="E524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524" s="79" t="s">
        <v>190</v>
      </c>
      <c r="G524" s="79" t="s">
        <v>191</v>
      </c>
      <c r="H524" s="140" t="s">
        <v>1909</v>
      </c>
      <c r="I524" s="77" t="s">
        <v>1836</v>
      </c>
      <c r="J524" s="144" t="s">
        <v>1837</v>
      </c>
      <c r="K524" s="77" t="s">
        <v>169</v>
      </c>
      <c r="L524" s="103" t="str">
        <f>VLOOKUP(Anexo_4[[#This Row],[cod_doc]],TIPODOC,2,FALSE)</f>
        <v>FACTURA</v>
      </c>
      <c r="M524" s="77" t="s">
        <v>105</v>
      </c>
      <c r="N524" s="79">
        <v>2723</v>
      </c>
      <c r="O524" s="80">
        <v>1279.6600000000001</v>
      </c>
      <c r="P524" s="81" t="s">
        <v>171</v>
      </c>
      <c r="Q524" s="81">
        <v>230.33879999999999</v>
      </c>
      <c r="R524" s="80" t="s">
        <v>171</v>
      </c>
      <c r="S524" s="80">
        <v>0</v>
      </c>
      <c r="T524" s="82">
        <v>1510</v>
      </c>
      <c r="U524" s="77"/>
      <c r="V524" s="75"/>
      <c r="W524" s="77"/>
      <c r="X524" s="77"/>
      <c r="Y524" s="77"/>
      <c r="Z524" s="77" t="s">
        <v>1839</v>
      </c>
      <c r="AA524" s="83" t="s">
        <v>1909</v>
      </c>
      <c r="AB524" s="104" t="str">
        <f>IFERROR(VLOOKUP(Anexo_4[[#This Row],[cuenta]],OP,2,0),"-")</f>
        <v>-</v>
      </c>
    </row>
    <row r="525" spans="1:28" s="84" customFormat="1" ht="27" customHeight="1" x14ac:dyDescent="0.3">
      <c r="A525" s="75" t="s">
        <v>1910</v>
      </c>
      <c r="B525" s="36" t="str">
        <f t="shared" si="8"/>
        <v>Julio</v>
      </c>
      <c r="C525" s="77" t="s">
        <v>162</v>
      </c>
      <c r="D525" s="77" t="s">
        <v>1911</v>
      </c>
      <c r="E525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525" s="79" t="s">
        <v>164</v>
      </c>
      <c r="G525" s="79" t="s">
        <v>165</v>
      </c>
      <c r="H525" s="140" t="s">
        <v>166</v>
      </c>
      <c r="I525" s="77" t="s">
        <v>167</v>
      </c>
      <c r="J525" s="144" t="s">
        <v>168</v>
      </c>
      <c r="K525" s="77" t="s">
        <v>169</v>
      </c>
      <c r="L525" s="103" t="str">
        <f>VLOOKUP(Anexo_4[[#This Row],[cod_doc]],TIPODOC,2,FALSE)</f>
        <v>FACTURA</v>
      </c>
      <c r="M525" s="77" t="s">
        <v>1912</v>
      </c>
      <c r="N525" s="79">
        <v>23159</v>
      </c>
      <c r="O525" s="80">
        <v>166.54</v>
      </c>
      <c r="P525" s="81"/>
      <c r="Q525" s="81">
        <v>29.977199999999996</v>
      </c>
      <c r="R525" s="80"/>
      <c r="S525" s="80">
        <v>0</v>
      </c>
      <c r="T525" s="82">
        <v>196.52</v>
      </c>
      <c r="U525" s="77"/>
      <c r="V525" s="75"/>
      <c r="W525" s="77"/>
      <c r="X525" s="77"/>
      <c r="Y525" s="77"/>
      <c r="Z525" s="77" t="s">
        <v>172</v>
      </c>
      <c r="AA525" s="83" t="s">
        <v>166</v>
      </c>
      <c r="AB525" s="104" t="str">
        <f>IFERROR(VLOOKUP(Anexo_4[[#This Row],[cuenta]],OP,2,0),"-")</f>
        <v>-</v>
      </c>
    </row>
    <row r="526" spans="1:28" s="84" customFormat="1" ht="27" customHeight="1" x14ac:dyDescent="0.3">
      <c r="A526" s="75" t="s">
        <v>1910</v>
      </c>
      <c r="B526" s="36" t="str">
        <f t="shared" si="8"/>
        <v>Julio</v>
      </c>
      <c r="C526" s="77" t="s">
        <v>162</v>
      </c>
      <c r="D526" s="77" t="s">
        <v>1913</v>
      </c>
      <c r="E52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526" s="79" t="s">
        <v>175</v>
      </c>
      <c r="G526" s="79" t="s">
        <v>176</v>
      </c>
      <c r="H526" s="140" t="s">
        <v>1914</v>
      </c>
      <c r="I526" s="77" t="s">
        <v>220</v>
      </c>
      <c r="J526" s="144" t="s">
        <v>221</v>
      </c>
      <c r="K526" s="77" t="s">
        <v>169</v>
      </c>
      <c r="L526" s="103" t="str">
        <f>VLOOKUP(Anexo_4[[#This Row],[cod_doc]],TIPODOC,2,FALSE)</f>
        <v>FACTURA</v>
      </c>
      <c r="M526" s="77" t="s">
        <v>222</v>
      </c>
      <c r="N526" s="79">
        <v>492</v>
      </c>
      <c r="O526" s="80">
        <v>330</v>
      </c>
      <c r="P526" s="81"/>
      <c r="Q526" s="81">
        <v>59.4</v>
      </c>
      <c r="R526" s="80"/>
      <c r="S526" s="80">
        <v>0</v>
      </c>
      <c r="T526" s="82">
        <v>389.4</v>
      </c>
      <c r="U526" s="77"/>
      <c r="V526" s="75"/>
      <c r="W526" s="77"/>
      <c r="X526" s="77"/>
      <c r="Y526" s="77"/>
      <c r="Z526" s="77" t="s">
        <v>223</v>
      </c>
      <c r="AA526" s="83" t="s">
        <v>1914</v>
      </c>
      <c r="AB526" s="104" t="str">
        <f>IFERROR(VLOOKUP(Anexo_4[[#This Row],[cuenta]],OP,2,0),"-")</f>
        <v>Mantenimiento Vehicular (Preventivo)</v>
      </c>
    </row>
    <row r="527" spans="1:28" s="84" customFormat="1" ht="27" customHeight="1" x14ac:dyDescent="0.3">
      <c r="A527" s="75" t="s">
        <v>1910</v>
      </c>
      <c r="B527" s="36" t="str">
        <f t="shared" si="8"/>
        <v>Julio</v>
      </c>
      <c r="C527" s="77" t="s">
        <v>162</v>
      </c>
      <c r="D527" s="77" t="s">
        <v>1915</v>
      </c>
      <c r="E527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527" s="79" t="s">
        <v>175</v>
      </c>
      <c r="G527" s="79" t="s">
        <v>176</v>
      </c>
      <c r="H527" s="140" t="s">
        <v>1914</v>
      </c>
      <c r="I527" s="77" t="s">
        <v>220</v>
      </c>
      <c r="J527" s="144" t="s">
        <v>221</v>
      </c>
      <c r="K527" s="77" t="s">
        <v>169</v>
      </c>
      <c r="L527" s="103" t="str">
        <f>VLOOKUP(Anexo_4[[#This Row],[cod_doc]],TIPODOC,2,FALSE)</f>
        <v>FACTURA</v>
      </c>
      <c r="M527" s="77" t="s">
        <v>222</v>
      </c>
      <c r="N527" s="79">
        <v>493</v>
      </c>
      <c r="O527" s="80">
        <v>591.53</v>
      </c>
      <c r="P527" s="81"/>
      <c r="Q527" s="81">
        <v>106.47539999999999</v>
      </c>
      <c r="R527" s="80"/>
      <c r="S527" s="80">
        <v>0</v>
      </c>
      <c r="T527" s="82">
        <v>698</v>
      </c>
      <c r="U527" s="77"/>
      <c r="V527" s="75"/>
      <c r="W527" s="77"/>
      <c r="X527" s="77"/>
      <c r="Y527" s="77"/>
      <c r="Z527" s="77" t="s">
        <v>223</v>
      </c>
      <c r="AA527" s="83" t="s">
        <v>1914</v>
      </c>
      <c r="AB527" s="104" t="str">
        <f>IFERROR(VLOOKUP(Anexo_4[[#This Row],[cuenta]],OP,2,0),"-")</f>
        <v>Mantenimiento Vehicular (Preventivo)</v>
      </c>
    </row>
    <row r="528" spans="1:28" s="84" customFormat="1" ht="27" customHeight="1" x14ac:dyDescent="0.3">
      <c r="A528" s="75" t="s">
        <v>1916</v>
      </c>
      <c r="B528" s="36" t="str">
        <f t="shared" si="8"/>
        <v>Julio</v>
      </c>
      <c r="C528" s="77" t="s">
        <v>162</v>
      </c>
      <c r="D528" s="77" t="s">
        <v>1917</v>
      </c>
      <c r="E528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528" s="79" t="s">
        <v>248</v>
      </c>
      <c r="G528" s="79" t="s">
        <v>249</v>
      </c>
      <c r="H528" s="140" t="s">
        <v>1918</v>
      </c>
      <c r="I528" s="77" t="s">
        <v>536</v>
      </c>
      <c r="J528" s="144" t="s">
        <v>537</v>
      </c>
      <c r="K528" s="77" t="s">
        <v>169</v>
      </c>
      <c r="L528" s="103" t="str">
        <f>VLOOKUP(Anexo_4[[#This Row],[cod_doc]],TIPODOC,2,FALSE)</f>
        <v>FACTURA</v>
      </c>
      <c r="M528" s="77" t="s">
        <v>538</v>
      </c>
      <c r="N528" s="79">
        <v>6553</v>
      </c>
      <c r="O528" s="80">
        <v>102.6</v>
      </c>
      <c r="P528" s="81"/>
      <c r="Q528" s="81">
        <v>18.468</v>
      </c>
      <c r="R528" s="80"/>
      <c r="S528" s="80">
        <v>0</v>
      </c>
      <c r="T528" s="82">
        <v>121.07</v>
      </c>
      <c r="U528" s="77" t="s">
        <v>1919</v>
      </c>
      <c r="V528" s="75" t="s">
        <v>1920</v>
      </c>
      <c r="W528" s="77"/>
      <c r="X528" s="77"/>
      <c r="Y528" s="77"/>
      <c r="Z528" s="77" t="s">
        <v>256</v>
      </c>
      <c r="AA528" s="83" t="s">
        <v>1918</v>
      </c>
      <c r="AB528" s="104" t="str">
        <f>IFERROR(VLOOKUP(Anexo_4[[#This Row],[cuenta]],OP,2,0),"-")</f>
        <v>Materias Primas - RRSS</v>
      </c>
    </row>
    <row r="529" spans="1:28" s="84" customFormat="1" ht="27" customHeight="1" x14ac:dyDescent="0.3">
      <c r="A529" s="75" t="s">
        <v>1916</v>
      </c>
      <c r="B529" s="36" t="str">
        <f t="shared" si="8"/>
        <v>Julio</v>
      </c>
      <c r="C529" s="77" t="s">
        <v>162</v>
      </c>
      <c r="D529" s="77" t="s">
        <v>1921</v>
      </c>
      <c r="E529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529" s="79" t="s">
        <v>248</v>
      </c>
      <c r="G529" s="79" t="s">
        <v>249</v>
      </c>
      <c r="H529" s="140" t="s">
        <v>1922</v>
      </c>
      <c r="I529" s="77" t="s">
        <v>536</v>
      </c>
      <c r="J529" s="144" t="s">
        <v>537</v>
      </c>
      <c r="K529" s="77" t="s">
        <v>169</v>
      </c>
      <c r="L529" s="103" t="str">
        <f>VLOOKUP(Anexo_4[[#This Row],[cod_doc]],TIPODOC,2,FALSE)</f>
        <v>FACTURA</v>
      </c>
      <c r="M529" s="77" t="s">
        <v>538</v>
      </c>
      <c r="N529" s="79">
        <v>6555</v>
      </c>
      <c r="O529" s="80">
        <v>57.5</v>
      </c>
      <c r="P529" s="81"/>
      <c r="Q529" s="81">
        <v>10.35</v>
      </c>
      <c r="R529" s="80"/>
      <c r="S529" s="80">
        <v>0</v>
      </c>
      <c r="T529" s="82">
        <v>67.849999999999994</v>
      </c>
      <c r="U529" s="77" t="s">
        <v>1923</v>
      </c>
      <c r="V529" s="75" t="s">
        <v>1920</v>
      </c>
      <c r="W529" s="77"/>
      <c r="X529" s="77"/>
      <c r="Y529" s="77"/>
      <c r="Z529" s="77" t="s">
        <v>256</v>
      </c>
      <c r="AA529" s="83" t="s">
        <v>1922</v>
      </c>
      <c r="AB529" s="104" t="str">
        <f>IFERROR(VLOOKUP(Anexo_4[[#This Row],[cuenta]],OP,2,0),"-")</f>
        <v>Materias Primas - RRSS</v>
      </c>
    </row>
    <row r="530" spans="1:28" s="84" customFormat="1" ht="27" customHeight="1" x14ac:dyDescent="0.3">
      <c r="A530" s="75" t="s">
        <v>1916</v>
      </c>
      <c r="B530" s="36" t="str">
        <f t="shared" si="8"/>
        <v>Julio</v>
      </c>
      <c r="C530" s="77" t="s">
        <v>162</v>
      </c>
      <c r="D530" s="77" t="s">
        <v>1924</v>
      </c>
      <c r="E530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530" s="79" t="s">
        <v>248</v>
      </c>
      <c r="G530" s="79" t="s">
        <v>249</v>
      </c>
      <c r="H530" s="140" t="s">
        <v>1925</v>
      </c>
      <c r="I530" s="77" t="s">
        <v>536</v>
      </c>
      <c r="J530" s="144" t="s">
        <v>537</v>
      </c>
      <c r="K530" s="77" t="s">
        <v>169</v>
      </c>
      <c r="L530" s="103" t="str">
        <f>VLOOKUP(Anexo_4[[#This Row],[cod_doc]],TIPODOC,2,FALSE)</f>
        <v>FACTURA</v>
      </c>
      <c r="M530" s="77" t="s">
        <v>538</v>
      </c>
      <c r="N530" s="79">
        <v>6554</v>
      </c>
      <c r="O530" s="80">
        <v>486</v>
      </c>
      <c r="P530" s="81"/>
      <c r="Q530" s="81">
        <v>87.47999999999999</v>
      </c>
      <c r="R530" s="80"/>
      <c r="S530" s="80">
        <v>0</v>
      </c>
      <c r="T530" s="82">
        <v>573.48</v>
      </c>
      <c r="U530" s="77" t="s">
        <v>1926</v>
      </c>
      <c r="V530" s="75" t="s">
        <v>1920</v>
      </c>
      <c r="W530" s="77"/>
      <c r="X530" s="77"/>
      <c r="Y530" s="77"/>
      <c r="Z530" s="77" t="s">
        <v>256</v>
      </c>
      <c r="AA530" s="83" t="s">
        <v>1925</v>
      </c>
      <c r="AB530" s="104" t="str">
        <f>IFERROR(VLOOKUP(Anexo_4[[#This Row],[cuenta]],OP,2,0),"-")</f>
        <v>Materias Primas - RRSS</v>
      </c>
    </row>
    <row r="531" spans="1:28" s="84" customFormat="1" ht="27" customHeight="1" x14ac:dyDescent="0.3">
      <c r="A531" s="75" t="s">
        <v>1916</v>
      </c>
      <c r="B531" s="36" t="str">
        <f t="shared" si="8"/>
        <v>Julio</v>
      </c>
      <c r="C531" s="77" t="s">
        <v>162</v>
      </c>
      <c r="D531" s="77" t="s">
        <v>1927</v>
      </c>
      <c r="E53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531" s="79" t="s">
        <v>248</v>
      </c>
      <c r="G531" s="79" t="s">
        <v>249</v>
      </c>
      <c r="H531" s="140" t="s">
        <v>1928</v>
      </c>
      <c r="I531" s="77" t="s">
        <v>536</v>
      </c>
      <c r="J531" s="144" t="s">
        <v>537</v>
      </c>
      <c r="K531" s="77" t="s">
        <v>169</v>
      </c>
      <c r="L531" s="103" t="str">
        <f>VLOOKUP(Anexo_4[[#This Row],[cod_doc]],TIPODOC,2,FALSE)</f>
        <v>FACTURA</v>
      </c>
      <c r="M531" s="77" t="s">
        <v>538</v>
      </c>
      <c r="N531" s="79">
        <v>6557</v>
      </c>
      <c r="O531" s="80">
        <v>129</v>
      </c>
      <c r="P531" s="81"/>
      <c r="Q531" s="81">
        <v>23.22</v>
      </c>
      <c r="R531" s="80"/>
      <c r="S531" s="80">
        <v>0</v>
      </c>
      <c r="T531" s="82">
        <v>152.22</v>
      </c>
      <c r="U531" s="77" t="s">
        <v>1929</v>
      </c>
      <c r="V531" s="75" t="s">
        <v>1920</v>
      </c>
      <c r="W531" s="77"/>
      <c r="X531" s="77"/>
      <c r="Y531" s="77"/>
      <c r="Z531" s="77" t="s">
        <v>256</v>
      </c>
      <c r="AA531" s="83" t="s">
        <v>1928</v>
      </c>
      <c r="AB531" s="104" t="str">
        <f>IFERROR(VLOOKUP(Anexo_4[[#This Row],[cuenta]],OP,2,0),"-")</f>
        <v>Materias Primas - RRSS</v>
      </c>
    </row>
    <row r="532" spans="1:28" s="84" customFormat="1" ht="27" customHeight="1" x14ac:dyDescent="0.3">
      <c r="A532" s="75" t="s">
        <v>1916</v>
      </c>
      <c r="B532" s="36" t="str">
        <f t="shared" si="8"/>
        <v>Julio</v>
      </c>
      <c r="C532" s="77" t="s">
        <v>162</v>
      </c>
      <c r="D532" s="77" t="s">
        <v>1930</v>
      </c>
      <c r="E53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532" s="79" t="s">
        <v>248</v>
      </c>
      <c r="G532" s="79" t="s">
        <v>249</v>
      </c>
      <c r="H532" s="140" t="s">
        <v>1931</v>
      </c>
      <c r="I532" s="77" t="s">
        <v>536</v>
      </c>
      <c r="J532" s="144" t="s">
        <v>537</v>
      </c>
      <c r="K532" s="77" t="s">
        <v>169</v>
      </c>
      <c r="L532" s="103" t="str">
        <f>VLOOKUP(Anexo_4[[#This Row],[cod_doc]],TIPODOC,2,FALSE)</f>
        <v>FACTURA</v>
      </c>
      <c r="M532" s="77" t="s">
        <v>538</v>
      </c>
      <c r="N532" s="79">
        <v>6556</v>
      </c>
      <c r="O532" s="80">
        <v>5.4</v>
      </c>
      <c r="P532" s="81"/>
      <c r="Q532" s="81">
        <v>0.97199999999999998</v>
      </c>
      <c r="R532" s="80"/>
      <c r="S532" s="80">
        <v>0</v>
      </c>
      <c r="T532" s="82">
        <v>6.37</v>
      </c>
      <c r="U532" s="77" t="s">
        <v>1932</v>
      </c>
      <c r="V532" s="75" t="s">
        <v>1920</v>
      </c>
      <c r="W532" s="77"/>
      <c r="X532" s="77"/>
      <c r="Y532" s="77"/>
      <c r="Z532" s="77" t="s">
        <v>256</v>
      </c>
      <c r="AA532" s="83" t="s">
        <v>1931</v>
      </c>
      <c r="AB532" s="104" t="str">
        <f>IFERROR(VLOOKUP(Anexo_4[[#This Row],[cuenta]],OP,2,0),"-")</f>
        <v>Materias Primas - RRSS</v>
      </c>
    </row>
    <row r="533" spans="1:28" s="84" customFormat="1" ht="27" customHeight="1" x14ac:dyDescent="0.3">
      <c r="A533" s="75" t="s">
        <v>1916</v>
      </c>
      <c r="B533" s="36" t="str">
        <f t="shared" si="8"/>
        <v>Julio</v>
      </c>
      <c r="C533" s="77" t="s">
        <v>162</v>
      </c>
      <c r="D533" s="77" t="s">
        <v>1933</v>
      </c>
      <c r="E533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533" s="79" t="s">
        <v>248</v>
      </c>
      <c r="G533" s="79" t="s">
        <v>249</v>
      </c>
      <c r="H533" s="140" t="s">
        <v>1934</v>
      </c>
      <c r="I533" s="77" t="s">
        <v>536</v>
      </c>
      <c r="J533" s="144" t="s">
        <v>537</v>
      </c>
      <c r="K533" s="77" t="s">
        <v>169</v>
      </c>
      <c r="L533" s="103" t="str">
        <f>VLOOKUP(Anexo_4[[#This Row],[cod_doc]],TIPODOC,2,FALSE)</f>
        <v>FACTURA</v>
      </c>
      <c r="M533" s="77" t="s">
        <v>538</v>
      </c>
      <c r="N533" s="79">
        <v>6558</v>
      </c>
      <c r="O533" s="80">
        <v>384</v>
      </c>
      <c r="P533" s="81"/>
      <c r="Q533" s="81">
        <v>69.12</v>
      </c>
      <c r="R533" s="80"/>
      <c r="S533" s="80">
        <v>0</v>
      </c>
      <c r="T533" s="82">
        <v>453.12</v>
      </c>
      <c r="U533" s="77" t="s">
        <v>1935</v>
      </c>
      <c r="V533" s="75" t="s">
        <v>1920</v>
      </c>
      <c r="W533" s="77"/>
      <c r="X533" s="77"/>
      <c r="Y533" s="77"/>
      <c r="Z533" s="77" t="s">
        <v>256</v>
      </c>
      <c r="AA533" s="83" t="s">
        <v>1934</v>
      </c>
      <c r="AB533" s="104" t="str">
        <f>IFERROR(VLOOKUP(Anexo_4[[#This Row],[cuenta]],OP,2,0),"-")</f>
        <v>Materias Primas - RRSS</v>
      </c>
    </row>
    <row r="534" spans="1:28" s="84" customFormat="1" ht="27" customHeight="1" x14ac:dyDescent="0.3">
      <c r="A534" s="75" t="s">
        <v>1190</v>
      </c>
      <c r="B534" s="36" t="str">
        <f t="shared" si="8"/>
        <v>Julio</v>
      </c>
      <c r="C534" s="77" t="s">
        <v>162</v>
      </c>
      <c r="D534" s="77" t="s">
        <v>1936</v>
      </c>
      <c r="E534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534" s="79"/>
      <c r="G534" s="79"/>
      <c r="H534" s="140"/>
      <c r="I534" s="77" t="s">
        <v>1937</v>
      </c>
      <c r="J534" s="144" t="s">
        <v>1938</v>
      </c>
      <c r="K534" s="77" t="s">
        <v>239</v>
      </c>
      <c r="L534" s="103" t="str">
        <f>VLOOKUP(Anexo_4[[#This Row],[cod_doc]],TIPODOC,2,FALSE)</f>
        <v>BOLETA DE VENTA</v>
      </c>
      <c r="M534" s="77" t="s">
        <v>162</v>
      </c>
      <c r="N534" s="79" t="s">
        <v>1939</v>
      </c>
      <c r="O534" s="80"/>
      <c r="P534" s="81"/>
      <c r="Q534" s="81">
        <v>0</v>
      </c>
      <c r="R534" s="80"/>
      <c r="S534" s="80">
        <v>14</v>
      </c>
      <c r="T534" s="82">
        <v>14</v>
      </c>
      <c r="U534" s="77"/>
      <c r="V534" s="75"/>
      <c r="W534" s="77"/>
      <c r="X534" s="77"/>
      <c r="Y534" s="77"/>
      <c r="Z534" s="77"/>
      <c r="AA534" s="83"/>
      <c r="AB534" s="104" t="str">
        <f>IFERROR(VLOOKUP(Anexo_4[[#This Row],[cuenta]],OP,2,0),"-")</f>
        <v>-</v>
      </c>
    </row>
    <row r="535" spans="1:28" s="84" customFormat="1" ht="27" customHeight="1" x14ac:dyDescent="0.3">
      <c r="A535" s="75" t="s">
        <v>993</v>
      </c>
      <c r="B535" s="36" t="str">
        <f t="shared" si="8"/>
        <v>Julio</v>
      </c>
      <c r="C535" s="77" t="s">
        <v>162</v>
      </c>
      <c r="D535" s="77" t="s">
        <v>1940</v>
      </c>
      <c r="E535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535" s="79"/>
      <c r="G535" s="79"/>
      <c r="H535" s="140"/>
      <c r="I535" s="77" t="s">
        <v>1069</v>
      </c>
      <c r="J535" s="144" t="s">
        <v>1070</v>
      </c>
      <c r="K535" s="77" t="s">
        <v>169</v>
      </c>
      <c r="L535" s="103" t="str">
        <f>VLOOKUP(Anexo_4[[#This Row],[cod_doc]],TIPODOC,2,FALSE)</f>
        <v>FACTURA</v>
      </c>
      <c r="M535" s="77" t="s">
        <v>102</v>
      </c>
      <c r="N535" s="79" t="s">
        <v>1941</v>
      </c>
      <c r="O535" s="80">
        <v>167.37</v>
      </c>
      <c r="P535" s="81"/>
      <c r="Q535" s="81">
        <v>30.13</v>
      </c>
      <c r="R535" s="80"/>
      <c r="S535" s="80">
        <v>0</v>
      </c>
      <c r="T535" s="82">
        <v>197.5</v>
      </c>
      <c r="U535" s="77"/>
      <c r="V535" s="75"/>
      <c r="W535" s="77"/>
      <c r="X535" s="77"/>
      <c r="Y535" s="77"/>
      <c r="Z535" s="77"/>
      <c r="AA535" s="83"/>
      <c r="AB535" s="104" t="str">
        <f>IFERROR(VLOOKUP(Anexo_4[[#This Row],[cuenta]],OP,2,0),"-")</f>
        <v>-</v>
      </c>
    </row>
    <row r="536" spans="1:28" s="84" customFormat="1" ht="27" customHeight="1" x14ac:dyDescent="0.3">
      <c r="A536" s="75" t="s">
        <v>857</v>
      </c>
      <c r="B536" s="36" t="str">
        <f t="shared" si="8"/>
        <v>Julio</v>
      </c>
      <c r="C536" s="77" t="s">
        <v>162</v>
      </c>
      <c r="D536" s="77" t="s">
        <v>1942</v>
      </c>
      <c r="E536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536" s="79"/>
      <c r="G536" s="79"/>
      <c r="H536" s="140"/>
      <c r="I536" s="77" t="s">
        <v>1943</v>
      </c>
      <c r="J536" s="144" t="s">
        <v>1944</v>
      </c>
      <c r="K536" s="77" t="s">
        <v>169</v>
      </c>
      <c r="L536" s="103" t="str">
        <f>VLOOKUP(Anexo_4[[#This Row],[cod_doc]],TIPODOC,2,FALSE)</f>
        <v>FACTURA</v>
      </c>
      <c r="M536" s="77" t="s">
        <v>102</v>
      </c>
      <c r="N536" s="79" t="s">
        <v>1945</v>
      </c>
      <c r="O536" s="80">
        <v>50.8</v>
      </c>
      <c r="P536" s="81"/>
      <c r="Q536" s="81">
        <v>9.14</v>
      </c>
      <c r="R536" s="80"/>
      <c r="S536" s="80">
        <v>0</v>
      </c>
      <c r="T536" s="82">
        <v>59.94</v>
      </c>
      <c r="U536" s="77"/>
      <c r="V536" s="75"/>
      <c r="W536" s="77"/>
      <c r="X536" s="77"/>
      <c r="Y536" s="77"/>
      <c r="Z536" s="77"/>
      <c r="AA536" s="83"/>
      <c r="AB536" s="104" t="str">
        <f>IFERROR(VLOOKUP(Anexo_4[[#This Row],[cuenta]],OP,2,0),"-")</f>
        <v>-</v>
      </c>
    </row>
    <row r="537" spans="1:28" s="84" customFormat="1" ht="27" customHeight="1" x14ac:dyDescent="0.3">
      <c r="A537" s="75" t="s">
        <v>857</v>
      </c>
      <c r="B537" s="36" t="str">
        <f t="shared" si="8"/>
        <v>Julio</v>
      </c>
      <c r="C537" s="77" t="s">
        <v>162</v>
      </c>
      <c r="D537" s="77" t="s">
        <v>1946</v>
      </c>
      <c r="E537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537" s="79"/>
      <c r="G537" s="79"/>
      <c r="H537" s="140"/>
      <c r="I537" s="77" t="s">
        <v>1947</v>
      </c>
      <c r="J537" s="144" t="s">
        <v>1948</v>
      </c>
      <c r="K537" s="77" t="s">
        <v>169</v>
      </c>
      <c r="L537" s="103" t="str">
        <f>VLOOKUP(Anexo_4[[#This Row],[cod_doc]],TIPODOC,2,FALSE)</f>
        <v>FACTURA</v>
      </c>
      <c r="M537" s="77" t="s">
        <v>102</v>
      </c>
      <c r="N537" s="79" t="s">
        <v>1949</v>
      </c>
      <c r="O537" s="80">
        <v>118.64</v>
      </c>
      <c r="P537" s="81"/>
      <c r="Q537" s="81">
        <v>21.36</v>
      </c>
      <c r="R537" s="80"/>
      <c r="S537" s="80">
        <v>0</v>
      </c>
      <c r="T537" s="82">
        <v>140</v>
      </c>
      <c r="U537" s="77"/>
      <c r="V537" s="75"/>
      <c r="W537" s="77"/>
      <c r="X537" s="77"/>
      <c r="Y537" s="77"/>
      <c r="Z537" s="77"/>
      <c r="AA537" s="83"/>
      <c r="AB537" s="104" t="str">
        <f>IFERROR(VLOOKUP(Anexo_4[[#This Row],[cuenta]],OP,2,0),"-")</f>
        <v>-</v>
      </c>
    </row>
    <row r="538" spans="1:28" s="84" customFormat="1" ht="27" customHeight="1" x14ac:dyDescent="0.3">
      <c r="A538" s="75" t="s">
        <v>857</v>
      </c>
      <c r="B538" s="36" t="str">
        <f t="shared" si="8"/>
        <v>Julio</v>
      </c>
      <c r="C538" s="77" t="s">
        <v>162</v>
      </c>
      <c r="D538" s="77" t="s">
        <v>1950</v>
      </c>
      <c r="E538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538" s="79"/>
      <c r="G538" s="79"/>
      <c r="H538" s="140"/>
      <c r="I538" s="77" t="s">
        <v>1951</v>
      </c>
      <c r="J538" s="144" t="s">
        <v>1952</v>
      </c>
      <c r="K538" s="77" t="s">
        <v>169</v>
      </c>
      <c r="L538" s="103" t="str">
        <f>VLOOKUP(Anexo_4[[#This Row],[cod_doc]],TIPODOC,2,FALSE)</f>
        <v>FACTURA</v>
      </c>
      <c r="M538" s="77" t="s">
        <v>222</v>
      </c>
      <c r="N538" s="79" t="s">
        <v>1953</v>
      </c>
      <c r="O538" s="80">
        <v>28.81</v>
      </c>
      <c r="P538" s="81"/>
      <c r="Q538" s="81">
        <v>5.19</v>
      </c>
      <c r="R538" s="80"/>
      <c r="S538" s="80">
        <v>0</v>
      </c>
      <c r="T538" s="82">
        <v>34</v>
      </c>
      <c r="U538" s="77"/>
      <c r="V538" s="75"/>
      <c r="W538" s="77"/>
      <c r="X538" s="77"/>
      <c r="Y538" s="77"/>
      <c r="Z538" s="77"/>
      <c r="AA538" s="83"/>
      <c r="AB538" s="104" t="str">
        <f>IFERROR(VLOOKUP(Anexo_4[[#This Row],[cuenta]],OP,2,0),"-")</f>
        <v>-</v>
      </c>
    </row>
    <row r="539" spans="1:28" s="84" customFormat="1" ht="27" customHeight="1" x14ac:dyDescent="0.3">
      <c r="A539" s="75" t="s">
        <v>966</v>
      </c>
      <c r="B539" s="36" t="str">
        <f t="shared" si="8"/>
        <v>Julio</v>
      </c>
      <c r="C539" s="77" t="s">
        <v>162</v>
      </c>
      <c r="D539" s="77" t="s">
        <v>1954</v>
      </c>
      <c r="E539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539" s="79"/>
      <c r="G539" s="79"/>
      <c r="H539" s="140"/>
      <c r="I539" s="77" t="s">
        <v>383</v>
      </c>
      <c r="J539" s="144" t="s">
        <v>384</v>
      </c>
      <c r="K539" s="77" t="s">
        <v>169</v>
      </c>
      <c r="L539" s="103" t="str">
        <f>VLOOKUP(Anexo_4[[#This Row],[cod_doc]],TIPODOC,2,FALSE)</f>
        <v>FACTURA</v>
      </c>
      <c r="M539" s="77" t="s">
        <v>103</v>
      </c>
      <c r="N539" s="79" t="s">
        <v>1955</v>
      </c>
      <c r="O539" s="80">
        <v>16.95</v>
      </c>
      <c r="P539" s="81"/>
      <c r="Q539" s="81">
        <v>3.05</v>
      </c>
      <c r="R539" s="80"/>
      <c r="S539" s="80">
        <v>0</v>
      </c>
      <c r="T539" s="82">
        <v>20</v>
      </c>
      <c r="U539" s="77"/>
      <c r="V539" s="75"/>
      <c r="W539" s="77"/>
      <c r="X539" s="77"/>
      <c r="Y539" s="77"/>
      <c r="Z539" s="77"/>
      <c r="AA539" s="83"/>
      <c r="AB539" s="104" t="str">
        <f>IFERROR(VLOOKUP(Anexo_4[[#This Row],[cuenta]],OP,2,0),"-")</f>
        <v>-</v>
      </c>
    </row>
    <row r="540" spans="1:28" s="84" customFormat="1" ht="27" customHeight="1" x14ac:dyDescent="0.3">
      <c r="A540" s="75" t="s">
        <v>533</v>
      </c>
      <c r="B540" s="36" t="str">
        <f t="shared" si="8"/>
        <v>Julio</v>
      </c>
      <c r="C540" s="77" t="s">
        <v>162</v>
      </c>
      <c r="D540" s="77" t="s">
        <v>1956</v>
      </c>
      <c r="E540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540" s="79"/>
      <c r="G540" s="79"/>
      <c r="H540" s="140"/>
      <c r="I540" s="77" t="s">
        <v>1957</v>
      </c>
      <c r="J540" s="144" t="s">
        <v>1958</v>
      </c>
      <c r="K540" s="77" t="s">
        <v>169</v>
      </c>
      <c r="L540" s="103" t="str">
        <f>VLOOKUP(Anexo_4[[#This Row],[cod_doc]],TIPODOC,2,FALSE)</f>
        <v>FACTURA</v>
      </c>
      <c r="M540" s="77" t="s">
        <v>1959</v>
      </c>
      <c r="N540" s="79" t="s">
        <v>1960</v>
      </c>
      <c r="O540" s="80">
        <v>101.27</v>
      </c>
      <c r="P540" s="81"/>
      <c r="Q540" s="81">
        <v>18.23</v>
      </c>
      <c r="R540" s="80"/>
      <c r="S540" s="80">
        <v>0</v>
      </c>
      <c r="T540" s="82">
        <v>119.5</v>
      </c>
      <c r="U540" s="77"/>
      <c r="V540" s="75"/>
      <c r="W540" s="77"/>
      <c r="X540" s="77"/>
      <c r="Y540" s="77"/>
      <c r="Z540" s="77"/>
      <c r="AA540" s="83"/>
      <c r="AB540" s="104" t="str">
        <f>IFERROR(VLOOKUP(Anexo_4[[#This Row],[cuenta]],OP,2,0),"-")</f>
        <v>-</v>
      </c>
    </row>
    <row r="541" spans="1:28" s="84" customFormat="1" ht="27" customHeight="1" x14ac:dyDescent="0.3">
      <c r="A541" s="75" t="s">
        <v>996</v>
      </c>
      <c r="B541" s="36" t="str">
        <f t="shared" si="8"/>
        <v>Julio</v>
      </c>
      <c r="C541" s="77" t="s">
        <v>162</v>
      </c>
      <c r="D541" s="77" t="s">
        <v>1961</v>
      </c>
      <c r="E541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541" s="79"/>
      <c r="G541" s="79"/>
      <c r="H541" s="140"/>
      <c r="I541" s="77" t="s">
        <v>193</v>
      </c>
      <c r="J541" s="144" t="s">
        <v>194</v>
      </c>
      <c r="K541" s="77" t="s">
        <v>169</v>
      </c>
      <c r="L541" s="103" t="str">
        <f>VLOOKUP(Anexo_4[[#This Row],[cod_doc]],TIPODOC,2,FALSE)</f>
        <v>FACTURA</v>
      </c>
      <c r="M541" s="77" t="s">
        <v>195</v>
      </c>
      <c r="N541" s="79" t="s">
        <v>1962</v>
      </c>
      <c r="O541" s="80">
        <v>18.64</v>
      </c>
      <c r="P541" s="81"/>
      <c r="Q541" s="81">
        <v>3.36</v>
      </c>
      <c r="R541" s="80"/>
      <c r="S541" s="80">
        <v>0</v>
      </c>
      <c r="T541" s="82">
        <v>22</v>
      </c>
      <c r="U541" s="77"/>
      <c r="V541" s="75"/>
      <c r="W541" s="77"/>
      <c r="X541" s="77"/>
      <c r="Y541" s="77"/>
      <c r="Z541" s="77"/>
      <c r="AA541" s="83"/>
      <c r="AB541" s="104" t="str">
        <f>IFERROR(VLOOKUP(Anexo_4[[#This Row],[cuenta]],OP,2,0),"-")</f>
        <v>-</v>
      </c>
    </row>
    <row r="542" spans="1:28" s="84" customFormat="1" ht="27" customHeight="1" x14ac:dyDescent="0.3">
      <c r="A542" s="75" t="s">
        <v>685</v>
      </c>
      <c r="B542" s="36" t="str">
        <f t="shared" si="8"/>
        <v>Julio</v>
      </c>
      <c r="C542" s="77" t="s">
        <v>162</v>
      </c>
      <c r="D542" s="77" t="s">
        <v>1963</v>
      </c>
      <c r="E542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542" s="79"/>
      <c r="G542" s="79"/>
      <c r="H542" s="140"/>
      <c r="I542" s="77" t="s">
        <v>1964</v>
      </c>
      <c r="J542" s="144" t="s">
        <v>1965</v>
      </c>
      <c r="K542" s="77" t="s">
        <v>169</v>
      </c>
      <c r="L542" s="103" t="str">
        <f>VLOOKUP(Anexo_4[[#This Row],[cod_doc]],TIPODOC,2,FALSE)</f>
        <v>FACTURA</v>
      </c>
      <c r="M542" s="77" t="s">
        <v>102</v>
      </c>
      <c r="N542" s="79" t="s">
        <v>1966</v>
      </c>
      <c r="O542" s="80">
        <v>36.44</v>
      </c>
      <c r="P542" s="81"/>
      <c r="Q542" s="81">
        <v>6.56</v>
      </c>
      <c r="R542" s="80"/>
      <c r="S542" s="80">
        <v>0</v>
      </c>
      <c r="T542" s="82">
        <v>43</v>
      </c>
      <c r="U542" s="77"/>
      <c r="V542" s="75"/>
      <c r="W542" s="77"/>
      <c r="X542" s="77"/>
      <c r="Y542" s="77"/>
      <c r="Z542" s="77"/>
      <c r="AA542" s="83"/>
      <c r="AB542" s="104" t="str">
        <f>IFERROR(VLOOKUP(Anexo_4[[#This Row],[cuenta]],OP,2,0),"-")</f>
        <v>-</v>
      </c>
    </row>
    <row r="543" spans="1:28" s="84" customFormat="1" ht="27" customHeight="1" x14ac:dyDescent="0.3">
      <c r="A543" s="75" t="s">
        <v>1378</v>
      </c>
      <c r="B543" s="36" t="str">
        <f t="shared" si="8"/>
        <v>Julio</v>
      </c>
      <c r="C543" s="77" t="s">
        <v>162</v>
      </c>
      <c r="D543" s="77" t="s">
        <v>1967</v>
      </c>
      <c r="E543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543" s="79"/>
      <c r="G543" s="79"/>
      <c r="H543" s="140"/>
      <c r="I543" s="77" t="s">
        <v>1968</v>
      </c>
      <c r="J543" s="144" t="s">
        <v>1969</v>
      </c>
      <c r="K543" s="77" t="s">
        <v>169</v>
      </c>
      <c r="L543" s="103" t="str">
        <f>VLOOKUP(Anexo_4[[#This Row],[cod_doc]],TIPODOC,2,FALSE)</f>
        <v>FACTURA</v>
      </c>
      <c r="M543" s="77" t="s">
        <v>1970</v>
      </c>
      <c r="N543" s="79" t="s">
        <v>1971</v>
      </c>
      <c r="O543" s="80">
        <v>64.17</v>
      </c>
      <c r="P543" s="81"/>
      <c r="Q543" s="81">
        <v>11.55</v>
      </c>
      <c r="R543" s="80"/>
      <c r="S543" s="80">
        <v>0</v>
      </c>
      <c r="T543" s="82">
        <v>75.72</v>
      </c>
      <c r="U543" s="77"/>
      <c r="V543" s="75"/>
      <c r="W543" s="77"/>
      <c r="X543" s="77"/>
      <c r="Y543" s="77"/>
      <c r="Z543" s="77"/>
      <c r="AA543" s="83"/>
      <c r="AB543" s="104" t="str">
        <f>IFERROR(VLOOKUP(Anexo_4[[#This Row],[cuenta]],OP,2,0),"-")</f>
        <v>-</v>
      </c>
    </row>
    <row r="544" spans="1:28" s="84" customFormat="1" ht="27" customHeight="1" x14ac:dyDescent="0.3">
      <c r="A544" s="75" t="s">
        <v>857</v>
      </c>
      <c r="B544" s="36" t="str">
        <f t="shared" si="8"/>
        <v>Julio</v>
      </c>
      <c r="C544" s="77" t="s">
        <v>162</v>
      </c>
      <c r="D544" s="77" t="s">
        <v>1972</v>
      </c>
      <c r="E544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544" s="79"/>
      <c r="G544" s="79"/>
      <c r="H544" s="140"/>
      <c r="I544" s="77" t="s">
        <v>1973</v>
      </c>
      <c r="J544" s="144" t="s">
        <v>1974</v>
      </c>
      <c r="K544" s="77" t="s">
        <v>239</v>
      </c>
      <c r="L544" s="103" t="str">
        <f>VLOOKUP(Anexo_4[[#This Row],[cod_doc]],TIPODOC,2,FALSE)</f>
        <v>BOLETA DE VENTA</v>
      </c>
      <c r="M544" s="77" t="s">
        <v>162</v>
      </c>
      <c r="N544" s="79" t="s">
        <v>1975</v>
      </c>
      <c r="O544" s="80">
        <v>0</v>
      </c>
      <c r="P544" s="81"/>
      <c r="Q544" s="81">
        <v>0</v>
      </c>
      <c r="R544" s="80"/>
      <c r="S544" s="80">
        <v>230</v>
      </c>
      <c r="T544" s="82">
        <v>230</v>
      </c>
      <c r="U544" s="77"/>
      <c r="V544" s="75"/>
      <c r="W544" s="77"/>
      <c r="X544" s="77"/>
      <c r="Y544" s="77"/>
      <c r="Z544" s="77"/>
      <c r="AA544" s="83"/>
      <c r="AB544" s="104" t="str">
        <f>IFERROR(VLOOKUP(Anexo_4[[#This Row],[cuenta]],OP,2,0),"-")</f>
        <v>-</v>
      </c>
    </row>
    <row r="545" spans="1:28" s="84" customFormat="1" ht="27" customHeight="1" x14ac:dyDescent="0.3">
      <c r="A545" s="75" t="s">
        <v>966</v>
      </c>
      <c r="B545" s="36" t="str">
        <f t="shared" si="8"/>
        <v>Julio</v>
      </c>
      <c r="C545" s="77" t="s">
        <v>162</v>
      </c>
      <c r="D545" s="77" t="s">
        <v>1976</v>
      </c>
      <c r="E545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545" s="79"/>
      <c r="G545" s="79"/>
      <c r="H545" s="140"/>
      <c r="I545" s="77" t="s">
        <v>464</v>
      </c>
      <c r="J545" s="144" t="s">
        <v>465</v>
      </c>
      <c r="K545" s="77" t="s">
        <v>169</v>
      </c>
      <c r="L545" s="103" t="str">
        <f>VLOOKUP(Anexo_4[[#This Row],[cod_doc]],TIPODOC,2,FALSE)</f>
        <v>FACTURA</v>
      </c>
      <c r="M545" s="77" t="s">
        <v>102</v>
      </c>
      <c r="N545" s="79" t="s">
        <v>1977</v>
      </c>
      <c r="O545" s="80">
        <v>400</v>
      </c>
      <c r="P545" s="81"/>
      <c r="Q545" s="81">
        <v>72</v>
      </c>
      <c r="R545" s="80"/>
      <c r="S545" s="80">
        <v>0</v>
      </c>
      <c r="T545" s="82">
        <v>472</v>
      </c>
      <c r="U545" s="77" t="s">
        <v>1978</v>
      </c>
      <c r="V545" s="75" t="s">
        <v>1627</v>
      </c>
      <c r="W545" s="77"/>
      <c r="X545" s="77"/>
      <c r="Y545" s="77"/>
      <c r="Z545" s="77"/>
      <c r="AA545" s="83"/>
      <c r="AB545" s="104" t="str">
        <f>IFERROR(VLOOKUP(Anexo_4[[#This Row],[cuenta]],OP,2,0),"-")</f>
        <v>-</v>
      </c>
    </row>
    <row r="546" spans="1:28" s="84" customFormat="1" ht="27" customHeight="1" x14ac:dyDescent="0.3">
      <c r="A546" s="75" t="s">
        <v>966</v>
      </c>
      <c r="B546" s="36" t="str">
        <f t="shared" si="8"/>
        <v>Julio</v>
      </c>
      <c r="C546" s="77" t="s">
        <v>162</v>
      </c>
      <c r="D546" s="77" t="s">
        <v>1979</v>
      </c>
      <c r="E546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546" s="79"/>
      <c r="G546" s="79"/>
      <c r="H546" s="140"/>
      <c r="I546" s="77" t="s">
        <v>899</v>
      </c>
      <c r="J546" s="144" t="s">
        <v>900</v>
      </c>
      <c r="K546" s="77" t="s">
        <v>169</v>
      </c>
      <c r="L546" s="103" t="str">
        <f>VLOOKUP(Anexo_4[[#This Row],[cod_doc]],TIPODOC,2,FALSE)</f>
        <v>FACTURA</v>
      </c>
      <c r="M546" s="77" t="s">
        <v>102</v>
      </c>
      <c r="N546" s="79" t="s">
        <v>1980</v>
      </c>
      <c r="O546" s="80">
        <v>110.17</v>
      </c>
      <c r="P546" s="81"/>
      <c r="Q546" s="81">
        <v>19.829999999999998</v>
      </c>
      <c r="R546" s="80"/>
      <c r="S546" s="80">
        <v>0</v>
      </c>
      <c r="T546" s="82">
        <v>130</v>
      </c>
      <c r="U546" s="77"/>
      <c r="V546" s="75"/>
      <c r="W546" s="77"/>
      <c r="X546" s="77"/>
      <c r="Y546" s="77"/>
      <c r="Z546" s="77"/>
      <c r="AA546" s="83"/>
      <c r="AB546" s="104" t="str">
        <f>IFERROR(VLOOKUP(Anexo_4[[#This Row],[cuenta]],OP,2,0),"-")</f>
        <v>-</v>
      </c>
    </row>
    <row r="547" spans="1:28" s="84" customFormat="1" ht="27" customHeight="1" x14ac:dyDescent="0.3">
      <c r="A547" s="75" t="s">
        <v>215</v>
      </c>
      <c r="B547" s="36" t="str">
        <f t="shared" si="8"/>
        <v>Julio</v>
      </c>
      <c r="C547" s="77" t="s">
        <v>162</v>
      </c>
      <c r="D547" s="77" t="s">
        <v>1981</v>
      </c>
      <c r="E547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547" s="79"/>
      <c r="G547" s="79"/>
      <c r="H547" s="140"/>
      <c r="I547" s="77" t="s">
        <v>899</v>
      </c>
      <c r="J547" s="144" t="s">
        <v>900</v>
      </c>
      <c r="K547" s="77" t="s">
        <v>169</v>
      </c>
      <c r="L547" s="103" t="str">
        <f>VLOOKUP(Anexo_4[[#This Row],[cod_doc]],TIPODOC,2,FALSE)</f>
        <v>FACTURA</v>
      </c>
      <c r="M547" s="77" t="s">
        <v>102</v>
      </c>
      <c r="N547" s="79" t="s">
        <v>1982</v>
      </c>
      <c r="O547" s="80">
        <v>84.75</v>
      </c>
      <c r="P547" s="81"/>
      <c r="Q547" s="81">
        <v>15.25</v>
      </c>
      <c r="R547" s="80"/>
      <c r="S547" s="80">
        <v>0</v>
      </c>
      <c r="T547" s="82">
        <v>100</v>
      </c>
      <c r="U547" s="77"/>
      <c r="V547" s="75"/>
      <c r="W547" s="77"/>
      <c r="X547" s="77"/>
      <c r="Y547" s="77"/>
      <c r="Z547" s="77"/>
      <c r="AA547" s="83"/>
      <c r="AB547" s="104" t="str">
        <f>IFERROR(VLOOKUP(Anexo_4[[#This Row],[cuenta]],OP,2,0),"-")</f>
        <v>-</v>
      </c>
    </row>
    <row r="548" spans="1:28" s="84" customFormat="1" ht="27" customHeight="1" x14ac:dyDescent="0.3">
      <c r="A548" s="75" t="s">
        <v>467</v>
      </c>
      <c r="B548" s="36" t="str">
        <f t="shared" si="8"/>
        <v>Julio</v>
      </c>
      <c r="C548" s="77" t="s">
        <v>162</v>
      </c>
      <c r="D548" s="77" t="s">
        <v>1983</v>
      </c>
      <c r="E548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548" s="79"/>
      <c r="G548" s="79"/>
      <c r="H548" s="140"/>
      <c r="I548" s="77" t="s">
        <v>383</v>
      </c>
      <c r="J548" s="144" t="s">
        <v>384</v>
      </c>
      <c r="K548" s="77" t="s">
        <v>169</v>
      </c>
      <c r="L548" s="103" t="str">
        <f>VLOOKUP(Anexo_4[[#This Row],[cod_doc]],TIPODOC,2,FALSE)</f>
        <v>FACTURA</v>
      </c>
      <c r="M548" s="77" t="s">
        <v>103</v>
      </c>
      <c r="N548" s="79" t="s">
        <v>1984</v>
      </c>
      <c r="O548" s="80">
        <v>16.95</v>
      </c>
      <c r="P548" s="81"/>
      <c r="Q548" s="81">
        <v>3.05</v>
      </c>
      <c r="R548" s="80"/>
      <c r="S548" s="80">
        <v>0</v>
      </c>
      <c r="T548" s="82">
        <v>20</v>
      </c>
      <c r="U548" s="77"/>
      <c r="V548" s="75"/>
      <c r="W548" s="77"/>
      <c r="X548" s="77"/>
      <c r="Y548" s="77"/>
      <c r="Z548" s="77"/>
      <c r="AA548" s="83"/>
      <c r="AB548" s="104" t="str">
        <f>IFERROR(VLOOKUP(Anexo_4[[#This Row],[cuenta]],OP,2,0),"-")</f>
        <v>-</v>
      </c>
    </row>
    <row r="549" spans="1:28" s="84" customFormat="1" ht="27" customHeight="1" x14ac:dyDescent="0.3">
      <c r="A549" s="75" t="s">
        <v>316</v>
      </c>
      <c r="B549" s="36" t="str">
        <f t="shared" si="8"/>
        <v>Julio</v>
      </c>
      <c r="C549" s="77" t="s">
        <v>162</v>
      </c>
      <c r="D549" s="77" t="s">
        <v>1985</v>
      </c>
      <c r="E549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549" s="79"/>
      <c r="G549" s="79"/>
      <c r="H549" s="140"/>
      <c r="I549" s="77" t="s">
        <v>886</v>
      </c>
      <c r="J549" s="144" t="s">
        <v>887</v>
      </c>
      <c r="K549" s="77" t="s">
        <v>169</v>
      </c>
      <c r="L549" s="103" t="str">
        <f>VLOOKUP(Anexo_4[[#This Row],[cod_doc]],TIPODOC,2,FALSE)</f>
        <v>FACTURA</v>
      </c>
      <c r="M549" s="77" t="s">
        <v>343</v>
      </c>
      <c r="N549" s="79" t="s">
        <v>1986</v>
      </c>
      <c r="O549" s="80">
        <v>225.56</v>
      </c>
      <c r="P549" s="81"/>
      <c r="Q549" s="81">
        <v>40.6</v>
      </c>
      <c r="R549" s="80"/>
      <c r="S549" s="80">
        <v>0</v>
      </c>
      <c r="T549" s="82">
        <v>266.16000000000003</v>
      </c>
      <c r="U549" s="77"/>
      <c r="V549" s="75"/>
      <c r="W549" s="77"/>
      <c r="X549" s="77"/>
      <c r="Y549" s="77"/>
      <c r="Z549" s="77"/>
      <c r="AA549" s="83"/>
      <c r="AB549" s="104" t="str">
        <f>IFERROR(VLOOKUP(Anexo_4[[#This Row],[cuenta]],OP,2,0),"-")</f>
        <v>-</v>
      </c>
    </row>
    <row r="550" spans="1:28" s="84" customFormat="1" ht="27" customHeight="1" x14ac:dyDescent="0.3">
      <c r="A550" s="75" t="s">
        <v>913</v>
      </c>
      <c r="B550" s="36" t="str">
        <f t="shared" si="8"/>
        <v>Julio</v>
      </c>
      <c r="C550" s="77" t="s">
        <v>162</v>
      </c>
      <c r="D550" s="77" t="s">
        <v>1987</v>
      </c>
      <c r="E550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550" s="79"/>
      <c r="G550" s="79"/>
      <c r="H550" s="140"/>
      <c r="I550" s="77" t="s">
        <v>886</v>
      </c>
      <c r="J550" s="144" t="s">
        <v>887</v>
      </c>
      <c r="K550" s="77" t="s">
        <v>169</v>
      </c>
      <c r="L550" s="103" t="str">
        <f>VLOOKUP(Anexo_4[[#This Row],[cod_doc]],TIPODOC,2,FALSE)</f>
        <v>FACTURA</v>
      </c>
      <c r="M550" s="77" t="s">
        <v>343</v>
      </c>
      <c r="N550" s="79" t="s">
        <v>1988</v>
      </c>
      <c r="O550" s="80">
        <v>1298.8800000000001</v>
      </c>
      <c r="P550" s="81"/>
      <c r="Q550" s="81">
        <v>233.8</v>
      </c>
      <c r="R550" s="80"/>
      <c r="S550" s="80">
        <v>0</v>
      </c>
      <c r="T550" s="82">
        <v>1532.68</v>
      </c>
      <c r="U550" s="77"/>
      <c r="V550" s="75"/>
      <c r="W550" s="77"/>
      <c r="X550" s="77"/>
      <c r="Y550" s="77"/>
      <c r="Z550" s="77"/>
      <c r="AA550" s="83"/>
      <c r="AB550" s="104" t="str">
        <f>IFERROR(VLOOKUP(Anexo_4[[#This Row],[cuenta]],OP,2,0),"-")</f>
        <v>-</v>
      </c>
    </row>
    <row r="551" spans="1:28" s="84" customFormat="1" ht="27" customHeight="1" x14ac:dyDescent="0.3">
      <c r="A551" s="75" t="s">
        <v>215</v>
      </c>
      <c r="B551" s="36" t="str">
        <f t="shared" si="8"/>
        <v>Julio</v>
      </c>
      <c r="C551" s="77" t="s">
        <v>162</v>
      </c>
      <c r="D551" s="77" t="s">
        <v>1989</v>
      </c>
      <c r="E551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551" s="79"/>
      <c r="G551" s="79"/>
      <c r="H551" s="140"/>
      <c r="I551" s="77" t="s">
        <v>886</v>
      </c>
      <c r="J551" s="144" t="s">
        <v>887</v>
      </c>
      <c r="K551" s="77" t="s">
        <v>169</v>
      </c>
      <c r="L551" s="103" t="str">
        <f>VLOOKUP(Anexo_4[[#This Row],[cod_doc]],TIPODOC,2,FALSE)</f>
        <v>FACTURA</v>
      </c>
      <c r="M551" s="77" t="s">
        <v>343</v>
      </c>
      <c r="N551" s="79" t="s">
        <v>1990</v>
      </c>
      <c r="O551" s="80">
        <v>580.5</v>
      </c>
      <c r="P551" s="81"/>
      <c r="Q551" s="81">
        <v>104.49</v>
      </c>
      <c r="R551" s="80"/>
      <c r="S551" s="80">
        <v>0</v>
      </c>
      <c r="T551" s="82">
        <v>684.99</v>
      </c>
      <c r="U551" s="77"/>
      <c r="V551" s="75"/>
      <c r="W551" s="77"/>
      <c r="X551" s="77"/>
      <c r="Y551" s="77"/>
      <c r="Z551" s="77"/>
      <c r="AA551" s="83"/>
      <c r="AB551" s="104" t="str">
        <f>IFERROR(VLOOKUP(Anexo_4[[#This Row],[cuenta]],OP,2,0),"-")</f>
        <v>-</v>
      </c>
    </row>
    <row r="552" spans="1:28" s="84" customFormat="1" ht="27" customHeight="1" x14ac:dyDescent="0.3">
      <c r="A552" s="75" t="s">
        <v>996</v>
      </c>
      <c r="B552" s="36" t="str">
        <f t="shared" si="8"/>
        <v>Julio</v>
      </c>
      <c r="C552" s="77" t="s">
        <v>162</v>
      </c>
      <c r="D552" s="77" t="s">
        <v>1991</v>
      </c>
      <c r="E552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552" s="79"/>
      <c r="G552" s="79"/>
      <c r="H552" s="140"/>
      <c r="I552" s="77" t="s">
        <v>886</v>
      </c>
      <c r="J552" s="144" t="s">
        <v>887</v>
      </c>
      <c r="K552" s="77" t="s">
        <v>169</v>
      </c>
      <c r="L552" s="103" t="str">
        <f>VLOOKUP(Anexo_4[[#This Row],[cod_doc]],TIPODOC,2,FALSE)</f>
        <v>FACTURA</v>
      </c>
      <c r="M552" s="77" t="s">
        <v>343</v>
      </c>
      <c r="N552" s="79" t="s">
        <v>1992</v>
      </c>
      <c r="O552" s="80">
        <v>451.5</v>
      </c>
      <c r="P552" s="81"/>
      <c r="Q552" s="81">
        <v>81.27</v>
      </c>
      <c r="R552" s="80"/>
      <c r="S552" s="80">
        <v>0</v>
      </c>
      <c r="T552" s="82">
        <v>532.77</v>
      </c>
      <c r="U552" s="77"/>
      <c r="V552" s="75"/>
      <c r="W552" s="77"/>
      <c r="X552" s="77"/>
      <c r="Y552" s="77"/>
      <c r="Z552" s="77"/>
      <c r="AA552" s="83"/>
      <c r="AB552" s="104" t="str">
        <f>IFERROR(VLOOKUP(Anexo_4[[#This Row],[cuenta]],OP,2,0),"-")</f>
        <v>-</v>
      </c>
    </row>
    <row r="553" spans="1:28" s="84" customFormat="1" ht="27" customHeight="1" x14ac:dyDescent="0.3">
      <c r="A553" s="75" t="s">
        <v>1993</v>
      </c>
      <c r="B553" s="36" t="str">
        <f t="shared" si="8"/>
        <v>Julio</v>
      </c>
      <c r="C553" s="77" t="s">
        <v>162</v>
      </c>
      <c r="D553" s="77" t="s">
        <v>1994</v>
      </c>
      <c r="E553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553" s="79" t="s">
        <v>355</v>
      </c>
      <c r="G553" s="79" t="s">
        <v>356</v>
      </c>
      <c r="H553" s="140" t="s">
        <v>1995</v>
      </c>
      <c r="I553" s="77" t="s">
        <v>1996</v>
      </c>
      <c r="J553" s="144" t="s">
        <v>1997</v>
      </c>
      <c r="K553" s="77" t="s">
        <v>169</v>
      </c>
      <c r="L553" s="103" t="str">
        <f>VLOOKUP(Anexo_4[[#This Row],[cod_doc]],TIPODOC,2,FALSE)</f>
        <v>FACTURA</v>
      </c>
      <c r="M553" s="77" t="s">
        <v>102</v>
      </c>
      <c r="N553" s="79">
        <v>721</v>
      </c>
      <c r="O553" s="80">
        <v>42.37</v>
      </c>
      <c r="P553" s="81"/>
      <c r="Q553" s="81">
        <v>7.6265999999999989</v>
      </c>
      <c r="R553" s="80"/>
      <c r="S553" s="80">
        <v>0</v>
      </c>
      <c r="T553" s="82">
        <v>50</v>
      </c>
      <c r="U553" s="77"/>
      <c r="V553" s="75"/>
      <c r="W553" s="77"/>
      <c r="X553" s="77"/>
      <c r="Y553" s="77"/>
      <c r="Z553" s="77" t="s">
        <v>1998</v>
      </c>
      <c r="AA553" s="83" t="s">
        <v>1995</v>
      </c>
      <c r="AB553" s="104" t="str">
        <f>IFERROR(VLOOKUP(Anexo_4[[#This Row],[cuenta]],OP,2,0),"-")</f>
        <v>Mantenimiento de Balanzas</v>
      </c>
    </row>
    <row r="554" spans="1:28" s="84" customFormat="1" ht="27" customHeight="1" x14ac:dyDescent="0.3">
      <c r="A554" s="75" t="s">
        <v>1916</v>
      </c>
      <c r="B554" s="36" t="str">
        <f t="shared" si="8"/>
        <v>Julio</v>
      </c>
      <c r="C554" s="77" t="s">
        <v>162</v>
      </c>
      <c r="D554" s="77" t="s">
        <v>1999</v>
      </c>
      <c r="E554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554" s="79" t="s">
        <v>235</v>
      </c>
      <c r="G554" s="79" t="s">
        <v>236</v>
      </c>
      <c r="H554" s="140" t="s">
        <v>2000</v>
      </c>
      <c r="I554" s="77" t="s">
        <v>264</v>
      </c>
      <c r="J554" s="144" t="s">
        <v>265</v>
      </c>
      <c r="K554" s="77" t="s">
        <v>169</v>
      </c>
      <c r="L554" s="103" t="str">
        <f>VLOOKUP(Anexo_4[[#This Row],[cod_doc]],TIPODOC,2,FALSE)</f>
        <v>FACTURA</v>
      </c>
      <c r="M554" s="77" t="s">
        <v>379</v>
      </c>
      <c r="N554" s="79">
        <v>2102684</v>
      </c>
      <c r="O554" s="80">
        <v>6.78</v>
      </c>
      <c r="P554" s="81"/>
      <c r="Q554" s="81">
        <v>1.2203999999999999</v>
      </c>
      <c r="R554" s="80"/>
      <c r="S554" s="80">
        <v>0</v>
      </c>
      <c r="T554" s="82">
        <v>8</v>
      </c>
      <c r="U554" s="77"/>
      <c r="V554" s="75"/>
      <c r="W554" s="77"/>
      <c r="X554" s="77"/>
      <c r="Y554" s="77" t="s">
        <v>2001</v>
      </c>
      <c r="Z554" s="77" t="s">
        <v>302</v>
      </c>
      <c r="AA554" s="83" t="s">
        <v>2000</v>
      </c>
      <c r="AB554" s="104" t="str">
        <f>IFERROR(VLOOKUP(Anexo_4[[#This Row],[cuenta]],OP,2,0),"-")</f>
        <v>Transporte peajes - Servicios</v>
      </c>
    </row>
    <row r="555" spans="1:28" s="84" customFormat="1" ht="27" customHeight="1" x14ac:dyDescent="0.3">
      <c r="A555" s="75" t="s">
        <v>1916</v>
      </c>
      <c r="B555" s="36" t="str">
        <f t="shared" si="8"/>
        <v>Julio</v>
      </c>
      <c r="C555" s="77" t="s">
        <v>162</v>
      </c>
      <c r="D555" s="77" t="s">
        <v>2002</v>
      </c>
      <c r="E55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555" s="79" t="s">
        <v>235</v>
      </c>
      <c r="G555" s="79" t="s">
        <v>236</v>
      </c>
      <c r="H555" s="140" t="s">
        <v>2003</v>
      </c>
      <c r="I555" s="77" t="s">
        <v>264</v>
      </c>
      <c r="J555" s="144" t="s">
        <v>265</v>
      </c>
      <c r="K555" s="77" t="s">
        <v>169</v>
      </c>
      <c r="L555" s="103" t="str">
        <f>VLOOKUP(Anexo_4[[#This Row],[cod_doc]],TIPODOC,2,FALSE)</f>
        <v>FACTURA</v>
      </c>
      <c r="M555" s="77" t="s">
        <v>271</v>
      </c>
      <c r="N555" s="79">
        <v>1776469</v>
      </c>
      <c r="O555" s="80">
        <v>6.78</v>
      </c>
      <c r="P555" s="81"/>
      <c r="Q555" s="81">
        <v>1.2203999999999999</v>
      </c>
      <c r="R555" s="80"/>
      <c r="S555" s="80">
        <v>0</v>
      </c>
      <c r="T555" s="82">
        <v>8</v>
      </c>
      <c r="U555" s="77"/>
      <c r="V555" s="75"/>
      <c r="W555" s="77"/>
      <c r="X555" s="77"/>
      <c r="Y555" s="77" t="s">
        <v>2004</v>
      </c>
      <c r="Z555" s="77" t="s">
        <v>302</v>
      </c>
      <c r="AA555" s="83" t="s">
        <v>2003</v>
      </c>
      <c r="AB555" s="104" t="str">
        <f>IFERROR(VLOOKUP(Anexo_4[[#This Row],[cuenta]],OP,2,0),"-")</f>
        <v>Transporte peajes - Servicios</v>
      </c>
    </row>
    <row r="556" spans="1:28" s="84" customFormat="1" ht="27" customHeight="1" x14ac:dyDescent="0.3">
      <c r="A556" s="75" t="s">
        <v>1916</v>
      </c>
      <c r="B556" s="36" t="str">
        <f t="shared" si="8"/>
        <v>Julio</v>
      </c>
      <c r="C556" s="77" t="s">
        <v>162</v>
      </c>
      <c r="D556" s="77" t="s">
        <v>2005</v>
      </c>
      <c r="E55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556" s="79" t="s">
        <v>235</v>
      </c>
      <c r="G556" s="79" t="s">
        <v>236</v>
      </c>
      <c r="H556" s="140" t="s">
        <v>2006</v>
      </c>
      <c r="I556" s="77" t="s">
        <v>2007</v>
      </c>
      <c r="J556" s="144" t="s">
        <v>2008</v>
      </c>
      <c r="K556" s="77" t="s">
        <v>169</v>
      </c>
      <c r="L556" s="103" t="str">
        <f>VLOOKUP(Anexo_4[[#This Row],[cod_doc]],TIPODOC,2,FALSE)</f>
        <v>FACTURA</v>
      </c>
      <c r="M556" s="77" t="s">
        <v>222</v>
      </c>
      <c r="N556" s="79">
        <v>16006</v>
      </c>
      <c r="O556" s="80">
        <v>29.66</v>
      </c>
      <c r="P556" s="81"/>
      <c r="Q556" s="81">
        <v>5.3388</v>
      </c>
      <c r="R556" s="80"/>
      <c r="S556" s="80">
        <v>0</v>
      </c>
      <c r="T556" s="82">
        <v>35</v>
      </c>
      <c r="U556" s="77"/>
      <c r="V556" s="75"/>
      <c r="W556" s="77"/>
      <c r="X556" s="77"/>
      <c r="Y556" s="77" t="s">
        <v>2009</v>
      </c>
      <c r="Z556" s="77" t="s">
        <v>507</v>
      </c>
      <c r="AA556" s="83" t="s">
        <v>2006</v>
      </c>
      <c r="AB556" s="104" t="str">
        <f>IFERROR(VLOOKUP(Anexo_4[[#This Row],[cuenta]],OP,2,0),"-")</f>
        <v>Transporte lavado (Higienización)</v>
      </c>
    </row>
    <row r="557" spans="1:28" s="84" customFormat="1" ht="27" customHeight="1" x14ac:dyDescent="0.3">
      <c r="A557" s="75" t="s">
        <v>1916</v>
      </c>
      <c r="B557" s="36" t="str">
        <f t="shared" si="8"/>
        <v>Julio</v>
      </c>
      <c r="C557" s="77" t="s">
        <v>162</v>
      </c>
      <c r="D557" s="77" t="s">
        <v>2010</v>
      </c>
      <c r="E557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557" s="79" t="s">
        <v>235</v>
      </c>
      <c r="G557" s="79" t="s">
        <v>236</v>
      </c>
      <c r="H557" s="140" t="s">
        <v>2011</v>
      </c>
      <c r="I557" s="77" t="s">
        <v>178</v>
      </c>
      <c r="J557" s="144" t="s">
        <v>179</v>
      </c>
      <c r="K557" s="77" t="s">
        <v>169</v>
      </c>
      <c r="L557" s="103" t="str">
        <f>VLOOKUP(Anexo_4[[#This Row],[cod_doc]],TIPODOC,2,FALSE)</f>
        <v>FACTURA</v>
      </c>
      <c r="M557" s="77" t="s">
        <v>180</v>
      </c>
      <c r="N557" s="79">
        <v>133767</v>
      </c>
      <c r="O557" s="80">
        <v>8.4700000000000006</v>
      </c>
      <c r="P557" s="81"/>
      <c r="Q557" s="81">
        <v>1.5246</v>
      </c>
      <c r="R557" s="80"/>
      <c r="S557" s="80">
        <v>0</v>
      </c>
      <c r="T557" s="82">
        <v>10</v>
      </c>
      <c r="U557" s="77"/>
      <c r="V557" s="75"/>
      <c r="W557" s="77"/>
      <c r="X557" s="77"/>
      <c r="Y557" s="77" t="s">
        <v>2012</v>
      </c>
      <c r="Z557" s="77" t="s">
        <v>386</v>
      </c>
      <c r="AA557" s="83" t="s">
        <v>2011</v>
      </c>
      <c r="AB557" s="104" t="str">
        <f>IFERROR(VLOOKUP(Anexo_4[[#This Row],[cuenta]],OP,2,0),"-")</f>
        <v>Balanza - Servicios</v>
      </c>
    </row>
    <row r="558" spans="1:28" s="84" customFormat="1" ht="27" customHeight="1" x14ac:dyDescent="0.3">
      <c r="A558" s="75" t="s">
        <v>2013</v>
      </c>
      <c r="B558" s="36" t="str">
        <f t="shared" si="8"/>
        <v>Julio</v>
      </c>
      <c r="C558" s="77" t="s">
        <v>162</v>
      </c>
      <c r="D558" s="77" t="s">
        <v>2014</v>
      </c>
      <c r="E558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558" s="79" t="s">
        <v>235</v>
      </c>
      <c r="G558" s="79" t="s">
        <v>236</v>
      </c>
      <c r="H558" s="140" t="s">
        <v>2015</v>
      </c>
      <c r="I558" s="77" t="s">
        <v>178</v>
      </c>
      <c r="J558" s="144" t="s">
        <v>179</v>
      </c>
      <c r="K558" s="77" t="s">
        <v>169</v>
      </c>
      <c r="L558" s="103" t="str">
        <f>VLOOKUP(Anexo_4[[#This Row],[cod_doc]],TIPODOC,2,FALSE)</f>
        <v>FACTURA</v>
      </c>
      <c r="M558" s="77" t="s">
        <v>180</v>
      </c>
      <c r="N558" s="79">
        <v>133882</v>
      </c>
      <c r="O558" s="80">
        <v>8.4700000000000006</v>
      </c>
      <c r="P558" s="81"/>
      <c r="Q558" s="81">
        <v>1.5246</v>
      </c>
      <c r="R558" s="80"/>
      <c r="S558" s="80">
        <v>0</v>
      </c>
      <c r="T558" s="82">
        <v>10</v>
      </c>
      <c r="U558" s="77"/>
      <c r="V558" s="75"/>
      <c r="W558" s="77"/>
      <c r="X558" s="77"/>
      <c r="Y558" s="77" t="s">
        <v>2016</v>
      </c>
      <c r="Z558" s="77" t="s">
        <v>386</v>
      </c>
      <c r="AA558" s="83" t="s">
        <v>2015</v>
      </c>
      <c r="AB558" s="104" t="str">
        <f>IFERROR(VLOOKUP(Anexo_4[[#This Row],[cuenta]],OP,2,0),"-")</f>
        <v>Balanza - Servicios</v>
      </c>
    </row>
    <row r="559" spans="1:28" s="84" customFormat="1" ht="27" customHeight="1" x14ac:dyDescent="0.3">
      <c r="A559" s="75" t="s">
        <v>2017</v>
      </c>
      <c r="B559" s="36" t="str">
        <f t="shared" si="8"/>
        <v>Julio</v>
      </c>
      <c r="C559" s="77" t="s">
        <v>162</v>
      </c>
      <c r="D559" s="77" t="s">
        <v>2018</v>
      </c>
      <c r="E559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559" s="79" t="s">
        <v>175</v>
      </c>
      <c r="G559" s="79" t="s">
        <v>176</v>
      </c>
      <c r="H559" s="140" t="s">
        <v>2019</v>
      </c>
      <c r="I559" s="77" t="s">
        <v>264</v>
      </c>
      <c r="J559" s="144" t="s">
        <v>265</v>
      </c>
      <c r="K559" s="77" t="s">
        <v>169</v>
      </c>
      <c r="L559" s="103" t="str">
        <f>VLOOKUP(Anexo_4[[#This Row],[cod_doc]],TIPODOC,2,FALSE)</f>
        <v>FACTURA</v>
      </c>
      <c r="M559" s="77" t="s">
        <v>379</v>
      </c>
      <c r="N559" s="79">
        <v>2100880</v>
      </c>
      <c r="O559" s="80">
        <v>10.17</v>
      </c>
      <c r="P559" s="81"/>
      <c r="Q559" s="81">
        <v>1.8306</v>
      </c>
      <c r="R559" s="80"/>
      <c r="S559" s="80">
        <v>0</v>
      </c>
      <c r="T559" s="82">
        <v>12</v>
      </c>
      <c r="U559" s="77"/>
      <c r="V559" s="75"/>
      <c r="W559" s="77"/>
      <c r="X559" s="77"/>
      <c r="Y559" s="77" t="s">
        <v>2020</v>
      </c>
      <c r="Z559" s="77" t="s">
        <v>268</v>
      </c>
      <c r="AA559" s="83" t="s">
        <v>2019</v>
      </c>
      <c r="AB559" s="104" t="str">
        <f>IFERROR(VLOOKUP(Anexo_4[[#This Row],[cuenta]],OP,2,0),"-")</f>
        <v>Transporte peajes - Ventas</v>
      </c>
    </row>
    <row r="560" spans="1:28" s="84" customFormat="1" ht="27" customHeight="1" x14ac:dyDescent="0.3">
      <c r="A560" s="75" t="s">
        <v>1916</v>
      </c>
      <c r="B560" s="36" t="str">
        <f t="shared" si="8"/>
        <v>Julio</v>
      </c>
      <c r="C560" s="77" t="s">
        <v>162</v>
      </c>
      <c r="D560" s="77" t="s">
        <v>2021</v>
      </c>
      <c r="E560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560" s="79" t="s">
        <v>175</v>
      </c>
      <c r="G560" s="79" t="s">
        <v>176</v>
      </c>
      <c r="H560" s="140" t="s">
        <v>2022</v>
      </c>
      <c r="I560" s="77" t="s">
        <v>264</v>
      </c>
      <c r="J560" s="144" t="s">
        <v>265</v>
      </c>
      <c r="K560" s="77" t="s">
        <v>169</v>
      </c>
      <c r="L560" s="103" t="str">
        <f>VLOOKUP(Anexo_4[[#This Row],[cod_doc]],TIPODOC,2,FALSE)</f>
        <v>FACTURA</v>
      </c>
      <c r="M560" s="77" t="s">
        <v>406</v>
      </c>
      <c r="N560" s="79">
        <v>2388697</v>
      </c>
      <c r="O560" s="80">
        <v>10.17</v>
      </c>
      <c r="P560" s="81"/>
      <c r="Q560" s="81">
        <v>1.8306</v>
      </c>
      <c r="R560" s="80"/>
      <c r="S560" s="80">
        <v>0</v>
      </c>
      <c r="T560" s="82">
        <v>12</v>
      </c>
      <c r="U560" s="77"/>
      <c r="V560" s="75"/>
      <c r="W560" s="77"/>
      <c r="X560" s="77"/>
      <c r="Y560" s="77"/>
      <c r="Z560" s="77" t="s">
        <v>268</v>
      </c>
      <c r="AA560" s="83" t="s">
        <v>2022</v>
      </c>
      <c r="AB560" s="104" t="str">
        <f>IFERROR(VLOOKUP(Anexo_4[[#This Row],[cuenta]],OP,2,0),"-")</f>
        <v>Transporte peajes - Ventas</v>
      </c>
    </row>
    <row r="561" spans="1:28" s="84" customFormat="1" ht="27" customHeight="1" x14ac:dyDescent="0.3">
      <c r="A561" s="75" t="s">
        <v>2017</v>
      </c>
      <c r="B561" s="36" t="str">
        <f t="shared" si="8"/>
        <v>Julio</v>
      </c>
      <c r="C561" s="77" t="s">
        <v>162</v>
      </c>
      <c r="D561" s="77" t="s">
        <v>2023</v>
      </c>
      <c r="E56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561" s="79" t="s">
        <v>175</v>
      </c>
      <c r="G561" s="79" t="s">
        <v>176</v>
      </c>
      <c r="H561" s="140" t="s">
        <v>2024</v>
      </c>
      <c r="I561" s="77" t="s">
        <v>264</v>
      </c>
      <c r="J561" s="144" t="s">
        <v>265</v>
      </c>
      <c r="K561" s="77" t="s">
        <v>169</v>
      </c>
      <c r="L561" s="103" t="str">
        <f>VLOOKUP(Anexo_4[[#This Row],[cod_doc]],TIPODOC,2,FALSE)</f>
        <v>FACTURA</v>
      </c>
      <c r="M561" s="77" t="s">
        <v>406</v>
      </c>
      <c r="N561" s="79">
        <v>2386514</v>
      </c>
      <c r="O561" s="80">
        <v>10.17</v>
      </c>
      <c r="P561" s="81"/>
      <c r="Q561" s="81">
        <v>1.8306</v>
      </c>
      <c r="R561" s="80"/>
      <c r="S561" s="80">
        <v>0</v>
      </c>
      <c r="T561" s="82">
        <v>12</v>
      </c>
      <c r="U561" s="77"/>
      <c r="V561" s="75"/>
      <c r="W561" s="77"/>
      <c r="X561" s="77"/>
      <c r="Y561" s="77" t="s">
        <v>2025</v>
      </c>
      <c r="Z561" s="77" t="s">
        <v>268</v>
      </c>
      <c r="AA561" s="83" t="s">
        <v>2024</v>
      </c>
      <c r="AB561" s="104" t="str">
        <f>IFERROR(VLOOKUP(Anexo_4[[#This Row],[cuenta]],OP,2,0),"-")</f>
        <v>Transporte peajes - Ventas</v>
      </c>
    </row>
    <row r="562" spans="1:28" s="84" customFormat="1" ht="27" customHeight="1" x14ac:dyDescent="0.3">
      <c r="A562" s="75" t="s">
        <v>1916</v>
      </c>
      <c r="B562" s="36" t="str">
        <f t="shared" si="8"/>
        <v>Julio</v>
      </c>
      <c r="C562" s="77" t="s">
        <v>162</v>
      </c>
      <c r="D562" s="77" t="s">
        <v>2026</v>
      </c>
      <c r="E56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562" s="79" t="s">
        <v>175</v>
      </c>
      <c r="G562" s="79" t="s">
        <v>176</v>
      </c>
      <c r="H562" s="140" t="s">
        <v>2027</v>
      </c>
      <c r="I562" s="77" t="s">
        <v>264</v>
      </c>
      <c r="J562" s="144" t="s">
        <v>265</v>
      </c>
      <c r="K562" s="77" t="s">
        <v>169</v>
      </c>
      <c r="L562" s="103" t="str">
        <f>VLOOKUP(Anexo_4[[#This Row],[cod_doc]],TIPODOC,2,FALSE)</f>
        <v>FACTURA</v>
      </c>
      <c r="M562" s="77" t="s">
        <v>379</v>
      </c>
      <c r="N562" s="79">
        <v>2102685</v>
      </c>
      <c r="O562" s="80">
        <v>10.17</v>
      </c>
      <c r="P562" s="81"/>
      <c r="Q562" s="81">
        <v>1.8306</v>
      </c>
      <c r="R562" s="80"/>
      <c r="S562" s="80">
        <v>0</v>
      </c>
      <c r="T562" s="82">
        <v>12</v>
      </c>
      <c r="U562" s="77"/>
      <c r="V562" s="75"/>
      <c r="W562" s="77"/>
      <c r="X562" s="77"/>
      <c r="Y562" s="77" t="s">
        <v>2028</v>
      </c>
      <c r="Z562" s="77" t="s">
        <v>302</v>
      </c>
      <c r="AA562" s="83" t="s">
        <v>2027</v>
      </c>
      <c r="AB562" s="104" t="str">
        <f>IFERROR(VLOOKUP(Anexo_4[[#This Row],[cuenta]],OP,2,0),"-")</f>
        <v>Transporte peajes - Servicios</v>
      </c>
    </row>
    <row r="563" spans="1:28" s="84" customFormat="1" ht="27" customHeight="1" x14ac:dyDescent="0.3">
      <c r="A563" s="75" t="s">
        <v>1916</v>
      </c>
      <c r="B563" s="36" t="str">
        <f t="shared" si="8"/>
        <v>Julio</v>
      </c>
      <c r="C563" s="77" t="s">
        <v>162</v>
      </c>
      <c r="D563" s="77" t="s">
        <v>2029</v>
      </c>
      <c r="E563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563" s="79" t="s">
        <v>175</v>
      </c>
      <c r="G563" s="79" t="s">
        <v>176</v>
      </c>
      <c r="H563" s="140" t="s">
        <v>2030</v>
      </c>
      <c r="I563" s="77" t="s">
        <v>264</v>
      </c>
      <c r="J563" s="144" t="s">
        <v>265</v>
      </c>
      <c r="K563" s="77" t="s">
        <v>169</v>
      </c>
      <c r="L563" s="103" t="str">
        <f>VLOOKUP(Anexo_4[[#This Row],[cod_doc]],TIPODOC,2,FALSE)</f>
        <v>FACTURA</v>
      </c>
      <c r="M563" s="77" t="s">
        <v>352</v>
      </c>
      <c r="N563" s="79">
        <v>1796255</v>
      </c>
      <c r="O563" s="80">
        <v>10.17</v>
      </c>
      <c r="P563" s="81"/>
      <c r="Q563" s="81">
        <v>1.8306</v>
      </c>
      <c r="R563" s="80"/>
      <c r="S563" s="80">
        <v>0</v>
      </c>
      <c r="T563" s="82">
        <v>12</v>
      </c>
      <c r="U563" s="77"/>
      <c r="V563" s="75"/>
      <c r="W563" s="77"/>
      <c r="X563" s="77"/>
      <c r="Y563" s="77"/>
      <c r="Z563" s="77" t="s">
        <v>302</v>
      </c>
      <c r="AA563" s="83" t="s">
        <v>2030</v>
      </c>
      <c r="AB563" s="104" t="str">
        <f>IFERROR(VLOOKUP(Anexo_4[[#This Row],[cuenta]],OP,2,0),"-")</f>
        <v>Transporte peajes - Servicios</v>
      </c>
    </row>
    <row r="564" spans="1:28" s="84" customFormat="1" ht="27" customHeight="1" x14ac:dyDescent="0.3">
      <c r="A564" s="75" t="s">
        <v>1910</v>
      </c>
      <c r="B564" s="36" t="str">
        <f t="shared" si="8"/>
        <v>Julio</v>
      </c>
      <c r="C564" s="77" t="s">
        <v>162</v>
      </c>
      <c r="D564" s="77" t="s">
        <v>2031</v>
      </c>
      <c r="E564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564" s="79" t="s">
        <v>217</v>
      </c>
      <c r="G564" s="79" t="s">
        <v>218</v>
      </c>
      <c r="H564" s="140" t="s">
        <v>2032</v>
      </c>
      <c r="I564" s="77" t="s">
        <v>264</v>
      </c>
      <c r="J564" s="144" t="s">
        <v>265</v>
      </c>
      <c r="K564" s="77" t="s">
        <v>169</v>
      </c>
      <c r="L564" s="103" t="str">
        <f>VLOOKUP(Anexo_4[[#This Row],[cod_doc]],TIPODOC,2,FALSE)</f>
        <v>FACTURA</v>
      </c>
      <c r="M564" s="77" t="s">
        <v>406</v>
      </c>
      <c r="N564" s="79">
        <v>2385579</v>
      </c>
      <c r="O564" s="80">
        <v>6.78</v>
      </c>
      <c r="P564" s="81"/>
      <c r="Q564" s="81">
        <v>1.2203999999999999</v>
      </c>
      <c r="R564" s="80"/>
      <c r="S564" s="80">
        <v>0</v>
      </c>
      <c r="T564" s="82">
        <v>8</v>
      </c>
      <c r="U564" s="77"/>
      <c r="V564" s="75"/>
      <c r="W564" s="77"/>
      <c r="X564" s="77"/>
      <c r="Y564" s="77" t="s">
        <v>2033</v>
      </c>
      <c r="Z564" s="77" t="s">
        <v>302</v>
      </c>
      <c r="AA564" s="83" t="s">
        <v>2032</v>
      </c>
      <c r="AB564" s="104" t="str">
        <f>IFERROR(VLOOKUP(Anexo_4[[#This Row],[cuenta]],OP,2,0),"-")</f>
        <v>Transporte peajes - Servicios</v>
      </c>
    </row>
    <row r="565" spans="1:28" s="84" customFormat="1" ht="27" customHeight="1" x14ac:dyDescent="0.3">
      <c r="A565" s="75" t="s">
        <v>1910</v>
      </c>
      <c r="B565" s="36" t="str">
        <f t="shared" si="8"/>
        <v>Julio</v>
      </c>
      <c r="C565" s="77" t="s">
        <v>162</v>
      </c>
      <c r="D565" s="77" t="s">
        <v>2034</v>
      </c>
      <c r="E56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565" s="79" t="s">
        <v>217</v>
      </c>
      <c r="G565" s="79" t="s">
        <v>218</v>
      </c>
      <c r="H565" s="140" t="s">
        <v>2035</v>
      </c>
      <c r="I565" s="77" t="s">
        <v>264</v>
      </c>
      <c r="J565" s="144" t="s">
        <v>265</v>
      </c>
      <c r="K565" s="77" t="s">
        <v>169</v>
      </c>
      <c r="L565" s="103" t="str">
        <f>VLOOKUP(Anexo_4[[#This Row],[cod_doc]],TIPODOC,2,FALSE)</f>
        <v>FACTURA</v>
      </c>
      <c r="M565" s="77" t="s">
        <v>352</v>
      </c>
      <c r="N565" s="79">
        <v>1794131</v>
      </c>
      <c r="O565" s="80">
        <v>6.78</v>
      </c>
      <c r="P565" s="81"/>
      <c r="Q565" s="81">
        <v>1.2203999999999999</v>
      </c>
      <c r="R565" s="80"/>
      <c r="S565" s="80">
        <v>0</v>
      </c>
      <c r="T565" s="82">
        <v>8</v>
      </c>
      <c r="U565" s="77"/>
      <c r="V565" s="75"/>
      <c r="W565" s="77"/>
      <c r="X565" s="77"/>
      <c r="Y565" s="77" t="s">
        <v>2036</v>
      </c>
      <c r="Z565" s="77" t="s">
        <v>302</v>
      </c>
      <c r="AA565" s="83" t="s">
        <v>2035</v>
      </c>
      <c r="AB565" s="104" t="str">
        <f>IFERROR(VLOOKUP(Anexo_4[[#This Row],[cuenta]],OP,2,0),"-")</f>
        <v>Transporte peajes - Servicios</v>
      </c>
    </row>
    <row r="566" spans="1:28" s="84" customFormat="1" ht="27" customHeight="1" x14ac:dyDescent="0.3">
      <c r="A566" s="75" t="s">
        <v>2017</v>
      </c>
      <c r="B566" s="36" t="str">
        <f t="shared" si="8"/>
        <v>Julio</v>
      </c>
      <c r="C566" s="77" t="s">
        <v>162</v>
      </c>
      <c r="D566" s="77" t="s">
        <v>2037</v>
      </c>
      <c r="E56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566" s="79" t="s">
        <v>235</v>
      </c>
      <c r="G566" s="79" t="s">
        <v>236</v>
      </c>
      <c r="H566" s="140" t="s">
        <v>2038</v>
      </c>
      <c r="I566" s="77" t="s">
        <v>264</v>
      </c>
      <c r="J566" s="144" t="s">
        <v>265</v>
      </c>
      <c r="K566" s="77" t="s">
        <v>169</v>
      </c>
      <c r="L566" s="103" t="str">
        <f>VLOOKUP(Anexo_4[[#This Row],[cod_doc]],TIPODOC,2,FALSE)</f>
        <v>FACTURA</v>
      </c>
      <c r="M566" s="77" t="s">
        <v>271</v>
      </c>
      <c r="N566" s="79">
        <v>1774814</v>
      </c>
      <c r="O566" s="80">
        <v>6.78</v>
      </c>
      <c r="P566" s="81"/>
      <c r="Q566" s="81">
        <v>1.2203999999999999</v>
      </c>
      <c r="R566" s="80"/>
      <c r="S566" s="80">
        <v>0</v>
      </c>
      <c r="T566" s="82">
        <v>8</v>
      </c>
      <c r="U566" s="77"/>
      <c r="V566" s="75"/>
      <c r="W566" s="77"/>
      <c r="X566" s="77"/>
      <c r="Y566" s="77" t="s">
        <v>2039</v>
      </c>
      <c r="Z566" s="77" t="s">
        <v>302</v>
      </c>
      <c r="AA566" s="83" t="s">
        <v>2038</v>
      </c>
      <c r="AB566" s="104" t="str">
        <f>IFERROR(VLOOKUP(Anexo_4[[#This Row],[cuenta]],OP,2,0),"-")</f>
        <v>Transporte peajes - Servicios</v>
      </c>
    </row>
    <row r="567" spans="1:28" s="84" customFormat="1" ht="27" customHeight="1" x14ac:dyDescent="0.3">
      <c r="A567" s="75" t="s">
        <v>2017</v>
      </c>
      <c r="B567" s="36" t="str">
        <f t="shared" si="8"/>
        <v>Julio</v>
      </c>
      <c r="C567" s="77" t="s">
        <v>162</v>
      </c>
      <c r="D567" s="77" t="s">
        <v>2040</v>
      </c>
      <c r="E567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567" s="79" t="s">
        <v>235</v>
      </c>
      <c r="G567" s="79" t="s">
        <v>236</v>
      </c>
      <c r="H567" s="140" t="s">
        <v>2041</v>
      </c>
      <c r="I567" s="77" t="s">
        <v>383</v>
      </c>
      <c r="J567" s="144" t="s">
        <v>384</v>
      </c>
      <c r="K567" s="77" t="s">
        <v>169</v>
      </c>
      <c r="L567" s="103" t="str">
        <f>VLOOKUP(Anexo_4[[#This Row],[cod_doc]],TIPODOC,2,FALSE)</f>
        <v>FACTURA</v>
      </c>
      <c r="M567" s="77" t="s">
        <v>103</v>
      </c>
      <c r="N567" s="79">
        <v>16864</v>
      </c>
      <c r="O567" s="80">
        <v>16.95</v>
      </c>
      <c r="P567" s="81"/>
      <c r="Q567" s="81">
        <v>3.0509999999999997</v>
      </c>
      <c r="R567" s="80"/>
      <c r="S567" s="80">
        <v>0</v>
      </c>
      <c r="T567" s="82">
        <v>20</v>
      </c>
      <c r="U567" s="77"/>
      <c r="V567" s="75"/>
      <c r="W567" s="77"/>
      <c r="X567" s="77"/>
      <c r="Y567" s="77" t="s">
        <v>2042</v>
      </c>
      <c r="Z567" s="77" t="s">
        <v>182</v>
      </c>
      <c r="AA567" s="83" t="s">
        <v>2041</v>
      </c>
      <c r="AB567" s="104" t="str">
        <f>IFERROR(VLOOKUP(Anexo_4[[#This Row],[cuenta]],OP,2,0),"-")</f>
        <v>Balanza - Ventas</v>
      </c>
    </row>
    <row r="568" spans="1:28" s="84" customFormat="1" ht="27" customHeight="1" x14ac:dyDescent="0.3">
      <c r="A568" s="75" t="s">
        <v>2017</v>
      </c>
      <c r="B568" s="36" t="str">
        <f t="shared" si="8"/>
        <v>Julio</v>
      </c>
      <c r="C568" s="77" t="s">
        <v>162</v>
      </c>
      <c r="D568" s="77" t="s">
        <v>2043</v>
      </c>
      <c r="E568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568" s="79" t="s">
        <v>235</v>
      </c>
      <c r="G568" s="79" t="s">
        <v>236</v>
      </c>
      <c r="H568" s="140" t="s">
        <v>2044</v>
      </c>
      <c r="I568" s="77" t="s">
        <v>383</v>
      </c>
      <c r="J568" s="144" t="s">
        <v>384</v>
      </c>
      <c r="K568" s="77" t="s">
        <v>169</v>
      </c>
      <c r="L568" s="103" t="str">
        <f>VLOOKUP(Anexo_4[[#This Row],[cod_doc]],TIPODOC,2,FALSE)</f>
        <v>FACTURA</v>
      </c>
      <c r="M568" s="77" t="s">
        <v>103</v>
      </c>
      <c r="N568" s="79">
        <v>16862</v>
      </c>
      <c r="O568" s="80">
        <v>16.95</v>
      </c>
      <c r="P568" s="81"/>
      <c r="Q568" s="81">
        <v>3.0509999999999997</v>
      </c>
      <c r="R568" s="80"/>
      <c r="S568" s="80">
        <v>0</v>
      </c>
      <c r="T568" s="82">
        <v>20</v>
      </c>
      <c r="U568" s="77"/>
      <c r="V568" s="75"/>
      <c r="W568" s="77"/>
      <c r="X568" s="77"/>
      <c r="Y568" s="77" t="s">
        <v>2045</v>
      </c>
      <c r="Z568" s="77" t="s">
        <v>182</v>
      </c>
      <c r="AA568" s="83" t="s">
        <v>2044</v>
      </c>
      <c r="AB568" s="104" t="str">
        <f>IFERROR(VLOOKUP(Anexo_4[[#This Row],[cuenta]],OP,2,0),"-")</f>
        <v>Balanza - Ventas</v>
      </c>
    </row>
    <row r="569" spans="1:28" s="84" customFormat="1" ht="27" customHeight="1" x14ac:dyDescent="0.3">
      <c r="A569" s="75" t="s">
        <v>924</v>
      </c>
      <c r="B569" s="36" t="str">
        <f t="shared" si="8"/>
        <v>Julio</v>
      </c>
      <c r="C569" s="77" t="s">
        <v>162</v>
      </c>
      <c r="D569" s="77" t="s">
        <v>2046</v>
      </c>
      <c r="E569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569" s="79"/>
      <c r="G569" s="79"/>
      <c r="H569" s="140"/>
      <c r="I569" s="77" t="s">
        <v>1060</v>
      </c>
      <c r="J569" s="144" t="s">
        <v>1061</v>
      </c>
      <c r="K569" s="77" t="s">
        <v>169</v>
      </c>
      <c r="L569" s="103" t="str">
        <f>VLOOKUP(Anexo_4[[#This Row],[cod_doc]],TIPODOC,2,FALSE)</f>
        <v>FACTURA</v>
      </c>
      <c r="M569" s="77" t="s">
        <v>1062</v>
      </c>
      <c r="N569" s="79" t="s">
        <v>2047</v>
      </c>
      <c r="O569" s="80">
        <v>40.93</v>
      </c>
      <c r="P569" s="81"/>
      <c r="Q569" s="81">
        <v>7.37</v>
      </c>
      <c r="R569" s="80"/>
      <c r="S569" s="80">
        <v>0</v>
      </c>
      <c r="T569" s="82">
        <v>48.3</v>
      </c>
      <c r="U569" s="77"/>
      <c r="V569" s="75"/>
      <c r="W569" s="77"/>
      <c r="X569" s="77"/>
      <c r="Y569" s="77" t="s">
        <v>2048</v>
      </c>
      <c r="Z569" s="77"/>
      <c r="AA569" s="83"/>
      <c r="AB569" s="104" t="str">
        <f>IFERROR(VLOOKUP(Anexo_4[[#This Row],[cuenta]],OP,2,0),"-")</f>
        <v>-</v>
      </c>
    </row>
    <row r="570" spans="1:28" s="84" customFormat="1" ht="27" customHeight="1" x14ac:dyDescent="0.3">
      <c r="A570" s="75" t="s">
        <v>738</v>
      </c>
      <c r="B570" s="36" t="str">
        <f t="shared" si="8"/>
        <v>Julio</v>
      </c>
      <c r="C570" s="77" t="s">
        <v>162</v>
      </c>
      <c r="D570" s="77" t="s">
        <v>2049</v>
      </c>
      <c r="E570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570" s="79"/>
      <c r="G570" s="79"/>
      <c r="H570" s="140"/>
      <c r="I570" s="77" t="s">
        <v>2050</v>
      </c>
      <c r="J570" s="144" t="s">
        <v>2051</v>
      </c>
      <c r="K570" s="77" t="s">
        <v>169</v>
      </c>
      <c r="L570" s="103" t="str">
        <f>VLOOKUP(Anexo_4[[#This Row],[cod_doc]],TIPODOC,2,FALSE)</f>
        <v>FACTURA</v>
      </c>
      <c r="M570" s="77" t="s">
        <v>2052</v>
      </c>
      <c r="N570" s="79" t="s">
        <v>2053</v>
      </c>
      <c r="O570" s="80">
        <v>14.07</v>
      </c>
      <c r="P570" s="81"/>
      <c r="Q570" s="81">
        <v>2.5299999999999998</v>
      </c>
      <c r="R570" s="80"/>
      <c r="S570" s="80">
        <v>0</v>
      </c>
      <c r="T570" s="82">
        <v>16.600000000000001</v>
      </c>
      <c r="U570" s="77"/>
      <c r="V570" s="75"/>
      <c r="W570" s="77"/>
      <c r="X570" s="77"/>
      <c r="Y570" s="77" t="s">
        <v>2054</v>
      </c>
      <c r="Z570" s="77"/>
      <c r="AA570" s="83"/>
      <c r="AB570" s="104" t="str">
        <f>IFERROR(VLOOKUP(Anexo_4[[#This Row],[cuenta]],OP,2,0),"-")</f>
        <v>-</v>
      </c>
    </row>
    <row r="571" spans="1:28" s="84" customFormat="1" ht="27" customHeight="1" x14ac:dyDescent="0.3">
      <c r="A571" s="75" t="s">
        <v>738</v>
      </c>
      <c r="B571" s="36" t="str">
        <f t="shared" si="8"/>
        <v>Julio</v>
      </c>
      <c r="C571" s="77" t="s">
        <v>162</v>
      </c>
      <c r="D571" s="77" t="s">
        <v>2055</v>
      </c>
      <c r="E571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571" s="79"/>
      <c r="G571" s="79"/>
      <c r="H571" s="140"/>
      <c r="I571" s="77" t="s">
        <v>1060</v>
      </c>
      <c r="J571" s="144" t="s">
        <v>1061</v>
      </c>
      <c r="K571" s="77" t="s">
        <v>169</v>
      </c>
      <c r="L571" s="103" t="str">
        <f>VLOOKUP(Anexo_4[[#This Row],[cod_doc]],TIPODOC,2,FALSE)</f>
        <v>FACTURA</v>
      </c>
      <c r="M571" s="77" t="s">
        <v>1062</v>
      </c>
      <c r="N571" s="79" t="s">
        <v>2056</v>
      </c>
      <c r="O571" s="80">
        <v>47.46</v>
      </c>
      <c r="P571" s="81"/>
      <c r="Q571" s="81">
        <v>8.5399999999999991</v>
      </c>
      <c r="R571" s="80"/>
      <c r="S571" s="80">
        <v>0</v>
      </c>
      <c r="T571" s="82">
        <v>56</v>
      </c>
      <c r="U571" s="77"/>
      <c r="V571" s="75"/>
      <c r="W571" s="77"/>
      <c r="X571" s="77"/>
      <c r="Y571" s="77" t="s">
        <v>2057</v>
      </c>
      <c r="Z571" s="77"/>
      <c r="AA571" s="83"/>
      <c r="AB571" s="104" t="str">
        <f>IFERROR(VLOOKUP(Anexo_4[[#This Row],[cuenta]],OP,2,0),"-")</f>
        <v>-</v>
      </c>
    </row>
    <row r="572" spans="1:28" s="84" customFormat="1" ht="27" customHeight="1" x14ac:dyDescent="0.3">
      <c r="A572" s="75" t="s">
        <v>857</v>
      </c>
      <c r="B572" s="36" t="str">
        <f t="shared" si="8"/>
        <v>Julio</v>
      </c>
      <c r="C572" s="77" t="s">
        <v>162</v>
      </c>
      <c r="D572" s="77" t="s">
        <v>2058</v>
      </c>
      <c r="E572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572" s="79"/>
      <c r="G572" s="79"/>
      <c r="H572" s="140"/>
      <c r="I572" s="77" t="s">
        <v>1060</v>
      </c>
      <c r="J572" s="144" t="s">
        <v>1061</v>
      </c>
      <c r="K572" s="77" t="s">
        <v>169</v>
      </c>
      <c r="L572" s="103" t="str">
        <f>VLOOKUP(Anexo_4[[#This Row],[cod_doc]],TIPODOC,2,FALSE)</f>
        <v>FACTURA</v>
      </c>
      <c r="M572" s="77" t="s">
        <v>1062</v>
      </c>
      <c r="N572" s="79" t="s">
        <v>2059</v>
      </c>
      <c r="O572" s="80">
        <v>47.46</v>
      </c>
      <c r="P572" s="81"/>
      <c r="Q572" s="81">
        <v>8.5399999999999991</v>
      </c>
      <c r="R572" s="80"/>
      <c r="S572" s="80">
        <v>0</v>
      </c>
      <c r="T572" s="82">
        <v>56</v>
      </c>
      <c r="U572" s="77"/>
      <c r="V572" s="75"/>
      <c r="W572" s="77"/>
      <c r="X572" s="77"/>
      <c r="Y572" s="77" t="s">
        <v>2060</v>
      </c>
      <c r="Z572" s="77"/>
      <c r="AA572" s="83"/>
      <c r="AB572" s="104" t="str">
        <f>IFERROR(VLOOKUP(Anexo_4[[#This Row],[cuenta]],OP,2,0),"-")</f>
        <v>-</v>
      </c>
    </row>
    <row r="573" spans="1:28" s="84" customFormat="1" ht="27" customHeight="1" x14ac:dyDescent="0.3">
      <c r="A573" s="75" t="s">
        <v>996</v>
      </c>
      <c r="B573" s="36" t="str">
        <f t="shared" si="8"/>
        <v>Julio</v>
      </c>
      <c r="C573" s="77" t="s">
        <v>162</v>
      </c>
      <c r="D573" s="77" t="s">
        <v>2061</v>
      </c>
      <c r="E573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573" s="79"/>
      <c r="G573" s="79"/>
      <c r="H573" s="140"/>
      <c r="I573" s="77" t="s">
        <v>2050</v>
      </c>
      <c r="J573" s="144" t="s">
        <v>2051</v>
      </c>
      <c r="K573" s="77" t="s">
        <v>169</v>
      </c>
      <c r="L573" s="103" t="str">
        <f>VLOOKUP(Anexo_4[[#This Row],[cod_doc]],TIPODOC,2,FALSE)</f>
        <v>FACTURA</v>
      </c>
      <c r="M573" s="77" t="s">
        <v>2062</v>
      </c>
      <c r="N573" s="79" t="s">
        <v>2063</v>
      </c>
      <c r="O573" s="80">
        <v>14.07</v>
      </c>
      <c r="P573" s="81"/>
      <c r="Q573" s="81">
        <v>2.5299999999999998</v>
      </c>
      <c r="R573" s="80"/>
      <c r="S573" s="80">
        <v>0</v>
      </c>
      <c r="T573" s="82">
        <v>16.600000000000001</v>
      </c>
      <c r="U573" s="77"/>
      <c r="V573" s="75"/>
      <c r="W573" s="77"/>
      <c r="X573" s="77"/>
      <c r="Y573" s="77" t="s">
        <v>2064</v>
      </c>
      <c r="Z573" s="77"/>
      <c r="AA573" s="83"/>
      <c r="AB573" s="104" t="str">
        <f>IFERROR(VLOOKUP(Anexo_4[[#This Row],[cuenta]],OP,2,0),"-")</f>
        <v>-</v>
      </c>
    </row>
    <row r="574" spans="1:28" s="84" customFormat="1" ht="27" customHeight="1" x14ac:dyDescent="0.3">
      <c r="A574" s="75" t="s">
        <v>1190</v>
      </c>
      <c r="B574" s="36" t="str">
        <f t="shared" si="8"/>
        <v>Julio</v>
      </c>
      <c r="C574" s="77" t="s">
        <v>162</v>
      </c>
      <c r="D574" s="77" t="s">
        <v>2065</v>
      </c>
      <c r="E574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574" s="79"/>
      <c r="G574" s="79"/>
      <c r="H574" s="140"/>
      <c r="I574" s="77" t="s">
        <v>1060</v>
      </c>
      <c r="J574" s="144" t="s">
        <v>1061</v>
      </c>
      <c r="K574" s="77" t="s">
        <v>169</v>
      </c>
      <c r="L574" s="103" t="str">
        <f>VLOOKUP(Anexo_4[[#This Row],[cod_doc]],TIPODOC,2,FALSE)</f>
        <v>FACTURA</v>
      </c>
      <c r="M574" s="77" t="s">
        <v>1062</v>
      </c>
      <c r="N574" s="79" t="s">
        <v>2066</v>
      </c>
      <c r="O574" s="80">
        <v>47.46</v>
      </c>
      <c r="P574" s="81"/>
      <c r="Q574" s="81">
        <v>8.5399999999999991</v>
      </c>
      <c r="R574" s="80"/>
      <c r="S574" s="80">
        <v>0</v>
      </c>
      <c r="T574" s="82">
        <v>56</v>
      </c>
      <c r="U574" s="77"/>
      <c r="V574" s="75"/>
      <c r="W574" s="77"/>
      <c r="X574" s="77"/>
      <c r="Y574" s="77"/>
      <c r="Z574" s="77"/>
      <c r="AA574" s="83"/>
      <c r="AB574" s="104" t="str">
        <f>IFERROR(VLOOKUP(Anexo_4[[#This Row],[cuenta]],OP,2,0),"-")</f>
        <v>-</v>
      </c>
    </row>
    <row r="575" spans="1:28" s="84" customFormat="1" ht="27" customHeight="1" x14ac:dyDescent="0.3">
      <c r="A575" s="75" t="s">
        <v>1430</v>
      </c>
      <c r="B575" s="36" t="str">
        <f t="shared" si="8"/>
        <v>Julio</v>
      </c>
      <c r="C575" s="77" t="s">
        <v>162</v>
      </c>
      <c r="D575" s="77" t="s">
        <v>2067</v>
      </c>
      <c r="E575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575" s="79"/>
      <c r="G575" s="79"/>
      <c r="H575" s="140"/>
      <c r="I575" s="77" t="s">
        <v>2050</v>
      </c>
      <c r="J575" s="144" t="s">
        <v>2051</v>
      </c>
      <c r="K575" s="77" t="s">
        <v>169</v>
      </c>
      <c r="L575" s="103" t="str">
        <f>VLOOKUP(Anexo_4[[#This Row],[cod_doc]],TIPODOC,2,FALSE)</f>
        <v>FACTURA</v>
      </c>
      <c r="M575" s="77" t="s">
        <v>2052</v>
      </c>
      <c r="N575" s="79" t="s">
        <v>2068</v>
      </c>
      <c r="O575" s="80">
        <v>14.07</v>
      </c>
      <c r="P575" s="81"/>
      <c r="Q575" s="81">
        <v>2.5299999999999998</v>
      </c>
      <c r="R575" s="80"/>
      <c r="S575" s="80">
        <v>0</v>
      </c>
      <c r="T575" s="82">
        <v>16.600000000000001</v>
      </c>
      <c r="U575" s="77"/>
      <c r="V575" s="75"/>
      <c r="W575" s="77"/>
      <c r="X575" s="77"/>
      <c r="Y575" s="77" t="s">
        <v>2069</v>
      </c>
      <c r="Z575" s="77"/>
      <c r="AA575" s="83"/>
      <c r="AB575" s="104" t="str">
        <f>IFERROR(VLOOKUP(Anexo_4[[#This Row],[cuenta]],OP,2,0),"-")</f>
        <v>-</v>
      </c>
    </row>
    <row r="576" spans="1:28" s="84" customFormat="1" ht="27" customHeight="1" x14ac:dyDescent="0.3">
      <c r="A576" s="75" t="s">
        <v>1623</v>
      </c>
      <c r="B576" s="36" t="str">
        <f t="shared" si="8"/>
        <v>Julio</v>
      </c>
      <c r="C576" s="77" t="s">
        <v>162</v>
      </c>
      <c r="D576" s="77" t="s">
        <v>2070</v>
      </c>
      <c r="E576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576" s="79"/>
      <c r="G576" s="79"/>
      <c r="H576" s="140"/>
      <c r="I576" s="77" t="s">
        <v>312</v>
      </c>
      <c r="J576" s="144" t="s">
        <v>313</v>
      </c>
      <c r="K576" s="77" t="s">
        <v>169</v>
      </c>
      <c r="L576" s="103" t="str">
        <f>VLOOKUP(Anexo_4[[#This Row],[cod_doc]],TIPODOC,2,FALSE)</f>
        <v>FACTURA</v>
      </c>
      <c r="M576" s="77" t="s">
        <v>2071</v>
      </c>
      <c r="N576" s="79" t="s">
        <v>2072</v>
      </c>
      <c r="O576" s="80">
        <v>12.71</v>
      </c>
      <c r="P576" s="81"/>
      <c r="Q576" s="81">
        <v>2.29</v>
      </c>
      <c r="R576" s="80"/>
      <c r="S576" s="80">
        <v>0</v>
      </c>
      <c r="T576" s="82">
        <v>15</v>
      </c>
      <c r="U576" s="77"/>
      <c r="V576" s="75"/>
      <c r="W576" s="77"/>
      <c r="X576" s="77"/>
      <c r="Y576" s="77" t="s">
        <v>2073</v>
      </c>
      <c r="Z576" s="77"/>
      <c r="AA576" s="83"/>
      <c r="AB576" s="104" t="str">
        <f>IFERROR(VLOOKUP(Anexo_4[[#This Row],[cuenta]],OP,2,0),"-")</f>
        <v>-</v>
      </c>
    </row>
    <row r="577" spans="1:28" s="84" customFormat="1" ht="27" customHeight="1" x14ac:dyDescent="0.3">
      <c r="A577" s="75" t="s">
        <v>1623</v>
      </c>
      <c r="B577" s="36" t="str">
        <f t="shared" si="8"/>
        <v>Julio</v>
      </c>
      <c r="C577" s="77" t="s">
        <v>162</v>
      </c>
      <c r="D577" s="77" t="s">
        <v>2074</v>
      </c>
      <c r="E577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577" s="79"/>
      <c r="G577" s="79"/>
      <c r="H577" s="140"/>
      <c r="I577" s="77" t="s">
        <v>312</v>
      </c>
      <c r="J577" s="144" t="s">
        <v>313</v>
      </c>
      <c r="K577" s="77" t="s">
        <v>169</v>
      </c>
      <c r="L577" s="103" t="str">
        <f>VLOOKUP(Anexo_4[[#This Row],[cod_doc]],TIPODOC,2,FALSE)</f>
        <v>FACTURA</v>
      </c>
      <c r="M577" s="77" t="s">
        <v>195</v>
      </c>
      <c r="N577" s="79" t="s">
        <v>2075</v>
      </c>
      <c r="O577" s="80">
        <v>12.71</v>
      </c>
      <c r="P577" s="81"/>
      <c r="Q577" s="81">
        <v>2.29</v>
      </c>
      <c r="R577" s="80"/>
      <c r="S577" s="80">
        <v>0</v>
      </c>
      <c r="T577" s="82">
        <v>15</v>
      </c>
      <c r="U577" s="77"/>
      <c r="V577" s="75"/>
      <c r="W577" s="77"/>
      <c r="X577" s="77"/>
      <c r="Y577" s="77" t="s">
        <v>2076</v>
      </c>
      <c r="Z577" s="77"/>
      <c r="AA577" s="83"/>
      <c r="AB577" s="104" t="str">
        <f>IFERROR(VLOOKUP(Anexo_4[[#This Row],[cuenta]],OP,2,0),"-")</f>
        <v>-</v>
      </c>
    </row>
    <row r="578" spans="1:28" s="84" customFormat="1" ht="27" customHeight="1" x14ac:dyDescent="0.3">
      <c r="A578" s="75" t="s">
        <v>1916</v>
      </c>
      <c r="B578" s="36" t="str">
        <f t="shared" ref="B578:B641" si="9">PROPER(CHOOSE(LEFT(D578,2),"enero","febrero","marzo","abril","mayo","junio","julio","agosto","setiembre","octubre","noviembre","diciembre"))</f>
        <v>Julio</v>
      </c>
      <c r="C578" s="77" t="s">
        <v>162</v>
      </c>
      <c r="D578" s="77" t="s">
        <v>2077</v>
      </c>
      <c r="E578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578" s="79" t="s">
        <v>449</v>
      </c>
      <c r="G578" s="79" t="s">
        <v>450</v>
      </c>
      <c r="H578" s="140" t="s">
        <v>2078</v>
      </c>
      <c r="I578" s="77" t="s">
        <v>312</v>
      </c>
      <c r="J578" s="144" t="s">
        <v>313</v>
      </c>
      <c r="K578" s="77" t="s">
        <v>169</v>
      </c>
      <c r="L578" s="103" t="str">
        <f>VLOOKUP(Anexo_4[[#This Row],[cod_doc]],TIPODOC,2,FALSE)</f>
        <v>FACTURA</v>
      </c>
      <c r="M578" s="77" t="s">
        <v>1506</v>
      </c>
      <c r="N578" s="79">
        <v>651684</v>
      </c>
      <c r="O578" s="80">
        <v>12.71</v>
      </c>
      <c r="P578" s="81"/>
      <c r="Q578" s="81">
        <v>2.2878000000000003</v>
      </c>
      <c r="R578" s="80"/>
      <c r="S578" s="80">
        <v>0</v>
      </c>
      <c r="T578" s="82">
        <v>15</v>
      </c>
      <c r="U578" s="77"/>
      <c r="V578" s="75"/>
      <c r="W578" s="77"/>
      <c r="X578" s="77"/>
      <c r="Y578" s="77" t="s">
        <v>2079</v>
      </c>
      <c r="Z578" s="77" t="s">
        <v>302</v>
      </c>
      <c r="AA578" s="83" t="s">
        <v>2078</v>
      </c>
      <c r="AB578" s="104" t="str">
        <f>IFERROR(VLOOKUP(Anexo_4[[#This Row],[cuenta]],OP,2,0),"-")</f>
        <v>Transporte peajes - Servicios</v>
      </c>
    </row>
    <row r="579" spans="1:28" s="84" customFormat="1" ht="27" customHeight="1" x14ac:dyDescent="0.3">
      <c r="A579" s="75" t="s">
        <v>1916</v>
      </c>
      <c r="B579" s="36" t="str">
        <f t="shared" si="9"/>
        <v>Julio</v>
      </c>
      <c r="C579" s="77" t="s">
        <v>162</v>
      </c>
      <c r="D579" s="77" t="s">
        <v>2080</v>
      </c>
      <c r="E579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579" s="79" t="s">
        <v>449</v>
      </c>
      <c r="G579" s="79" t="s">
        <v>450</v>
      </c>
      <c r="H579" s="140" t="s">
        <v>2081</v>
      </c>
      <c r="I579" s="77" t="s">
        <v>312</v>
      </c>
      <c r="J579" s="144" t="s">
        <v>313</v>
      </c>
      <c r="K579" s="77" t="s">
        <v>169</v>
      </c>
      <c r="L579" s="103" t="str">
        <f>VLOOKUP(Anexo_4[[#This Row],[cod_doc]],TIPODOC,2,FALSE)</f>
        <v>FACTURA</v>
      </c>
      <c r="M579" s="77" t="s">
        <v>1482</v>
      </c>
      <c r="N579" s="79">
        <v>3175453</v>
      </c>
      <c r="O579" s="80">
        <v>12.71</v>
      </c>
      <c r="P579" s="81"/>
      <c r="Q579" s="81">
        <v>2.2878000000000003</v>
      </c>
      <c r="R579" s="80"/>
      <c r="S579" s="80">
        <v>0</v>
      </c>
      <c r="T579" s="82">
        <v>15</v>
      </c>
      <c r="U579" s="77"/>
      <c r="V579" s="75"/>
      <c r="W579" s="77"/>
      <c r="X579" s="77"/>
      <c r="Y579" s="77" t="s">
        <v>2082</v>
      </c>
      <c r="Z579" s="77" t="s">
        <v>302</v>
      </c>
      <c r="AA579" s="83" t="s">
        <v>2081</v>
      </c>
      <c r="AB579" s="104" t="str">
        <f>IFERROR(VLOOKUP(Anexo_4[[#This Row],[cuenta]],OP,2,0),"-")</f>
        <v>Transporte peajes - Servicios</v>
      </c>
    </row>
    <row r="580" spans="1:28" s="84" customFormat="1" ht="27" customHeight="1" x14ac:dyDescent="0.3">
      <c r="A580" s="75" t="s">
        <v>1916</v>
      </c>
      <c r="B580" s="36" t="str">
        <f t="shared" si="9"/>
        <v>Julio</v>
      </c>
      <c r="C580" s="77" t="s">
        <v>162</v>
      </c>
      <c r="D580" s="77" t="s">
        <v>2083</v>
      </c>
      <c r="E580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580" s="79" t="s">
        <v>449</v>
      </c>
      <c r="G580" s="79" t="s">
        <v>450</v>
      </c>
      <c r="H580" s="140" t="s">
        <v>2084</v>
      </c>
      <c r="I580" s="77" t="s">
        <v>2085</v>
      </c>
      <c r="J580" s="144" t="s">
        <v>2086</v>
      </c>
      <c r="K580" s="77" t="s">
        <v>169</v>
      </c>
      <c r="L580" s="103" t="str">
        <f>VLOOKUP(Anexo_4[[#This Row],[cod_doc]],TIPODOC,2,FALSE)</f>
        <v>FACTURA</v>
      </c>
      <c r="M580" s="77" t="s">
        <v>631</v>
      </c>
      <c r="N580" s="79">
        <v>41945</v>
      </c>
      <c r="O580" s="80">
        <v>46.61</v>
      </c>
      <c r="P580" s="81"/>
      <c r="Q580" s="81">
        <v>8.3897999999999993</v>
      </c>
      <c r="R580" s="80"/>
      <c r="S580" s="80">
        <v>0</v>
      </c>
      <c r="T580" s="82">
        <v>55</v>
      </c>
      <c r="U580" s="77"/>
      <c r="V580" s="75"/>
      <c r="W580" s="77"/>
      <c r="X580" s="77"/>
      <c r="Y580" s="77" t="s">
        <v>2087</v>
      </c>
      <c r="Z580" s="77" t="s">
        <v>507</v>
      </c>
      <c r="AA580" s="83" t="s">
        <v>2084</v>
      </c>
      <c r="AB580" s="104" t="str">
        <f>IFERROR(VLOOKUP(Anexo_4[[#This Row],[cuenta]],OP,2,0),"-")</f>
        <v>Transporte lavado (Higienización)</v>
      </c>
    </row>
    <row r="581" spans="1:28" s="84" customFormat="1" ht="27" customHeight="1" x14ac:dyDescent="0.3">
      <c r="A581" s="75" t="s">
        <v>2017</v>
      </c>
      <c r="B581" s="36" t="str">
        <f t="shared" si="9"/>
        <v>Julio</v>
      </c>
      <c r="C581" s="77" t="s">
        <v>162</v>
      </c>
      <c r="D581" s="77" t="s">
        <v>2088</v>
      </c>
      <c r="E58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581" s="79" t="s">
        <v>217</v>
      </c>
      <c r="G581" s="79" t="s">
        <v>218</v>
      </c>
      <c r="H581" s="140" t="s">
        <v>2089</v>
      </c>
      <c r="I581" s="77" t="s">
        <v>264</v>
      </c>
      <c r="J581" s="144" t="s">
        <v>265</v>
      </c>
      <c r="K581" s="77" t="s">
        <v>169</v>
      </c>
      <c r="L581" s="103" t="str">
        <f>VLOOKUP(Anexo_4[[#This Row],[cod_doc]],TIPODOC,2,FALSE)</f>
        <v>FACTURA</v>
      </c>
      <c r="M581" s="77" t="s">
        <v>271</v>
      </c>
      <c r="N581" s="79">
        <v>1774898</v>
      </c>
      <c r="O581" s="80">
        <v>6.78</v>
      </c>
      <c r="P581" s="81"/>
      <c r="Q581" s="81">
        <v>1.2203999999999999</v>
      </c>
      <c r="R581" s="80"/>
      <c r="S581" s="80">
        <v>0</v>
      </c>
      <c r="T581" s="82">
        <v>8</v>
      </c>
      <c r="U581" s="77"/>
      <c r="V581" s="75"/>
      <c r="W581" s="77"/>
      <c r="X581" s="77"/>
      <c r="Y581" s="77" t="s">
        <v>2090</v>
      </c>
      <c r="Z581" s="77" t="s">
        <v>268</v>
      </c>
      <c r="AA581" s="83" t="s">
        <v>2089</v>
      </c>
      <c r="AB581" s="104" t="str">
        <f>IFERROR(VLOOKUP(Anexo_4[[#This Row],[cuenta]],OP,2,0),"-")</f>
        <v>Transporte peajes - Ventas</v>
      </c>
    </row>
    <row r="582" spans="1:28" s="84" customFormat="1" ht="27" customHeight="1" x14ac:dyDescent="0.3">
      <c r="A582" s="75" t="s">
        <v>2017</v>
      </c>
      <c r="B582" s="36" t="str">
        <f t="shared" si="9"/>
        <v>Julio</v>
      </c>
      <c r="C582" s="77" t="s">
        <v>162</v>
      </c>
      <c r="D582" s="77" t="s">
        <v>2091</v>
      </c>
      <c r="E58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582" s="79" t="s">
        <v>217</v>
      </c>
      <c r="G582" s="79" t="s">
        <v>218</v>
      </c>
      <c r="H582" s="140" t="s">
        <v>2092</v>
      </c>
      <c r="I582" s="77" t="s">
        <v>264</v>
      </c>
      <c r="J582" s="144" t="s">
        <v>265</v>
      </c>
      <c r="K582" s="77" t="s">
        <v>169</v>
      </c>
      <c r="L582" s="103" t="str">
        <f>VLOOKUP(Anexo_4[[#This Row],[cod_doc]],TIPODOC,2,FALSE)</f>
        <v>FACTURA</v>
      </c>
      <c r="M582" s="77" t="s">
        <v>379</v>
      </c>
      <c r="N582" s="79">
        <v>2100874</v>
      </c>
      <c r="O582" s="80">
        <v>6.78</v>
      </c>
      <c r="P582" s="81"/>
      <c r="Q582" s="81">
        <v>1.2203999999999999</v>
      </c>
      <c r="R582" s="80"/>
      <c r="S582" s="80">
        <v>0</v>
      </c>
      <c r="T582" s="82">
        <v>8</v>
      </c>
      <c r="U582" s="77"/>
      <c r="V582" s="75"/>
      <c r="W582" s="77"/>
      <c r="X582" s="77"/>
      <c r="Y582" s="77" t="s">
        <v>2093</v>
      </c>
      <c r="Z582" s="77" t="s">
        <v>302</v>
      </c>
      <c r="AA582" s="83" t="s">
        <v>2092</v>
      </c>
      <c r="AB582" s="104" t="str">
        <f>IFERROR(VLOOKUP(Anexo_4[[#This Row],[cuenta]],OP,2,0),"-")</f>
        <v>Transporte peajes - Servicios</v>
      </c>
    </row>
    <row r="583" spans="1:28" s="84" customFormat="1" ht="27" customHeight="1" x14ac:dyDescent="0.3">
      <c r="A583" s="75" t="s">
        <v>1993</v>
      </c>
      <c r="B583" s="36" t="str">
        <f t="shared" si="9"/>
        <v>Julio</v>
      </c>
      <c r="C583" s="77" t="s">
        <v>162</v>
      </c>
      <c r="D583" s="77" t="s">
        <v>2094</v>
      </c>
      <c r="E583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583" s="79" t="s">
        <v>217</v>
      </c>
      <c r="G583" s="79" t="s">
        <v>218</v>
      </c>
      <c r="H583" s="140" t="s">
        <v>2095</v>
      </c>
      <c r="I583" s="77" t="s">
        <v>264</v>
      </c>
      <c r="J583" s="144" t="s">
        <v>265</v>
      </c>
      <c r="K583" s="77" t="s">
        <v>169</v>
      </c>
      <c r="L583" s="103" t="str">
        <f>VLOOKUP(Anexo_4[[#This Row],[cod_doc]],TIPODOC,2,FALSE)</f>
        <v>FACTURA</v>
      </c>
      <c r="M583" s="77" t="s">
        <v>271</v>
      </c>
      <c r="N583" s="79">
        <v>1775700</v>
      </c>
      <c r="O583" s="80">
        <v>6.78</v>
      </c>
      <c r="P583" s="81"/>
      <c r="Q583" s="81">
        <v>1.2203999999999999</v>
      </c>
      <c r="R583" s="80"/>
      <c r="S583" s="80">
        <v>0</v>
      </c>
      <c r="T583" s="82">
        <v>8</v>
      </c>
      <c r="U583" s="77"/>
      <c r="V583" s="75"/>
      <c r="W583" s="77"/>
      <c r="X583" s="77"/>
      <c r="Y583" s="77" t="s">
        <v>2096</v>
      </c>
      <c r="Z583" s="77" t="s">
        <v>302</v>
      </c>
      <c r="AA583" s="83" t="s">
        <v>2095</v>
      </c>
      <c r="AB583" s="104" t="str">
        <f>IFERROR(VLOOKUP(Anexo_4[[#This Row],[cuenta]],OP,2,0),"-")</f>
        <v>Transporte peajes - Servicios</v>
      </c>
    </row>
    <row r="584" spans="1:28" s="84" customFormat="1" ht="27" customHeight="1" x14ac:dyDescent="0.3">
      <c r="A584" s="75" t="s">
        <v>1993</v>
      </c>
      <c r="B584" s="36" t="str">
        <f t="shared" si="9"/>
        <v>Julio</v>
      </c>
      <c r="C584" s="77" t="s">
        <v>162</v>
      </c>
      <c r="D584" s="77" t="s">
        <v>2097</v>
      </c>
      <c r="E584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584" s="79" t="s">
        <v>235</v>
      </c>
      <c r="G584" s="79" t="s">
        <v>236</v>
      </c>
      <c r="H584" s="140" t="s">
        <v>2098</v>
      </c>
      <c r="I584" s="77" t="s">
        <v>264</v>
      </c>
      <c r="J584" s="144" t="s">
        <v>265</v>
      </c>
      <c r="K584" s="77" t="s">
        <v>169</v>
      </c>
      <c r="L584" s="103" t="str">
        <f>VLOOKUP(Anexo_4[[#This Row],[cod_doc]],TIPODOC,2,FALSE)</f>
        <v>FACTURA</v>
      </c>
      <c r="M584" s="77" t="s">
        <v>379</v>
      </c>
      <c r="N584" s="79">
        <v>2101734</v>
      </c>
      <c r="O584" s="80">
        <v>6.78</v>
      </c>
      <c r="P584" s="81"/>
      <c r="Q584" s="81">
        <v>1.2203999999999999</v>
      </c>
      <c r="R584" s="80"/>
      <c r="S584" s="80">
        <v>0</v>
      </c>
      <c r="T584" s="82">
        <v>8</v>
      </c>
      <c r="U584" s="77"/>
      <c r="V584" s="75"/>
      <c r="W584" s="77"/>
      <c r="X584" s="77"/>
      <c r="Y584" s="77" t="s">
        <v>2099</v>
      </c>
      <c r="Z584" s="77" t="s">
        <v>302</v>
      </c>
      <c r="AA584" s="83" t="s">
        <v>2098</v>
      </c>
      <c r="AB584" s="104" t="str">
        <f>IFERROR(VLOOKUP(Anexo_4[[#This Row],[cuenta]],OP,2,0),"-")</f>
        <v>Transporte peajes - Servicios</v>
      </c>
    </row>
    <row r="585" spans="1:28" s="84" customFormat="1" ht="27" customHeight="1" x14ac:dyDescent="0.3">
      <c r="A585" s="75" t="s">
        <v>1916</v>
      </c>
      <c r="B585" s="36" t="str">
        <f t="shared" si="9"/>
        <v>Julio</v>
      </c>
      <c r="C585" s="77" t="s">
        <v>162</v>
      </c>
      <c r="D585" s="77" t="s">
        <v>2100</v>
      </c>
      <c r="E58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585" s="79" t="s">
        <v>217</v>
      </c>
      <c r="G585" s="79" t="s">
        <v>218</v>
      </c>
      <c r="H585" s="140" t="s">
        <v>2101</v>
      </c>
      <c r="I585" s="77" t="s">
        <v>264</v>
      </c>
      <c r="J585" s="144" t="s">
        <v>265</v>
      </c>
      <c r="K585" s="77" t="s">
        <v>169</v>
      </c>
      <c r="L585" s="103" t="str">
        <f>VLOOKUP(Anexo_4[[#This Row],[cod_doc]],TIPODOC,2,FALSE)</f>
        <v>FACTURA</v>
      </c>
      <c r="M585" s="77" t="s">
        <v>352</v>
      </c>
      <c r="N585" s="79">
        <v>1796430</v>
      </c>
      <c r="O585" s="80">
        <v>6.78</v>
      </c>
      <c r="P585" s="81"/>
      <c r="Q585" s="81">
        <v>1.2203999999999999</v>
      </c>
      <c r="R585" s="80"/>
      <c r="S585" s="80">
        <v>0</v>
      </c>
      <c r="T585" s="82">
        <v>8</v>
      </c>
      <c r="U585" s="77"/>
      <c r="V585" s="75"/>
      <c r="W585" s="77"/>
      <c r="X585" s="77"/>
      <c r="Y585" s="77" t="s">
        <v>2102</v>
      </c>
      <c r="Z585" s="77" t="s">
        <v>268</v>
      </c>
      <c r="AA585" s="83" t="s">
        <v>2101</v>
      </c>
      <c r="AB585" s="104" t="str">
        <f>IFERROR(VLOOKUP(Anexo_4[[#This Row],[cuenta]],OP,2,0),"-")</f>
        <v>Transporte peajes - Ventas</v>
      </c>
    </row>
    <row r="586" spans="1:28" s="84" customFormat="1" ht="27" customHeight="1" x14ac:dyDescent="0.3">
      <c r="A586" s="75" t="s">
        <v>1916</v>
      </c>
      <c r="B586" s="36" t="str">
        <f t="shared" si="9"/>
        <v>Julio</v>
      </c>
      <c r="C586" s="77" t="s">
        <v>162</v>
      </c>
      <c r="D586" s="77" t="s">
        <v>2103</v>
      </c>
      <c r="E58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586" s="79" t="s">
        <v>217</v>
      </c>
      <c r="G586" s="79" t="s">
        <v>218</v>
      </c>
      <c r="H586" s="140" t="s">
        <v>2104</v>
      </c>
      <c r="I586" s="77" t="s">
        <v>178</v>
      </c>
      <c r="J586" s="144" t="s">
        <v>179</v>
      </c>
      <c r="K586" s="77" t="s">
        <v>169</v>
      </c>
      <c r="L586" s="103" t="str">
        <f>VLOOKUP(Anexo_4[[#This Row],[cod_doc]],TIPODOC,2,FALSE)</f>
        <v>FACTURA</v>
      </c>
      <c r="M586" s="77" t="s">
        <v>180</v>
      </c>
      <c r="N586" s="79">
        <v>133813</v>
      </c>
      <c r="O586" s="80">
        <v>8.4700000000000006</v>
      </c>
      <c r="P586" s="81"/>
      <c r="Q586" s="81">
        <v>1.5246</v>
      </c>
      <c r="R586" s="80"/>
      <c r="S586" s="80">
        <v>0</v>
      </c>
      <c r="T586" s="82">
        <v>10</v>
      </c>
      <c r="U586" s="77"/>
      <c r="V586" s="75"/>
      <c r="W586" s="77"/>
      <c r="X586" s="77"/>
      <c r="Y586" s="77" t="s">
        <v>2105</v>
      </c>
      <c r="Z586" s="77" t="s">
        <v>182</v>
      </c>
      <c r="AA586" s="83" t="s">
        <v>2104</v>
      </c>
      <c r="AB586" s="104" t="str">
        <f>IFERROR(VLOOKUP(Anexo_4[[#This Row],[cuenta]],OP,2,0),"-")</f>
        <v>Balanza - Ventas</v>
      </c>
    </row>
    <row r="587" spans="1:28" s="84" customFormat="1" ht="27" customHeight="1" x14ac:dyDescent="0.3">
      <c r="A587" s="75" t="s">
        <v>2106</v>
      </c>
      <c r="B587" s="36" t="str">
        <f t="shared" si="9"/>
        <v>Julio</v>
      </c>
      <c r="C587" s="77" t="s">
        <v>162</v>
      </c>
      <c r="D587" s="77" t="s">
        <v>2107</v>
      </c>
      <c r="E587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587" s="79" t="s">
        <v>442</v>
      </c>
      <c r="G587" s="79" t="s">
        <v>443</v>
      </c>
      <c r="H587" s="140" t="s">
        <v>2108</v>
      </c>
      <c r="I587" s="77" t="s">
        <v>1937</v>
      </c>
      <c r="J587" s="144" t="s">
        <v>1938</v>
      </c>
      <c r="K587" s="77" t="s">
        <v>239</v>
      </c>
      <c r="L587" s="103" t="str">
        <f>VLOOKUP(Anexo_4[[#This Row],[cod_doc]],TIPODOC,2,FALSE)</f>
        <v>BOLETA DE VENTA</v>
      </c>
      <c r="M587" s="77" t="s">
        <v>162</v>
      </c>
      <c r="N587" s="79">
        <v>4379</v>
      </c>
      <c r="O587" s="80"/>
      <c r="P587" s="81"/>
      <c r="Q587" s="81"/>
      <c r="R587" s="80"/>
      <c r="S587" s="80">
        <v>10</v>
      </c>
      <c r="T587" s="82">
        <v>10</v>
      </c>
      <c r="U587" s="77"/>
      <c r="V587" s="75"/>
      <c r="W587" s="77"/>
      <c r="X587" s="77"/>
      <c r="Y587" s="77" t="s">
        <v>2109</v>
      </c>
      <c r="Z587" s="77" t="s">
        <v>1071</v>
      </c>
      <c r="AA587" s="83" t="s">
        <v>2108</v>
      </c>
      <c r="AB587" s="104" t="str">
        <f>IFERROR(VLOOKUP(Anexo_4[[#This Row],[cuenta]],OP,2,0),"-")</f>
        <v>Gastos de Ferreteria</v>
      </c>
    </row>
    <row r="588" spans="1:28" s="84" customFormat="1" ht="27" customHeight="1" x14ac:dyDescent="0.3">
      <c r="A588" s="75" t="s">
        <v>2110</v>
      </c>
      <c r="B588" s="36" t="str">
        <f t="shared" si="9"/>
        <v>Julio</v>
      </c>
      <c r="C588" s="77" t="s">
        <v>162</v>
      </c>
      <c r="D588" s="77" t="s">
        <v>2111</v>
      </c>
      <c r="E588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588" s="79" t="s">
        <v>650</v>
      </c>
      <c r="G588" s="79" t="s">
        <v>651</v>
      </c>
      <c r="H588" s="140" t="s">
        <v>2112</v>
      </c>
      <c r="I588" s="77" t="s">
        <v>2113</v>
      </c>
      <c r="J588" s="144" t="s">
        <v>2114</v>
      </c>
      <c r="K588" s="77" t="s">
        <v>169</v>
      </c>
      <c r="L588" s="103" t="str">
        <f>VLOOKUP(Anexo_4[[#This Row],[cod_doc]],TIPODOC,2,FALSE)</f>
        <v>FACTURA</v>
      </c>
      <c r="M588" s="77" t="s">
        <v>2115</v>
      </c>
      <c r="N588" s="79">
        <v>17266</v>
      </c>
      <c r="O588" s="80">
        <v>9.75</v>
      </c>
      <c r="P588" s="81"/>
      <c r="Q588" s="81">
        <v>1.7549999999999999</v>
      </c>
      <c r="R588" s="80"/>
      <c r="S588" s="80">
        <v>0</v>
      </c>
      <c r="T588" s="82">
        <v>11.5</v>
      </c>
      <c r="U588" s="77"/>
      <c r="V588" s="75"/>
      <c r="W588" s="77"/>
      <c r="X588" s="77"/>
      <c r="Y588" s="77"/>
      <c r="Z588" s="77" t="s">
        <v>684</v>
      </c>
      <c r="AA588" s="83" t="s">
        <v>2112</v>
      </c>
      <c r="AB588" s="104" t="str">
        <f>IFERROR(VLOOKUP(Anexo_4[[#This Row],[cuenta]],OP,2,0),"-")</f>
        <v>-</v>
      </c>
    </row>
    <row r="589" spans="1:28" s="84" customFormat="1" ht="27" customHeight="1" x14ac:dyDescent="0.3">
      <c r="A589" s="75" t="s">
        <v>1916</v>
      </c>
      <c r="B589" s="36" t="str">
        <f t="shared" si="9"/>
        <v>Julio</v>
      </c>
      <c r="C589" s="77" t="s">
        <v>162</v>
      </c>
      <c r="D589" s="77" t="s">
        <v>2116</v>
      </c>
      <c r="E589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589" s="79" t="s">
        <v>355</v>
      </c>
      <c r="G589" s="79" t="s">
        <v>356</v>
      </c>
      <c r="H589" s="140" t="s">
        <v>637</v>
      </c>
      <c r="I589" s="77" t="s">
        <v>638</v>
      </c>
      <c r="J589" s="144" t="s">
        <v>639</v>
      </c>
      <c r="K589" s="77" t="s">
        <v>169</v>
      </c>
      <c r="L589" s="103" t="str">
        <f>VLOOKUP(Anexo_4[[#This Row],[cod_doc]],TIPODOC,2,FALSE)</f>
        <v>FACTURA</v>
      </c>
      <c r="M589" s="77" t="s">
        <v>995</v>
      </c>
      <c r="N589" s="79">
        <v>5276</v>
      </c>
      <c r="O589" s="80">
        <v>16.95</v>
      </c>
      <c r="P589" s="81"/>
      <c r="Q589" s="81">
        <v>3.0509999999999997</v>
      </c>
      <c r="R589" s="80"/>
      <c r="S589" s="80">
        <v>0</v>
      </c>
      <c r="T589" s="82">
        <v>20</v>
      </c>
      <c r="U589" s="77"/>
      <c r="V589" s="75"/>
      <c r="W589" s="77"/>
      <c r="X589" s="77"/>
      <c r="Y589" s="77" t="s">
        <v>2117</v>
      </c>
      <c r="Z589" s="77" t="s">
        <v>196</v>
      </c>
      <c r="AA589" s="83" t="s">
        <v>637</v>
      </c>
      <c r="AB589" s="104" t="str">
        <f>IFERROR(VLOOKUP(Anexo_4[[#This Row],[cuenta]],OP,2,0),"-")</f>
        <v>Encomienda (Envío de documentación)</v>
      </c>
    </row>
    <row r="590" spans="1:28" s="84" customFormat="1" ht="27" customHeight="1" x14ac:dyDescent="0.3">
      <c r="A590" s="75" t="s">
        <v>2013</v>
      </c>
      <c r="B590" s="36" t="str">
        <f t="shared" si="9"/>
        <v>Julio</v>
      </c>
      <c r="C590" s="77" t="s">
        <v>162</v>
      </c>
      <c r="D590" s="77" t="s">
        <v>2118</v>
      </c>
      <c r="E590" s="78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590" s="79" t="s">
        <v>198</v>
      </c>
      <c r="G590" s="79" t="s">
        <v>199</v>
      </c>
      <c r="H590" s="140" t="s">
        <v>2119</v>
      </c>
      <c r="I590" s="77" t="s">
        <v>2120</v>
      </c>
      <c r="J590" s="144" t="s">
        <v>2121</v>
      </c>
      <c r="K590" s="77" t="s">
        <v>169</v>
      </c>
      <c r="L590" s="103" t="str">
        <f>VLOOKUP(Anexo_4[[#This Row],[cod_doc]],TIPODOC,2,FALSE)</f>
        <v>FACTURA</v>
      </c>
      <c r="M590" s="77" t="s">
        <v>222</v>
      </c>
      <c r="N590" s="79">
        <v>1791</v>
      </c>
      <c r="O590" s="80">
        <v>288.92</v>
      </c>
      <c r="P590" s="81"/>
      <c r="Q590" s="81">
        <v>52.005600000000001</v>
      </c>
      <c r="R590" s="80"/>
      <c r="S590" s="80">
        <v>0</v>
      </c>
      <c r="T590" s="82">
        <v>340.92</v>
      </c>
      <c r="U590" s="77"/>
      <c r="V590" s="75"/>
      <c r="W590" s="77"/>
      <c r="X590" s="77"/>
      <c r="Y590" s="77" t="s">
        <v>2122</v>
      </c>
      <c r="Z590" s="77" t="s">
        <v>1066</v>
      </c>
      <c r="AA590" s="83" t="s">
        <v>2119</v>
      </c>
      <c r="AB590" s="104" t="str">
        <f>IFERROR(VLOOKUP(Anexo_4[[#This Row],[cuenta]],OP,2,0),"-")</f>
        <v>-</v>
      </c>
    </row>
    <row r="591" spans="1:28" s="84" customFormat="1" ht="27" customHeight="1" x14ac:dyDescent="0.3">
      <c r="A591" s="75" t="s">
        <v>2106</v>
      </c>
      <c r="B591" s="36" t="str">
        <f t="shared" si="9"/>
        <v>Julio</v>
      </c>
      <c r="C591" s="77" t="s">
        <v>162</v>
      </c>
      <c r="D591" s="77" t="s">
        <v>2123</v>
      </c>
      <c r="E591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591" s="79" t="s">
        <v>650</v>
      </c>
      <c r="G591" s="79" t="s">
        <v>651</v>
      </c>
      <c r="H591" s="140" t="s">
        <v>2124</v>
      </c>
      <c r="I591" s="77" t="s">
        <v>653</v>
      </c>
      <c r="J591" s="144" t="s">
        <v>654</v>
      </c>
      <c r="K591" s="77" t="s">
        <v>169</v>
      </c>
      <c r="L591" s="103" t="str">
        <f>VLOOKUP(Anexo_4[[#This Row],[cod_doc]],TIPODOC,2,FALSE)</f>
        <v>FACTURA</v>
      </c>
      <c r="M591" s="77" t="s">
        <v>655</v>
      </c>
      <c r="N591" s="79">
        <v>16136</v>
      </c>
      <c r="O591" s="80">
        <v>215</v>
      </c>
      <c r="P591" s="81"/>
      <c r="Q591" s="81">
        <v>38.699999999999996</v>
      </c>
      <c r="R591" s="80"/>
      <c r="S591" s="80">
        <v>0</v>
      </c>
      <c r="T591" s="82">
        <v>253.7</v>
      </c>
      <c r="U591" s="77"/>
      <c r="V591" s="75"/>
      <c r="W591" s="77"/>
      <c r="X591" s="77"/>
      <c r="Y591" s="77" t="s">
        <v>2125</v>
      </c>
      <c r="Z591" s="77" t="s">
        <v>656</v>
      </c>
      <c r="AA591" s="83" t="s">
        <v>2124</v>
      </c>
      <c r="AB591" s="104" t="str">
        <f>IFERROR(VLOOKUP(Anexo_4[[#This Row],[cuenta]],OP,2,0),"-")</f>
        <v>-</v>
      </c>
    </row>
    <row r="592" spans="1:28" s="84" customFormat="1" ht="27" customHeight="1" x14ac:dyDescent="0.3">
      <c r="A592" s="75" t="s">
        <v>1627</v>
      </c>
      <c r="B592" s="36" t="str">
        <f t="shared" si="9"/>
        <v>Julio</v>
      </c>
      <c r="C592" s="77" t="s">
        <v>162</v>
      </c>
      <c r="D592" s="77" t="s">
        <v>2126</v>
      </c>
      <c r="E59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592" s="79" t="s">
        <v>592</v>
      </c>
      <c r="G592" s="79" t="s">
        <v>593</v>
      </c>
      <c r="H592" s="140" t="s">
        <v>2127</v>
      </c>
      <c r="I592" s="77" t="s">
        <v>595</v>
      </c>
      <c r="J592" s="144" t="s">
        <v>596</v>
      </c>
      <c r="K592" s="77" t="s">
        <v>169</v>
      </c>
      <c r="L592" s="103" t="str">
        <f>VLOOKUP(Anexo_4[[#This Row],[cod_doc]],TIPODOC,2,FALSE)</f>
        <v>FACTURA</v>
      </c>
      <c r="M592" s="77" t="s">
        <v>102</v>
      </c>
      <c r="N592" s="79">
        <v>1710</v>
      </c>
      <c r="O592" s="80">
        <v>76.27</v>
      </c>
      <c r="P592" s="81"/>
      <c r="Q592" s="81">
        <v>13.728599999999998</v>
      </c>
      <c r="R592" s="80"/>
      <c r="S592" s="80">
        <v>0</v>
      </c>
      <c r="T592" s="82">
        <v>90</v>
      </c>
      <c r="U592" s="77"/>
      <c r="V592" s="75"/>
      <c r="W592" s="77"/>
      <c r="X592" s="77"/>
      <c r="Y592" s="77"/>
      <c r="Z592" s="77" t="s">
        <v>507</v>
      </c>
      <c r="AA592" s="83" t="s">
        <v>2127</v>
      </c>
      <c r="AB592" s="104" t="str">
        <f>IFERROR(VLOOKUP(Anexo_4[[#This Row],[cuenta]],OP,2,0),"-")</f>
        <v>Transporte lavado (Higienización)</v>
      </c>
    </row>
    <row r="593" spans="1:28" s="84" customFormat="1" ht="27" customHeight="1" x14ac:dyDescent="0.3">
      <c r="A593" s="75" t="s">
        <v>2013</v>
      </c>
      <c r="B593" s="36" t="str">
        <f t="shared" si="9"/>
        <v>Julio</v>
      </c>
      <c r="C593" s="77" t="s">
        <v>162</v>
      </c>
      <c r="D593" s="77" t="s">
        <v>2128</v>
      </c>
      <c r="E593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593" s="79" t="s">
        <v>456</v>
      </c>
      <c r="G593" s="79" t="s">
        <v>457</v>
      </c>
      <c r="H593" s="140" t="s">
        <v>2129</v>
      </c>
      <c r="I593" s="77" t="s">
        <v>2130</v>
      </c>
      <c r="J593" s="144" t="s">
        <v>2131</v>
      </c>
      <c r="K593" s="77" t="s">
        <v>169</v>
      </c>
      <c r="L593" s="103" t="str">
        <f>VLOOKUP(Anexo_4[[#This Row],[cod_doc]],TIPODOC,2,FALSE)</f>
        <v>FACTURA</v>
      </c>
      <c r="M593" s="77" t="s">
        <v>102</v>
      </c>
      <c r="N593" s="79">
        <v>30</v>
      </c>
      <c r="O593" s="80">
        <v>29.66</v>
      </c>
      <c r="P593" s="81"/>
      <c r="Q593" s="81">
        <v>5.3388</v>
      </c>
      <c r="R593" s="80"/>
      <c r="S593" s="80">
        <v>0</v>
      </c>
      <c r="T593" s="82">
        <v>35</v>
      </c>
      <c r="U593" s="77"/>
      <c r="V593" s="75"/>
      <c r="W593" s="77"/>
      <c r="X593" s="77"/>
      <c r="Y593" s="77" t="s">
        <v>2132</v>
      </c>
      <c r="Z593" s="77" t="s">
        <v>507</v>
      </c>
      <c r="AA593" s="83" t="s">
        <v>2129</v>
      </c>
      <c r="AB593" s="104" t="str">
        <f>IFERROR(VLOOKUP(Anexo_4[[#This Row],[cuenta]],OP,2,0),"-")</f>
        <v>Transporte lavado (Higienización)</v>
      </c>
    </row>
    <row r="594" spans="1:28" s="84" customFormat="1" ht="27" customHeight="1" x14ac:dyDescent="0.3">
      <c r="A594" s="75" t="s">
        <v>1627</v>
      </c>
      <c r="B594" s="36" t="str">
        <f t="shared" si="9"/>
        <v>Julio</v>
      </c>
      <c r="C594" s="77" t="s">
        <v>162</v>
      </c>
      <c r="D594" s="77" t="s">
        <v>2133</v>
      </c>
      <c r="E594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594" s="79" t="s">
        <v>391</v>
      </c>
      <c r="G594" s="79" t="s">
        <v>392</v>
      </c>
      <c r="H594" s="140" t="s">
        <v>2134</v>
      </c>
      <c r="I594" s="77" t="s">
        <v>264</v>
      </c>
      <c r="J594" s="144" t="s">
        <v>265</v>
      </c>
      <c r="K594" s="77" t="s">
        <v>169</v>
      </c>
      <c r="L594" s="103" t="str">
        <f>VLOOKUP(Anexo_4[[#This Row],[cod_doc]],TIPODOC,2,FALSE)</f>
        <v>FACTURA</v>
      </c>
      <c r="M594" s="77" t="s">
        <v>352</v>
      </c>
      <c r="N594" s="79">
        <v>1794177</v>
      </c>
      <c r="O594" s="80">
        <v>6.78</v>
      </c>
      <c r="P594" s="81"/>
      <c r="Q594" s="81">
        <v>1.2203999999999999</v>
      </c>
      <c r="R594" s="80"/>
      <c r="S594" s="80">
        <v>0</v>
      </c>
      <c r="T594" s="82">
        <v>8</v>
      </c>
      <c r="U594" s="77"/>
      <c r="V594" s="75"/>
      <c r="W594" s="77"/>
      <c r="X594" s="77"/>
      <c r="Y594" s="77" t="s">
        <v>2135</v>
      </c>
      <c r="Z594" s="77" t="s">
        <v>268</v>
      </c>
      <c r="AA594" s="83" t="s">
        <v>2134</v>
      </c>
      <c r="AB594" s="104" t="str">
        <f>IFERROR(VLOOKUP(Anexo_4[[#This Row],[cuenta]],OP,2,0),"-")</f>
        <v>Transporte peajes - Ventas</v>
      </c>
    </row>
    <row r="595" spans="1:28" s="84" customFormat="1" ht="27" customHeight="1" x14ac:dyDescent="0.3">
      <c r="A595" s="75" t="s">
        <v>1910</v>
      </c>
      <c r="B595" s="36" t="str">
        <f t="shared" si="9"/>
        <v>Julio</v>
      </c>
      <c r="C595" s="77" t="s">
        <v>162</v>
      </c>
      <c r="D595" s="77" t="s">
        <v>2136</v>
      </c>
      <c r="E59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595" s="79" t="s">
        <v>391</v>
      </c>
      <c r="G595" s="79" t="s">
        <v>392</v>
      </c>
      <c r="H595" s="140" t="s">
        <v>2137</v>
      </c>
      <c r="I595" s="77" t="s">
        <v>264</v>
      </c>
      <c r="J595" s="144" t="s">
        <v>265</v>
      </c>
      <c r="K595" s="77" t="s">
        <v>169</v>
      </c>
      <c r="L595" s="103" t="str">
        <f>VLOOKUP(Anexo_4[[#This Row],[cod_doc]],TIPODOC,2,FALSE)</f>
        <v>FACTURA</v>
      </c>
      <c r="M595" s="77" t="s">
        <v>406</v>
      </c>
      <c r="N595" s="79">
        <v>2385778</v>
      </c>
      <c r="O595" s="80">
        <v>6.78</v>
      </c>
      <c r="P595" s="81"/>
      <c r="Q595" s="81">
        <v>1.2203999999999999</v>
      </c>
      <c r="R595" s="80"/>
      <c r="S595" s="80">
        <v>0</v>
      </c>
      <c r="T595" s="82">
        <v>8</v>
      </c>
      <c r="U595" s="77"/>
      <c r="V595" s="75"/>
      <c r="W595" s="77"/>
      <c r="X595" s="77"/>
      <c r="Y595" s="77" t="s">
        <v>2138</v>
      </c>
      <c r="Z595" s="77" t="s">
        <v>302</v>
      </c>
      <c r="AA595" s="83" t="s">
        <v>2137</v>
      </c>
      <c r="AB595" s="104" t="str">
        <f>IFERROR(VLOOKUP(Anexo_4[[#This Row],[cuenta]],OP,2,0),"-")</f>
        <v>Transporte peajes - Servicios</v>
      </c>
    </row>
    <row r="596" spans="1:28" s="84" customFormat="1" ht="27" customHeight="1" x14ac:dyDescent="0.3">
      <c r="A596" s="75" t="s">
        <v>2017</v>
      </c>
      <c r="B596" s="36" t="str">
        <f t="shared" si="9"/>
        <v>Julio</v>
      </c>
      <c r="C596" s="77" t="s">
        <v>162</v>
      </c>
      <c r="D596" s="77" t="s">
        <v>2139</v>
      </c>
      <c r="E59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596" s="79" t="s">
        <v>391</v>
      </c>
      <c r="G596" s="79" t="s">
        <v>392</v>
      </c>
      <c r="H596" s="140" t="s">
        <v>2140</v>
      </c>
      <c r="I596" s="77" t="s">
        <v>264</v>
      </c>
      <c r="J596" s="144" t="s">
        <v>265</v>
      </c>
      <c r="K596" s="77" t="s">
        <v>169</v>
      </c>
      <c r="L596" s="103" t="str">
        <f>VLOOKUP(Anexo_4[[#This Row],[cod_doc]],TIPODOC,2,FALSE)</f>
        <v>FACTURA</v>
      </c>
      <c r="M596" s="77" t="s">
        <v>352</v>
      </c>
      <c r="N596" s="79">
        <v>1794858</v>
      </c>
      <c r="O596" s="80">
        <v>6.78</v>
      </c>
      <c r="P596" s="81"/>
      <c r="Q596" s="81">
        <v>1.2203999999999999</v>
      </c>
      <c r="R596" s="80"/>
      <c r="S596" s="80">
        <v>0</v>
      </c>
      <c r="T596" s="82">
        <v>8</v>
      </c>
      <c r="U596" s="77"/>
      <c r="V596" s="75"/>
      <c r="W596" s="77"/>
      <c r="X596" s="77"/>
      <c r="Y596" s="77" t="s">
        <v>2141</v>
      </c>
      <c r="Z596" s="77" t="s">
        <v>302</v>
      </c>
      <c r="AA596" s="83" t="s">
        <v>2140</v>
      </c>
      <c r="AB596" s="104" t="str">
        <f>IFERROR(VLOOKUP(Anexo_4[[#This Row],[cuenta]],OP,2,0),"-")</f>
        <v>Transporte peajes - Servicios</v>
      </c>
    </row>
    <row r="597" spans="1:28" s="84" customFormat="1" ht="27" customHeight="1" x14ac:dyDescent="0.3">
      <c r="A597" s="75" t="s">
        <v>2017</v>
      </c>
      <c r="B597" s="36" t="str">
        <f t="shared" si="9"/>
        <v>Julio</v>
      </c>
      <c r="C597" s="77" t="s">
        <v>162</v>
      </c>
      <c r="D597" s="77" t="s">
        <v>2142</v>
      </c>
      <c r="E597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597" s="79" t="s">
        <v>391</v>
      </c>
      <c r="G597" s="79" t="s">
        <v>392</v>
      </c>
      <c r="H597" s="140" t="s">
        <v>2143</v>
      </c>
      <c r="I597" s="77" t="s">
        <v>264</v>
      </c>
      <c r="J597" s="144" t="s">
        <v>265</v>
      </c>
      <c r="K597" s="77" t="s">
        <v>169</v>
      </c>
      <c r="L597" s="103" t="str">
        <f>VLOOKUP(Anexo_4[[#This Row],[cod_doc]],TIPODOC,2,FALSE)</f>
        <v>FACTURA</v>
      </c>
      <c r="M597" s="77" t="s">
        <v>271</v>
      </c>
      <c r="N597" s="79">
        <v>1774908</v>
      </c>
      <c r="O597" s="80">
        <v>6.78</v>
      </c>
      <c r="P597" s="81"/>
      <c r="Q597" s="81">
        <v>1.2203999999999999</v>
      </c>
      <c r="R597" s="80"/>
      <c r="S597" s="80">
        <v>0</v>
      </c>
      <c r="T597" s="82">
        <v>8</v>
      </c>
      <c r="U597" s="77"/>
      <c r="V597" s="75"/>
      <c r="W597" s="77"/>
      <c r="X597" s="77"/>
      <c r="Y597" s="77" t="s">
        <v>2144</v>
      </c>
      <c r="Z597" s="77" t="s">
        <v>302</v>
      </c>
      <c r="AA597" s="83" t="s">
        <v>2143</v>
      </c>
      <c r="AB597" s="104" t="str">
        <f>IFERROR(VLOOKUP(Anexo_4[[#This Row],[cuenta]],OP,2,0),"-")</f>
        <v>Transporte peajes - Servicios</v>
      </c>
    </row>
    <row r="598" spans="1:28" s="84" customFormat="1" ht="27" customHeight="1" x14ac:dyDescent="0.3">
      <c r="A598" s="75" t="s">
        <v>1993</v>
      </c>
      <c r="B598" s="36" t="str">
        <f t="shared" si="9"/>
        <v>Julio</v>
      </c>
      <c r="C598" s="77" t="s">
        <v>162</v>
      </c>
      <c r="D598" s="77" t="s">
        <v>2145</v>
      </c>
      <c r="E598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598" s="79" t="s">
        <v>391</v>
      </c>
      <c r="G598" s="79" t="s">
        <v>392</v>
      </c>
      <c r="H598" s="140" t="s">
        <v>2146</v>
      </c>
      <c r="I598" s="77" t="s">
        <v>529</v>
      </c>
      <c r="J598" s="144" t="s">
        <v>530</v>
      </c>
      <c r="K598" s="77" t="s">
        <v>169</v>
      </c>
      <c r="L598" s="103" t="str">
        <f>VLOOKUP(Anexo_4[[#This Row],[cod_doc]],TIPODOC,2,FALSE)</f>
        <v>FACTURA</v>
      </c>
      <c r="M598" s="77" t="s">
        <v>531</v>
      </c>
      <c r="N598" s="79">
        <v>1609</v>
      </c>
      <c r="O598" s="80">
        <v>16.95</v>
      </c>
      <c r="P598" s="81"/>
      <c r="Q598" s="81">
        <v>3.0509999999999997</v>
      </c>
      <c r="R598" s="80"/>
      <c r="S598" s="80">
        <v>0</v>
      </c>
      <c r="T598" s="82">
        <v>20</v>
      </c>
      <c r="U598" s="77"/>
      <c r="V598" s="75"/>
      <c r="W598" s="77"/>
      <c r="X598" s="77"/>
      <c r="Y598" s="77" t="s">
        <v>2147</v>
      </c>
      <c r="Z598" s="77" t="s">
        <v>182</v>
      </c>
      <c r="AA598" s="83" t="s">
        <v>2146</v>
      </c>
      <c r="AB598" s="104" t="str">
        <f>IFERROR(VLOOKUP(Anexo_4[[#This Row],[cuenta]],OP,2,0),"-")</f>
        <v>Balanza - Ventas</v>
      </c>
    </row>
    <row r="599" spans="1:28" s="84" customFormat="1" ht="27" customHeight="1" x14ac:dyDescent="0.3">
      <c r="A599" s="75" t="s">
        <v>1910</v>
      </c>
      <c r="B599" s="36" t="str">
        <f t="shared" si="9"/>
        <v>Julio</v>
      </c>
      <c r="C599" s="77" t="s">
        <v>162</v>
      </c>
      <c r="D599" s="77" t="s">
        <v>2148</v>
      </c>
      <c r="E599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599" s="79" t="s">
        <v>391</v>
      </c>
      <c r="G599" s="79" t="s">
        <v>392</v>
      </c>
      <c r="H599" s="140" t="s">
        <v>2149</v>
      </c>
      <c r="I599" s="77" t="s">
        <v>383</v>
      </c>
      <c r="J599" s="144" t="s">
        <v>384</v>
      </c>
      <c r="K599" s="77" t="s">
        <v>169</v>
      </c>
      <c r="L599" s="103" t="str">
        <f>VLOOKUP(Anexo_4[[#This Row],[cod_doc]],TIPODOC,2,FALSE)</f>
        <v>FACTURA</v>
      </c>
      <c r="M599" s="77" t="s">
        <v>103</v>
      </c>
      <c r="N599" s="79">
        <v>16850</v>
      </c>
      <c r="O599" s="80">
        <v>16.95</v>
      </c>
      <c r="P599" s="81"/>
      <c r="Q599" s="81">
        <v>3.0509999999999997</v>
      </c>
      <c r="R599" s="80"/>
      <c r="S599" s="80">
        <v>0</v>
      </c>
      <c r="T599" s="82">
        <v>20</v>
      </c>
      <c r="U599" s="77"/>
      <c r="V599" s="75"/>
      <c r="W599" s="77"/>
      <c r="X599" s="77"/>
      <c r="Y599" s="77" t="s">
        <v>2150</v>
      </c>
      <c r="Z599" s="77" t="s">
        <v>182</v>
      </c>
      <c r="AA599" s="83" t="s">
        <v>2149</v>
      </c>
      <c r="AB599" s="104" t="str">
        <f>IFERROR(VLOOKUP(Anexo_4[[#This Row],[cuenta]],OP,2,0),"-")</f>
        <v>Balanza - Ventas</v>
      </c>
    </row>
    <row r="600" spans="1:28" s="84" customFormat="1" ht="27" customHeight="1" x14ac:dyDescent="0.3">
      <c r="A600" s="75" t="s">
        <v>1627</v>
      </c>
      <c r="B600" s="36" t="str">
        <f t="shared" si="9"/>
        <v>Julio</v>
      </c>
      <c r="C600" s="77" t="s">
        <v>162</v>
      </c>
      <c r="D600" s="77" t="s">
        <v>2151</v>
      </c>
      <c r="E600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600" s="79" t="s">
        <v>650</v>
      </c>
      <c r="G600" s="79" t="s">
        <v>651</v>
      </c>
      <c r="H600" s="140" t="s">
        <v>2152</v>
      </c>
      <c r="I600" s="77" t="s">
        <v>2113</v>
      </c>
      <c r="J600" s="144" t="s">
        <v>2114</v>
      </c>
      <c r="K600" s="77" t="s">
        <v>169</v>
      </c>
      <c r="L600" s="103" t="str">
        <f>VLOOKUP(Anexo_4[[#This Row],[cod_doc]],TIPODOC,2,FALSE)</f>
        <v>FACTURA</v>
      </c>
      <c r="M600" s="77" t="s">
        <v>2153</v>
      </c>
      <c r="N600" s="79">
        <v>12503</v>
      </c>
      <c r="O600" s="80">
        <v>53.89</v>
      </c>
      <c r="P600" s="81"/>
      <c r="Q600" s="81">
        <v>9.7002000000000006</v>
      </c>
      <c r="R600" s="80"/>
      <c r="S600" s="80">
        <v>0</v>
      </c>
      <c r="T600" s="82">
        <v>63.6</v>
      </c>
      <c r="U600" s="77"/>
      <c r="V600" s="75"/>
      <c r="W600" s="77"/>
      <c r="X600" s="77"/>
      <c r="Y600" s="77" t="s">
        <v>2154</v>
      </c>
      <c r="Z600" s="77" t="s">
        <v>684</v>
      </c>
      <c r="AA600" s="83" t="s">
        <v>2152</v>
      </c>
      <c r="AB600" s="104" t="str">
        <f>IFERROR(VLOOKUP(Anexo_4[[#This Row],[cuenta]],OP,2,0),"-")</f>
        <v>-</v>
      </c>
    </row>
    <row r="601" spans="1:28" s="84" customFormat="1" ht="27" customHeight="1" x14ac:dyDescent="0.3">
      <c r="A601" s="75" t="s">
        <v>1993</v>
      </c>
      <c r="B601" s="36" t="str">
        <f t="shared" si="9"/>
        <v>Julio</v>
      </c>
      <c r="C601" s="77" t="s">
        <v>162</v>
      </c>
      <c r="D601" s="77" t="s">
        <v>2155</v>
      </c>
      <c r="E60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601" s="79" t="s">
        <v>449</v>
      </c>
      <c r="G601" s="79" t="s">
        <v>450</v>
      </c>
      <c r="H601" s="140" t="s">
        <v>2156</v>
      </c>
      <c r="I601" s="77" t="s">
        <v>2157</v>
      </c>
      <c r="J601" s="144" t="s">
        <v>2158</v>
      </c>
      <c r="K601" s="77" t="s">
        <v>169</v>
      </c>
      <c r="L601" s="103" t="str">
        <f>VLOOKUP(Anexo_4[[#This Row],[cod_doc]],TIPODOC,2,FALSE)</f>
        <v>FACTURA</v>
      </c>
      <c r="M601" s="77" t="s">
        <v>102</v>
      </c>
      <c r="N601" s="79">
        <v>408</v>
      </c>
      <c r="O601" s="80">
        <v>118.64</v>
      </c>
      <c r="P601" s="81"/>
      <c r="Q601" s="81">
        <v>21.3552</v>
      </c>
      <c r="R601" s="80"/>
      <c r="S601" s="80">
        <v>0</v>
      </c>
      <c r="T601" s="82">
        <v>140</v>
      </c>
      <c r="U601" s="77"/>
      <c r="V601" s="75"/>
      <c r="W601" s="77"/>
      <c r="X601" s="77"/>
      <c r="Y601" s="77" t="s">
        <v>2159</v>
      </c>
      <c r="Z601" s="77" t="s">
        <v>223</v>
      </c>
      <c r="AA601" s="83" t="s">
        <v>2156</v>
      </c>
      <c r="AB601" s="104" t="str">
        <f>IFERROR(VLOOKUP(Anexo_4[[#This Row],[cuenta]],OP,2,0),"-")</f>
        <v>Mantenimiento Vehicular (Preventivo)</v>
      </c>
    </row>
    <row r="602" spans="1:28" s="84" customFormat="1" ht="27" customHeight="1" x14ac:dyDescent="0.3">
      <c r="A602" s="75" t="s">
        <v>2017</v>
      </c>
      <c r="B602" s="36" t="str">
        <f t="shared" si="9"/>
        <v>Julio</v>
      </c>
      <c r="C602" s="77" t="s">
        <v>162</v>
      </c>
      <c r="D602" s="77" t="s">
        <v>2160</v>
      </c>
      <c r="E602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602" s="79" t="s">
        <v>164</v>
      </c>
      <c r="G602" s="79" t="s">
        <v>165</v>
      </c>
      <c r="H602" s="140" t="s">
        <v>2161</v>
      </c>
      <c r="I602" s="77" t="s">
        <v>213</v>
      </c>
      <c r="J602" s="144" t="s">
        <v>214</v>
      </c>
      <c r="K602" s="77" t="s">
        <v>169</v>
      </c>
      <c r="L602" s="103" t="str">
        <f>VLOOKUP(Anexo_4[[#This Row],[cod_doc]],TIPODOC,2,FALSE)</f>
        <v>FACTURA</v>
      </c>
      <c r="M602" s="77" t="s">
        <v>102</v>
      </c>
      <c r="N602" s="79">
        <v>454</v>
      </c>
      <c r="O602" s="80">
        <v>79.900000000000006</v>
      </c>
      <c r="P602" s="81"/>
      <c r="Q602" s="81">
        <v>14.382</v>
      </c>
      <c r="R602" s="80"/>
      <c r="S602" s="80">
        <v>0</v>
      </c>
      <c r="T602" s="82">
        <v>94.28</v>
      </c>
      <c r="U602" s="77"/>
      <c r="V602" s="75"/>
      <c r="W602" s="77"/>
      <c r="X602" s="77"/>
      <c r="Y602" s="77"/>
      <c r="Z602" s="77" t="s">
        <v>209</v>
      </c>
      <c r="AA602" s="83" t="s">
        <v>2161</v>
      </c>
      <c r="AB602" s="104" t="str">
        <f>IFERROR(VLOOKUP(Anexo_4[[#This Row],[cuenta]],OP,2,0),"-")</f>
        <v>-</v>
      </c>
    </row>
    <row r="603" spans="1:28" s="84" customFormat="1" ht="27" customHeight="1" x14ac:dyDescent="0.3">
      <c r="A603" s="75" t="s">
        <v>1993</v>
      </c>
      <c r="B603" s="36" t="str">
        <f t="shared" si="9"/>
        <v>Julio</v>
      </c>
      <c r="C603" s="77" t="s">
        <v>162</v>
      </c>
      <c r="D603" s="77" t="s">
        <v>2162</v>
      </c>
      <c r="E603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603" s="79" t="s">
        <v>650</v>
      </c>
      <c r="G603" s="79" t="s">
        <v>651</v>
      </c>
      <c r="H603" s="140" t="s">
        <v>2163</v>
      </c>
      <c r="I603" s="77" t="s">
        <v>653</v>
      </c>
      <c r="J603" s="144" t="s">
        <v>654</v>
      </c>
      <c r="K603" s="77" t="s">
        <v>169</v>
      </c>
      <c r="L603" s="103" t="str">
        <f>VLOOKUP(Anexo_4[[#This Row],[cod_doc]],TIPODOC,2,FALSE)</f>
        <v>FACTURA</v>
      </c>
      <c r="M603" s="77" t="s">
        <v>655</v>
      </c>
      <c r="N603" s="79">
        <v>16114</v>
      </c>
      <c r="O603" s="80">
        <v>219</v>
      </c>
      <c r="P603" s="81"/>
      <c r="Q603" s="81">
        <v>39.42</v>
      </c>
      <c r="R603" s="80"/>
      <c r="S603" s="80">
        <v>0</v>
      </c>
      <c r="T603" s="82">
        <v>258.42</v>
      </c>
      <c r="U603" s="77"/>
      <c r="V603" s="75"/>
      <c r="W603" s="77"/>
      <c r="X603" s="77"/>
      <c r="Y603" s="77" t="s">
        <v>2164</v>
      </c>
      <c r="Z603" s="77" t="s">
        <v>1602</v>
      </c>
      <c r="AA603" s="83" t="s">
        <v>2163</v>
      </c>
      <c r="AB603" s="104" t="str">
        <f>IFERROR(VLOOKUP(Anexo_4[[#This Row],[cuenta]],OP,2,0),"-")</f>
        <v>Ingreso</v>
      </c>
    </row>
    <row r="604" spans="1:28" s="84" customFormat="1" ht="27" customHeight="1" x14ac:dyDescent="0.3">
      <c r="A604" s="75" t="s">
        <v>2013</v>
      </c>
      <c r="B604" s="36" t="str">
        <f t="shared" si="9"/>
        <v>Julio</v>
      </c>
      <c r="C604" s="77" t="s">
        <v>162</v>
      </c>
      <c r="D604" s="77" t="s">
        <v>2165</v>
      </c>
      <c r="E604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604" s="79" t="s">
        <v>391</v>
      </c>
      <c r="G604" s="79" t="s">
        <v>392</v>
      </c>
      <c r="H604" s="140" t="s">
        <v>2166</v>
      </c>
      <c r="I604" s="77" t="s">
        <v>2167</v>
      </c>
      <c r="J604" s="144" t="s">
        <v>2168</v>
      </c>
      <c r="K604" s="77" t="s">
        <v>169</v>
      </c>
      <c r="L604" s="103" t="str">
        <f>VLOOKUP(Anexo_4[[#This Row],[cod_doc]],TIPODOC,2,FALSE)</f>
        <v>FACTURA</v>
      </c>
      <c r="M604" s="77" t="s">
        <v>222</v>
      </c>
      <c r="N604" s="79">
        <v>16941</v>
      </c>
      <c r="O604" s="80">
        <v>33.9</v>
      </c>
      <c r="P604" s="81"/>
      <c r="Q604" s="81">
        <v>6.1019999999999994</v>
      </c>
      <c r="R604" s="80"/>
      <c r="S604" s="80">
        <v>0</v>
      </c>
      <c r="T604" s="82">
        <v>40</v>
      </c>
      <c r="U604" s="77"/>
      <c r="V604" s="75"/>
      <c r="W604" s="77"/>
      <c r="X604" s="77"/>
      <c r="Y604" s="77" t="s">
        <v>2169</v>
      </c>
      <c r="Z604" s="77" t="s">
        <v>710</v>
      </c>
      <c r="AA604" s="83" t="s">
        <v>2166</v>
      </c>
      <c r="AB604" s="104" t="str">
        <f>IFERROR(VLOOKUP(Anexo_4[[#This Row],[cuenta]],OP,2,0),"-")</f>
        <v>Accesorios Vehiculares</v>
      </c>
    </row>
    <row r="605" spans="1:28" s="84" customFormat="1" ht="27" customHeight="1" x14ac:dyDescent="0.3">
      <c r="A605" s="75" t="s">
        <v>2013</v>
      </c>
      <c r="B605" s="36" t="str">
        <f t="shared" si="9"/>
        <v>Julio</v>
      </c>
      <c r="C605" s="77" t="s">
        <v>162</v>
      </c>
      <c r="D605" s="77" t="s">
        <v>2170</v>
      </c>
      <c r="E60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605" s="79" t="s">
        <v>391</v>
      </c>
      <c r="G605" s="79" t="s">
        <v>392</v>
      </c>
      <c r="H605" s="140" t="s">
        <v>2171</v>
      </c>
      <c r="I605" s="77" t="s">
        <v>2172</v>
      </c>
      <c r="J605" s="144" t="s">
        <v>2173</v>
      </c>
      <c r="K605" s="77" t="s">
        <v>169</v>
      </c>
      <c r="L605" s="103" t="str">
        <f>VLOOKUP(Anexo_4[[#This Row],[cod_doc]],TIPODOC,2,FALSE)</f>
        <v>FACTURA</v>
      </c>
      <c r="M605" s="77" t="s">
        <v>102</v>
      </c>
      <c r="N605" s="79">
        <v>12726</v>
      </c>
      <c r="O605" s="80">
        <v>191.53</v>
      </c>
      <c r="P605" s="81"/>
      <c r="Q605" s="81">
        <v>34.4754</v>
      </c>
      <c r="R605" s="80"/>
      <c r="S605" s="80">
        <v>0</v>
      </c>
      <c r="T605" s="82">
        <v>226.01</v>
      </c>
      <c r="U605" s="77"/>
      <c r="V605" s="75"/>
      <c r="W605" s="77"/>
      <c r="X605" s="77"/>
      <c r="Y605" s="77" t="s">
        <v>2169</v>
      </c>
      <c r="Z605" s="77" t="s">
        <v>710</v>
      </c>
      <c r="AA605" s="83" t="s">
        <v>2171</v>
      </c>
      <c r="AB605" s="104" t="str">
        <f>IFERROR(VLOOKUP(Anexo_4[[#This Row],[cuenta]],OP,2,0),"-")</f>
        <v>Accesorios Vehiculares</v>
      </c>
    </row>
    <row r="606" spans="1:28" s="84" customFormat="1" ht="27" customHeight="1" x14ac:dyDescent="0.3">
      <c r="A606" s="75" t="s">
        <v>2013</v>
      </c>
      <c r="B606" s="36" t="str">
        <f t="shared" si="9"/>
        <v>Julio</v>
      </c>
      <c r="C606" s="77" t="s">
        <v>162</v>
      </c>
      <c r="D606" s="77" t="s">
        <v>2174</v>
      </c>
      <c r="E60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606" s="79" t="s">
        <v>391</v>
      </c>
      <c r="G606" s="79" t="s">
        <v>392</v>
      </c>
      <c r="H606" s="140" t="s">
        <v>2175</v>
      </c>
      <c r="I606" s="77" t="s">
        <v>2176</v>
      </c>
      <c r="J606" s="144" t="s">
        <v>2177</v>
      </c>
      <c r="K606" s="77" t="s">
        <v>169</v>
      </c>
      <c r="L606" s="103" t="str">
        <f>VLOOKUP(Anexo_4[[#This Row],[cod_doc]],TIPODOC,2,FALSE)</f>
        <v>FACTURA</v>
      </c>
      <c r="M606" s="77" t="s">
        <v>421</v>
      </c>
      <c r="N606" s="79">
        <v>11180</v>
      </c>
      <c r="O606" s="80">
        <v>101.69</v>
      </c>
      <c r="P606" s="81"/>
      <c r="Q606" s="81">
        <v>18.304199999999998</v>
      </c>
      <c r="R606" s="80"/>
      <c r="S606" s="80">
        <v>0</v>
      </c>
      <c r="T606" s="82">
        <v>120</v>
      </c>
      <c r="U606" s="77"/>
      <c r="V606" s="75"/>
      <c r="W606" s="77"/>
      <c r="X606" s="77"/>
      <c r="Y606" s="77" t="s">
        <v>2169</v>
      </c>
      <c r="Z606" s="77" t="s">
        <v>710</v>
      </c>
      <c r="AA606" s="83" t="s">
        <v>2175</v>
      </c>
      <c r="AB606" s="104" t="str">
        <f>IFERROR(VLOOKUP(Anexo_4[[#This Row],[cuenta]],OP,2,0),"-")</f>
        <v>Accesorios Vehiculares</v>
      </c>
    </row>
    <row r="607" spans="1:28" s="84" customFormat="1" ht="27" customHeight="1" x14ac:dyDescent="0.3">
      <c r="A607" s="75" t="s">
        <v>2013</v>
      </c>
      <c r="B607" s="36" t="str">
        <f t="shared" si="9"/>
        <v>Julio</v>
      </c>
      <c r="C607" s="77" t="s">
        <v>162</v>
      </c>
      <c r="D607" s="77" t="s">
        <v>2178</v>
      </c>
      <c r="E607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607" s="79" t="s">
        <v>248</v>
      </c>
      <c r="G607" s="79" t="s">
        <v>249</v>
      </c>
      <c r="H607" s="140" t="s">
        <v>2179</v>
      </c>
      <c r="I607" s="77" t="s">
        <v>1111</v>
      </c>
      <c r="J607" s="144" t="s">
        <v>1112</v>
      </c>
      <c r="K607" s="77" t="s">
        <v>169</v>
      </c>
      <c r="L607" s="103" t="str">
        <f>VLOOKUP(Anexo_4[[#This Row],[cod_doc]],TIPODOC,2,FALSE)</f>
        <v>FACTURA</v>
      </c>
      <c r="M607" s="77" t="s">
        <v>1113</v>
      </c>
      <c r="N607" s="79">
        <v>6945</v>
      </c>
      <c r="O607" s="80">
        <v>386.82</v>
      </c>
      <c r="P607" s="81"/>
      <c r="Q607" s="81">
        <v>69.627600000000001</v>
      </c>
      <c r="R607" s="80"/>
      <c r="S607" s="80">
        <v>0</v>
      </c>
      <c r="T607" s="82">
        <v>456.45</v>
      </c>
      <c r="U607" s="77" t="s">
        <v>2180</v>
      </c>
      <c r="V607" s="75" t="s">
        <v>1843</v>
      </c>
      <c r="W607" s="77"/>
      <c r="X607" s="77"/>
      <c r="Y607" s="77" t="s">
        <v>2181</v>
      </c>
      <c r="Z607" s="77" t="s">
        <v>256</v>
      </c>
      <c r="AA607" s="83" t="s">
        <v>2179</v>
      </c>
      <c r="AB607" s="104" t="str">
        <f>IFERROR(VLOOKUP(Anexo_4[[#This Row],[cuenta]],OP,2,0),"-")</f>
        <v>Materias Primas - RRSS</v>
      </c>
    </row>
    <row r="608" spans="1:28" s="84" customFormat="1" ht="27" customHeight="1" x14ac:dyDescent="0.3">
      <c r="A608" s="75" t="s">
        <v>2013</v>
      </c>
      <c r="B608" s="36" t="str">
        <f t="shared" si="9"/>
        <v>Julio</v>
      </c>
      <c r="C608" s="77" t="s">
        <v>162</v>
      </c>
      <c r="D608" s="77" t="s">
        <v>2182</v>
      </c>
      <c r="E608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608" s="79" t="s">
        <v>248</v>
      </c>
      <c r="G608" s="79" t="s">
        <v>249</v>
      </c>
      <c r="H608" s="140" t="s">
        <v>2183</v>
      </c>
      <c r="I608" s="77" t="s">
        <v>1111</v>
      </c>
      <c r="J608" s="144" t="s">
        <v>1112</v>
      </c>
      <c r="K608" s="77" t="s">
        <v>169</v>
      </c>
      <c r="L608" s="103" t="str">
        <f>VLOOKUP(Anexo_4[[#This Row],[cod_doc]],TIPODOC,2,FALSE)</f>
        <v>FACTURA</v>
      </c>
      <c r="M608" s="77" t="s">
        <v>1113</v>
      </c>
      <c r="N608" s="79">
        <v>6944</v>
      </c>
      <c r="O608" s="80">
        <v>294.79000000000002</v>
      </c>
      <c r="P608" s="81"/>
      <c r="Q608" s="81">
        <v>53.062200000000004</v>
      </c>
      <c r="R608" s="80"/>
      <c r="S608" s="80">
        <v>0</v>
      </c>
      <c r="T608" s="82">
        <v>347.85</v>
      </c>
      <c r="U608" s="77" t="s">
        <v>2184</v>
      </c>
      <c r="V608" s="75" t="s">
        <v>1843</v>
      </c>
      <c r="W608" s="77"/>
      <c r="X608" s="77"/>
      <c r="Y608" s="77" t="s">
        <v>2185</v>
      </c>
      <c r="Z608" s="77" t="s">
        <v>256</v>
      </c>
      <c r="AA608" s="83" t="s">
        <v>2183</v>
      </c>
      <c r="AB608" s="104" t="str">
        <f>IFERROR(VLOOKUP(Anexo_4[[#This Row],[cuenta]],OP,2,0),"-")</f>
        <v>Materias Primas - RRSS</v>
      </c>
    </row>
    <row r="609" spans="1:28" s="84" customFormat="1" ht="27" customHeight="1" x14ac:dyDescent="0.3">
      <c r="A609" s="75" t="s">
        <v>2013</v>
      </c>
      <c r="B609" s="36" t="str">
        <f t="shared" si="9"/>
        <v>Julio</v>
      </c>
      <c r="C609" s="77" t="s">
        <v>162</v>
      </c>
      <c r="D609" s="77" t="s">
        <v>2186</v>
      </c>
      <c r="E609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609" s="79" t="s">
        <v>248</v>
      </c>
      <c r="G609" s="79" t="s">
        <v>249</v>
      </c>
      <c r="H609" s="140" t="s">
        <v>2187</v>
      </c>
      <c r="I609" s="77" t="s">
        <v>1111</v>
      </c>
      <c r="J609" s="144" t="s">
        <v>1112</v>
      </c>
      <c r="K609" s="77" t="s">
        <v>169</v>
      </c>
      <c r="L609" s="103" t="str">
        <f>VLOOKUP(Anexo_4[[#This Row],[cod_doc]],TIPODOC,2,FALSE)</f>
        <v>FACTURA</v>
      </c>
      <c r="M609" s="77" t="s">
        <v>1113</v>
      </c>
      <c r="N609" s="79">
        <v>6940</v>
      </c>
      <c r="O609" s="80">
        <v>424.58</v>
      </c>
      <c r="P609" s="81"/>
      <c r="Q609" s="81">
        <v>76.424399999999991</v>
      </c>
      <c r="R609" s="80"/>
      <c r="S609" s="80">
        <v>0</v>
      </c>
      <c r="T609" s="82">
        <v>501</v>
      </c>
      <c r="U609" s="77" t="s">
        <v>2188</v>
      </c>
      <c r="V609" s="75" t="s">
        <v>1843</v>
      </c>
      <c r="W609" s="77"/>
      <c r="X609" s="77"/>
      <c r="Y609" s="77" t="s">
        <v>2189</v>
      </c>
      <c r="Z609" s="77" t="s">
        <v>256</v>
      </c>
      <c r="AA609" s="83" t="s">
        <v>2187</v>
      </c>
      <c r="AB609" s="104" t="str">
        <f>IFERROR(VLOOKUP(Anexo_4[[#This Row],[cuenta]],OP,2,0),"-")</f>
        <v>Materias Primas - RRSS</v>
      </c>
    </row>
    <row r="610" spans="1:28" s="84" customFormat="1" ht="27" customHeight="1" x14ac:dyDescent="0.3">
      <c r="A610" s="75" t="s">
        <v>2013</v>
      </c>
      <c r="B610" s="36" t="str">
        <f t="shared" si="9"/>
        <v>Julio</v>
      </c>
      <c r="C610" s="77" t="s">
        <v>162</v>
      </c>
      <c r="D610" s="77" t="s">
        <v>2190</v>
      </c>
      <c r="E610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610" s="79" t="s">
        <v>248</v>
      </c>
      <c r="G610" s="79" t="s">
        <v>249</v>
      </c>
      <c r="H610" s="140" t="s">
        <v>2191</v>
      </c>
      <c r="I610" s="77" t="s">
        <v>1111</v>
      </c>
      <c r="J610" s="144" t="s">
        <v>1112</v>
      </c>
      <c r="K610" s="77" t="s">
        <v>169</v>
      </c>
      <c r="L610" s="103" t="str">
        <f>VLOOKUP(Anexo_4[[#This Row],[cod_doc]],TIPODOC,2,FALSE)</f>
        <v>FACTURA</v>
      </c>
      <c r="M610" s="77" t="s">
        <v>1113</v>
      </c>
      <c r="N610" s="79">
        <v>6942</v>
      </c>
      <c r="O610" s="80">
        <v>593.61</v>
      </c>
      <c r="P610" s="81"/>
      <c r="Q610" s="81">
        <v>106.8498</v>
      </c>
      <c r="R610" s="80"/>
      <c r="S610" s="80">
        <v>0</v>
      </c>
      <c r="T610" s="82">
        <v>700.45</v>
      </c>
      <c r="U610" s="77"/>
      <c r="V610" s="75"/>
      <c r="W610" s="77"/>
      <c r="X610" s="77"/>
      <c r="Y610" s="77" t="s">
        <v>2192</v>
      </c>
      <c r="Z610" s="77" t="s">
        <v>256</v>
      </c>
      <c r="AA610" s="83" t="s">
        <v>2191</v>
      </c>
      <c r="AB610" s="104" t="str">
        <f>IFERROR(VLOOKUP(Anexo_4[[#This Row],[cuenta]],OP,2,0),"-")</f>
        <v>Materias Primas - RRSS</v>
      </c>
    </row>
    <row r="611" spans="1:28" s="84" customFormat="1" ht="27" customHeight="1" x14ac:dyDescent="0.3">
      <c r="A611" s="75" t="s">
        <v>2106</v>
      </c>
      <c r="B611" s="36" t="str">
        <f t="shared" si="9"/>
        <v>Julio</v>
      </c>
      <c r="C611" s="77" t="s">
        <v>162</v>
      </c>
      <c r="D611" s="77" t="s">
        <v>2193</v>
      </c>
      <c r="E611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611" s="79" t="s">
        <v>442</v>
      </c>
      <c r="G611" s="79" t="s">
        <v>443</v>
      </c>
      <c r="H611" s="140" t="s">
        <v>2194</v>
      </c>
      <c r="I611" s="77" t="s">
        <v>2195</v>
      </c>
      <c r="J611" s="144" t="s">
        <v>2196</v>
      </c>
      <c r="K611" s="77" t="s">
        <v>169</v>
      </c>
      <c r="L611" s="103" t="str">
        <f>VLOOKUP(Anexo_4[[#This Row],[cod_doc]],TIPODOC,2,FALSE)</f>
        <v>FACTURA</v>
      </c>
      <c r="M611" s="77" t="s">
        <v>102</v>
      </c>
      <c r="N611" s="79">
        <v>823</v>
      </c>
      <c r="O611" s="80">
        <v>5567.8</v>
      </c>
      <c r="P611" s="81"/>
      <c r="Q611" s="81">
        <v>1002.204</v>
      </c>
      <c r="R611" s="80"/>
      <c r="S611" s="80">
        <v>0</v>
      </c>
      <c r="T611" s="82">
        <v>6570</v>
      </c>
      <c r="U611" s="77"/>
      <c r="V611" s="75"/>
      <c r="W611" s="77"/>
      <c r="X611" s="77"/>
      <c r="Y611" s="77" t="s">
        <v>2197</v>
      </c>
      <c r="Z611" s="77" t="s">
        <v>846</v>
      </c>
      <c r="AA611" s="83" t="s">
        <v>2194</v>
      </c>
      <c r="AB611" s="104" t="str">
        <f>IFERROR(VLOOKUP(Anexo_4[[#This Row],[cuenta]],OP,2,0),"-")</f>
        <v>-</v>
      </c>
    </row>
    <row r="612" spans="1:28" s="84" customFormat="1" ht="27" customHeight="1" x14ac:dyDescent="0.3">
      <c r="A612" s="75" t="s">
        <v>2013</v>
      </c>
      <c r="B612" s="36" t="str">
        <f t="shared" si="9"/>
        <v>Julio</v>
      </c>
      <c r="C612" s="77" t="s">
        <v>162</v>
      </c>
      <c r="D612" s="77" t="s">
        <v>2198</v>
      </c>
      <c r="E61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612" s="79" t="s">
        <v>248</v>
      </c>
      <c r="G612" s="79" t="s">
        <v>249</v>
      </c>
      <c r="H612" s="140" t="s">
        <v>2199</v>
      </c>
      <c r="I612" s="77" t="s">
        <v>1111</v>
      </c>
      <c r="J612" s="144" t="s">
        <v>1112</v>
      </c>
      <c r="K612" s="77" t="s">
        <v>169</v>
      </c>
      <c r="L612" s="103" t="str">
        <f>VLOOKUP(Anexo_4[[#This Row],[cod_doc]],TIPODOC,2,FALSE)</f>
        <v>FACTURA</v>
      </c>
      <c r="M612" s="77" t="s">
        <v>1113</v>
      </c>
      <c r="N612" s="79">
        <v>6941</v>
      </c>
      <c r="O612" s="80">
        <v>41.53</v>
      </c>
      <c r="P612" s="81"/>
      <c r="Q612" s="81">
        <v>7.4753999999999996</v>
      </c>
      <c r="R612" s="80"/>
      <c r="S612" s="80">
        <v>0</v>
      </c>
      <c r="T612" s="82">
        <v>49.01</v>
      </c>
      <c r="U612" s="77" t="s">
        <v>2200</v>
      </c>
      <c r="V612" s="75" t="s">
        <v>1843</v>
      </c>
      <c r="W612" s="77"/>
      <c r="X612" s="77"/>
      <c r="Y612" s="77"/>
      <c r="Z612" s="77" t="s">
        <v>256</v>
      </c>
      <c r="AA612" s="83" t="s">
        <v>2199</v>
      </c>
      <c r="AB612" s="104" t="str">
        <f>IFERROR(VLOOKUP(Anexo_4[[#This Row],[cuenta]],OP,2,0),"-")</f>
        <v>Materias Primas - RRSS</v>
      </c>
    </row>
    <row r="613" spans="1:28" s="84" customFormat="1" ht="27" customHeight="1" x14ac:dyDescent="0.3">
      <c r="A613" s="75" t="s">
        <v>2013</v>
      </c>
      <c r="B613" s="36" t="str">
        <f t="shared" si="9"/>
        <v>Julio</v>
      </c>
      <c r="C613" s="77" t="s">
        <v>162</v>
      </c>
      <c r="D613" s="77" t="s">
        <v>2201</v>
      </c>
      <c r="E613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613" s="79" t="s">
        <v>248</v>
      </c>
      <c r="G613" s="79" t="s">
        <v>249</v>
      </c>
      <c r="H613" s="140" t="s">
        <v>2202</v>
      </c>
      <c r="I613" s="77" t="s">
        <v>1111</v>
      </c>
      <c r="J613" s="144" t="s">
        <v>1112</v>
      </c>
      <c r="K613" s="77" t="s">
        <v>169</v>
      </c>
      <c r="L613" s="103" t="str">
        <f>VLOOKUP(Anexo_4[[#This Row],[cod_doc]],TIPODOC,2,FALSE)</f>
        <v>FACTURA</v>
      </c>
      <c r="M613" s="77" t="s">
        <v>1113</v>
      </c>
      <c r="N613" s="79">
        <v>6943</v>
      </c>
      <c r="O613" s="80">
        <v>248.14</v>
      </c>
      <c r="P613" s="81"/>
      <c r="Q613" s="81">
        <v>44.665199999999999</v>
      </c>
      <c r="R613" s="80"/>
      <c r="S613" s="80">
        <v>0</v>
      </c>
      <c r="T613" s="82">
        <v>292.81</v>
      </c>
      <c r="U613" s="77" t="s">
        <v>2203</v>
      </c>
      <c r="V613" s="75" t="s">
        <v>1843</v>
      </c>
      <c r="W613" s="77"/>
      <c r="X613" s="77"/>
      <c r="Y613" s="77"/>
      <c r="Z613" s="77" t="s">
        <v>256</v>
      </c>
      <c r="AA613" s="83" t="s">
        <v>2202</v>
      </c>
      <c r="AB613" s="104" t="str">
        <f>IFERROR(VLOOKUP(Anexo_4[[#This Row],[cuenta]],OP,2,0),"-")</f>
        <v>Materias Primas - RRSS</v>
      </c>
    </row>
    <row r="614" spans="1:28" s="84" customFormat="1" ht="27" customHeight="1" x14ac:dyDescent="0.3">
      <c r="A614" s="75" t="s">
        <v>1843</v>
      </c>
      <c r="B614" s="36" t="str">
        <f t="shared" si="9"/>
        <v>Julio</v>
      </c>
      <c r="C614" s="77" t="s">
        <v>162</v>
      </c>
      <c r="D614" s="77" t="s">
        <v>2204</v>
      </c>
      <c r="E614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614" s="79" t="s">
        <v>248</v>
      </c>
      <c r="G614" s="79" t="s">
        <v>249</v>
      </c>
      <c r="H614" s="140" t="s">
        <v>2205</v>
      </c>
      <c r="I614" s="77" t="s">
        <v>536</v>
      </c>
      <c r="J614" s="144" t="s">
        <v>537</v>
      </c>
      <c r="K614" s="77" t="s">
        <v>169</v>
      </c>
      <c r="L614" s="103" t="str">
        <f>VLOOKUP(Anexo_4[[#This Row],[cod_doc]],TIPODOC,2,FALSE)</f>
        <v>FACTURA</v>
      </c>
      <c r="M614" s="77" t="s">
        <v>538</v>
      </c>
      <c r="N614" s="79">
        <v>6615</v>
      </c>
      <c r="O614" s="80">
        <v>572</v>
      </c>
      <c r="P614" s="81"/>
      <c r="Q614" s="81">
        <v>102.96</v>
      </c>
      <c r="R614" s="80"/>
      <c r="S614" s="80">
        <v>0</v>
      </c>
      <c r="T614" s="82">
        <v>674.96</v>
      </c>
      <c r="U614" s="77" t="s">
        <v>2206</v>
      </c>
      <c r="V614" s="75" t="s">
        <v>1843</v>
      </c>
      <c r="W614" s="77"/>
      <c r="X614" s="77"/>
      <c r="Y614" s="77"/>
      <c r="Z614" s="77" t="s">
        <v>256</v>
      </c>
      <c r="AA614" s="83" t="s">
        <v>2205</v>
      </c>
      <c r="AB614" s="104" t="str">
        <f>IFERROR(VLOOKUP(Anexo_4[[#This Row],[cuenta]],OP,2,0),"-")</f>
        <v>Materias Primas - RRSS</v>
      </c>
    </row>
    <row r="615" spans="1:28" s="84" customFormat="1" ht="27" customHeight="1" x14ac:dyDescent="0.3">
      <c r="A615" s="75" t="s">
        <v>1843</v>
      </c>
      <c r="B615" s="36" t="str">
        <f t="shared" si="9"/>
        <v>Julio</v>
      </c>
      <c r="C615" s="77" t="s">
        <v>162</v>
      </c>
      <c r="D615" s="77" t="s">
        <v>2207</v>
      </c>
      <c r="E61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615" s="79" t="s">
        <v>248</v>
      </c>
      <c r="G615" s="79" t="s">
        <v>249</v>
      </c>
      <c r="H615" s="140" t="s">
        <v>2208</v>
      </c>
      <c r="I615" s="77" t="s">
        <v>536</v>
      </c>
      <c r="J615" s="144" t="s">
        <v>537</v>
      </c>
      <c r="K615" s="77" t="s">
        <v>169</v>
      </c>
      <c r="L615" s="103" t="str">
        <f>VLOOKUP(Anexo_4[[#This Row],[cod_doc]],TIPODOC,2,FALSE)</f>
        <v>FACTURA</v>
      </c>
      <c r="M615" s="77" t="s">
        <v>538</v>
      </c>
      <c r="N615" s="79">
        <v>6616</v>
      </c>
      <c r="O615" s="80">
        <v>167.4</v>
      </c>
      <c r="P615" s="81"/>
      <c r="Q615" s="81">
        <v>30.132000000000001</v>
      </c>
      <c r="R615" s="80"/>
      <c r="S615" s="80">
        <v>0</v>
      </c>
      <c r="T615" s="82">
        <v>197.53</v>
      </c>
      <c r="U615" s="77" t="s">
        <v>2209</v>
      </c>
      <c r="V615" s="75" t="s">
        <v>1843</v>
      </c>
      <c r="W615" s="77"/>
      <c r="X615" s="77"/>
      <c r="Y615" s="77"/>
      <c r="Z615" s="77" t="s">
        <v>256</v>
      </c>
      <c r="AA615" s="83" t="s">
        <v>2208</v>
      </c>
      <c r="AB615" s="104" t="str">
        <f>IFERROR(VLOOKUP(Anexo_4[[#This Row],[cuenta]],OP,2,0),"-")</f>
        <v>Materias Primas - RRSS</v>
      </c>
    </row>
    <row r="616" spans="1:28" s="84" customFormat="1" ht="27" customHeight="1" x14ac:dyDescent="0.3">
      <c r="A616" s="75" t="s">
        <v>1843</v>
      </c>
      <c r="B616" s="36" t="str">
        <f t="shared" si="9"/>
        <v>Julio</v>
      </c>
      <c r="C616" s="77" t="s">
        <v>162</v>
      </c>
      <c r="D616" s="77" t="s">
        <v>2210</v>
      </c>
      <c r="E61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616" s="79" t="s">
        <v>248</v>
      </c>
      <c r="G616" s="79" t="s">
        <v>249</v>
      </c>
      <c r="H616" s="140" t="s">
        <v>2211</v>
      </c>
      <c r="I616" s="77" t="s">
        <v>536</v>
      </c>
      <c r="J616" s="144" t="s">
        <v>537</v>
      </c>
      <c r="K616" s="77" t="s">
        <v>169</v>
      </c>
      <c r="L616" s="103" t="str">
        <f>VLOOKUP(Anexo_4[[#This Row],[cod_doc]],TIPODOC,2,FALSE)</f>
        <v>FACTURA</v>
      </c>
      <c r="M616" s="77" t="s">
        <v>538</v>
      </c>
      <c r="N616" s="79">
        <v>6617</v>
      </c>
      <c r="O616" s="80">
        <v>333</v>
      </c>
      <c r="P616" s="81"/>
      <c r="Q616" s="81">
        <v>59.94</v>
      </c>
      <c r="R616" s="80"/>
      <c r="S616" s="80">
        <v>0</v>
      </c>
      <c r="T616" s="82">
        <v>392.94</v>
      </c>
      <c r="U616" s="77" t="s">
        <v>2212</v>
      </c>
      <c r="V616" s="75" t="s">
        <v>1843</v>
      </c>
      <c r="W616" s="77"/>
      <c r="X616" s="77"/>
      <c r="Y616" s="77"/>
      <c r="Z616" s="77" t="s">
        <v>256</v>
      </c>
      <c r="AA616" s="83" t="s">
        <v>2211</v>
      </c>
      <c r="AB616" s="104" t="str">
        <f>IFERROR(VLOOKUP(Anexo_4[[#This Row],[cuenta]],OP,2,0),"-")</f>
        <v>Materias Primas - RRSS</v>
      </c>
    </row>
    <row r="617" spans="1:28" s="84" customFormat="1" ht="27" customHeight="1" x14ac:dyDescent="0.3">
      <c r="A617" s="75" t="s">
        <v>1843</v>
      </c>
      <c r="B617" s="36" t="str">
        <f t="shared" si="9"/>
        <v>Julio</v>
      </c>
      <c r="C617" s="77" t="s">
        <v>162</v>
      </c>
      <c r="D617" s="77" t="s">
        <v>2213</v>
      </c>
      <c r="E617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617" s="79" t="s">
        <v>248</v>
      </c>
      <c r="G617" s="79" t="s">
        <v>249</v>
      </c>
      <c r="H617" s="140" t="s">
        <v>2214</v>
      </c>
      <c r="I617" s="77" t="s">
        <v>536</v>
      </c>
      <c r="J617" s="144" t="s">
        <v>537</v>
      </c>
      <c r="K617" s="77" t="s">
        <v>169</v>
      </c>
      <c r="L617" s="103" t="str">
        <f>VLOOKUP(Anexo_4[[#This Row],[cod_doc]],TIPODOC,2,FALSE)</f>
        <v>FACTURA</v>
      </c>
      <c r="M617" s="77" t="s">
        <v>538</v>
      </c>
      <c r="N617" s="79">
        <v>6619</v>
      </c>
      <c r="O617" s="80">
        <v>9.6</v>
      </c>
      <c r="P617" s="81"/>
      <c r="Q617" s="81">
        <v>1.728</v>
      </c>
      <c r="R617" s="80"/>
      <c r="S617" s="80">
        <v>0</v>
      </c>
      <c r="T617" s="82">
        <v>11.33</v>
      </c>
      <c r="U617" s="77" t="s">
        <v>2215</v>
      </c>
      <c r="V617" s="75" t="s">
        <v>1843</v>
      </c>
      <c r="W617" s="77"/>
      <c r="X617" s="77"/>
      <c r="Y617" s="77"/>
      <c r="Z617" s="77" t="s">
        <v>256</v>
      </c>
      <c r="AA617" s="83" t="s">
        <v>2214</v>
      </c>
      <c r="AB617" s="104" t="str">
        <f>IFERROR(VLOOKUP(Anexo_4[[#This Row],[cuenta]],OP,2,0),"-")</f>
        <v>Materias Primas - RRSS</v>
      </c>
    </row>
    <row r="618" spans="1:28" s="84" customFormat="1" ht="27" customHeight="1" x14ac:dyDescent="0.3">
      <c r="A618" s="75" t="s">
        <v>1843</v>
      </c>
      <c r="B618" s="36" t="str">
        <f t="shared" si="9"/>
        <v>Julio</v>
      </c>
      <c r="C618" s="77" t="s">
        <v>162</v>
      </c>
      <c r="D618" s="77" t="s">
        <v>2216</v>
      </c>
      <c r="E618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618" s="79" t="s">
        <v>248</v>
      </c>
      <c r="G618" s="79" t="s">
        <v>249</v>
      </c>
      <c r="H618" s="140" t="s">
        <v>2217</v>
      </c>
      <c r="I618" s="77" t="s">
        <v>536</v>
      </c>
      <c r="J618" s="144" t="s">
        <v>537</v>
      </c>
      <c r="K618" s="77" t="s">
        <v>169</v>
      </c>
      <c r="L618" s="103" t="str">
        <f>VLOOKUP(Anexo_4[[#This Row],[cod_doc]],TIPODOC,2,FALSE)</f>
        <v>FACTURA</v>
      </c>
      <c r="M618" s="77" t="s">
        <v>538</v>
      </c>
      <c r="N618" s="79">
        <v>6620</v>
      </c>
      <c r="O618" s="80">
        <v>430</v>
      </c>
      <c r="P618" s="81"/>
      <c r="Q618" s="81">
        <v>77.399999999999991</v>
      </c>
      <c r="R618" s="80"/>
      <c r="S618" s="80">
        <v>0</v>
      </c>
      <c r="T618" s="82">
        <v>507.4</v>
      </c>
      <c r="U618" s="77" t="s">
        <v>2218</v>
      </c>
      <c r="V618" s="75" t="s">
        <v>1843</v>
      </c>
      <c r="W618" s="77"/>
      <c r="X618" s="77"/>
      <c r="Y618" s="77"/>
      <c r="Z618" s="77" t="s">
        <v>256</v>
      </c>
      <c r="AA618" s="83" t="s">
        <v>2217</v>
      </c>
      <c r="AB618" s="104" t="str">
        <f>IFERROR(VLOOKUP(Anexo_4[[#This Row],[cuenta]],OP,2,0),"-")</f>
        <v>Materias Primas - RRSS</v>
      </c>
    </row>
    <row r="619" spans="1:28" s="84" customFormat="1" ht="27" customHeight="1" x14ac:dyDescent="0.3">
      <c r="A619" s="75" t="s">
        <v>1843</v>
      </c>
      <c r="B619" s="36" t="str">
        <f t="shared" si="9"/>
        <v>Julio</v>
      </c>
      <c r="C619" s="77" t="s">
        <v>162</v>
      </c>
      <c r="D619" s="77" t="s">
        <v>2219</v>
      </c>
      <c r="E619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619" s="79" t="s">
        <v>248</v>
      </c>
      <c r="G619" s="79" t="s">
        <v>249</v>
      </c>
      <c r="H619" s="140" t="s">
        <v>2220</v>
      </c>
      <c r="I619" s="77" t="s">
        <v>536</v>
      </c>
      <c r="J619" s="144" t="s">
        <v>537</v>
      </c>
      <c r="K619" s="77" t="s">
        <v>169</v>
      </c>
      <c r="L619" s="103" t="str">
        <f>VLOOKUP(Anexo_4[[#This Row],[cod_doc]],TIPODOC,2,FALSE)</f>
        <v>FACTURA</v>
      </c>
      <c r="M619" s="77" t="s">
        <v>538</v>
      </c>
      <c r="N619" s="79">
        <v>6621</v>
      </c>
      <c r="O619" s="80">
        <v>31.5</v>
      </c>
      <c r="P619" s="81"/>
      <c r="Q619" s="81">
        <v>5.67</v>
      </c>
      <c r="R619" s="80"/>
      <c r="S619" s="80">
        <v>0</v>
      </c>
      <c r="T619" s="82">
        <v>37.17</v>
      </c>
      <c r="U619" s="77" t="s">
        <v>2221</v>
      </c>
      <c r="V619" s="75" t="s">
        <v>1843</v>
      </c>
      <c r="W619" s="77"/>
      <c r="X619" s="77"/>
      <c r="Y619" s="77"/>
      <c r="Z619" s="77" t="s">
        <v>256</v>
      </c>
      <c r="AA619" s="83" t="s">
        <v>2220</v>
      </c>
      <c r="AB619" s="104" t="str">
        <f>IFERROR(VLOOKUP(Anexo_4[[#This Row],[cuenta]],OP,2,0),"-")</f>
        <v>Materias Primas - RRSS</v>
      </c>
    </row>
    <row r="620" spans="1:28" s="84" customFormat="1" ht="27" customHeight="1" x14ac:dyDescent="0.3">
      <c r="A620" s="75" t="s">
        <v>1843</v>
      </c>
      <c r="B620" s="36" t="str">
        <f t="shared" si="9"/>
        <v>Julio</v>
      </c>
      <c r="C620" s="77" t="s">
        <v>162</v>
      </c>
      <c r="D620" s="77" t="s">
        <v>2222</v>
      </c>
      <c r="E620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620" s="79" t="s">
        <v>248</v>
      </c>
      <c r="G620" s="79" t="s">
        <v>249</v>
      </c>
      <c r="H620" s="140" t="s">
        <v>2223</v>
      </c>
      <c r="I620" s="77" t="s">
        <v>536</v>
      </c>
      <c r="J620" s="144" t="s">
        <v>537</v>
      </c>
      <c r="K620" s="77" t="s">
        <v>169</v>
      </c>
      <c r="L620" s="103" t="str">
        <f>VLOOKUP(Anexo_4[[#This Row],[cod_doc]],TIPODOC,2,FALSE)</f>
        <v>FACTURA</v>
      </c>
      <c r="M620" s="77" t="s">
        <v>538</v>
      </c>
      <c r="N620" s="79">
        <v>6618</v>
      </c>
      <c r="O620" s="80">
        <v>65</v>
      </c>
      <c r="P620" s="81"/>
      <c r="Q620" s="81">
        <v>11.7</v>
      </c>
      <c r="R620" s="80"/>
      <c r="S620" s="80">
        <v>0</v>
      </c>
      <c r="T620" s="82">
        <v>76.7</v>
      </c>
      <c r="U620" s="77" t="s">
        <v>2224</v>
      </c>
      <c r="V620" s="75" t="s">
        <v>1843</v>
      </c>
      <c r="W620" s="77"/>
      <c r="X620" s="77"/>
      <c r="Y620" s="77"/>
      <c r="Z620" s="77" t="s">
        <v>256</v>
      </c>
      <c r="AA620" s="83" t="s">
        <v>2223</v>
      </c>
      <c r="AB620" s="104" t="str">
        <f>IFERROR(VLOOKUP(Anexo_4[[#This Row],[cuenta]],OP,2,0),"-")</f>
        <v>Materias Primas - RRSS</v>
      </c>
    </row>
    <row r="621" spans="1:28" s="84" customFormat="1" ht="27" customHeight="1" x14ac:dyDescent="0.3">
      <c r="A621" s="75" t="s">
        <v>2225</v>
      </c>
      <c r="B621" s="36" t="str">
        <f t="shared" si="9"/>
        <v>Julio</v>
      </c>
      <c r="C621" s="77" t="s">
        <v>162</v>
      </c>
      <c r="D621" s="77" t="s">
        <v>2226</v>
      </c>
      <c r="E62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621" s="79" t="s">
        <v>248</v>
      </c>
      <c r="G621" s="79" t="s">
        <v>249</v>
      </c>
      <c r="H621" s="140" t="s">
        <v>2227</v>
      </c>
      <c r="I621" s="77" t="s">
        <v>1111</v>
      </c>
      <c r="J621" s="144" t="s">
        <v>1112</v>
      </c>
      <c r="K621" s="77" t="s">
        <v>1896</v>
      </c>
      <c r="L621" s="103" t="str">
        <f>VLOOKUP(Anexo_4[[#This Row],[cod_doc]],TIPODOC,2,FALSE)</f>
        <v>NOTA DE CREDITO</v>
      </c>
      <c r="M621" s="77" t="s">
        <v>1113</v>
      </c>
      <c r="N621" s="79">
        <v>471</v>
      </c>
      <c r="O621" s="80">
        <v>-1322.88</v>
      </c>
      <c r="P621" s="81"/>
      <c r="Q621" s="81">
        <v>-238.12</v>
      </c>
      <c r="R621" s="80"/>
      <c r="S621" s="80">
        <v>0</v>
      </c>
      <c r="T621" s="82">
        <v>-1561</v>
      </c>
      <c r="U621" s="77"/>
      <c r="V621" s="75"/>
      <c r="W621" s="77" t="s">
        <v>162</v>
      </c>
      <c r="X621" s="77" t="s">
        <v>1113</v>
      </c>
      <c r="Y621" s="77" t="s">
        <v>2228</v>
      </c>
      <c r="Z621" s="77" t="s">
        <v>256</v>
      </c>
      <c r="AA621" s="83" t="s">
        <v>2227</v>
      </c>
      <c r="AB621" s="104" t="str">
        <f>IFERROR(VLOOKUP(Anexo_4[[#This Row],[cuenta]],OP,2,0),"-")</f>
        <v>Materias Primas - RRSS</v>
      </c>
    </row>
    <row r="622" spans="1:28" s="84" customFormat="1" ht="27" customHeight="1" x14ac:dyDescent="0.3">
      <c r="A622" s="75" t="s">
        <v>2225</v>
      </c>
      <c r="B622" s="36" t="str">
        <f t="shared" si="9"/>
        <v>Julio</v>
      </c>
      <c r="C622" s="77" t="s">
        <v>162</v>
      </c>
      <c r="D622" s="77" t="s">
        <v>2229</v>
      </c>
      <c r="E62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622" s="79" t="s">
        <v>248</v>
      </c>
      <c r="G622" s="79" t="s">
        <v>249</v>
      </c>
      <c r="H622" s="140" t="s">
        <v>2230</v>
      </c>
      <c r="I622" s="77" t="s">
        <v>1111</v>
      </c>
      <c r="J622" s="144" t="s">
        <v>1112</v>
      </c>
      <c r="K622" s="77" t="s">
        <v>1896</v>
      </c>
      <c r="L622" s="103" t="str">
        <f>VLOOKUP(Anexo_4[[#This Row],[cod_doc]],TIPODOC,2,FALSE)</f>
        <v>NOTA DE CREDITO</v>
      </c>
      <c r="M622" s="77" t="s">
        <v>1113</v>
      </c>
      <c r="N622" s="79">
        <v>472</v>
      </c>
      <c r="O622" s="80">
        <v>-593.61</v>
      </c>
      <c r="P622" s="81"/>
      <c r="Q622" s="81">
        <v>-106.84</v>
      </c>
      <c r="R622" s="80"/>
      <c r="S622" s="80">
        <v>0</v>
      </c>
      <c r="T622" s="82">
        <v>-700.45</v>
      </c>
      <c r="U622" s="77"/>
      <c r="V622" s="75"/>
      <c r="W622" s="77" t="s">
        <v>162</v>
      </c>
      <c r="X622" s="77" t="s">
        <v>1113</v>
      </c>
      <c r="Y622" s="77" t="s">
        <v>2231</v>
      </c>
      <c r="Z622" s="77" t="s">
        <v>256</v>
      </c>
      <c r="AA622" s="83" t="s">
        <v>2230</v>
      </c>
      <c r="AB622" s="104" t="str">
        <f>IFERROR(VLOOKUP(Anexo_4[[#This Row],[cuenta]],OP,2,0),"-")</f>
        <v>Materias Primas - RRSS</v>
      </c>
    </row>
    <row r="623" spans="1:28" s="84" customFormat="1" ht="27" customHeight="1" x14ac:dyDescent="0.3">
      <c r="A623" s="75" t="s">
        <v>2013</v>
      </c>
      <c r="B623" s="36" t="str">
        <f t="shared" si="9"/>
        <v>Julio</v>
      </c>
      <c r="C623" s="77" t="s">
        <v>162</v>
      </c>
      <c r="D623" s="77" t="s">
        <v>2232</v>
      </c>
      <c r="E623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623" s="79" t="s">
        <v>248</v>
      </c>
      <c r="G623" s="79" t="s">
        <v>249</v>
      </c>
      <c r="H623" s="140" t="s">
        <v>2233</v>
      </c>
      <c r="I623" s="77" t="s">
        <v>1111</v>
      </c>
      <c r="J623" s="144" t="s">
        <v>1112</v>
      </c>
      <c r="K623" s="77" t="s">
        <v>169</v>
      </c>
      <c r="L623" s="103" t="str">
        <f>VLOOKUP(Anexo_4[[#This Row],[cod_doc]],TIPODOC,2,FALSE)</f>
        <v>FACTURA</v>
      </c>
      <c r="M623" s="77" t="s">
        <v>1113</v>
      </c>
      <c r="N623" s="79">
        <v>6946</v>
      </c>
      <c r="O623" s="80">
        <v>593.42999999999995</v>
      </c>
      <c r="P623" s="81"/>
      <c r="Q623" s="81">
        <v>106.81739999999999</v>
      </c>
      <c r="R623" s="80"/>
      <c r="S623" s="80">
        <v>0</v>
      </c>
      <c r="T623" s="82">
        <v>700.25</v>
      </c>
      <c r="U623" s="77" t="s">
        <v>2234</v>
      </c>
      <c r="V623" s="75" t="s">
        <v>1843</v>
      </c>
      <c r="W623" s="77"/>
      <c r="X623" s="77"/>
      <c r="Y623" s="77" t="s">
        <v>2235</v>
      </c>
      <c r="Z623" s="77" t="s">
        <v>256</v>
      </c>
      <c r="AA623" s="83" t="s">
        <v>2233</v>
      </c>
      <c r="AB623" s="104" t="str">
        <f>IFERROR(VLOOKUP(Anexo_4[[#This Row],[cuenta]],OP,2,0),"-")</f>
        <v>Materias Primas - RRSS</v>
      </c>
    </row>
    <row r="624" spans="1:28" s="84" customFormat="1" ht="27" customHeight="1" x14ac:dyDescent="0.3">
      <c r="A624" s="75" t="s">
        <v>1843</v>
      </c>
      <c r="B624" s="36" t="str">
        <f t="shared" si="9"/>
        <v>Julio</v>
      </c>
      <c r="C624" s="77" t="s">
        <v>162</v>
      </c>
      <c r="D624" s="77" t="s">
        <v>2236</v>
      </c>
      <c r="E624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624" s="79" t="s">
        <v>248</v>
      </c>
      <c r="G624" s="79" t="s">
        <v>249</v>
      </c>
      <c r="H624" s="140" t="s">
        <v>2237</v>
      </c>
      <c r="I624" s="77" t="s">
        <v>980</v>
      </c>
      <c r="J624" s="144" t="s">
        <v>981</v>
      </c>
      <c r="K624" s="77" t="s">
        <v>169</v>
      </c>
      <c r="L624" s="103" t="str">
        <f>VLOOKUP(Anexo_4[[#This Row],[cod_doc]],TIPODOC,2,FALSE)</f>
        <v>FACTURA</v>
      </c>
      <c r="M624" s="77" t="s">
        <v>982</v>
      </c>
      <c r="N624" s="79">
        <v>1710</v>
      </c>
      <c r="O624" s="80">
        <v>565.67999999999995</v>
      </c>
      <c r="P624" s="81"/>
      <c r="Q624" s="81">
        <v>101.82239999999999</v>
      </c>
      <c r="R624" s="80"/>
      <c r="S624" s="80">
        <v>0</v>
      </c>
      <c r="T624" s="82">
        <v>667.5</v>
      </c>
      <c r="U624" s="77" t="s">
        <v>2238</v>
      </c>
      <c r="V624" s="75" t="s">
        <v>1780</v>
      </c>
      <c r="W624" s="77"/>
      <c r="X624" s="77"/>
      <c r="Y624" s="77" t="s">
        <v>2239</v>
      </c>
      <c r="Z624" s="77" t="s">
        <v>256</v>
      </c>
      <c r="AA624" s="83" t="s">
        <v>2237</v>
      </c>
      <c r="AB624" s="104" t="str">
        <f>IFERROR(VLOOKUP(Anexo_4[[#This Row],[cuenta]],OP,2,0),"-")</f>
        <v>Materias Primas - RRSS</v>
      </c>
    </row>
    <row r="625" spans="1:28" s="84" customFormat="1" ht="27" customHeight="1" x14ac:dyDescent="0.3">
      <c r="A625" s="75" t="s">
        <v>1993</v>
      </c>
      <c r="B625" s="36" t="str">
        <f t="shared" si="9"/>
        <v>Julio</v>
      </c>
      <c r="C625" s="77" t="s">
        <v>162</v>
      </c>
      <c r="D625" s="77" t="s">
        <v>2240</v>
      </c>
      <c r="E62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625" s="79" t="s">
        <v>248</v>
      </c>
      <c r="G625" s="79" t="s">
        <v>249</v>
      </c>
      <c r="H625" s="140" t="s">
        <v>2241</v>
      </c>
      <c r="I625" s="77" t="s">
        <v>625</v>
      </c>
      <c r="J625" s="144" t="s">
        <v>626</v>
      </c>
      <c r="K625" s="77" t="s">
        <v>169</v>
      </c>
      <c r="L625" s="103" t="str">
        <f>VLOOKUP(Anexo_4[[#This Row],[cod_doc]],TIPODOC,2,FALSE)</f>
        <v>FACTURA</v>
      </c>
      <c r="M625" s="77" t="s">
        <v>180</v>
      </c>
      <c r="N625" s="79">
        <v>16391</v>
      </c>
      <c r="O625" s="80">
        <v>170.83</v>
      </c>
      <c r="P625" s="81"/>
      <c r="Q625" s="81">
        <v>30.749400000000001</v>
      </c>
      <c r="R625" s="80"/>
      <c r="S625" s="80">
        <v>0</v>
      </c>
      <c r="T625" s="82">
        <v>201.58</v>
      </c>
      <c r="U625" s="77" t="s">
        <v>2242</v>
      </c>
      <c r="V625" s="75" t="s">
        <v>1780</v>
      </c>
      <c r="W625" s="77"/>
      <c r="X625" s="77"/>
      <c r="Y625" s="77" t="s">
        <v>2243</v>
      </c>
      <c r="Z625" s="77" t="s">
        <v>256</v>
      </c>
      <c r="AA625" s="83" t="s">
        <v>2241</v>
      </c>
      <c r="AB625" s="104" t="str">
        <f>IFERROR(VLOOKUP(Anexo_4[[#This Row],[cuenta]],OP,2,0),"-")</f>
        <v>Materias Primas - RRSS</v>
      </c>
    </row>
    <row r="626" spans="1:28" s="84" customFormat="1" ht="27" customHeight="1" x14ac:dyDescent="0.3">
      <c r="A626" s="75" t="s">
        <v>1916</v>
      </c>
      <c r="B626" s="36" t="str">
        <f t="shared" si="9"/>
        <v>Julio</v>
      </c>
      <c r="C626" s="77" t="s">
        <v>162</v>
      </c>
      <c r="D626" s="77" t="s">
        <v>2244</v>
      </c>
      <c r="E62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626" s="79" t="s">
        <v>248</v>
      </c>
      <c r="G626" s="79" t="s">
        <v>249</v>
      </c>
      <c r="H626" s="140" t="s">
        <v>2245</v>
      </c>
      <c r="I626" s="77" t="s">
        <v>625</v>
      </c>
      <c r="J626" s="144" t="s">
        <v>626</v>
      </c>
      <c r="K626" s="77" t="s">
        <v>169</v>
      </c>
      <c r="L626" s="103" t="str">
        <f>VLOOKUP(Anexo_4[[#This Row],[cod_doc]],TIPODOC,2,FALSE)</f>
        <v>FACTURA</v>
      </c>
      <c r="M626" s="77" t="s">
        <v>180</v>
      </c>
      <c r="N626" s="79">
        <v>16398</v>
      </c>
      <c r="O626" s="80">
        <v>168.12</v>
      </c>
      <c r="P626" s="81"/>
      <c r="Q626" s="81">
        <v>30.261600000000001</v>
      </c>
      <c r="R626" s="80"/>
      <c r="S626" s="80">
        <v>0</v>
      </c>
      <c r="T626" s="82">
        <v>198.38</v>
      </c>
      <c r="U626" s="77" t="s">
        <v>2246</v>
      </c>
      <c r="V626" s="75" t="s">
        <v>1780</v>
      </c>
      <c r="W626" s="77"/>
      <c r="X626" s="77"/>
      <c r="Y626" s="77" t="s">
        <v>2247</v>
      </c>
      <c r="Z626" s="77" t="s">
        <v>256</v>
      </c>
      <c r="AA626" s="83" t="s">
        <v>2245</v>
      </c>
      <c r="AB626" s="104" t="str">
        <f>IFERROR(VLOOKUP(Anexo_4[[#This Row],[cuenta]],OP,2,0),"-")</f>
        <v>Materias Primas - RRSS</v>
      </c>
    </row>
    <row r="627" spans="1:28" s="84" customFormat="1" ht="27" customHeight="1" x14ac:dyDescent="0.3">
      <c r="A627" s="75" t="s">
        <v>2248</v>
      </c>
      <c r="B627" s="36" t="str">
        <f t="shared" si="9"/>
        <v>Julio</v>
      </c>
      <c r="C627" s="77" t="s">
        <v>162</v>
      </c>
      <c r="D627" s="77" t="s">
        <v>2249</v>
      </c>
      <c r="E627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627" s="79" t="s">
        <v>248</v>
      </c>
      <c r="G627" s="79" t="s">
        <v>249</v>
      </c>
      <c r="H627" s="140" t="s">
        <v>2250</v>
      </c>
      <c r="I627" s="77" t="s">
        <v>625</v>
      </c>
      <c r="J627" s="144" t="s">
        <v>626</v>
      </c>
      <c r="K627" s="77" t="s">
        <v>169</v>
      </c>
      <c r="L627" s="103" t="str">
        <f>VLOOKUP(Anexo_4[[#This Row],[cod_doc]],TIPODOC,2,FALSE)</f>
        <v>FACTURA</v>
      </c>
      <c r="M627" s="77" t="s">
        <v>180</v>
      </c>
      <c r="N627" s="79">
        <v>16422</v>
      </c>
      <c r="O627" s="80">
        <v>87.65</v>
      </c>
      <c r="P627" s="81"/>
      <c r="Q627" s="81">
        <v>15.777000000000001</v>
      </c>
      <c r="R627" s="80"/>
      <c r="S627" s="80">
        <v>0</v>
      </c>
      <c r="T627" s="82">
        <v>103.43</v>
      </c>
      <c r="U627" s="77" t="s">
        <v>2251</v>
      </c>
      <c r="V627" s="75" t="s">
        <v>1780</v>
      </c>
      <c r="W627" s="77"/>
      <c r="X627" s="77"/>
      <c r="Y627" s="77" t="s">
        <v>2252</v>
      </c>
      <c r="Z627" s="77" t="s">
        <v>256</v>
      </c>
      <c r="AA627" s="83" t="s">
        <v>2250</v>
      </c>
      <c r="AB627" s="104" t="str">
        <f>IFERROR(VLOOKUP(Anexo_4[[#This Row],[cuenta]],OP,2,0),"-")</f>
        <v>Materias Primas - RRSS</v>
      </c>
    </row>
    <row r="628" spans="1:28" s="84" customFormat="1" ht="27" customHeight="1" x14ac:dyDescent="0.3">
      <c r="A628" s="75" t="s">
        <v>1843</v>
      </c>
      <c r="B628" s="36" t="str">
        <f t="shared" si="9"/>
        <v>Julio</v>
      </c>
      <c r="C628" s="77" t="s">
        <v>162</v>
      </c>
      <c r="D628" s="77" t="s">
        <v>2253</v>
      </c>
      <c r="E628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628" s="79" t="s">
        <v>235</v>
      </c>
      <c r="G628" s="79" t="s">
        <v>236</v>
      </c>
      <c r="H628" s="140" t="s">
        <v>2254</v>
      </c>
      <c r="I628" s="77" t="s">
        <v>264</v>
      </c>
      <c r="J628" s="144" t="s">
        <v>265</v>
      </c>
      <c r="K628" s="77" t="s">
        <v>169</v>
      </c>
      <c r="L628" s="103" t="str">
        <f>VLOOKUP(Anexo_4[[#This Row],[cod_doc]],TIPODOC,2,FALSE)</f>
        <v>FACTURA</v>
      </c>
      <c r="M628" s="77" t="s">
        <v>406</v>
      </c>
      <c r="N628" s="79">
        <v>2394567</v>
      </c>
      <c r="O628" s="80">
        <v>6.78</v>
      </c>
      <c r="P628" s="81"/>
      <c r="Q628" s="81">
        <v>1.2203999999999999</v>
      </c>
      <c r="R628" s="80"/>
      <c r="S628" s="80">
        <v>0</v>
      </c>
      <c r="T628" s="82">
        <v>8</v>
      </c>
      <c r="U628" s="77"/>
      <c r="V628" s="75"/>
      <c r="W628" s="77"/>
      <c r="X628" s="77"/>
      <c r="Y628" s="77" t="s">
        <v>2255</v>
      </c>
      <c r="Z628" s="77" t="s">
        <v>302</v>
      </c>
      <c r="AA628" s="83" t="s">
        <v>2254</v>
      </c>
      <c r="AB628" s="104" t="str">
        <f>IFERROR(VLOOKUP(Anexo_4[[#This Row],[cuenta]],OP,2,0),"-")</f>
        <v>Transporte peajes - Servicios</v>
      </c>
    </row>
    <row r="629" spans="1:28" s="84" customFormat="1" ht="27" customHeight="1" x14ac:dyDescent="0.3">
      <c r="A629" s="75" t="s">
        <v>1843</v>
      </c>
      <c r="B629" s="36" t="str">
        <f t="shared" si="9"/>
        <v>Julio</v>
      </c>
      <c r="C629" s="77" t="s">
        <v>162</v>
      </c>
      <c r="D629" s="77" t="s">
        <v>2256</v>
      </c>
      <c r="E629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629" s="79" t="s">
        <v>235</v>
      </c>
      <c r="G629" s="79" t="s">
        <v>236</v>
      </c>
      <c r="H629" s="140" t="s">
        <v>2257</v>
      </c>
      <c r="I629" s="77" t="s">
        <v>264</v>
      </c>
      <c r="J629" s="144" t="s">
        <v>265</v>
      </c>
      <c r="K629" s="77" t="s">
        <v>169</v>
      </c>
      <c r="L629" s="103" t="str">
        <f>VLOOKUP(Anexo_4[[#This Row],[cod_doc]],TIPODOC,2,FALSE)</f>
        <v>FACTURA</v>
      </c>
      <c r="M629" s="77" t="s">
        <v>352</v>
      </c>
      <c r="N629" s="79">
        <v>1801056</v>
      </c>
      <c r="O629" s="80">
        <v>6.78</v>
      </c>
      <c r="P629" s="81"/>
      <c r="Q629" s="81">
        <v>1.2203999999999999</v>
      </c>
      <c r="R629" s="80"/>
      <c r="S629" s="80">
        <v>0</v>
      </c>
      <c r="T629" s="82">
        <v>8</v>
      </c>
      <c r="U629" s="77"/>
      <c r="V629" s="75"/>
      <c r="W629" s="77"/>
      <c r="X629" s="77"/>
      <c r="Y629" s="77" t="s">
        <v>2258</v>
      </c>
      <c r="Z629" s="77" t="s">
        <v>302</v>
      </c>
      <c r="AA629" s="83" t="s">
        <v>2257</v>
      </c>
      <c r="AB629" s="104" t="str">
        <f>IFERROR(VLOOKUP(Anexo_4[[#This Row],[cuenta]],OP,2,0),"-")</f>
        <v>Transporte peajes - Servicios</v>
      </c>
    </row>
    <row r="630" spans="1:28" s="84" customFormat="1" ht="27" customHeight="1" x14ac:dyDescent="0.3">
      <c r="A630" s="75" t="s">
        <v>1627</v>
      </c>
      <c r="B630" s="36" t="str">
        <f t="shared" si="9"/>
        <v>Julio</v>
      </c>
      <c r="C630" s="77" t="s">
        <v>162</v>
      </c>
      <c r="D630" s="77" t="s">
        <v>2259</v>
      </c>
      <c r="E630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630" s="79" t="s">
        <v>456</v>
      </c>
      <c r="G630" s="79" t="s">
        <v>457</v>
      </c>
      <c r="H630" s="140" t="s">
        <v>2260</v>
      </c>
      <c r="I630" s="77" t="s">
        <v>264</v>
      </c>
      <c r="J630" s="144" t="s">
        <v>265</v>
      </c>
      <c r="K630" s="77" t="s">
        <v>169</v>
      </c>
      <c r="L630" s="103" t="str">
        <f>VLOOKUP(Anexo_4[[#This Row],[cod_doc]],TIPODOC,2,FALSE)</f>
        <v>FACTURA</v>
      </c>
      <c r="M630" s="77" t="s">
        <v>271</v>
      </c>
      <c r="N630" s="79">
        <v>1780700</v>
      </c>
      <c r="O630" s="80">
        <v>2.12</v>
      </c>
      <c r="P630" s="81"/>
      <c r="Q630" s="81">
        <v>0.38159999999999999</v>
      </c>
      <c r="R630" s="80"/>
      <c r="S630" s="80">
        <v>0</v>
      </c>
      <c r="T630" s="82">
        <v>5</v>
      </c>
      <c r="U630" s="77"/>
      <c r="V630" s="75"/>
      <c r="W630" s="77"/>
      <c r="X630" s="77"/>
      <c r="Y630" s="77" t="s">
        <v>2261</v>
      </c>
      <c r="Z630" s="77" t="s">
        <v>302</v>
      </c>
      <c r="AA630" s="83" t="s">
        <v>2260</v>
      </c>
      <c r="AB630" s="104" t="str">
        <f>IFERROR(VLOOKUP(Anexo_4[[#This Row],[cuenta]],OP,2,0),"-")</f>
        <v>Transporte peajes - Servicios</v>
      </c>
    </row>
    <row r="631" spans="1:28" s="84" customFormat="1" ht="27" customHeight="1" x14ac:dyDescent="0.3">
      <c r="A631" s="75" t="s">
        <v>1627</v>
      </c>
      <c r="B631" s="36" t="str">
        <f t="shared" si="9"/>
        <v>Julio</v>
      </c>
      <c r="C631" s="77" t="s">
        <v>162</v>
      </c>
      <c r="D631" s="77" t="s">
        <v>2259</v>
      </c>
      <c r="E63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631" s="79" t="s">
        <v>456</v>
      </c>
      <c r="G631" s="79" t="s">
        <v>457</v>
      </c>
      <c r="H631" s="140" t="s">
        <v>2260</v>
      </c>
      <c r="I631" s="77" t="s">
        <v>264</v>
      </c>
      <c r="J631" s="144" t="s">
        <v>265</v>
      </c>
      <c r="K631" s="77" t="s">
        <v>169</v>
      </c>
      <c r="L631" s="103" t="str">
        <f>VLOOKUP(Anexo_4[[#This Row],[cod_doc]],TIPODOC,2,FALSE)</f>
        <v>FACTURA</v>
      </c>
      <c r="M631" s="77" t="s">
        <v>271</v>
      </c>
      <c r="N631" s="79">
        <v>1780700</v>
      </c>
      <c r="O631" s="80">
        <v>2.12</v>
      </c>
      <c r="P631" s="81"/>
      <c r="Q631" s="81">
        <v>0.38159999999999999</v>
      </c>
      <c r="R631" s="80"/>
      <c r="S631" s="80">
        <v>0</v>
      </c>
      <c r="T631" s="82">
        <v>5</v>
      </c>
      <c r="U631" s="77"/>
      <c r="V631" s="75"/>
      <c r="W631" s="77"/>
      <c r="X631" s="77"/>
      <c r="Y631" s="77" t="s">
        <v>2261</v>
      </c>
      <c r="Z631" s="77" t="s">
        <v>268</v>
      </c>
      <c r="AA631" s="83" t="s">
        <v>2260</v>
      </c>
      <c r="AB631" s="104" t="str">
        <f>IFERROR(VLOOKUP(Anexo_4[[#This Row],[cuenta]],OP,2,0),"-")</f>
        <v>Transporte peajes - Ventas</v>
      </c>
    </row>
    <row r="632" spans="1:28" s="84" customFormat="1" ht="27" customHeight="1" x14ac:dyDescent="0.3">
      <c r="A632" s="75" t="s">
        <v>1627</v>
      </c>
      <c r="B632" s="36" t="str">
        <f t="shared" si="9"/>
        <v>Julio</v>
      </c>
      <c r="C632" s="77" t="s">
        <v>162</v>
      </c>
      <c r="D632" s="77" t="s">
        <v>2262</v>
      </c>
      <c r="E63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632" s="79" t="s">
        <v>456</v>
      </c>
      <c r="G632" s="79" t="s">
        <v>457</v>
      </c>
      <c r="H632" s="140" t="s">
        <v>2263</v>
      </c>
      <c r="I632" s="77" t="s">
        <v>264</v>
      </c>
      <c r="J632" s="144" t="s">
        <v>265</v>
      </c>
      <c r="K632" s="77" t="s">
        <v>169</v>
      </c>
      <c r="L632" s="103" t="str">
        <f>VLOOKUP(Anexo_4[[#This Row],[cod_doc]],TIPODOC,2,FALSE)</f>
        <v>FACTURA</v>
      </c>
      <c r="M632" s="77" t="s">
        <v>352</v>
      </c>
      <c r="N632" s="79">
        <v>1800454</v>
      </c>
      <c r="O632" s="80">
        <v>2.12</v>
      </c>
      <c r="P632" s="81"/>
      <c r="Q632" s="81">
        <v>0.38159999999999999</v>
      </c>
      <c r="R632" s="80"/>
      <c r="S632" s="80">
        <v>0</v>
      </c>
      <c r="T632" s="82">
        <v>5</v>
      </c>
      <c r="U632" s="77"/>
      <c r="V632" s="75"/>
      <c r="W632" s="77"/>
      <c r="X632" s="77"/>
      <c r="Y632" s="77" t="s">
        <v>2264</v>
      </c>
      <c r="Z632" s="77" t="s">
        <v>302</v>
      </c>
      <c r="AA632" s="83" t="s">
        <v>2263</v>
      </c>
      <c r="AB632" s="104" t="str">
        <f>IFERROR(VLOOKUP(Anexo_4[[#This Row],[cuenta]],OP,2,0),"-")</f>
        <v>Transporte peajes - Servicios</v>
      </c>
    </row>
    <row r="633" spans="1:28" s="84" customFormat="1" ht="27" customHeight="1" x14ac:dyDescent="0.3">
      <c r="A633" s="75" t="s">
        <v>1627</v>
      </c>
      <c r="B633" s="36" t="str">
        <f t="shared" si="9"/>
        <v>Julio</v>
      </c>
      <c r="C633" s="77" t="s">
        <v>162</v>
      </c>
      <c r="D633" s="77" t="s">
        <v>2262</v>
      </c>
      <c r="E633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633" s="79" t="s">
        <v>456</v>
      </c>
      <c r="G633" s="79" t="s">
        <v>457</v>
      </c>
      <c r="H633" s="140" t="s">
        <v>2263</v>
      </c>
      <c r="I633" s="77" t="s">
        <v>264</v>
      </c>
      <c r="J633" s="144" t="s">
        <v>265</v>
      </c>
      <c r="K633" s="77" t="s">
        <v>169</v>
      </c>
      <c r="L633" s="103" t="str">
        <f>VLOOKUP(Anexo_4[[#This Row],[cod_doc]],TIPODOC,2,FALSE)</f>
        <v>FACTURA</v>
      </c>
      <c r="M633" s="77" t="s">
        <v>352</v>
      </c>
      <c r="N633" s="79">
        <v>1800454</v>
      </c>
      <c r="O633" s="80">
        <v>2.12</v>
      </c>
      <c r="P633" s="81"/>
      <c r="Q633" s="81">
        <v>0.38159999999999999</v>
      </c>
      <c r="R633" s="80"/>
      <c r="S633" s="80">
        <v>0</v>
      </c>
      <c r="T633" s="82">
        <v>5</v>
      </c>
      <c r="U633" s="77"/>
      <c r="V633" s="75"/>
      <c r="W633" s="77"/>
      <c r="X633" s="77"/>
      <c r="Y633" s="77" t="s">
        <v>2264</v>
      </c>
      <c r="Z633" s="77" t="s">
        <v>268</v>
      </c>
      <c r="AA633" s="83" t="s">
        <v>2263</v>
      </c>
      <c r="AB633" s="104" t="str">
        <f>IFERROR(VLOOKUP(Anexo_4[[#This Row],[cuenta]],OP,2,0),"-")</f>
        <v>Transporte peajes - Ventas</v>
      </c>
    </row>
    <row r="634" spans="1:28" s="84" customFormat="1" ht="27" customHeight="1" x14ac:dyDescent="0.3">
      <c r="A634" s="75" t="s">
        <v>2248</v>
      </c>
      <c r="B634" s="36" t="str">
        <f t="shared" si="9"/>
        <v>Julio</v>
      </c>
      <c r="C634" s="77" t="s">
        <v>162</v>
      </c>
      <c r="D634" s="77" t="s">
        <v>2265</v>
      </c>
      <c r="E634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634" s="79" t="s">
        <v>235</v>
      </c>
      <c r="G634" s="79" t="s">
        <v>236</v>
      </c>
      <c r="H634" s="140" t="s">
        <v>2266</v>
      </c>
      <c r="I634" s="77" t="s">
        <v>264</v>
      </c>
      <c r="J634" s="144" t="s">
        <v>265</v>
      </c>
      <c r="K634" s="77" t="s">
        <v>169</v>
      </c>
      <c r="L634" s="103" t="str">
        <f>VLOOKUP(Anexo_4[[#This Row],[cod_doc]],TIPODOC,2,FALSE)</f>
        <v>FACTURA</v>
      </c>
      <c r="M634" s="77" t="s">
        <v>271</v>
      </c>
      <c r="N634" s="79">
        <v>1779885</v>
      </c>
      <c r="O634" s="80">
        <v>6.78</v>
      </c>
      <c r="P634" s="81"/>
      <c r="Q634" s="81">
        <v>1.2203999999999999</v>
      </c>
      <c r="R634" s="80"/>
      <c r="S634" s="80">
        <v>0</v>
      </c>
      <c r="T634" s="82">
        <v>8</v>
      </c>
      <c r="U634" s="77"/>
      <c r="V634" s="75"/>
      <c r="W634" s="77"/>
      <c r="X634" s="77"/>
      <c r="Y634" s="77" t="s">
        <v>2267</v>
      </c>
      <c r="Z634" s="77" t="s">
        <v>302</v>
      </c>
      <c r="AA634" s="83" t="s">
        <v>2266</v>
      </c>
      <c r="AB634" s="104" t="str">
        <f>IFERROR(VLOOKUP(Anexo_4[[#This Row],[cuenta]],OP,2,0),"-")</f>
        <v>Transporte peajes - Servicios</v>
      </c>
    </row>
    <row r="635" spans="1:28" s="84" customFormat="1" ht="27" customHeight="1" x14ac:dyDescent="0.3">
      <c r="A635" s="75" t="s">
        <v>2248</v>
      </c>
      <c r="B635" s="36" t="str">
        <f t="shared" si="9"/>
        <v>Julio</v>
      </c>
      <c r="C635" s="77" t="s">
        <v>162</v>
      </c>
      <c r="D635" s="77" t="s">
        <v>2268</v>
      </c>
      <c r="E63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635" s="79" t="s">
        <v>235</v>
      </c>
      <c r="G635" s="79" t="s">
        <v>236</v>
      </c>
      <c r="H635" s="140" t="s">
        <v>2269</v>
      </c>
      <c r="I635" s="77" t="s">
        <v>264</v>
      </c>
      <c r="J635" s="144" t="s">
        <v>265</v>
      </c>
      <c r="K635" s="77" t="s">
        <v>169</v>
      </c>
      <c r="L635" s="103" t="str">
        <f>VLOOKUP(Anexo_4[[#This Row],[cod_doc]],TIPODOC,2,FALSE)</f>
        <v>FACTURA</v>
      </c>
      <c r="M635" s="77" t="s">
        <v>379</v>
      </c>
      <c r="N635" s="79">
        <v>2106479</v>
      </c>
      <c r="O635" s="80">
        <v>6.78</v>
      </c>
      <c r="P635" s="81"/>
      <c r="Q635" s="81">
        <v>1.2203999999999999</v>
      </c>
      <c r="R635" s="80"/>
      <c r="S635" s="80">
        <v>0</v>
      </c>
      <c r="T635" s="82">
        <v>8</v>
      </c>
      <c r="U635" s="77"/>
      <c r="V635" s="75"/>
      <c r="W635" s="77"/>
      <c r="X635" s="77"/>
      <c r="Y635" s="77" t="s">
        <v>2270</v>
      </c>
      <c r="Z635" s="77" t="s">
        <v>302</v>
      </c>
      <c r="AA635" s="83" t="s">
        <v>2269</v>
      </c>
      <c r="AB635" s="104" t="str">
        <f>IFERROR(VLOOKUP(Anexo_4[[#This Row],[cuenta]],OP,2,0),"-")</f>
        <v>Transporte peajes - Servicios</v>
      </c>
    </row>
    <row r="636" spans="1:28" s="84" customFormat="1" ht="27" customHeight="1" x14ac:dyDescent="0.3">
      <c r="A636" s="75" t="s">
        <v>2013</v>
      </c>
      <c r="B636" s="36" t="str">
        <f t="shared" si="9"/>
        <v>Julio</v>
      </c>
      <c r="C636" s="77" t="s">
        <v>162</v>
      </c>
      <c r="D636" s="77" t="s">
        <v>2271</v>
      </c>
      <c r="E63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636" s="79" t="s">
        <v>235</v>
      </c>
      <c r="G636" s="79" t="s">
        <v>236</v>
      </c>
      <c r="H636" s="140" t="s">
        <v>2272</v>
      </c>
      <c r="I636" s="77" t="s">
        <v>305</v>
      </c>
      <c r="J636" s="144" t="s">
        <v>306</v>
      </c>
      <c r="K636" s="77" t="s">
        <v>169</v>
      </c>
      <c r="L636" s="103" t="str">
        <f>VLOOKUP(Anexo_4[[#This Row],[cod_doc]],TIPODOC,2,FALSE)</f>
        <v>FACTURA</v>
      </c>
      <c r="M636" s="77" t="s">
        <v>531</v>
      </c>
      <c r="N636" s="79">
        <v>725336</v>
      </c>
      <c r="O636" s="80">
        <v>13.31</v>
      </c>
      <c r="P636" s="81"/>
      <c r="Q636" s="81">
        <v>2.3957999999999999</v>
      </c>
      <c r="R636" s="80"/>
      <c r="S636" s="80">
        <v>0</v>
      </c>
      <c r="T636" s="82">
        <v>15.7</v>
      </c>
      <c r="U636" s="77"/>
      <c r="V636" s="75"/>
      <c r="W636" s="77"/>
      <c r="X636" s="77"/>
      <c r="Y636" s="77" t="s">
        <v>2273</v>
      </c>
      <c r="Z636" s="77" t="s">
        <v>302</v>
      </c>
      <c r="AA636" s="83" t="s">
        <v>2272</v>
      </c>
      <c r="AB636" s="104" t="str">
        <f>IFERROR(VLOOKUP(Anexo_4[[#This Row],[cuenta]],OP,2,0),"-")</f>
        <v>Transporte peajes - Servicios</v>
      </c>
    </row>
    <row r="637" spans="1:28" s="84" customFormat="1" ht="27" customHeight="1" x14ac:dyDescent="0.3">
      <c r="A637" s="75" t="s">
        <v>2106</v>
      </c>
      <c r="B637" s="36" t="str">
        <f t="shared" si="9"/>
        <v>Julio</v>
      </c>
      <c r="C637" s="77" t="s">
        <v>162</v>
      </c>
      <c r="D637" s="77" t="s">
        <v>2274</v>
      </c>
      <c r="E637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637" s="79" t="s">
        <v>235</v>
      </c>
      <c r="G637" s="79" t="s">
        <v>236</v>
      </c>
      <c r="H637" s="140" t="s">
        <v>2275</v>
      </c>
      <c r="I637" s="77" t="s">
        <v>264</v>
      </c>
      <c r="J637" s="144" t="s">
        <v>265</v>
      </c>
      <c r="K637" s="77" t="s">
        <v>169</v>
      </c>
      <c r="L637" s="103" t="str">
        <f>VLOOKUP(Anexo_4[[#This Row],[cod_doc]],TIPODOC,2,FALSE)</f>
        <v>FACTURA</v>
      </c>
      <c r="M637" s="77" t="s">
        <v>379</v>
      </c>
      <c r="N637" s="79">
        <v>2105740</v>
      </c>
      <c r="O637" s="80">
        <v>6.78</v>
      </c>
      <c r="P637" s="81"/>
      <c r="Q637" s="81">
        <v>1.2203999999999999</v>
      </c>
      <c r="R637" s="80"/>
      <c r="S637" s="80">
        <v>0</v>
      </c>
      <c r="T637" s="82">
        <v>8</v>
      </c>
      <c r="U637" s="77"/>
      <c r="V637" s="75"/>
      <c r="W637" s="77"/>
      <c r="X637" s="77"/>
      <c r="Y637" s="77" t="s">
        <v>2276</v>
      </c>
      <c r="Z637" s="77" t="s">
        <v>302</v>
      </c>
      <c r="AA637" s="83" t="s">
        <v>2275</v>
      </c>
      <c r="AB637" s="104" t="str">
        <f>IFERROR(VLOOKUP(Anexo_4[[#This Row],[cuenta]],OP,2,0),"-")</f>
        <v>Transporte peajes - Servicios</v>
      </c>
    </row>
    <row r="638" spans="1:28" s="84" customFormat="1" ht="27" customHeight="1" x14ac:dyDescent="0.3">
      <c r="A638" s="75" t="s">
        <v>2013</v>
      </c>
      <c r="B638" s="36" t="str">
        <f t="shared" si="9"/>
        <v>Julio</v>
      </c>
      <c r="C638" s="77" t="s">
        <v>162</v>
      </c>
      <c r="D638" s="77" t="s">
        <v>2277</v>
      </c>
      <c r="E638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638" s="79" t="s">
        <v>235</v>
      </c>
      <c r="G638" s="79" t="s">
        <v>236</v>
      </c>
      <c r="H638" s="140" t="s">
        <v>2278</v>
      </c>
      <c r="I638" s="77" t="s">
        <v>305</v>
      </c>
      <c r="J638" s="144" t="s">
        <v>306</v>
      </c>
      <c r="K638" s="77" t="s">
        <v>169</v>
      </c>
      <c r="L638" s="103" t="str">
        <f>VLOOKUP(Anexo_4[[#This Row],[cod_doc]],TIPODOC,2,FALSE)</f>
        <v>FACTURA</v>
      </c>
      <c r="M638" s="77" t="s">
        <v>479</v>
      </c>
      <c r="N638" s="79">
        <v>921711</v>
      </c>
      <c r="O638" s="80">
        <v>13.31</v>
      </c>
      <c r="P638" s="81"/>
      <c r="Q638" s="81">
        <v>2.3957999999999999</v>
      </c>
      <c r="R638" s="80"/>
      <c r="S638" s="80">
        <v>0</v>
      </c>
      <c r="T638" s="82">
        <v>15.7</v>
      </c>
      <c r="U638" s="77"/>
      <c r="V638" s="75"/>
      <c r="W638" s="77"/>
      <c r="X638" s="77"/>
      <c r="Y638" s="77" t="s">
        <v>2279</v>
      </c>
      <c r="Z638" s="77" t="s">
        <v>302</v>
      </c>
      <c r="AA638" s="83" t="s">
        <v>2278</v>
      </c>
      <c r="AB638" s="104" t="str">
        <f>IFERROR(VLOOKUP(Anexo_4[[#This Row],[cuenta]],OP,2,0),"-")</f>
        <v>Transporte peajes - Servicios</v>
      </c>
    </row>
    <row r="639" spans="1:28" s="84" customFormat="1" ht="27" customHeight="1" x14ac:dyDescent="0.3">
      <c r="A639" s="75" t="s">
        <v>2013</v>
      </c>
      <c r="B639" s="36" t="str">
        <f t="shared" si="9"/>
        <v>Julio</v>
      </c>
      <c r="C639" s="77" t="s">
        <v>162</v>
      </c>
      <c r="D639" s="77" t="s">
        <v>2280</v>
      </c>
      <c r="E639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639" s="79" t="s">
        <v>235</v>
      </c>
      <c r="G639" s="79" t="s">
        <v>236</v>
      </c>
      <c r="H639" s="140" t="s">
        <v>2281</v>
      </c>
      <c r="I639" s="77" t="s">
        <v>305</v>
      </c>
      <c r="J639" s="144" t="s">
        <v>306</v>
      </c>
      <c r="K639" s="77" t="s">
        <v>169</v>
      </c>
      <c r="L639" s="103" t="str">
        <f>VLOOKUP(Anexo_4[[#This Row],[cod_doc]],TIPODOC,2,FALSE)</f>
        <v>FACTURA</v>
      </c>
      <c r="M639" s="77" t="s">
        <v>2282</v>
      </c>
      <c r="N639" s="79">
        <v>772485</v>
      </c>
      <c r="O639" s="80">
        <v>13.31</v>
      </c>
      <c r="P639" s="81"/>
      <c r="Q639" s="81">
        <v>2.3957999999999999</v>
      </c>
      <c r="R639" s="80"/>
      <c r="S639" s="80">
        <v>0</v>
      </c>
      <c r="T639" s="82">
        <v>15.7</v>
      </c>
      <c r="U639" s="77"/>
      <c r="V639" s="75"/>
      <c r="W639" s="77"/>
      <c r="X639" s="77"/>
      <c r="Y639" s="77" t="s">
        <v>2283</v>
      </c>
      <c r="Z639" s="77" t="s">
        <v>302</v>
      </c>
      <c r="AA639" s="83" t="s">
        <v>2281</v>
      </c>
      <c r="AB639" s="104" t="str">
        <f>IFERROR(VLOOKUP(Anexo_4[[#This Row],[cuenta]],OP,2,0),"-")</f>
        <v>Transporte peajes - Servicios</v>
      </c>
    </row>
    <row r="640" spans="1:28" s="84" customFormat="1" ht="27" customHeight="1" x14ac:dyDescent="0.3">
      <c r="A640" s="75" t="s">
        <v>2106</v>
      </c>
      <c r="B640" s="36" t="str">
        <f t="shared" si="9"/>
        <v>Julio</v>
      </c>
      <c r="C640" s="77" t="s">
        <v>162</v>
      </c>
      <c r="D640" s="77" t="s">
        <v>2284</v>
      </c>
      <c r="E640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640" s="79" t="s">
        <v>235</v>
      </c>
      <c r="G640" s="79" t="s">
        <v>236</v>
      </c>
      <c r="H640" s="140" t="s">
        <v>2285</v>
      </c>
      <c r="I640" s="77" t="s">
        <v>2286</v>
      </c>
      <c r="J640" s="144" t="s">
        <v>2287</v>
      </c>
      <c r="K640" s="77" t="s">
        <v>169</v>
      </c>
      <c r="L640" s="103" t="str">
        <f>VLOOKUP(Anexo_4[[#This Row],[cod_doc]],TIPODOC,2,FALSE)</f>
        <v>FACTURA</v>
      </c>
      <c r="M640" s="77" t="s">
        <v>2288</v>
      </c>
      <c r="N640" s="79">
        <v>53367</v>
      </c>
      <c r="O640" s="80">
        <v>127.16</v>
      </c>
      <c r="P640" s="81"/>
      <c r="Q640" s="81">
        <v>22.8888</v>
      </c>
      <c r="R640" s="80"/>
      <c r="S640" s="80">
        <v>0</v>
      </c>
      <c r="T640" s="82">
        <v>150.05000000000001</v>
      </c>
      <c r="U640" s="77"/>
      <c r="V640" s="75"/>
      <c r="W640" s="77"/>
      <c r="X640" s="77"/>
      <c r="Y640" s="77" t="s">
        <v>2289</v>
      </c>
      <c r="Z640" s="77" t="s">
        <v>455</v>
      </c>
      <c r="AA640" s="83" t="s">
        <v>2285</v>
      </c>
      <c r="AB640" s="104" t="str">
        <f>IFERROR(VLOOKUP(Anexo_4[[#This Row],[cuenta]],OP,2,0),"-")</f>
        <v>Combustible (Vehiculos)</v>
      </c>
    </row>
    <row r="641" spans="1:28" s="84" customFormat="1" ht="27" customHeight="1" x14ac:dyDescent="0.3">
      <c r="A641" s="75" t="s">
        <v>1843</v>
      </c>
      <c r="B641" s="36" t="str">
        <f t="shared" si="9"/>
        <v>Julio</v>
      </c>
      <c r="C641" s="77" t="s">
        <v>162</v>
      </c>
      <c r="D641" s="77" t="s">
        <v>2290</v>
      </c>
      <c r="E64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641" s="79" t="s">
        <v>235</v>
      </c>
      <c r="G641" s="79" t="s">
        <v>236</v>
      </c>
      <c r="H641" s="140" t="s">
        <v>2291</v>
      </c>
      <c r="I641" s="77" t="s">
        <v>178</v>
      </c>
      <c r="J641" s="144" t="s">
        <v>179</v>
      </c>
      <c r="K641" s="77" t="s">
        <v>169</v>
      </c>
      <c r="L641" s="103" t="str">
        <f>VLOOKUP(Anexo_4[[#This Row],[cod_doc]],TIPODOC,2,FALSE)</f>
        <v>FACTURA</v>
      </c>
      <c r="M641" s="77" t="s">
        <v>180</v>
      </c>
      <c r="N641" s="79">
        <v>134039</v>
      </c>
      <c r="O641" s="80">
        <v>8.4700000000000006</v>
      </c>
      <c r="P641" s="81"/>
      <c r="Q641" s="81">
        <v>1.5246</v>
      </c>
      <c r="R641" s="80"/>
      <c r="S641" s="80">
        <v>0</v>
      </c>
      <c r="T641" s="82">
        <v>10</v>
      </c>
      <c r="U641" s="77"/>
      <c r="V641" s="75"/>
      <c r="W641" s="77"/>
      <c r="X641" s="77"/>
      <c r="Y641" s="77" t="s">
        <v>2292</v>
      </c>
      <c r="Z641" s="77" t="s">
        <v>386</v>
      </c>
      <c r="AA641" s="83" t="s">
        <v>2291</v>
      </c>
      <c r="AB641" s="104" t="str">
        <f>IFERROR(VLOOKUP(Anexo_4[[#This Row],[cuenta]],OP,2,0),"-")</f>
        <v>Balanza - Servicios</v>
      </c>
    </row>
    <row r="642" spans="1:28" s="84" customFormat="1" ht="27" customHeight="1" x14ac:dyDescent="0.3">
      <c r="A642" s="75" t="s">
        <v>2106</v>
      </c>
      <c r="B642" s="36" t="str">
        <f t="shared" ref="B642:B705" si="10">PROPER(CHOOSE(LEFT(D642,2),"enero","febrero","marzo","abril","mayo","junio","julio","agosto","setiembre","octubre","noviembre","diciembre"))</f>
        <v>Julio</v>
      </c>
      <c r="C642" s="77" t="s">
        <v>162</v>
      </c>
      <c r="D642" s="77" t="s">
        <v>2293</v>
      </c>
      <c r="E64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642" s="79" t="s">
        <v>235</v>
      </c>
      <c r="G642" s="79" t="s">
        <v>236</v>
      </c>
      <c r="H642" s="140" t="s">
        <v>2294</v>
      </c>
      <c r="I642" s="77" t="s">
        <v>178</v>
      </c>
      <c r="J642" s="144" t="s">
        <v>179</v>
      </c>
      <c r="K642" s="77" t="s">
        <v>169</v>
      </c>
      <c r="L642" s="103" t="str">
        <f>VLOOKUP(Anexo_4[[#This Row],[cod_doc]],TIPODOC,2,FALSE)</f>
        <v>FACTURA</v>
      </c>
      <c r="M642" s="77" t="s">
        <v>180</v>
      </c>
      <c r="N642" s="79">
        <v>133963</v>
      </c>
      <c r="O642" s="80">
        <v>8.4700000000000006</v>
      </c>
      <c r="P642" s="81"/>
      <c r="Q642" s="81">
        <v>1.5246</v>
      </c>
      <c r="R642" s="80"/>
      <c r="S642" s="80">
        <v>0</v>
      </c>
      <c r="T642" s="82">
        <v>10</v>
      </c>
      <c r="U642" s="77"/>
      <c r="V642" s="75"/>
      <c r="W642" s="77"/>
      <c r="X642" s="77"/>
      <c r="Y642" s="77" t="s">
        <v>2295</v>
      </c>
      <c r="Z642" s="77" t="s">
        <v>386</v>
      </c>
      <c r="AA642" s="83" t="s">
        <v>2294</v>
      </c>
      <c r="AB642" s="104" t="str">
        <f>IFERROR(VLOOKUP(Anexo_4[[#This Row],[cuenta]],OP,2,0),"-")</f>
        <v>Balanza - Servicios</v>
      </c>
    </row>
    <row r="643" spans="1:28" s="84" customFormat="1" ht="27" customHeight="1" x14ac:dyDescent="0.3">
      <c r="A643" s="75" t="s">
        <v>2248</v>
      </c>
      <c r="B643" s="36" t="str">
        <f t="shared" si="10"/>
        <v>Julio</v>
      </c>
      <c r="C643" s="77" t="s">
        <v>162</v>
      </c>
      <c r="D643" s="77" t="s">
        <v>2296</v>
      </c>
      <c r="E643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643" s="79" t="s">
        <v>235</v>
      </c>
      <c r="G643" s="79" t="s">
        <v>236</v>
      </c>
      <c r="H643" s="140" t="s">
        <v>2297</v>
      </c>
      <c r="I643" s="77" t="s">
        <v>178</v>
      </c>
      <c r="J643" s="144" t="s">
        <v>179</v>
      </c>
      <c r="K643" s="77" t="s">
        <v>169</v>
      </c>
      <c r="L643" s="103" t="str">
        <f>VLOOKUP(Anexo_4[[#This Row],[cod_doc]],TIPODOC,2,FALSE)</f>
        <v>FACTURA</v>
      </c>
      <c r="M643" s="77" t="s">
        <v>180</v>
      </c>
      <c r="N643" s="79">
        <v>133971</v>
      </c>
      <c r="O643" s="80">
        <v>8.4700000000000006</v>
      </c>
      <c r="P643" s="81"/>
      <c r="Q643" s="81">
        <v>1.5246</v>
      </c>
      <c r="R643" s="80"/>
      <c r="S643" s="80">
        <v>0</v>
      </c>
      <c r="T643" s="82">
        <v>10</v>
      </c>
      <c r="U643" s="77"/>
      <c r="V643" s="75"/>
      <c r="W643" s="77"/>
      <c r="X643" s="77"/>
      <c r="Y643" s="77" t="s">
        <v>2298</v>
      </c>
      <c r="Z643" s="77" t="s">
        <v>386</v>
      </c>
      <c r="AA643" s="83" t="s">
        <v>2297</v>
      </c>
      <c r="AB643" s="104" t="str">
        <f>IFERROR(VLOOKUP(Anexo_4[[#This Row],[cuenta]],OP,2,0),"-")</f>
        <v>Balanza - Servicios</v>
      </c>
    </row>
    <row r="644" spans="1:28" s="84" customFormat="1" ht="27" customHeight="1" x14ac:dyDescent="0.3">
      <c r="A644" s="75" t="s">
        <v>2106</v>
      </c>
      <c r="B644" s="36" t="str">
        <f t="shared" si="10"/>
        <v>Julio</v>
      </c>
      <c r="C644" s="77" t="s">
        <v>162</v>
      </c>
      <c r="D644" s="77" t="s">
        <v>2299</v>
      </c>
      <c r="E644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644" s="79" t="s">
        <v>235</v>
      </c>
      <c r="G644" s="79" t="s">
        <v>236</v>
      </c>
      <c r="H644" s="140" t="s">
        <v>2300</v>
      </c>
      <c r="I644" s="77" t="s">
        <v>178</v>
      </c>
      <c r="J644" s="144" t="s">
        <v>179</v>
      </c>
      <c r="K644" s="77" t="s">
        <v>169</v>
      </c>
      <c r="L644" s="103" t="str">
        <f>VLOOKUP(Anexo_4[[#This Row],[cod_doc]],TIPODOC,2,FALSE)</f>
        <v>FACTURA</v>
      </c>
      <c r="M644" s="77" t="s">
        <v>180</v>
      </c>
      <c r="N644" s="79">
        <v>133965</v>
      </c>
      <c r="O644" s="80">
        <v>8.4700000000000006</v>
      </c>
      <c r="P644" s="81"/>
      <c r="Q644" s="81">
        <v>1.5246</v>
      </c>
      <c r="R644" s="80"/>
      <c r="S644" s="80">
        <v>0</v>
      </c>
      <c r="T644" s="82">
        <v>10</v>
      </c>
      <c r="U644" s="77"/>
      <c r="V644" s="75"/>
      <c r="W644" s="77"/>
      <c r="X644" s="77"/>
      <c r="Y644" s="77" t="s">
        <v>2301</v>
      </c>
      <c r="Z644" s="77" t="s">
        <v>386</v>
      </c>
      <c r="AA644" s="83" t="s">
        <v>2300</v>
      </c>
      <c r="AB644" s="104" t="str">
        <f>IFERROR(VLOOKUP(Anexo_4[[#This Row],[cuenta]],OP,2,0),"-")</f>
        <v>Balanza - Servicios</v>
      </c>
    </row>
    <row r="645" spans="1:28" s="84" customFormat="1" ht="27" customHeight="1" x14ac:dyDescent="0.3">
      <c r="A645" s="75" t="s">
        <v>2106</v>
      </c>
      <c r="B645" s="36" t="str">
        <f t="shared" si="10"/>
        <v>Julio</v>
      </c>
      <c r="C645" s="77" t="s">
        <v>162</v>
      </c>
      <c r="D645" s="77" t="s">
        <v>2302</v>
      </c>
      <c r="E64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645" s="79" t="s">
        <v>235</v>
      </c>
      <c r="G645" s="79" t="s">
        <v>236</v>
      </c>
      <c r="H645" s="140" t="s">
        <v>2303</v>
      </c>
      <c r="I645" s="77" t="s">
        <v>178</v>
      </c>
      <c r="J645" s="144" t="s">
        <v>179</v>
      </c>
      <c r="K645" s="77" t="s">
        <v>169</v>
      </c>
      <c r="L645" s="103" t="str">
        <f>VLOOKUP(Anexo_4[[#This Row],[cod_doc]],TIPODOC,2,FALSE)</f>
        <v>FACTURA</v>
      </c>
      <c r="M645" s="77" t="s">
        <v>180</v>
      </c>
      <c r="N645" s="79">
        <v>133964</v>
      </c>
      <c r="O645" s="80">
        <v>8.4700000000000006</v>
      </c>
      <c r="P645" s="81"/>
      <c r="Q645" s="81">
        <v>1.5246</v>
      </c>
      <c r="R645" s="80"/>
      <c r="S645" s="80">
        <v>0</v>
      </c>
      <c r="T645" s="82">
        <v>10</v>
      </c>
      <c r="U645" s="77"/>
      <c r="V645" s="75"/>
      <c r="W645" s="77"/>
      <c r="X645" s="77"/>
      <c r="Y645" s="77" t="s">
        <v>2304</v>
      </c>
      <c r="Z645" s="77" t="s">
        <v>386</v>
      </c>
      <c r="AA645" s="83" t="s">
        <v>2303</v>
      </c>
      <c r="AB645" s="104" t="str">
        <f>IFERROR(VLOOKUP(Anexo_4[[#This Row],[cuenta]],OP,2,0),"-")</f>
        <v>Balanza - Servicios</v>
      </c>
    </row>
    <row r="646" spans="1:28" s="84" customFormat="1" ht="27" customHeight="1" x14ac:dyDescent="0.3">
      <c r="A646" s="75" t="s">
        <v>1627</v>
      </c>
      <c r="B646" s="36" t="str">
        <f t="shared" si="10"/>
        <v>Julio</v>
      </c>
      <c r="C646" s="77" t="s">
        <v>162</v>
      </c>
      <c r="D646" s="77" t="s">
        <v>2305</v>
      </c>
      <c r="E64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646" s="79" t="s">
        <v>456</v>
      </c>
      <c r="G646" s="79" t="s">
        <v>457</v>
      </c>
      <c r="H646" s="140" t="s">
        <v>2306</v>
      </c>
      <c r="I646" s="77" t="s">
        <v>383</v>
      </c>
      <c r="J646" s="144" t="s">
        <v>384</v>
      </c>
      <c r="K646" s="77" t="s">
        <v>169</v>
      </c>
      <c r="L646" s="103" t="str">
        <f>VLOOKUP(Anexo_4[[#This Row],[cod_doc]],TIPODOC,2,FALSE)</f>
        <v>FACTURA</v>
      </c>
      <c r="M646" s="77" t="s">
        <v>103</v>
      </c>
      <c r="N646" s="79">
        <v>16933</v>
      </c>
      <c r="O646" s="80">
        <v>8.4700000000000006</v>
      </c>
      <c r="P646" s="81"/>
      <c r="Q646" s="81">
        <v>1.5246</v>
      </c>
      <c r="R646" s="80"/>
      <c r="S646" s="80">
        <v>0</v>
      </c>
      <c r="T646" s="82">
        <v>20</v>
      </c>
      <c r="U646" s="77"/>
      <c r="V646" s="75"/>
      <c r="W646" s="77"/>
      <c r="X646" s="77"/>
      <c r="Y646" s="77" t="s">
        <v>2307</v>
      </c>
      <c r="Z646" s="77" t="s">
        <v>386</v>
      </c>
      <c r="AA646" s="83" t="s">
        <v>2306</v>
      </c>
      <c r="AB646" s="104" t="str">
        <f>IFERROR(VLOOKUP(Anexo_4[[#This Row],[cuenta]],OP,2,0),"-")</f>
        <v>Balanza - Servicios</v>
      </c>
    </row>
    <row r="647" spans="1:28" s="84" customFormat="1" ht="27" customHeight="1" x14ac:dyDescent="0.3">
      <c r="A647" s="75" t="s">
        <v>1627</v>
      </c>
      <c r="B647" s="36" t="str">
        <f t="shared" si="10"/>
        <v>Julio</v>
      </c>
      <c r="C647" s="77" t="s">
        <v>162</v>
      </c>
      <c r="D647" s="77" t="s">
        <v>2305</v>
      </c>
      <c r="E647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647" s="79" t="s">
        <v>456</v>
      </c>
      <c r="G647" s="79" t="s">
        <v>457</v>
      </c>
      <c r="H647" s="140" t="s">
        <v>2306</v>
      </c>
      <c r="I647" s="77" t="s">
        <v>383</v>
      </c>
      <c r="J647" s="144" t="s">
        <v>384</v>
      </c>
      <c r="K647" s="77" t="s">
        <v>169</v>
      </c>
      <c r="L647" s="103" t="str">
        <f>VLOOKUP(Anexo_4[[#This Row],[cod_doc]],TIPODOC,2,FALSE)</f>
        <v>FACTURA</v>
      </c>
      <c r="M647" s="77" t="s">
        <v>103</v>
      </c>
      <c r="N647" s="79">
        <v>16933</v>
      </c>
      <c r="O647" s="80">
        <v>8.48</v>
      </c>
      <c r="P647" s="81"/>
      <c r="Q647" s="81">
        <v>1.5264</v>
      </c>
      <c r="R647" s="80"/>
      <c r="S647" s="80">
        <v>0</v>
      </c>
      <c r="T647" s="82">
        <v>20</v>
      </c>
      <c r="U647" s="77"/>
      <c r="V647" s="75"/>
      <c r="W647" s="77"/>
      <c r="X647" s="77"/>
      <c r="Y647" s="77" t="s">
        <v>2307</v>
      </c>
      <c r="Z647" s="77" t="s">
        <v>182</v>
      </c>
      <c r="AA647" s="83" t="s">
        <v>2306</v>
      </c>
      <c r="AB647" s="104" t="str">
        <f>IFERROR(VLOOKUP(Anexo_4[[#This Row],[cuenta]],OP,2,0),"-")</f>
        <v>Balanza - Ventas</v>
      </c>
    </row>
    <row r="648" spans="1:28" s="84" customFormat="1" ht="27" customHeight="1" x14ac:dyDescent="0.3">
      <c r="A648" s="75" t="s">
        <v>2013</v>
      </c>
      <c r="B648" s="36" t="str">
        <f t="shared" si="10"/>
        <v>Julio</v>
      </c>
      <c r="C648" s="77" t="s">
        <v>162</v>
      </c>
      <c r="D648" s="77" t="s">
        <v>2308</v>
      </c>
      <c r="E648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648" s="79" t="s">
        <v>235</v>
      </c>
      <c r="G648" s="79" t="s">
        <v>236</v>
      </c>
      <c r="H648" s="140" t="s">
        <v>2309</v>
      </c>
      <c r="I648" s="77" t="s">
        <v>383</v>
      </c>
      <c r="J648" s="144" t="s">
        <v>384</v>
      </c>
      <c r="K648" s="77" t="s">
        <v>169</v>
      </c>
      <c r="L648" s="103" t="str">
        <f>VLOOKUP(Anexo_4[[#This Row],[cod_doc]],TIPODOC,2,FALSE)</f>
        <v>FACTURA</v>
      </c>
      <c r="M648" s="77" t="s">
        <v>103</v>
      </c>
      <c r="N648" s="79">
        <v>16910</v>
      </c>
      <c r="O648" s="80">
        <v>16.95</v>
      </c>
      <c r="P648" s="81"/>
      <c r="Q648" s="81">
        <v>3.0509999999999997</v>
      </c>
      <c r="R648" s="80"/>
      <c r="S648" s="80">
        <v>0</v>
      </c>
      <c r="T648" s="82">
        <v>20</v>
      </c>
      <c r="U648" s="77"/>
      <c r="V648" s="75"/>
      <c r="W648" s="77"/>
      <c r="X648" s="77"/>
      <c r="Y648" s="77" t="s">
        <v>2310</v>
      </c>
      <c r="Z648" s="77" t="s">
        <v>386</v>
      </c>
      <c r="AA648" s="83" t="s">
        <v>2309</v>
      </c>
      <c r="AB648" s="104" t="str">
        <f>IFERROR(VLOOKUP(Anexo_4[[#This Row],[cuenta]],OP,2,0),"-")</f>
        <v>Balanza - Servicios</v>
      </c>
    </row>
    <row r="649" spans="1:28" s="84" customFormat="1" ht="27" customHeight="1" x14ac:dyDescent="0.3">
      <c r="A649" s="75" t="s">
        <v>1910</v>
      </c>
      <c r="B649" s="36" t="str">
        <f t="shared" si="10"/>
        <v>Julio</v>
      </c>
      <c r="C649" s="77" t="s">
        <v>162</v>
      </c>
      <c r="D649" s="77" t="s">
        <v>2311</v>
      </c>
      <c r="E649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649" s="79" t="s">
        <v>164</v>
      </c>
      <c r="G649" s="79" t="s">
        <v>165</v>
      </c>
      <c r="H649" s="140" t="s">
        <v>2312</v>
      </c>
      <c r="I649" s="77" t="s">
        <v>206</v>
      </c>
      <c r="J649" s="144" t="s">
        <v>207</v>
      </c>
      <c r="K649" s="77" t="s">
        <v>169</v>
      </c>
      <c r="L649" s="103" t="str">
        <f>VLOOKUP(Anexo_4[[#This Row],[cod_doc]],TIPODOC,2,FALSE)</f>
        <v>FACTURA</v>
      </c>
      <c r="M649" s="77" t="s">
        <v>208</v>
      </c>
      <c r="N649" s="79">
        <v>230</v>
      </c>
      <c r="O649" s="80">
        <v>152.54</v>
      </c>
      <c r="P649" s="81"/>
      <c r="Q649" s="81">
        <v>27.457199999999997</v>
      </c>
      <c r="R649" s="80"/>
      <c r="S649" s="80">
        <v>0</v>
      </c>
      <c r="T649" s="82">
        <v>180</v>
      </c>
      <c r="U649" s="77"/>
      <c r="V649" s="75"/>
      <c r="W649" s="77"/>
      <c r="X649" s="77"/>
      <c r="Y649" s="77"/>
      <c r="Z649" s="77" t="s">
        <v>209</v>
      </c>
      <c r="AA649" s="83" t="s">
        <v>2312</v>
      </c>
      <c r="AB649" s="104" t="str">
        <f>IFERROR(VLOOKUP(Anexo_4[[#This Row],[cuenta]],OP,2,0),"-")</f>
        <v>-</v>
      </c>
    </row>
    <row r="650" spans="1:28" s="84" customFormat="1" ht="27" customHeight="1" x14ac:dyDescent="0.3">
      <c r="A650" s="75" t="s">
        <v>2248</v>
      </c>
      <c r="B650" s="36" t="str">
        <f t="shared" si="10"/>
        <v>Julio</v>
      </c>
      <c r="C650" s="77" t="s">
        <v>162</v>
      </c>
      <c r="D650" s="77" t="s">
        <v>2313</v>
      </c>
      <c r="E650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650" s="79"/>
      <c r="G650" s="79"/>
      <c r="H650" s="140"/>
      <c r="I650" s="77" t="s">
        <v>258</v>
      </c>
      <c r="J650" s="144" t="s">
        <v>259</v>
      </c>
      <c r="K650" s="77" t="s">
        <v>169</v>
      </c>
      <c r="L650" s="103" t="str">
        <f>VLOOKUP(Anexo_4[[#This Row],[cod_doc]],TIPODOC,2,FALSE)</f>
        <v>FACTURA</v>
      </c>
      <c r="M650" s="77" t="s">
        <v>260</v>
      </c>
      <c r="N650" s="79" t="s">
        <v>2314</v>
      </c>
      <c r="O650" s="80">
        <v>308.66000000000003</v>
      </c>
      <c r="P650" s="81"/>
      <c r="Q650" s="81">
        <v>55.55</v>
      </c>
      <c r="R650" s="80"/>
      <c r="S650" s="80">
        <v>0</v>
      </c>
      <c r="T650" s="82">
        <v>364.21</v>
      </c>
      <c r="U650" s="77"/>
      <c r="V650" s="75"/>
      <c r="W650" s="77"/>
      <c r="X650" s="77"/>
      <c r="Y650" s="77"/>
      <c r="Z650" s="77"/>
      <c r="AA650" s="83"/>
      <c r="AB650" s="104" t="str">
        <f>IFERROR(VLOOKUP(Anexo_4[[#This Row],[cuenta]],OP,2,0),"-")</f>
        <v>-</v>
      </c>
    </row>
    <row r="651" spans="1:28" s="84" customFormat="1" ht="27" customHeight="1" x14ac:dyDescent="0.3">
      <c r="A651" s="75" t="s">
        <v>1627</v>
      </c>
      <c r="B651" s="36" t="str">
        <f t="shared" si="10"/>
        <v>Julio</v>
      </c>
      <c r="C651" s="77" t="s">
        <v>162</v>
      </c>
      <c r="D651" s="77" t="s">
        <v>2315</v>
      </c>
      <c r="E651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651" s="79" t="s">
        <v>190</v>
      </c>
      <c r="G651" s="79" t="s">
        <v>191</v>
      </c>
      <c r="H651" s="140" t="s">
        <v>2316</v>
      </c>
      <c r="I651" s="77" t="s">
        <v>1937</v>
      </c>
      <c r="J651" s="144" t="s">
        <v>1938</v>
      </c>
      <c r="K651" s="77" t="s">
        <v>239</v>
      </c>
      <c r="L651" s="103" t="str">
        <f>VLOOKUP(Anexo_4[[#This Row],[cod_doc]],TIPODOC,2,FALSE)</f>
        <v>BOLETA DE VENTA</v>
      </c>
      <c r="M651" s="77" t="s">
        <v>162</v>
      </c>
      <c r="N651" s="79">
        <v>4388</v>
      </c>
      <c r="O651" s="80"/>
      <c r="P651" s="81"/>
      <c r="Q651" s="81"/>
      <c r="R651" s="80"/>
      <c r="S651" s="80">
        <v>22</v>
      </c>
      <c r="T651" s="82">
        <v>22</v>
      </c>
      <c r="U651" s="77"/>
      <c r="V651" s="75"/>
      <c r="W651" s="77"/>
      <c r="X651" s="77"/>
      <c r="Y651" s="77"/>
      <c r="Z651" s="77" t="s">
        <v>1839</v>
      </c>
      <c r="AA651" s="83" t="s">
        <v>2316</v>
      </c>
      <c r="AB651" s="104" t="str">
        <f>IFERROR(VLOOKUP(Anexo_4[[#This Row],[cuenta]],OP,2,0),"-")</f>
        <v>-</v>
      </c>
    </row>
    <row r="652" spans="1:28" s="84" customFormat="1" ht="27" customHeight="1" x14ac:dyDescent="0.3">
      <c r="A652" s="75" t="s">
        <v>1627</v>
      </c>
      <c r="B652" s="36" t="str">
        <f t="shared" si="10"/>
        <v>Julio</v>
      </c>
      <c r="C652" s="77" t="s">
        <v>162</v>
      </c>
      <c r="D652" s="77" t="s">
        <v>2317</v>
      </c>
      <c r="E65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652" s="79" t="s">
        <v>355</v>
      </c>
      <c r="G652" s="79" t="s">
        <v>356</v>
      </c>
      <c r="H652" s="140" t="s">
        <v>633</v>
      </c>
      <c r="I652" s="77" t="s">
        <v>1937</v>
      </c>
      <c r="J652" s="144" t="s">
        <v>1938</v>
      </c>
      <c r="K652" s="77" t="s">
        <v>239</v>
      </c>
      <c r="L652" s="103" t="str">
        <f>VLOOKUP(Anexo_4[[#This Row],[cod_doc]],TIPODOC,2,FALSE)</f>
        <v>BOLETA DE VENTA</v>
      </c>
      <c r="M652" s="77" t="s">
        <v>162</v>
      </c>
      <c r="N652" s="79">
        <v>164</v>
      </c>
      <c r="O652" s="80"/>
      <c r="P652" s="81"/>
      <c r="Q652" s="81"/>
      <c r="R652" s="80"/>
      <c r="S652" s="80">
        <v>15</v>
      </c>
      <c r="T652" s="82">
        <v>15</v>
      </c>
      <c r="U652" s="77"/>
      <c r="V652" s="75"/>
      <c r="W652" s="77"/>
      <c r="X652" s="77"/>
      <c r="Y652" s="77"/>
      <c r="Z652" s="77" t="s">
        <v>361</v>
      </c>
      <c r="AA652" s="83" t="s">
        <v>633</v>
      </c>
      <c r="AB652" s="104" t="str">
        <f>IFERROR(VLOOKUP(Anexo_4[[#This Row],[cuenta]],OP,2,0),"-")</f>
        <v>Alimentacion (Operativo)</v>
      </c>
    </row>
    <row r="653" spans="1:28" s="84" customFormat="1" ht="27" customHeight="1" x14ac:dyDescent="0.3">
      <c r="A653" s="75" t="s">
        <v>2248</v>
      </c>
      <c r="B653" s="36" t="str">
        <f t="shared" si="10"/>
        <v>Julio</v>
      </c>
      <c r="C653" s="77" t="s">
        <v>162</v>
      </c>
      <c r="D653" s="77" t="s">
        <v>2318</v>
      </c>
      <c r="E653" s="78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653" s="79" t="s">
        <v>198</v>
      </c>
      <c r="G653" s="79" t="s">
        <v>199</v>
      </c>
      <c r="H653" s="140" t="s">
        <v>2319</v>
      </c>
      <c r="I653" s="77" t="s">
        <v>1069</v>
      </c>
      <c r="J653" s="144" t="s">
        <v>1070</v>
      </c>
      <c r="K653" s="77" t="s">
        <v>169</v>
      </c>
      <c r="L653" s="103" t="str">
        <f>VLOOKUP(Anexo_4[[#This Row],[cod_doc]],TIPODOC,2,FALSE)</f>
        <v>FACTURA</v>
      </c>
      <c r="M653" s="77" t="s">
        <v>102</v>
      </c>
      <c r="N653" s="79">
        <v>302</v>
      </c>
      <c r="O653" s="80">
        <v>281.36</v>
      </c>
      <c r="P653" s="81"/>
      <c r="Q653" s="81">
        <v>50.644800000000004</v>
      </c>
      <c r="R653" s="80"/>
      <c r="S653" s="80">
        <v>0</v>
      </c>
      <c r="T653" s="82">
        <v>332</v>
      </c>
      <c r="U653" s="77"/>
      <c r="V653" s="75"/>
      <c r="W653" s="77"/>
      <c r="X653" s="77"/>
      <c r="Y653" s="77"/>
      <c r="Z653" s="77" t="s">
        <v>2320</v>
      </c>
      <c r="AA653" s="83" t="s">
        <v>2319</v>
      </c>
      <c r="AB653" s="104" t="str">
        <f>IFERROR(VLOOKUP(Anexo_4[[#This Row],[cuenta]],OP,2,0),"-")</f>
        <v>Otros Gastos de Gestion</v>
      </c>
    </row>
    <row r="654" spans="1:28" s="84" customFormat="1" ht="27" customHeight="1" x14ac:dyDescent="0.3">
      <c r="A654" s="75" t="s">
        <v>2106</v>
      </c>
      <c r="B654" s="36" t="str">
        <f t="shared" si="10"/>
        <v>Julio</v>
      </c>
      <c r="C654" s="77" t="s">
        <v>162</v>
      </c>
      <c r="D654" s="77" t="s">
        <v>2321</v>
      </c>
      <c r="E654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654" s="79" t="s">
        <v>391</v>
      </c>
      <c r="G654" s="79" t="s">
        <v>392</v>
      </c>
      <c r="H654" s="140" t="s">
        <v>2322</v>
      </c>
      <c r="I654" s="77" t="s">
        <v>220</v>
      </c>
      <c r="J654" s="144" t="s">
        <v>221</v>
      </c>
      <c r="K654" s="77" t="s">
        <v>169</v>
      </c>
      <c r="L654" s="103" t="str">
        <f>VLOOKUP(Anexo_4[[#This Row],[cod_doc]],TIPODOC,2,FALSE)</f>
        <v>FACTURA</v>
      </c>
      <c r="M654" s="77" t="s">
        <v>222</v>
      </c>
      <c r="N654" s="79">
        <v>495</v>
      </c>
      <c r="O654" s="80">
        <v>94.92</v>
      </c>
      <c r="P654" s="81"/>
      <c r="Q654" s="81">
        <v>17.085599999999999</v>
      </c>
      <c r="R654" s="80"/>
      <c r="S654" s="80">
        <v>0</v>
      </c>
      <c r="T654" s="82">
        <v>112</v>
      </c>
      <c r="U654" s="77"/>
      <c r="V654" s="75"/>
      <c r="W654" s="77"/>
      <c r="X654" s="77"/>
      <c r="Y654" s="77"/>
      <c r="Z654" s="77" t="s">
        <v>223</v>
      </c>
      <c r="AA654" s="83" t="s">
        <v>2322</v>
      </c>
      <c r="AB654" s="104" t="str">
        <f>IFERROR(VLOOKUP(Anexo_4[[#This Row],[cuenta]],OP,2,0),"-")</f>
        <v>Mantenimiento Vehicular (Preventivo)</v>
      </c>
    </row>
    <row r="655" spans="1:28" s="84" customFormat="1" ht="27" customHeight="1" x14ac:dyDescent="0.3">
      <c r="A655" s="75" t="s">
        <v>2106</v>
      </c>
      <c r="B655" s="36" t="str">
        <f t="shared" si="10"/>
        <v>Julio</v>
      </c>
      <c r="C655" s="77" t="s">
        <v>162</v>
      </c>
      <c r="D655" s="77" t="s">
        <v>2323</v>
      </c>
      <c r="E65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655" s="79" t="s">
        <v>391</v>
      </c>
      <c r="G655" s="79" t="s">
        <v>392</v>
      </c>
      <c r="H655" s="140" t="s">
        <v>2322</v>
      </c>
      <c r="I655" s="77" t="s">
        <v>220</v>
      </c>
      <c r="J655" s="144" t="s">
        <v>221</v>
      </c>
      <c r="K655" s="77" t="s">
        <v>169</v>
      </c>
      <c r="L655" s="103" t="str">
        <f>VLOOKUP(Anexo_4[[#This Row],[cod_doc]],TIPODOC,2,FALSE)</f>
        <v>FACTURA</v>
      </c>
      <c r="M655" s="77" t="s">
        <v>222</v>
      </c>
      <c r="N655" s="79">
        <v>494</v>
      </c>
      <c r="O655" s="80">
        <v>330</v>
      </c>
      <c r="P655" s="81"/>
      <c r="Q655" s="81">
        <v>59.4</v>
      </c>
      <c r="R655" s="80"/>
      <c r="S655" s="80">
        <v>0</v>
      </c>
      <c r="T655" s="82">
        <v>389.4</v>
      </c>
      <c r="U655" s="77"/>
      <c r="V655" s="75"/>
      <c r="W655" s="77"/>
      <c r="X655" s="77"/>
      <c r="Y655" s="77"/>
      <c r="Z655" s="77" t="s">
        <v>223</v>
      </c>
      <c r="AA655" s="83" t="s">
        <v>2322</v>
      </c>
      <c r="AB655" s="104" t="str">
        <f>IFERROR(VLOOKUP(Anexo_4[[#This Row],[cuenta]],OP,2,0),"-")</f>
        <v>Mantenimiento Vehicular (Preventivo)</v>
      </c>
    </row>
    <row r="656" spans="1:28" s="84" customFormat="1" ht="27" customHeight="1" x14ac:dyDescent="0.3">
      <c r="A656" s="75" t="s">
        <v>2013</v>
      </c>
      <c r="B656" s="36" t="str">
        <f t="shared" si="10"/>
        <v>Julio</v>
      </c>
      <c r="C656" s="77" t="s">
        <v>162</v>
      </c>
      <c r="D656" s="77" t="s">
        <v>2324</v>
      </c>
      <c r="E656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656" s="79" t="s">
        <v>442</v>
      </c>
      <c r="G656" s="79" t="s">
        <v>443</v>
      </c>
      <c r="H656" s="140" t="s">
        <v>2325</v>
      </c>
      <c r="I656" s="77" t="s">
        <v>2326</v>
      </c>
      <c r="J656" s="144" t="s">
        <v>2327</v>
      </c>
      <c r="K656" s="77" t="s">
        <v>169</v>
      </c>
      <c r="L656" s="103" t="str">
        <f>VLOOKUP(Anexo_4[[#This Row],[cod_doc]],TIPODOC,2,FALSE)</f>
        <v>FACTURA</v>
      </c>
      <c r="M656" s="77" t="s">
        <v>102</v>
      </c>
      <c r="N656" s="79">
        <v>3617</v>
      </c>
      <c r="O656" s="80">
        <v>900</v>
      </c>
      <c r="P656" s="81"/>
      <c r="Q656" s="81">
        <v>162</v>
      </c>
      <c r="R656" s="80"/>
      <c r="S656" s="80">
        <v>0</v>
      </c>
      <c r="T656" s="82">
        <v>1062</v>
      </c>
      <c r="U656" s="77" t="s">
        <v>2328</v>
      </c>
      <c r="V656" s="75" t="s">
        <v>1780</v>
      </c>
      <c r="W656" s="77"/>
      <c r="X656" s="77"/>
      <c r="Y656" s="77"/>
      <c r="Z656" s="77" t="s">
        <v>2329</v>
      </c>
      <c r="AA656" s="83" t="s">
        <v>2325</v>
      </c>
      <c r="AB656" s="104" t="str">
        <f>IFERROR(VLOOKUP(Anexo_4[[#This Row],[cuenta]],OP,2,0),"-")</f>
        <v>-</v>
      </c>
    </row>
    <row r="657" spans="1:28" s="84" customFormat="1" ht="27" customHeight="1" x14ac:dyDescent="0.3">
      <c r="A657" s="75" t="s">
        <v>1843</v>
      </c>
      <c r="B657" s="36" t="str">
        <f t="shared" si="10"/>
        <v>Julio</v>
      </c>
      <c r="C657" s="77" t="s">
        <v>162</v>
      </c>
      <c r="D657" s="77" t="s">
        <v>2330</v>
      </c>
      <c r="E657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657" s="79" t="s">
        <v>456</v>
      </c>
      <c r="G657" s="79" t="s">
        <v>457</v>
      </c>
      <c r="H657" s="140" t="s">
        <v>608</v>
      </c>
      <c r="I657" s="77" t="s">
        <v>2130</v>
      </c>
      <c r="J657" s="144" t="s">
        <v>2131</v>
      </c>
      <c r="K657" s="77" t="s">
        <v>169</v>
      </c>
      <c r="L657" s="103" t="str">
        <f>VLOOKUP(Anexo_4[[#This Row],[cod_doc]],TIPODOC,2,FALSE)</f>
        <v>FACTURA</v>
      </c>
      <c r="M657" s="77" t="s">
        <v>102</v>
      </c>
      <c r="N657" s="79">
        <v>41</v>
      </c>
      <c r="O657" s="80">
        <v>29.66</v>
      </c>
      <c r="P657" s="81"/>
      <c r="Q657" s="81">
        <v>5.3388</v>
      </c>
      <c r="R657" s="80"/>
      <c r="S657" s="80">
        <v>0</v>
      </c>
      <c r="T657" s="82">
        <v>35</v>
      </c>
      <c r="U657" s="77"/>
      <c r="V657" s="75"/>
      <c r="W657" s="77"/>
      <c r="X657" s="77"/>
      <c r="Y657" s="77"/>
      <c r="Z657" s="77" t="s">
        <v>507</v>
      </c>
      <c r="AA657" s="83" t="s">
        <v>608</v>
      </c>
      <c r="AB657" s="104" t="str">
        <f>IFERROR(VLOOKUP(Anexo_4[[#This Row],[cuenta]],OP,2,0),"-")</f>
        <v>Transporte lavado (Higienización)</v>
      </c>
    </row>
    <row r="658" spans="1:28" s="84" customFormat="1" ht="27" customHeight="1" x14ac:dyDescent="0.3">
      <c r="A658" s="75" t="s">
        <v>1843</v>
      </c>
      <c r="B658" s="36" t="str">
        <f t="shared" si="10"/>
        <v>Julio</v>
      </c>
      <c r="C658" s="77" t="s">
        <v>162</v>
      </c>
      <c r="D658" s="77" t="s">
        <v>2331</v>
      </c>
      <c r="E658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658" s="79" t="s">
        <v>456</v>
      </c>
      <c r="G658" s="79" t="s">
        <v>457</v>
      </c>
      <c r="H658" s="140" t="s">
        <v>2332</v>
      </c>
      <c r="I658" s="77" t="s">
        <v>2333</v>
      </c>
      <c r="J658" s="144" t="s">
        <v>2334</v>
      </c>
      <c r="K658" s="77" t="s">
        <v>239</v>
      </c>
      <c r="L658" s="103" t="str">
        <f>VLOOKUP(Anexo_4[[#This Row],[cod_doc]],TIPODOC,2,FALSE)</f>
        <v>BOLETA DE VENTA</v>
      </c>
      <c r="M658" s="77" t="s">
        <v>240</v>
      </c>
      <c r="N658" s="79">
        <v>589</v>
      </c>
      <c r="O658" s="80"/>
      <c r="P658" s="81"/>
      <c r="Q658" s="81"/>
      <c r="R658" s="80"/>
      <c r="S658" s="80">
        <v>20</v>
      </c>
      <c r="T658" s="82">
        <v>20</v>
      </c>
      <c r="U658" s="77"/>
      <c r="V658" s="75"/>
      <c r="W658" s="77"/>
      <c r="X658" s="77"/>
      <c r="Y658" s="77" t="s">
        <v>2335</v>
      </c>
      <c r="Z658" s="77" t="s">
        <v>241</v>
      </c>
      <c r="AA658" s="83" t="s">
        <v>2332</v>
      </c>
      <c r="AB658" s="104" t="str">
        <f>IFERROR(VLOOKUP(Anexo_4[[#This Row],[cuenta]],OP,2,0),"-")</f>
        <v>Mantenimiento Vehicular (Correctivo)</v>
      </c>
    </row>
    <row r="659" spans="1:28" s="84" customFormat="1" ht="27" customHeight="1" x14ac:dyDescent="0.3">
      <c r="A659" s="75" t="s">
        <v>1627</v>
      </c>
      <c r="B659" s="36" t="str">
        <f t="shared" si="10"/>
        <v>Julio</v>
      </c>
      <c r="C659" s="77" t="s">
        <v>162</v>
      </c>
      <c r="D659" s="77" t="s">
        <v>2336</v>
      </c>
      <c r="E659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659" s="79" t="s">
        <v>175</v>
      </c>
      <c r="G659" s="79" t="s">
        <v>176</v>
      </c>
      <c r="H659" s="140" t="s">
        <v>2337</v>
      </c>
      <c r="I659" s="77" t="s">
        <v>2338</v>
      </c>
      <c r="J659" s="144" t="s">
        <v>2339</v>
      </c>
      <c r="K659" s="77" t="s">
        <v>239</v>
      </c>
      <c r="L659" s="103" t="str">
        <f>VLOOKUP(Anexo_4[[#This Row],[cod_doc]],TIPODOC,2,FALSE)</f>
        <v>BOLETA DE VENTA</v>
      </c>
      <c r="M659" s="77" t="s">
        <v>162</v>
      </c>
      <c r="N659" s="79">
        <v>2526</v>
      </c>
      <c r="O659" s="80"/>
      <c r="P659" s="81"/>
      <c r="Q659" s="81"/>
      <c r="R659" s="80"/>
      <c r="S659" s="80">
        <v>70</v>
      </c>
      <c r="T659" s="82">
        <v>70</v>
      </c>
      <c r="U659" s="77"/>
      <c r="V659" s="75"/>
      <c r="W659" s="77"/>
      <c r="X659" s="77"/>
      <c r="Y659" s="77" t="s">
        <v>2340</v>
      </c>
      <c r="Z659" s="77" t="s">
        <v>241</v>
      </c>
      <c r="AA659" s="83" t="s">
        <v>2337</v>
      </c>
      <c r="AB659" s="104" t="str">
        <f>IFERROR(VLOOKUP(Anexo_4[[#This Row],[cuenta]],OP,2,0),"-")</f>
        <v>Mantenimiento Vehicular (Correctivo)</v>
      </c>
    </row>
    <row r="660" spans="1:28" s="84" customFormat="1" ht="27" customHeight="1" x14ac:dyDescent="0.3">
      <c r="A660" s="75" t="s">
        <v>1843</v>
      </c>
      <c r="B660" s="36" t="str">
        <f t="shared" si="10"/>
        <v>Julio</v>
      </c>
      <c r="C660" s="77" t="s">
        <v>162</v>
      </c>
      <c r="D660" s="77" t="s">
        <v>2341</v>
      </c>
      <c r="E660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660" s="79" t="s">
        <v>418</v>
      </c>
      <c r="G660" s="79" t="s">
        <v>419</v>
      </c>
      <c r="H660" s="140" t="s">
        <v>2342</v>
      </c>
      <c r="I660" s="77" t="s">
        <v>881</v>
      </c>
      <c r="J660" s="144" t="s">
        <v>882</v>
      </c>
      <c r="K660" s="77" t="s">
        <v>169</v>
      </c>
      <c r="L660" s="103" t="str">
        <f>VLOOKUP(Anexo_4[[#This Row],[cod_doc]],TIPODOC,2,FALSE)</f>
        <v>FACTURA</v>
      </c>
      <c r="M660" s="77" t="s">
        <v>222</v>
      </c>
      <c r="N660" s="79">
        <v>71396</v>
      </c>
      <c r="O660" s="80">
        <v>38.979999999999997</v>
      </c>
      <c r="P660" s="81"/>
      <c r="Q660" s="81">
        <v>7.0163999999999991</v>
      </c>
      <c r="R660" s="80"/>
      <c r="S660" s="80">
        <v>0</v>
      </c>
      <c r="T660" s="82">
        <v>46</v>
      </c>
      <c r="U660" s="77"/>
      <c r="V660" s="75"/>
      <c r="W660" s="77"/>
      <c r="X660" s="77"/>
      <c r="Y660" s="77" t="s">
        <v>2343</v>
      </c>
      <c r="Z660" s="77" t="s">
        <v>710</v>
      </c>
      <c r="AA660" s="83" t="s">
        <v>2342</v>
      </c>
      <c r="AB660" s="104" t="str">
        <f>IFERROR(VLOOKUP(Anexo_4[[#This Row],[cuenta]],OP,2,0),"-")</f>
        <v>Accesorios Vehiculares</v>
      </c>
    </row>
    <row r="661" spans="1:28" s="84" customFormat="1" ht="27" customHeight="1" x14ac:dyDescent="0.3">
      <c r="A661" s="75" t="s">
        <v>1843</v>
      </c>
      <c r="B661" s="36" t="str">
        <f t="shared" si="10"/>
        <v>Julio</v>
      </c>
      <c r="C661" s="77" t="s">
        <v>162</v>
      </c>
      <c r="D661" s="77" t="s">
        <v>2344</v>
      </c>
      <c r="E66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661" s="79" t="s">
        <v>391</v>
      </c>
      <c r="G661" s="79" t="s">
        <v>392</v>
      </c>
      <c r="H661" s="140" t="s">
        <v>2345</v>
      </c>
      <c r="I661" s="77" t="s">
        <v>2346</v>
      </c>
      <c r="J661" s="144" t="s">
        <v>2347</v>
      </c>
      <c r="K661" s="77" t="s">
        <v>169</v>
      </c>
      <c r="L661" s="103" t="str">
        <f>VLOOKUP(Anexo_4[[#This Row],[cod_doc]],TIPODOC,2,FALSE)</f>
        <v>FACTURA</v>
      </c>
      <c r="M661" s="77" t="s">
        <v>102</v>
      </c>
      <c r="N661" s="79">
        <v>1026</v>
      </c>
      <c r="O661" s="80">
        <v>16.940000000000001</v>
      </c>
      <c r="P661" s="81"/>
      <c r="Q661" s="81">
        <v>3.0491999999999999</v>
      </c>
      <c r="R661" s="80"/>
      <c r="S661" s="80">
        <v>0</v>
      </c>
      <c r="T661" s="82">
        <v>19.989999999999998</v>
      </c>
      <c r="U661" s="77"/>
      <c r="V661" s="75"/>
      <c r="W661" s="77"/>
      <c r="X661" s="77"/>
      <c r="Y661" s="77" t="s">
        <v>2348</v>
      </c>
      <c r="Z661" s="77" t="s">
        <v>710</v>
      </c>
      <c r="AA661" s="83" t="s">
        <v>2345</v>
      </c>
      <c r="AB661" s="104" t="str">
        <f>IFERROR(VLOOKUP(Anexo_4[[#This Row],[cuenta]],OP,2,0),"-")</f>
        <v>Accesorios Vehiculares</v>
      </c>
    </row>
    <row r="662" spans="1:28" s="84" customFormat="1" ht="27" customHeight="1" x14ac:dyDescent="0.3">
      <c r="A662" s="75" t="s">
        <v>2349</v>
      </c>
      <c r="B662" s="36" t="str">
        <f t="shared" si="10"/>
        <v>Julio</v>
      </c>
      <c r="C662" s="77" t="s">
        <v>162</v>
      </c>
      <c r="D662" s="77" t="s">
        <v>2350</v>
      </c>
      <c r="E66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662" s="79" t="s">
        <v>391</v>
      </c>
      <c r="G662" s="79" t="s">
        <v>392</v>
      </c>
      <c r="H662" s="140" t="s">
        <v>2351</v>
      </c>
      <c r="I662" s="77" t="s">
        <v>2352</v>
      </c>
      <c r="J662" s="144" t="s">
        <v>2353</v>
      </c>
      <c r="K662" s="77" t="s">
        <v>169</v>
      </c>
      <c r="L662" s="103" t="str">
        <f>VLOOKUP(Anexo_4[[#This Row],[cod_doc]],TIPODOC,2,FALSE)</f>
        <v>FACTURA</v>
      </c>
      <c r="M662" s="77" t="s">
        <v>222</v>
      </c>
      <c r="N662" s="79">
        <v>67808</v>
      </c>
      <c r="O662" s="80">
        <v>59.32</v>
      </c>
      <c r="P662" s="81"/>
      <c r="Q662" s="81">
        <v>10.6776</v>
      </c>
      <c r="R662" s="80"/>
      <c r="S662" s="80">
        <v>0</v>
      </c>
      <c r="T662" s="82">
        <v>70</v>
      </c>
      <c r="U662" s="77"/>
      <c r="V662" s="75"/>
      <c r="W662" s="77"/>
      <c r="X662" s="77"/>
      <c r="Y662" s="77" t="s">
        <v>2354</v>
      </c>
      <c r="Z662" s="77" t="s">
        <v>710</v>
      </c>
      <c r="AA662" s="83" t="s">
        <v>2351</v>
      </c>
      <c r="AB662" s="104" t="str">
        <f>IFERROR(VLOOKUP(Anexo_4[[#This Row],[cuenta]],OP,2,0),"-")</f>
        <v>Accesorios Vehiculares</v>
      </c>
    </row>
    <row r="663" spans="1:28" s="84" customFormat="1" ht="27" customHeight="1" x14ac:dyDescent="0.3">
      <c r="A663" s="75" t="s">
        <v>2349</v>
      </c>
      <c r="B663" s="36" t="str">
        <f t="shared" si="10"/>
        <v>Julio</v>
      </c>
      <c r="C663" s="77" t="s">
        <v>162</v>
      </c>
      <c r="D663" s="77" t="s">
        <v>2355</v>
      </c>
      <c r="E663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663" s="79" t="s">
        <v>175</v>
      </c>
      <c r="G663" s="79" t="s">
        <v>176</v>
      </c>
      <c r="H663" s="140" t="s">
        <v>2356</v>
      </c>
      <c r="I663" s="77" t="s">
        <v>2357</v>
      </c>
      <c r="J663" s="144" t="s">
        <v>2358</v>
      </c>
      <c r="K663" s="77" t="s">
        <v>169</v>
      </c>
      <c r="L663" s="103" t="str">
        <f>VLOOKUP(Anexo_4[[#This Row],[cod_doc]],TIPODOC,2,FALSE)</f>
        <v>FACTURA</v>
      </c>
      <c r="M663" s="77" t="s">
        <v>982</v>
      </c>
      <c r="N663" s="79">
        <v>44341</v>
      </c>
      <c r="O663" s="80">
        <v>11.02</v>
      </c>
      <c r="P663" s="81"/>
      <c r="Q663" s="81">
        <v>1.9835999999999998</v>
      </c>
      <c r="R663" s="80"/>
      <c r="S663" s="80">
        <v>0</v>
      </c>
      <c r="T663" s="82">
        <v>13</v>
      </c>
      <c r="U663" s="77"/>
      <c r="V663" s="75"/>
      <c r="W663" s="77"/>
      <c r="X663" s="77"/>
      <c r="Y663" s="77" t="s">
        <v>2359</v>
      </c>
      <c r="Z663" s="77" t="s">
        <v>710</v>
      </c>
      <c r="AA663" s="83" t="s">
        <v>2356</v>
      </c>
      <c r="AB663" s="104" t="str">
        <f>IFERROR(VLOOKUP(Anexo_4[[#This Row],[cuenta]],OP,2,0),"-")</f>
        <v>Accesorios Vehiculares</v>
      </c>
    </row>
    <row r="664" spans="1:28" s="84" customFormat="1" ht="27" customHeight="1" x14ac:dyDescent="0.3">
      <c r="A664" s="75" t="s">
        <v>2017</v>
      </c>
      <c r="B664" s="36" t="str">
        <f t="shared" si="10"/>
        <v>Julio</v>
      </c>
      <c r="C664" s="77" t="s">
        <v>162</v>
      </c>
      <c r="D664" s="77" t="s">
        <v>2360</v>
      </c>
      <c r="E664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664" s="79" t="s">
        <v>235</v>
      </c>
      <c r="G664" s="79" t="s">
        <v>236</v>
      </c>
      <c r="H664" s="140" t="s">
        <v>2361</v>
      </c>
      <c r="I664" s="77" t="s">
        <v>839</v>
      </c>
      <c r="J664" s="144" t="s">
        <v>840</v>
      </c>
      <c r="K664" s="77" t="s">
        <v>169</v>
      </c>
      <c r="L664" s="103" t="str">
        <f>VLOOKUP(Anexo_4[[#This Row],[cod_doc]],TIPODOC,2,FALSE)</f>
        <v>FACTURA</v>
      </c>
      <c r="M664" s="77" t="s">
        <v>102</v>
      </c>
      <c r="N664" s="79">
        <v>3292</v>
      </c>
      <c r="O664" s="80">
        <v>16.95</v>
      </c>
      <c r="P664" s="81"/>
      <c r="Q664" s="81">
        <v>3.0509999999999997</v>
      </c>
      <c r="R664" s="80"/>
      <c r="S664" s="80">
        <v>0</v>
      </c>
      <c r="T664" s="82">
        <v>20</v>
      </c>
      <c r="U664" s="77"/>
      <c r="V664" s="75"/>
      <c r="W664" s="77"/>
      <c r="X664" s="77"/>
      <c r="Y664" s="77" t="s">
        <v>2362</v>
      </c>
      <c r="Z664" s="77" t="s">
        <v>223</v>
      </c>
      <c r="AA664" s="83" t="s">
        <v>2361</v>
      </c>
      <c r="AB664" s="104" t="str">
        <f>IFERROR(VLOOKUP(Anexo_4[[#This Row],[cuenta]],OP,2,0),"-")</f>
        <v>Mantenimiento Vehicular (Preventivo)</v>
      </c>
    </row>
    <row r="665" spans="1:28" s="84" customFormat="1" ht="27" customHeight="1" x14ac:dyDescent="0.3">
      <c r="A665" s="75" t="s">
        <v>1910</v>
      </c>
      <c r="B665" s="36" t="str">
        <f t="shared" si="10"/>
        <v>Julio</v>
      </c>
      <c r="C665" s="77" t="s">
        <v>162</v>
      </c>
      <c r="D665" s="77" t="s">
        <v>2363</v>
      </c>
      <c r="E66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665" s="79" t="s">
        <v>235</v>
      </c>
      <c r="G665" s="79" t="s">
        <v>236</v>
      </c>
      <c r="H665" s="140" t="s">
        <v>2364</v>
      </c>
      <c r="I665" s="77" t="s">
        <v>2365</v>
      </c>
      <c r="J665" s="144" t="s">
        <v>2366</v>
      </c>
      <c r="K665" s="77" t="s">
        <v>169</v>
      </c>
      <c r="L665" s="103" t="str">
        <f>VLOOKUP(Anexo_4[[#This Row],[cod_doc]],TIPODOC,2,FALSE)</f>
        <v>FACTURA</v>
      </c>
      <c r="M665" s="77" t="s">
        <v>180</v>
      </c>
      <c r="N665" s="79">
        <v>3606</v>
      </c>
      <c r="O665" s="80">
        <v>49.15</v>
      </c>
      <c r="P665" s="81"/>
      <c r="Q665" s="81">
        <v>8.8469999999999995</v>
      </c>
      <c r="R665" s="80"/>
      <c r="S665" s="80">
        <v>0</v>
      </c>
      <c r="T665" s="82">
        <v>58</v>
      </c>
      <c r="U665" s="77"/>
      <c r="V665" s="75"/>
      <c r="W665" s="77"/>
      <c r="X665" s="77"/>
      <c r="Y665" s="77" t="s">
        <v>2367</v>
      </c>
      <c r="Z665" s="77" t="s">
        <v>710</v>
      </c>
      <c r="AA665" s="83" t="s">
        <v>2364</v>
      </c>
      <c r="AB665" s="104" t="str">
        <f>IFERROR(VLOOKUP(Anexo_4[[#This Row],[cuenta]],OP,2,0),"-")</f>
        <v>Accesorios Vehiculares</v>
      </c>
    </row>
    <row r="666" spans="1:28" s="84" customFormat="1" ht="27" customHeight="1" x14ac:dyDescent="0.3">
      <c r="A666" s="75" t="s">
        <v>2349</v>
      </c>
      <c r="B666" s="36" t="str">
        <f t="shared" si="10"/>
        <v>Julio</v>
      </c>
      <c r="C666" s="77" t="s">
        <v>162</v>
      </c>
      <c r="D666" s="77" t="s">
        <v>2368</v>
      </c>
      <c r="E66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666" s="79" t="s">
        <v>391</v>
      </c>
      <c r="G666" s="79" t="s">
        <v>392</v>
      </c>
      <c r="H666" s="140" t="s">
        <v>2369</v>
      </c>
      <c r="I666" s="77" t="s">
        <v>2370</v>
      </c>
      <c r="J666" s="144" t="s">
        <v>2371</v>
      </c>
      <c r="K666" s="77" t="s">
        <v>169</v>
      </c>
      <c r="L666" s="103" t="str">
        <f>VLOOKUP(Anexo_4[[#This Row],[cod_doc]],TIPODOC,2,FALSE)</f>
        <v>FACTURA</v>
      </c>
      <c r="M666" s="77" t="s">
        <v>421</v>
      </c>
      <c r="N666" s="79">
        <v>2190</v>
      </c>
      <c r="O666" s="80">
        <v>42.37</v>
      </c>
      <c r="P666" s="81"/>
      <c r="Q666" s="81">
        <v>7.6265999999999989</v>
      </c>
      <c r="R666" s="80"/>
      <c r="S666" s="80">
        <v>0</v>
      </c>
      <c r="T666" s="82">
        <v>50</v>
      </c>
      <c r="U666" s="77"/>
      <c r="V666" s="75"/>
      <c r="W666" s="77"/>
      <c r="X666" s="77"/>
      <c r="Y666" s="77" t="s">
        <v>2372</v>
      </c>
      <c r="Z666" s="77" t="s">
        <v>710</v>
      </c>
      <c r="AA666" s="83" t="s">
        <v>2369</v>
      </c>
      <c r="AB666" s="104" t="str">
        <f>IFERROR(VLOOKUP(Anexo_4[[#This Row],[cuenta]],OP,2,0),"-")</f>
        <v>Accesorios Vehiculares</v>
      </c>
    </row>
    <row r="667" spans="1:28" s="84" customFormat="1" ht="27" customHeight="1" x14ac:dyDescent="0.3">
      <c r="A667" s="75" t="s">
        <v>2225</v>
      </c>
      <c r="B667" s="36" t="str">
        <f t="shared" si="10"/>
        <v>Julio</v>
      </c>
      <c r="C667" s="77" t="s">
        <v>162</v>
      </c>
      <c r="D667" s="77" t="s">
        <v>2373</v>
      </c>
      <c r="E667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667" s="79" t="s">
        <v>235</v>
      </c>
      <c r="G667" s="79" t="s">
        <v>236</v>
      </c>
      <c r="H667" s="140" t="s">
        <v>2374</v>
      </c>
      <c r="I667" s="77" t="s">
        <v>2375</v>
      </c>
      <c r="J667" s="144" t="s">
        <v>2376</v>
      </c>
      <c r="K667" s="77" t="s">
        <v>169</v>
      </c>
      <c r="L667" s="103" t="str">
        <f>VLOOKUP(Anexo_4[[#This Row],[cod_doc]],TIPODOC,2,FALSE)</f>
        <v>FACTURA</v>
      </c>
      <c r="M667" s="77" t="s">
        <v>102</v>
      </c>
      <c r="N667" s="79">
        <v>79799</v>
      </c>
      <c r="O667" s="80">
        <v>7.63</v>
      </c>
      <c r="P667" s="81"/>
      <c r="Q667" s="81">
        <v>1.3734</v>
      </c>
      <c r="R667" s="80"/>
      <c r="S667" s="80">
        <v>0</v>
      </c>
      <c r="T667" s="82">
        <v>9</v>
      </c>
      <c r="U667" s="77"/>
      <c r="V667" s="75"/>
      <c r="W667" s="77"/>
      <c r="X667" s="77"/>
      <c r="Y667" s="77" t="s">
        <v>2377</v>
      </c>
      <c r="Z667" s="77" t="s">
        <v>710</v>
      </c>
      <c r="AA667" s="83" t="s">
        <v>2374</v>
      </c>
      <c r="AB667" s="104" t="str">
        <f>IFERROR(VLOOKUP(Anexo_4[[#This Row],[cuenta]],OP,2,0),"-")</f>
        <v>Accesorios Vehiculares</v>
      </c>
    </row>
    <row r="668" spans="1:28" s="84" customFormat="1" ht="27" customHeight="1" x14ac:dyDescent="0.3">
      <c r="A668" s="75" t="s">
        <v>2013</v>
      </c>
      <c r="B668" s="36" t="str">
        <f t="shared" si="10"/>
        <v>Julio</v>
      </c>
      <c r="C668" s="77" t="s">
        <v>162</v>
      </c>
      <c r="D668" s="77" t="s">
        <v>2378</v>
      </c>
      <c r="E668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668" s="79" t="s">
        <v>217</v>
      </c>
      <c r="G668" s="79" t="s">
        <v>218</v>
      </c>
      <c r="H668" s="140" t="s">
        <v>2379</v>
      </c>
      <c r="I668" s="77" t="s">
        <v>264</v>
      </c>
      <c r="J668" s="144" t="s">
        <v>265</v>
      </c>
      <c r="K668" s="77" t="s">
        <v>169</v>
      </c>
      <c r="L668" s="103" t="str">
        <f>VLOOKUP(Anexo_4[[#This Row],[cod_doc]],TIPODOC,2,FALSE)</f>
        <v>FACTURA</v>
      </c>
      <c r="M668" s="77" t="s">
        <v>271</v>
      </c>
      <c r="N668" s="79">
        <v>1778329</v>
      </c>
      <c r="O668" s="80">
        <v>6.78</v>
      </c>
      <c r="P668" s="81"/>
      <c r="Q668" s="81">
        <v>1.2203999999999999</v>
      </c>
      <c r="R668" s="80"/>
      <c r="S668" s="80">
        <v>0</v>
      </c>
      <c r="T668" s="82">
        <v>8</v>
      </c>
      <c r="U668" s="77"/>
      <c r="V668" s="75"/>
      <c r="W668" s="77"/>
      <c r="X668" s="77"/>
      <c r="Y668" s="77" t="s">
        <v>2380</v>
      </c>
      <c r="Z668" s="77" t="s">
        <v>268</v>
      </c>
      <c r="AA668" s="83" t="s">
        <v>2379</v>
      </c>
      <c r="AB668" s="104" t="str">
        <f>IFERROR(VLOOKUP(Anexo_4[[#This Row],[cuenta]],OP,2,0),"-")</f>
        <v>Transporte peajes - Ventas</v>
      </c>
    </row>
    <row r="669" spans="1:28" s="84" customFormat="1" ht="27" customHeight="1" x14ac:dyDescent="0.3">
      <c r="A669" s="75" t="s">
        <v>2013</v>
      </c>
      <c r="B669" s="36" t="str">
        <f t="shared" si="10"/>
        <v>Julio</v>
      </c>
      <c r="C669" s="77" t="s">
        <v>162</v>
      </c>
      <c r="D669" s="77" t="s">
        <v>2381</v>
      </c>
      <c r="E669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669" s="79" t="s">
        <v>217</v>
      </c>
      <c r="G669" s="79" t="s">
        <v>218</v>
      </c>
      <c r="H669" s="140" t="s">
        <v>2382</v>
      </c>
      <c r="I669" s="77" t="s">
        <v>264</v>
      </c>
      <c r="J669" s="144" t="s">
        <v>265</v>
      </c>
      <c r="K669" s="77" t="s">
        <v>169</v>
      </c>
      <c r="L669" s="103" t="str">
        <f>VLOOKUP(Anexo_4[[#This Row],[cod_doc]],TIPODOC,2,FALSE)</f>
        <v>FACTURA</v>
      </c>
      <c r="M669" s="77" t="s">
        <v>352</v>
      </c>
      <c r="N669" s="79">
        <v>1798353</v>
      </c>
      <c r="O669" s="80">
        <v>6.78</v>
      </c>
      <c r="P669" s="81"/>
      <c r="Q669" s="81">
        <v>1.2203999999999999</v>
      </c>
      <c r="R669" s="80"/>
      <c r="S669" s="80">
        <v>0</v>
      </c>
      <c r="T669" s="82">
        <v>8</v>
      </c>
      <c r="U669" s="77"/>
      <c r="V669" s="75"/>
      <c r="W669" s="77"/>
      <c r="X669" s="77"/>
      <c r="Y669" s="77" t="s">
        <v>2383</v>
      </c>
      <c r="Z669" s="77" t="s">
        <v>268</v>
      </c>
      <c r="AA669" s="83" t="s">
        <v>2382</v>
      </c>
      <c r="AB669" s="104" t="str">
        <f>IFERROR(VLOOKUP(Anexo_4[[#This Row],[cuenta]],OP,2,0),"-")</f>
        <v>Transporte peajes - Ventas</v>
      </c>
    </row>
    <row r="670" spans="1:28" s="84" customFormat="1" ht="27" customHeight="1" x14ac:dyDescent="0.3">
      <c r="A670" s="75" t="s">
        <v>2106</v>
      </c>
      <c r="B670" s="36" t="str">
        <f t="shared" si="10"/>
        <v>Julio</v>
      </c>
      <c r="C670" s="77" t="s">
        <v>162</v>
      </c>
      <c r="D670" s="77" t="s">
        <v>2384</v>
      </c>
      <c r="E670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670" s="79" t="s">
        <v>217</v>
      </c>
      <c r="G670" s="79" t="s">
        <v>218</v>
      </c>
      <c r="H670" s="140" t="s">
        <v>2385</v>
      </c>
      <c r="I670" s="77" t="s">
        <v>264</v>
      </c>
      <c r="J670" s="144" t="s">
        <v>265</v>
      </c>
      <c r="K670" s="77" t="s">
        <v>169</v>
      </c>
      <c r="L670" s="103" t="str">
        <f>VLOOKUP(Anexo_4[[#This Row],[cod_doc]],TIPODOC,2,FALSE)</f>
        <v>FACTURA</v>
      </c>
      <c r="M670" s="77" t="s">
        <v>271</v>
      </c>
      <c r="N670" s="79">
        <v>1779251</v>
      </c>
      <c r="O670" s="80">
        <v>6.78</v>
      </c>
      <c r="P670" s="81"/>
      <c r="Q670" s="81">
        <v>1.2203999999999999</v>
      </c>
      <c r="R670" s="80"/>
      <c r="S670" s="80">
        <v>0</v>
      </c>
      <c r="T670" s="82">
        <v>8</v>
      </c>
      <c r="U670" s="77"/>
      <c r="V670" s="75"/>
      <c r="W670" s="77"/>
      <c r="X670" s="77"/>
      <c r="Y670" s="77" t="s">
        <v>2386</v>
      </c>
      <c r="Z670" s="77" t="s">
        <v>302</v>
      </c>
      <c r="AA670" s="83" t="s">
        <v>2385</v>
      </c>
      <c r="AB670" s="104" t="str">
        <f>IFERROR(VLOOKUP(Anexo_4[[#This Row],[cuenta]],OP,2,0),"-")</f>
        <v>Transporte peajes - Servicios</v>
      </c>
    </row>
    <row r="671" spans="1:28" s="84" customFormat="1" ht="27" customHeight="1" x14ac:dyDescent="0.3">
      <c r="A671" s="75" t="s">
        <v>2106</v>
      </c>
      <c r="B671" s="36" t="str">
        <f t="shared" si="10"/>
        <v>Julio</v>
      </c>
      <c r="C671" s="77" t="s">
        <v>162</v>
      </c>
      <c r="D671" s="77" t="s">
        <v>2387</v>
      </c>
      <c r="E67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671" s="79" t="s">
        <v>217</v>
      </c>
      <c r="G671" s="79" t="s">
        <v>218</v>
      </c>
      <c r="H671" s="140" t="s">
        <v>2388</v>
      </c>
      <c r="I671" s="77" t="s">
        <v>264</v>
      </c>
      <c r="J671" s="144" t="s">
        <v>265</v>
      </c>
      <c r="K671" s="77" t="s">
        <v>169</v>
      </c>
      <c r="L671" s="103" t="str">
        <f>VLOOKUP(Anexo_4[[#This Row],[cod_doc]],TIPODOC,2,FALSE)</f>
        <v>FACTURA</v>
      </c>
      <c r="M671" s="77" t="s">
        <v>379</v>
      </c>
      <c r="N671" s="79">
        <v>2105666</v>
      </c>
      <c r="O671" s="80">
        <v>6.78</v>
      </c>
      <c r="P671" s="81"/>
      <c r="Q671" s="81">
        <v>1.2203999999999999</v>
      </c>
      <c r="R671" s="80"/>
      <c r="S671" s="80">
        <v>0</v>
      </c>
      <c r="T671" s="82">
        <v>8</v>
      </c>
      <c r="U671" s="77"/>
      <c r="V671" s="75"/>
      <c r="W671" s="77"/>
      <c r="X671" s="77"/>
      <c r="Y671" s="77" t="s">
        <v>2389</v>
      </c>
      <c r="Z671" s="77" t="s">
        <v>302</v>
      </c>
      <c r="AA671" s="83" t="s">
        <v>2388</v>
      </c>
      <c r="AB671" s="104" t="str">
        <f>IFERROR(VLOOKUP(Anexo_4[[#This Row],[cuenta]],OP,2,0),"-")</f>
        <v>Transporte peajes - Servicios</v>
      </c>
    </row>
    <row r="672" spans="1:28" s="84" customFormat="1" ht="27" customHeight="1" x14ac:dyDescent="0.3">
      <c r="A672" s="75" t="s">
        <v>2248</v>
      </c>
      <c r="B672" s="36" t="str">
        <f t="shared" si="10"/>
        <v>Julio</v>
      </c>
      <c r="C672" s="77" t="s">
        <v>162</v>
      </c>
      <c r="D672" s="77" t="s">
        <v>2390</v>
      </c>
      <c r="E67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672" s="79" t="s">
        <v>217</v>
      </c>
      <c r="G672" s="79" t="s">
        <v>218</v>
      </c>
      <c r="H672" s="140" t="s">
        <v>2391</v>
      </c>
      <c r="I672" s="77" t="s">
        <v>264</v>
      </c>
      <c r="J672" s="144" t="s">
        <v>265</v>
      </c>
      <c r="K672" s="77" t="s">
        <v>169</v>
      </c>
      <c r="L672" s="103" t="str">
        <f>VLOOKUP(Anexo_4[[#This Row],[cod_doc]],TIPODOC,2,FALSE)</f>
        <v>FACTURA</v>
      </c>
      <c r="M672" s="77" t="s">
        <v>406</v>
      </c>
      <c r="N672" s="79">
        <v>2392943</v>
      </c>
      <c r="O672" s="80">
        <v>6.78</v>
      </c>
      <c r="P672" s="81"/>
      <c r="Q672" s="81">
        <v>1.2203999999999999</v>
      </c>
      <c r="R672" s="80"/>
      <c r="S672" s="80">
        <v>0</v>
      </c>
      <c r="T672" s="82">
        <v>8</v>
      </c>
      <c r="U672" s="77"/>
      <c r="V672" s="75"/>
      <c r="W672" s="77"/>
      <c r="X672" s="77"/>
      <c r="Y672" s="77" t="s">
        <v>2392</v>
      </c>
      <c r="Z672" s="77" t="s">
        <v>302</v>
      </c>
      <c r="AA672" s="83" t="s">
        <v>2391</v>
      </c>
      <c r="AB672" s="104" t="str">
        <f>IFERROR(VLOOKUP(Anexo_4[[#This Row],[cuenta]],OP,2,0),"-")</f>
        <v>Transporte peajes - Servicios</v>
      </c>
    </row>
    <row r="673" spans="1:28" s="84" customFormat="1" ht="27" customHeight="1" x14ac:dyDescent="0.3">
      <c r="A673" s="75" t="s">
        <v>2248</v>
      </c>
      <c r="B673" s="36" t="str">
        <f t="shared" si="10"/>
        <v>Julio</v>
      </c>
      <c r="C673" s="77" t="s">
        <v>162</v>
      </c>
      <c r="D673" s="77" t="s">
        <v>2393</v>
      </c>
      <c r="E673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673" s="79" t="s">
        <v>217</v>
      </c>
      <c r="G673" s="79" t="s">
        <v>218</v>
      </c>
      <c r="H673" s="140" t="s">
        <v>2394</v>
      </c>
      <c r="I673" s="77" t="s">
        <v>264</v>
      </c>
      <c r="J673" s="144" t="s">
        <v>265</v>
      </c>
      <c r="K673" s="77" t="s">
        <v>169</v>
      </c>
      <c r="L673" s="103" t="str">
        <f>VLOOKUP(Anexo_4[[#This Row],[cod_doc]],TIPODOC,2,FALSE)</f>
        <v>FACTURA</v>
      </c>
      <c r="M673" s="77" t="s">
        <v>379</v>
      </c>
      <c r="N673" s="79">
        <v>2106483</v>
      </c>
      <c r="O673" s="80">
        <v>6.78</v>
      </c>
      <c r="P673" s="81"/>
      <c r="Q673" s="81">
        <v>1.2203999999999999</v>
      </c>
      <c r="R673" s="80"/>
      <c r="S673" s="80">
        <v>0</v>
      </c>
      <c r="T673" s="82">
        <v>8</v>
      </c>
      <c r="U673" s="77"/>
      <c r="V673" s="75"/>
      <c r="W673" s="77"/>
      <c r="X673" s="77"/>
      <c r="Y673" s="77" t="s">
        <v>2395</v>
      </c>
      <c r="Z673" s="77" t="s">
        <v>268</v>
      </c>
      <c r="AA673" s="83" t="s">
        <v>2394</v>
      </c>
      <c r="AB673" s="104" t="str">
        <f>IFERROR(VLOOKUP(Anexo_4[[#This Row],[cuenta]],OP,2,0),"-")</f>
        <v>Transporte peajes - Ventas</v>
      </c>
    </row>
    <row r="674" spans="1:28" s="84" customFormat="1" ht="27" customHeight="1" x14ac:dyDescent="0.3">
      <c r="A674" s="75" t="s">
        <v>1627</v>
      </c>
      <c r="B674" s="36" t="str">
        <f t="shared" si="10"/>
        <v>Julio</v>
      </c>
      <c r="C674" s="77" t="s">
        <v>162</v>
      </c>
      <c r="D674" s="77" t="s">
        <v>2396</v>
      </c>
      <c r="E674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674" s="79" t="s">
        <v>235</v>
      </c>
      <c r="G674" s="79" t="s">
        <v>236</v>
      </c>
      <c r="H674" s="140" t="s">
        <v>2397</v>
      </c>
      <c r="I674" s="77" t="s">
        <v>264</v>
      </c>
      <c r="J674" s="144" t="s">
        <v>265</v>
      </c>
      <c r="K674" s="77" t="s">
        <v>169</v>
      </c>
      <c r="L674" s="103" t="str">
        <f>VLOOKUP(Anexo_4[[#This Row],[cod_doc]],TIPODOC,2,FALSE)</f>
        <v>FACTURA</v>
      </c>
      <c r="M674" s="77" t="s">
        <v>279</v>
      </c>
      <c r="N674" s="79">
        <v>1087675</v>
      </c>
      <c r="O674" s="80">
        <v>6.78</v>
      </c>
      <c r="P674" s="81"/>
      <c r="Q674" s="81">
        <v>1.2203999999999999</v>
      </c>
      <c r="R674" s="80"/>
      <c r="S674" s="80">
        <v>0</v>
      </c>
      <c r="T674" s="82">
        <v>8</v>
      </c>
      <c r="U674" s="77"/>
      <c r="V674" s="75"/>
      <c r="W674" s="77"/>
      <c r="X674" s="77"/>
      <c r="Y674" s="77" t="s">
        <v>2398</v>
      </c>
      <c r="Z674" s="77" t="s">
        <v>302</v>
      </c>
      <c r="AA674" s="83" t="s">
        <v>2397</v>
      </c>
      <c r="AB674" s="104" t="str">
        <f>IFERROR(VLOOKUP(Anexo_4[[#This Row],[cuenta]],OP,2,0),"-")</f>
        <v>Transporte peajes - Servicios</v>
      </c>
    </row>
    <row r="675" spans="1:28" s="84" customFormat="1" ht="27" customHeight="1" x14ac:dyDescent="0.3">
      <c r="A675" s="75" t="s">
        <v>1627</v>
      </c>
      <c r="B675" s="36" t="str">
        <f t="shared" si="10"/>
        <v>Julio</v>
      </c>
      <c r="C675" s="77" t="s">
        <v>162</v>
      </c>
      <c r="D675" s="77" t="s">
        <v>2399</v>
      </c>
      <c r="E67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675" s="79" t="s">
        <v>235</v>
      </c>
      <c r="G675" s="79" t="s">
        <v>236</v>
      </c>
      <c r="H675" s="140" t="s">
        <v>2400</v>
      </c>
      <c r="I675" s="77" t="s">
        <v>264</v>
      </c>
      <c r="J675" s="144" t="s">
        <v>265</v>
      </c>
      <c r="K675" s="77" t="s">
        <v>169</v>
      </c>
      <c r="L675" s="103" t="str">
        <f>VLOOKUP(Anexo_4[[#This Row],[cod_doc]],TIPODOC,2,FALSE)</f>
        <v>FACTURA</v>
      </c>
      <c r="M675" s="77" t="s">
        <v>379</v>
      </c>
      <c r="N675" s="79">
        <v>2107338</v>
      </c>
      <c r="O675" s="80">
        <v>6.78</v>
      </c>
      <c r="P675" s="81"/>
      <c r="Q675" s="81">
        <v>1.2203999999999999</v>
      </c>
      <c r="R675" s="80"/>
      <c r="S675" s="80">
        <v>0</v>
      </c>
      <c r="T675" s="82">
        <v>8</v>
      </c>
      <c r="U675" s="77"/>
      <c r="V675" s="75"/>
      <c r="W675" s="77"/>
      <c r="X675" s="77"/>
      <c r="Y675" s="77" t="s">
        <v>2401</v>
      </c>
      <c r="Z675" s="77" t="s">
        <v>302</v>
      </c>
      <c r="AA675" s="83" t="s">
        <v>2400</v>
      </c>
      <c r="AB675" s="104" t="str">
        <f>IFERROR(VLOOKUP(Anexo_4[[#This Row],[cuenta]],OP,2,0),"-")</f>
        <v>Transporte peajes - Servicios</v>
      </c>
    </row>
    <row r="676" spans="1:28" s="84" customFormat="1" ht="27" customHeight="1" x14ac:dyDescent="0.3">
      <c r="A676" s="75" t="s">
        <v>1627</v>
      </c>
      <c r="B676" s="36" t="str">
        <f t="shared" si="10"/>
        <v>Julio</v>
      </c>
      <c r="C676" s="77" t="s">
        <v>162</v>
      </c>
      <c r="D676" s="77" t="s">
        <v>2402</v>
      </c>
      <c r="E67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676" s="79" t="s">
        <v>235</v>
      </c>
      <c r="G676" s="79" t="s">
        <v>236</v>
      </c>
      <c r="H676" s="140" t="s">
        <v>2403</v>
      </c>
      <c r="I676" s="77" t="s">
        <v>264</v>
      </c>
      <c r="J676" s="144" t="s">
        <v>265</v>
      </c>
      <c r="K676" s="77" t="s">
        <v>169</v>
      </c>
      <c r="L676" s="103" t="str">
        <f>VLOOKUP(Anexo_4[[#This Row],[cod_doc]],TIPODOC,2,FALSE)</f>
        <v>FACTURA</v>
      </c>
      <c r="M676" s="77" t="s">
        <v>271</v>
      </c>
      <c r="N676" s="79">
        <v>1780588</v>
      </c>
      <c r="O676" s="80">
        <v>4.24</v>
      </c>
      <c r="P676" s="81"/>
      <c r="Q676" s="81">
        <v>0.76319999999999999</v>
      </c>
      <c r="R676" s="80"/>
      <c r="S676" s="80">
        <v>0</v>
      </c>
      <c r="T676" s="82">
        <v>5</v>
      </c>
      <c r="U676" s="77"/>
      <c r="V676" s="75"/>
      <c r="W676" s="77"/>
      <c r="X676" s="77"/>
      <c r="Y676" s="77" t="s">
        <v>2404</v>
      </c>
      <c r="Z676" s="77" t="s">
        <v>302</v>
      </c>
      <c r="AA676" s="83" t="s">
        <v>2403</v>
      </c>
      <c r="AB676" s="104" t="str">
        <f>IFERROR(VLOOKUP(Anexo_4[[#This Row],[cuenta]],OP,2,0),"-")</f>
        <v>Transporte peajes - Servicios</v>
      </c>
    </row>
    <row r="677" spans="1:28" s="84" customFormat="1" ht="27" customHeight="1" x14ac:dyDescent="0.3">
      <c r="A677" s="75" t="s">
        <v>1627</v>
      </c>
      <c r="B677" s="36" t="str">
        <f t="shared" si="10"/>
        <v>Julio</v>
      </c>
      <c r="C677" s="77" t="s">
        <v>162</v>
      </c>
      <c r="D677" s="77" t="s">
        <v>2405</v>
      </c>
      <c r="E677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677" s="79" t="s">
        <v>235</v>
      </c>
      <c r="G677" s="79" t="s">
        <v>236</v>
      </c>
      <c r="H677" s="140" t="s">
        <v>2406</v>
      </c>
      <c r="I677" s="77" t="s">
        <v>264</v>
      </c>
      <c r="J677" s="144" t="s">
        <v>265</v>
      </c>
      <c r="K677" s="77" t="s">
        <v>169</v>
      </c>
      <c r="L677" s="103" t="str">
        <f>VLOOKUP(Anexo_4[[#This Row],[cod_doc]],TIPODOC,2,FALSE)</f>
        <v>FACTURA</v>
      </c>
      <c r="M677" s="77" t="s">
        <v>275</v>
      </c>
      <c r="N677" s="79">
        <v>995172</v>
      </c>
      <c r="O677" s="80">
        <v>6.78</v>
      </c>
      <c r="P677" s="81"/>
      <c r="Q677" s="81">
        <v>1.2203999999999999</v>
      </c>
      <c r="R677" s="80"/>
      <c r="S677" s="80">
        <v>0</v>
      </c>
      <c r="T677" s="82">
        <v>8</v>
      </c>
      <c r="U677" s="77"/>
      <c r="V677" s="75"/>
      <c r="W677" s="77"/>
      <c r="X677" s="77"/>
      <c r="Y677" s="77" t="s">
        <v>2407</v>
      </c>
      <c r="Z677" s="77" t="s">
        <v>302</v>
      </c>
      <c r="AA677" s="83" t="s">
        <v>2406</v>
      </c>
      <c r="AB677" s="104" t="str">
        <f>IFERROR(VLOOKUP(Anexo_4[[#This Row],[cuenta]],OP,2,0),"-")</f>
        <v>Transporte peajes - Servicios</v>
      </c>
    </row>
    <row r="678" spans="1:28" s="84" customFormat="1" ht="27" customHeight="1" x14ac:dyDescent="0.3">
      <c r="A678" s="75" t="s">
        <v>1843</v>
      </c>
      <c r="B678" s="36" t="str">
        <f t="shared" si="10"/>
        <v>Julio</v>
      </c>
      <c r="C678" s="77" t="s">
        <v>162</v>
      </c>
      <c r="D678" s="77" t="s">
        <v>2408</v>
      </c>
      <c r="E678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678" s="79" t="s">
        <v>217</v>
      </c>
      <c r="G678" s="79" t="s">
        <v>218</v>
      </c>
      <c r="H678" s="140" t="s">
        <v>2409</v>
      </c>
      <c r="I678" s="77" t="s">
        <v>264</v>
      </c>
      <c r="J678" s="144" t="s">
        <v>265</v>
      </c>
      <c r="K678" s="77" t="s">
        <v>169</v>
      </c>
      <c r="L678" s="103" t="str">
        <f>VLOOKUP(Anexo_4[[#This Row],[cod_doc]],TIPODOC,2,FALSE)</f>
        <v>FACTURA</v>
      </c>
      <c r="M678" s="77" t="s">
        <v>352</v>
      </c>
      <c r="N678" s="79">
        <v>1801089</v>
      </c>
      <c r="O678" s="80">
        <v>6.78</v>
      </c>
      <c r="P678" s="81"/>
      <c r="Q678" s="81">
        <v>1.2203999999999999</v>
      </c>
      <c r="R678" s="80"/>
      <c r="S678" s="80">
        <v>0</v>
      </c>
      <c r="T678" s="82">
        <v>8</v>
      </c>
      <c r="U678" s="77"/>
      <c r="V678" s="75"/>
      <c r="W678" s="77"/>
      <c r="X678" s="77"/>
      <c r="Y678" s="77" t="s">
        <v>2410</v>
      </c>
      <c r="Z678" s="77" t="s">
        <v>302</v>
      </c>
      <c r="AA678" s="83" t="s">
        <v>2409</v>
      </c>
      <c r="AB678" s="104" t="str">
        <f>IFERROR(VLOOKUP(Anexo_4[[#This Row],[cuenta]],OP,2,0),"-")</f>
        <v>Transporte peajes - Servicios</v>
      </c>
    </row>
    <row r="679" spans="1:28" s="84" customFormat="1" ht="27" customHeight="1" x14ac:dyDescent="0.3">
      <c r="A679" s="75" t="s">
        <v>2106</v>
      </c>
      <c r="B679" s="36" t="str">
        <f t="shared" si="10"/>
        <v>Julio</v>
      </c>
      <c r="C679" s="77" t="s">
        <v>162</v>
      </c>
      <c r="D679" s="77" t="s">
        <v>2411</v>
      </c>
      <c r="E679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679" s="79" t="s">
        <v>391</v>
      </c>
      <c r="G679" s="79" t="s">
        <v>392</v>
      </c>
      <c r="H679" s="140" t="s">
        <v>2412</v>
      </c>
      <c r="I679" s="77" t="s">
        <v>178</v>
      </c>
      <c r="J679" s="144" t="s">
        <v>179</v>
      </c>
      <c r="K679" s="77" t="s">
        <v>169</v>
      </c>
      <c r="L679" s="103" t="str">
        <f>VLOOKUP(Anexo_4[[#This Row],[cod_doc]],TIPODOC,2,FALSE)</f>
        <v>FACTURA</v>
      </c>
      <c r="M679" s="77" t="s">
        <v>180</v>
      </c>
      <c r="N679" s="79">
        <v>133955</v>
      </c>
      <c r="O679" s="80">
        <v>8.4700000000000006</v>
      </c>
      <c r="P679" s="81"/>
      <c r="Q679" s="81">
        <v>1.5246</v>
      </c>
      <c r="R679" s="80"/>
      <c r="S679" s="80">
        <v>0</v>
      </c>
      <c r="T679" s="82">
        <v>10</v>
      </c>
      <c r="U679" s="77"/>
      <c r="V679" s="75"/>
      <c r="W679" s="77"/>
      <c r="X679" s="77"/>
      <c r="Y679" s="77" t="s">
        <v>2413</v>
      </c>
      <c r="Z679" s="77" t="s">
        <v>386</v>
      </c>
      <c r="AA679" s="83" t="s">
        <v>2412</v>
      </c>
      <c r="AB679" s="104" t="str">
        <f>IFERROR(VLOOKUP(Anexo_4[[#This Row],[cuenta]],OP,2,0),"-")</f>
        <v>Balanza - Servicios</v>
      </c>
    </row>
    <row r="680" spans="1:28" s="84" customFormat="1" ht="27" customHeight="1" x14ac:dyDescent="0.3">
      <c r="A680" s="75" t="s">
        <v>1843</v>
      </c>
      <c r="B680" s="36" t="str">
        <f t="shared" si="10"/>
        <v>Julio</v>
      </c>
      <c r="C680" s="77" t="s">
        <v>162</v>
      </c>
      <c r="D680" s="77" t="s">
        <v>2414</v>
      </c>
      <c r="E680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680" s="79" t="s">
        <v>391</v>
      </c>
      <c r="G680" s="79" t="s">
        <v>392</v>
      </c>
      <c r="H680" s="140" t="s">
        <v>2415</v>
      </c>
      <c r="I680" s="77" t="s">
        <v>504</v>
      </c>
      <c r="J680" s="144" t="s">
        <v>505</v>
      </c>
      <c r="K680" s="77" t="s">
        <v>169</v>
      </c>
      <c r="L680" s="103" t="str">
        <f>VLOOKUP(Anexo_4[[#This Row],[cod_doc]],TIPODOC,2,FALSE)</f>
        <v>FACTURA</v>
      </c>
      <c r="M680" s="77" t="s">
        <v>222</v>
      </c>
      <c r="N680" s="79">
        <v>18688</v>
      </c>
      <c r="O680" s="80">
        <v>21.19</v>
      </c>
      <c r="P680" s="81"/>
      <c r="Q680" s="81">
        <v>3.8142</v>
      </c>
      <c r="R680" s="80"/>
      <c r="S680" s="80">
        <v>0</v>
      </c>
      <c r="T680" s="82">
        <v>25</v>
      </c>
      <c r="U680" s="77"/>
      <c r="V680" s="75"/>
      <c r="W680" s="77"/>
      <c r="X680" s="77"/>
      <c r="Y680" s="77" t="s">
        <v>2416</v>
      </c>
      <c r="Z680" s="77" t="s">
        <v>507</v>
      </c>
      <c r="AA680" s="83" t="s">
        <v>2415</v>
      </c>
      <c r="AB680" s="104" t="str">
        <f>IFERROR(VLOOKUP(Anexo_4[[#This Row],[cuenta]],OP,2,0),"-")</f>
        <v>Transporte lavado (Higienización)</v>
      </c>
    </row>
    <row r="681" spans="1:28" s="84" customFormat="1" ht="27" customHeight="1" x14ac:dyDescent="0.3">
      <c r="A681" s="75" t="s">
        <v>2106</v>
      </c>
      <c r="B681" s="36" t="str">
        <f t="shared" si="10"/>
        <v>Julio</v>
      </c>
      <c r="C681" s="77" t="s">
        <v>162</v>
      </c>
      <c r="D681" s="77" t="s">
        <v>2417</v>
      </c>
      <c r="E68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681" s="79" t="s">
        <v>391</v>
      </c>
      <c r="G681" s="79" t="s">
        <v>392</v>
      </c>
      <c r="H681" s="140" t="s">
        <v>2418</v>
      </c>
      <c r="I681" s="77" t="s">
        <v>383</v>
      </c>
      <c r="J681" s="144" t="s">
        <v>384</v>
      </c>
      <c r="K681" s="77" t="s">
        <v>169</v>
      </c>
      <c r="L681" s="103" t="str">
        <f>VLOOKUP(Anexo_4[[#This Row],[cod_doc]],TIPODOC,2,FALSE)</f>
        <v>FACTURA</v>
      </c>
      <c r="M681" s="77" t="s">
        <v>421</v>
      </c>
      <c r="N681" s="79">
        <v>35098</v>
      </c>
      <c r="O681" s="80">
        <v>8.4700000000000006</v>
      </c>
      <c r="P681" s="81"/>
      <c r="Q681" s="81">
        <v>1.5246</v>
      </c>
      <c r="R681" s="80"/>
      <c r="S681" s="80">
        <v>0</v>
      </c>
      <c r="T681" s="82">
        <v>10</v>
      </c>
      <c r="U681" s="77"/>
      <c r="V681" s="75"/>
      <c r="W681" s="77"/>
      <c r="X681" s="77"/>
      <c r="Y681" s="77" t="s">
        <v>2419</v>
      </c>
      <c r="Z681" s="77" t="s">
        <v>386</v>
      </c>
      <c r="AA681" s="83" t="s">
        <v>2418</v>
      </c>
      <c r="AB681" s="104" t="str">
        <f>IFERROR(VLOOKUP(Anexo_4[[#This Row],[cuenta]],OP,2,0),"-")</f>
        <v>Balanza - Servicios</v>
      </c>
    </row>
    <row r="682" spans="1:28" s="84" customFormat="1" ht="27" customHeight="1" x14ac:dyDescent="0.3">
      <c r="A682" s="75" t="s">
        <v>1910</v>
      </c>
      <c r="B682" s="36" t="str">
        <f t="shared" si="10"/>
        <v>Julio</v>
      </c>
      <c r="C682" s="77" t="s">
        <v>162</v>
      </c>
      <c r="D682" s="77" t="s">
        <v>2420</v>
      </c>
      <c r="E682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682" s="79" t="s">
        <v>823</v>
      </c>
      <c r="G682" s="79" t="s">
        <v>824</v>
      </c>
      <c r="H682" s="140" t="s">
        <v>2421</v>
      </c>
      <c r="I682" s="77" t="s">
        <v>2422</v>
      </c>
      <c r="J682" s="144" t="s">
        <v>2423</v>
      </c>
      <c r="K682" s="77" t="s">
        <v>169</v>
      </c>
      <c r="L682" s="103" t="str">
        <f>VLOOKUP(Anexo_4[[#This Row],[cod_doc]],TIPODOC,2,FALSE)</f>
        <v>FACTURA</v>
      </c>
      <c r="M682" s="77" t="s">
        <v>222</v>
      </c>
      <c r="N682" s="79">
        <v>20</v>
      </c>
      <c r="O682" s="80">
        <v>993.72</v>
      </c>
      <c r="P682" s="81"/>
      <c r="Q682" s="81">
        <v>178.86959999999999</v>
      </c>
      <c r="R682" s="80"/>
      <c r="S682" s="80">
        <v>0</v>
      </c>
      <c r="T682" s="82">
        <v>1172.5899999999999</v>
      </c>
      <c r="U682" s="77" t="s">
        <v>2424</v>
      </c>
      <c r="V682" s="75" t="s">
        <v>1627</v>
      </c>
      <c r="W682" s="77"/>
      <c r="X682" s="77"/>
      <c r="Y682" s="77"/>
      <c r="Z682" s="77" t="s">
        <v>1756</v>
      </c>
      <c r="AA682" s="83" t="s">
        <v>2421</v>
      </c>
      <c r="AB682" s="104" t="str">
        <f>IFERROR(VLOOKUP(Anexo_4[[#This Row],[cuenta]],OP,2,0),"-")</f>
        <v>-</v>
      </c>
    </row>
    <row r="683" spans="1:28" s="84" customFormat="1" ht="27" customHeight="1" x14ac:dyDescent="0.3">
      <c r="A683" s="75" t="s">
        <v>1843</v>
      </c>
      <c r="B683" s="36" t="str">
        <f t="shared" si="10"/>
        <v>Julio</v>
      </c>
      <c r="C683" s="77" t="s">
        <v>162</v>
      </c>
      <c r="D683" s="77" t="s">
        <v>2425</v>
      </c>
      <c r="E683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683" s="79"/>
      <c r="G683" s="79"/>
      <c r="H683" s="140"/>
      <c r="I683" s="77" t="s">
        <v>258</v>
      </c>
      <c r="J683" s="144" t="s">
        <v>259</v>
      </c>
      <c r="K683" s="77" t="s">
        <v>169</v>
      </c>
      <c r="L683" s="103" t="str">
        <f>VLOOKUP(Anexo_4[[#This Row],[cod_doc]],TIPODOC,2,FALSE)</f>
        <v>FACTURA</v>
      </c>
      <c r="M683" s="77" t="s">
        <v>1050</v>
      </c>
      <c r="N683" s="79" t="s">
        <v>2426</v>
      </c>
      <c r="O683" s="80">
        <v>129.66</v>
      </c>
      <c r="P683" s="81"/>
      <c r="Q683" s="81">
        <v>23.34</v>
      </c>
      <c r="R683" s="80"/>
      <c r="S683" s="80">
        <v>0</v>
      </c>
      <c r="T683" s="82">
        <v>153</v>
      </c>
      <c r="U683" s="77"/>
      <c r="V683" s="75"/>
      <c r="W683" s="77"/>
      <c r="X683" s="77"/>
      <c r="Y683" s="77"/>
      <c r="Z683" s="77"/>
      <c r="AA683" s="83"/>
      <c r="AB683" s="104" t="str">
        <f>IFERROR(VLOOKUP(Anexo_4[[#This Row],[cuenta]],OP,2,0),"-")</f>
        <v>-</v>
      </c>
    </row>
    <row r="684" spans="1:28" s="84" customFormat="1" ht="27" customHeight="1" x14ac:dyDescent="0.3">
      <c r="A684" s="75" t="s">
        <v>1627</v>
      </c>
      <c r="B684" s="36" t="str">
        <f t="shared" si="10"/>
        <v>Julio</v>
      </c>
      <c r="C684" s="77" t="s">
        <v>162</v>
      </c>
      <c r="D684" s="77" t="s">
        <v>2427</v>
      </c>
      <c r="E684" s="78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684" s="79" t="s">
        <v>198</v>
      </c>
      <c r="G684" s="79" t="s">
        <v>199</v>
      </c>
      <c r="H684" s="140" t="s">
        <v>2428</v>
      </c>
      <c r="I684" s="77" t="s">
        <v>2429</v>
      </c>
      <c r="J684" s="144" t="s">
        <v>2430</v>
      </c>
      <c r="K684" s="77" t="s">
        <v>239</v>
      </c>
      <c r="L684" s="103" t="str">
        <f>VLOOKUP(Anexo_4[[#This Row],[cod_doc]],TIPODOC,2,FALSE)</f>
        <v>BOLETA DE VENTA</v>
      </c>
      <c r="M684" s="77" t="s">
        <v>162</v>
      </c>
      <c r="N684" s="79">
        <v>168</v>
      </c>
      <c r="O684" s="80"/>
      <c r="P684" s="81"/>
      <c r="Q684" s="81"/>
      <c r="R684" s="80"/>
      <c r="S684" s="80">
        <v>21.4</v>
      </c>
      <c r="T684" s="82">
        <v>21.4</v>
      </c>
      <c r="U684" s="77"/>
      <c r="V684" s="75"/>
      <c r="W684" s="77"/>
      <c r="X684" s="77"/>
      <c r="Y684" s="77"/>
      <c r="Z684" s="77" t="s">
        <v>361</v>
      </c>
      <c r="AA684" s="83" t="s">
        <v>2428</v>
      </c>
      <c r="AB684" s="104" t="str">
        <f>IFERROR(VLOOKUP(Anexo_4[[#This Row],[cuenta]],OP,2,0),"-")</f>
        <v>Alimentacion (Operativo)</v>
      </c>
    </row>
    <row r="685" spans="1:28" s="84" customFormat="1" ht="27" customHeight="1" x14ac:dyDescent="0.3">
      <c r="A685" s="75" t="s">
        <v>1843</v>
      </c>
      <c r="B685" s="36" t="str">
        <f t="shared" si="10"/>
        <v>Julio</v>
      </c>
      <c r="C685" s="77" t="s">
        <v>162</v>
      </c>
      <c r="D685" s="77" t="s">
        <v>2431</v>
      </c>
      <c r="E685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685" s="79" t="s">
        <v>650</v>
      </c>
      <c r="G685" s="79" t="s">
        <v>651</v>
      </c>
      <c r="H685" s="140" t="s">
        <v>2432</v>
      </c>
      <c r="I685" s="77" t="s">
        <v>653</v>
      </c>
      <c r="J685" s="144" t="s">
        <v>654</v>
      </c>
      <c r="K685" s="77" t="s">
        <v>169</v>
      </c>
      <c r="L685" s="103" t="str">
        <f>VLOOKUP(Anexo_4[[#This Row],[cod_doc]],TIPODOC,2,FALSE)</f>
        <v>FACTURA</v>
      </c>
      <c r="M685" s="77" t="s">
        <v>655</v>
      </c>
      <c r="N685" s="79">
        <v>16163</v>
      </c>
      <c r="O685" s="80">
        <v>89</v>
      </c>
      <c r="P685" s="81"/>
      <c r="Q685" s="81">
        <v>16.02</v>
      </c>
      <c r="R685" s="80"/>
      <c r="S685" s="80">
        <v>0</v>
      </c>
      <c r="T685" s="82">
        <v>105.02</v>
      </c>
      <c r="U685" s="77"/>
      <c r="V685" s="75"/>
      <c r="W685" s="77"/>
      <c r="X685" s="77"/>
      <c r="Y685" s="77"/>
      <c r="Z685" s="77" t="s">
        <v>656</v>
      </c>
      <c r="AA685" s="83" t="s">
        <v>2432</v>
      </c>
      <c r="AB685" s="104" t="str">
        <f>IFERROR(VLOOKUP(Anexo_4[[#This Row],[cuenta]],OP,2,0),"-")</f>
        <v>-</v>
      </c>
    </row>
    <row r="686" spans="1:28" s="84" customFormat="1" ht="27" customHeight="1" x14ac:dyDescent="0.3">
      <c r="A686" s="75" t="s">
        <v>1627</v>
      </c>
      <c r="B686" s="36" t="str">
        <f t="shared" si="10"/>
        <v>Julio</v>
      </c>
      <c r="C686" s="77" t="s">
        <v>162</v>
      </c>
      <c r="D686" s="77" t="s">
        <v>2433</v>
      </c>
      <c r="E686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686" s="79" t="s">
        <v>190</v>
      </c>
      <c r="G686" s="79" t="s">
        <v>191</v>
      </c>
      <c r="H686" s="140" t="s">
        <v>2434</v>
      </c>
      <c r="I686" s="77" t="s">
        <v>2435</v>
      </c>
      <c r="J686" s="144" t="s">
        <v>2436</v>
      </c>
      <c r="K686" s="77" t="s">
        <v>169</v>
      </c>
      <c r="L686" s="103" t="str">
        <f>VLOOKUP(Anexo_4[[#This Row],[cod_doc]],TIPODOC,2,FALSE)</f>
        <v>FACTURA</v>
      </c>
      <c r="M686" s="77" t="s">
        <v>102</v>
      </c>
      <c r="N686" s="79">
        <v>542</v>
      </c>
      <c r="O686" s="80">
        <v>779.66</v>
      </c>
      <c r="P686" s="81"/>
      <c r="Q686" s="81">
        <v>140.33879999999999</v>
      </c>
      <c r="R686" s="80"/>
      <c r="S686" s="80">
        <v>0</v>
      </c>
      <c r="T686" s="82">
        <v>920</v>
      </c>
      <c r="U686" s="77" t="s">
        <v>2437</v>
      </c>
      <c r="V686" s="75" t="s">
        <v>1780</v>
      </c>
      <c r="W686" s="77"/>
      <c r="X686" s="77"/>
      <c r="Y686" s="77"/>
      <c r="Z686" s="77" t="s">
        <v>2438</v>
      </c>
      <c r="AA686" s="83" t="s">
        <v>2434</v>
      </c>
      <c r="AB686" s="104" t="str">
        <f>IFERROR(VLOOKUP(Anexo_4[[#This Row],[cuenta]],OP,2,0),"-")</f>
        <v>-</v>
      </c>
    </row>
    <row r="687" spans="1:28" s="84" customFormat="1" ht="27" customHeight="1" x14ac:dyDescent="0.3">
      <c r="A687" s="75" t="s">
        <v>1910</v>
      </c>
      <c r="B687" s="36" t="str">
        <f t="shared" si="10"/>
        <v>Julio</v>
      </c>
      <c r="C687" s="77" t="s">
        <v>162</v>
      </c>
      <c r="D687" s="77" t="s">
        <v>2439</v>
      </c>
      <c r="E687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687" s="79" t="s">
        <v>190</v>
      </c>
      <c r="G687" s="79" t="s">
        <v>191</v>
      </c>
      <c r="H687" s="140" t="s">
        <v>2440</v>
      </c>
      <c r="I687" s="77" t="s">
        <v>2441</v>
      </c>
      <c r="J687" s="144" t="s">
        <v>2442</v>
      </c>
      <c r="K687" s="77" t="s">
        <v>169</v>
      </c>
      <c r="L687" s="103" t="str">
        <f>VLOOKUP(Anexo_4[[#This Row],[cod_doc]],TIPODOC,2,FALSE)</f>
        <v>FACTURA</v>
      </c>
      <c r="M687" s="77" t="s">
        <v>102</v>
      </c>
      <c r="N687" s="79">
        <v>1458</v>
      </c>
      <c r="O687" s="80">
        <v>572.03</v>
      </c>
      <c r="P687" s="81"/>
      <c r="Q687" s="81">
        <v>102.96539999999999</v>
      </c>
      <c r="R687" s="80"/>
      <c r="S687" s="80">
        <v>0</v>
      </c>
      <c r="T687" s="82">
        <v>675</v>
      </c>
      <c r="U687" s="77"/>
      <c r="V687" s="75"/>
      <c r="W687" s="77"/>
      <c r="X687" s="77"/>
      <c r="Y687" s="77"/>
      <c r="Z687" s="77" t="s">
        <v>2438</v>
      </c>
      <c r="AA687" s="83" t="s">
        <v>2440</v>
      </c>
      <c r="AB687" s="104" t="str">
        <f>IFERROR(VLOOKUP(Anexo_4[[#This Row],[cuenta]],OP,2,0),"-")</f>
        <v>-</v>
      </c>
    </row>
    <row r="688" spans="1:28" s="84" customFormat="1" ht="27" customHeight="1" x14ac:dyDescent="0.3">
      <c r="A688" s="75" t="s">
        <v>2013</v>
      </c>
      <c r="B688" s="36" t="str">
        <f t="shared" si="10"/>
        <v>Julio</v>
      </c>
      <c r="C688" s="77" t="s">
        <v>162</v>
      </c>
      <c r="D688" s="77" t="s">
        <v>2443</v>
      </c>
      <c r="E688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688" s="79" t="s">
        <v>175</v>
      </c>
      <c r="G688" s="79" t="s">
        <v>176</v>
      </c>
      <c r="H688" s="140" t="s">
        <v>2444</v>
      </c>
      <c r="I688" s="77" t="s">
        <v>2445</v>
      </c>
      <c r="J688" s="144" t="s">
        <v>2446</v>
      </c>
      <c r="K688" s="77" t="s">
        <v>169</v>
      </c>
      <c r="L688" s="103" t="str">
        <f>VLOOKUP(Anexo_4[[#This Row],[cod_doc]],TIPODOC,2,FALSE)</f>
        <v>FACTURA</v>
      </c>
      <c r="M688" s="77" t="s">
        <v>102</v>
      </c>
      <c r="N688" s="79">
        <v>416</v>
      </c>
      <c r="O688" s="80">
        <v>508.47</v>
      </c>
      <c r="P688" s="81"/>
      <c r="Q688" s="81">
        <v>91.524600000000007</v>
      </c>
      <c r="R688" s="80"/>
      <c r="S688" s="80">
        <v>0</v>
      </c>
      <c r="T688" s="82">
        <v>600</v>
      </c>
      <c r="U688" s="77"/>
      <c r="V688" s="75"/>
      <c r="W688" s="77"/>
      <c r="X688" s="77"/>
      <c r="Y688" s="77"/>
      <c r="Z688" s="77" t="s">
        <v>2447</v>
      </c>
      <c r="AA688" s="83" t="s">
        <v>2444</v>
      </c>
      <c r="AB688" s="104" t="str">
        <f>IFERROR(VLOOKUP(Anexo_4[[#This Row],[cuenta]],OP,2,0),"-")</f>
        <v>GPS</v>
      </c>
    </row>
    <row r="689" spans="1:28" s="84" customFormat="1" ht="27" customHeight="1" x14ac:dyDescent="0.3">
      <c r="A689" s="75" t="s">
        <v>1627</v>
      </c>
      <c r="B689" s="36" t="str">
        <f t="shared" si="10"/>
        <v>Julio</v>
      </c>
      <c r="C689" s="77" t="s">
        <v>162</v>
      </c>
      <c r="D689" s="77" t="s">
        <v>2448</v>
      </c>
      <c r="E689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689" s="79" t="s">
        <v>650</v>
      </c>
      <c r="G689" s="79" t="s">
        <v>651</v>
      </c>
      <c r="H689" s="140" t="s">
        <v>2449</v>
      </c>
      <c r="I689" s="77" t="s">
        <v>2450</v>
      </c>
      <c r="J689" s="144" t="s">
        <v>2451</v>
      </c>
      <c r="K689" s="77" t="s">
        <v>169</v>
      </c>
      <c r="L689" s="103" t="str">
        <f>VLOOKUP(Anexo_4[[#This Row],[cod_doc]],TIPODOC,2,FALSE)</f>
        <v>FACTURA</v>
      </c>
      <c r="M689" s="77" t="s">
        <v>102</v>
      </c>
      <c r="N689" s="79">
        <v>60</v>
      </c>
      <c r="O689" s="80">
        <v>101.69</v>
      </c>
      <c r="P689" s="81"/>
      <c r="Q689" s="81">
        <v>18.304199999999998</v>
      </c>
      <c r="R689" s="80"/>
      <c r="S689" s="80">
        <v>0</v>
      </c>
      <c r="T689" s="82">
        <v>120</v>
      </c>
      <c r="U689" s="77"/>
      <c r="V689" s="75"/>
      <c r="W689" s="77"/>
      <c r="X689" s="77"/>
      <c r="Y689" s="77"/>
      <c r="Z689" s="77" t="s">
        <v>2452</v>
      </c>
      <c r="AA689" s="83" t="s">
        <v>2449</v>
      </c>
      <c r="AB689" s="104" t="str">
        <f>IFERROR(VLOOKUP(Anexo_4[[#This Row],[cuenta]],OP,2,0),"-")</f>
        <v>-</v>
      </c>
    </row>
    <row r="690" spans="1:28" s="84" customFormat="1" ht="27" customHeight="1" x14ac:dyDescent="0.3">
      <c r="A690" s="75" t="s">
        <v>2453</v>
      </c>
      <c r="B690" s="36" t="str">
        <f t="shared" si="10"/>
        <v>Julio</v>
      </c>
      <c r="C690" s="77" t="s">
        <v>162</v>
      </c>
      <c r="D690" s="77" t="s">
        <v>2454</v>
      </c>
      <c r="E690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690" s="79" t="s">
        <v>355</v>
      </c>
      <c r="G690" s="79" t="s">
        <v>356</v>
      </c>
      <c r="H690" s="140" t="s">
        <v>192</v>
      </c>
      <c r="I690" s="77" t="s">
        <v>638</v>
      </c>
      <c r="J690" s="144" t="s">
        <v>639</v>
      </c>
      <c r="K690" s="77" t="s">
        <v>169</v>
      </c>
      <c r="L690" s="103" t="str">
        <f>VLOOKUP(Anexo_4[[#This Row],[cod_doc]],TIPODOC,2,FALSE)</f>
        <v>FACTURA</v>
      </c>
      <c r="M690" s="77" t="s">
        <v>995</v>
      </c>
      <c r="N690" s="79">
        <v>5338</v>
      </c>
      <c r="O690" s="80">
        <v>16.95</v>
      </c>
      <c r="P690" s="81"/>
      <c r="Q690" s="81">
        <v>3.0509999999999997</v>
      </c>
      <c r="R690" s="80"/>
      <c r="S690" s="80">
        <v>0</v>
      </c>
      <c r="T690" s="82">
        <v>20</v>
      </c>
      <c r="U690" s="77"/>
      <c r="V690" s="75"/>
      <c r="W690" s="77"/>
      <c r="X690" s="77"/>
      <c r="Y690" s="77" t="s">
        <v>2455</v>
      </c>
      <c r="Z690" s="77" t="s">
        <v>196</v>
      </c>
      <c r="AA690" s="83" t="s">
        <v>192</v>
      </c>
      <c r="AB690" s="104" t="str">
        <f>IFERROR(VLOOKUP(Anexo_4[[#This Row],[cuenta]],OP,2,0),"-")</f>
        <v>Encomienda (Envío de documentación)</v>
      </c>
    </row>
    <row r="691" spans="1:28" s="84" customFormat="1" ht="27" customHeight="1" x14ac:dyDescent="0.3">
      <c r="A691" s="75" t="s">
        <v>1843</v>
      </c>
      <c r="B691" s="36" t="str">
        <f t="shared" si="10"/>
        <v>Julio</v>
      </c>
      <c r="C691" s="77" t="s">
        <v>162</v>
      </c>
      <c r="D691" s="77" t="s">
        <v>2456</v>
      </c>
      <c r="E69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691" s="79" t="s">
        <v>391</v>
      </c>
      <c r="G691" s="79" t="s">
        <v>392</v>
      </c>
      <c r="H691" s="140" t="s">
        <v>2457</v>
      </c>
      <c r="I691" s="77" t="s">
        <v>220</v>
      </c>
      <c r="J691" s="144" t="s">
        <v>221</v>
      </c>
      <c r="K691" s="77" t="s">
        <v>169</v>
      </c>
      <c r="L691" s="103" t="str">
        <f>VLOOKUP(Anexo_4[[#This Row],[cod_doc]],TIPODOC,2,FALSE)</f>
        <v>FACTURA</v>
      </c>
      <c r="M691" s="77" t="s">
        <v>222</v>
      </c>
      <c r="N691" s="79">
        <v>499</v>
      </c>
      <c r="O691" s="80">
        <v>250</v>
      </c>
      <c r="P691" s="81"/>
      <c r="Q691" s="81">
        <v>45</v>
      </c>
      <c r="R691" s="80"/>
      <c r="S691" s="80">
        <v>0</v>
      </c>
      <c r="T691" s="82">
        <v>295</v>
      </c>
      <c r="U691" s="77"/>
      <c r="V691" s="75"/>
      <c r="W691" s="77"/>
      <c r="X691" s="77"/>
      <c r="Y691" s="77"/>
      <c r="Z691" s="77" t="s">
        <v>223</v>
      </c>
      <c r="AA691" s="83" t="s">
        <v>2457</v>
      </c>
      <c r="AB691" s="104" t="str">
        <f>IFERROR(VLOOKUP(Anexo_4[[#This Row],[cuenta]],OP,2,0),"-")</f>
        <v>Mantenimiento Vehicular (Preventivo)</v>
      </c>
    </row>
    <row r="692" spans="1:28" s="84" customFormat="1" ht="27" customHeight="1" x14ac:dyDescent="0.3">
      <c r="A692" s="75" t="s">
        <v>1843</v>
      </c>
      <c r="B692" s="36" t="str">
        <f t="shared" si="10"/>
        <v>Julio</v>
      </c>
      <c r="C692" s="77" t="s">
        <v>162</v>
      </c>
      <c r="D692" s="77" t="s">
        <v>2458</v>
      </c>
      <c r="E69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692" s="79" t="s">
        <v>391</v>
      </c>
      <c r="G692" s="79" t="s">
        <v>392</v>
      </c>
      <c r="H692" s="140" t="s">
        <v>2457</v>
      </c>
      <c r="I692" s="77" t="s">
        <v>220</v>
      </c>
      <c r="J692" s="144" t="s">
        <v>221</v>
      </c>
      <c r="K692" s="77" t="s">
        <v>169</v>
      </c>
      <c r="L692" s="103" t="str">
        <f>VLOOKUP(Anexo_4[[#This Row],[cod_doc]],TIPODOC,2,FALSE)</f>
        <v>FACTURA</v>
      </c>
      <c r="M692" s="77" t="s">
        <v>222</v>
      </c>
      <c r="N692" s="79">
        <v>500</v>
      </c>
      <c r="O692" s="80">
        <v>391.53</v>
      </c>
      <c r="P692" s="81"/>
      <c r="Q692" s="81">
        <v>70.475399999999993</v>
      </c>
      <c r="R692" s="80"/>
      <c r="S692" s="80">
        <v>0</v>
      </c>
      <c r="T692" s="82">
        <v>462</v>
      </c>
      <c r="U692" s="77"/>
      <c r="V692" s="75"/>
      <c r="W692" s="77"/>
      <c r="X692" s="77"/>
      <c r="Y692" s="77"/>
      <c r="Z692" s="77" t="s">
        <v>223</v>
      </c>
      <c r="AA692" s="83" t="s">
        <v>2457</v>
      </c>
      <c r="AB692" s="104" t="str">
        <f>IFERROR(VLOOKUP(Anexo_4[[#This Row],[cuenta]],OP,2,0),"-")</f>
        <v>Mantenimiento Vehicular (Preventivo)</v>
      </c>
    </row>
    <row r="693" spans="1:28" s="84" customFormat="1" ht="27" customHeight="1" x14ac:dyDescent="0.3">
      <c r="A693" s="75" t="s">
        <v>2248</v>
      </c>
      <c r="B693" s="36" t="str">
        <f t="shared" si="10"/>
        <v>Julio</v>
      </c>
      <c r="C693" s="77" t="s">
        <v>162</v>
      </c>
      <c r="D693" s="77" t="s">
        <v>2459</v>
      </c>
      <c r="E693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693" s="79" t="s">
        <v>823</v>
      </c>
      <c r="G693" s="79" t="s">
        <v>824</v>
      </c>
      <c r="H693" s="140" t="s">
        <v>2460</v>
      </c>
      <c r="I693" s="77" t="s">
        <v>2461</v>
      </c>
      <c r="J693" s="144" t="s">
        <v>2462</v>
      </c>
      <c r="K693" s="77" t="s">
        <v>169</v>
      </c>
      <c r="L693" s="103" t="str">
        <f>VLOOKUP(Anexo_4[[#This Row],[cod_doc]],TIPODOC,2,FALSE)</f>
        <v>FACTURA</v>
      </c>
      <c r="M693" s="77" t="s">
        <v>102</v>
      </c>
      <c r="N693" s="79">
        <v>1</v>
      </c>
      <c r="O693" s="80">
        <v>450</v>
      </c>
      <c r="P693" s="81"/>
      <c r="Q693" s="81">
        <v>81</v>
      </c>
      <c r="R693" s="80"/>
      <c r="S693" s="80">
        <v>0</v>
      </c>
      <c r="T693" s="82">
        <v>531</v>
      </c>
      <c r="U693" s="77"/>
      <c r="V693" s="75"/>
      <c r="W693" s="77"/>
      <c r="X693" s="77"/>
      <c r="Y693" s="77"/>
      <c r="Z693" s="77" t="s">
        <v>958</v>
      </c>
      <c r="AA693" s="83" t="s">
        <v>2460</v>
      </c>
      <c r="AB693" s="104" t="str">
        <f>IFERROR(VLOOKUP(Anexo_4[[#This Row],[cuenta]],OP,2,0),"-")</f>
        <v>-</v>
      </c>
    </row>
    <row r="694" spans="1:28" s="84" customFormat="1" ht="27" customHeight="1" x14ac:dyDescent="0.3">
      <c r="A694" s="75" t="s">
        <v>1993</v>
      </c>
      <c r="B694" s="36" t="str">
        <f t="shared" si="10"/>
        <v>Julio</v>
      </c>
      <c r="C694" s="77" t="s">
        <v>162</v>
      </c>
      <c r="D694" s="77" t="s">
        <v>2463</v>
      </c>
      <c r="E694" s="78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694" s="79" t="s">
        <v>198</v>
      </c>
      <c r="G694" s="79" t="s">
        <v>199</v>
      </c>
      <c r="H694" s="140" t="s">
        <v>2464</v>
      </c>
      <c r="I694" s="77" t="s">
        <v>2465</v>
      </c>
      <c r="J694" s="144" t="s">
        <v>2466</v>
      </c>
      <c r="K694" s="77" t="s">
        <v>169</v>
      </c>
      <c r="L694" s="103" t="str">
        <f>VLOOKUP(Anexo_4[[#This Row],[cod_doc]],TIPODOC,2,FALSE)</f>
        <v>FACTURA</v>
      </c>
      <c r="M694" s="77" t="s">
        <v>2288</v>
      </c>
      <c r="N694" s="79">
        <v>16778</v>
      </c>
      <c r="O694" s="80">
        <v>679</v>
      </c>
      <c r="P694" s="81"/>
      <c r="Q694" s="81">
        <v>122.22</v>
      </c>
      <c r="R694" s="80"/>
      <c r="S694" s="80">
        <v>0</v>
      </c>
      <c r="T694" s="82">
        <v>801.22</v>
      </c>
      <c r="U694" s="77"/>
      <c r="V694" s="75"/>
      <c r="W694" s="77"/>
      <c r="X694" s="77"/>
      <c r="Y694" s="77" t="s">
        <v>2467</v>
      </c>
      <c r="Z694" s="77" t="s">
        <v>2468</v>
      </c>
      <c r="AA694" s="83" t="s">
        <v>2464</v>
      </c>
      <c r="AB694" s="104" t="str">
        <f>IFERROR(VLOOKUP(Anexo_4[[#This Row],[cuenta]],OP,2,0),"-")</f>
        <v>Vigilancia Médica</v>
      </c>
    </row>
    <row r="695" spans="1:28" s="84" customFormat="1" ht="27" customHeight="1" x14ac:dyDescent="0.3">
      <c r="A695" s="75" t="s">
        <v>2017</v>
      </c>
      <c r="B695" s="36" t="str">
        <f t="shared" si="10"/>
        <v>Julio</v>
      </c>
      <c r="C695" s="77" t="s">
        <v>162</v>
      </c>
      <c r="D695" s="77" t="s">
        <v>2469</v>
      </c>
      <c r="E695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695" s="79" t="s">
        <v>190</v>
      </c>
      <c r="G695" s="79" t="s">
        <v>191</v>
      </c>
      <c r="H695" s="140" t="s">
        <v>2470</v>
      </c>
      <c r="I695" s="77" t="s">
        <v>2471</v>
      </c>
      <c r="J695" s="144" t="s">
        <v>2472</v>
      </c>
      <c r="K695" s="77" t="s">
        <v>169</v>
      </c>
      <c r="L695" s="103" t="str">
        <f>VLOOKUP(Anexo_4[[#This Row],[cod_doc]],TIPODOC,2,FALSE)</f>
        <v>FACTURA</v>
      </c>
      <c r="M695" s="77" t="s">
        <v>102</v>
      </c>
      <c r="N695" s="79">
        <v>253</v>
      </c>
      <c r="O695" s="80">
        <v>893.12</v>
      </c>
      <c r="P695" s="81"/>
      <c r="Q695" s="81">
        <v>160.76159999999999</v>
      </c>
      <c r="R695" s="80"/>
      <c r="S695" s="80">
        <v>0</v>
      </c>
      <c r="T695" s="82">
        <v>1053.8800000000001</v>
      </c>
      <c r="U695" s="77"/>
      <c r="V695" s="75"/>
      <c r="W695" s="77"/>
      <c r="X695" s="77"/>
      <c r="Y695" s="77"/>
      <c r="Z695" s="77" t="s">
        <v>2438</v>
      </c>
      <c r="AA695" s="83" t="s">
        <v>2470</v>
      </c>
      <c r="AB695" s="104" t="str">
        <f>IFERROR(VLOOKUP(Anexo_4[[#This Row],[cuenta]],OP,2,0),"-")</f>
        <v>-</v>
      </c>
    </row>
    <row r="696" spans="1:28" s="84" customFormat="1" ht="27" customHeight="1" x14ac:dyDescent="0.3">
      <c r="A696" s="75" t="s">
        <v>2473</v>
      </c>
      <c r="B696" s="36" t="str">
        <f t="shared" si="10"/>
        <v>Julio</v>
      </c>
      <c r="C696" s="77" t="s">
        <v>162</v>
      </c>
      <c r="D696" s="77" t="s">
        <v>2474</v>
      </c>
      <c r="E696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696" s="79" t="s">
        <v>190</v>
      </c>
      <c r="G696" s="79" t="s">
        <v>191</v>
      </c>
      <c r="H696" s="140" t="s">
        <v>2475</v>
      </c>
      <c r="I696" s="77" t="s">
        <v>2476</v>
      </c>
      <c r="J696" s="144" t="s">
        <v>2477</v>
      </c>
      <c r="K696" s="77" t="s">
        <v>169</v>
      </c>
      <c r="L696" s="103" t="str">
        <f>VLOOKUP(Anexo_4[[#This Row],[cod_doc]],TIPODOC,2,FALSE)</f>
        <v>FACTURA</v>
      </c>
      <c r="M696" s="77" t="s">
        <v>102</v>
      </c>
      <c r="N696" s="79">
        <v>101</v>
      </c>
      <c r="O696" s="80">
        <v>1476.23</v>
      </c>
      <c r="P696" s="81"/>
      <c r="Q696" s="81">
        <v>265.72140000000002</v>
      </c>
      <c r="R696" s="80"/>
      <c r="S696" s="80">
        <v>0</v>
      </c>
      <c r="T696" s="82">
        <v>1741.95</v>
      </c>
      <c r="U696" s="77"/>
      <c r="V696" s="75"/>
      <c r="W696" s="77"/>
      <c r="X696" s="77"/>
      <c r="Y696" s="77"/>
      <c r="Z696" s="77" t="s">
        <v>2438</v>
      </c>
      <c r="AA696" s="83" t="s">
        <v>2475</v>
      </c>
      <c r="AB696" s="104" t="str">
        <f>IFERROR(VLOOKUP(Anexo_4[[#This Row],[cuenta]],OP,2,0),"-")</f>
        <v>-</v>
      </c>
    </row>
    <row r="697" spans="1:28" s="84" customFormat="1" ht="27" customHeight="1" x14ac:dyDescent="0.3">
      <c r="A697" s="75" t="s">
        <v>1916</v>
      </c>
      <c r="B697" s="36" t="str">
        <f t="shared" si="10"/>
        <v>Julio</v>
      </c>
      <c r="C697" s="77" t="s">
        <v>162</v>
      </c>
      <c r="D697" s="77" t="s">
        <v>2478</v>
      </c>
      <c r="E697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697" s="79" t="s">
        <v>190</v>
      </c>
      <c r="G697" s="79" t="s">
        <v>191</v>
      </c>
      <c r="H697" s="140" t="s">
        <v>2479</v>
      </c>
      <c r="I697" s="77" t="s">
        <v>2476</v>
      </c>
      <c r="J697" s="144" t="s">
        <v>2477</v>
      </c>
      <c r="K697" s="77" t="s">
        <v>169</v>
      </c>
      <c r="L697" s="103" t="str">
        <f>VLOOKUP(Anexo_4[[#This Row],[cod_doc]],TIPODOC,2,FALSE)</f>
        <v>FACTURA</v>
      </c>
      <c r="M697" s="77" t="s">
        <v>102</v>
      </c>
      <c r="N697" s="79">
        <v>100</v>
      </c>
      <c r="O697" s="80">
        <v>1694</v>
      </c>
      <c r="P697" s="81"/>
      <c r="Q697" s="81">
        <v>304.92</v>
      </c>
      <c r="R697" s="80"/>
      <c r="S697" s="80">
        <v>0</v>
      </c>
      <c r="T697" s="82">
        <v>1998.92</v>
      </c>
      <c r="U697" s="77"/>
      <c r="V697" s="75"/>
      <c r="W697" s="77"/>
      <c r="X697" s="77"/>
      <c r="Y697" s="77"/>
      <c r="Z697" s="77" t="s">
        <v>2438</v>
      </c>
      <c r="AA697" s="83" t="s">
        <v>2479</v>
      </c>
      <c r="AB697" s="104" t="str">
        <f>IFERROR(VLOOKUP(Anexo_4[[#This Row],[cuenta]],OP,2,0),"-")</f>
        <v>-</v>
      </c>
    </row>
    <row r="698" spans="1:28" s="84" customFormat="1" ht="27" customHeight="1" x14ac:dyDescent="0.3">
      <c r="A698" s="75" t="s">
        <v>2017</v>
      </c>
      <c r="B698" s="36" t="str">
        <f t="shared" si="10"/>
        <v>Julio</v>
      </c>
      <c r="C698" s="77" t="s">
        <v>162</v>
      </c>
      <c r="D698" s="77" t="s">
        <v>2480</v>
      </c>
      <c r="E698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698" s="79" t="s">
        <v>190</v>
      </c>
      <c r="G698" s="79" t="s">
        <v>191</v>
      </c>
      <c r="H698" s="140" t="s">
        <v>2481</v>
      </c>
      <c r="I698" s="77" t="s">
        <v>2476</v>
      </c>
      <c r="J698" s="144" t="s">
        <v>2477</v>
      </c>
      <c r="K698" s="77" t="s">
        <v>169</v>
      </c>
      <c r="L698" s="103" t="str">
        <f>VLOOKUP(Anexo_4[[#This Row],[cod_doc]],TIPODOC,2,FALSE)</f>
        <v>FACTURA</v>
      </c>
      <c r="M698" s="77" t="s">
        <v>102</v>
      </c>
      <c r="N698" s="79">
        <v>98</v>
      </c>
      <c r="O698" s="80">
        <v>1535</v>
      </c>
      <c r="P698" s="81"/>
      <c r="Q698" s="81">
        <v>276.3</v>
      </c>
      <c r="R698" s="80"/>
      <c r="S698" s="80">
        <v>0</v>
      </c>
      <c r="T698" s="82">
        <v>1811.3</v>
      </c>
      <c r="U698" s="77"/>
      <c r="V698" s="75"/>
      <c r="W698" s="77"/>
      <c r="X698" s="77"/>
      <c r="Y698" s="77"/>
      <c r="Z698" s="77" t="s">
        <v>2438</v>
      </c>
      <c r="AA698" s="83" t="s">
        <v>2481</v>
      </c>
      <c r="AB698" s="104" t="str">
        <f>IFERROR(VLOOKUP(Anexo_4[[#This Row],[cuenta]],OP,2,0),"-")</f>
        <v>-</v>
      </c>
    </row>
    <row r="699" spans="1:28" s="84" customFormat="1" ht="27" customHeight="1" x14ac:dyDescent="0.3">
      <c r="A699" s="75" t="s">
        <v>1993</v>
      </c>
      <c r="B699" s="36" t="str">
        <f t="shared" si="10"/>
        <v>Julio</v>
      </c>
      <c r="C699" s="77" t="s">
        <v>162</v>
      </c>
      <c r="D699" s="77" t="s">
        <v>2482</v>
      </c>
      <c r="E699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699" s="79" t="s">
        <v>190</v>
      </c>
      <c r="G699" s="79" t="s">
        <v>191</v>
      </c>
      <c r="H699" s="140" t="s">
        <v>2483</v>
      </c>
      <c r="I699" s="77" t="s">
        <v>2476</v>
      </c>
      <c r="J699" s="144" t="s">
        <v>2477</v>
      </c>
      <c r="K699" s="77" t="s">
        <v>169</v>
      </c>
      <c r="L699" s="103" t="str">
        <f>VLOOKUP(Anexo_4[[#This Row],[cod_doc]],TIPODOC,2,FALSE)</f>
        <v>FACTURA</v>
      </c>
      <c r="M699" s="77" t="s">
        <v>102</v>
      </c>
      <c r="N699" s="79">
        <v>99</v>
      </c>
      <c r="O699" s="80">
        <v>1634.5</v>
      </c>
      <c r="P699" s="81"/>
      <c r="Q699" s="81">
        <v>294.20999999999998</v>
      </c>
      <c r="R699" s="80"/>
      <c r="S699" s="80">
        <v>0</v>
      </c>
      <c r="T699" s="82">
        <v>1928.71</v>
      </c>
      <c r="U699" s="77"/>
      <c r="V699" s="75"/>
      <c r="W699" s="77"/>
      <c r="X699" s="77"/>
      <c r="Y699" s="77"/>
      <c r="Z699" s="77" t="s">
        <v>2438</v>
      </c>
      <c r="AA699" s="83" t="s">
        <v>2483</v>
      </c>
      <c r="AB699" s="104" t="str">
        <f>IFERROR(VLOOKUP(Anexo_4[[#This Row],[cuenta]],OP,2,0),"-")</f>
        <v>-</v>
      </c>
    </row>
    <row r="700" spans="1:28" s="84" customFormat="1" ht="27" customHeight="1" x14ac:dyDescent="0.3">
      <c r="A700" s="75" t="s">
        <v>2017</v>
      </c>
      <c r="B700" s="36" t="str">
        <f t="shared" si="10"/>
        <v>Julio</v>
      </c>
      <c r="C700" s="77" t="s">
        <v>162</v>
      </c>
      <c r="D700" s="77" t="s">
        <v>2484</v>
      </c>
      <c r="E700" s="78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700" s="79" t="s">
        <v>198</v>
      </c>
      <c r="G700" s="79" t="s">
        <v>199</v>
      </c>
      <c r="H700" s="140" t="s">
        <v>2485</v>
      </c>
      <c r="I700" s="77" t="s">
        <v>2486</v>
      </c>
      <c r="J700" s="144" t="s">
        <v>2487</v>
      </c>
      <c r="K700" s="77" t="s">
        <v>169</v>
      </c>
      <c r="L700" s="103" t="str">
        <f>VLOOKUP(Anexo_4[[#This Row],[cod_doc]],TIPODOC,2,FALSE)</f>
        <v>FACTURA</v>
      </c>
      <c r="M700" s="77" t="s">
        <v>102</v>
      </c>
      <c r="N700" s="79">
        <v>739</v>
      </c>
      <c r="O700" s="80">
        <v>2000</v>
      </c>
      <c r="P700" s="81"/>
      <c r="Q700" s="81">
        <v>360</v>
      </c>
      <c r="R700" s="80"/>
      <c r="S700" s="80">
        <v>0</v>
      </c>
      <c r="T700" s="82">
        <v>2360</v>
      </c>
      <c r="U700" s="77"/>
      <c r="V700" s="75"/>
      <c r="W700" s="77"/>
      <c r="X700" s="77"/>
      <c r="Y700" s="77"/>
      <c r="Z700" s="77" t="s">
        <v>2488</v>
      </c>
      <c r="AA700" s="83" t="s">
        <v>2485</v>
      </c>
      <c r="AB700" s="104" t="str">
        <f>IFERROR(VLOOKUP(Anexo_4[[#This Row],[cuenta]],OP,2,0),"-")</f>
        <v>Fabricación de Contenedores</v>
      </c>
    </row>
    <row r="701" spans="1:28" s="84" customFormat="1" ht="27" customHeight="1" x14ac:dyDescent="0.3">
      <c r="A701" s="75" t="s">
        <v>2248</v>
      </c>
      <c r="B701" s="36" t="str">
        <f t="shared" si="10"/>
        <v>Julio</v>
      </c>
      <c r="C701" s="77" t="s">
        <v>162</v>
      </c>
      <c r="D701" s="77" t="s">
        <v>2489</v>
      </c>
      <c r="E701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701" s="79"/>
      <c r="G701" s="79"/>
      <c r="H701" s="140"/>
      <c r="I701" s="77" t="s">
        <v>258</v>
      </c>
      <c r="J701" s="144" t="s">
        <v>259</v>
      </c>
      <c r="K701" s="77" t="s">
        <v>169</v>
      </c>
      <c r="L701" s="103" t="str">
        <f>VLOOKUP(Anexo_4[[#This Row],[cod_doc]],TIPODOC,2,FALSE)</f>
        <v>FACTURA</v>
      </c>
      <c r="M701" s="77" t="s">
        <v>260</v>
      </c>
      <c r="N701" s="79" t="s">
        <v>2490</v>
      </c>
      <c r="O701" s="80">
        <v>1256.92</v>
      </c>
      <c r="P701" s="81"/>
      <c r="Q701" s="81">
        <v>226.25</v>
      </c>
      <c r="R701" s="80"/>
      <c r="S701" s="80">
        <v>0</v>
      </c>
      <c r="T701" s="82">
        <v>1483.17</v>
      </c>
      <c r="U701" s="77"/>
      <c r="V701" s="75"/>
      <c r="W701" s="77"/>
      <c r="X701" s="77"/>
      <c r="Y701" s="77"/>
      <c r="Z701" s="77"/>
      <c r="AA701" s="83"/>
      <c r="AB701" s="104" t="str">
        <f>IFERROR(VLOOKUP(Anexo_4[[#This Row],[cuenta]],OP,2,0),"-")</f>
        <v>-</v>
      </c>
    </row>
    <row r="702" spans="1:28" s="84" customFormat="1" ht="27" customHeight="1" x14ac:dyDescent="0.3">
      <c r="A702" s="75" t="s">
        <v>2248</v>
      </c>
      <c r="B702" s="36" t="str">
        <f t="shared" si="10"/>
        <v>Julio</v>
      </c>
      <c r="C702" s="77" t="s">
        <v>162</v>
      </c>
      <c r="D702" s="77" t="s">
        <v>2491</v>
      </c>
      <c r="E70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702" s="79" t="s">
        <v>355</v>
      </c>
      <c r="G702" s="79" t="s">
        <v>356</v>
      </c>
      <c r="H702" s="140" t="s">
        <v>2492</v>
      </c>
      <c r="I702" s="77" t="s">
        <v>851</v>
      </c>
      <c r="J702" s="144" t="s">
        <v>852</v>
      </c>
      <c r="K702" s="77" t="s">
        <v>169</v>
      </c>
      <c r="L702" s="103" t="str">
        <f>VLOOKUP(Anexo_4[[#This Row],[cod_doc]],TIPODOC,2,FALSE)</f>
        <v>FACTURA</v>
      </c>
      <c r="M702" s="77" t="s">
        <v>222</v>
      </c>
      <c r="N702" s="79">
        <v>14701</v>
      </c>
      <c r="O702" s="80">
        <v>14944.2</v>
      </c>
      <c r="P702" s="81"/>
      <c r="Q702" s="81">
        <v>2689.9560000000001</v>
      </c>
      <c r="R702" s="80"/>
      <c r="S702" s="80">
        <v>0</v>
      </c>
      <c r="T702" s="82">
        <v>17634.16</v>
      </c>
      <c r="U702" s="77" t="s">
        <v>2493</v>
      </c>
      <c r="V702" s="75" t="s">
        <v>2494</v>
      </c>
      <c r="W702" s="77"/>
      <c r="X702" s="77"/>
      <c r="Y702" s="77"/>
      <c r="Z702" s="77" t="s">
        <v>854</v>
      </c>
      <c r="AA702" s="83" t="s">
        <v>2492</v>
      </c>
      <c r="AB702" s="104" t="str">
        <f>IFERROR(VLOOKUP(Anexo_4[[#This Row],[cuenta]],OP,2,0),"-")</f>
        <v>Disposición Final de RR.SS - Peligrosos</v>
      </c>
    </row>
    <row r="703" spans="1:28" s="84" customFormat="1" ht="27" customHeight="1" x14ac:dyDescent="0.3">
      <c r="A703" s="75" t="s">
        <v>1843</v>
      </c>
      <c r="B703" s="36" t="str">
        <f t="shared" si="10"/>
        <v>Julio</v>
      </c>
      <c r="C703" s="77" t="s">
        <v>162</v>
      </c>
      <c r="D703" s="77" t="s">
        <v>2495</v>
      </c>
      <c r="E703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703" s="79" t="s">
        <v>449</v>
      </c>
      <c r="G703" s="79" t="s">
        <v>450</v>
      </c>
      <c r="H703" s="140" t="s">
        <v>2496</v>
      </c>
      <c r="I703" s="77" t="s">
        <v>2085</v>
      </c>
      <c r="J703" s="144" t="s">
        <v>2086</v>
      </c>
      <c r="K703" s="77" t="s">
        <v>169</v>
      </c>
      <c r="L703" s="103" t="str">
        <f>VLOOKUP(Anexo_4[[#This Row],[cod_doc]],TIPODOC,2,FALSE)</f>
        <v>FACTURA</v>
      </c>
      <c r="M703" s="77" t="s">
        <v>631</v>
      </c>
      <c r="N703" s="79">
        <v>42073</v>
      </c>
      <c r="O703" s="80">
        <v>46.61</v>
      </c>
      <c r="P703" s="81"/>
      <c r="Q703" s="81">
        <v>8.3897999999999993</v>
      </c>
      <c r="R703" s="80"/>
      <c r="S703" s="80">
        <v>0</v>
      </c>
      <c r="T703" s="82">
        <v>55</v>
      </c>
      <c r="U703" s="77"/>
      <c r="V703" s="75"/>
      <c r="W703" s="77"/>
      <c r="X703" s="77"/>
      <c r="Y703" s="77" t="s">
        <v>2497</v>
      </c>
      <c r="Z703" s="77" t="s">
        <v>507</v>
      </c>
      <c r="AA703" s="83" t="s">
        <v>2496</v>
      </c>
      <c r="AB703" s="104" t="str">
        <f>IFERROR(VLOOKUP(Anexo_4[[#This Row],[cuenta]],OP,2,0),"-")</f>
        <v>Transporte lavado (Higienización)</v>
      </c>
    </row>
    <row r="704" spans="1:28" s="84" customFormat="1" ht="27" customHeight="1" x14ac:dyDescent="0.3">
      <c r="A704" s="75" t="s">
        <v>2013</v>
      </c>
      <c r="B704" s="36" t="str">
        <f t="shared" si="10"/>
        <v>Julio</v>
      </c>
      <c r="C704" s="77" t="s">
        <v>162</v>
      </c>
      <c r="D704" s="77" t="s">
        <v>2498</v>
      </c>
      <c r="E704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704" s="79" t="s">
        <v>449</v>
      </c>
      <c r="G704" s="79" t="s">
        <v>450</v>
      </c>
      <c r="H704" s="140" t="s">
        <v>2499</v>
      </c>
      <c r="I704" s="77" t="s">
        <v>312</v>
      </c>
      <c r="J704" s="144" t="s">
        <v>313</v>
      </c>
      <c r="K704" s="77" t="s">
        <v>169</v>
      </c>
      <c r="L704" s="103" t="str">
        <f>VLOOKUP(Anexo_4[[#This Row],[cod_doc]],TIPODOC,2,FALSE)</f>
        <v>FACTURA</v>
      </c>
      <c r="M704" s="77" t="s">
        <v>1474</v>
      </c>
      <c r="N704" s="79">
        <v>3049444</v>
      </c>
      <c r="O704" s="80">
        <v>12.71</v>
      </c>
      <c r="P704" s="81"/>
      <c r="Q704" s="81">
        <v>2.2878000000000003</v>
      </c>
      <c r="R704" s="80"/>
      <c r="S704" s="80">
        <v>0</v>
      </c>
      <c r="T704" s="82">
        <v>15</v>
      </c>
      <c r="U704" s="77"/>
      <c r="V704" s="75"/>
      <c r="W704" s="77"/>
      <c r="X704" s="77"/>
      <c r="Y704" s="77" t="s">
        <v>2500</v>
      </c>
      <c r="Z704" s="77" t="s">
        <v>302</v>
      </c>
      <c r="AA704" s="83" t="s">
        <v>2499</v>
      </c>
      <c r="AB704" s="104" t="str">
        <f>IFERROR(VLOOKUP(Anexo_4[[#This Row],[cuenta]],OP,2,0),"-")</f>
        <v>Transporte peajes - Servicios</v>
      </c>
    </row>
    <row r="705" spans="1:28" s="84" customFormat="1" ht="27" customHeight="1" x14ac:dyDescent="0.3">
      <c r="A705" s="75" t="s">
        <v>2248</v>
      </c>
      <c r="B705" s="36" t="str">
        <f t="shared" si="10"/>
        <v>Julio</v>
      </c>
      <c r="C705" s="77" t="s">
        <v>162</v>
      </c>
      <c r="D705" s="77" t="s">
        <v>2501</v>
      </c>
      <c r="E70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705" s="79" t="s">
        <v>449</v>
      </c>
      <c r="G705" s="79" t="s">
        <v>450</v>
      </c>
      <c r="H705" s="140" t="s">
        <v>2502</v>
      </c>
      <c r="I705" s="77" t="s">
        <v>312</v>
      </c>
      <c r="J705" s="144" t="s">
        <v>313</v>
      </c>
      <c r="K705" s="77" t="s">
        <v>169</v>
      </c>
      <c r="L705" s="103" t="str">
        <f>VLOOKUP(Anexo_4[[#This Row],[cod_doc]],TIPODOC,2,FALSE)</f>
        <v>FACTURA</v>
      </c>
      <c r="M705" s="77" t="s">
        <v>1459</v>
      </c>
      <c r="N705" s="79">
        <v>1987722</v>
      </c>
      <c r="O705" s="80">
        <v>12.71</v>
      </c>
      <c r="P705" s="81"/>
      <c r="Q705" s="81">
        <v>2.2878000000000003</v>
      </c>
      <c r="R705" s="80"/>
      <c r="S705" s="80">
        <v>0</v>
      </c>
      <c r="T705" s="82">
        <v>15</v>
      </c>
      <c r="U705" s="77"/>
      <c r="V705" s="75"/>
      <c r="W705" s="77"/>
      <c r="X705" s="77"/>
      <c r="Y705" s="77" t="s">
        <v>2503</v>
      </c>
      <c r="Z705" s="77" t="s">
        <v>302</v>
      </c>
      <c r="AA705" s="83" t="s">
        <v>2502</v>
      </c>
      <c r="AB705" s="104" t="str">
        <f>IFERROR(VLOOKUP(Anexo_4[[#This Row],[cuenta]],OP,2,0),"-")</f>
        <v>Transporte peajes - Servicios</v>
      </c>
    </row>
    <row r="706" spans="1:28" s="84" customFormat="1" ht="27" customHeight="1" x14ac:dyDescent="0.3">
      <c r="A706" s="75" t="s">
        <v>2013</v>
      </c>
      <c r="B706" s="36" t="str">
        <f t="shared" ref="B706:B769" si="11">PROPER(CHOOSE(LEFT(D706,2),"enero","febrero","marzo","abril","mayo","junio","julio","agosto","setiembre","octubre","noviembre","diciembre"))</f>
        <v>Julio</v>
      </c>
      <c r="C706" s="77" t="s">
        <v>162</v>
      </c>
      <c r="D706" s="77" t="s">
        <v>2504</v>
      </c>
      <c r="E70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706" s="79" t="s">
        <v>449</v>
      </c>
      <c r="G706" s="79" t="s">
        <v>450</v>
      </c>
      <c r="H706" s="140" t="s">
        <v>2505</v>
      </c>
      <c r="I706" s="77" t="s">
        <v>312</v>
      </c>
      <c r="J706" s="144" t="s">
        <v>313</v>
      </c>
      <c r="K706" s="77" t="s">
        <v>169</v>
      </c>
      <c r="L706" s="103" t="str">
        <f>VLOOKUP(Anexo_4[[#This Row],[cod_doc]],TIPODOC,2,FALSE)</f>
        <v>FACTURA</v>
      </c>
      <c r="M706" s="77" t="s">
        <v>2506</v>
      </c>
      <c r="N706" s="79">
        <v>2435404</v>
      </c>
      <c r="O706" s="80">
        <v>12.71</v>
      </c>
      <c r="P706" s="81"/>
      <c r="Q706" s="81">
        <v>2.2878000000000003</v>
      </c>
      <c r="R706" s="80"/>
      <c r="S706" s="80">
        <v>0</v>
      </c>
      <c r="T706" s="82">
        <v>15</v>
      </c>
      <c r="U706" s="77"/>
      <c r="V706" s="75"/>
      <c r="W706" s="77"/>
      <c r="X706" s="77"/>
      <c r="Y706" s="77" t="s">
        <v>2507</v>
      </c>
      <c r="Z706" s="77" t="s">
        <v>302</v>
      </c>
      <c r="AA706" s="83" t="s">
        <v>2505</v>
      </c>
      <c r="AB706" s="104" t="str">
        <f>IFERROR(VLOOKUP(Anexo_4[[#This Row],[cuenta]],OP,2,0),"-")</f>
        <v>Transporte peajes - Servicios</v>
      </c>
    </row>
    <row r="707" spans="1:28" s="84" customFormat="1" ht="27" customHeight="1" x14ac:dyDescent="0.3">
      <c r="A707" s="75" t="s">
        <v>1627</v>
      </c>
      <c r="B707" s="36" t="str">
        <f t="shared" si="11"/>
        <v>Julio</v>
      </c>
      <c r="C707" s="77" t="s">
        <v>162</v>
      </c>
      <c r="D707" s="77" t="s">
        <v>2508</v>
      </c>
      <c r="E707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707" s="79" t="s">
        <v>449</v>
      </c>
      <c r="G707" s="79" t="s">
        <v>450</v>
      </c>
      <c r="H707" s="140" t="s">
        <v>2509</v>
      </c>
      <c r="I707" s="77" t="s">
        <v>312</v>
      </c>
      <c r="J707" s="144" t="s">
        <v>313</v>
      </c>
      <c r="K707" s="77" t="s">
        <v>169</v>
      </c>
      <c r="L707" s="103" t="str">
        <f>VLOOKUP(Anexo_4[[#This Row],[cod_doc]],TIPODOC,2,FALSE)</f>
        <v>FACTURA</v>
      </c>
      <c r="M707" s="77" t="s">
        <v>1506</v>
      </c>
      <c r="N707" s="79">
        <v>653632</v>
      </c>
      <c r="O707" s="80">
        <v>12.71</v>
      </c>
      <c r="P707" s="81"/>
      <c r="Q707" s="81">
        <v>2.2878000000000003</v>
      </c>
      <c r="R707" s="80"/>
      <c r="S707" s="80">
        <v>0</v>
      </c>
      <c r="T707" s="82">
        <v>15</v>
      </c>
      <c r="U707" s="77"/>
      <c r="V707" s="75"/>
      <c r="W707" s="77"/>
      <c r="X707" s="77"/>
      <c r="Y707" s="77" t="s">
        <v>2510</v>
      </c>
      <c r="Z707" s="77" t="s">
        <v>302</v>
      </c>
      <c r="AA707" s="83" t="s">
        <v>2509</v>
      </c>
      <c r="AB707" s="104" t="str">
        <f>IFERROR(VLOOKUP(Anexo_4[[#This Row],[cuenta]],OP,2,0),"-")</f>
        <v>Transporte peajes - Servicios</v>
      </c>
    </row>
    <row r="708" spans="1:28" s="84" customFormat="1" ht="27" customHeight="1" x14ac:dyDescent="0.3">
      <c r="A708" s="75" t="s">
        <v>1627</v>
      </c>
      <c r="B708" s="36" t="str">
        <f t="shared" si="11"/>
        <v>Julio</v>
      </c>
      <c r="C708" s="77" t="s">
        <v>162</v>
      </c>
      <c r="D708" s="77" t="s">
        <v>2511</v>
      </c>
      <c r="E708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708" s="79" t="s">
        <v>449</v>
      </c>
      <c r="G708" s="79" t="s">
        <v>450</v>
      </c>
      <c r="H708" s="140" t="s">
        <v>2512</v>
      </c>
      <c r="I708" s="77" t="s">
        <v>312</v>
      </c>
      <c r="J708" s="144" t="s">
        <v>313</v>
      </c>
      <c r="K708" s="77" t="s">
        <v>169</v>
      </c>
      <c r="L708" s="103" t="str">
        <f>VLOOKUP(Anexo_4[[#This Row],[cod_doc]],TIPODOC,2,FALSE)</f>
        <v>FACTURA</v>
      </c>
      <c r="M708" s="77" t="s">
        <v>1482</v>
      </c>
      <c r="N708" s="79">
        <v>3180602</v>
      </c>
      <c r="O708" s="80">
        <v>12.71</v>
      </c>
      <c r="P708" s="81"/>
      <c r="Q708" s="81">
        <v>2.2878000000000003</v>
      </c>
      <c r="R708" s="80"/>
      <c r="S708" s="80">
        <v>0</v>
      </c>
      <c r="T708" s="82">
        <v>15</v>
      </c>
      <c r="U708" s="77"/>
      <c r="V708" s="75"/>
      <c r="W708" s="77"/>
      <c r="X708" s="77"/>
      <c r="Y708" s="77" t="s">
        <v>2513</v>
      </c>
      <c r="Z708" s="77" t="s">
        <v>302</v>
      </c>
      <c r="AA708" s="83" t="s">
        <v>2512</v>
      </c>
      <c r="AB708" s="104" t="str">
        <f>IFERROR(VLOOKUP(Anexo_4[[#This Row],[cuenta]],OP,2,0),"-")</f>
        <v>Transporte peajes - Servicios</v>
      </c>
    </row>
    <row r="709" spans="1:28" s="84" customFormat="1" ht="27" customHeight="1" x14ac:dyDescent="0.3">
      <c r="A709" s="75" t="s">
        <v>2248</v>
      </c>
      <c r="B709" s="36" t="str">
        <f t="shared" si="11"/>
        <v>Julio</v>
      </c>
      <c r="C709" s="77" t="s">
        <v>162</v>
      </c>
      <c r="D709" s="77" t="s">
        <v>2514</v>
      </c>
      <c r="E709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709" s="79" t="s">
        <v>449</v>
      </c>
      <c r="G709" s="79" t="s">
        <v>450</v>
      </c>
      <c r="H709" s="140" t="s">
        <v>2515</v>
      </c>
      <c r="I709" s="77" t="s">
        <v>312</v>
      </c>
      <c r="J709" s="144" t="s">
        <v>313</v>
      </c>
      <c r="K709" s="77" t="s">
        <v>169</v>
      </c>
      <c r="L709" s="103" t="str">
        <f>VLOOKUP(Anexo_4[[#This Row],[cod_doc]],TIPODOC,2,FALSE)</f>
        <v>FACTURA</v>
      </c>
      <c r="M709" s="77" t="s">
        <v>1463</v>
      </c>
      <c r="N709" s="79">
        <v>3758626</v>
      </c>
      <c r="O709" s="80">
        <v>12.71</v>
      </c>
      <c r="P709" s="81"/>
      <c r="Q709" s="81">
        <v>2.2878000000000003</v>
      </c>
      <c r="R709" s="80"/>
      <c r="S709" s="80">
        <v>0</v>
      </c>
      <c r="T709" s="82">
        <v>15</v>
      </c>
      <c r="U709" s="77"/>
      <c r="V709" s="75"/>
      <c r="W709" s="77"/>
      <c r="X709" s="77"/>
      <c r="Y709" s="77" t="s">
        <v>2516</v>
      </c>
      <c r="Z709" s="77" t="s">
        <v>302</v>
      </c>
      <c r="AA709" s="83" t="s">
        <v>2515</v>
      </c>
      <c r="AB709" s="104" t="str">
        <f>IFERROR(VLOOKUP(Anexo_4[[#This Row],[cuenta]],OP,2,0),"-")</f>
        <v>Transporte peajes - Servicios</v>
      </c>
    </row>
    <row r="710" spans="1:28" s="84" customFormat="1" ht="27" customHeight="1" x14ac:dyDescent="0.3">
      <c r="A710" s="75" t="s">
        <v>1627</v>
      </c>
      <c r="B710" s="36" t="str">
        <f t="shared" si="11"/>
        <v>Julio</v>
      </c>
      <c r="C710" s="77" t="s">
        <v>162</v>
      </c>
      <c r="D710" s="77" t="s">
        <v>2517</v>
      </c>
      <c r="E710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710" s="79" t="s">
        <v>175</v>
      </c>
      <c r="G710" s="79" t="s">
        <v>176</v>
      </c>
      <c r="H710" s="140" t="s">
        <v>2518</v>
      </c>
      <c r="I710" s="77" t="s">
        <v>264</v>
      </c>
      <c r="J710" s="144" t="s">
        <v>265</v>
      </c>
      <c r="K710" s="77" t="s">
        <v>169</v>
      </c>
      <c r="L710" s="103" t="str">
        <f>VLOOKUP(Anexo_4[[#This Row],[cod_doc]],TIPODOC,2,FALSE)</f>
        <v>FACTURA</v>
      </c>
      <c r="M710" s="77" t="s">
        <v>406</v>
      </c>
      <c r="N710" s="79">
        <v>2393788</v>
      </c>
      <c r="O710" s="80">
        <v>10.17</v>
      </c>
      <c r="P710" s="81"/>
      <c r="Q710" s="81">
        <v>1.8306</v>
      </c>
      <c r="R710" s="80"/>
      <c r="S710" s="80">
        <v>0</v>
      </c>
      <c r="T710" s="82">
        <v>12</v>
      </c>
      <c r="U710" s="77"/>
      <c r="V710" s="75"/>
      <c r="W710" s="77"/>
      <c r="X710" s="77"/>
      <c r="Y710" s="77" t="s">
        <v>2519</v>
      </c>
      <c r="Z710" s="77" t="s">
        <v>268</v>
      </c>
      <c r="AA710" s="83" t="s">
        <v>2518</v>
      </c>
      <c r="AB710" s="104" t="str">
        <f>IFERROR(VLOOKUP(Anexo_4[[#This Row],[cuenta]],OP,2,0),"-")</f>
        <v>Transporte peajes - Ventas</v>
      </c>
    </row>
    <row r="711" spans="1:28" s="84" customFormat="1" ht="27" customHeight="1" x14ac:dyDescent="0.3">
      <c r="A711" s="75" t="s">
        <v>1627</v>
      </c>
      <c r="B711" s="36" t="str">
        <f t="shared" si="11"/>
        <v>Julio</v>
      </c>
      <c r="C711" s="77" t="s">
        <v>162</v>
      </c>
      <c r="D711" s="77" t="s">
        <v>2520</v>
      </c>
      <c r="E71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711" s="79" t="s">
        <v>175</v>
      </c>
      <c r="G711" s="79" t="s">
        <v>176</v>
      </c>
      <c r="H711" s="140" t="s">
        <v>2521</v>
      </c>
      <c r="I711" s="77" t="s">
        <v>264</v>
      </c>
      <c r="J711" s="144" t="s">
        <v>265</v>
      </c>
      <c r="K711" s="77" t="s">
        <v>169</v>
      </c>
      <c r="L711" s="103" t="str">
        <f>VLOOKUP(Anexo_4[[#This Row],[cod_doc]],TIPODOC,2,FALSE)</f>
        <v>FACTURA</v>
      </c>
      <c r="M711" s="77" t="s">
        <v>379</v>
      </c>
      <c r="N711" s="79">
        <v>2107451</v>
      </c>
      <c r="O711" s="80">
        <v>10.17</v>
      </c>
      <c r="P711" s="81"/>
      <c r="Q711" s="81">
        <v>1.8306</v>
      </c>
      <c r="R711" s="80"/>
      <c r="S711" s="80">
        <v>0</v>
      </c>
      <c r="T711" s="82">
        <v>12</v>
      </c>
      <c r="U711" s="77"/>
      <c r="V711" s="75"/>
      <c r="W711" s="77"/>
      <c r="X711" s="77"/>
      <c r="Y711" s="77" t="s">
        <v>2522</v>
      </c>
      <c r="Z711" s="77" t="s">
        <v>268</v>
      </c>
      <c r="AA711" s="83" t="s">
        <v>2521</v>
      </c>
      <c r="AB711" s="104" t="str">
        <f>IFERROR(VLOOKUP(Anexo_4[[#This Row],[cuenta]],OP,2,0),"-")</f>
        <v>Transporte peajes - Ventas</v>
      </c>
    </row>
    <row r="712" spans="1:28" s="84" customFormat="1" ht="27" customHeight="1" x14ac:dyDescent="0.3">
      <c r="A712" s="75" t="s">
        <v>1843</v>
      </c>
      <c r="B712" s="36" t="str">
        <f t="shared" si="11"/>
        <v>Julio</v>
      </c>
      <c r="C712" s="77" t="s">
        <v>162</v>
      </c>
      <c r="D712" s="77" t="s">
        <v>2523</v>
      </c>
      <c r="E71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712" s="79" t="s">
        <v>175</v>
      </c>
      <c r="G712" s="79" t="s">
        <v>176</v>
      </c>
      <c r="H712" s="140" t="s">
        <v>2524</v>
      </c>
      <c r="I712" s="77" t="s">
        <v>264</v>
      </c>
      <c r="J712" s="144" t="s">
        <v>265</v>
      </c>
      <c r="K712" s="77" t="s">
        <v>169</v>
      </c>
      <c r="L712" s="103" t="str">
        <f>VLOOKUP(Anexo_4[[#This Row],[cod_doc]],TIPODOC,2,FALSE)</f>
        <v>FACTURA</v>
      </c>
      <c r="M712" s="77" t="s">
        <v>406</v>
      </c>
      <c r="N712" s="79">
        <v>2394591</v>
      </c>
      <c r="O712" s="80">
        <v>10.17</v>
      </c>
      <c r="P712" s="81"/>
      <c r="Q712" s="81">
        <v>1.8306</v>
      </c>
      <c r="R712" s="80"/>
      <c r="S712" s="80">
        <v>0</v>
      </c>
      <c r="T712" s="82">
        <v>12</v>
      </c>
      <c r="U712" s="77"/>
      <c r="V712" s="75"/>
      <c r="W712" s="77"/>
      <c r="X712" s="77"/>
      <c r="Y712" s="77" t="s">
        <v>2525</v>
      </c>
      <c r="Z712" s="77" t="s">
        <v>268</v>
      </c>
      <c r="AA712" s="83" t="s">
        <v>2524</v>
      </c>
      <c r="AB712" s="104" t="str">
        <f>IFERROR(VLOOKUP(Anexo_4[[#This Row],[cuenta]],OP,2,0),"-")</f>
        <v>Transporte peajes - Ventas</v>
      </c>
    </row>
    <row r="713" spans="1:28" s="84" customFormat="1" ht="27" customHeight="1" x14ac:dyDescent="0.3">
      <c r="A713" s="75" t="s">
        <v>1843</v>
      </c>
      <c r="B713" s="36" t="str">
        <f t="shared" si="11"/>
        <v>Julio</v>
      </c>
      <c r="C713" s="77" t="s">
        <v>162</v>
      </c>
      <c r="D713" s="77" t="s">
        <v>2526</v>
      </c>
      <c r="E713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713" s="79" t="s">
        <v>175</v>
      </c>
      <c r="G713" s="79" t="s">
        <v>176</v>
      </c>
      <c r="H713" s="140" t="s">
        <v>2527</v>
      </c>
      <c r="I713" s="77" t="s">
        <v>264</v>
      </c>
      <c r="J713" s="144" t="s">
        <v>265</v>
      </c>
      <c r="K713" s="77" t="s">
        <v>169</v>
      </c>
      <c r="L713" s="103" t="str">
        <f>VLOOKUP(Anexo_4[[#This Row],[cod_doc]],TIPODOC,2,FALSE)</f>
        <v>FACTURA</v>
      </c>
      <c r="M713" s="77" t="s">
        <v>379</v>
      </c>
      <c r="N713" s="79">
        <v>2108235</v>
      </c>
      <c r="O713" s="80">
        <v>10.17</v>
      </c>
      <c r="P713" s="81"/>
      <c r="Q713" s="81">
        <v>1.8306</v>
      </c>
      <c r="R713" s="80"/>
      <c r="S713" s="80">
        <v>0</v>
      </c>
      <c r="T713" s="82">
        <v>12</v>
      </c>
      <c r="U713" s="77"/>
      <c r="V713" s="75"/>
      <c r="W713" s="77"/>
      <c r="X713" s="77"/>
      <c r="Y713" s="77" t="s">
        <v>2528</v>
      </c>
      <c r="Z713" s="77" t="s">
        <v>268</v>
      </c>
      <c r="AA713" s="83" t="s">
        <v>2527</v>
      </c>
      <c r="AB713" s="104" t="str">
        <f>IFERROR(VLOOKUP(Anexo_4[[#This Row],[cuenta]],OP,2,0),"-")</f>
        <v>Transporte peajes - Ventas</v>
      </c>
    </row>
    <row r="714" spans="1:28" s="84" customFormat="1" ht="27" customHeight="1" x14ac:dyDescent="0.3">
      <c r="A714" s="75" t="s">
        <v>2013</v>
      </c>
      <c r="B714" s="36" t="str">
        <f t="shared" si="11"/>
        <v>Julio</v>
      </c>
      <c r="C714" s="77" t="s">
        <v>162</v>
      </c>
      <c r="D714" s="77" t="s">
        <v>2529</v>
      </c>
      <c r="E714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714" s="79" t="s">
        <v>175</v>
      </c>
      <c r="G714" s="79" t="s">
        <v>176</v>
      </c>
      <c r="H714" s="140" t="s">
        <v>2530</v>
      </c>
      <c r="I714" s="77" t="s">
        <v>178</v>
      </c>
      <c r="J714" s="144" t="s">
        <v>179</v>
      </c>
      <c r="K714" s="77" t="s">
        <v>169</v>
      </c>
      <c r="L714" s="103" t="str">
        <f>VLOOKUP(Anexo_4[[#This Row],[cod_doc]],TIPODOC,2,FALSE)</f>
        <v>FACTURA</v>
      </c>
      <c r="M714" s="77" t="s">
        <v>180</v>
      </c>
      <c r="N714" s="79">
        <v>133923</v>
      </c>
      <c r="O714" s="80">
        <v>8.4700000000000006</v>
      </c>
      <c r="P714" s="81"/>
      <c r="Q714" s="81">
        <v>1.5246</v>
      </c>
      <c r="R714" s="80"/>
      <c r="S714" s="80">
        <v>0</v>
      </c>
      <c r="T714" s="82">
        <v>10</v>
      </c>
      <c r="U714" s="77"/>
      <c r="V714" s="75"/>
      <c r="W714" s="77"/>
      <c r="X714" s="77"/>
      <c r="Y714" s="77" t="s">
        <v>2531</v>
      </c>
      <c r="Z714" s="77" t="s">
        <v>182</v>
      </c>
      <c r="AA714" s="83" t="s">
        <v>2530</v>
      </c>
      <c r="AB714" s="104" t="str">
        <f>IFERROR(VLOOKUP(Anexo_4[[#This Row],[cuenta]],OP,2,0),"-")</f>
        <v>Balanza - Ventas</v>
      </c>
    </row>
    <row r="715" spans="1:28" s="84" customFormat="1" ht="27" customHeight="1" x14ac:dyDescent="0.3">
      <c r="A715" s="75" t="s">
        <v>2248</v>
      </c>
      <c r="B715" s="36" t="str">
        <f t="shared" si="11"/>
        <v>Julio</v>
      </c>
      <c r="C715" s="77" t="s">
        <v>162</v>
      </c>
      <c r="D715" s="77" t="s">
        <v>2532</v>
      </c>
      <c r="E71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715" s="79" t="s">
        <v>175</v>
      </c>
      <c r="G715" s="79" t="s">
        <v>176</v>
      </c>
      <c r="H715" s="140" t="s">
        <v>2533</v>
      </c>
      <c r="I715" s="77" t="s">
        <v>178</v>
      </c>
      <c r="J715" s="144" t="s">
        <v>179</v>
      </c>
      <c r="K715" s="77" t="s">
        <v>169</v>
      </c>
      <c r="L715" s="103" t="str">
        <f>VLOOKUP(Anexo_4[[#This Row],[cod_doc]],TIPODOC,2,FALSE)</f>
        <v>FACTURA</v>
      </c>
      <c r="M715" s="77" t="s">
        <v>180</v>
      </c>
      <c r="N715" s="79">
        <v>133999</v>
      </c>
      <c r="O715" s="80">
        <v>8.4700000000000006</v>
      </c>
      <c r="P715" s="81"/>
      <c r="Q715" s="81">
        <v>1.5246</v>
      </c>
      <c r="R715" s="80"/>
      <c r="S715" s="80">
        <v>0</v>
      </c>
      <c r="T715" s="82">
        <v>10</v>
      </c>
      <c r="U715" s="77"/>
      <c r="V715" s="75"/>
      <c r="W715" s="77"/>
      <c r="X715" s="77"/>
      <c r="Y715" s="77" t="s">
        <v>2534</v>
      </c>
      <c r="Z715" s="77" t="s">
        <v>182</v>
      </c>
      <c r="AA715" s="83" t="s">
        <v>2533</v>
      </c>
      <c r="AB715" s="104" t="str">
        <f>IFERROR(VLOOKUP(Anexo_4[[#This Row],[cuenta]],OP,2,0),"-")</f>
        <v>Balanza - Ventas</v>
      </c>
    </row>
    <row r="716" spans="1:28" s="84" customFormat="1" ht="27" customHeight="1" x14ac:dyDescent="0.3">
      <c r="A716" s="75" t="s">
        <v>2248</v>
      </c>
      <c r="B716" s="36" t="str">
        <f t="shared" si="11"/>
        <v>Julio</v>
      </c>
      <c r="C716" s="77" t="s">
        <v>162</v>
      </c>
      <c r="D716" s="77" t="s">
        <v>2535</v>
      </c>
      <c r="E71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716" s="79" t="s">
        <v>175</v>
      </c>
      <c r="G716" s="79" t="s">
        <v>176</v>
      </c>
      <c r="H716" s="140" t="s">
        <v>2536</v>
      </c>
      <c r="I716" s="77" t="s">
        <v>178</v>
      </c>
      <c r="J716" s="144" t="s">
        <v>179</v>
      </c>
      <c r="K716" s="77" t="s">
        <v>169</v>
      </c>
      <c r="L716" s="103" t="str">
        <f>VLOOKUP(Anexo_4[[#This Row],[cod_doc]],TIPODOC,2,FALSE)</f>
        <v>FACTURA</v>
      </c>
      <c r="M716" s="77" t="s">
        <v>180</v>
      </c>
      <c r="N716" s="79">
        <v>134001</v>
      </c>
      <c r="O716" s="80">
        <v>8.4700000000000006</v>
      </c>
      <c r="P716" s="81"/>
      <c r="Q716" s="81">
        <v>1.5246</v>
      </c>
      <c r="R716" s="80"/>
      <c r="S716" s="80">
        <v>0</v>
      </c>
      <c r="T716" s="82">
        <v>10</v>
      </c>
      <c r="U716" s="77"/>
      <c r="V716" s="75"/>
      <c r="W716" s="77"/>
      <c r="X716" s="77"/>
      <c r="Y716" s="77" t="s">
        <v>2537</v>
      </c>
      <c r="Z716" s="77" t="s">
        <v>182</v>
      </c>
      <c r="AA716" s="83" t="s">
        <v>2536</v>
      </c>
      <c r="AB716" s="104" t="str">
        <f>IFERROR(VLOOKUP(Anexo_4[[#This Row],[cuenta]],OP,2,0),"-")</f>
        <v>Balanza - Ventas</v>
      </c>
    </row>
    <row r="717" spans="1:28" s="84" customFormat="1" ht="27" customHeight="1" x14ac:dyDescent="0.3">
      <c r="A717" s="75" t="s">
        <v>2248</v>
      </c>
      <c r="B717" s="36" t="str">
        <f t="shared" si="11"/>
        <v>Julio</v>
      </c>
      <c r="C717" s="77" t="s">
        <v>162</v>
      </c>
      <c r="D717" s="77" t="s">
        <v>2538</v>
      </c>
      <c r="E717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717" s="79" t="s">
        <v>175</v>
      </c>
      <c r="G717" s="79" t="s">
        <v>176</v>
      </c>
      <c r="H717" s="140" t="s">
        <v>2539</v>
      </c>
      <c r="I717" s="77" t="s">
        <v>178</v>
      </c>
      <c r="J717" s="144" t="s">
        <v>179</v>
      </c>
      <c r="K717" s="77" t="s">
        <v>169</v>
      </c>
      <c r="L717" s="103" t="str">
        <f>VLOOKUP(Anexo_4[[#This Row],[cod_doc]],TIPODOC,2,FALSE)</f>
        <v>FACTURA</v>
      </c>
      <c r="M717" s="77" t="s">
        <v>180</v>
      </c>
      <c r="N717" s="79">
        <v>134002</v>
      </c>
      <c r="O717" s="80">
        <v>8.4700000000000006</v>
      </c>
      <c r="P717" s="81"/>
      <c r="Q717" s="81">
        <v>1.5246</v>
      </c>
      <c r="R717" s="80"/>
      <c r="S717" s="80">
        <v>0</v>
      </c>
      <c r="T717" s="82">
        <v>10</v>
      </c>
      <c r="U717" s="77"/>
      <c r="V717" s="75"/>
      <c r="W717" s="77"/>
      <c r="X717" s="77"/>
      <c r="Y717" s="77" t="s">
        <v>2540</v>
      </c>
      <c r="Z717" s="77" t="s">
        <v>182</v>
      </c>
      <c r="AA717" s="83" t="s">
        <v>2539</v>
      </c>
      <c r="AB717" s="104" t="str">
        <f>IFERROR(VLOOKUP(Anexo_4[[#This Row],[cuenta]],OP,2,0),"-")</f>
        <v>Balanza - Ventas</v>
      </c>
    </row>
    <row r="718" spans="1:28" s="84" customFormat="1" ht="27" customHeight="1" x14ac:dyDescent="0.3">
      <c r="A718" s="75" t="s">
        <v>2453</v>
      </c>
      <c r="B718" s="36" t="str">
        <f t="shared" si="11"/>
        <v>Julio</v>
      </c>
      <c r="C718" s="77" t="s">
        <v>162</v>
      </c>
      <c r="D718" s="77" t="s">
        <v>2541</v>
      </c>
      <c r="E718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718" s="79" t="s">
        <v>248</v>
      </c>
      <c r="G718" s="79" t="s">
        <v>249</v>
      </c>
      <c r="H718" s="140" t="s">
        <v>2542</v>
      </c>
      <c r="I718" s="77" t="s">
        <v>619</v>
      </c>
      <c r="J718" s="144" t="s">
        <v>620</v>
      </c>
      <c r="K718" s="77" t="s">
        <v>169</v>
      </c>
      <c r="L718" s="103" t="str">
        <f>VLOOKUP(Anexo_4[[#This Row],[cod_doc]],TIPODOC,2,FALSE)</f>
        <v>FACTURA</v>
      </c>
      <c r="M718" s="77" t="s">
        <v>621</v>
      </c>
      <c r="N718" s="79">
        <v>903</v>
      </c>
      <c r="O718" s="80">
        <v>68.78</v>
      </c>
      <c r="P718" s="81"/>
      <c r="Q718" s="81">
        <v>12.3804</v>
      </c>
      <c r="R718" s="80"/>
      <c r="S718" s="80">
        <v>0</v>
      </c>
      <c r="T718" s="82">
        <v>81.16</v>
      </c>
      <c r="U718" s="77" t="s">
        <v>2543</v>
      </c>
      <c r="V718" s="75" t="s">
        <v>1780</v>
      </c>
      <c r="W718" s="77"/>
      <c r="X718" s="77"/>
      <c r="Y718" s="77" t="s">
        <v>2544</v>
      </c>
      <c r="Z718" s="77" t="s">
        <v>256</v>
      </c>
      <c r="AA718" s="83" t="s">
        <v>2542</v>
      </c>
      <c r="AB718" s="104" t="str">
        <f>IFERROR(VLOOKUP(Anexo_4[[#This Row],[cuenta]],OP,2,0),"-")</f>
        <v>Materias Primas - RRSS</v>
      </c>
    </row>
    <row r="719" spans="1:28" s="84" customFormat="1" ht="27" customHeight="1" x14ac:dyDescent="0.3">
      <c r="A719" s="75" t="s">
        <v>1993</v>
      </c>
      <c r="B719" s="36" t="str">
        <f t="shared" si="11"/>
        <v>Julio</v>
      </c>
      <c r="C719" s="77" t="s">
        <v>162</v>
      </c>
      <c r="D719" s="77" t="s">
        <v>2545</v>
      </c>
      <c r="E719" s="78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719" s="79" t="s">
        <v>198</v>
      </c>
      <c r="G719" s="79" t="s">
        <v>199</v>
      </c>
      <c r="H719" s="140" t="s">
        <v>2546</v>
      </c>
      <c r="I719" s="77" t="s">
        <v>643</v>
      </c>
      <c r="J719" s="144" t="s">
        <v>644</v>
      </c>
      <c r="K719" s="77" t="s">
        <v>169</v>
      </c>
      <c r="L719" s="103" t="str">
        <f>VLOOKUP(Anexo_4[[#This Row],[cod_doc]],TIPODOC,2,FALSE)</f>
        <v>FACTURA</v>
      </c>
      <c r="M719" s="77" t="s">
        <v>102</v>
      </c>
      <c r="N719" s="79">
        <v>4012</v>
      </c>
      <c r="O719" s="80">
        <v>680</v>
      </c>
      <c r="P719" s="81"/>
      <c r="Q719" s="81">
        <v>122.39999999999999</v>
      </c>
      <c r="R719" s="80"/>
      <c r="S719" s="80">
        <v>0</v>
      </c>
      <c r="T719" s="82">
        <v>802.4</v>
      </c>
      <c r="U719" s="77" t="s">
        <v>2547</v>
      </c>
      <c r="V719" s="75" t="s">
        <v>1780</v>
      </c>
      <c r="W719" s="77"/>
      <c r="X719" s="77"/>
      <c r="Y719" s="77"/>
      <c r="Z719" s="77" t="s">
        <v>648</v>
      </c>
      <c r="AA719" s="83" t="s">
        <v>2546</v>
      </c>
      <c r="AB719" s="104" t="str">
        <f>IFERROR(VLOOKUP(Anexo_4[[#This Row],[cuenta]],OP,2,0),"-")</f>
        <v>Montacarga - Ventas</v>
      </c>
    </row>
    <row r="720" spans="1:28" s="84" customFormat="1" ht="27" customHeight="1" x14ac:dyDescent="0.3">
      <c r="A720" s="75" t="s">
        <v>2013</v>
      </c>
      <c r="B720" s="36" t="str">
        <f t="shared" si="11"/>
        <v>Julio</v>
      </c>
      <c r="C720" s="77" t="s">
        <v>162</v>
      </c>
      <c r="D720" s="77" t="s">
        <v>2548</v>
      </c>
      <c r="E720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720" s="79" t="s">
        <v>355</v>
      </c>
      <c r="G720" s="79" t="s">
        <v>356</v>
      </c>
      <c r="H720" s="140" t="s">
        <v>2549</v>
      </c>
      <c r="I720" s="77" t="s">
        <v>643</v>
      </c>
      <c r="J720" s="144" t="s">
        <v>644</v>
      </c>
      <c r="K720" s="77" t="s">
        <v>169</v>
      </c>
      <c r="L720" s="103" t="str">
        <f>VLOOKUP(Anexo_4[[#This Row],[cod_doc]],TIPODOC,2,FALSE)</f>
        <v>FACTURA</v>
      </c>
      <c r="M720" s="77" t="s">
        <v>102</v>
      </c>
      <c r="N720" s="79">
        <v>4019</v>
      </c>
      <c r="O720" s="80">
        <v>297.5</v>
      </c>
      <c r="P720" s="81"/>
      <c r="Q720" s="81">
        <v>53.55</v>
      </c>
      <c r="R720" s="80"/>
      <c r="S720" s="80">
        <v>0</v>
      </c>
      <c r="T720" s="82">
        <v>351.05</v>
      </c>
      <c r="U720" s="77"/>
      <c r="V720" s="75"/>
      <c r="W720" s="77"/>
      <c r="X720" s="77"/>
      <c r="Y720" s="77"/>
      <c r="Z720" s="77" t="s">
        <v>645</v>
      </c>
      <c r="AA720" s="83" t="s">
        <v>2549</v>
      </c>
      <c r="AB720" s="104" t="str">
        <f>IFERROR(VLOOKUP(Anexo_4[[#This Row],[cuenta]],OP,2,0),"-")</f>
        <v>Montacarga - Servicios</v>
      </c>
    </row>
    <row r="721" spans="1:28" s="84" customFormat="1" ht="27" customHeight="1" x14ac:dyDescent="0.3">
      <c r="A721" s="75" t="s">
        <v>2106</v>
      </c>
      <c r="B721" s="36" t="str">
        <f t="shared" si="11"/>
        <v>Julio</v>
      </c>
      <c r="C721" s="77" t="s">
        <v>162</v>
      </c>
      <c r="D721" s="77" t="s">
        <v>2550</v>
      </c>
      <c r="E72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721" s="79" t="s">
        <v>355</v>
      </c>
      <c r="G721" s="79" t="s">
        <v>356</v>
      </c>
      <c r="H721" s="140" t="s">
        <v>2551</v>
      </c>
      <c r="I721" s="77" t="s">
        <v>643</v>
      </c>
      <c r="J721" s="144" t="s">
        <v>644</v>
      </c>
      <c r="K721" s="77" t="s">
        <v>169</v>
      </c>
      <c r="L721" s="103" t="str">
        <f>VLOOKUP(Anexo_4[[#This Row],[cod_doc]],TIPODOC,2,FALSE)</f>
        <v>FACTURA</v>
      </c>
      <c r="M721" s="77" t="s">
        <v>102</v>
      </c>
      <c r="N721" s="79">
        <v>4023</v>
      </c>
      <c r="O721" s="80">
        <v>276.25</v>
      </c>
      <c r="P721" s="81"/>
      <c r="Q721" s="81">
        <v>49.725000000000001</v>
      </c>
      <c r="R721" s="80"/>
      <c r="S721" s="80">
        <v>0</v>
      </c>
      <c r="T721" s="82">
        <v>651.95000000000005</v>
      </c>
      <c r="U721" s="77"/>
      <c r="V721" s="75"/>
      <c r="W721" s="77"/>
      <c r="X721" s="77"/>
      <c r="Y721" s="77"/>
      <c r="Z721" s="77" t="s">
        <v>645</v>
      </c>
      <c r="AA721" s="83" t="s">
        <v>2551</v>
      </c>
      <c r="AB721" s="104" t="str">
        <f>IFERROR(VLOOKUP(Anexo_4[[#This Row],[cuenta]],OP,2,0),"-")</f>
        <v>Montacarga - Servicios</v>
      </c>
    </row>
    <row r="722" spans="1:28" s="84" customFormat="1" ht="27" customHeight="1" x14ac:dyDescent="0.3">
      <c r="A722" s="75" t="s">
        <v>2106</v>
      </c>
      <c r="B722" s="36" t="str">
        <f t="shared" si="11"/>
        <v>Julio</v>
      </c>
      <c r="C722" s="77" t="s">
        <v>162</v>
      </c>
      <c r="D722" s="77" t="s">
        <v>2550</v>
      </c>
      <c r="E722" s="78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722" s="79" t="s">
        <v>198</v>
      </c>
      <c r="G722" s="79" t="s">
        <v>199</v>
      </c>
      <c r="H722" s="140" t="s">
        <v>2551</v>
      </c>
      <c r="I722" s="77" t="s">
        <v>643</v>
      </c>
      <c r="J722" s="144" t="s">
        <v>644</v>
      </c>
      <c r="K722" s="77" t="s">
        <v>169</v>
      </c>
      <c r="L722" s="103" t="str">
        <f>VLOOKUP(Anexo_4[[#This Row],[cod_doc]],TIPODOC,2,FALSE)</f>
        <v>FACTURA</v>
      </c>
      <c r="M722" s="77" t="s">
        <v>102</v>
      </c>
      <c r="N722" s="79">
        <v>4023</v>
      </c>
      <c r="O722" s="80">
        <v>276.25</v>
      </c>
      <c r="P722" s="81"/>
      <c r="Q722" s="81">
        <v>49.725000000000001</v>
      </c>
      <c r="R722" s="80"/>
      <c r="S722" s="80">
        <v>0</v>
      </c>
      <c r="T722" s="82">
        <v>651.95000000000005</v>
      </c>
      <c r="U722" s="77"/>
      <c r="V722" s="75"/>
      <c r="W722" s="77"/>
      <c r="X722" s="77"/>
      <c r="Y722" s="77"/>
      <c r="Z722" s="77" t="s">
        <v>648</v>
      </c>
      <c r="AA722" s="83" t="s">
        <v>2551</v>
      </c>
      <c r="AB722" s="104" t="str">
        <f>IFERROR(VLOOKUP(Anexo_4[[#This Row],[cuenta]],OP,2,0),"-")</f>
        <v>Montacarga - Ventas</v>
      </c>
    </row>
    <row r="723" spans="1:28" s="84" customFormat="1" ht="27" customHeight="1" x14ac:dyDescent="0.3">
      <c r="A723" s="75" t="s">
        <v>2552</v>
      </c>
      <c r="B723" s="36" t="str">
        <f t="shared" si="11"/>
        <v>Julio</v>
      </c>
      <c r="C723" s="77" t="s">
        <v>162</v>
      </c>
      <c r="D723" s="77" t="s">
        <v>2553</v>
      </c>
      <c r="E723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723" s="79" t="s">
        <v>164</v>
      </c>
      <c r="G723" s="79" t="s">
        <v>165</v>
      </c>
      <c r="H723" s="140" t="s">
        <v>2554</v>
      </c>
      <c r="I723" s="77" t="s">
        <v>213</v>
      </c>
      <c r="J723" s="144" t="s">
        <v>214</v>
      </c>
      <c r="K723" s="77" t="s">
        <v>169</v>
      </c>
      <c r="L723" s="103" t="str">
        <f>VLOOKUP(Anexo_4[[#This Row],[cod_doc]],TIPODOC,2,FALSE)</f>
        <v>FACTURA</v>
      </c>
      <c r="M723" s="77" t="s">
        <v>102</v>
      </c>
      <c r="N723" s="79">
        <v>462</v>
      </c>
      <c r="O723" s="80">
        <v>59.9</v>
      </c>
      <c r="P723" s="81"/>
      <c r="Q723" s="81">
        <v>10.782</v>
      </c>
      <c r="R723" s="80"/>
      <c r="S723" s="80">
        <v>0</v>
      </c>
      <c r="T723" s="82">
        <v>70.680000000000007</v>
      </c>
      <c r="U723" s="77"/>
      <c r="V723" s="75"/>
      <c r="W723" s="77"/>
      <c r="X723" s="77"/>
      <c r="Y723" s="77"/>
      <c r="Z723" s="77" t="s">
        <v>209</v>
      </c>
      <c r="AA723" s="83" t="s">
        <v>2554</v>
      </c>
      <c r="AB723" s="104" t="str">
        <f>IFERROR(VLOOKUP(Anexo_4[[#This Row],[cuenta]],OP,2,0),"-")</f>
        <v>-</v>
      </c>
    </row>
    <row r="724" spans="1:28" s="84" customFormat="1" ht="27" customHeight="1" x14ac:dyDescent="0.3">
      <c r="A724" s="75" t="s">
        <v>1843</v>
      </c>
      <c r="B724" s="36" t="str">
        <f t="shared" si="11"/>
        <v>Julio</v>
      </c>
      <c r="C724" s="77" t="s">
        <v>162</v>
      </c>
      <c r="D724" s="77" t="s">
        <v>2555</v>
      </c>
      <c r="E724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724" s="79" t="s">
        <v>1366</v>
      </c>
      <c r="G724" s="79" t="s">
        <v>1367</v>
      </c>
      <c r="H724" s="140" t="s">
        <v>2556</v>
      </c>
      <c r="I724" s="77" t="s">
        <v>2557</v>
      </c>
      <c r="J724" s="144" t="s">
        <v>2558</v>
      </c>
      <c r="K724" s="77" t="s">
        <v>239</v>
      </c>
      <c r="L724" s="103" t="str">
        <f>VLOOKUP(Anexo_4[[#This Row],[cod_doc]],TIPODOC,2,FALSE)</f>
        <v>BOLETA DE VENTA</v>
      </c>
      <c r="M724" s="77" t="s">
        <v>369</v>
      </c>
      <c r="N724" s="79">
        <v>7983</v>
      </c>
      <c r="O724" s="80"/>
      <c r="P724" s="81"/>
      <c r="Q724" s="81"/>
      <c r="R724" s="80"/>
      <c r="S724" s="80">
        <v>35</v>
      </c>
      <c r="T724" s="82">
        <v>35</v>
      </c>
      <c r="U724" s="77"/>
      <c r="V724" s="75"/>
      <c r="W724" s="77"/>
      <c r="X724" s="77"/>
      <c r="Y724" s="77"/>
      <c r="Z724" s="77" t="s">
        <v>2559</v>
      </c>
      <c r="AA724" s="83" t="s">
        <v>2556</v>
      </c>
      <c r="AB724" s="104" t="str">
        <f>IFERROR(VLOOKUP(Anexo_4[[#This Row],[cuenta]],OP,2,0),"-")</f>
        <v>-</v>
      </c>
    </row>
    <row r="725" spans="1:28" s="84" customFormat="1" ht="27" customHeight="1" x14ac:dyDescent="0.3">
      <c r="A725" s="75" t="s">
        <v>1910</v>
      </c>
      <c r="B725" s="36" t="str">
        <f t="shared" si="11"/>
        <v>Julio</v>
      </c>
      <c r="C725" s="77" t="s">
        <v>162</v>
      </c>
      <c r="D725" s="77" t="s">
        <v>2560</v>
      </c>
      <c r="E725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725" s="79" t="s">
        <v>823</v>
      </c>
      <c r="G725" s="79" t="s">
        <v>824</v>
      </c>
      <c r="H725" s="140" t="s">
        <v>2561</v>
      </c>
      <c r="I725" s="77" t="s">
        <v>2562</v>
      </c>
      <c r="J725" s="144" t="s">
        <v>2563</v>
      </c>
      <c r="K725" s="77" t="s">
        <v>239</v>
      </c>
      <c r="L725" s="103" t="str">
        <f>VLOOKUP(Anexo_4[[#This Row],[cod_doc]],TIPODOC,2,FALSE)</f>
        <v>BOLETA DE VENTA</v>
      </c>
      <c r="M725" s="77" t="s">
        <v>162</v>
      </c>
      <c r="N725" s="79">
        <v>80</v>
      </c>
      <c r="O725" s="80"/>
      <c r="P725" s="81"/>
      <c r="Q725" s="81"/>
      <c r="R725" s="80"/>
      <c r="S725" s="80">
        <v>47</v>
      </c>
      <c r="T725" s="82">
        <v>47</v>
      </c>
      <c r="U725" s="77"/>
      <c r="V725" s="75"/>
      <c r="W725" s="77"/>
      <c r="X725" s="77"/>
      <c r="Y725" s="77"/>
      <c r="Z725" s="77" t="s">
        <v>2320</v>
      </c>
      <c r="AA725" s="83" t="s">
        <v>2561</v>
      </c>
      <c r="AB725" s="104" t="str">
        <f>IFERROR(VLOOKUP(Anexo_4[[#This Row],[cuenta]],OP,2,0),"-")</f>
        <v>Otros Gastos de Gestion</v>
      </c>
    </row>
    <row r="726" spans="1:28" s="84" customFormat="1" ht="27" customHeight="1" x14ac:dyDescent="0.3">
      <c r="A726" s="75" t="s">
        <v>2564</v>
      </c>
      <c r="B726" s="36" t="str">
        <f t="shared" si="11"/>
        <v>Julio</v>
      </c>
      <c r="C726" s="77" t="s">
        <v>162</v>
      </c>
      <c r="D726" s="77" t="s">
        <v>2565</v>
      </c>
      <c r="E72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726" s="79" t="s">
        <v>248</v>
      </c>
      <c r="G726" s="79" t="s">
        <v>249</v>
      </c>
      <c r="H726" s="140" t="s">
        <v>2566</v>
      </c>
      <c r="I726" s="77" t="s">
        <v>536</v>
      </c>
      <c r="J726" s="144" t="s">
        <v>537</v>
      </c>
      <c r="K726" s="77" t="s">
        <v>169</v>
      </c>
      <c r="L726" s="103" t="str">
        <f>VLOOKUP(Anexo_4[[#This Row],[cod_doc]],TIPODOC,2,FALSE)</f>
        <v>FACTURA</v>
      </c>
      <c r="M726" s="77" t="s">
        <v>538</v>
      </c>
      <c r="N726" s="79">
        <v>6623</v>
      </c>
      <c r="O726" s="80">
        <v>54</v>
      </c>
      <c r="P726" s="81"/>
      <c r="Q726" s="81">
        <v>9.7199999999999989</v>
      </c>
      <c r="R726" s="80"/>
      <c r="S726" s="80">
        <v>0</v>
      </c>
      <c r="T726" s="82">
        <v>63.72</v>
      </c>
      <c r="U726" s="77" t="s">
        <v>2567</v>
      </c>
      <c r="V726" s="75" t="s">
        <v>1780</v>
      </c>
      <c r="W726" s="77"/>
      <c r="X726" s="77"/>
      <c r="Y726" s="77"/>
      <c r="Z726" s="77" t="s">
        <v>256</v>
      </c>
      <c r="AA726" s="83" t="s">
        <v>2566</v>
      </c>
      <c r="AB726" s="104" t="str">
        <f>IFERROR(VLOOKUP(Anexo_4[[#This Row],[cuenta]],OP,2,0),"-")</f>
        <v>Materias Primas - RRSS</v>
      </c>
    </row>
    <row r="727" spans="1:28" s="84" customFormat="1" ht="27" customHeight="1" x14ac:dyDescent="0.3">
      <c r="A727" s="75" t="s">
        <v>2564</v>
      </c>
      <c r="B727" s="36" t="str">
        <f t="shared" si="11"/>
        <v>Julio</v>
      </c>
      <c r="C727" s="77" t="s">
        <v>162</v>
      </c>
      <c r="D727" s="77" t="s">
        <v>2568</v>
      </c>
      <c r="E727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727" s="79" t="s">
        <v>248</v>
      </c>
      <c r="G727" s="79" t="s">
        <v>249</v>
      </c>
      <c r="H727" s="140" t="s">
        <v>2569</v>
      </c>
      <c r="I727" s="77" t="s">
        <v>536</v>
      </c>
      <c r="J727" s="144" t="s">
        <v>537</v>
      </c>
      <c r="K727" s="77" t="s">
        <v>169</v>
      </c>
      <c r="L727" s="103" t="str">
        <f>VLOOKUP(Anexo_4[[#This Row],[cod_doc]],TIPODOC,2,FALSE)</f>
        <v>FACTURA</v>
      </c>
      <c r="M727" s="77" t="s">
        <v>538</v>
      </c>
      <c r="N727" s="79">
        <v>6624</v>
      </c>
      <c r="O727" s="80">
        <v>306</v>
      </c>
      <c r="P727" s="81"/>
      <c r="Q727" s="81">
        <v>55.08</v>
      </c>
      <c r="R727" s="80"/>
      <c r="S727" s="80">
        <v>0</v>
      </c>
      <c r="T727" s="82">
        <v>361.08</v>
      </c>
      <c r="U727" s="77" t="s">
        <v>2570</v>
      </c>
      <c r="V727" s="75" t="s">
        <v>1780</v>
      </c>
      <c r="W727" s="77"/>
      <c r="X727" s="77"/>
      <c r="Y727" s="77"/>
      <c r="Z727" s="77" t="s">
        <v>256</v>
      </c>
      <c r="AA727" s="83" t="s">
        <v>2569</v>
      </c>
      <c r="AB727" s="104" t="str">
        <f>IFERROR(VLOOKUP(Anexo_4[[#This Row],[cuenta]],OP,2,0),"-")</f>
        <v>Materias Primas - RRSS</v>
      </c>
    </row>
    <row r="728" spans="1:28" s="84" customFormat="1" ht="27" customHeight="1" x14ac:dyDescent="0.3">
      <c r="A728" s="75" t="s">
        <v>2564</v>
      </c>
      <c r="B728" s="36" t="str">
        <f t="shared" si="11"/>
        <v>Julio</v>
      </c>
      <c r="C728" s="77" t="s">
        <v>162</v>
      </c>
      <c r="D728" s="77" t="s">
        <v>2571</v>
      </c>
      <c r="E728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728" s="79" t="s">
        <v>248</v>
      </c>
      <c r="G728" s="79" t="s">
        <v>249</v>
      </c>
      <c r="H728" s="140" t="s">
        <v>2572</v>
      </c>
      <c r="I728" s="77" t="s">
        <v>536</v>
      </c>
      <c r="J728" s="144" t="s">
        <v>537</v>
      </c>
      <c r="K728" s="77" t="s">
        <v>169</v>
      </c>
      <c r="L728" s="103" t="str">
        <f>VLOOKUP(Anexo_4[[#This Row],[cod_doc]],TIPODOC,2,FALSE)</f>
        <v>FACTURA</v>
      </c>
      <c r="M728" s="77" t="s">
        <v>538</v>
      </c>
      <c r="N728" s="79">
        <v>6625</v>
      </c>
      <c r="O728" s="80">
        <v>390</v>
      </c>
      <c r="P728" s="81"/>
      <c r="Q728" s="81">
        <v>70.2</v>
      </c>
      <c r="R728" s="80"/>
      <c r="S728" s="80">
        <v>0</v>
      </c>
      <c r="T728" s="82">
        <v>460.2</v>
      </c>
      <c r="U728" s="77" t="s">
        <v>2573</v>
      </c>
      <c r="V728" s="75" t="s">
        <v>1780</v>
      </c>
      <c r="W728" s="77"/>
      <c r="X728" s="77"/>
      <c r="Y728" s="77"/>
      <c r="Z728" s="77" t="s">
        <v>256</v>
      </c>
      <c r="AA728" s="83" t="s">
        <v>2572</v>
      </c>
      <c r="AB728" s="104" t="str">
        <f>IFERROR(VLOOKUP(Anexo_4[[#This Row],[cuenta]],OP,2,0),"-")</f>
        <v>Materias Primas - RRSS</v>
      </c>
    </row>
    <row r="729" spans="1:28" s="84" customFormat="1" ht="27" customHeight="1" x14ac:dyDescent="0.3">
      <c r="A729" s="75" t="s">
        <v>2564</v>
      </c>
      <c r="B729" s="36" t="str">
        <f t="shared" si="11"/>
        <v>Julio</v>
      </c>
      <c r="C729" s="77" t="s">
        <v>162</v>
      </c>
      <c r="D729" s="77" t="s">
        <v>2574</v>
      </c>
      <c r="E729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729" s="79" t="s">
        <v>248</v>
      </c>
      <c r="G729" s="79" t="s">
        <v>249</v>
      </c>
      <c r="H729" s="140" t="s">
        <v>2575</v>
      </c>
      <c r="I729" s="77" t="s">
        <v>536</v>
      </c>
      <c r="J729" s="144" t="s">
        <v>537</v>
      </c>
      <c r="K729" s="77" t="s">
        <v>169</v>
      </c>
      <c r="L729" s="103" t="str">
        <f>VLOOKUP(Anexo_4[[#This Row],[cod_doc]],TIPODOC,2,FALSE)</f>
        <v>FACTURA</v>
      </c>
      <c r="M729" s="77" t="s">
        <v>538</v>
      </c>
      <c r="N729" s="79">
        <v>6626</v>
      </c>
      <c r="O729" s="80">
        <v>94.5</v>
      </c>
      <c r="P729" s="81"/>
      <c r="Q729" s="81">
        <v>17.009999999999998</v>
      </c>
      <c r="R729" s="80"/>
      <c r="S729" s="80">
        <v>0</v>
      </c>
      <c r="T729" s="82">
        <v>111.51</v>
      </c>
      <c r="U729" s="77" t="s">
        <v>2576</v>
      </c>
      <c r="V729" s="75" t="s">
        <v>1780</v>
      </c>
      <c r="W729" s="77"/>
      <c r="X729" s="77"/>
      <c r="Y729" s="77"/>
      <c r="Z729" s="77" t="s">
        <v>256</v>
      </c>
      <c r="AA729" s="83" t="s">
        <v>2575</v>
      </c>
      <c r="AB729" s="104" t="str">
        <f>IFERROR(VLOOKUP(Anexo_4[[#This Row],[cuenta]],OP,2,0),"-")</f>
        <v>Materias Primas - RRSS</v>
      </c>
    </row>
    <row r="730" spans="1:28" s="84" customFormat="1" ht="27" customHeight="1" x14ac:dyDescent="0.3">
      <c r="A730" s="75" t="s">
        <v>2453</v>
      </c>
      <c r="B730" s="36" t="str">
        <f t="shared" si="11"/>
        <v>Julio</v>
      </c>
      <c r="C730" s="77" t="s">
        <v>162</v>
      </c>
      <c r="D730" s="77" t="s">
        <v>2577</v>
      </c>
      <c r="E730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730" s="79" t="s">
        <v>391</v>
      </c>
      <c r="G730" s="79" t="s">
        <v>392</v>
      </c>
      <c r="H730" s="140" t="s">
        <v>2578</v>
      </c>
      <c r="I730" s="77" t="s">
        <v>2579</v>
      </c>
      <c r="J730" s="144" t="s">
        <v>2580</v>
      </c>
      <c r="K730" s="77" t="s">
        <v>169</v>
      </c>
      <c r="L730" s="103" t="str">
        <f>VLOOKUP(Anexo_4[[#This Row],[cod_doc]],TIPODOC,2,FALSE)</f>
        <v>FACTURA</v>
      </c>
      <c r="M730" s="77" t="s">
        <v>180</v>
      </c>
      <c r="N730" s="79">
        <v>4670</v>
      </c>
      <c r="O730" s="80">
        <v>55.08</v>
      </c>
      <c r="P730" s="81"/>
      <c r="Q730" s="81">
        <v>9.9143999999999988</v>
      </c>
      <c r="R730" s="80"/>
      <c r="S730" s="80">
        <v>0</v>
      </c>
      <c r="T730" s="82">
        <v>65</v>
      </c>
      <c r="U730" s="77"/>
      <c r="V730" s="75"/>
      <c r="W730" s="77"/>
      <c r="X730" s="77"/>
      <c r="Y730" s="77" t="s">
        <v>2581</v>
      </c>
      <c r="Z730" s="77" t="s">
        <v>710</v>
      </c>
      <c r="AA730" s="83" t="s">
        <v>2578</v>
      </c>
      <c r="AB730" s="104" t="str">
        <f>IFERROR(VLOOKUP(Anexo_4[[#This Row],[cuenta]],OP,2,0),"-")</f>
        <v>Accesorios Vehiculares</v>
      </c>
    </row>
    <row r="731" spans="1:28" s="84" customFormat="1" ht="27" customHeight="1" x14ac:dyDescent="0.3">
      <c r="A731" s="75" t="s">
        <v>1627</v>
      </c>
      <c r="B731" s="36" t="str">
        <f t="shared" si="11"/>
        <v>Julio</v>
      </c>
      <c r="C731" s="77" t="s">
        <v>162</v>
      </c>
      <c r="D731" s="77" t="s">
        <v>2582</v>
      </c>
      <c r="E73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731" s="79" t="s">
        <v>449</v>
      </c>
      <c r="G731" s="79" t="s">
        <v>450</v>
      </c>
      <c r="H731" s="140" t="s">
        <v>2583</v>
      </c>
      <c r="I731" s="77" t="s">
        <v>2584</v>
      </c>
      <c r="J731" s="144" t="s">
        <v>2585</v>
      </c>
      <c r="K731" s="77" t="s">
        <v>169</v>
      </c>
      <c r="L731" s="103" t="str">
        <f>VLOOKUP(Anexo_4[[#This Row],[cod_doc]],TIPODOC,2,FALSE)</f>
        <v>FACTURA</v>
      </c>
      <c r="M731" s="77" t="s">
        <v>2586</v>
      </c>
      <c r="N731" s="79">
        <v>117451</v>
      </c>
      <c r="O731" s="80">
        <v>20.34</v>
      </c>
      <c r="P731" s="81"/>
      <c r="Q731" s="81">
        <v>3.6612</v>
      </c>
      <c r="R731" s="80"/>
      <c r="S731" s="80">
        <v>0</v>
      </c>
      <c r="T731" s="82">
        <v>24</v>
      </c>
      <c r="U731" s="77"/>
      <c r="V731" s="75"/>
      <c r="W731" s="77"/>
      <c r="X731" s="77"/>
      <c r="Y731" s="77" t="s">
        <v>2587</v>
      </c>
      <c r="Z731" s="77" t="s">
        <v>710</v>
      </c>
      <c r="AA731" s="83" t="s">
        <v>2583</v>
      </c>
      <c r="AB731" s="104" t="str">
        <f>IFERROR(VLOOKUP(Anexo_4[[#This Row],[cuenta]],OP,2,0),"-")</f>
        <v>Accesorios Vehiculares</v>
      </c>
    </row>
    <row r="732" spans="1:28" s="84" customFormat="1" ht="27" customHeight="1" x14ac:dyDescent="0.3">
      <c r="A732" s="75" t="s">
        <v>2349</v>
      </c>
      <c r="B732" s="36" t="str">
        <f t="shared" si="11"/>
        <v>Julio</v>
      </c>
      <c r="C732" s="77" t="s">
        <v>162</v>
      </c>
      <c r="D732" s="77" t="s">
        <v>2588</v>
      </c>
      <c r="E732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732" s="79" t="s">
        <v>650</v>
      </c>
      <c r="G732" s="79" t="s">
        <v>651</v>
      </c>
      <c r="H732" s="140" t="s">
        <v>2589</v>
      </c>
      <c r="I732" s="77" t="s">
        <v>653</v>
      </c>
      <c r="J732" s="144" t="s">
        <v>654</v>
      </c>
      <c r="K732" s="77" t="s">
        <v>169</v>
      </c>
      <c r="L732" s="103" t="str">
        <f>VLOOKUP(Anexo_4[[#This Row],[cod_doc]],TIPODOC,2,FALSE)</f>
        <v>FACTURA</v>
      </c>
      <c r="M732" s="77" t="s">
        <v>655</v>
      </c>
      <c r="N732" s="79">
        <v>16179</v>
      </c>
      <c r="O732" s="80">
        <v>219</v>
      </c>
      <c r="P732" s="81"/>
      <c r="Q732" s="81">
        <v>39.42</v>
      </c>
      <c r="R732" s="80"/>
      <c r="S732" s="80">
        <v>0</v>
      </c>
      <c r="T732" s="82">
        <v>258.42</v>
      </c>
      <c r="U732" s="77"/>
      <c r="V732" s="75"/>
      <c r="W732" s="77"/>
      <c r="X732" s="77"/>
      <c r="Y732" s="77"/>
      <c r="Z732" s="77" t="s">
        <v>1602</v>
      </c>
      <c r="AA732" s="83" t="s">
        <v>2589</v>
      </c>
      <c r="AB732" s="104" t="str">
        <f>IFERROR(VLOOKUP(Anexo_4[[#This Row],[cuenta]],OP,2,0),"-")</f>
        <v>Ingreso</v>
      </c>
    </row>
    <row r="733" spans="1:28" s="84" customFormat="1" ht="27" customHeight="1" x14ac:dyDescent="0.3">
      <c r="A733" s="75" t="s">
        <v>2349</v>
      </c>
      <c r="B733" s="36" t="str">
        <f t="shared" si="11"/>
        <v>Julio</v>
      </c>
      <c r="C733" s="77" t="s">
        <v>162</v>
      </c>
      <c r="D733" s="77" t="s">
        <v>2590</v>
      </c>
      <c r="E733" s="78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733" s="79" t="s">
        <v>198</v>
      </c>
      <c r="G733" s="79" t="s">
        <v>199</v>
      </c>
      <c r="H733" s="140" t="s">
        <v>2591</v>
      </c>
      <c r="I733" s="77" t="s">
        <v>2592</v>
      </c>
      <c r="J733" s="144" t="s">
        <v>2593</v>
      </c>
      <c r="K733" s="77" t="s">
        <v>169</v>
      </c>
      <c r="L733" s="103" t="str">
        <f>VLOOKUP(Anexo_4[[#This Row],[cod_doc]],TIPODOC,2,FALSE)</f>
        <v>FACTURA</v>
      </c>
      <c r="M733" s="77" t="s">
        <v>102</v>
      </c>
      <c r="N733" s="79">
        <v>33</v>
      </c>
      <c r="O733" s="80">
        <v>762.71</v>
      </c>
      <c r="P733" s="81"/>
      <c r="Q733" s="81">
        <v>137.2878</v>
      </c>
      <c r="R733" s="80"/>
      <c r="S733" s="80">
        <v>0</v>
      </c>
      <c r="T733" s="82">
        <v>900</v>
      </c>
      <c r="U733" s="77" t="s">
        <v>2594</v>
      </c>
      <c r="V733" s="75" t="s">
        <v>1780</v>
      </c>
      <c r="W733" s="77"/>
      <c r="X733" s="77"/>
      <c r="Y733" s="77"/>
      <c r="Z733" s="77" t="s">
        <v>468</v>
      </c>
      <c r="AA733" s="83" t="s">
        <v>2591</v>
      </c>
      <c r="AB733" s="104" t="str">
        <f>IFERROR(VLOOKUP(Anexo_4[[#This Row],[cuenta]],OP,2,0),"-")</f>
        <v>Transporte de Carga  - Ventas</v>
      </c>
    </row>
    <row r="734" spans="1:28" s="84" customFormat="1" ht="27" customHeight="1" x14ac:dyDescent="0.3">
      <c r="A734" s="75" t="s">
        <v>2552</v>
      </c>
      <c r="B734" s="36" t="str">
        <f t="shared" si="11"/>
        <v>Julio</v>
      </c>
      <c r="C734" s="77" t="s">
        <v>162</v>
      </c>
      <c r="D734" s="77" t="s">
        <v>2595</v>
      </c>
      <c r="E734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734" s="79" t="s">
        <v>391</v>
      </c>
      <c r="G734" s="79" t="s">
        <v>392</v>
      </c>
      <c r="H734" s="140" t="s">
        <v>139</v>
      </c>
      <c r="I734" s="77" t="s">
        <v>2167</v>
      </c>
      <c r="J734" s="144" t="s">
        <v>2168</v>
      </c>
      <c r="K734" s="77" t="s">
        <v>169</v>
      </c>
      <c r="L734" s="103" t="str">
        <f>VLOOKUP(Anexo_4[[#This Row],[cod_doc]],TIPODOC,2,FALSE)</f>
        <v>FACTURA</v>
      </c>
      <c r="M734" s="77" t="s">
        <v>222</v>
      </c>
      <c r="N734" s="79">
        <v>17084</v>
      </c>
      <c r="O734" s="80">
        <v>889.83</v>
      </c>
      <c r="P734" s="81"/>
      <c r="Q734" s="81">
        <v>160.1694</v>
      </c>
      <c r="R734" s="80"/>
      <c r="S734" s="80">
        <v>0</v>
      </c>
      <c r="T734" s="82">
        <v>1050</v>
      </c>
      <c r="U734" s="77"/>
      <c r="V734" s="75"/>
      <c r="W734" s="77"/>
      <c r="X734" s="77"/>
      <c r="Y734" s="77"/>
      <c r="Z734" s="77" t="s">
        <v>710</v>
      </c>
      <c r="AA734" s="83" t="s">
        <v>139</v>
      </c>
      <c r="AB734" s="104" t="str">
        <f>IFERROR(VLOOKUP(Anexo_4[[#This Row],[cuenta]],OP,2,0),"-")</f>
        <v>Accesorios Vehiculares</v>
      </c>
    </row>
    <row r="735" spans="1:28" s="84" customFormat="1" ht="27" customHeight="1" x14ac:dyDescent="0.3">
      <c r="A735" s="75" t="s">
        <v>2017</v>
      </c>
      <c r="B735" s="36" t="str">
        <f t="shared" si="11"/>
        <v>Julio</v>
      </c>
      <c r="C735" s="77" t="s">
        <v>162</v>
      </c>
      <c r="D735" s="77" t="s">
        <v>2596</v>
      </c>
      <c r="E73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735" s="79" t="s">
        <v>355</v>
      </c>
      <c r="G735" s="79" t="s">
        <v>356</v>
      </c>
      <c r="H735" s="140" t="s">
        <v>2597</v>
      </c>
      <c r="I735" s="77" t="s">
        <v>2598</v>
      </c>
      <c r="J735" s="144" t="s">
        <v>2599</v>
      </c>
      <c r="K735" s="77" t="s">
        <v>169</v>
      </c>
      <c r="L735" s="103" t="str">
        <f>VLOOKUP(Anexo_4[[#This Row],[cod_doc]],TIPODOC,2,FALSE)</f>
        <v>FACTURA</v>
      </c>
      <c r="M735" s="77" t="s">
        <v>102</v>
      </c>
      <c r="N735" s="79">
        <v>5083</v>
      </c>
      <c r="O735" s="80">
        <v>50</v>
      </c>
      <c r="P735" s="81"/>
      <c r="Q735" s="81">
        <v>9</v>
      </c>
      <c r="R735" s="80"/>
      <c r="S735" s="80">
        <v>0</v>
      </c>
      <c r="T735" s="82">
        <v>59</v>
      </c>
      <c r="U735" s="77"/>
      <c r="V735" s="75"/>
      <c r="W735" s="77"/>
      <c r="X735" s="77"/>
      <c r="Y735" s="77"/>
      <c r="Z735" s="77" t="s">
        <v>645</v>
      </c>
      <c r="AA735" s="83" t="s">
        <v>2597</v>
      </c>
      <c r="AB735" s="104" t="str">
        <f>IFERROR(VLOOKUP(Anexo_4[[#This Row],[cuenta]],OP,2,0),"-")</f>
        <v>Montacarga - Servicios</v>
      </c>
    </row>
    <row r="736" spans="1:28" s="84" customFormat="1" ht="27" customHeight="1" x14ac:dyDescent="0.3">
      <c r="A736" s="75" t="s">
        <v>2017</v>
      </c>
      <c r="B736" s="36" t="str">
        <f t="shared" si="11"/>
        <v>Julio</v>
      </c>
      <c r="C736" s="77" t="s">
        <v>162</v>
      </c>
      <c r="D736" s="77" t="s">
        <v>2600</v>
      </c>
      <c r="E736" s="78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736" s="79" t="s">
        <v>198</v>
      </c>
      <c r="G736" s="79" t="s">
        <v>199</v>
      </c>
      <c r="H736" s="140" t="s">
        <v>2601</v>
      </c>
      <c r="I736" s="77" t="s">
        <v>769</v>
      </c>
      <c r="J736" s="144" t="s">
        <v>770</v>
      </c>
      <c r="K736" s="77" t="s">
        <v>169</v>
      </c>
      <c r="L736" s="103" t="str">
        <f>VLOOKUP(Anexo_4[[#This Row],[cod_doc]],TIPODOC,2,FALSE)</f>
        <v>FACTURA</v>
      </c>
      <c r="M736" s="77" t="s">
        <v>102</v>
      </c>
      <c r="N736" s="79">
        <v>45</v>
      </c>
      <c r="O736" s="80">
        <v>450</v>
      </c>
      <c r="P736" s="81"/>
      <c r="Q736" s="81">
        <v>81</v>
      </c>
      <c r="R736" s="80"/>
      <c r="S736" s="80">
        <v>0</v>
      </c>
      <c r="T736" s="82">
        <v>531</v>
      </c>
      <c r="U736" s="77" t="s">
        <v>2602</v>
      </c>
      <c r="V736" s="75" t="s">
        <v>1780</v>
      </c>
      <c r="W736" s="77"/>
      <c r="X736" s="77"/>
      <c r="Y736" s="77"/>
      <c r="Z736" s="77" t="s">
        <v>468</v>
      </c>
      <c r="AA736" s="83" t="s">
        <v>2601</v>
      </c>
      <c r="AB736" s="104" t="str">
        <f>IFERROR(VLOOKUP(Anexo_4[[#This Row],[cuenta]],OP,2,0),"-")</f>
        <v>Transporte de Carga  - Ventas</v>
      </c>
    </row>
    <row r="737" spans="1:28" s="84" customFormat="1" ht="27" customHeight="1" x14ac:dyDescent="0.3">
      <c r="A737" s="75" t="s">
        <v>2225</v>
      </c>
      <c r="B737" s="36" t="str">
        <f t="shared" si="11"/>
        <v>Julio</v>
      </c>
      <c r="C737" s="77" t="s">
        <v>162</v>
      </c>
      <c r="D737" s="77" t="s">
        <v>2603</v>
      </c>
      <c r="E737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737" s="79" t="s">
        <v>355</v>
      </c>
      <c r="G737" s="79" t="s">
        <v>356</v>
      </c>
      <c r="H737" s="140" t="s">
        <v>2604</v>
      </c>
      <c r="I737" s="77" t="s">
        <v>2605</v>
      </c>
      <c r="J737" s="144" t="s">
        <v>2606</v>
      </c>
      <c r="K737" s="77" t="s">
        <v>169</v>
      </c>
      <c r="L737" s="103" t="str">
        <f>VLOOKUP(Anexo_4[[#This Row],[cod_doc]],TIPODOC,2,FALSE)</f>
        <v>FACTURA</v>
      </c>
      <c r="M737" s="77" t="s">
        <v>102</v>
      </c>
      <c r="N737" s="79">
        <v>812</v>
      </c>
      <c r="O737" s="80">
        <v>932.2</v>
      </c>
      <c r="P737" s="81"/>
      <c r="Q737" s="81">
        <v>167.79599999999999</v>
      </c>
      <c r="R737" s="80"/>
      <c r="S737" s="80">
        <v>0</v>
      </c>
      <c r="T737" s="82">
        <v>1100</v>
      </c>
      <c r="U737" s="77" t="s">
        <v>2607</v>
      </c>
      <c r="V737" s="75" t="s">
        <v>1780</v>
      </c>
      <c r="W737" s="77"/>
      <c r="X737" s="77"/>
      <c r="Y737" s="77"/>
      <c r="Z737" s="77" t="s">
        <v>1235</v>
      </c>
      <c r="AA737" s="83" t="s">
        <v>2604</v>
      </c>
      <c r="AB737" s="104" t="str">
        <f>IFERROR(VLOOKUP(Anexo_4[[#This Row],[cuenta]],OP,2,0),"-")</f>
        <v>Disposición Final de RR.SS - No Aprovechables</v>
      </c>
    </row>
    <row r="738" spans="1:28" s="84" customFormat="1" ht="27" customHeight="1" x14ac:dyDescent="0.3">
      <c r="A738" s="75" t="s">
        <v>1910</v>
      </c>
      <c r="B738" s="36" t="str">
        <f t="shared" si="11"/>
        <v>Julio</v>
      </c>
      <c r="C738" s="77" t="s">
        <v>162</v>
      </c>
      <c r="D738" s="77" t="s">
        <v>2608</v>
      </c>
      <c r="E738" s="78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738" s="79" t="s">
        <v>198</v>
      </c>
      <c r="G738" s="79" t="s">
        <v>199</v>
      </c>
      <c r="H738" s="140" t="s">
        <v>2609</v>
      </c>
      <c r="I738" s="77" t="s">
        <v>769</v>
      </c>
      <c r="J738" s="144" t="s">
        <v>770</v>
      </c>
      <c r="K738" s="77" t="s">
        <v>169</v>
      </c>
      <c r="L738" s="103" t="str">
        <f>VLOOKUP(Anexo_4[[#This Row],[cod_doc]],TIPODOC,2,FALSE)</f>
        <v>FACTURA</v>
      </c>
      <c r="M738" s="77" t="s">
        <v>102</v>
      </c>
      <c r="N738" s="79">
        <v>44</v>
      </c>
      <c r="O738" s="80">
        <v>450</v>
      </c>
      <c r="P738" s="81"/>
      <c r="Q738" s="81">
        <v>81</v>
      </c>
      <c r="R738" s="80"/>
      <c r="S738" s="80">
        <v>0</v>
      </c>
      <c r="T738" s="82">
        <v>531</v>
      </c>
      <c r="U738" s="77" t="s">
        <v>2610</v>
      </c>
      <c r="V738" s="75" t="s">
        <v>1780</v>
      </c>
      <c r="W738" s="77"/>
      <c r="X738" s="77"/>
      <c r="Y738" s="77"/>
      <c r="Z738" s="77" t="s">
        <v>468</v>
      </c>
      <c r="AA738" s="83" t="s">
        <v>2609</v>
      </c>
      <c r="AB738" s="104" t="str">
        <f>IFERROR(VLOOKUP(Anexo_4[[#This Row],[cuenta]],OP,2,0),"-")</f>
        <v>Transporte de Carga  - Ventas</v>
      </c>
    </row>
    <row r="739" spans="1:28" s="84" customFormat="1" ht="27" customHeight="1" x14ac:dyDescent="0.3">
      <c r="A739" s="75" t="s">
        <v>1916</v>
      </c>
      <c r="B739" s="36" t="str">
        <f t="shared" si="11"/>
        <v>Julio</v>
      </c>
      <c r="C739" s="77" t="s">
        <v>162</v>
      </c>
      <c r="D739" s="77" t="s">
        <v>2611</v>
      </c>
      <c r="E739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739" s="79" t="s">
        <v>823</v>
      </c>
      <c r="G739" s="79" t="s">
        <v>824</v>
      </c>
      <c r="H739" s="140" t="s">
        <v>2612</v>
      </c>
      <c r="I739" s="77" t="s">
        <v>2613</v>
      </c>
      <c r="J739" s="144" t="s">
        <v>2614</v>
      </c>
      <c r="K739" s="77" t="s">
        <v>169</v>
      </c>
      <c r="L739" s="103" t="str">
        <f>VLOOKUP(Anexo_4[[#This Row],[cod_doc]],TIPODOC,2,FALSE)</f>
        <v>FACTURA</v>
      </c>
      <c r="M739" s="77" t="s">
        <v>102</v>
      </c>
      <c r="N739" s="79">
        <v>10</v>
      </c>
      <c r="O739" s="80">
        <v>10042.370000000001</v>
      </c>
      <c r="P739" s="81"/>
      <c r="Q739" s="81">
        <v>1807.6266000000001</v>
      </c>
      <c r="R739" s="80"/>
      <c r="S739" s="80">
        <v>0</v>
      </c>
      <c r="T739" s="82">
        <v>11850</v>
      </c>
      <c r="U739" s="77" t="s">
        <v>2615</v>
      </c>
      <c r="V739" s="75" t="s">
        <v>1627</v>
      </c>
      <c r="W739" s="77"/>
      <c r="X739" s="77"/>
      <c r="Y739" s="77"/>
      <c r="Z739" s="77" t="s">
        <v>1756</v>
      </c>
      <c r="AA739" s="83" t="s">
        <v>2612</v>
      </c>
      <c r="AB739" s="104" t="str">
        <f>IFERROR(VLOOKUP(Anexo_4[[#This Row],[cuenta]],OP,2,0),"-")</f>
        <v>-</v>
      </c>
    </row>
    <row r="740" spans="1:28" s="84" customFormat="1" ht="27" customHeight="1" x14ac:dyDescent="0.3">
      <c r="A740" s="75" t="s">
        <v>2248</v>
      </c>
      <c r="B740" s="36" t="str">
        <f t="shared" si="11"/>
        <v>Julio</v>
      </c>
      <c r="C740" s="77" t="s">
        <v>162</v>
      </c>
      <c r="D740" s="77" t="s">
        <v>2616</v>
      </c>
      <c r="E740" s="78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740" s="79" t="s">
        <v>198</v>
      </c>
      <c r="G740" s="79" t="s">
        <v>199</v>
      </c>
      <c r="H740" s="140" t="s">
        <v>192</v>
      </c>
      <c r="I740" s="77" t="s">
        <v>638</v>
      </c>
      <c r="J740" s="144" t="s">
        <v>639</v>
      </c>
      <c r="K740" s="77" t="s">
        <v>169</v>
      </c>
      <c r="L740" s="103" t="str">
        <f>VLOOKUP(Anexo_4[[#This Row],[cod_doc]],TIPODOC,2,FALSE)</f>
        <v>FACTURA</v>
      </c>
      <c r="M740" s="77" t="s">
        <v>995</v>
      </c>
      <c r="N740" s="79">
        <v>5312</v>
      </c>
      <c r="O740" s="80">
        <v>16.95</v>
      </c>
      <c r="P740" s="81"/>
      <c r="Q740" s="81">
        <v>3.0509999999999997</v>
      </c>
      <c r="R740" s="80"/>
      <c r="S740" s="80">
        <v>0</v>
      </c>
      <c r="T740" s="82">
        <v>20</v>
      </c>
      <c r="U740" s="77"/>
      <c r="V740" s="75"/>
      <c r="W740" s="77"/>
      <c r="X740" s="77"/>
      <c r="Y740" s="77"/>
      <c r="Z740" s="77" t="s">
        <v>196</v>
      </c>
      <c r="AA740" s="83" t="s">
        <v>192</v>
      </c>
      <c r="AB740" s="104" t="str">
        <f>IFERROR(VLOOKUP(Anexo_4[[#This Row],[cuenta]],OP,2,0),"-")</f>
        <v>Encomienda (Envío de documentación)</v>
      </c>
    </row>
    <row r="741" spans="1:28" s="84" customFormat="1" ht="27" customHeight="1" x14ac:dyDescent="0.3">
      <c r="A741" s="75" t="s">
        <v>2552</v>
      </c>
      <c r="B741" s="36" t="str">
        <f t="shared" si="11"/>
        <v>Julio</v>
      </c>
      <c r="C741" s="77" t="s">
        <v>162</v>
      </c>
      <c r="D741" s="77" t="s">
        <v>2617</v>
      </c>
      <c r="E741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741" s="79" t="s">
        <v>650</v>
      </c>
      <c r="G741" s="79" t="s">
        <v>651</v>
      </c>
      <c r="H741" s="140" t="s">
        <v>2618</v>
      </c>
      <c r="I741" s="77" t="s">
        <v>653</v>
      </c>
      <c r="J741" s="144" t="s">
        <v>654</v>
      </c>
      <c r="K741" s="77" t="s">
        <v>169</v>
      </c>
      <c r="L741" s="103" t="str">
        <f>VLOOKUP(Anexo_4[[#This Row],[cod_doc]],TIPODOC,2,FALSE)</f>
        <v>FACTURA</v>
      </c>
      <c r="M741" s="77" t="s">
        <v>655</v>
      </c>
      <c r="N741" s="79">
        <v>16194</v>
      </c>
      <c r="O741" s="80">
        <v>438</v>
      </c>
      <c r="P741" s="81"/>
      <c r="Q741" s="81">
        <v>78.84</v>
      </c>
      <c r="R741" s="80"/>
      <c r="S741" s="80">
        <v>0</v>
      </c>
      <c r="T741" s="82">
        <v>516.84</v>
      </c>
      <c r="U741" s="77"/>
      <c r="V741" s="75"/>
      <c r="W741" s="77"/>
      <c r="X741" s="77"/>
      <c r="Y741" s="77"/>
      <c r="Z741" s="77" t="s">
        <v>1602</v>
      </c>
      <c r="AA741" s="83" t="s">
        <v>2618</v>
      </c>
      <c r="AB741" s="104" t="str">
        <f>IFERROR(VLOOKUP(Anexo_4[[#This Row],[cuenta]],OP,2,0),"-")</f>
        <v>Ingreso</v>
      </c>
    </row>
    <row r="742" spans="1:28" s="84" customFormat="1" ht="27" customHeight="1" x14ac:dyDescent="0.3">
      <c r="A742" s="75" t="s">
        <v>1916</v>
      </c>
      <c r="B742" s="36" t="str">
        <f t="shared" si="11"/>
        <v>Julio</v>
      </c>
      <c r="C742" s="77" t="s">
        <v>162</v>
      </c>
      <c r="D742" s="77" t="s">
        <v>2619</v>
      </c>
      <c r="E742" s="78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742" s="79" t="s">
        <v>198</v>
      </c>
      <c r="G742" s="79" t="s">
        <v>199</v>
      </c>
      <c r="H742" s="140" t="s">
        <v>2620</v>
      </c>
      <c r="I742" s="77" t="s">
        <v>643</v>
      </c>
      <c r="J742" s="144" t="s">
        <v>644</v>
      </c>
      <c r="K742" s="77" t="s">
        <v>169</v>
      </c>
      <c r="L742" s="103" t="str">
        <f>VLOOKUP(Anexo_4[[#This Row],[cod_doc]],TIPODOC,2,FALSE)</f>
        <v>FACTURA</v>
      </c>
      <c r="M742" s="77" t="s">
        <v>102</v>
      </c>
      <c r="N742" s="79">
        <v>4016</v>
      </c>
      <c r="O742" s="80">
        <v>297.5</v>
      </c>
      <c r="P742" s="81"/>
      <c r="Q742" s="81">
        <v>53.55</v>
      </c>
      <c r="R742" s="80"/>
      <c r="S742" s="80">
        <v>0</v>
      </c>
      <c r="T742" s="82">
        <v>351.05</v>
      </c>
      <c r="U742" s="77"/>
      <c r="V742" s="75"/>
      <c r="W742" s="77"/>
      <c r="X742" s="77"/>
      <c r="Y742" s="77"/>
      <c r="Z742" s="77" t="s">
        <v>648</v>
      </c>
      <c r="AA742" s="83" t="s">
        <v>2620</v>
      </c>
      <c r="AB742" s="104" t="str">
        <f>IFERROR(VLOOKUP(Anexo_4[[#This Row],[cuenta]],OP,2,0),"-")</f>
        <v>Montacarga - Ventas</v>
      </c>
    </row>
    <row r="743" spans="1:28" s="84" customFormat="1" ht="27" customHeight="1" x14ac:dyDescent="0.3">
      <c r="A743" s="75" t="s">
        <v>2017</v>
      </c>
      <c r="B743" s="36" t="str">
        <f t="shared" si="11"/>
        <v>Julio</v>
      </c>
      <c r="C743" s="77" t="s">
        <v>162</v>
      </c>
      <c r="D743" s="77" t="s">
        <v>2621</v>
      </c>
      <c r="E743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743" s="79" t="s">
        <v>355</v>
      </c>
      <c r="G743" s="79" t="s">
        <v>356</v>
      </c>
      <c r="H743" s="140" t="s">
        <v>2622</v>
      </c>
      <c r="I743" s="77" t="s">
        <v>643</v>
      </c>
      <c r="J743" s="144" t="s">
        <v>644</v>
      </c>
      <c r="K743" s="77" t="s">
        <v>169</v>
      </c>
      <c r="L743" s="103" t="str">
        <f>VLOOKUP(Anexo_4[[#This Row],[cod_doc]],TIPODOC,2,FALSE)</f>
        <v>FACTURA</v>
      </c>
      <c r="M743" s="77" t="s">
        <v>102</v>
      </c>
      <c r="N743" s="79">
        <v>4007</v>
      </c>
      <c r="O743" s="80">
        <v>450.5</v>
      </c>
      <c r="P743" s="81"/>
      <c r="Q743" s="81">
        <v>81.09</v>
      </c>
      <c r="R743" s="80"/>
      <c r="S743" s="80">
        <v>0</v>
      </c>
      <c r="T743" s="82">
        <v>531.59</v>
      </c>
      <c r="U743" s="77"/>
      <c r="V743" s="75"/>
      <c r="W743" s="77"/>
      <c r="X743" s="77"/>
      <c r="Y743" s="77"/>
      <c r="Z743" s="77" t="s">
        <v>645</v>
      </c>
      <c r="AA743" s="83" t="s">
        <v>2622</v>
      </c>
      <c r="AB743" s="104" t="str">
        <f>IFERROR(VLOOKUP(Anexo_4[[#This Row],[cuenta]],OP,2,0),"-")</f>
        <v>Montacarga - Servicios</v>
      </c>
    </row>
    <row r="744" spans="1:28" s="84" customFormat="1" ht="27" customHeight="1" x14ac:dyDescent="0.3">
      <c r="A744" s="75" t="s">
        <v>1910</v>
      </c>
      <c r="B744" s="36" t="str">
        <f t="shared" si="11"/>
        <v>Julio</v>
      </c>
      <c r="C744" s="77" t="s">
        <v>162</v>
      </c>
      <c r="D744" s="77" t="s">
        <v>2623</v>
      </c>
      <c r="E744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744" s="79" t="s">
        <v>592</v>
      </c>
      <c r="G744" s="79" t="s">
        <v>593</v>
      </c>
      <c r="H744" s="140" t="s">
        <v>2624</v>
      </c>
      <c r="I744" s="77" t="s">
        <v>937</v>
      </c>
      <c r="J744" s="144" t="s">
        <v>938</v>
      </c>
      <c r="K744" s="77" t="s">
        <v>169</v>
      </c>
      <c r="L744" s="103" t="str">
        <f>VLOOKUP(Anexo_4[[#This Row],[cod_doc]],TIPODOC,2,FALSE)</f>
        <v>FACTURA</v>
      </c>
      <c r="M744" s="77" t="s">
        <v>939</v>
      </c>
      <c r="N744" s="79">
        <v>8176</v>
      </c>
      <c r="O744" s="80">
        <v>178.81</v>
      </c>
      <c r="P744" s="81"/>
      <c r="Q744" s="81">
        <v>32.1858</v>
      </c>
      <c r="R744" s="80"/>
      <c r="S744" s="80">
        <v>0</v>
      </c>
      <c r="T744" s="82">
        <v>211</v>
      </c>
      <c r="U744" s="77"/>
      <c r="V744" s="75"/>
      <c r="W744" s="77"/>
      <c r="X744" s="77"/>
      <c r="Y744" s="77"/>
      <c r="Z744" s="77" t="s">
        <v>455</v>
      </c>
      <c r="AA744" s="83" t="s">
        <v>2624</v>
      </c>
      <c r="AB744" s="104" t="str">
        <f>IFERROR(VLOOKUP(Anexo_4[[#This Row],[cuenta]],OP,2,0),"-")</f>
        <v>Combustible (Vehiculos)</v>
      </c>
    </row>
    <row r="745" spans="1:28" s="84" customFormat="1" ht="27" customHeight="1" x14ac:dyDescent="0.3">
      <c r="A745" s="75" t="s">
        <v>1910</v>
      </c>
      <c r="B745" s="36" t="str">
        <f t="shared" si="11"/>
        <v>Julio</v>
      </c>
      <c r="C745" s="77" t="s">
        <v>162</v>
      </c>
      <c r="D745" s="77" t="s">
        <v>2625</v>
      </c>
      <c r="E74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745" s="79" t="s">
        <v>592</v>
      </c>
      <c r="G745" s="79" t="s">
        <v>593</v>
      </c>
      <c r="H745" s="140" t="s">
        <v>2624</v>
      </c>
      <c r="I745" s="77" t="s">
        <v>937</v>
      </c>
      <c r="J745" s="144" t="s">
        <v>938</v>
      </c>
      <c r="K745" s="77" t="s">
        <v>169</v>
      </c>
      <c r="L745" s="103" t="str">
        <f>VLOOKUP(Anexo_4[[#This Row],[cod_doc]],TIPODOC,2,FALSE)</f>
        <v>FACTURA</v>
      </c>
      <c r="M745" s="77" t="s">
        <v>942</v>
      </c>
      <c r="N745" s="79">
        <v>10726</v>
      </c>
      <c r="O745" s="80">
        <v>234.75</v>
      </c>
      <c r="P745" s="81"/>
      <c r="Q745" s="81">
        <v>42.254999999999995</v>
      </c>
      <c r="R745" s="80"/>
      <c r="S745" s="80">
        <v>0</v>
      </c>
      <c r="T745" s="82">
        <v>277.01</v>
      </c>
      <c r="U745" s="77"/>
      <c r="V745" s="75"/>
      <c r="W745" s="77"/>
      <c r="X745" s="77"/>
      <c r="Y745" s="77"/>
      <c r="Z745" s="77" t="s">
        <v>455</v>
      </c>
      <c r="AA745" s="83" t="s">
        <v>2624</v>
      </c>
      <c r="AB745" s="104" t="str">
        <f>IFERROR(VLOOKUP(Anexo_4[[#This Row],[cuenta]],OP,2,0),"-")</f>
        <v>Combustible (Vehiculos)</v>
      </c>
    </row>
    <row r="746" spans="1:28" s="84" customFormat="1" ht="27" customHeight="1" x14ac:dyDescent="0.3">
      <c r="A746" s="75" t="s">
        <v>2552</v>
      </c>
      <c r="B746" s="36" t="str">
        <f t="shared" si="11"/>
        <v>Julio</v>
      </c>
      <c r="C746" s="77" t="s">
        <v>162</v>
      </c>
      <c r="D746" s="77" t="s">
        <v>2626</v>
      </c>
      <c r="E74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746" s="79" t="s">
        <v>592</v>
      </c>
      <c r="G746" s="79" t="s">
        <v>593</v>
      </c>
      <c r="H746" s="140" t="s">
        <v>2624</v>
      </c>
      <c r="I746" s="77" t="s">
        <v>937</v>
      </c>
      <c r="J746" s="144" t="s">
        <v>938</v>
      </c>
      <c r="K746" s="77" t="s">
        <v>169</v>
      </c>
      <c r="L746" s="103" t="str">
        <f>VLOOKUP(Anexo_4[[#This Row],[cod_doc]],TIPODOC,2,FALSE)</f>
        <v>FACTURA</v>
      </c>
      <c r="M746" s="77" t="s">
        <v>939</v>
      </c>
      <c r="N746" s="79">
        <v>8336</v>
      </c>
      <c r="O746" s="80">
        <v>183.06</v>
      </c>
      <c r="P746" s="81"/>
      <c r="Q746" s="81">
        <v>32.950800000000001</v>
      </c>
      <c r="R746" s="80"/>
      <c r="S746" s="80">
        <v>0</v>
      </c>
      <c r="T746" s="82">
        <v>216.01</v>
      </c>
      <c r="U746" s="77"/>
      <c r="V746" s="75"/>
      <c r="W746" s="77"/>
      <c r="X746" s="77"/>
      <c r="Y746" s="77"/>
      <c r="Z746" s="77" t="s">
        <v>455</v>
      </c>
      <c r="AA746" s="83" t="s">
        <v>2624</v>
      </c>
      <c r="AB746" s="104" t="str">
        <f>IFERROR(VLOOKUP(Anexo_4[[#This Row],[cuenta]],OP,2,0),"-")</f>
        <v>Combustible (Vehiculos)</v>
      </c>
    </row>
    <row r="747" spans="1:28" s="84" customFormat="1" ht="27" customHeight="1" x14ac:dyDescent="0.3">
      <c r="A747" s="75" t="s">
        <v>2552</v>
      </c>
      <c r="B747" s="36" t="str">
        <f t="shared" si="11"/>
        <v>Julio</v>
      </c>
      <c r="C747" s="77" t="s">
        <v>162</v>
      </c>
      <c r="D747" s="77" t="s">
        <v>2627</v>
      </c>
      <c r="E747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747" s="79" t="s">
        <v>592</v>
      </c>
      <c r="G747" s="79" t="s">
        <v>593</v>
      </c>
      <c r="H747" s="140" t="s">
        <v>2624</v>
      </c>
      <c r="I747" s="77" t="s">
        <v>937</v>
      </c>
      <c r="J747" s="144" t="s">
        <v>938</v>
      </c>
      <c r="K747" s="77" t="s">
        <v>169</v>
      </c>
      <c r="L747" s="103" t="str">
        <f>VLOOKUP(Anexo_4[[#This Row],[cod_doc]],TIPODOC,2,FALSE)</f>
        <v>FACTURA</v>
      </c>
      <c r="M747" s="77" t="s">
        <v>942</v>
      </c>
      <c r="N747" s="79">
        <v>10996</v>
      </c>
      <c r="O747" s="80">
        <v>225.42</v>
      </c>
      <c r="P747" s="81"/>
      <c r="Q747" s="81">
        <v>40.575599999999994</v>
      </c>
      <c r="R747" s="80"/>
      <c r="S747" s="80">
        <v>0</v>
      </c>
      <c r="T747" s="82">
        <v>266</v>
      </c>
      <c r="U747" s="77"/>
      <c r="V747" s="75"/>
      <c r="W747" s="77"/>
      <c r="X747" s="77"/>
      <c r="Y747" s="77"/>
      <c r="Z747" s="77" t="s">
        <v>455</v>
      </c>
      <c r="AA747" s="83" t="s">
        <v>2624</v>
      </c>
      <c r="AB747" s="104" t="str">
        <f>IFERROR(VLOOKUP(Anexo_4[[#This Row],[cuenta]],OP,2,0),"-")</f>
        <v>Combustible (Vehiculos)</v>
      </c>
    </row>
    <row r="748" spans="1:28" s="84" customFormat="1" ht="27" customHeight="1" x14ac:dyDescent="0.3">
      <c r="A748" s="75" t="s">
        <v>2453</v>
      </c>
      <c r="B748" s="36" t="str">
        <f t="shared" si="11"/>
        <v>Julio</v>
      </c>
      <c r="C748" s="77" t="s">
        <v>162</v>
      </c>
      <c r="D748" s="77" t="s">
        <v>2628</v>
      </c>
      <c r="E748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748" s="79" t="s">
        <v>235</v>
      </c>
      <c r="G748" s="79" t="s">
        <v>236</v>
      </c>
      <c r="H748" s="140" t="s">
        <v>2629</v>
      </c>
      <c r="I748" s="77" t="s">
        <v>504</v>
      </c>
      <c r="J748" s="144" t="s">
        <v>505</v>
      </c>
      <c r="K748" s="77" t="s">
        <v>169</v>
      </c>
      <c r="L748" s="103" t="str">
        <f>VLOOKUP(Anexo_4[[#This Row],[cod_doc]],TIPODOC,2,FALSE)</f>
        <v>FACTURA</v>
      </c>
      <c r="M748" s="77" t="s">
        <v>222</v>
      </c>
      <c r="N748" s="79">
        <v>18731</v>
      </c>
      <c r="O748" s="80">
        <v>21.19</v>
      </c>
      <c r="P748" s="81"/>
      <c r="Q748" s="81">
        <v>3.8142</v>
      </c>
      <c r="R748" s="80"/>
      <c r="S748" s="80">
        <v>0</v>
      </c>
      <c r="T748" s="82">
        <v>25</v>
      </c>
      <c r="U748" s="77"/>
      <c r="V748" s="75"/>
      <c r="W748" s="77"/>
      <c r="X748" s="77"/>
      <c r="Y748" s="77" t="s">
        <v>2630</v>
      </c>
      <c r="Z748" s="77" t="s">
        <v>507</v>
      </c>
      <c r="AA748" s="83" t="s">
        <v>2629</v>
      </c>
      <c r="AB748" s="104" t="str">
        <f>IFERROR(VLOOKUP(Anexo_4[[#This Row],[cuenta]],OP,2,0),"-")</f>
        <v>Transporte lavado (Higienización)</v>
      </c>
    </row>
    <row r="749" spans="1:28" s="84" customFormat="1" ht="27" customHeight="1" x14ac:dyDescent="0.3">
      <c r="A749" s="75" t="s">
        <v>2013</v>
      </c>
      <c r="B749" s="36" t="str">
        <f t="shared" si="11"/>
        <v>Julio</v>
      </c>
      <c r="C749" s="77" t="s">
        <v>162</v>
      </c>
      <c r="D749" s="77" t="s">
        <v>2631</v>
      </c>
      <c r="E749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749" s="79" t="s">
        <v>355</v>
      </c>
      <c r="G749" s="79" t="s">
        <v>356</v>
      </c>
      <c r="H749" s="140" t="s">
        <v>2632</v>
      </c>
      <c r="I749" s="77" t="s">
        <v>2633</v>
      </c>
      <c r="J749" s="144" t="s">
        <v>2634</v>
      </c>
      <c r="K749" s="77" t="s">
        <v>239</v>
      </c>
      <c r="L749" s="103" t="str">
        <f>VLOOKUP(Anexo_4[[#This Row],[cod_doc]],TIPODOC,2,FALSE)</f>
        <v>BOLETA DE VENTA</v>
      </c>
      <c r="M749" s="77" t="s">
        <v>162</v>
      </c>
      <c r="N749" s="79">
        <v>26713</v>
      </c>
      <c r="O749" s="80"/>
      <c r="P749" s="81"/>
      <c r="Q749" s="81"/>
      <c r="R749" s="80"/>
      <c r="S749" s="80">
        <v>80</v>
      </c>
      <c r="T749" s="82">
        <v>80</v>
      </c>
      <c r="U749" s="77"/>
      <c r="V749" s="75"/>
      <c r="W749" s="77"/>
      <c r="X749" s="77"/>
      <c r="Y749" s="77" t="s">
        <v>2635</v>
      </c>
      <c r="Z749" s="77" t="s">
        <v>376</v>
      </c>
      <c r="AA749" s="83" t="s">
        <v>2632</v>
      </c>
      <c r="AB749" s="104" t="str">
        <f>IFERROR(VLOOKUP(Anexo_4[[#This Row],[cuenta]],OP,2,0),"-")</f>
        <v>Alojamiento (Operativo)</v>
      </c>
    </row>
    <row r="750" spans="1:28" s="84" customFormat="1" ht="27" customHeight="1" x14ac:dyDescent="0.3">
      <c r="A750" s="75" t="s">
        <v>2349</v>
      </c>
      <c r="B750" s="36" t="str">
        <f t="shared" si="11"/>
        <v>Julio</v>
      </c>
      <c r="C750" s="77" t="s">
        <v>162</v>
      </c>
      <c r="D750" s="77" t="s">
        <v>2636</v>
      </c>
      <c r="E750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750" s="79" t="s">
        <v>418</v>
      </c>
      <c r="G750" s="79" t="s">
        <v>419</v>
      </c>
      <c r="H750" s="140" t="s">
        <v>2637</v>
      </c>
      <c r="I750" s="77" t="s">
        <v>178</v>
      </c>
      <c r="J750" s="144" t="s">
        <v>179</v>
      </c>
      <c r="K750" s="77" t="s">
        <v>169</v>
      </c>
      <c r="L750" s="103" t="str">
        <f>VLOOKUP(Anexo_4[[#This Row],[cod_doc]],TIPODOC,2,FALSE)</f>
        <v>FACTURA</v>
      </c>
      <c r="M750" s="77" t="s">
        <v>180</v>
      </c>
      <c r="N750" s="79">
        <v>134128</v>
      </c>
      <c r="O750" s="80">
        <v>8.4700000000000006</v>
      </c>
      <c r="P750" s="81"/>
      <c r="Q750" s="81">
        <v>1.5246</v>
      </c>
      <c r="R750" s="80"/>
      <c r="S750" s="80">
        <v>0</v>
      </c>
      <c r="T750" s="82">
        <v>10</v>
      </c>
      <c r="U750" s="77"/>
      <c r="V750" s="75"/>
      <c r="W750" s="77"/>
      <c r="X750" s="77"/>
      <c r="Y750" s="77" t="s">
        <v>2638</v>
      </c>
      <c r="Z750" s="77" t="s">
        <v>386</v>
      </c>
      <c r="AA750" s="83" t="s">
        <v>2637</v>
      </c>
      <c r="AB750" s="104" t="str">
        <f>IFERROR(VLOOKUP(Anexo_4[[#This Row],[cuenta]],OP,2,0),"-")</f>
        <v>Balanza - Servicios</v>
      </c>
    </row>
    <row r="751" spans="1:28" s="84" customFormat="1" ht="27" customHeight="1" x14ac:dyDescent="0.3">
      <c r="A751" s="75" t="s">
        <v>2453</v>
      </c>
      <c r="B751" s="36" t="str">
        <f t="shared" si="11"/>
        <v>Julio</v>
      </c>
      <c r="C751" s="77" t="s">
        <v>162</v>
      </c>
      <c r="D751" s="77" t="s">
        <v>2639</v>
      </c>
      <c r="E75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751" s="79" t="s">
        <v>235</v>
      </c>
      <c r="G751" s="79" t="s">
        <v>236</v>
      </c>
      <c r="H751" s="140" t="s">
        <v>2640</v>
      </c>
      <c r="I751" s="77" t="s">
        <v>264</v>
      </c>
      <c r="J751" s="144" t="s">
        <v>265</v>
      </c>
      <c r="K751" s="77" t="s">
        <v>169</v>
      </c>
      <c r="L751" s="103" t="str">
        <f>VLOOKUP(Anexo_4[[#This Row],[cod_doc]],TIPODOC,2,FALSE)</f>
        <v>FACTURA</v>
      </c>
      <c r="M751" s="77" t="s">
        <v>271</v>
      </c>
      <c r="N751" s="79">
        <v>1784393</v>
      </c>
      <c r="O751" s="80">
        <v>6.78</v>
      </c>
      <c r="P751" s="81"/>
      <c r="Q751" s="81">
        <v>1.2203999999999999</v>
      </c>
      <c r="R751" s="80"/>
      <c r="S751" s="80">
        <v>0</v>
      </c>
      <c r="T751" s="82">
        <v>8</v>
      </c>
      <c r="U751" s="77"/>
      <c r="V751" s="75"/>
      <c r="W751" s="77"/>
      <c r="X751" s="77"/>
      <c r="Y751" s="77" t="s">
        <v>2641</v>
      </c>
      <c r="Z751" s="77" t="s">
        <v>302</v>
      </c>
      <c r="AA751" s="83" t="s">
        <v>2640</v>
      </c>
      <c r="AB751" s="104" t="str">
        <f>IFERROR(VLOOKUP(Anexo_4[[#This Row],[cuenta]],OP,2,0),"-")</f>
        <v>Transporte peajes - Servicios</v>
      </c>
    </row>
    <row r="752" spans="1:28" s="84" customFormat="1" ht="27" customHeight="1" x14ac:dyDescent="0.3">
      <c r="A752" s="75" t="s">
        <v>2453</v>
      </c>
      <c r="B752" s="36" t="str">
        <f t="shared" si="11"/>
        <v>Julio</v>
      </c>
      <c r="C752" s="77" t="s">
        <v>162</v>
      </c>
      <c r="D752" s="77" t="s">
        <v>2642</v>
      </c>
      <c r="E75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752" s="79" t="s">
        <v>235</v>
      </c>
      <c r="G752" s="79" t="s">
        <v>236</v>
      </c>
      <c r="H752" s="140" t="s">
        <v>2643</v>
      </c>
      <c r="I752" s="77" t="s">
        <v>264</v>
      </c>
      <c r="J752" s="144" t="s">
        <v>265</v>
      </c>
      <c r="K752" s="77" t="s">
        <v>169</v>
      </c>
      <c r="L752" s="103" t="str">
        <f>VLOOKUP(Anexo_4[[#This Row],[cod_doc]],TIPODOC,2,FALSE)</f>
        <v>FACTURA</v>
      </c>
      <c r="M752" s="77" t="s">
        <v>352</v>
      </c>
      <c r="N752" s="79">
        <v>1804256</v>
      </c>
      <c r="O752" s="80">
        <v>6.78</v>
      </c>
      <c r="P752" s="81"/>
      <c r="Q752" s="81">
        <v>1.2203999999999999</v>
      </c>
      <c r="R752" s="80"/>
      <c r="S752" s="80">
        <v>0</v>
      </c>
      <c r="T752" s="82">
        <v>8</v>
      </c>
      <c r="U752" s="77"/>
      <c r="V752" s="75"/>
      <c r="W752" s="77"/>
      <c r="X752" s="77"/>
      <c r="Y752" s="77" t="s">
        <v>2644</v>
      </c>
      <c r="Z752" s="77" t="s">
        <v>302</v>
      </c>
      <c r="AA752" s="83" t="s">
        <v>2643</v>
      </c>
      <c r="AB752" s="104" t="str">
        <f>IFERROR(VLOOKUP(Anexo_4[[#This Row],[cuenta]],OP,2,0),"-")</f>
        <v>Transporte peajes - Servicios</v>
      </c>
    </row>
    <row r="753" spans="1:28" s="84" customFormat="1" ht="27" customHeight="1" x14ac:dyDescent="0.3">
      <c r="A753" s="75" t="s">
        <v>2349</v>
      </c>
      <c r="B753" s="36" t="str">
        <f t="shared" si="11"/>
        <v>Julio</v>
      </c>
      <c r="C753" s="77" t="s">
        <v>162</v>
      </c>
      <c r="D753" s="77" t="s">
        <v>2645</v>
      </c>
      <c r="E753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753" s="79" t="s">
        <v>235</v>
      </c>
      <c r="G753" s="79" t="s">
        <v>236</v>
      </c>
      <c r="H753" s="140" t="s">
        <v>2646</v>
      </c>
      <c r="I753" s="77" t="s">
        <v>264</v>
      </c>
      <c r="J753" s="144" t="s">
        <v>265</v>
      </c>
      <c r="K753" s="77" t="s">
        <v>169</v>
      </c>
      <c r="L753" s="103" t="str">
        <f>VLOOKUP(Anexo_4[[#This Row],[cod_doc]],TIPODOC,2,FALSE)</f>
        <v>FACTURA</v>
      </c>
      <c r="M753" s="77" t="s">
        <v>379</v>
      </c>
      <c r="N753" s="79">
        <v>2110914</v>
      </c>
      <c r="O753" s="80">
        <v>6.78</v>
      </c>
      <c r="P753" s="81"/>
      <c r="Q753" s="81">
        <v>1.2203999999999999</v>
      </c>
      <c r="R753" s="80"/>
      <c r="S753" s="80">
        <v>0</v>
      </c>
      <c r="T753" s="82">
        <v>8</v>
      </c>
      <c r="U753" s="77"/>
      <c r="V753" s="75"/>
      <c r="W753" s="77"/>
      <c r="X753" s="77"/>
      <c r="Y753" s="77" t="s">
        <v>2647</v>
      </c>
      <c r="Z753" s="77" t="s">
        <v>302</v>
      </c>
      <c r="AA753" s="83" t="s">
        <v>2646</v>
      </c>
      <c r="AB753" s="104" t="str">
        <f>IFERROR(VLOOKUP(Anexo_4[[#This Row],[cuenta]],OP,2,0),"-")</f>
        <v>Transporte peajes - Servicios</v>
      </c>
    </row>
    <row r="754" spans="1:28" s="84" customFormat="1" ht="27" customHeight="1" x14ac:dyDescent="0.3">
      <c r="A754" s="75" t="s">
        <v>2349</v>
      </c>
      <c r="B754" s="36" t="str">
        <f t="shared" si="11"/>
        <v>Julio</v>
      </c>
      <c r="C754" s="77" t="s">
        <v>162</v>
      </c>
      <c r="D754" s="77" t="s">
        <v>2648</v>
      </c>
      <c r="E754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754" s="79" t="s">
        <v>235</v>
      </c>
      <c r="G754" s="79" t="s">
        <v>236</v>
      </c>
      <c r="H754" s="140" t="s">
        <v>2649</v>
      </c>
      <c r="I754" s="77" t="s">
        <v>264</v>
      </c>
      <c r="J754" s="144" t="s">
        <v>265</v>
      </c>
      <c r="K754" s="77" t="s">
        <v>169</v>
      </c>
      <c r="L754" s="103" t="str">
        <f>VLOOKUP(Anexo_4[[#This Row],[cod_doc]],TIPODOC,2,FALSE)</f>
        <v>FACTURA</v>
      </c>
      <c r="M754" s="77" t="s">
        <v>271</v>
      </c>
      <c r="N754" s="79">
        <v>1783194</v>
      </c>
      <c r="O754" s="80">
        <v>6.78</v>
      </c>
      <c r="P754" s="81"/>
      <c r="Q754" s="81">
        <v>1.2203999999999999</v>
      </c>
      <c r="R754" s="80"/>
      <c r="S754" s="80">
        <v>0</v>
      </c>
      <c r="T754" s="82">
        <v>8</v>
      </c>
      <c r="U754" s="77"/>
      <c r="V754" s="75"/>
      <c r="W754" s="77"/>
      <c r="X754" s="77"/>
      <c r="Y754" s="77" t="s">
        <v>2650</v>
      </c>
      <c r="Z754" s="77" t="s">
        <v>302</v>
      </c>
      <c r="AA754" s="83" t="s">
        <v>2649</v>
      </c>
      <c r="AB754" s="104" t="str">
        <f>IFERROR(VLOOKUP(Anexo_4[[#This Row],[cuenta]],OP,2,0),"-")</f>
        <v>Transporte peajes - Servicios</v>
      </c>
    </row>
    <row r="755" spans="1:28" s="84" customFormat="1" ht="27" customHeight="1" x14ac:dyDescent="0.3">
      <c r="A755" s="75" t="s">
        <v>2552</v>
      </c>
      <c r="B755" s="36" t="str">
        <f t="shared" si="11"/>
        <v>Julio</v>
      </c>
      <c r="C755" s="77" t="s">
        <v>162</v>
      </c>
      <c r="D755" s="77" t="s">
        <v>2651</v>
      </c>
      <c r="E75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755" s="79" t="s">
        <v>248</v>
      </c>
      <c r="G755" s="79" t="s">
        <v>249</v>
      </c>
      <c r="H755" s="140" t="s">
        <v>2652</v>
      </c>
      <c r="I755" s="77" t="s">
        <v>1111</v>
      </c>
      <c r="J755" s="144" t="s">
        <v>1112</v>
      </c>
      <c r="K755" s="77" t="s">
        <v>169</v>
      </c>
      <c r="L755" s="103" t="str">
        <f>VLOOKUP(Anexo_4[[#This Row],[cod_doc]],TIPODOC,2,FALSE)</f>
        <v>FACTURA</v>
      </c>
      <c r="M755" s="77" t="s">
        <v>1113</v>
      </c>
      <c r="N755" s="79">
        <v>6949</v>
      </c>
      <c r="O755" s="80">
        <v>769.49</v>
      </c>
      <c r="P755" s="81"/>
      <c r="Q755" s="81">
        <v>138.50819999999999</v>
      </c>
      <c r="R755" s="80"/>
      <c r="S755" s="80">
        <v>0</v>
      </c>
      <c r="T755" s="82">
        <v>908.01</v>
      </c>
      <c r="U755" s="77" t="s">
        <v>2653</v>
      </c>
      <c r="V755" s="75" t="s">
        <v>1780</v>
      </c>
      <c r="W755" s="77"/>
      <c r="X755" s="77"/>
      <c r="Y755" s="77" t="s">
        <v>2654</v>
      </c>
      <c r="Z755" s="77" t="s">
        <v>256</v>
      </c>
      <c r="AA755" s="83" t="s">
        <v>2652</v>
      </c>
      <c r="AB755" s="104" t="str">
        <f>IFERROR(VLOOKUP(Anexo_4[[#This Row],[cuenta]],OP,2,0),"-")</f>
        <v>Materias Primas - RRSS</v>
      </c>
    </row>
    <row r="756" spans="1:28" s="84" customFormat="1" ht="27" customHeight="1" x14ac:dyDescent="0.3">
      <c r="A756" s="75" t="s">
        <v>2349</v>
      </c>
      <c r="B756" s="36" t="str">
        <f t="shared" si="11"/>
        <v>Julio</v>
      </c>
      <c r="C756" s="77" t="s">
        <v>162</v>
      </c>
      <c r="D756" s="77" t="s">
        <v>2655</v>
      </c>
      <c r="E75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756" s="79" t="s">
        <v>355</v>
      </c>
      <c r="G756" s="79" t="s">
        <v>356</v>
      </c>
      <c r="H756" s="140" t="s">
        <v>2656</v>
      </c>
      <c r="I756" s="77" t="s">
        <v>1074</v>
      </c>
      <c r="J756" s="144" t="s">
        <v>1075</v>
      </c>
      <c r="K756" s="77" t="s">
        <v>169</v>
      </c>
      <c r="L756" s="103" t="str">
        <f>VLOOKUP(Anexo_4[[#This Row],[cod_doc]],TIPODOC,2,FALSE)</f>
        <v>FACTURA</v>
      </c>
      <c r="M756" s="77" t="s">
        <v>102</v>
      </c>
      <c r="N756" s="79">
        <v>2378</v>
      </c>
      <c r="O756" s="80">
        <v>60</v>
      </c>
      <c r="P756" s="81"/>
      <c r="Q756" s="81">
        <v>10.799999999999999</v>
      </c>
      <c r="R756" s="80"/>
      <c r="S756" s="80">
        <v>0</v>
      </c>
      <c r="T756" s="82">
        <v>70.8</v>
      </c>
      <c r="U756" s="77"/>
      <c r="V756" s="75"/>
      <c r="W756" s="77"/>
      <c r="X756" s="77"/>
      <c r="Y756" s="77"/>
      <c r="Z756" s="77" t="s">
        <v>645</v>
      </c>
      <c r="AA756" s="83" t="s">
        <v>2656</v>
      </c>
      <c r="AB756" s="104" t="str">
        <f>IFERROR(VLOOKUP(Anexo_4[[#This Row],[cuenta]],OP,2,0),"-")</f>
        <v>Montacarga - Servicios</v>
      </c>
    </row>
    <row r="757" spans="1:28" s="84" customFormat="1" ht="27" customHeight="1" x14ac:dyDescent="0.3">
      <c r="A757" s="75" t="s">
        <v>2349</v>
      </c>
      <c r="B757" s="36" t="str">
        <f t="shared" si="11"/>
        <v>Julio</v>
      </c>
      <c r="C757" s="77" t="s">
        <v>162</v>
      </c>
      <c r="D757" s="77" t="s">
        <v>2657</v>
      </c>
      <c r="E757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757" s="79" t="s">
        <v>355</v>
      </c>
      <c r="G757" s="79" t="s">
        <v>356</v>
      </c>
      <c r="H757" s="140" t="s">
        <v>2658</v>
      </c>
      <c r="I757" s="77" t="s">
        <v>1074</v>
      </c>
      <c r="J757" s="144" t="s">
        <v>1075</v>
      </c>
      <c r="K757" s="77" t="s">
        <v>169</v>
      </c>
      <c r="L757" s="103" t="str">
        <f>VLOOKUP(Anexo_4[[#This Row],[cod_doc]],TIPODOC,2,FALSE)</f>
        <v>FACTURA</v>
      </c>
      <c r="M757" s="77" t="s">
        <v>102</v>
      </c>
      <c r="N757" s="79">
        <v>2379</v>
      </c>
      <c r="O757" s="80">
        <v>60</v>
      </c>
      <c r="P757" s="81"/>
      <c r="Q757" s="81">
        <v>10.799999999999999</v>
      </c>
      <c r="R757" s="80"/>
      <c r="S757" s="80">
        <v>0</v>
      </c>
      <c r="T757" s="82">
        <v>70.8</v>
      </c>
      <c r="U757" s="77"/>
      <c r="V757" s="75"/>
      <c r="W757" s="77"/>
      <c r="X757" s="77"/>
      <c r="Y757" s="77"/>
      <c r="Z757" s="77" t="s">
        <v>645</v>
      </c>
      <c r="AA757" s="83" t="s">
        <v>2658</v>
      </c>
      <c r="AB757" s="104" t="str">
        <f>IFERROR(VLOOKUP(Anexo_4[[#This Row],[cuenta]],OP,2,0),"-")</f>
        <v>Montacarga - Servicios</v>
      </c>
    </row>
    <row r="758" spans="1:28" s="84" customFormat="1" ht="27" customHeight="1" x14ac:dyDescent="0.3">
      <c r="A758" s="75" t="s">
        <v>1627</v>
      </c>
      <c r="B758" s="36" t="str">
        <f t="shared" si="11"/>
        <v>Julio</v>
      </c>
      <c r="C758" s="77" t="s">
        <v>162</v>
      </c>
      <c r="D758" s="77" t="s">
        <v>2659</v>
      </c>
      <c r="E758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758" s="79" t="s">
        <v>355</v>
      </c>
      <c r="G758" s="79" t="s">
        <v>356</v>
      </c>
      <c r="H758" s="140" t="s">
        <v>2660</v>
      </c>
      <c r="I758" s="77" t="s">
        <v>464</v>
      </c>
      <c r="J758" s="144" t="s">
        <v>465</v>
      </c>
      <c r="K758" s="77" t="s">
        <v>169</v>
      </c>
      <c r="L758" s="103" t="str">
        <f>VLOOKUP(Anexo_4[[#This Row],[cod_doc]],TIPODOC,2,FALSE)</f>
        <v>FACTURA</v>
      </c>
      <c r="M758" s="77" t="s">
        <v>102</v>
      </c>
      <c r="N758" s="79">
        <v>12</v>
      </c>
      <c r="O758" s="80">
        <v>400</v>
      </c>
      <c r="P758" s="81"/>
      <c r="Q758" s="81">
        <v>72</v>
      </c>
      <c r="R758" s="80"/>
      <c r="S758" s="80">
        <v>0</v>
      </c>
      <c r="T758" s="82">
        <v>472</v>
      </c>
      <c r="U758" s="77" t="s">
        <v>2661</v>
      </c>
      <c r="V758" s="75" t="s">
        <v>2662</v>
      </c>
      <c r="W758" s="77"/>
      <c r="X758" s="77"/>
      <c r="Y758" s="77"/>
      <c r="Z758" s="77" t="s">
        <v>893</v>
      </c>
      <c r="AA758" s="83" t="s">
        <v>2660</v>
      </c>
      <c r="AB758" s="104" t="str">
        <f>IFERROR(VLOOKUP(Anexo_4[[#This Row],[cuenta]],OP,2,0),"-")</f>
        <v>Transporte de Carga - Servicios</v>
      </c>
    </row>
    <row r="759" spans="1:28" s="84" customFormat="1" ht="27" customHeight="1" x14ac:dyDescent="0.3">
      <c r="A759" s="75" t="s">
        <v>2552</v>
      </c>
      <c r="B759" s="36" t="str">
        <f t="shared" si="11"/>
        <v>Julio</v>
      </c>
      <c r="C759" s="77" t="s">
        <v>162</v>
      </c>
      <c r="D759" s="77" t="s">
        <v>2663</v>
      </c>
      <c r="E759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759" s="79" t="s">
        <v>248</v>
      </c>
      <c r="G759" s="79" t="s">
        <v>249</v>
      </c>
      <c r="H759" s="140" t="s">
        <v>2664</v>
      </c>
      <c r="I759" s="77" t="s">
        <v>625</v>
      </c>
      <c r="J759" s="144" t="s">
        <v>626</v>
      </c>
      <c r="K759" s="77" t="s">
        <v>169</v>
      </c>
      <c r="L759" s="103" t="str">
        <f>VLOOKUP(Anexo_4[[#This Row],[cod_doc]],TIPODOC,2,FALSE)</f>
        <v>FACTURA</v>
      </c>
      <c r="M759" s="77" t="s">
        <v>180</v>
      </c>
      <c r="N759" s="79">
        <v>16470</v>
      </c>
      <c r="O759" s="80">
        <v>134.91</v>
      </c>
      <c r="P759" s="81"/>
      <c r="Q759" s="81">
        <v>24.283799999999999</v>
      </c>
      <c r="R759" s="80"/>
      <c r="S759" s="80">
        <v>0</v>
      </c>
      <c r="T759" s="82">
        <v>159.18</v>
      </c>
      <c r="U759" s="77" t="s">
        <v>2665</v>
      </c>
      <c r="V759" s="75" t="s">
        <v>1786</v>
      </c>
      <c r="W759" s="77"/>
      <c r="X759" s="77"/>
      <c r="Y759" s="77" t="s">
        <v>2666</v>
      </c>
      <c r="Z759" s="77" t="s">
        <v>256</v>
      </c>
      <c r="AA759" s="83" t="s">
        <v>2664</v>
      </c>
      <c r="AB759" s="104" t="str">
        <f>IFERROR(VLOOKUP(Anexo_4[[#This Row],[cuenta]],OP,2,0),"-")</f>
        <v>Materias Primas - RRSS</v>
      </c>
    </row>
    <row r="760" spans="1:28" s="84" customFormat="1" ht="27" customHeight="1" x14ac:dyDescent="0.3">
      <c r="A760" s="75" t="s">
        <v>2349</v>
      </c>
      <c r="B760" s="36" t="str">
        <f t="shared" si="11"/>
        <v>Julio</v>
      </c>
      <c r="C760" s="77" t="s">
        <v>162</v>
      </c>
      <c r="D760" s="77" t="s">
        <v>2667</v>
      </c>
      <c r="E760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760" s="79" t="s">
        <v>248</v>
      </c>
      <c r="G760" s="79" t="s">
        <v>249</v>
      </c>
      <c r="H760" s="140" t="s">
        <v>2668</v>
      </c>
      <c r="I760" s="77" t="s">
        <v>625</v>
      </c>
      <c r="J760" s="144" t="s">
        <v>626</v>
      </c>
      <c r="K760" s="77" t="s">
        <v>169</v>
      </c>
      <c r="L760" s="103" t="str">
        <f>VLOOKUP(Anexo_4[[#This Row],[cod_doc]],TIPODOC,2,FALSE)</f>
        <v>FACTURA</v>
      </c>
      <c r="M760" s="77" t="s">
        <v>180</v>
      </c>
      <c r="N760" s="79">
        <v>16454</v>
      </c>
      <c r="O760" s="80">
        <v>207.01</v>
      </c>
      <c r="P760" s="81"/>
      <c r="Q760" s="81">
        <v>37.261799999999994</v>
      </c>
      <c r="R760" s="80"/>
      <c r="S760" s="80">
        <v>0</v>
      </c>
      <c r="T760" s="82">
        <v>244.29</v>
      </c>
      <c r="U760" s="77" t="s">
        <v>2669</v>
      </c>
      <c r="V760" s="75" t="s">
        <v>1786</v>
      </c>
      <c r="W760" s="77"/>
      <c r="X760" s="77"/>
      <c r="Y760" s="77" t="s">
        <v>2670</v>
      </c>
      <c r="Z760" s="77" t="s">
        <v>256</v>
      </c>
      <c r="AA760" s="83" t="s">
        <v>2668</v>
      </c>
      <c r="AB760" s="104" t="str">
        <f>IFERROR(VLOOKUP(Anexo_4[[#This Row],[cuenta]],OP,2,0),"-")</f>
        <v>Materias Primas - RRSS</v>
      </c>
    </row>
    <row r="761" spans="1:28" s="84" customFormat="1" ht="27" customHeight="1" x14ac:dyDescent="0.3">
      <c r="A761" s="75" t="s">
        <v>1843</v>
      </c>
      <c r="B761" s="36" t="str">
        <f t="shared" si="11"/>
        <v>Julio</v>
      </c>
      <c r="C761" s="77" t="s">
        <v>162</v>
      </c>
      <c r="D761" s="77" t="s">
        <v>2671</v>
      </c>
      <c r="E76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761" s="79" t="s">
        <v>248</v>
      </c>
      <c r="G761" s="79" t="s">
        <v>249</v>
      </c>
      <c r="H761" s="140" t="s">
        <v>2672</v>
      </c>
      <c r="I761" s="77" t="s">
        <v>625</v>
      </c>
      <c r="J761" s="144" t="s">
        <v>626</v>
      </c>
      <c r="K761" s="77" t="s">
        <v>169</v>
      </c>
      <c r="L761" s="103" t="str">
        <f>VLOOKUP(Anexo_4[[#This Row],[cod_doc]],TIPODOC,2,FALSE)</f>
        <v>FACTURA</v>
      </c>
      <c r="M761" s="77" t="s">
        <v>180</v>
      </c>
      <c r="N761" s="79">
        <v>16442</v>
      </c>
      <c r="O761" s="80">
        <v>110.98</v>
      </c>
      <c r="P761" s="81"/>
      <c r="Q761" s="81">
        <v>19.976400000000002</v>
      </c>
      <c r="R761" s="80"/>
      <c r="S761" s="80">
        <v>0</v>
      </c>
      <c r="T761" s="82">
        <v>130.97</v>
      </c>
      <c r="U761" s="77" t="s">
        <v>2673</v>
      </c>
      <c r="V761" s="75" t="s">
        <v>1786</v>
      </c>
      <c r="W761" s="77"/>
      <c r="X761" s="77"/>
      <c r="Y761" s="77" t="s">
        <v>2674</v>
      </c>
      <c r="Z761" s="77" t="s">
        <v>256</v>
      </c>
      <c r="AA761" s="83" t="s">
        <v>2672</v>
      </c>
      <c r="AB761" s="104" t="str">
        <f>IFERROR(VLOOKUP(Anexo_4[[#This Row],[cuenta]],OP,2,0),"-")</f>
        <v>Materias Primas - RRSS</v>
      </c>
    </row>
    <row r="762" spans="1:28" s="84" customFormat="1" ht="27" customHeight="1" x14ac:dyDescent="0.3">
      <c r="A762" s="75" t="s">
        <v>2675</v>
      </c>
      <c r="B762" s="36" t="str">
        <f t="shared" si="11"/>
        <v>Julio</v>
      </c>
      <c r="C762" s="77" t="s">
        <v>162</v>
      </c>
      <c r="D762" s="77" t="s">
        <v>2676</v>
      </c>
      <c r="E76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762" s="79" t="s">
        <v>248</v>
      </c>
      <c r="G762" s="79" t="s">
        <v>249</v>
      </c>
      <c r="H762" s="140" t="s">
        <v>2677</v>
      </c>
      <c r="I762" s="77" t="s">
        <v>980</v>
      </c>
      <c r="J762" s="144" t="s">
        <v>981</v>
      </c>
      <c r="K762" s="77" t="s">
        <v>169</v>
      </c>
      <c r="L762" s="103" t="str">
        <f>VLOOKUP(Anexo_4[[#This Row],[cod_doc]],TIPODOC,2,FALSE)</f>
        <v>FACTURA</v>
      </c>
      <c r="M762" s="77" t="s">
        <v>180</v>
      </c>
      <c r="N762" s="79">
        <v>630</v>
      </c>
      <c r="O762" s="80">
        <v>233.56</v>
      </c>
      <c r="P762" s="81"/>
      <c r="Q762" s="81">
        <v>42.040799999999997</v>
      </c>
      <c r="R762" s="80"/>
      <c r="S762" s="80">
        <v>0</v>
      </c>
      <c r="T762" s="82">
        <v>275.60000000000002</v>
      </c>
      <c r="U762" s="77" t="s">
        <v>2678</v>
      </c>
      <c r="V762" s="75" t="s">
        <v>2662</v>
      </c>
      <c r="W762" s="77"/>
      <c r="X762" s="77"/>
      <c r="Y762" s="77" t="s">
        <v>2679</v>
      </c>
      <c r="Z762" s="77" t="s">
        <v>256</v>
      </c>
      <c r="AA762" s="83" t="s">
        <v>2677</v>
      </c>
      <c r="AB762" s="104" t="str">
        <f>IFERROR(VLOOKUP(Anexo_4[[#This Row],[cuenta]],OP,2,0),"-")</f>
        <v>Materias Primas - RRSS</v>
      </c>
    </row>
    <row r="763" spans="1:28" s="84" customFormat="1" ht="27" customHeight="1" x14ac:dyDescent="0.3">
      <c r="A763" s="75" t="s">
        <v>2680</v>
      </c>
      <c r="B763" s="36" t="str">
        <f t="shared" si="11"/>
        <v>Julio</v>
      </c>
      <c r="C763" s="77" t="s">
        <v>162</v>
      </c>
      <c r="D763" s="77" t="s">
        <v>2681</v>
      </c>
      <c r="E763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763" s="79" t="s">
        <v>217</v>
      </c>
      <c r="G763" s="79" t="s">
        <v>218</v>
      </c>
      <c r="H763" s="140" t="s">
        <v>2682</v>
      </c>
      <c r="I763" s="77" t="s">
        <v>2579</v>
      </c>
      <c r="J763" s="144" t="s">
        <v>2580</v>
      </c>
      <c r="K763" s="77" t="s">
        <v>169</v>
      </c>
      <c r="L763" s="103" t="str">
        <f>VLOOKUP(Anexo_4[[#This Row],[cod_doc]],TIPODOC,2,FALSE)</f>
        <v>FACTURA</v>
      </c>
      <c r="M763" s="77" t="s">
        <v>180</v>
      </c>
      <c r="N763" s="79">
        <v>4686</v>
      </c>
      <c r="O763" s="80">
        <v>254.24</v>
      </c>
      <c r="P763" s="81"/>
      <c r="Q763" s="81">
        <v>45.763199999999998</v>
      </c>
      <c r="R763" s="80"/>
      <c r="S763" s="80">
        <v>0</v>
      </c>
      <c r="T763" s="82">
        <v>300</v>
      </c>
      <c r="U763" s="77"/>
      <c r="V763" s="75"/>
      <c r="W763" s="77"/>
      <c r="X763" s="77"/>
      <c r="Y763" s="77"/>
      <c r="Z763" s="77" t="s">
        <v>241</v>
      </c>
      <c r="AA763" s="83" t="s">
        <v>2682</v>
      </c>
      <c r="AB763" s="104" t="str">
        <f>IFERROR(VLOOKUP(Anexo_4[[#This Row],[cuenta]],OP,2,0),"-")</f>
        <v>Mantenimiento Vehicular (Correctivo)</v>
      </c>
    </row>
    <row r="764" spans="1:28" s="84" customFormat="1" ht="27" customHeight="1" x14ac:dyDescent="0.3">
      <c r="A764" s="75" t="s">
        <v>1780</v>
      </c>
      <c r="B764" s="36" t="str">
        <f t="shared" si="11"/>
        <v>Julio</v>
      </c>
      <c r="C764" s="77" t="s">
        <v>162</v>
      </c>
      <c r="D764" s="77" t="s">
        <v>2683</v>
      </c>
      <c r="E764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764" s="79" t="s">
        <v>1028</v>
      </c>
      <c r="G764" s="79" t="s">
        <v>1029</v>
      </c>
      <c r="H764" s="140" t="s">
        <v>2684</v>
      </c>
      <c r="I764" s="77" t="s">
        <v>1735</v>
      </c>
      <c r="J764" s="144" t="s">
        <v>1736</v>
      </c>
      <c r="K764" s="77" t="s">
        <v>169</v>
      </c>
      <c r="L764" s="103" t="str">
        <f>VLOOKUP(Anexo_4[[#This Row],[cod_doc]],TIPODOC,2,FALSE)</f>
        <v>FACTURA</v>
      </c>
      <c r="M764" s="77" t="s">
        <v>631</v>
      </c>
      <c r="N764" s="79">
        <v>167817</v>
      </c>
      <c r="O764" s="80"/>
      <c r="P764" s="81"/>
      <c r="Q764" s="81"/>
      <c r="R764" s="80"/>
      <c r="S764" s="80">
        <v>180.18</v>
      </c>
      <c r="T764" s="82">
        <v>180.18</v>
      </c>
      <c r="U764" s="77"/>
      <c r="V764" s="75"/>
      <c r="W764" s="77"/>
      <c r="X764" s="77"/>
      <c r="Y764" s="77"/>
      <c r="Z764" s="77" t="s">
        <v>1737</v>
      </c>
      <c r="AA764" s="83" t="s">
        <v>2684</v>
      </c>
      <c r="AB764" s="104" t="str">
        <f>IFERROR(VLOOKUP(Anexo_4[[#This Row],[cuenta]],OP,2,0),"-")</f>
        <v>-</v>
      </c>
    </row>
    <row r="765" spans="1:28" s="84" customFormat="1" ht="27" customHeight="1" x14ac:dyDescent="0.3">
      <c r="A765" s="75" t="s">
        <v>1780</v>
      </c>
      <c r="B765" s="36" t="str">
        <f t="shared" si="11"/>
        <v>Julio</v>
      </c>
      <c r="C765" s="77" t="s">
        <v>162</v>
      </c>
      <c r="D765" s="77" t="s">
        <v>2685</v>
      </c>
      <c r="E76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765" s="79" t="s">
        <v>456</v>
      </c>
      <c r="G765" s="79" t="s">
        <v>457</v>
      </c>
      <c r="H765" s="140" t="s">
        <v>608</v>
      </c>
      <c r="I765" s="77" t="s">
        <v>2130</v>
      </c>
      <c r="J765" s="144" t="s">
        <v>2131</v>
      </c>
      <c r="K765" s="77" t="s">
        <v>169</v>
      </c>
      <c r="L765" s="103" t="str">
        <f>VLOOKUP(Anexo_4[[#This Row],[cod_doc]],TIPODOC,2,FALSE)</f>
        <v>FACTURA</v>
      </c>
      <c r="M765" s="77" t="s">
        <v>102</v>
      </c>
      <c r="N765" s="79">
        <v>61</v>
      </c>
      <c r="O765" s="80">
        <v>29.66</v>
      </c>
      <c r="P765" s="81"/>
      <c r="Q765" s="81">
        <v>5.3388</v>
      </c>
      <c r="R765" s="80"/>
      <c r="S765" s="80">
        <v>0</v>
      </c>
      <c r="T765" s="82">
        <v>35</v>
      </c>
      <c r="U765" s="77"/>
      <c r="V765" s="75"/>
      <c r="W765" s="77"/>
      <c r="X765" s="77"/>
      <c r="Y765" s="77"/>
      <c r="Z765" s="77" t="s">
        <v>507</v>
      </c>
      <c r="AA765" s="83" t="s">
        <v>608</v>
      </c>
      <c r="AB765" s="104" t="str">
        <f>IFERROR(VLOOKUP(Anexo_4[[#This Row],[cuenta]],OP,2,0),"-")</f>
        <v>Transporte lavado (Higienización)</v>
      </c>
    </row>
    <row r="766" spans="1:28" s="84" customFormat="1" ht="27" customHeight="1" x14ac:dyDescent="0.3">
      <c r="A766" s="75" t="s">
        <v>2453</v>
      </c>
      <c r="B766" s="36" t="str">
        <f t="shared" si="11"/>
        <v>Julio</v>
      </c>
      <c r="C766" s="77" t="s">
        <v>162</v>
      </c>
      <c r="D766" s="77" t="s">
        <v>2686</v>
      </c>
      <c r="E76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766" s="79" t="s">
        <v>235</v>
      </c>
      <c r="G766" s="79" t="s">
        <v>236</v>
      </c>
      <c r="H766" s="140" t="s">
        <v>2687</v>
      </c>
      <c r="I766" s="77" t="s">
        <v>600</v>
      </c>
      <c r="J766" s="144" t="s">
        <v>601</v>
      </c>
      <c r="K766" s="77" t="s">
        <v>169</v>
      </c>
      <c r="L766" s="103" t="str">
        <f>VLOOKUP(Anexo_4[[#This Row],[cod_doc]],TIPODOC,2,FALSE)</f>
        <v>FACTURA</v>
      </c>
      <c r="M766" s="77" t="s">
        <v>180</v>
      </c>
      <c r="N766" s="79">
        <v>20256</v>
      </c>
      <c r="O766" s="80">
        <v>343.22</v>
      </c>
      <c r="P766" s="81"/>
      <c r="Q766" s="81">
        <v>61.779600000000002</v>
      </c>
      <c r="R766" s="80"/>
      <c r="S766" s="80">
        <v>0</v>
      </c>
      <c r="T766" s="82">
        <v>405</v>
      </c>
      <c r="U766" s="77"/>
      <c r="V766" s="75"/>
      <c r="W766" s="77"/>
      <c r="X766" s="77"/>
      <c r="Y766" s="77"/>
      <c r="Z766" s="77" t="s">
        <v>223</v>
      </c>
      <c r="AA766" s="83" t="s">
        <v>2687</v>
      </c>
      <c r="AB766" s="104" t="str">
        <f>IFERROR(VLOOKUP(Anexo_4[[#This Row],[cuenta]],OP,2,0),"-")</f>
        <v>Mantenimiento Vehicular (Preventivo)</v>
      </c>
    </row>
    <row r="767" spans="1:28" s="84" customFormat="1" ht="27" customHeight="1" x14ac:dyDescent="0.3">
      <c r="A767" s="75" t="s">
        <v>2564</v>
      </c>
      <c r="B767" s="36" t="str">
        <f t="shared" si="11"/>
        <v>Julio</v>
      </c>
      <c r="C767" s="77" t="s">
        <v>162</v>
      </c>
      <c r="D767" s="77" t="s">
        <v>2688</v>
      </c>
      <c r="E767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767" s="79"/>
      <c r="G767" s="79"/>
      <c r="H767" s="140"/>
      <c r="I767" s="77" t="s">
        <v>258</v>
      </c>
      <c r="J767" s="144" t="s">
        <v>259</v>
      </c>
      <c r="K767" s="77" t="s">
        <v>169</v>
      </c>
      <c r="L767" s="103" t="str">
        <f>VLOOKUP(Anexo_4[[#This Row],[cod_doc]],TIPODOC,2,FALSE)</f>
        <v>FACTURA</v>
      </c>
      <c r="M767" s="77" t="s">
        <v>1050</v>
      </c>
      <c r="N767" s="79" t="s">
        <v>2689</v>
      </c>
      <c r="O767" s="80">
        <v>129.66</v>
      </c>
      <c r="P767" s="81"/>
      <c r="Q767" s="81">
        <v>23.34</v>
      </c>
      <c r="R767" s="80"/>
      <c r="S767" s="80">
        <v>0</v>
      </c>
      <c r="T767" s="82">
        <v>153</v>
      </c>
      <c r="U767" s="77"/>
      <c r="V767" s="75"/>
      <c r="W767" s="77"/>
      <c r="X767" s="77"/>
      <c r="Y767" s="77"/>
      <c r="Z767" s="77"/>
      <c r="AA767" s="83"/>
      <c r="AB767" s="104" t="str">
        <f>IFERROR(VLOOKUP(Anexo_4[[#This Row],[cuenta]],OP,2,0),"-")</f>
        <v>-</v>
      </c>
    </row>
    <row r="768" spans="1:28" s="84" customFormat="1" ht="27" customHeight="1" x14ac:dyDescent="0.3">
      <c r="A768" s="75" t="s">
        <v>1843</v>
      </c>
      <c r="B768" s="36" t="str">
        <f t="shared" si="11"/>
        <v>Julio</v>
      </c>
      <c r="C768" s="77" t="s">
        <v>162</v>
      </c>
      <c r="D768" s="77" t="s">
        <v>2690</v>
      </c>
      <c r="E768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768" s="79" t="s">
        <v>355</v>
      </c>
      <c r="G768" s="79" t="s">
        <v>356</v>
      </c>
      <c r="H768" s="140" t="s">
        <v>2691</v>
      </c>
      <c r="I768" s="77" t="s">
        <v>643</v>
      </c>
      <c r="J768" s="144" t="s">
        <v>644</v>
      </c>
      <c r="K768" s="77" t="s">
        <v>169</v>
      </c>
      <c r="L768" s="103" t="str">
        <f>VLOOKUP(Anexo_4[[#This Row],[cod_doc]],TIPODOC,2,FALSE)</f>
        <v>FACTURA</v>
      </c>
      <c r="M768" s="77" t="s">
        <v>102</v>
      </c>
      <c r="N768" s="79">
        <v>4035</v>
      </c>
      <c r="O768" s="80">
        <v>330</v>
      </c>
      <c r="P768" s="81"/>
      <c r="Q768" s="81">
        <v>59.4</v>
      </c>
      <c r="R768" s="80"/>
      <c r="S768" s="80">
        <v>0</v>
      </c>
      <c r="T768" s="82">
        <v>389.4</v>
      </c>
      <c r="U768" s="77"/>
      <c r="V768" s="75"/>
      <c r="W768" s="77"/>
      <c r="X768" s="77"/>
      <c r="Y768" s="77"/>
      <c r="Z768" s="77" t="s">
        <v>2692</v>
      </c>
      <c r="AA768" s="83" t="s">
        <v>2691</v>
      </c>
      <c r="AB768" s="104" t="str">
        <f>IFERROR(VLOOKUP(Anexo_4[[#This Row],[cuenta]],OP,2,0),"-")</f>
        <v>Maquinaria Pesada - Ventas</v>
      </c>
    </row>
    <row r="769" spans="1:28" s="84" customFormat="1" ht="27" customHeight="1" x14ac:dyDescent="0.3">
      <c r="A769" s="75" t="s">
        <v>2564</v>
      </c>
      <c r="B769" s="36" t="str">
        <f t="shared" si="11"/>
        <v>Julio</v>
      </c>
      <c r="C769" s="77" t="s">
        <v>162</v>
      </c>
      <c r="D769" s="77" t="s">
        <v>2693</v>
      </c>
      <c r="E769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769" s="79" t="s">
        <v>391</v>
      </c>
      <c r="G769" s="79" t="s">
        <v>392</v>
      </c>
      <c r="H769" s="140" t="s">
        <v>2694</v>
      </c>
      <c r="I769" s="77" t="s">
        <v>383</v>
      </c>
      <c r="J769" s="144" t="s">
        <v>384</v>
      </c>
      <c r="K769" s="77" t="s">
        <v>169</v>
      </c>
      <c r="L769" s="103" t="str">
        <f>VLOOKUP(Anexo_4[[#This Row],[cod_doc]],TIPODOC,2,FALSE)</f>
        <v>FACTURA</v>
      </c>
      <c r="M769" s="77" t="s">
        <v>421</v>
      </c>
      <c r="N769" s="79">
        <v>35166</v>
      </c>
      <c r="O769" s="80">
        <v>8.4700000000000006</v>
      </c>
      <c r="P769" s="81"/>
      <c r="Q769" s="81">
        <v>1.5246</v>
      </c>
      <c r="R769" s="80"/>
      <c r="S769" s="80">
        <v>0</v>
      </c>
      <c r="T769" s="82">
        <v>10</v>
      </c>
      <c r="U769" s="77"/>
      <c r="V769" s="75"/>
      <c r="W769" s="77"/>
      <c r="X769" s="77"/>
      <c r="Y769" s="77" t="s">
        <v>2695</v>
      </c>
      <c r="Z769" s="77" t="s">
        <v>182</v>
      </c>
      <c r="AA769" s="83" t="s">
        <v>2694</v>
      </c>
      <c r="AB769" s="104" t="str">
        <f>IFERROR(VLOOKUP(Anexo_4[[#This Row],[cuenta]],OP,2,0),"-")</f>
        <v>Balanza - Ventas</v>
      </c>
    </row>
    <row r="770" spans="1:28" s="84" customFormat="1" ht="27" customHeight="1" x14ac:dyDescent="0.3">
      <c r="A770" s="75" t="s">
        <v>2552</v>
      </c>
      <c r="B770" s="36" t="str">
        <f t="shared" ref="B770:B833" si="12">PROPER(CHOOSE(LEFT(D770,2),"enero","febrero","marzo","abril","mayo","junio","julio","agosto","setiembre","octubre","noviembre","diciembre"))</f>
        <v>Julio</v>
      </c>
      <c r="C770" s="77" t="s">
        <v>162</v>
      </c>
      <c r="D770" s="77" t="s">
        <v>2696</v>
      </c>
      <c r="E770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770" s="79" t="s">
        <v>217</v>
      </c>
      <c r="G770" s="79" t="s">
        <v>218</v>
      </c>
      <c r="H770" s="140" t="s">
        <v>2697</v>
      </c>
      <c r="I770" s="77" t="s">
        <v>383</v>
      </c>
      <c r="J770" s="144" t="s">
        <v>384</v>
      </c>
      <c r="K770" s="77" t="s">
        <v>169</v>
      </c>
      <c r="L770" s="103" t="str">
        <f>VLOOKUP(Anexo_4[[#This Row],[cod_doc]],TIPODOC,2,FALSE)</f>
        <v>FACTURA</v>
      </c>
      <c r="M770" s="77" t="s">
        <v>103</v>
      </c>
      <c r="N770" s="79">
        <v>16998</v>
      </c>
      <c r="O770" s="80">
        <v>16.95</v>
      </c>
      <c r="P770" s="81"/>
      <c r="Q770" s="81">
        <v>3.0509999999999997</v>
      </c>
      <c r="R770" s="80"/>
      <c r="S770" s="80">
        <v>0</v>
      </c>
      <c r="T770" s="82">
        <v>20</v>
      </c>
      <c r="U770" s="77"/>
      <c r="V770" s="75"/>
      <c r="W770" s="77"/>
      <c r="X770" s="77"/>
      <c r="Y770" s="77" t="s">
        <v>2698</v>
      </c>
      <c r="Z770" s="77" t="s">
        <v>182</v>
      </c>
      <c r="AA770" s="83" t="s">
        <v>2697</v>
      </c>
      <c r="AB770" s="104" t="str">
        <f>IFERROR(VLOOKUP(Anexo_4[[#This Row],[cuenta]],OP,2,0),"-")</f>
        <v>Balanza - Ventas</v>
      </c>
    </row>
    <row r="771" spans="1:28" s="84" customFormat="1" ht="27" customHeight="1" x14ac:dyDescent="0.3">
      <c r="A771" s="75" t="s">
        <v>2552</v>
      </c>
      <c r="B771" s="36" t="str">
        <f t="shared" si="12"/>
        <v>Julio</v>
      </c>
      <c r="C771" s="77" t="s">
        <v>162</v>
      </c>
      <c r="D771" s="77" t="s">
        <v>2699</v>
      </c>
      <c r="E77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771" s="79" t="s">
        <v>418</v>
      </c>
      <c r="G771" s="79" t="s">
        <v>419</v>
      </c>
      <c r="H771" s="140" t="s">
        <v>2700</v>
      </c>
      <c r="I771" s="77" t="s">
        <v>264</v>
      </c>
      <c r="J771" s="144" t="s">
        <v>265</v>
      </c>
      <c r="K771" s="77" t="s">
        <v>169</v>
      </c>
      <c r="L771" s="103" t="str">
        <f>VLOOKUP(Anexo_4[[#This Row],[cod_doc]],TIPODOC,2,FALSE)</f>
        <v>FACTURA</v>
      </c>
      <c r="M771" s="77" t="s">
        <v>271</v>
      </c>
      <c r="N771" s="79">
        <v>1785575</v>
      </c>
      <c r="O771" s="80">
        <v>6.78</v>
      </c>
      <c r="P771" s="81"/>
      <c r="Q771" s="81">
        <v>1.2203999999999999</v>
      </c>
      <c r="R771" s="80"/>
      <c r="S771" s="80">
        <v>0</v>
      </c>
      <c r="T771" s="82">
        <v>8</v>
      </c>
      <c r="U771" s="77"/>
      <c r="V771" s="75"/>
      <c r="W771" s="77"/>
      <c r="X771" s="77"/>
      <c r="Y771" s="77" t="s">
        <v>2701</v>
      </c>
      <c r="Z771" s="77" t="s">
        <v>302</v>
      </c>
      <c r="AA771" s="83" t="s">
        <v>2700</v>
      </c>
      <c r="AB771" s="104" t="str">
        <f>IFERROR(VLOOKUP(Anexo_4[[#This Row],[cuenta]],OP,2,0),"-")</f>
        <v>Transporte peajes - Servicios</v>
      </c>
    </row>
    <row r="772" spans="1:28" s="84" customFormat="1" ht="27" customHeight="1" x14ac:dyDescent="0.3">
      <c r="A772" s="75" t="s">
        <v>2552</v>
      </c>
      <c r="B772" s="36" t="str">
        <f t="shared" si="12"/>
        <v>Julio</v>
      </c>
      <c r="C772" s="77" t="s">
        <v>162</v>
      </c>
      <c r="D772" s="77" t="s">
        <v>2702</v>
      </c>
      <c r="E77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772" s="79" t="s">
        <v>217</v>
      </c>
      <c r="G772" s="79" t="s">
        <v>218</v>
      </c>
      <c r="H772" s="140" t="s">
        <v>2703</v>
      </c>
      <c r="I772" s="77" t="s">
        <v>264</v>
      </c>
      <c r="J772" s="144" t="s">
        <v>265</v>
      </c>
      <c r="K772" s="77" t="s">
        <v>169</v>
      </c>
      <c r="L772" s="103" t="str">
        <f>VLOOKUP(Anexo_4[[#This Row],[cod_doc]],TIPODOC,2,FALSE)</f>
        <v>FACTURA</v>
      </c>
      <c r="M772" s="77" t="s">
        <v>379</v>
      </c>
      <c r="N772" s="79">
        <v>2112983</v>
      </c>
      <c r="O772" s="80">
        <v>6.78</v>
      </c>
      <c r="P772" s="81"/>
      <c r="Q772" s="81">
        <v>1.2203999999999999</v>
      </c>
      <c r="R772" s="80"/>
      <c r="S772" s="80">
        <v>0</v>
      </c>
      <c r="T772" s="82">
        <v>8</v>
      </c>
      <c r="U772" s="77"/>
      <c r="V772" s="75"/>
      <c r="W772" s="77"/>
      <c r="X772" s="77"/>
      <c r="Y772" s="77" t="s">
        <v>2704</v>
      </c>
      <c r="Z772" s="77" t="s">
        <v>302</v>
      </c>
      <c r="AA772" s="83" t="s">
        <v>2703</v>
      </c>
      <c r="AB772" s="104" t="str">
        <f>IFERROR(VLOOKUP(Anexo_4[[#This Row],[cuenta]],OP,2,0),"-")</f>
        <v>Transporte peajes - Servicios</v>
      </c>
    </row>
    <row r="773" spans="1:28" s="84" customFormat="1" ht="27" customHeight="1" x14ac:dyDescent="0.3">
      <c r="A773" s="75" t="s">
        <v>1780</v>
      </c>
      <c r="B773" s="36" t="str">
        <f t="shared" si="12"/>
        <v>Julio</v>
      </c>
      <c r="C773" s="77" t="s">
        <v>162</v>
      </c>
      <c r="D773" s="77" t="s">
        <v>2705</v>
      </c>
      <c r="E773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773" s="79" t="s">
        <v>235</v>
      </c>
      <c r="G773" s="79" t="s">
        <v>236</v>
      </c>
      <c r="H773" s="140" t="s">
        <v>2706</v>
      </c>
      <c r="I773" s="77" t="s">
        <v>383</v>
      </c>
      <c r="J773" s="144" t="s">
        <v>384</v>
      </c>
      <c r="K773" s="77" t="s">
        <v>169</v>
      </c>
      <c r="L773" s="103" t="str">
        <f>VLOOKUP(Anexo_4[[#This Row],[cod_doc]],TIPODOC,2,FALSE)</f>
        <v>FACTURA</v>
      </c>
      <c r="M773" s="77" t="s">
        <v>103</v>
      </c>
      <c r="N773" s="79">
        <v>17025</v>
      </c>
      <c r="O773" s="80">
        <v>16.95</v>
      </c>
      <c r="P773" s="81"/>
      <c r="Q773" s="81">
        <v>3.0509999999999997</v>
      </c>
      <c r="R773" s="80"/>
      <c r="S773" s="80">
        <v>0</v>
      </c>
      <c r="T773" s="82">
        <v>20</v>
      </c>
      <c r="U773" s="77"/>
      <c r="V773" s="75"/>
      <c r="W773" s="77"/>
      <c r="X773" s="77"/>
      <c r="Y773" s="77" t="s">
        <v>2707</v>
      </c>
      <c r="Z773" s="77" t="s">
        <v>386</v>
      </c>
      <c r="AA773" s="83" t="s">
        <v>2706</v>
      </c>
      <c r="AB773" s="104" t="str">
        <f>IFERROR(VLOOKUP(Anexo_4[[#This Row],[cuenta]],OP,2,0),"-")</f>
        <v>Balanza - Servicios</v>
      </c>
    </row>
    <row r="774" spans="1:28" s="84" customFormat="1" ht="27" customHeight="1" x14ac:dyDescent="0.3">
      <c r="A774" s="75" t="s">
        <v>2564</v>
      </c>
      <c r="B774" s="36" t="str">
        <f t="shared" si="12"/>
        <v>Julio</v>
      </c>
      <c r="C774" s="77" t="s">
        <v>162</v>
      </c>
      <c r="D774" s="77" t="s">
        <v>2708</v>
      </c>
      <c r="E774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774" s="79" t="s">
        <v>235</v>
      </c>
      <c r="G774" s="79" t="s">
        <v>236</v>
      </c>
      <c r="H774" s="140" t="s">
        <v>2709</v>
      </c>
      <c r="I774" s="77" t="s">
        <v>383</v>
      </c>
      <c r="J774" s="144" t="s">
        <v>384</v>
      </c>
      <c r="K774" s="77" t="s">
        <v>169</v>
      </c>
      <c r="L774" s="103" t="str">
        <f>VLOOKUP(Anexo_4[[#This Row],[cod_doc]],TIPODOC,2,FALSE)</f>
        <v>FACTURA</v>
      </c>
      <c r="M774" s="77" t="s">
        <v>103</v>
      </c>
      <c r="N774" s="79">
        <v>17012</v>
      </c>
      <c r="O774" s="80">
        <v>16.95</v>
      </c>
      <c r="P774" s="81"/>
      <c r="Q774" s="81">
        <v>3.0509999999999997</v>
      </c>
      <c r="R774" s="80"/>
      <c r="S774" s="80">
        <v>0</v>
      </c>
      <c r="T774" s="82">
        <v>20</v>
      </c>
      <c r="U774" s="77"/>
      <c r="V774" s="75"/>
      <c r="W774" s="77"/>
      <c r="X774" s="77"/>
      <c r="Y774" s="77" t="s">
        <v>2710</v>
      </c>
      <c r="Z774" s="77" t="s">
        <v>386</v>
      </c>
      <c r="AA774" s="83" t="s">
        <v>2709</v>
      </c>
      <c r="AB774" s="104" t="str">
        <f>IFERROR(VLOOKUP(Anexo_4[[#This Row],[cuenta]],OP,2,0),"-")</f>
        <v>Balanza - Servicios</v>
      </c>
    </row>
    <row r="775" spans="1:28" s="84" customFormat="1" ht="27" customHeight="1" x14ac:dyDescent="0.3">
      <c r="A775" s="75" t="s">
        <v>2564</v>
      </c>
      <c r="B775" s="36" t="str">
        <f t="shared" si="12"/>
        <v>Julio</v>
      </c>
      <c r="C775" s="77" t="s">
        <v>162</v>
      </c>
      <c r="D775" s="77" t="s">
        <v>2711</v>
      </c>
      <c r="E77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775" s="79" t="s">
        <v>235</v>
      </c>
      <c r="G775" s="79" t="s">
        <v>236</v>
      </c>
      <c r="H775" s="140" t="s">
        <v>2712</v>
      </c>
      <c r="I775" s="77" t="s">
        <v>264</v>
      </c>
      <c r="J775" s="144" t="s">
        <v>265</v>
      </c>
      <c r="K775" s="77" t="s">
        <v>169</v>
      </c>
      <c r="L775" s="103" t="str">
        <f>VLOOKUP(Anexo_4[[#This Row],[cod_doc]],TIPODOC,2,FALSE)</f>
        <v>FACTURA</v>
      </c>
      <c r="M775" s="77" t="s">
        <v>352</v>
      </c>
      <c r="N775" s="79">
        <v>1806426</v>
      </c>
      <c r="O775" s="80">
        <v>6.78</v>
      </c>
      <c r="P775" s="81"/>
      <c r="Q775" s="81">
        <v>1.2203999999999999</v>
      </c>
      <c r="R775" s="80"/>
      <c r="S775" s="80">
        <v>0</v>
      </c>
      <c r="T775" s="82">
        <v>8</v>
      </c>
      <c r="U775" s="77"/>
      <c r="V775" s="75"/>
      <c r="W775" s="77"/>
      <c r="X775" s="77"/>
      <c r="Y775" s="77" t="s">
        <v>2713</v>
      </c>
      <c r="Z775" s="77" t="s">
        <v>302</v>
      </c>
      <c r="AA775" s="83" t="s">
        <v>2712</v>
      </c>
      <c r="AB775" s="104" t="str">
        <f>IFERROR(VLOOKUP(Anexo_4[[#This Row],[cuenta]],OP,2,0),"-")</f>
        <v>Transporte peajes - Servicios</v>
      </c>
    </row>
    <row r="776" spans="1:28" s="84" customFormat="1" ht="27" customHeight="1" x14ac:dyDescent="0.3">
      <c r="A776" s="75" t="s">
        <v>2564</v>
      </c>
      <c r="B776" s="36" t="str">
        <f t="shared" si="12"/>
        <v>Julio</v>
      </c>
      <c r="C776" s="77" t="s">
        <v>162</v>
      </c>
      <c r="D776" s="77" t="s">
        <v>2714</v>
      </c>
      <c r="E77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776" s="79" t="s">
        <v>235</v>
      </c>
      <c r="G776" s="79" t="s">
        <v>236</v>
      </c>
      <c r="H776" s="140" t="s">
        <v>2715</v>
      </c>
      <c r="I776" s="77" t="s">
        <v>264</v>
      </c>
      <c r="J776" s="144" t="s">
        <v>265</v>
      </c>
      <c r="K776" s="77" t="s">
        <v>169</v>
      </c>
      <c r="L776" s="103" t="str">
        <f>VLOOKUP(Anexo_4[[#This Row],[cod_doc]],TIPODOC,2,FALSE)</f>
        <v>FACTURA</v>
      </c>
      <c r="M776" s="77" t="s">
        <v>271</v>
      </c>
      <c r="N776" s="79">
        <v>1786516</v>
      </c>
      <c r="O776" s="80">
        <v>6.78</v>
      </c>
      <c r="P776" s="81"/>
      <c r="Q776" s="81">
        <v>1.2203999999999999</v>
      </c>
      <c r="R776" s="80"/>
      <c r="S776" s="80">
        <v>0</v>
      </c>
      <c r="T776" s="82">
        <v>8</v>
      </c>
      <c r="U776" s="77"/>
      <c r="V776" s="75"/>
      <c r="W776" s="77"/>
      <c r="X776" s="77"/>
      <c r="Y776" s="77" t="s">
        <v>2716</v>
      </c>
      <c r="Z776" s="77" t="s">
        <v>302</v>
      </c>
      <c r="AA776" s="83" t="s">
        <v>2715</v>
      </c>
      <c r="AB776" s="104" t="str">
        <f>IFERROR(VLOOKUP(Anexo_4[[#This Row],[cuenta]],OP,2,0),"-")</f>
        <v>Transporte peajes - Servicios</v>
      </c>
    </row>
    <row r="777" spans="1:28" s="84" customFormat="1" ht="27" customHeight="1" x14ac:dyDescent="0.3">
      <c r="A777" s="75" t="s">
        <v>1780</v>
      </c>
      <c r="B777" s="36" t="str">
        <f t="shared" si="12"/>
        <v>Julio</v>
      </c>
      <c r="C777" s="77" t="s">
        <v>162</v>
      </c>
      <c r="D777" s="77" t="s">
        <v>2717</v>
      </c>
      <c r="E777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777" s="79" t="s">
        <v>235</v>
      </c>
      <c r="G777" s="79" t="s">
        <v>236</v>
      </c>
      <c r="H777" s="140" t="s">
        <v>2718</v>
      </c>
      <c r="I777" s="77" t="s">
        <v>264</v>
      </c>
      <c r="J777" s="144" t="s">
        <v>265</v>
      </c>
      <c r="K777" s="77" t="s">
        <v>169</v>
      </c>
      <c r="L777" s="103" t="str">
        <f>VLOOKUP(Anexo_4[[#This Row],[cod_doc]],TIPODOC,2,FALSE)</f>
        <v>FACTURA</v>
      </c>
      <c r="M777" s="77" t="s">
        <v>379</v>
      </c>
      <c r="N777" s="79">
        <v>2115343</v>
      </c>
      <c r="O777" s="80">
        <v>6.78</v>
      </c>
      <c r="P777" s="81"/>
      <c r="Q777" s="81">
        <v>1.2203999999999999</v>
      </c>
      <c r="R777" s="80"/>
      <c r="S777" s="80">
        <v>0</v>
      </c>
      <c r="T777" s="82">
        <v>8</v>
      </c>
      <c r="U777" s="77"/>
      <c r="V777" s="75"/>
      <c r="W777" s="77"/>
      <c r="X777" s="77"/>
      <c r="Y777" s="77" t="s">
        <v>2719</v>
      </c>
      <c r="Z777" s="77" t="s">
        <v>302</v>
      </c>
      <c r="AA777" s="83" t="s">
        <v>2718</v>
      </c>
      <c r="AB777" s="104" t="str">
        <f>IFERROR(VLOOKUP(Anexo_4[[#This Row],[cuenta]],OP,2,0),"-")</f>
        <v>Transporte peajes - Servicios</v>
      </c>
    </row>
    <row r="778" spans="1:28" s="84" customFormat="1" ht="27" customHeight="1" x14ac:dyDescent="0.3">
      <c r="A778" s="75" t="s">
        <v>1780</v>
      </c>
      <c r="B778" s="36" t="str">
        <f t="shared" si="12"/>
        <v>Julio</v>
      </c>
      <c r="C778" s="77" t="s">
        <v>162</v>
      </c>
      <c r="D778" s="77" t="s">
        <v>2720</v>
      </c>
      <c r="E778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778" s="79" t="s">
        <v>235</v>
      </c>
      <c r="G778" s="79" t="s">
        <v>236</v>
      </c>
      <c r="H778" s="140" t="s">
        <v>2721</v>
      </c>
      <c r="I778" s="77" t="s">
        <v>264</v>
      </c>
      <c r="J778" s="144" t="s">
        <v>265</v>
      </c>
      <c r="K778" s="77" t="s">
        <v>169</v>
      </c>
      <c r="L778" s="103" t="str">
        <f>VLOOKUP(Anexo_4[[#This Row],[cod_doc]],TIPODOC,2,FALSE)</f>
        <v>FACTURA</v>
      </c>
      <c r="M778" s="77" t="s">
        <v>271</v>
      </c>
      <c r="N778" s="79">
        <v>1787357</v>
      </c>
      <c r="O778" s="80">
        <v>6.78</v>
      </c>
      <c r="P778" s="81"/>
      <c r="Q778" s="81">
        <v>1.2203999999999999</v>
      </c>
      <c r="R778" s="80"/>
      <c r="S778" s="80">
        <v>0</v>
      </c>
      <c r="T778" s="82">
        <v>8</v>
      </c>
      <c r="U778" s="77"/>
      <c r="V778" s="75"/>
      <c r="W778" s="77"/>
      <c r="X778" s="77"/>
      <c r="Y778" s="77" t="s">
        <v>2722</v>
      </c>
      <c r="Z778" s="77" t="s">
        <v>302</v>
      </c>
      <c r="AA778" s="83" t="s">
        <v>2721</v>
      </c>
      <c r="AB778" s="104" t="str">
        <f>IFERROR(VLOOKUP(Anexo_4[[#This Row],[cuenta]],OP,2,0),"-")</f>
        <v>Transporte peajes - Servicios</v>
      </c>
    </row>
    <row r="779" spans="1:28" s="84" customFormat="1" ht="27" customHeight="1" x14ac:dyDescent="0.3">
      <c r="A779" s="75" t="s">
        <v>1780</v>
      </c>
      <c r="B779" s="36" t="str">
        <f t="shared" si="12"/>
        <v>Julio</v>
      </c>
      <c r="C779" s="77" t="s">
        <v>162</v>
      </c>
      <c r="D779" s="77" t="s">
        <v>2723</v>
      </c>
      <c r="E779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779" s="79" t="s">
        <v>235</v>
      </c>
      <c r="G779" s="79" t="s">
        <v>236</v>
      </c>
      <c r="H779" s="140" t="s">
        <v>2724</v>
      </c>
      <c r="I779" s="77" t="s">
        <v>178</v>
      </c>
      <c r="J779" s="144" t="s">
        <v>179</v>
      </c>
      <c r="K779" s="77" t="s">
        <v>169</v>
      </c>
      <c r="L779" s="103" t="str">
        <f>VLOOKUP(Anexo_4[[#This Row],[cod_doc]],TIPODOC,2,FALSE)</f>
        <v>FACTURA</v>
      </c>
      <c r="M779" s="77" t="s">
        <v>180</v>
      </c>
      <c r="N779" s="79">
        <v>134324</v>
      </c>
      <c r="O779" s="80">
        <v>8.4700000000000006</v>
      </c>
      <c r="P779" s="81"/>
      <c r="Q779" s="81">
        <v>1.5246</v>
      </c>
      <c r="R779" s="80"/>
      <c r="S779" s="80">
        <v>0</v>
      </c>
      <c r="T779" s="82">
        <v>10</v>
      </c>
      <c r="U779" s="77"/>
      <c r="V779" s="75"/>
      <c r="W779" s="77"/>
      <c r="X779" s="77"/>
      <c r="Y779" s="77" t="s">
        <v>2725</v>
      </c>
      <c r="Z779" s="77" t="s">
        <v>386</v>
      </c>
      <c r="AA779" s="83" t="s">
        <v>2724</v>
      </c>
      <c r="AB779" s="104" t="str">
        <f>IFERROR(VLOOKUP(Anexo_4[[#This Row],[cuenta]],OP,2,0),"-")</f>
        <v>Balanza - Servicios</v>
      </c>
    </row>
    <row r="780" spans="1:28" s="84" customFormat="1" ht="27" customHeight="1" x14ac:dyDescent="0.3">
      <c r="A780" s="75" t="s">
        <v>2552</v>
      </c>
      <c r="B780" s="36" t="str">
        <f t="shared" si="12"/>
        <v>Julio</v>
      </c>
      <c r="C780" s="77" t="s">
        <v>162</v>
      </c>
      <c r="D780" s="77" t="s">
        <v>2726</v>
      </c>
      <c r="E780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780" s="79" t="s">
        <v>456</v>
      </c>
      <c r="G780" s="79" t="s">
        <v>457</v>
      </c>
      <c r="H780" s="140" t="s">
        <v>2727</v>
      </c>
      <c r="I780" s="77" t="s">
        <v>264</v>
      </c>
      <c r="J780" s="144" t="s">
        <v>265</v>
      </c>
      <c r="K780" s="77" t="s">
        <v>169</v>
      </c>
      <c r="L780" s="103" t="str">
        <f>VLOOKUP(Anexo_4[[#This Row],[cod_doc]],TIPODOC,2,FALSE)</f>
        <v>FACTURA</v>
      </c>
      <c r="M780" s="77" t="s">
        <v>352</v>
      </c>
      <c r="N780" s="79">
        <v>1805464</v>
      </c>
      <c r="O780" s="80">
        <v>4.24</v>
      </c>
      <c r="P780" s="81"/>
      <c r="Q780" s="81">
        <v>0.76319999999999999</v>
      </c>
      <c r="R780" s="80"/>
      <c r="S780" s="80">
        <v>0</v>
      </c>
      <c r="T780" s="82">
        <v>5</v>
      </c>
      <c r="U780" s="77"/>
      <c r="V780" s="75"/>
      <c r="W780" s="77"/>
      <c r="X780" s="77"/>
      <c r="Y780" s="77" t="s">
        <v>2728</v>
      </c>
      <c r="Z780" s="77" t="s">
        <v>302</v>
      </c>
      <c r="AA780" s="83" t="s">
        <v>2727</v>
      </c>
      <c r="AB780" s="104" t="str">
        <f>IFERROR(VLOOKUP(Anexo_4[[#This Row],[cuenta]],OP,2,0),"-")</f>
        <v>Transporte peajes - Servicios</v>
      </c>
    </row>
    <row r="781" spans="1:28" s="84" customFormat="1" ht="27" customHeight="1" x14ac:dyDescent="0.3">
      <c r="A781" s="75" t="s">
        <v>2552</v>
      </c>
      <c r="B781" s="36" t="str">
        <f t="shared" si="12"/>
        <v>Julio</v>
      </c>
      <c r="C781" s="77" t="s">
        <v>162</v>
      </c>
      <c r="D781" s="77" t="s">
        <v>2729</v>
      </c>
      <c r="E78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781" s="79" t="s">
        <v>456</v>
      </c>
      <c r="G781" s="79" t="s">
        <v>457</v>
      </c>
      <c r="H781" s="140" t="s">
        <v>2730</v>
      </c>
      <c r="I781" s="77" t="s">
        <v>264</v>
      </c>
      <c r="J781" s="144" t="s">
        <v>265</v>
      </c>
      <c r="K781" s="77" t="s">
        <v>169</v>
      </c>
      <c r="L781" s="103" t="str">
        <f>VLOOKUP(Anexo_4[[#This Row],[cod_doc]],TIPODOC,2,FALSE)</f>
        <v>FACTURA</v>
      </c>
      <c r="M781" s="77" t="s">
        <v>406</v>
      </c>
      <c r="N781" s="79">
        <v>2399584</v>
      </c>
      <c r="O781" s="80">
        <v>4.24</v>
      </c>
      <c r="P781" s="81"/>
      <c r="Q781" s="81">
        <v>0.76319999999999999</v>
      </c>
      <c r="R781" s="80"/>
      <c r="S781" s="80">
        <v>0</v>
      </c>
      <c r="T781" s="82">
        <v>5</v>
      </c>
      <c r="U781" s="77"/>
      <c r="V781" s="75"/>
      <c r="W781" s="77"/>
      <c r="X781" s="77"/>
      <c r="Y781" s="77" t="s">
        <v>2731</v>
      </c>
      <c r="Z781" s="77" t="s">
        <v>302</v>
      </c>
      <c r="AA781" s="83" t="s">
        <v>2730</v>
      </c>
      <c r="AB781" s="104" t="str">
        <f>IFERROR(VLOOKUP(Anexo_4[[#This Row],[cuenta]],OP,2,0),"-")</f>
        <v>Transporte peajes - Servicios</v>
      </c>
    </row>
    <row r="782" spans="1:28" s="84" customFormat="1" ht="27" customHeight="1" x14ac:dyDescent="0.3">
      <c r="A782" s="75" t="s">
        <v>1780</v>
      </c>
      <c r="B782" s="36" t="str">
        <f t="shared" si="12"/>
        <v>Julio</v>
      </c>
      <c r="C782" s="77" t="s">
        <v>162</v>
      </c>
      <c r="D782" s="77" t="s">
        <v>2732</v>
      </c>
      <c r="E78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782" s="79" t="s">
        <v>418</v>
      </c>
      <c r="G782" s="79" t="s">
        <v>419</v>
      </c>
      <c r="H782" s="140" t="s">
        <v>2733</v>
      </c>
      <c r="I782" s="77" t="s">
        <v>286</v>
      </c>
      <c r="J782" s="144" t="s">
        <v>287</v>
      </c>
      <c r="K782" s="77" t="s">
        <v>169</v>
      </c>
      <c r="L782" s="103" t="str">
        <f>VLOOKUP(Anexo_4[[#This Row],[cod_doc]],TIPODOC,2,FALSE)</f>
        <v>FACTURA</v>
      </c>
      <c r="M782" s="77" t="s">
        <v>222</v>
      </c>
      <c r="N782" s="79">
        <v>17979</v>
      </c>
      <c r="O782" s="80"/>
      <c r="P782" s="81"/>
      <c r="Q782" s="81"/>
      <c r="R782" s="80"/>
      <c r="S782" s="80">
        <v>11</v>
      </c>
      <c r="T782" s="82">
        <v>11</v>
      </c>
      <c r="U782" s="77"/>
      <c r="V782" s="75"/>
      <c r="W782" s="77"/>
      <c r="X782" s="77"/>
      <c r="Y782" s="77" t="s">
        <v>2734</v>
      </c>
      <c r="Z782" s="77" t="s">
        <v>182</v>
      </c>
      <c r="AA782" s="83" t="s">
        <v>2733</v>
      </c>
      <c r="AB782" s="104" t="str">
        <f>IFERROR(VLOOKUP(Anexo_4[[#This Row],[cuenta]],OP,2,0),"-")</f>
        <v>Balanza - Ventas</v>
      </c>
    </row>
    <row r="783" spans="1:28" s="84" customFormat="1" ht="27" customHeight="1" x14ac:dyDescent="0.3">
      <c r="A783" s="75" t="s">
        <v>1780</v>
      </c>
      <c r="B783" s="36" t="str">
        <f t="shared" si="12"/>
        <v>Julio</v>
      </c>
      <c r="C783" s="77" t="s">
        <v>162</v>
      </c>
      <c r="D783" s="77" t="s">
        <v>2735</v>
      </c>
      <c r="E783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783" s="79" t="s">
        <v>418</v>
      </c>
      <c r="G783" s="79" t="s">
        <v>419</v>
      </c>
      <c r="H783" s="140" t="s">
        <v>2736</v>
      </c>
      <c r="I783" s="77" t="s">
        <v>286</v>
      </c>
      <c r="J783" s="144" t="s">
        <v>287</v>
      </c>
      <c r="K783" s="77" t="s">
        <v>169</v>
      </c>
      <c r="L783" s="103" t="str">
        <f>VLOOKUP(Anexo_4[[#This Row],[cod_doc]],TIPODOC,2,FALSE)</f>
        <v>FACTURA</v>
      </c>
      <c r="M783" s="77" t="s">
        <v>222</v>
      </c>
      <c r="N783" s="79">
        <v>17978</v>
      </c>
      <c r="O783" s="80"/>
      <c r="P783" s="81"/>
      <c r="Q783" s="81"/>
      <c r="R783" s="80"/>
      <c r="S783" s="80">
        <v>11</v>
      </c>
      <c r="T783" s="82">
        <v>11</v>
      </c>
      <c r="U783" s="77"/>
      <c r="V783" s="75"/>
      <c r="W783" s="77"/>
      <c r="X783" s="77"/>
      <c r="Y783" s="77" t="s">
        <v>2737</v>
      </c>
      <c r="Z783" s="77" t="s">
        <v>386</v>
      </c>
      <c r="AA783" s="83" t="s">
        <v>2736</v>
      </c>
      <c r="AB783" s="104" t="str">
        <f>IFERROR(VLOOKUP(Anexo_4[[#This Row],[cuenta]],OP,2,0),"-")</f>
        <v>Balanza - Servicios</v>
      </c>
    </row>
    <row r="784" spans="1:28" s="84" customFormat="1" ht="27" customHeight="1" x14ac:dyDescent="0.3">
      <c r="A784" s="75" t="s">
        <v>2349</v>
      </c>
      <c r="B784" s="36" t="str">
        <f t="shared" si="12"/>
        <v>Julio</v>
      </c>
      <c r="C784" s="77" t="s">
        <v>162</v>
      </c>
      <c r="D784" s="77" t="s">
        <v>2738</v>
      </c>
      <c r="E784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784" s="79" t="s">
        <v>217</v>
      </c>
      <c r="G784" s="79" t="s">
        <v>218</v>
      </c>
      <c r="H784" s="140" t="s">
        <v>2739</v>
      </c>
      <c r="I784" s="77" t="s">
        <v>264</v>
      </c>
      <c r="J784" s="144" t="s">
        <v>265</v>
      </c>
      <c r="K784" s="77" t="s">
        <v>169</v>
      </c>
      <c r="L784" s="103" t="str">
        <f>VLOOKUP(Anexo_4[[#This Row],[cod_doc]],TIPODOC,2,FALSE)</f>
        <v>FACTURA</v>
      </c>
      <c r="M784" s="77" t="s">
        <v>352</v>
      </c>
      <c r="N784" s="79">
        <v>1803483</v>
      </c>
      <c r="O784" s="80">
        <v>6.78</v>
      </c>
      <c r="P784" s="81"/>
      <c r="Q784" s="81">
        <v>1.2203999999999999</v>
      </c>
      <c r="R784" s="80"/>
      <c r="S784" s="80">
        <v>0</v>
      </c>
      <c r="T784" s="82">
        <v>8</v>
      </c>
      <c r="U784" s="77"/>
      <c r="V784" s="75"/>
      <c r="W784" s="77"/>
      <c r="X784" s="77"/>
      <c r="Y784" s="77" t="s">
        <v>2740</v>
      </c>
      <c r="Z784" s="77" t="s">
        <v>268</v>
      </c>
      <c r="AA784" s="83" t="s">
        <v>2739</v>
      </c>
      <c r="AB784" s="104" t="str">
        <f>IFERROR(VLOOKUP(Anexo_4[[#This Row],[cuenta]],OP,2,0),"-")</f>
        <v>Transporte peajes - Ventas</v>
      </c>
    </row>
    <row r="785" spans="1:28" s="84" customFormat="1" ht="27" customHeight="1" x14ac:dyDescent="0.3">
      <c r="A785" s="75" t="s">
        <v>2349</v>
      </c>
      <c r="B785" s="36" t="str">
        <f t="shared" si="12"/>
        <v>Julio</v>
      </c>
      <c r="C785" s="77" t="s">
        <v>162</v>
      </c>
      <c r="D785" s="77" t="s">
        <v>2741</v>
      </c>
      <c r="E78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785" s="79" t="s">
        <v>217</v>
      </c>
      <c r="G785" s="79" t="s">
        <v>218</v>
      </c>
      <c r="H785" s="140" t="s">
        <v>2742</v>
      </c>
      <c r="I785" s="77" t="s">
        <v>264</v>
      </c>
      <c r="J785" s="144" t="s">
        <v>265</v>
      </c>
      <c r="K785" s="77" t="s">
        <v>169</v>
      </c>
      <c r="L785" s="103" t="str">
        <f>VLOOKUP(Anexo_4[[#This Row],[cod_doc]],TIPODOC,2,FALSE)</f>
        <v>FACTURA</v>
      </c>
      <c r="M785" s="77" t="s">
        <v>406</v>
      </c>
      <c r="N785" s="79">
        <v>2397280</v>
      </c>
      <c r="O785" s="80">
        <v>6.78</v>
      </c>
      <c r="P785" s="81"/>
      <c r="Q785" s="81">
        <v>1.2203999999999999</v>
      </c>
      <c r="R785" s="80"/>
      <c r="S785" s="80">
        <v>0</v>
      </c>
      <c r="T785" s="82">
        <v>8</v>
      </c>
      <c r="U785" s="77"/>
      <c r="V785" s="75"/>
      <c r="W785" s="77"/>
      <c r="X785" s="77"/>
      <c r="Y785" s="77" t="s">
        <v>2743</v>
      </c>
      <c r="Z785" s="77" t="s">
        <v>268</v>
      </c>
      <c r="AA785" s="83" t="s">
        <v>2742</v>
      </c>
      <c r="AB785" s="104" t="str">
        <f>IFERROR(VLOOKUP(Anexo_4[[#This Row],[cuenta]],OP,2,0),"-")</f>
        <v>Transporte peajes - Ventas</v>
      </c>
    </row>
    <row r="786" spans="1:28" s="84" customFormat="1" ht="27" customHeight="1" x14ac:dyDescent="0.3">
      <c r="A786" s="75" t="s">
        <v>2453</v>
      </c>
      <c r="B786" s="36" t="str">
        <f t="shared" si="12"/>
        <v>Julio</v>
      </c>
      <c r="C786" s="77" t="s">
        <v>162</v>
      </c>
      <c r="D786" s="77" t="s">
        <v>2744</v>
      </c>
      <c r="E78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786" s="79" t="s">
        <v>217</v>
      </c>
      <c r="G786" s="79" t="s">
        <v>218</v>
      </c>
      <c r="H786" s="140" t="s">
        <v>2745</v>
      </c>
      <c r="I786" s="77" t="s">
        <v>264</v>
      </c>
      <c r="J786" s="144" t="s">
        <v>265</v>
      </c>
      <c r="K786" s="77" t="s">
        <v>169</v>
      </c>
      <c r="L786" s="103" t="str">
        <f>VLOOKUP(Anexo_4[[#This Row],[cod_doc]],TIPODOC,2,FALSE)</f>
        <v>FACTURA</v>
      </c>
      <c r="M786" s="77" t="s">
        <v>406</v>
      </c>
      <c r="N786" s="79">
        <v>2398509</v>
      </c>
      <c r="O786" s="80">
        <v>6.78</v>
      </c>
      <c r="P786" s="81"/>
      <c r="Q786" s="81">
        <v>1.2203999999999999</v>
      </c>
      <c r="R786" s="80"/>
      <c r="S786" s="80">
        <v>0</v>
      </c>
      <c r="T786" s="82">
        <v>8</v>
      </c>
      <c r="U786" s="77"/>
      <c r="V786" s="75"/>
      <c r="W786" s="77"/>
      <c r="X786" s="77"/>
      <c r="Y786" s="77" t="s">
        <v>2746</v>
      </c>
      <c r="Z786" s="77" t="s">
        <v>302</v>
      </c>
      <c r="AA786" s="83" t="s">
        <v>2745</v>
      </c>
      <c r="AB786" s="104" t="str">
        <f>IFERROR(VLOOKUP(Anexo_4[[#This Row],[cuenta]],OP,2,0),"-")</f>
        <v>Transporte peajes - Servicios</v>
      </c>
    </row>
    <row r="787" spans="1:28" s="84" customFormat="1" ht="27" customHeight="1" x14ac:dyDescent="0.3">
      <c r="A787" s="75" t="s">
        <v>2552</v>
      </c>
      <c r="B787" s="36" t="str">
        <f t="shared" si="12"/>
        <v>Julio</v>
      </c>
      <c r="C787" s="77" t="s">
        <v>162</v>
      </c>
      <c r="D787" s="77" t="s">
        <v>2747</v>
      </c>
      <c r="E787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787" s="79" t="s">
        <v>235</v>
      </c>
      <c r="G787" s="79" t="s">
        <v>236</v>
      </c>
      <c r="H787" s="140" t="s">
        <v>2748</v>
      </c>
      <c r="I787" s="77" t="s">
        <v>264</v>
      </c>
      <c r="J787" s="144" t="s">
        <v>265</v>
      </c>
      <c r="K787" s="77" t="s">
        <v>169</v>
      </c>
      <c r="L787" s="103" t="str">
        <f>VLOOKUP(Anexo_4[[#This Row],[cod_doc]],TIPODOC,2,FALSE)</f>
        <v>FACTURA</v>
      </c>
      <c r="M787" s="77" t="s">
        <v>279</v>
      </c>
      <c r="N787" s="79">
        <v>1091268</v>
      </c>
      <c r="O787" s="80">
        <v>6.78</v>
      </c>
      <c r="P787" s="81"/>
      <c r="Q787" s="81">
        <v>1.2203999999999999</v>
      </c>
      <c r="R787" s="80"/>
      <c r="S787" s="80">
        <v>0</v>
      </c>
      <c r="T787" s="82">
        <v>8</v>
      </c>
      <c r="U787" s="77"/>
      <c r="V787" s="75"/>
      <c r="W787" s="77"/>
      <c r="X787" s="77"/>
      <c r="Y787" s="77" t="s">
        <v>2749</v>
      </c>
      <c r="Z787" s="77" t="s">
        <v>302</v>
      </c>
      <c r="AA787" s="83" t="s">
        <v>2748</v>
      </c>
      <c r="AB787" s="104" t="str">
        <f>IFERROR(VLOOKUP(Anexo_4[[#This Row],[cuenta]],OP,2,0),"-")</f>
        <v>Transporte peajes - Servicios</v>
      </c>
    </row>
    <row r="788" spans="1:28" s="84" customFormat="1" ht="27" customHeight="1" x14ac:dyDescent="0.3">
      <c r="A788" s="75" t="s">
        <v>2453</v>
      </c>
      <c r="B788" s="36" t="str">
        <f t="shared" si="12"/>
        <v>Julio</v>
      </c>
      <c r="C788" s="77" t="s">
        <v>162</v>
      </c>
      <c r="D788" s="77" t="s">
        <v>2750</v>
      </c>
      <c r="E788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788" s="79" t="s">
        <v>217</v>
      </c>
      <c r="G788" s="79" t="s">
        <v>218</v>
      </c>
      <c r="H788" s="140" t="s">
        <v>2751</v>
      </c>
      <c r="I788" s="77" t="s">
        <v>264</v>
      </c>
      <c r="J788" s="144" t="s">
        <v>265</v>
      </c>
      <c r="K788" s="77" t="s">
        <v>169</v>
      </c>
      <c r="L788" s="103" t="str">
        <f>VLOOKUP(Anexo_4[[#This Row],[cod_doc]],TIPODOC,2,FALSE)</f>
        <v>FACTURA</v>
      </c>
      <c r="M788" s="77" t="s">
        <v>379</v>
      </c>
      <c r="N788" s="79">
        <v>2111741</v>
      </c>
      <c r="O788" s="80">
        <v>6.78</v>
      </c>
      <c r="P788" s="81"/>
      <c r="Q788" s="81">
        <v>1.2203999999999999</v>
      </c>
      <c r="R788" s="80"/>
      <c r="S788" s="80">
        <v>0</v>
      </c>
      <c r="T788" s="82">
        <v>8</v>
      </c>
      <c r="U788" s="77"/>
      <c r="V788" s="75"/>
      <c r="W788" s="77"/>
      <c r="X788" s="77"/>
      <c r="Y788" s="77" t="s">
        <v>2752</v>
      </c>
      <c r="Z788" s="77" t="s">
        <v>302</v>
      </c>
      <c r="AA788" s="83" t="s">
        <v>2751</v>
      </c>
      <c r="AB788" s="104" t="str">
        <f>IFERROR(VLOOKUP(Anexo_4[[#This Row],[cuenta]],OP,2,0),"-")</f>
        <v>Transporte peajes - Servicios</v>
      </c>
    </row>
    <row r="789" spans="1:28" s="84" customFormat="1" ht="27" customHeight="1" x14ac:dyDescent="0.3">
      <c r="A789" s="75" t="s">
        <v>2552</v>
      </c>
      <c r="B789" s="36" t="str">
        <f t="shared" si="12"/>
        <v>Julio</v>
      </c>
      <c r="C789" s="77" t="s">
        <v>162</v>
      </c>
      <c r="D789" s="77" t="s">
        <v>2753</v>
      </c>
      <c r="E789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789" s="79" t="s">
        <v>235</v>
      </c>
      <c r="G789" s="79" t="s">
        <v>236</v>
      </c>
      <c r="H789" s="140" t="s">
        <v>2754</v>
      </c>
      <c r="I789" s="77" t="s">
        <v>264</v>
      </c>
      <c r="J789" s="144" t="s">
        <v>265</v>
      </c>
      <c r="K789" s="77" t="s">
        <v>169</v>
      </c>
      <c r="L789" s="103" t="str">
        <f>VLOOKUP(Anexo_4[[#This Row],[cod_doc]],TIPODOC,2,FALSE)</f>
        <v>FACTURA</v>
      </c>
      <c r="M789" s="77" t="s">
        <v>379</v>
      </c>
      <c r="N789" s="79">
        <v>2112931</v>
      </c>
      <c r="O789" s="80">
        <v>6.78</v>
      </c>
      <c r="P789" s="81"/>
      <c r="Q789" s="81">
        <v>1.2203999999999999</v>
      </c>
      <c r="R789" s="80"/>
      <c r="S789" s="80">
        <v>0</v>
      </c>
      <c r="T789" s="82">
        <v>8</v>
      </c>
      <c r="U789" s="77"/>
      <c r="V789" s="75"/>
      <c r="W789" s="77"/>
      <c r="X789" s="77"/>
      <c r="Y789" s="77" t="s">
        <v>2755</v>
      </c>
      <c r="Z789" s="77" t="s">
        <v>302</v>
      </c>
      <c r="AA789" s="83" t="s">
        <v>2754</v>
      </c>
      <c r="AB789" s="104" t="str">
        <f>IFERROR(VLOOKUP(Anexo_4[[#This Row],[cuenta]],OP,2,0),"-")</f>
        <v>Transporte peajes - Servicios</v>
      </c>
    </row>
    <row r="790" spans="1:28" s="84" customFormat="1" ht="27" customHeight="1" x14ac:dyDescent="0.3">
      <c r="A790" s="75" t="s">
        <v>2552</v>
      </c>
      <c r="B790" s="36" t="str">
        <f t="shared" si="12"/>
        <v>Julio</v>
      </c>
      <c r="C790" s="77" t="s">
        <v>162</v>
      </c>
      <c r="D790" s="77" t="s">
        <v>2756</v>
      </c>
      <c r="E790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790" s="79" t="s">
        <v>235</v>
      </c>
      <c r="G790" s="79" t="s">
        <v>236</v>
      </c>
      <c r="H790" s="140" t="s">
        <v>2757</v>
      </c>
      <c r="I790" s="77" t="s">
        <v>264</v>
      </c>
      <c r="J790" s="144" t="s">
        <v>265</v>
      </c>
      <c r="K790" s="77" t="s">
        <v>169</v>
      </c>
      <c r="L790" s="103" t="str">
        <f>VLOOKUP(Anexo_4[[#This Row],[cod_doc]],TIPODOC,2,FALSE)</f>
        <v>FACTURA</v>
      </c>
      <c r="M790" s="77" t="s">
        <v>275</v>
      </c>
      <c r="N790" s="79">
        <v>998301</v>
      </c>
      <c r="O790" s="80">
        <v>6.78</v>
      </c>
      <c r="P790" s="81"/>
      <c r="Q790" s="81">
        <v>1.2203999999999999</v>
      </c>
      <c r="R790" s="80"/>
      <c r="S790" s="80">
        <v>0</v>
      </c>
      <c r="T790" s="82">
        <v>8</v>
      </c>
      <c r="U790" s="77"/>
      <c r="V790" s="75"/>
      <c r="W790" s="77"/>
      <c r="X790" s="77"/>
      <c r="Y790" s="77" t="s">
        <v>2758</v>
      </c>
      <c r="Z790" s="77" t="s">
        <v>302</v>
      </c>
      <c r="AA790" s="83" t="s">
        <v>2757</v>
      </c>
      <c r="AB790" s="104" t="str">
        <f>IFERROR(VLOOKUP(Anexo_4[[#This Row],[cuenta]],OP,2,0),"-")</f>
        <v>Transporte peajes - Servicios</v>
      </c>
    </row>
    <row r="791" spans="1:28" s="84" customFormat="1" ht="27" customHeight="1" x14ac:dyDescent="0.3">
      <c r="A791" s="75" t="s">
        <v>2552</v>
      </c>
      <c r="B791" s="36" t="str">
        <f t="shared" si="12"/>
        <v>Julio</v>
      </c>
      <c r="C791" s="77" t="s">
        <v>162</v>
      </c>
      <c r="D791" s="77" t="s">
        <v>2759</v>
      </c>
      <c r="E79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791" s="79" t="s">
        <v>235</v>
      </c>
      <c r="G791" s="79" t="s">
        <v>236</v>
      </c>
      <c r="H791" s="140" t="s">
        <v>2760</v>
      </c>
      <c r="I791" s="77" t="s">
        <v>264</v>
      </c>
      <c r="J791" s="144" t="s">
        <v>265</v>
      </c>
      <c r="K791" s="77" t="s">
        <v>169</v>
      </c>
      <c r="L791" s="103" t="str">
        <f>VLOOKUP(Anexo_4[[#This Row],[cod_doc]],TIPODOC,2,FALSE)</f>
        <v>FACTURA</v>
      </c>
      <c r="M791" s="77" t="s">
        <v>406</v>
      </c>
      <c r="N791" s="79">
        <v>2399520</v>
      </c>
      <c r="O791" s="80">
        <v>6.78</v>
      </c>
      <c r="P791" s="81"/>
      <c r="Q791" s="81">
        <v>1.2203999999999999</v>
      </c>
      <c r="R791" s="80"/>
      <c r="S791" s="80">
        <v>0</v>
      </c>
      <c r="T791" s="82">
        <v>8</v>
      </c>
      <c r="U791" s="77"/>
      <c r="V791" s="75"/>
      <c r="W791" s="77"/>
      <c r="X791" s="77"/>
      <c r="Y791" s="77" t="s">
        <v>2761</v>
      </c>
      <c r="Z791" s="77" t="s">
        <v>302</v>
      </c>
      <c r="AA791" s="83" t="s">
        <v>2760</v>
      </c>
      <c r="AB791" s="104" t="str">
        <f>IFERROR(VLOOKUP(Anexo_4[[#This Row],[cuenta]],OP,2,0),"-")</f>
        <v>Transporte peajes - Servicios</v>
      </c>
    </row>
    <row r="792" spans="1:28" s="84" customFormat="1" ht="27" customHeight="1" x14ac:dyDescent="0.3">
      <c r="A792" s="75" t="s">
        <v>1780</v>
      </c>
      <c r="B792" s="36" t="str">
        <f t="shared" si="12"/>
        <v>Julio</v>
      </c>
      <c r="C792" s="77" t="s">
        <v>162</v>
      </c>
      <c r="D792" s="77" t="s">
        <v>2762</v>
      </c>
      <c r="E79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792" s="79" t="s">
        <v>418</v>
      </c>
      <c r="G792" s="79" t="s">
        <v>419</v>
      </c>
      <c r="H792" s="140" t="s">
        <v>2763</v>
      </c>
      <c r="I792" s="77" t="s">
        <v>264</v>
      </c>
      <c r="J792" s="144" t="s">
        <v>265</v>
      </c>
      <c r="K792" s="77" t="s">
        <v>169</v>
      </c>
      <c r="L792" s="103" t="str">
        <f>VLOOKUP(Anexo_4[[#This Row],[cod_doc]],TIPODOC,2,FALSE)</f>
        <v>FACTURA</v>
      </c>
      <c r="M792" s="77" t="s">
        <v>279</v>
      </c>
      <c r="N792" s="79">
        <v>1092546</v>
      </c>
      <c r="O792" s="80">
        <v>6.78</v>
      </c>
      <c r="P792" s="81"/>
      <c r="Q792" s="81">
        <v>1.2203999999999999</v>
      </c>
      <c r="R792" s="80"/>
      <c r="S792" s="80">
        <v>0</v>
      </c>
      <c r="T792" s="82">
        <v>8</v>
      </c>
      <c r="U792" s="77"/>
      <c r="V792" s="75"/>
      <c r="W792" s="77"/>
      <c r="X792" s="77"/>
      <c r="Y792" s="77" t="s">
        <v>2764</v>
      </c>
      <c r="Z792" s="77" t="s">
        <v>302</v>
      </c>
      <c r="AA792" s="83" t="s">
        <v>2763</v>
      </c>
      <c r="AB792" s="104" t="str">
        <f>IFERROR(VLOOKUP(Anexo_4[[#This Row],[cuenta]],OP,2,0),"-")</f>
        <v>Transporte peajes - Servicios</v>
      </c>
    </row>
    <row r="793" spans="1:28" s="84" customFormat="1" ht="27" customHeight="1" x14ac:dyDescent="0.3">
      <c r="A793" s="75" t="s">
        <v>1780</v>
      </c>
      <c r="B793" s="36" t="str">
        <f t="shared" si="12"/>
        <v>Julio</v>
      </c>
      <c r="C793" s="77" t="s">
        <v>162</v>
      </c>
      <c r="D793" s="77" t="s">
        <v>2765</v>
      </c>
      <c r="E793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793" s="79" t="s">
        <v>418</v>
      </c>
      <c r="G793" s="79" t="s">
        <v>419</v>
      </c>
      <c r="H793" s="140" t="s">
        <v>2766</v>
      </c>
      <c r="I793" s="77" t="s">
        <v>264</v>
      </c>
      <c r="J793" s="144" t="s">
        <v>265</v>
      </c>
      <c r="K793" s="77" t="s">
        <v>169</v>
      </c>
      <c r="L793" s="103" t="str">
        <f>VLOOKUP(Anexo_4[[#This Row],[cod_doc]],TIPODOC,2,FALSE)</f>
        <v>FACTURA</v>
      </c>
      <c r="M793" s="77" t="s">
        <v>275</v>
      </c>
      <c r="N793" s="79">
        <v>999567</v>
      </c>
      <c r="O793" s="80">
        <v>6.78</v>
      </c>
      <c r="P793" s="81"/>
      <c r="Q793" s="81">
        <v>1.2203999999999999</v>
      </c>
      <c r="R793" s="80"/>
      <c r="S793" s="80">
        <v>0</v>
      </c>
      <c r="T793" s="82">
        <v>8</v>
      </c>
      <c r="U793" s="77"/>
      <c r="V793" s="75"/>
      <c r="W793" s="77"/>
      <c r="X793" s="77"/>
      <c r="Y793" s="77" t="s">
        <v>2767</v>
      </c>
      <c r="Z793" s="77" t="s">
        <v>302</v>
      </c>
      <c r="AA793" s="83" t="s">
        <v>2766</v>
      </c>
      <c r="AB793" s="104" t="str">
        <f>IFERROR(VLOOKUP(Anexo_4[[#This Row],[cuenta]],OP,2,0),"-")</f>
        <v>Transporte peajes - Servicios</v>
      </c>
    </row>
    <row r="794" spans="1:28" s="84" customFormat="1" ht="27" customHeight="1" x14ac:dyDescent="0.3">
      <c r="A794" s="75" t="s">
        <v>1780</v>
      </c>
      <c r="B794" s="36" t="str">
        <f t="shared" si="12"/>
        <v>Julio</v>
      </c>
      <c r="C794" s="77" t="s">
        <v>162</v>
      </c>
      <c r="D794" s="77" t="s">
        <v>2768</v>
      </c>
      <c r="E794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794" s="79" t="s">
        <v>217</v>
      </c>
      <c r="G794" s="79" t="s">
        <v>218</v>
      </c>
      <c r="H794" s="140" t="s">
        <v>2769</v>
      </c>
      <c r="I794" s="77" t="s">
        <v>264</v>
      </c>
      <c r="J794" s="144" t="s">
        <v>265</v>
      </c>
      <c r="K794" s="77" t="s">
        <v>169</v>
      </c>
      <c r="L794" s="103" t="str">
        <f>VLOOKUP(Anexo_4[[#This Row],[cod_doc]],TIPODOC,2,FALSE)</f>
        <v>FACTURA</v>
      </c>
      <c r="M794" s="77" t="s">
        <v>352</v>
      </c>
      <c r="N794" s="79">
        <v>1807462</v>
      </c>
      <c r="O794" s="80">
        <v>6.78</v>
      </c>
      <c r="P794" s="81"/>
      <c r="Q794" s="81">
        <v>1.2203999999999999</v>
      </c>
      <c r="R794" s="80"/>
      <c r="S794" s="80">
        <v>0</v>
      </c>
      <c r="T794" s="82">
        <v>8</v>
      </c>
      <c r="U794" s="77"/>
      <c r="V794" s="75"/>
      <c r="W794" s="77"/>
      <c r="X794" s="77"/>
      <c r="Y794" s="77" t="s">
        <v>2770</v>
      </c>
      <c r="Z794" s="77" t="s">
        <v>268</v>
      </c>
      <c r="AA794" s="83" t="s">
        <v>2769</v>
      </c>
      <c r="AB794" s="104" t="str">
        <f>IFERROR(VLOOKUP(Anexo_4[[#This Row],[cuenta]],OP,2,0),"-")</f>
        <v>Transporte peajes - Ventas</v>
      </c>
    </row>
    <row r="795" spans="1:28" s="84" customFormat="1" ht="27" customHeight="1" x14ac:dyDescent="0.3">
      <c r="A795" s="75" t="s">
        <v>2453</v>
      </c>
      <c r="B795" s="36" t="str">
        <f t="shared" si="12"/>
        <v>Julio</v>
      </c>
      <c r="C795" s="77" t="s">
        <v>162</v>
      </c>
      <c r="D795" s="77" t="s">
        <v>2771</v>
      </c>
      <c r="E79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795" s="79" t="s">
        <v>217</v>
      </c>
      <c r="G795" s="79" t="s">
        <v>218</v>
      </c>
      <c r="H795" s="140" t="s">
        <v>2772</v>
      </c>
      <c r="I795" s="77" t="s">
        <v>178</v>
      </c>
      <c r="J795" s="144" t="s">
        <v>179</v>
      </c>
      <c r="K795" s="77" t="s">
        <v>169</v>
      </c>
      <c r="L795" s="103" t="str">
        <f>VLOOKUP(Anexo_4[[#This Row],[cod_doc]],TIPODOC,2,FALSE)</f>
        <v>FACTURA</v>
      </c>
      <c r="M795" s="77" t="s">
        <v>180</v>
      </c>
      <c r="N795" s="79">
        <v>134173</v>
      </c>
      <c r="O795" s="80">
        <v>8.4700000000000006</v>
      </c>
      <c r="P795" s="81"/>
      <c r="Q795" s="81">
        <v>1.5246</v>
      </c>
      <c r="R795" s="80"/>
      <c r="S795" s="80">
        <v>0</v>
      </c>
      <c r="T795" s="82">
        <v>10</v>
      </c>
      <c r="U795" s="77"/>
      <c r="V795" s="75"/>
      <c r="W795" s="77"/>
      <c r="X795" s="77"/>
      <c r="Y795" s="77" t="s">
        <v>2773</v>
      </c>
      <c r="Z795" s="77" t="s">
        <v>386</v>
      </c>
      <c r="AA795" s="83" t="s">
        <v>2772</v>
      </c>
      <c r="AB795" s="104" t="str">
        <f>IFERROR(VLOOKUP(Anexo_4[[#This Row],[cuenta]],OP,2,0),"-")</f>
        <v>Balanza - Servicios</v>
      </c>
    </row>
    <row r="796" spans="1:28" s="84" customFormat="1" ht="27" customHeight="1" x14ac:dyDescent="0.3">
      <c r="A796" s="75" t="s">
        <v>2453</v>
      </c>
      <c r="B796" s="36" t="str">
        <f t="shared" si="12"/>
        <v>Julio</v>
      </c>
      <c r="C796" s="77" t="s">
        <v>162</v>
      </c>
      <c r="D796" s="77" t="s">
        <v>2774</v>
      </c>
      <c r="E79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796" s="79" t="s">
        <v>217</v>
      </c>
      <c r="G796" s="79" t="s">
        <v>218</v>
      </c>
      <c r="H796" s="140" t="s">
        <v>2775</v>
      </c>
      <c r="I796" s="77" t="s">
        <v>178</v>
      </c>
      <c r="J796" s="144" t="s">
        <v>179</v>
      </c>
      <c r="K796" s="77" t="s">
        <v>169</v>
      </c>
      <c r="L796" s="103" t="str">
        <f>VLOOKUP(Anexo_4[[#This Row],[cod_doc]],TIPODOC,2,FALSE)</f>
        <v>FACTURA</v>
      </c>
      <c r="M796" s="77" t="s">
        <v>180</v>
      </c>
      <c r="N796" s="79">
        <v>134205</v>
      </c>
      <c r="O796" s="80">
        <v>8.4700000000000006</v>
      </c>
      <c r="P796" s="81"/>
      <c r="Q796" s="81">
        <v>1.5246</v>
      </c>
      <c r="R796" s="80"/>
      <c r="S796" s="80">
        <v>0</v>
      </c>
      <c r="T796" s="82">
        <v>10</v>
      </c>
      <c r="U796" s="77"/>
      <c r="V796" s="75"/>
      <c r="W796" s="77"/>
      <c r="X796" s="77"/>
      <c r="Y796" s="77" t="s">
        <v>2776</v>
      </c>
      <c r="Z796" s="77" t="s">
        <v>386</v>
      </c>
      <c r="AA796" s="83" t="s">
        <v>2775</v>
      </c>
      <c r="AB796" s="104" t="str">
        <f>IFERROR(VLOOKUP(Anexo_4[[#This Row],[cuenta]],OP,2,0),"-")</f>
        <v>Balanza - Servicios</v>
      </c>
    </row>
    <row r="797" spans="1:28" s="84" customFormat="1" ht="27" customHeight="1" x14ac:dyDescent="0.3">
      <c r="A797" s="75" t="s">
        <v>2552</v>
      </c>
      <c r="B797" s="36" t="str">
        <f t="shared" si="12"/>
        <v>Julio</v>
      </c>
      <c r="C797" s="77" t="s">
        <v>162</v>
      </c>
      <c r="D797" s="77" t="s">
        <v>2777</v>
      </c>
      <c r="E797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797" s="79" t="s">
        <v>217</v>
      </c>
      <c r="G797" s="79" t="s">
        <v>218</v>
      </c>
      <c r="H797" s="140" t="s">
        <v>2778</v>
      </c>
      <c r="I797" s="77" t="s">
        <v>178</v>
      </c>
      <c r="J797" s="144" t="s">
        <v>179</v>
      </c>
      <c r="K797" s="77" t="s">
        <v>169</v>
      </c>
      <c r="L797" s="103" t="str">
        <f>VLOOKUP(Anexo_4[[#This Row],[cod_doc]],TIPODOC,2,FALSE)</f>
        <v>FACTURA</v>
      </c>
      <c r="M797" s="77" t="s">
        <v>180</v>
      </c>
      <c r="N797" s="79">
        <v>134222</v>
      </c>
      <c r="O797" s="80">
        <v>8.4700000000000006</v>
      </c>
      <c r="P797" s="81"/>
      <c r="Q797" s="81">
        <v>1.5246</v>
      </c>
      <c r="R797" s="80"/>
      <c r="S797" s="80">
        <v>0</v>
      </c>
      <c r="T797" s="82">
        <v>10</v>
      </c>
      <c r="U797" s="77"/>
      <c r="V797" s="75"/>
      <c r="W797" s="77"/>
      <c r="X797" s="77"/>
      <c r="Y797" s="77" t="s">
        <v>2779</v>
      </c>
      <c r="Z797" s="77" t="s">
        <v>386</v>
      </c>
      <c r="AA797" s="83" t="s">
        <v>2778</v>
      </c>
      <c r="AB797" s="104" t="str">
        <f>IFERROR(VLOOKUP(Anexo_4[[#This Row],[cuenta]],OP,2,0),"-")</f>
        <v>Balanza - Servicios</v>
      </c>
    </row>
    <row r="798" spans="1:28" s="84" customFormat="1" ht="27" customHeight="1" x14ac:dyDescent="0.3">
      <c r="A798" s="75" t="s">
        <v>2780</v>
      </c>
      <c r="B798" s="36" t="str">
        <f t="shared" si="12"/>
        <v>Julio</v>
      </c>
      <c r="C798" s="77" t="s">
        <v>162</v>
      </c>
      <c r="D798" s="77" t="s">
        <v>2781</v>
      </c>
      <c r="E798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798" s="79" t="s">
        <v>248</v>
      </c>
      <c r="G798" s="79" t="s">
        <v>249</v>
      </c>
      <c r="H798" s="140" t="s">
        <v>2782</v>
      </c>
      <c r="I798" s="77" t="s">
        <v>536</v>
      </c>
      <c r="J798" s="144" t="s">
        <v>537</v>
      </c>
      <c r="K798" s="77" t="s">
        <v>169</v>
      </c>
      <c r="L798" s="103" t="str">
        <f>VLOOKUP(Anexo_4[[#This Row],[cod_doc]],TIPODOC,2,FALSE)</f>
        <v>FACTURA</v>
      </c>
      <c r="M798" s="77" t="s">
        <v>538</v>
      </c>
      <c r="N798" s="79">
        <v>6645</v>
      </c>
      <c r="O798" s="80">
        <v>35</v>
      </c>
      <c r="P798" s="81"/>
      <c r="Q798" s="81">
        <v>6.3</v>
      </c>
      <c r="R798" s="80"/>
      <c r="S798" s="80">
        <v>0</v>
      </c>
      <c r="T798" s="82">
        <v>41.3</v>
      </c>
      <c r="U798" s="77" t="s">
        <v>2783</v>
      </c>
      <c r="V798" s="75" t="s">
        <v>2662</v>
      </c>
      <c r="W798" s="77"/>
      <c r="X798" s="77"/>
      <c r="Y798" s="77" t="s">
        <v>2784</v>
      </c>
      <c r="Z798" s="77" t="s">
        <v>256</v>
      </c>
      <c r="AA798" s="83" t="s">
        <v>2782</v>
      </c>
      <c r="AB798" s="104" t="str">
        <f>IFERROR(VLOOKUP(Anexo_4[[#This Row],[cuenta]],OP,2,0),"-")</f>
        <v>Materias Primas - RRSS</v>
      </c>
    </row>
    <row r="799" spans="1:28" s="84" customFormat="1" ht="27" customHeight="1" x14ac:dyDescent="0.3">
      <c r="A799" s="75" t="s">
        <v>2780</v>
      </c>
      <c r="B799" s="36" t="str">
        <f t="shared" si="12"/>
        <v>Julio</v>
      </c>
      <c r="C799" s="77" t="s">
        <v>162</v>
      </c>
      <c r="D799" s="77" t="s">
        <v>2785</v>
      </c>
      <c r="E799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799" s="79" t="s">
        <v>248</v>
      </c>
      <c r="G799" s="79" t="s">
        <v>249</v>
      </c>
      <c r="H799" s="140" t="s">
        <v>2786</v>
      </c>
      <c r="I799" s="77" t="s">
        <v>536</v>
      </c>
      <c r="J799" s="144" t="s">
        <v>537</v>
      </c>
      <c r="K799" s="77" t="s">
        <v>169</v>
      </c>
      <c r="L799" s="103" t="str">
        <f>VLOOKUP(Anexo_4[[#This Row],[cod_doc]],TIPODOC,2,FALSE)</f>
        <v>FACTURA</v>
      </c>
      <c r="M799" s="77" t="s">
        <v>538</v>
      </c>
      <c r="N799" s="79">
        <v>6644</v>
      </c>
      <c r="O799" s="80">
        <v>405</v>
      </c>
      <c r="P799" s="81"/>
      <c r="Q799" s="81">
        <v>72.899999999999991</v>
      </c>
      <c r="R799" s="80"/>
      <c r="S799" s="80">
        <v>0</v>
      </c>
      <c r="T799" s="82">
        <v>477.9</v>
      </c>
      <c r="U799" s="77" t="s">
        <v>2787</v>
      </c>
      <c r="V799" s="75" t="s">
        <v>2662</v>
      </c>
      <c r="W799" s="77"/>
      <c r="X799" s="77"/>
      <c r="Y799" s="77" t="s">
        <v>2788</v>
      </c>
      <c r="Z799" s="77" t="s">
        <v>256</v>
      </c>
      <c r="AA799" s="83" t="s">
        <v>2786</v>
      </c>
      <c r="AB799" s="104" t="str">
        <f>IFERROR(VLOOKUP(Anexo_4[[#This Row],[cuenta]],OP,2,0),"-")</f>
        <v>Materias Primas - RRSS</v>
      </c>
    </row>
    <row r="800" spans="1:28" s="84" customFormat="1" ht="27" customHeight="1" x14ac:dyDescent="0.3">
      <c r="A800" s="75" t="s">
        <v>2780</v>
      </c>
      <c r="B800" s="36" t="str">
        <f t="shared" si="12"/>
        <v>Julio</v>
      </c>
      <c r="C800" s="77" t="s">
        <v>162</v>
      </c>
      <c r="D800" s="77" t="s">
        <v>2789</v>
      </c>
      <c r="E800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800" s="79" t="s">
        <v>248</v>
      </c>
      <c r="G800" s="79" t="s">
        <v>249</v>
      </c>
      <c r="H800" s="140" t="s">
        <v>2790</v>
      </c>
      <c r="I800" s="77" t="s">
        <v>536</v>
      </c>
      <c r="J800" s="144" t="s">
        <v>537</v>
      </c>
      <c r="K800" s="77" t="s">
        <v>169</v>
      </c>
      <c r="L800" s="103" t="str">
        <f>VLOOKUP(Anexo_4[[#This Row],[cod_doc]],TIPODOC,2,FALSE)</f>
        <v>FACTURA</v>
      </c>
      <c r="M800" s="77" t="s">
        <v>538</v>
      </c>
      <c r="N800" s="79">
        <v>6647</v>
      </c>
      <c r="O800" s="80">
        <v>559</v>
      </c>
      <c r="P800" s="81"/>
      <c r="Q800" s="81">
        <v>100.61999999999999</v>
      </c>
      <c r="R800" s="80"/>
      <c r="S800" s="80">
        <v>0</v>
      </c>
      <c r="T800" s="82">
        <v>659.62</v>
      </c>
      <c r="U800" s="77" t="s">
        <v>2791</v>
      </c>
      <c r="V800" s="75" t="s">
        <v>2662</v>
      </c>
      <c r="W800" s="77"/>
      <c r="X800" s="77"/>
      <c r="Y800" s="77" t="s">
        <v>2792</v>
      </c>
      <c r="Z800" s="77" t="s">
        <v>256</v>
      </c>
      <c r="AA800" s="83" t="s">
        <v>2790</v>
      </c>
      <c r="AB800" s="104" t="str">
        <f>IFERROR(VLOOKUP(Anexo_4[[#This Row],[cuenta]],OP,2,0),"-")</f>
        <v>Materias Primas - RRSS</v>
      </c>
    </row>
    <row r="801" spans="1:28" s="84" customFormat="1" ht="27" customHeight="1" x14ac:dyDescent="0.3">
      <c r="A801" s="75" t="s">
        <v>2780</v>
      </c>
      <c r="B801" s="36" t="str">
        <f t="shared" si="12"/>
        <v>Julio</v>
      </c>
      <c r="C801" s="77" t="s">
        <v>162</v>
      </c>
      <c r="D801" s="77" t="s">
        <v>2793</v>
      </c>
      <c r="E80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801" s="79" t="s">
        <v>248</v>
      </c>
      <c r="G801" s="79" t="s">
        <v>249</v>
      </c>
      <c r="H801" s="140" t="s">
        <v>2794</v>
      </c>
      <c r="I801" s="77" t="s">
        <v>536</v>
      </c>
      <c r="J801" s="144" t="s">
        <v>537</v>
      </c>
      <c r="K801" s="77" t="s">
        <v>169</v>
      </c>
      <c r="L801" s="103" t="str">
        <f>VLOOKUP(Anexo_4[[#This Row],[cod_doc]],TIPODOC,2,FALSE)</f>
        <v>FACTURA</v>
      </c>
      <c r="M801" s="77" t="s">
        <v>538</v>
      </c>
      <c r="N801" s="79">
        <v>6646</v>
      </c>
      <c r="O801" s="80">
        <v>11.7</v>
      </c>
      <c r="P801" s="81"/>
      <c r="Q801" s="81">
        <v>2.1059999999999999</v>
      </c>
      <c r="R801" s="80"/>
      <c r="S801" s="80">
        <v>0</v>
      </c>
      <c r="T801" s="82">
        <v>13.81</v>
      </c>
      <c r="U801" s="77" t="s">
        <v>2795</v>
      </c>
      <c r="V801" s="75" t="s">
        <v>2662</v>
      </c>
      <c r="W801" s="77"/>
      <c r="X801" s="77"/>
      <c r="Y801" s="77" t="s">
        <v>2796</v>
      </c>
      <c r="Z801" s="77" t="s">
        <v>256</v>
      </c>
      <c r="AA801" s="83" t="s">
        <v>2794</v>
      </c>
      <c r="AB801" s="104" t="str">
        <f>IFERROR(VLOOKUP(Anexo_4[[#This Row],[cuenta]],OP,2,0),"-")</f>
        <v>Materias Primas - RRSS</v>
      </c>
    </row>
    <row r="802" spans="1:28" s="84" customFormat="1" ht="27" customHeight="1" x14ac:dyDescent="0.3">
      <c r="A802" s="75" t="s">
        <v>2780</v>
      </c>
      <c r="B802" s="36" t="str">
        <f t="shared" si="12"/>
        <v>Julio</v>
      </c>
      <c r="C802" s="77" t="s">
        <v>162</v>
      </c>
      <c r="D802" s="77" t="s">
        <v>2797</v>
      </c>
      <c r="E80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802" s="79" t="s">
        <v>248</v>
      </c>
      <c r="G802" s="79" t="s">
        <v>249</v>
      </c>
      <c r="H802" s="140" t="s">
        <v>2798</v>
      </c>
      <c r="I802" s="77" t="s">
        <v>536</v>
      </c>
      <c r="J802" s="144" t="s">
        <v>537</v>
      </c>
      <c r="K802" s="77" t="s">
        <v>169</v>
      </c>
      <c r="L802" s="103" t="str">
        <f>VLOOKUP(Anexo_4[[#This Row],[cod_doc]],TIPODOC,2,FALSE)</f>
        <v>FACTURA</v>
      </c>
      <c r="M802" s="77" t="s">
        <v>538</v>
      </c>
      <c r="N802" s="79">
        <v>6648</v>
      </c>
      <c r="O802" s="80">
        <v>960</v>
      </c>
      <c r="P802" s="81"/>
      <c r="Q802" s="81">
        <v>172.79999999999998</v>
      </c>
      <c r="R802" s="80"/>
      <c r="S802" s="80">
        <v>0</v>
      </c>
      <c r="T802" s="82">
        <v>1132.8</v>
      </c>
      <c r="U802" s="77" t="s">
        <v>2799</v>
      </c>
      <c r="V802" s="75" t="s">
        <v>2662</v>
      </c>
      <c r="W802" s="77"/>
      <c r="X802" s="77"/>
      <c r="Y802" s="77" t="s">
        <v>2800</v>
      </c>
      <c r="Z802" s="77" t="s">
        <v>256</v>
      </c>
      <c r="AA802" s="83" t="s">
        <v>2798</v>
      </c>
      <c r="AB802" s="104" t="str">
        <f>IFERROR(VLOOKUP(Anexo_4[[#This Row],[cuenta]],OP,2,0),"-")</f>
        <v>Materias Primas - RRSS</v>
      </c>
    </row>
    <row r="803" spans="1:28" s="84" customFormat="1" ht="27" customHeight="1" x14ac:dyDescent="0.3">
      <c r="A803" s="75" t="s">
        <v>2780</v>
      </c>
      <c r="B803" s="36" t="str">
        <f t="shared" si="12"/>
        <v>Julio</v>
      </c>
      <c r="C803" s="77" t="s">
        <v>162</v>
      </c>
      <c r="D803" s="77" t="s">
        <v>2801</v>
      </c>
      <c r="E803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803" s="79" t="s">
        <v>248</v>
      </c>
      <c r="G803" s="79" t="s">
        <v>249</v>
      </c>
      <c r="H803" s="140" t="s">
        <v>2802</v>
      </c>
      <c r="I803" s="77" t="s">
        <v>536</v>
      </c>
      <c r="J803" s="144" t="s">
        <v>537</v>
      </c>
      <c r="K803" s="77" t="s">
        <v>169</v>
      </c>
      <c r="L803" s="103" t="str">
        <f>VLOOKUP(Anexo_4[[#This Row],[cod_doc]],TIPODOC,2,FALSE)</f>
        <v>FACTURA</v>
      </c>
      <c r="M803" s="77" t="s">
        <v>538</v>
      </c>
      <c r="N803" s="79">
        <v>6643</v>
      </c>
      <c r="O803" s="80">
        <v>189</v>
      </c>
      <c r="P803" s="81"/>
      <c r="Q803" s="81">
        <v>34.019999999999996</v>
      </c>
      <c r="R803" s="80"/>
      <c r="S803" s="80">
        <v>0</v>
      </c>
      <c r="T803" s="82">
        <v>223.02</v>
      </c>
      <c r="U803" s="77" t="s">
        <v>2803</v>
      </c>
      <c r="V803" s="75" t="s">
        <v>2662</v>
      </c>
      <c r="W803" s="77"/>
      <c r="X803" s="77"/>
      <c r="Y803" s="77" t="s">
        <v>2804</v>
      </c>
      <c r="Z803" s="77" t="s">
        <v>256</v>
      </c>
      <c r="AA803" s="83" t="s">
        <v>2802</v>
      </c>
      <c r="AB803" s="104" t="str">
        <f>IFERROR(VLOOKUP(Anexo_4[[#This Row],[cuenta]],OP,2,0),"-")</f>
        <v>Materias Primas - RRSS</v>
      </c>
    </row>
    <row r="804" spans="1:28" s="84" customFormat="1" ht="27" customHeight="1" x14ac:dyDescent="0.3">
      <c r="A804" s="75" t="s">
        <v>2780</v>
      </c>
      <c r="B804" s="36" t="str">
        <f t="shared" si="12"/>
        <v>Julio</v>
      </c>
      <c r="C804" s="77" t="s">
        <v>162</v>
      </c>
      <c r="D804" s="77" t="s">
        <v>2805</v>
      </c>
      <c r="E804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804" s="79" t="s">
        <v>248</v>
      </c>
      <c r="G804" s="79" t="s">
        <v>249</v>
      </c>
      <c r="H804" s="140" t="s">
        <v>2806</v>
      </c>
      <c r="I804" s="77" t="s">
        <v>980</v>
      </c>
      <c r="J804" s="144" t="s">
        <v>981</v>
      </c>
      <c r="K804" s="77" t="s">
        <v>169</v>
      </c>
      <c r="L804" s="103" t="str">
        <f>VLOOKUP(Anexo_4[[#This Row],[cod_doc]],TIPODOC,2,FALSE)</f>
        <v>FACTURA</v>
      </c>
      <c r="M804" s="77" t="s">
        <v>982</v>
      </c>
      <c r="N804" s="79">
        <v>1714</v>
      </c>
      <c r="O804" s="80">
        <v>195.25</v>
      </c>
      <c r="P804" s="81"/>
      <c r="Q804" s="81">
        <v>35.144999999999996</v>
      </c>
      <c r="R804" s="80"/>
      <c r="S804" s="80">
        <v>0</v>
      </c>
      <c r="T804" s="82">
        <v>230.39</v>
      </c>
      <c r="U804" s="77" t="s">
        <v>2807</v>
      </c>
      <c r="V804" s="75" t="s">
        <v>2662</v>
      </c>
      <c r="W804" s="77"/>
      <c r="X804" s="77"/>
      <c r="Y804" s="77" t="s">
        <v>2808</v>
      </c>
      <c r="Z804" s="77" t="s">
        <v>256</v>
      </c>
      <c r="AA804" s="83" t="s">
        <v>2806</v>
      </c>
      <c r="AB804" s="104" t="str">
        <f>IFERROR(VLOOKUP(Anexo_4[[#This Row],[cuenta]],OP,2,0),"-")</f>
        <v>Materias Primas - RRSS</v>
      </c>
    </row>
    <row r="805" spans="1:28" s="84" customFormat="1" ht="27" customHeight="1" x14ac:dyDescent="0.3">
      <c r="A805" s="75" t="s">
        <v>2780</v>
      </c>
      <c r="B805" s="36" t="str">
        <f t="shared" si="12"/>
        <v>Julio</v>
      </c>
      <c r="C805" s="77" t="s">
        <v>162</v>
      </c>
      <c r="D805" s="77" t="s">
        <v>2809</v>
      </c>
      <c r="E80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805" s="79" t="s">
        <v>248</v>
      </c>
      <c r="G805" s="79" t="s">
        <v>249</v>
      </c>
      <c r="H805" s="140" t="s">
        <v>2810</v>
      </c>
      <c r="I805" s="77" t="s">
        <v>980</v>
      </c>
      <c r="J805" s="144" t="s">
        <v>981</v>
      </c>
      <c r="K805" s="77" t="s">
        <v>169</v>
      </c>
      <c r="L805" s="103" t="str">
        <f>VLOOKUP(Anexo_4[[#This Row],[cod_doc]],TIPODOC,2,FALSE)</f>
        <v>FACTURA</v>
      </c>
      <c r="M805" s="77" t="s">
        <v>982</v>
      </c>
      <c r="N805" s="79">
        <v>1713</v>
      </c>
      <c r="O805" s="80">
        <v>223.73</v>
      </c>
      <c r="P805" s="81"/>
      <c r="Q805" s="81">
        <v>40.2714</v>
      </c>
      <c r="R805" s="80"/>
      <c r="S805" s="80">
        <v>0</v>
      </c>
      <c r="T805" s="82">
        <v>264</v>
      </c>
      <c r="U805" s="77" t="s">
        <v>2811</v>
      </c>
      <c r="V805" s="75" t="s">
        <v>2662</v>
      </c>
      <c r="W805" s="77"/>
      <c r="X805" s="77"/>
      <c r="Y805" s="77" t="s">
        <v>2812</v>
      </c>
      <c r="Z805" s="77" t="s">
        <v>256</v>
      </c>
      <c r="AA805" s="83" t="s">
        <v>2810</v>
      </c>
      <c r="AB805" s="104" t="str">
        <f>IFERROR(VLOOKUP(Anexo_4[[#This Row],[cuenta]],OP,2,0),"-")</f>
        <v>Materias Primas - RRSS</v>
      </c>
    </row>
    <row r="806" spans="1:28" s="84" customFormat="1" ht="27" customHeight="1" x14ac:dyDescent="0.3">
      <c r="A806" s="75" t="s">
        <v>2780</v>
      </c>
      <c r="B806" s="36" t="str">
        <f t="shared" si="12"/>
        <v>Julio</v>
      </c>
      <c r="C806" s="77" t="s">
        <v>162</v>
      </c>
      <c r="D806" s="77" t="s">
        <v>2813</v>
      </c>
      <c r="E80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806" s="79" t="s">
        <v>248</v>
      </c>
      <c r="G806" s="79" t="s">
        <v>249</v>
      </c>
      <c r="H806" s="140" t="s">
        <v>2814</v>
      </c>
      <c r="I806" s="77" t="s">
        <v>980</v>
      </c>
      <c r="J806" s="144" t="s">
        <v>981</v>
      </c>
      <c r="K806" s="77" t="s">
        <v>169</v>
      </c>
      <c r="L806" s="103" t="str">
        <f>VLOOKUP(Anexo_4[[#This Row],[cod_doc]],TIPODOC,2,FALSE)</f>
        <v>FACTURA</v>
      </c>
      <c r="M806" s="77" t="s">
        <v>982</v>
      </c>
      <c r="N806" s="79">
        <v>1712</v>
      </c>
      <c r="O806" s="80">
        <v>172.88</v>
      </c>
      <c r="P806" s="81"/>
      <c r="Q806" s="81">
        <v>31.118399999999998</v>
      </c>
      <c r="R806" s="80"/>
      <c r="S806" s="80">
        <v>0</v>
      </c>
      <c r="T806" s="82">
        <v>204</v>
      </c>
      <c r="U806" s="77" t="s">
        <v>2815</v>
      </c>
      <c r="V806" s="75" t="s">
        <v>2662</v>
      </c>
      <c r="W806" s="77"/>
      <c r="X806" s="77"/>
      <c r="Y806" s="77" t="s">
        <v>2816</v>
      </c>
      <c r="Z806" s="77" t="s">
        <v>256</v>
      </c>
      <c r="AA806" s="83" t="s">
        <v>2814</v>
      </c>
      <c r="AB806" s="104" t="str">
        <f>IFERROR(VLOOKUP(Anexo_4[[#This Row],[cuenta]],OP,2,0),"-")</f>
        <v>Materias Primas - RRSS</v>
      </c>
    </row>
    <row r="807" spans="1:28" s="84" customFormat="1" ht="27" customHeight="1" x14ac:dyDescent="0.3">
      <c r="A807" s="75" t="s">
        <v>2780</v>
      </c>
      <c r="B807" s="36" t="str">
        <f t="shared" si="12"/>
        <v>Julio</v>
      </c>
      <c r="C807" s="77" t="s">
        <v>162</v>
      </c>
      <c r="D807" s="77" t="s">
        <v>2817</v>
      </c>
      <c r="E807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807" s="79" t="s">
        <v>248</v>
      </c>
      <c r="G807" s="79" t="s">
        <v>249</v>
      </c>
      <c r="H807" s="140" t="s">
        <v>2818</v>
      </c>
      <c r="I807" s="77" t="s">
        <v>980</v>
      </c>
      <c r="J807" s="144" t="s">
        <v>981</v>
      </c>
      <c r="K807" s="77" t="s">
        <v>169</v>
      </c>
      <c r="L807" s="103" t="str">
        <f>VLOOKUP(Anexo_4[[#This Row],[cod_doc]],TIPODOC,2,FALSE)</f>
        <v>FACTURA</v>
      </c>
      <c r="M807" s="77" t="s">
        <v>982</v>
      </c>
      <c r="N807" s="79">
        <v>1711</v>
      </c>
      <c r="O807" s="80">
        <v>17.29</v>
      </c>
      <c r="P807" s="81"/>
      <c r="Q807" s="81">
        <v>3.1121999999999996</v>
      </c>
      <c r="R807" s="80"/>
      <c r="S807" s="80">
        <v>0</v>
      </c>
      <c r="T807" s="82">
        <v>20.399999999999999</v>
      </c>
      <c r="U807" s="77" t="s">
        <v>2819</v>
      </c>
      <c r="V807" s="75" t="s">
        <v>2662</v>
      </c>
      <c r="W807" s="77"/>
      <c r="X807" s="77"/>
      <c r="Y807" s="77" t="s">
        <v>2820</v>
      </c>
      <c r="Z807" s="77" t="s">
        <v>256</v>
      </c>
      <c r="AA807" s="83" t="s">
        <v>2818</v>
      </c>
      <c r="AB807" s="104" t="str">
        <f>IFERROR(VLOOKUP(Anexo_4[[#This Row],[cuenta]],OP,2,0),"-")</f>
        <v>Materias Primas - RRSS</v>
      </c>
    </row>
    <row r="808" spans="1:28" s="84" customFormat="1" ht="27" customHeight="1" x14ac:dyDescent="0.3">
      <c r="A808" s="75" t="s">
        <v>2564</v>
      </c>
      <c r="B808" s="36" t="str">
        <f t="shared" si="12"/>
        <v>Julio</v>
      </c>
      <c r="C808" s="77" t="s">
        <v>162</v>
      </c>
      <c r="D808" s="77" t="s">
        <v>2821</v>
      </c>
      <c r="E808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808" s="79" t="s">
        <v>248</v>
      </c>
      <c r="G808" s="79" t="s">
        <v>249</v>
      </c>
      <c r="H808" s="140" t="s">
        <v>2822</v>
      </c>
      <c r="I808" s="77" t="s">
        <v>625</v>
      </c>
      <c r="J808" s="144" t="s">
        <v>626</v>
      </c>
      <c r="K808" s="77" t="s">
        <v>169</v>
      </c>
      <c r="L808" s="103" t="str">
        <f>VLOOKUP(Anexo_4[[#This Row],[cod_doc]],TIPODOC,2,FALSE)</f>
        <v>FACTURA</v>
      </c>
      <c r="M808" s="77" t="s">
        <v>180</v>
      </c>
      <c r="N808" s="79">
        <v>16476</v>
      </c>
      <c r="O808" s="80">
        <v>215.74</v>
      </c>
      <c r="P808" s="81"/>
      <c r="Q808" s="81">
        <v>38.833199999999998</v>
      </c>
      <c r="R808" s="80"/>
      <c r="S808" s="80">
        <v>0</v>
      </c>
      <c r="T808" s="82">
        <v>254.58</v>
      </c>
      <c r="U808" s="77" t="s">
        <v>2823</v>
      </c>
      <c r="V808" s="75" t="s">
        <v>1786</v>
      </c>
      <c r="W808" s="77"/>
      <c r="X808" s="77"/>
      <c r="Y808" s="77" t="s">
        <v>2824</v>
      </c>
      <c r="Z808" s="77" t="s">
        <v>256</v>
      </c>
      <c r="AA808" s="83" t="s">
        <v>2822</v>
      </c>
      <c r="AB808" s="104" t="str">
        <f>IFERROR(VLOOKUP(Anexo_4[[#This Row],[cuenta]],OP,2,0),"-")</f>
        <v>Materias Primas - RRSS</v>
      </c>
    </row>
    <row r="809" spans="1:28" s="84" customFormat="1" ht="27" customHeight="1" x14ac:dyDescent="0.3">
      <c r="A809" s="75" t="s">
        <v>2780</v>
      </c>
      <c r="B809" s="36" t="str">
        <f t="shared" si="12"/>
        <v>Julio</v>
      </c>
      <c r="C809" s="77" t="s">
        <v>162</v>
      </c>
      <c r="D809" s="77" t="s">
        <v>2825</v>
      </c>
      <c r="E809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809" s="79" t="s">
        <v>248</v>
      </c>
      <c r="G809" s="79" t="s">
        <v>249</v>
      </c>
      <c r="H809" s="140" t="s">
        <v>2826</v>
      </c>
      <c r="I809" s="77" t="s">
        <v>625</v>
      </c>
      <c r="J809" s="144" t="s">
        <v>626</v>
      </c>
      <c r="K809" s="77" t="s">
        <v>169</v>
      </c>
      <c r="L809" s="103" t="str">
        <f>VLOOKUP(Anexo_4[[#This Row],[cod_doc]],TIPODOC,2,FALSE)</f>
        <v>FACTURA</v>
      </c>
      <c r="M809" s="77" t="s">
        <v>180</v>
      </c>
      <c r="N809" s="79">
        <v>16500</v>
      </c>
      <c r="O809" s="80">
        <v>323.08</v>
      </c>
      <c r="P809" s="81"/>
      <c r="Q809" s="81">
        <v>58.154399999999995</v>
      </c>
      <c r="R809" s="80"/>
      <c r="S809" s="80">
        <v>0</v>
      </c>
      <c r="T809" s="82">
        <v>381.24</v>
      </c>
      <c r="U809" s="77" t="s">
        <v>2827</v>
      </c>
      <c r="V809" s="75" t="s">
        <v>1786</v>
      </c>
      <c r="W809" s="77"/>
      <c r="X809" s="77"/>
      <c r="Y809" s="77" t="s">
        <v>2828</v>
      </c>
      <c r="Z809" s="77" t="s">
        <v>256</v>
      </c>
      <c r="AA809" s="83" t="s">
        <v>2826</v>
      </c>
      <c r="AB809" s="104" t="str">
        <f>IFERROR(VLOOKUP(Anexo_4[[#This Row],[cuenta]],OP,2,0),"-")</f>
        <v>Materias Primas - RRSS</v>
      </c>
    </row>
    <row r="810" spans="1:28" s="84" customFormat="1" ht="27" customHeight="1" x14ac:dyDescent="0.3">
      <c r="A810" s="75" t="s">
        <v>1780</v>
      </c>
      <c r="B810" s="36" t="str">
        <f t="shared" si="12"/>
        <v>Julio</v>
      </c>
      <c r="C810" s="77" t="s">
        <v>162</v>
      </c>
      <c r="D810" s="77" t="s">
        <v>2829</v>
      </c>
      <c r="E810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810" s="79" t="s">
        <v>248</v>
      </c>
      <c r="G810" s="79" t="s">
        <v>249</v>
      </c>
      <c r="H810" s="140" t="s">
        <v>2830</v>
      </c>
      <c r="I810" s="77" t="s">
        <v>625</v>
      </c>
      <c r="J810" s="144" t="s">
        <v>626</v>
      </c>
      <c r="K810" s="77" t="s">
        <v>169</v>
      </c>
      <c r="L810" s="103" t="str">
        <f>VLOOKUP(Anexo_4[[#This Row],[cod_doc]],TIPODOC,2,FALSE)</f>
        <v>FACTURA</v>
      </c>
      <c r="M810" s="77" t="s">
        <v>180</v>
      </c>
      <c r="N810" s="79">
        <v>16480</v>
      </c>
      <c r="O810" s="80">
        <v>78.95</v>
      </c>
      <c r="P810" s="81"/>
      <c r="Q810" s="81">
        <v>14.211</v>
      </c>
      <c r="R810" s="80"/>
      <c r="S810" s="80">
        <v>0</v>
      </c>
      <c r="T810" s="82">
        <v>93.17</v>
      </c>
      <c r="U810" s="77" t="s">
        <v>2831</v>
      </c>
      <c r="V810" s="75" t="s">
        <v>1786</v>
      </c>
      <c r="W810" s="77"/>
      <c r="X810" s="77"/>
      <c r="Y810" s="77" t="s">
        <v>2832</v>
      </c>
      <c r="Z810" s="77" t="s">
        <v>256</v>
      </c>
      <c r="AA810" s="83" t="s">
        <v>2830</v>
      </c>
      <c r="AB810" s="104" t="str">
        <f>IFERROR(VLOOKUP(Anexo_4[[#This Row],[cuenta]],OP,2,0),"-")</f>
        <v>Materias Primas - RRSS</v>
      </c>
    </row>
    <row r="811" spans="1:28" s="84" customFormat="1" ht="27" customHeight="1" x14ac:dyDescent="0.3">
      <c r="A811" s="75" t="s">
        <v>2780</v>
      </c>
      <c r="B811" s="36" t="str">
        <f t="shared" si="12"/>
        <v>Julio</v>
      </c>
      <c r="C811" s="77" t="s">
        <v>162</v>
      </c>
      <c r="D811" s="77" t="s">
        <v>2833</v>
      </c>
      <c r="E81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811" s="79" t="s">
        <v>248</v>
      </c>
      <c r="G811" s="79" t="s">
        <v>249</v>
      </c>
      <c r="H811" s="140" t="s">
        <v>2834</v>
      </c>
      <c r="I811" s="77" t="s">
        <v>625</v>
      </c>
      <c r="J811" s="144" t="s">
        <v>626</v>
      </c>
      <c r="K811" s="77" t="s">
        <v>169</v>
      </c>
      <c r="L811" s="103" t="str">
        <f>VLOOKUP(Anexo_4[[#This Row],[cod_doc]],TIPODOC,2,FALSE)</f>
        <v>FACTURA</v>
      </c>
      <c r="M811" s="77" t="s">
        <v>180</v>
      </c>
      <c r="N811" s="79">
        <v>16501</v>
      </c>
      <c r="O811" s="80">
        <v>151.91</v>
      </c>
      <c r="P811" s="81"/>
      <c r="Q811" s="81">
        <v>27.343799999999998</v>
      </c>
      <c r="R811" s="80"/>
      <c r="S811" s="80">
        <v>0</v>
      </c>
      <c r="T811" s="82">
        <v>179.26</v>
      </c>
      <c r="U811" s="77" t="s">
        <v>2835</v>
      </c>
      <c r="V811" s="75" t="s">
        <v>1786</v>
      </c>
      <c r="W811" s="77"/>
      <c r="X811" s="77"/>
      <c r="Y811" s="77" t="s">
        <v>2836</v>
      </c>
      <c r="Z811" s="77" t="s">
        <v>256</v>
      </c>
      <c r="AA811" s="83" t="s">
        <v>2834</v>
      </c>
      <c r="AB811" s="104" t="str">
        <f>IFERROR(VLOOKUP(Anexo_4[[#This Row],[cuenta]],OP,2,0),"-")</f>
        <v>Materias Primas - RRSS</v>
      </c>
    </row>
    <row r="812" spans="1:28" s="84" customFormat="1" ht="27" customHeight="1" x14ac:dyDescent="0.3">
      <c r="A812" s="75" t="s">
        <v>2837</v>
      </c>
      <c r="B812" s="36" t="str">
        <f t="shared" si="12"/>
        <v>Julio</v>
      </c>
      <c r="C812" s="77" t="s">
        <v>162</v>
      </c>
      <c r="D812" s="77" t="s">
        <v>2838</v>
      </c>
      <c r="E81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812" s="79" t="s">
        <v>248</v>
      </c>
      <c r="G812" s="79" t="s">
        <v>249</v>
      </c>
      <c r="H812" s="140" t="s">
        <v>2839</v>
      </c>
      <c r="I812" s="77" t="s">
        <v>1111</v>
      </c>
      <c r="J812" s="144" t="s">
        <v>1112</v>
      </c>
      <c r="K812" s="77" t="s">
        <v>169</v>
      </c>
      <c r="L812" s="103" t="str">
        <f>VLOOKUP(Anexo_4[[#This Row],[cod_doc]],TIPODOC,2,FALSE)</f>
        <v>FACTURA</v>
      </c>
      <c r="M812" s="77" t="s">
        <v>1113</v>
      </c>
      <c r="N812" s="79">
        <v>6951</v>
      </c>
      <c r="O812" s="80">
        <v>2241.5300000000002</v>
      </c>
      <c r="P812" s="81"/>
      <c r="Q812" s="81">
        <v>403.47540000000004</v>
      </c>
      <c r="R812" s="80"/>
      <c r="S812" s="80">
        <v>0</v>
      </c>
      <c r="T812" s="82">
        <v>2645</v>
      </c>
      <c r="U812" s="77" t="s">
        <v>2840</v>
      </c>
      <c r="V812" s="75" t="s">
        <v>2662</v>
      </c>
      <c r="W812" s="77"/>
      <c r="X812" s="77"/>
      <c r="Y812" s="77" t="s">
        <v>2841</v>
      </c>
      <c r="Z812" s="77" t="s">
        <v>256</v>
      </c>
      <c r="AA812" s="83" t="s">
        <v>2839</v>
      </c>
      <c r="AB812" s="104" t="str">
        <f>IFERROR(VLOOKUP(Anexo_4[[#This Row],[cuenta]],OP,2,0),"-")</f>
        <v>Materias Primas - RRSS</v>
      </c>
    </row>
    <row r="813" spans="1:28" s="84" customFormat="1" ht="27" customHeight="1" x14ac:dyDescent="0.3">
      <c r="A813" s="75" t="s">
        <v>2837</v>
      </c>
      <c r="B813" s="36" t="str">
        <f t="shared" si="12"/>
        <v>Julio</v>
      </c>
      <c r="C813" s="77" t="s">
        <v>162</v>
      </c>
      <c r="D813" s="77" t="s">
        <v>2842</v>
      </c>
      <c r="E813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813" s="79" t="s">
        <v>248</v>
      </c>
      <c r="G813" s="79" t="s">
        <v>249</v>
      </c>
      <c r="H813" s="140" t="s">
        <v>2843</v>
      </c>
      <c r="I813" s="77" t="s">
        <v>1111</v>
      </c>
      <c r="J813" s="144" t="s">
        <v>1112</v>
      </c>
      <c r="K813" s="77" t="s">
        <v>169</v>
      </c>
      <c r="L813" s="103" t="str">
        <f>VLOOKUP(Anexo_4[[#This Row],[cod_doc]],TIPODOC,2,FALSE)</f>
        <v>FACTURA</v>
      </c>
      <c r="M813" s="77" t="s">
        <v>1113</v>
      </c>
      <c r="N813" s="79">
        <v>6950</v>
      </c>
      <c r="O813" s="80">
        <v>692.37</v>
      </c>
      <c r="P813" s="81"/>
      <c r="Q813" s="81">
        <v>124.6266</v>
      </c>
      <c r="R813" s="80"/>
      <c r="S813" s="80">
        <v>0</v>
      </c>
      <c r="T813" s="82">
        <v>817</v>
      </c>
      <c r="U813" s="77" t="s">
        <v>2844</v>
      </c>
      <c r="V813" s="75" t="s">
        <v>2662</v>
      </c>
      <c r="W813" s="77"/>
      <c r="X813" s="77"/>
      <c r="Y813" s="77" t="s">
        <v>2235</v>
      </c>
      <c r="Z813" s="77" t="s">
        <v>256</v>
      </c>
      <c r="AA813" s="83" t="s">
        <v>2843</v>
      </c>
      <c r="AB813" s="104" t="str">
        <f>IFERROR(VLOOKUP(Anexo_4[[#This Row],[cuenta]],OP,2,0),"-")</f>
        <v>Materias Primas - RRSS</v>
      </c>
    </row>
    <row r="814" spans="1:28" s="84" customFormat="1" ht="27" customHeight="1" x14ac:dyDescent="0.3">
      <c r="A814" s="75" t="s">
        <v>2837</v>
      </c>
      <c r="B814" s="36" t="str">
        <f t="shared" si="12"/>
        <v>Julio</v>
      </c>
      <c r="C814" s="77" t="s">
        <v>162</v>
      </c>
      <c r="D814" s="77" t="s">
        <v>2845</v>
      </c>
      <c r="E814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814" s="79" t="s">
        <v>248</v>
      </c>
      <c r="G814" s="79" t="s">
        <v>249</v>
      </c>
      <c r="H814" s="140" t="s">
        <v>2846</v>
      </c>
      <c r="I814" s="77" t="s">
        <v>980</v>
      </c>
      <c r="J814" s="144" t="s">
        <v>981</v>
      </c>
      <c r="K814" s="77" t="s">
        <v>169</v>
      </c>
      <c r="L814" s="103" t="str">
        <f>VLOOKUP(Anexo_4[[#This Row],[cod_doc]],TIPODOC,2,FALSE)</f>
        <v>FACTURA</v>
      </c>
      <c r="M814" s="77" t="s">
        <v>982</v>
      </c>
      <c r="N814" s="79">
        <v>1715</v>
      </c>
      <c r="O814" s="80">
        <v>147.46</v>
      </c>
      <c r="P814" s="81"/>
      <c r="Q814" s="81">
        <v>26.5428</v>
      </c>
      <c r="R814" s="80"/>
      <c r="S814" s="80">
        <v>0</v>
      </c>
      <c r="T814" s="82">
        <v>174</v>
      </c>
      <c r="U814" s="77" t="s">
        <v>2847</v>
      </c>
      <c r="V814" s="75" t="s">
        <v>2662</v>
      </c>
      <c r="W814" s="77"/>
      <c r="X814" s="77"/>
      <c r="Y814" s="77" t="s">
        <v>2848</v>
      </c>
      <c r="Z814" s="77" t="s">
        <v>256</v>
      </c>
      <c r="AA814" s="83" t="s">
        <v>2846</v>
      </c>
      <c r="AB814" s="104" t="str">
        <f>IFERROR(VLOOKUP(Anexo_4[[#This Row],[cuenta]],OP,2,0),"-")</f>
        <v>Materias Primas - RRSS</v>
      </c>
    </row>
    <row r="815" spans="1:28" s="84" customFormat="1" ht="27" customHeight="1" x14ac:dyDescent="0.3">
      <c r="A815" s="75" t="s">
        <v>2453</v>
      </c>
      <c r="B815" s="36" t="str">
        <f t="shared" si="12"/>
        <v>Julio</v>
      </c>
      <c r="C815" s="77" t="s">
        <v>162</v>
      </c>
      <c r="D815" s="77" t="s">
        <v>2849</v>
      </c>
      <c r="E815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815" s="79" t="s">
        <v>164</v>
      </c>
      <c r="G815" s="79" t="s">
        <v>165</v>
      </c>
      <c r="H815" s="140" t="s">
        <v>2850</v>
      </c>
      <c r="I815" s="77" t="s">
        <v>971</v>
      </c>
      <c r="J815" s="144" t="s">
        <v>972</v>
      </c>
      <c r="K815" s="77" t="s">
        <v>169</v>
      </c>
      <c r="L815" s="103" t="str">
        <f>VLOOKUP(Anexo_4[[#This Row],[cod_doc]],TIPODOC,2,FALSE)</f>
        <v>FACTURA</v>
      </c>
      <c r="M815" s="77" t="s">
        <v>973</v>
      </c>
      <c r="N815" s="79">
        <v>305475</v>
      </c>
      <c r="O815" s="80">
        <v>449.5</v>
      </c>
      <c r="P815" s="81"/>
      <c r="Q815" s="81">
        <v>80.91</v>
      </c>
      <c r="R815" s="80"/>
      <c r="S815" s="80">
        <v>0</v>
      </c>
      <c r="T815" s="82">
        <v>530.41</v>
      </c>
      <c r="U815" s="77"/>
      <c r="V815" s="75"/>
      <c r="W815" s="77"/>
      <c r="X815" s="77"/>
      <c r="Y815" s="77"/>
      <c r="Z815" s="77" t="s">
        <v>974</v>
      </c>
      <c r="AA815" s="83" t="s">
        <v>2850</v>
      </c>
      <c r="AB815" s="104" t="str">
        <f>IFERROR(VLOOKUP(Anexo_4[[#This Row],[cuenta]],OP,2,0),"-")</f>
        <v>-</v>
      </c>
    </row>
    <row r="816" spans="1:28" s="84" customFormat="1" ht="27" customHeight="1" x14ac:dyDescent="0.3">
      <c r="A816" s="75" t="s">
        <v>2453</v>
      </c>
      <c r="B816" s="36" t="str">
        <f t="shared" si="12"/>
        <v>Julio</v>
      </c>
      <c r="C816" s="77" t="s">
        <v>162</v>
      </c>
      <c r="D816" s="77" t="s">
        <v>2851</v>
      </c>
      <c r="E816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816" s="79" t="s">
        <v>164</v>
      </c>
      <c r="G816" s="79" t="s">
        <v>165</v>
      </c>
      <c r="H816" s="140" t="s">
        <v>2850</v>
      </c>
      <c r="I816" s="77" t="s">
        <v>971</v>
      </c>
      <c r="J816" s="144" t="s">
        <v>972</v>
      </c>
      <c r="K816" s="77" t="s">
        <v>169</v>
      </c>
      <c r="L816" s="103" t="str">
        <f>VLOOKUP(Anexo_4[[#This Row],[cod_doc]],TIPODOC,2,FALSE)</f>
        <v>FACTURA</v>
      </c>
      <c r="M816" s="77" t="s">
        <v>973</v>
      </c>
      <c r="N816" s="79">
        <v>305477</v>
      </c>
      <c r="O816" s="80">
        <v>17.600000000000001</v>
      </c>
      <c r="P816" s="81"/>
      <c r="Q816" s="81">
        <v>3.1680000000000001</v>
      </c>
      <c r="R816" s="80"/>
      <c r="S816" s="80">
        <v>0</v>
      </c>
      <c r="T816" s="82">
        <v>20.77</v>
      </c>
      <c r="U816" s="77"/>
      <c r="V816" s="75"/>
      <c r="W816" s="77"/>
      <c r="X816" s="77"/>
      <c r="Y816" s="77"/>
      <c r="Z816" s="77" t="s">
        <v>974</v>
      </c>
      <c r="AA816" s="83" t="s">
        <v>2850</v>
      </c>
      <c r="AB816" s="104" t="str">
        <f>IFERROR(VLOOKUP(Anexo_4[[#This Row],[cuenta]],OP,2,0),"-")</f>
        <v>-</v>
      </c>
    </row>
    <row r="817" spans="1:28" s="84" customFormat="1" ht="27" customHeight="1" x14ac:dyDescent="0.3">
      <c r="A817" s="75" t="s">
        <v>2453</v>
      </c>
      <c r="B817" s="36" t="str">
        <f t="shared" si="12"/>
        <v>Julio</v>
      </c>
      <c r="C817" s="77" t="s">
        <v>162</v>
      </c>
      <c r="D817" s="77" t="s">
        <v>2852</v>
      </c>
      <c r="E817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817" s="79" t="s">
        <v>164</v>
      </c>
      <c r="G817" s="79" t="s">
        <v>165</v>
      </c>
      <c r="H817" s="140" t="s">
        <v>2853</v>
      </c>
      <c r="I817" s="77" t="s">
        <v>971</v>
      </c>
      <c r="J817" s="144" t="s">
        <v>972</v>
      </c>
      <c r="K817" s="77" t="s">
        <v>169</v>
      </c>
      <c r="L817" s="103" t="str">
        <f>VLOOKUP(Anexo_4[[#This Row],[cod_doc]],TIPODOC,2,FALSE)</f>
        <v>FACTURA</v>
      </c>
      <c r="M817" s="77" t="s">
        <v>973</v>
      </c>
      <c r="N817" s="79">
        <v>305476</v>
      </c>
      <c r="O817" s="80">
        <v>29.97</v>
      </c>
      <c r="P817" s="81"/>
      <c r="Q817" s="81">
        <v>5.3945999999999996</v>
      </c>
      <c r="R817" s="80"/>
      <c r="S817" s="80">
        <v>0</v>
      </c>
      <c r="T817" s="82">
        <v>35.36</v>
      </c>
      <c r="U817" s="77"/>
      <c r="V817" s="75"/>
      <c r="W817" s="77"/>
      <c r="X817" s="77"/>
      <c r="Y817" s="77"/>
      <c r="Z817" s="77" t="s">
        <v>974</v>
      </c>
      <c r="AA817" s="83" t="s">
        <v>2853</v>
      </c>
      <c r="AB817" s="104" t="str">
        <f>IFERROR(VLOOKUP(Anexo_4[[#This Row],[cuenta]],OP,2,0),"-")</f>
        <v>-</v>
      </c>
    </row>
    <row r="818" spans="1:28" s="84" customFormat="1" ht="27" customHeight="1" x14ac:dyDescent="0.3">
      <c r="A818" s="75" t="s">
        <v>2110</v>
      </c>
      <c r="B818" s="36" t="str">
        <f t="shared" si="12"/>
        <v>Julio</v>
      </c>
      <c r="C818" s="77" t="s">
        <v>162</v>
      </c>
      <c r="D818" s="77" t="s">
        <v>2854</v>
      </c>
      <c r="E818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818" s="79" t="s">
        <v>164</v>
      </c>
      <c r="G818" s="79" t="s">
        <v>165</v>
      </c>
      <c r="H818" s="140" t="s">
        <v>2850</v>
      </c>
      <c r="I818" s="77" t="s">
        <v>971</v>
      </c>
      <c r="J818" s="144" t="s">
        <v>972</v>
      </c>
      <c r="K818" s="77" t="s">
        <v>439</v>
      </c>
      <c r="L818" s="103" t="str">
        <f>VLOOKUP(Anexo_4[[#This Row],[cod_doc]],TIPODOC,2,FALSE)</f>
        <v>RECIBO POR SERV. PUBLICOS</v>
      </c>
      <c r="M818" s="77" t="s">
        <v>1048</v>
      </c>
      <c r="N818" s="79">
        <v>552867336</v>
      </c>
      <c r="O818" s="80">
        <v>913.18</v>
      </c>
      <c r="P818" s="81"/>
      <c r="Q818" s="81">
        <v>164.3724</v>
      </c>
      <c r="R818" s="80"/>
      <c r="S818" s="80">
        <v>0</v>
      </c>
      <c r="T818" s="82">
        <v>1077.55</v>
      </c>
      <c r="U818" s="77"/>
      <c r="V818" s="75"/>
      <c r="W818" s="77"/>
      <c r="X818" s="77"/>
      <c r="Y818" s="77"/>
      <c r="Z818" s="77" t="s">
        <v>974</v>
      </c>
      <c r="AA818" s="83" t="s">
        <v>2850</v>
      </c>
      <c r="AB818" s="104" t="str">
        <f>IFERROR(VLOOKUP(Anexo_4[[#This Row],[cuenta]],OP,2,0),"-")</f>
        <v>-</v>
      </c>
    </row>
    <row r="819" spans="1:28" s="84" customFormat="1" ht="27" customHeight="1" x14ac:dyDescent="0.3">
      <c r="A819" s="75" t="s">
        <v>1623</v>
      </c>
      <c r="B819" s="36" t="str">
        <f t="shared" si="12"/>
        <v>Julio</v>
      </c>
      <c r="C819" s="77" t="s">
        <v>162</v>
      </c>
      <c r="D819" s="77" t="s">
        <v>2855</v>
      </c>
      <c r="E819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819" s="79"/>
      <c r="G819" s="79"/>
      <c r="H819" s="140"/>
      <c r="I819" s="77" t="s">
        <v>643</v>
      </c>
      <c r="J819" s="144" t="s">
        <v>644</v>
      </c>
      <c r="K819" s="77" t="s">
        <v>169</v>
      </c>
      <c r="L819" s="103" t="str">
        <f>VLOOKUP(Anexo_4[[#This Row],[cod_doc]],TIPODOC,2,FALSE)</f>
        <v>FACTURA</v>
      </c>
      <c r="M819" s="77" t="s">
        <v>102</v>
      </c>
      <c r="N819" s="79" t="s">
        <v>2856</v>
      </c>
      <c r="O819" s="80">
        <v>340</v>
      </c>
      <c r="P819" s="81"/>
      <c r="Q819" s="81">
        <v>61.2</v>
      </c>
      <c r="R819" s="80"/>
      <c r="S819" s="80">
        <v>0</v>
      </c>
      <c r="T819" s="82">
        <v>401.2</v>
      </c>
      <c r="U819" s="77"/>
      <c r="V819" s="75"/>
      <c r="W819" s="77"/>
      <c r="X819" s="77"/>
      <c r="Y819" s="77"/>
      <c r="Z819" s="77"/>
      <c r="AA819" s="83"/>
      <c r="AB819" s="104" t="str">
        <f>IFERROR(VLOOKUP(Anexo_4[[#This Row],[cuenta]],OP,2,0),"-")</f>
        <v>-</v>
      </c>
    </row>
    <row r="820" spans="1:28" s="84" customFormat="1" ht="27" customHeight="1" x14ac:dyDescent="0.3">
      <c r="A820" s="75" t="s">
        <v>2680</v>
      </c>
      <c r="B820" s="36" t="str">
        <f t="shared" si="12"/>
        <v>Julio</v>
      </c>
      <c r="C820" s="77" t="s">
        <v>162</v>
      </c>
      <c r="D820" s="77" t="s">
        <v>2857</v>
      </c>
      <c r="E820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820" s="79" t="s">
        <v>650</v>
      </c>
      <c r="G820" s="79" t="s">
        <v>651</v>
      </c>
      <c r="H820" s="140" t="s">
        <v>2858</v>
      </c>
      <c r="I820" s="77" t="s">
        <v>653</v>
      </c>
      <c r="J820" s="144" t="s">
        <v>654</v>
      </c>
      <c r="K820" s="77" t="s">
        <v>169</v>
      </c>
      <c r="L820" s="103" t="str">
        <f>VLOOKUP(Anexo_4[[#This Row],[cod_doc]],TIPODOC,2,FALSE)</f>
        <v>FACTURA</v>
      </c>
      <c r="M820" s="77" t="s">
        <v>1042</v>
      </c>
      <c r="N820" s="79">
        <v>11434</v>
      </c>
      <c r="O820" s="80">
        <v>219</v>
      </c>
      <c r="P820" s="81"/>
      <c r="Q820" s="81">
        <v>39.42</v>
      </c>
      <c r="R820" s="80"/>
      <c r="S820" s="80">
        <v>0</v>
      </c>
      <c r="T820" s="82">
        <v>258.42</v>
      </c>
      <c r="U820" s="77"/>
      <c r="V820" s="75"/>
      <c r="W820" s="77"/>
      <c r="X820" s="77"/>
      <c r="Y820" s="77"/>
      <c r="Z820" s="77" t="s">
        <v>1602</v>
      </c>
      <c r="AA820" s="83" t="s">
        <v>2858</v>
      </c>
      <c r="AB820" s="104" t="str">
        <f>IFERROR(VLOOKUP(Anexo_4[[#This Row],[cuenta]],OP,2,0),"-")</f>
        <v>Ingreso</v>
      </c>
    </row>
    <row r="821" spans="1:28" s="84" customFormat="1" ht="27" customHeight="1" x14ac:dyDescent="0.3">
      <c r="A821" s="75" t="s">
        <v>1780</v>
      </c>
      <c r="B821" s="36" t="str">
        <f t="shared" si="12"/>
        <v>Julio</v>
      </c>
      <c r="C821" s="77" t="s">
        <v>162</v>
      </c>
      <c r="D821" s="77" t="s">
        <v>2859</v>
      </c>
      <c r="E821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821" s="79" t="s">
        <v>650</v>
      </c>
      <c r="G821" s="79" t="s">
        <v>651</v>
      </c>
      <c r="H821" s="140" t="s">
        <v>2860</v>
      </c>
      <c r="I821" s="77" t="s">
        <v>653</v>
      </c>
      <c r="J821" s="144" t="s">
        <v>654</v>
      </c>
      <c r="K821" s="77" t="s">
        <v>169</v>
      </c>
      <c r="L821" s="103" t="str">
        <f>VLOOKUP(Anexo_4[[#This Row],[cod_doc]],TIPODOC,2,FALSE)</f>
        <v>FACTURA</v>
      </c>
      <c r="M821" s="77" t="s">
        <v>655</v>
      </c>
      <c r="N821" s="79">
        <v>16209</v>
      </c>
      <c r="O821" s="80">
        <v>438</v>
      </c>
      <c r="P821" s="81"/>
      <c r="Q821" s="81">
        <v>78.84</v>
      </c>
      <c r="R821" s="80"/>
      <c r="S821" s="80">
        <v>0</v>
      </c>
      <c r="T821" s="82">
        <v>516.84</v>
      </c>
      <c r="U821" s="77"/>
      <c r="V821" s="75"/>
      <c r="W821" s="77"/>
      <c r="X821" s="77"/>
      <c r="Y821" s="77"/>
      <c r="Z821" s="77" t="s">
        <v>1602</v>
      </c>
      <c r="AA821" s="83" t="s">
        <v>2860</v>
      </c>
      <c r="AB821" s="104" t="str">
        <f>IFERROR(VLOOKUP(Anexo_4[[#This Row],[cuenta]],OP,2,0),"-")</f>
        <v>Ingreso</v>
      </c>
    </row>
    <row r="822" spans="1:28" s="84" customFormat="1" ht="27" customHeight="1" x14ac:dyDescent="0.3">
      <c r="A822" s="75" t="s">
        <v>2564</v>
      </c>
      <c r="B822" s="36" t="str">
        <f t="shared" si="12"/>
        <v>Julio</v>
      </c>
      <c r="C822" s="77" t="s">
        <v>162</v>
      </c>
      <c r="D822" s="77" t="s">
        <v>2861</v>
      </c>
      <c r="E822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822" s="79" t="s">
        <v>650</v>
      </c>
      <c r="G822" s="79" t="s">
        <v>651</v>
      </c>
      <c r="H822" s="140" t="s">
        <v>2862</v>
      </c>
      <c r="I822" s="77" t="s">
        <v>653</v>
      </c>
      <c r="J822" s="144" t="s">
        <v>654</v>
      </c>
      <c r="K822" s="77" t="s">
        <v>169</v>
      </c>
      <c r="L822" s="103" t="str">
        <f>VLOOKUP(Anexo_4[[#This Row],[cod_doc]],TIPODOC,2,FALSE)</f>
        <v>FACTURA</v>
      </c>
      <c r="M822" s="77" t="s">
        <v>655</v>
      </c>
      <c r="N822" s="79">
        <v>16201</v>
      </c>
      <c r="O822" s="80">
        <v>219</v>
      </c>
      <c r="P822" s="81"/>
      <c r="Q822" s="81">
        <v>39.42</v>
      </c>
      <c r="R822" s="80"/>
      <c r="S822" s="80">
        <v>0</v>
      </c>
      <c r="T822" s="82">
        <v>258.42</v>
      </c>
      <c r="U822" s="77"/>
      <c r="V822" s="75"/>
      <c r="W822" s="77"/>
      <c r="X822" s="77"/>
      <c r="Y822" s="77"/>
      <c r="Z822" s="77" t="s">
        <v>1602</v>
      </c>
      <c r="AA822" s="83" t="s">
        <v>2862</v>
      </c>
      <c r="AB822" s="104" t="str">
        <f>IFERROR(VLOOKUP(Anexo_4[[#This Row],[cuenta]],OP,2,0),"-")</f>
        <v>Ingreso</v>
      </c>
    </row>
    <row r="823" spans="1:28" s="84" customFormat="1" ht="27" customHeight="1" x14ac:dyDescent="0.3">
      <c r="A823" s="75" t="s">
        <v>2837</v>
      </c>
      <c r="B823" s="36" t="str">
        <f t="shared" si="12"/>
        <v>Julio</v>
      </c>
      <c r="C823" s="77" t="s">
        <v>162</v>
      </c>
      <c r="D823" s="77" t="s">
        <v>2863</v>
      </c>
      <c r="E823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823" s="79" t="s">
        <v>953</v>
      </c>
      <c r="G823" s="79" t="s">
        <v>954</v>
      </c>
      <c r="H823" s="140" t="s">
        <v>2864</v>
      </c>
      <c r="I823" s="77" t="s">
        <v>956</v>
      </c>
      <c r="J823" s="144" t="s">
        <v>957</v>
      </c>
      <c r="K823" s="77" t="s">
        <v>169</v>
      </c>
      <c r="L823" s="103" t="str">
        <f>VLOOKUP(Anexo_4[[#This Row],[cod_doc]],TIPODOC,2,FALSE)</f>
        <v>FACTURA</v>
      </c>
      <c r="M823" s="77" t="s">
        <v>102</v>
      </c>
      <c r="N823" s="79">
        <v>485</v>
      </c>
      <c r="O823" s="80">
        <v>300</v>
      </c>
      <c r="P823" s="81"/>
      <c r="Q823" s="81">
        <v>54</v>
      </c>
      <c r="R823" s="80"/>
      <c r="S823" s="80">
        <v>0</v>
      </c>
      <c r="T823" s="82">
        <v>354</v>
      </c>
      <c r="U823" s="77"/>
      <c r="V823" s="75"/>
      <c r="W823" s="77"/>
      <c r="X823" s="77"/>
      <c r="Y823" s="77"/>
      <c r="Z823" s="77" t="s">
        <v>958</v>
      </c>
      <c r="AA823" s="83" t="s">
        <v>2864</v>
      </c>
      <c r="AB823" s="104" t="str">
        <f>IFERROR(VLOOKUP(Anexo_4[[#This Row],[cuenta]],OP,2,0),"-")</f>
        <v>-</v>
      </c>
    </row>
    <row r="824" spans="1:28" s="84" customFormat="1" ht="27" customHeight="1" x14ac:dyDescent="0.3">
      <c r="A824" s="75" t="s">
        <v>2675</v>
      </c>
      <c r="B824" s="36" t="str">
        <f t="shared" si="12"/>
        <v>Julio</v>
      </c>
      <c r="C824" s="77" t="s">
        <v>162</v>
      </c>
      <c r="D824" s="77" t="s">
        <v>2865</v>
      </c>
      <c r="E824" s="78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824" s="79" t="s">
        <v>198</v>
      </c>
      <c r="G824" s="79" t="s">
        <v>199</v>
      </c>
      <c r="H824" s="140" t="s">
        <v>2866</v>
      </c>
      <c r="I824" s="77" t="s">
        <v>2867</v>
      </c>
      <c r="J824" s="144" t="s">
        <v>2868</v>
      </c>
      <c r="K824" s="77" t="s">
        <v>169</v>
      </c>
      <c r="L824" s="103" t="str">
        <f>VLOOKUP(Anexo_4[[#This Row],[cod_doc]],TIPODOC,2,FALSE)</f>
        <v>FACTURA</v>
      </c>
      <c r="M824" s="77" t="s">
        <v>222</v>
      </c>
      <c r="N824" s="79">
        <v>16709</v>
      </c>
      <c r="O824" s="80">
        <v>1186.44</v>
      </c>
      <c r="P824" s="81"/>
      <c r="Q824" s="81">
        <v>213.5592</v>
      </c>
      <c r="R824" s="80"/>
      <c r="S824" s="80">
        <v>0</v>
      </c>
      <c r="T824" s="82">
        <v>1400</v>
      </c>
      <c r="U824" s="77" t="s">
        <v>2869</v>
      </c>
      <c r="V824" s="75" t="s">
        <v>1786</v>
      </c>
      <c r="W824" s="77"/>
      <c r="X824" s="77"/>
      <c r="Y824" s="77"/>
      <c r="Z824" s="77" t="s">
        <v>2870</v>
      </c>
      <c r="AA824" s="83" t="s">
        <v>2866</v>
      </c>
      <c r="AB824" s="104" t="str">
        <f>IFERROR(VLOOKUP(Anexo_4[[#This Row],[cuenta]],OP,2,0),"-")</f>
        <v>-</v>
      </c>
    </row>
    <row r="825" spans="1:28" s="84" customFormat="1" ht="27" customHeight="1" x14ac:dyDescent="0.3">
      <c r="A825" s="75" t="s">
        <v>1843</v>
      </c>
      <c r="B825" s="36" t="str">
        <f t="shared" si="12"/>
        <v>Julio</v>
      </c>
      <c r="C825" s="77" t="s">
        <v>162</v>
      </c>
      <c r="D825" s="77" t="s">
        <v>2871</v>
      </c>
      <c r="E82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825" s="79" t="s">
        <v>355</v>
      </c>
      <c r="G825" s="79" t="s">
        <v>356</v>
      </c>
      <c r="H825" s="140" t="s">
        <v>2872</v>
      </c>
      <c r="I825" s="77" t="s">
        <v>1074</v>
      </c>
      <c r="J825" s="144" t="s">
        <v>1075</v>
      </c>
      <c r="K825" s="77" t="s">
        <v>169</v>
      </c>
      <c r="L825" s="103" t="str">
        <f>VLOOKUP(Anexo_4[[#This Row],[cod_doc]],TIPODOC,2,FALSE)</f>
        <v>FACTURA</v>
      </c>
      <c r="M825" s="77" t="s">
        <v>102</v>
      </c>
      <c r="N825" s="79">
        <v>2370</v>
      </c>
      <c r="O825" s="80">
        <v>60</v>
      </c>
      <c r="P825" s="81"/>
      <c r="Q825" s="81">
        <v>10.799999999999999</v>
      </c>
      <c r="R825" s="80"/>
      <c r="S825" s="80">
        <v>0</v>
      </c>
      <c r="T825" s="82">
        <v>70.8</v>
      </c>
      <c r="U825" s="77"/>
      <c r="V825" s="75"/>
      <c r="W825" s="77"/>
      <c r="X825" s="77"/>
      <c r="Y825" s="77"/>
      <c r="Z825" s="77" t="s">
        <v>645</v>
      </c>
      <c r="AA825" s="83" t="s">
        <v>2872</v>
      </c>
      <c r="AB825" s="104" t="str">
        <f>IFERROR(VLOOKUP(Anexo_4[[#This Row],[cuenta]],OP,2,0),"-")</f>
        <v>Montacarga - Servicios</v>
      </c>
    </row>
    <row r="826" spans="1:28" s="84" customFormat="1" ht="27" customHeight="1" x14ac:dyDescent="0.3">
      <c r="A826" s="75" t="s">
        <v>2349</v>
      </c>
      <c r="B826" s="36" t="str">
        <f t="shared" si="12"/>
        <v>Julio</v>
      </c>
      <c r="C826" s="77" t="s">
        <v>162</v>
      </c>
      <c r="D826" s="77" t="s">
        <v>2873</v>
      </c>
      <c r="E82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826" s="79" t="s">
        <v>355</v>
      </c>
      <c r="G826" s="79" t="s">
        <v>356</v>
      </c>
      <c r="H826" s="140" t="s">
        <v>633</v>
      </c>
      <c r="I826" s="77" t="s">
        <v>991</v>
      </c>
      <c r="J826" s="144" t="s">
        <v>992</v>
      </c>
      <c r="K826" s="77" t="s">
        <v>169</v>
      </c>
      <c r="L826" s="103" t="str">
        <f>VLOOKUP(Anexo_4[[#This Row],[cod_doc]],TIPODOC,2,FALSE)</f>
        <v>FACTURA</v>
      </c>
      <c r="M826" s="77" t="s">
        <v>222</v>
      </c>
      <c r="N826" s="79">
        <v>6823</v>
      </c>
      <c r="O826" s="80">
        <v>20.76</v>
      </c>
      <c r="P826" s="81"/>
      <c r="Q826" s="81">
        <v>3.7368000000000001</v>
      </c>
      <c r="R826" s="80"/>
      <c r="S826" s="80">
        <v>0</v>
      </c>
      <c r="T826" s="82">
        <v>24.5</v>
      </c>
      <c r="U826" s="77"/>
      <c r="V826" s="75"/>
      <c r="W826" s="77"/>
      <c r="X826" s="77"/>
      <c r="Y826" s="77"/>
      <c r="Z826" s="77" t="s">
        <v>361</v>
      </c>
      <c r="AA826" s="83" t="s">
        <v>633</v>
      </c>
      <c r="AB826" s="104" t="str">
        <f>IFERROR(VLOOKUP(Anexo_4[[#This Row],[cuenta]],OP,2,0),"-")</f>
        <v>Alimentacion (Operativo)</v>
      </c>
    </row>
    <row r="827" spans="1:28" s="84" customFormat="1" ht="27" customHeight="1" x14ac:dyDescent="0.3">
      <c r="A827" s="75" t="s">
        <v>2874</v>
      </c>
      <c r="B827" s="36" t="str">
        <f t="shared" si="12"/>
        <v>Julio</v>
      </c>
      <c r="C827" s="77" t="s">
        <v>162</v>
      </c>
      <c r="D827" s="77" t="s">
        <v>2875</v>
      </c>
      <c r="E827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827" s="79"/>
      <c r="G827" s="79"/>
      <c r="H827" s="140"/>
      <c r="I827" s="77" t="s">
        <v>2876</v>
      </c>
      <c r="J827" s="144" t="s">
        <v>2877</v>
      </c>
      <c r="K827" s="77" t="s">
        <v>169</v>
      </c>
      <c r="L827" s="103" t="str">
        <f>VLOOKUP(Anexo_4[[#This Row],[cod_doc]],TIPODOC,2,FALSE)</f>
        <v>FACTURA</v>
      </c>
      <c r="M827" s="77"/>
      <c r="N827" s="79"/>
      <c r="O827" s="80"/>
      <c r="P827" s="81">
        <v>45.45</v>
      </c>
      <c r="Q827" s="81">
        <v>0</v>
      </c>
      <c r="R827" s="80">
        <v>4.55</v>
      </c>
      <c r="S827" s="80">
        <v>0</v>
      </c>
      <c r="T827" s="82">
        <v>50</v>
      </c>
      <c r="U827" s="77"/>
      <c r="V827" s="75"/>
      <c r="W827" s="77"/>
      <c r="X827" s="77"/>
      <c r="Y827" s="77"/>
      <c r="Z827" s="77"/>
      <c r="AA827" s="83"/>
      <c r="AB827" s="104" t="str">
        <f>IFERROR(VLOOKUP(Anexo_4[[#This Row],[cuenta]],OP,2,0),"-")</f>
        <v>-</v>
      </c>
    </row>
    <row r="828" spans="1:28" s="84" customFormat="1" ht="27" customHeight="1" x14ac:dyDescent="0.3">
      <c r="A828" s="75" t="s">
        <v>2453</v>
      </c>
      <c r="B828" s="36" t="str">
        <f t="shared" si="12"/>
        <v>Julio</v>
      </c>
      <c r="C828" s="77" t="s">
        <v>162</v>
      </c>
      <c r="D828" s="77" t="s">
        <v>2878</v>
      </c>
      <c r="E828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828" s="79" t="s">
        <v>355</v>
      </c>
      <c r="G828" s="79" t="s">
        <v>356</v>
      </c>
      <c r="H828" s="140" t="s">
        <v>2879</v>
      </c>
      <c r="I828" s="77" t="s">
        <v>643</v>
      </c>
      <c r="J828" s="144" t="s">
        <v>644</v>
      </c>
      <c r="K828" s="77" t="s">
        <v>169</v>
      </c>
      <c r="L828" s="103" t="str">
        <f>VLOOKUP(Anexo_4[[#This Row],[cod_doc]],TIPODOC,2,FALSE)</f>
        <v>FACTURA</v>
      </c>
      <c r="M828" s="77" t="s">
        <v>102</v>
      </c>
      <c r="N828" s="79">
        <v>4045</v>
      </c>
      <c r="O828" s="80">
        <v>170</v>
      </c>
      <c r="P828" s="81"/>
      <c r="Q828" s="81">
        <v>30.599999999999998</v>
      </c>
      <c r="R828" s="80"/>
      <c r="S828" s="80">
        <v>0</v>
      </c>
      <c r="T828" s="82">
        <v>200.6</v>
      </c>
      <c r="U828" s="77"/>
      <c r="V828" s="75"/>
      <c r="W828" s="77"/>
      <c r="X828" s="77"/>
      <c r="Y828" s="77"/>
      <c r="Z828" s="77" t="s">
        <v>645</v>
      </c>
      <c r="AA828" s="83" t="s">
        <v>2879</v>
      </c>
      <c r="AB828" s="104" t="str">
        <f>IFERROR(VLOOKUP(Anexo_4[[#This Row],[cuenta]],OP,2,0),"-")</f>
        <v>Montacarga - Servicios</v>
      </c>
    </row>
    <row r="829" spans="1:28" s="84" customFormat="1" ht="27" customHeight="1" x14ac:dyDescent="0.3">
      <c r="A829" s="75" t="s">
        <v>2453</v>
      </c>
      <c r="B829" s="36" t="str">
        <f t="shared" si="12"/>
        <v>Julio</v>
      </c>
      <c r="C829" s="77" t="s">
        <v>162</v>
      </c>
      <c r="D829" s="77" t="s">
        <v>2880</v>
      </c>
      <c r="E829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829" s="79" t="s">
        <v>355</v>
      </c>
      <c r="G829" s="79" t="s">
        <v>356</v>
      </c>
      <c r="H829" s="140" t="s">
        <v>2881</v>
      </c>
      <c r="I829" s="77" t="s">
        <v>643</v>
      </c>
      <c r="J829" s="144" t="s">
        <v>644</v>
      </c>
      <c r="K829" s="77" t="s">
        <v>169</v>
      </c>
      <c r="L829" s="103" t="str">
        <f>VLOOKUP(Anexo_4[[#This Row],[cod_doc]],TIPODOC,2,FALSE)</f>
        <v>FACTURA</v>
      </c>
      <c r="M829" s="77" t="s">
        <v>102</v>
      </c>
      <c r="N829" s="79">
        <v>4046</v>
      </c>
      <c r="O829" s="80">
        <v>212.5</v>
      </c>
      <c r="P829" s="81"/>
      <c r="Q829" s="81">
        <v>38.25</v>
      </c>
      <c r="R829" s="80"/>
      <c r="S829" s="80">
        <v>0</v>
      </c>
      <c r="T829" s="82">
        <v>250.75</v>
      </c>
      <c r="U829" s="77"/>
      <c r="V829" s="75"/>
      <c r="W829" s="77"/>
      <c r="X829" s="77"/>
      <c r="Y829" s="77"/>
      <c r="Z829" s="77" t="s">
        <v>645</v>
      </c>
      <c r="AA829" s="83" t="s">
        <v>2881</v>
      </c>
      <c r="AB829" s="104" t="str">
        <f>IFERROR(VLOOKUP(Anexo_4[[#This Row],[cuenta]],OP,2,0),"-")</f>
        <v>Montacarga - Servicios</v>
      </c>
    </row>
    <row r="830" spans="1:28" s="84" customFormat="1" ht="27" customHeight="1" x14ac:dyDescent="0.3">
      <c r="A830" s="75" t="s">
        <v>2349</v>
      </c>
      <c r="B830" s="36" t="str">
        <f t="shared" si="12"/>
        <v>Julio</v>
      </c>
      <c r="C830" s="77" t="s">
        <v>162</v>
      </c>
      <c r="D830" s="77" t="s">
        <v>2882</v>
      </c>
      <c r="E830" s="78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830" s="79" t="s">
        <v>198</v>
      </c>
      <c r="G830" s="79" t="s">
        <v>199</v>
      </c>
      <c r="H830" s="140" t="s">
        <v>2883</v>
      </c>
      <c r="I830" s="77" t="s">
        <v>643</v>
      </c>
      <c r="J830" s="144" t="s">
        <v>644</v>
      </c>
      <c r="K830" s="77" t="s">
        <v>169</v>
      </c>
      <c r="L830" s="103" t="str">
        <f>VLOOKUP(Anexo_4[[#This Row],[cod_doc]],TIPODOC,2,FALSE)</f>
        <v>FACTURA</v>
      </c>
      <c r="M830" s="77" t="s">
        <v>102</v>
      </c>
      <c r="N830" s="79">
        <v>4039</v>
      </c>
      <c r="O830" s="80">
        <v>382.5</v>
      </c>
      <c r="P830" s="81"/>
      <c r="Q830" s="81">
        <v>68.849999999999994</v>
      </c>
      <c r="R830" s="80"/>
      <c r="S830" s="80">
        <v>0</v>
      </c>
      <c r="T830" s="82">
        <v>451.35</v>
      </c>
      <c r="U830" s="77"/>
      <c r="V830" s="75"/>
      <c r="W830" s="77"/>
      <c r="X830" s="77"/>
      <c r="Y830" s="77"/>
      <c r="Z830" s="77" t="s">
        <v>648</v>
      </c>
      <c r="AA830" s="83" t="s">
        <v>2883</v>
      </c>
      <c r="AB830" s="104" t="str">
        <f>IFERROR(VLOOKUP(Anexo_4[[#This Row],[cuenta]],OP,2,0),"-")</f>
        <v>Montacarga - Ventas</v>
      </c>
    </row>
    <row r="831" spans="1:28" s="84" customFormat="1" ht="27" customHeight="1" x14ac:dyDescent="0.3">
      <c r="A831" s="75" t="s">
        <v>2349</v>
      </c>
      <c r="B831" s="36" t="str">
        <f t="shared" si="12"/>
        <v>Julio</v>
      </c>
      <c r="C831" s="77" t="s">
        <v>162</v>
      </c>
      <c r="D831" s="77" t="s">
        <v>2884</v>
      </c>
      <c r="E831" s="78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831" s="79" t="s">
        <v>198</v>
      </c>
      <c r="G831" s="79" t="s">
        <v>199</v>
      </c>
      <c r="H831" s="140" t="s">
        <v>2885</v>
      </c>
      <c r="I831" s="77" t="s">
        <v>643</v>
      </c>
      <c r="J831" s="144" t="s">
        <v>644</v>
      </c>
      <c r="K831" s="77" t="s">
        <v>169</v>
      </c>
      <c r="L831" s="103" t="str">
        <f>VLOOKUP(Anexo_4[[#This Row],[cod_doc]],TIPODOC,2,FALSE)</f>
        <v>FACTURA</v>
      </c>
      <c r="M831" s="77" t="s">
        <v>102</v>
      </c>
      <c r="N831" s="79">
        <v>4036</v>
      </c>
      <c r="O831" s="80">
        <v>255</v>
      </c>
      <c r="P831" s="81"/>
      <c r="Q831" s="81">
        <v>45.9</v>
      </c>
      <c r="R831" s="80"/>
      <c r="S831" s="80">
        <v>0</v>
      </c>
      <c r="T831" s="82">
        <v>300.89999999999998</v>
      </c>
      <c r="U831" s="77"/>
      <c r="V831" s="75"/>
      <c r="W831" s="77"/>
      <c r="X831" s="77"/>
      <c r="Y831" s="77"/>
      <c r="Z831" s="77" t="s">
        <v>648</v>
      </c>
      <c r="AA831" s="83" t="s">
        <v>2885</v>
      </c>
      <c r="AB831" s="104" t="str">
        <f>IFERROR(VLOOKUP(Anexo_4[[#This Row],[cuenta]],OP,2,0),"-")</f>
        <v>Montacarga - Ventas</v>
      </c>
    </row>
    <row r="832" spans="1:28" s="84" customFormat="1" ht="27" customHeight="1" x14ac:dyDescent="0.3">
      <c r="A832" s="75" t="s">
        <v>2552</v>
      </c>
      <c r="B832" s="36" t="str">
        <f t="shared" si="12"/>
        <v>Julio</v>
      </c>
      <c r="C832" s="77" t="s">
        <v>162</v>
      </c>
      <c r="D832" s="77" t="s">
        <v>2886</v>
      </c>
      <c r="E83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832" s="79" t="s">
        <v>355</v>
      </c>
      <c r="G832" s="79" t="s">
        <v>356</v>
      </c>
      <c r="H832" s="140" t="s">
        <v>2887</v>
      </c>
      <c r="I832" s="77" t="s">
        <v>643</v>
      </c>
      <c r="J832" s="144" t="s">
        <v>644</v>
      </c>
      <c r="K832" s="77" t="s">
        <v>169</v>
      </c>
      <c r="L832" s="103" t="str">
        <f>VLOOKUP(Anexo_4[[#This Row],[cod_doc]],TIPODOC,2,FALSE)</f>
        <v>FACTURA</v>
      </c>
      <c r="M832" s="77" t="s">
        <v>102</v>
      </c>
      <c r="N832" s="79">
        <v>4047</v>
      </c>
      <c r="O832" s="80">
        <v>510</v>
      </c>
      <c r="P832" s="81"/>
      <c r="Q832" s="81">
        <v>91.8</v>
      </c>
      <c r="R832" s="80"/>
      <c r="S832" s="80">
        <v>0</v>
      </c>
      <c r="T832" s="82">
        <v>601.79999999999995</v>
      </c>
      <c r="U832" s="77"/>
      <c r="V832" s="75"/>
      <c r="W832" s="77"/>
      <c r="X832" s="77"/>
      <c r="Y832" s="77"/>
      <c r="Z832" s="77" t="s">
        <v>645</v>
      </c>
      <c r="AA832" s="83" t="s">
        <v>2887</v>
      </c>
      <c r="AB832" s="104" t="str">
        <f>IFERROR(VLOOKUP(Anexo_4[[#This Row],[cuenta]],OP,2,0),"-")</f>
        <v>Montacarga - Servicios</v>
      </c>
    </row>
    <row r="833" spans="1:28" s="84" customFormat="1" ht="27" customHeight="1" x14ac:dyDescent="0.3">
      <c r="A833" s="75" t="s">
        <v>2349</v>
      </c>
      <c r="B833" s="36" t="str">
        <f t="shared" si="12"/>
        <v>Julio</v>
      </c>
      <c r="C833" s="77" t="s">
        <v>162</v>
      </c>
      <c r="D833" s="77" t="s">
        <v>2888</v>
      </c>
      <c r="E833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833" s="79" t="s">
        <v>190</v>
      </c>
      <c r="G833" s="79" t="s">
        <v>191</v>
      </c>
      <c r="H833" s="140" t="s">
        <v>2889</v>
      </c>
      <c r="I833" s="77" t="s">
        <v>2890</v>
      </c>
      <c r="J833" s="144" t="s">
        <v>2891</v>
      </c>
      <c r="K833" s="77" t="s">
        <v>169</v>
      </c>
      <c r="L833" s="103" t="str">
        <f>VLOOKUP(Anexo_4[[#This Row],[cod_doc]],TIPODOC,2,FALSE)</f>
        <v>FACTURA</v>
      </c>
      <c r="M833" s="77" t="s">
        <v>2892</v>
      </c>
      <c r="N833" s="79">
        <v>1759794</v>
      </c>
      <c r="O833" s="80">
        <v>72.459999999999994</v>
      </c>
      <c r="P833" s="81"/>
      <c r="Q833" s="81">
        <v>13.042799999999998</v>
      </c>
      <c r="R833" s="80"/>
      <c r="S833" s="80">
        <v>0</v>
      </c>
      <c r="T833" s="82">
        <v>85.5</v>
      </c>
      <c r="U833" s="77"/>
      <c r="V833" s="75"/>
      <c r="W833" s="77"/>
      <c r="X833" s="77"/>
      <c r="Y833" s="77"/>
      <c r="Z833" s="77" t="s">
        <v>2320</v>
      </c>
      <c r="AA833" s="83" t="s">
        <v>2889</v>
      </c>
      <c r="AB833" s="104" t="str">
        <f>IFERROR(VLOOKUP(Anexo_4[[#This Row],[cuenta]],OP,2,0),"-")</f>
        <v>Otros Gastos de Gestion</v>
      </c>
    </row>
    <row r="834" spans="1:28" s="84" customFormat="1" ht="27" customHeight="1" x14ac:dyDescent="0.3">
      <c r="A834" s="75" t="s">
        <v>2552</v>
      </c>
      <c r="B834" s="36" t="str">
        <f t="shared" ref="B834:B897" si="13">PROPER(CHOOSE(LEFT(D834,2),"enero","febrero","marzo","abril","mayo","junio","julio","agosto","setiembre","octubre","noviembre","diciembre"))</f>
        <v>Julio</v>
      </c>
      <c r="C834" s="77" t="s">
        <v>162</v>
      </c>
      <c r="D834" s="77" t="s">
        <v>2893</v>
      </c>
      <c r="E834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834" s="79" t="s">
        <v>190</v>
      </c>
      <c r="G834" s="79" t="s">
        <v>191</v>
      </c>
      <c r="H834" s="140" t="s">
        <v>2894</v>
      </c>
      <c r="I834" s="77" t="s">
        <v>1964</v>
      </c>
      <c r="J834" s="144" t="s">
        <v>1965</v>
      </c>
      <c r="K834" s="77" t="s">
        <v>169</v>
      </c>
      <c r="L834" s="103" t="str">
        <f>VLOOKUP(Anexo_4[[#This Row],[cod_doc]],TIPODOC,2,FALSE)</f>
        <v>FACTURA</v>
      </c>
      <c r="M834" s="77" t="s">
        <v>102</v>
      </c>
      <c r="N834" s="79">
        <v>9467</v>
      </c>
      <c r="O834" s="80">
        <v>38.56</v>
      </c>
      <c r="P834" s="81"/>
      <c r="Q834" s="81">
        <v>6.9408000000000003</v>
      </c>
      <c r="R834" s="80"/>
      <c r="S834" s="80">
        <v>0</v>
      </c>
      <c r="T834" s="82">
        <v>45.5</v>
      </c>
      <c r="U834" s="77"/>
      <c r="V834" s="75"/>
      <c r="W834" s="77"/>
      <c r="X834" s="77"/>
      <c r="Y834" s="77"/>
      <c r="Z834" s="77" t="s">
        <v>2438</v>
      </c>
      <c r="AA834" s="83" t="s">
        <v>2894</v>
      </c>
      <c r="AB834" s="104" t="str">
        <f>IFERROR(VLOOKUP(Anexo_4[[#This Row],[cuenta]],OP,2,0),"-")</f>
        <v>-</v>
      </c>
    </row>
    <row r="835" spans="1:28" s="84" customFormat="1" ht="27" customHeight="1" x14ac:dyDescent="0.3">
      <c r="A835" s="75" t="s">
        <v>2675</v>
      </c>
      <c r="B835" s="36" t="str">
        <f t="shared" si="13"/>
        <v>Julio</v>
      </c>
      <c r="C835" s="77" t="s">
        <v>162</v>
      </c>
      <c r="D835" s="77" t="s">
        <v>2895</v>
      </c>
      <c r="E83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835" s="79" t="s">
        <v>217</v>
      </c>
      <c r="G835" s="79" t="s">
        <v>218</v>
      </c>
      <c r="H835" s="140" t="s">
        <v>2896</v>
      </c>
      <c r="I835" s="77" t="s">
        <v>946</v>
      </c>
      <c r="J835" s="144" t="s">
        <v>947</v>
      </c>
      <c r="K835" s="77" t="s">
        <v>169</v>
      </c>
      <c r="L835" s="103" t="str">
        <f>VLOOKUP(Anexo_4[[#This Row],[cod_doc]],TIPODOC,2,FALSE)</f>
        <v>FACTURA</v>
      </c>
      <c r="M835" s="77" t="s">
        <v>102</v>
      </c>
      <c r="N835" s="79">
        <v>327</v>
      </c>
      <c r="O835" s="80">
        <v>1567.8</v>
      </c>
      <c r="P835" s="81"/>
      <c r="Q835" s="81">
        <v>282.20400000000001</v>
      </c>
      <c r="R835" s="80"/>
      <c r="S835" s="80">
        <v>0</v>
      </c>
      <c r="T835" s="82">
        <v>1850</v>
      </c>
      <c r="U835" s="77"/>
      <c r="V835" s="75"/>
      <c r="W835" s="77"/>
      <c r="X835" s="77"/>
      <c r="Y835" s="77"/>
      <c r="Z835" s="77" t="s">
        <v>223</v>
      </c>
      <c r="AA835" s="83" t="s">
        <v>2896</v>
      </c>
      <c r="AB835" s="104" t="str">
        <f>IFERROR(VLOOKUP(Anexo_4[[#This Row],[cuenta]],OP,2,0),"-")</f>
        <v>Mantenimiento Vehicular (Preventivo)</v>
      </c>
    </row>
    <row r="836" spans="1:28" s="84" customFormat="1" ht="27" customHeight="1" x14ac:dyDescent="0.3">
      <c r="A836" s="75" t="s">
        <v>2675</v>
      </c>
      <c r="B836" s="36" t="str">
        <f t="shared" si="13"/>
        <v>Julio</v>
      </c>
      <c r="C836" s="77" t="s">
        <v>162</v>
      </c>
      <c r="D836" s="77" t="s">
        <v>2897</v>
      </c>
      <c r="E83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836" s="79" t="s">
        <v>217</v>
      </c>
      <c r="G836" s="79" t="s">
        <v>218</v>
      </c>
      <c r="H836" s="140" t="s">
        <v>2898</v>
      </c>
      <c r="I836" s="77" t="s">
        <v>946</v>
      </c>
      <c r="J836" s="144" t="s">
        <v>947</v>
      </c>
      <c r="K836" s="77" t="s">
        <v>169</v>
      </c>
      <c r="L836" s="103" t="str">
        <f>VLOOKUP(Anexo_4[[#This Row],[cod_doc]],TIPODOC,2,FALSE)</f>
        <v>FACTURA</v>
      </c>
      <c r="M836" s="77" t="s">
        <v>102</v>
      </c>
      <c r="N836" s="79">
        <v>328</v>
      </c>
      <c r="O836" s="80">
        <v>381.36</v>
      </c>
      <c r="P836" s="81"/>
      <c r="Q836" s="81">
        <v>68.644800000000004</v>
      </c>
      <c r="R836" s="80"/>
      <c r="S836" s="80">
        <v>0</v>
      </c>
      <c r="T836" s="82">
        <v>450</v>
      </c>
      <c r="U836" s="77"/>
      <c r="V836" s="75"/>
      <c r="W836" s="77"/>
      <c r="X836" s="77"/>
      <c r="Y836" s="77"/>
      <c r="Z836" s="77" t="s">
        <v>223</v>
      </c>
      <c r="AA836" s="83" t="s">
        <v>2898</v>
      </c>
      <c r="AB836" s="104" t="str">
        <f>IFERROR(VLOOKUP(Anexo_4[[#This Row],[cuenta]],OP,2,0),"-")</f>
        <v>Mantenimiento Vehicular (Preventivo)</v>
      </c>
    </row>
    <row r="837" spans="1:28" s="84" customFormat="1" ht="27" customHeight="1" x14ac:dyDescent="0.3">
      <c r="A837" s="75" t="s">
        <v>1627</v>
      </c>
      <c r="B837" s="36" t="str">
        <f t="shared" si="13"/>
        <v>Julio</v>
      </c>
      <c r="C837" s="77" t="s">
        <v>162</v>
      </c>
      <c r="D837" s="77" t="s">
        <v>2899</v>
      </c>
      <c r="E837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837" s="79" t="s">
        <v>190</v>
      </c>
      <c r="G837" s="79" t="s">
        <v>191</v>
      </c>
      <c r="H837" s="140" t="s">
        <v>192</v>
      </c>
      <c r="I837" s="77" t="s">
        <v>2900</v>
      </c>
      <c r="J837" s="144" t="s">
        <v>2901</v>
      </c>
      <c r="K837" s="77" t="s">
        <v>169</v>
      </c>
      <c r="L837" s="103" t="str">
        <f>VLOOKUP(Anexo_4[[#This Row],[cod_doc]],TIPODOC,2,FALSE)</f>
        <v>FACTURA</v>
      </c>
      <c r="M837" s="77" t="s">
        <v>2902</v>
      </c>
      <c r="N837" s="79">
        <v>415</v>
      </c>
      <c r="O837" s="80">
        <v>38.14</v>
      </c>
      <c r="P837" s="81"/>
      <c r="Q837" s="81">
        <v>6.8651999999999997</v>
      </c>
      <c r="R837" s="80"/>
      <c r="S837" s="80">
        <v>0</v>
      </c>
      <c r="T837" s="82">
        <v>45</v>
      </c>
      <c r="U837" s="77"/>
      <c r="V837" s="75"/>
      <c r="W837" s="77"/>
      <c r="X837" s="77"/>
      <c r="Y837" s="77"/>
      <c r="Z837" s="77" t="s">
        <v>196</v>
      </c>
      <c r="AA837" s="83" t="s">
        <v>192</v>
      </c>
      <c r="AB837" s="104" t="str">
        <f>IFERROR(VLOOKUP(Anexo_4[[#This Row],[cuenta]],OP,2,0),"-")</f>
        <v>Encomienda (Envío de documentación)</v>
      </c>
    </row>
    <row r="838" spans="1:28" s="84" customFormat="1" ht="27" customHeight="1" x14ac:dyDescent="0.3">
      <c r="A838" s="75" t="s">
        <v>2675</v>
      </c>
      <c r="B838" s="36" t="str">
        <f t="shared" si="13"/>
        <v>Julio</v>
      </c>
      <c r="C838" s="77" t="s">
        <v>162</v>
      </c>
      <c r="D838" s="77" t="s">
        <v>2903</v>
      </c>
      <c r="E838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838" s="79" t="s">
        <v>456</v>
      </c>
      <c r="G838" s="79" t="s">
        <v>457</v>
      </c>
      <c r="H838" s="140" t="s">
        <v>2904</v>
      </c>
      <c r="I838" s="77" t="s">
        <v>2905</v>
      </c>
      <c r="J838" s="144" t="s">
        <v>2906</v>
      </c>
      <c r="K838" s="77" t="s">
        <v>169</v>
      </c>
      <c r="L838" s="103" t="str">
        <f>VLOOKUP(Anexo_4[[#This Row],[cod_doc]],TIPODOC,2,FALSE)</f>
        <v>FACTURA</v>
      </c>
      <c r="M838" s="77" t="s">
        <v>102</v>
      </c>
      <c r="N838" s="79">
        <v>1439</v>
      </c>
      <c r="O838" s="80">
        <v>177.95</v>
      </c>
      <c r="P838" s="81"/>
      <c r="Q838" s="81">
        <v>32.030999999999999</v>
      </c>
      <c r="R838" s="80"/>
      <c r="S838" s="80">
        <v>0</v>
      </c>
      <c r="T838" s="82">
        <v>209.98</v>
      </c>
      <c r="U838" s="77"/>
      <c r="V838" s="75"/>
      <c r="W838" s="77"/>
      <c r="X838" s="77"/>
      <c r="Y838" s="77"/>
      <c r="Z838" s="77" t="s">
        <v>2447</v>
      </c>
      <c r="AA838" s="83" t="s">
        <v>2904</v>
      </c>
      <c r="AB838" s="104" t="str">
        <f>IFERROR(VLOOKUP(Anexo_4[[#This Row],[cuenta]],OP,2,0),"-")</f>
        <v>GPS</v>
      </c>
    </row>
    <row r="839" spans="1:28" s="84" customFormat="1" ht="27" customHeight="1" x14ac:dyDescent="0.3">
      <c r="A839" s="75" t="s">
        <v>2675</v>
      </c>
      <c r="B839" s="36" t="str">
        <f t="shared" si="13"/>
        <v>Julio</v>
      </c>
      <c r="C839" s="77" t="s">
        <v>162</v>
      </c>
      <c r="D839" s="77" t="s">
        <v>2907</v>
      </c>
      <c r="E839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839" s="79" t="s">
        <v>456</v>
      </c>
      <c r="G839" s="79" t="s">
        <v>457</v>
      </c>
      <c r="H839" s="140" t="s">
        <v>2908</v>
      </c>
      <c r="I839" s="77" t="s">
        <v>2905</v>
      </c>
      <c r="J839" s="144" t="s">
        <v>2906</v>
      </c>
      <c r="K839" s="77" t="s">
        <v>169</v>
      </c>
      <c r="L839" s="103" t="str">
        <f>VLOOKUP(Anexo_4[[#This Row],[cod_doc]],TIPODOC,2,FALSE)</f>
        <v>FACTURA</v>
      </c>
      <c r="M839" s="77" t="s">
        <v>102</v>
      </c>
      <c r="N839" s="79">
        <v>1440</v>
      </c>
      <c r="O839" s="80">
        <v>422.56</v>
      </c>
      <c r="P839" s="81"/>
      <c r="Q839" s="81">
        <v>76.0608</v>
      </c>
      <c r="R839" s="80"/>
      <c r="S839" s="80">
        <v>0</v>
      </c>
      <c r="T839" s="82">
        <v>498.62</v>
      </c>
      <c r="U839" s="77"/>
      <c r="V839" s="75"/>
      <c r="W839" s="77"/>
      <c r="X839" s="77"/>
      <c r="Y839" s="77"/>
      <c r="Z839" s="77" t="s">
        <v>2447</v>
      </c>
      <c r="AA839" s="83" t="s">
        <v>2908</v>
      </c>
      <c r="AB839" s="104" t="str">
        <f>IFERROR(VLOOKUP(Anexo_4[[#This Row],[cuenta]],OP,2,0),"-")</f>
        <v>GPS</v>
      </c>
    </row>
    <row r="840" spans="1:28" s="84" customFormat="1" ht="27" customHeight="1" x14ac:dyDescent="0.3">
      <c r="A840" s="75" t="s">
        <v>2564</v>
      </c>
      <c r="B840" s="36" t="str">
        <f t="shared" si="13"/>
        <v>Julio</v>
      </c>
      <c r="C840" s="77" t="s">
        <v>162</v>
      </c>
      <c r="D840" s="77" t="s">
        <v>2909</v>
      </c>
      <c r="E840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840" s="79" t="s">
        <v>456</v>
      </c>
      <c r="G840" s="79" t="s">
        <v>457</v>
      </c>
      <c r="H840" s="140" t="s">
        <v>2910</v>
      </c>
      <c r="I840" s="77" t="s">
        <v>264</v>
      </c>
      <c r="J840" s="144" t="s">
        <v>265</v>
      </c>
      <c r="K840" s="77" t="s">
        <v>169</v>
      </c>
      <c r="L840" s="103" t="str">
        <f>VLOOKUP(Anexo_4[[#This Row],[cod_doc]],TIPODOC,2,FALSE)</f>
        <v>FACTURA</v>
      </c>
      <c r="M840" s="77" t="s">
        <v>406</v>
      </c>
      <c r="N840" s="79">
        <v>2400996</v>
      </c>
      <c r="O840" s="80">
        <v>4.24</v>
      </c>
      <c r="P840" s="81"/>
      <c r="Q840" s="81">
        <v>0.76319999999999999</v>
      </c>
      <c r="R840" s="80"/>
      <c r="S840" s="80">
        <v>0</v>
      </c>
      <c r="T840" s="82">
        <v>5</v>
      </c>
      <c r="U840" s="77"/>
      <c r="V840" s="75"/>
      <c r="W840" s="77"/>
      <c r="X840" s="77"/>
      <c r="Y840" s="77" t="s">
        <v>2911</v>
      </c>
      <c r="Z840" s="77" t="s">
        <v>302</v>
      </c>
      <c r="AA840" s="83" t="s">
        <v>2910</v>
      </c>
      <c r="AB840" s="104" t="str">
        <f>IFERROR(VLOOKUP(Anexo_4[[#This Row],[cuenta]],OP,2,0),"-")</f>
        <v>Transporte peajes - Servicios</v>
      </c>
    </row>
    <row r="841" spans="1:28" s="84" customFormat="1" ht="27" customHeight="1" x14ac:dyDescent="0.3">
      <c r="A841" s="75" t="s">
        <v>2564</v>
      </c>
      <c r="B841" s="36" t="str">
        <f t="shared" si="13"/>
        <v>Julio</v>
      </c>
      <c r="C841" s="77" t="s">
        <v>162</v>
      </c>
      <c r="D841" s="77" t="s">
        <v>2912</v>
      </c>
      <c r="E84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841" s="79" t="s">
        <v>456</v>
      </c>
      <c r="G841" s="79" t="s">
        <v>457</v>
      </c>
      <c r="H841" s="140" t="s">
        <v>2913</v>
      </c>
      <c r="I841" s="77" t="s">
        <v>264</v>
      </c>
      <c r="J841" s="144" t="s">
        <v>265</v>
      </c>
      <c r="K841" s="77" t="s">
        <v>169</v>
      </c>
      <c r="L841" s="103" t="str">
        <f>VLOOKUP(Anexo_4[[#This Row],[cod_doc]],TIPODOC,2,FALSE)</f>
        <v>FACTURA</v>
      </c>
      <c r="M841" s="77" t="s">
        <v>352</v>
      </c>
      <c r="N841" s="79">
        <v>1806446</v>
      </c>
      <c r="O841" s="80">
        <v>4.24</v>
      </c>
      <c r="P841" s="81"/>
      <c r="Q841" s="81">
        <v>0.76319999999999999</v>
      </c>
      <c r="R841" s="80"/>
      <c r="S841" s="80">
        <v>0</v>
      </c>
      <c r="T841" s="82">
        <v>5</v>
      </c>
      <c r="U841" s="77"/>
      <c r="V841" s="75"/>
      <c r="W841" s="77"/>
      <c r="X841" s="77"/>
      <c r="Y841" s="77" t="s">
        <v>2914</v>
      </c>
      <c r="Z841" s="77" t="s">
        <v>302</v>
      </c>
      <c r="AA841" s="83" t="s">
        <v>2913</v>
      </c>
      <c r="AB841" s="104" t="str">
        <f>IFERROR(VLOOKUP(Anexo_4[[#This Row],[cuenta]],OP,2,0),"-")</f>
        <v>Transporte peajes - Servicios</v>
      </c>
    </row>
    <row r="842" spans="1:28" s="84" customFormat="1" ht="27" customHeight="1" x14ac:dyDescent="0.3">
      <c r="A842" s="75" t="s">
        <v>1910</v>
      </c>
      <c r="B842" s="36" t="str">
        <f t="shared" si="13"/>
        <v>Julio</v>
      </c>
      <c r="C842" s="77" t="s">
        <v>162</v>
      </c>
      <c r="D842" s="77" t="s">
        <v>2915</v>
      </c>
      <c r="E84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842" s="79" t="s">
        <v>235</v>
      </c>
      <c r="G842" s="79" t="s">
        <v>236</v>
      </c>
      <c r="H842" s="140" t="s">
        <v>2916</v>
      </c>
      <c r="I842" s="77" t="s">
        <v>264</v>
      </c>
      <c r="J842" s="144" t="s">
        <v>265</v>
      </c>
      <c r="K842" s="77" t="s">
        <v>169</v>
      </c>
      <c r="L842" s="103" t="str">
        <f>VLOOKUP(Anexo_4[[#This Row],[cod_doc]],TIPODOC,2,FALSE)</f>
        <v>FACTURA</v>
      </c>
      <c r="M842" s="77" t="s">
        <v>279</v>
      </c>
      <c r="N842" s="79">
        <v>1083556</v>
      </c>
      <c r="O842" s="80">
        <v>6.78</v>
      </c>
      <c r="P842" s="81"/>
      <c r="Q842" s="81">
        <v>1.2203999999999999</v>
      </c>
      <c r="R842" s="80"/>
      <c r="S842" s="80">
        <v>0</v>
      </c>
      <c r="T842" s="82">
        <v>8</v>
      </c>
      <c r="U842" s="77"/>
      <c r="V842" s="75"/>
      <c r="W842" s="77"/>
      <c r="X842" s="77"/>
      <c r="Y842" s="77" t="s">
        <v>2917</v>
      </c>
      <c r="Z842" s="77" t="s">
        <v>302</v>
      </c>
      <c r="AA842" s="83" t="s">
        <v>2916</v>
      </c>
      <c r="AB842" s="104" t="str">
        <f>IFERROR(VLOOKUP(Anexo_4[[#This Row],[cuenta]],OP,2,0),"-")</f>
        <v>Transporte peajes - Servicios</v>
      </c>
    </row>
    <row r="843" spans="1:28" s="84" customFormat="1" ht="27" customHeight="1" x14ac:dyDescent="0.3">
      <c r="A843" s="75" t="s">
        <v>1910</v>
      </c>
      <c r="B843" s="36" t="str">
        <f t="shared" si="13"/>
        <v>Julio</v>
      </c>
      <c r="C843" s="77" t="s">
        <v>162</v>
      </c>
      <c r="D843" s="77" t="s">
        <v>2918</v>
      </c>
      <c r="E843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843" s="79" t="s">
        <v>235</v>
      </c>
      <c r="G843" s="79" t="s">
        <v>236</v>
      </c>
      <c r="H843" s="140" t="s">
        <v>2919</v>
      </c>
      <c r="I843" s="77" t="s">
        <v>264</v>
      </c>
      <c r="J843" s="144" t="s">
        <v>265</v>
      </c>
      <c r="K843" s="77" t="s">
        <v>169</v>
      </c>
      <c r="L843" s="103" t="str">
        <f>VLOOKUP(Anexo_4[[#This Row],[cod_doc]],TIPODOC,2,FALSE)</f>
        <v>FACTURA</v>
      </c>
      <c r="M843" s="77" t="s">
        <v>352</v>
      </c>
      <c r="N843" s="79">
        <v>1794127</v>
      </c>
      <c r="O843" s="80">
        <v>6.78</v>
      </c>
      <c r="P843" s="81"/>
      <c r="Q843" s="81">
        <v>1.2203999999999999</v>
      </c>
      <c r="R843" s="80"/>
      <c r="S843" s="80">
        <v>0</v>
      </c>
      <c r="T843" s="82">
        <v>8</v>
      </c>
      <c r="U843" s="77"/>
      <c r="V843" s="75"/>
      <c r="W843" s="77"/>
      <c r="X843" s="77"/>
      <c r="Y843" s="77" t="s">
        <v>2920</v>
      </c>
      <c r="Z843" s="77" t="s">
        <v>302</v>
      </c>
      <c r="AA843" s="83" t="s">
        <v>2919</v>
      </c>
      <c r="AB843" s="104" t="str">
        <f>IFERROR(VLOOKUP(Anexo_4[[#This Row],[cuenta]],OP,2,0),"-")</f>
        <v>Transporte peajes - Servicios</v>
      </c>
    </row>
    <row r="844" spans="1:28" s="84" customFormat="1" ht="27" customHeight="1" x14ac:dyDescent="0.3">
      <c r="A844" s="75" t="s">
        <v>1910</v>
      </c>
      <c r="B844" s="36" t="str">
        <f t="shared" si="13"/>
        <v>Julio</v>
      </c>
      <c r="C844" s="77" t="s">
        <v>162</v>
      </c>
      <c r="D844" s="77" t="s">
        <v>2921</v>
      </c>
      <c r="E844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844" s="79" t="s">
        <v>235</v>
      </c>
      <c r="G844" s="79" t="s">
        <v>236</v>
      </c>
      <c r="H844" s="140" t="s">
        <v>2922</v>
      </c>
      <c r="I844" s="77" t="s">
        <v>264</v>
      </c>
      <c r="J844" s="144" t="s">
        <v>265</v>
      </c>
      <c r="K844" s="77" t="s">
        <v>169</v>
      </c>
      <c r="L844" s="103" t="str">
        <f>VLOOKUP(Anexo_4[[#This Row],[cod_doc]],TIPODOC,2,FALSE)</f>
        <v>FACTURA</v>
      </c>
      <c r="M844" s="77" t="s">
        <v>271</v>
      </c>
      <c r="N844" s="79">
        <v>1773706</v>
      </c>
      <c r="O844" s="80">
        <v>6.78</v>
      </c>
      <c r="P844" s="81"/>
      <c r="Q844" s="81">
        <v>1.2203999999999999</v>
      </c>
      <c r="R844" s="80"/>
      <c r="S844" s="80">
        <v>0</v>
      </c>
      <c r="T844" s="82">
        <v>8</v>
      </c>
      <c r="U844" s="77"/>
      <c r="V844" s="75"/>
      <c r="W844" s="77"/>
      <c r="X844" s="77"/>
      <c r="Y844" s="77" t="s">
        <v>2923</v>
      </c>
      <c r="Z844" s="77" t="s">
        <v>302</v>
      </c>
      <c r="AA844" s="83" t="s">
        <v>2922</v>
      </c>
      <c r="AB844" s="104" t="str">
        <f>IFERROR(VLOOKUP(Anexo_4[[#This Row],[cuenta]],OP,2,0),"-")</f>
        <v>Transporte peajes - Servicios</v>
      </c>
    </row>
    <row r="845" spans="1:28" s="84" customFormat="1" ht="27" customHeight="1" x14ac:dyDescent="0.3">
      <c r="A845" s="75" t="s">
        <v>1910</v>
      </c>
      <c r="B845" s="36" t="str">
        <f t="shared" si="13"/>
        <v>Julio</v>
      </c>
      <c r="C845" s="77" t="s">
        <v>162</v>
      </c>
      <c r="D845" s="77" t="s">
        <v>2924</v>
      </c>
      <c r="E84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845" s="79" t="s">
        <v>235</v>
      </c>
      <c r="G845" s="79" t="s">
        <v>236</v>
      </c>
      <c r="H845" s="140" t="s">
        <v>2925</v>
      </c>
      <c r="I845" s="77" t="s">
        <v>264</v>
      </c>
      <c r="J845" s="144" t="s">
        <v>265</v>
      </c>
      <c r="K845" s="77" t="s">
        <v>169</v>
      </c>
      <c r="L845" s="103" t="str">
        <f>VLOOKUP(Anexo_4[[#This Row],[cod_doc]],TIPODOC,2,FALSE)</f>
        <v>FACTURA</v>
      </c>
      <c r="M845" s="77" t="s">
        <v>275</v>
      </c>
      <c r="N845" s="79">
        <v>991569</v>
      </c>
      <c r="O845" s="80">
        <v>6.78</v>
      </c>
      <c r="P845" s="81"/>
      <c r="Q845" s="81">
        <v>1.2203999999999999</v>
      </c>
      <c r="R845" s="80"/>
      <c r="S845" s="80">
        <v>0</v>
      </c>
      <c r="T845" s="82">
        <v>8</v>
      </c>
      <c r="U845" s="77"/>
      <c r="V845" s="75"/>
      <c r="W845" s="77"/>
      <c r="X845" s="77"/>
      <c r="Y845" s="77" t="s">
        <v>2926</v>
      </c>
      <c r="Z845" s="77" t="s">
        <v>302</v>
      </c>
      <c r="AA845" s="83" t="s">
        <v>2925</v>
      </c>
      <c r="AB845" s="104" t="str">
        <f>IFERROR(VLOOKUP(Anexo_4[[#This Row],[cuenta]],OP,2,0),"-")</f>
        <v>Transporte peajes - Servicios</v>
      </c>
    </row>
    <row r="846" spans="1:28" s="84" customFormat="1" ht="27" customHeight="1" x14ac:dyDescent="0.3">
      <c r="A846" s="75" t="s">
        <v>2552</v>
      </c>
      <c r="B846" s="36" t="str">
        <f t="shared" si="13"/>
        <v>Julio</v>
      </c>
      <c r="C846" s="77" t="s">
        <v>162</v>
      </c>
      <c r="D846" s="77" t="s">
        <v>2927</v>
      </c>
      <c r="E84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846" s="79" t="s">
        <v>217</v>
      </c>
      <c r="G846" s="79" t="s">
        <v>218</v>
      </c>
      <c r="H846" s="140" t="s">
        <v>2928</v>
      </c>
      <c r="I846" s="77" t="s">
        <v>264</v>
      </c>
      <c r="J846" s="144" t="s">
        <v>265</v>
      </c>
      <c r="K846" s="77" t="s">
        <v>169</v>
      </c>
      <c r="L846" s="103" t="str">
        <f>VLOOKUP(Anexo_4[[#This Row],[cod_doc]],TIPODOC,2,FALSE)</f>
        <v>FACTURA</v>
      </c>
      <c r="M846" s="77" t="s">
        <v>271</v>
      </c>
      <c r="N846" s="79">
        <v>1785373</v>
      </c>
      <c r="O846" s="80">
        <v>6.78</v>
      </c>
      <c r="P846" s="81"/>
      <c r="Q846" s="81">
        <v>1.2203999999999999</v>
      </c>
      <c r="R846" s="80"/>
      <c r="S846" s="80">
        <v>0</v>
      </c>
      <c r="T846" s="82">
        <v>8</v>
      </c>
      <c r="U846" s="77"/>
      <c r="V846" s="75"/>
      <c r="W846" s="77"/>
      <c r="X846" s="77"/>
      <c r="Y846" s="77" t="s">
        <v>2929</v>
      </c>
      <c r="Z846" s="77" t="s">
        <v>302</v>
      </c>
      <c r="AA846" s="83" t="s">
        <v>2928</v>
      </c>
      <c r="AB846" s="104" t="str">
        <f>IFERROR(VLOOKUP(Anexo_4[[#This Row],[cuenta]],OP,2,0),"-")</f>
        <v>Transporte peajes - Servicios</v>
      </c>
    </row>
    <row r="847" spans="1:28" s="84" customFormat="1" ht="27" customHeight="1" x14ac:dyDescent="0.3">
      <c r="A847" s="75" t="s">
        <v>1627</v>
      </c>
      <c r="B847" s="36" t="str">
        <f t="shared" si="13"/>
        <v>Julio</v>
      </c>
      <c r="C847" s="77" t="s">
        <v>162</v>
      </c>
      <c r="D847" s="77" t="s">
        <v>2930</v>
      </c>
      <c r="E847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847" s="79" t="s">
        <v>418</v>
      </c>
      <c r="G847" s="79" t="s">
        <v>419</v>
      </c>
      <c r="H847" s="140" t="s">
        <v>2931</v>
      </c>
      <c r="I847" s="77" t="s">
        <v>178</v>
      </c>
      <c r="J847" s="144" t="s">
        <v>179</v>
      </c>
      <c r="K847" s="77" t="s">
        <v>169</v>
      </c>
      <c r="L847" s="103" t="str">
        <f>VLOOKUP(Anexo_4[[#This Row],[cod_doc]],TIPODOC,2,FALSE)</f>
        <v>FACTURA</v>
      </c>
      <c r="M847" s="77" t="s">
        <v>180</v>
      </c>
      <c r="N847" s="79">
        <v>134004</v>
      </c>
      <c r="O847" s="80">
        <v>8.4700000000000006</v>
      </c>
      <c r="P847" s="81"/>
      <c r="Q847" s="81">
        <v>1.5246</v>
      </c>
      <c r="R847" s="80"/>
      <c r="S847" s="80">
        <v>0</v>
      </c>
      <c r="T847" s="82">
        <v>10</v>
      </c>
      <c r="U847" s="77"/>
      <c r="V847" s="75"/>
      <c r="W847" s="77"/>
      <c r="X847" s="77"/>
      <c r="Y847" s="77" t="s">
        <v>2932</v>
      </c>
      <c r="Z847" s="77" t="s">
        <v>386</v>
      </c>
      <c r="AA847" s="83" t="s">
        <v>2931</v>
      </c>
      <c r="AB847" s="104" t="str">
        <f>IFERROR(VLOOKUP(Anexo_4[[#This Row],[cuenta]],OP,2,0),"-")</f>
        <v>Balanza - Servicios</v>
      </c>
    </row>
    <row r="848" spans="1:28" s="84" customFormat="1" ht="27" customHeight="1" x14ac:dyDescent="0.3">
      <c r="A848" s="75" t="s">
        <v>2564</v>
      </c>
      <c r="B848" s="36" t="str">
        <f t="shared" si="13"/>
        <v>Julio</v>
      </c>
      <c r="C848" s="77" t="s">
        <v>162</v>
      </c>
      <c r="D848" s="77" t="s">
        <v>2933</v>
      </c>
      <c r="E848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848" s="79" t="s">
        <v>449</v>
      </c>
      <c r="G848" s="79" t="s">
        <v>450</v>
      </c>
      <c r="H848" s="140" t="s">
        <v>2934</v>
      </c>
      <c r="I848" s="77" t="s">
        <v>312</v>
      </c>
      <c r="J848" s="144" t="s">
        <v>313</v>
      </c>
      <c r="K848" s="77" t="s">
        <v>169</v>
      </c>
      <c r="L848" s="103" t="str">
        <f>VLOOKUP(Anexo_4[[#This Row],[cod_doc]],TIPODOC,2,FALSE)</f>
        <v>FACTURA</v>
      </c>
      <c r="M848" s="77" t="s">
        <v>1506</v>
      </c>
      <c r="N848" s="79">
        <v>654842</v>
      </c>
      <c r="O848" s="80">
        <v>12.71</v>
      </c>
      <c r="P848" s="81"/>
      <c r="Q848" s="81">
        <v>2.2878000000000003</v>
      </c>
      <c r="R848" s="80"/>
      <c r="S848" s="80">
        <v>0</v>
      </c>
      <c r="T848" s="82">
        <v>15</v>
      </c>
      <c r="U848" s="77"/>
      <c r="V848" s="75"/>
      <c r="W848" s="77"/>
      <c r="X848" s="77"/>
      <c r="Y848" s="77" t="s">
        <v>2935</v>
      </c>
      <c r="Z848" s="77" t="s">
        <v>302</v>
      </c>
      <c r="AA848" s="83" t="s">
        <v>2934</v>
      </c>
      <c r="AB848" s="104" t="str">
        <f>IFERROR(VLOOKUP(Anexo_4[[#This Row],[cuenta]],OP,2,0),"-")</f>
        <v>Transporte peajes - Servicios</v>
      </c>
    </row>
    <row r="849" spans="1:28" s="84" customFormat="1" ht="27" customHeight="1" x14ac:dyDescent="0.3">
      <c r="A849" s="75" t="s">
        <v>2564</v>
      </c>
      <c r="B849" s="36" t="str">
        <f t="shared" si="13"/>
        <v>Julio</v>
      </c>
      <c r="C849" s="77" t="s">
        <v>162</v>
      </c>
      <c r="D849" s="77" t="s">
        <v>2936</v>
      </c>
      <c r="E849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849" s="79" t="s">
        <v>449</v>
      </c>
      <c r="G849" s="79" t="s">
        <v>450</v>
      </c>
      <c r="H849" s="140" t="s">
        <v>2937</v>
      </c>
      <c r="I849" s="77" t="s">
        <v>312</v>
      </c>
      <c r="J849" s="144" t="s">
        <v>313</v>
      </c>
      <c r="K849" s="77" t="s">
        <v>169</v>
      </c>
      <c r="L849" s="103" t="str">
        <f>VLOOKUP(Anexo_4[[#This Row],[cod_doc]],TIPODOC,2,FALSE)</f>
        <v>FACTURA</v>
      </c>
      <c r="M849" s="77" t="s">
        <v>319</v>
      </c>
      <c r="N849" s="79">
        <v>2312152</v>
      </c>
      <c r="O849" s="80">
        <v>12.71</v>
      </c>
      <c r="P849" s="81"/>
      <c r="Q849" s="81">
        <v>2.2878000000000003</v>
      </c>
      <c r="R849" s="80"/>
      <c r="S849" s="80">
        <v>0</v>
      </c>
      <c r="T849" s="82">
        <v>15</v>
      </c>
      <c r="U849" s="77"/>
      <c r="V849" s="75"/>
      <c r="W849" s="77"/>
      <c r="X849" s="77"/>
      <c r="Y849" s="77" t="s">
        <v>2938</v>
      </c>
      <c r="Z849" s="77" t="s">
        <v>302</v>
      </c>
      <c r="AA849" s="83" t="s">
        <v>2937</v>
      </c>
      <c r="AB849" s="104" t="str">
        <f>IFERROR(VLOOKUP(Anexo_4[[#This Row],[cuenta]],OP,2,0),"-")</f>
        <v>Transporte peajes - Servicios</v>
      </c>
    </row>
    <row r="850" spans="1:28" s="84" customFormat="1" ht="27" customHeight="1" x14ac:dyDescent="0.3">
      <c r="A850" s="75" t="s">
        <v>2349</v>
      </c>
      <c r="B850" s="36" t="str">
        <f t="shared" si="13"/>
        <v>Julio</v>
      </c>
      <c r="C850" s="77" t="s">
        <v>162</v>
      </c>
      <c r="D850" s="77" t="s">
        <v>2939</v>
      </c>
      <c r="E850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850" s="79" t="s">
        <v>449</v>
      </c>
      <c r="G850" s="79" t="s">
        <v>450</v>
      </c>
      <c r="H850" s="140" t="s">
        <v>2940</v>
      </c>
      <c r="I850" s="77" t="s">
        <v>312</v>
      </c>
      <c r="J850" s="144" t="s">
        <v>313</v>
      </c>
      <c r="K850" s="77" t="s">
        <v>169</v>
      </c>
      <c r="L850" s="103" t="str">
        <f>VLOOKUP(Anexo_4[[#This Row],[cod_doc]],TIPODOC,2,FALSE)</f>
        <v>FACTURA</v>
      </c>
      <c r="M850" s="77" t="s">
        <v>195</v>
      </c>
      <c r="N850" s="79">
        <v>1177382</v>
      </c>
      <c r="O850" s="80">
        <v>12.71</v>
      </c>
      <c r="P850" s="81"/>
      <c r="Q850" s="81">
        <v>2.2878000000000003</v>
      </c>
      <c r="R850" s="80"/>
      <c r="S850" s="80">
        <v>0</v>
      </c>
      <c r="T850" s="82">
        <v>15</v>
      </c>
      <c r="U850" s="77"/>
      <c r="V850" s="75"/>
      <c r="W850" s="77"/>
      <c r="X850" s="77"/>
      <c r="Y850" s="77" t="s">
        <v>2941</v>
      </c>
      <c r="Z850" s="77" t="s">
        <v>302</v>
      </c>
      <c r="AA850" s="83" t="s">
        <v>2940</v>
      </c>
      <c r="AB850" s="104" t="str">
        <f>IFERROR(VLOOKUP(Anexo_4[[#This Row],[cuenta]],OP,2,0),"-")</f>
        <v>Transporte peajes - Servicios</v>
      </c>
    </row>
    <row r="851" spans="1:28" s="84" customFormat="1" ht="27" customHeight="1" x14ac:dyDescent="0.3">
      <c r="A851" s="75" t="s">
        <v>2349</v>
      </c>
      <c r="B851" s="36" t="str">
        <f t="shared" si="13"/>
        <v>Julio</v>
      </c>
      <c r="C851" s="77" t="s">
        <v>162</v>
      </c>
      <c r="D851" s="77" t="s">
        <v>2942</v>
      </c>
      <c r="E85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851" s="79" t="s">
        <v>449</v>
      </c>
      <c r="G851" s="79" t="s">
        <v>450</v>
      </c>
      <c r="H851" s="140" t="s">
        <v>2943</v>
      </c>
      <c r="I851" s="77" t="s">
        <v>312</v>
      </c>
      <c r="J851" s="144" t="s">
        <v>313</v>
      </c>
      <c r="K851" s="77" t="s">
        <v>169</v>
      </c>
      <c r="L851" s="103" t="str">
        <f>VLOOKUP(Anexo_4[[#This Row],[cod_doc]],TIPODOC,2,FALSE)</f>
        <v>FACTURA</v>
      </c>
      <c r="M851" s="77" t="s">
        <v>1463</v>
      </c>
      <c r="N851" s="79">
        <v>3763706</v>
      </c>
      <c r="O851" s="80">
        <v>12.71</v>
      </c>
      <c r="P851" s="81"/>
      <c r="Q851" s="81">
        <v>2.2878000000000003</v>
      </c>
      <c r="R851" s="80"/>
      <c r="S851" s="80">
        <v>0</v>
      </c>
      <c r="T851" s="82">
        <v>15</v>
      </c>
      <c r="U851" s="77"/>
      <c r="V851" s="75"/>
      <c r="W851" s="77"/>
      <c r="X851" s="77"/>
      <c r="Y851" s="77" t="s">
        <v>2944</v>
      </c>
      <c r="Z851" s="77" t="s">
        <v>302</v>
      </c>
      <c r="AA851" s="83" t="s">
        <v>2943</v>
      </c>
      <c r="AB851" s="104" t="str">
        <f>IFERROR(VLOOKUP(Anexo_4[[#This Row],[cuenta]],OP,2,0),"-")</f>
        <v>Transporte peajes - Servicios</v>
      </c>
    </row>
    <row r="852" spans="1:28" s="84" customFormat="1" ht="27" customHeight="1" x14ac:dyDescent="0.3">
      <c r="A852" s="75" t="s">
        <v>1627</v>
      </c>
      <c r="B852" s="36" t="str">
        <f t="shared" si="13"/>
        <v>Julio</v>
      </c>
      <c r="C852" s="77" t="s">
        <v>162</v>
      </c>
      <c r="D852" s="77" t="s">
        <v>2945</v>
      </c>
      <c r="E85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852" s="79" t="s">
        <v>217</v>
      </c>
      <c r="G852" s="79" t="s">
        <v>218</v>
      </c>
      <c r="H852" s="140" t="s">
        <v>2946</v>
      </c>
      <c r="I852" s="77" t="s">
        <v>264</v>
      </c>
      <c r="J852" s="144" t="s">
        <v>265</v>
      </c>
      <c r="K852" s="77" t="s">
        <v>169</v>
      </c>
      <c r="L852" s="103" t="str">
        <f>VLOOKUP(Anexo_4[[#This Row],[cod_doc]],TIPODOC,2,FALSE)</f>
        <v>FACTURA</v>
      </c>
      <c r="M852" s="77" t="s">
        <v>279</v>
      </c>
      <c r="N852" s="79">
        <v>1087851</v>
      </c>
      <c r="O852" s="80">
        <v>6.78</v>
      </c>
      <c r="P852" s="81"/>
      <c r="Q852" s="81">
        <v>1.2203999999999999</v>
      </c>
      <c r="R852" s="80"/>
      <c r="S852" s="80">
        <v>0</v>
      </c>
      <c r="T852" s="82">
        <v>8</v>
      </c>
      <c r="U852" s="77"/>
      <c r="V852" s="75"/>
      <c r="W852" s="77"/>
      <c r="X852" s="77"/>
      <c r="Y852" s="77" t="s">
        <v>2947</v>
      </c>
      <c r="Z852" s="77" t="s">
        <v>302</v>
      </c>
      <c r="AA852" s="83" t="s">
        <v>2946</v>
      </c>
      <c r="AB852" s="104" t="str">
        <f>IFERROR(VLOOKUP(Anexo_4[[#This Row],[cuenta]],OP,2,0),"-")</f>
        <v>Transporte peajes - Servicios</v>
      </c>
    </row>
    <row r="853" spans="1:28" s="84" customFormat="1" ht="27" customHeight="1" x14ac:dyDescent="0.3">
      <c r="A853" s="75" t="s">
        <v>2564</v>
      </c>
      <c r="B853" s="36" t="str">
        <f t="shared" si="13"/>
        <v>Julio</v>
      </c>
      <c r="C853" s="77" t="s">
        <v>162</v>
      </c>
      <c r="D853" s="77" t="s">
        <v>2948</v>
      </c>
      <c r="E853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853" s="79" t="s">
        <v>217</v>
      </c>
      <c r="G853" s="79" t="s">
        <v>218</v>
      </c>
      <c r="H853" s="140" t="s">
        <v>2949</v>
      </c>
      <c r="I853" s="77" t="s">
        <v>264</v>
      </c>
      <c r="J853" s="144" t="s">
        <v>265</v>
      </c>
      <c r="K853" s="77" t="s">
        <v>169</v>
      </c>
      <c r="L853" s="103" t="str">
        <f>VLOOKUP(Anexo_4[[#This Row],[cod_doc]],TIPODOC,2,FALSE)</f>
        <v>FACTURA</v>
      </c>
      <c r="M853" s="77" t="s">
        <v>406</v>
      </c>
      <c r="N853" s="79">
        <v>2401478</v>
      </c>
      <c r="O853" s="80">
        <v>6.78</v>
      </c>
      <c r="P853" s="81"/>
      <c r="Q853" s="81">
        <v>1.2203999999999999</v>
      </c>
      <c r="R853" s="80"/>
      <c r="S853" s="80">
        <v>0</v>
      </c>
      <c r="T853" s="82">
        <v>8</v>
      </c>
      <c r="U853" s="77"/>
      <c r="V853" s="75"/>
      <c r="W853" s="77"/>
      <c r="X853" s="77"/>
      <c r="Y853" s="77" t="s">
        <v>2950</v>
      </c>
      <c r="Z853" s="77" t="s">
        <v>302</v>
      </c>
      <c r="AA853" s="83" t="s">
        <v>2949</v>
      </c>
      <c r="AB853" s="104" t="str">
        <f>IFERROR(VLOOKUP(Anexo_4[[#This Row],[cuenta]],OP,2,0),"-")</f>
        <v>Transporte peajes - Servicios</v>
      </c>
    </row>
    <row r="854" spans="1:28" s="84" customFormat="1" ht="27" customHeight="1" x14ac:dyDescent="0.3">
      <c r="A854" s="75" t="s">
        <v>1627</v>
      </c>
      <c r="B854" s="36" t="str">
        <f t="shared" si="13"/>
        <v>Julio</v>
      </c>
      <c r="C854" s="77" t="s">
        <v>162</v>
      </c>
      <c r="D854" s="77" t="s">
        <v>2951</v>
      </c>
      <c r="E854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854" s="79" t="s">
        <v>217</v>
      </c>
      <c r="G854" s="79" t="s">
        <v>218</v>
      </c>
      <c r="H854" s="140" t="s">
        <v>2952</v>
      </c>
      <c r="I854" s="77" t="s">
        <v>264</v>
      </c>
      <c r="J854" s="144" t="s">
        <v>265</v>
      </c>
      <c r="K854" s="77" t="s">
        <v>169</v>
      </c>
      <c r="L854" s="103" t="str">
        <f>VLOOKUP(Anexo_4[[#This Row],[cod_doc]],TIPODOC,2,FALSE)</f>
        <v>FACTURA</v>
      </c>
      <c r="M854" s="77" t="s">
        <v>406</v>
      </c>
      <c r="N854" s="79">
        <v>2393776</v>
      </c>
      <c r="O854" s="80">
        <v>6.78</v>
      </c>
      <c r="P854" s="81"/>
      <c r="Q854" s="81">
        <v>1.2203999999999999</v>
      </c>
      <c r="R854" s="80"/>
      <c r="S854" s="80">
        <v>0</v>
      </c>
      <c r="T854" s="82">
        <v>8</v>
      </c>
      <c r="U854" s="77"/>
      <c r="V854" s="75"/>
      <c r="W854" s="77"/>
      <c r="X854" s="77"/>
      <c r="Y854" s="77" t="s">
        <v>2953</v>
      </c>
      <c r="Z854" s="77" t="s">
        <v>302</v>
      </c>
      <c r="AA854" s="83" t="s">
        <v>2952</v>
      </c>
      <c r="AB854" s="104" t="str">
        <f>IFERROR(VLOOKUP(Anexo_4[[#This Row],[cuenta]],OP,2,0),"-")</f>
        <v>Transporte peajes - Servicios</v>
      </c>
    </row>
    <row r="855" spans="1:28" s="84" customFormat="1" ht="27" customHeight="1" x14ac:dyDescent="0.3">
      <c r="A855" s="75" t="s">
        <v>1627</v>
      </c>
      <c r="B855" s="36" t="str">
        <f t="shared" si="13"/>
        <v>Julio</v>
      </c>
      <c r="C855" s="77" t="s">
        <v>162</v>
      </c>
      <c r="D855" s="77" t="s">
        <v>2954</v>
      </c>
      <c r="E85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855" s="79" t="s">
        <v>217</v>
      </c>
      <c r="G855" s="79" t="s">
        <v>218</v>
      </c>
      <c r="H855" s="140" t="s">
        <v>2955</v>
      </c>
      <c r="I855" s="77" t="s">
        <v>264</v>
      </c>
      <c r="J855" s="144" t="s">
        <v>265</v>
      </c>
      <c r="K855" s="77" t="s">
        <v>169</v>
      </c>
      <c r="L855" s="103" t="str">
        <f>VLOOKUP(Anexo_4[[#This Row],[cod_doc]],TIPODOC,2,FALSE)</f>
        <v>FACTURA</v>
      </c>
      <c r="M855" s="77" t="s">
        <v>266</v>
      </c>
      <c r="N855" s="79">
        <v>487477</v>
      </c>
      <c r="O855" s="80">
        <v>6.78</v>
      </c>
      <c r="P855" s="81"/>
      <c r="Q855" s="81">
        <v>1.2203999999999999</v>
      </c>
      <c r="R855" s="80"/>
      <c r="S855" s="80">
        <v>0</v>
      </c>
      <c r="T855" s="82">
        <v>8</v>
      </c>
      <c r="U855" s="77"/>
      <c r="V855" s="75"/>
      <c r="W855" s="77"/>
      <c r="X855" s="77"/>
      <c r="Y855" s="77" t="s">
        <v>2956</v>
      </c>
      <c r="Z855" s="77" t="s">
        <v>302</v>
      </c>
      <c r="AA855" s="83" t="s">
        <v>2955</v>
      </c>
      <c r="AB855" s="104" t="str">
        <f>IFERROR(VLOOKUP(Anexo_4[[#This Row],[cuenta]],OP,2,0),"-")</f>
        <v>Transporte peajes - Servicios</v>
      </c>
    </row>
    <row r="856" spans="1:28" s="84" customFormat="1" ht="27" customHeight="1" x14ac:dyDescent="0.3">
      <c r="A856" s="75" t="s">
        <v>2780</v>
      </c>
      <c r="B856" s="36" t="str">
        <f t="shared" si="13"/>
        <v>Julio</v>
      </c>
      <c r="C856" s="77" t="s">
        <v>162</v>
      </c>
      <c r="D856" s="77" t="s">
        <v>2957</v>
      </c>
      <c r="E85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856" s="79" t="s">
        <v>217</v>
      </c>
      <c r="G856" s="79" t="s">
        <v>218</v>
      </c>
      <c r="H856" s="140" t="s">
        <v>2958</v>
      </c>
      <c r="I856" s="77" t="s">
        <v>383</v>
      </c>
      <c r="J856" s="144" t="s">
        <v>384</v>
      </c>
      <c r="K856" s="77" t="s">
        <v>169</v>
      </c>
      <c r="L856" s="103" t="str">
        <f>VLOOKUP(Anexo_4[[#This Row],[cod_doc]],TIPODOC,2,FALSE)</f>
        <v>FACTURA</v>
      </c>
      <c r="M856" s="77" t="s">
        <v>103</v>
      </c>
      <c r="N856" s="79">
        <v>17076</v>
      </c>
      <c r="O856" s="80">
        <v>8.4700000000000006</v>
      </c>
      <c r="P856" s="81"/>
      <c r="Q856" s="81">
        <v>1.5246</v>
      </c>
      <c r="R856" s="80"/>
      <c r="S856" s="80">
        <v>0</v>
      </c>
      <c r="T856" s="82">
        <v>10</v>
      </c>
      <c r="U856" s="77"/>
      <c r="V856" s="75"/>
      <c r="W856" s="77"/>
      <c r="X856" s="77"/>
      <c r="Y856" s="77" t="s">
        <v>2959</v>
      </c>
      <c r="Z856" s="77" t="s">
        <v>386</v>
      </c>
      <c r="AA856" s="83" t="s">
        <v>2958</v>
      </c>
      <c r="AB856" s="104" t="str">
        <f>IFERROR(VLOOKUP(Anexo_4[[#This Row],[cuenta]],OP,2,0),"-")</f>
        <v>Balanza - Servicios</v>
      </c>
    </row>
    <row r="857" spans="1:28" s="84" customFormat="1" ht="27" customHeight="1" x14ac:dyDescent="0.3">
      <c r="A857" s="75" t="s">
        <v>2837</v>
      </c>
      <c r="B857" s="36" t="str">
        <f t="shared" si="13"/>
        <v>Julio</v>
      </c>
      <c r="C857" s="77" t="s">
        <v>162</v>
      </c>
      <c r="D857" s="77" t="s">
        <v>2960</v>
      </c>
      <c r="E857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857" s="79" t="s">
        <v>217</v>
      </c>
      <c r="G857" s="79" t="s">
        <v>218</v>
      </c>
      <c r="H857" s="140" t="s">
        <v>2961</v>
      </c>
      <c r="I857" s="77" t="s">
        <v>383</v>
      </c>
      <c r="J857" s="144" t="s">
        <v>384</v>
      </c>
      <c r="K857" s="77" t="s">
        <v>169</v>
      </c>
      <c r="L857" s="103" t="str">
        <f>VLOOKUP(Anexo_4[[#This Row],[cod_doc]],TIPODOC,2,FALSE)</f>
        <v>FACTURA</v>
      </c>
      <c r="M857" s="77" t="s">
        <v>103</v>
      </c>
      <c r="N857" s="79">
        <v>17090</v>
      </c>
      <c r="O857" s="80">
        <v>8.4700000000000006</v>
      </c>
      <c r="P857" s="81"/>
      <c r="Q857" s="81">
        <v>1.5246</v>
      </c>
      <c r="R857" s="80"/>
      <c r="S857" s="80">
        <v>0</v>
      </c>
      <c r="T857" s="82">
        <v>10</v>
      </c>
      <c r="U857" s="77"/>
      <c r="V857" s="75"/>
      <c r="W857" s="77"/>
      <c r="X857" s="77"/>
      <c r="Y857" s="77" t="s">
        <v>2962</v>
      </c>
      <c r="Z857" s="77" t="s">
        <v>386</v>
      </c>
      <c r="AA857" s="83" t="s">
        <v>2961</v>
      </c>
      <c r="AB857" s="104" t="str">
        <f>IFERROR(VLOOKUP(Anexo_4[[#This Row],[cuenta]],OP,2,0),"-")</f>
        <v>Balanza - Servicios</v>
      </c>
    </row>
    <row r="858" spans="1:28" s="84" customFormat="1" ht="27" customHeight="1" x14ac:dyDescent="0.3">
      <c r="A858" s="75" t="s">
        <v>2675</v>
      </c>
      <c r="B858" s="36" t="str">
        <f t="shared" si="13"/>
        <v>Julio</v>
      </c>
      <c r="C858" s="77" t="s">
        <v>162</v>
      </c>
      <c r="D858" s="77" t="s">
        <v>2963</v>
      </c>
      <c r="E858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858" s="79" t="s">
        <v>235</v>
      </c>
      <c r="G858" s="79" t="s">
        <v>236</v>
      </c>
      <c r="H858" s="140" t="s">
        <v>2964</v>
      </c>
      <c r="I858" s="77" t="s">
        <v>383</v>
      </c>
      <c r="J858" s="144" t="s">
        <v>384</v>
      </c>
      <c r="K858" s="77" t="s">
        <v>169</v>
      </c>
      <c r="L858" s="103" t="str">
        <f>VLOOKUP(Anexo_4[[#This Row],[cod_doc]],TIPODOC,2,FALSE)</f>
        <v>FACTURA</v>
      </c>
      <c r="M858" s="77" t="s">
        <v>103</v>
      </c>
      <c r="N858" s="79">
        <v>17050</v>
      </c>
      <c r="O858" s="80">
        <v>16.95</v>
      </c>
      <c r="P858" s="81"/>
      <c r="Q858" s="81">
        <v>3.0509999999999997</v>
      </c>
      <c r="R858" s="80"/>
      <c r="S858" s="80">
        <v>0</v>
      </c>
      <c r="T858" s="82">
        <v>20</v>
      </c>
      <c r="U858" s="77"/>
      <c r="V858" s="75"/>
      <c r="W858" s="77"/>
      <c r="X858" s="77"/>
      <c r="Y858" s="77" t="s">
        <v>2965</v>
      </c>
      <c r="Z858" s="77" t="s">
        <v>386</v>
      </c>
      <c r="AA858" s="83" t="s">
        <v>2964</v>
      </c>
      <c r="AB858" s="104" t="str">
        <f>IFERROR(VLOOKUP(Anexo_4[[#This Row],[cuenta]],OP,2,0),"-")</f>
        <v>Balanza - Servicios</v>
      </c>
    </row>
    <row r="859" spans="1:28" s="84" customFormat="1" ht="27" customHeight="1" x14ac:dyDescent="0.3">
      <c r="A859" s="75" t="s">
        <v>1627</v>
      </c>
      <c r="B859" s="36" t="str">
        <f t="shared" si="13"/>
        <v>Julio</v>
      </c>
      <c r="C859" s="77" t="s">
        <v>162</v>
      </c>
      <c r="D859" s="77" t="s">
        <v>2966</v>
      </c>
      <c r="E859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859" s="79" t="s">
        <v>217</v>
      </c>
      <c r="G859" s="79" t="s">
        <v>218</v>
      </c>
      <c r="H859" s="140" t="s">
        <v>2967</v>
      </c>
      <c r="I859" s="77" t="s">
        <v>286</v>
      </c>
      <c r="J859" s="144" t="s">
        <v>287</v>
      </c>
      <c r="K859" s="77" t="s">
        <v>169</v>
      </c>
      <c r="L859" s="103" t="str">
        <f>VLOOKUP(Anexo_4[[#This Row],[cod_doc]],TIPODOC,2,FALSE)</f>
        <v>FACTURA</v>
      </c>
      <c r="M859" s="77" t="s">
        <v>222</v>
      </c>
      <c r="N859" s="79">
        <v>17924</v>
      </c>
      <c r="O859" s="80"/>
      <c r="P859" s="81"/>
      <c r="Q859" s="81"/>
      <c r="R859" s="80"/>
      <c r="S859" s="80">
        <v>22</v>
      </c>
      <c r="T859" s="82">
        <v>22</v>
      </c>
      <c r="U859" s="77"/>
      <c r="V859" s="75"/>
      <c r="W859" s="77"/>
      <c r="X859" s="77"/>
      <c r="Y859" s="77" t="s">
        <v>2968</v>
      </c>
      <c r="Z859" s="77" t="s">
        <v>386</v>
      </c>
      <c r="AA859" s="83" t="s">
        <v>2967</v>
      </c>
      <c r="AB859" s="104" t="str">
        <f>IFERROR(VLOOKUP(Anexo_4[[#This Row],[cuenta]],OP,2,0),"-")</f>
        <v>Balanza - Servicios</v>
      </c>
    </row>
    <row r="860" spans="1:28" s="84" customFormat="1" ht="27" customHeight="1" x14ac:dyDescent="0.3">
      <c r="A860" s="75" t="s">
        <v>1627</v>
      </c>
      <c r="B860" s="36" t="str">
        <f t="shared" si="13"/>
        <v>Julio</v>
      </c>
      <c r="C860" s="77" t="s">
        <v>162</v>
      </c>
      <c r="D860" s="77" t="s">
        <v>2969</v>
      </c>
      <c r="E860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860" s="79" t="s">
        <v>418</v>
      </c>
      <c r="G860" s="79" t="s">
        <v>419</v>
      </c>
      <c r="H860" s="140" t="s">
        <v>2970</v>
      </c>
      <c r="I860" s="77" t="s">
        <v>286</v>
      </c>
      <c r="J860" s="144" t="s">
        <v>287</v>
      </c>
      <c r="K860" s="77" t="s">
        <v>169</v>
      </c>
      <c r="L860" s="103" t="str">
        <f>VLOOKUP(Anexo_4[[#This Row],[cod_doc]],TIPODOC,2,FALSE)</f>
        <v>FACTURA</v>
      </c>
      <c r="M860" s="77" t="s">
        <v>222</v>
      </c>
      <c r="N860" s="79">
        <v>17923</v>
      </c>
      <c r="O860" s="80"/>
      <c r="P860" s="81"/>
      <c r="Q860" s="81"/>
      <c r="R860" s="80"/>
      <c r="S860" s="80">
        <v>11</v>
      </c>
      <c r="T860" s="82">
        <v>11</v>
      </c>
      <c r="U860" s="77"/>
      <c r="V860" s="75"/>
      <c r="W860" s="77"/>
      <c r="X860" s="77"/>
      <c r="Y860" s="77" t="s">
        <v>2971</v>
      </c>
      <c r="Z860" s="77" t="s">
        <v>386</v>
      </c>
      <c r="AA860" s="83" t="s">
        <v>2970</v>
      </c>
      <c r="AB860" s="104" t="str">
        <f>IFERROR(VLOOKUP(Anexo_4[[#This Row],[cuenta]],OP,2,0),"-")</f>
        <v>Balanza - Servicios</v>
      </c>
    </row>
    <row r="861" spans="1:28" s="84" customFormat="1" ht="27" customHeight="1" x14ac:dyDescent="0.3">
      <c r="A861" s="75" t="s">
        <v>2780</v>
      </c>
      <c r="B861" s="36" t="str">
        <f t="shared" si="13"/>
        <v>Julio</v>
      </c>
      <c r="C861" s="77" t="s">
        <v>162</v>
      </c>
      <c r="D861" s="77" t="s">
        <v>2972</v>
      </c>
      <c r="E86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861" s="79" t="s">
        <v>456</v>
      </c>
      <c r="G861" s="79" t="s">
        <v>457</v>
      </c>
      <c r="H861" s="140" t="s">
        <v>930</v>
      </c>
      <c r="I861" s="77" t="s">
        <v>383</v>
      </c>
      <c r="J861" s="144" t="s">
        <v>384</v>
      </c>
      <c r="K861" s="77" t="s">
        <v>169</v>
      </c>
      <c r="L861" s="103" t="str">
        <f>VLOOKUP(Anexo_4[[#This Row],[cod_doc]],TIPODOC,2,FALSE)</f>
        <v>FACTURA</v>
      </c>
      <c r="M861" s="77" t="s">
        <v>103</v>
      </c>
      <c r="N861" s="79">
        <v>17067</v>
      </c>
      <c r="O861" s="80">
        <v>16.95</v>
      </c>
      <c r="P861" s="81"/>
      <c r="Q861" s="81">
        <v>3.0509999999999997</v>
      </c>
      <c r="R861" s="80"/>
      <c r="S861" s="80">
        <v>0</v>
      </c>
      <c r="T861" s="82">
        <v>20</v>
      </c>
      <c r="U861" s="77"/>
      <c r="V861" s="75"/>
      <c r="W861" s="77"/>
      <c r="X861" s="77"/>
      <c r="Y861" s="77"/>
      <c r="Z861" s="77" t="s">
        <v>386</v>
      </c>
      <c r="AA861" s="83" t="s">
        <v>930</v>
      </c>
      <c r="AB861" s="104" t="str">
        <f>IFERROR(VLOOKUP(Anexo_4[[#This Row],[cuenta]],OP,2,0),"-")</f>
        <v>Balanza - Servicios</v>
      </c>
    </row>
    <row r="862" spans="1:28" s="84" customFormat="1" ht="27" customHeight="1" x14ac:dyDescent="0.3">
      <c r="A862" s="75" t="s">
        <v>2780</v>
      </c>
      <c r="B862" s="36" t="str">
        <f t="shared" si="13"/>
        <v>Julio</v>
      </c>
      <c r="C862" s="77" t="s">
        <v>162</v>
      </c>
      <c r="D862" s="77" t="s">
        <v>2973</v>
      </c>
      <c r="E86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862" s="79" t="s">
        <v>456</v>
      </c>
      <c r="G862" s="79" t="s">
        <v>457</v>
      </c>
      <c r="H862" s="140" t="s">
        <v>930</v>
      </c>
      <c r="I862" s="77" t="s">
        <v>383</v>
      </c>
      <c r="J862" s="144" t="s">
        <v>384</v>
      </c>
      <c r="K862" s="77" t="s">
        <v>169</v>
      </c>
      <c r="L862" s="103" t="str">
        <f>VLOOKUP(Anexo_4[[#This Row],[cod_doc]],TIPODOC,2,FALSE)</f>
        <v>FACTURA</v>
      </c>
      <c r="M862" s="77" t="s">
        <v>103</v>
      </c>
      <c r="N862" s="79">
        <v>17066</v>
      </c>
      <c r="O862" s="80">
        <v>16.95</v>
      </c>
      <c r="P862" s="81"/>
      <c r="Q862" s="81">
        <v>3.0509999999999997</v>
      </c>
      <c r="R862" s="80"/>
      <c r="S862" s="80">
        <v>0</v>
      </c>
      <c r="T862" s="82">
        <v>20</v>
      </c>
      <c r="U862" s="77"/>
      <c r="V862" s="75"/>
      <c r="W862" s="77"/>
      <c r="X862" s="77"/>
      <c r="Y862" s="77"/>
      <c r="Z862" s="77" t="s">
        <v>386</v>
      </c>
      <c r="AA862" s="83" t="s">
        <v>930</v>
      </c>
      <c r="AB862" s="104" t="str">
        <f>IFERROR(VLOOKUP(Anexo_4[[#This Row],[cuenta]],OP,2,0),"-")</f>
        <v>Balanza - Servicios</v>
      </c>
    </row>
    <row r="863" spans="1:28" s="84" customFormat="1" ht="27" customHeight="1" x14ac:dyDescent="0.3">
      <c r="A863" s="75" t="s">
        <v>1843</v>
      </c>
      <c r="B863" s="36" t="str">
        <f t="shared" si="13"/>
        <v>Julio</v>
      </c>
      <c r="C863" s="77" t="s">
        <v>162</v>
      </c>
      <c r="D863" s="77" t="s">
        <v>2974</v>
      </c>
      <c r="E863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863" s="79" t="s">
        <v>449</v>
      </c>
      <c r="G863" s="79" t="s">
        <v>450</v>
      </c>
      <c r="H863" s="140" t="s">
        <v>2975</v>
      </c>
      <c r="I863" s="77" t="s">
        <v>2976</v>
      </c>
      <c r="J863" s="144" t="s">
        <v>2977</v>
      </c>
      <c r="K863" s="77" t="s">
        <v>239</v>
      </c>
      <c r="L863" s="103" t="str">
        <f>VLOOKUP(Anexo_4[[#This Row],[cod_doc]],TIPODOC,2,FALSE)</f>
        <v>BOLETA DE VENTA</v>
      </c>
      <c r="M863" s="77" t="s">
        <v>162</v>
      </c>
      <c r="N863" s="79">
        <v>85</v>
      </c>
      <c r="O863" s="80"/>
      <c r="P863" s="81"/>
      <c r="Q863" s="81"/>
      <c r="R863" s="80"/>
      <c r="S863" s="80">
        <v>70</v>
      </c>
      <c r="T863" s="82">
        <v>70</v>
      </c>
      <c r="U863" s="77"/>
      <c r="V863" s="75"/>
      <c r="W863" s="77"/>
      <c r="X863" s="77"/>
      <c r="Y863" s="77"/>
      <c r="Z863" s="77" t="s">
        <v>241</v>
      </c>
      <c r="AA863" s="83" t="s">
        <v>2975</v>
      </c>
      <c r="AB863" s="104" t="str">
        <f>IFERROR(VLOOKUP(Anexo_4[[#This Row],[cuenta]],OP,2,0),"-")</f>
        <v>Mantenimiento Vehicular (Correctivo)</v>
      </c>
    </row>
    <row r="864" spans="1:28" s="84" customFormat="1" ht="27" customHeight="1" x14ac:dyDescent="0.3">
      <c r="A864" s="75" t="s">
        <v>2780</v>
      </c>
      <c r="B864" s="36" t="str">
        <f t="shared" si="13"/>
        <v>Julio</v>
      </c>
      <c r="C864" s="77" t="s">
        <v>162</v>
      </c>
      <c r="D864" s="77" t="s">
        <v>2978</v>
      </c>
      <c r="E864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864" s="79" t="s">
        <v>235</v>
      </c>
      <c r="G864" s="79" t="s">
        <v>236</v>
      </c>
      <c r="H864" s="140" t="s">
        <v>2979</v>
      </c>
      <c r="I864" s="77" t="s">
        <v>383</v>
      </c>
      <c r="J864" s="144" t="s">
        <v>384</v>
      </c>
      <c r="K864" s="77" t="s">
        <v>169</v>
      </c>
      <c r="L864" s="103" t="str">
        <f>VLOOKUP(Anexo_4[[#This Row],[cod_doc]],TIPODOC,2,FALSE)</f>
        <v>FACTURA</v>
      </c>
      <c r="M864" s="77" t="s">
        <v>103</v>
      </c>
      <c r="N864" s="79">
        <v>17072</v>
      </c>
      <c r="O864" s="80">
        <v>16.95</v>
      </c>
      <c r="P864" s="81"/>
      <c r="Q864" s="81">
        <v>3.0509999999999997</v>
      </c>
      <c r="R864" s="80"/>
      <c r="S864" s="80">
        <v>0</v>
      </c>
      <c r="T864" s="82">
        <v>20</v>
      </c>
      <c r="U864" s="77"/>
      <c r="V864" s="75"/>
      <c r="W864" s="77"/>
      <c r="X864" s="77"/>
      <c r="Y864" s="77" t="s">
        <v>2980</v>
      </c>
      <c r="Z864" s="77" t="s">
        <v>182</v>
      </c>
      <c r="AA864" s="83" t="s">
        <v>2979</v>
      </c>
      <c r="AB864" s="104" t="str">
        <f>IFERROR(VLOOKUP(Anexo_4[[#This Row],[cuenta]],OP,2,0),"-")</f>
        <v>Balanza - Ventas</v>
      </c>
    </row>
    <row r="865" spans="1:28" s="84" customFormat="1" ht="27" customHeight="1" x14ac:dyDescent="0.3">
      <c r="A865" s="75" t="s">
        <v>2662</v>
      </c>
      <c r="B865" s="36" t="str">
        <f t="shared" si="13"/>
        <v>Julio</v>
      </c>
      <c r="C865" s="77" t="s">
        <v>162</v>
      </c>
      <c r="D865" s="77" t="s">
        <v>2981</v>
      </c>
      <c r="E86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865" s="79" t="s">
        <v>235</v>
      </c>
      <c r="G865" s="79" t="s">
        <v>236</v>
      </c>
      <c r="H865" s="140" t="s">
        <v>2982</v>
      </c>
      <c r="I865" s="77" t="s">
        <v>264</v>
      </c>
      <c r="J865" s="144" t="s">
        <v>265</v>
      </c>
      <c r="K865" s="77" t="s">
        <v>169</v>
      </c>
      <c r="L865" s="103" t="str">
        <f>VLOOKUP(Anexo_4[[#This Row],[cod_doc]],TIPODOC,2,FALSE)</f>
        <v>FACTURA</v>
      </c>
      <c r="M865" s="77" t="s">
        <v>271</v>
      </c>
      <c r="N865" s="79">
        <v>1794238</v>
      </c>
      <c r="O865" s="80">
        <v>6.78</v>
      </c>
      <c r="P865" s="81"/>
      <c r="Q865" s="81">
        <v>1.2203999999999999</v>
      </c>
      <c r="R865" s="80"/>
      <c r="S865" s="80">
        <v>0</v>
      </c>
      <c r="T865" s="82">
        <v>8</v>
      </c>
      <c r="U865" s="77"/>
      <c r="V865" s="75"/>
      <c r="W865" s="77"/>
      <c r="X865" s="77"/>
      <c r="Y865" s="77" t="s">
        <v>2983</v>
      </c>
      <c r="Z865" s="77" t="s">
        <v>268</v>
      </c>
      <c r="AA865" s="83" t="s">
        <v>2982</v>
      </c>
      <c r="AB865" s="104" t="str">
        <f>IFERROR(VLOOKUP(Anexo_4[[#This Row],[cuenta]],OP,2,0),"-")</f>
        <v>Transporte peajes - Ventas</v>
      </c>
    </row>
    <row r="866" spans="1:28" s="84" customFormat="1" ht="27" customHeight="1" x14ac:dyDescent="0.3">
      <c r="A866" s="75" t="s">
        <v>2675</v>
      </c>
      <c r="B866" s="36" t="str">
        <f t="shared" si="13"/>
        <v>Julio</v>
      </c>
      <c r="C866" s="77" t="s">
        <v>162</v>
      </c>
      <c r="D866" s="77" t="s">
        <v>2984</v>
      </c>
      <c r="E86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866" s="79" t="s">
        <v>235</v>
      </c>
      <c r="G866" s="79" t="s">
        <v>236</v>
      </c>
      <c r="H866" s="140" t="s">
        <v>2985</v>
      </c>
      <c r="I866" s="77" t="s">
        <v>178</v>
      </c>
      <c r="J866" s="144" t="s">
        <v>179</v>
      </c>
      <c r="K866" s="77" t="s">
        <v>169</v>
      </c>
      <c r="L866" s="103" t="str">
        <f>VLOOKUP(Anexo_4[[#This Row],[cod_doc]],TIPODOC,2,FALSE)</f>
        <v>FACTURA</v>
      </c>
      <c r="M866" s="77" t="s">
        <v>180</v>
      </c>
      <c r="N866" s="79">
        <v>134450</v>
      </c>
      <c r="O866" s="80">
        <v>8.4700000000000006</v>
      </c>
      <c r="P866" s="81"/>
      <c r="Q866" s="81">
        <v>1.5246</v>
      </c>
      <c r="R866" s="80"/>
      <c r="S866" s="80">
        <v>0</v>
      </c>
      <c r="T866" s="82">
        <v>10</v>
      </c>
      <c r="U866" s="77"/>
      <c r="V866" s="75"/>
      <c r="W866" s="77"/>
      <c r="X866" s="77"/>
      <c r="Y866" s="77" t="s">
        <v>2986</v>
      </c>
      <c r="Z866" s="77" t="s">
        <v>386</v>
      </c>
      <c r="AA866" s="83" t="s">
        <v>2985</v>
      </c>
      <c r="AB866" s="104" t="str">
        <f>IFERROR(VLOOKUP(Anexo_4[[#This Row],[cuenta]],OP,2,0),"-")</f>
        <v>Balanza - Servicios</v>
      </c>
    </row>
    <row r="867" spans="1:28" s="84" customFormat="1" ht="27" customHeight="1" x14ac:dyDescent="0.3">
      <c r="A867" s="75" t="s">
        <v>2662</v>
      </c>
      <c r="B867" s="36" t="str">
        <f t="shared" si="13"/>
        <v>Julio</v>
      </c>
      <c r="C867" s="77" t="s">
        <v>162</v>
      </c>
      <c r="D867" s="77" t="s">
        <v>2987</v>
      </c>
      <c r="E867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867" s="79" t="s">
        <v>235</v>
      </c>
      <c r="G867" s="79" t="s">
        <v>236</v>
      </c>
      <c r="H867" s="140" t="s">
        <v>2988</v>
      </c>
      <c r="I867" s="77" t="s">
        <v>264</v>
      </c>
      <c r="J867" s="144" t="s">
        <v>265</v>
      </c>
      <c r="K867" s="77" t="s">
        <v>169</v>
      </c>
      <c r="L867" s="103" t="str">
        <f>VLOOKUP(Anexo_4[[#This Row],[cod_doc]],TIPODOC,2,FALSE)</f>
        <v>FACTURA</v>
      </c>
      <c r="M867" s="77" t="s">
        <v>352</v>
      </c>
      <c r="N867" s="79">
        <v>1814274</v>
      </c>
      <c r="O867" s="80">
        <v>6.78</v>
      </c>
      <c r="P867" s="81"/>
      <c r="Q867" s="81">
        <v>1.2203999999999999</v>
      </c>
      <c r="R867" s="80"/>
      <c r="S867" s="80">
        <v>0</v>
      </c>
      <c r="T867" s="82">
        <v>8</v>
      </c>
      <c r="U867" s="77"/>
      <c r="V867" s="75"/>
      <c r="W867" s="77"/>
      <c r="X867" s="77"/>
      <c r="Y867" s="77" t="s">
        <v>2989</v>
      </c>
      <c r="Z867" s="77" t="s">
        <v>268</v>
      </c>
      <c r="AA867" s="83" t="s">
        <v>2988</v>
      </c>
      <c r="AB867" s="104" t="str">
        <f>IFERROR(VLOOKUP(Anexo_4[[#This Row],[cuenta]],OP,2,0),"-")</f>
        <v>Transporte peajes - Ventas</v>
      </c>
    </row>
    <row r="868" spans="1:28" s="84" customFormat="1" ht="27" customHeight="1" x14ac:dyDescent="0.3">
      <c r="A868" s="75" t="s">
        <v>2837</v>
      </c>
      <c r="B868" s="36" t="str">
        <f t="shared" si="13"/>
        <v>Julio</v>
      </c>
      <c r="C868" s="77" t="s">
        <v>162</v>
      </c>
      <c r="D868" s="77" t="s">
        <v>2990</v>
      </c>
      <c r="E868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868" s="79" t="s">
        <v>235</v>
      </c>
      <c r="G868" s="79" t="s">
        <v>236</v>
      </c>
      <c r="H868" s="140" t="s">
        <v>2991</v>
      </c>
      <c r="I868" s="77" t="s">
        <v>264</v>
      </c>
      <c r="J868" s="144" t="s">
        <v>265</v>
      </c>
      <c r="K868" s="77" t="s">
        <v>169</v>
      </c>
      <c r="L868" s="103" t="str">
        <f>VLOOKUP(Anexo_4[[#This Row],[cod_doc]],TIPODOC,2,FALSE)</f>
        <v>FACTURA</v>
      </c>
      <c r="M868" s="77" t="s">
        <v>271</v>
      </c>
      <c r="N868" s="79">
        <v>1793243</v>
      </c>
      <c r="O868" s="80">
        <v>6.78</v>
      </c>
      <c r="P868" s="81"/>
      <c r="Q868" s="81">
        <v>1.2203999999999999</v>
      </c>
      <c r="R868" s="80"/>
      <c r="S868" s="80">
        <v>0</v>
      </c>
      <c r="T868" s="82">
        <v>8</v>
      </c>
      <c r="U868" s="77"/>
      <c r="V868" s="75"/>
      <c r="W868" s="77"/>
      <c r="X868" s="77"/>
      <c r="Y868" s="77" t="s">
        <v>2992</v>
      </c>
      <c r="Z868" s="77" t="s">
        <v>268</v>
      </c>
      <c r="AA868" s="83" t="s">
        <v>2991</v>
      </c>
      <c r="AB868" s="104" t="str">
        <f>IFERROR(VLOOKUP(Anexo_4[[#This Row],[cuenta]],OP,2,0),"-")</f>
        <v>Transporte peajes - Ventas</v>
      </c>
    </row>
    <row r="869" spans="1:28" s="84" customFormat="1" ht="27" customHeight="1" x14ac:dyDescent="0.3">
      <c r="A869" s="75" t="s">
        <v>2780</v>
      </c>
      <c r="B869" s="36" t="str">
        <f t="shared" si="13"/>
        <v>Julio</v>
      </c>
      <c r="C869" s="77" t="s">
        <v>162</v>
      </c>
      <c r="D869" s="77" t="s">
        <v>2993</v>
      </c>
      <c r="E869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869" s="79" t="s">
        <v>235</v>
      </c>
      <c r="G869" s="79" t="s">
        <v>236</v>
      </c>
      <c r="H869" s="140" t="s">
        <v>2994</v>
      </c>
      <c r="I869" s="77" t="s">
        <v>264</v>
      </c>
      <c r="J869" s="144" t="s">
        <v>265</v>
      </c>
      <c r="K869" s="77" t="s">
        <v>169</v>
      </c>
      <c r="L869" s="103" t="str">
        <f>VLOOKUP(Anexo_4[[#This Row],[cod_doc]],TIPODOC,2,FALSE)</f>
        <v>FACTURA</v>
      </c>
      <c r="M869" s="77" t="s">
        <v>352</v>
      </c>
      <c r="N869" s="79">
        <v>1811270</v>
      </c>
      <c r="O869" s="80">
        <v>6.78</v>
      </c>
      <c r="P869" s="81"/>
      <c r="Q869" s="81">
        <v>1.2203999999999999</v>
      </c>
      <c r="R869" s="80"/>
      <c r="S869" s="80">
        <v>0</v>
      </c>
      <c r="T869" s="82">
        <v>8</v>
      </c>
      <c r="U869" s="77"/>
      <c r="V869" s="75"/>
      <c r="W869" s="77"/>
      <c r="X869" s="77"/>
      <c r="Y869" s="77" t="s">
        <v>2995</v>
      </c>
      <c r="Z869" s="77" t="s">
        <v>268</v>
      </c>
      <c r="AA869" s="83" t="s">
        <v>2994</v>
      </c>
      <c r="AB869" s="104" t="str">
        <f>IFERROR(VLOOKUP(Anexo_4[[#This Row],[cuenta]],OP,2,0),"-")</f>
        <v>Transporte peajes - Ventas</v>
      </c>
    </row>
    <row r="870" spans="1:28" s="84" customFormat="1" ht="27" customHeight="1" x14ac:dyDescent="0.3">
      <c r="A870" s="75" t="s">
        <v>2780</v>
      </c>
      <c r="B870" s="36" t="str">
        <f t="shared" si="13"/>
        <v>Julio</v>
      </c>
      <c r="C870" s="77" t="s">
        <v>162</v>
      </c>
      <c r="D870" s="77" t="s">
        <v>2996</v>
      </c>
      <c r="E870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870" s="79" t="s">
        <v>217</v>
      </c>
      <c r="G870" s="79" t="s">
        <v>218</v>
      </c>
      <c r="H870" s="140" t="s">
        <v>2997</v>
      </c>
      <c r="I870" s="77" t="s">
        <v>264</v>
      </c>
      <c r="J870" s="144" t="s">
        <v>265</v>
      </c>
      <c r="K870" s="77" t="s">
        <v>169</v>
      </c>
      <c r="L870" s="103" t="str">
        <f>VLOOKUP(Anexo_4[[#This Row],[cod_doc]],TIPODOC,2,FALSE)</f>
        <v>FACTURA</v>
      </c>
      <c r="M870" s="77" t="s">
        <v>271</v>
      </c>
      <c r="N870" s="79">
        <v>1791216</v>
      </c>
      <c r="O870" s="80">
        <v>6.78</v>
      </c>
      <c r="P870" s="81"/>
      <c r="Q870" s="81">
        <v>1.2203999999999999</v>
      </c>
      <c r="R870" s="80"/>
      <c r="S870" s="80">
        <v>0</v>
      </c>
      <c r="T870" s="82">
        <v>8</v>
      </c>
      <c r="U870" s="77"/>
      <c r="V870" s="75"/>
      <c r="W870" s="77"/>
      <c r="X870" s="77"/>
      <c r="Y870" s="77" t="s">
        <v>2998</v>
      </c>
      <c r="Z870" s="77" t="s">
        <v>268</v>
      </c>
      <c r="AA870" s="83" t="s">
        <v>2997</v>
      </c>
      <c r="AB870" s="104" t="str">
        <f>IFERROR(VLOOKUP(Anexo_4[[#This Row],[cuenta]],OP,2,0),"-")</f>
        <v>Transporte peajes - Ventas</v>
      </c>
    </row>
    <row r="871" spans="1:28" s="84" customFormat="1" ht="27" customHeight="1" x14ac:dyDescent="0.3">
      <c r="A871" s="75" t="s">
        <v>2999</v>
      </c>
      <c r="B871" s="36" t="str">
        <f t="shared" si="13"/>
        <v>Julio</v>
      </c>
      <c r="C871" s="77" t="s">
        <v>162</v>
      </c>
      <c r="D871" s="77" t="s">
        <v>3000</v>
      </c>
      <c r="E87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871" s="79" t="s">
        <v>355</v>
      </c>
      <c r="G871" s="79" t="s">
        <v>356</v>
      </c>
      <c r="H871" s="140" t="s">
        <v>3001</v>
      </c>
      <c r="I871" s="77" t="s">
        <v>3002</v>
      </c>
      <c r="J871" s="144" t="s">
        <v>3003</v>
      </c>
      <c r="K871" s="77" t="s">
        <v>239</v>
      </c>
      <c r="L871" s="103" t="str">
        <f>VLOOKUP(Anexo_4[[#This Row],[cod_doc]],TIPODOC,2,FALSE)</f>
        <v>BOLETA DE VENTA</v>
      </c>
      <c r="M871" s="77" t="s">
        <v>162</v>
      </c>
      <c r="N871" s="79">
        <v>2365</v>
      </c>
      <c r="O871" s="80"/>
      <c r="P871" s="81"/>
      <c r="Q871" s="81"/>
      <c r="R871" s="80"/>
      <c r="S871" s="80">
        <v>100</v>
      </c>
      <c r="T871" s="82">
        <v>100</v>
      </c>
      <c r="U871" s="77"/>
      <c r="V871" s="75"/>
      <c r="W871" s="77"/>
      <c r="X871" s="77"/>
      <c r="Y871" s="77" t="s">
        <v>3004</v>
      </c>
      <c r="Z871" s="77" t="s">
        <v>376</v>
      </c>
      <c r="AA871" s="83" t="s">
        <v>3001</v>
      </c>
      <c r="AB871" s="104" t="str">
        <f>IFERROR(VLOOKUP(Anexo_4[[#This Row],[cuenta]],OP,2,0),"-")</f>
        <v>Alojamiento (Operativo)</v>
      </c>
    </row>
    <row r="872" spans="1:28" s="84" customFormat="1" ht="27" customHeight="1" x14ac:dyDescent="0.3">
      <c r="A872" s="75" t="s">
        <v>2837</v>
      </c>
      <c r="B872" s="36" t="str">
        <f t="shared" si="13"/>
        <v>Julio</v>
      </c>
      <c r="C872" s="77" t="s">
        <v>162</v>
      </c>
      <c r="D872" s="77" t="s">
        <v>3005</v>
      </c>
      <c r="E87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872" s="79" t="s">
        <v>391</v>
      </c>
      <c r="G872" s="79" t="s">
        <v>392</v>
      </c>
      <c r="H872" s="140" t="s">
        <v>3006</v>
      </c>
      <c r="I872" s="77" t="s">
        <v>1565</v>
      </c>
      <c r="J872" s="144" t="s">
        <v>1566</v>
      </c>
      <c r="K872" s="77" t="s">
        <v>169</v>
      </c>
      <c r="L872" s="103" t="str">
        <f>VLOOKUP(Anexo_4[[#This Row],[cod_doc]],TIPODOC,2,FALSE)</f>
        <v>FACTURA</v>
      </c>
      <c r="M872" s="77" t="s">
        <v>222</v>
      </c>
      <c r="N872" s="79">
        <v>46930</v>
      </c>
      <c r="O872" s="80">
        <v>127.12</v>
      </c>
      <c r="P872" s="81"/>
      <c r="Q872" s="81">
        <v>22.881599999999999</v>
      </c>
      <c r="R872" s="80"/>
      <c r="S872" s="80">
        <v>0</v>
      </c>
      <c r="T872" s="82">
        <v>150</v>
      </c>
      <c r="U872" s="77"/>
      <c r="V872" s="75"/>
      <c r="W872" s="77"/>
      <c r="X872" s="77"/>
      <c r="Y872" s="77" t="s">
        <v>3007</v>
      </c>
      <c r="Z872" s="77" t="s">
        <v>455</v>
      </c>
      <c r="AA872" s="83" t="s">
        <v>3006</v>
      </c>
      <c r="AB872" s="104" t="str">
        <f>IFERROR(VLOOKUP(Anexo_4[[#This Row],[cuenta]],OP,2,0),"-")</f>
        <v>Combustible (Vehiculos)</v>
      </c>
    </row>
    <row r="873" spans="1:28" s="84" customFormat="1" ht="27" customHeight="1" x14ac:dyDescent="0.3">
      <c r="A873" s="75" t="s">
        <v>2675</v>
      </c>
      <c r="B873" s="36" t="str">
        <f t="shared" si="13"/>
        <v>Julio</v>
      </c>
      <c r="C873" s="77" t="s">
        <v>162</v>
      </c>
      <c r="D873" s="77" t="s">
        <v>3008</v>
      </c>
      <c r="E873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873" s="79" t="s">
        <v>391</v>
      </c>
      <c r="G873" s="79" t="s">
        <v>392</v>
      </c>
      <c r="H873" s="140" t="s">
        <v>2979</v>
      </c>
      <c r="I873" s="77" t="s">
        <v>529</v>
      </c>
      <c r="J873" s="144" t="s">
        <v>530</v>
      </c>
      <c r="K873" s="77" t="s">
        <v>169</v>
      </c>
      <c r="L873" s="103" t="str">
        <f>VLOOKUP(Anexo_4[[#This Row],[cod_doc]],TIPODOC,2,FALSE)</f>
        <v>FACTURA</v>
      </c>
      <c r="M873" s="77" t="s">
        <v>531</v>
      </c>
      <c r="N873" s="79">
        <v>1810</v>
      </c>
      <c r="O873" s="80">
        <v>8.4700000000000006</v>
      </c>
      <c r="P873" s="81"/>
      <c r="Q873" s="81">
        <v>1.5246</v>
      </c>
      <c r="R873" s="80"/>
      <c r="S873" s="80">
        <v>0</v>
      </c>
      <c r="T873" s="82">
        <v>10</v>
      </c>
      <c r="U873" s="77"/>
      <c r="V873" s="75"/>
      <c r="W873" s="77"/>
      <c r="X873" s="77"/>
      <c r="Y873" s="77" t="s">
        <v>2980</v>
      </c>
      <c r="Z873" s="77" t="s">
        <v>182</v>
      </c>
      <c r="AA873" s="83" t="s">
        <v>2979</v>
      </c>
      <c r="AB873" s="104" t="str">
        <f>IFERROR(VLOOKUP(Anexo_4[[#This Row],[cuenta]],OP,2,0),"-")</f>
        <v>Balanza - Ventas</v>
      </c>
    </row>
    <row r="874" spans="1:28" s="84" customFormat="1" ht="27" customHeight="1" x14ac:dyDescent="0.3">
      <c r="A874" s="75" t="s">
        <v>2675</v>
      </c>
      <c r="B874" s="36" t="str">
        <f t="shared" si="13"/>
        <v>Julio</v>
      </c>
      <c r="C874" s="77" t="s">
        <v>162</v>
      </c>
      <c r="D874" s="77" t="s">
        <v>3009</v>
      </c>
      <c r="E874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874" s="79" t="s">
        <v>391</v>
      </c>
      <c r="G874" s="79" t="s">
        <v>392</v>
      </c>
      <c r="H874" s="140" t="s">
        <v>3010</v>
      </c>
      <c r="I874" s="77" t="s">
        <v>529</v>
      </c>
      <c r="J874" s="144" t="s">
        <v>530</v>
      </c>
      <c r="K874" s="77" t="s">
        <v>169</v>
      </c>
      <c r="L874" s="103" t="str">
        <f>VLOOKUP(Anexo_4[[#This Row],[cod_doc]],TIPODOC,2,FALSE)</f>
        <v>FACTURA</v>
      </c>
      <c r="M874" s="77" t="s">
        <v>531</v>
      </c>
      <c r="N874" s="79">
        <v>1815</v>
      </c>
      <c r="O874" s="80">
        <v>8.4700000000000006</v>
      </c>
      <c r="P874" s="81"/>
      <c r="Q874" s="81">
        <v>1.5246</v>
      </c>
      <c r="R874" s="80"/>
      <c r="S874" s="80">
        <v>0</v>
      </c>
      <c r="T874" s="82">
        <v>10</v>
      </c>
      <c r="U874" s="77"/>
      <c r="V874" s="75"/>
      <c r="W874" s="77"/>
      <c r="X874" s="77"/>
      <c r="Y874" s="77" t="s">
        <v>3011</v>
      </c>
      <c r="Z874" s="77" t="s">
        <v>182</v>
      </c>
      <c r="AA874" s="83" t="s">
        <v>3010</v>
      </c>
      <c r="AB874" s="104" t="str">
        <f>IFERROR(VLOOKUP(Anexo_4[[#This Row],[cuenta]],OP,2,0),"-")</f>
        <v>Balanza - Ventas</v>
      </c>
    </row>
    <row r="875" spans="1:28" s="84" customFormat="1" ht="27" customHeight="1" x14ac:dyDescent="0.3">
      <c r="A875" s="75" t="s">
        <v>2662</v>
      </c>
      <c r="B875" s="36" t="str">
        <f t="shared" si="13"/>
        <v>Julio</v>
      </c>
      <c r="C875" s="77" t="s">
        <v>162</v>
      </c>
      <c r="D875" s="77" t="s">
        <v>3012</v>
      </c>
      <c r="E87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875" s="79" t="s">
        <v>391</v>
      </c>
      <c r="G875" s="79" t="s">
        <v>392</v>
      </c>
      <c r="H875" s="140" t="s">
        <v>3013</v>
      </c>
      <c r="I875" s="77" t="s">
        <v>264</v>
      </c>
      <c r="J875" s="144" t="s">
        <v>265</v>
      </c>
      <c r="K875" s="77" t="s">
        <v>169</v>
      </c>
      <c r="L875" s="103" t="str">
        <f>VLOOKUP(Anexo_4[[#This Row],[cod_doc]],TIPODOC,2,FALSE)</f>
        <v>FACTURA</v>
      </c>
      <c r="M875" s="77" t="s">
        <v>1548</v>
      </c>
      <c r="N875" s="79">
        <v>1897259</v>
      </c>
      <c r="O875" s="80">
        <v>6.53</v>
      </c>
      <c r="P875" s="81"/>
      <c r="Q875" s="81">
        <v>1.1754</v>
      </c>
      <c r="R875" s="80"/>
      <c r="S875" s="80">
        <v>0</v>
      </c>
      <c r="T875" s="82">
        <v>7.7</v>
      </c>
      <c r="U875" s="77"/>
      <c r="V875" s="75"/>
      <c r="W875" s="77"/>
      <c r="X875" s="77"/>
      <c r="Y875" s="77" t="s">
        <v>3014</v>
      </c>
      <c r="Z875" s="77" t="s">
        <v>302</v>
      </c>
      <c r="AA875" s="83" t="s">
        <v>3013</v>
      </c>
      <c r="AB875" s="104" t="str">
        <f>IFERROR(VLOOKUP(Anexo_4[[#This Row],[cuenta]],OP,2,0),"-")</f>
        <v>Transporte peajes - Servicios</v>
      </c>
    </row>
    <row r="876" spans="1:28" s="84" customFormat="1" ht="27" customHeight="1" x14ac:dyDescent="0.3">
      <c r="A876" s="75" t="s">
        <v>2837</v>
      </c>
      <c r="B876" s="36" t="str">
        <f t="shared" si="13"/>
        <v>Julio</v>
      </c>
      <c r="C876" s="77" t="s">
        <v>162</v>
      </c>
      <c r="D876" s="77" t="s">
        <v>3015</v>
      </c>
      <c r="E87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876" s="79" t="s">
        <v>391</v>
      </c>
      <c r="G876" s="79" t="s">
        <v>392</v>
      </c>
      <c r="H876" s="140" t="s">
        <v>3016</v>
      </c>
      <c r="I876" s="77" t="s">
        <v>1552</v>
      </c>
      <c r="J876" s="144" t="s">
        <v>1553</v>
      </c>
      <c r="K876" s="77" t="s">
        <v>169</v>
      </c>
      <c r="L876" s="103" t="str">
        <f>VLOOKUP(Anexo_4[[#This Row],[cod_doc]],TIPODOC,2,FALSE)</f>
        <v>FACTURA</v>
      </c>
      <c r="M876" s="77" t="s">
        <v>1554</v>
      </c>
      <c r="N876" s="79">
        <v>650702</v>
      </c>
      <c r="O876" s="80">
        <v>6.53</v>
      </c>
      <c r="P876" s="81"/>
      <c r="Q876" s="81">
        <v>1.1754</v>
      </c>
      <c r="R876" s="80"/>
      <c r="S876" s="80">
        <v>0</v>
      </c>
      <c r="T876" s="82">
        <v>7.7</v>
      </c>
      <c r="U876" s="77"/>
      <c r="V876" s="75"/>
      <c r="W876" s="77"/>
      <c r="X876" s="77"/>
      <c r="Y876" s="77" t="s">
        <v>3017</v>
      </c>
      <c r="Z876" s="77" t="s">
        <v>302</v>
      </c>
      <c r="AA876" s="83" t="s">
        <v>3016</v>
      </c>
      <c r="AB876" s="104" t="str">
        <f>IFERROR(VLOOKUP(Anexo_4[[#This Row],[cuenta]],OP,2,0),"-")</f>
        <v>Transporte peajes - Servicios</v>
      </c>
    </row>
    <row r="877" spans="1:28" s="84" customFormat="1" ht="27" customHeight="1" x14ac:dyDescent="0.3">
      <c r="A877" s="75" t="s">
        <v>2999</v>
      </c>
      <c r="B877" s="36" t="str">
        <f t="shared" si="13"/>
        <v>Julio</v>
      </c>
      <c r="C877" s="77" t="s">
        <v>162</v>
      </c>
      <c r="D877" s="77" t="s">
        <v>3018</v>
      </c>
      <c r="E877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877" s="79" t="s">
        <v>391</v>
      </c>
      <c r="G877" s="79" t="s">
        <v>392</v>
      </c>
      <c r="H877" s="140" t="s">
        <v>3019</v>
      </c>
      <c r="I877" s="77" t="s">
        <v>1552</v>
      </c>
      <c r="J877" s="144" t="s">
        <v>1553</v>
      </c>
      <c r="K877" s="77" t="s">
        <v>169</v>
      </c>
      <c r="L877" s="103" t="str">
        <f>VLOOKUP(Anexo_4[[#This Row],[cod_doc]],TIPODOC,2,FALSE)</f>
        <v>FACTURA</v>
      </c>
      <c r="M877" s="77" t="s">
        <v>1558</v>
      </c>
      <c r="N877" s="79">
        <v>638711</v>
      </c>
      <c r="O877" s="80">
        <v>6.53</v>
      </c>
      <c r="P877" s="81"/>
      <c r="Q877" s="81">
        <v>1.1754</v>
      </c>
      <c r="R877" s="80"/>
      <c r="S877" s="80">
        <v>0</v>
      </c>
      <c r="T877" s="82">
        <v>7.7</v>
      </c>
      <c r="U877" s="77"/>
      <c r="V877" s="75"/>
      <c r="W877" s="77"/>
      <c r="X877" s="77"/>
      <c r="Y877" s="77" t="s">
        <v>3020</v>
      </c>
      <c r="Z877" s="77" t="s">
        <v>302</v>
      </c>
      <c r="AA877" s="83" t="s">
        <v>3019</v>
      </c>
      <c r="AB877" s="104" t="str">
        <f>IFERROR(VLOOKUP(Anexo_4[[#This Row],[cuenta]],OP,2,0),"-")</f>
        <v>Transporte peajes - Servicios</v>
      </c>
    </row>
    <row r="878" spans="1:28" s="84" customFormat="1" ht="27" customHeight="1" x14ac:dyDescent="0.3">
      <c r="A878" s="75" t="s">
        <v>2780</v>
      </c>
      <c r="B878" s="36" t="str">
        <f t="shared" si="13"/>
        <v>Julio</v>
      </c>
      <c r="C878" s="77" t="s">
        <v>162</v>
      </c>
      <c r="D878" s="77" t="s">
        <v>3021</v>
      </c>
      <c r="E878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878" s="79" t="s">
        <v>391</v>
      </c>
      <c r="G878" s="79" t="s">
        <v>392</v>
      </c>
      <c r="H878" s="140" t="s">
        <v>3022</v>
      </c>
      <c r="I878" s="77" t="s">
        <v>264</v>
      </c>
      <c r="J878" s="144" t="s">
        <v>265</v>
      </c>
      <c r="K878" s="77" t="s">
        <v>169</v>
      </c>
      <c r="L878" s="103" t="str">
        <f>VLOOKUP(Anexo_4[[#This Row],[cod_doc]],TIPODOC,2,FALSE)</f>
        <v>FACTURA</v>
      </c>
      <c r="M878" s="77" t="s">
        <v>3023</v>
      </c>
      <c r="N878" s="79">
        <v>1847697</v>
      </c>
      <c r="O878" s="80">
        <v>6.53</v>
      </c>
      <c r="P878" s="81"/>
      <c r="Q878" s="81">
        <v>1.1754</v>
      </c>
      <c r="R878" s="80"/>
      <c r="S878" s="80">
        <v>0</v>
      </c>
      <c r="T878" s="82">
        <v>7.7</v>
      </c>
      <c r="U878" s="77"/>
      <c r="V878" s="75"/>
      <c r="W878" s="77"/>
      <c r="X878" s="77"/>
      <c r="Y878" s="77" t="s">
        <v>3024</v>
      </c>
      <c r="Z878" s="77" t="s">
        <v>302</v>
      </c>
      <c r="AA878" s="83" t="s">
        <v>3022</v>
      </c>
      <c r="AB878" s="104" t="str">
        <f>IFERROR(VLOOKUP(Anexo_4[[#This Row],[cuenta]],OP,2,0),"-")</f>
        <v>Transporte peajes - Servicios</v>
      </c>
    </row>
    <row r="879" spans="1:28" s="84" customFormat="1" ht="27" customHeight="1" x14ac:dyDescent="0.3">
      <c r="A879" s="75" t="s">
        <v>2837</v>
      </c>
      <c r="B879" s="36" t="str">
        <f t="shared" si="13"/>
        <v>Julio</v>
      </c>
      <c r="C879" s="77" t="s">
        <v>162</v>
      </c>
      <c r="D879" s="77" t="s">
        <v>3025</v>
      </c>
      <c r="E879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879" s="79" t="s">
        <v>823</v>
      </c>
      <c r="G879" s="79" t="s">
        <v>824</v>
      </c>
      <c r="H879" s="140" t="s">
        <v>633</v>
      </c>
      <c r="I879" s="77" t="s">
        <v>2429</v>
      </c>
      <c r="J879" s="144" t="s">
        <v>2430</v>
      </c>
      <c r="K879" s="77" t="s">
        <v>239</v>
      </c>
      <c r="L879" s="103" t="str">
        <f>VLOOKUP(Anexo_4[[#This Row],[cod_doc]],TIPODOC,2,FALSE)</f>
        <v>BOLETA DE VENTA</v>
      </c>
      <c r="M879" s="77" t="s">
        <v>162</v>
      </c>
      <c r="N879" s="79">
        <v>187</v>
      </c>
      <c r="O879" s="80"/>
      <c r="P879" s="81"/>
      <c r="Q879" s="81"/>
      <c r="R879" s="80"/>
      <c r="S879" s="80">
        <v>55.5</v>
      </c>
      <c r="T879" s="82">
        <v>55.5</v>
      </c>
      <c r="U879" s="77"/>
      <c r="V879" s="75"/>
      <c r="W879" s="77"/>
      <c r="X879" s="77"/>
      <c r="Y879" s="77"/>
      <c r="Z879" s="77" t="s">
        <v>361</v>
      </c>
      <c r="AA879" s="83" t="s">
        <v>633</v>
      </c>
      <c r="AB879" s="104" t="str">
        <f>IFERROR(VLOOKUP(Anexo_4[[#This Row],[cuenta]],OP,2,0),"-")</f>
        <v>Alimentacion (Operativo)</v>
      </c>
    </row>
    <row r="880" spans="1:28" s="84" customFormat="1" ht="27" customHeight="1" x14ac:dyDescent="0.3">
      <c r="A880" s="75" t="s">
        <v>3026</v>
      </c>
      <c r="B880" s="36" t="str">
        <f t="shared" si="13"/>
        <v>Julio</v>
      </c>
      <c r="C880" s="77" t="s">
        <v>162</v>
      </c>
      <c r="D880" s="77" t="s">
        <v>3027</v>
      </c>
      <c r="E880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880" s="79" t="s">
        <v>456</v>
      </c>
      <c r="G880" s="79" t="s">
        <v>457</v>
      </c>
      <c r="H880" s="140" t="s">
        <v>930</v>
      </c>
      <c r="I880" s="77" t="s">
        <v>383</v>
      </c>
      <c r="J880" s="144" t="s">
        <v>384</v>
      </c>
      <c r="K880" s="77" t="s">
        <v>169</v>
      </c>
      <c r="L880" s="103" t="str">
        <f>VLOOKUP(Anexo_4[[#This Row],[cod_doc]],TIPODOC,2,FALSE)</f>
        <v>FACTURA</v>
      </c>
      <c r="M880" s="77" t="s">
        <v>103</v>
      </c>
      <c r="N880" s="79">
        <v>17153</v>
      </c>
      <c r="O880" s="80">
        <v>16.95</v>
      </c>
      <c r="P880" s="81"/>
      <c r="Q880" s="81">
        <v>3.0509999999999997</v>
      </c>
      <c r="R880" s="80"/>
      <c r="S880" s="80">
        <v>0</v>
      </c>
      <c r="T880" s="82">
        <v>20</v>
      </c>
      <c r="U880" s="77"/>
      <c r="V880" s="75"/>
      <c r="W880" s="77"/>
      <c r="X880" s="77"/>
      <c r="Y880" s="77"/>
      <c r="Z880" s="77" t="s">
        <v>182</v>
      </c>
      <c r="AA880" s="83" t="s">
        <v>930</v>
      </c>
      <c r="AB880" s="104" t="str">
        <f>IFERROR(VLOOKUP(Anexo_4[[#This Row],[cuenta]],OP,2,0),"-")</f>
        <v>Balanza - Ventas</v>
      </c>
    </row>
    <row r="881" spans="1:28" s="84" customFormat="1" ht="27" customHeight="1" x14ac:dyDescent="0.3">
      <c r="A881" s="75" t="s">
        <v>3026</v>
      </c>
      <c r="B881" s="36" t="str">
        <f t="shared" si="13"/>
        <v>Julio</v>
      </c>
      <c r="C881" s="77" t="s">
        <v>162</v>
      </c>
      <c r="D881" s="77" t="s">
        <v>3028</v>
      </c>
      <c r="E88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881" s="79" t="s">
        <v>456</v>
      </c>
      <c r="G881" s="79" t="s">
        <v>457</v>
      </c>
      <c r="H881" s="140" t="s">
        <v>930</v>
      </c>
      <c r="I881" s="77" t="s">
        <v>383</v>
      </c>
      <c r="J881" s="144" t="s">
        <v>384</v>
      </c>
      <c r="K881" s="77" t="s">
        <v>169</v>
      </c>
      <c r="L881" s="103" t="str">
        <f>VLOOKUP(Anexo_4[[#This Row],[cod_doc]],TIPODOC,2,FALSE)</f>
        <v>FACTURA</v>
      </c>
      <c r="M881" s="77" t="s">
        <v>103</v>
      </c>
      <c r="N881" s="79">
        <v>17152</v>
      </c>
      <c r="O881" s="80">
        <v>16.95</v>
      </c>
      <c r="P881" s="81"/>
      <c r="Q881" s="81">
        <v>3.0509999999999997</v>
      </c>
      <c r="R881" s="80"/>
      <c r="S881" s="80">
        <v>0</v>
      </c>
      <c r="T881" s="82">
        <v>20</v>
      </c>
      <c r="U881" s="77"/>
      <c r="V881" s="75"/>
      <c r="W881" s="77"/>
      <c r="X881" s="77"/>
      <c r="Y881" s="77"/>
      <c r="Z881" s="77" t="s">
        <v>182</v>
      </c>
      <c r="AA881" s="83" t="s">
        <v>930</v>
      </c>
      <c r="AB881" s="104" t="str">
        <f>IFERROR(VLOOKUP(Anexo_4[[#This Row],[cuenta]],OP,2,0),"-")</f>
        <v>Balanza - Ventas</v>
      </c>
    </row>
    <row r="882" spans="1:28" s="84" customFormat="1" ht="27" customHeight="1" x14ac:dyDescent="0.3">
      <c r="A882" s="75" t="s">
        <v>3026</v>
      </c>
      <c r="B882" s="36" t="str">
        <f t="shared" si="13"/>
        <v>Julio</v>
      </c>
      <c r="C882" s="77" t="s">
        <v>162</v>
      </c>
      <c r="D882" s="77" t="s">
        <v>3029</v>
      </c>
      <c r="E882" s="78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882" s="79" t="s">
        <v>198</v>
      </c>
      <c r="G882" s="79" t="s">
        <v>199</v>
      </c>
      <c r="H882" s="140" t="s">
        <v>633</v>
      </c>
      <c r="I882" s="77" t="s">
        <v>991</v>
      </c>
      <c r="J882" s="144" t="s">
        <v>992</v>
      </c>
      <c r="K882" s="77" t="s">
        <v>169</v>
      </c>
      <c r="L882" s="103" t="str">
        <f>VLOOKUP(Anexo_4[[#This Row],[cod_doc]],TIPODOC,2,FALSE)</f>
        <v>FACTURA</v>
      </c>
      <c r="M882" s="77" t="s">
        <v>222</v>
      </c>
      <c r="N882" s="79">
        <v>6981</v>
      </c>
      <c r="O882" s="80">
        <v>12.54</v>
      </c>
      <c r="P882" s="81"/>
      <c r="Q882" s="81">
        <v>2.2571999999999997</v>
      </c>
      <c r="R882" s="80"/>
      <c r="S882" s="80">
        <v>0</v>
      </c>
      <c r="T882" s="82">
        <v>14.8</v>
      </c>
      <c r="U882" s="77"/>
      <c r="V882" s="75"/>
      <c r="W882" s="77"/>
      <c r="X882" s="77"/>
      <c r="Y882" s="77"/>
      <c r="Z882" s="77" t="s">
        <v>361</v>
      </c>
      <c r="AA882" s="83" t="s">
        <v>633</v>
      </c>
      <c r="AB882" s="104" t="str">
        <f>IFERROR(VLOOKUP(Anexo_4[[#This Row],[cuenta]],OP,2,0),"-")</f>
        <v>Alimentacion (Operativo)</v>
      </c>
    </row>
    <row r="883" spans="1:28" s="84" customFormat="1" ht="27" customHeight="1" x14ac:dyDescent="0.3">
      <c r="A883" s="75" t="s">
        <v>2662</v>
      </c>
      <c r="B883" s="36" t="str">
        <f t="shared" si="13"/>
        <v>Julio</v>
      </c>
      <c r="C883" s="77" t="s">
        <v>162</v>
      </c>
      <c r="D883" s="77" t="s">
        <v>3030</v>
      </c>
      <c r="E883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883" s="79" t="s">
        <v>355</v>
      </c>
      <c r="G883" s="79" t="s">
        <v>356</v>
      </c>
      <c r="H883" s="140" t="s">
        <v>3031</v>
      </c>
      <c r="I883" s="77" t="s">
        <v>2592</v>
      </c>
      <c r="J883" s="144" t="s">
        <v>2593</v>
      </c>
      <c r="K883" s="77" t="s">
        <v>169</v>
      </c>
      <c r="L883" s="103" t="str">
        <f>VLOOKUP(Anexo_4[[#This Row],[cod_doc]],TIPODOC,2,FALSE)</f>
        <v>FACTURA</v>
      </c>
      <c r="M883" s="77" t="s">
        <v>102</v>
      </c>
      <c r="N883" s="79">
        <v>34</v>
      </c>
      <c r="O883" s="80">
        <v>381.36</v>
      </c>
      <c r="P883" s="81"/>
      <c r="Q883" s="81">
        <v>68.644800000000004</v>
      </c>
      <c r="R883" s="80"/>
      <c r="S883" s="80">
        <v>0</v>
      </c>
      <c r="T883" s="82">
        <v>450</v>
      </c>
      <c r="U883" s="77" t="s">
        <v>3032</v>
      </c>
      <c r="V883" s="75" t="s">
        <v>1786</v>
      </c>
      <c r="W883" s="77"/>
      <c r="X883" s="77"/>
      <c r="Y883" s="77"/>
      <c r="Z883" s="77" t="s">
        <v>893</v>
      </c>
      <c r="AA883" s="83" t="s">
        <v>3031</v>
      </c>
      <c r="AB883" s="104" t="str">
        <f>IFERROR(VLOOKUP(Anexo_4[[#This Row],[cuenta]],OP,2,0),"-")</f>
        <v>Transporte de Carga - Servicios</v>
      </c>
    </row>
    <row r="884" spans="1:28" s="84" customFormat="1" ht="27" customHeight="1" x14ac:dyDescent="0.3">
      <c r="A884" s="75" t="s">
        <v>3033</v>
      </c>
      <c r="B884" s="36" t="str">
        <f t="shared" si="13"/>
        <v>Julio</v>
      </c>
      <c r="C884" s="77" t="s">
        <v>162</v>
      </c>
      <c r="D884" s="77" t="s">
        <v>3034</v>
      </c>
      <c r="E884" s="78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884" s="79" t="s">
        <v>198</v>
      </c>
      <c r="G884" s="79" t="s">
        <v>199</v>
      </c>
      <c r="H884" s="140" t="s">
        <v>3035</v>
      </c>
      <c r="I884" s="77" t="s">
        <v>769</v>
      </c>
      <c r="J884" s="144" t="s">
        <v>770</v>
      </c>
      <c r="K884" s="77" t="s">
        <v>169</v>
      </c>
      <c r="L884" s="103" t="str">
        <f>VLOOKUP(Anexo_4[[#This Row],[cod_doc]],TIPODOC,2,FALSE)</f>
        <v>FACTURA</v>
      </c>
      <c r="M884" s="77" t="s">
        <v>102</v>
      </c>
      <c r="N884" s="79">
        <v>50</v>
      </c>
      <c r="O884" s="80">
        <v>550</v>
      </c>
      <c r="P884" s="81"/>
      <c r="Q884" s="81">
        <v>99</v>
      </c>
      <c r="R884" s="80"/>
      <c r="S884" s="80">
        <v>0</v>
      </c>
      <c r="T884" s="82">
        <v>649</v>
      </c>
      <c r="U884" s="77" t="s">
        <v>3036</v>
      </c>
      <c r="V884" s="75" t="s">
        <v>1786</v>
      </c>
      <c r="W884" s="77"/>
      <c r="X884" s="77"/>
      <c r="Y884" s="77"/>
      <c r="Z884" s="77" t="s">
        <v>893</v>
      </c>
      <c r="AA884" s="83" t="s">
        <v>3035</v>
      </c>
      <c r="AB884" s="104" t="str">
        <f>IFERROR(VLOOKUP(Anexo_4[[#This Row],[cuenta]],OP,2,0),"-")</f>
        <v>Transporte de Carga - Servicios</v>
      </c>
    </row>
    <row r="885" spans="1:28" s="84" customFormat="1" ht="27" customHeight="1" x14ac:dyDescent="0.3">
      <c r="A885" s="75" t="s">
        <v>1780</v>
      </c>
      <c r="B885" s="36" t="str">
        <f t="shared" si="13"/>
        <v>Julio</v>
      </c>
      <c r="C885" s="77" t="s">
        <v>162</v>
      </c>
      <c r="D885" s="77" t="s">
        <v>3037</v>
      </c>
      <c r="E885" s="78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885" s="79" t="s">
        <v>198</v>
      </c>
      <c r="G885" s="79" t="s">
        <v>199</v>
      </c>
      <c r="H885" s="140" t="s">
        <v>3038</v>
      </c>
      <c r="I885" s="77" t="s">
        <v>464</v>
      </c>
      <c r="J885" s="144" t="s">
        <v>465</v>
      </c>
      <c r="K885" s="77" t="s">
        <v>169</v>
      </c>
      <c r="L885" s="103" t="str">
        <f>VLOOKUP(Anexo_4[[#This Row],[cod_doc]],TIPODOC,2,FALSE)</f>
        <v>FACTURA</v>
      </c>
      <c r="M885" s="77" t="s">
        <v>102</v>
      </c>
      <c r="N885" s="79">
        <v>15</v>
      </c>
      <c r="O885" s="80">
        <v>762.72</v>
      </c>
      <c r="P885" s="81"/>
      <c r="Q885" s="81">
        <v>137.28960000000001</v>
      </c>
      <c r="R885" s="80"/>
      <c r="S885" s="80">
        <v>0</v>
      </c>
      <c r="T885" s="82">
        <v>900.01</v>
      </c>
      <c r="U885" s="77" t="s">
        <v>3039</v>
      </c>
      <c r="V885" s="75" t="s">
        <v>1786</v>
      </c>
      <c r="W885" s="77"/>
      <c r="X885" s="77"/>
      <c r="Y885" s="77"/>
      <c r="Z885" s="77" t="s">
        <v>468</v>
      </c>
      <c r="AA885" s="83" t="s">
        <v>3038</v>
      </c>
      <c r="AB885" s="104" t="str">
        <f>IFERROR(VLOOKUP(Anexo_4[[#This Row],[cuenta]],OP,2,0),"-")</f>
        <v>Transporte de Carga  - Ventas</v>
      </c>
    </row>
    <row r="886" spans="1:28" s="84" customFormat="1" ht="27" customHeight="1" x14ac:dyDescent="0.3">
      <c r="A886" s="75" t="s">
        <v>3033</v>
      </c>
      <c r="B886" s="36" t="str">
        <f t="shared" si="13"/>
        <v>Julio</v>
      </c>
      <c r="C886" s="77" t="s">
        <v>162</v>
      </c>
      <c r="D886" s="77" t="s">
        <v>3040</v>
      </c>
      <c r="E886" s="78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886" s="79" t="s">
        <v>198</v>
      </c>
      <c r="G886" s="79" t="s">
        <v>199</v>
      </c>
      <c r="H886" s="140" t="s">
        <v>3041</v>
      </c>
      <c r="I886" s="77" t="s">
        <v>1709</v>
      </c>
      <c r="J886" s="144" t="s">
        <v>1710</v>
      </c>
      <c r="K886" s="77" t="s">
        <v>169</v>
      </c>
      <c r="L886" s="103" t="str">
        <f>VLOOKUP(Anexo_4[[#This Row],[cod_doc]],TIPODOC,2,FALSE)</f>
        <v>FACTURA</v>
      </c>
      <c r="M886" s="77" t="s">
        <v>102</v>
      </c>
      <c r="N886" s="79">
        <v>141</v>
      </c>
      <c r="O886" s="80">
        <v>1016.95</v>
      </c>
      <c r="P886" s="81"/>
      <c r="Q886" s="81">
        <v>183.05099999999999</v>
      </c>
      <c r="R886" s="80"/>
      <c r="S886" s="80">
        <v>0</v>
      </c>
      <c r="T886" s="82">
        <v>1200</v>
      </c>
      <c r="U886" s="77" t="s">
        <v>3042</v>
      </c>
      <c r="V886" s="75" t="s">
        <v>1786</v>
      </c>
      <c r="W886" s="77"/>
      <c r="X886" s="77"/>
      <c r="Y886" s="77"/>
      <c r="Z886" s="77" t="s">
        <v>468</v>
      </c>
      <c r="AA886" s="83" t="s">
        <v>3041</v>
      </c>
      <c r="AB886" s="104" t="str">
        <f>IFERROR(VLOOKUP(Anexo_4[[#This Row],[cuenta]],OP,2,0),"-")</f>
        <v>Transporte de Carga  - Ventas</v>
      </c>
    </row>
    <row r="887" spans="1:28" s="84" customFormat="1" ht="27" customHeight="1" x14ac:dyDescent="0.3">
      <c r="A887" s="75" t="s">
        <v>2552</v>
      </c>
      <c r="B887" s="36" t="str">
        <f t="shared" si="13"/>
        <v>Julio</v>
      </c>
      <c r="C887" s="77" t="s">
        <v>162</v>
      </c>
      <c r="D887" s="77" t="s">
        <v>3043</v>
      </c>
      <c r="E887" s="78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887" s="79" t="s">
        <v>198</v>
      </c>
      <c r="G887" s="79" t="s">
        <v>199</v>
      </c>
      <c r="H887" s="140" t="s">
        <v>3044</v>
      </c>
      <c r="I887" s="77" t="s">
        <v>464</v>
      </c>
      <c r="J887" s="144" t="s">
        <v>465</v>
      </c>
      <c r="K887" s="77" t="s">
        <v>169</v>
      </c>
      <c r="L887" s="103" t="str">
        <f>VLOOKUP(Anexo_4[[#This Row],[cod_doc]],TIPODOC,2,FALSE)</f>
        <v>FACTURA</v>
      </c>
      <c r="M887" s="77" t="s">
        <v>102</v>
      </c>
      <c r="N887" s="79">
        <v>13</v>
      </c>
      <c r="O887" s="80">
        <v>423.73</v>
      </c>
      <c r="P887" s="81"/>
      <c r="Q887" s="81">
        <v>76.2714</v>
      </c>
      <c r="R887" s="80"/>
      <c r="S887" s="80">
        <v>0</v>
      </c>
      <c r="T887" s="82">
        <v>500</v>
      </c>
      <c r="U887" s="77" t="s">
        <v>3045</v>
      </c>
      <c r="V887" s="75" t="s">
        <v>1786</v>
      </c>
      <c r="W887" s="77"/>
      <c r="X887" s="77"/>
      <c r="Y887" s="77"/>
      <c r="Z887" s="77" t="s">
        <v>468</v>
      </c>
      <c r="AA887" s="83" t="s">
        <v>3044</v>
      </c>
      <c r="AB887" s="104" t="str">
        <f>IFERROR(VLOOKUP(Anexo_4[[#This Row],[cuenta]],OP,2,0),"-")</f>
        <v>Transporte de Carga  - Ventas</v>
      </c>
    </row>
    <row r="888" spans="1:28" s="84" customFormat="1" ht="27" customHeight="1" x14ac:dyDescent="0.3">
      <c r="A888" s="75" t="s">
        <v>3026</v>
      </c>
      <c r="B888" s="36" t="str">
        <f t="shared" si="13"/>
        <v>Julio</v>
      </c>
      <c r="C888" s="77" t="s">
        <v>162</v>
      </c>
      <c r="D888" s="77" t="s">
        <v>3046</v>
      </c>
      <c r="E888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888" s="79" t="s">
        <v>248</v>
      </c>
      <c r="G888" s="79" t="s">
        <v>249</v>
      </c>
      <c r="H888" s="140" t="s">
        <v>3047</v>
      </c>
      <c r="I888" s="77" t="s">
        <v>1111</v>
      </c>
      <c r="J888" s="144" t="s">
        <v>1112</v>
      </c>
      <c r="K888" s="77" t="s">
        <v>169</v>
      </c>
      <c r="L888" s="103" t="str">
        <f>VLOOKUP(Anexo_4[[#This Row],[cod_doc]],TIPODOC,2,FALSE)</f>
        <v>FACTURA</v>
      </c>
      <c r="M888" s="77" t="s">
        <v>1113</v>
      </c>
      <c r="N888" s="79">
        <v>6957</v>
      </c>
      <c r="O888" s="80">
        <v>1329.66</v>
      </c>
      <c r="P888" s="81"/>
      <c r="Q888" s="81">
        <v>239.33879999999999</v>
      </c>
      <c r="R888" s="80"/>
      <c r="S888" s="80">
        <v>0</v>
      </c>
      <c r="T888" s="82">
        <v>1569</v>
      </c>
      <c r="U888" s="77" t="s">
        <v>3048</v>
      </c>
      <c r="V888" s="75" t="s">
        <v>1786</v>
      </c>
      <c r="W888" s="77"/>
      <c r="X888" s="77"/>
      <c r="Y888" s="77" t="s">
        <v>3049</v>
      </c>
      <c r="Z888" s="77" t="s">
        <v>256</v>
      </c>
      <c r="AA888" s="83" t="s">
        <v>3047</v>
      </c>
      <c r="AB888" s="104" t="str">
        <f>IFERROR(VLOOKUP(Anexo_4[[#This Row],[cuenta]],OP,2,0),"-")</f>
        <v>Materias Primas - RRSS</v>
      </c>
    </row>
    <row r="889" spans="1:28" s="84" customFormat="1" ht="27" customHeight="1" x14ac:dyDescent="0.3">
      <c r="A889" s="75" t="s">
        <v>3050</v>
      </c>
      <c r="B889" s="36" t="str">
        <f t="shared" si="13"/>
        <v>Julio</v>
      </c>
      <c r="C889" s="77" t="s">
        <v>162</v>
      </c>
      <c r="D889" s="77" t="s">
        <v>3051</v>
      </c>
      <c r="E889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889" s="79" t="s">
        <v>248</v>
      </c>
      <c r="G889" s="79" t="s">
        <v>249</v>
      </c>
      <c r="H889" s="140" t="s">
        <v>3052</v>
      </c>
      <c r="I889" s="77" t="s">
        <v>1111</v>
      </c>
      <c r="J889" s="144" t="s">
        <v>1112</v>
      </c>
      <c r="K889" s="77" t="s">
        <v>169</v>
      </c>
      <c r="L889" s="103" t="str">
        <f>VLOOKUP(Anexo_4[[#This Row],[cod_doc]],TIPODOC,2,FALSE)</f>
        <v>FACTURA</v>
      </c>
      <c r="M889" s="77" t="s">
        <v>1113</v>
      </c>
      <c r="N889" s="79">
        <v>6962</v>
      </c>
      <c r="O889" s="80">
        <v>759.67</v>
      </c>
      <c r="P889" s="81"/>
      <c r="Q889" s="81">
        <v>136.7406</v>
      </c>
      <c r="R889" s="80"/>
      <c r="S889" s="80">
        <v>0</v>
      </c>
      <c r="T889" s="82">
        <v>896.4</v>
      </c>
      <c r="U889" s="77" t="s">
        <v>3053</v>
      </c>
      <c r="V889" s="75" t="s">
        <v>1786</v>
      </c>
      <c r="W889" s="77"/>
      <c r="X889" s="77"/>
      <c r="Y889" s="77" t="s">
        <v>3054</v>
      </c>
      <c r="Z889" s="77" t="s">
        <v>256</v>
      </c>
      <c r="AA889" s="83" t="s">
        <v>3052</v>
      </c>
      <c r="AB889" s="104" t="str">
        <f>IFERROR(VLOOKUP(Anexo_4[[#This Row],[cuenta]],OP,2,0),"-")</f>
        <v>Materias Primas - RRSS</v>
      </c>
    </row>
    <row r="890" spans="1:28" s="84" customFormat="1" ht="27" customHeight="1" x14ac:dyDescent="0.3">
      <c r="A890" s="75" t="s">
        <v>3050</v>
      </c>
      <c r="B890" s="36" t="str">
        <f t="shared" si="13"/>
        <v>Julio</v>
      </c>
      <c r="C890" s="77" t="s">
        <v>162</v>
      </c>
      <c r="D890" s="77" t="s">
        <v>3055</v>
      </c>
      <c r="E890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890" s="79" t="s">
        <v>248</v>
      </c>
      <c r="G890" s="79" t="s">
        <v>249</v>
      </c>
      <c r="H890" s="140" t="s">
        <v>3056</v>
      </c>
      <c r="I890" s="77" t="s">
        <v>1111</v>
      </c>
      <c r="J890" s="144" t="s">
        <v>1112</v>
      </c>
      <c r="K890" s="77" t="s">
        <v>169</v>
      </c>
      <c r="L890" s="103" t="str">
        <f>VLOOKUP(Anexo_4[[#This Row],[cod_doc]],TIPODOC,2,FALSE)</f>
        <v>FACTURA</v>
      </c>
      <c r="M890" s="77" t="s">
        <v>1113</v>
      </c>
      <c r="N890" s="79">
        <v>6961</v>
      </c>
      <c r="O890" s="80">
        <v>804</v>
      </c>
      <c r="P890" s="81"/>
      <c r="Q890" s="81">
        <v>144.72</v>
      </c>
      <c r="R890" s="80"/>
      <c r="S890" s="80">
        <v>0</v>
      </c>
      <c r="T890" s="82">
        <v>948.72</v>
      </c>
      <c r="U890" s="77" t="s">
        <v>3057</v>
      </c>
      <c r="V890" s="75" t="s">
        <v>1786</v>
      </c>
      <c r="W890" s="77"/>
      <c r="X890" s="77"/>
      <c r="Y890" s="77" t="s">
        <v>3058</v>
      </c>
      <c r="Z890" s="77" t="s">
        <v>256</v>
      </c>
      <c r="AA890" s="83" t="s">
        <v>3056</v>
      </c>
      <c r="AB890" s="104" t="str">
        <f>IFERROR(VLOOKUP(Anexo_4[[#This Row],[cuenta]],OP,2,0),"-")</f>
        <v>Materias Primas - RRSS</v>
      </c>
    </row>
    <row r="891" spans="1:28" s="84" customFormat="1" ht="27" customHeight="1" x14ac:dyDescent="0.3">
      <c r="A891" s="75" t="s">
        <v>3050</v>
      </c>
      <c r="B891" s="36" t="str">
        <f t="shared" si="13"/>
        <v>Julio</v>
      </c>
      <c r="C891" s="77" t="s">
        <v>162</v>
      </c>
      <c r="D891" s="77" t="s">
        <v>3059</v>
      </c>
      <c r="E89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891" s="79" t="s">
        <v>248</v>
      </c>
      <c r="G891" s="79" t="s">
        <v>249</v>
      </c>
      <c r="H891" s="140" t="s">
        <v>3060</v>
      </c>
      <c r="I891" s="77" t="s">
        <v>625</v>
      </c>
      <c r="J891" s="144" t="s">
        <v>626</v>
      </c>
      <c r="K891" s="77" t="s">
        <v>169</v>
      </c>
      <c r="L891" s="103" t="str">
        <f>VLOOKUP(Anexo_4[[#This Row],[cod_doc]],TIPODOC,2,FALSE)</f>
        <v>FACTURA</v>
      </c>
      <c r="M891" s="77" t="s">
        <v>180</v>
      </c>
      <c r="N891" s="79">
        <v>16531</v>
      </c>
      <c r="O891" s="80">
        <v>188.49</v>
      </c>
      <c r="P891" s="81"/>
      <c r="Q891" s="81">
        <v>33.928200000000004</v>
      </c>
      <c r="R891" s="80"/>
      <c r="S891" s="80">
        <v>0</v>
      </c>
      <c r="T891" s="82">
        <v>222.41</v>
      </c>
      <c r="U891" s="77" t="s">
        <v>3061</v>
      </c>
      <c r="V891" s="75" t="s">
        <v>1786</v>
      </c>
      <c r="W891" s="77"/>
      <c r="X891" s="77"/>
      <c r="Y891" s="77" t="s">
        <v>3062</v>
      </c>
      <c r="Z891" s="77" t="s">
        <v>256</v>
      </c>
      <c r="AA891" s="83" t="s">
        <v>3060</v>
      </c>
      <c r="AB891" s="104" t="str">
        <f>IFERROR(VLOOKUP(Anexo_4[[#This Row],[cuenta]],OP,2,0),"-")</f>
        <v>Materias Primas - RRSS</v>
      </c>
    </row>
    <row r="892" spans="1:28" s="84" customFormat="1" ht="27" customHeight="1" x14ac:dyDescent="0.3">
      <c r="A892" s="75" t="s">
        <v>3050</v>
      </c>
      <c r="B892" s="36" t="str">
        <f t="shared" si="13"/>
        <v>Julio</v>
      </c>
      <c r="C892" s="77" t="s">
        <v>162</v>
      </c>
      <c r="D892" s="77" t="s">
        <v>3063</v>
      </c>
      <c r="E89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892" s="79" t="s">
        <v>248</v>
      </c>
      <c r="G892" s="79" t="s">
        <v>249</v>
      </c>
      <c r="H892" s="140" t="s">
        <v>3064</v>
      </c>
      <c r="I892" s="77" t="s">
        <v>625</v>
      </c>
      <c r="J892" s="144" t="s">
        <v>626</v>
      </c>
      <c r="K892" s="77" t="s">
        <v>169</v>
      </c>
      <c r="L892" s="103" t="str">
        <f>VLOOKUP(Anexo_4[[#This Row],[cod_doc]],TIPODOC,2,FALSE)</f>
        <v>FACTURA</v>
      </c>
      <c r="M892" s="77" t="s">
        <v>180</v>
      </c>
      <c r="N892" s="79">
        <v>16532</v>
      </c>
      <c r="O892" s="80">
        <v>102.82</v>
      </c>
      <c r="P892" s="81"/>
      <c r="Q892" s="81">
        <v>18.507599999999996</v>
      </c>
      <c r="R892" s="80"/>
      <c r="S892" s="80">
        <v>0</v>
      </c>
      <c r="T892" s="82">
        <v>121.31</v>
      </c>
      <c r="U892" s="77" t="s">
        <v>3065</v>
      </c>
      <c r="V892" s="75" t="s">
        <v>1786</v>
      </c>
      <c r="W892" s="77"/>
      <c r="X892" s="77"/>
      <c r="Y892" s="77" t="s">
        <v>3066</v>
      </c>
      <c r="Z892" s="77" t="s">
        <v>256</v>
      </c>
      <c r="AA892" s="83" t="s">
        <v>3064</v>
      </c>
      <c r="AB892" s="104" t="str">
        <f>IFERROR(VLOOKUP(Anexo_4[[#This Row],[cuenta]],OP,2,0),"-")</f>
        <v>Materias Primas - RRSS</v>
      </c>
    </row>
    <row r="893" spans="1:28" s="84" customFormat="1" ht="27" customHeight="1" x14ac:dyDescent="0.3">
      <c r="A893" s="75" t="s">
        <v>3050</v>
      </c>
      <c r="B893" s="36" t="str">
        <f t="shared" si="13"/>
        <v>Julio</v>
      </c>
      <c r="C893" s="77" t="s">
        <v>162</v>
      </c>
      <c r="D893" s="77" t="s">
        <v>3067</v>
      </c>
      <c r="E893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893" s="79" t="s">
        <v>248</v>
      </c>
      <c r="G893" s="79" t="s">
        <v>249</v>
      </c>
      <c r="H893" s="140" t="s">
        <v>3068</v>
      </c>
      <c r="I893" s="77" t="s">
        <v>625</v>
      </c>
      <c r="J893" s="144" t="s">
        <v>626</v>
      </c>
      <c r="K893" s="77" t="s">
        <v>169</v>
      </c>
      <c r="L893" s="103" t="str">
        <f>VLOOKUP(Anexo_4[[#This Row],[cod_doc]],TIPODOC,2,FALSE)</f>
        <v>FACTURA</v>
      </c>
      <c r="M893" s="77" t="s">
        <v>180</v>
      </c>
      <c r="N893" s="79">
        <v>16534</v>
      </c>
      <c r="O893" s="80">
        <v>501.23</v>
      </c>
      <c r="P893" s="81"/>
      <c r="Q893" s="81">
        <v>90.221400000000003</v>
      </c>
      <c r="R893" s="80"/>
      <c r="S893" s="80">
        <v>0</v>
      </c>
      <c r="T893" s="82">
        <v>591.44000000000005</v>
      </c>
      <c r="U893" s="77" t="s">
        <v>3069</v>
      </c>
      <c r="V893" s="75" t="s">
        <v>1786</v>
      </c>
      <c r="W893" s="77"/>
      <c r="X893" s="77"/>
      <c r="Y893" s="77" t="s">
        <v>3070</v>
      </c>
      <c r="Z893" s="77" t="s">
        <v>256</v>
      </c>
      <c r="AA893" s="83" t="s">
        <v>3068</v>
      </c>
      <c r="AB893" s="104" t="str">
        <f>IFERROR(VLOOKUP(Anexo_4[[#This Row],[cuenta]],OP,2,0),"-")</f>
        <v>Materias Primas - RRSS</v>
      </c>
    </row>
    <row r="894" spans="1:28" s="84" customFormat="1" ht="27" customHeight="1" x14ac:dyDescent="0.3">
      <c r="A894" s="75" t="s">
        <v>3050</v>
      </c>
      <c r="B894" s="36" t="str">
        <f t="shared" si="13"/>
        <v>Julio</v>
      </c>
      <c r="C894" s="77" t="s">
        <v>162</v>
      </c>
      <c r="D894" s="77" t="s">
        <v>3071</v>
      </c>
      <c r="E894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894" s="79" t="s">
        <v>650</v>
      </c>
      <c r="G894" s="79" t="s">
        <v>651</v>
      </c>
      <c r="H894" s="140" t="s">
        <v>3072</v>
      </c>
      <c r="I894" s="77" t="s">
        <v>653</v>
      </c>
      <c r="J894" s="144" t="s">
        <v>654</v>
      </c>
      <c r="K894" s="77" t="s">
        <v>169</v>
      </c>
      <c r="L894" s="103" t="str">
        <f>VLOOKUP(Anexo_4[[#This Row],[cod_doc]],TIPODOC,2,FALSE)</f>
        <v>FACTURA</v>
      </c>
      <c r="M894" s="77" t="s">
        <v>655</v>
      </c>
      <c r="N894" s="79">
        <v>16298</v>
      </c>
      <c r="O894" s="80">
        <v>403</v>
      </c>
      <c r="P894" s="81"/>
      <c r="Q894" s="81">
        <v>72.539999999999992</v>
      </c>
      <c r="R894" s="80"/>
      <c r="S894" s="80">
        <v>0</v>
      </c>
      <c r="T894" s="82">
        <v>475.54</v>
      </c>
      <c r="U894" s="77"/>
      <c r="V894" s="75"/>
      <c r="W894" s="77"/>
      <c r="X894" s="77"/>
      <c r="Y894" s="77"/>
      <c r="Z894" s="77" t="s">
        <v>1602</v>
      </c>
      <c r="AA894" s="83" t="s">
        <v>3072</v>
      </c>
      <c r="AB894" s="104" t="str">
        <f>IFERROR(VLOOKUP(Anexo_4[[#This Row],[cuenta]],OP,2,0),"-")</f>
        <v>Ingreso</v>
      </c>
    </row>
    <row r="895" spans="1:28" s="84" customFormat="1" ht="27" customHeight="1" x14ac:dyDescent="0.3">
      <c r="A895" s="75" t="s">
        <v>1916</v>
      </c>
      <c r="B895" s="36" t="str">
        <f t="shared" si="13"/>
        <v>Julio</v>
      </c>
      <c r="C895" s="77" t="s">
        <v>162</v>
      </c>
      <c r="D895" s="77" t="s">
        <v>3073</v>
      </c>
      <c r="E89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895" s="79" t="s">
        <v>391</v>
      </c>
      <c r="G895" s="79" t="s">
        <v>392</v>
      </c>
      <c r="H895" s="140" t="s">
        <v>3074</v>
      </c>
      <c r="I895" s="77" t="s">
        <v>3075</v>
      </c>
      <c r="J895" s="144" t="s">
        <v>3076</v>
      </c>
      <c r="K895" s="77" t="s">
        <v>169</v>
      </c>
      <c r="L895" s="103" t="str">
        <f>VLOOKUP(Anexo_4[[#This Row],[cod_doc]],TIPODOC,2,FALSE)</f>
        <v>FACTURA</v>
      </c>
      <c r="M895" s="77" t="s">
        <v>1062</v>
      </c>
      <c r="N895" s="79">
        <v>52</v>
      </c>
      <c r="O895" s="80">
        <v>447.4</v>
      </c>
      <c r="P895" s="81"/>
      <c r="Q895" s="81">
        <v>80.531999999999996</v>
      </c>
      <c r="R895" s="80"/>
      <c r="S895" s="80">
        <v>0</v>
      </c>
      <c r="T895" s="82">
        <v>527.92999999999995</v>
      </c>
      <c r="U895" s="77"/>
      <c r="V895" s="75"/>
      <c r="W895" s="77"/>
      <c r="X895" s="77"/>
      <c r="Y895" s="77"/>
      <c r="Z895" s="77" t="s">
        <v>223</v>
      </c>
      <c r="AA895" s="83" t="s">
        <v>3074</v>
      </c>
      <c r="AB895" s="104" t="str">
        <f>IFERROR(VLOOKUP(Anexo_4[[#This Row],[cuenta]],OP,2,0),"-")</f>
        <v>Mantenimiento Vehicular (Preventivo)</v>
      </c>
    </row>
    <row r="896" spans="1:28" s="84" customFormat="1" ht="27" customHeight="1" x14ac:dyDescent="0.3">
      <c r="A896" s="75" t="s">
        <v>2552</v>
      </c>
      <c r="B896" s="36" t="str">
        <f t="shared" si="13"/>
        <v>Julio</v>
      </c>
      <c r="C896" s="77" t="s">
        <v>162</v>
      </c>
      <c r="D896" s="77" t="s">
        <v>3077</v>
      </c>
      <c r="E89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896" s="79" t="s">
        <v>355</v>
      </c>
      <c r="G896" s="79" t="s">
        <v>356</v>
      </c>
      <c r="H896" s="140" t="s">
        <v>3078</v>
      </c>
      <c r="I896" s="77" t="s">
        <v>464</v>
      </c>
      <c r="J896" s="144" t="s">
        <v>465</v>
      </c>
      <c r="K896" s="77" t="s">
        <v>169</v>
      </c>
      <c r="L896" s="103" t="str">
        <f>VLOOKUP(Anexo_4[[#This Row],[cod_doc]],TIPODOC,2,FALSE)</f>
        <v>FACTURA</v>
      </c>
      <c r="M896" s="77" t="s">
        <v>102</v>
      </c>
      <c r="N896" s="79">
        <v>14</v>
      </c>
      <c r="O896" s="80">
        <v>254.24</v>
      </c>
      <c r="P896" s="81"/>
      <c r="Q896" s="81">
        <v>45.763199999999998</v>
      </c>
      <c r="R896" s="80"/>
      <c r="S896" s="80">
        <v>0</v>
      </c>
      <c r="T896" s="82">
        <v>300</v>
      </c>
      <c r="U896" s="77"/>
      <c r="V896" s="75"/>
      <c r="W896" s="77"/>
      <c r="X896" s="77"/>
      <c r="Y896" s="77"/>
      <c r="Z896" s="77" t="s">
        <v>893</v>
      </c>
      <c r="AA896" s="83" t="s">
        <v>3078</v>
      </c>
      <c r="AB896" s="104" t="str">
        <f>IFERROR(VLOOKUP(Anexo_4[[#This Row],[cuenta]],OP,2,0),"-")</f>
        <v>Transporte de Carga - Servicios</v>
      </c>
    </row>
    <row r="897" spans="1:28" s="84" customFormat="1" ht="27" customHeight="1" x14ac:dyDescent="0.3">
      <c r="A897" s="75" t="s">
        <v>2564</v>
      </c>
      <c r="B897" s="36" t="str">
        <f t="shared" si="13"/>
        <v>Julio</v>
      </c>
      <c r="C897" s="77" t="s">
        <v>162</v>
      </c>
      <c r="D897" s="77" t="s">
        <v>3079</v>
      </c>
      <c r="E897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897" s="79" t="s">
        <v>355</v>
      </c>
      <c r="G897" s="79" t="s">
        <v>356</v>
      </c>
      <c r="H897" s="140" t="s">
        <v>3080</v>
      </c>
      <c r="I897" s="77" t="s">
        <v>643</v>
      </c>
      <c r="J897" s="144" t="s">
        <v>644</v>
      </c>
      <c r="K897" s="77" t="s">
        <v>169</v>
      </c>
      <c r="L897" s="103" t="str">
        <f>VLOOKUP(Anexo_4[[#This Row],[cod_doc]],TIPODOC,2,FALSE)</f>
        <v>FACTURA</v>
      </c>
      <c r="M897" s="77" t="s">
        <v>102</v>
      </c>
      <c r="N897" s="79">
        <v>4055</v>
      </c>
      <c r="O897" s="80">
        <v>170</v>
      </c>
      <c r="P897" s="81"/>
      <c r="Q897" s="81">
        <v>30.599999999999998</v>
      </c>
      <c r="R897" s="80"/>
      <c r="S897" s="80">
        <v>0</v>
      </c>
      <c r="T897" s="82">
        <v>200.6</v>
      </c>
      <c r="U897" s="77"/>
      <c r="V897" s="75"/>
      <c r="W897" s="77"/>
      <c r="X897" s="77"/>
      <c r="Y897" s="77"/>
      <c r="Z897" s="77" t="s">
        <v>645</v>
      </c>
      <c r="AA897" s="83" t="s">
        <v>3080</v>
      </c>
      <c r="AB897" s="104" t="str">
        <f>IFERROR(VLOOKUP(Anexo_4[[#This Row],[cuenta]],OP,2,0),"-")</f>
        <v>Montacarga - Servicios</v>
      </c>
    </row>
    <row r="898" spans="1:28" s="84" customFormat="1" ht="27" customHeight="1" x14ac:dyDescent="0.3">
      <c r="A898" s="75" t="s">
        <v>2837</v>
      </c>
      <c r="B898" s="36" t="str">
        <f t="shared" ref="B898:B961" si="14">PROPER(CHOOSE(LEFT(D898,2),"enero","febrero","marzo","abril","mayo","junio","julio","agosto","setiembre","octubre","noviembre","diciembre"))</f>
        <v>Julio</v>
      </c>
      <c r="C898" s="77" t="s">
        <v>162</v>
      </c>
      <c r="D898" s="77" t="s">
        <v>3081</v>
      </c>
      <c r="E898" s="78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898" s="79" t="s">
        <v>198</v>
      </c>
      <c r="G898" s="79" t="s">
        <v>199</v>
      </c>
      <c r="H898" s="140" t="s">
        <v>3082</v>
      </c>
      <c r="I898" s="77" t="s">
        <v>464</v>
      </c>
      <c r="J898" s="144" t="s">
        <v>465</v>
      </c>
      <c r="K898" s="77" t="s">
        <v>169</v>
      </c>
      <c r="L898" s="103" t="str">
        <f>VLOOKUP(Anexo_4[[#This Row],[cod_doc]],TIPODOC,2,FALSE)</f>
        <v>FACTURA</v>
      </c>
      <c r="M898" s="77" t="s">
        <v>102</v>
      </c>
      <c r="N898" s="79">
        <v>16</v>
      </c>
      <c r="O898" s="80">
        <v>450</v>
      </c>
      <c r="P898" s="81"/>
      <c r="Q898" s="81">
        <v>81</v>
      </c>
      <c r="R898" s="80"/>
      <c r="S898" s="80">
        <v>0</v>
      </c>
      <c r="T898" s="82">
        <v>531</v>
      </c>
      <c r="U898" s="77" t="s">
        <v>3083</v>
      </c>
      <c r="V898" s="75" t="s">
        <v>3084</v>
      </c>
      <c r="W898" s="77"/>
      <c r="X898" s="77"/>
      <c r="Y898" s="77"/>
      <c r="Z898" s="77" t="s">
        <v>468</v>
      </c>
      <c r="AA898" s="83" t="s">
        <v>3082</v>
      </c>
      <c r="AB898" s="104" t="str">
        <f>IFERROR(VLOOKUP(Anexo_4[[#This Row],[cuenta]],OP,2,0),"-")</f>
        <v>Transporte de Carga  - Ventas</v>
      </c>
    </row>
    <row r="899" spans="1:28" s="84" customFormat="1" ht="27" customHeight="1" x14ac:dyDescent="0.3">
      <c r="A899" s="75" t="s">
        <v>3050</v>
      </c>
      <c r="B899" s="36" t="str">
        <f t="shared" si="14"/>
        <v>Julio</v>
      </c>
      <c r="C899" s="77" t="s">
        <v>162</v>
      </c>
      <c r="D899" s="77" t="s">
        <v>3085</v>
      </c>
      <c r="E899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899" s="79" t="s">
        <v>248</v>
      </c>
      <c r="G899" s="79" t="s">
        <v>249</v>
      </c>
      <c r="H899" s="140" t="s">
        <v>3086</v>
      </c>
      <c r="I899" s="77" t="s">
        <v>625</v>
      </c>
      <c r="J899" s="144" t="s">
        <v>626</v>
      </c>
      <c r="K899" s="77" t="s">
        <v>169</v>
      </c>
      <c r="L899" s="103" t="str">
        <f>VLOOKUP(Anexo_4[[#This Row],[cod_doc]],TIPODOC,2,FALSE)</f>
        <v>FACTURA</v>
      </c>
      <c r="M899" s="77" t="s">
        <v>180</v>
      </c>
      <c r="N899" s="79">
        <v>16567</v>
      </c>
      <c r="O899" s="80">
        <v>2848.08</v>
      </c>
      <c r="P899" s="81"/>
      <c r="Q899" s="81">
        <v>512.65440000000001</v>
      </c>
      <c r="R899" s="80"/>
      <c r="S899" s="80">
        <v>0</v>
      </c>
      <c r="T899" s="82">
        <v>3360.73</v>
      </c>
      <c r="U899" s="77" t="s">
        <v>3087</v>
      </c>
      <c r="V899" s="75" t="s">
        <v>3084</v>
      </c>
      <c r="W899" s="77"/>
      <c r="X899" s="77"/>
      <c r="Y899" s="77" t="s">
        <v>3088</v>
      </c>
      <c r="Z899" s="77" t="s">
        <v>256</v>
      </c>
      <c r="AA899" s="83" t="s">
        <v>3086</v>
      </c>
      <c r="AB899" s="104" t="str">
        <f>IFERROR(VLOOKUP(Anexo_4[[#This Row],[cuenta]],OP,2,0),"-")</f>
        <v>Materias Primas - RRSS</v>
      </c>
    </row>
    <row r="900" spans="1:28" s="84" customFormat="1" ht="27" customHeight="1" x14ac:dyDescent="0.3">
      <c r="A900" s="75" t="s">
        <v>3050</v>
      </c>
      <c r="B900" s="36" t="str">
        <f t="shared" si="14"/>
        <v>Julio</v>
      </c>
      <c r="C900" s="77" t="s">
        <v>162</v>
      </c>
      <c r="D900" s="77" t="s">
        <v>3089</v>
      </c>
      <c r="E900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900" s="79" t="s">
        <v>248</v>
      </c>
      <c r="G900" s="79" t="s">
        <v>249</v>
      </c>
      <c r="H900" s="140" t="s">
        <v>3090</v>
      </c>
      <c r="I900" s="77" t="s">
        <v>625</v>
      </c>
      <c r="J900" s="144" t="s">
        <v>626</v>
      </c>
      <c r="K900" s="77" t="s">
        <v>169</v>
      </c>
      <c r="L900" s="103" t="str">
        <f>VLOOKUP(Anexo_4[[#This Row],[cod_doc]],TIPODOC,2,FALSE)</f>
        <v>FACTURA</v>
      </c>
      <c r="M900" s="77" t="s">
        <v>180</v>
      </c>
      <c r="N900" s="79">
        <v>16566</v>
      </c>
      <c r="O900" s="80">
        <v>2410.96</v>
      </c>
      <c r="P900" s="81"/>
      <c r="Q900" s="81">
        <v>433.97280000000001</v>
      </c>
      <c r="R900" s="80"/>
      <c r="S900" s="80">
        <v>0</v>
      </c>
      <c r="T900" s="82">
        <v>2844.93</v>
      </c>
      <c r="U900" s="77" t="s">
        <v>3091</v>
      </c>
      <c r="V900" s="75" t="s">
        <v>3084</v>
      </c>
      <c r="W900" s="77"/>
      <c r="X900" s="77"/>
      <c r="Y900" s="77" t="s">
        <v>3092</v>
      </c>
      <c r="Z900" s="77" t="s">
        <v>256</v>
      </c>
      <c r="AA900" s="83" t="s">
        <v>3090</v>
      </c>
      <c r="AB900" s="104" t="str">
        <f>IFERROR(VLOOKUP(Anexo_4[[#This Row],[cuenta]],OP,2,0),"-")</f>
        <v>Materias Primas - RRSS</v>
      </c>
    </row>
    <row r="901" spans="1:28" s="84" customFormat="1" ht="27" customHeight="1" x14ac:dyDescent="0.3">
      <c r="A901" s="75" t="s">
        <v>3050</v>
      </c>
      <c r="B901" s="36" t="str">
        <f t="shared" si="14"/>
        <v>Julio</v>
      </c>
      <c r="C901" s="77" t="s">
        <v>162</v>
      </c>
      <c r="D901" s="77" t="s">
        <v>3093</v>
      </c>
      <c r="E90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901" s="79" t="s">
        <v>248</v>
      </c>
      <c r="G901" s="79" t="s">
        <v>249</v>
      </c>
      <c r="H901" s="140" t="s">
        <v>3094</v>
      </c>
      <c r="I901" s="77" t="s">
        <v>1783</v>
      </c>
      <c r="J901" s="144" t="s">
        <v>1784</v>
      </c>
      <c r="K901" s="77" t="s">
        <v>169</v>
      </c>
      <c r="L901" s="103" t="str">
        <f>VLOOKUP(Anexo_4[[#This Row],[cod_doc]],TIPODOC,2,FALSE)</f>
        <v>FACTURA</v>
      </c>
      <c r="M901" s="77" t="s">
        <v>102</v>
      </c>
      <c r="N901" s="79">
        <v>896</v>
      </c>
      <c r="O901" s="80">
        <v>664.41</v>
      </c>
      <c r="P901" s="81"/>
      <c r="Q901" s="81">
        <v>119.59379999999999</v>
      </c>
      <c r="R901" s="80"/>
      <c r="S901" s="80">
        <v>0</v>
      </c>
      <c r="T901" s="82">
        <v>784</v>
      </c>
      <c r="U901" s="77" t="s">
        <v>3095</v>
      </c>
      <c r="V901" s="75" t="s">
        <v>3084</v>
      </c>
      <c r="W901" s="77"/>
      <c r="X901" s="77"/>
      <c r="Y901" s="77" t="s">
        <v>3096</v>
      </c>
      <c r="Z901" s="77" t="s">
        <v>256</v>
      </c>
      <c r="AA901" s="83" t="s">
        <v>3094</v>
      </c>
      <c r="AB901" s="104" t="str">
        <f>IFERROR(VLOOKUP(Anexo_4[[#This Row],[cuenta]],OP,2,0),"-")</f>
        <v>Materias Primas - RRSS</v>
      </c>
    </row>
    <row r="902" spans="1:28" s="84" customFormat="1" ht="27" customHeight="1" x14ac:dyDescent="0.3">
      <c r="A902" s="75" t="s">
        <v>1780</v>
      </c>
      <c r="B902" s="36" t="str">
        <f t="shared" si="14"/>
        <v>Julio</v>
      </c>
      <c r="C902" s="77" t="s">
        <v>162</v>
      </c>
      <c r="D902" s="77" t="s">
        <v>3097</v>
      </c>
      <c r="E90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902" s="79" t="s">
        <v>449</v>
      </c>
      <c r="G902" s="79" t="s">
        <v>450</v>
      </c>
      <c r="H902" s="140" t="s">
        <v>3098</v>
      </c>
      <c r="I902" s="77" t="s">
        <v>2085</v>
      </c>
      <c r="J902" s="144" t="s">
        <v>2086</v>
      </c>
      <c r="K902" s="77" t="s">
        <v>169</v>
      </c>
      <c r="L902" s="103" t="str">
        <f>VLOOKUP(Anexo_4[[#This Row],[cod_doc]],TIPODOC,2,FALSE)</f>
        <v>FACTURA</v>
      </c>
      <c r="M902" s="77" t="s">
        <v>631</v>
      </c>
      <c r="N902" s="79">
        <v>42210</v>
      </c>
      <c r="O902" s="80">
        <v>46.61</v>
      </c>
      <c r="P902" s="81"/>
      <c r="Q902" s="81">
        <v>8.3897999999999993</v>
      </c>
      <c r="R902" s="80"/>
      <c r="S902" s="80">
        <v>0</v>
      </c>
      <c r="T902" s="82">
        <v>55</v>
      </c>
      <c r="U902" s="77"/>
      <c r="V902" s="75"/>
      <c r="W902" s="77"/>
      <c r="X902" s="77"/>
      <c r="Y902" s="77" t="s">
        <v>3099</v>
      </c>
      <c r="Z902" s="77" t="s">
        <v>507</v>
      </c>
      <c r="AA902" s="83" t="s">
        <v>3098</v>
      </c>
      <c r="AB902" s="104" t="str">
        <f>IFERROR(VLOOKUP(Anexo_4[[#This Row],[cuenta]],OP,2,0),"-")</f>
        <v>Transporte lavado (Higienización)</v>
      </c>
    </row>
    <row r="903" spans="1:28" s="84" customFormat="1" ht="27" customHeight="1" x14ac:dyDescent="0.3">
      <c r="A903" s="75" t="s">
        <v>2675</v>
      </c>
      <c r="B903" s="36" t="str">
        <f t="shared" si="14"/>
        <v>Julio</v>
      </c>
      <c r="C903" s="77" t="s">
        <v>162</v>
      </c>
      <c r="D903" s="77" t="s">
        <v>3100</v>
      </c>
      <c r="E903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903" s="79" t="s">
        <v>449</v>
      </c>
      <c r="G903" s="79" t="s">
        <v>450</v>
      </c>
      <c r="H903" s="140" t="s">
        <v>3101</v>
      </c>
      <c r="I903" s="77" t="s">
        <v>312</v>
      </c>
      <c r="J903" s="144" t="s">
        <v>313</v>
      </c>
      <c r="K903" s="77" t="s">
        <v>169</v>
      </c>
      <c r="L903" s="103" t="str">
        <f>VLOOKUP(Anexo_4[[#This Row],[cod_doc]],TIPODOC,2,FALSE)</f>
        <v>FACTURA</v>
      </c>
      <c r="M903" s="77" t="s">
        <v>1463</v>
      </c>
      <c r="N903" s="79">
        <v>3771726</v>
      </c>
      <c r="O903" s="80">
        <v>12.71</v>
      </c>
      <c r="P903" s="81"/>
      <c r="Q903" s="81">
        <v>2.2878000000000003</v>
      </c>
      <c r="R903" s="80"/>
      <c r="S903" s="80">
        <v>0</v>
      </c>
      <c r="T903" s="82">
        <v>15</v>
      </c>
      <c r="U903" s="77"/>
      <c r="V903" s="75"/>
      <c r="W903" s="77"/>
      <c r="X903" s="77"/>
      <c r="Y903" s="77" t="s">
        <v>3102</v>
      </c>
      <c r="Z903" s="77" t="s">
        <v>302</v>
      </c>
      <c r="AA903" s="83" t="s">
        <v>3101</v>
      </c>
      <c r="AB903" s="104" t="str">
        <f>IFERROR(VLOOKUP(Anexo_4[[#This Row],[cuenta]],OP,2,0),"-")</f>
        <v>Transporte peajes - Servicios</v>
      </c>
    </row>
    <row r="904" spans="1:28" s="84" customFormat="1" ht="27" customHeight="1" x14ac:dyDescent="0.3">
      <c r="A904" s="75" t="s">
        <v>2675</v>
      </c>
      <c r="B904" s="36" t="str">
        <f t="shared" si="14"/>
        <v>Julio</v>
      </c>
      <c r="C904" s="77" t="s">
        <v>162</v>
      </c>
      <c r="D904" s="77" t="s">
        <v>3103</v>
      </c>
      <c r="E904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904" s="79" t="s">
        <v>449</v>
      </c>
      <c r="G904" s="79" t="s">
        <v>450</v>
      </c>
      <c r="H904" s="140" t="s">
        <v>3104</v>
      </c>
      <c r="I904" s="77" t="s">
        <v>312</v>
      </c>
      <c r="J904" s="144" t="s">
        <v>313</v>
      </c>
      <c r="K904" s="77" t="s">
        <v>169</v>
      </c>
      <c r="L904" s="103" t="str">
        <f>VLOOKUP(Anexo_4[[#This Row],[cod_doc]],TIPODOC,2,FALSE)</f>
        <v>FACTURA</v>
      </c>
      <c r="M904" s="77" t="s">
        <v>1459</v>
      </c>
      <c r="N904" s="79">
        <v>1995670</v>
      </c>
      <c r="O904" s="80">
        <v>12.71</v>
      </c>
      <c r="P904" s="81"/>
      <c r="Q904" s="81">
        <v>2.2878000000000003</v>
      </c>
      <c r="R904" s="80"/>
      <c r="S904" s="80">
        <v>0</v>
      </c>
      <c r="T904" s="82">
        <v>15</v>
      </c>
      <c r="U904" s="77"/>
      <c r="V904" s="75"/>
      <c r="W904" s="77"/>
      <c r="X904" s="77"/>
      <c r="Y904" s="77" t="s">
        <v>3105</v>
      </c>
      <c r="Z904" s="77" t="s">
        <v>302</v>
      </c>
      <c r="AA904" s="83" t="s">
        <v>3104</v>
      </c>
      <c r="AB904" s="104" t="str">
        <f>IFERROR(VLOOKUP(Anexo_4[[#This Row],[cuenta]],OP,2,0),"-")</f>
        <v>Transporte peajes - Servicios</v>
      </c>
    </row>
    <row r="905" spans="1:28" s="84" customFormat="1" ht="27" customHeight="1" x14ac:dyDescent="0.3">
      <c r="A905" s="75" t="s">
        <v>3033</v>
      </c>
      <c r="B905" s="36" t="str">
        <f t="shared" si="14"/>
        <v>Julio</v>
      </c>
      <c r="C905" s="77" t="s">
        <v>162</v>
      </c>
      <c r="D905" s="77" t="s">
        <v>3106</v>
      </c>
      <c r="E90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905" s="79" t="s">
        <v>175</v>
      </c>
      <c r="G905" s="79" t="s">
        <v>176</v>
      </c>
      <c r="H905" s="140" t="s">
        <v>765</v>
      </c>
      <c r="I905" s="77" t="s">
        <v>452</v>
      </c>
      <c r="J905" s="144" t="s">
        <v>453</v>
      </c>
      <c r="K905" s="77" t="s">
        <v>169</v>
      </c>
      <c r="L905" s="103" t="str">
        <f>VLOOKUP(Anexo_4[[#This Row],[cod_doc]],TIPODOC,2,FALSE)</f>
        <v>FACTURA</v>
      </c>
      <c r="M905" s="77" t="s">
        <v>461</v>
      </c>
      <c r="N905" s="79">
        <v>150566</v>
      </c>
      <c r="O905" s="80">
        <v>514</v>
      </c>
      <c r="P905" s="81"/>
      <c r="Q905" s="81">
        <v>92.52</v>
      </c>
      <c r="R905" s="80"/>
      <c r="S905" s="80">
        <v>0</v>
      </c>
      <c r="T905" s="82">
        <v>1371.6</v>
      </c>
      <c r="U905" s="77"/>
      <c r="V905" s="75"/>
      <c r="W905" s="77"/>
      <c r="X905" s="77"/>
      <c r="Y905" s="77"/>
      <c r="Z905" s="77" t="s">
        <v>455</v>
      </c>
      <c r="AA905" s="83" t="s">
        <v>765</v>
      </c>
      <c r="AB905" s="104" t="str">
        <f>IFERROR(VLOOKUP(Anexo_4[[#This Row],[cuenta]],OP,2,0),"-")</f>
        <v>Combustible (Vehiculos)</v>
      </c>
    </row>
    <row r="906" spans="1:28" s="84" customFormat="1" ht="27" customHeight="1" x14ac:dyDescent="0.3">
      <c r="A906" s="75" t="s">
        <v>3033</v>
      </c>
      <c r="B906" s="36" t="str">
        <f t="shared" si="14"/>
        <v>Julio</v>
      </c>
      <c r="C906" s="77" t="s">
        <v>162</v>
      </c>
      <c r="D906" s="77" t="s">
        <v>3106</v>
      </c>
      <c r="E90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906" s="79" t="s">
        <v>391</v>
      </c>
      <c r="G906" s="79" t="s">
        <v>392</v>
      </c>
      <c r="H906" s="140" t="s">
        <v>765</v>
      </c>
      <c r="I906" s="77" t="s">
        <v>452</v>
      </c>
      <c r="J906" s="144" t="s">
        <v>453</v>
      </c>
      <c r="K906" s="77" t="s">
        <v>169</v>
      </c>
      <c r="L906" s="103" t="str">
        <f>VLOOKUP(Anexo_4[[#This Row],[cod_doc]],TIPODOC,2,FALSE)</f>
        <v>FACTURA</v>
      </c>
      <c r="M906" s="77" t="s">
        <v>461</v>
      </c>
      <c r="N906" s="79">
        <v>150566</v>
      </c>
      <c r="O906" s="80">
        <v>648.37</v>
      </c>
      <c r="P906" s="81"/>
      <c r="Q906" s="81">
        <v>116.70659999999999</v>
      </c>
      <c r="R906" s="80"/>
      <c r="S906" s="80">
        <v>0</v>
      </c>
      <c r="T906" s="82">
        <v>1371.6</v>
      </c>
      <c r="U906" s="77"/>
      <c r="V906" s="75"/>
      <c r="W906" s="77"/>
      <c r="X906" s="77"/>
      <c r="Y906" s="77"/>
      <c r="Z906" s="77" t="s">
        <v>455</v>
      </c>
      <c r="AA906" s="83" t="s">
        <v>765</v>
      </c>
      <c r="AB906" s="104" t="str">
        <f>IFERROR(VLOOKUP(Anexo_4[[#This Row],[cuenta]],OP,2,0),"-")</f>
        <v>Combustible (Vehiculos)</v>
      </c>
    </row>
    <row r="907" spans="1:28" s="84" customFormat="1" ht="27" customHeight="1" x14ac:dyDescent="0.3">
      <c r="A907" s="75" t="s">
        <v>2780</v>
      </c>
      <c r="B907" s="36" t="str">
        <f t="shared" si="14"/>
        <v>Julio</v>
      </c>
      <c r="C907" s="77" t="s">
        <v>162</v>
      </c>
      <c r="D907" s="77" t="s">
        <v>3107</v>
      </c>
      <c r="E907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907" s="79" t="s">
        <v>175</v>
      </c>
      <c r="G907" s="79" t="s">
        <v>176</v>
      </c>
      <c r="H907" s="140" t="s">
        <v>765</v>
      </c>
      <c r="I907" s="77" t="s">
        <v>452</v>
      </c>
      <c r="J907" s="144" t="s">
        <v>453</v>
      </c>
      <c r="K907" s="77" t="s">
        <v>169</v>
      </c>
      <c r="L907" s="103" t="str">
        <f>VLOOKUP(Anexo_4[[#This Row],[cod_doc]],TIPODOC,2,FALSE)</f>
        <v>FACTURA</v>
      </c>
      <c r="M907" s="77" t="s">
        <v>461</v>
      </c>
      <c r="N907" s="79">
        <v>149675</v>
      </c>
      <c r="O907" s="80">
        <v>1923.28</v>
      </c>
      <c r="P907" s="81"/>
      <c r="Q907" s="81">
        <v>346.19039999999995</v>
      </c>
      <c r="R907" s="80"/>
      <c r="S907" s="80">
        <v>0</v>
      </c>
      <c r="T907" s="82">
        <v>2437.33</v>
      </c>
      <c r="U907" s="77"/>
      <c r="V907" s="75"/>
      <c r="W907" s="77"/>
      <c r="X907" s="77"/>
      <c r="Y907" s="77"/>
      <c r="Z907" s="77" t="s">
        <v>455</v>
      </c>
      <c r="AA907" s="83" t="s">
        <v>765</v>
      </c>
      <c r="AB907" s="104" t="str">
        <f>IFERROR(VLOOKUP(Anexo_4[[#This Row],[cuenta]],OP,2,0),"-")</f>
        <v>Combustible (Vehiculos)</v>
      </c>
    </row>
    <row r="908" spans="1:28" s="84" customFormat="1" ht="27" customHeight="1" x14ac:dyDescent="0.3">
      <c r="A908" s="75" t="s">
        <v>2780</v>
      </c>
      <c r="B908" s="36" t="str">
        <f t="shared" si="14"/>
        <v>Julio</v>
      </c>
      <c r="C908" s="77" t="s">
        <v>162</v>
      </c>
      <c r="D908" s="77" t="s">
        <v>3107</v>
      </c>
      <c r="E908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908" s="79" t="s">
        <v>391</v>
      </c>
      <c r="G908" s="79" t="s">
        <v>392</v>
      </c>
      <c r="H908" s="140" t="s">
        <v>765</v>
      </c>
      <c r="I908" s="77" t="s">
        <v>452</v>
      </c>
      <c r="J908" s="144" t="s">
        <v>453</v>
      </c>
      <c r="K908" s="77" t="s">
        <v>169</v>
      </c>
      <c r="L908" s="103" t="str">
        <f>VLOOKUP(Anexo_4[[#This Row],[cod_doc]],TIPODOC,2,FALSE)</f>
        <v>FACTURA</v>
      </c>
      <c r="M908" s="77" t="s">
        <v>461</v>
      </c>
      <c r="N908" s="79">
        <v>149675</v>
      </c>
      <c r="O908" s="80">
        <v>142.25</v>
      </c>
      <c r="P908" s="81"/>
      <c r="Q908" s="81">
        <v>25.605</v>
      </c>
      <c r="R908" s="80"/>
      <c r="S908" s="80">
        <v>0</v>
      </c>
      <c r="T908" s="82">
        <v>2437.33</v>
      </c>
      <c r="U908" s="77"/>
      <c r="V908" s="75"/>
      <c r="W908" s="77"/>
      <c r="X908" s="77"/>
      <c r="Y908" s="77"/>
      <c r="Z908" s="77" t="s">
        <v>455</v>
      </c>
      <c r="AA908" s="83" t="s">
        <v>765</v>
      </c>
      <c r="AB908" s="104" t="str">
        <f>IFERROR(VLOOKUP(Anexo_4[[#This Row],[cuenta]],OP,2,0),"-")</f>
        <v>Combustible (Vehiculos)</v>
      </c>
    </row>
    <row r="909" spans="1:28" s="84" customFormat="1" ht="27" customHeight="1" x14ac:dyDescent="0.3">
      <c r="A909" s="75" t="s">
        <v>2106</v>
      </c>
      <c r="B909" s="36" t="str">
        <f t="shared" si="14"/>
        <v>Julio</v>
      </c>
      <c r="C909" s="77" t="s">
        <v>162</v>
      </c>
      <c r="D909" s="77" t="s">
        <v>3108</v>
      </c>
      <c r="E909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909" s="79" t="s">
        <v>175</v>
      </c>
      <c r="G909" s="79" t="s">
        <v>176</v>
      </c>
      <c r="H909" s="140" t="s">
        <v>765</v>
      </c>
      <c r="I909" s="77" t="s">
        <v>452</v>
      </c>
      <c r="J909" s="144" t="s">
        <v>453</v>
      </c>
      <c r="K909" s="77" t="s">
        <v>169</v>
      </c>
      <c r="L909" s="103" t="str">
        <f>VLOOKUP(Anexo_4[[#This Row],[cod_doc]],TIPODOC,2,FALSE)</f>
        <v>FACTURA</v>
      </c>
      <c r="M909" s="77" t="s">
        <v>454</v>
      </c>
      <c r="N909" s="79">
        <v>171111</v>
      </c>
      <c r="O909" s="80">
        <v>368.17</v>
      </c>
      <c r="P909" s="81"/>
      <c r="Q909" s="81">
        <v>66.270600000000002</v>
      </c>
      <c r="R909" s="80"/>
      <c r="S909" s="80">
        <v>0</v>
      </c>
      <c r="T909" s="82">
        <v>1141.95</v>
      </c>
      <c r="U909" s="77"/>
      <c r="V909" s="75"/>
      <c r="W909" s="77"/>
      <c r="X909" s="77"/>
      <c r="Y909" s="77"/>
      <c r="Z909" s="77" t="s">
        <v>455</v>
      </c>
      <c r="AA909" s="83" t="s">
        <v>765</v>
      </c>
      <c r="AB909" s="104" t="str">
        <f>IFERROR(VLOOKUP(Anexo_4[[#This Row],[cuenta]],OP,2,0),"-")</f>
        <v>Combustible (Vehiculos)</v>
      </c>
    </row>
    <row r="910" spans="1:28" s="84" customFormat="1" ht="27" customHeight="1" x14ac:dyDescent="0.3">
      <c r="A910" s="75" t="s">
        <v>2106</v>
      </c>
      <c r="B910" s="36" t="str">
        <f t="shared" si="14"/>
        <v>Julio</v>
      </c>
      <c r="C910" s="77" t="s">
        <v>162</v>
      </c>
      <c r="D910" s="77" t="s">
        <v>3108</v>
      </c>
      <c r="E910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910" s="79" t="s">
        <v>391</v>
      </c>
      <c r="G910" s="79" t="s">
        <v>392</v>
      </c>
      <c r="H910" s="140" t="s">
        <v>765</v>
      </c>
      <c r="I910" s="77" t="s">
        <v>452</v>
      </c>
      <c r="J910" s="144" t="s">
        <v>453</v>
      </c>
      <c r="K910" s="77" t="s">
        <v>169</v>
      </c>
      <c r="L910" s="103" t="str">
        <f>VLOOKUP(Anexo_4[[#This Row],[cod_doc]],TIPODOC,2,FALSE)</f>
        <v>FACTURA</v>
      </c>
      <c r="M910" s="77" t="s">
        <v>454</v>
      </c>
      <c r="N910" s="79">
        <v>171111</v>
      </c>
      <c r="O910" s="80">
        <v>184.27</v>
      </c>
      <c r="P910" s="81"/>
      <c r="Q910" s="81">
        <v>33.168599999999998</v>
      </c>
      <c r="R910" s="80"/>
      <c r="S910" s="80">
        <v>0</v>
      </c>
      <c r="T910" s="82">
        <v>1141.95</v>
      </c>
      <c r="U910" s="77"/>
      <c r="V910" s="75"/>
      <c r="W910" s="77"/>
      <c r="X910" s="77"/>
      <c r="Y910" s="77"/>
      <c r="Z910" s="77" t="s">
        <v>455</v>
      </c>
      <c r="AA910" s="83" t="s">
        <v>765</v>
      </c>
      <c r="AB910" s="104" t="str">
        <f>IFERROR(VLOOKUP(Anexo_4[[#This Row],[cuenta]],OP,2,0),"-")</f>
        <v>Combustible (Vehiculos)</v>
      </c>
    </row>
    <row r="911" spans="1:28" s="84" customFormat="1" ht="27" customHeight="1" x14ac:dyDescent="0.3">
      <c r="A911" s="75" t="s">
        <v>2106</v>
      </c>
      <c r="B911" s="36" t="str">
        <f t="shared" si="14"/>
        <v>Julio</v>
      </c>
      <c r="C911" s="77" t="s">
        <v>162</v>
      </c>
      <c r="D911" s="77" t="s">
        <v>3108</v>
      </c>
      <c r="E91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911" s="79" t="s">
        <v>217</v>
      </c>
      <c r="G911" s="79" t="s">
        <v>218</v>
      </c>
      <c r="H911" s="140" t="s">
        <v>765</v>
      </c>
      <c r="I911" s="77" t="s">
        <v>452</v>
      </c>
      <c r="J911" s="144" t="s">
        <v>453</v>
      </c>
      <c r="K911" s="77" t="s">
        <v>169</v>
      </c>
      <c r="L911" s="103" t="str">
        <f>VLOOKUP(Anexo_4[[#This Row],[cod_doc]],TIPODOC,2,FALSE)</f>
        <v>FACTURA</v>
      </c>
      <c r="M911" s="77" t="s">
        <v>454</v>
      </c>
      <c r="N911" s="79">
        <v>171111</v>
      </c>
      <c r="O911" s="80">
        <v>415.31</v>
      </c>
      <c r="P911" s="81"/>
      <c r="Q911" s="81">
        <v>74.755799999999994</v>
      </c>
      <c r="R911" s="80"/>
      <c r="S911" s="80">
        <v>0</v>
      </c>
      <c r="T911" s="82">
        <v>1141.95</v>
      </c>
      <c r="U911" s="77"/>
      <c r="V911" s="75"/>
      <c r="W911" s="77"/>
      <c r="X911" s="77"/>
      <c r="Y911" s="77"/>
      <c r="Z911" s="77" t="s">
        <v>455</v>
      </c>
      <c r="AA911" s="83" t="s">
        <v>765</v>
      </c>
      <c r="AB911" s="104" t="str">
        <f>IFERROR(VLOOKUP(Anexo_4[[#This Row],[cuenta]],OP,2,0),"-")</f>
        <v>Combustible (Vehiculos)</v>
      </c>
    </row>
    <row r="912" spans="1:28" s="84" customFormat="1" ht="27" customHeight="1" x14ac:dyDescent="0.3">
      <c r="A912" s="75" t="s">
        <v>2106</v>
      </c>
      <c r="B912" s="36" t="str">
        <f t="shared" si="14"/>
        <v>Julio</v>
      </c>
      <c r="C912" s="77" t="s">
        <v>162</v>
      </c>
      <c r="D912" s="77" t="s">
        <v>3109</v>
      </c>
      <c r="E91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912" s="79" t="s">
        <v>449</v>
      </c>
      <c r="G912" s="79" t="s">
        <v>450</v>
      </c>
      <c r="H912" s="140" t="s">
        <v>765</v>
      </c>
      <c r="I912" s="77" t="s">
        <v>452</v>
      </c>
      <c r="J912" s="144" t="s">
        <v>453</v>
      </c>
      <c r="K912" s="77" t="s">
        <v>169</v>
      </c>
      <c r="L912" s="103" t="str">
        <f>VLOOKUP(Anexo_4[[#This Row],[cod_doc]],TIPODOC,2,FALSE)</f>
        <v>FACTURA</v>
      </c>
      <c r="M912" s="77" t="s">
        <v>454</v>
      </c>
      <c r="N912" s="79">
        <v>171093</v>
      </c>
      <c r="O912" s="80">
        <v>478.67</v>
      </c>
      <c r="P912" s="81"/>
      <c r="Q912" s="81">
        <v>86.160600000000002</v>
      </c>
      <c r="R912" s="80"/>
      <c r="S912" s="80">
        <v>0</v>
      </c>
      <c r="T912" s="82">
        <v>1214.82</v>
      </c>
      <c r="U912" s="77"/>
      <c r="V912" s="75"/>
      <c r="W912" s="77"/>
      <c r="X912" s="77"/>
      <c r="Y912" s="77"/>
      <c r="Z912" s="77" t="s">
        <v>455</v>
      </c>
      <c r="AA912" s="83" t="s">
        <v>765</v>
      </c>
      <c r="AB912" s="104" t="str">
        <f>IFERROR(VLOOKUP(Anexo_4[[#This Row],[cuenta]],OP,2,0),"-")</f>
        <v>Combustible (Vehiculos)</v>
      </c>
    </row>
    <row r="913" spans="1:28" s="84" customFormat="1" ht="27" customHeight="1" x14ac:dyDescent="0.3">
      <c r="A913" s="75" t="s">
        <v>2106</v>
      </c>
      <c r="B913" s="36" t="str">
        <f t="shared" si="14"/>
        <v>Julio</v>
      </c>
      <c r="C913" s="77" t="s">
        <v>162</v>
      </c>
      <c r="D913" s="77" t="s">
        <v>3109</v>
      </c>
      <c r="E913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913" s="79" t="s">
        <v>456</v>
      </c>
      <c r="G913" s="79" t="s">
        <v>457</v>
      </c>
      <c r="H913" s="140" t="s">
        <v>765</v>
      </c>
      <c r="I913" s="77" t="s">
        <v>452</v>
      </c>
      <c r="J913" s="144" t="s">
        <v>453</v>
      </c>
      <c r="K913" s="77" t="s">
        <v>169</v>
      </c>
      <c r="L913" s="103" t="str">
        <f>VLOOKUP(Anexo_4[[#This Row],[cod_doc]],TIPODOC,2,FALSE)</f>
        <v>FACTURA</v>
      </c>
      <c r="M913" s="77" t="s">
        <v>454</v>
      </c>
      <c r="N913" s="79">
        <v>171093</v>
      </c>
      <c r="O913" s="80">
        <v>252.37</v>
      </c>
      <c r="P913" s="81"/>
      <c r="Q913" s="81">
        <v>45.426600000000001</v>
      </c>
      <c r="R913" s="80"/>
      <c r="S913" s="80">
        <v>0</v>
      </c>
      <c r="T913" s="82">
        <v>1214.82</v>
      </c>
      <c r="U913" s="77"/>
      <c r="V913" s="75"/>
      <c r="W913" s="77"/>
      <c r="X913" s="77"/>
      <c r="Y913" s="77"/>
      <c r="Z913" s="77" t="s">
        <v>455</v>
      </c>
      <c r="AA913" s="83" t="s">
        <v>765</v>
      </c>
      <c r="AB913" s="104" t="str">
        <f>IFERROR(VLOOKUP(Anexo_4[[#This Row],[cuenta]],OP,2,0),"-")</f>
        <v>Combustible (Vehiculos)</v>
      </c>
    </row>
    <row r="914" spans="1:28" s="84" customFormat="1" ht="27" customHeight="1" x14ac:dyDescent="0.3">
      <c r="A914" s="75" t="s">
        <v>2106</v>
      </c>
      <c r="B914" s="36" t="str">
        <f t="shared" si="14"/>
        <v>Julio</v>
      </c>
      <c r="C914" s="77" t="s">
        <v>162</v>
      </c>
      <c r="D914" s="77" t="s">
        <v>3109</v>
      </c>
      <c r="E914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914" s="79" t="s">
        <v>235</v>
      </c>
      <c r="G914" s="79" t="s">
        <v>236</v>
      </c>
      <c r="H914" s="140" t="s">
        <v>765</v>
      </c>
      <c r="I914" s="77" t="s">
        <v>452</v>
      </c>
      <c r="J914" s="144" t="s">
        <v>453</v>
      </c>
      <c r="K914" s="77" t="s">
        <v>169</v>
      </c>
      <c r="L914" s="103" t="str">
        <f>VLOOKUP(Anexo_4[[#This Row],[cod_doc]],TIPODOC,2,FALSE)</f>
        <v>FACTURA</v>
      </c>
      <c r="M914" s="77" t="s">
        <v>454</v>
      </c>
      <c r="N914" s="79">
        <v>171093</v>
      </c>
      <c r="O914" s="80">
        <v>272.69</v>
      </c>
      <c r="P914" s="81"/>
      <c r="Q914" s="81">
        <v>49.084199999999996</v>
      </c>
      <c r="R914" s="80"/>
      <c r="S914" s="80">
        <v>0</v>
      </c>
      <c r="T914" s="82">
        <v>1214.82</v>
      </c>
      <c r="U914" s="77"/>
      <c r="V914" s="75"/>
      <c r="W914" s="77"/>
      <c r="X914" s="77"/>
      <c r="Y914" s="77"/>
      <c r="Z914" s="77" t="s">
        <v>455</v>
      </c>
      <c r="AA914" s="83" t="s">
        <v>765</v>
      </c>
      <c r="AB914" s="104" t="str">
        <f>IFERROR(VLOOKUP(Anexo_4[[#This Row],[cuenta]],OP,2,0),"-")</f>
        <v>Combustible (Vehiculos)</v>
      </c>
    </row>
    <row r="915" spans="1:28" s="84" customFormat="1" ht="27" customHeight="1" x14ac:dyDescent="0.3">
      <c r="A915" s="75" t="s">
        <v>2106</v>
      </c>
      <c r="B915" s="36" t="str">
        <f t="shared" si="14"/>
        <v>Julio</v>
      </c>
      <c r="C915" s="77" t="s">
        <v>162</v>
      </c>
      <c r="D915" s="77" t="s">
        <v>3109</v>
      </c>
      <c r="E91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915" s="79" t="s">
        <v>458</v>
      </c>
      <c r="G915" s="79" t="s">
        <v>459</v>
      </c>
      <c r="H915" s="140" t="s">
        <v>765</v>
      </c>
      <c r="I915" s="77" t="s">
        <v>452</v>
      </c>
      <c r="J915" s="144" t="s">
        <v>453</v>
      </c>
      <c r="K915" s="77" t="s">
        <v>169</v>
      </c>
      <c r="L915" s="103" t="str">
        <f>VLOOKUP(Anexo_4[[#This Row],[cod_doc]],TIPODOC,2,FALSE)</f>
        <v>FACTURA</v>
      </c>
      <c r="M915" s="77" t="s">
        <v>454</v>
      </c>
      <c r="N915" s="79">
        <v>171093</v>
      </c>
      <c r="O915" s="80">
        <v>25.78</v>
      </c>
      <c r="P915" s="81"/>
      <c r="Q915" s="81">
        <v>4.6403999999999996</v>
      </c>
      <c r="R915" s="80"/>
      <c r="S915" s="80">
        <v>0</v>
      </c>
      <c r="T915" s="82">
        <v>1214.82</v>
      </c>
      <c r="U915" s="77"/>
      <c r="V915" s="75"/>
      <c r="W915" s="77"/>
      <c r="X915" s="77"/>
      <c r="Y915" s="77"/>
      <c r="Z915" s="77" t="s">
        <v>455</v>
      </c>
      <c r="AA915" s="83" t="s">
        <v>765</v>
      </c>
      <c r="AB915" s="104" t="str">
        <f>IFERROR(VLOOKUP(Anexo_4[[#This Row],[cuenta]],OP,2,0),"-")</f>
        <v>Combustible (Vehiculos)</v>
      </c>
    </row>
    <row r="916" spans="1:28" s="84" customFormat="1" ht="27" customHeight="1" x14ac:dyDescent="0.3">
      <c r="A916" s="75" t="s">
        <v>3050</v>
      </c>
      <c r="B916" s="36" t="str">
        <f t="shared" si="14"/>
        <v>Julio</v>
      </c>
      <c r="C916" s="77" t="s">
        <v>162</v>
      </c>
      <c r="D916" s="77" t="s">
        <v>3110</v>
      </c>
      <c r="E91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916" s="79" t="s">
        <v>391</v>
      </c>
      <c r="G916" s="79" t="s">
        <v>392</v>
      </c>
      <c r="H916" s="140" t="s">
        <v>765</v>
      </c>
      <c r="I916" s="77" t="s">
        <v>452</v>
      </c>
      <c r="J916" s="144" t="s">
        <v>453</v>
      </c>
      <c r="K916" s="77" t="s">
        <v>169</v>
      </c>
      <c r="L916" s="103" t="str">
        <f>VLOOKUP(Anexo_4[[#This Row],[cod_doc]],TIPODOC,2,FALSE)</f>
        <v>FACTURA</v>
      </c>
      <c r="M916" s="77" t="s">
        <v>1056</v>
      </c>
      <c r="N916" s="79">
        <v>176050</v>
      </c>
      <c r="O916" s="80">
        <v>199.69</v>
      </c>
      <c r="P916" s="81"/>
      <c r="Q916" s="81">
        <v>35.944199999999995</v>
      </c>
      <c r="R916" s="80"/>
      <c r="S916" s="80">
        <v>0</v>
      </c>
      <c r="T916" s="82">
        <v>937.81</v>
      </c>
      <c r="U916" s="77"/>
      <c r="V916" s="75"/>
      <c r="W916" s="77"/>
      <c r="X916" s="77"/>
      <c r="Y916" s="77"/>
      <c r="Z916" s="77" t="s">
        <v>455</v>
      </c>
      <c r="AA916" s="83" t="s">
        <v>765</v>
      </c>
      <c r="AB916" s="104" t="str">
        <f>IFERROR(VLOOKUP(Anexo_4[[#This Row],[cuenta]],OP,2,0),"-")</f>
        <v>Combustible (Vehiculos)</v>
      </c>
    </row>
    <row r="917" spans="1:28" s="84" customFormat="1" ht="27" customHeight="1" x14ac:dyDescent="0.3">
      <c r="A917" s="75" t="s">
        <v>3050</v>
      </c>
      <c r="B917" s="36" t="str">
        <f t="shared" si="14"/>
        <v>Julio</v>
      </c>
      <c r="C917" s="77" t="s">
        <v>162</v>
      </c>
      <c r="D917" s="77" t="s">
        <v>3110</v>
      </c>
      <c r="E917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917" s="79" t="s">
        <v>217</v>
      </c>
      <c r="G917" s="79" t="s">
        <v>218</v>
      </c>
      <c r="H917" s="140" t="s">
        <v>765</v>
      </c>
      <c r="I917" s="77" t="s">
        <v>452</v>
      </c>
      <c r="J917" s="144" t="s">
        <v>453</v>
      </c>
      <c r="K917" s="77" t="s">
        <v>169</v>
      </c>
      <c r="L917" s="103" t="str">
        <f>VLOOKUP(Anexo_4[[#This Row],[cod_doc]],TIPODOC,2,FALSE)</f>
        <v>FACTURA</v>
      </c>
      <c r="M917" s="77" t="s">
        <v>1056</v>
      </c>
      <c r="N917" s="79">
        <v>176050</v>
      </c>
      <c r="O917" s="80">
        <v>595.05999999999995</v>
      </c>
      <c r="P917" s="81"/>
      <c r="Q917" s="81">
        <v>107.11079999999998</v>
      </c>
      <c r="R917" s="80"/>
      <c r="S917" s="80">
        <v>0</v>
      </c>
      <c r="T917" s="82">
        <v>937.81</v>
      </c>
      <c r="U917" s="77"/>
      <c r="V917" s="75"/>
      <c r="W917" s="77"/>
      <c r="X917" s="77"/>
      <c r="Y917" s="77"/>
      <c r="Z917" s="77" t="s">
        <v>455</v>
      </c>
      <c r="AA917" s="83" t="s">
        <v>765</v>
      </c>
      <c r="AB917" s="104" t="str">
        <f>IFERROR(VLOOKUP(Anexo_4[[#This Row],[cuenta]],OP,2,0),"-")</f>
        <v>Combustible (Vehiculos)</v>
      </c>
    </row>
    <row r="918" spans="1:28" s="84" customFormat="1" ht="27" customHeight="1" x14ac:dyDescent="0.3">
      <c r="A918" s="75" t="s">
        <v>2453</v>
      </c>
      <c r="B918" s="36" t="str">
        <f t="shared" si="14"/>
        <v>Julio</v>
      </c>
      <c r="C918" s="77" t="s">
        <v>162</v>
      </c>
      <c r="D918" s="77" t="s">
        <v>3111</v>
      </c>
      <c r="E918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918" s="79" t="s">
        <v>175</v>
      </c>
      <c r="G918" s="79" t="s">
        <v>176</v>
      </c>
      <c r="H918" s="140" t="s">
        <v>765</v>
      </c>
      <c r="I918" s="77" t="s">
        <v>452</v>
      </c>
      <c r="J918" s="144" t="s">
        <v>453</v>
      </c>
      <c r="K918" s="77" t="s">
        <v>169</v>
      </c>
      <c r="L918" s="103" t="str">
        <f>VLOOKUP(Anexo_4[[#This Row],[cod_doc]],TIPODOC,2,FALSE)</f>
        <v>FACTURA</v>
      </c>
      <c r="M918" s="77" t="s">
        <v>1056</v>
      </c>
      <c r="N918" s="79">
        <v>173626</v>
      </c>
      <c r="O918" s="80">
        <v>298.52</v>
      </c>
      <c r="P918" s="81"/>
      <c r="Q918" s="81">
        <v>53.733599999999996</v>
      </c>
      <c r="R918" s="80"/>
      <c r="S918" s="80">
        <v>0</v>
      </c>
      <c r="T918" s="82">
        <v>701.54</v>
      </c>
      <c r="U918" s="77"/>
      <c r="V918" s="75"/>
      <c r="W918" s="77"/>
      <c r="X918" s="77"/>
      <c r="Y918" s="77"/>
      <c r="Z918" s="77" t="s">
        <v>455</v>
      </c>
      <c r="AA918" s="83" t="s">
        <v>765</v>
      </c>
      <c r="AB918" s="104" t="str">
        <f>IFERROR(VLOOKUP(Anexo_4[[#This Row],[cuenta]],OP,2,0),"-")</f>
        <v>Combustible (Vehiculos)</v>
      </c>
    </row>
    <row r="919" spans="1:28" s="84" customFormat="1" ht="27" customHeight="1" x14ac:dyDescent="0.3">
      <c r="A919" s="75" t="s">
        <v>2453</v>
      </c>
      <c r="B919" s="36" t="str">
        <f t="shared" si="14"/>
        <v>Julio</v>
      </c>
      <c r="C919" s="77" t="s">
        <v>162</v>
      </c>
      <c r="D919" s="77" t="s">
        <v>3111</v>
      </c>
      <c r="E919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919" s="79" t="s">
        <v>217</v>
      </c>
      <c r="G919" s="79" t="s">
        <v>218</v>
      </c>
      <c r="H919" s="140" t="s">
        <v>765</v>
      </c>
      <c r="I919" s="77" t="s">
        <v>452</v>
      </c>
      <c r="J919" s="144" t="s">
        <v>453</v>
      </c>
      <c r="K919" s="77" t="s">
        <v>169</v>
      </c>
      <c r="L919" s="103" t="str">
        <f>VLOOKUP(Anexo_4[[#This Row],[cod_doc]],TIPODOC,2,FALSE)</f>
        <v>FACTURA</v>
      </c>
      <c r="M919" s="77" t="s">
        <v>1056</v>
      </c>
      <c r="N919" s="79">
        <v>173626</v>
      </c>
      <c r="O919" s="80">
        <v>296.01</v>
      </c>
      <c r="P919" s="81"/>
      <c r="Q919" s="81">
        <v>53.281799999999997</v>
      </c>
      <c r="R919" s="80"/>
      <c r="S919" s="80">
        <v>0</v>
      </c>
      <c r="T919" s="82">
        <v>701.54</v>
      </c>
      <c r="U919" s="77"/>
      <c r="V919" s="75"/>
      <c r="W919" s="77"/>
      <c r="X919" s="77"/>
      <c r="Y919" s="77"/>
      <c r="Z919" s="77" t="s">
        <v>455</v>
      </c>
      <c r="AA919" s="83" t="s">
        <v>765</v>
      </c>
      <c r="AB919" s="104" t="str">
        <f>IFERROR(VLOOKUP(Anexo_4[[#This Row],[cuenta]],OP,2,0),"-")</f>
        <v>Combustible (Vehiculos)</v>
      </c>
    </row>
    <row r="920" spans="1:28" s="84" customFormat="1" ht="27" customHeight="1" x14ac:dyDescent="0.3">
      <c r="A920" s="75" t="s">
        <v>2453</v>
      </c>
      <c r="B920" s="36" t="str">
        <f t="shared" si="14"/>
        <v>Julio</v>
      </c>
      <c r="C920" s="77" t="s">
        <v>162</v>
      </c>
      <c r="D920" s="77" t="s">
        <v>3112</v>
      </c>
      <c r="E920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920" s="79" t="s">
        <v>449</v>
      </c>
      <c r="G920" s="79" t="s">
        <v>450</v>
      </c>
      <c r="H920" s="140" t="s">
        <v>765</v>
      </c>
      <c r="I920" s="77" t="s">
        <v>452</v>
      </c>
      <c r="J920" s="144" t="s">
        <v>453</v>
      </c>
      <c r="K920" s="77" t="s">
        <v>169</v>
      </c>
      <c r="L920" s="103" t="str">
        <f>VLOOKUP(Anexo_4[[#This Row],[cod_doc]],TIPODOC,2,FALSE)</f>
        <v>FACTURA</v>
      </c>
      <c r="M920" s="77" t="s">
        <v>1056</v>
      </c>
      <c r="N920" s="79">
        <v>173605</v>
      </c>
      <c r="O920" s="80">
        <v>491.98</v>
      </c>
      <c r="P920" s="81"/>
      <c r="Q920" s="81">
        <v>88.556399999999996</v>
      </c>
      <c r="R920" s="80"/>
      <c r="S920" s="80">
        <v>0</v>
      </c>
      <c r="T920" s="82">
        <v>1060.45</v>
      </c>
      <c r="U920" s="77"/>
      <c r="V920" s="75"/>
      <c r="W920" s="77"/>
      <c r="X920" s="77"/>
      <c r="Y920" s="77"/>
      <c r="Z920" s="77" t="s">
        <v>455</v>
      </c>
      <c r="AA920" s="83" t="s">
        <v>765</v>
      </c>
      <c r="AB920" s="104" t="str">
        <f>IFERROR(VLOOKUP(Anexo_4[[#This Row],[cuenta]],OP,2,0),"-")</f>
        <v>Combustible (Vehiculos)</v>
      </c>
    </row>
    <row r="921" spans="1:28" s="84" customFormat="1" ht="27" customHeight="1" x14ac:dyDescent="0.3">
      <c r="A921" s="75" t="s">
        <v>2453</v>
      </c>
      <c r="B921" s="36" t="str">
        <f t="shared" si="14"/>
        <v>Julio</v>
      </c>
      <c r="C921" s="77" t="s">
        <v>162</v>
      </c>
      <c r="D921" s="77" t="s">
        <v>3112</v>
      </c>
      <c r="E92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921" s="79" t="s">
        <v>456</v>
      </c>
      <c r="G921" s="79" t="s">
        <v>457</v>
      </c>
      <c r="H921" s="140" t="s">
        <v>765</v>
      </c>
      <c r="I921" s="77" t="s">
        <v>452</v>
      </c>
      <c r="J921" s="144" t="s">
        <v>453</v>
      </c>
      <c r="K921" s="77" t="s">
        <v>169</v>
      </c>
      <c r="L921" s="103" t="str">
        <f>VLOOKUP(Anexo_4[[#This Row],[cod_doc]],TIPODOC,2,FALSE)</f>
        <v>FACTURA</v>
      </c>
      <c r="M921" s="77" t="s">
        <v>1056</v>
      </c>
      <c r="N921" s="79">
        <v>173605</v>
      </c>
      <c r="O921" s="80">
        <v>134.47999999999999</v>
      </c>
      <c r="P921" s="81"/>
      <c r="Q921" s="81">
        <v>24.206399999999999</v>
      </c>
      <c r="R921" s="80"/>
      <c r="S921" s="80">
        <v>0</v>
      </c>
      <c r="T921" s="82">
        <v>1060.45</v>
      </c>
      <c r="U921" s="77"/>
      <c r="V921" s="75"/>
      <c r="W921" s="77"/>
      <c r="X921" s="77"/>
      <c r="Y921" s="77"/>
      <c r="Z921" s="77" t="s">
        <v>455</v>
      </c>
      <c r="AA921" s="83" t="s">
        <v>765</v>
      </c>
      <c r="AB921" s="104" t="str">
        <f>IFERROR(VLOOKUP(Anexo_4[[#This Row],[cuenta]],OP,2,0),"-")</f>
        <v>Combustible (Vehiculos)</v>
      </c>
    </row>
    <row r="922" spans="1:28" s="84" customFormat="1" ht="27" customHeight="1" x14ac:dyDescent="0.3">
      <c r="A922" s="75" t="s">
        <v>2453</v>
      </c>
      <c r="B922" s="36" t="str">
        <f t="shared" si="14"/>
        <v>Julio</v>
      </c>
      <c r="C922" s="77" t="s">
        <v>162</v>
      </c>
      <c r="D922" s="77" t="s">
        <v>3112</v>
      </c>
      <c r="E92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922" s="79" t="s">
        <v>235</v>
      </c>
      <c r="G922" s="79" t="s">
        <v>236</v>
      </c>
      <c r="H922" s="140" t="s">
        <v>765</v>
      </c>
      <c r="I922" s="77" t="s">
        <v>452</v>
      </c>
      <c r="J922" s="144" t="s">
        <v>453</v>
      </c>
      <c r="K922" s="77" t="s">
        <v>169</v>
      </c>
      <c r="L922" s="103" t="str">
        <f>VLOOKUP(Anexo_4[[#This Row],[cod_doc]],TIPODOC,2,FALSE)</f>
        <v>FACTURA</v>
      </c>
      <c r="M922" s="77" t="s">
        <v>1056</v>
      </c>
      <c r="N922" s="79">
        <v>173605</v>
      </c>
      <c r="O922" s="80">
        <v>239.25</v>
      </c>
      <c r="P922" s="81"/>
      <c r="Q922" s="81">
        <v>43.064999999999998</v>
      </c>
      <c r="R922" s="80"/>
      <c r="S922" s="80">
        <v>0</v>
      </c>
      <c r="T922" s="82">
        <v>1060.45</v>
      </c>
      <c r="U922" s="77"/>
      <c r="V922" s="75"/>
      <c r="W922" s="77"/>
      <c r="X922" s="77"/>
      <c r="Y922" s="77"/>
      <c r="Z922" s="77" t="s">
        <v>455</v>
      </c>
      <c r="AA922" s="83" t="s">
        <v>765</v>
      </c>
      <c r="AB922" s="104" t="str">
        <f>IFERROR(VLOOKUP(Anexo_4[[#This Row],[cuenta]],OP,2,0),"-")</f>
        <v>Combustible (Vehiculos)</v>
      </c>
    </row>
    <row r="923" spans="1:28" s="84" customFormat="1" ht="27" customHeight="1" x14ac:dyDescent="0.3">
      <c r="A923" s="75" t="s">
        <v>2453</v>
      </c>
      <c r="B923" s="36" t="str">
        <f t="shared" si="14"/>
        <v>Julio</v>
      </c>
      <c r="C923" s="77" t="s">
        <v>162</v>
      </c>
      <c r="D923" s="77" t="s">
        <v>3112</v>
      </c>
      <c r="E923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923" s="79" t="s">
        <v>458</v>
      </c>
      <c r="G923" s="79" t="s">
        <v>459</v>
      </c>
      <c r="H923" s="140" t="s">
        <v>765</v>
      </c>
      <c r="I923" s="77" t="s">
        <v>452</v>
      </c>
      <c r="J923" s="144" t="s">
        <v>453</v>
      </c>
      <c r="K923" s="77" t="s">
        <v>169</v>
      </c>
      <c r="L923" s="103" t="str">
        <f>VLOOKUP(Anexo_4[[#This Row],[cod_doc]],TIPODOC,2,FALSE)</f>
        <v>FACTURA</v>
      </c>
      <c r="M923" s="77" t="s">
        <v>1056</v>
      </c>
      <c r="N923" s="79">
        <v>173605</v>
      </c>
      <c r="O923" s="80">
        <v>32.979999999999997</v>
      </c>
      <c r="P923" s="81"/>
      <c r="Q923" s="81">
        <v>5.936399999999999</v>
      </c>
      <c r="R923" s="80"/>
      <c r="S923" s="80">
        <v>0</v>
      </c>
      <c r="T923" s="82">
        <v>1060.45</v>
      </c>
      <c r="U923" s="77"/>
      <c r="V923" s="75"/>
      <c r="W923" s="77"/>
      <c r="X923" s="77"/>
      <c r="Y923" s="77"/>
      <c r="Z923" s="77" t="s">
        <v>455</v>
      </c>
      <c r="AA923" s="83" t="s">
        <v>765</v>
      </c>
      <c r="AB923" s="104" t="str">
        <f>IFERROR(VLOOKUP(Anexo_4[[#This Row],[cuenta]],OP,2,0),"-")</f>
        <v>Combustible (Vehiculos)</v>
      </c>
    </row>
    <row r="924" spans="1:28" s="84" customFormat="1" ht="27" customHeight="1" x14ac:dyDescent="0.3">
      <c r="A924" s="75" t="s">
        <v>2780</v>
      </c>
      <c r="B924" s="36" t="str">
        <f t="shared" si="14"/>
        <v>Julio</v>
      </c>
      <c r="C924" s="77" t="s">
        <v>162</v>
      </c>
      <c r="D924" s="77" t="s">
        <v>3113</v>
      </c>
      <c r="E924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924" s="79" t="s">
        <v>449</v>
      </c>
      <c r="G924" s="79" t="s">
        <v>450</v>
      </c>
      <c r="H924" s="140" t="s">
        <v>765</v>
      </c>
      <c r="I924" s="77" t="s">
        <v>452</v>
      </c>
      <c r="J924" s="144" t="s">
        <v>453</v>
      </c>
      <c r="K924" s="77" t="s">
        <v>169</v>
      </c>
      <c r="L924" s="103" t="str">
        <f>VLOOKUP(Anexo_4[[#This Row],[cod_doc]],TIPODOC,2,FALSE)</f>
        <v>FACTURA</v>
      </c>
      <c r="M924" s="77" t="s">
        <v>454</v>
      </c>
      <c r="N924" s="79">
        <v>173479</v>
      </c>
      <c r="O924" s="80">
        <v>492.17</v>
      </c>
      <c r="P924" s="81"/>
      <c r="Q924" s="81">
        <v>88.590599999999995</v>
      </c>
      <c r="R924" s="80"/>
      <c r="S924" s="80">
        <v>0</v>
      </c>
      <c r="T924" s="82">
        <v>1444.68</v>
      </c>
      <c r="U924" s="77"/>
      <c r="V924" s="75"/>
      <c r="W924" s="77"/>
      <c r="X924" s="77"/>
      <c r="Y924" s="77"/>
      <c r="Z924" s="77" t="s">
        <v>455</v>
      </c>
      <c r="AA924" s="83" t="s">
        <v>765</v>
      </c>
      <c r="AB924" s="104" t="str">
        <f>IFERROR(VLOOKUP(Anexo_4[[#This Row],[cuenta]],OP,2,0),"-")</f>
        <v>Combustible (Vehiculos)</v>
      </c>
    </row>
    <row r="925" spans="1:28" s="84" customFormat="1" ht="27" customHeight="1" x14ac:dyDescent="0.3">
      <c r="A925" s="75" t="s">
        <v>2780</v>
      </c>
      <c r="B925" s="36" t="str">
        <f t="shared" si="14"/>
        <v>Julio</v>
      </c>
      <c r="C925" s="77" t="s">
        <v>162</v>
      </c>
      <c r="D925" s="77" t="s">
        <v>3113</v>
      </c>
      <c r="E92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925" s="79" t="s">
        <v>456</v>
      </c>
      <c r="G925" s="79" t="s">
        <v>457</v>
      </c>
      <c r="H925" s="140" t="s">
        <v>765</v>
      </c>
      <c r="I925" s="77" t="s">
        <v>452</v>
      </c>
      <c r="J925" s="144" t="s">
        <v>453</v>
      </c>
      <c r="K925" s="77" t="s">
        <v>169</v>
      </c>
      <c r="L925" s="103" t="str">
        <f>VLOOKUP(Anexo_4[[#This Row],[cod_doc]],TIPODOC,2,FALSE)</f>
        <v>FACTURA</v>
      </c>
      <c r="M925" s="77" t="s">
        <v>454</v>
      </c>
      <c r="N925" s="79">
        <v>173479</v>
      </c>
      <c r="O925" s="80">
        <v>296.31</v>
      </c>
      <c r="P925" s="81"/>
      <c r="Q925" s="81">
        <v>53.335799999999999</v>
      </c>
      <c r="R925" s="80"/>
      <c r="S925" s="80">
        <v>0</v>
      </c>
      <c r="T925" s="82">
        <v>1444.68</v>
      </c>
      <c r="U925" s="77"/>
      <c r="V925" s="75"/>
      <c r="W925" s="77"/>
      <c r="X925" s="77"/>
      <c r="Y925" s="77"/>
      <c r="Z925" s="77" t="s">
        <v>455</v>
      </c>
      <c r="AA925" s="83" t="s">
        <v>765</v>
      </c>
      <c r="AB925" s="104" t="str">
        <f>IFERROR(VLOOKUP(Anexo_4[[#This Row],[cuenta]],OP,2,0),"-")</f>
        <v>Combustible (Vehiculos)</v>
      </c>
    </row>
    <row r="926" spans="1:28" s="84" customFormat="1" ht="27" customHeight="1" x14ac:dyDescent="0.3">
      <c r="A926" s="75" t="s">
        <v>2780</v>
      </c>
      <c r="B926" s="36" t="str">
        <f t="shared" si="14"/>
        <v>Julio</v>
      </c>
      <c r="C926" s="77" t="s">
        <v>162</v>
      </c>
      <c r="D926" s="77" t="s">
        <v>3113</v>
      </c>
      <c r="E92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926" s="79" t="s">
        <v>235</v>
      </c>
      <c r="G926" s="79" t="s">
        <v>236</v>
      </c>
      <c r="H926" s="140" t="s">
        <v>765</v>
      </c>
      <c r="I926" s="77" t="s">
        <v>452</v>
      </c>
      <c r="J926" s="144" t="s">
        <v>453</v>
      </c>
      <c r="K926" s="77" t="s">
        <v>169</v>
      </c>
      <c r="L926" s="103" t="str">
        <f>VLOOKUP(Anexo_4[[#This Row],[cod_doc]],TIPODOC,2,FALSE)</f>
        <v>FACTURA</v>
      </c>
      <c r="M926" s="77" t="s">
        <v>454</v>
      </c>
      <c r="N926" s="79">
        <v>173479</v>
      </c>
      <c r="O926" s="80">
        <v>365.41</v>
      </c>
      <c r="P926" s="81"/>
      <c r="Q926" s="81">
        <v>65.773800000000008</v>
      </c>
      <c r="R926" s="80"/>
      <c r="S926" s="80">
        <v>0</v>
      </c>
      <c r="T926" s="82">
        <v>1444.68</v>
      </c>
      <c r="U926" s="77"/>
      <c r="V926" s="75"/>
      <c r="W926" s="77"/>
      <c r="X926" s="77"/>
      <c r="Y926" s="77"/>
      <c r="Z926" s="77" t="s">
        <v>455</v>
      </c>
      <c r="AA926" s="83" t="s">
        <v>765</v>
      </c>
      <c r="AB926" s="104" t="str">
        <f>IFERROR(VLOOKUP(Anexo_4[[#This Row],[cuenta]],OP,2,0),"-")</f>
        <v>Combustible (Vehiculos)</v>
      </c>
    </row>
    <row r="927" spans="1:28" s="84" customFormat="1" ht="27" customHeight="1" x14ac:dyDescent="0.3">
      <c r="A927" s="75" t="s">
        <v>2780</v>
      </c>
      <c r="B927" s="36" t="str">
        <f t="shared" si="14"/>
        <v>Julio</v>
      </c>
      <c r="C927" s="77" t="s">
        <v>162</v>
      </c>
      <c r="D927" s="77" t="s">
        <v>3113</v>
      </c>
      <c r="E927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927" s="79" t="s">
        <v>458</v>
      </c>
      <c r="G927" s="79" t="s">
        <v>459</v>
      </c>
      <c r="H927" s="140" t="s">
        <v>765</v>
      </c>
      <c r="I927" s="77" t="s">
        <v>452</v>
      </c>
      <c r="J927" s="144" t="s">
        <v>453</v>
      </c>
      <c r="K927" s="77" t="s">
        <v>169</v>
      </c>
      <c r="L927" s="103" t="str">
        <f>VLOOKUP(Anexo_4[[#This Row],[cod_doc]],TIPODOC,2,FALSE)</f>
        <v>FACTURA</v>
      </c>
      <c r="M927" s="77" t="s">
        <v>454</v>
      </c>
      <c r="N927" s="79">
        <v>173479</v>
      </c>
      <c r="O927" s="80">
        <v>70.42</v>
      </c>
      <c r="P927" s="81"/>
      <c r="Q927" s="81">
        <v>12.675599999999999</v>
      </c>
      <c r="R927" s="80"/>
      <c r="S927" s="80">
        <v>0</v>
      </c>
      <c r="T927" s="82">
        <v>1444.68</v>
      </c>
      <c r="U927" s="77"/>
      <c r="V927" s="75"/>
      <c r="W927" s="77"/>
      <c r="X927" s="77"/>
      <c r="Y927" s="77"/>
      <c r="Z927" s="77" t="s">
        <v>455</v>
      </c>
      <c r="AA927" s="83" t="s">
        <v>765</v>
      </c>
      <c r="AB927" s="104" t="str">
        <f>IFERROR(VLOOKUP(Anexo_4[[#This Row],[cuenta]],OP,2,0),"-")</f>
        <v>Combustible (Vehiculos)</v>
      </c>
    </row>
    <row r="928" spans="1:28" s="84" customFormat="1" ht="27" customHeight="1" x14ac:dyDescent="0.3">
      <c r="A928" s="75" t="s">
        <v>2564</v>
      </c>
      <c r="B928" s="36" t="str">
        <f t="shared" si="14"/>
        <v>Julio</v>
      </c>
      <c r="C928" s="77" t="s">
        <v>162</v>
      </c>
      <c r="D928" s="77" t="s">
        <v>3114</v>
      </c>
      <c r="E928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928" s="79" t="s">
        <v>355</v>
      </c>
      <c r="G928" s="79" t="s">
        <v>356</v>
      </c>
      <c r="H928" s="140" t="s">
        <v>3115</v>
      </c>
      <c r="I928" s="77" t="s">
        <v>3116</v>
      </c>
      <c r="J928" s="144" t="s">
        <v>3117</v>
      </c>
      <c r="K928" s="77" t="s">
        <v>239</v>
      </c>
      <c r="L928" s="103" t="str">
        <f>VLOOKUP(Anexo_4[[#This Row],[cod_doc]],TIPODOC,2,FALSE)</f>
        <v>BOLETA DE VENTA</v>
      </c>
      <c r="M928" s="77">
        <v>2000</v>
      </c>
      <c r="N928" s="79">
        <v>499</v>
      </c>
      <c r="O928" s="80"/>
      <c r="P928" s="81"/>
      <c r="Q928" s="81"/>
      <c r="R928" s="80"/>
      <c r="S928" s="80">
        <v>12</v>
      </c>
      <c r="T928" s="82">
        <v>12</v>
      </c>
      <c r="U928" s="77"/>
      <c r="V928" s="75"/>
      <c r="W928" s="77"/>
      <c r="X928" s="77"/>
      <c r="Y928" s="77"/>
      <c r="Z928" s="77" t="s">
        <v>361</v>
      </c>
      <c r="AA928" s="83" t="s">
        <v>3115</v>
      </c>
      <c r="AB928" s="104" t="str">
        <f>IFERROR(VLOOKUP(Anexo_4[[#This Row],[cuenta]],OP,2,0),"-")</f>
        <v>Alimentacion (Operativo)</v>
      </c>
    </row>
    <row r="929" spans="1:28" s="84" customFormat="1" ht="27" customHeight="1" x14ac:dyDescent="0.3">
      <c r="A929" s="75" t="s">
        <v>1780</v>
      </c>
      <c r="B929" s="36" t="str">
        <f t="shared" si="14"/>
        <v>Julio</v>
      </c>
      <c r="C929" s="77" t="s">
        <v>162</v>
      </c>
      <c r="D929" s="77" t="s">
        <v>3118</v>
      </c>
      <c r="E929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929" s="79" t="s">
        <v>175</v>
      </c>
      <c r="G929" s="79" t="s">
        <v>176</v>
      </c>
      <c r="H929" s="140" t="s">
        <v>3119</v>
      </c>
      <c r="I929" s="77" t="s">
        <v>3120</v>
      </c>
      <c r="J929" s="144" t="s">
        <v>3121</v>
      </c>
      <c r="K929" s="77" t="s">
        <v>239</v>
      </c>
      <c r="L929" s="103" t="str">
        <f>VLOOKUP(Anexo_4[[#This Row],[cod_doc]],TIPODOC,2,FALSE)</f>
        <v>BOLETA DE VENTA</v>
      </c>
      <c r="M929" s="77" t="s">
        <v>162</v>
      </c>
      <c r="N929" s="79">
        <v>60667</v>
      </c>
      <c r="O929" s="80"/>
      <c r="P929" s="81"/>
      <c r="Q929" s="81"/>
      <c r="R929" s="80"/>
      <c r="S929" s="80">
        <v>35</v>
      </c>
      <c r="T929" s="82">
        <v>35</v>
      </c>
      <c r="U929" s="77"/>
      <c r="V929" s="75"/>
      <c r="W929" s="77"/>
      <c r="X929" s="77"/>
      <c r="Y929" s="77" t="s">
        <v>3122</v>
      </c>
      <c r="Z929" s="77" t="s">
        <v>507</v>
      </c>
      <c r="AA929" s="83" t="s">
        <v>3119</v>
      </c>
      <c r="AB929" s="104" t="str">
        <f>IFERROR(VLOOKUP(Anexo_4[[#This Row],[cuenta]],OP,2,0),"-")</f>
        <v>Transporte lavado (Higienización)</v>
      </c>
    </row>
    <row r="930" spans="1:28" s="84" customFormat="1" ht="27" customHeight="1" x14ac:dyDescent="0.3">
      <c r="A930" s="75" t="s">
        <v>2675</v>
      </c>
      <c r="B930" s="36" t="str">
        <f t="shared" si="14"/>
        <v>Julio</v>
      </c>
      <c r="C930" s="77" t="s">
        <v>162</v>
      </c>
      <c r="D930" s="77" t="s">
        <v>3123</v>
      </c>
      <c r="E930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930" s="79" t="s">
        <v>175</v>
      </c>
      <c r="G930" s="79" t="s">
        <v>176</v>
      </c>
      <c r="H930" s="140" t="s">
        <v>3124</v>
      </c>
      <c r="I930" s="77" t="s">
        <v>3125</v>
      </c>
      <c r="J930" s="144" t="s">
        <v>3126</v>
      </c>
      <c r="K930" s="77" t="s">
        <v>169</v>
      </c>
      <c r="L930" s="103" t="str">
        <f>VLOOKUP(Anexo_4[[#This Row],[cod_doc]],TIPODOC,2,FALSE)</f>
        <v>FACTURA</v>
      </c>
      <c r="M930" s="77" t="s">
        <v>222</v>
      </c>
      <c r="N930" s="79">
        <v>61894</v>
      </c>
      <c r="O930" s="80">
        <v>55.93</v>
      </c>
      <c r="P930" s="81"/>
      <c r="Q930" s="81">
        <v>10.067399999999999</v>
      </c>
      <c r="R930" s="80"/>
      <c r="S930" s="80">
        <v>0</v>
      </c>
      <c r="T930" s="82">
        <v>66</v>
      </c>
      <c r="U930" s="77"/>
      <c r="V930" s="75"/>
      <c r="W930" s="77"/>
      <c r="X930" s="77"/>
      <c r="Y930" s="77" t="s">
        <v>3127</v>
      </c>
      <c r="Z930" s="77" t="s">
        <v>3128</v>
      </c>
      <c r="AA930" s="83" t="s">
        <v>3124</v>
      </c>
      <c r="AB930" s="104" t="str">
        <f>IFERROR(VLOOKUP(Anexo_4[[#This Row],[cuenta]],OP,2,0),"-")</f>
        <v>Transporte parqueo (Cochera)</v>
      </c>
    </row>
    <row r="931" spans="1:28" s="84" customFormat="1" ht="27" customHeight="1" x14ac:dyDescent="0.3">
      <c r="A931" s="75" t="s">
        <v>2780</v>
      </c>
      <c r="B931" s="36" t="str">
        <f t="shared" si="14"/>
        <v>Julio</v>
      </c>
      <c r="C931" s="77" t="s">
        <v>162</v>
      </c>
      <c r="D931" s="77" t="s">
        <v>3129</v>
      </c>
      <c r="E93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931" s="79" t="s">
        <v>355</v>
      </c>
      <c r="G931" s="79" t="s">
        <v>356</v>
      </c>
      <c r="H931" s="140" t="s">
        <v>3130</v>
      </c>
      <c r="I931" s="77" t="s">
        <v>3131</v>
      </c>
      <c r="J931" s="144" t="s">
        <v>3132</v>
      </c>
      <c r="K931" s="77" t="s">
        <v>239</v>
      </c>
      <c r="L931" s="103" t="str">
        <f>VLOOKUP(Anexo_4[[#This Row],[cod_doc]],TIPODOC,2,FALSE)</f>
        <v>BOLETA DE VENTA</v>
      </c>
      <c r="M931" s="77" t="s">
        <v>162</v>
      </c>
      <c r="N931" s="79">
        <v>1018</v>
      </c>
      <c r="O931" s="80"/>
      <c r="P931" s="81"/>
      <c r="Q931" s="81"/>
      <c r="R931" s="80"/>
      <c r="S931" s="80">
        <v>12</v>
      </c>
      <c r="T931" s="82">
        <v>12</v>
      </c>
      <c r="U931" s="77"/>
      <c r="V931" s="75"/>
      <c r="W931" s="77"/>
      <c r="X931" s="77"/>
      <c r="Y931" s="77" t="s">
        <v>3133</v>
      </c>
      <c r="Z931" s="77" t="s">
        <v>361</v>
      </c>
      <c r="AA931" s="83" t="s">
        <v>3130</v>
      </c>
      <c r="AB931" s="104" t="str">
        <f>IFERROR(VLOOKUP(Anexo_4[[#This Row],[cuenta]],OP,2,0),"-")</f>
        <v>Alimentacion (Operativo)</v>
      </c>
    </row>
    <row r="932" spans="1:28" s="84" customFormat="1" ht="27" customHeight="1" x14ac:dyDescent="0.3">
      <c r="A932" s="75" t="s">
        <v>2675</v>
      </c>
      <c r="B932" s="36" t="str">
        <f t="shared" si="14"/>
        <v>Julio</v>
      </c>
      <c r="C932" s="77" t="s">
        <v>162</v>
      </c>
      <c r="D932" s="77" t="s">
        <v>3134</v>
      </c>
      <c r="E93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932" s="79" t="s">
        <v>175</v>
      </c>
      <c r="G932" s="79" t="s">
        <v>176</v>
      </c>
      <c r="H932" s="140" t="s">
        <v>3135</v>
      </c>
      <c r="I932" s="77" t="s">
        <v>3136</v>
      </c>
      <c r="J932" s="144" t="s">
        <v>3137</v>
      </c>
      <c r="K932" s="77" t="s">
        <v>169</v>
      </c>
      <c r="L932" s="103" t="str">
        <f>VLOOKUP(Anexo_4[[#This Row],[cod_doc]],TIPODOC,2,FALSE)</f>
        <v>FACTURA</v>
      </c>
      <c r="M932" s="77" t="s">
        <v>222</v>
      </c>
      <c r="N932" s="79">
        <v>1584</v>
      </c>
      <c r="O932" s="80">
        <v>10</v>
      </c>
      <c r="P932" s="81"/>
      <c r="Q932" s="81">
        <v>1.7999999999999998</v>
      </c>
      <c r="R932" s="80"/>
      <c r="S932" s="80">
        <v>0</v>
      </c>
      <c r="T932" s="82">
        <v>11.8</v>
      </c>
      <c r="U932" s="77"/>
      <c r="V932" s="75"/>
      <c r="W932" s="77"/>
      <c r="X932" s="77"/>
      <c r="Y932" s="77" t="s">
        <v>3138</v>
      </c>
      <c r="Z932" s="77" t="s">
        <v>386</v>
      </c>
      <c r="AA932" s="83" t="s">
        <v>3135</v>
      </c>
      <c r="AB932" s="104" t="str">
        <f>IFERROR(VLOOKUP(Anexo_4[[#This Row],[cuenta]],OP,2,0),"-")</f>
        <v>Balanza - Servicios</v>
      </c>
    </row>
    <row r="933" spans="1:28" s="84" customFormat="1" ht="27" customHeight="1" x14ac:dyDescent="0.3">
      <c r="A933" s="75" t="s">
        <v>2349</v>
      </c>
      <c r="B933" s="36" t="str">
        <f t="shared" si="14"/>
        <v>Julio</v>
      </c>
      <c r="C933" s="77" t="s">
        <v>162</v>
      </c>
      <c r="D933" s="77" t="s">
        <v>3139</v>
      </c>
      <c r="E933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933" s="79" t="s">
        <v>175</v>
      </c>
      <c r="G933" s="79" t="s">
        <v>176</v>
      </c>
      <c r="H933" s="140" t="s">
        <v>3140</v>
      </c>
      <c r="I933" s="77" t="s">
        <v>3141</v>
      </c>
      <c r="J933" s="144" t="s">
        <v>3142</v>
      </c>
      <c r="K933" s="77" t="s">
        <v>169</v>
      </c>
      <c r="L933" s="103" t="str">
        <f>VLOOKUP(Anexo_4[[#This Row],[cod_doc]],TIPODOC,2,FALSE)</f>
        <v>FACTURA</v>
      </c>
      <c r="M933" s="77" t="s">
        <v>180</v>
      </c>
      <c r="N933" s="79">
        <v>12701</v>
      </c>
      <c r="O933" s="80">
        <v>8.4700000000000006</v>
      </c>
      <c r="P933" s="81"/>
      <c r="Q933" s="81">
        <v>1.5246</v>
      </c>
      <c r="R933" s="80"/>
      <c r="S933" s="80">
        <v>0</v>
      </c>
      <c r="T933" s="82">
        <v>10</v>
      </c>
      <c r="U933" s="77"/>
      <c r="V933" s="75"/>
      <c r="W933" s="77"/>
      <c r="X933" s="77"/>
      <c r="Y933" s="77" t="s">
        <v>3143</v>
      </c>
      <c r="Z933" s="77" t="s">
        <v>386</v>
      </c>
      <c r="AA933" s="83" t="s">
        <v>3140</v>
      </c>
      <c r="AB933" s="104" t="str">
        <f>IFERROR(VLOOKUP(Anexo_4[[#This Row],[cuenta]],OP,2,0),"-")</f>
        <v>Balanza - Servicios</v>
      </c>
    </row>
    <row r="934" spans="1:28" s="84" customFormat="1" ht="27" customHeight="1" x14ac:dyDescent="0.3">
      <c r="A934" s="75" t="s">
        <v>2780</v>
      </c>
      <c r="B934" s="36" t="str">
        <f t="shared" si="14"/>
        <v>Julio</v>
      </c>
      <c r="C934" s="77" t="s">
        <v>162</v>
      </c>
      <c r="D934" s="77" t="s">
        <v>3144</v>
      </c>
      <c r="E934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934" s="79" t="s">
        <v>175</v>
      </c>
      <c r="G934" s="79" t="s">
        <v>176</v>
      </c>
      <c r="H934" s="140" t="s">
        <v>3145</v>
      </c>
      <c r="I934" s="77" t="s">
        <v>305</v>
      </c>
      <c r="J934" s="144" t="s">
        <v>306</v>
      </c>
      <c r="K934" s="77" t="s">
        <v>169</v>
      </c>
      <c r="L934" s="103" t="str">
        <f>VLOOKUP(Anexo_4[[#This Row],[cod_doc]],TIPODOC,2,FALSE)</f>
        <v>FACTURA</v>
      </c>
      <c r="M934" s="77" t="s">
        <v>343</v>
      </c>
      <c r="N934" s="79">
        <v>805263</v>
      </c>
      <c r="O934" s="80">
        <v>20</v>
      </c>
      <c r="P934" s="81"/>
      <c r="Q934" s="81">
        <v>3.5999999999999996</v>
      </c>
      <c r="R934" s="80"/>
      <c r="S934" s="80">
        <v>0</v>
      </c>
      <c r="T934" s="82">
        <v>23.6</v>
      </c>
      <c r="U934" s="77"/>
      <c r="V934" s="75"/>
      <c r="W934" s="77"/>
      <c r="X934" s="77"/>
      <c r="Y934" s="77" t="s">
        <v>3146</v>
      </c>
      <c r="Z934" s="77" t="s">
        <v>302</v>
      </c>
      <c r="AA934" s="83" t="s">
        <v>3145</v>
      </c>
      <c r="AB934" s="104" t="str">
        <f>IFERROR(VLOOKUP(Anexo_4[[#This Row],[cuenta]],OP,2,0),"-")</f>
        <v>Transporte peajes - Servicios</v>
      </c>
    </row>
    <row r="935" spans="1:28" s="84" customFormat="1" ht="27" customHeight="1" x14ac:dyDescent="0.3">
      <c r="A935" s="75" t="s">
        <v>2662</v>
      </c>
      <c r="B935" s="36" t="str">
        <f t="shared" si="14"/>
        <v>Julio</v>
      </c>
      <c r="C935" s="77" t="s">
        <v>162</v>
      </c>
      <c r="D935" s="77" t="s">
        <v>3147</v>
      </c>
      <c r="E93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935" s="79" t="s">
        <v>175</v>
      </c>
      <c r="G935" s="79" t="s">
        <v>176</v>
      </c>
      <c r="H935" s="140" t="s">
        <v>3148</v>
      </c>
      <c r="I935" s="77" t="s">
        <v>264</v>
      </c>
      <c r="J935" s="144" t="s">
        <v>265</v>
      </c>
      <c r="K935" s="77" t="s">
        <v>169</v>
      </c>
      <c r="L935" s="103" t="str">
        <f>VLOOKUP(Anexo_4[[#This Row],[cod_doc]],TIPODOC,2,FALSE)</f>
        <v>FACTURA</v>
      </c>
      <c r="M935" s="77" t="s">
        <v>379</v>
      </c>
      <c r="N935" s="79">
        <v>2123298</v>
      </c>
      <c r="O935" s="80">
        <v>10.17</v>
      </c>
      <c r="P935" s="81"/>
      <c r="Q935" s="81">
        <v>1.8306</v>
      </c>
      <c r="R935" s="80"/>
      <c r="S935" s="80">
        <v>0</v>
      </c>
      <c r="T935" s="82">
        <v>12</v>
      </c>
      <c r="U935" s="77"/>
      <c r="V935" s="75"/>
      <c r="W935" s="77"/>
      <c r="X935" s="77"/>
      <c r="Y935" s="77" t="s">
        <v>3149</v>
      </c>
      <c r="Z935" s="77" t="s">
        <v>302</v>
      </c>
      <c r="AA935" s="83" t="s">
        <v>3148</v>
      </c>
      <c r="AB935" s="104" t="str">
        <f>IFERROR(VLOOKUP(Anexo_4[[#This Row],[cuenta]],OP,2,0),"-")</f>
        <v>Transporte peajes - Servicios</v>
      </c>
    </row>
    <row r="936" spans="1:28" s="84" customFormat="1" ht="27" customHeight="1" x14ac:dyDescent="0.3">
      <c r="A936" s="75" t="s">
        <v>2662</v>
      </c>
      <c r="B936" s="36" t="str">
        <f t="shared" si="14"/>
        <v>Julio</v>
      </c>
      <c r="C936" s="77" t="s">
        <v>162</v>
      </c>
      <c r="D936" s="77" t="s">
        <v>3150</v>
      </c>
      <c r="E93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936" s="79" t="s">
        <v>175</v>
      </c>
      <c r="G936" s="79" t="s">
        <v>176</v>
      </c>
      <c r="H936" s="140" t="s">
        <v>3151</v>
      </c>
      <c r="I936" s="77" t="s">
        <v>264</v>
      </c>
      <c r="J936" s="144" t="s">
        <v>265</v>
      </c>
      <c r="K936" s="77" t="s">
        <v>169</v>
      </c>
      <c r="L936" s="103" t="str">
        <f>VLOOKUP(Anexo_4[[#This Row],[cod_doc]],TIPODOC,2,FALSE)</f>
        <v>FACTURA</v>
      </c>
      <c r="M936" s="77" t="s">
        <v>406</v>
      </c>
      <c r="N936" s="79">
        <v>2411585</v>
      </c>
      <c r="O936" s="80">
        <v>10.17</v>
      </c>
      <c r="P936" s="81"/>
      <c r="Q936" s="81">
        <v>1.8306</v>
      </c>
      <c r="R936" s="80"/>
      <c r="S936" s="80">
        <v>0</v>
      </c>
      <c r="T936" s="82">
        <v>12</v>
      </c>
      <c r="U936" s="77"/>
      <c r="V936" s="75"/>
      <c r="W936" s="77"/>
      <c r="X936" s="77"/>
      <c r="Y936" s="77" t="s">
        <v>3152</v>
      </c>
      <c r="Z936" s="77" t="s">
        <v>302</v>
      </c>
      <c r="AA936" s="83" t="s">
        <v>3151</v>
      </c>
      <c r="AB936" s="104" t="str">
        <f>IFERROR(VLOOKUP(Anexo_4[[#This Row],[cuenta]],OP,2,0),"-")</f>
        <v>Transporte peajes - Servicios</v>
      </c>
    </row>
    <row r="937" spans="1:28" s="84" customFormat="1" ht="27" customHeight="1" x14ac:dyDescent="0.3">
      <c r="A937" s="75" t="s">
        <v>2662</v>
      </c>
      <c r="B937" s="36" t="str">
        <f t="shared" si="14"/>
        <v>Julio</v>
      </c>
      <c r="C937" s="77" t="s">
        <v>162</v>
      </c>
      <c r="D937" s="77" t="s">
        <v>3153</v>
      </c>
      <c r="E937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937" s="79" t="s">
        <v>175</v>
      </c>
      <c r="G937" s="79" t="s">
        <v>176</v>
      </c>
      <c r="H937" s="140" t="s">
        <v>3154</v>
      </c>
      <c r="I937" s="77" t="s">
        <v>264</v>
      </c>
      <c r="J937" s="144" t="s">
        <v>265</v>
      </c>
      <c r="K937" s="77" t="s">
        <v>169</v>
      </c>
      <c r="L937" s="103" t="str">
        <f>VLOOKUP(Anexo_4[[#This Row],[cod_doc]],TIPODOC,2,FALSE)</f>
        <v>FACTURA</v>
      </c>
      <c r="M937" s="77" t="s">
        <v>352</v>
      </c>
      <c r="N937" s="79">
        <v>1814296</v>
      </c>
      <c r="O937" s="80">
        <v>10.17</v>
      </c>
      <c r="P937" s="81"/>
      <c r="Q937" s="81">
        <v>1.8306</v>
      </c>
      <c r="R937" s="80"/>
      <c r="S937" s="80">
        <v>0</v>
      </c>
      <c r="T937" s="82">
        <v>12</v>
      </c>
      <c r="U937" s="77"/>
      <c r="V937" s="75"/>
      <c r="W937" s="77"/>
      <c r="X937" s="77"/>
      <c r="Y937" s="77" t="s">
        <v>3155</v>
      </c>
      <c r="Z937" s="77" t="s">
        <v>302</v>
      </c>
      <c r="AA937" s="83" t="s">
        <v>3154</v>
      </c>
      <c r="AB937" s="104" t="str">
        <f>IFERROR(VLOOKUP(Anexo_4[[#This Row],[cuenta]],OP,2,0),"-")</f>
        <v>Transporte peajes - Servicios</v>
      </c>
    </row>
    <row r="938" spans="1:28" s="84" customFormat="1" ht="27" customHeight="1" x14ac:dyDescent="0.3">
      <c r="A938" s="75" t="s">
        <v>3050</v>
      </c>
      <c r="B938" s="36" t="str">
        <f t="shared" si="14"/>
        <v>Julio</v>
      </c>
      <c r="C938" s="77" t="s">
        <v>162</v>
      </c>
      <c r="D938" s="77" t="s">
        <v>3156</v>
      </c>
      <c r="E938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938" s="79" t="s">
        <v>175</v>
      </c>
      <c r="G938" s="79" t="s">
        <v>176</v>
      </c>
      <c r="H938" s="140" t="s">
        <v>3157</v>
      </c>
      <c r="I938" s="77" t="s">
        <v>264</v>
      </c>
      <c r="J938" s="144" t="s">
        <v>265</v>
      </c>
      <c r="K938" s="77" t="s">
        <v>169</v>
      </c>
      <c r="L938" s="103" t="str">
        <f>VLOOKUP(Anexo_4[[#This Row],[cod_doc]],TIPODOC,2,FALSE)</f>
        <v>FACTURA</v>
      </c>
      <c r="M938" s="77" t="s">
        <v>406</v>
      </c>
      <c r="N938" s="79">
        <v>2417743</v>
      </c>
      <c r="O938" s="80">
        <v>10.17</v>
      </c>
      <c r="P938" s="81"/>
      <c r="Q938" s="81">
        <v>1.8306</v>
      </c>
      <c r="R938" s="80"/>
      <c r="S938" s="80">
        <v>0</v>
      </c>
      <c r="T938" s="82">
        <v>12</v>
      </c>
      <c r="U938" s="77"/>
      <c r="V938" s="75"/>
      <c r="W938" s="77"/>
      <c r="X938" s="77"/>
      <c r="Y938" s="77" t="s">
        <v>3158</v>
      </c>
      <c r="Z938" s="77" t="s">
        <v>302</v>
      </c>
      <c r="AA938" s="83" t="s">
        <v>3157</v>
      </c>
      <c r="AB938" s="104" t="str">
        <f>IFERROR(VLOOKUP(Anexo_4[[#This Row],[cuenta]],OP,2,0),"-")</f>
        <v>Transporte peajes - Servicios</v>
      </c>
    </row>
    <row r="939" spans="1:28" s="84" customFormat="1" ht="27" customHeight="1" x14ac:dyDescent="0.3">
      <c r="A939" s="75" t="s">
        <v>3050</v>
      </c>
      <c r="B939" s="36" t="str">
        <f t="shared" si="14"/>
        <v>Julio</v>
      </c>
      <c r="C939" s="77" t="s">
        <v>162</v>
      </c>
      <c r="D939" s="77" t="s">
        <v>3159</v>
      </c>
      <c r="E939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939" s="79" t="s">
        <v>175</v>
      </c>
      <c r="G939" s="79" t="s">
        <v>176</v>
      </c>
      <c r="H939" s="140" t="s">
        <v>3160</v>
      </c>
      <c r="I939" s="77" t="s">
        <v>264</v>
      </c>
      <c r="J939" s="144" t="s">
        <v>265</v>
      </c>
      <c r="K939" s="77" t="s">
        <v>169</v>
      </c>
      <c r="L939" s="103" t="str">
        <f>VLOOKUP(Anexo_4[[#This Row],[cod_doc]],TIPODOC,2,FALSE)</f>
        <v>FACTURA</v>
      </c>
      <c r="M939" s="77" t="s">
        <v>379</v>
      </c>
      <c r="N939" s="79">
        <v>2129252</v>
      </c>
      <c r="O939" s="80">
        <v>10.17</v>
      </c>
      <c r="P939" s="81"/>
      <c r="Q939" s="81">
        <v>1.8306</v>
      </c>
      <c r="R939" s="80"/>
      <c r="S939" s="80">
        <v>0</v>
      </c>
      <c r="T939" s="82">
        <v>12</v>
      </c>
      <c r="U939" s="77"/>
      <c r="V939" s="75"/>
      <c r="W939" s="77"/>
      <c r="X939" s="77"/>
      <c r="Y939" s="77" t="s">
        <v>3161</v>
      </c>
      <c r="Z939" s="77" t="s">
        <v>302</v>
      </c>
      <c r="AA939" s="83" t="s">
        <v>3160</v>
      </c>
      <c r="AB939" s="104" t="str">
        <f>IFERROR(VLOOKUP(Anexo_4[[#This Row],[cuenta]],OP,2,0),"-")</f>
        <v>Transporte peajes - Servicios</v>
      </c>
    </row>
    <row r="940" spans="1:28" s="84" customFormat="1" ht="27" customHeight="1" x14ac:dyDescent="0.3">
      <c r="A940" s="75" t="s">
        <v>2662</v>
      </c>
      <c r="B940" s="36" t="str">
        <f t="shared" si="14"/>
        <v>Julio</v>
      </c>
      <c r="C940" s="77" t="s">
        <v>162</v>
      </c>
      <c r="D940" s="77" t="s">
        <v>3162</v>
      </c>
      <c r="E940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940" s="79" t="s">
        <v>175</v>
      </c>
      <c r="G940" s="79" t="s">
        <v>176</v>
      </c>
      <c r="H940" s="140" t="s">
        <v>3163</v>
      </c>
      <c r="I940" s="77" t="s">
        <v>264</v>
      </c>
      <c r="J940" s="144" t="s">
        <v>265</v>
      </c>
      <c r="K940" s="77" t="s">
        <v>169</v>
      </c>
      <c r="L940" s="103" t="str">
        <f>VLOOKUP(Anexo_4[[#This Row],[cod_doc]],TIPODOC,2,FALSE)</f>
        <v>FACTURA</v>
      </c>
      <c r="M940" s="77" t="s">
        <v>406</v>
      </c>
      <c r="N940" s="79">
        <v>2410692</v>
      </c>
      <c r="O940" s="80">
        <v>10.17</v>
      </c>
      <c r="P940" s="81"/>
      <c r="Q940" s="81">
        <v>1.8306</v>
      </c>
      <c r="R940" s="80"/>
      <c r="S940" s="80">
        <v>0</v>
      </c>
      <c r="T940" s="82">
        <v>12</v>
      </c>
      <c r="U940" s="77"/>
      <c r="V940" s="75"/>
      <c r="W940" s="77"/>
      <c r="X940" s="77"/>
      <c r="Y940" s="77" t="s">
        <v>3164</v>
      </c>
      <c r="Z940" s="77" t="s">
        <v>302</v>
      </c>
      <c r="AA940" s="83" t="s">
        <v>3163</v>
      </c>
      <c r="AB940" s="104" t="str">
        <f>IFERROR(VLOOKUP(Anexo_4[[#This Row],[cuenta]],OP,2,0),"-")</f>
        <v>Transporte peajes - Servicios</v>
      </c>
    </row>
    <row r="941" spans="1:28" s="84" customFormat="1" ht="27" customHeight="1" x14ac:dyDescent="0.3">
      <c r="A941" s="75" t="s">
        <v>2837</v>
      </c>
      <c r="B941" s="36" t="str">
        <f t="shared" si="14"/>
        <v>Julio</v>
      </c>
      <c r="C941" s="77" t="s">
        <v>162</v>
      </c>
      <c r="D941" s="77" t="s">
        <v>3165</v>
      </c>
      <c r="E94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941" s="79" t="s">
        <v>175</v>
      </c>
      <c r="G941" s="79" t="s">
        <v>176</v>
      </c>
      <c r="H941" s="140" t="s">
        <v>3166</v>
      </c>
      <c r="I941" s="77" t="s">
        <v>264</v>
      </c>
      <c r="J941" s="144" t="s">
        <v>265</v>
      </c>
      <c r="K941" s="77" t="s">
        <v>169</v>
      </c>
      <c r="L941" s="103" t="str">
        <f>VLOOKUP(Anexo_4[[#This Row],[cod_doc]],TIPODOC,2,FALSE)</f>
        <v>FACTURA</v>
      </c>
      <c r="M941" s="77" t="s">
        <v>352</v>
      </c>
      <c r="N941" s="79">
        <v>1813101</v>
      </c>
      <c r="O941" s="80">
        <v>10.17</v>
      </c>
      <c r="P941" s="81"/>
      <c r="Q941" s="81">
        <v>1.8306</v>
      </c>
      <c r="R941" s="80"/>
      <c r="S941" s="80">
        <v>0</v>
      </c>
      <c r="T941" s="82">
        <v>12</v>
      </c>
      <c r="U941" s="77"/>
      <c r="V941" s="75"/>
      <c r="W941" s="77"/>
      <c r="X941" s="77"/>
      <c r="Y941" s="77" t="s">
        <v>3167</v>
      </c>
      <c r="Z941" s="77" t="s">
        <v>268</v>
      </c>
      <c r="AA941" s="83" t="s">
        <v>3166</v>
      </c>
      <c r="AB941" s="104" t="str">
        <f>IFERROR(VLOOKUP(Anexo_4[[#This Row],[cuenta]],OP,2,0),"-")</f>
        <v>Transporte peajes - Ventas</v>
      </c>
    </row>
    <row r="942" spans="1:28" s="84" customFormat="1" ht="27" customHeight="1" x14ac:dyDescent="0.3">
      <c r="A942" s="75" t="s">
        <v>2837</v>
      </c>
      <c r="B942" s="36" t="str">
        <f t="shared" si="14"/>
        <v>Julio</v>
      </c>
      <c r="C942" s="77" t="s">
        <v>162</v>
      </c>
      <c r="D942" s="77" t="s">
        <v>3168</v>
      </c>
      <c r="E94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942" s="79" t="s">
        <v>175</v>
      </c>
      <c r="G942" s="79" t="s">
        <v>176</v>
      </c>
      <c r="H942" s="140" t="s">
        <v>3169</v>
      </c>
      <c r="I942" s="77" t="s">
        <v>264</v>
      </c>
      <c r="J942" s="144" t="s">
        <v>265</v>
      </c>
      <c r="K942" s="77" t="s">
        <v>169</v>
      </c>
      <c r="L942" s="103" t="str">
        <f>VLOOKUP(Anexo_4[[#This Row],[cod_doc]],TIPODOC,2,FALSE)</f>
        <v>FACTURA</v>
      </c>
      <c r="M942" s="77" t="s">
        <v>406</v>
      </c>
      <c r="N942" s="79">
        <v>2409485</v>
      </c>
      <c r="O942" s="80">
        <v>10.17</v>
      </c>
      <c r="P942" s="81"/>
      <c r="Q942" s="81">
        <v>1.8306</v>
      </c>
      <c r="R942" s="80"/>
      <c r="S942" s="80">
        <v>0</v>
      </c>
      <c r="T942" s="82">
        <v>12</v>
      </c>
      <c r="U942" s="77"/>
      <c r="V942" s="75"/>
      <c r="W942" s="77"/>
      <c r="X942" s="77"/>
      <c r="Y942" s="77" t="s">
        <v>3170</v>
      </c>
      <c r="Z942" s="77" t="s">
        <v>268</v>
      </c>
      <c r="AA942" s="83" t="s">
        <v>3169</v>
      </c>
      <c r="AB942" s="104" t="str">
        <f>IFERROR(VLOOKUP(Anexo_4[[#This Row],[cuenta]],OP,2,0),"-")</f>
        <v>Transporte peajes - Ventas</v>
      </c>
    </row>
    <row r="943" spans="1:28" s="84" customFormat="1" ht="27" customHeight="1" x14ac:dyDescent="0.3">
      <c r="A943" s="75" t="s">
        <v>2780</v>
      </c>
      <c r="B943" s="36" t="str">
        <f t="shared" si="14"/>
        <v>Julio</v>
      </c>
      <c r="C943" s="77" t="s">
        <v>162</v>
      </c>
      <c r="D943" s="77" t="s">
        <v>3171</v>
      </c>
      <c r="E943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943" s="79" t="s">
        <v>175</v>
      </c>
      <c r="G943" s="79" t="s">
        <v>176</v>
      </c>
      <c r="H943" s="140" t="s">
        <v>3172</v>
      </c>
      <c r="I943" s="77" t="s">
        <v>264</v>
      </c>
      <c r="J943" s="144" t="s">
        <v>265</v>
      </c>
      <c r="K943" s="77" t="s">
        <v>169</v>
      </c>
      <c r="L943" s="103" t="str">
        <f>VLOOKUP(Anexo_4[[#This Row],[cod_doc]],TIPODOC,2,FALSE)</f>
        <v>FACTURA</v>
      </c>
      <c r="M943" s="77" t="s">
        <v>379</v>
      </c>
      <c r="N943" s="79">
        <v>2119405</v>
      </c>
      <c r="O943" s="80">
        <v>10.17</v>
      </c>
      <c r="P943" s="81"/>
      <c r="Q943" s="81">
        <v>1.8306</v>
      </c>
      <c r="R943" s="80"/>
      <c r="S943" s="80">
        <v>0</v>
      </c>
      <c r="T943" s="82">
        <v>12</v>
      </c>
      <c r="U943" s="77"/>
      <c r="V943" s="75"/>
      <c r="W943" s="77"/>
      <c r="X943" s="77"/>
      <c r="Y943" s="77" t="s">
        <v>3173</v>
      </c>
      <c r="Z943" s="77" t="s">
        <v>268</v>
      </c>
      <c r="AA943" s="83" t="s">
        <v>3172</v>
      </c>
      <c r="AB943" s="104" t="str">
        <f>IFERROR(VLOOKUP(Anexo_4[[#This Row],[cuenta]],OP,2,0),"-")</f>
        <v>Transporte peajes - Ventas</v>
      </c>
    </row>
    <row r="944" spans="1:28" s="84" customFormat="1" ht="27" customHeight="1" x14ac:dyDescent="0.3">
      <c r="A944" s="75" t="s">
        <v>2675</v>
      </c>
      <c r="B944" s="36" t="str">
        <f t="shared" si="14"/>
        <v>Julio</v>
      </c>
      <c r="C944" s="77" t="s">
        <v>162</v>
      </c>
      <c r="D944" s="77" t="s">
        <v>3174</v>
      </c>
      <c r="E944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944" s="79" t="s">
        <v>175</v>
      </c>
      <c r="G944" s="79" t="s">
        <v>176</v>
      </c>
      <c r="H944" s="140" t="s">
        <v>3175</v>
      </c>
      <c r="I944" s="77" t="s">
        <v>332</v>
      </c>
      <c r="J944" s="144" t="s">
        <v>333</v>
      </c>
      <c r="K944" s="77" t="s">
        <v>169</v>
      </c>
      <c r="L944" s="103" t="str">
        <f>VLOOKUP(Anexo_4[[#This Row],[cod_doc]],TIPODOC,2,FALSE)</f>
        <v>FACTURA</v>
      </c>
      <c r="M944" s="77" t="s">
        <v>3176</v>
      </c>
      <c r="N944" s="79">
        <v>1447</v>
      </c>
      <c r="O944" s="80"/>
      <c r="P944" s="81"/>
      <c r="Q944" s="81"/>
      <c r="R944" s="80"/>
      <c r="S944" s="80">
        <v>19.5</v>
      </c>
      <c r="T944" s="82">
        <v>19.5</v>
      </c>
      <c r="U944" s="77"/>
      <c r="V944" s="75"/>
      <c r="W944" s="77"/>
      <c r="X944" s="77"/>
      <c r="Y944" s="77" t="s">
        <v>3177</v>
      </c>
      <c r="Z944" s="77" t="s">
        <v>268</v>
      </c>
      <c r="AA944" s="83" t="s">
        <v>3175</v>
      </c>
      <c r="AB944" s="104" t="str">
        <f>IFERROR(VLOOKUP(Anexo_4[[#This Row],[cuenta]],OP,2,0),"-")</f>
        <v>Transporte peajes - Ventas</v>
      </c>
    </row>
    <row r="945" spans="1:28" s="84" customFormat="1" ht="27" customHeight="1" x14ac:dyDescent="0.3">
      <c r="A945" s="75" t="s">
        <v>2675</v>
      </c>
      <c r="B945" s="36" t="str">
        <f t="shared" si="14"/>
        <v>Julio</v>
      </c>
      <c r="C945" s="77" t="s">
        <v>162</v>
      </c>
      <c r="D945" s="77" t="s">
        <v>3178</v>
      </c>
      <c r="E94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945" s="79" t="s">
        <v>175</v>
      </c>
      <c r="G945" s="79" t="s">
        <v>176</v>
      </c>
      <c r="H945" s="140" t="s">
        <v>3179</v>
      </c>
      <c r="I945" s="77" t="s">
        <v>332</v>
      </c>
      <c r="J945" s="144" t="s">
        <v>333</v>
      </c>
      <c r="K945" s="77" t="s">
        <v>169</v>
      </c>
      <c r="L945" s="103" t="str">
        <f>VLOOKUP(Anexo_4[[#This Row],[cod_doc]],TIPODOC,2,FALSE)</f>
        <v>FACTURA</v>
      </c>
      <c r="M945" s="77" t="s">
        <v>3180</v>
      </c>
      <c r="N945" s="79">
        <v>8960</v>
      </c>
      <c r="O945" s="80"/>
      <c r="P945" s="81"/>
      <c r="Q945" s="81"/>
      <c r="R945" s="80"/>
      <c r="S945" s="80">
        <v>19.5</v>
      </c>
      <c r="T945" s="82">
        <v>19.5</v>
      </c>
      <c r="U945" s="77"/>
      <c r="V945" s="75"/>
      <c r="W945" s="77"/>
      <c r="X945" s="77"/>
      <c r="Y945" s="77" t="s">
        <v>3181</v>
      </c>
      <c r="Z945" s="77" t="s">
        <v>268</v>
      </c>
      <c r="AA945" s="83" t="s">
        <v>3179</v>
      </c>
      <c r="AB945" s="104" t="str">
        <f>IFERROR(VLOOKUP(Anexo_4[[#This Row],[cuenta]],OP,2,0),"-")</f>
        <v>Transporte peajes - Ventas</v>
      </c>
    </row>
    <row r="946" spans="1:28" s="84" customFormat="1" ht="27" customHeight="1" x14ac:dyDescent="0.3">
      <c r="A946" s="75" t="s">
        <v>2780</v>
      </c>
      <c r="B946" s="36" t="str">
        <f t="shared" si="14"/>
        <v>Julio</v>
      </c>
      <c r="C946" s="77" t="s">
        <v>162</v>
      </c>
      <c r="D946" s="77" t="s">
        <v>3182</v>
      </c>
      <c r="E94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946" s="79" t="s">
        <v>175</v>
      </c>
      <c r="G946" s="79" t="s">
        <v>176</v>
      </c>
      <c r="H946" s="140" t="s">
        <v>3183</v>
      </c>
      <c r="I946" s="77" t="s">
        <v>332</v>
      </c>
      <c r="J946" s="144" t="s">
        <v>333</v>
      </c>
      <c r="K946" s="77" t="s">
        <v>169</v>
      </c>
      <c r="L946" s="103" t="str">
        <f>VLOOKUP(Anexo_4[[#This Row],[cod_doc]],TIPODOC,2,FALSE)</f>
        <v>FACTURA</v>
      </c>
      <c r="M946" s="77" t="s">
        <v>3184</v>
      </c>
      <c r="N946" s="79">
        <v>6712</v>
      </c>
      <c r="O946" s="80"/>
      <c r="P946" s="81"/>
      <c r="Q946" s="81"/>
      <c r="R946" s="80"/>
      <c r="S946" s="80">
        <v>19.5</v>
      </c>
      <c r="T946" s="82">
        <v>19.5</v>
      </c>
      <c r="U946" s="77"/>
      <c r="V946" s="75"/>
      <c r="W946" s="77"/>
      <c r="X946" s="77"/>
      <c r="Y946" s="77" t="s">
        <v>3185</v>
      </c>
      <c r="Z946" s="77" t="s">
        <v>268</v>
      </c>
      <c r="AA946" s="83" t="s">
        <v>3183</v>
      </c>
      <c r="AB946" s="104" t="str">
        <f>IFERROR(VLOOKUP(Anexo_4[[#This Row],[cuenta]],OP,2,0),"-")</f>
        <v>Transporte peajes - Ventas</v>
      </c>
    </row>
    <row r="947" spans="1:28" s="84" customFormat="1" ht="27" customHeight="1" x14ac:dyDescent="0.3">
      <c r="A947" s="75" t="s">
        <v>2675</v>
      </c>
      <c r="B947" s="36" t="str">
        <f t="shared" si="14"/>
        <v>Julio</v>
      </c>
      <c r="C947" s="77" t="s">
        <v>162</v>
      </c>
      <c r="D947" s="77" t="s">
        <v>3186</v>
      </c>
      <c r="E947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947" s="79" t="s">
        <v>175</v>
      </c>
      <c r="G947" s="79" t="s">
        <v>176</v>
      </c>
      <c r="H947" s="140" t="s">
        <v>3187</v>
      </c>
      <c r="I947" s="77" t="s">
        <v>298</v>
      </c>
      <c r="J947" s="144" t="s">
        <v>299</v>
      </c>
      <c r="K947" s="77" t="s">
        <v>169</v>
      </c>
      <c r="L947" s="103" t="str">
        <f>VLOOKUP(Anexo_4[[#This Row],[cod_doc]],TIPODOC,2,FALSE)</f>
        <v>FACTURA</v>
      </c>
      <c r="M947" s="77" t="s">
        <v>3188</v>
      </c>
      <c r="N947" s="79">
        <v>2551615</v>
      </c>
      <c r="O947" s="80">
        <v>49.32</v>
      </c>
      <c r="P947" s="81"/>
      <c r="Q947" s="81">
        <v>8.8775999999999993</v>
      </c>
      <c r="R947" s="80"/>
      <c r="S947" s="80">
        <v>0</v>
      </c>
      <c r="T947" s="82">
        <v>58.2</v>
      </c>
      <c r="U947" s="77"/>
      <c r="V947" s="75"/>
      <c r="W947" s="77"/>
      <c r="X947" s="77"/>
      <c r="Y947" s="77" t="s">
        <v>3189</v>
      </c>
      <c r="Z947" s="77" t="s">
        <v>268</v>
      </c>
      <c r="AA947" s="83" t="s">
        <v>3187</v>
      </c>
      <c r="AB947" s="104" t="str">
        <f>IFERROR(VLOOKUP(Anexo_4[[#This Row],[cuenta]],OP,2,0),"-")</f>
        <v>Transporte peajes - Ventas</v>
      </c>
    </row>
    <row r="948" spans="1:28" s="84" customFormat="1" ht="27" customHeight="1" x14ac:dyDescent="0.3">
      <c r="A948" s="75" t="s">
        <v>2675</v>
      </c>
      <c r="B948" s="36" t="str">
        <f t="shared" si="14"/>
        <v>Julio</v>
      </c>
      <c r="C948" s="77" t="s">
        <v>162</v>
      </c>
      <c r="D948" s="77" t="s">
        <v>3190</v>
      </c>
      <c r="E948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948" s="79" t="s">
        <v>175</v>
      </c>
      <c r="G948" s="79" t="s">
        <v>176</v>
      </c>
      <c r="H948" s="140" t="s">
        <v>3191</v>
      </c>
      <c r="I948" s="77" t="s">
        <v>298</v>
      </c>
      <c r="J948" s="144" t="s">
        <v>299</v>
      </c>
      <c r="K948" s="77" t="s">
        <v>169</v>
      </c>
      <c r="L948" s="103" t="str">
        <f>VLOOKUP(Anexo_4[[#This Row],[cod_doc]],TIPODOC,2,FALSE)</f>
        <v>FACTURA</v>
      </c>
      <c r="M948" s="77" t="s">
        <v>1113</v>
      </c>
      <c r="N948" s="79">
        <v>3085345</v>
      </c>
      <c r="O948" s="80">
        <v>49.32</v>
      </c>
      <c r="P948" s="81"/>
      <c r="Q948" s="81">
        <v>8.8775999999999993</v>
      </c>
      <c r="R948" s="80"/>
      <c r="S948" s="80">
        <v>0</v>
      </c>
      <c r="T948" s="82">
        <v>58.2</v>
      </c>
      <c r="U948" s="77"/>
      <c r="V948" s="75"/>
      <c r="W948" s="77"/>
      <c r="X948" s="77"/>
      <c r="Y948" s="77" t="s">
        <v>3192</v>
      </c>
      <c r="Z948" s="77" t="s">
        <v>268</v>
      </c>
      <c r="AA948" s="83" t="s">
        <v>3191</v>
      </c>
      <c r="AB948" s="104" t="str">
        <f>IFERROR(VLOOKUP(Anexo_4[[#This Row],[cuenta]],OP,2,0),"-")</f>
        <v>Transporte peajes - Ventas</v>
      </c>
    </row>
    <row r="949" spans="1:28" s="84" customFormat="1" ht="27" customHeight="1" x14ac:dyDescent="0.3">
      <c r="A949" s="75" t="s">
        <v>1780</v>
      </c>
      <c r="B949" s="36" t="str">
        <f t="shared" si="14"/>
        <v>Julio</v>
      </c>
      <c r="C949" s="77" t="s">
        <v>162</v>
      </c>
      <c r="D949" s="77" t="s">
        <v>3193</v>
      </c>
      <c r="E949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949" s="79" t="s">
        <v>175</v>
      </c>
      <c r="G949" s="79" t="s">
        <v>176</v>
      </c>
      <c r="H949" s="140" t="s">
        <v>3194</v>
      </c>
      <c r="I949" s="77" t="s">
        <v>298</v>
      </c>
      <c r="J949" s="144" t="s">
        <v>299</v>
      </c>
      <c r="K949" s="77" t="s">
        <v>169</v>
      </c>
      <c r="L949" s="103" t="str">
        <f>VLOOKUP(Anexo_4[[#This Row],[cod_doc]],TIPODOC,2,FALSE)</f>
        <v>FACTURA</v>
      </c>
      <c r="M949" s="77" t="s">
        <v>300</v>
      </c>
      <c r="N949" s="79">
        <v>2916277</v>
      </c>
      <c r="O949" s="80">
        <v>49.32</v>
      </c>
      <c r="P949" s="81"/>
      <c r="Q949" s="81">
        <v>8.8775999999999993</v>
      </c>
      <c r="R949" s="80"/>
      <c r="S949" s="80">
        <v>0</v>
      </c>
      <c r="T949" s="82">
        <v>58.2</v>
      </c>
      <c r="U949" s="77"/>
      <c r="V949" s="75"/>
      <c r="W949" s="77"/>
      <c r="X949" s="77"/>
      <c r="Y949" s="77" t="s">
        <v>3195</v>
      </c>
      <c r="Z949" s="77" t="s">
        <v>302</v>
      </c>
      <c r="AA949" s="83" t="s">
        <v>3194</v>
      </c>
      <c r="AB949" s="104" t="str">
        <f>IFERROR(VLOOKUP(Anexo_4[[#This Row],[cuenta]],OP,2,0),"-")</f>
        <v>Transporte peajes - Servicios</v>
      </c>
    </row>
    <row r="950" spans="1:28" s="84" customFormat="1" ht="27" customHeight="1" x14ac:dyDescent="0.3">
      <c r="A950" s="75" t="s">
        <v>2564</v>
      </c>
      <c r="B950" s="36" t="str">
        <f t="shared" si="14"/>
        <v>Julio</v>
      </c>
      <c r="C950" s="77" t="s">
        <v>162</v>
      </c>
      <c r="D950" s="77" t="s">
        <v>3196</v>
      </c>
      <c r="E950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950" s="79" t="s">
        <v>175</v>
      </c>
      <c r="G950" s="79" t="s">
        <v>176</v>
      </c>
      <c r="H950" s="140" t="s">
        <v>3197</v>
      </c>
      <c r="I950" s="77" t="s">
        <v>305</v>
      </c>
      <c r="J950" s="144" t="s">
        <v>306</v>
      </c>
      <c r="K950" s="77" t="s">
        <v>169</v>
      </c>
      <c r="L950" s="103" t="str">
        <f>VLOOKUP(Anexo_4[[#This Row],[cod_doc]],TIPODOC,2,FALSE)</f>
        <v>FACTURA</v>
      </c>
      <c r="M950" s="77" t="s">
        <v>307</v>
      </c>
      <c r="N950" s="79">
        <v>634203</v>
      </c>
      <c r="O950" s="80">
        <v>20</v>
      </c>
      <c r="P950" s="81"/>
      <c r="Q950" s="81">
        <v>3.5999999999999996</v>
      </c>
      <c r="R950" s="80"/>
      <c r="S950" s="80">
        <v>0</v>
      </c>
      <c r="T950" s="82">
        <v>23.6</v>
      </c>
      <c r="U950" s="77"/>
      <c r="V950" s="75"/>
      <c r="W950" s="77"/>
      <c r="X950" s="77"/>
      <c r="Y950" s="77" t="s">
        <v>3198</v>
      </c>
      <c r="Z950" s="77" t="s">
        <v>302</v>
      </c>
      <c r="AA950" s="83" t="s">
        <v>3197</v>
      </c>
      <c r="AB950" s="104" t="str">
        <f>IFERROR(VLOOKUP(Anexo_4[[#This Row],[cuenta]],OP,2,0),"-")</f>
        <v>Transporte peajes - Servicios</v>
      </c>
    </row>
    <row r="951" spans="1:28" s="84" customFormat="1" ht="27" customHeight="1" x14ac:dyDescent="0.3">
      <c r="A951" s="75" t="s">
        <v>2675</v>
      </c>
      <c r="B951" s="36" t="str">
        <f t="shared" si="14"/>
        <v>Julio</v>
      </c>
      <c r="C951" s="77" t="s">
        <v>162</v>
      </c>
      <c r="D951" s="77" t="s">
        <v>3199</v>
      </c>
      <c r="E95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951" s="79" t="s">
        <v>175</v>
      </c>
      <c r="G951" s="79" t="s">
        <v>176</v>
      </c>
      <c r="H951" s="140" t="s">
        <v>3200</v>
      </c>
      <c r="I951" s="77" t="s">
        <v>312</v>
      </c>
      <c r="J951" s="144" t="s">
        <v>313</v>
      </c>
      <c r="K951" s="77" t="s">
        <v>169</v>
      </c>
      <c r="L951" s="103" t="str">
        <f>VLOOKUP(Anexo_4[[#This Row],[cod_doc]],TIPODOC,2,FALSE)</f>
        <v>FACTURA</v>
      </c>
      <c r="M951" s="77" t="s">
        <v>1478</v>
      </c>
      <c r="N951" s="79">
        <v>1271651</v>
      </c>
      <c r="O951" s="80">
        <v>19.07</v>
      </c>
      <c r="P951" s="81"/>
      <c r="Q951" s="81">
        <v>3.4325999999999999</v>
      </c>
      <c r="R951" s="80"/>
      <c r="S951" s="80">
        <v>0</v>
      </c>
      <c r="T951" s="82">
        <v>22.5</v>
      </c>
      <c r="U951" s="77"/>
      <c r="V951" s="75"/>
      <c r="W951" s="77"/>
      <c r="X951" s="77"/>
      <c r="Y951" s="77" t="s">
        <v>3201</v>
      </c>
      <c r="Z951" s="77" t="s">
        <v>268</v>
      </c>
      <c r="AA951" s="83" t="s">
        <v>3200</v>
      </c>
      <c r="AB951" s="104" t="str">
        <f>IFERROR(VLOOKUP(Anexo_4[[#This Row],[cuenta]],OP,2,0),"-")</f>
        <v>Transporte peajes - Ventas</v>
      </c>
    </row>
    <row r="952" spans="1:28" s="84" customFormat="1" ht="27" customHeight="1" x14ac:dyDescent="0.3">
      <c r="A952" s="75" t="s">
        <v>1780</v>
      </c>
      <c r="B952" s="36" t="str">
        <f t="shared" si="14"/>
        <v>Julio</v>
      </c>
      <c r="C952" s="77" t="s">
        <v>162</v>
      </c>
      <c r="D952" s="77" t="s">
        <v>3202</v>
      </c>
      <c r="E95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952" s="79" t="s">
        <v>175</v>
      </c>
      <c r="G952" s="79" t="s">
        <v>176</v>
      </c>
      <c r="H952" s="140" t="s">
        <v>3203</v>
      </c>
      <c r="I952" s="77" t="s">
        <v>312</v>
      </c>
      <c r="J952" s="144" t="s">
        <v>313</v>
      </c>
      <c r="K952" s="77" t="s">
        <v>169</v>
      </c>
      <c r="L952" s="103" t="str">
        <f>VLOOKUP(Anexo_4[[#This Row],[cod_doc]],TIPODOC,2,FALSE)</f>
        <v>FACTURA</v>
      </c>
      <c r="M952" s="77" t="s">
        <v>1474</v>
      </c>
      <c r="N952" s="79">
        <v>3059685</v>
      </c>
      <c r="O952" s="80">
        <v>19.07</v>
      </c>
      <c r="P952" s="81"/>
      <c r="Q952" s="81">
        <v>3.4325999999999999</v>
      </c>
      <c r="R952" s="80"/>
      <c r="S952" s="80">
        <v>0</v>
      </c>
      <c r="T952" s="82">
        <v>22.5</v>
      </c>
      <c r="U952" s="77"/>
      <c r="V952" s="75"/>
      <c r="W952" s="77"/>
      <c r="X952" s="77"/>
      <c r="Y952" s="77" t="s">
        <v>3204</v>
      </c>
      <c r="Z952" s="77" t="s">
        <v>302</v>
      </c>
      <c r="AA952" s="83" t="s">
        <v>3203</v>
      </c>
      <c r="AB952" s="104" t="str">
        <f>IFERROR(VLOOKUP(Anexo_4[[#This Row],[cuenta]],OP,2,0),"-")</f>
        <v>Transporte peajes - Servicios</v>
      </c>
    </row>
    <row r="953" spans="1:28" s="84" customFormat="1" ht="27" customHeight="1" x14ac:dyDescent="0.3">
      <c r="A953" s="75" t="s">
        <v>2552</v>
      </c>
      <c r="B953" s="36" t="str">
        <f t="shared" si="14"/>
        <v>Julio</v>
      </c>
      <c r="C953" s="77" t="s">
        <v>162</v>
      </c>
      <c r="D953" s="77" t="s">
        <v>3205</v>
      </c>
      <c r="E953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953" s="79" t="s">
        <v>175</v>
      </c>
      <c r="G953" s="79" t="s">
        <v>176</v>
      </c>
      <c r="H953" s="140" t="s">
        <v>3206</v>
      </c>
      <c r="I953" s="77" t="s">
        <v>264</v>
      </c>
      <c r="J953" s="144" t="s">
        <v>265</v>
      </c>
      <c r="K953" s="77" t="s">
        <v>169</v>
      </c>
      <c r="L953" s="103" t="str">
        <f>VLOOKUP(Anexo_4[[#This Row],[cod_doc]],TIPODOC,2,FALSE)</f>
        <v>FACTURA</v>
      </c>
      <c r="M953" s="77" t="s">
        <v>406</v>
      </c>
      <c r="N953" s="79">
        <v>2399592</v>
      </c>
      <c r="O953" s="80">
        <v>10.17</v>
      </c>
      <c r="P953" s="81"/>
      <c r="Q953" s="81">
        <v>1.8306</v>
      </c>
      <c r="R953" s="80"/>
      <c r="S953" s="80">
        <v>0</v>
      </c>
      <c r="T953" s="82">
        <v>12</v>
      </c>
      <c r="U953" s="77"/>
      <c r="V953" s="75"/>
      <c r="W953" s="77"/>
      <c r="X953" s="77"/>
      <c r="Y953" s="77" t="s">
        <v>3207</v>
      </c>
      <c r="Z953" s="77" t="s">
        <v>268</v>
      </c>
      <c r="AA953" s="83" t="s">
        <v>3206</v>
      </c>
      <c r="AB953" s="104" t="str">
        <f>IFERROR(VLOOKUP(Anexo_4[[#This Row],[cuenta]],OP,2,0),"-")</f>
        <v>Transporte peajes - Ventas</v>
      </c>
    </row>
    <row r="954" spans="1:28" s="84" customFormat="1" ht="27" customHeight="1" x14ac:dyDescent="0.3">
      <c r="A954" s="75" t="s">
        <v>2349</v>
      </c>
      <c r="B954" s="36" t="str">
        <f t="shared" si="14"/>
        <v>Julio</v>
      </c>
      <c r="C954" s="77" t="s">
        <v>162</v>
      </c>
      <c r="D954" s="77" t="s">
        <v>3208</v>
      </c>
      <c r="E954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954" s="79" t="s">
        <v>175</v>
      </c>
      <c r="G954" s="79" t="s">
        <v>176</v>
      </c>
      <c r="H954" s="140" t="s">
        <v>3209</v>
      </c>
      <c r="I954" s="77" t="s">
        <v>264</v>
      </c>
      <c r="J954" s="144" t="s">
        <v>265</v>
      </c>
      <c r="K954" s="77" t="s">
        <v>169</v>
      </c>
      <c r="L954" s="103" t="str">
        <f>VLOOKUP(Anexo_4[[#This Row],[cod_doc]],TIPODOC,2,FALSE)</f>
        <v>FACTURA</v>
      </c>
      <c r="M954" s="77" t="s">
        <v>352</v>
      </c>
      <c r="N954" s="79">
        <v>1803253</v>
      </c>
      <c r="O954" s="80">
        <v>10.17</v>
      </c>
      <c r="P954" s="81"/>
      <c r="Q954" s="81">
        <v>1.8306</v>
      </c>
      <c r="R954" s="80"/>
      <c r="S954" s="80">
        <v>0</v>
      </c>
      <c r="T954" s="82">
        <v>12</v>
      </c>
      <c r="U954" s="77"/>
      <c r="V954" s="75"/>
      <c r="W954" s="77"/>
      <c r="X954" s="77"/>
      <c r="Y954" s="77" t="s">
        <v>3210</v>
      </c>
      <c r="Z954" s="77" t="s">
        <v>268</v>
      </c>
      <c r="AA954" s="83" t="s">
        <v>3209</v>
      </c>
      <c r="AB954" s="104" t="str">
        <f>IFERROR(VLOOKUP(Anexo_4[[#This Row],[cuenta]],OP,2,0),"-")</f>
        <v>Transporte peajes - Ventas</v>
      </c>
    </row>
    <row r="955" spans="1:28" s="84" customFormat="1" ht="27" customHeight="1" x14ac:dyDescent="0.3">
      <c r="A955" s="75" t="s">
        <v>2349</v>
      </c>
      <c r="B955" s="36" t="str">
        <f t="shared" si="14"/>
        <v>Julio</v>
      </c>
      <c r="C955" s="77" t="s">
        <v>162</v>
      </c>
      <c r="D955" s="77" t="s">
        <v>3211</v>
      </c>
      <c r="E95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955" s="79" t="s">
        <v>175</v>
      </c>
      <c r="G955" s="79" t="s">
        <v>176</v>
      </c>
      <c r="H955" s="140" t="s">
        <v>3212</v>
      </c>
      <c r="I955" s="77" t="s">
        <v>264</v>
      </c>
      <c r="J955" s="144" t="s">
        <v>265</v>
      </c>
      <c r="K955" s="77" t="s">
        <v>169</v>
      </c>
      <c r="L955" s="103" t="str">
        <f>VLOOKUP(Anexo_4[[#This Row],[cod_doc]],TIPODOC,2,FALSE)</f>
        <v>FACTURA</v>
      </c>
      <c r="M955" s="77" t="s">
        <v>406</v>
      </c>
      <c r="N955" s="79">
        <v>2397176</v>
      </c>
      <c r="O955" s="80">
        <v>10.17</v>
      </c>
      <c r="P955" s="81"/>
      <c r="Q955" s="81">
        <v>1.8306</v>
      </c>
      <c r="R955" s="80"/>
      <c r="S955" s="80">
        <v>0</v>
      </c>
      <c r="T955" s="82">
        <v>12</v>
      </c>
      <c r="U955" s="77"/>
      <c r="V955" s="75"/>
      <c r="W955" s="77"/>
      <c r="X955" s="77"/>
      <c r="Y955" s="77" t="s">
        <v>3213</v>
      </c>
      <c r="Z955" s="77" t="s">
        <v>302</v>
      </c>
      <c r="AA955" s="83" t="s">
        <v>3212</v>
      </c>
      <c r="AB955" s="104" t="str">
        <f>IFERROR(VLOOKUP(Anexo_4[[#This Row],[cuenta]],OP,2,0),"-")</f>
        <v>Transporte peajes - Servicios</v>
      </c>
    </row>
    <row r="956" spans="1:28" s="84" customFormat="1" ht="27" customHeight="1" x14ac:dyDescent="0.3">
      <c r="A956" s="75" t="s">
        <v>2675</v>
      </c>
      <c r="B956" s="36" t="str">
        <f t="shared" si="14"/>
        <v>Julio</v>
      </c>
      <c r="C956" s="77" t="s">
        <v>162</v>
      </c>
      <c r="D956" s="77" t="s">
        <v>3214</v>
      </c>
      <c r="E95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956" s="79" t="s">
        <v>235</v>
      </c>
      <c r="G956" s="79" t="s">
        <v>236</v>
      </c>
      <c r="H956" s="140" t="s">
        <v>3215</v>
      </c>
      <c r="I956" s="77" t="s">
        <v>264</v>
      </c>
      <c r="J956" s="144" t="s">
        <v>265</v>
      </c>
      <c r="K956" s="77" t="s">
        <v>169</v>
      </c>
      <c r="L956" s="103" t="str">
        <f>VLOOKUP(Anexo_4[[#This Row],[cod_doc]],TIPODOC,2,FALSE)</f>
        <v>FACTURA</v>
      </c>
      <c r="M956" s="77" t="s">
        <v>271</v>
      </c>
      <c r="N956" s="79">
        <v>1790082</v>
      </c>
      <c r="O956" s="80">
        <v>6.78</v>
      </c>
      <c r="P956" s="81"/>
      <c r="Q956" s="81">
        <v>1.2203999999999999</v>
      </c>
      <c r="R956" s="80"/>
      <c r="S956" s="80">
        <v>0</v>
      </c>
      <c r="T956" s="82">
        <v>8</v>
      </c>
      <c r="U956" s="77"/>
      <c r="V956" s="75"/>
      <c r="W956" s="77"/>
      <c r="X956" s="77"/>
      <c r="Y956" s="77" t="s">
        <v>3216</v>
      </c>
      <c r="Z956" s="77" t="s">
        <v>302</v>
      </c>
      <c r="AA956" s="83" t="s">
        <v>3215</v>
      </c>
      <c r="AB956" s="104" t="str">
        <f>IFERROR(VLOOKUP(Anexo_4[[#This Row],[cuenta]],OP,2,0),"-")</f>
        <v>Transporte peajes - Servicios</v>
      </c>
    </row>
    <row r="957" spans="1:28" s="84" customFormat="1" ht="27" customHeight="1" x14ac:dyDescent="0.3">
      <c r="A957" s="75" t="s">
        <v>2675</v>
      </c>
      <c r="B957" s="36" t="str">
        <f t="shared" si="14"/>
        <v>Julio</v>
      </c>
      <c r="C957" s="77" t="s">
        <v>162</v>
      </c>
      <c r="D957" s="77" t="s">
        <v>3217</v>
      </c>
      <c r="E957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957" s="79" t="s">
        <v>217</v>
      </c>
      <c r="G957" s="79" t="s">
        <v>218</v>
      </c>
      <c r="H957" s="140" t="s">
        <v>3218</v>
      </c>
      <c r="I957" s="77" t="s">
        <v>383</v>
      </c>
      <c r="J957" s="144" t="s">
        <v>384</v>
      </c>
      <c r="K957" s="77" t="s">
        <v>169</v>
      </c>
      <c r="L957" s="103" t="str">
        <f>VLOOKUP(Anexo_4[[#This Row],[cod_doc]],TIPODOC,2,FALSE)</f>
        <v>FACTURA</v>
      </c>
      <c r="M957" s="77" t="s">
        <v>103</v>
      </c>
      <c r="N957" s="79">
        <v>17052</v>
      </c>
      <c r="O957" s="80">
        <v>16.95</v>
      </c>
      <c r="P957" s="81"/>
      <c r="Q957" s="81">
        <v>3.0509999999999997</v>
      </c>
      <c r="R957" s="80"/>
      <c r="S957" s="80">
        <v>0</v>
      </c>
      <c r="T957" s="82">
        <v>20</v>
      </c>
      <c r="U957" s="77"/>
      <c r="V957" s="75"/>
      <c r="W957" s="77"/>
      <c r="X957" s="77"/>
      <c r="Y957" s="77" t="s">
        <v>3219</v>
      </c>
      <c r="Z957" s="77" t="s">
        <v>182</v>
      </c>
      <c r="AA957" s="83" t="s">
        <v>3218</v>
      </c>
      <c r="AB957" s="104" t="str">
        <f>IFERROR(VLOOKUP(Anexo_4[[#This Row],[cuenta]],OP,2,0),"-")</f>
        <v>Balanza - Ventas</v>
      </c>
    </row>
    <row r="958" spans="1:28" s="84" customFormat="1" ht="27" customHeight="1" x14ac:dyDescent="0.3">
      <c r="A958" s="75" t="s">
        <v>2675</v>
      </c>
      <c r="B958" s="36" t="str">
        <f t="shared" si="14"/>
        <v>Julio</v>
      </c>
      <c r="C958" s="77" t="s">
        <v>162</v>
      </c>
      <c r="D958" s="77" t="s">
        <v>3220</v>
      </c>
      <c r="E958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958" s="79" t="s">
        <v>217</v>
      </c>
      <c r="G958" s="79" t="s">
        <v>218</v>
      </c>
      <c r="H958" s="140" t="s">
        <v>3221</v>
      </c>
      <c r="I958" s="77" t="s">
        <v>264</v>
      </c>
      <c r="J958" s="144" t="s">
        <v>265</v>
      </c>
      <c r="K958" s="77" t="s">
        <v>169</v>
      </c>
      <c r="L958" s="103" t="str">
        <f>VLOOKUP(Anexo_4[[#This Row],[cod_doc]],TIPODOC,2,FALSE)</f>
        <v>FACTURA</v>
      </c>
      <c r="M958" s="77" t="s">
        <v>352</v>
      </c>
      <c r="N958" s="79">
        <v>1810313</v>
      </c>
      <c r="O958" s="80">
        <v>6.78</v>
      </c>
      <c r="P958" s="81"/>
      <c r="Q958" s="81">
        <v>1.2203999999999999</v>
      </c>
      <c r="R958" s="80"/>
      <c r="S958" s="80">
        <v>0</v>
      </c>
      <c r="T958" s="82">
        <v>8</v>
      </c>
      <c r="U958" s="77"/>
      <c r="V958" s="75"/>
      <c r="W958" s="77"/>
      <c r="X958" s="77"/>
      <c r="Y958" s="77" t="s">
        <v>3222</v>
      </c>
      <c r="Z958" s="77" t="s">
        <v>268</v>
      </c>
      <c r="AA958" s="83" t="s">
        <v>3221</v>
      </c>
      <c r="AB958" s="104" t="str">
        <f>IFERROR(VLOOKUP(Anexo_4[[#This Row],[cuenta]],OP,2,0),"-")</f>
        <v>Transporte peajes - Ventas</v>
      </c>
    </row>
    <row r="959" spans="1:28" s="84" customFormat="1" ht="27" customHeight="1" x14ac:dyDescent="0.3">
      <c r="A959" s="75" t="s">
        <v>2675</v>
      </c>
      <c r="B959" s="36" t="str">
        <f t="shared" si="14"/>
        <v>Julio</v>
      </c>
      <c r="C959" s="77" t="s">
        <v>162</v>
      </c>
      <c r="D959" s="77" t="s">
        <v>3223</v>
      </c>
      <c r="E959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959" s="79" t="s">
        <v>217</v>
      </c>
      <c r="G959" s="79" t="s">
        <v>218</v>
      </c>
      <c r="H959" s="140" t="s">
        <v>3224</v>
      </c>
      <c r="I959" s="77" t="s">
        <v>264</v>
      </c>
      <c r="J959" s="144" t="s">
        <v>265</v>
      </c>
      <c r="K959" s="77" t="s">
        <v>169</v>
      </c>
      <c r="L959" s="103" t="str">
        <f>VLOOKUP(Anexo_4[[#This Row],[cod_doc]],TIPODOC,2,FALSE)</f>
        <v>FACTURA</v>
      </c>
      <c r="M959" s="77" t="s">
        <v>406</v>
      </c>
      <c r="N959" s="79">
        <v>2405741</v>
      </c>
      <c r="O959" s="80">
        <v>6.78</v>
      </c>
      <c r="P959" s="81"/>
      <c r="Q959" s="81">
        <v>1.2203999999999999</v>
      </c>
      <c r="R959" s="80"/>
      <c r="S959" s="80">
        <v>0</v>
      </c>
      <c r="T959" s="82">
        <v>8</v>
      </c>
      <c r="U959" s="77"/>
      <c r="V959" s="75"/>
      <c r="W959" s="77"/>
      <c r="X959" s="77"/>
      <c r="Y959" s="77" t="s">
        <v>3225</v>
      </c>
      <c r="Z959" s="77" t="s">
        <v>268</v>
      </c>
      <c r="AA959" s="83" t="s">
        <v>3224</v>
      </c>
      <c r="AB959" s="104" t="str">
        <f>IFERROR(VLOOKUP(Anexo_4[[#This Row],[cuenta]],OP,2,0),"-")</f>
        <v>Transporte peajes - Ventas</v>
      </c>
    </row>
    <row r="960" spans="1:28" s="84" customFormat="1" ht="27" customHeight="1" x14ac:dyDescent="0.3">
      <c r="A960" s="75" t="s">
        <v>3050</v>
      </c>
      <c r="B960" s="36" t="str">
        <f t="shared" si="14"/>
        <v>Julio</v>
      </c>
      <c r="C960" s="77" t="s">
        <v>162</v>
      </c>
      <c r="D960" s="77" t="s">
        <v>3226</v>
      </c>
      <c r="E960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960" s="79" t="s">
        <v>391</v>
      </c>
      <c r="G960" s="79" t="s">
        <v>392</v>
      </c>
      <c r="H960" s="140" t="s">
        <v>3227</v>
      </c>
      <c r="I960" s="77" t="s">
        <v>383</v>
      </c>
      <c r="J960" s="144" t="s">
        <v>384</v>
      </c>
      <c r="K960" s="77" t="s">
        <v>169</v>
      </c>
      <c r="L960" s="103" t="str">
        <f>VLOOKUP(Anexo_4[[#This Row],[cod_doc]],TIPODOC,2,FALSE)</f>
        <v>FACTURA</v>
      </c>
      <c r="M960" s="77" t="s">
        <v>421</v>
      </c>
      <c r="N960" s="79">
        <v>35254</v>
      </c>
      <c r="O960" s="80">
        <v>8.4700000000000006</v>
      </c>
      <c r="P960" s="81"/>
      <c r="Q960" s="81">
        <v>1.5246</v>
      </c>
      <c r="R960" s="80"/>
      <c r="S960" s="80">
        <v>0</v>
      </c>
      <c r="T960" s="82">
        <v>10</v>
      </c>
      <c r="U960" s="77"/>
      <c r="V960" s="75"/>
      <c r="W960" s="77"/>
      <c r="X960" s="77"/>
      <c r="Y960" s="77" t="s">
        <v>3228</v>
      </c>
      <c r="Z960" s="77" t="s">
        <v>386</v>
      </c>
      <c r="AA960" s="83" t="s">
        <v>3227</v>
      </c>
      <c r="AB960" s="104" t="str">
        <f>IFERROR(VLOOKUP(Anexo_4[[#This Row],[cuenta]],OP,2,0),"-")</f>
        <v>Balanza - Servicios</v>
      </c>
    </row>
    <row r="961" spans="1:28" s="84" customFormat="1" ht="27" customHeight="1" x14ac:dyDescent="0.3">
      <c r="A961" s="75" t="s">
        <v>3050</v>
      </c>
      <c r="B961" s="36" t="str">
        <f t="shared" si="14"/>
        <v>Julio</v>
      </c>
      <c r="C961" s="77" t="s">
        <v>162</v>
      </c>
      <c r="D961" s="77" t="s">
        <v>3229</v>
      </c>
      <c r="E96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961" s="79" t="s">
        <v>391</v>
      </c>
      <c r="G961" s="79" t="s">
        <v>392</v>
      </c>
      <c r="H961" s="140" t="s">
        <v>3230</v>
      </c>
      <c r="I961" s="77" t="s">
        <v>383</v>
      </c>
      <c r="J961" s="144" t="s">
        <v>384</v>
      </c>
      <c r="K961" s="77" t="s">
        <v>169</v>
      </c>
      <c r="L961" s="103" t="str">
        <f>VLOOKUP(Anexo_4[[#This Row],[cod_doc]],TIPODOC,2,FALSE)</f>
        <v>FACTURA</v>
      </c>
      <c r="M961" s="77" t="s">
        <v>421</v>
      </c>
      <c r="N961" s="79">
        <v>35252</v>
      </c>
      <c r="O961" s="80">
        <v>8.4700000000000006</v>
      </c>
      <c r="P961" s="81"/>
      <c r="Q961" s="81">
        <v>1.5246</v>
      </c>
      <c r="R961" s="80"/>
      <c r="S961" s="80">
        <v>0</v>
      </c>
      <c r="T961" s="82">
        <v>10</v>
      </c>
      <c r="U961" s="77"/>
      <c r="V961" s="75"/>
      <c r="W961" s="77"/>
      <c r="X961" s="77"/>
      <c r="Y961" s="77" t="s">
        <v>3231</v>
      </c>
      <c r="Z961" s="77" t="s">
        <v>386</v>
      </c>
      <c r="AA961" s="83" t="s">
        <v>3230</v>
      </c>
      <c r="AB961" s="104" t="str">
        <f>IFERROR(VLOOKUP(Anexo_4[[#This Row],[cuenta]],OP,2,0),"-")</f>
        <v>Balanza - Servicios</v>
      </c>
    </row>
    <row r="962" spans="1:28" s="84" customFormat="1" ht="27" customHeight="1" x14ac:dyDescent="0.3">
      <c r="A962" s="75" t="s">
        <v>3050</v>
      </c>
      <c r="B962" s="36" t="str">
        <f t="shared" ref="B962:B1025" si="15">PROPER(CHOOSE(LEFT(D962,2),"enero","febrero","marzo","abril","mayo","junio","julio","agosto","setiembre","octubre","noviembre","diciembre"))</f>
        <v>Julio</v>
      </c>
      <c r="C962" s="77" t="s">
        <v>162</v>
      </c>
      <c r="D962" s="77" t="s">
        <v>3232</v>
      </c>
      <c r="E96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962" s="79" t="s">
        <v>391</v>
      </c>
      <c r="G962" s="79" t="s">
        <v>392</v>
      </c>
      <c r="H962" s="140" t="s">
        <v>3233</v>
      </c>
      <c r="I962" s="77" t="s">
        <v>504</v>
      </c>
      <c r="J962" s="144" t="s">
        <v>505</v>
      </c>
      <c r="K962" s="77" t="s">
        <v>169</v>
      </c>
      <c r="L962" s="103" t="str">
        <f>VLOOKUP(Anexo_4[[#This Row],[cod_doc]],TIPODOC,2,FALSE)</f>
        <v>FACTURA</v>
      </c>
      <c r="M962" s="77" t="s">
        <v>222</v>
      </c>
      <c r="N962" s="79">
        <v>18989</v>
      </c>
      <c r="O962" s="80">
        <v>21.19</v>
      </c>
      <c r="P962" s="81"/>
      <c r="Q962" s="81">
        <v>3.8142</v>
      </c>
      <c r="R962" s="80"/>
      <c r="S962" s="80">
        <v>0</v>
      </c>
      <c r="T962" s="82">
        <v>25</v>
      </c>
      <c r="U962" s="77"/>
      <c r="V962" s="75"/>
      <c r="W962" s="77"/>
      <c r="X962" s="77"/>
      <c r="Y962" s="77" t="s">
        <v>3234</v>
      </c>
      <c r="Z962" s="77" t="s">
        <v>507</v>
      </c>
      <c r="AA962" s="83" t="s">
        <v>3233</v>
      </c>
      <c r="AB962" s="104" t="str">
        <f>IFERROR(VLOOKUP(Anexo_4[[#This Row],[cuenta]],OP,2,0),"-")</f>
        <v>Transporte lavado (Higienización)</v>
      </c>
    </row>
    <row r="963" spans="1:28" s="84" customFormat="1" ht="27" customHeight="1" x14ac:dyDescent="0.3">
      <c r="A963" s="75" t="s">
        <v>3026</v>
      </c>
      <c r="B963" s="36" t="str">
        <f t="shared" si="15"/>
        <v>Julio</v>
      </c>
      <c r="C963" s="77" t="s">
        <v>162</v>
      </c>
      <c r="D963" s="77" t="s">
        <v>3235</v>
      </c>
      <c r="E963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963" s="79" t="s">
        <v>391</v>
      </c>
      <c r="G963" s="79" t="s">
        <v>392</v>
      </c>
      <c r="H963" s="140" t="s">
        <v>3236</v>
      </c>
      <c r="I963" s="77" t="s">
        <v>264</v>
      </c>
      <c r="J963" s="144" t="s">
        <v>265</v>
      </c>
      <c r="K963" s="77" t="s">
        <v>169</v>
      </c>
      <c r="L963" s="103" t="str">
        <f>VLOOKUP(Anexo_4[[#This Row],[cod_doc]],TIPODOC,2,FALSE)</f>
        <v>FACTURA</v>
      </c>
      <c r="M963" s="77" t="s">
        <v>352</v>
      </c>
      <c r="N963" s="79">
        <v>1818299</v>
      </c>
      <c r="O963" s="80">
        <v>6.78</v>
      </c>
      <c r="P963" s="81"/>
      <c r="Q963" s="81">
        <v>1.2203999999999999</v>
      </c>
      <c r="R963" s="80"/>
      <c r="S963" s="80">
        <v>0</v>
      </c>
      <c r="T963" s="82">
        <v>8</v>
      </c>
      <c r="U963" s="77"/>
      <c r="V963" s="75"/>
      <c r="W963" s="77"/>
      <c r="X963" s="77"/>
      <c r="Y963" s="77" t="s">
        <v>3237</v>
      </c>
      <c r="Z963" s="77" t="s">
        <v>302</v>
      </c>
      <c r="AA963" s="83" t="s">
        <v>3236</v>
      </c>
      <c r="AB963" s="104" t="str">
        <f>IFERROR(VLOOKUP(Anexo_4[[#This Row],[cuenta]],OP,2,0),"-")</f>
        <v>Transporte peajes - Servicios</v>
      </c>
    </row>
    <row r="964" spans="1:28" s="84" customFormat="1" ht="27" customHeight="1" x14ac:dyDescent="0.3">
      <c r="A964" s="75" t="s">
        <v>3026</v>
      </c>
      <c r="B964" s="36" t="str">
        <f t="shared" si="15"/>
        <v>Julio</v>
      </c>
      <c r="C964" s="77" t="s">
        <v>162</v>
      </c>
      <c r="D964" s="77" t="s">
        <v>3238</v>
      </c>
      <c r="E964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964" s="79" t="s">
        <v>391</v>
      </c>
      <c r="G964" s="79" t="s">
        <v>392</v>
      </c>
      <c r="H964" s="140" t="s">
        <v>3239</v>
      </c>
      <c r="I964" s="77" t="s">
        <v>264</v>
      </c>
      <c r="J964" s="144" t="s">
        <v>265</v>
      </c>
      <c r="K964" s="77" t="s">
        <v>169</v>
      </c>
      <c r="L964" s="103" t="str">
        <f>VLOOKUP(Anexo_4[[#This Row],[cod_doc]],TIPODOC,2,FALSE)</f>
        <v>FACTURA</v>
      </c>
      <c r="M964" s="77" t="s">
        <v>271</v>
      </c>
      <c r="N964" s="79">
        <v>1797918</v>
      </c>
      <c r="O964" s="80">
        <v>6.78</v>
      </c>
      <c r="P964" s="81"/>
      <c r="Q964" s="81">
        <v>1.2203999999999999</v>
      </c>
      <c r="R964" s="80"/>
      <c r="S964" s="80">
        <v>0</v>
      </c>
      <c r="T964" s="82">
        <v>8</v>
      </c>
      <c r="U964" s="77"/>
      <c r="V964" s="75"/>
      <c r="W964" s="77"/>
      <c r="X964" s="77"/>
      <c r="Y964" s="77" t="s">
        <v>3240</v>
      </c>
      <c r="Z964" s="77" t="s">
        <v>302</v>
      </c>
      <c r="AA964" s="83" t="s">
        <v>3239</v>
      </c>
      <c r="AB964" s="104" t="str">
        <f>IFERROR(VLOOKUP(Anexo_4[[#This Row],[cuenta]],OP,2,0),"-")</f>
        <v>Transporte peajes - Servicios</v>
      </c>
    </row>
    <row r="965" spans="1:28" s="84" customFormat="1" ht="27" customHeight="1" x14ac:dyDescent="0.3">
      <c r="A965" s="75" t="s">
        <v>841</v>
      </c>
      <c r="B965" s="36" t="str">
        <f t="shared" si="15"/>
        <v>Julio</v>
      </c>
      <c r="C965" s="77" t="s">
        <v>162</v>
      </c>
      <c r="D965" s="77" t="s">
        <v>3241</v>
      </c>
      <c r="E965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965" s="79"/>
      <c r="G965" s="79"/>
      <c r="H965" s="140"/>
      <c r="I965" s="77" t="s">
        <v>1074</v>
      </c>
      <c r="J965" s="144" t="s">
        <v>1075</v>
      </c>
      <c r="K965" s="77" t="s">
        <v>169</v>
      </c>
      <c r="L965" s="103" t="str">
        <f>VLOOKUP(Anexo_4[[#This Row],[cod_doc]],TIPODOC,2,FALSE)</f>
        <v>FACTURA</v>
      </c>
      <c r="M965" s="77" t="s">
        <v>102</v>
      </c>
      <c r="N965" s="79" t="s">
        <v>3242</v>
      </c>
      <c r="O965" s="80">
        <v>80</v>
      </c>
      <c r="P965" s="81"/>
      <c r="Q965" s="81">
        <v>14.4</v>
      </c>
      <c r="R965" s="80"/>
      <c r="S965" s="80">
        <v>0</v>
      </c>
      <c r="T965" s="82">
        <v>94.4</v>
      </c>
      <c r="U965" s="77"/>
      <c r="V965" s="75"/>
      <c r="W965" s="77"/>
      <c r="X965" s="77"/>
      <c r="Y965" s="77"/>
      <c r="Z965" s="77"/>
      <c r="AA965" s="83"/>
      <c r="AB965" s="104" t="str">
        <f>IFERROR(VLOOKUP(Anexo_4[[#This Row],[cuenta]],OP,2,0),"-")</f>
        <v>-</v>
      </c>
    </row>
    <row r="966" spans="1:28" s="84" customFormat="1" ht="27" customHeight="1" x14ac:dyDescent="0.3">
      <c r="A966" s="75" t="s">
        <v>2837</v>
      </c>
      <c r="B966" s="36" t="str">
        <f t="shared" si="15"/>
        <v>Julio</v>
      </c>
      <c r="C966" s="77" t="s">
        <v>162</v>
      </c>
      <c r="D966" s="77" t="s">
        <v>3243</v>
      </c>
      <c r="E96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966" s="79" t="s">
        <v>355</v>
      </c>
      <c r="G966" s="79" t="s">
        <v>356</v>
      </c>
      <c r="H966" s="140" t="s">
        <v>3244</v>
      </c>
      <c r="I966" s="77" t="s">
        <v>1225</v>
      </c>
      <c r="J966" s="144" t="s">
        <v>1226</v>
      </c>
      <c r="K966" s="77" t="s">
        <v>169</v>
      </c>
      <c r="L966" s="103" t="str">
        <f>VLOOKUP(Anexo_4[[#This Row],[cod_doc]],TIPODOC,2,FALSE)</f>
        <v>FACTURA</v>
      </c>
      <c r="M966" s="77" t="s">
        <v>222</v>
      </c>
      <c r="N966" s="79">
        <v>20817</v>
      </c>
      <c r="O966" s="80">
        <v>11352.8</v>
      </c>
      <c r="P966" s="81"/>
      <c r="Q966" s="81">
        <v>2043.5039999999999</v>
      </c>
      <c r="R966" s="80"/>
      <c r="S966" s="80">
        <v>0</v>
      </c>
      <c r="T966" s="82">
        <v>13396.3</v>
      </c>
      <c r="U966" s="77"/>
      <c r="V966" s="75"/>
      <c r="W966" s="77"/>
      <c r="X966" s="77"/>
      <c r="Y966" s="77" t="s">
        <v>3245</v>
      </c>
      <c r="Z966" s="77" t="s">
        <v>854</v>
      </c>
      <c r="AA966" s="83" t="s">
        <v>3244</v>
      </c>
      <c r="AB966" s="104" t="str">
        <f>IFERROR(VLOOKUP(Anexo_4[[#This Row],[cuenta]],OP,2,0),"-")</f>
        <v>Disposición Final de RR.SS - Peligrosos</v>
      </c>
    </row>
    <row r="967" spans="1:28" s="84" customFormat="1" ht="27" customHeight="1" x14ac:dyDescent="0.3">
      <c r="A967" s="75" t="s">
        <v>2837</v>
      </c>
      <c r="B967" s="36" t="str">
        <f t="shared" si="15"/>
        <v>Julio</v>
      </c>
      <c r="C967" s="77" t="s">
        <v>162</v>
      </c>
      <c r="D967" s="77" t="s">
        <v>3246</v>
      </c>
      <c r="E967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967" s="79" t="s">
        <v>355</v>
      </c>
      <c r="G967" s="79" t="s">
        <v>356</v>
      </c>
      <c r="H967" s="140" t="s">
        <v>633</v>
      </c>
      <c r="I967" s="77" t="s">
        <v>3247</v>
      </c>
      <c r="J967" s="144" t="s">
        <v>3248</v>
      </c>
      <c r="K967" s="77" t="s">
        <v>239</v>
      </c>
      <c r="L967" s="103" t="str">
        <f>VLOOKUP(Anexo_4[[#This Row],[cod_doc]],TIPODOC,2,FALSE)</f>
        <v>BOLETA DE VENTA</v>
      </c>
      <c r="M967" s="77" t="s">
        <v>240</v>
      </c>
      <c r="N967" s="79">
        <v>28</v>
      </c>
      <c r="O967" s="80"/>
      <c r="P967" s="81"/>
      <c r="Q967" s="81"/>
      <c r="R967" s="80"/>
      <c r="S967" s="80">
        <v>30</v>
      </c>
      <c r="T967" s="82">
        <v>30</v>
      </c>
      <c r="U967" s="77"/>
      <c r="V967" s="75"/>
      <c r="W967" s="77"/>
      <c r="X967" s="77"/>
      <c r="Y967" s="77"/>
      <c r="Z967" s="77" t="s">
        <v>361</v>
      </c>
      <c r="AA967" s="83" t="s">
        <v>633</v>
      </c>
      <c r="AB967" s="104" t="str">
        <f>IFERROR(VLOOKUP(Anexo_4[[#This Row],[cuenta]],OP,2,0),"-")</f>
        <v>Alimentacion (Operativo)</v>
      </c>
    </row>
    <row r="968" spans="1:28" s="84" customFormat="1" ht="27" customHeight="1" x14ac:dyDescent="0.3">
      <c r="A968" s="75" t="s">
        <v>2675</v>
      </c>
      <c r="B968" s="36" t="str">
        <f t="shared" si="15"/>
        <v>Julio</v>
      </c>
      <c r="C968" s="77" t="s">
        <v>162</v>
      </c>
      <c r="D968" s="77" t="s">
        <v>3249</v>
      </c>
      <c r="E968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968" s="79"/>
      <c r="G968" s="79"/>
      <c r="H968" s="140"/>
      <c r="I968" s="77" t="s">
        <v>3250</v>
      </c>
      <c r="J968" s="144" t="s">
        <v>3251</v>
      </c>
      <c r="K968" s="77" t="s">
        <v>169</v>
      </c>
      <c r="L968" s="103" t="str">
        <f>VLOOKUP(Anexo_4[[#This Row],[cod_doc]],TIPODOC,2,FALSE)</f>
        <v>FACTURA</v>
      </c>
      <c r="M968" s="77" t="s">
        <v>260</v>
      </c>
      <c r="N968" s="79" t="s">
        <v>3252</v>
      </c>
      <c r="O968" s="80">
        <v>2013.66</v>
      </c>
      <c r="P968" s="81"/>
      <c r="Q968" s="81">
        <v>362.46</v>
      </c>
      <c r="R968" s="80"/>
      <c r="S968" s="80">
        <v>0</v>
      </c>
      <c r="T968" s="82">
        <v>2376.12</v>
      </c>
      <c r="U968" s="77"/>
      <c r="V968" s="75"/>
      <c r="W968" s="77"/>
      <c r="X968" s="77"/>
      <c r="Y968" s="77"/>
      <c r="Z968" s="77"/>
      <c r="AA968" s="83"/>
      <c r="AB968" s="104" t="str">
        <f>IFERROR(VLOOKUP(Anexo_4[[#This Row],[cuenta]],OP,2,0),"-")</f>
        <v>-</v>
      </c>
    </row>
    <row r="969" spans="1:28" s="84" customFormat="1" ht="27" customHeight="1" x14ac:dyDescent="0.3">
      <c r="A969" s="75" t="s">
        <v>2675</v>
      </c>
      <c r="B969" s="36" t="str">
        <f t="shared" si="15"/>
        <v>Julio</v>
      </c>
      <c r="C969" s="77" t="s">
        <v>162</v>
      </c>
      <c r="D969" s="77" t="s">
        <v>3253</v>
      </c>
      <c r="E969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969" s="79"/>
      <c r="G969" s="79"/>
      <c r="H969" s="140"/>
      <c r="I969" s="77" t="s">
        <v>3254</v>
      </c>
      <c r="J969" s="144" t="s">
        <v>3255</v>
      </c>
      <c r="K969" s="77" t="s">
        <v>169</v>
      </c>
      <c r="L969" s="103" t="str">
        <f>VLOOKUP(Anexo_4[[#This Row],[cod_doc]],TIPODOC,2,FALSE)</f>
        <v>FACTURA</v>
      </c>
      <c r="M969" s="77" t="s">
        <v>260</v>
      </c>
      <c r="N969" s="79" t="s">
        <v>3256</v>
      </c>
      <c r="O969" s="80">
        <v>928.83</v>
      </c>
      <c r="P969" s="81"/>
      <c r="Q969" s="81">
        <v>167.19</v>
      </c>
      <c r="R969" s="80"/>
      <c r="S969" s="80">
        <v>0</v>
      </c>
      <c r="T969" s="82">
        <v>1096.02</v>
      </c>
      <c r="U969" s="77"/>
      <c r="V969" s="75"/>
      <c r="W969" s="77"/>
      <c r="X969" s="77"/>
      <c r="Y969" s="77"/>
      <c r="Z969" s="77"/>
      <c r="AA969" s="83"/>
      <c r="AB969" s="104" t="str">
        <f>IFERROR(VLOOKUP(Anexo_4[[#This Row],[cuenta]],OP,2,0),"-")</f>
        <v>-</v>
      </c>
    </row>
    <row r="970" spans="1:28" s="84" customFormat="1" ht="27" customHeight="1" x14ac:dyDescent="0.3">
      <c r="A970" s="75" t="s">
        <v>2662</v>
      </c>
      <c r="B970" s="36" t="str">
        <f t="shared" si="15"/>
        <v>Julio</v>
      </c>
      <c r="C970" s="77" t="s">
        <v>162</v>
      </c>
      <c r="D970" s="77" t="s">
        <v>3257</v>
      </c>
      <c r="E970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970" s="79"/>
      <c r="G970" s="79"/>
      <c r="H970" s="140"/>
      <c r="I970" s="77" t="s">
        <v>3258</v>
      </c>
      <c r="J970" s="144" t="s">
        <v>3259</v>
      </c>
      <c r="K970" s="77" t="s">
        <v>169</v>
      </c>
      <c r="L970" s="103" t="str">
        <f>VLOOKUP(Anexo_4[[#This Row],[cod_doc]],TIPODOC,2,FALSE)</f>
        <v>FACTURA</v>
      </c>
      <c r="M970" s="77" t="s">
        <v>3260</v>
      </c>
      <c r="N970" s="79" t="s">
        <v>3261</v>
      </c>
      <c r="O970" s="80">
        <v>504.92</v>
      </c>
      <c r="P970" s="81"/>
      <c r="Q970" s="81">
        <v>90.89</v>
      </c>
      <c r="R970" s="80"/>
      <c r="S970" s="80">
        <v>0</v>
      </c>
      <c r="T970" s="82">
        <v>595.80999999999995</v>
      </c>
      <c r="U970" s="77"/>
      <c r="V970" s="75"/>
      <c r="W970" s="77"/>
      <c r="X970" s="77"/>
      <c r="Y970" s="77"/>
      <c r="Z970" s="77"/>
      <c r="AA970" s="83"/>
      <c r="AB970" s="104" t="str">
        <f>IFERROR(VLOOKUP(Anexo_4[[#This Row],[cuenta]],OP,2,0),"-")</f>
        <v>-</v>
      </c>
    </row>
    <row r="971" spans="1:28" s="84" customFormat="1" ht="27" customHeight="1" x14ac:dyDescent="0.3">
      <c r="A971" s="75" t="s">
        <v>2837</v>
      </c>
      <c r="B971" s="36" t="str">
        <f t="shared" si="15"/>
        <v>Julio</v>
      </c>
      <c r="C971" s="77" t="s">
        <v>162</v>
      </c>
      <c r="D971" s="77" t="s">
        <v>3262</v>
      </c>
      <c r="E97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971" s="79" t="s">
        <v>592</v>
      </c>
      <c r="G971" s="79" t="s">
        <v>593</v>
      </c>
      <c r="H971" s="140" t="s">
        <v>3263</v>
      </c>
      <c r="I971" s="77" t="s">
        <v>3264</v>
      </c>
      <c r="J971" s="144" t="s">
        <v>3265</v>
      </c>
      <c r="K971" s="77" t="s">
        <v>169</v>
      </c>
      <c r="L971" s="103" t="str">
        <f>VLOOKUP(Anexo_4[[#This Row],[cod_doc]],TIPODOC,2,FALSE)</f>
        <v>FACTURA</v>
      </c>
      <c r="M971" s="77" t="s">
        <v>102</v>
      </c>
      <c r="N971" s="79">
        <v>221</v>
      </c>
      <c r="O971" s="80">
        <v>152.54</v>
      </c>
      <c r="P971" s="81"/>
      <c r="Q971" s="81">
        <v>27.457199999999997</v>
      </c>
      <c r="R971" s="80"/>
      <c r="S971" s="80">
        <v>0</v>
      </c>
      <c r="T971" s="82">
        <v>180</v>
      </c>
      <c r="U971" s="77"/>
      <c r="V971" s="75"/>
      <c r="W971" s="77"/>
      <c r="X971" s="77"/>
      <c r="Y971" s="77"/>
      <c r="Z971" s="77" t="s">
        <v>597</v>
      </c>
      <c r="AA971" s="83" t="s">
        <v>3263</v>
      </c>
      <c r="AB971" s="104" t="str">
        <f>IFERROR(VLOOKUP(Anexo_4[[#This Row],[cuenta]],OP,2,0),"-")</f>
        <v>Mantenimiento Preventivo (Montacarga)</v>
      </c>
    </row>
    <row r="972" spans="1:28" s="84" customFormat="1" ht="27" customHeight="1" x14ac:dyDescent="0.3">
      <c r="A972" s="75" t="s">
        <v>3026</v>
      </c>
      <c r="B972" s="36" t="str">
        <f t="shared" si="15"/>
        <v>Julio</v>
      </c>
      <c r="C972" s="77" t="s">
        <v>162</v>
      </c>
      <c r="D972" s="77" t="s">
        <v>3266</v>
      </c>
      <c r="E97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972" s="79" t="s">
        <v>355</v>
      </c>
      <c r="G972" s="79" t="s">
        <v>356</v>
      </c>
      <c r="H972" s="140" t="s">
        <v>3267</v>
      </c>
      <c r="I972" s="77" t="s">
        <v>1074</v>
      </c>
      <c r="J972" s="144" t="s">
        <v>1075</v>
      </c>
      <c r="K972" s="77" t="s">
        <v>169</v>
      </c>
      <c r="L972" s="103" t="str">
        <f>VLOOKUP(Anexo_4[[#This Row],[cod_doc]],TIPODOC,2,FALSE)</f>
        <v>FACTURA</v>
      </c>
      <c r="M972" s="77" t="s">
        <v>102</v>
      </c>
      <c r="N972" s="79">
        <v>2420</v>
      </c>
      <c r="O972" s="80">
        <v>60</v>
      </c>
      <c r="P972" s="81"/>
      <c r="Q972" s="81">
        <v>10.799999999999999</v>
      </c>
      <c r="R972" s="80"/>
      <c r="S972" s="80">
        <v>0</v>
      </c>
      <c r="T972" s="82">
        <v>70.8</v>
      </c>
      <c r="U972" s="77"/>
      <c r="V972" s="75"/>
      <c r="W972" s="77"/>
      <c r="X972" s="77"/>
      <c r="Y972" s="77"/>
      <c r="Z972" s="77" t="s">
        <v>645</v>
      </c>
      <c r="AA972" s="83" t="s">
        <v>3267</v>
      </c>
      <c r="AB972" s="104" t="str">
        <f>IFERROR(VLOOKUP(Anexo_4[[#This Row],[cuenta]],OP,2,0),"-")</f>
        <v>Montacarga - Servicios</v>
      </c>
    </row>
    <row r="973" spans="1:28" s="84" customFormat="1" ht="27" customHeight="1" x14ac:dyDescent="0.3">
      <c r="A973" s="75" t="s">
        <v>3026</v>
      </c>
      <c r="B973" s="36" t="str">
        <f t="shared" si="15"/>
        <v>Julio</v>
      </c>
      <c r="C973" s="77" t="s">
        <v>162</v>
      </c>
      <c r="D973" s="77" t="s">
        <v>3268</v>
      </c>
      <c r="E973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973" s="79" t="s">
        <v>355</v>
      </c>
      <c r="G973" s="79" t="s">
        <v>356</v>
      </c>
      <c r="H973" s="140" t="s">
        <v>3267</v>
      </c>
      <c r="I973" s="77" t="s">
        <v>1074</v>
      </c>
      <c r="J973" s="144" t="s">
        <v>1075</v>
      </c>
      <c r="K973" s="77" t="s">
        <v>169</v>
      </c>
      <c r="L973" s="103" t="str">
        <f>VLOOKUP(Anexo_4[[#This Row],[cod_doc]],TIPODOC,2,FALSE)</f>
        <v>FACTURA</v>
      </c>
      <c r="M973" s="77" t="s">
        <v>102</v>
      </c>
      <c r="N973" s="79">
        <v>2419</v>
      </c>
      <c r="O973" s="80">
        <v>80</v>
      </c>
      <c r="P973" s="81"/>
      <c r="Q973" s="81">
        <v>14.399999999999999</v>
      </c>
      <c r="R973" s="80"/>
      <c r="S973" s="80">
        <v>0</v>
      </c>
      <c r="T973" s="82">
        <v>94.4</v>
      </c>
      <c r="U973" s="77"/>
      <c r="V973" s="75"/>
      <c r="W973" s="77"/>
      <c r="X973" s="77"/>
      <c r="Y973" s="77"/>
      <c r="Z973" s="77" t="s">
        <v>645</v>
      </c>
      <c r="AA973" s="83" t="s">
        <v>3267</v>
      </c>
      <c r="AB973" s="104" t="str">
        <f>IFERROR(VLOOKUP(Anexo_4[[#This Row],[cuenta]],OP,2,0),"-")</f>
        <v>Montacarga - Servicios</v>
      </c>
    </row>
    <row r="974" spans="1:28" s="84" customFormat="1" ht="27" customHeight="1" x14ac:dyDescent="0.3">
      <c r="A974" s="75" t="s">
        <v>2780</v>
      </c>
      <c r="B974" s="36" t="str">
        <f t="shared" si="15"/>
        <v>Julio</v>
      </c>
      <c r="C974" s="77" t="s">
        <v>162</v>
      </c>
      <c r="D974" s="77" t="s">
        <v>3269</v>
      </c>
      <c r="E974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974" s="79" t="s">
        <v>355</v>
      </c>
      <c r="G974" s="79" t="s">
        <v>356</v>
      </c>
      <c r="H974" s="140" t="s">
        <v>3270</v>
      </c>
      <c r="I974" s="77" t="s">
        <v>1074</v>
      </c>
      <c r="J974" s="144" t="s">
        <v>1075</v>
      </c>
      <c r="K974" s="77" t="s">
        <v>169</v>
      </c>
      <c r="L974" s="103" t="str">
        <f>VLOOKUP(Anexo_4[[#This Row],[cod_doc]],TIPODOC,2,FALSE)</f>
        <v>FACTURA</v>
      </c>
      <c r="M974" s="77" t="s">
        <v>102</v>
      </c>
      <c r="N974" s="79">
        <v>2401</v>
      </c>
      <c r="O974" s="80">
        <v>80</v>
      </c>
      <c r="P974" s="81"/>
      <c r="Q974" s="81">
        <v>14.399999999999999</v>
      </c>
      <c r="R974" s="80"/>
      <c r="S974" s="80">
        <v>0</v>
      </c>
      <c r="T974" s="82">
        <v>94.4</v>
      </c>
      <c r="U974" s="77"/>
      <c r="V974" s="75"/>
      <c r="W974" s="77"/>
      <c r="X974" s="77"/>
      <c r="Y974" s="77"/>
      <c r="Z974" s="77" t="s">
        <v>645</v>
      </c>
      <c r="AA974" s="83" t="s">
        <v>3270</v>
      </c>
      <c r="AB974" s="104" t="str">
        <f>IFERROR(VLOOKUP(Anexo_4[[#This Row],[cuenta]],OP,2,0),"-")</f>
        <v>Montacarga - Servicios</v>
      </c>
    </row>
    <row r="975" spans="1:28" s="84" customFormat="1" ht="27" customHeight="1" x14ac:dyDescent="0.3">
      <c r="A975" s="75" t="s">
        <v>1430</v>
      </c>
      <c r="B975" s="36" t="str">
        <f t="shared" si="15"/>
        <v>Julio</v>
      </c>
      <c r="C975" s="77" t="s">
        <v>162</v>
      </c>
      <c r="D975" s="77" t="s">
        <v>3271</v>
      </c>
      <c r="E975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975" s="79"/>
      <c r="G975" s="79"/>
      <c r="H975" s="140"/>
      <c r="I975" s="77" t="s">
        <v>1074</v>
      </c>
      <c r="J975" s="144" t="s">
        <v>1075</v>
      </c>
      <c r="K975" s="77" t="s">
        <v>169</v>
      </c>
      <c r="L975" s="103" t="str">
        <f>VLOOKUP(Anexo_4[[#This Row],[cod_doc]],TIPODOC,2,FALSE)</f>
        <v>FACTURA</v>
      </c>
      <c r="M975" s="77" t="s">
        <v>102</v>
      </c>
      <c r="N975" s="79" t="s">
        <v>3272</v>
      </c>
      <c r="O975" s="80">
        <v>187.5</v>
      </c>
      <c r="P975" s="81"/>
      <c r="Q975" s="81">
        <v>33.75</v>
      </c>
      <c r="R975" s="80"/>
      <c r="S975" s="80">
        <v>0</v>
      </c>
      <c r="T975" s="82">
        <v>221.25</v>
      </c>
      <c r="U975" s="77"/>
      <c r="V975" s="75"/>
      <c r="W975" s="77"/>
      <c r="X975" s="77"/>
      <c r="Y975" s="77"/>
      <c r="Z975" s="77"/>
      <c r="AA975" s="83"/>
      <c r="AB975" s="104" t="str">
        <f>IFERROR(VLOOKUP(Anexo_4[[#This Row],[cuenta]],OP,2,0),"-")</f>
        <v>-</v>
      </c>
    </row>
    <row r="976" spans="1:28" s="84" customFormat="1" ht="27" customHeight="1" x14ac:dyDescent="0.3">
      <c r="A976" s="75" t="s">
        <v>1430</v>
      </c>
      <c r="B976" s="36" t="str">
        <f t="shared" si="15"/>
        <v>Julio</v>
      </c>
      <c r="C976" s="77" t="s">
        <v>162</v>
      </c>
      <c r="D976" s="77" t="s">
        <v>3273</v>
      </c>
      <c r="E976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976" s="79"/>
      <c r="G976" s="79"/>
      <c r="H976" s="140"/>
      <c r="I976" s="77" t="s">
        <v>1074</v>
      </c>
      <c r="J976" s="144" t="s">
        <v>1075</v>
      </c>
      <c r="K976" s="77" t="s">
        <v>169</v>
      </c>
      <c r="L976" s="103" t="str">
        <f>VLOOKUP(Anexo_4[[#This Row],[cod_doc]],TIPODOC,2,FALSE)</f>
        <v>FACTURA</v>
      </c>
      <c r="M976" s="77" t="s">
        <v>102</v>
      </c>
      <c r="N976" s="79" t="s">
        <v>3274</v>
      </c>
      <c r="O976" s="80">
        <v>80</v>
      </c>
      <c r="P976" s="81"/>
      <c r="Q976" s="81">
        <v>14.4</v>
      </c>
      <c r="R976" s="80"/>
      <c r="S976" s="80">
        <v>0</v>
      </c>
      <c r="T976" s="82">
        <v>94.4</v>
      </c>
      <c r="U976" s="77"/>
      <c r="V976" s="75"/>
      <c r="W976" s="77"/>
      <c r="X976" s="77"/>
      <c r="Y976" s="77"/>
      <c r="Z976" s="77"/>
      <c r="AA976" s="83"/>
      <c r="AB976" s="104" t="str">
        <f>IFERROR(VLOOKUP(Anexo_4[[#This Row],[cuenta]],OP,2,0),"-")</f>
        <v>-</v>
      </c>
    </row>
    <row r="977" spans="1:28" s="84" customFormat="1" ht="27" customHeight="1" x14ac:dyDescent="0.3">
      <c r="A977" s="75" t="s">
        <v>1717</v>
      </c>
      <c r="B977" s="36" t="str">
        <f t="shared" si="15"/>
        <v>Julio</v>
      </c>
      <c r="C977" s="77" t="s">
        <v>162</v>
      </c>
      <c r="D977" s="77" t="s">
        <v>3275</v>
      </c>
      <c r="E977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977" s="79"/>
      <c r="G977" s="79"/>
      <c r="H977" s="140"/>
      <c r="I977" s="77" t="s">
        <v>1212</v>
      </c>
      <c r="J977" s="144" t="s">
        <v>1213</v>
      </c>
      <c r="K977" s="77" t="s">
        <v>169</v>
      </c>
      <c r="L977" s="103" t="str">
        <f>VLOOKUP(Anexo_4[[#This Row],[cod_doc]],TIPODOC,2,FALSE)</f>
        <v>FACTURA</v>
      </c>
      <c r="M977" s="77" t="s">
        <v>180</v>
      </c>
      <c r="N977" s="79" t="s">
        <v>3276</v>
      </c>
      <c r="O977" s="80">
        <v>2245.7600000000002</v>
      </c>
      <c r="P977" s="81"/>
      <c r="Q977" s="81">
        <v>404.24</v>
      </c>
      <c r="R977" s="80"/>
      <c r="S977" s="80">
        <v>0</v>
      </c>
      <c r="T977" s="82">
        <v>2650</v>
      </c>
      <c r="U977" s="77" t="s">
        <v>3277</v>
      </c>
      <c r="V977" s="75" t="s">
        <v>2494</v>
      </c>
      <c r="W977" s="77"/>
      <c r="X977" s="77"/>
      <c r="Y977" s="77"/>
      <c r="Z977" s="77"/>
      <c r="AA977" s="83"/>
      <c r="AB977" s="104" t="str">
        <f>IFERROR(VLOOKUP(Anexo_4[[#This Row],[cuenta]],OP,2,0),"-")</f>
        <v>-</v>
      </c>
    </row>
    <row r="978" spans="1:28" s="84" customFormat="1" ht="27" customHeight="1" x14ac:dyDescent="0.3">
      <c r="A978" s="75" t="s">
        <v>1430</v>
      </c>
      <c r="B978" s="36" t="str">
        <f t="shared" si="15"/>
        <v>Julio</v>
      </c>
      <c r="C978" s="77" t="s">
        <v>162</v>
      </c>
      <c r="D978" s="77" t="s">
        <v>3278</v>
      </c>
      <c r="E978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978" s="79"/>
      <c r="G978" s="79"/>
      <c r="H978" s="140"/>
      <c r="I978" s="77" t="s">
        <v>3279</v>
      </c>
      <c r="J978" s="144" t="s">
        <v>3280</v>
      </c>
      <c r="K978" s="77" t="s">
        <v>169</v>
      </c>
      <c r="L978" s="103" t="str">
        <f>VLOOKUP(Anexo_4[[#This Row],[cod_doc]],TIPODOC,2,FALSE)</f>
        <v>FACTURA</v>
      </c>
      <c r="M978" s="77" t="s">
        <v>102</v>
      </c>
      <c r="N978" s="79" t="s">
        <v>3281</v>
      </c>
      <c r="O978" s="80">
        <v>1700</v>
      </c>
      <c r="P978" s="81"/>
      <c r="Q978" s="81">
        <v>306</v>
      </c>
      <c r="R978" s="80"/>
      <c r="S978" s="80">
        <v>0</v>
      </c>
      <c r="T978" s="82">
        <v>2006</v>
      </c>
      <c r="U978" s="77" t="s">
        <v>3282</v>
      </c>
      <c r="V978" s="75" t="s">
        <v>3283</v>
      </c>
      <c r="W978" s="77"/>
      <c r="X978" s="77"/>
      <c r="Y978" s="77"/>
      <c r="Z978" s="77"/>
      <c r="AA978" s="83"/>
      <c r="AB978" s="104" t="str">
        <f>IFERROR(VLOOKUP(Anexo_4[[#This Row],[cuenta]],OP,2,0),"-")</f>
        <v>-</v>
      </c>
    </row>
    <row r="979" spans="1:28" s="84" customFormat="1" ht="27" customHeight="1" x14ac:dyDescent="0.3">
      <c r="A979" s="75" t="s">
        <v>1623</v>
      </c>
      <c r="B979" s="36" t="str">
        <f t="shared" si="15"/>
        <v>Julio</v>
      </c>
      <c r="C979" s="77" t="s">
        <v>162</v>
      </c>
      <c r="D979" s="77" t="s">
        <v>3284</v>
      </c>
      <c r="E979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979" s="79"/>
      <c r="G979" s="79"/>
      <c r="H979" s="140"/>
      <c r="I979" s="77" t="s">
        <v>3285</v>
      </c>
      <c r="J979" s="144" t="s">
        <v>3286</v>
      </c>
      <c r="K979" s="77" t="s">
        <v>169</v>
      </c>
      <c r="L979" s="103" t="str">
        <f>VLOOKUP(Anexo_4[[#This Row],[cod_doc]],TIPODOC,2,FALSE)</f>
        <v>FACTURA</v>
      </c>
      <c r="M979" s="77" t="s">
        <v>222</v>
      </c>
      <c r="N979" s="79" t="s">
        <v>3287</v>
      </c>
      <c r="O979" s="80">
        <v>0</v>
      </c>
      <c r="P979" s="81"/>
      <c r="Q979" s="81">
        <v>0</v>
      </c>
      <c r="R979" s="80"/>
      <c r="S979" s="80">
        <v>280</v>
      </c>
      <c r="T979" s="82">
        <v>280</v>
      </c>
      <c r="U979" s="77"/>
      <c r="V979" s="75"/>
      <c r="W979" s="77"/>
      <c r="X979" s="77"/>
      <c r="Y979" s="77"/>
      <c r="Z979" s="77"/>
      <c r="AA979" s="83"/>
      <c r="AB979" s="104" t="str">
        <f>IFERROR(VLOOKUP(Anexo_4[[#This Row],[cuenta]],OP,2,0),"-")</f>
        <v>-</v>
      </c>
    </row>
    <row r="980" spans="1:28" s="84" customFormat="1" ht="27" customHeight="1" x14ac:dyDescent="0.3">
      <c r="A980" s="75" t="s">
        <v>1843</v>
      </c>
      <c r="B980" s="36" t="str">
        <f t="shared" si="15"/>
        <v>Julio</v>
      </c>
      <c r="C980" s="77" t="s">
        <v>162</v>
      </c>
      <c r="D980" s="77" t="s">
        <v>3288</v>
      </c>
      <c r="E980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980" s="79" t="s">
        <v>355</v>
      </c>
      <c r="G980" s="79" t="s">
        <v>356</v>
      </c>
      <c r="H980" s="140" t="s">
        <v>3289</v>
      </c>
      <c r="I980" s="77" t="s">
        <v>1074</v>
      </c>
      <c r="J980" s="144" t="s">
        <v>1075</v>
      </c>
      <c r="K980" s="77" t="s">
        <v>169</v>
      </c>
      <c r="L980" s="103" t="str">
        <f>VLOOKUP(Anexo_4[[#This Row],[cod_doc]],TIPODOC,2,FALSE)</f>
        <v>FACTURA</v>
      </c>
      <c r="M980" s="77" t="s">
        <v>102</v>
      </c>
      <c r="N980" s="79">
        <v>2368</v>
      </c>
      <c r="O980" s="80">
        <v>100</v>
      </c>
      <c r="P980" s="81"/>
      <c r="Q980" s="81">
        <v>18</v>
      </c>
      <c r="R980" s="80"/>
      <c r="S980" s="80">
        <v>0</v>
      </c>
      <c r="T980" s="82">
        <v>118</v>
      </c>
      <c r="U980" s="77"/>
      <c r="V980" s="75"/>
      <c r="W980" s="77"/>
      <c r="X980" s="77"/>
      <c r="Y980" s="77"/>
      <c r="Z980" s="77" t="s">
        <v>645</v>
      </c>
      <c r="AA980" s="83" t="s">
        <v>3289</v>
      </c>
      <c r="AB980" s="104" t="str">
        <f>IFERROR(VLOOKUP(Anexo_4[[#This Row],[cuenta]],OP,2,0),"-")</f>
        <v>Montacarga - Servicios</v>
      </c>
    </row>
    <row r="981" spans="1:28" s="84" customFormat="1" ht="27" customHeight="1" x14ac:dyDescent="0.3">
      <c r="A981" s="75" t="s">
        <v>1843</v>
      </c>
      <c r="B981" s="36" t="str">
        <f t="shared" si="15"/>
        <v>Julio</v>
      </c>
      <c r="C981" s="77" t="s">
        <v>162</v>
      </c>
      <c r="D981" s="77" t="s">
        <v>3290</v>
      </c>
      <c r="E98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981" s="79" t="s">
        <v>355</v>
      </c>
      <c r="G981" s="79" t="s">
        <v>356</v>
      </c>
      <c r="H981" s="140" t="s">
        <v>3291</v>
      </c>
      <c r="I981" s="77" t="s">
        <v>1074</v>
      </c>
      <c r="J981" s="144" t="s">
        <v>1075</v>
      </c>
      <c r="K981" s="77" t="s">
        <v>169</v>
      </c>
      <c r="L981" s="103" t="str">
        <f>VLOOKUP(Anexo_4[[#This Row],[cod_doc]],TIPODOC,2,FALSE)</f>
        <v>FACTURA</v>
      </c>
      <c r="M981" s="77" t="s">
        <v>102</v>
      </c>
      <c r="N981" s="79">
        <v>2369</v>
      </c>
      <c r="O981" s="80">
        <v>150</v>
      </c>
      <c r="P981" s="81"/>
      <c r="Q981" s="81">
        <v>27</v>
      </c>
      <c r="R981" s="80"/>
      <c r="S981" s="80">
        <v>0</v>
      </c>
      <c r="T981" s="82">
        <v>177</v>
      </c>
      <c r="U981" s="77"/>
      <c r="V981" s="75"/>
      <c r="W981" s="77"/>
      <c r="X981" s="77"/>
      <c r="Y981" s="77"/>
      <c r="Z981" s="77" t="s">
        <v>645</v>
      </c>
      <c r="AA981" s="83" t="s">
        <v>3291</v>
      </c>
      <c r="AB981" s="104" t="str">
        <f>IFERROR(VLOOKUP(Anexo_4[[#This Row],[cuenta]],OP,2,0),"-")</f>
        <v>Montacarga - Servicios</v>
      </c>
    </row>
    <row r="982" spans="1:28" s="84" customFormat="1" ht="27" customHeight="1" x14ac:dyDescent="0.3">
      <c r="A982" s="75" t="s">
        <v>3026</v>
      </c>
      <c r="B982" s="36" t="str">
        <f t="shared" si="15"/>
        <v>Julio</v>
      </c>
      <c r="C982" s="77" t="s">
        <v>162</v>
      </c>
      <c r="D982" s="77" t="s">
        <v>3292</v>
      </c>
      <c r="E98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982" s="79" t="s">
        <v>449</v>
      </c>
      <c r="G982" s="79" t="s">
        <v>450</v>
      </c>
      <c r="H982" s="140" t="s">
        <v>3293</v>
      </c>
      <c r="I982" s="77" t="s">
        <v>1809</v>
      </c>
      <c r="J982" s="144" t="s">
        <v>1810</v>
      </c>
      <c r="K982" s="77" t="s">
        <v>169</v>
      </c>
      <c r="L982" s="103" t="str">
        <f>VLOOKUP(Anexo_4[[#This Row],[cod_doc]],TIPODOC,2,FALSE)</f>
        <v>FACTURA</v>
      </c>
      <c r="M982" s="77" t="s">
        <v>102</v>
      </c>
      <c r="N982" s="79">
        <v>48</v>
      </c>
      <c r="O982" s="80">
        <v>1339.5</v>
      </c>
      <c r="P982" s="81"/>
      <c r="Q982" s="81">
        <v>241.10999999999999</v>
      </c>
      <c r="R982" s="80"/>
      <c r="S982" s="80">
        <v>0</v>
      </c>
      <c r="T982" s="82">
        <v>1580.61</v>
      </c>
      <c r="U982" s="77"/>
      <c r="V982" s="75"/>
      <c r="W982" s="77"/>
      <c r="X982" s="77"/>
      <c r="Y982" s="77"/>
      <c r="Z982" s="77" t="s">
        <v>223</v>
      </c>
      <c r="AA982" s="83" t="s">
        <v>3293</v>
      </c>
      <c r="AB982" s="104" t="str">
        <f>IFERROR(VLOOKUP(Anexo_4[[#This Row],[cuenta]],OP,2,0),"-")</f>
        <v>Mantenimiento Vehicular (Preventivo)</v>
      </c>
    </row>
    <row r="983" spans="1:28" s="84" customFormat="1" ht="27" customHeight="1" x14ac:dyDescent="0.3">
      <c r="A983" s="75" t="s">
        <v>3026</v>
      </c>
      <c r="B983" s="36" t="str">
        <f t="shared" si="15"/>
        <v>Julio</v>
      </c>
      <c r="C983" s="77" t="s">
        <v>162</v>
      </c>
      <c r="D983" s="77" t="s">
        <v>3294</v>
      </c>
      <c r="E983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983" s="79" t="s">
        <v>449</v>
      </c>
      <c r="G983" s="79" t="s">
        <v>450</v>
      </c>
      <c r="H983" s="140" t="s">
        <v>3295</v>
      </c>
      <c r="I983" s="77" t="s">
        <v>1809</v>
      </c>
      <c r="J983" s="144" t="s">
        <v>1810</v>
      </c>
      <c r="K983" s="77" t="s">
        <v>169</v>
      </c>
      <c r="L983" s="103" t="str">
        <f>VLOOKUP(Anexo_4[[#This Row],[cod_doc]],TIPODOC,2,FALSE)</f>
        <v>FACTURA</v>
      </c>
      <c r="M983" s="77" t="s">
        <v>102</v>
      </c>
      <c r="N983" s="79">
        <v>49</v>
      </c>
      <c r="O983" s="80">
        <v>1200</v>
      </c>
      <c r="P983" s="81"/>
      <c r="Q983" s="81">
        <v>216</v>
      </c>
      <c r="R983" s="80"/>
      <c r="S983" s="80">
        <v>0</v>
      </c>
      <c r="T983" s="82">
        <v>1416</v>
      </c>
      <c r="U983" s="77"/>
      <c r="V983" s="75"/>
      <c r="W983" s="77"/>
      <c r="X983" s="77"/>
      <c r="Y983" s="77"/>
      <c r="Z983" s="77" t="s">
        <v>223</v>
      </c>
      <c r="AA983" s="83" t="s">
        <v>3295</v>
      </c>
      <c r="AB983" s="104" t="str">
        <f>IFERROR(VLOOKUP(Anexo_4[[#This Row],[cuenta]],OP,2,0),"-")</f>
        <v>Mantenimiento Vehicular (Preventivo)</v>
      </c>
    </row>
    <row r="984" spans="1:28" s="84" customFormat="1" ht="27" customHeight="1" x14ac:dyDescent="0.3">
      <c r="A984" s="75" t="s">
        <v>2564</v>
      </c>
      <c r="B984" s="36" t="str">
        <f t="shared" si="15"/>
        <v>Julio</v>
      </c>
      <c r="C984" s="77" t="s">
        <v>162</v>
      </c>
      <c r="D984" s="77" t="s">
        <v>3296</v>
      </c>
      <c r="E984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984" s="79" t="s">
        <v>355</v>
      </c>
      <c r="G984" s="79" t="s">
        <v>356</v>
      </c>
      <c r="H984" s="140" t="s">
        <v>3289</v>
      </c>
      <c r="I984" s="77" t="s">
        <v>1074</v>
      </c>
      <c r="J984" s="144" t="s">
        <v>1075</v>
      </c>
      <c r="K984" s="77" t="s">
        <v>169</v>
      </c>
      <c r="L984" s="103" t="str">
        <f>VLOOKUP(Anexo_4[[#This Row],[cod_doc]],TIPODOC,2,FALSE)</f>
        <v>FACTURA</v>
      </c>
      <c r="M984" s="77" t="s">
        <v>102</v>
      </c>
      <c r="N984" s="79">
        <v>2384</v>
      </c>
      <c r="O984" s="80">
        <v>80</v>
      </c>
      <c r="P984" s="81"/>
      <c r="Q984" s="81">
        <v>14.399999999999999</v>
      </c>
      <c r="R984" s="80"/>
      <c r="S984" s="80">
        <v>0</v>
      </c>
      <c r="T984" s="82">
        <v>94.4</v>
      </c>
      <c r="U984" s="77"/>
      <c r="V984" s="75"/>
      <c r="W984" s="77"/>
      <c r="X984" s="77"/>
      <c r="Y984" s="77"/>
      <c r="Z984" s="77" t="s">
        <v>645</v>
      </c>
      <c r="AA984" s="83" t="s">
        <v>3289</v>
      </c>
      <c r="AB984" s="104" t="str">
        <f>IFERROR(VLOOKUP(Anexo_4[[#This Row],[cuenta]],OP,2,0),"-")</f>
        <v>Montacarga - Servicios</v>
      </c>
    </row>
    <row r="985" spans="1:28" s="84" customFormat="1" ht="27" customHeight="1" x14ac:dyDescent="0.3">
      <c r="A985" s="75" t="s">
        <v>2662</v>
      </c>
      <c r="B985" s="36" t="str">
        <f t="shared" si="15"/>
        <v>Julio</v>
      </c>
      <c r="C985" s="77" t="s">
        <v>162</v>
      </c>
      <c r="D985" s="77" t="s">
        <v>3297</v>
      </c>
      <c r="E98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985" s="79" t="s">
        <v>355</v>
      </c>
      <c r="G985" s="79" t="s">
        <v>356</v>
      </c>
      <c r="H985" s="140" t="s">
        <v>3298</v>
      </c>
      <c r="I985" s="77" t="s">
        <v>643</v>
      </c>
      <c r="J985" s="144" t="s">
        <v>644</v>
      </c>
      <c r="K985" s="77" t="s">
        <v>169</v>
      </c>
      <c r="L985" s="103" t="str">
        <f>VLOOKUP(Anexo_4[[#This Row],[cod_doc]],TIPODOC,2,FALSE)</f>
        <v>FACTURA</v>
      </c>
      <c r="M985" s="77" t="s">
        <v>102</v>
      </c>
      <c r="N985" s="79">
        <v>4083</v>
      </c>
      <c r="O985" s="80">
        <v>170</v>
      </c>
      <c r="P985" s="81"/>
      <c r="Q985" s="81">
        <v>30.599999999999998</v>
      </c>
      <c r="R985" s="80"/>
      <c r="S985" s="80">
        <v>0</v>
      </c>
      <c r="T985" s="82">
        <v>200.6</v>
      </c>
      <c r="U985" s="77"/>
      <c r="V985" s="75"/>
      <c r="W985" s="77"/>
      <c r="X985" s="77"/>
      <c r="Y985" s="77"/>
      <c r="Z985" s="77" t="s">
        <v>645</v>
      </c>
      <c r="AA985" s="83" t="s">
        <v>3298</v>
      </c>
      <c r="AB985" s="104" t="str">
        <f>IFERROR(VLOOKUP(Anexo_4[[#This Row],[cuenta]],OP,2,0),"-")</f>
        <v>Montacarga - Servicios</v>
      </c>
    </row>
    <row r="986" spans="1:28" s="84" customFormat="1" ht="27" customHeight="1" x14ac:dyDescent="0.3">
      <c r="A986" s="75" t="s">
        <v>2564</v>
      </c>
      <c r="B986" s="36" t="str">
        <f t="shared" si="15"/>
        <v>Julio</v>
      </c>
      <c r="C986" s="77" t="s">
        <v>162</v>
      </c>
      <c r="D986" s="77" t="s">
        <v>3299</v>
      </c>
      <c r="E986" s="78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986" s="79" t="s">
        <v>198</v>
      </c>
      <c r="G986" s="79" t="s">
        <v>199</v>
      </c>
      <c r="H986" s="140" t="s">
        <v>3300</v>
      </c>
      <c r="I986" s="77" t="s">
        <v>643</v>
      </c>
      <c r="J986" s="144" t="s">
        <v>644</v>
      </c>
      <c r="K986" s="77" t="s">
        <v>169</v>
      </c>
      <c r="L986" s="103" t="str">
        <f>VLOOKUP(Anexo_4[[#This Row],[cod_doc]],TIPODOC,2,FALSE)</f>
        <v>FACTURA</v>
      </c>
      <c r="M986" s="77" t="s">
        <v>102</v>
      </c>
      <c r="N986" s="79">
        <v>4058</v>
      </c>
      <c r="O986" s="80">
        <v>297.5</v>
      </c>
      <c r="P986" s="81"/>
      <c r="Q986" s="81">
        <v>53.55</v>
      </c>
      <c r="R986" s="80"/>
      <c r="S986" s="80">
        <v>0</v>
      </c>
      <c r="T986" s="82">
        <v>351.05</v>
      </c>
      <c r="U986" s="77"/>
      <c r="V986" s="75"/>
      <c r="W986" s="77"/>
      <c r="X986" s="77"/>
      <c r="Y986" s="77"/>
      <c r="Z986" s="77" t="s">
        <v>648</v>
      </c>
      <c r="AA986" s="83" t="s">
        <v>3300</v>
      </c>
      <c r="AB986" s="104" t="str">
        <f>IFERROR(VLOOKUP(Anexo_4[[#This Row],[cuenta]],OP,2,0),"-")</f>
        <v>Montacarga - Ventas</v>
      </c>
    </row>
    <row r="987" spans="1:28" s="84" customFormat="1" ht="27" customHeight="1" x14ac:dyDescent="0.3">
      <c r="A987" s="75" t="s">
        <v>2662</v>
      </c>
      <c r="B987" s="36" t="str">
        <f t="shared" si="15"/>
        <v>Julio</v>
      </c>
      <c r="C987" s="77" t="s">
        <v>162</v>
      </c>
      <c r="D987" s="77" t="s">
        <v>3301</v>
      </c>
      <c r="E987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987" s="79" t="s">
        <v>355</v>
      </c>
      <c r="G987" s="79" t="s">
        <v>356</v>
      </c>
      <c r="H987" s="140" t="s">
        <v>3302</v>
      </c>
      <c r="I987" s="77" t="s">
        <v>643</v>
      </c>
      <c r="J987" s="144" t="s">
        <v>644</v>
      </c>
      <c r="K987" s="77" t="s">
        <v>169</v>
      </c>
      <c r="L987" s="103" t="str">
        <f>VLOOKUP(Anexo_4[[#This Row],[cod_doc]],TIPODOC,2,FALSE)</f>
        <v>FACTURA</v>
      </c>
      <c r="M987" s="77" t="s">
        <v>102</v>
      </c>
      <c r="N987" s="79">
        <v>4081</v>
      </c>
      <c r="O987" s="80">
        <v>382.5</v>
      </c>
      <c r="P987" s="81"/>
      <c r="Q987" s="81">
        <v>68.849999999999994</v>
      </c>
      <c r="R987" s="80"/>
      <c r="S987" s="80">
        <v>0</v>
      </c>
      <c r="T987" s="82">
        <v>451.35</v>
      </c>
      <c r="U987" s="77"/>
      <c r="V987" s="75"/>
      <c r="W987" s="77"/>
      <c r="X987" s="77"/>
      <c r="Y987" s="77"/>
      <c r="Z987" s="77" t="s">
        <v>645</v>
      </c>
      <c r="AA987" s="83" t="s">
        <v>3302</v>
      </c>
      <c r="AB987" s="104" t="str">
        <f>IFERROR(VLOOKUP(Anexo_4[[#This Row],[cuenta]],OP,2,0),"-")</f>
        <v>Montacarga - Servicios</v>
      </c>
    </row>
    <row r="988" spans="1:28" s="84" customFormat="1" ht="27" customHeight="1" x14ac:dyDescent="0.3">
      <c r="A988" s="75" t="s">
        <v>2349</v>
      </c>
      <c r="B988" s="36" t="str">
        <f t="shared" si="15"/>
        <v>Julio</v>
      </c>
      <c r="C988" s="77" t="s">
        <v>162</v>
      </c>
      <c r="D988" s="77" t="s">
        <v>3303</v>
      </c>
      <c r="E988" s="78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988" s="79" t="s">
        <v>198</v>
      </c>
      <c r="G988" s="79" t="s">
        <v>199</v>
      </c>
      <c r="H988" s="140" t="s">
        <v>3304</v>
      </c>
      <c r="I988" s="77" t="s">
        <v>1212</v>
      </c>
      <c r="J988" s="144" t="s">
        <v>1213</v>
      </c>
      <c r="K988" s="77" t="s">
        <v>169</v>
      </c>
      <c r="L988" s="103" t="str">
        <f>VLOOKUP(Anexo_4[[#This Row],[cod_doc]],TIPODOC,2,FALSE)</f>
        <v>FACTURA</v>
      </c>
      <c r="M988" s="77" t="s">
        <v>180</v>
      </c>
      <c r="N988" s="79">
        <v>1822</v>
      </c>
      <c r="O988" s="80">
        <v>2245.7600000000002</v>
      </c>
      <c r="P988" s="81"/>
      <c r="Q988" s="81">
        <v>404.23680000000002</v>
      </c>
      <c r="R988" s="80"/>
      <c r="S988" s="80">
        <v>0</v>
      </c>
      <c r="T988" s="82">
        <v>2650</v>
      </c>
      <c r="U988" s="77" t="s">
        <v>3305</v>
      </c>
      <c r="V988" s="75" t="s">
        <v>2494</v>
      </c>
      <c r="W988" s="77"/>
      <c r="X988" s="77"/>
      <c r="Y988" s="77"/>
      <c r="Z988" s="77" t="s">
        <v>468</v>
      </c>
      <c r="AA988" s="83" t="s">
        <v>3304</v>
      </c>
      <c r="AB988" s="104" t="str">
        <f>IFERROR(VLOOKUP(Anexo_4[[#This Row],[cuenta]],OP,2,0),"-")</f>
        <v>Transporte de Carga  - Ventas</v>
      </c>
    </row>
    <row r="989" spans="1:28" s="84" customFormat="1" ht="27" customHeight="1" x14ac:dyDescent="0.3">
      <c r="A989" s="75" t="s">
        <v>2564</v>
      </c>
      <c r="B989" s="36" t="str">
        <f t="shared" si="15"/>
        <v>Julio</v>
      </c>
      <c r="C989" s="77" t="s">
        <v>162</v>
      </c>
      <c r="D989" s="77" t="s">
        <v>3306</v>
      </c>
      <c r="E989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989" s="79" t="s">
        <v>248</v>
      </c>
      <c r="G989" s="79" t="s">
        <v>249</v>
      </c>
      <c r="H989" s="140" t="s">
        <v>3307</v>
      </c>
      <c r="I989" s="77" t="s">
        <v>625</v>
      </c>
      <c r="J989" s="144" t="s">
        <v>626</v>
      </c>
      <c r="K989" s="77" t="s">
        <v>169</v>
      </c>
      <c r="L989" s="103" t="str">
        <f>VLOOKUP(Anexo_4[[#This Row],[cod_doc]],TIPODOC,2,FALSE)</f>
        <v>FACTURA</v>
      </c>
      <c r="M989" s="77" t="s">
        <v>180</v>
      </c>
      <c r="N989" s="79">
        <v>16475</v>
      </c>
      <c r="O989" s="80">
        <v>305.44</v>
      </c>
      <c r="P989" s="81"/>
      <c r="Q989" s="81">
        <v>54.979199999999999</v>
      </c>
      <c r="R989" s="80"/>
      <c r="S989" s="80">
        <v>0</v>
      </c>
      <c r="T989" s="82">
        <v>360.41</v>
      </c>
      <c r="U989" s="77" t="s">
        <v>3308</v>
      </c>
      <c r="V989" s="75" t="s">
        <v>2494</v>
      </c>
      <c r="W989" s="77"/>
      <c r="X989" s="77"/>
      <c r="Y989" s="77" t="s">
        <v>3309</v>
      </c>
      <c r="Z989" s="77" t="s">
        <v>256</v>
      </c>
      <c r="AA989" s="83" t="s">
        <v>3307</v>
      </c>
      <c r="AB989" s="104" t="str">
        <f>IFERROR(VLOOKUP(Anexo_4[[#This Row],[cuenta]],OP,2,0),"-")</f>
        <v>Materias Primas - RRSS</v>
      </c>
    </row>
    <row r="990" spans="1:28" s="84" customFormat="1" ht="27" customHeight="1" x14ac:dyDescent="0.3">
      <c r="A990" s="75" t="s">
        <v>2564</v>
      </c>
      <c r="B990" s="36" t="str">
        <f t="shared" si="15"/>
        <v>Julio</v>
      </c>
      <c r="C990" s="77" t="s">
        <v>162</v>
      </c>
      <c r="D990" s="77" t="s">
        <v>3310</v>
      </c>
      <c r="E990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990" s="79" t="s">
        <v>248</v>
      </c>
      <c r="G990" s="79" t="s">
        <v>249</v>
      </c>
      <c r="H990" s="140" t="s">
        <v>3311</v>
      </c>
      <c r="I990" s="77" t="s">
        <v>625</v>
      </c>
      <c r="J990" s="144" t="s">
        <v>626</v>
      </c>
      <c r="K990" s="77" t="s">
        <v>169</v>
      </c>
      <c r="L990" s="103" t="str">
        <f>VLOOKUP(Anexo_4[[#This Row],[cod_doc]],TIPODOC,2,FALSE)</f>
        <v>FACTURA</v>
      </c>
      <c r="M990" s="77" t="s">
        <v>180</v>
      </c>
      <c r="N990" s="79">
        <v>16474</v>
      </c>
      <c r="O990" s="80">
        <v>239.23</v>
      </c>
      <c r="P990" s="81"/>
      <c r="Q990" s="81">
        <v>43.061399999999999</v>
      </c>
      <c r="R990" s="80"/>
      <c r="S990" s="80">
        <v>0</v>
      </c>
      <c r="T990" s="82">
        <v>282.31</v>
      </c>
      <c r="U990" s="77" t="s">
        <v>3312</v>
      </c>
      <c r="V990" s="75" t="s">
        <v>2494</v>
      </c>
      <c r="W990" s="77"/>
      <c r="X990" s="77"/>
      <c r="Y990" s="77" t="s">
        <v>3313</v>
      </c>
      <c r="Z990" s="77" t="s">
        <v>256</v>
      </c>
      <c r="AA990" s="83" t="s">
        <v>3311</v>
      </c>
      <c r="AB990" s="104" t="str">
        <f>IFERROR(VLOOKUP(Anexo_4[[#This Row],[cuenta]],OP,2,0),"-")</f>
        <v>Materias Primas - RRSS</v>
      </c>
    </row>
    <row r="991" spans="1:28" s="84" customFormat="1" ht="27" customHeight="1" x14ac:dyDescent="0.3">
      <c r="A991" s="75" t="s">
        <v>2675</v>
      </c>
      <c r="B991" s="36" t="str">
        <f t="shared" si="15"/>
        <v>Julio</v>
      </c>
      <c r="C991" s="77" t="s">
        <v>162</v>
      </c>
      <c r="D991" s="77" t="s">
        <v>3314</v>
      </c>
      <c r="E991" s="78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991" s="79" t="s">
        <v>198</v>
      </c>
      <c r="G991" s="79" t="s">
        <v>199</v>
      </c>
      <c r="H991" s="140" t="s">
        <v>3315</v>
      </c>
      <c r="I991" s="77" t="s">
        <v>1212</v>
      </c>
      <c r="J991" s="144" t="s">
        <v>1213</v>
      </c>
      <c r="K991" s="77" t="s">
        <v>169</v>
      </c>
      <c r="L991" s="103" t="str">
        <f>VLOOKUP(Anexo_4[[#This Row],[cod_doc]],TIPODOC,2,FALSE)</f>
        <v>FACTURA</v>
      </c>
      <c r="M991" s="77" t="s">
        <v>180</v>
      </c>
      <c r="N991" s="79">
        <v>1833</v>
      </c>
      <c r="O991" s="80">
        <v>1186.44</v>
      </c>
      <c r="P991" s="81"/>
      <c r="Q991" s="81">
        <v>213.5592</v>
      </c>
      <c r="R991" s="80"/>
      <c r="S991" s="80">
        <v>0</v>
      </c>
      <c r="T991" s="82">
        <v>1400</v>
      </c>
      <c r="U991" s="77" t="s">
        <v>3316</v>
      </c>
      <c r="V991" s="75" t="s">
        <v>2494</v>
      </c>
      <c r="W991" s="77"/>
      <c r="X991" s="77"/>
      <c r="Y991" s="77"/>
      <c r="Z991" s="77" t="s">
        <v>468</v>
      </c>
      <c r="AA991" s="83" t="s">
        <v>3315</v>
      </c>
      <c r="AB991" s="104" t="str">
        <f>IFERROR(VLOOKUP(Anexo_4[[#This Row],[cuenta]],OP,2,0),"-")</f>
        <v>Transporte de Carga  - Ventas</v>
      </c>
    </row>
    <row r="992" spans="1:28" s="84" customFormat="1" ht="27" customHeight="1" x14ac:dyDescent="0.3">
      <c r="A992" s="75" t="s">
        <v>1827</v>
      </c>
      <c r="B992" s="36" t="str">
        <f t="shared" si="15"/>
        <v>Julio</v>
      </c>
      <c r="C992" s="77" t="s">
        <v>162</v>
      </c>
      <c r="D992" s="77" t="s">
        <v>3317</v>
      </c>
      <c r="E992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992" s="79"/>
      <c r="G992" s="79"/>
      <c r="H992" s="140"/>
      <c r="I992" s="77" t="s">
        <v>1074</v>
      </c>
      <c r="J992" s="144" t="s">
        <v>1075</v>
      </c>
      <c r="K992" s="77" t="s">
        <v>169</v>
      </c>
      <c r="L992" s="103" t="str">
        <f>VLOOKUP(Anexo_4[[#This Row],[cod_doc]],TIPODOC,2,FALSE)</f>
        <v>FACTURA</v>
      </c>
      <c r="M992" s="77" t="s">
        <v>102</v>
      </c>
      <c r="N992" s="79" t="s">
        <v>3318</v>
      </c>
      <c r="O992" s="80">
        <v>60</v>
      </c>
      <c r="P992" s="81"/>
      <c r="Q992" s="81">
        <v>10.8</v>
      </c>
      <c r="R992" s="80"/>
      <c r="S992" s="80">
        <v>0</v>
      </c>
      <c r="T992" s="82">
        <v>70.8</v>
      </c>
      <c r="U992" s="77"/>
      <c r="V992" s="75"/>
      <c r="W992" s="77"/>
      <c r="X992" s="77"/>
      <c r="Y992" s="77"/>
      <c r="Z992" s="77"/>
      <c r="AA992" s="83"/>
      <c r="AB992" s="104" t="str">
        <f>IFERROR(VLOOKUP(Anexo_4[[#This Row],[cuenta]],OP,2,0),"-")</f>
        <v>-</v>
      </c>
    </row>
    <row r="993" spans="1:28" s="84" customFormat="1" ht="27" customHeight="1" x14ac:dyDescent="0.3">
      <c r="A993" s="75" t="s">
        <v>2662</v>
      </c>
      <c r="B993" s="36" t="str">
        <f t="shared" si="15"/>
        <v>Julio</v>
      </c>
      <c r="C993" s="77" t="s">
        <v>162</v>
      </c>
      <c r="D993" s="77" t="s">
        <v>3319</v>
      </c>
      <c r="E993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993" s="79" t="s">
        <v>442</v>
      </c>
      <c r="G993" s="79" t="s">
        <v>443</v>
      </c>
      <c r="H993" s="140" t="s">
        <v>3320</v>
      </c>
      <c r="I993" s="77" t="s">
        <v>844</v>
      </c>
      <c r="J993" s="144" t="s">
        <v>845</v>
      </c>
      <c r="K993" s="77" t="s">
        <v>169</v>
      </c>
      <c r="L993" s="103" t="str">
        <f>VLOOKUP(Anexo_4[[#This Row],[cod_doc]],TIPODOC,2,FALSE)</f>
        <v>FACTURA</v>
      </c>
      <c r="M993" s="77" t="s">
        <v>222</v>
      </c>
      <c r="N993" s="79">
        <v>17197</v>
      </c>
      <c r="O993" s="80">
        <v>2268</v>
      </c>
      <c r="P993" s="81"/>
      <c r="Q993" s="81">
        <v>408.24</v>
      </c>
      <c r="R993" s="80"/>
      <c r="S993" s="80">
        <v>0</v>
      </c>
      <c r="T993" s="82">
        <v>2676.24</v>
      </c>
      <c r="U993" s="77"/>
      <c r="V993" s="75"/>
      <c r="W993" s="77"/>
      <c r="X993" s="77"/>
      <c r="Y993" s="77"/>
      <c r="Z993" s="77" t="s">
        <v>846</v>
      </c>
      <c r="AA993" s="83" t="s">
        <v>3320</v>
      </c>
      <c r="AB993" s="104" t="str">
        <f>IFERROR(VLOOKUP(Anexo_4[[#This Row],[cuenta]],OP,2,0),"-")</f>
        <v>-</v>
      </c>
    </row>
    <row r="994" spans="1:28" s="84" customFormat="1" ht="27" customHeight="1" x14ac:dyDescent="0.3">
      <c r="A994" s="75" t="s">
        <v>3050</v>
      </c>
      <c r="B994" s="36" t="str">
        <f t="shared" si="15"/>
        <v>Julio</v>
      </c>
      <c r="C994" s="77" t="s">
        <v>162</v>
      </c>
      <c r="D994" s="77" t="s">
        <v>3321</v>
      </c>
      <c r="E994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994" s="79" t="s">
        <v>442</v>
      </c>
      <c r="G994" s="79" t="s">
        <v>443</v>
      </c>
      <c r="H994" s="140" t="s">
        <v>3322</v>
      </c>
      <c r="I994" s="77" t="s">
        <v>844</v>
      </c>
      <c r="J994" s="144" t="s">
        <v>845</v>
      </c>
      <c r="K994" s="77" t="s">
        <v>169</v>
      </c>
      <c r="L994" s="103" t="str">
        <f>VLOOKUP(Anexo_4[[#This Row],[cod_doc]],TIPODOC,2,FALSE)</f>
        <v>FACTURA</v>
      </c>
      <c r="M994" s="77" t="s">
        <v>222</v>
      </c>
      <c r="N994" s="79">
        <v>17235</v>
      </c>
      <c r="O994" s="80">
        <v>1081.7</v>
      </c>
      <c r="P994" s="81"/>
      <c r="Q994" s="81">
        <v>194.70599999999999</v>
      </c>
      <c r="R994" s="80"/>
      <c r="S994" s="80">
        <v>0</v>
      </c>
      <c r="T994" s="82">
        <v>1276.4100000000001</v>
      </c>
      <c r="U994" s="77"/>
      <c r="V994" s="75"/>
      <c r="W994" s="77"/>
      <c r="X994" s="77"/>
      <c r="Y994" s="77"/>
      <c r="Z994" s="77" t="s">
        <v>846</v>
      </c>
      <c r="AA994" s="83" t="s">
        <v>3322</v>
      </c>
      <c r="AB994" s="104" t="str">
        <f>IFERROR(VLOOKUP(Anexo_4[[#This Row],[cuenta]],OP,2,0),"-")</f>
        <v>-</v>
      </c>
    </row>
    <row r="995" spans="1:28" s="84" customFormat="1" ht="27" customHeight="1" x14ac:dyDescent="0.3">
      <c r="A995" s="75" t="s">
        <v>3050</v>
      </c>
      <c r="B995" s="36" t="str">
        <f t="shared" si="15"/>
        <v>Julio</v>
      </c>
      <c r="C995" s="77" t="s">
        <v>162</v>
      </c>
      <c r="D995" s="77" t="s">
        <v>3323</v>
      </c>
      <c r="E995" s="78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995" s="79" t="s">
        <v>198</v>
      </c>
      <c r="G995" s="79" t="s">
        <v>199</v>
      </c>
      <c r="H995" s="140" t="s">
        <v>3324</v>
      </c>
      <c r="I995" s="77" t="s">
        <v>933</v>
      </c>
      <c r="J995" s="144" t="s">
        <v>934</v>
      </c>
      <c r="K995" s="77" t="s">
        <v>169</v>
      </c>
      <c r="L995" s="103" t="str">
        <f>VLOOKUP(Anexo_4[[#This Row],[cod_doc]],TIPODOC,2,FALSE)</f>
        <v>FACTURA</v>
      </c>
      <c r="M995" s="77" t="s">
        <v>102</v>
      </c>
      <c r="N995" s="79">
        <v>535</v>
      </c>
      <c r="O995" s="80">
        <v>400</v>
      </c>
      <c r="P995" s="81"/>
      <c r="Q995" s="81">
        <v>72</v>
      </c>
      <c r="R995" s="80"/>
      <c r="S995" s="80">
        <v>0</v>
      </c>
      <c r="T995" s="82">
        <v>472</v>
      </c>
      <c r="U995" s="77" t="s">
        <v>3325</v>
      </c>
      <c r="V995" s="75" t="s">
        <v>2494</v>
      </c>
      <c r="W995" s="77"/>
      <c r="X995" s="77"/>
      <c r="Y995" s="77"/>
      <c r="Z995" s="77" t="s">
        <v>468</v>
      </c>
      <c r="AA995" s="83" t="s">
        <v>3324</v>
      </c>
      <c r="AB995" s="104" t="str">
        <f>IFERROR(VLOOKUP(Anexo_4[[#This Row],[cuenta]],OP,2,0),"-")</f>
        <v>Transporte de Carga  - Ventas</v>
      </c>
    </row>
    <row r="996" spans="1:28" s="84" customFormat="1" ht="27" customHeight="1" x14ac:dyDescent="0.3">
      <c r="A996" s="75" t="s">
        <v>3050</v>
      </c>
      <c r="B996" s="36" t="str">
        <f t="shared" si="15"/>
        <v>Julio</v>
      </c>
      <c r="C996" s="77" t="s">
        <v>162</v>
      </c>
      <c r="D996" s="77" t="s">
        <v>3326</v>
      </c>
      <c r="E99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996" s="79" t="s">
        <v>235</v>
      </c>
      <c r="G996" s="79" t="s">
        <v>236</v>
      </c>
      <c r="H996" s="140" t="s">
        <v>3327</v>
      </c>
      <c r="I996" s="77" t="s">
        <v>264</v>
      </c>
      <c r="J996" s="144" t="s">
        <v>265</v>
      </c>
      <c r="K996" s="77" t="s">
        <v>169</v>
      </c>
      <c r="L996" s="103" t="str">
        <f>VLOOKUP(Anexo_4[[#This Row],[cod_doc]],TIPODOC,2,FALSE)</f>
        <v>FACTURA</v>
      </c>
      <c r="M996" s="77" t="s">
        <v>379</v>
      </c>
      <c r="N996" s="79">
        <v>2129272</v>
      </c>
      <c r="O996" s="80">
        <v>6.78</v>
      </c>
      <c r="P996" s="81"/>
      <c r="Q996" s="81">
        <v>1.2203999999999999</v>
      </c>
      <c r="R996" s="80"/>
      <c r="S996" s="80">
        <v>0</v>
      </c>
      <c r="T996" s="82">
        <v>8</v>
      </c>
      <c r="U996" s="77"/>
      <c r="V996" s="75"/>
      <c r="W996" s="77"/>
      <c r="X996" s="77"/>
      <c r="Y996" s="77" t="s">
        <v>3328</v>
      </c>
      <c r="Z996" s="77" t="s">
        <v>302</v>
      </c>
      <c r="AA996" s="83" t="s">
        <v>3327</v>
      </c>
      <c r="AB996" s="104" t="str">
        <f>IFERROR(VLOOKUP(Anexo_4[[#This Row],[cuenta]],OP,2,0),"-")</f>
        <v>Transporte peajes - Servicios</v>
      </c>
    </row>
    <row r="997" spans="1:28" s="84" customFormat="1" ht="27" customHeight="1" x14ac:dyDescent="0.3">
      <c r="A997" s="75" t="s">
        <v>3050</v>
      </c>
      <c r="B997" s="36" t="str">
        <f t="shared" si="15"/>
        <v>Julio</v>
      </c>
      <c r="C997" s="77" t="s">
        <v>162</v>
      </c>
      <c r="D997" s="77" t="s">
        <v>3329</v>
      </c>
      <c r="E997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997" s="79" t="s">
        <v>235</v>
      </c>
      <c r="G997" s="79" t="s">
        <v>236</v>
      </c>
      <c r="H997" s="140" t="s">
        <v>3330</v>
      </c>
      <c r="I997" s="77" t="s">
        <v>264</v>
      </c>
      <c r="J997" s="144" t="s">
        <v>265</v>
      </c>
      <c r="K997" s="77" t="s">
        <v>169</v>
      </c>
      <c r="L997" s="103" t="str">
        <f>VLOOKUP(Anexo_4[[#This Row],[cod_doc]],TIPODOC,2,FALSE)</f>
        <v>FACTURA</v>
      </c>
      <c r="M997" s="77" t="s">
        <v>279</v>
      </c>
      <c r="N997" s="79">
        <v>1100705</v>
      </c>
      <c r="O997" s="80">
        <v>6.78</v>
      </c>
      <c r="P997" s="81"/>
      <c r="Q997" s="81">
        <v>1.2203999999999999</v>
      </c>
      <c r="R997" s="80"/>
      <c r="S997" s="80">
        <v>0</v>
      </c>
      <c r="T997" s="82">
        <v>8</v>
      </c>
      <c r="U997" s="77"/>
      <c r="V997" s="75"/>
      <c r="W997" s="77"/>
      <c r="X997" s="77"/>
      <c r="Y997" s="77" t="s">
        <v>3331</v>
      </c>
      <c r="Z997" s="77" t="s">
        <v>302</v>
      </c>
      <c r="AA997" s="83" t="s">
        <v>3330</v>
      </c>
      <c r="AB997" s="104" t="str">
        <f>IFERROR(VLOOKUP(Anexo_4[[#This Row],[cuenta]],OP,2,0),"-")</f>
        <v>Transporte peajes - Servicios</v>
      </c>
    </row>
    <row r="998" spans="1:28" s="84" customFormat="1" ht="27" customHeight="1" x14ac:dyDescent="0.3">
      <c r="A998" s="75" t="s">
        <v>3050</v>
      </c>
      <c r="B998" s="36" t="str">
        <f t="shared" si="15"/>
        <v>Julio</v>
      </c>
      <c r="C998" s="77" t="s">
        <v>162</v>
      </c>
      <c r="D998" s="77" t="s">
        <v>3332</v>
      </c>
      <c r="E998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998" s="79" t="s">
        <v>235</v>
      </c>
      <c r="G998" s="79" t="s">
        <v>236</v>
      </c>
      <c r="H998" s="140" t="s">
        <v>3333</v>
      </c>
      <c r="I998" s="77" t="s">
        <v>264</v>
      </c>
      <c r="J998" s="144" t="s">
        <v>265</v>
      </c>
      <c r="K998" s="77" t="s">
        <v>169</v>
      </c>
      <c r="L998" s="103" t="str">
        <f>VLOOKUP(Anexo_4[[#This Row],[cod_doc]],TIPODOC,2,FALSE)</f>
        <v>FACTURA</v>
      </c>
      <c r="M998" s="77" t="s">
        <v>271</v>
      </c>
      <c r="N998" s="79">
        <v>1798855</v>
      </c>
      <c r="O998" s="80">
        <v>6.78</v>
      </c>
      <c r="P998" s="81"/>
      <c r="Q998" s="81">
        <v>1.2203999999999999</v>
      </c>
      <c r="R998" s="80"/>
      <c r="S998" s="80">
        <v>0</v>
      </c>
      <c r="T998" s="82">
        <v>8</v>
      </c>
      <c r="U998" s="77"/>
      <c r="V998" s="75"/>
      <c r="W998" s="77"/>
      <c r="X998" s="77"/>
      <c r="Y998" s="77" t="s">
        <v>3334</v>
      </c>
      <c r="Z998" s="77" t="s">
        <v>302</v>
      </c>
      <c r="AA998" s="83" t="s">
        <v>3333</v>
      </c>
      <c r="AB998" s="104" t="str">
        <f>IFERROR(VLOOKUP(Anexo_4[[#This Row],[cuenta]],OP,2,0),"-")</f>
        <v>Transporte peajes - Servicios</v>
      </c>
    </row>
    <row r="999" spans="1:28" s="84" customFormat="1" ht="27" customHeight="1" x14ac:dyDescent="0.3">
      <c r="A999" s="75" t="s">
        <v>3050</v>
      </c>
      <c r="B999" s="36" t="str">
        <f t="shared" si="15"/>
        <v>Julio</v>
      </c>
      <c r="C999" s="77" t="s">
        <v>162</v>
      </c>
      <c r="D999" s="77" t="s">
        <v>3335</v>
      </c>
      <c r="E999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999" s="79" t="s">
        <v>235</v>
      </c>
      <c r="G999" s="79" t="s">
        <v>236</v>
      </c>
      <c r="H999" s="140" t="s">
        <v>3336</v>
      </c>
      <c r="I999" s="77" t="s">
        <v>264</v>
      </c>
      <c r="J999" s="144" t="s">
        <v>265</v>
      </c>
      <c r="K999" s="77" t="s">
        <v>169</v>
      </c>
      <c r="L999" s="103" t="str">
        <f>VLOOKUP(Anexo_4[[#This Row],[cod_doc]],TIPODOC,2,FALSE)</f>
        <v>FACTURA</v>
      </c>
      <c r="M999" s="77" t="s">
        <v>266</v>
      </c>
      <c r="N999" s="79">
        <v>492871</v>
      </c>
      <c r="O999" s="80">
        <v>6.78</v>
      </c>
      <c r="P999" s="81"/>
      <c r="Q999" s="81">
        <v>1.2203999999999999</v>
      </c>
      <c r="R999" s="80"/>
      <c r="S999" s="80">
        <v>0</v>
      </c>
      <c r="T999" s="82">
        <v>8</v>
      </c>
      <c r="U999" s="77"/>
      <c r="V999" s="75"/>
      <c r="W999" s="77"/>
      <c r="X999" s="77"/>
      <c r="Y999" s="77" t="s">
        <v>3337</v>
      </c>
      <c r="Z999" s="77" t="s">
        <v>302</v>
      </c>
      <c r="AA999" s="83" t="s">
        <v>3336</v>
      </c>
      <c r="AB999" s="104" t="str">
        <f>IFERROR(VLOOKUP(Anexo_4[[#This Row],[cuenta]],OP,2,0),"-")</f>
        <v>Transporte peajes - Servicios</v>
      </c>
    </row>
    <row r="1000" spans="1:28" s="84" customFormat="1" ht="27" customHeight="1" x14ac:dyDescent="0.3">
      <c r="A1000" s="75" t="s">
        <v>3026</v>
      </c>
      <c r="B1000" s="36" t="str">
        <f t="shared" si="15"/>
        <v>Julio</v>
      </c>
      <c r="C1000" s="77" t="s">
        <v>162</v>
      </c>
      <c r="D1000" s="77" t="s">
        <v>3338</v>
      </c>
      <c r="E1000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000" s="79" t="s">
        <v>235</v>
      </c>
      <c r="G1000" s="79" t="s">
        <v>236</v>
      </c>
      <c r="H1000" s="140" t="s">
        <v>1276</v>
      </c>
      <c r="I1000" s="77" t="s">
        <v>264</v>
      </c>
      <c r="J1000" s="144" t="s">
        <v>265</v>
      </c>
      <c r="K1000" s="77" t="s">
        <v>169</v>
      </c>
      <c r="L1000" s="103" t="str">
        <f>VLOOKUP(Anexo_4[[#This Row],[cod_doc]],TIPODOC,2,FALSE)</f>
        <v>FACTURA</v>
      </c>
      <c r="M1000" s="77" t="s">
        <v>406</v>
      </c>
      <c r="N1000" s="79">
        <v>2416224</v>
      </c>
      <c r="O1000" s="80">
        <v>6.78</v>
      </c>
      <c r="P1000" s="81"/>
      <c r="Q1000" s="81">
        <v>1.2203999999999999</v>
      </c>
      <c r="R1000" s="80"/>
      <c r="S1000" s="80">
        <v>0</v>
      </c>
      <c r="T1000" s="82">
        <v>8</v>
      </c>
      <c r="U1000" s="77"/>
      <c r="V1000" s="75"/>
      <c r="W1000" s="77"/>
      <c r="X1000" s="77"/>
      <c r="Y1000" s="77"/>
      <c r="Z1000" s="77" t="s">
        <v>302</v>
      </c>
      <c r="AA1000" s="83" t="s">
        <v>1276</v>
      </c>
      <c r="AB1000" s="104" t="str">
        <f>IFERROR(VLOOKUP(Anexo_4[[#This Row],[cuenta]],OP,2,0),"-")</f>
        <v>Transporte peajes - Servicios</v>
      </c>
    </row>
    <row r="1001" spans="1:28" s="84" customFormat="1" ht="27" customHeight="1" x14ac:dyDescent="0.3">
      <c r="A1001" s="75" t="s">
        <v>3026</v>
      </c>
      <c r="B1001" s="36" t="str">
        <f t="shared" si="15"/>
        <v>Julio</v>
      </c>
      <c r="C1001" s="77" t="s">
        <v>162</v>
      </c>
      <c r="D1001" s="77" t="s">
        <v>3339</v>
      </c>
      <c r="E100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001" s="79" t="s">
        <v>235</v>
      </c>
      <c r="G1001" s="79" t="s">
        <v>236</v>
      </c>
      <c r="H1001" s="140" t="s">
        <v>1276</v>
      </c>
      <c r="I1001" s="77" t="s">
        <v>264</v>
      </c>
      <c r="J1001" s="144" t="s">
        <v>265</v>
      </c>
      <c r="K1001" s="77" t="s">
        <v>169</v>
      </c>
      <c r="L1001" s="103" t="str">
        <f>VLOOKUP(Anexo_4[[#This Row],[cod_doc]],TIPODOC,2,FALSE)</f>
        <v>FACTURA</v>
      </c>
      <c r="M1001" s="77" t="s">
        <v>352</v>
      </c>
      <c r="N1001" s="79">
        <v>1818286</v>
      </c>
      <c r="O1001" s="80">
        <v>6.78</v>
      </c>
      <c r="P1001" s="81"/>
      <c r="Q1001" s="81">
        <v>1.2203999999999999</v>
      </c>
      <c r="R1001" s="80"/>
      <c r="S1001" s="80">
        <v>0</v>
      </c>
      <c r="T1001" s="82">
        <v>8</v>
      </c>
      <c r="U1001" s="77"/>
      <c r="V1001" s="75"/>
      <c r="W1001" s="77"/>
      <c r="X1001" s="77"/>
      <c r="Y1001" s="77"/>
      <c r="Z1001" s="77" t="s">
        <v>268</v>
      </c>
      <c r="AA1001" s="83" t="s">
        <v>1276</v>
      </c>
      <c r="AB1001" s="104" t="str">
        <f>IFERROR(VLOOKUP(Anexo_4[[#This Row],[cuenta]],OP,2,0),"-")</f>
        <v>Transporte peajes - Ventas</v>
      </c>
    </row>
    <row r="1002" spans="1:28" s="84" customFormat="1" ht="27" customHeight="1" x14ac:dyDescent="0.3">
      <c r="A1002" s="75" t="s">
        <v>2662</v>
      </c>
      <c r="B1002" s="36" t="str">
        <f t="shared" si="15"/>
        <v>Julio</v>
      </c>
      <c r="C1002" s="77" t="s">
        <v>162</v>
      </c>
      <c r="D1002" s="77" t="s">
        <v>3340</v>
      </c>
      <c r="E100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002" s="79" t="s">
        <v>217</v>
      </c>
      <c r="G1002" s="79" t="s">
        <v>218</v>
      </c>
      <c r="H1002" s="140" t="s">
        <v>3341</v>
      </c>
      <c r="I1002" s="77" t="s">
        <v>3342</v>
      </c>
      <c r="J1002" s="144" t="s">
        <v>3343</v>
      </c>
      <c r="K1002" s="77" t="s">
        <v>169</v>
      </c>
      <c r="L1002" s="103" t="str">
        <f>VLOOKUP(Anexo_4[[#This Row],[cod_doc]],TIPODOC,2,FALSE)</f>
        <v>FACTURA</v>
      </c>
      <c r="M1002" s="77" t="s">
        <v>222</v>
      </c>
      <c r="N1002" s="79">
        <v>307</v>
      </c>
      <c r="O1002" s="80">
        <v>25.42</v>
      </c>
      <c r="P1002" s="81"/>
      <c r="Q1002" s="81">
        <v>4.5756000000000006</v>
      </c>
      <c r="R1002" s="80"/>
      <c r="S1002" s="80">
        <v>0</v>
      </c>
      <c r="T1002" s="82">
        <v>30</v>
      </c>
      <c r="U1002" s="77"/>
      <c r="V1002" s="75"/>
      <c r="W1002" s="77"/>
      <c r="X1002" s="77"/>
      <c r="Y1002" s="77" t="s">
        <v>3344</v>
      </c>
      <c r="Z1002" s="77" t="s">
        <v>507</v>
      </c>
      <c r="AA1002" s="83" t="s">
        <v>3341</v>
      </c>
      <c r="AB1002" s="104" t="str">
        <f>IFERROR(VLOOKUP(Anexo_4[[#This Row],[cuenta]],OP,2,0),"-")</f>
        <v>Transporte lavado (Higienización)</v>
      </c>
    </row>
    <row r="1003" spans="1:28" s="84" customFormat="1" ht="27" customHeight="1" x14ac:dyDescent="0.3">
      <c r="A1003" s="75" t="s">
        <v>3026</v>
      </c>
      <c r="B1003" s="36" t="str">
        <f t="shared" si="15"/>
        <v>Julio</v>
      </c>
      <c r="C1003" s="77" t="s">
        <v>162</v>
      </c>
      <c r="D1003" s="77" t="s">
        <v>3345</v>
      </c>
      <c r="E1003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003" s="79" t="s">
        <v>235</v>
      </c>
      <c r="G1003" s="79" t="s">
        <v>236</v>
      </c>
      <c r="H1003" s="140" t="s">
        <v>3346</v>
      </c>
      <c r="I1003" s="77" t="s">
        <v>178</v>
      </c>
      <c r="J1003" s="144" t="s">
        <v>179</v>
      </c>
      <c r="K1003" s="77" t="s">
        <v>169</v>
      </c>
      <c r="L1003" s="103" t="str">
        <f>VLOOKUP(Anexo_4[[#This Row],[cod_doc]],TIPODOC,2,FALSE)</f>
        <v>FACTURA</v>
      </c>
      <c r="M1003" s="77" t="s">
        <v>180</v>
      </c>
      <c r="N1003" s="79">
        <v>134814</v>
      </c>
      <c r="O1003" s="80">
        <v>8.4700000000000006</v>
      </c>
      <c r="P1003" s="81"/>
      <c r="Q1003" s="81">
        <v>1.5246</v>
      </c>
      <c r="R1003" s="80"/>
      <c r="S1003" s="80">
        <v>0</v>
      </c>
      <c r="T1003" s="82">
        <v>10</v>
      </c>
      <c r="U1003" s="77"/>
      <c r="V1003" s="75"/>
      <c r="W1003" s="77"/>
      <c r="X1003" s="77"/>
      <c r="Y1003" s="77" t="s">
        <v>3347</v>
      </c>
      <c r="Z1003" s="77" t="s">
        <v>386</v>
      </c>
      <c r="AA1003" s="83" t="s">
        <v>3346</v>
      </c>
      <c r="AB1003" s="104" t="str">
        <f>IFERROR(VLOOKUP(Anexo_4[[#This Row],[cuenta]],OP,2,0),"-")</f>
        <v>Balanza - Servicios</v>
      </c>
    </row>
    <row r="1004" spans="1:28" s="84" customFormat="1" ht="27" customHeight="1" x14ac:dyDescent="0.3">
      <c r="A1004" s="75" t="s">
        <v>3026</v>
      </c>
      <c r="B1004" s="36" t="str">
        <f t="shared" si="15"/>
        <v>Julio</v>
      </c>
      <c r="C1004" s="77" t="s">
        <v>162</v>
      </c>
      <c r="D1004" s="77" t="s">
        <v>3348</v>
      </c>
      <c r="E1004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004" s="79" t="s">
        <v>456</v>
      </c>
      <c r="G1004" s="79" t="s">
        <v>457</v>
      </c>
      <c r="H1004" s="140" t="s">
        <v>3349</v>
      </c>
      <c r="I1004" s="77" t="s">
        <v>178</v>
      </c>
      <c r="J1004" s="144" t="s">
        <v>179</v>
      </c>
      <c r="K1004" s="77" t="s">
        <v>169</v>
      </c>
      <c r="L1004" s="103" t="str">
        <f>VLOOKUP(Anexo_4[[#This Row],[cod_doc]],TIPODOC,2,FALSE)</f>
        <v>FACTURA</v>
      </c>
      <c r="M1004" s="77" t="s">
        <v>180</v>
      </c>
      <c r="N1004" s="79">
        <v>134852</v>
      </c>
      <c r="O1004" s="80">
        <v>8.4700000000000006</v>
      </c>
      <c r="P1004" s="81"/>
      <c r="Q1004" s="81">
        <v>1.5246</v>
      </c>
      <c r="R1004" s="80"/>
      <c r="S1004" s="80">
        <v>0</v>
      </c>
      <c r="T1004" s="82">
        <v>10</v>
      </c>
      <c r="U1004" s="77"/>
      <c r="V1004" s="75"/>
      <c r="W1004" s="77"/>
      <c r="X1004" s="77"/>
      <c r="Y1004" s="77" t="s">
        <v>3350</v>
      </c>
      <c r="Z1004" s="77" t="s">
        <v>386</v>
      </c>
      <c r="AA1004" s="83" t="s">
        <v>3349</v>
      </c>
      <c r="AB1004" s="104" t="str">
        <f>IFERROR(VLOOKUP(Anexo_4[[#This Row],[cuenta]],OP,2,0),"-")</f>
        <v>Balanza - Servicios</v>
      </c>
    </row>
    <row r="1005" spans="1:28" s="84" customFormat="1" ht="27" customHeight="1" x14ac:dyDescent="0.3">
      <c r="A1005" s="75" t="s">
        <v>3050</v>
      </c>
      <c r="B1005" s="36" t="str">
        <f t="shared" si="15"/>
        <v>Julio</v>
      </c>
      <c r="C1005" s="77" t="s">
        <v>162</v>
      </c>
      <c r="D1005" s="77" t="s">
        <v>3351</v>
      </c>
      <c r="E100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005" s="79" t="s">
        <v>217</v>
      </c>
      <c r="G1005" s="79" t="s">
        <v>218</v>
      </c>
      <c r="H1005" s="140" t="s">
        <v>3352</v>
      </c>
      <c r="I1005" s="77" t="s">
        <v>383</v>
      </c>
      <c r="J1005" s="144" t="s">
        <v>384</v>
      </c>
      <c r="K1005" s="77" t="s">
        <v>169</v>
      </c>
      <c r="L1005" s="103" t="str">
        <f>VLOOKUP(Anexo_4[[#This Row],[cod_doc]],TIPODOC,2,FALSE)</f>
        <v>FACTURA</v>
      </c>
      <c r="M1005" s="77" t="s">
        <v>103</v>
      </c>
      <c r="N1005" s="79">
        <v>17165</v>
      </c>
      <c r="O1005" s="80">
        <v>16.95</v>
      </c>
      <c r="P1005" s="81"/>
      <c r="Q1005" s="81">
        <v>3.0509999999999997</v>
      </c>
      <c r="R1005" s="80"/>
      <c r="S1005" s="80">
        <v>0</v>
      </c>
      <c r="T1005" s="82">
        <v>20</v>
      </c>
      <c r="U1005" s="77"/>
      <c r="V1005" s="75"/>
      <c r="W1005" s="77"/>
      <c r="X1005" s="77"/>
      <c r="Y1005" s="77" t="s">
        <v>3353</v>
      </c>
      <c r="Z1005" s="77" t="s">
        <v>182</v>
      </c>
      <c r="AA1005" s="83" t="s">
        <v>3352</v>
      </c>
      <c r="AB1005" s="104" t="str">
        <f>IFERROR(VLOOKUP(Anexo_4[[#This Row],[cuenta]],OP,2,0),"-")</f>
        <v>Balanza - Ventas</v>
      </c>
    </row>
    <row r="1006" spans="1:28" s="84" customFormat="1" ht="27" customHeight="1" x14ac:dyDescent="0.3">
      <c r="A1006" s="75" t="s">
        <v>3026</v>
      </c>
      <c r="B1006" s="36" t="str">
        <f t="shared" si="15"/>
        <v>Julio</v>
      </c>
      <c r="C1006" s="77" t="s">
        <v>162</v>
      </c>
      <c r="D1006" s="77" t="s">
        <v>3354</v>
      </c>
      <c r="E100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006" s="79" t="s">
        <v>217</v>
      </c>
      <c r="G1006" s="79" t="s">
        <v>218</v>
      </c>
      <c r="H1006" s="140" t="s">
        <v>3355</v>
      </c>
      <c r="I1006" s="77" t="s">
        <v>383</v>
      </c>
      <c r="J1006" s="144" t="s">
        <v>384</v>
      </c>
      <c r="K1006" s="77" t="s">
        <v>169</v>
      </c>
      <c r="L1006" s="103" t="str">
        <f>VLOOKUP(Anexo_4[[#This Row],[cod_doc]],TIPODOC,2,FALSE)</f>
        <v>FACTURA</v>
      </c>
      <c r="M1006" s="77" t="s">
        <v>103</v>
      </c>
      <c r="N1006" s="79">
        <v>17156</v>
      </c>
      <c r="O1006" s="80">
        <v>16.95</v>
      </c>
      <c r="P1006" s="81"/>
      <c r="Q1006" s="81">
        <v>3.0509999999999997</v>
      </c>
      <c r="R1006" s="80"/>
      <c r="S1006" s="80">
        <v>0</v>
      </c>
      <c r="T1006" s="82">
        <v>20</v>
      </c>
      <c r="U1006" s="77"/>
      <c r="V1006" s="75"/>
      <c r="W1006" s="77"/>
      <c r="X1006" s="77"/>
      <c r="Y1006" s="77" t="s">
        <v>3356</v>
      </c>
      <c r="Z1006" s="77" t="s">
        <v>182</v>
      </c>
      <c r="AA1006" s="83" t="s">
        <v>3355</v>
      </c>
      <c r="AB1006" s="104" t="str">
        <f>IFERROR(VLOOKUP(Anexo_4[[#This Row],[cuenta]],OP,2,0),"-")</f>
        <v>Balanza - Ventas</v>
      </c>
    </row>
    <row r="1007" spans="1:28" s="84" customFormat="1" ht="27" customHeight="1" x14ac:dyDescent="0.3">
      <c r="A1007" s="75" t="s">
        <v>3026</v>
      </c>
      <c r="B1007" s="36" t="str">
        <f t="shared" si="15"/>
        <v>Julio</v>
      </c>
      <c r="C1007" s="77" t="s">
        <v>162</v>
      </c>
      <c r="D1007" s="77" t="s">
        <v>3357</v>
      </c>
      <c r="E1007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007" s="79" t="s">
        <v>248</v>
      </c>
      <c r="G1007" s="79" t="s">
        <v>249</v>
      </c>
      <c r="H1007" s="140" t="s">
        <v>3358</v>
      </c>
      <c r="I1007" s="77" t="s">
        <v>1111</v>
      </c>
      <c r="J1007" s="144" t="s">
        <v>1112</v>
      </c>
      <c r="K1007" s="77" t="s">
        <v>169</v>
      </c>
      <c r="L1007" s="103" t="str">
        <f>VLOOKUP(Anexo_4[[#This Row],[cod_doc]],TIPODOC,2,FALSE)</f>
        <v>FACTURA</v>
      </c>
      <c r="M1007" s="77" t="s">
        <v>1113</v>
      </c>
      <c r="N1007" s="79">
        <v>6959</v>
      </c>
      <c r="O1007" s="80">
        <v>664.7</v>
      </c>
      <c r="P1007" s="81"/>
      <c r="Q1007" s="81">
        <v>119.646</v>
      </c>
      <c r="R1007" s="80"/>
      <c r="S1007" s="80">
        <v>0</v>
      </c>
      <c r="T1007" s="82">
        <v>784.35</v>
      </c>
      <c r="U1007" s="77" t="s">
        <v>3359</v>
      </c>
      <c r="V1007" s="75" t="s">
        <v>2494</v>
      </c>
      <c r="W1007" s="77"/>
      <c r="X1007" s="77"/>
      <c r="Y1007" s="77" t="s">
        <v>3360</v>
      </c>
      <c r="Z1007" s="77" t="s">
        <v>256</v>
      </c>
      <c r="AA1007" s="83" t="s">
        <v>3358</v>
      </c>
      <c r="AB1007" s="104" t="str">
        <f>IFERROR(VLOOKUP(Anexo_4[[#This Row],[cuenta]],OP,2,0),"-")</f>
        <v>Materias Primas - RRSS</v>
      </c>
    </row>
    <row r="1008" spans="1:28" s="84" customFormat="1" ht="27" customHeight="1" x14ac:dyDescent="0.3">
      <c r="A1008" s="75" t="s">
        <v>3026</v>
      </c>
      <c r="B1008" s="36" t="str">
        <f t="shared" si="15"/>
        <v>Julio</v>
      </c>
      <c r="C1008" s="77" t="s">
        <v>162</v>
      </c>
      <c r="D1008" s="77" t="s">
        <v>3361</v>
      </c>
      <c r="E1008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008" s="79" t="s">
        <v>248</v>
      </c>
      <c r="G1008" s="79" t="s">
        <v>249</v>
      </c>
      <c r="H1008" s="140" t="s">
        <v>3362</v>
      </c>
      <c r="I1008" s="77" t="s">
        <v>1111</v>
      </c>
      <c r="J1008" s="144" t="s">
        <v>1112</v>
      </c>
      <c r="K1008" s="77" t="s">
        <v>169</v>
      </c>
      <c r="L1008" s="103" t="str">
        <f>VLOOKUP(Anexo_4[[#This Row],[cod_doc]],TIPODOC,2,FALSE)</f>
        <v>FACTURA</v>
      </c>
      <c r="M1008" s="77" t="s">
        <v>1113</v>
      </c>
      <c r="N1008" s="79">
        <v>6960</v>
      </c>
      <c r="O1008" s="80">
        <v>55.93</v>
      </c>
      <c r="P1008" s="81"/>
      <c r="Q1008" s="81">
        <v>10.067399999999999</v>
      </c>
      <c r="R1008" s="80"/>
      <c r="S1008" s="80">
        <v>0</v>
      </c>
      <c r="T1008" s="82">
        <v>66</v>
      </c>
      <c r="U1008" s="77" t="s">
        <v>3363</v>
      </c>
      <c r="V1008" s="75" t="s">
        <v>2494</v>
      </c>
      <c r="W1008" s="77"/>
      <c r="X1008" s="77"/>
      <c r="Y1008" s="77" t="s">
        <v>3364</v>
      </c>
      <c r="Z1008" s="77" t="s">
        <v>256</v>
      </c>
      <c r="AA1008" s="83" t="s">
        <v>3362</v>
      </c>
      <c r="AB1008" s="104" t="str">
        <f>IFERROR(VLOOKUP(Anexo_4[[#This Row],[cuenta]],OP,2,0),"-")</f>
        <v>Materias Primas - RRSS</v>
      </c>
    </row>
    <row r="1009" spans="1:28" s="84" customFormat="1" ht="27" customHeight="1" x14ac:dyDescent="0.3">
      <c r="A1009" s="75" t="s">
        <v>3026</v>
      </c>
      <c r="B1009" s="36" t="str">
        <f t="shared" si="15"/>
        <v>Julio</v>
      </c>
      <c r="C1009" s="77" t="s">
        <v>162</v>
      </c>
      <c r="D1009" s="77" t="s">
        <v>3365</v>
      </c>
      <c r="E1009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009" s="79" t="s">
        <v>248</v>
      </c>
      <c r="G1009" s="79" t="s">
        <v>249</v>
      </c>
      <c r="H1009" s="140" t="s">
        <v>3366</v>
      </c>
      <c r="I1009" s="77" t="s">
        <v>1111</v>
      </c>
      <c r="J1009" s="144" t="s">
        <v>1112</v>
      </c>
      <c r="K1009" s="77" t="s">
        <v>169</v>
      </c>
      <c r="L1009" s="103" t="str">
        <f>VLOOKUP(Anexo_4[[#This Row],[cod_doc]],TIPODOC,2,FALSE)</f>
        <v>FACTURA</v>
      </c>
      <c r="M1009" s="77" t="s">
        <v>1113</v>
      </c>
      <c r="N1009" s="79">
        <v>6958</v>
      </c>
      <c r="O1009" s="80">
        <v>81.36</v>
      </c>
      <c r="P1009" s="81"/>
      <c r="Q1009" s="81">
        <v>14.6448</v>
      </c>
      <c r="R1009" s="80"/>
      <c r="S1009" s="80">
        <v>0</v>
      </c>
      <c r="T1009" s="82">
        <v>96</v>
      </c>
      <c r="U1009" s="77" t="s">
        <v>3367</v>
      </c>
      <c r="V1009" s="75" t="s">
        <v>2494</v>
      </c>
      <c r="W1009" s="77"/>
      <c r="X1009" s="77"/>
      <c r="Y1009" s="77" t="s">
        <v>3368</v>
      </c>
      <c r="Z1009" s="77" t="s">
        <v>256</v>
      </c>
      <c r="AA1009" s="83" t="s">
        <v>3366</v>
      </c>
      <c r="AB1009" s="104" t="str">
        <f>IFERROR(VLOOKUP(Anexo_4[[#This Row],[cuenta]],OP,2,0),"-")</f>
        <v>Materias Primas - RRSS</v>
      </c>
    </row>
    <row r="1010" spans="1:28" s="84" customFormat="1" ht="27" customHeight="1" x14ac:dyDescent="0.3">
      <c r="A1010" s="75" t="s">
        <v>3050</v>
      </c>
      <c r="B1010" s="36" t="str">
        <f t="shared" si="15"/>
        <v>Julio</v>
      </c>
      <c r="C1010" s="77" t="s">
        <v>162</v>
      </c>
      <c r="D1010" s="77" t="s">
        <v>3369</v>
      </c>
      <c r="E1010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010" s="79" t="s">
        <v>355</v>
      </c>
      <c r="G1010" s="79" t="s">
        <v>356</v>
      </c>
      <c r="H1010" s="140" t="s">
        <v>3370</v>
      </c>
      <c r="I1010" s="77" t="s">
        <v>3371</v>
      </c>
      <c r="J1010" s="144" t="s">
        <v>3372</v>
      </c>
      <c r="K1010" s="77" t="s">
        <v>169</v>
      </c>
      <c r="L1010" s="103" t="str">
        <f>VLOOKUP(Anexo_4[[#This Row],[cod_doc]],TIPODOC,2,FALSE)</f>
        <v>FACTURA</v>
      </c>
      <c r="M1010" s="77" t="s">
        <v>102</v>
      </c>
      <c r="N1010" s="79">
        <v>682</v>
      </c>
      <c r="O1010" s="80">
        <v>677.97</v>
      </c>
      <c r="P1010" s="81"/>
      <c r="Q1010" s="81">
        <v>122.0346</v>
      </c>
      <c r="R1010" s="80"/>
      <c r="S1010" s="80">
        <v>0</v>
      </c>
      <c r="T1010" s="82">
        <v>800</v>
      </c>
      <c r="U1010" s="77" t="s">
        <v>3373</v>
      </c>
      <c r="V1010" s="75" t="s">
        <v>2494</v>
      </c>
      <c r="W1010" s="77"/>
      <c r="X1010" s="77"/>
      <c r="Y1010" s="77"/>
      <c r="Z1010" s="77" t="s">
        <v>893</v>
      </c>
      <c r="AA1010" s="83" t="s">
        <v>3370</v>
      </c>
      <c r="AB1010" s="104" t="str">
        <f>IFERROR(VLOOKUP(Anexo_4[[#This Row],[cuenta]],OP,2,0),"-")</f>
        <v>Transporte de Carga - Servicios</v>
      </c>
    </row>
    <row r="1011" spans="1:28" s="84" customFormat="1" ht="27" customHeight="1" x14ac:dyDescent="0.3">
      <c r="A1011" s="75" t="s">
        <v>1910</v>
      </c>
      <c r="B1011" s="36" t="str">
        <f t="shared" si="15"/>
        <v>Julio</v>
      </c>
      <c r="C1011" s="77" t="s">
        <v>162</v>
      </c>
      <c r="D1011" s="77" t="s">
        <v>3374</v>
      </c>
      <c r="E101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011" s="79" t="s">
        <v>355</v>
      </c>
      <c r="G1011" s="79" t="s">
        <v>356</v>
      </c>
      <c r="H1011" s="140" t="s">
        <v>3375</v>
      </c>
      <c r="I1011" s="77" t="s">
        <v>1060</v>
      </c>
      <c r="J1011" s="144" t="s">
        <v>1061</v>
      </c>
      <c r="K1011" s="77" t="s">
        <v>169</v>
      </c>
      <c r="L1011" s="103" t="str">
        <f>VLOOKUP(Anexo_4[[#This Row],[cod_doc]],TIPODOC,2,FALSE)</f>
        <v>FACTURA</v>
      </c>
      <c r="M1011" s="77" t="s">
        <v>1062</v>
      </c>
      <c r="N1011" s="79">
        <v>118842</v>
      </c>
      <c r="O1011" s="80">
        <v>47.46</v>
      </c>
      <c r="P1011" s="81"/>
      <c r="Q1011" s="81">
        <v>8.5427999999999997</v>
      </c>
      <c r="R1011" s="80"/>
      <c r="S1011" s="80">
        <v>0</v>
      </c>
      <c r="T1011" s="82">
        <v>56</v>
      </c>
      <c r="U1011" s="77"/>
      <c r="V1011" s="75"/>
      <c r="W1011" s="77"/>
      <c r="X1011" s="77"/>
      <c r="Y1011" s="77" t="s">
        <v>3376</v>
      </c>
      <c r="Z1011" s="77" t="s">
        <v>2320</v>
      </c>
      <c r="AA1011" s="83" t="s">
        <v>3375</v>
      </c>
      <c r="AB1011" s="104" t="str">
        <f>IFERROR(VLOOKUP(Anexo_4[[#This Row],[cuenta]],OP,2,0),"-")</f>
        <v>Otros Gastos de Gestion</v>
      </c>
    </row>
    <row r="1012" spans="1:28" s="84" customFormat="1" ht="27" customHeight="1" x14ac:dyDescent="0.3">
      <c r="A1012" s="75" t="s">
        <v>2662</v>
      </c>
      <c r="B1012" s="36" t="str">
        <f t="shared" si="15"/>
        <v>Julio</v>
      </c>
      <c r="C1012" s="77" t="s">
        <v>162</v>
      </c>
      <c r="D1012" s="77" t="s">
        <v>3377</v>
      </c>
      <c r="E101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012" s="79" t="s">
        <v>355</v>
      </c>
      <c r="G1012" s="79" t="s">
        <v>356</v>
      </c>
      <c r="H1012" s="140" t="s">
        <v>3378</v>
      </c>
      <c r="I1012" s="77" t="s">
        <v>2050</v>
      </c>
      <c r="J1012" s="144" t="s">
        <v>2051</v>
      </c>
      <c r="K1012" s="77" t="s">
        <v>169</v>
      </c>
      <c r="L1012" s="103" t="str">
        <f>VLOOKUP(Anexo_4[[#This Row],[cod_doc]],TIPODOC,2,FALSE)</f>
        <v>FACTURA</v>
      </c>
      <c r="M1012" s="77" t="s">
        <v>2062</v>
      </c>
      <c r="N1012" s="79">
        <v>77003</v>
      </c>
      <c r="O1012" s="80">
        <v>11.86</v>
      </c>
      <c r="P1012" s="81"/>
      <c r="Q1012" s="81">
        <v>2.1347999999999998</v>
      </c>
      <c r="R1012" s="80"/>
      <c r="S1012" s="80">
        <v>0</v>
      </c>
      <c r="T1012" s="82">
        <v>13.99</v>
      </c>
      <c r="U1012" s="77"/>
      <c r="V1012" s="75"/>
      <c r="W1012" s="77"/>
      <c r="X1012" s="77"/>
      <c r="Y1012" s="77" t="s">
        <v>3379</v>
      </c>
      <c r="Z1012" s="77" t="s">
        <v>196</v>
      </c>
      <c r="AA1012" s="83" t="s">
        <v>3378</v>
      </c>
      <c r="AB1012" s="104" t="str">
        <f>IFERROR(VLOOKUP(Anexo_4[[#This Row],[cuenta]],OP,2,0),"-")</f>
        <v>Encomienda (Envío de documentación)</v>
      </c>
    </row>
    <row r="1013" spans="1:28" s="84" customFormat="1" ht="27" customHeight="1" x14ac:dyDescent="0.3">
      <c r="A1013" s="75" t="s">
        <v>1916</v>
      </c>
      <c r="B1013" s="36" t="str">
        <f t="shared" si="15"/>
        <v>Julio</v>
      </c>
      <c r="C1013" s="77" t="s">
        <v>162</v>
      </c>
      <c r="D1013" s="77" t="s">
        <v>3380</v>
      </c>
      <c r="E1013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013" s="79" t="s">
        <v>355</v>
      </c>
      <c r="G1013" s="79" t="s">
        <v>356</v>
      </c>
      <c r="H1013" s="140" t="s">
        <v>3381</v>
      </c>
      <c r="I1013" s="77" t="s">
        <v>2050</v>
      </c>
      <c r="J1013" s="144" t="s">
        <v>2051</v>
      </c>
      <c r="K1013" s="77" t="s">
        <v>169</v>
      </c>
      <c r="L1013" s="103" t="str">
        <f>VLOOKUP(Anexo_4[[#This Row],[cod_doc]],TIPODOC,2,FALSE)</f>
        <v>FACTURA</v>
      </c>
      <c r="M1013" s="77" t="s">
        <v>2052</v>
      </c>
      <c r="N1013" s="79">
        <v>35053</v>
      </c>
      <c r="O1013" s="80">
        <v>14.07</v>
      </c>
      <c r="P1013" s="81"/>
      <c r="Q1013" s="81">
        <v>2.5326</v>
      </c>
      <c r="R1013" s="80"/>
      <c r="S1013" s="80">
        <v>0</v>
      </c>
      <c r="T1013" s="82">
        <v>16.600000000000001</v>
      </c>
      <c r="U1013" s="77"/>
      <c r="V1013" s="75"/>
      <c r="W1013" s="77"/>
      <c r="X1013" s="77"/>
      <c r="Y1013" s="77" t="s">
        <v>3382</v>
      </c>
      <c r="Z1013" s="77" t="s">
        <v>196</v>
      </c>
      <c r="AA1013" s="83" t="s">
        <v>3381</v>
      </c>
      <c r="AB1013" s="104" t="str">
        <f>IFERROR(VLOOKUP(Anexo_4[[#This Row],[cuenta]],OP,2,0),"-")</f>
        <v>Encomienda (Envío de documentación)</v>
      </c>
    </row>
    <row r="1014" spans="1:28" s="84" customFormat="1" ht="27" customHeight="1" x14ac:dyDescent="0.3">
      <c r="A1014" s="75" t="s">
        <v>2552</v>
      </c>
      <c r="B1014" s="36" t="str">
        <f t="shared" si="15"/>
        <v>Julio</v>
      </c>
      <c r="C1014" s="77" t="s">
        <v>162</v>
      </c>
      <c r="D1014" s="77" t="s">
        <v>3383</v>
      </c>
      <c r="E1014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014" s="79" t="s">
        <v>355</v>
      </c>
      <c r="G1014" s="79" t="s">
        <v>356</v>
      </c>
      <c r="H1014" s="140" t="s">
        <v>3384</v>
      </c>
      <c r="I1014" s="77" t="s">
        <v>1060</v>
      </c>
      <c r="J1014" s="144" t="s">
        <v>1061</v>
      </c>
      <c r="K1014" s="77" t="s">
        <v>169</v>
      </c>
      <c r="L1014" s="103" t="str">
        <f>VLOOKUP(Anexo_4[[#This Row],[cod_doc]],TIPODOC,2,FALSE)</f>
        <v>FACTURA</v>
      </c>
      <c r="M1014" s="77" t="s">
        <v>1062</v>
      </c>
      <c r="N1014" s="79">
        <v>119823</v>
      </c>
      <c r="O1014" s="80">
        <v>63.56</v>
      </c>
      <c r="P1014" s="81"/>
      <c r="Q1014" s="81">
        <v>11.440799999999999</v>
      </c>
      <c r="R1014" s="80"/>
      <c r="S1014" s="80">
        <v>0</v>
      </c>
      <c r="T1014" s="82">
        <v>75</v>
      </c>
      <c r="U1014" s="77"/>
      <c r="V1014" s="75"/>
      <c r="W1014" s="77"/>
      <c r="X1014" s="77"/>
      <c r="Y1014" s="77" t="s">
        <v>3385</v>
      </c>
      <c r="Z1014" s="77" t="s">
        <v>2320</v>
      </c>
      <c r="AA1014" s="83" t="s">
        <v>3384</v>
      </c>
      <c r="AB1014" s="104" t="str">
        <f>IFERROR(VLOOKUP(Anexo_4[[#This Row],[cuenta]],OP,2,0),"-")</f>
        <v>Otros Gastos de Gestion</v>
      </c>
    </row>
    <row r="1015" spans="1:28" s="84" customFormat="1" ht="27" customHeight="1" x14ac:dyDescent="0.3">
      <c r="A1015" s="75" t="s">
        <v>1993</v>
      </c>
      <c r="B1015" s="36" t="str">
        <f t="shared" si="15"/>
        <v>Julio</v>
      </c>
      <c r="C1015" s="77" t="s">
        <v>162</v>
      </c>
      <c r="D1015" s="77" t="s">
        <v>3386</v>
      </c>
      <c r="E101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015" s="79" t="s">
        <v>355</v>
      </c>
      <c r="G1015" s="79" t="s">
        <v>356</v>
      </c>
      <c r="H1015" s="140" t="s">
        <v>3387</v>
      </c>
      <c r="I1015" s="77" t="s">
        <v>3388</v>
      </c>
      <c r="J1015" s="144" t="s">
        <v>3389</v>
      </c>
      <c r="K1015" s="77" t="s">
        <v>239</v>
      </c>
      <c r="L1015" s="103" t="str">
        <f>VLOOKUP(Anexo_4[[#This Row],[cod_doc]],TIPODOC,2,FALSE)</f>
        <v>BOLETA DE VENTA</v>
      </c>
      <c r="M1015" s="77" t="s">
        <v>162</v>
      </c>
      <c r="N1015" s="79">
        <v>15194</v>
      </c>
      <c r="O1015" s="80"/>
      <c r="P1015" s="81"/>
      <c r="Q1015" s="81"/>
      <c r="R1015" s="80"/>
      <c r="S1015" s="80">
        <v>26</v>
      </c>
      <c r="T1015" s="82">
        <v>26</v>
      </c>
      <c r="U1015" s="77"/>
      <c r="V1015" s="75"/>
      <c r="W1015" s="77"/>
      <c r="X1015" s="77"/>
      <c r="Y1015" s="77" t="s">
        <v>3390</v>
      </c>
      <c r="Z1015" s="77" t="s">
        <v>2320</v>
      </c>
      <c r="AA1015" s="83" t="s">
        <v>3387</v>
      </c>
      <c r="AB1015" s="104" t="str">
        <f>IFERROR(VLOOKUP(Anexo_4[[#This Row],[cuenta]],OP,2,0),"-")</f>
        <v>Otros Gastos de Gestion</v>
      </c>
    </row>
    <row r="1016" spans="1:28" s="84" customFormat="1" ht="27" customHeight="1" x14ac:dyDescent="0.3">
      <c r="A1016" s="75" t="s">
        <v>2017</v>
      </c>
      <c r="B1016" s="36" t="str">
        <f t="shared" si="15"/>
        <v>Julio</v>
      </c>
      <c r="C1016" s="77" t="s">
        <v>162</v>
      </c>
      <c r="D1016" s="77" t="s">
        <v>3391</v>
      </c>
      <c r="E101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016" s="79" t="s">
        <v>355</v>
      </c>
      <c r="G1016" s="79" t="s">
        <v>356</v>
      </c>
      <c r="H1016" s="140" t="s">
        <v>3392</v>
      </c>
      <c r="I1016" s="77" t="s">
        <v>2050</v>
      </c>
      <c r="J1016" s="144" t="s">
        <v>2051</v>
      </c>
      <c r="K1016" s="77" t="s">
        <v>169</v>
      </c>
      <c r="L1016" s="103" t="str">
        <f>VLOOKUP(Anexo_4[[#This Row],[cod_doc]],TIPODOC,2,FALSE)</f>
        <v>FACTURA</v>
      </c>
      <c r="M1016" s="77" t="s">
        <v>2052</v>
      </c>
      <c r="N1016" s="79">
        <v>35034</v>
      </c>
      <c r="O1016" s="80">
        <v>14.07</v>
      </c>
      <c r="P1016" s="81"/>
      <c r="Q1016" s="81">
        <v>2.5326</v>
      </c>
      <c r="R1016" s="80"/>
      <c r="S1016" s="80">
        <v>0</v>
      </c>
      <c r="T1016" s="82">
        <v>16.600000000000001</v>
      </c>
      <c r="U1016" s="77"/>
      <c r="V1016" s="75"/>
      <c r="W1016" s="77"/>
      <c r="X1016" s="77"/>
      <c r="Y1016" s="77" t="s">
        <v>3393</v>
      </c>
      <c r="Z1016" s="77" t="s">
        <v>196</v>
      </c>
      <c r="AA1016" s="83" t="s">
        <v>3392</v>
      </c>
      <c r="AB1016" s="104" t="str">
        <f>IFERROR(VLOOKUP(Anexo_4[[#This Row],[cuenta]],OP,2,0),"-")</f>
        <v>Encomienda (Envío de documentación)</v>
      </c>
    </row>
    <row r="1017" spans="1:28" s="84" customFormat="1" ht="27" customHeight="1" x14ac:dyDescent="0.3">
      <c r="A1017" s="75" t="s">
        <v>1843</v>
      </c>
      <c r="B1017" s="36" t="str">
        <f t="shared" si="15"/>
        <v>Julio</v>
      </c>
      <c r="C1017" s="77" t="s">
        <v>162</v>
      </c>
      <c r="D1017" s="77" t="s">
        <v>3394</v>
      </c>
      <c r="E1017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017" s="79" t="s">
        <v>355</v>
      </c>
      <c r="G1017" s="79" t="s">
        <v>356</v>
      </c>
      <c r="H1017" s="140" t="s">
        <v>3395</v>
      </c>
      <c r="I1017" s="77" t="s">
        <v>2050</v>
      </c>
      <c r="J1017" s="144" t="s">
        <v>2051</v>
      </c>
      <c r="K1017" s="77" t="s">
        <v>169</v>
      </c>
      <c r="L1017" s="103" t="str">
        <f>VLOOKUP(Anexo_4[[#This Row],[cod_doc]],TIPODOC,2,FALSE)</f>
        <v>FACTURA</v>
      </c>
      <c r="M1017" s="77" t="s">
        <v>2062</v>
      </c>
      <c r="N1017" s="79">
        <v>76923</v>
      </c>
      <c r="O1017" s="80">
        <v>11.86</v>
      </c>
      <c r="P1017" s="81"/>
      <c r="Q1017" s="81">
        <v>2.1347999999999998</v>
      </c>
      <c r="R1017" s="80"/>
      <c r="S1017" s="80">
        <v>0</v>
      </c>
      <c r="T1017" s="82">
        <v>13.99</v>
      </c>
      <c r="U1017" s="77"/>
      <c r="V1017" s="75"/>
      <c r="W1017" s="77"/>
      <c r="X1017" s="77"/>
      <c r="Y1017" s="77" t="s">
        <v>3396</v>
      </c>
      <c r="Z1017" s="77" t="s">
        <v>196</v>
      </c>
      <c r="AA1017" s="83" t="s">
        <v>3395</v>
      </c>
      <c r="AB1017" s="104" t="str">
        <f>IFERROR(VLOOKUP(Anexo_4[[#This Row],[cuenta]],OP,2,0),"-")</f>
        <v>Encomienda (Envío de documentación)</v>
      </c>
    </row>
    <row r="1018" spans="1:28" s="84" customFormat="1" ht="27" customHeight="1" x14ac:dyDescent="0.3">
      <c r="A1018" s="75" t="s">
        <v>2106</v>
      </c>
      <c r="B1018" s="36" t="str">
        <f t="shared" si="15"/>
        <v>Julio</v>
      </c>
      <c r="C1018" s="77" t="s">
        <v>162</v>
      </c>
      <c r="D1018" s="77" t="s">
        <v>3397</v>
      </c>
      <c r="E1018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018" s="79" t="s">
        <v>355</v>
      </c>
      <c r="G1018" s="79" t="s">
        <v>356</v>
      </c>
      <c r="H1018" s="140" t="s">
        <v>3398</v>
      </c>
      <c r="I1018" s="77" t="s">
        <v>1060</v>
      </c>
      <c r="J1018" s="144" t="s">
        <v>1061</v>
      </c>
      <c r="K1018" s="77" t="s">
        <v>169</v>
      </c>
      <c r="L1018" s="103" t="str">
        <f>VLOOKUP(Anexo_4[[#This Row],[cod_doc]],TIPODOC,2,FALSE)</f>
        <v>FACTURA</v>
      </c>
      <c r="M1018" s="77" t="s">
        <v>1062</v>
      </c>
      <c r="N1018" s="79">
        <v>119262</v>
      </c>
      <c r="O1018" s="80">
        <v>44.49</v>
      </c>
      <c r="P1018" s="81"/>
      <c r="Q1018" s="81">
        <v>8.0082000000000004</v>
      </c>
      <c r="R1018" s="80"/>
      <c r="S1018" s="80">
        <v>0</v>
      </c>
      <c r="T1018" s="82">
        <v>52.5</v>
      </c>
      <c r="U1018" s="77"/>
      <c r="V1018" s="75"/>
      <c r="W1018" s="77"/>
      <c r="X1018" s="77"/>
      <c r="Y1018" s="77" t="s">
        <v>3399</v>
      </c>
      <c r="Z1018" s="77" t="s">
        <v>2320</v>
      </c>
      <c r="AA1018" s="83" t="s">
        <v>3398</v>
      </c>
      <c r="AB1018" s="104" t="str">
        <f>IFERROR(VLOOKUP(Anexo_4[[#This Row],[cuenta]],OP,2,0),"-")</f>
        <v>Otros Gastos de Gestion</v>
      </c>
    </row>
    <row r="1019" spans="1:28" s="84" customFormat="1" ht="27" customHeight="1" x14ac:dyDescent="0.3">
      <c r="A1019" s="75" t="s">
        <v>1780</v>
      </c>
      <c r="B1019" s="36" t="str">
        <f t="shared" si="15"/>
        <v>Julio</v>
      </c>
      <c r="C1019" s="77" t="s">
        <v>162</v>
      </c>
      <c r="D1019" s="77" t="s">
        <v>3400</v>
      </c>
      <c r="E1019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019" s="79" t="s">
        <v>355</v>
      </c>
      <c r="G1019" s="79" t="s">
        <v>356</v>
      </c>
      <c r="H1019" s="140" t="s">
        <v>3401</v>
      </c>
      <c r="I1019" s="77" t="s">
        <v>2050</v>
      </c>
      <c r="J1019" s="144" t="s">
        <v>2051</v>
      </c>
      <c r="K1019" s="77" t="s">
        <v>169</v>
      </c>
      <c r="L1019" s="103" t="str">
        <f>VLOOKUP(Anexo_4[[#This Row],[cod_doc]],TIPODOC,2,FALSE)</f>
        <v>FACTURA</v>
      </c>
      <c r="M1019" s="77" t="s">
        <v>2062</v>
      </c>
      <c r="N1019" s="79">
        <v>76966</v>
      </c>
      <c r="O1019" s="80">
        <v>11.86</v>
      </c>
      <c r="P1019" s="81"/>
      <c r="Q1019" s="81">
        <v>2.1347999999999998</v>
      </c>
      <c r="R1019" s="80"/>
      <c r="S1019" s="80">
        <v>0</v>
      </c>
      <c r="T1019" s="82">
        <v>13.99</v>
      </c>
      <c r="U1019" s="77"/>
      <c r="V1019" s="75"/>
      <c r="W1019" s="77"/>
      <c r="X1019" s="77"/>
      <c r="Y1019" s="77" t="s">
        <v>3402</v>
      </c>
      <c r="Z1019" s="77" t="s">
        <v>196</v>
      </c>
      <c r="AA1019" s="83" t="s">
        <v>3401</v>
      </c>
      <c r="AB1019" s="104" t="str">
        <f>IFERROR(VLOOKUP(Anexo_4[[#This Row],[cuenta]],OP,2,0),"-")</f>
        <v>Encomienda (Envío de documentación)</v>
      </c>
    </row>
    <row r="1020" spans="1:28" s="84" customFormat="1" ht="27" customHeight="1" x14ac:dyDescent="0.3">
      <c r="A1020" s="75" t="s">
        <v>2837</v>
      </c>
      <c r="B1020" s="36" t="str">
        <f t="shared" si="15"/>
        <v>Julio</v>
      </c>
      <c r="C1020" s="77" t="s">
        <v>162</v>
      </c>
      <c r="D1020" s="77" t="s">
        <v>3403</v>
      </c>
      <c r="E1020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020" s="79" t="s">
        <v>355</v>
      </c>
      <c r="G1020" s="79" t="s">
        <v>356</v>
      </c>
      <c r="H1020" s="140" t="s">
        <v>192</v>
      </c>
      <c r="I1020" s="77" t="s">
        <v>638</v>
      </c>
      <c r="J1020" s="144" t="s">
        <v>639</v>
      </c>
      <c r="K1020" s="77" t="s">
        <v>169</v>
      </c>
      <c r="L1020" s="103" t="str">
        <f>VLOOKUP(Anexo_4[[#This Row],[cod_doc]],TIPODOC,2,FALSE)</f>
        <v>FACTURA</v>
      </c>
      <c r="M1020" s="77" t="s">
        <v>995</v>
      </c>
      <c r="N1020" s="79">
        <v>5391</v>
      </c>
      <c r="O1020" s="80">
        <v>41.52</v>
      </c>
      <c r="P1020" s="81"/>
      <c r="Q1020" s="81">
        <v>7.4736000000000002</v>
      </c>
      <c r="R1020" s="80"/>
      <c r="S1020" s="80">
        <v>0</v>
      </c>
      <c r="T1020" s="82">
        <v>48.99</v>
      </c>
      <c r="U1020" s="77"/>
      <c r="V1020" s="75"/>
      <c r="W1020" s="77"/>
      <c r="X1020" s="77"/>
      <c r="Y1020" s="77"/>
      <c r="Z1020" s="77" t="s">
        <v>196</v>
      </c>
      <c r="AA1020" s="83" t="s">
        <v>192</v>
      </c>
      <c r="AB1020" s="104" t="str">
        <f>IFERROR(VLOOKUP(Anexo_4[[#This Row],[cuenta]],OP,2,0),"-")</f>
        <v>Encomienda (Envío de documentación)</v>
      </c>
    </row>
    <row r="1021" spans="1:28" s="84" customFormat="1" ht="27" customHeight="1" x14ac:dyDescent="0.3">
      <c r="A1021" s="75" t="s">
        <v>2017</v>
      </c>
      <c r="B1021" s="36" t="str">
        <f t="shared" si="15"/>
        <v>Julio</v>
      </c>
      <c r="C1021" s="77" t="s">
        <v>162</v>
      </c>
      <c r="D1021" s="77" t="s">
        <v>3404</v>
      </c>
      <c r="E102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021" s="79" t="s">
        <v>449</v>
      </c>
      <c r="G1021" s="79" t="s">
        <v>450</v>
      </c>
      <c r="H1021" s="140" t="s">
        <v>3405</v>
      </c>
      <c r="I1021" s="77" t="s">
        <v>3406</v>
      </c>
      <c r="J1021" s="144" t="s">
        <v>3407</v>
      </c>
      <c r="K1021" s="77" t="s">
        <v>239</v>
      </c>
      <c r="L1021" s="103" t="str">
        <f>VLOOKUP(Anexo_4[[#This Row],[cod_doc]],TIPODOC,2,FALSE)</f>
        <v>BOLETA DE VENTA</v>
      </c>
      <c r="M1021" s="77" t="s">
        <v>162</v>
      </c>
      <c r="N1021" s="79">
        <v>11427</v>
      </c>
      <c r="O1021" s="80"/>
      <c r="P1021" s="81"/>
      <c r="Q1021" s="81"/>
      <c r="R1021" s="80"/>
      <c r="S1021" s="80">
        <v>23</v>
      </c>
      <c r="T1021" s="82">
        <v>23</v>
      </c>
      <c r="U1021" s="77"/>
      <c r="V1021" s="75"/>
      <c r="W1021" s="77"/>
      <c r="X1021" s="77"/>
      <c r="Y1021" s="77" t="s">
        <v>3408</v>
      </c>
      <c r="Z1021" s="77" t="s">
        <v>710</v>
      </c>
      <c r="AA1021" s="83" t="s">
        <v>3405</v>
      </c>
      <c r="AB1021" s="104" t="str">
        <f>IFERROR(VLOOKUP(Anexo_4[[#This Row],[cuenta]],OP,2,0),"-")</f>
        <v>Accesorios Vehiculares</v>
      </c>
    </row>
    <row r="1022" spans="1:28" s="84" customFormat="1" ht="27" customHeight="1" x14ac:dyDescent="0.3">
      <c r="A1022" s="75" t="s">
        <v>2780</v>
      </c>
      <c r="B1022" s="36" t="str">
        <f t="shared" si="15"/>
        <v>Julio</v>
      </c>
      <c r="C1022" s="77" t="s">
        <v>162</v>
      </c>
      <c r="D1022" s="77" t="s">
        <v>3409</v>
      </c>
      <c r="E102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022" s="79" t="s">
        <v>449</v>
      </c>
      <c r="G1022" s="79" t="s">
        <v>450</v>
      </c>
      <c r="H1022" s="140" t="s">
        <v>3410</v>
      </c>
      <c r="I1022" s="77" t="s">
        <v>1610</v>
      </c>
      <c r="J1022" s="144" t="s">
        <v>1611</v>
      </c>
      <c r="K1022" s="77" t="s">
        <v>169</v>
      </c>
      <c r="L1022" s="103" t="str">
        <f>VLOOKUP(Anexo_4[[#This Row],[cod_doc]],TIPODOC,2,FALSE)</f>
        <v>FACTURA</v>
      </c>
      <c r="M1022" s="77" t="s">
        <v>222</v>
      </c>
      <c r="N1022" s="79">
        <v>7851</v>
      </c>
      <c r="O1022" s="80">
        <v>53.39</v>
      </c>
      <c r="P1022" s="81"/>
      <c r="Q1022" s="81">
        <v>9.610199999999999</v>
      </c>
      <c r="R1022" s="80"/>
      <c r="S1022" s="80">
        <v>0</v>
      </c>
      <c r="T1022" s="82">
        <v>63</v>
      </c>
      <c r="U1022" s="77"/>
      <c r="V1022" s="75"/>
      <c r="W1022" s="77"/>
      <c r="X1022" s="77"/>
      <c r="Y1022" s="77" t="s">
        <v>3411</v>
      </c>
      <c r="Z1022" s="77" t="s">
        <v>710</v>
      </c>
      <c r="AA1022" s="83" t="s">
        <v>3410</v>
      </c>
      <c r="AB1022" s="104" t="str">
        <f>IFERROR(VLOOKUP(Anexo_4[[#This Row],[cuenta]],OP,2,0),"-")</f>
        <v>Accesorios Vehiculares</v>
      </c>
    </row>
    <row r="1023" spans="1:28" s="84" customFormat="1" ht="27" customHeight="1" x14ac:dyDescent="0.3">
      <c r="A1023" s="75" t="s">
        <v>1780</v>
      </c>
      <c r="B1023" s="36" t="str">
        <f t="shared" si="15"/>
        <v>Julio</v>
      </c>
      <c r="C1023" s="77" t="s">
        <v>162</v>
      </c>
      <c r="D1023" s="77" t="s">
        <v>3412</v>
      </c>
      <c r="E1023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023" s="79" t="s">
        <v>164</v>
      </c>
      <c r="G1023" s="79" t="s">
        <v>165</v>
      </c>
      <c r="H1023" s="140" t="s">
        <v>1044</v>
      </c>
      <c r="I1023" s="77" t="s">
        <v>437</v>
      </c>
      <c r="J1023" s="144" t="s">
        <v>438</v>
      </c>
      <c r="K1023" s="77" t="s">
        <v>439</v>
      </c>
      <c r="L1023" s="103" t="str">
        <f>VLOOKUP(Anexo_4[[#This Row],[cod_doc]],TIPODOC,2,FALSE)</f>
        <v>RECIBO POR SERV. PUBLICOS</v>
      </c>
      <c r="M1023" s="77" t="s">
        <v>1045</v>
      </c>
      <c r="N1023" s="79">
        <v>72257387</v>
      </c>
      <c r="O1023" s="80">
        <v>121.1</v>
      </c>
      <c r="P1023" s="81"/>
      <c r="Q1023" s="81">
        <v>21.797999999999998</v>
      </c>
      <c r="R1023" s="80"/>
      <c r="S1023" s="80">
        <v>0</v>
      </c>
      <c r="T1023" s="82">
        <v>142.9</v>
      </c>
      <c r="U1023" s="77"/>
      <c r="V1023" s="75"/>
      <c r="W1023" s="77"/>
      <c r="X1023" s="77"/>
      <c r="Y1023" s="77"/>
      <c r="Z1023" s="77" t="s">
        <v>1046</v>
      </c>
      <c r="AA1023" s="83" t="s">
        <v>1044</v>
      </c>
      <c r="AB1023" s="104" t="str">
        <f>IFERROR(VLOOKUP(Anexo_4[[#This Row],[cuenta]],OP,2,0),"-")</f>
        <v>-</v>
      </c>
    </row>
    <row r="1024" spans="1:28" s="84" customFormat="1" ht="27" customHeight="1" x14ac:dyDescent="0.3">
      <c r="A1024" s="75" t="s">
        <v>2837</v>
      </c>
      <c r="B1024" s="36" t="str">
        <f t="shared" si="15"/>
        <v>Julio</v>
      </c>
      <c r="C1024" s="77" t="s">
        <v>162</v>
      </c>
      <c r="D1024" s="77" t="s">
        <v>3413</v>
      </c>
      <c r="E1024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024" s="79"/>
      <c r="G1024" s="79"/>
      <c r="H1024" s="140"/>
      <c r="I1024" s="77" t="s">
        <v>971</v>
      </c>
      <c r="J1024" s="144" t="s">
        <v>972</v>
      </c>
      <c r="K1024" s="77" t="s">
        <v>169</v>
      </c>
      <c r="L1024" s="103" t="str">
        <f>VLOOKUP(Anexo_4[[#This Row],[cod_doc]],TIPODOC,2,FALSE)</f>
        <v>FACTURA</v>
      </c>
      <c r="M1024" s="77" t="s">
        <v>3414</v>
      </c>
      <c r="N1024" s="79" t="s">
        <v>3415</v>
      </c>
      <c r="O1024" s="80">
        <v>8388.1299999999992</v>
      </c>
      <c r="P1024" s="81"/>
      <c r="Q1024" s="81">
        <v>1509.87</v>
      </c>
      <c r="R1024" s="80"/>
      <c r="S1024" s="80">
        <v>0</v>
      </c>
      <c r="T1024" s="82">
        <v>9898</v>
      </c>
      <c r="U1024" s="77"/>
      <c r="V1024" s="75"/>
      <c r="W1024" s="77"/>
      <c r="X1024" s="77"/>
      <c r="Y1024" s="77"/>
      <c r="Z1024" s="77"/>
      <c r="AA1024" s="83"/>
      <c r="AB1024" s="104" t="str">
        <f>IFERROR(VLOOKUP(Anexo_4[[#This Row],[cuenta]],OP,2,0),"-")</f>
        <v>-</v>
      </c>
    </row>
    <row r="1025" spans="1:28" s="84" customFormat="1" ht="27" customHeight="1" x14ac:dyDescent="0.3">
      <c r="A1025" s="75" t="s">
        <v>3050</v>
      </c>
      <c r="B1025" s="36" t="str">
        <f t="shared" si="15"/>
        <v>Julio</v>
      </c>
      <c r="C1025" s="77" t="s">
        <v>162</v>
      </c>
      <c r="D1025" s="77" t="s">
        <v>3416</v>
      </c>
      <c r="E1025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025" s="79" t="s">
        <v>1028</v>
      </c>
      <c r="G1025" s="79" t="s">
        <v>1029</v>
      </c>
      <c r="H1025" s="140" t="s">
        <v>3417</v>
      </c>
      <c r="I1025" s="77" t="s">
        <v>949</v>
      </c>
      <c r="J1025" s="144" t="s">
        <v>950</v>
      </c>
      <c r="K1025" s="77" t="s">
        <v>169</v>
      </c>
      <c r="L1025" s="103" t="str">
        <f>VLOOKUP(Anexo_4[[#This Row],[cod_doc]],TIPODOC,2,FALSE)</f>
        <v>FACTURA</v>
      </c>
      <c r="M1025" s="77" t="s">
        <v>222</v>
      </c>
      <c r="N1025" s="79">
        <v>1059728</v>
      </c>
      <c r="O1025" s="80">
        <v>102</v>
      </c>
      <c r="P1025" s="81"/>
      <c r="Q1025" s="81">
        <v>18.36</v>
      </c>
      <c r="R1025" s="80"/>
      <c r="S1025" s="80">
        <v>0</v>
      </c>
      <c r="T1025" s="82">
        <v>120.36</v>
      </c>
      <c r="U1025" s="77"/>
      <c r="V1025" s="75"/>
      <c r="W1025" s="77"/>
      <c r="X1025" s="77"/>
      <c r="Y1025" s="77"/>
      <c r="Z1025" s="77" t="s">
        <v>1756</v>
      </c>
      <c r="AA1025" s="83" t="s">
        <v>3417</v>
      </c>
      <c r="AB1025" s="104" t="str">
        <f>IFERROR(VLOOKUP(Anexo_4[[#This Row],[cuenta]],OP,2,0),"-")</f>
        <v>-</v>
      </c>
    </row>
    <row r="1026" spans="1:28" s="84" customFormat="1" ht="27" customHeight="1" x14ac:dyDescent="0.3">
      <c r="A1026" s="75" t="s">
        <v>3026</v>
      </c>
      <c r="B1026" s="36" t="str">
        <f t="shared" ref="B1026:B1089" si="16">PROPER(CHOOSE(LEFT(D1026,2),"enero","febrero","marzo","abril","mayo","junio","julio","agosto","setiembre","octubre","noviembre","diciembre"))</f>
        <v>Julio</v>
      </c>
      <c r="C1026" s="77" t="s">
        <v>162</v>
      </c>
      <c r="D1026" s="77" t="s">
        <v>3418</v>
      </c>
      <c r="E1026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026" s="79" t="s">
        <v>190</v>
      </c>
      <c r="G1026" s="79" t="s">
        <v>191</v>
      </c>
      <c r="H1026" s="140" t="s">
        <v>3419</v>
      </c>
      <c r="I1026" s="77" t="s">
        <v>3420</v>
      </c>
      <c r="J1026" s="144" t="s">
        <v>3421</v>
      </c>
      <c r="K1026" s="77" t="s">
        <v>169</v>
      </c>
      <c r="L1026" s="103" t="str">
        <f>VLOOKUP(Anexo_4[[#This Row],[cod_doc]],TIPODOC,2,FALSE)</f>
        <v>FACTURA</v>
      </c>
      <c r="M1026" s="77" t="s">
        <v>102</v>
      </c>
      <c r="N1026" s="79">
        <v>1</v>
      </c>
      <c r="O1026" s="80">
        <v>4915.25</v>
      </c>
      <c r="P1026" s="81"/>
      <c r="Q1026" s="81">
        <v>884.745</v>
      </c>
      <c r="R1026" s="80"/>
      <c r="S1026" s="80">
        <v>0</v>
      </c>
      <c r="T1026" s="82">
        <v>5800</v>
      </c>
      <c r="U1026" s="77"/>
      <c r="V1026" s="75"/>
      <c r="W1026" s="77"/>
      <c r="X1026" s="77"/>
      <c r="Y1026" s="77" t="s">
        <v>3422</v>
      </c>
      <c r="Z1026" s="77" t="s">
        <v>2438</v>
      </c>
      <c r="AA1026" s="83" t="s">
        <v>3419</v>
      </c>
      <c r="AB1026" s="104" t="str">
        <f>IFERROR(VLOOKUP(Anexo_4[[#This Row],[cuenta]],OP,2,0),"-")</f>
        <v>-</v>
      </c>
    </row>
    <row r="1027" spans="1:28" s="84" customFormat="1" ht="27" customHeight="1" x14ac:dyDescent="0.3">
      <c r="A1027" s="75" t="s">
        <v>2017</v>
      </c>
      <c r="B1027" s="36" t="str">
        <f t="shared" si="16"/>
        <v>Julio</v>
      </c>
      <c r="C1027" s="77" t="s">
        <v>162</v>
      </c>
      <c r="D1027" s="77" t="s">
        <v>3423</v>
      </c>
      <c r="E1027" s="78" t="str">
        <f>IF(LEFT(Anexo_4[[#This Row],[c_costos]],2)="91","OPERACIONES",IF(LEFT(Anexo_4[[#This Row],[c_costos]],2)="97","G. FINANCIEROS",IF(LEFT(Anexo_4[[#This Row],[c_costos]],2)="95","G. VENTAS","G. ADMINISTRACIÓN")))</f>
        <v>G. FINANCIEROS</v>
      </c>
      <c r="F1027" s="79" t="s">
        <v>474</v>
      </c>
      <c r="G1027" s="79" t="s">
        <v>475</v>
      </c>
      <c r="H1027" s="140" t="s">
        <v>3424</v>
      </c>
      <c r="I1027" s="77" t="s">
        <v>477</v>
      </c>
      <c r="J1027" s="144" t="s">
        <v>478</v>
      </c>
      <c r="K1027" s="77" t="s">
        <v>169</v>
      </c>
      <c r="L1027" s="103" t="str">
        <f>VLOOKUP(Anexo_4[[#This Row],[cod_doc]],TIPODOC,2,FALSE)</f>
        <v>FACTURA</v>
      </c>
      <c r="M1027" s="77" t="s">
        <v>479</v>
      </c>
      <c r="N1027" s="79">
        <v>34261919</v>
      </c>
      <c r="O1027" s="80"/>
      <c r="P1027" s="81"/>
      <c r="Q1027" s="81"/>
      <c r="R1027" s="80"/>
      <c r="S1027" s="80">
        <v>10</v>
      </c>
      <c r="T1027" s="82">
        <v>10</v>
      </c>
      <c r="U1027" s="77"/>
      <c r="V1027" s="75"/>
      <c r="W1027" s="77"/>
      <c r="X1027" s="77"/>
      <c r="Y1027" s="77"/>
      <c r="Z1027" s="77" t="s">
        <v>480</v>
      </c>
      <c r="AA1027" s="83" t="s">
        <v>3424</v>
      </c>
      <c r="AB1027" s="104" t="str">
        <f>IFERROR(VLOOKUP(Anexo_4[[#This Row],[cuenta]],OP,2,0),"-")</f>
        <v>-</v>
      </c>
    </row>
    <row r="1028" spans="1:28" s="84" customFormat="1" ht="27" customHeight="1" x14ac:dyDescent="0.3">
      <c r="A1028" s="75" t="s">
        <v>2013</v>
      </c>
      <c r="B1028" s="36" t="str">
        <f t="shared" si="16"/>
        <v>Julio</v>
      </c>
      <c r="C1028" s="77" t="s">
        <v>162</v>
      </c>
      <c r="D1028" s="77" t="s">
        <v>3425</v>
      </c>
      <c r="E1028" s="78" t="str">
        <f>IF(LEFT(Anexo_4[[#This Row],[c_costos]],2)="91","OPERACIONES",IF(LEFT(Anexo_4[[#This Row],[c_costos]],2)="97","G. FINANCIEROS",IF(LEFT(Anexo_4[[#This Row],[c_costos]],2)="95","G. VENTAS","G. ADMINISTRACIÓN")))</f>
        <v>G. FINANCIEROS</v>
      </c>
      <c r="F1028" s="79" t="s">
        <v>474</v>
      </c>
      <c r="G1028" s="79" t="s">
        <v>475</v>
      </c>
      <c r="H1028" s="140" t="s">
        <v>3424</v>
      </c>
      <c r="I1028" s="77" t="s">
        <v>477</v>
      </c>
      <c r="J1028" s="144" t="s">
        <v>478</v>
      </c>
      <c r="K1028" s="77" t="s">
        <v>169</v>
      </c>
      <c r="L1028" s="103" t="str">
        <f>VLOOKUP(Anexo_4[[#This Row],[cod_doc]],TIPODOC,2,FALSE)</f>
        <v>FACTURA</v>
      </c>
      <c r="M1028" s="77" t="s">
        <v>479</v>
      </c>
      <c r="N1028" s="79">
        <v>34364851</v>
      </c>
      <c r="O1028" s="80"/>
      <c r="P1028" s="81"/>
      <c r="Q1028" s="81"/>
      <c r="R1028" s="80"/>
      <c r="S1028" s="80">
        <v>3.5</v>
      </c>
      <c r="T1028" s="82">
        <v>3.5</v>
      </c>
      <c r="U1028" s="77"/>
      <c r="V1028" s="75"/>
      <c r="W1028" s="77"/>
      <c r="X1028" s="77"/>
      <c r="Y1028" s="77"/>
      <c r="Z1028" s="77" t="s">
        <v>480</v>
      </c>
      <c r="AA1028" s="83" t="s">
        <v>3424</v>
      </c>
      <c r="AB1028" s="104" t="str">
        <f>IFERROR(VLOOKUP(Anexo_4[[#This Row],[cuenta]],OP,2,0),"-")</f>
        <v>-</v>
      </c>
    </row>
    <row r="1029" spans="1:28" s="84" customFormat="1" ht="27" customHeight="1" x14ac:dyDescent="0.3">
      <c r="A1029" s="75" t="s">
        <v>1627</v>
      </c>
      <c r="B1029" s="36" t="str">
        <f t="shared" si="16"/>
        <v>Julio</v>
      </c>
      <c r="C1029" s="77" t="s">
        <v>162</v>
      </c>
      <c r="D1029" s="77" t="s">
        <v>3426</v>
      </c>
      <c r="E1029" s="78" t="str">
        <f>IF(LEFT(Anexo_4[[#This Row],[c_costos]],2)="91","OPERACIONES",IF(LEFT(Anexo_4[[#This Row],[c_costos]],2)="97","G. FINANCIEROS",IF(LEFT(Anexo_4[[#This Row],[c_costos]],2)="95","G. VENTAS","G. ADMINISTRACIÓN")))</f>
        <v>G. FINANCIEROS</v>
      </c>
      <c r="F1029" s="79" t="s">
        <v>474</v>
      </c>
      <c r="G1029" s="79" t="s">
        <v>475</v>
      </c>
      <c r="H1029" s="140" t="s">
        <v>3424</v>
      </c>
      <c r="I1029" s="77" t="s">
        <v>477</v>
      </c>
      <c r="J1029" s="144" t="s">
        <v>478</v>
      </c>
      <c r="K1029" s="77" t="s">
        <v>169</v>
      </c>
      <c r="L1029" s="103" t="str">
        <f>VLOOKUP(Anexo_4[[#This Row],[cod_doc]],TIPODOC,2,FALSE)</f>
        <v>FACTURA</v>
      </c>
      <c r="M1029" s="77" t="s">
        <v>479</v>
      </c>
      <c r="N1029" s="79">
        <v>34491741</v>
      </c>
      <c r="O1029" s="80"/>
      <c r="P1029" s="81"/>
      <c r="Q1029" s="81"/>
      <c r="R1029" s="80"/>
      <c r="S1029" s="80">
        <v>10</v>
      </c>
      <c r="T1029" s="82">
        <v>10</v>
      </c>
      <c r="U1029" s="77"/>
      <c r="V1029" s="75"/>
      <c r="W1029" s="77"/>
      <c r="X1029" s="77"/>
      <c r="Y1029" s="77"/>
      <c r="Z1029" s="77" t="s">
        <v>480</v>
      </c>
      <c r="AA1029" s="83" t="s">
        <v>3424</v>
      </c>
      <c r="AB1029" s="104" t="str">
        <f>IFERROR(VLOOKUP(Anexo_4[[#This Row],[cuenta]],OP,2,0),"-")</f>
        <v>-</v>
      </c>
    </row>
    <row r="1030" spans="1:28" s="84" customFormat="1" ht="27" customHeight="1" x14ac:dyDescent="0.3">
      <c r="A1030" s="75" t="s">
        <v>1843</v>
      </c>
      <c r="B1030" s="36" t="str">
        <f t="shared" si="16"/>
        <v>Julio</v>
      </c>
      <c r="C1030" s="77" t="s">
        <v>162</v>
      </c>
      <c r="D1030" s="77" t="s">
        <v>3427</v>
      </c>
      <c r="E1030" s="78" t="str">
        <f>IF(LEFT(Anexo_4[[#This Row],[c_costos]],2)="91","OPERACIONES",IF(LEFT(Anexo_4[[#This Row],[c_costos]],2)="97","G. FINANCIEROS",IF(LEFT(Anexo_4[[#This Row],[c_costos]],2)="95","G. VENTAS","G. ADMINISTRACIÓN")))</f>
        <v>G. FINANCIEROS</v>
      </c>
      <c r="F1030" s="79" t="s">
        <v>474</v>
      </c>
      <c r="G1030" s="79" t="s">
        <v>475</v>
      </c>
      <c r="H1030" s="140" t="s">
        <v>3424</v>
      </c>
      <c r="I1030" s="77" t="s">
        <v>477</v>
      </c>
      <c r="J1030" s="144" t="s">
        <v>478</v>
      </c>
      <c r="K1030" s="77" t="s">
        <v>169</v>
      </c>
      <c r="L1030" s="103" t="str">
        <f>VLOOKUP(Anexo_4[[#This Row],[cod_doc]],TIPODOC,2,FALSE)</f>
        <v>FACTURA</v>
      </c>
      <c r="M1030" s="77" t="s">
        <v>479</v>
      </c>
      <c r="N1030" s="79">
        <v>34518438</v>
      </c>
      <c r="O1030" s="80"/>
      <c r="P1030" s="81"/>
      <c r="Q1030" s="81"/>
      <c r="R1030" s="80"/>
      <c r="S1030" s="80">
        <v>10</v>
      </c>
      <c r="T1030" s="82">
        <v>10</v>
      </c>
      <c r="U1030" s="77"/>
      <c r="V1030" s="75"/>
      <c r="W1030" s="77"/>
      <c r="X1030" s="77"/>
      <c r="Y1030" s="77"/>
      <c r="Z1030" s="77" t="s">
        <v>480</v>
      </c>
      <c r="AA1030" s="83" t="s">
        <v>3424</v>
      </c>
      <c r="AB1030" s="104" t="str">
        <f>IFERROR(VLOOKUP(Anexo_4[[#This Row],[cuenta]],OP,2,0),"-")</f>
        <v>-</v>
      </c>
    </row>
    <row r="1031" spans="1:28" s="84" customFormat="1" ht="27" customHeight="1" x14ac:dyDescent="0.3">
      <c r="A1031" s="75" t="s">
        <v>2349</v>
      </c>
      <c r="B1031" s="36" t="str">
        <f t="shared" si="16"/>
        <v>Julio</v>
      </c>
      <c r="C1031" s="77" t="s">
        <v>162</v>
      </c>
      <c r="D1031" s="77" t="s">
        <v>3428</v>
      </c>
      <c r="E1031" s="78" t="str">
        <f>IF(LEFT(Anexo_4[[#This Row],[c_costos]],2)="91","OPERACIONES",IF(LEFT(Anexo_4[[#This Row],[c_costos]],2)="97","G. FINANCIEROS",IF(LEFT(Anexo_4[[#This Row],[c_costos]],2)="95","G. VENTAS","G. ADMINISTRACIÓN")))</f>
        <v>G. FINANCIEROS</v>
      </c>
      <c r="F1031" s="79" t="s">
        <v>474</v>
      </c>
      <c r="G1031" s="79" t="s">
        <v>475</v>
      </c>
      <c r="H1031" s="140" t="s">
        <v>3424</v>
      </c>
      <c r="I1031" s="77" t="s">
        <v>477</v>
      </c>
      <c r="J1031" s="144" t="s">
        <v>478</v>
      </c>
      <c r="K1031" s="77" t="s">
        <v>169</v>
      </c>
      <c r="L1031" s="103" t="str">
        <f>VLOOKUP(Anexo_4[[#This Row],[cod_doc]],TIPODOC,2,FALSE)</f>
        <v>FACTURA</v>
      </c>
      <c r="M1031" s="77" t="s">
        <v>479</v>
      </c>
      <c r="N1031" s="79">
        <v>34545339</v>
      </c>
      <c r="O1031" s="80"/>
      <c r="P1031" s="81"/>
      <c r="Q1031" s="81"/>
      <c r="R1031" s="80"/>
      <c r="S1031" s="80">
        <v>10</v>
      </c>
      <c r="T1031" s="82">
        <v>10</v>
      </c>
      <c r="U1031" s="77"/>
      <c r="V1031" s="75"/>
      <c r="W1031" s="77"/>
      <c r="X1031" s="77"/>
      <c r="Y1031" s="77"/>
      <c r="Z1031" s="77" t="s">
        <v>480</v>
      </c>
      <c r="AA1031" s="83" t="s">
        <v>3424</v>
      </c>
      <c r="AB1031" s="104" t="str">
        <f>IFERROR(VLOOKUP(Anexo_4[[#This Row],[cuenta]],OP,2,0),"-")</f>
        <v>-</v>
      </c>
    </row>
    <row r="1032" spans="1:28" s="84" customFormat="1" ht="27" customHeight="1" x14ac:dyDescent="0.3">
      <c r="A1032" s="75" t="s">
        <v>3026</v>
      </c>
      <c r="B1032" s="36" t="str">
        <f t="shared" si="16"/>
        <v>Julio</v>
      </c>
      <c r="C1032" s="77" t="s">
        <v>162</v>
      </c>
      <c r="D1032" s="77" t="s">
        <v>3429</v>
      </c>
      <c r="E1032" s="78" t="str">
        <f>IF(LEFT(Anexo_4[[#This Row],[c_costos]],2)="91","OPERACIONES",IF(LEFT(Anexo_4[[#This Row],[c_costos]],2)="97","G. FINANCIEROS",IF(LEFT(Anexo_4[[#This Row],[c_costos]],2)="95","G. VENTAS","G. ADMINISTRACIÓN")))</f>
        <v>G. FINANCIEROS</v>
      </c>
      <c r="F1032" s="79" t="s">
        <v>474</v>
      </c>
      <c r="G1032" s="79" t="s">
        <v>475</v>
      </c>
      <c r="H1032" s="140" t="s">
        <v>3424</v>
      </c>
      <c r="I1032" s="77" t="s">
        <v>477</v>
      </c>
      <c r="J1032" s="144" t="s">
        <v>478</v>
      </c>
      <c r="K1032" s="77" t="s">
        <v>169</v>
      </c>
      <c r="L1032" s="103" t="str">
        <f>VLOOKUP(Anexo_4[[#This Row],[cod_doc]],TIPODOC,2,FALSE)</f>
        <v>FACTURA</v>
      </c>
      <c r="M1032" s="77" t="s">
        <v>479</v>
      </c>
      <c r="N1032" s="79">
        <v>35203372</v>
      </c>
      <c r="O1032" s="80"/>
      <c r="P1032" s="81"/>
      <c r="Q1032" s="81"/>
      <c r="R1032" s="80"/>
      <c r="S1032" s="80">
        <v>10</v>
      </c>
      <c r="T1032" s="82">
        <v>10</v>
      </c>
      <c r="U1032" s="77"/>
      <c r="V1032" s="75"/>
      <c r="W1032" s="77"/>
      <c r="X1032" s="77"/>
      <c r="Y1032" s="77"/>
      <c r="Z1032" s="77" t="s">
        <v>480</v>
      </c>
      <c r="AA1032" s="83" t="s">
        <v>3424</v>
      </c>
      <c r="AB1032" s="104" t="str">
        <f>IFERROR(VLOOKUP(Anexo_4[[#This Row],[cuenta]],OP,2,0),"-")</f>
        <v>-</v>
      </c>
    </row>
    <row r="1033" spans="1:28" s="84" customFormat="1" ht="27" customHeight="1" x14ac:dyDescent="0.3">
      <c r="A1033" s="75" t="s">
        <v>2675</v>
      </c>
      <c r="B1033" s="36" t="str">
        <f t="shared" si="16"/>
        <v>Julio</v>
      </c>
      <c r="C1033" s="77" t="s">
        <v>162</v>
      </c>
      <c r="D1033" s="77" t="s">
        <v>3430</v>
      </c>
      <c r="E1033" s="78" t="str">
        <f>IF(LEFT(Anexo_4[[#This Row],[c_costos]],2)="91","OPERACIONES",IF(LEFT(Anexo_4[[#This Row],[c_costos]],2)="97","G. FINANCIEROS",IF(LEFT(Anexo_4[[#This Row],[c_costos]],2)="95","G. VENTAS","G. ADMINISTRACIÓN")))</f>
        <v>G. FINANCIEROS</v>
      </c>
      <c r="F1033" s="79" t="s">
        <v>474</v>
      </c>
      <c r="G1033" s="79" t="s">
        <v>475</v>
      </c>
      <c r="H1033" s="140" t="s">
        <v>3424</v>
      </c>
      <c r="I1033" s="77" t="s">
        <v>477</v>
      </c>
      <c r="J1033" s="144" t="s">
        <v>478</v>
      </c>
      <c r="K1033" s="77" t="s">
        <v>169</v>
      </c>
      <c r="L1033" s="103" t="str">
        <f>VLOOKUP(Anexo_4[[#This Row],[cod_doc]],TIPODOC,2,FALSE)</f>
        <v>FACTURA</v>
      </c>
      <c r="M1033" s="77" t="s">
        <v>479</v>
      </c>
      <c r="N1033" s="79">
        <v>35055362</v>
      </c>
      <c r="O1033" s="80"/>
      <c r="P1033" s="81"/>
      <c r="Q1033" s="81"/>
      <c r="R1033" s="80"/>
      <c r="S1033" s="80">
        <v>10</v>
      </c>
      <c r="T1033" s="82">
        <v>10</v>
      </c>
      <c r="U1033" s="77"/>
      <c r="V1033" s="75"/>
      <c r="W1033" s="77"/>
      <c r="X1033" s="77"/>
      <c r="Y1033" s="77"/>
      <c r="Z1033" s="77" t="s">
        <v>480</v>
      </c>
      <c r="AA1033" s="83" t="s">
        <v>3424</v>
      </c>
      <c r="AB1033" s="104" t="str">
        <f>IFERROR(VLOOKUP(Anexo_4[[#This Row],[cuenta]],OP,2,0),"-")</f>
        <v>-</v>
      </c>
    </row>
    <row r="1034" spans="1:28" s="84" customFormat="1" ht="27" customHeight="1" x14ac:dyDescent="0.3">
      <c r="A1034" s="75" t="s">
        <v>3026</v>
      </c>
      <c r="B1034" s="36" t="str">
        <f t="shared" si="16"/>
        <v>Julio</v>
      </c>
      <c r="C1034" s="77" t="s">
        <v>162</v>
      </c>
      <c r="D1034" s="77" t="s">
        <v>3431</v>
      </c>
      <c r="E1034" s="78" t="str">
        <f>IF(LEFT(Anexo_4[[#This Row],[c_costos]],2)="91","OPERACIONES",IF(LEFT(Anexo_4[[#This Row],[c_costos]],2)="97","G. FINANCIEROS",IF(LEFT(Anexo_4[[#This Row],[c_costos]],2)="95","G. VENTAS","G. ADMINISTRACIÓN")))</f>
        <v>G. FINANCIEROS</v>
      </c>
      <c r="F1034" s="79" t="s">
        <v>474</v>
      </c>
      <c r="G1034" s="79" t="s">
        <v>475</v>
      </c>
      <c r="H1034" s="140" t="s">
        <v>1731</v>
      </c>
      <c r="I1034" s="77" t="s">
        <v>477</v>
      </c>
      <c r="J1034" s="144" t="s">
        <v>478</v>
      </c>
      <c r="K1034" s="77" t="s">
        <v>169</v>
      </c>
      <c r="L1034" s="103" t="str">
        <f>VLOOKUP(Anexo_4[[#This Row],[cod_doc]],TIPODOC,2,FALSE)</f>
        <v>FACTURA</v>
      </c>
      <c r="M1034" s="77" t="s">
        <v>479</v>
      </c>
      <c r="N1034" s="79">
        <v>35231563</v>
      </c>
      <c r="O1034" s="80"/>
      <c r="P1034" s="81"/>
      <c r="Q1034" s="81"/>
      <c r="R1034" s="80"/>
      <c r="S1034" s="80">
        <v>15</v>
      </c>
      <c r="T1034" s="82">
        <v>15</v>
      </c>
      <c r="U1034" s="77"/>
      <c r="V1034" s="75"/>
      <c r="W1034" s="77"/>
      <c r="X1034" s="77"/>
      <c r="Y1034" s="77"/>
      <c r="Z1034" s="77" t="s">
        <v>483</v>
      </c>
      <c r="AA1034" s="83" t="s">
        <v>1731</v>
      </c>
      <c r="AB1034" s="104" t="str">
        <f>IFERROR(VLOOKUP(Anexo_4[[#This Row],[cuenta]],OP,2,0),"-")</f>
        <v>-</v>
      </c>
    </row>
    <row r="1035" spans="1:28" s="84" customFormat="1" ht="27" customHeight="1" x14ac:dyDescent="0.3">
      <c r="A1035" s="75" t="s">
        <v>2564</v>
      </c>
      <c r="B1035" s="36" t="str">
        <f t="shared" si="16"/>
        <v>Julio</v>
      </c>
      <c r="C1035" s="77" t="s">
        <v>162</v>
      </c>
      <c r="D1035" s="77" t="s">
        <v>3432</v>
      </c>
      <c r="E1035" s="78" t="str">
        <f>IF(LEFT(Anexo_4[[#This Row],[c_costos]],2)="91","OPERACIONES",IF(LEFT(Anexo_4[[#This Row],[c_costos]],2)="97","G. FINANCIEROS",IF(LEFT(Anexo_4[[#This Row],[c_costos]],2)="95","G. VENTAS","G. ADMINISTRACIÓN")))</f>
        <v>G. FINANCIEROS</v>
      </c>
      <c r="F1035" s="79" t="s">
        <v>474</v>
      </c>
      <c r="G1035" s="79" t="s">
        <v>475</v>
      </c>
      <c r="H1035" s="140" t="s">
        <v>1731</v>
      </c>
      <c r="I1035" s="77" t="s">
        <v>477</v>
      </c>
      <c r="J1035" s="144" t="s">
        <v>478</v>
      </c>
      <c r="K1035" s="77" t="s">
        <v>169</v>
      </c>
      <c r="L1035" s="103" t="str">
        <f>VLOOKUP(Anexo_4[[#This Row],[cod_doc]],TIPODOC,2,FALSE)</f>
        <v>FACTURA</v>
      </c>
      <c r="M1035" s="77" t="s">
        <v>479</v>
      </c>
      <c r="N1035" s="79">
        <v>34975615</v>
      </c>
      <c r="O1035" s="80"/>
      <c r="P1035" s="81"/>
      <c r="Q1035" s="81"/>
      <c r="R1035" s="80"/>
      <c r="S1035" s="80">
        <v>5</v>
      </c>
      <c r="T1035" s="82">
        <v>5</v>
      </c>
      <c r="U1035" s="77"/>
      <c r="V1035" s="75"/>
      <c r="W1035" s="77"/>
      <c r="X1035" s="77"/>
      <c r="Y1035" s="77"/>
      <c r="Z1035" s="77" t="s">
        <v>483</v>
      </c>
      <c r="AA1035" s="83" t="s">
        <v>1731</v>
      </c>
      <c r="AB1035" s="104" t="str">
        <f>IFERROR(VLOOKUP(Anexo_4[[#This Row],[cuenta]],OP,2,0),"-")</f>
        <v>-</v>
      </c>
    </row>
    <row r="1036" spans="1:28" s="84" customFormat="1" ht="27" customHeight="1" x14ac:dyDescent="0.3">
      <c r="A1036" s="75" t="s">
        <v>1916</v>
      </c>
      <c r="B1036" s="36" t="str">
        <f t="shared" si="16"/>
        <v>Julio</v>
      </c>
      <c r="C1036" s="77" t="s">
        <v>162</v>
      </c>
      <c r="D1036" s="77" t="s">
        <v>3433</v>
      </c>
      <c r="E1036" s="78" t="str">
        <f>IF(LEFT(Anexo_4[[#This Row],[c_costos]],2)="91","OPERACIONES",IF(LEFT(Anexo_4[[#This Row],[c_costos]],2)="97","G. FINANCIEROS",IF(LEFT(Anexo_4[[#This Row],[c_costos]],2)="95","G. VENTAS","G. ADMINISTRACIÓN")))</f>
        <v>G. FINANCIEROS</v>
      </c>
      <c r="F1036" s="79" t="s">
        <v>474</v>
      </c>
      <c r="G1036" s="79" t="s">
        <v>475</v>
      </c>
      <c r="H1036" s="140" t="s">
        <v>1731</v>
      </c>
      <c r="I1036" s="77" t="s">
        <v>477</v>
      </c>
      <c r="J1036" s="144" t="s">
        <v>478</v>
      </c>
      <c r="K1036" s="77" t="s">
        <v>169</v>
      </c>
      <c r="L1036" s="103" t="str">
        <f>VLOOKUP(Anexo_4[[#This Row],[cod_doc]],TIPODOC,2,FALSE)</f>
        <v>FACTURA</v>
      </c>
      <c r="M1036" s="77" t="s">
        <v>479</v>
      </c>
      <c r="N1036" s="79">
        <v>34348661</v>
      </c>
      <c r="O1036" s="80"/>
      <c r="P1036" s="81"/>
      <c r="Q1036" s="81"/>
      <c r="R1036" s="80"/>
      <c r="S1036" s="80">
        <v>5</v>
      </c>
      <c r="T1036" s="82">
        <v>5</v>
      </c>
      <c r="U1036" s="77"/>
      <c r="V1036" s="75"/>
      <c r="W1036" s="77"/>
      <c r="X1036" s="77"/>
      <c r="Y1036" s="77"/>
      <c r="Z1036" s="77" t="s">
        <v>483</v>
      </c>
      <c r="AA1036" s="83" t="s">
        <v>1731</v>
      </c>
      <c r="AB1036" s="104" t="str">
        <f>IFERROR(VLOOKUP(Anexo_4[[#This Row],[cuenta]],OP,2,0),"-")</f>
        <v>-</v>
      </c>
    </row>
    <row r="1037" spans="1:28" s="84" customFormat="1" ht="27" customHeight="1" x14ac:dyDescent="0.3">
      <c r="A1037" s="75" t="s">
        <v>2106</v>
      </c>
      <c r="B1037" s="36" t="str">
        <f t="shared" si="16"/>
        <v>Julio</v>
      </c>
      <c r="C1037" s="77" t="s">
        <v>162</v>
      </c>
      <c r="D1037" s="77" t="s">
        <v>3434</v>
      </c>
      <c r="E1037" s="78" t="str">
        <f>IF(LEFT(Anexo_4[[#This Row],[c_costos]],2)="91","OPERACIONES",IF(LEFT(Anexo_4[[#This Row],[c_costos]],2)="97","G. FINANCIEROS",IF(LEFT(Anexo_4[[#This Row],[c_costos]],2)="95","G. VENTAS","G. ADMINISTRACIÓN")))</f>
        <v>G. FINANCIEROS</v>
      </c>
      <c r="F1037" s="79" t="s">
        <v>474</v>
      </c>
      <c r="G1037" s="79" t="s">
        <v>475</v>
      </c>
      <c r="H1037" s="140" t="s">
        <v>1731</v>
      </c>
      <c r="I1037" s="77" t="s">
        <v>477</v>
      </c>
      <c r="J1037" s="144" t="s">
        <v>478</v>
      </c>
      <c r="K1037" s="77" t="s">
        <v>169</v>
      </c>
      <c r="L1037" s="103" t="str">
        <f>VLOOKUP(Anexo_4[[#This Row],[cod_doc]],TIPODOC,2,FALSE)</f>
        <v>FACTURA</v>
      </c>
      <c r="M1037" s="77" t="s">
        <v>479</v>
      </c>
      <c r="N1037" s="79">
        <v>34412505</v>
      </c>
      <c r="O1037" s="80"/>
      <c r="P1037" s="81"/>
      <c r="Q1037" s="81"/>
      <c r="R1037" s="80"/>
      <c r="S1037" s="80">
        <v>62.56</v>
      </c>
      <c r="T1037" s="82">
        <v>62.56</v>
      </c>
      <c r="U1037" s="77"/>
      <c r="V1037" s="75"/>
      <c r="W1037" s="77"/>
      <c r="X1037" s="77"/>
      <c r="Y1037" s="77"/>
      <c r="Z1037" s="77" t="s">
        <v>483</v>
      </c>
      <c r="AA1037" s="83" t="s">
        <v>1731</v>
      </c>
      <c r="AB1037" s="104" t="str">
        <f>IFERROR(VLOOKUP(Anexo_4[[#This Row],[cuenta]],OP,2,0),"-")</f>
        <v>-</v>
      </c>
    </row>
    <row r="1038" spans="1:28" s="84" customFormat="1" ht="27" customHeight="1" x14ac:dyDescent="0.3">
      <c r="A1038" s="75" t="s">
        <v>1993</v>
      </c>
      <c r="B1038" s="36" t="str">
        <f t="shared" si="16"/>
        <v>Julio</v>
      </c>
      <c r="C1038" s="77" t="s">
        <v>162</v>
      </c>
      <c r="D1038" s="77" t="s">
        <v>3435</v>
      </c>
      <c r="E1038" s="78" t="str">
        <f>IF(LEFT(Anexo_4[[#This Row],[c_costos]],2)="91","OPERACIONES",IF(LEFT(Anexo_4[[#This Row],[c_costos]],2)="97","G. FINANCIEROS",IF(LEFT(Anexo_4[[#This Row],[c_costos]],2)="95","G. VENTAS","G. ADMINISTRACIÓN")))</f>
        <v>G. FINANCIEROS</v>
      </c>
      <c r="F1038" s="79" t="s">
        <v>474</v>
      </c>
      <c r="G1038" s="79" t="s">
        <v>475</v>
      </c>
      <c r="H1038" s="140" t="s">
        <v>1731</v>
      </c>
      <c r="I1038" s="77" t="s">
        <v>477</v>
      </c>
      <c r="J1038" s="144" t="s">
        <v>478</v>
      </c>
      <c r="K1038" s="77" t="s">
        <v>169</v>
      </c>
      <c r="L1038" s="103" t="str">
        <f>VLOOKUP(Anexo_4[[#This Row],[cod_doc]],TIPODOC,2,FALSE)</f>
        <v>FACTURA</v>
      </c>
      <c r="M1038" s="77" t="s">
        <v>479</v>
      </c>
      <c r="N1038" s="79">
        <v>34312245</v>
      </c>
      <c r="O1038" s="80"/>
      <c r="P1038" s="81"/>
      <c r="Q1038" s="81"/>
      <c r="R1038" s="80"/>
      <c r="S1038" s="80">
        <v>2.5</v>
      </c>
      <c r="T1038" s="82">
        <v>2.5</v>
      </c>
      <c r="U1038" s="77"/>
      <c r="V1038" s="75"/>
      <c r="W1038" s="77"/>
      <c r="X1038" s="77"/>
      <c r="Y1038" s="77"/>
      <c r="Z1038" s="77" t="s">
        <v>483</v>
      </c>
      <c r="AA1038" s="83" t="s">
        <v>1731</v>
      </c>
      <c r="AB1038" s="104" t="str">
        <f>IFERROR(VLOOKUP(Anexo_4[[#This Row],[cuenta]],OP,2,0),"-")</f>
        <v>-</v>
      </c>
    </row>
    <row r="1039" spans="1:28" s="84" customFormat="1" ht="27" customHeight="1" x14ac:dyDescent="0.3">
      <c r="A1039" s="75" t="s">
        <v>1993</v>
      </c>
      <c r="B1039" s="36" t="str">
        <f t="shared" si="16"/>
        <v>Julio</v>
      </c>
      <c r="C1039" s="77" t="s">
        <v>162</v>
      </c>
      <c r="D1039" s="77" t="s">
        <v>3436</v>
      </c>
      <c r="E1039" s="78" t="str">
        <f>IF(LEFT(Anexo_4[[#This Row],[c_costos]],2)="91","OPERACIONES",IF(LEFT(Anexo_4[[#This Row],[c_costos]],2)="97","G. FINANCIEROS",IF(LEFT(Anexo_4[[#This Row],[c_costos]],2)="95","G. VENTAS","G. ADMINISTRACIÓN")))</f>
        <v>G. FINANCIEROS</v>
      </c>
      <c r="F1039" s="79" t="s">
        <v>474</v>
      </c>
      <c r="G1039" s="79" t="s">
        <v>475</v>
      </c>
      <c r="H1039" s="140" t="s">
        <v>1731</v>
      </c>
      <c r="I1039" s="77" t="s">
        <v>477</v>
      </c>
      <c r="J1039" s="144" t="s">
        <v>478</v>
      </c>
      <c r="K1039" s="77" t="s">
        <v>169</v>
      </c>
      <c r="L1039" s="103" t="str">
        <f>VLOOKUP(Anexo_4[[#This Row],[cod_doc]],TIPODOC,2,FALSE)</f>
        <v>FACTURA</v>
      </c>
      <c r="M1039" s="77" t="s">
        <v>479</v>
      </c>
      <c r="N1039" s="79">
        <v>34312266</v>
      </c>
      <c r="O1039" s="80"/>
      <c r="P1039" s="81"/>
      <c r="Q1039" s="81"/>
      <c r="R1039" s="80"/>
      <c r="S1039" s="80">
        <v>22.49</v>
      </c>
      <c r="T1039" s="82">
        <v>22.49</v>
      </c>
      <c r="U1039" s="77"/>
      <c r="V1039" s="75"/>
      <c r="W1039" s="77"/>
      <c r="X1039" s="77"/>
      <c r="Y1039" s="77"/>
      <c r="Z1039" s="77" t="s">
        <v>483</v>
      </c>
      <c r="AA1039" s="83" t="s">
        <v>1731</v>
      </c>
      <c r="AB1039" s="104" t="str">
        <f>IFERROR(VLOOKUP(Anexo_4[[#This Row],[cuenta]],OP,2,0),"-")</f>
        <v>-</v>
      </c>
    </row>
    <row r="1040" spans="1:28" s="84" customFormat="1" ht="27" customHeight="1" x14ac:dyDescent="0.3">
      <c r="A1040" s="75" t="s">
        <v>2017</v>
      </c>
      <c r="B1040" s="36" t="str">
        <f t="shared" si="16"/>
        <v>Julio</v>
      </c>
      <c r="C1040" s="77" t="s">
        <v>162</v>
      </c>
      <c r="D1040" s="77" t="s">
        <v>3437</v>
      </c>
      <c r="E1040" s="78" t="str">
        <f>IF(LEFT(Anexo_4[[#This Row],[c_costos]],2)="91","OPERACIONES",IF(LEFT(Anexo_4[[#This Row],[c_costos]],2)="97","G. FINANCIEROS",IF(LEFT(Anexo_4[[#This Row],[c_costos]],2)="95","G. VENTAS","G. ADMINISTRACIÓN")))</f>
        <v>G. FINANCIEROS</v>
      </c>
      <c r="F1040" s="79" t="s">
        <v>474</v>
      </c>
      <c r="G1040" s="79" t="s">
        <v>475</v>
      </c>
      <c r="H1040" s="140" t="s">
        <v>1731</v>
      </c>
      <c r="I1040" s="77" t="s">
        <v>477</v>
      </c>
      <c r="J1040" s="144" t="s">
        <v>478</v>
      </c>
      <c r="K1040" s="77" t="s">
        <v>169</v>
      </c>
      <c r="L1040" s="103" t="str">
        <f>VLOOKUP(Anexo_4[[#This Row],[cod_doc]],TIPODOC,2,FALSE)</f>
        <v>FACTURA</v>
      </c>
      <c r="M1040" s="77" t="s">
        <v>479</v>
      </c>
      <c r="N1040" s="79">
        <v>34293636</v>
      </c>
      <c r="O1040" s="80"/>
      <c r="P1040" s="81"/>
      <c r="Q1040" s="81"/>
      <c r="R1040" s="80"/>
      <c r="S1040" s="80">
        <v>10.5</v>
      </c>
      <c r="T1040" s="82">
        <v>10.5</v>
      </c>
      <c r="U1040" s="77"/>
      <c r="V1040" s="75"/>
      <c r="W1040" s="77"/>
      <c r="X1040" s="77"/>
      <c r="Y1040" s="77"/>
      <c r="Z1040" s="77" t="s">
        <v>483</v>
      </c>
      <c r="AA1040" s="83" t="s">
        <v>1731</v>
      </c>
      <c r="AB1040" s="104" t="str">
        <f>IFERROR(VLOOKUP(Anexo_4[[#This Row],[cuenta]],OP,2,0),"-")</f>
        <v>-</v>
      </c>
    </row>
    <row r="1041" spans="1:28" s="84" customFormat="1" ht="27" customHeight="1" x14ac:dyDescent="0.3">
      <c r="A1041" s="75" t="s">
        <v>1627</v>
      </c>
      <c r="B1041" s="36" t="str">
        <f t="shared" si="16"/>
        <v>Julio</v>
      </c>
      <c r="C1041" s="77" t="s">
        <v>162</v>
      </c>
      <c r="D1041" s="77" t="s">
        <v>3438</v>
      </c>
      <c r="E1041" s="78" t="str">
        <f>IF(LEFT(Anexo_4[[#This Row],[c_costos]],2)="91","OPERACIONES",IF(LEFT(Anexo_4[[#This Row],[c_costos]],2)="97","G. FINANCIEROS",IF(LEFT(Anexo_4[[#This Row],[c_costos]],2)="95","G. VENTAS","G. ADMINISTRACIÓN")))</f>
        <v>G. FINANCIEROS</v>
      </c>
      <c r="F1041" s="79" t="s">
        <v>474</v>
      </c>
      <c r="G1041" s="79" t="s">
        <v>475</v>
      </c>
      <c r="H1041" s="140" t="s">
        <v>1731</v>
      </c>
      <c r="I1041" s="77" t="s">
        <v>477</v>
      </c>
      <c r="J1041" s="144" t="s">
        <v>478</v>
      </c>
      <c r="K1041" s="77" t="s">
        <v>169</v>
      </c>
      <c r="L1041" s="103" t="str">
        <f>VLOOKUP(Anexo_4[[#This Row],[cod_doc]],TIPODOC,2,FALSE)</f>
        <v>FACTURA</v>
      </c>
      <c r="M1041" s="77" t="s">
        <v>479</v>
      </c>
      <c r="N1041" s="79">
        <v>34498361</v>
      </c>
      <c r="O1041" s="80"/>
      <c r="P1041" s="81"/>
      <c r="Q1041" s="81"/>
      <c r="R1041" s="80"/>
      <c r="S1041" s="80">
        <v>19.5</v>
      </c>
      <c r="T1041" s="82">
        <v>19.5</v>
      </c>
      <c r="U1041" s="77"/>
      <c r="V1041" s="75"/>
      <c r="W1041" s="77"/>
      <c r="X1041" s="77"/>
      <c r="Y1041" s="77"/>
      <c r="Z1041" s="77" t="s">
        <v>483</v>
      </c>
      <c r="AA1041" s="83" t="s">
        <v>1731</v>
      </c>
      <c r="AB1041" s="104" t="str">
        <f>IFERROR(VLOOKUP(Anexo_4[[#This Row],[cuenta]],OP,2,0),"-")</f>
        <v>-</v>
      </c>
    </row>
    <row r="1042" spans="1:28" s="84" customFormat="1" ht="27" customHeight="1" x14ac:dyDescent="0.3">
      <c r="A1042" s="75" t="s">
        <v>2552</v>
      </c>
      <c r="B1042" s="36" t="str">
        <f t="shared" si="16"/>
        <v>Julio</v>
      </c>
      <c r="C1042" s="77" t="s">
        <v>162</v>
      </c>
      <c r="D1042" s="77" t="s">
        <v>3439</v>
      </c>
      <c r="E1042" s="78" t="str">
        <f>IF(LEFT(Anexo_4[[#This Row],[c_costos]],2)="91","OPERACIONES",IF(LEFT(Anexo_4[[#This Row],[c_costos]],2)="97","G. FINANCIEROS",IF(LEFT(Anexo_4[[#This Row],[c_costos]],2)="95","G. VENTAS","G. ADMINISTRACIÓN")))</f>
        <v>G. FINANCIEROS</v>
      </c>
      <c r="F1042" s="79" t="s">
        <v>474</v>
      </c>
      <c r="G1042" s="79" t="s">
        <v>475</v>
      </c>
      <c r="H1042" s="140" t="s">
        <v>3440</v>
      </c>
      <c r="I1042" s="77" t="s">
        <v>477</v>
      </c>
      <c r="J1042" s="144" t="s">
        <v>478</v>
      </c>
      <c r="K1042" s="77" t="s">
        <v>169</v>
      </c>
      <c r="L1042" s="103" t="str">
        <f>VLOOKUP(Anexo_4[[#This Row],[cod_doc]],TIPODOC,2,FALSE)</f>
        <v>FACTURA</v>
      </c>
      <c r="M1042" s="77" t="s">
        <v>479</v>
      </c>
      <c r="N1042" s="79">
        <v>34672092</v>
      </c>
      <c r="O1042" s="80"/>
      <c r="P1042" s="81"/>
      <c r="Q1042" s="81"/>
      <c r="R1042" s="80"/>
      <c r="S1042" s="80">
        <v>10</v>
      </c>
      <c r="T1042" s="82">
        <v>10</v>
      </c>
      <c r="U1042" s="77"/>
      <c r="V1042" s="75"/>
      <c r="W1042" s="77"/>
      <c r="X1042" s="77"/>
      <c r="Y1042" s="77"/>
      <c r="Z1042" s="77" t="s">
        <v>3441</v>
      </c>
      <c r="AA1042" s="83" t="s">
        <v>3440</v>
      </c>
      <c r="AB1042" s="104" t="str">
        <f>IFERROR(VLOOKUP(Anexo_4[[#This Row],[cuenta]],OP,2,0),"-")</f>
        <v>-</v>
      </c>
    </row>
    <row r="1043" spans="1:28" s="84" customFormat="1" ht="27" customHeight="1" x14ac:dyDescent="0.3">
      <c r="A1043" s="75" t="s">
        <v>3442</v>
      </c>
      <c r="B1043" s="36" t="str">
        <f t="shared" si="16"/>
        <v>Julio</v>
      </c>
      <c r="C1043" s="77" t="s">
        <v>162</v>
      </c>
      <c r="D1043" s="77" t="s">
        <v>3443</v>
      </c>
      <c r="E1043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043" s="79"/>
      <c r="G1043" s="79"/>
      <c r="H1043" s="140"/>
      <c r="I1043" s="77" t="s">
        <v>3444</v>
      </c>
      <c r="J1043" s="144" t="s">
        <v>3445</v>
      </c>
      <c r="K1043" s="77" t="s">
        <v>169</v>
      </c>
      <c r="L1043" s="103" t="str">
        <f>VLOOKUP(Anexo_4[[#This Row],[cod_doc]],TIPODOC,2,FALSE)</f>
        <v>FACTURA</v>
      </c>
      <c r="M1043" s="77" t="s">
        <v>3446</v>
      </c>
      <c r="N1043" s="79" t="s">
        <v>3447</v>
      </c>
      <c r="O1043" s="80">
        <v>11.7</v>
      </c>
      <c r="P1043" s="81"/>
      <c r="Q1043" s="81">
        <v>2.1</v>
      </c>
      <c r="R1043" s="80"/>
      <c r="S1043" s="80">
        <v>0</v>
      </c>
      <c r="T1043" s="82">
        <v>13.8</v>
      </c>
      <c r="U1043" s="77"/>
      <c r="V1043" s="75"/>
      <c r="W1043" s="77"/>
      <c r="X1043" s="77"/>
      <c r="Y1043" s="77"/>
      <c r="Z1043" s="77"/>
      <c r="AA1043" s="83"/>
      <c r="AB1043" s="104" t="str">
        <f>IFERROR(VLOOKUP(Anexo_4[[#This Row],[cuenta]],OP,2,0),"-")</f>
        <v>-</v>
      </c>
    </row>
    <row r="1044" spans="1:28" s="84" customFormat="1" ht="27" customHeight="1" x14ac:dyDescent="0.3">
      <c r="A1044" s="75" t="s">
        <v>2675</v>
      </c>
      <c r="B1044" s="36" t="str">
        <f t="shared" si="16"/>
        <v>Julio</v>
      </c>
      <c r="C1044" s="77" t="s">
        <v>162</v>
      </c>
      <c r="D1044" s="77" t="s">
        <v>3448</v>
      </c>
      <c r="E1044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044" s="79" t="s">
        <v>442</v>
      </c>
      <c r="G1044" s="79" t="s">
        <v>443</v>
      </c>
      <c r="H1044" s="140" t="s">
        <v>3449</v>
      </c>
      <c r="I1044" s="77" t="s">
        <v>886</v>
      </c>
      <c r="J1044" s="144" t="s">
        <v>887</v>
      </c>
      <c r="K1044" s="77" t="s">
        <v>169</v>
      </c>
      <c r="L1044" s="103" t="str">
        <f>VLOOKUP(Anexo_4[[#This Row],[cod_doc]],TIPODOC,2,FALSE)</f>
        <v>FACTURA</v>
      </c>
      <c r="M1044" s="77" t="s">
        <v>343</v>
      </c>
      <c r="N1044" s="79">
        <v>1962</v>
      </c>
      <c r="O1044" s="80">
        <v>279.44</v>
      </c>
      <c r="P1044" s="81"/>
      <c r="Q1044" s="81">
        <v>50.299199999999999</v>
      </c>
      <c r="R1044" s="80"/>
      <c r="S1044" s="80">
        <v>0</v>
      </c>
      <c r="T1044" s="82">
        <v>329.74</v>
      </c>
      <c r="U1044" s="77"/>
      <c r="V1044" s="75"/>
      <c r="W1044" s="77"/>
      <c r="X1044" s="77"/>
      <c r="Y1044" s="77"/>
      <c r="Z1044" s="77" t="s">
        <v>846</v>
      </c>
      <c r="AA1044" s="83" t="s">
        <v>3449</v>
      </c>
      <c r="AB1044" s="104" t="str">
        <f>IFERROR(VLOOKUP(Anexo_4[[#This Row],[cuenta]],OP,2,0),"-")</f>
        <v>-</v>
      </c>
    </row>
    <row r="1045" spans="1:28" s="84" customFormat="1" ht="27" customHeight="1" x14ac:dyDescent="0.3">
      <c r="A1045" s="75" t="s">
        <v>3450</v>
      </c>
      <c r="B1045" s="36" t="str">
        <f t="shared" si="16"/>
        <v>Julio</v>
      </c>
      <c r="C1045" s="77" t="s">
        <v>162</v>
      </c>
      <c r="D1045" s="77" t="s">
        <v>3451</v>
      </c>
      <c r="E104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045" s="79" t="s">
        <v>418</v>
      </c>
      <c r="G1045" s="79" t="s">
        <v>419</v>
      </c>
      <c r="H1045" s="140" t="s">
        <v>930</v>
      </c>
      <c r="I1045" s="77" t="s">
        <v>383</v>
      </c>
      <c r="J1045" s="144" t="s">
        <v>384</v>
      </c>
      <c r="K1045" s="77" t="s">
        <v>169</v>
      </c>
      <c r="L1045" s="103" t="str">
        <f>VLOOKUP(Anexo_4[[#This Row],[cod_doc]],TIPODOC,2,FALSE)</f>
        <v>FACTURA</v>
      </c>
      <c r="M1045" s="77" t="s">
        <v>103</v>
      </c>
      <c r="N1045" s="79">
        <v>17138</v>
      </c>
      <c r="O1045" s="80">
        <v>16.95</v>
      </c>
      <c r="P1045" s="81"/>
      <c r="Q1045" s="81">
        <v>3.0509999999999997</v>
      </c>
      <c r="R1045" s="80"/>
      <c r="S1045" s="80">
        <v>0</v>
      </c>
      <c r="T1045" s="82">
        <v>20</v>
      </c>
      <c r="U1045" s="77"/>
      <c r="V1045" s="75"/>
      <c r="W1045" s="77"/>
      <c r="X1045" s="77"/>
      <c r="Y1045" s="77"/>
      <c r="Z1045" s="77" t="s">
        <v>386</v>
      </c>
      <c r="AA1045" s="83" t="s">
        <v>930</v>
      </c>
      <c r="AB1045" s="104" t="str">
        <f>IFERROR(VLOOKUP(Anexo_4[[#This Row],[cuenta]],OP,2,0),"-")</f>
        <v>Balanza - Servicios</v>
      </c>
    </row>
    <row r="1046" spans="1:28" s="84" customFormat="1" ht="27" customHeight="1" x14ac:dyDescent="0.3">
      <c r="A1046" s="75" t="s">
        <v>3452</v>
      </c>
      <c r="B1046" s="36" t="str">
        <f t="shared" si="16"/>
        <v>Julio</v>
      </c>
      <c r="C1046" s="77" t="s">
        <v>162</v>
      </c>
      <c r="D1046" s="77" t="s">
        <v>3453</v>
      </c>
      <c r="E104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046" s="79" t="s">
        <v>418</v>
      </c>
      <c r="G1046" s="79" t="s">
        <v>419</v>
      </c>
      <c r="H1046" s="140" t="s">
        <v>930</v>
      </c>
      <c r="I1046" s="77" t="s">
        <v>383</v>
      </c>
      <c r="J1046" s="144" t="s">
        <v>384</v>
      </c>
      <c r="K1046" s="77" t="s">
        <v>169</v>
      </c>
      <c r="L1046" s="103" t="str">
        <f>VLOOKUP(Anexo_4[[#This Row],[cod_doc]],TIPODOC,2,FALSE)</f>
        <v>FACTURA</v>
      </c>
      <c r="M1046" s="77" t="s">
        <v>103</v>
      </c>
      <c r="N1046" s="79">
        <v>16965</v>
      </c>
      <c r="O1046" s="80">
        <v>16.95</v>
      </c>
      <c r="P1046" s="81"/>
      <c r="Q1046" s="81">
        <v>3.0509999999999997</v>
      </c>
      <c r="R1046" s="80"/>
      <c r="S1046" s="80">
        <v>0</v>
      </c>
      <c r="T1046" s="82">
        <v>20</v>
      </c>
      <c r="U1046" s="77"/>
      <c r="V1046" s="75"/>
      <c r="W1046" s="77"/>
      <c r="X1046" s="77"/>
      <c r="Y1046" s="77"/>
      <c r="Z1046" s="77" t="s">
        <v>386</v>
      </c>
      <c r="AA1046" s="83" t="s">
        <v>930</v>
      </c>
      <c r="AB1046" s="104" t="str">
        <f>IFERROR(VLOOKUP(Anexo_4[[#This Row],[cuenta]],OP,2,0),"-")</f>
        <v>Balanza - Servicios</v>
      </c>
    </row>
    <row r="1047" spans="1:28" s="84" customFormat="1" ht="27" customHeight="1" x14ac:dyDescent="0.3">
      <c r="A1047" s="75" t="s">
        <v>3050</v>
      </c>
      <c r="B1047" s="36" t="str">
        <f t="shared" si="16"/>
        <v>Julio</v>
      </c>
      <c r="C1047" s="77" t="s">
        <v>162</v>
      </c>
      <c r="D1047" s="77" t="s">
        <v>3454</v>
      </c>
      <c r="E1047" s="78" t="str">
        <f>IF(LEFT(Anexo_4[[#This Row],[c_costos]],2)="91","OPERACIONES",IF(LEFT(Anexo_4[[#This Row],[c_costos]],2)="97","G. FINANCIEROS",IF(LEFT(Anexo_4[[#This Row],[c_costos]],2)="95","G. VENTAS","G. ADMINISTRACIÓN")))</f>
        <v>G. FINANCIEROS</v>
      </c>
      <c r="F1047" s="79" t="s">
        <v>474</v>
      </c>
      <c r="G1047" s="79" t="s">
        <v>475</v>
      </c>
      <c r="H1047" s="140" t="s">
        <v>3455</v>
      </c>
      <c r="I1047" s="77" t="s">
        <v>3456</v>
      </c>
      <c r="J1047" s="144" t="s">
        <v>3457</v>
      </c>
      <c r="K1047" s="77" t="s">
        <v>169</v>
      </c>
      <c r="L1047" s="103" t="str">
        <f>VLOOKUP(Anexo_4[[#This Row],[cod_doc]],TIPODOC,2,FALSE)</f>
        <v>FACTURA</v>
      </c>
      <c r="M1047" s="77" t="s">
        <v>180</v>
      </c>
      <c r="N1047" s="79">
        <v>39277</v>
      </c>
      <c r="O1047" s="80">
        <v>152.80000000000001</v>
      </c>
      <c r="P1047" s="81"/>
      <c r="Q1047" s="81">
        <v>27.504000000000001</v>
      </c>
      <c r="R1047" s="80"/>
      <c r="S1047" s="80">
        <v>0</v>
      </c>
      <c r="T1047" s="82">
        <v>180.3</v>
      </c>
      <c r="U1047" s="77"/>
      <c r="V1047" s="75"/>
      <c r="W1047" s="77"/>
      <c r="X1047" s="77"/>
      <c r="Y1047" s="77"/>
      <c r="Z1047" s="77" t="s">
        <v>3458</v>
      </c>
      <c r="AA1047" s="83" t="s">
        <v>3455</v>
      </c>
      <c r="AB1047" s="104" t="str">
        <f>IFERROR(VLOOKUP(Anexo_4[[#This Row],[cuenta]],OP,2,0),"-")</f>
        <v>-</v>
      </c>
    </row>
    <row r="1048" spans="1:28" s="84" customFormat="1" ht="27" customHeight="1" x14ac:dyDescent="0.3">
      <c r="A1048" s="75" t="s">
        <v>3050</v>
      </c>
      <c r="B1048" s="36" t="str">
        <f t="shared" si="16"/>
        <v>Julio</v>
      </c>
      <c r="C1048" s="77" t="s">
        <v>162</v>
      </c>
      <c r="D1048" s="77" t="s">
        <v>3459</v>
      </c>
      <c r="E1048" s="78" t="str">
        <f>IF(LEFT(Anexo_4[[#This Row],[c_costos]],2)="91","OPERACIONES",IF(LEFT(Anexo_4[[#This Row],[c_costos]],2)="97","G. FINANCIEROS",IF(LEFT(Anexo_4[[#This Row],[c_costos]],2)="95","G. VENTAS","G. ADMINISTRACIÓN")))</f>
        <v>G. FINANCIEROS</v>
      </c>
      <c r="F1048" s="79" t="s">
        <v>474</v>
      </c>
      <c r="G1048" s="79" t="s">
        <v>475</v>
      </c>
      <c r="H1048" s="140" t="s">
        <v>3460</v>
      </c>
      <c r="I1048" s="77" t="s">
        <v>3456</v>
      </c>
      <c r="J1048" s="144" t="s">
        <v>3457</v>
      </c>
      <c r="K1048" s="77" t="s">
        <v>169</v>
      </c>
      <c r="L1048" s="103" t="str">
        <f>VLOOKUP(Anexo_4[[#This Row],[cod_doc]],TIPODOC,2,FALSE)</f>
        <v>FACTURA</v>
      </c>
      <c r="M1048" s="77" t="s">
        <v>180</v>
      </c>
      <c r="N1048" s="79">
        <v>39304</v>
      </c>
      <c r="O1048" s="80"/>
      <c r="P1048" s="81"/>
      <c r="Q1048" s="81"/>
      <c r="R1048" s="80"/>
      <c r="S1048" s="80">
        <v>0</v>
      </c>
      <c r="T1048" s="82">
        <v>243.7</v>
      </c>
      <c r="U1048" s="77"/>
      <c r="V1048" s="75"/>
      <c r="W1048" s="77"/>
      <c r="X1048" s="77"/>
      <c r="Y1048" s="77"/>
      <c r="Z1048" s="77" t="s">
        <v>3461</v>
      </c>
      <c r="AA1048" s="83" t="s">
        <v>3460</v>
      </c>
      <c r="AB1048" s="104" t="str">
        <f>IFERROR(VLOOKUP(Anexo_4[[#This Row],[cuenta]],OP,2,0),"-")</f>
        <v>-</v>
      </c>
    </row>
    <row r="1049" spans="1:28" s="84" customFormat="1" ht="27" customHeight="1" x14ac:dyDescent="0.3">
      <c r="A1049" s="75" t="s">
        <v>2453</v>
      </c>
      <c r="B1049" s="36" t="str">
        <f t="shared" si="16"/>
        <v>Julio</v>
      </c>
      <c r="C1049" s="77" t="s">
        <v>162</v>
      </c>
      <c r="D1049" s="77" t="s">
        <v>3462</v>
      </c>
      <c r="E1049" s="78" t="str">
        <f>IF(LEFT(Anexo_4[[#This Row],[c_costos]],2)="91","OPERACIONES",IF(LEFT(Anexo_4[[#This Row],[c_costos]],2)="97","G. FINANCIEROS",IF(LEFT(Anexo_4[[#This Row],[c_costos]],2)="95","G. VENTAS","G. ADMINISTRACIÓN")))</f>
        <v>G. FINANCIEROS</v>
      </c>
      <c r="F1049" s="79" t="s">
        <v>474</v>
      </c>
      <c r="G1049" s="79" t="s">
        <v>475</v>
      </c>
      <c r="H1049" s="140" t="s">
        <v>3460</v>
      </c>
      <c r="I1049" s="77" t="s">
        <v>3456</v>
      </c>
      <c r="J1049" s="144" t="s">
        <v>3457</v>
      </c>
      <c r="K1049" s="77" t="s">
        <v>169</v>
      </c>
      <c r="L1049" s="103" t="str">
        <f>VLOOKUP(Anexo_4[[#This Row],[cod_doc]],TIPODOC,2,FALSE)</f>
        <v>FACTURA</v>
      </c>
      <c r="M1049" s="77" t="s">
        <v>180</v>
      </c>
      <c r="N1049" s="79">
        <v>37619</v>
      </c>
      <c r="O1049" s="80"/>
      <c r="P1049" s="81"/>
      <c r="Q1049" s="81"/>
      <c r="R1049" s="80"/>
      <c r="S1049" s="80">
        <v>0</v>
      </c>
      <c r="T1049" s="82">
        <v>222.21</v>
      </c>
      <c r="U1049" s="77"/>
      <c r="V1049" s="75"/>
      <c r="W1049" s="77"/>
      <c r="X1049" s="77"/>
      <c r="Y1049" s="77"/>
      <c r="Z1049" s="77" t="s">
        <v>3461</v>
      </c>
      <c r="AA1049" s="83" t="s">
        <v>3460</v>
      </c>
      <c r="AB1049" s="104" t="str">
        <f>IFERROR(VLOOKUP(Anexo_4[[#This Row],[cuenta]],OP,2,0),"-")</f>
        <v>-</v>
      </c>
    </row>
    <row r="1050" spans="1:28" s="84" customFormat="1" ht="27" customHeight="1" x14ac:dyDescent="0.3">
      <c r="A1050" s="75" t="s">
        <v>2453</v>
      </c>
      <c r="B1050" s="36" t="str">
        <f t="shared" si="16"/>
        <v>Julio</v>
      </c>
      <c r="C1050" s="77" t="s">
        <v>162</v>
      </c>
      <c r="D1050" s="77" t="s">
        <v>3463</v>
      </c>
      <c r="E1050" s="78" t="str">
        <f>IF(LEFT(Anexo_4[[#This Row],[c_costos]],2)="91","OPERACIONES",IF(LEFT(Anexo_4[[#This Row],[c_costos]],2)="97","G. FINANCIEROS",IF(LEFT(Anexo_4[[#This Row],[c_costos]],2)="95","G. VENTAS","G. ADMINISTRACIÓN")))</f>
        <v>G. FINANCIEROS</v>
      </c>
      <c r="F1050" s="79" t="s">
        <v>474</v>
      </c>
      <c r="G1050" s="79" t="s">
        <v>475</v>
      </c>
      <c r="H1050" s="140" t="s">
        <v>3455</v>
      </c>
      <c r="I1050" s="77" t="s">
        <v>3456</v>
      </c>
      <c r="J1050" s="144" t="s">
        <v>3457</v>
      </c>
      <c r="K1050" s="77" t="s">
        <v>169</v>
      </c>
      <c r="L1050" s="103" t="str">
        <f>VLOOKUP(Anexo_4[[#This Row],[cod_doc]],TIPODOC,2,FALSE)</f>
        <v>FACTURA</v>
      </c>
      <c r="M1050" s="77" t="s">
        <v>180</v>
      </c>
      <c r="N1050" s="79">
        <v>37564</v>
      </c>
      <c r="O1050" s="80">
        <v>111.39</v>
      </c>
      <c r="P1050" s="81"/>
      <c r="Q1050" s="81">
        <v>20.0502</v>
      </c>
      <c r="R1050" s="80"/>
      <c r="S1050" s="80">
        <v>0</v>
      </c>
      <c r="T1050" s="82">
        <v>131.44999999999999</v>
      </c>
      <c r="U1050" s="77"/>
      <c r="V1050" s="75"/>
      <c r="W1050" s="77"/>
      <c r="X1050" s="77"/>
      <c r="Y1050" s="77"/>
      <c r="Z1050" s="77" t="s">
        <v>3458</v>
      </c>
      <c r="AA1050" s="83" t="s">
        <v>3455</v>
      </c>
      <c r="AB1050" s="104" t="str">
        <f>IFERROR(VLOOKUP(Anexo_4[[#This Row],[cuenta]],OP,2,0),"-")</f>
        <v>-</v>
      </c>
    </row>
    <row r="1051" spans="1:28" s="84" customFormat="1" ht="27" customHeight="1" x14ac:dyDescent="0.3">
      <c r="A1051" s="75" t="s">
        <v>2837</v>
      </c>
      <c r="B1051" s="36" t="str">
        <f t="shared" si="16"/>
        <v>Julio</v>
      </c>
      <c r="C1051" s="77" t="s">
        <v>162</v>
      </c>
      <c r="D1051" s="77" t="s">
        <v>3464</v>
      </c>
      <c r="E105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051" s="79" t="s">
        <v>355</v>
      </c>
      <c r="G1051" s="79" t="s">
        <v>356</v>
      </c>
      <c r="H1051" s="140" t="s">
        <v>3465</v>
      </c>
      <c r="I1051" s="77" t="s">
        <v>1225</v>
      </c>
      <c r="J1051" s="144" t="s">
        <v>1226</v>
      </c>
      <c r="K1051" s="77" t="s">
        <v>169</v>
      </c>
      <c r="L1051" s="103" t="str">
        <f>VLOOKUP(Anexo_4[[#This Row],[cod_doc]],TIPODOC,2,FALSE)</f>
        <v>FACTURA</v>
      </c>
      <c r="M1051" s="77" t="s">
        <v>222</v>
      </c>
      <c r="N1051" s="79">
        <v>20818</v>
      </c>
      <c r="O1051" s="80">
        <v>288.08</v>
      </c>
      <c r="P1051" s="81"/>
      <c r="Q1051" s="81">
        <v>51.854399999999998</v>
      </c>
      <c r="R1051" s="80"/>
      <c r="S1051" s="80">
        <v>0</v>
      </c>
      <c r="T1051" s="82">
        <v>339.93</v>
      </c>
      <c r="U1051" s="77"/>
      <c r="V1051" s="75"/>
      <c r="W1051" s="77"/>
      <c r="X1051" s="77"/>
      <c r="Y1051" s="77"/>
      <c r="Z1051" s="77" t="s">
        <v>1235</v>
      </c>
      <c r="AA1051" s="83" t="s">
        <v>3465</v>
      </c>
      <c r="AB1051" s="104" t="str">
        <f>IFERROR(VLOOKUP(Anexo_4[[#This Row],[cuenta]],OP,2,0),"-")</f>
        <v>Disposición Final de RR.SS - No Aprovechables</v>
      </c>
    </row>
    <row r="1052" spans="1:28" s="84" customFormat="1" ht="27" customHeight="1" x14ac:dyDescent="0.3">
      <c r="A1052" s="75" t="s">
        <v>533</v>
      </c>
      <c r="B1052" s="36" t="str">
        <f t="shared" si="16"/>
        <v>Julio</v>
      </c>
      <c r="C1052" s="77" t="s">
        <v>162</v>
      </c>
      <c r="D1052" s="77" t="s">
        <v>3466</v>
      </c>
      <c r="E1052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052" s="79"/>
      <c r="G1052" s="79"/>
      <c r="H1052" s="140"/>
      <c r="I1052" s="77" t="s">
        <v>3467</v>
      </c>
      <c r="J1052" s="144" t="s">
        <v>3468</v>
      </c>
      <c r="K1052" s="77" t="s">
        <v>169</v>
      </c>
      <c r="L1052" s="103" t="str">
        <f>VLOOKUP(Anexo_4[[#This Row],[cod_doc]],TIPODOC,2,FALSE)</f>
        <v>FACTURA</v>
      </c>
      <c r="M1052" s="77" t="s">
        <v>222</v>
      </c>
      <c r="N1052" s="79" t="s">
        <v>3469</v>
      </c>
      <c r="O1052" s="80">
        <v>25.42</v>
      </c>
      <c r="P1052" s="81"/>
      <c r="Q1052" s="81">
        <v>4.58</v>
      </c>
      <c r="R1052" s="80"/>
      <c r="S1052" s="80">
        <v>0</v>
      </c>
      <c r="T1052" s="82">
        <v>30</v>
      </c>
      <c r="U1052" s="77"/>
      <c r="V1052" s="75"/>
      <c r="W1052" s="77"/>
      <c r="X1052" s="77"/>
      <c r="Y1052" s="77"/>
      <c r="Z1052" s="77"/>
      <c r="AA1052" s="83"/>
      <c r="AB1052" s="104" t="str">
        <f>IFERROR(VLOOKUP(Anexo_4[[#This Row],[cuenta]],OP,2,0),"-")</f>
        <v>-</v>
      </c>
    </row>
    <row r="1053" spans="1:28" s="84" customFormat="1" ht="27" customHeight="1" x14ac:dyDescent="0.3">
      <c r="A1053" s="75" t="s">
        <v>685</v>
      </c>
      <c r="B1053" s="36" t="str">
        <f t="shared" si="16"/>
        <v>Julio</v>
      </c>
      <c r="C1053" s="77" t="s">
        <v>162</v>
      </c>
      <c r="D1053" s="77" t="s">
        <v>3470</v>
      </c>
      <c r="E1053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053" s="79"/>
      <c r="G1053" s="79"/>
      <c r="H1053" s="140"/>
      <c r="I1053" s="77" t="s">
        <v>3467</v>
      </c>
      <c r="J1053" s="144" t="s">
        <v>3468</v>
      </c>
      <c r="K1053" s="77" t="s">
        <v>169</v>
      </c>
      <c r="L1053" s="103" t="str">
        <f>VLOOKUP(Anexo_4[[#This Row],[cod_doc]],TIPODOC,2,FALSE)</f>
        <v>FACTURA</v>
      </c>
      <c r="M1053" s="77" t="s">
        <v>222</v>
      </c>
      <c r="N1053" s="79" t="s">
        <v>3471</v>
      </c>
      <c r="O1053" s="80">
        <v>25.42</v>
      </c>
      <c r="P1053" s="81"/>
      <c r="Q1053" s="81">
        <v>4.58</v>
      </c>
      <c r="R1053" s="80"/>
      <c r="S1053" s="80">
        <v>0</v>
      </c>
      <c r="T1053" s="82">
        <v>30</v>
      </c>
      <c r="U1053" s="77"/>
      <c r="V1053" s="75"/>
      <c r="W1053" s="77"/>
      <c r="X1053" s="77"/>
      <c r="Y1053" s="77"/>
      <c r="Z1053" s="77"/>
      <c r="AA1053" s="83"/>
      <c r="AB1053" s="104" t="str">
        <f>IFERROR(VLOOKUP(Anexo_4[[#This Row],[cuenta]],OP,2,0),"-")</f>
        <v>-</v>
      </c>
    </row>
    <row r="1054" spans="1:28" s="84" customFormat="1" ht="27" customHeight="1" x14ac:dyDescent="0.3">
      <c r="A1054" s="75" t="s">
        <v>533</v>
      </c>
      <c r="B1054" s="36" t="str">
        <f t="shared" si="16"/>
        <v>Julio</v>
      </c>
      <c r="C1054" s="77" t="s">
        <v>162</v>
      </c>
      <c r="D1054" s="77" t="s">
        <v>3472</v>
      </c>
      <c r="E1054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054" s="79"/>
      <c r="G1054" s="79"/>
      <c r="H1054" s="140"/>
      <c r="I1054" s="77" t="s">
        <v>3473</v>
      </c>
      <c r="J1054" s="144" t="s">
        <v>3474</v>
      </c>
      <c r="K1054" s="77" t="s">
        <v>239</v>
      </c>
      <c r="L1054" s="103" t="str">
        <f>VLOOKUP(Anexo_4[[#This Row],[cod_doc]],TIPODOC,2,FALSE)</f>
        <v>BOLETA DE VENTA</v>
      </c>
      <c r="M1054" s="77" t="s">
        <v>162</v>
      </c>
      <c r="N1054" s="79" t="s">
        <v>3475</v>
      </c>
      <c r="O1054" s="80">
        <v>0</v>
      </c>
      <c r="P1054" s="81"/>
      <c r="Q1054" s="81">
        <v>0</v>
      </c>
      <c r="R1054" s="80"/>
      <c r="S1054" s="80">
        <v>4.5</v>
      </c>
      <c r="T1054" s="82">
        <v>4.5</v>
      </c>
      <c r="U1054" s="77"/>
      <c r="V1054" s="75"/>
      <c r="W1054" s="77"/>
      <c r="X1054" s="77"/>
      <c r="Y1054" s="77"/>
      <c r="Z1054" s="77"/>
      <c r="AA1054" s="83"/>
      <c r="AB1054" s="104" t="str">
        <f>IFERROR(VLOOKUP(Anexo_4[[#This Row],[cuenta]],OP,2,0),"-")</f>
        <v>-</v>
      </c>
    </row>
    <row r="1055" spans="1:28" s="84" customFormat="1" ht="27" customHeight="1" x14ac:dyDescent="0.3">
      <c r="A1055" s="75" t="s">
        <v>1843</v>
      </c>
      <c r="B1055" s="36" t="str">
        <f t="shared" si="16"/>
        <v>Julio</v>
      </c>
      <c r="C1055" s="77" t="s">
        <v>162</v>
      </c>
      <c r="D1055" s="77" t="s">
        <v>3476</v>
      </c>
      <c r="E1055" s="78" t="str">
        <f>IF(LEFT(Anexo_4[[#This Row],[c_costos]],2)="91","OPERACIONES",IF(LEFT(Anexo_4[[#This Row],[c_costos]],2)="97","G. FINANCIEROS",IF(LEFT(Anexo_4[[#This Row],[c_costos]],2)="95","G. VENTAS","G. ADMINISTRACIÓN")))</f>
        <v>G. FINANCIEROS</v>
      </c>
      <c r="F1055" s="79" t="s">
        <v>474</v>
      </c>
      <c r="G1055" s="79" t="s">
        <v>475</v>
      </c>
      <c r="H1055" s="140" t="s">
        <v>1731</v>
      </c>
      <c r="I1055" s="77" t="s">
        <v>477</v>
      </c>
      <c r="J1055" s="144" t="s">
        <v>478</v>
      </c>
      <c r="K1055" s="77" t="s">
        <v>169</v>
      </c>
      <c r="L1055" s="103" t="str">
        <f>VLOOKUP(Anexo_4[[#This Row],[cod_doc]],TIPODOC,2,FALSE)</f>
        <v>FACTURA</v>
      </c>
      <c r="M1055" s="77" t="s">
        <v>3477</v>
      </c>
      <c r="N1055" s="79">
        <v>15662785</v>
      </c>
      <c r="O1055" s="80"/>
      <c r="P1055" s="81"/>
      <c r="Q1055" s="81"/>
      <c r="R1055" s="80"/>
      <c r="S1055" s="80">
        <v>53.36</v>
      </c>
      <c r="T1055" s="82">
        <v>53.36</v>
      </c>
      <c r="U1055" s="77"/>
      <c r="V1055" s="75"/>
      <c r="W1055" s="77"/>
      <c r="X1055" s="77"/>
      <c r="Y1055" s="77"/>
      <c r="Z1055" s="77" t="s">
        <v>483</v>
      </c>
      <c r="AA1055" s="83" t="s">
        <v>1731</v>
      </c>
      <c r="AB1055" s="104" t="str">
        <f>IFERROR(VLOOKUP(Anexo_4[[#This Row],[cuenta]],OP,2,0),"-")</f>
        <v>-</v>
      </c>
    </row>
    <row r="1056" spans="1:28" s="84" customFormat="1" ht="27" customHeight="1" x14ac:dyDescent="0.3">
      <c r="A1056" s="75" t="s">
        <v>1843</v>
      </c>
      <c r="B1056" s="36" t="str">
        <f t="shared" si="16"/>
        <v>Julio</v>
      </c>
      <c r="C1056" s="77" t="s">
        <v>162</v>
      </c>
      <c r="D1056" s="77" t="s">
        <v>3478</v>
      </c>
      <c r="E1056" s="78" t="str">
        <f>IF(LEFT(Anexo_4[[#This Row],[c_costos]],2)="91","OPERACIONES",IF(LEFT(Anexo_4[[#This Row],[c_costos]],2)="97","G. FINANCIEROS",IF(LEFT(Anexo_4[[#This Row],[c_costos]],2)="95","G. VENTAS","G. ADMINISTRACIÓN")))</f>
        <v>G. FINANCIEROS</v>
      </c>
      <c r="F1056" s="79" t="s">
        <v>474</v>
      </c>
      <c r="G1056" s="79" t="s">
        <v>475</v>
      </c>
      <c r="H1056" s="140" t="s">
        <v>1731</v>
      </c>
      <c r="I1056" s="77" t="s">
        <v>477</v>
      </c>
      <c r="J1056" s="144" t="s">
        <v>478</v>
      </c>
      <c r="K1056" s="77" t="s">
        <v>169</v>
      </c>
      <c r="L1056" s="103" t="str">
        <f>VLOOKUP(Anexo_4[[#This Row],[cod_doc]],TIPODOC,2,FALSE)</f>
        <v>FACTURA</v>
      </c>
      <c r="M1056" s="77" t="s">
        <v>3477</v>
      </c>
      <c r="N1056" s="79">
        <v>15662739</v>
      </c>
      <c r="O1056" s="80"/>
      <c r="P1056" s="81"/>
      <c r="Q1056" s="81"/>
      <c r="R1056" s="80"/>
      <c r="S1056" s="80">
        <v>40.5</v>
      </c>
      <c r="T1056" s="82">
        <v>40.5</v>
      </c>
      <c r="U1056" s="77"/>
      <c r="V1056" s="75"/>
      <c r="W1056" s="77"/>
      <c r="X1056" s="77"/>
      <c r="Y1056" s="77"/>
      <c r="Z1056" s="77" t="s">
        <v>483</v>
      </c>
      <c r="AA1056" s="83" t="s">
        <v>1731</v>
      </c>
      <c r="AB1056" s="104" t="str">
        <f>IFERROR(VLOOKUP(Anexo_4[[#This Row],[cuenta]],OP,2,0),"-")</f>
        <v>-</v>
      </c>
    </row>
    <row r="1057" spans="1:28" s="84" customFormat="1" ht="27" customHeight="1" x14ac:dyDescent="0.3">
      <c r="A1057" s="75" t="s">
        <v>1627</v>
      </c>
      <c r="B1057" s="36" t="str">
        <f t="shared" si="16"/>
        <v>Julio</v>
      </c>
      <c r="C1057" s="77" t="s">
        <v>162</v>
      </c>
      <c r="D1057" s="77" t="s">
        <v>3479</v>
      </c>
      <c r="E1057" s="78" t="str">
        <f>IF(LEFT(Anexo_4[[#This Row],[c_costos]],2)="91","OPERACIONES",IF(LEFT(Anexo_4[[#This Row],[c_costos]],2)="97","G. FINANCIEROS",IF(LEFT(Anexo_4[[#This Row],[c_costos]],2)="95","G. VENTAS","G. ADMINISTRACIÓN")))</f>
        <v>G. FINANCIEROS</v>
      </c>
      <c r="F1057" s="79" t="s">
        <v>474</v>
      </c>
      <c r="G1057" s="79" t="s">
        <v>475</v>
      </c>
      <c r="H1057" s="140" t="s">
        <v>3480</v>
      </c>
      <c r="I1057" s="77" t="s">
        <v>477</v>
      </c>
      <c r="J1057" s="144" t="s">
        <v>478</v>
      </c>
      <c r="K1057" s="77" t="s">
        <v>169</v>
      </c>
      <c r="L1057" s="103" t="str">
        <f>VLOOKUP(Anexo_4[[#This Row],[cod_doc]],TIPODOC,2,FALSE)</f>
        <v>FACTURA</v>
      </c>
      <c r="M1057" s="77" t="s">
        <v>421</v>
      </c>
      <c r="N1057" s="79">
        <v>2393611</v>
      </c>
      <c r="O1057" s="80"/>
      <c r="P1057" s="81"/>
      <c r="Q1057" s="81"/>
      <c r="R1057" s="80"/>
      <c r="S1057" s="80">
        <v>42.66</v>
      </c>
      <c r="T1057" s="82">
        <v>42.66</v>
      </c>
      <c r="U1057" s="77"/>
      <c r="V1057" s="75"/>
      <c r="W1057" s="77"/>
      <c r="X1057" s="77"/>
      <c r="Y1057" s="77"/>
      <c r="Z1057" s="77" t="s">
        <v>3481</v>
      </c>
      <c r="AA1057" s="83" t="s">
        <v>3480</v>
      </c>
      <c r="AB1057" s="104" t="str">
        <f>IFERROR(VLOOKUP(Anexo_4[[#This Row],[cuenta]],OP,2,0),"-")</f>
        <v>-</v>
      </c>
    </row>
    <row r="1058" spans="1:28" s="84" customFormat="1" ht="27" customHeight="1" x14ac:dyDescent="0.3">
      <c r="A1058" s="75" t="s">
        <v>1430</v>
      </c>
      <c r="B1058" s="36" t="str">
        <f t="shared" si="16"/>
        <v>Julio</v>
      </c>
      <c r="C1058" s="77" t="s">
        <v>162</v>
      </c>
      <c r="D1058" s="77" t="s">
        <v>3482</v>
      </c>
      <c r="E1058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058" s="79"/>
      <c r="G1058" s="79"/>
      <c r="H1058" s="140"/>
      <c r="I1058" s="77" t="s">
        <v>3483</v>
      </c>
      <c r="J1058" s="144" t="s">
        <v>3484</v>
      </c>
      <c r="K1058" s="77" t="s">
        <v>169</v>
      </c>
      <c r="L1058" s="103" t="str">
        <f>VLOOKUP(Anexo_4[[#This Row],[cod_doc]],TIPODOC,2,FALSE)</f>
        <v>FACTURA</v>
      </c>
      <c r="M1058" s="77" t="s">
        <v>3485</v>
      </c>
      <c r="N1058" s="79" t="s">
        <v>3486</v>
      </c>
      <c r="O1058" s="80">
        <v>142.6</v>
      </c>
      <c r="P1058" s="81"/>
      <c r="Q1058" s="81">
        <v>25.67</v>
      </c>
      <c r="R1058" s="80"/>
      <c r="S1058" s="80">
        <v>0</v>
      </c>
      <c r="T1058" s="82">
        <v>168.27</v>
      </c>
      <c r="U1058" s="77"/>
      <c r="V1058" s="75"/>
      <c r="W1058" s="77"/>
      <c r="X1058" s="77"/>
      <c r="Y1058" s="77"/>
      <c r="Z1058" s="77"/>
      <c r="AA1058" s="83"/>
      <c r="AB1058" s="104" t="str">
        <f>IFERROR(VLOOKUP(Anexo_4[[#This Row],[cuenta]],OP,2,0),"-")</f>
        <v>-</v>
      </c>
    </row>
    <row r="1059" spans="1:28" s="84" customFormat="1" ht="27" customHeight="1" x14ac:dyDescent="0.3">
      <c r="A1059" s="75" t="s">
        <v>993</v>
      </c>
      <c r="B1059" s="36" t="str">
        <f t="shared" si="16"/>
        <v>Julio</v>
      </c>
      <c r="C1059" s="77" t="s">
        <v>162</v>
      </c>
      <c r="D1059" s="77" t="s">
        <v>3487</v>
      </c>
      <c r="E1059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059" s="79"/>
      <c r="G1059" s="79"/>
      <c r="H1059" s="140"/>
      <c r="I1059" s="77" t="s">
        <v>3483</v>
      </c>
      <c r="J1059" s="144" t="s">
        <v>3484</v>
      </c>
      <c r="K1059" s="77" t="s">
        <v>169</v>
      </c>
      <c r="L1059" s="103" t="str">
        <f>VLOOKUP(Anexo_4[[#This Row],[cod_doc]],TIPODOC,2,FALSE)</f>
        <v>FACTURA</v>
      </c>
      <c r="M1059" s="77" t="s">
        <v>3485</v>
      </c>
      <c r="N1059" s="79" t="s">
        <v>3488</v>
      </c>
      <c r="O1059" s="80">
        <v>87.4</v>
      </c>
      <c r="P1059" s="81"/>
      <c r="Q1059" s="81">
        <v>15.73</v>
      </c>
      <c r="R1059" s="80"/>
      <c r="S1059" s="80">
        <v>0</v>
      </c>
      <c r="T1059" s="82">
        <v>103.13</v>
      </c>
      <c r="U1059" s="77"/>
      <c r="V1059" s="75"/>
      <c r="W1059" s="77"/>
      <c r="X1059" s="77"/>
      <c r="Y1059" s="77"/>
      <c r="Z1059" s="77"/>
      <c r="AA1059" s="83"/>
      <c r="AB1059" s="104" t="str">
        <f>IFERROR(VLOOKUP(Anexo_4[[#This Row],[cuenta]],OP,2,0),"-")</f>
        <v>-</v>
      </c>
    </row>
    <row r="1060" spans="1:28" s="84" customFormat="1" ht="27" customHeight="1" x14ac:dyDescent="0.3">
      <c r="A1060" s="75" t="s">
        <v>3026</v>
      </c>
      <c r="B1060" s="36" t="str">
        <f t="shared" si="16"/>
        <v>Julio</v>
      </c>
      <c r="C1060" s="77" t="s">
        <v>162</v>
      </c>
      <c r="D1060" s="77" t="s">
        <v>3489</v>
      </c>
      <c r="E1060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060" s="79" t="s">
        <v>650</v>
      </c>
      <c r="G1060" s="79" t="s">
        <v>651</v>
      </c>
      <c r="H1060" s="140" t="s">
        <v>3490</v>
      </c>
      <c r="I1060" s="77" t="s">
        <v>653</v>
      </c>
      <c r="J1060" s="144" t="s">
        <v>654</v>
      </c>
      <c r="K1060" s="77" t="s">
        <v>169</v>
      </c>
      <c r="L1060" s="103" t="str">
        <f>VLOOKUP(Anexo_4[[#This Row],[cod_doc]],TIPODOC,2,FALSE)</f>
        <v>FACTURA</v>
      </c>
      <c r="M1060" s="77" t="s">
        <v>1042</v>
      </c>
      <c r="N1060" s="79">
        <v>11464</v>
      </c>
      <c r="O1060" s="80">
        <v>219</v>
      </c>
      <c r="P1060" s="81"/>
      <c r="Q1060" s="81">
        <v>39.42</v>
      </c>
      <c r="R1060" s="80"/>
      <c r="S1060" s="80">
        <v>0</v>
      </c>
      <c r="T1060" s="82">
        <v>258.42</v>
      </c>
      <c r="U1060" s="77"/>
      <c r="V1060" s="75"/>
      <c r="W1060" s="77"/>
      <c r="X1060" s="77"/>
      <c r="Y1060" s="77"/>
      <c r="Z1060" s="77" t="s">
        <v>1602</v>
      </c>
      <c r="AA1060" s="83" t="s">
        <v>3490</v>
      </c>
      <c r="AB1060" s="104" t="str">
        <f>IFERROR(VLOOKUP(Anexo_4[[#This Row],[cuenta]],OP,2,0),"-")</f>
        <v>Ingreso</v>
      </c>
    </row>
    <row r="1061" spans="1:28" s="84" customFormat="1" ht="27" customHeight="1" x14ac:dyDescent="0.3">
      <c r="A1061" s="75" t="s">
        <v>3026</v>
      </c>
      <c r="B1061" s="36" t="str">
        <f t="shared" si="16"/>
        <v>Julio</v>
      </c>
      <c r="C1061" s="77" t="s">
        <v>162</v>
      </c>
      <c r="D1061" s="77" t="s">
        <v>3491</v>
      </c>
      <c r="E106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061" s="79" t="s">
        <v>449</v>
      </c>
      <c r="G1061" s="79" t="s">
        <v>450</v>
      </c>
      <c r="H1061" s="140" t="s">
        <v>3492</v>
      </c>
      <c r="I1061" s="77" t="s">
        <v>2085</v>
      </c>
      <c r="J1061" s="144" t="s">
        <v>2086</v>
      </c>
      <c r="K1061" s="77" t="s">
        <v>169</v>
      </c>
      <c r="L1061" s="103" t="str">
        <f>VLOOKUP(Anexo_4[[#This Row],[cod_doc]],TIPODOC,2,FALSE)</f>
        <v>FACTURA</v>
      </c>
      <c r="M1061" s="77" t="s">
        <v>631</v>
      </c>
      <c r="N1061" s="79">
        <v>42420</v>
      </c>
      <c r="O1061" s="80">
        <v>46.61</v>
      </c>
      <c r="P1061" s="81"/>
      <c r="Q1061" s="81">
        <v>8.3897999999999993</v>
      </c>
      <c r="R1061" s="80"/>
      <c r="S1061" s="80">
        <v>0</v>
      </c>
      <c r="T1061" s="82">
        <v>55</v>
      </c>
      <c r="U1061" s="77"/>
      <c r="V1061" s="75"/>
      <c r="W1061" s="77"/>
      <c r="X1061" s="77"/>
      <c r="Y1061" s="77"/>
      <c r="Z1061" s="77" t="s">
        <v>507</v>
      </c>
      <c r="AA1061" s="83" t="s">
        <v>3492</v>
      </c>
      <c r="AB1061" s="104" t="str">
        <f>IFERROR(VLOOKUP(Anexo_4[[#This Row],[cuenta]],OP,2,0),"-")</f>
        <v>Transporte lavado (Higienización)</v>
      </c>
    </row>
    <row r="1062" spans="1:28" s="84" customFormat="1" ht="27" customHeight="1" x14ac:dyDescent="0.3">
      <c r="A1062" s="75" t="s">
        <v>2017</v>
      </c>
      <c r="B1062" s="36" t="str">
        <f t="shared" si="16"/>
        <v>Julio</v>
      </c>
      <c r="C1062" s="77" t="s">
        <v>162</v>
      </c>
      <c r="D1062" s="77" t="s">
        <v>3493</v>
      </c>
      <c r="E1062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062" s="79" t="s">
        <v>823</v>
      </c>
      <c r="G1062" s="79" t="s">
        <v>3494</v>
      </c>
      <c r="H1062" s="140" t="s">
        <v>3495</v>
      </c>
      <c r="I1062" s="77" t="s">
        <v>3496</v>
      </c>
      <c r="J1062" s="144" t="s">
        <v>3497</v>
      </c>
      <c r="K1062" s="77" t="s">
        <v>169</v>
      </c>
      <c r="L1062" s="103" t="str">
        <f>VLOOKUP(Anexo_4[[#This Row],[cod_doc]],TIPODOC,2,FALSE)</f>
        <v>FACTURA</v>
      </c>
      <c r="M1062" s="77" t="s">
        <v>102</v>
      </c>
      <c r="N1062" s="79">
        <v>148</v>
      </c>
      <c r="O1062" s="80">
        <v>125</v>
      </c>
      <c r="P1062" s="81"/>
      <c r="Q1062" s="81">
        <v>22.5</v>
      </c>
      <c r="R1062" s="80"/>
      <c r="S1062" s="80">
        <v>0</v>
      </c>
      <c r="T1062" s="82">
        <v>147.5</v>
      </c>
      <c r="U1062" s="77"/>
      <c r="V1062" s="75"/>
      <c r="W1062" s="77"/>
      <c r="X1062" s="77"/>
      <c r="Y1062" s="77"/>
      <c r="Z1062" s="77" t="s">
        <v>1756</v>
      </c>
      <c r="AA1062" s="83" t="s">
        <v>3498</v>
      </c>
      <c r="AB1062" s="104" t="str">
        <f>IFERROR(VLOOKUP(Anexo_4[[#This Row],[cuenta]],OP,2,0),"-")</f>
        <v>-</v>
      </c>
    </row>
    <row r="1063" spans="1:28" s="84" customFormat="1" ht="27" customHeight="1" x14ac:dyDescent="0.3">
      <c r="A1063" s="75" t="s">
        <v>3033</v>
      </c>
      <c r="B1063" s="36" t="str">
        <f t="shared" si="16"/>
        <v>Julio</v>
      </c>
      <c r="C1063" s="77" t="s">
        <v>162</v>
      </c>
      <c r="D1063" s="77" t="s">
        <v>3499</v>
      </c>
      <c r="E1063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063" s="79" t="s">
        <v>823</v>
      </c>
      <c r="G1063" s="79" t="s">
        <v>824</v>
      </c>
      <c r="H1063" s="140" t="s">
        <v>3498</v>
      </c>
      <c r="I1063" s="77" t="s">
        <v>3500</v>
      </c>
      <c r="J1063" s="144" t="s">
        <v>3501</v>
      </c>
      <c r="K1063" s="77" t="s">
        <v>169</v>
      </c>
      <c r="L1063" s="103" t="str">
        <f>VLOOKUP(Anexo_4[[#This Row],[cod_doc]],TIPODOC,2,FALSE)</f>
        <v>FACTURA</v>
      </c>
      <c r="M1063" s="77" t="s">
        <v>102</v>
      </c>
      <c r="N1063" s="79">
        <v>25</v>
      </c>
      <c r="O1063" s="80">
        <v>152.54</v>
      </c>
      <c r="P1063" s="81"/>
      <c r="Q1063" s="81">
        <v>27.457199999999997</v>
      </c>
      <c r="R1063" s="80"/>
      <c r="S1063" s="80">
        <v>0</v>
      </c>
      <c r="T1063" s="82">
        <v>180</v>
      </c>
      <c r="U1063" s="77"/>
      <c r="V1063" s="75"/>
      <c r="W1063" s="77"/>
      <c r="X1063" s="77"/>
      <c r="Y1063" s="77"/>
      <c r="Z1063" s="77" t="s">
        <v>1756</v>
      </c>
      <c r="AA1063" s="83" t="s">
        <v>3498</v>
      </c>
      <c r="AB1063" s="104" t="str">
        <f>IFERROR(VLOOKUP(Anexo_4[[#This Row],[cuenta]],OP,2,0),"-")</f>
        <v>-</v>
      </c>
    </row>
    <row r="1064" spans="1:28" s="84" customFormat="1" ht="27" customHeight="1" x14ac:dyDescent="0.3">
      <c r="A1064" s="75" t="s">
        <v>1843</v>
      </c>
      <c r="B1064" s="36" t="str">
        <f t="shared" si="16"/>
        <v>Julio</v>
      </c>
      <c r="C1064" s="77" t="s">
        <v>162</v>
      </c>
      <c r="D1064" s="77" t="s">
        <v>3502</v>
      </c>
      <c r="E1064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064" s="79" t="s">
        <v>823</v>
      </c>
      <c r="G1064" s="79" t="s">
        <v>3503</v>
      </c>
      <c r="H1064" s="140" t="s">
        <v>3504</v>
      </c>
      <c r="I1064" s="77" t="s">
        <v>3505</v>
      </c>
      <c r="J1064" s="144" t="s">
        <v>3506</v>
      </c>
      <c r="K1064" s="77" t="s">
        <v>169</v>
      </c>
      <c r="L1064" s="103" t="str">
        <f>VLOOKUP(Anexo_4[[#This Row],[cod_doc]],TIPODOC,2,FALSE)</f>
        <v>FACTURA</v>
      </c>
      <c r="M1064" s="77" t="s">
        <v>102</v>
      </c>
      <c r="N1064" s="79">
        <v>4095</v>
      </c>
      <c r="O1064" s="80"/>
      <c r="P1064" s="81">
        <v>218.18</v>
      </c>
      <c r="Q1064" s="81"/>
      <c r="R1064" s="80">
        <v>21.82</v>
      </c>
      <c r="S1064" s="80">
        <v>0</v>
      </c>
      <c r="T1064" s="82">
        <v>240</v>
      </c>
      <c r="U1064" s="77"/>
      <c r="V1064" s="75"/>
      <c r="W1064" s="77"/>
      <c r="X1064" s="77"/>
      <c r="Y1064" s="77"/>
      <c r="Z1064" s="77" t="s">
        <v>684</v>
      </c>
      <c r="AA1064" s="83" t="s">
        <v>3498</v>
      </c>
      <c r="AB1064" s="104" t="str">
        <f>IFERROR(VLOOKUP(Anexo_4[[#This Row],[cuenta]],OP,2,0),"-")</f>
        <v>-</v>
      </c>
    </row>
    <row r="1065" spans="1:28" s="84" customFormat="1" ht="27" customHeight="1" x14ac:dyDescent="0.3">
      <c r="A1065" s="75" t="s">
        <v>1843</v>
      </c>
      <c r="B1065" s="36" t="str">
        <f t="shared" si="16"/>
        <v>Julio</v>
      </c>
      <c r="C1065" s="77" t="s">
        <v>162</v>
      </c>
      <c r="D1065" s="77" t="s">
        <v>3507</v>
      </c>
      <c r="E1065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065" s="79" t="s">
        <v>823</v>
      </c>
      <c r="G1065" s="79" t="s">
        <v>3503</v>
      </c>
      <c r="H1065" s="140" t="s">
        <v>3508</v>
      </c>
      <c r="I1065" s="77" t="s">
        <v>3509</v>
      </c>
      <c r="J1065" s="144" t="s">
        <v>3510</v>
      </c>
      <c r="K1065" s="77" t="s">
        <v>169</v>
      </c>
      <c r="L1065" s="103" t="str">
        <f>VLOOKUP(Anexo_4[[#This Row],[cod_doc]],TIPODOC,2,FALSE)</f>
        <v>FACTURA</v>
      </c>
      <c r="M1065" s="77" t="s">
        <v>222</v>
      </c>
      <c r="N1065" s="79">
        <v>23831</v>
      </c>
      <c r="O1065" s="80"/>
      <c r="P1065" s="81">
        <v>270</v>
      </c>
      <c r="Q1065" s="81"/>
      <c r="R1065" s="80">
        <v>27</v>
      </c>
      <c r="S1065" s="80">
        <v>0</v>
      </c>
      <c r="T1065" s="82">
        <v>297</v>
      </c>
      <c r="U1065" s="77"/>
      <c r="V1065" s="75"/>
      <c r="W1065" s="77"/>
      <c r="X1065" s="77"/>
      <c r="Y1065" s="77"/>
      <c r="Z1065" s="77" t="s">
        <v>684</v>
      </c>
      <c r="AA1065" s="83" t="s">
        <v>3498</v>
      </c>
      <c r="AB1065" s="104" t="str">
        <f>IFERROR(VLOOKUP(Anexo_4[[#This Row],[cuenta]],OP,2,0),"-")</f>
        <v>-</v>
      </c>
    </row>
    <row r="1066" spans="1:28" s="84" customFormat="1" ht="27" customHeight="1" x14ac:dyDescent="0.3">
      <c r="A1066" s="75" t="s">
        <v>2552</v>
      </c>
      <c r="B1066" s="36" t="str">
        <f t="shared" si="16"/>
        <v>Julio</v>
      </c>
      <c r="C1066" s="77" t="s">
        <v>162</v>
      </c>
      <c r="D1066" s="77" t="s">
        <v>3511</v>
      </c>
      <c r="E1066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066" s="79" t="s">
        <v>823</v>
      </c>
      <c r="G1066" s="79" t="s">
        <v>3503</v>
      </c>
      <c r="H1066" s="140" t="s">
        <v>3498</v>
      </c>
      <c r="I1066" s="77" t="s">
        <v>904</v>
      </c>
      <c r="J1066" s="144" t="s">
        <v>905</v>
      </c>
      <c r="K1066" s="77" t="s">
        <v>169</v>
      </c>
      <c r="L1066" s="103" t="str">
        <f>VLOOKUP(Anexo_4[[#This Row],[cod_doc]],TIPODOC,2,FALSE)</f>
        <v>FACTURA</v>
      </c>
      <c r="M1066" s="77" t="s">
        <v>180</v>
      </c>
      <c r="N1066" s="79">
        <v>2888</v>
      </c>
      <c r="O1066" s="80"/>
      <c r="P1066" s="81">
        <v>400</v>
      </c>
      <c r="Q1066" s="81"/>
      <c r="R1066" s="80">
        <v>40</v>
      </c>
      <c r="S1066" s="80">
        <v>0</v>
      </c>
      <c r="T1066" s="82">
        <v>440</v>
      </c>
      <c r="U1066" s="77"/>
      <c r="V1066" s="75"/>
      <c r="W1066" s="77"/>
      <c r="X1066" s="77"/>
      <c r="Y1066" s="77"/>
      <c r="Z1066" s="77" t="s">
        <v>684</v>
      </c>
      <c r="AA1066" s="83" t="s">
        <v>3498</v>
      </c>
      <c r="AB1066" s="104" t="str">
        <f>IFERROR(VLOOKUP(Anexo_4[[#This Row],[cuenta]],OP,2,0),"-")</f>
        <v>-</v>
      </c>
    </row>
    <row r="1067" spans="1:28" s="84" customFormat="1" ht="27" customHeight="1" x14ac:dyDescent="0.3">
      <c r="A1067" s="75" t="s">
        <v>2106</v>
      </c>
      <c r="B1067" s="36" t="str">
        <f t="shared" si="16"/>
        <v>Julio</v>
      </c>
      <c r="C1067" s="77" t="s">
        <v>162</v>
      </c>
      <c r="D1067" s="77" t="s">
        <v>3512</v>
      </c>
      <c r="E1067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067" s="79" t="s">
        <v>823</v>
      </c>
      <c r="G1067" s="79" t="s">
        <v>3503</v>
      </c>
      <c r="H1067" s="140" t="s">
        <v>3513</v>
      </c>
      <c r="I1067" s="77" t="s">
        <v>3514</v>
      </c>
      <c r="J1067" s="144" t="s">
        <v>3515</v>
      </c>
      <c r="K1067" s="77" t="s">
        <v>169</v>
      </c>
      <c r="L1067" s="103" t="str">
        <f>VLOOKUP(Anexo_4[[#This Row],[cod_doc]],TIPODOC,2,FALSE)</f>
        <v>FACTURA</v>
      </c>
      <c r="M1067" s="77" t="s">
        <v>102</v>
      </c>
      <c r="N1067" s="79">
        <v>878</v>
      </c>
      <c r="O1067" s="80">
        <v>1521.83</v>
      </c>
      <c r="P1067" s="81"/>
      <c r="Q1067" s="81">
        <v>273.92939999999999</v>
      </c>
      <c r="R1067" s="80"/>
      <c r="S1067" s="80">
        <v>0</v>
      </c>
      <c r="T1067" s="82">
        <v>1795.75</v>
      </c>
      <c r="U1067" s="77"/>
      <c r="V1067" s="75"/>
      <c r="W1067" s="77"/>
      <c r="X1067" s="77"/>
      <c r="Y1067" s="77"/>
      <c r="Z1067" s="77" t="s">
        <v>684</v>
      </c>
      <c r="AA1067" s="83" t="s">
        <v>3498</v>
      </c>
      <c r="AB1067" s="104" t="str">
        <f>IFERROR(VLOOKUP(Anexo_4[[#This Row],[cuenta]],OP,2,0),"-")</f>
        <v>-</v>
      </c>
    </row>
    <row r="1068" spans="1:28" s="84" customFormat="1" ht="27" customHeight="1" x14ac:dyDescent="0.3">
      <c r="A1068" s="75" t="s">
        <v>2837</v>
      </c>
      <c r="B1068" s="36" t="str">
        <f t="shared" si="16"/>
        <v>Julio</v>
      </c>
      <c r="C1068" s="77" t="s">
        <v>162</v>
      </c>
      <c r="D1068" s="77" t="s">
        <v>3516</v>
      </c>
      <c r="E1068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068" s="79" t="s">
        <v>823</v>
      </c>
      <c r="G1068" s="79" t="s">
        <v>824</v>
      </c>
      <c r="H1068" s="140" t="s">
        <v>3517</v>
      </c>
      <c r="I1068" s="77" t="s">
        <v>3518</v>
      </c>
      <c r="J1068" s="144" t="s">
        <v>3519</v>
      </c>
      <c r="K1068" s="77" t="s">
        <v>169</v>
      </c>
      <c r="L1068" s="103" t="str">
        <f>VLOOKUP(Anexo_4[[#This Row],[cod_doc]],TIPODOC,2,FALSE)</f>
        <v>FACTURA</v>
      </c>
      <c r="M1068" s="77" t="s">
        <v>180</v>
      </c>
      <c r="N1068" s="79">
        <v>11547</v>
      </c>
      <c r="O1068" s="80">
        <v>724.58</v>
      </c>
      <c r="P1068" s="81"/>
      <c r="Q1068" s="81">
        <v>130.42439999999999</v>
      </c>
      <c r="R1068" s="80"/>
      <c r="S1068" s="80">
        <v>0</v>
      </c>
      <c r="T1068" s="82">
        <v>855</v>
      </c>
      <c r="U1068" s="77"/>
      <c r="V1068" s="75"/>
      <c r="W1068" s="77"/>
      <c r="X1068" s="77"/>
      <c r="Y1068" s="77"/>
      <c r="Z1068" s="77" t="s">
        <v>2320</v>
      </c>
      <c r="AA1068" s="83" t="s">
        <v>3517</v>
      </c>
      <c r="AB1068" s="104" t="str">
        <f>IFERROR(VLOOKUP(Anexo_4[[#This Row],[cuenta]],OP,2,0),"-")</f>
        <v>Otros Gastos de Gestion</v>
      </c>
    </row>
    <row r="1069" spans="1:28" s="84" customFormat="1" ht="27" customHeight="1" x14ac:dyDescent="0.3">
      <c r="A1069" s="75" t="s">
        <v>2837</v>
      </c>
      <c r="B1069" s="36" t="str">
        <f t="shared" si="16"/>
        <v>Julio</v>
      </c>
      <c r="C1069" s="77" t="s">
        <v>162</v>
      </c>
      <c r="D1069" s="77" t="s">
        <v>3520</v>
      </c>
      <c r="E1069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069" s="79" t="s">
        <v>823</v>
      </c>
      <c r="G1069" s="79" t="s">
        <v>3503</v>
      </c>
      <c r="H1069" s="140" t="s">
        <v>3498</v>
      </c>
      <c r="I1069" s="77" t="s">
        <v>3521</v>
      </c>
      <c r="J1069" s="144" t="s">
        <v>3522</v>
      </c>
      <c r="K1069" s="77" t="s">
        <v>169</v>
      </c>
      <c r="L1069" s="103" t="str">
        <f>VLOOKUP(Anexo_4[[#This Row],[cod_doc]],TIPODOC,2,FALSE)</f>
        <v>FACTURA</v>
      </c>
      <c r="M1069" s="77" t="s">
        <v>102</v>
      </c>
      <c r="N1069" s="79">
        <v>2186</v>
      </c>
      <c r="O1069" s="80">
        <v>637.29</v>
      </c>
      <c r="P1069" s="81"/>
      <c r="Q1069" s="81">
        <v>114.7122</v>
      </c>
      <c r="R1069" s="80"/>
      <c r="S1069" s="80">
        <v>0</v>
      </c>
      <c r="T1069" s="82">
        <v>752</v>
      </c>
      <c r="U1069" s="77"/>
      <c r="V1069" s="75"/>
      <c r="W1069" s="77"/>
      <c r="X1069" s="77"/>
      <c r="Y1069" s="77" t="s">
        <v>3523</v>
      </c>
      <c r="Z1069" s="77" t="s">
        <v>684</v>
      </c>
      <c r="AA1069" s="83" t="s">
        <v>3498</v>
      </c>
      <c r="AB1069" s="104" t="str">
        <f>IFERROR(VLOOKUP(Anexo_4[[#This Row],[cuenta]],OP,2,0),"-")</f>
        <v>-</v>
      </c>
    </row>
    <row r="1070" spans="1:28" s="84" customFormat="1" ht="27" customHeight="1" x14ac:dyDescent="0.3">
      <c r="A1070" s="75" t="s">
        <v>1916</v>
      </c>
      <c r="B1070" s="36" t="str">
        <f t="shared" si="16"/>
        <v>Julio</v>
      </c>
      <c r="C1070" s="77" t="s">
        <v>162</v>
      </c>
      <c r="D1070" s="77" t="s">
        <v>3524</v>
      </c>
      <c r="E1070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070" s="79"/>
      <c r="G1070" s="79" t="s">
        <v>824</v>
      </c>
      <c r="H1070" s="140" t="s">
        <v>3498</v>
      </c>
      <c r="I1070" s="77" t="s">
        <v>3525</v>
      </c>
      <c r="J1070" s="144" t="s">
        <v>3526</v>
      </c>
      <c r="K1070" s="77" t="s">
        <v>169</v>
      </c>
      <c r="L1070" s="103" t="str">
        <f>VLOOKUP(Anexo_4[[#This Row],[cod_doc]],TIPODOC,2,FALSE)</f>
        <v>FACTURA</v>
      </c>
      <c r="M1070" s="77" t="s">
        <v>222</v>
      </c>
      <c r="N1070" s="79">
        <v>374</v>
      </c>
      <c r="O1070" s="80">
        <v>12624.91</v>
      </c>
      <c r="P1070" s="81"/>
      <c r="Q1070" s="81">
        <v>2272.4838</v>
      </c>
      <c r="R1070" s="80"/>
      <c r="S1070" s="80">
        <v>0</v>
      </c>
      <c r="T1070" s="82">
        <v>14897.4</v>
      </c>
      <c r="U1070" s="77"/>
      <c r="V1070" s="75"/>
      <c r="W1070" s="77"/>
      <c r="X1070" s="77"/>
      <c r="Y1070" s="77"/>
      <c r="Z1070" s="77" t="s">
        <v>684</v>
      </c>
      <c r="AA1070" s="83" t="s">
        <v>3498</v>
      </c>
      <c r="AB1070" s="104" t="str">
        <f>IFERROR(VLOOKUP(Anexo_4[[#This Row],[cuenta]],OP,2,0),"-")</f>
        <v>-</v>
      </c>
    </row>
    <row r="1071" spans="1:28" s="84" customFormat="1" ht="27" customHeight="1" x14ac:dyDescent="0.3">
      <c r="A1071" s="75" t="s">
        <v>2564</v>
      </c>
      <c r="B1071" s="36" t="str">
        <f t="shared" si="16"/>
        <v>Julio</v>
      </c>
      <c r="C1071" s="77" t="s">
        <v>162</v>
      </c>
      <c r="D1071" s="77" t="s">
        <v>3527</v>
      </c>
      <c r="E1071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071" s="79" t="s">
        <v>823</v>
      </c>
      <c r="G1071" s="79" t="s">
        <v>824</v>
      </c>
      <c r="H1071" s="140" t="s">
        <v>3498</v>
      </c>
      <c r="I1071" s="77" t="s">
        <v>3528</v>
      </c>
      <c r="J1071" s="144" t="s">
        <v>3529</v>
      </c>
      <c r="K1071" s="77" t="s">
        <v>169</v>
      </c>
      <c r="L1071" s="103" t="str">
        <f>VLOOKUP(Anexo_4[[#This Row],[cod_doc]],TIPODOC,2,FALSE)</f>
        <v>FACTURA</v>
      </c>
      <c r="M1071" s="77" t="s">
        <v>102</v>
      </c>
      <c r="N1071" s="79">
        <v>139</v>
      </c>
      <c r="O1071" s="80">
        <v>1790</v>
      </c>
      <c r="P1071" s="81"/>
      <c r="Q1071" s="81">
        <v>322.2</v>
      </c>
      <c r="R1071" s="80"/>
      <c r="S1071" s="80">
        <v>0</v>
      </c>
      <c r="T1071" s="82">
        <v>2112.1999999999998</v>
      </c>
      <c r="U1071" s="77"/>
      <c r="V1071" s="75"/>
      <c r="W1071" s="77"/>
      <c r="X1071" s="77"/>
      <c r="Y1071" s="77"/>
      <c r="Z1071" s="77" t="s">
        <v>684</v>
      </c>
      <c r="AA1071" s="83" t="s">
        <v>3498</v>
      </c>
      <c r="AB1071" s="104" t="str">
        <f>IFERROR(VLOOKUP(Anexo_4[[#This Row],[cuenta]],OP,2,0),"-")</f>
        <v>-</v>
      </c>
    </row>
    <row r="1072" spans="1:28" s="84" customFormat="1" ht="27" customHeight="1" x14ac:dyDescent="0.3">
      <c r="A1072" s="75" t="s">
        <v>2349</v>
      </c>
      <c r="B1072" s="36" t="str">
        <f t="shared" si="16"/>
        <v>Julio</v>
      </c>
      <c r="C1072" s="77" t="s">
        <v>162</v>
      </c>
      <c r="D1072" s="77" t="s">
        <v>3530</v>
      </c>
      <c r="E107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072" s="79" t="s">
        <v>592</v>
      </c>
      <c r="G1072" s="79" t="s">
        <v>593</v>
      </c>
      <c r="H1072" s="140" t="s">
        <v>3531</v>
      </c>
      <c r="I1072" s="77" t="s">
        <v>643</v>
      </c>
      <c r="J1072" s="144" t="s">
        <v>644</v>
      </c>
      <c r="K1072" s="77" t="s">
        <v>169</v>
      </c>
      <c r="L1072" s="103" t="str">
        <f>VLOOKUP(Anexo_4[[#This Row],[cod_doc]],TIPODOC,2,FALSE)</f>
        <v>FACTURA</v>
      </c>
      <c r="M1072" s="77" t="s">
        <v>102</v>
      </c>
      <c r="N1072" s="79">
        <v>4037</v>
      </c>
      <c r="O1072" s="80">
        <v>170</v>
      </c>
      <c r="P1072" s="81"/>
      <c r="Q1072" s="81">
        <v>30.599999999999998</v>
      </c>
      <c r="R1072" s="80"/>
      <c r="S1072" s="80">
        <v>0</v>
      </c>
      <c r="T1072" s="82">
        <v>200.6</v>
      </c>
      <c r="U1072" s="77"/>
      <c r="V1072" s="75"/>
      <c r="W1072" s="77"/>
      <c r="X1072" s="77"/>
      <c r="Y1072" s="77"/>
      <c r="Z1072" s="77" t="s">
        <v>645</v>
      </c>
      <c r="AA1072" s="83" t="s">
        <v>3531</v>
      </c>
      <c r="AB1072" s="104" t="str">
        <f>IFERROR(VLOOKUP(Anexo_4[[#This Row],[cuenta]],OP,2,0),"-")</f>
        <v>Montacarga - Servicios</v>
      </c>
    </row>
    <row r="1073" spans="1:28" s="84" customFormat="1" ht="27" customHeight="1" x14ac:dyDescent="0.3">
      <c r="A1073" s="75" t="s">
        <v>3532</v>
      </c>
      <c r="B1073" s="36" t="str">
        <f t="shared" si="16"/>
        <v>Agosto</v>
      </c>
      <c r="C1073" s="77" t="s">
        <v>162</v>
      </c>
      <c r="D1073" s="77" t="s">
        <v>3533</v>
      </c>
      <c r="E1073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073" s="79" t="s">
        <v>248</v>
      </c>
      <c r="G1073" s="79" t="s">
        <v>249</v>
      </c>
      <c r="H1073" s="140" t="s">
        <v>3534</v>
      </c>
      <c r="I1073" s="77" t="s">
        <v>614</v>
      </c>
      <c r="J1073" s="144" t="s">
        <v>615</v>
      </c>
      <c r="K1073" s="77" t="s">
        <v>169</v>
      </c>
      <c r="L1073" s="103" t="str">
        <f>VLOOKUP(Anexo_4[[#This Row],[cod_doc]],TIPODOC,2,FALSE)</f>
        <v>FACTURA</v>
      </c>
      <c r="M1073" s="77" t="s">
        <v>102</v>
      </c>
      <c r="N1073" s="79">
        <v>1342</v>
      </c>
      <c r="O1073" s="80">
        <v>770.34</v>
      </c>
      <c r="P1073" s="81"/>
      <c r="Q1073" s="81">
        <v>138.66120000000001</v>
      </c>
      <c r="R1073" s="80"/>
      <c r="S1073" s="80">
        <v>0</v>
      </c>
      <c r="T1073" s="82">
        <v>909</v>
      </c>
      <c r="U1073" s="77" t="s">
        <v>3535</v>
      </c>
      <c r="V1073" s="75" t="s">
        <v>1786</v>
      </c>
      <c r="W1073" s="77"/>
      <c r="X1073" s="77"/>
      <c r="Y1073" s="77" t="s">
        <v>3536</v>
      </c>
      <c r="Z1073" s="77" t="s">
        <v>256</v>
      </c>
      <c r="AA1073" s="83" t="s">
        <v>3534</v>
      </c>
      <c r="AB1073" s="104" t="str">
        <f>IFERROR(VLOOKUP(Anexo_4[[#This Row],[cuenta]],OP,2,0),"-")</f>
        <v>Materias Primas - RRSS</v>
      </c>
    </row>
    <row r="1074" spans="1:28" s="84" customFormat="1" ht="27" customHeight="1" x14ac:dyDescent="0.3">
      <c r="A1074" s="75" t="s">
        <v>3532</v>
      </c>
      <c r="B1074" s="36" t="str">
        <f t="shared" si="16"/>
        <v>Agosto</v>
      </c>
      <c r="C1074" s="77" t="s">
        <v>162</v>
      </c>
      <c r="D1074" s="77" t="s">
        <v>3537</v>
      </c>
      <c r="E1074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074" s="79" t="s">
        <v>248</v>
      </c>
      <c r="G1074" s="79" t="s">
        <v>249</v>
      </c>
      <c r="H1074" s="140" t="s">
        <v>3538</v>
      </c>
      <c r="I1074" s="77" t="s">
        <v>536</v>
      </c>
      <c r="J1074" s="144" t="s">
        <v>537</v>
      </c>
      <c r="K1074" s="77" t="s">
        <v>169</v>
      </c>
      <c r="L1074" s="103" t="str">
        <f>VLOOKUP(Anexo_4[[#This Row],[cod_doc]],TIPODOC,2,FALSE)</f>
        <v>FACTURA</v>
      </c>
      <c r="M1074" s="77" t="s">
        <v>538</v>
      </c>
      <c r="N1074" s="79">
        <v>6665</v>
      </c>
      <c r="O1074" s="80">
        <v>344</v>
      </c>
      <c r="P1074" s="81"/>
      <c r="Q1074" s="81">
        <v>61.919999999999995</v>
      </c>
      <c r="R1074" s="80"/>
      <c r="S1074" s="80">
        <v>0</v>
      </c>
      <c r="T1074" s="82">
        <v>405.92</v>
      </c>
      <c r="U1074" s="77" t="s">
        <v>3539</v>
      </c>
      <c r="V1074" s="75" t="s">
        <v>3084</v>
      </c>
      <c r="W1074" s="77"/>
      <c r="X1074" s="77"/>
      <c r="Y1074" s="77" t="s">
        <v>3540</v>
      </c>
      <c r="Z1074" s="77" t="s">
        <v>256</v>
      </c>
      <c r="AA1074" s="83" t="s">
        <v>3538</v>
      </c>
      <c r="AB1074" s="104" t="str">
        <f>IFERROR(VLOOKUP(Anexo_4[[#This Row],[cuenta]],OP,2,0),"-")</f>
        <v>Materias Primas - RRSS</v>
      </c>
    </row>
    <row r="1075" spans="1:28" s="84" customFormat="1" ht="27" customHeight="1" x14ac:dyDescent="0.3">
      <c r="A1075" s="75" t="s">
        <v>3532</v>
      </c>
      <c r="B1075" s="36" t="str">
        <f t="shared" si="16"/>
        <v>Agosto</v>
      </c>
      <c r="C1075" s="77" t="s">
        <v>162</v>
      </c>
      <c r="D1075" s="77" t="s">
        <v>3541</v>
      </c>
      <c r="E107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075" s="79" t="s">
        <v>248</v>
      </c>
      <c r="G1075" s="79" t="s">
        <v>249</v>
      </c>
      <c r="H1075" s="140" t="s">
        <v>3542</v>
      </c>
      <c r="I1075" s="77" t="s">
        <v>536</v>
      </c>
      <c r="J1075" s="144" t="s">
        <v>537</v>
      </c>
      <c r="K1075" s="77" t="s">
        <v>169</v>
      </c>
      <c r="L1075" s="103" t="str">
        <f>VLOOKUP(Anexo_4[[#This Row],[cod_doc]],TIPODOC,2,FALSE)</f>
        <v>FACTURA</v>
      </c>
      <c r="M1075" s="77" t="s">
        <v>538</v>
      </c>
      <c r="N1075" s="79">
        <v>6663</v>
      </c>
      <c r="O1075" s="80">
        <v>12.5</v>
      </c>
      <c r="P1075" s="81"/>
      <c r="Q1075" s="81">
        <v>2.25</v>
      </c>
      <c r="R1075" s="80"/>
      <c r="S1075" s="80">
        <v>0</v>
      </c>
      <c r="T1075" s="82">
        <v>14.75</v>
      </c>
      <c r="U1075" s="77" t="s">
        <v>3543</v>
      </c>
      <c r="V1075" s="75" t="s">
        <v>3084</v>
      </c>
      <c r="W1075" s="77"/>
      <c r="X1075" s="77"/>
      <c r="Y1075" s="77" t="s">
        <v>3544</v>
      </c>
      <c r="Z1075" s="77" t="s">
        <v>256</v>
      </c>
      <c r="AA1075" s="83" t="s">
        <v>3542</v>
      </c>
      <c r="AB1075" s="104" t="str">
        <f>IFERROR(VLOOKUP(Anexo_4[[#This Row],[cuenta]],OP,2,0),"-")</f>
        <v>Materias Primas - RRSS</v>
      </c>
    </row>
    <row r="1076" spans="1:28" s="84" customFormat="1" ht="27" customHeight="1" x14ac:dyDescent="0.3">
      <c r="A1076" s="75" t="s">
        <v>3532</v>
      </c>
      <c r="B1076" s="36" t="str">
        <f t="shared" si="16"/>
        <v>Agosto</v>
      </c>
      <c r="C1076" s="77" t="s">
        <v>162</v>
      </c>
      <c r="D1076" s="77" t="s">
        <v>3545</v>
      </c>
      <c r="E107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076" s="79" t="s">
        <v>248</v>
      </c>
      <c r="G1076" s="79" t="s">
        <v>249</v>
      </c>
      <c r="H1076" s="140" t="s">
        <v>3546</v>
      </c>
      <c r="I1076" s="77" t="s">
        <v>536</v>
      </c>
      <c r="J1076" s="144" t="s">
        <v>537</v>
      </c>
      <c r="K1076" s="77" t="s">
        <v>169</v>
      </c>
      <c r="L1076" s="103" t="str">
        <f>VLOOKUP(Anexo_4[[#This Row],[cod_doc]],TIPODOC,2,FALSE)</f>
        <v>FACTURA</v>
      </c>
      <c r="M1076" s="77" t="s">
        <v>538</v>
      </c>
      <c r="N1076" s="79">
        <v>6666</v>
      </c>
      <c r="O1076" s="80">
        <v>52</v>
      </c>
      <c r="P1076" s="81"/>
      <c r="Q1076" s="81">
        <v>9.36</v>
      </c>
      <c r="R1076" s="80"/>
      <c r="S1076" s="80">
        <v>0</v>
      </c>
      <c r="T1076" s="82">
        <v>61.36</v>
      </c>
      <c r="U1076" s="77" t="s">
        <v>3547</v>
      </c>
      <c r="V1076" s="75" t="s">
        <v>3084</v>
      </c>
      <c r="W1076" s="77"/>
      <c r="X1076" s="77"/>
      <c r="Y1076" s="77" t="s">
        <v>3548</v>
      </c>
      <c r="Z1076" s="77" t="s">
        <v>256</v>
      </c>
      <c r="AA1076" s="83" t="s">
        <v>3546</v>
      </c>
      <c r="AB1076" s="104" t="str">
        <f>IFERROR(VLOOKUP(Anexo_4[[#This Row],[cuenta]],OP,2,0),"-")</f>
        <v>Materias Primas - RRSS</v>
      </c>
    </row>
    <row r="1077" spans="1:28" s="84" customFormat="1" ht="27" customHeight="1" x14ac:dyDescent="0.3">
      <c r="A1077" s="75" t="s">
        <v>3532</v>
      </c>
      <c r="B1077" s="36" t="str">
        <f t="shared" si="16"/>
        <v>Agosto</v>
      </c>
      <c r="C1077" s="77" t="s">
        <v>162</v>
      </c>
      <c r="D1077" s="77" t="s">
        <v>3549</v>
      </c>
      <c r="E1077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077" s="79" t="s">
        <v>248</v>
      </c>
      <c r="G1077" s="79" t="s">
        <v>249</v>
      </c>
      <c r="H1077" s="140" t="s">
        <v>3550</v>
      </c>
      <c r="I1077" s="77" t="s">
        <v>536</v>
      </c>
      <c r="J1077" s="144" t="s">
        <v>537</v>
      </c>
      <c r="K1077" s="77" t="s">
        <v>169</v>
      </c>
      <c r="L1077" s="103" t="str">
        <f>VLOOKUP(Anexo_4[[#This Row],[cod_doc]],TIPODOC,2,FALSE)</f>
        <v>FACTURA</v>
      </c>
      <c r="M1077" s="77" t="s">
        <v>538</v>
      </c>
      <c r="N1077" s="79">
        <v>6667</v>
      </c>
      <c r="O1077" s="80">
        <v>608</v>
      </c>
      <c r="P1077" s="81"/>
      <c r="Q1077" s="81">
        <v>109.44</v>
      </c>
      <c r="R1077" s="80"/>
      <c r="S1077" s="80">
        <v>0</v>
      </c>
      <c r="T1077" s="82">
        <v>717.44</v>
      </c>
      <c r="U1077" s="77" t="s">
        <v>3551</v>
      </c>
      <c r="V1077" s="75" t="s">
        <v>3084</v>
      </c>
      <c r="W1077" s="77"/>
      <c r="X1077" s="77"/>
      <c r="Y1077" s="77" t="s">
        <v>3552</v>
      </c>
      <c r="Z1077" s="77" t="s">
        <v>256</v>
      </c>
      <c r="AA1077" s="83" t="s">
        <v>3550</v>
      </c>
      <c r="AB1077" s="104" t="str">
        <f>IFERROR(VLOOKUP(Anexo_4[[#This Row],[cuenta]],OP,2,0),"-")</f>
        <v>Materias Primas - RRSS</v>
      </c>
    </row>
    <row r="1078" spans="1:28" s="84" customFormat="1" ht="27" customHeight="1" x14ac:dyDescent="0.3">
      <c r="A1078" s="75" t="s">
        <v>3532</v>
      </c>
      <c r="B1078" s="36" t="str">
        <f t="shared" si="16"/>
        <v>Agosto</v>
      </c>
      <c r="C1078" s="77" t="s">
        <v>162</v>
      </c>
      <c r="D1078" s="77" t="s">
        <v>3553</v>
      </c>
      <c r="E1078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078" s="79" t="s">
        <v>248</v>
      </c>
      <c r="G1078" s="79" t="s">
        <v>249</v>
      </c>
      <c r="H1078" s="140" t="s">
        <v>3554</v>
      </c>
      <c r="I1078" s="77" t="s">
        <v>536</v>
      </c>
      <c r="J1078" s="144" t="s">
        <v>537</v>
      </c>
      <c r="K1078" s="77" t="s">
        <v>169</v>
      </c>
      <c r="L1078" s="103" t="str">
        <f>VLOOKUP(Anexo_4[[#This Row],[cod_doc]],TIPODOC,2,FALSE)</f>
        <v>FACTURA</v>
      </c>
      <c r="M1078" s="77" t="s">
        <v>538</v>
      </c>
      <c r="N1078" s="79">
        <v>6662</v>
      </c>
      <c r="O1078" s="80">
        <v>423</v>
      </c>
      <c r="P1078" s="81"/>
      <c r="Q1078" s="81">
        <v>76.14</v>
      </c>
      <c r="R1078" s="80"/>
      <c r="S1078" s="80">
        <v>0</v>
      </c>
      <c r="T1078" s="82">
        <v>499.14</v>
      </c>
      <c r="U1078" s="77" t="s">
        <v>3555</v>
      </c>
      <c r="V1078" s="75" t="s">
        <v>3084</v>
      </c>
      <c r="W1078" s="77"/>
      <c r="X1078" s="77"/>
      <c r="Y1078" s="77" t="s">
        <v>3556</v>
      </c>
      <c r="Z1078" s="77" t="s">
        <v>256</v>
      </c>
      <c r="AA1078" s="83" t="s">
        <v>3554</v>
      </c>
      <c r="AB1078" s="104" t="str">
        <f>IFERROR(VLOOKUP(Anexo_4[[#This Row],[cuenta]],OP,2,0),"-")</f>
        <v>Materias Primas - RRSS</v>
      </c>
    </row>
    <row r="1079" spans="1:28" s="84" customFormat="1" ht="27" customHeight="1" x14ac:dyDescent="0.3">
      <c r="A1079" s="75" t="s">
        <v>3532</v>
      </c>
      <c r="B1079" s="36" t="str">
        <f t="shared" si="16"/>
        <v>Agosto</v>
      </c>
      <c r="C1079" s="77" t="s">
        <v>162</v>
      </c>
      <c r="D1079" s="77" t="s">
        <v>3557</v>
      </c>
      <c r="E1079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079" s="79" t="s">
        <v>248</v>
      </c>
      <c r="G1079" s="79" t="s">
        <v>249</v>
      </c>
      <c r="H1079" s="140" t="s">
        <v>3558</v>
      </c>
      <c r="I1079" s="77" t="s">
        <v>536</v>
      </c>
      <c r="J1079" s="144" t="s">
        <v>537</v>
      </c>
      <c r="K1079" s="77" t="s">
        <v>169</v>
      </c>
      <c r="L1079" s="103" t="str">
        <f>VLOOKUP(Anexo_4[[#This Row],[cod_doc]],TIPODOC,2,FALSE)</f>
        <v>FACTURA</v>
      </c>
      <c r="M1079" s="77" t="s">
        <v>538</v>
      </c>
      <c r="N1079" s="79">
        <v>6661</v>
      </c>
      <c r="O1079" s="80">
        <v>140.4</v>
      </c>
      <c r="P1079" s="81"/>
      <c r="Q1079" s="81">
        <v>25.271999999999998</v>
      </c>
      <c r="R1079" s="80"/>
      <c r="S1079" s="80">
        <v>0</v>
      </c>
      <c r="T1079" s="82">
        <v>165.67</v>
      </c>
      <c r="U1079" s="77" t="s">
        <v>3559</v>
      </c>
      <c r="V1079" s="75" t="s">
        <v>3084</v>
      </c>
      <c r="W1079" s="77"/>
      <c r="X1079" s="77"/>
      <c r="Y1079" s="77" t="s">
        <v>3560</v>
      </c>
      <c r="Z1079" s="77" t="s">
        <v>256</v>
      </c>
      <c r="AA1079" s="83" t="s">
        <v>3558</v>
      </c>
      <c r="AB1079" s="104" t="str">
        <f>IFERROR(VLOOKUP(Anexo_4[[#This Row],[cuenta]],OP,2,0),"-")</f>
        <v>Materias Primas - RRSS</v>
      </c>
    </row>
    <row r="1080" spans="1:28" s="84" customFormat="1" ht="27" customHeight="1" x14ac:dyDescent="0.3">
      <c r="A1080" s="75" t="s">
        <v>3532</v>
      </c>
      <c r="B1080" s="36" t="str">
        <f t="shared" si="16"/>
        <v>Agosto</v>
      </c>
      <c r="C1080" s="77" t="s">
        <v>162</v>
      </c>
      <c r="D1080" s="77" t="s">
        <v>3561</v>
      </c>
      <c r="E1080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080" s="79" t="s">
        <v>248</v>
      </c>
      <c r="G1080" s="79" t="s">
        <v>249</v>
      </c>
      <c r="H1080" s="140" t="s">
        <v>3562</v>
      </c>
      <c r="I1080" s="77" t="s">
        <v>536</v>
      </c>
      <c r="J1080" s="144" t="s">
        <v>537</v>
      </c>
      <c r="K1080" s="77" t="s">
        <v>169</v>
      </c>
      <c r="L1080" s="103" t="str">
        <f>VLOOKUP(Anexo_4[[#This Row],[cod_doc]],TIPODOC,2,FALSE)</f>
        <v>FACTURA</v>
      </c>
      <c r="M1080" s="77" t="s">
        <v>538</v>
      </c>
      <c r="N1080" s="79">
        <v>6664</v>
      </c>
      <c r="O1080" s="80">
        <v>7.8</v>
      </c>
      <c r="P1080" s="81"/>
      <c r="Q1080" s="81">
        <v>1.4039999999999999</v>
      </c>
      <c r="R1080" s="80"/>
      <c r="S1080" s="80">
        <v>0</v>
      </c>
      <c r="T1080" s="82">
        <v>9.1999999999999993</v>
      </c>
      <c r="U1080" s="77" t="s">
        <v>3563</v>
      </c>
      <c r="V1080" s="75" t="s">
        <v>2494</v>
      </c>
      <c r="W1080" s="77"/>
      <c r="X1080" s="77"/>
      <c r="Y1080" s="77" t="s">
        <v>3564</v>
      </c>
      <c r="Z1080" s="77" t="s">
        <v>256</v>
      </c>
      <c r="AA1080" s="83" t="s">
        <v>3562</v>
      </c>
      <c r="AB1080" s="104" t="str">
        <f>IFERROR(VLOOKUP(Anexo_4[[#This Row],[cuenta]],OP,2,0),"-")</f>
        <v>Materias Primas - RRSS</v>
      </c>
    </row>
    <row r="1081" spans="1:28" s="84" customFormat="1" ht="27" customHeight="1" x14ac:dyDescent="0.3">
      <c r="A1081" s="75" t="s">
        <v>3532</v>
      </c>
      <c r="B1081" s="36" t="str">
        <f t="shared" si="16"/>
        <v>Agosto</v>
      </c>
      <c r="C1081" s="77" t="s">
        <v>162</v>
      </c>
      <c r="D1081" s="77" t="s">
        <v>3565</v>
      </c>
      <c r="E1081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081" s="79" t="s">
        <v>190</v>
      </c>
      <c r="G1081" s="79" t="s">
        <v>191</v>
      </c>
      <c r="H1081" s="140" t="s">
        <v>3566</v>
      </c>
      <c r="I1081" s="77" t="s">
        <v>2890</v>
      </c>
      <c r="J1081" s="144" t="s">
        <v>2891</v>
      </c>
      <c r="K1081" s="77" t="s">
        <v>169</v>
      </c>
      <c r="L1081" s="103" t="str">
        <f>VLOOKUP(Anexo_4[[#This Row],[cod_doc]],TIPODOC,2,FALSE)</f>
        <v>FACTURA</v>
      </c>
      <c r="M1081" s="77" t="s">
        <v>2892</v>
      </c>
      <c r="N1081" s="79">
        <v>1683570</v>
      </c>
      <c r="O1081" s="80">
        <v>89.75</v>
      </c>
      <c r="P1081" s="81"/>
      <c r="Q1081" s="81">
        <v>16.155000000000001</v>
      </c>
      <c r="R1081" s="80"/>
      <c r="S1081" s="80">
        <v>0</v>
      </c>
      <c r="T1081" s="82">
        <v>105.9</v>
      </c>
      <c r="U1081" s="77"/>
      <c r="V1081" s="75"/>
      <c r="W1081" s="77"/>
      <c r="X1081" s="77"/>
      <c r="Y1081" s="77"/>
      <c r="Z1081" s="77" t="s">
        <v>2320</v>
      </c>
      <c r="AA1081" s="83" t="s">
        <v>3566</v>
      </c>
      <c r="AB1081" s="104" t="str">
        <f>IFERROR(VLOOKUP(Anexo_4[[#This Row],[cuenta]],OP,2,0),"-")</f>
        <v>Otros Gastos de Gestion</v>
      </c>
    </row>
    <row r="1082" spans="1:28" s="84" customFormat="1" ht="27" customHeight="1" x14ac:dyDescent="0.3">
      <c r="A1082" s="75" t="s">
        <v>3532</v>
      </c>
      <c r="B1082" s="36" t="str">
        <f t="shared" si="16"/>
        <v>Agosto</v>
      </c>
      <c r="C1082" s="77" t="s">
        <v>162</v>
      </c>
      <c r="D1082" s="77" t="s">
        <v>3567</v>
      </c>
      <c r="E108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082" s="79" t="s">
        <v>235</v>
      </c>
      <c r="G1082" s="79" t="s">
        <v>236</v>
      </c>
      <c r="H1082" s="140" t="s">
        <v>3568</v>
      </c>
      <c r="I1082" s="77" t="s">
        <v>264</v>
      </c>
      <c r="J1082" s="144" t="s">
        <v>265</v>
      </c>
      <c r="K1082" s="77" t="s">
        <v>169</v>
      </c>
      <c r="L1082" s="103" t="str">
        <f>VLOOKUP(Anexo_4[[#This Row],[cod_doc]],TIPODOC,2,FALSE)</f>
        <v>FACTURA</v>
      </c>
      <c r="M1082" s="77" t="s">
        <v>271</v>
      </c>
      <c r="N1082" s="79">
        <v>1799815</v>
      </c>
      <c r="O1082" s="80">
        <v>6.78</v>
      </c>
      <c r="P1082" s="81"/>
      <c r="Q1082" s="81">
        <v>1.2203999999999999</v>
      </c>
      <c r="R1082" s="80"/>
      <c r="S1082" s="80">
        <v>0</v>
      </c>
      <c r="T1082" s="82">
        <v>8</v>
      </c>
      <c r="U1082" s="77"/>
      <c r="V1082" s="75"/>
      <c r="W1082" s="77"/>
      <c r="X1082" s="77"/>
      <c r="Y1082" s="77" t="s">
        <v>3569</v>
      </c>
      <c r="Z1082" s="77" t="s">
        <v>302</v>
      </c>
      <c r="AA1082" s="83" t="s">
        <v>3568</v>
      </c>
      <c r="AB1082" s="104" t="str">
        <f>IFERROR(VLOOKUP(Anexo_4[[#This Row],[cuenta]],OP,2,0),"-")</f>
        <v>Transporte peajes - Servicios</v>
      </c>
    </row>
    <row r="1083" spans="1:28" s="84" customFormat="1" ht="27" customHeight="1" x14ac:dyDescent="0.3">
      <c r="A1083" s="75" t="s">
        <v>3532</v>
      </c>
      <c r="B1083" s="36" t="str">
        <f t="shared" si="16"/>
        <v>Agosto</v>
      </c>
      <c r="C1083" s="77" t="s">
        <v>162</v>
      </c>
      <c r="D1083" s="77" t="s">
        <v>3570</v>
      </c>
      <c r="E1083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083" s="79" t="s">
        <v>235</v>
      </c>
      <c r="G1083" s="79" t="s">
        <v>236</v>
      </c>
      <c r="H1083" s="140" t="s">
        <v>3571</v>
      </c>
      <c r="I1083" s="77" t="s">
        <v>264</v>
      </c>
      <c r="J1083" s="144" t="s">
        <v>265</v>
      </c>
      <c r="K1083" s="77" t="s">
        <v>169</v>
      </c>
      <c r="L1083" s="103" t="str">
        <f>VLOOKUP(Anexo_4[[#This Row],[cod_doc]],TIPODOC,2,FALSE)</f>
        <v>FACTURA</v>
      </c>
      <c r="M1083" s="77" t="s">
        <v>352</v>
      </c>
      <c r="N1083" s="79">
        <v>1820298</v>
      </c>
      <c r="O1083" s="80">
        <v>6.78</v>
      </c>
      <c r="P1083" s="81"/>
      <c r="Q1083" s="81">
        <v>1.2203999999999999</v>
      </c>
      <c r="R1083" s="80"/>
      <c r="S1083" s="80">
        <v>0</v>
      </c>
      <c r="T1083" s="82">
        <v>8</v>
      </c>
      <c r="U1083" s="77"/>
      <c r="V1083" s="75"/>
      <c r="W1083" s="77"/>
      <c r="X1083" s="77"/>
      <c r="Y1083" s="77" t="s">
        <v>3572</v>
      </c>
      <c r="Z1083" s="77" t="s">
        <v>302</v>
      </c>
      <c r="AA1083" s="83" t="s">
        <v>3571</v>
      </c>
      <c r="AB1083" s="104" t="str">
        <f>IFERROR(VLOOKUP(Anexo_4[[#This Row],[cuenta]],OP,2,0),"-")</f>
        <v>Transporte peajes - Servicios</v>
      </c>
    </row>
    <row r="1084" spans="1:28" s="84" customFormat="1" ht="27" customHeight="1" x14ac:dyDescent="0.3">
      <c r="A1084" s="75" t="s">
        <v>3573</v>
      </c>
      <c r="B1084" s="36" t="str">
        <f t="shared" si="16"/>
        <v>Agosto</v>
      </c>
      <c r="C1084" s="77" t="s">
        <v>162</v>
      </c>
      <c r="D1084" s="77" t="s">
        <v>3574</v>
      </c>
      <c r="E1084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084" s="79" t="s">
        <v>248</v>
      </c>
      <c r="G1084" s="79" t="s">
        <v>249</v>
      </c>
      <c r="H1084" s="140" t="s">
        <v>3575</v>
      </c>
      <c r="I1084" s="77" t="s">
        <v>980</v>
      </c>
      <c r="J1084" s="144" t="s">
        <v>981</v>
      </c>
      <c r="K1084" s="77" t="s">
        <v>169</v>
      </c>
      <c r="L1084" s="103" t="str">
        <f>VLOOKUP(Anexo_4[[#This Row],[cod_doc]],TIPODOC,2,FALSE)</f>
        <v>FACTURA</v>
      </c>
      <c r="M1084" s="77" t="s">
        <v>982</v>
      </c>
      <c r="N1084" s="79">
        <v>1716</v>
      </c>
      <c r="O1084" s="80">
        <v>129.83000000000001</v>
      </c>
      <c r="P1084" s="81"/>
      <c r="Q1084" s="81">
        <v>23.369400000000002</v>
      </c>
      <c r="R1084" s="80"/>
      <c r="S1084" s="80">
        <v>0</v>
      </c>
      <c r="T1084" s="82">
        <v>153.19999999999999</v>
      </c>
      <c r="U1084" s="77" t="s">
        <v>3576</v>
      </c>
      <c r="V1084" s="75" t="s">
        <v>2494</v>
      </c>
      <c r="W1084" s="77"/>
      <c r="X1084" s="77"/>
      <c r="Y1084" s="77" t="s">
        <v>3577</v>
      </c>
      <c r="Z1084" s="77" t="s">
        <v>256</v>
      </c>
      <c r="AA1084" s="83" t="s">
        <v>3575</v>
      </c>
      <c r="AB1084" s="104" t="str">
        <f>IFERROR(VLOOKUP(Anexo_4[[#This Row],[cuenta]],OP,2,0),"-")</f>
        <v>Materias Primas - RRSS</v>
      </c>
    </row>
    <row r="1085" spans="1:28" s="84" customFormat="1" ht="27" customHeight="1" x14ac:dyDescent="0.3">
      <c r="A1085" s="75" t="s">
        <v>3578</v>
      </c>
      <c r="B1085" s="36" t="str">
        <f t="shared" si="16"/>
        <v>Agosto</v>
      </c>
      <c r="C1085" s="77" t="s">
        <v>162</v>
      </c>
      <c r="D1085" s="77" t="s">
        <v>3579</v>
      </c>
      <c r="E108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085" s="79" t="s">
        <v>248</v>
      </c>
      <c r="G1085" s="79" t="s">
        <v>249</v>
      </c>
      <c r="H1085" s="140" t="s">
        <v>3580</v>
      </c>
      <c r="I1085" s="77" t="s">
        <v>536</v>
      </c>
      <c r="J1085" s="144" t="s">
        <v>537</v>
      </c>
      <c r="K1085" s="77" t="s">
        <v>169</v>
      </c>
      <c r="L1085" s="103" t="str">
        <f>VLOOKUP(Anexo_4[[#This Row],[cod_doc]],TIPODOC,2,FALSE)</f>
        <v>FACTURA</v>
      </c>
      <c r="M1085" s="77" t="s">
        <v>538</v>
      </c>
      <c r="N1085" s="79">
        <v>6705</v>
      </c>
      <c r="O1085" s="80">
        <v>148.5</v>
      </c>
      <c r="P1085" s="81"/>
      <c r="Q1085" s="81">
        <v>26.73</v>
      </c>
      <c r="R1085" s="80"/>
      <c r="S1085" s="80">
        <v>0</v>
      </c>
      <c r="T1085" s="82">
        <v>175.23</v>
      </c>
      <c r="U1085" s="77" t="s">
        <v>3581</v>
      </c>
      <c r="V1085" s="75" t="s">
        <v>2494</v>
      </c>
      <c r="W1085" s="77"/>
      <c r="X1085" s="77"/>
      <c r="Y1085" s="77" t="s">
        <v>3582</v>
      </c>
      <c r="Z1085" s="77" t="s">
        <v>256</v>
      </c>
      <c r="AA1085" s="83" t="s">
        <v>3580</v>
      </c>
      <c r="AB1085" s="104" t="str">
        <f>IFERROR(VLOOKUP(Anexo_4[[#This Row],[cuenta]],OP,2,0),"-")</f>
        <v>Materias Primas - RRSS</v>
      </c>
    </row>
    <row r="1086" spans="1:28" s="84" customFormat="1" ht="27" customHeight="1" x14ac:dyDescent="0.3">
      <c r="A1086" s="75" t="s">
        <v>3578</v>
      </c>
      <c r="B1086" s="36" t="str">
        <f t="shared" si="16"/>
        <v>Agosto</v>
      </c>
      <c r="C1086" s="77" t="s">
        <v>162</v>
      </c>
      <c r="D1086" s="77" t="s">
        <v>3583</v>
      </c>
      <c r="E108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086" s="79" t="s">
        <v>248</v>
      </c>
      <c r="G1086" s="79" t="s">
        <v>249</v>
      </c>
      <c r="H1086" s="140" t="s">
        <v>3584</v>
      </c>
      <c r="I1086" s="77" t="s">
        <v>536</v>
      </c>
      <c r="J1086" s="144" t="s">
        <v>537</v>
      </c>
      <c r="K1086" s="77" t="s">
        <v>169</v>
      </c>
      <c r="L1086" s="103" t="str">
        <f>VLOOKUP(Anexo_4[[#This Row],[cod_doc]],TIPODOC,2,FALSE)</f>
        <v>FACTURA</v>
      </c>
      <c r="M1086" s="77" t="s">
        <v>538</v>
      </c>
      <c r="N1086" s="79">
        <v>6707</v>
      </c>
      <c r="O1086" s="80">
        <v>5.4</v>
      </c>
      <c r="P1086" s="81"/>
      <c r="Q1086" s="81">
        <v>0.97199999999999998</v>
      </c>
      <c r="R1086" s="80"/>
      <c r="S1086" s="80">
        <v>0</v>
      </c>
      <c r="T1086" s="82">
        <v>6.37</v>
      </c>
      <c r="U1086" s="77" t="s">
        <v>3585</v>
      </c>
      <c r="V1086" s="75" t="s">
        <v>2494</v>
      </c>
      <c r="W1086" s="77"/>
      <c r="X1086" s="77"/>
      <c r="Y1086" s="77" t="s">
        <v>3586</v>
      </c>
      <c r="Z1086" s="77" t="s">
        <v>256</v>
      </c>
      <c r="AA1086" s="83" t="s">
        <v>3584</v>
      </c>
      <c r="AB1086" s="104" t="str">
        <f>IFERROR(VLOOKUP(Anexo_4[[#This Row],[cuenta]],OP,2,0),"-")</f>
        <v>Materias Primas - RRSS</v>
      </c>
    </row>
    <row r="1087" spans="1:28" s="84" customFormat="1" ht="27" customHeight="1" x14ac:dyDescent="0.3">
      <c r="A1087" s="75" t="s">
        <v>3578</v>
      </c>
      <c r="B1087" s="36" t="str">
        <f t="shared" si="16"/>
        <v>Agosto</v>
      </c>
      <c r="C1087" s="77" t="s">
        <v>162</v>
      </c>
      <c r="D1087" s="77" t="s">
        <v>3587</v>
      </c>
      <c r="E1087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087" s="79" t="s">
        <v>248</v>
      </c>
      <c r="G1087" s="79" t="s">
        <v>249</v>
      </c>
      <c r="H1087" s="140" t="s">
        <v>3588</v>
      </c>
      <c r="I1087" s="77" t="s">
        <v>536</v>
      </c>
      <c r="J1087" s="144" t="s">
        <v>537</v>
      </c>
      <c r="K1087" s="77" t="s">
        <v>169</v>
      </c>
      <c r="L1087" s="103" t="str">
        <f>VLOOKUP(Anexo_4[[#This Row],[cod_doc]],TIPODOC,2,FALSE)</f>
        <v>FACTURA</v>
      </c>
      <c r="M1087" s="77" t="s">
        <v>538</v>
      </c>
      <c r="N1087" s="79">
        <v>6706</v>
      </c>
      <c r="O1087" s="80">
        <v>288</v>
      </c>
      <c r="P1087" s="81"/>
      <c r="Q1087" s="81">
        <v>51.839999999999996</v>
      </c>
      <c r="R1087" s="80"/>
      <c r="S1087" s="80">
        <v>0</v>
      </c>
      <c r="T1087" s="82">
        <v>339.84</v>
      </c>
      <c r="U1087" s="77" t="s">
        <v>3589</v>
      </c>
      <c r="V1087" s="75" t="s">
        <v>2494</v>
      </c>
      <c r="W1087" s="77"/>
      <c r="X1087" s="77"/>
      <c r="Y1087" s="77" t="s">
        <v>3590</v>
      </c>
      <c r="Z1087" s="77" t="s">
        <v>256</v>
      </c>
      <c r="AA1087" s="83" t="s">
        <v>3588</v>
      </c>
      <c r="AB1087" s="104" t="str">
        <f>IFERROR(VLOOKUP(Anexo_4[[#This Row],[cuenta]],OP,2,0),"-")</f>
        <v>Materias Primas - RRSS</v>
      </c>
    </row>
    <row r="1088" spans="1:28" s="84" customFormat="1" ht="27" customHeight="1" x14ac:dyDescent="0.3">
      <c r="A1088" s="75" t="s">
        <v>3578</v>
      </c>
      <c r="B1088" s="36" t="str">
        <f t="shared" si="16"/>
        <v>Agosto</v>
      </c>
      <c r="C1088" s="77" t="s">
        <v>162</v>
      </c>
      <c r="D1088" s="77" t="s">
        <v>3591</v>
      </c>
      <c r="E1088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088" s="79" t="s">
        <v>248</v>
      </c>
      <c r="G1088" s="79" t="s">
        <v>249</v>
      </c>
      <c r="H1088" s="140" t="s">
        <v>3592</v>
      </c>
      <c r="I1088" s="77" t="s">
        <v>536</v>
      </c>
      <c r="J1088" s="144" t="s">
        <v>537</v>
      </c>
      <c r="K1088" s="77" t="s">
        <v>169</v>
      </c>
      <c r="L1088" s="103" t="str">
        <f>VLOOKUP(Anexo_4[[#This Row],[cod_doc]],TIPODOC,2,FALSE)</f>
        <v>FACTURA</v>
      </c>
      <c r="M1088" s="77" t="s">
        <v>538</v>
      </c>
      <c r="N1088" s="79">
        <v>6709</v>
      </c>
      <c r="O1088" s="80">
        <v>50.5</v>
      </c>
      <c r="P1088" s="81"/>
      <c r="Q1088" s="81">
        <v>9.09</v>
      </c>
      <c r="R1088" s="80"/>
      <c r="S1088" s="80">
        <v>0</v>
      </c>
      <c r="T1088" s="82">
        <v>59.59</v>
      </c>
      <c r="U1088" s="77" t="s">
        <v>3593</v>
      </c>
      <c r="V1088" s="75" t="s">
        <v>2494</v>
      </c>
      <c r="W1088" s="77"/>
      <c r="X1088" s="77"/>
      <c r="Y1088" s="77" t="s">
        <v>3594</v>
      </c>
      <c r="Z1088" s="77" t="s">
        <v>256</v>
      </c>
      <c r="AA1088" s="83" t="s">
        <v>3592</v>
      </c>
      <c r="AB1088" s="104" t="str">
        <f>IFERROR(VLOOKUP(Anexo_4[[#This Row],[cuenta]],OP,2,0),"-")</f>
        <v>Materias Primas - RRSS</v>
      </c>
    </row>
    <row r="1089" spans="1:28" s="84" customFormat="1" ht="27" customHeight="1" x14ac:dyDescent="0.3">
      <c r="A1089" s="75" t="s">
        <v>3578</v>
      </c>
      <c r="B1089" s="36" t="str">
        <f t="shared" si="16"/>
        <v>Agosto</v>
      </c>
      <c r="C1089" s="77" t="s">
        <v>162</v>
      </c>
      <c r="D1089" s="77" t="s">
        <v>3595</v>
      </c>
      <c r="E1089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089" s="79" t="s">
        <v>248</v>
      </c>
      <c r="G1089" s="79" t="s">
        <v>249</v>
      </c>
      <c r="H1089" s="140" t="s">
        <v>3596</v>
      </c>
      <c r="I1089" s="77" t="s">
        <v>536</v>
      </c>
      <c r="J1089" s="144" t="s">
        <v>537</v>
      </c>
      <c r="K1089" s="77" t="s">
        <v>169</v>
      </c>
      <c r="L1089" s="103" t="str">
        <f>VLOOKUP(Anexo_4[[#This Row],[cod_doc]],TIPODOC,2,FALSE)</f>
        <v>FACTURA</v>
      </c>
      <c r="M1089" s="77" t="s">
        <v>538</v>
      </c>
      <c r="N1089" s="79">
        <v>6708</v>
      </c>
      <c r="O1089" s="80">
        <v>301</v>
      </c>
      <c r="P1089" s="81"/>
      <c r="Q1089" s="81">
        <v>54.18</v>
      </c>
      <c r="R1089" s="80"/>
      <c r="S1089" s="80">
        <v>0</v>
      </c>
      <c r="T1089" s="82">
        <v>355.18</v>
      </c>
      <c r="U1089" s="77" t="s">
        <v>3597</v>
      </c>
      <c r="V1089" s="75" t="s">
        <v>2494</v>
      </c>
      <c r="W1089" s="77"/>
      <c r="X1089" s="77"/>
      <c r="Y1089" s="77" t="s">
        <v>3598</v>
      </c>
      <c r="Z1089" s="77" t="s">
        <v>256</v>
      </c>
      <c r="AA1089" s="83" t="s">
        <v>3596</v>
      </c>
      <c r="AB1089" s="104" t="str">
        <f>IFERROR(VLOOKUP(Anexo_4[[#This Row],[cuenta]],OP,2,0),"-")</f>
        <v>Materias Primas - RRSS</v>
      </c>
    </row>
    <row r="1090" spans="1:28" s="84" customFormat="1" ht="27" customHeight="1" x14ac:dyDescent="0.3">
      <c r="A1090" s="75" t="s">
        <v>3599</v>
      </c>
      <c r="B1090" s="36" t="str">
        <f t="shared" ref="B1090:B1153" si="17">PROPER(CHOOSE(LEFT(D1090,2),"enero","febrero","marzo","abril","mayo","junio","julio","agosto","setiembre","octubre","noviembre","diciembre"))</f>
        <v>Agosto</v>
      </c>
      <c r="C1090" s="77" t="s">
        <v>162</v>
      </c>
      <c r="D1090" s="77" t="s">
        <v>3600</v>
      </c>
      <c r="E1090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090" s="79" t="s">
        <v>164</v>
      </c>
      <c r="G1090" s="79" t="s">
        <v>165</v>
      </c>
      <c r="H1090" s="140" t="s">
        <v>3601</v>
      </c>
      <c r="I1090" s="77" t="s">
        <v>213</v>
      </c>
      <c r="J1090" s="144" t="s">
        <v>214</v>
      </c>
      <c r="K1090" s="77" t="s">
        <v>169</v>
      </c>
      <c r="L1090" s="103" t="str">
        <f>VLOOKUP(Anexo_4[[#This Row],[cod_doc]],TIPODOC,2,FALSE)</f>
        <v>FACTURA</v>
      </c>
      <c r="M1090" s="77" t="s">
        <v>102</v>
      </c>
      <c r="N1090" s="79">
        <v>478</v>
      </c>
      <c r="O1090" s="80">
        <v>79.900000000000006</v>
      </c>
      <c r="P1090" s="81"/>
      <c r="Q1090" s="81">
        <v>14.382</v>
      </c>
      <c r="R1090" s="80"/>
      <c r="S1090" s="80">
        <v>0</v>
      </c>
      <c r="T1090" s="82">
        <v>94.28</v>
      </c>
      <c r="U1090" s="77"/>
      <c r="V1090" s="75"/>
      <c r="W1090" s="77"/>
      <c r="X1090" s="77"/>
      <c r="Y1090" s="77"/>
      <c r="Z1090" s="77" t="s">
        <v>209</v>
      </c>
      <c r="AA1090" s="83" t="s">
        <v>3601</v>
      </c>
      <c r="AB1090" s="104" t="str">
        <f>IFERROR(VLOOKUP(Anexo_4[[#This Row],[cuenta]],OP,2,0),"-")</f>
        <v>-</v>
      </c>
    </row>
    <row r="1091" spans="1:28" s="84" customFormat="1" ht="27" customHeight="1" x14ac:dyDescent="0.3">
      <c r="A1091" s="75" t="s">
        <v>3532</v>
      </c>
      <c r="B1091" s="36" t="str">
        <f t="shared" si="17"/>
        <v>Agosto</v>
      </c>
      <c r="C1091" s="77" t="s">
        <v>162</v>
      </c>
      <c r="D1091" s="77" t="s">
        <v>3602</v>
      </c>
      <c r="E109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091" s="79" t="s">
        <v>391</v>
      </c>
      <c r="G1091" s="79" t="s">
        <v>392</v>
      </c>
      <c r="H1091" s="140" t="s">
        <v>930</v>
      </c>
      <c r="I1091" s="77" t="s">
        <v>383</v>
      </c>
      <c r="J1091" s="144" t="s">
        <v>384</v>
      </c>
      <c r="K1091" s="77" t="s">
        <v>169</v>
      </c>
      <c r="L1091" s="103" t="str">
        <f>VLOOKUP(Anexo_4[[#This Row],[cod_doc]],TIPODOC,2,FALSE)</f>
        <v>FACTURA</v>
      </c>
      <c r="M1091" s="77" t="s">
        <v>103</v>
      </c>
      <c r="N1091" s="79">
        <v>17180</v>
      </c>
      <c r="O1091" s="80">
        <v>16.95</v>
      </c>
      <c r="P1091" s="81"/>
      <c r="Q1091" s="81">
        <v>3.0509999999999997</v>
      </c>
      <c r="R1091" s="80"/>
      <c r="S1091" s="80">
        <v>0</v>
      </c>
      <c r="T1091" s="82">
        <v>20</v>
      </c>
      <c r="U1091" s="77"/>
      <c r="V1091" s="75"/>
      <c r="W1091" s="77"/>
      <c r="X1091" s="77"/>
      <c r="Y1091" s="77"/>
      <c r="Z1091" s="77" t="s">
        <v>386</v>
      </c>
      <c r="AA1091" s="83" t="s">
        <v>930</v>
      </c>
      <c r="AB1091" s="104" t="str">
        <f>IFERROR(VLOOKUP(Anexo_4[[#This Row],[cuenta]],OP,2,0),"-")</f>
        <v>Balanza - Servicios</v>
      </c>
    </row>
    <row r="1092" spans="1:28" s="84" customFormat="1" ht="27" customHeight="1" x14ac:dyDescent="0.3">
      <c r="A1092" s="75" t="s">
        <v>3578</v>
      </c>
      <c r="B1092" s="36" t="str">
        <f t="shared" si="17"/>
        <v>Agosto</v>
      </c>
      <c r="C1092" s="77" t="s">
        <v>162</v>
      </c>
      <c r="D1092" s="77" t="s">
        <v>3603</v>
      </c>
      <c r="E109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092" s="79" t="s">
        <v>248</v>
      </c>
      <c r="G1092" s="79" t="s">
        <v>249</v>
      </c>
      <c r="H1092" s="140" t="s">
        <v>3604</v>
      </c>
      <c r="I1092" s="77" t="s">
        <v>536</v>
      </c>
      <c r="J1092" s="144" t="s">
        <v>537</v>
      </c>
      <c r="K1092" s="77" t="s">
        <v>169</v>
      </c>
      <c r="L1092" s="103" t="str">
        <f>VLOOKUP(Anexo_4[[#This Row],[cod_doc]],TIPODOC,2,FALSE)</f>
        <v>FACTURA</v>
      </c>
      <c r="M1092" s="77" t="s">
        <v>538</v>
      </c>
      <c r="N1092" s="79">
        <v>6710</v>
      </c>
      <c r="O1092" s="80">
        <v>608</v>
      </c>
      <c r="P1092" s="81"/>
      <c r="Q1092" s="81">
        <v>109.44</v>
      </c>
      <c r="R1092" s="80"/>
      <c r="S1092" s="80">
        <v>0</v>
      </c>
      <c r="T1092" s="82">
        <v>717.44</v>
      </c>
      <c r="U1092" s="77" t="s">
        <v>3605</v>
      </c>
      <c r="V1092" s="75" t="s">
        <v>2494</v>
      </c>
      <c r="W1092" s="77"/>
      <c r="X1092" s="77"/>
      <c r="Y1092" s="77" t="s">
        <v>3606</v>
      </c>
      <c r="Z1092" s="77" t="s">
        <v>256</v>
      </c>
      <c r="AA1092" s="83" t="s">
        <v>3604</v>
      </c>
      <c r="AB1092" s="104" t="str">
        <f>IFERROR(VLOOKUP(Anexo_4[[#This Row],[cuenta]],OP,2,0),"-")</f>
        <v>Materias Primas - RRSS</v>
      </c>
    </row>
    <row r="1093" spans="1:28" s="84" customFormat="1" ht="27" customHeight="1" x14ac:dyDescent="0.3">
      <c r="A1093" s="75" t="s">
        <v>3573</v>
      </c>
      <c r="B1093" s="36" t="str">
        <f t="shared" si="17"/>
        <v>Agosto</v>
      </c>
      <c r="C1093" s="77" t="s">
        <v>162</v>
      </c>
      <c r="D1093" s="77" t="s">
        <v>3607</v>
      </c>
      <c r="E1093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093" s="79" t="s">
        <v>456</v>
      </c>
      <c r="G1093" s="79" t="s">
        <v>457</v>
      </c>
      <c r="H1093" s="140" t="s">
        <v>1276</v>
      </c>
      <c r="I1093" s="77" t="s">
        <v>264</v>
      </c>
      <c r="J1093" s="144" t="s">
        <v>265</v>
      </c>
      <c r="K1093" s="77" t="s">
        <v>169</v>
      </c>
      <c r="L1093" s="103" t="str">
        <f>VLOOKUP(Anexo_4[[#This Row],[cod_doc]],TIPODOC,2,FALSE)</f>
        <v>FACTURA</v>
      </c>
      <c r="M1093" s="77" t="s">
        <v>352</v>
      </c>
      <c r="N1093" s="79">
        <v>1823766</v>
      </c>
      <c r="O1093" s="80">
        <v>4.24</v>
      </c>
      <c r="P1093" s="81"/>
      <c r="Q1093" s="81">
        <v>0.76319999999999999</v>
      </c>
      <c r="R1093" s="80"/>
      <c r="S1093" s="80">
        <v>0</v>
      </c>
      <c r="T1093" s="82">
        <v>5</v>
      </c>
      <c r="U1093" s="77"/>
      <c r="V1093" s="75"/>
      <c r="W1093" s="77"/>
      <c r="X1093" s="77"/>
      <c r="Y1093" s="77"/>
      <c r="Z1093" s="77" t="s">
        <v>302</v>
      </c>
      <c r="AA1093" s="83" t="s">
        <v>1276</v>
      </c>
      <c r="AB1093" s="104" t="str">
        <f>IFERROR(VLOOKUP(Anexo_4[[#This Row],[cuenta]],OP,2,0),"-")</f>
        <v>Transporte peajes - Servicios</v>
      </c>
    </row>
    <row r="1094" spans="1:28" s="84" customFormat="1" ht="27" customHeight="1" x14ac:dyDescent="0.3">
      <c r="A1094" s="75" t="s">
        <v>3573</v>
      </c>
      <c r="B1094" s="36" t="str">
        <f t="shared" si="17"/>
        <v>Agosto</v>
      </c>
      <c r="C1094" s="77" t="s">
        <v>162</v>
      </c>
      <c r="D1094" s="77" t="s">
        <v>3608</v>
      </c>
      <c r="E1094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094" s="79" t="s">
        <v>456</v>
      </c>
      <c r="G1094" s="79" t="s">
        <v>457</v>
      </c>
      <c r="H1094" s="140" t="s">
        <v>1276</v>
      </c>
      <c r="I1094" s="77" t="s">
        <v>264</v>
      </c>
      <c r="J1094" s="144" t="s">
        <v>265</v>
      </c>
      <c r="K1094" s="77" t="s">
        <v>169</v>
      </c>
      <c r="L1094" s="103" t="str">
        <f>VLOOKUP(Anexo_4[[#This Row],[cod_doc]],TIPODOC,2,FALSE)</f>
        <v>FACTURA</v>
      </c>
      <c r="M1094" s="77" t="s">
        <v>271</v>
      </c>
      <c r="N1094" s="79">
        <v>1803301</v>
      </c>
      <c r="O1094" s="80">
        <v>4.24</v>
      </c>
      <c r="P1094" s="81"/>
      <c r="Q1094" s="81">
        <v>0.76319999999999999</v>
      </c>
      <c r="R1094" s="80"/>
      <c r="S1094" s="80">
        <v>0</v>
      </c>
      <c r="T1094" s="82">
        <v>5</v>
      </c>
      <c r="U1094" s="77"/>
      <c r="V1094" s="75"/>
      <c r="W1094" s="77"/>
      <c r="X1094" s="77"/>
      <c r="Y1094" s="77"/>
      <c r="Z1094" s="77" t="s">
        <v>302</v>
      </c>
      <c r="AA1094" s="83" t="s">
        <v>1276</v>
      </c>
      <c r="AB1094" s="104" t="str">
        <f>IFERROR(VLOOKUP(Anexo_4[[#This Row],[cuenta]],OP,2,0),"-")</f>
        <v>Transporte peajes - Servicios</v>
      </c>
    </row>
    <row r="1095" spans="1:28" s="84" customFormat="1" ht="27" customHeight="1" x14ac:dyDescent="0.3">
      <c r="A1095" s="75" t="s">
        <v>3532</v>
      </c>
      <c r="B1095" s="36" t="str">
        <f t="shared" si="17"/>
        <v>Agosto</v>
      </c>
      <c r="C1095" s="77" t="s">
        <v>162</v>
      </c>
      <c r="D1095" s="77" t="s">
        <v>3609</v>
      </c>
      <c r="E109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095" s="79" t="s">
        <v>391</v>
      </c>
      <c r="G1095" s="79" t="s">
        <v>392</v>
      </c>
      <c r="H1095" s="140" t="s">
        <v>1276</v>
      </c>
      <c r="I1095" s="77" t="s">
        <v>264</v>
      </c>
      <c r="J1095" s="144" t="s">
        <v>265</v>
      </c>
      <c r="K1095" s="77" t="s">
        <v>169</v>
      </c>
      <c r="L1095" s="103" t="str">
        <f>VLOOKUP(Anexo_4[[#This Row],[cod_doc]],TIPODOC,2,FALSE)</f>
        <v>FACTURA</v>
      </c>
      <c r="M1095" s="77" t="s">
        <v>406</v>
      </c>
      <c r="N1095" s="79">
        <v>2418953</v>
      </c>
      <c r="O1095" s="80">
        <v>6.78</v>
      </c>
      <c r="P1095" s="81"/>
      <c r="Q1095" s="81">
        <v>1.2203999999999999</v>
      </c>
      <c r="R1095" s="80"/>
      <c r="S1095" s="80">
        <v>0</v>
      </c>
      <c r="T1095" s="82">
        <v>8</v>
      </c>
      <c r="U1095" s="77"/>
      <c r="V1095" s="75"/>
      <c r="W1095" s="77"/>
      <c r="X1095" s="77"/>
      <c r="Y1095" s="77"/>
      <c r="Z1095" s="77" t="s">
        <v>302</v>
      </c>
      <c r="AA1095" s="83" t="s">
        <v>1276</v>
      </c>
      <c r="AB1095" s="104" t="str">
        <f>IFERROR(VLOOKUP(Anexo_4[[#This Row],[cuenta]],OP,2,0),"-")</f>
        <v>Transporte peajes - Servicios</v>
      </c>
    </row>
    <row r="1096" spans="1:28" s="84" customFormat="1" ht="27" customHeight="1" x14ac:dyDescent="0.3">
      <c r="A1096" s="75" t="s">
        <v>3610</v>
      </c>
      <c r="B1096" s="36" t="str">
        <f t="shared" si="17"/>
        <v>Agosto</v>
      </c>
      <c r="C1096" s="77" t="s">
        <v>162</v>
      </c>
      <c r="D1096" s="77" t="s">
        <v>3611</v>
      </c>
      <c r="E109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096" s="79" t="s">
        <v>355</v>
      </c>
      <c r="G1096" s="79" t="s">
        <v>356</v>
      </c>
      <c r="H1096" s="140" t="s">
        <v>192</v>
      </c>
      <c r="I1096" s="77" t="s">
        <v>638</v>
      </c>
      <c r="J1096" s="144" t="s">
        <v>639</v>
      </c>
      <c r="K1096" s="77" t="s">
        <v>169</v>
      </c>
      <c r="L1096" s="103" t="str">
        <f>VLOOKUP(Anexo_4[[#This Row],[cod_doc]],TIPODOC,2,FALSE)</f>
        <v>FACTURA</v>
      </c>
      <c r="M1096" s="77" t="s">
        <v>640</v>
      </c>
      <c r="N1096" s="79">
        <v>14122</v>
      </c>
      <c r="O1096" s="80">
        <v>16.95</v>
      </c>
      <c r="P1096" s="81"/>
      <c r="Q1096" s="81">
        <v>3.0509999999999997</v>
      </c>
      <c r="R1096" s="80"/>
      <c r="S1096" s="80">
        <v>0</v>
      </c>
      <c r="T1096" s="82">
        <v>20</v>
      </c>
      <c r="U1096" s="77"/>
      <c r="V1096" s="75"/>
      <c r="W1096" s="77"/>
      <c r="X1096" s="77"/>
      <c r="Y1096" s="77"/>
      <c r="Z1096" s="77" t="s">
        <v>196</v>
      </c>
      <c r="AA1096" s="83" t="s">
        <v>192</v>
      </c>
      <c r="AB1096" s="104" t="str">
        <f>IFERROR(VLOOKUP(Anexo_4[[#This Row],[cuenta]],OP,2,0),"-")</f>
        <v>Encomienda (Envío de documentación)</v>
      </c>
    </row>
    <row r="1097" spans="1:28" s="84" customFormat="1" ht="27" customHeight="1" x14ac:dyDescent="0.3">
      <c r="A1097" s="75" t="s">
        <v>3532</v>
      </c>
      <c r="B1097" s="36" t="str">
        <f t="shared" si="17"/>
        <v>Agosto</v>
      </c>
      <c r="C1097" s="77" t="s">
        <v>162</v>
      </c>
      <c r="D1097" s="77" t="s">
        <v>3612</v>
      </c>
      <c r="E1097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097" s="79" t="s">
        <v>391</v>
      </c>
      <c r="G1097" s="79" t="s">
        <v>392</v>
      </c>
      <c r="H1097" s="140" t="s">
        <v>1276</v>
      </c>
      <c r="I1097" s="77" t="s">
        <v>264</v>
      </c>
      <c r="J1097" s="144" t="s">
        <v>265</v>
      </c>
      <c r="K1097" s="77" t="s">
        <v>169</v>
      </c>
      <c r="L1097" s="103" t="str">
        <f>VLOOKUP(Anexo_4[[#This Row],[cod_doc]],TIPODOC,2,FALSE)</f>
        <v>FACTURA</v>
      </c>
      <c r="M1097" s="77" t="s">
        <v>379</v>
      </c>
      <c r="N1097" s="79">
        <v>2130608</v>
      </c>
      <c r="O1097" s="80">
        <v>6.78</v>
      </c>
      <c r="P1097" s="81"/>
      <c r="Q1097" s="81">
        <v>1.2203999999999999</v>
      </c>
      <c r="R1097" s="80"/>
      <c r="S1097" s="80">
        <v>0</v>
      </c>
      <c r="T1097" s="82">
        <v>8</v>
      </c>
      <c r="U1097" s="77"/>
      <c r="V1097" s="75"/>
      <c r="W1097" s="77"/>
      <c r="X1097" s="77"/>
      <c r="Y1097" s="77"/>
      <c r="Z1097" s="77" t="s">
        <v>302</v>
      </c>
      <c r="AA1097" s="83" t="s">
        <v>1276</v>
      </c>
      <c r="AB1097" s="104" t="str">
        <f>IFERROR(VLOOKUP(Anexo_4[[#This Row],[cuenta]],OP,2,0),"-")</f>
        <v>Transporte peajes - Servicios</v>
      </c>
    </row>
    <row r="1098" spans="1:28" s="84" customFormat="1" ht="27" customHeight="1" x14ac:dyDescent="0.3">
      <c r="A1098" s="75" t="s">
        <v>3532</v>
      </c>
      <c r="B1098" s="36" t="str">
        <f t="shared" si="17"/>
        <v>Agosto</v>
      </c>
      <c r="C1098" s="77" t="s">
        <v>162</v>
      </c>
      <c r="D1098" s="77" t="s">
        <v>3613</v>
      </c>
      <c r="E1098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098" s="79" t="s">
        <v>355</v>
      </c>
      <c r="G1098" s="79" t="s">
        <v>356</v>
      </c>
      <c r="H1098" s="140" t="s">
        <v>3614</v>
      </c>
      <c r="I1098" s="77" t="s">
        <v>3615</v>
      </c>
      <c r="J1098" s="144" t="s">
        <v>3616</v>
      </c>
      <c r="K1098" s="77" t="s">
        <v>169</v>
      </c>
      <c r="L1098" s="103" t="str">
        <f>VLOOKUP(Anexo_4[[#This Row],[cod_doc]],TIPODOC,2,FALSE)</f>
        <v>FACTURA</v>
      </c>
      <c r="M1098" s="77" t="s">
        <v>102</v>
      </c>
      <c r="N1098" s="79">
        <v>182</v>
      </c>
      <c r="O1098" s="80">
        <v>2500</v>
      </c>
      <c r="P1098" s="81"/>
      <c r="Q1098" s="81">
        <v>450</v>
      </c>
      <c r="R1098" s="80"/>
      <c r="S1098" s="80">
        <v>0</v>
      </c>
      <c r="T1098" s="82">
        <v>2950</v>
      </c>
      <c r="U1098" s="77"/>
      <c r="V1098" s="75"/>
      <c r="W1098" s="77"/>
      <c r="X1098" s="77"/>
      <c r="Y1098" s="77"/>
      <c r="Z1098" s="77" t="s">
        <v>893</v>
      </c>
      <c r="AA1098" s="83" t="s">
        <v>3614</v>
      </c>
      <c r="AB1098" s="104" t="str">
        <f>IFERROR(VLOOKUP(Anexo_4[[#This Row],[cuenta]],OP,2,0),"-")</f>
        <v>Transporte de Carga - Servicios</v>
      </c>
    </row>
    <row r="1099" spans="1:28" s="84" customFormat="1" ht="27" customHeight="1" x14ac:dyDescent="0.3">
      <c r="A1099" s="75" t="s">
        <v>3532</v>
      </c>
      <c r="B1099" s="36" t="str">
        <f t="shared" si="17"/>
        <v>Agosto</v>
      </c>
      <c r="C1099" s="77" t="s">
        <v>162</v>
      </c>
      <c r="D1099" s="77" t="s">
        <v>3617</v>
      </c>
      <c r="E1099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099" s="79"/>
      <c r="G1099" s="79"/>
      <c r="H1099" s="140"/>
      <c r="I1099" s="77" t="s">
        <v>258</v>
      </c>
      <c r="J1099" s="144" t="s">
        <v>259</v>
      </c>
      <c r="K1099" s="77" t="s">
        <v>169</v>
      </c>
      <c r="L1099" s="103" t="str">
        <f>VLOOKUP(Anexo_4[[#This Row],[cod_doc]],TIPODOC,2,FALSE)</f>
        <v>FACTURA</v>
      </c>
      <c r="M1099" s="77" t="s">
        <v>1050</v>
      </c>
      <c r="N1099" s="79" t="s">
        <v>3618</v>
      </c>
      <c r="O1099" s="80">
        <v>129.66</v>
      </c>
      <c r="P1099" s="81"/>
      <c r="Q1099" s="81">
        <v>23.34</v>
      </c>
      <c r="R1099" s="80"/>
      <c r="S1099" s="80">
        <v>0</v>
      </c>
      <c r="T1099" s="82">
        <v>153</v>
      </c>
      <c r="U1099" s="77"/>
      <c r="V1099" s="75"/>
      <c r="W1099" s="77"/>
      <c r="X1099" s="77"/>
      <c r="Y1099" s="77"/>
      <c r="Z1099" s="77"/>
      <c r="AA1099" s="83"/>
      <c r="AB1099" s="104" t="str">
        <f>IFERROR(VLOOKUP(Anexo_4[[#This Row],[cuenta]],OP,2,0),"-")</f>
        <v>-</v>
      </c>
    </row>
    <row r="1100" spans="1:28" s="84" customFormat="1" ht="27" customHeight="1" x14ac:dyDescent="0.3">
      <c r="A1100" s="75" t="s">
        <v>3532</v>
      </c>
      <c r="B1100" s="36" t="str">
        <f t="shared" si="17"/>
        <v>Agosto</v>
      </c>
      <c r="C1100" s="77" t="s">
        <v>162</v>
      </c>
      <c r="D1100" s="77" t="s">
        <v>3619</v>
      </c>
      <c r="E1100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100" s="79" t="s">
        <v>355</v>
      </c>
      <c r="G1100" s="79" t="s">
        <v>356</v>
      </c>
      <c r="H1100" s="140" t="s">
        <v>633</v>
      </c>
      <c r="I1100" s="77" t="s">
        <v>991</v>
      </c>
      <c r="J1100" s="144" t="s">
        <v>992</v>
      </c>
      <c r="K1100" s="77" t="s">
        <v>169</v>
      </c>
      <c r="L1100" s="103" t="str">
        <f>VLOOKUP(Anexo_4[[#This Row],[cod_doc]],TIPODOC,2,FALSE)</f>
        <v>FACTURA</v>
      </c>
      <c r="M1100" s="77" t="s">
        <v>222</v>
      </c>
      <c r="N1100" s="79">
        <v>6993</v>
      </c>
      <c r="O1100" s="80">
        <v>23.73</v>
      </c>
      <c r="P1100" s="81"/>
      <c r="Q1100" s="81">
        <v>4.2713999999999999</v>
      </c>
      <c r="R1100" s="80"/>
      <c r="S1100" s="80">
        <v>0</v>
      </c>
      <c r="T1100" s="82">
        <v>28</v>
      </c>
      <c r="U1100" s="77"/>
      <c r="V1100" s="75"/>
      <c r="W1100" s="77"/>
      <c r="X1100" s="77"/>
      <c r="Y1100" s="77"/>
      <c r="Z1100" s="77" t="s">
        <v>361</v>
      </c>
      <c r="AA1100" s="83" t="s">
        <v>633</v>
      </c>
      <c r="AB1100" s="104" t="str">
        <f>IFERROR(VLOOKUP(Anexo_4[[#This Row],[cuenta]],OP,2,0),"-")</f>
        <v>Alimentacion (Operativo)</v>
      </c>
    </row>
    <row r="1101" spans="1:28" s="84" customFormat="1" ht="27" customHeight="1" x14ac:dyDescent="0.3">
      <c r="A1101" s="75" t="s">
        <v>3620</v>
      </c>
      <c r="B1101" s="36" t="str">
        <f t="shared" si="17"/>
        <v>Agosto</v>
      </c>
      <c r="C1101" s="77" t="s">
        <v>162</v>
      </c>
      <c r="D1101" s="77" t="s">
        <v>3621</v>
      </c>
      <c r="E1101" s="78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1101" s="79" t="s">
        <v>198</v>
      </c>
      <c r="G1101" s="79" t="s">
        <v>199</v>
      </c>
      <c r="H1101" s="140" t="s">
        <v>3622</v>
      </c>
      <c r="I1101" s="77" t="s">
        <v>1212</v>
      </c>
      <c r="J1101" s="144" t="s">
        <v>1213</v>
      </c>
      <c r="K1101" s="77" t="s">
        <v>169</v>
      </c>
      <c r="L1101" s="103" t="str">
        <f>VLOOKUP(Anexo_4[[#This Row],[cod_doc]],TIPODOC,2,FALSE)</f>
        <v>FACTURA</v>
      </c>
      <c r="M1101" s="77" t="s">
        <v>180</v>
      </c>
      <c r="N1101" s="79">
        <v>1843</v>
      </c>
      <c r="O1101" s="80">
        <v>2245.7600000000002</v>
      </c>
      <c r="P1101" s="81"/>
      <c r="Q1101" s="81">
        <v>404.23680000000002</v>
      </c>
      <c r="R1101" s="80"/>
      <c r="S1101" s="80">
        <v>0</v>
      </c>
      <c r="T1101" s="82">
        <v>2650</v>
      </c>
      <c r="U1101" s="77" t="s">
        <v>3623</v>
      </c>
      <c r="V1101" s="75" t="s">
        <v>2494</v>
      </c>
      <c r="W1101" s="77"/>
      <c r="X1101" s="77"/>
      <c r="Y1101" s="77"/>
      <c r="Z1101" s="77" t="s">
        <v>468</v>
      </c>
      <c r="AA1101" s="83" t="s">
        <v>3622</v>
      </c>
      <c r="AB1101" s="104" t="str">
        <f>IFERROR(VLOOKUP(Anexo_4[[#This Row],[cuenta]],OP,2,0),"-")</f>
        <v>Transporte de Carga  - Ventas</v>
      </c>
    </row>
    <row r="1102" spans="1:28" s="84" customFormat="1" ht="27" customHeight="1" x14ac:dyDescent="0.3">
      <c r="A1102" s="75" t="s">
        <v>3624</v>
      </c>
      <c r="B1102" s="36" t="str">
        <f t="shared" si="17"/>
        <v>Agosto</v>
      </c>
      <c r="C1102" s="77" t="s">
        <v>162</v>
      </c>
      <c r="D1102" s="77" t="s">
        <v>3625</v>
      </c>
      <c r="E110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102" s="79" t="s">
        <v>456</v>
      </c>
      <c r="G1102" s="79" t="s">
        <v>457</v>
      </c>
      <c r="H1102" s="140" t="s">
        <v>930</v>
      </c>
      <c r="I1102" s="77" t="s">
        <v>383</v>
      </c>
      <c r="J1102" s="144" t="s">
        <v>384</v>
      </c>
      <c r="K1102" s="77" t="s">
        <v>169</v>
      </c>
      <c r="L1102" s="103" t="str">
        <f>VLOOKUP(Anexo_4[[#This Row],[cod_doc]],TIPODOC,2,FALSE)</f>
        <v>FACTURA</v>
      </c>
      <c r="M1102" s="77" t="s">
        <v>421</v>
      </c>
      <c r="N1102" s="79">
        <v>35311</v>
      </c>
      <c r="O1102" s="80">
        <v>8.4700000000000006</v>
      </c>
      <c r="P1102" s="81"/>
      <c r="Q1102" s="81">
        <v>1.5246</v>
      </c>
      <c r="R1102" s="80"/>
      <c r="S1102" s="80">
        <v>0</v>
      </c>
      <c r="T1102" s="82">
        <v>10</v>
      </c>
      <c r="U1102" s="77"/>
      <c r="V1102" s="75"/>
      <c r="W1102" s="77"/>
      <c r="X1102" s="77"/>
      <c r="Y1102" s="77"/>
      <c r="Z1102" s="77" t="s">
        <v>182</v>
      </c>
      <c r="AA1102" s="83" t="s">
        <v>930</v>
      </c>
      <c r="AB1102" s="104" t="str">
        <f>IFERROR(VLOOKUP(Anexo_4[[#This Row],[cuenta]],OP,2,0),"-")</f>
        <v>Balanza - Ventas</v>
      </c>
    </row>
    <row r="1103" spans="1:28" s="84" customFormat="1" ht="27" customHeight="1" x14ac:dyDescent="0.3">
      <c r="A1103" s="75" t="s">
        <v>3532</v>
      </c>
      <c r="B1103" s="36" t="str">
        <f t="shared" si="17"/>
        <v>Agosto</v>
      </c>
      <c r="C1103" s="77" t="s">
        <v>162</v>
      </c>
      <c r="D1103" s="77" t="s">
        <v>3626</v>
      </c>
      <c r="E1103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103" s="79" t="s">
        <v>164</v>
      </c>
      <c r="G1103" s="79" t="s">
        <v>165</v>
      </c>
      <c r="H1103" s="140" t="s">
        <v>3627</v>
      </c>
      <c r="I1103" s="77" t="s">
        <v>206</v>
      </c>
      <c r="J1103" s="144" t="s">
        <v>207</v>
      </c>
      <c r="K1103" s="77" t="s">
        <v>169</v>
      </c>
      <c r="L1103" s="103" t="str">
        <f>VLOOKUP(Anexo_4[[#This Row],[cod_doc]],TIPODOC,2,FALSE)</f>
        <v>FACTURA</v>
      </c>
      <c r="M1103" s="77" t="s">
        <v>208</v>
      </c>
      <c r="N1103" s="79">
        <v>255</v>
      </c>
      <c r="O1103" s="80">
        <v>152.54</v>
      </c>
      <c r="P1103" s="81"/>
      <c r="Q1103" s="81">
        <v>27.457199999999997</v>
      </c>
      <c r="R1103" s="80"/>
      <c r="S1103" s="80">
        <v>0</v>
      </c>
      <c r="T1103" s="82">
        <v>180</v>
      </c>
      <c r="U1103" s="77"/>
      <c r="V1103" s="75"/>
      <c r="W1103" s="77"/>
      <c r="X1103" s="77"/>
      <c r="Y1103" s="77"/>
      <c r="Z1103" s="77" t="s">
        <v>209</v>
      </c>
      <c r="AA1103" s="83" t="s">
        <v>3627</v>
      </c>
      <c r="AB1103" s="104" t="str">
        <f>IFERROR(VLOOKUP(Anexo_4[[#This Row],[cuenta]],OP,2,0),"-")</f>
        <v>-</v>
      </c>
    </row>
    <row r="1104" spans="1:28" s="84" customFormat="1" ht="27" customHeight="1" x14ac:dyDescent="0.3">
      <c r="A1104" s="75" t="s">
        <v>3578</v>
      </c>
      <c r="B1104" s="36" t="str">
        <f t="shared" si="17"/>
        <v>Agosto</v>
      </c>
      <c r="C1104" s="77" t="s">
        <v>162</v>
      </c>
      <c r="D1104" s="77" t="s">
        <v>3628</v>
      </c>
      <c r="E1104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104" s="79" t="s">
        <v>650</v>
      </c>
      <c r="G1104" s="79" t="s">
        <v>651</v>
      </c>
      <c r="H1104" s="140" t="s">
        <v>3629</v>
      </c>
      <c r="I1104" s="77" t="s">
        <v>653</v>
      </c>
      <c r="J1104" s="144" t="s">
        <v>654</v>
      </c>
      <c r="K1104" s="77" t="s">
        <v>169</v>
      </c>
      <c r="L1104" s="103" t="str">
        <f>VLOOKUP(Anexo_4[[#This Row],[cod_doc]],TIPODOC,2,FALSE)</f>
        <v>FACTURA</v>
      </c>
      <c r="M1104" s="77" t="s">
        <v>655</v>
      </c>
      <c r="N1104" s="79">
        <v>16344</v>
      </c>
      <c r="O1104" s="80">
        <v>438</v>
      </c>
      <c r="P1104" s="81"/>
      <c r="Q1104" s="81">
        <v>78.84</v>
      </c>
      <c r="R1104" s="80"/>
      <c r="S1104" s="80">
        <v>0</v>
      </c>
      <c r="T1104" s="82">
        <v>516.84</v>
      </c>
      <c r="U1104" s="77"/>
      <c r="V1104" s="75"/>
      <c r="W1104" s="77"/>
      <c r="X1104" s="77"/>
      <c r="Y1104" s="77"/>
      <c r="Z1104" s="77" t="s">
        <v>1602</v>
      </c>
      <c r="AA1104" s="83" t="s">
        <v>3629</v>
      </c>
      <c r="AB1104" s="104" t="str">
        <f>IFERROR(VLOOKUP(Anexo_4[[#This Row],[cuenta]],OP,2,0),"-")</f>
        <v>Ingreso</v>
      </c>
    </row>
    <row r="1105" spans="1:28" s="84" customFormat="1" ht="27" customHeight="1" x14ac:dyDescent="0.3">
      <c r="A1105" s="75" t="s">
        <v>3573</v>
      </c>
      <c r="B1105" s="36" t="str">
        <f t="shared" si="17"/>
        <v>Agosto</v>
      </c>
      <c r="C1105" s="77" t="s">
        <v>162</v>
      </c>
      <c r="D1105" s="77" t="s">
        <v>3630</v>
      </c>
      <c r="E1105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105" s="79" t="s">
        <v>650</v>
      </c>
      <c r="G1105" s="79" t="s">
        <v>651</v>
      </c>
      <c r="H1105" s="140" t="s">
        <v>3631</v>
      </c>
      <c r="I1105" s="77" t="s">
        <v>653</v>
      </c>
      <c r="J1105" s="144" t="s">
        <v>654</v>
      </c>
      <c r="K1105" s="77" t="s">
        <v>169</v>
      </c>
      <c r="L1105" s="103" t="str">
        <f>VLOOKUP(Anexo_4[[#This Row],[cod_doc]],TIPODOC,2,FALSE)</f>
        <v>FACTURA</v>
      </c>
      <c r="M1105" s="77" t="s">
        <v>655</v>
      </c>
      <c r="N1105" s="79">
        <v>16340</v>
      </c>
      <c r="O1105" s="80">
        <v>415</v>
      </c>
      <c r="P1105" s="81"/>
      <c r="Q1105" s="81">
        <v>74.7</v>
      </c>
      <c r="R1105" s="80"/>
      <c r="S1105" s="80">
        <v>0</v>
      </c>
      <c r="T1105" s="82">
        <v>489.7</v>
      </c>
      <c r="U1105" s="77"/>
      <c r="V1105" s="75"/>
      <c r="W1105" s="77"/>
      <c r="X1105" s="77"/>
      <c r="Y1105" s="77"/>
      <c r="Z1105" s="77" t="s">
        <v>1602</v>
      </c>
      <c r="AA1105" s="83" t="s">
        <v>3631</v>
      </c>
      <c r="AB1105" s="104" t="str">
        <f>IFERROR(VLOOKUP(Anexo_4[[#This Row],[cuenta]],OP,2,0),"-")</f>
        <v>Ingreso</v>
      </c>
    </row>
    <row r="1106" spans="1:28" s="84" customFormat="1" ht="27" customHeight="1" x14ac:dyDescent="0.3">
      <c r="A1106" s="75" t="s">
        <v>3632</v>
      </c>
      <c r="B1106" s="36" t="str">
        <f t="shared" si="17"/>
        <v>Agosto</v>
      </c>
      <c r="C1106" s="77" t="s">
        <v>162</v>
      </c>
      <c r="D1106" s="77" t="s">
        <v>3633</v>
      </c>
      <c r="E1106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106" s="79" t="s">
        <v>650</v>
      </c>
      <c r="G1106" s="79" t="s">
        <v>651</v>
      </c>
      <c r="H1106" s="140" t="s">
        <v>3634</v>
      </c>
      <c r="I1106" s="77" t="s">
        <v>653</v>
      </c>
      <c r="J1106" s="144" t="s">
        <v>654</v>
      </c>
      <c r="K1106" s="77" t="s">
        <v>169</v>
      </c>
      <c r="L1106" s="103" t="str">
        <f>VLOOKUP(Anexo_4[[#This Row],[cod_doc]],TIPODOC,2,FALSE)</f>
        <v>FACTURA</v>
      </c>
      <c r="M1106" s="77" t="s">
        <v>655</v>
      </c>
      <c r="N1106" s="79">
        <v>16321</v>
      </c>
      <c r="O1106" s="80">
        <v>106</v>
      </c>
      <c r="P1106" s="81"/>
      <c r="Q1106" s="81">
        <v>19.079999999999998</v>
      </c>
      <c r="R1106" s="80"/>
      <c r="S1106" s="80">
        <v>0</v>
      </c>
      <c r="T1106" s="82">
        <v>125.08</v>
      </c>
      <c r="U1106" s="77"/>
      <c r="V1106" s="75"/>
      <c r="W1106" s="77"/>
      <c r="X1106" s="77"/>
      <c r="Y1106" s="77"/>
      <c r="Z1106" s="77" t="s">
        <v>1602</v>
      </c>
      <c r="AA1106" s="83" t="s">
        <v>3634</v>
      </c>
      <c r="AB1106" s="104" t="str">
        <f>IFERROR(VLOOKUP(Anexo_4[[#This Row],[cuenta]],OP,2,0),"-")</f>
        <v>Ingreso</v>
      </c>
    </row>
    <row r="1107" spans="1:28" s="84" customFormat="1" ht="27" customHeight="1" x14ac:dyDescent="0.3">
      <c r="A1107" s="75" t="s">
        <v>3532</v>
      </c>
      <c r="B1107" s="36" t="str">
        <f t="shared" si="17"/>
        <v>Agosto</v>
      </c>
      <c r="C1107" s="77" t="s">
        <v>162</v>
      </c>
      <c r="D1107" s="77" t="s">
        <v>3635</v>
      </c>
      <c r="E1107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107" s="79" t="s">
        <v>442</v>
      </c>
      <c r="G1107" s="79" t="s">
        <v>443</v>
      </c>
      <c r="H1107" s="140" t="s">
        <v>3636</v>
      </c>
      <c r="I1107" s="77" t="s">
        <v>3637</v>
      </c>
      <c r="J1107" s="144" t="s">
        <v>3638</v>
      </c>
      <c r="K1107" s="77" t="s">
        <v>169</v>
      </c>
      <c r="L1107" s="103" t="str">
        <f>VLOOKUP(Anexo_4[[#This Row],[cod_doc]],TIPODOC,2,FALSE)</f>
        <v>FACTURA</v>
      </c>
      <c r="M1107" s="77" t="s">
        <v>222</v>
      </c>
      <c r="N1107" s="79">
        <v>43333</v>
      </c>
      <c r="O1107" s="80">
        <v>29.66</v>
      </c>
      <c r="P1107" s="81"/>
      <c r="Q1107" s="81">
        <v>5.3388</v>
      </c>
      <c r="R1107" s="80"/>
      <c r="S1107" s="80">
        <v>0</v>
      </c>
      <c r="T1107" s="82">
        <v>35</v>
      </c>
      <c r="U1107" s="77"/>
      <c r="V1107" s="75"/>
      <c r="W1107" s="77"/>
      <c r="X1107" s="77"/>
      <c r="Y1107" s="77"/>
      <c r="Z1107" s="77" t="s">
        <v>1756</v>
      </c>
      <c r="AA1107" s="83" t="s">
        <v>3636</v>
      </c>
      <c r="AB1107" s="104" t="str">
        <f>IFERROR(VLOOKUP(Anexo_4[[#This Row],[cuenta]],OP,2,0),"-")</f>
        <v>-</v>
      </c>
    </row>
    <row r="1108" spans="1:28" s="84" customFormat="1" ht="27" customHeight="1" x14ac:dyDescent="0.3">
      <c r="A1108" s="75" t="s">
        <v>3578</v>
      </c>
      <c r="B1108" s="36" t="str">
        <f t="shared" si="17"/>
        <v>Agosto</v>
      </c>
      <c r="C1108" s="77" t="s">
        <v>162</v>
      </c>
      <c r="D1108" s="77" t="s">
        <v>3639</v>
      </c>
      <c r="E1108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108" s="79" t="s">
        <v>1366</v>
      </c>
      <c r="G1108" s="79" t="s">
        <v>1367</v>
      </c>
      <c r="H1108" s="140" t="s">
        <v>3640</v>
      </c>
      <c r="I1108" s="77" t="s">
        <v>3641</v>
      </c>
      <c r="J1108" s="144" t="s">
        <v>3642</v>
      </c>
      <c r="K1108" s="77" t="s">
        <v>169</v>
      </c>
      <c r="L1108" s="103" t="str">
        <f>VLOOKUP(Anexo_4[[#This Row],[cod_doc]],TIPODOC,2,FALSE)</f>
        <v>FACTURA</v>
      </c>
      <c r="M1108" s="77" t="s">
        <v>222</v>
      </c>
      <c r="N1108" s="79">
        <v>8555</v>
      </c>
      <c r="O1108" s="80">
        <v>76.27</v>
      </c>
      <c r="P1108" s="81"/>
      <c r="Q1108" s="81">
        <v>13.728599999999998</v>
      </c>
      <c r="R1108" s="80"/>
      <c r="S1108" s="80">
        <v>0</v>
      </c>
      <c r="T1108" s="82">
        <v>90</v>
      </c>
      <c r="U1108" s="77"/>
      <c r="V1108" s="75"/>
      <c r="W1108" s="77"/>
      <c r="X1108" s="77"/>
      <c r="Y1108" s="77"/>
      <c r="Z1108" s="77" t="s">
        <v>2559</v>
      </c>
      <c r="AA1108" s="83" t="s">
        <v>3640</v>
      </c>
      <c r="AB1108" s="104" t="str">
        <f>IFERROR(VLOOKUP(Anexo_4[[#This Row],[cuenta]],OP,2,0),"-")</f>
        <v>-</v>
      </c>
    </row>
    <row r="1109" spans="1:28" s="84" customFormat="1" ht="27" customHeight="1" x14ac:dyDescent="0.3">
      <c r="A1109" s="75" t="s">
        <v>3610</v>
      </c>
      <c r="B1109" s="36" t="str">
        <f t="shared" si="17"/>
        <v>Agosto</v>
      </c>
      <c r="C1109" s="77" t="s">
        <v>162</v>
      </c>
      <c r="D1109" s="77" t="s">
        <v>3643</v>
      </c>
      <c r="E1109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109" s="79" t="s">
        <v>175</v>
      </c>
      <c r="G1109" s="79" t="s">
        <v>176</v>
      </c>
      <c r="H1109" s="140" t="s">
        <v>3644</v>
      </c>
      <c r="I1109" s="77" t="s">
        <v>604</v>
      </c>
      <c r="J1109" s="144" t="s">
        <v>605</v>
      </c>
      <c r="K1109" s="77" t="s">
        <v>169</v>
      </c>
      <c r="L1109" s="103" t="str">
        <f>VLOOKUP(Anexo_4[[#This Row],[cod_doc]],TIPODOC,2,FALSE)</f>
        <v>FACTURA</v>
      </c>
      <c r="M1109" s="77" t="s">
        <v>606</v>
      </c>
      <c r="N1109" s="79">
        <v>27124</v>
      </c>
      <c r="O1109" s="80">
        <v>1247.8900000000001</v>
      </c>
      <c r="P1109" s="81"/>
      <c r="Q1109" s="81">
        <v>224.62020000000001</v>
      </c>
      <c r="R1109" s="80"/>
      <c r="S1109" s="80">
        <v>0</v>
      </c>
      <c r="T1109" s="82">
        <v>1472.51</v>
      </c>
      <c r="U1109" s="77"/>
      <c r="V1109" s="75"/>
      <c r="W1109" s="77"/>
      <c r="X1109" s="77"/>
      <c r="Y1109" s="77"/>
      <c r="Z1109" s="77" t="s">
        <v>223</v>
      </c>
      <c r="AA1109" s="83" t="s">
        <v>3644</v>
      </c>
      <c r="AB1109" s="104" t="str">
        <f>IFERROR(VLOOKUP(Anexo_4[[#This Row],[cuenta]],OP,2,0),"-")</f>
        <v>Mantenimiento Vehicular (Preventivo)</v>
      </c>
    </row>
    <row r="1110" spans="1:28" s="84" customFormat="1" ht="27" customHeight="1" x14ac:dyDescent="0.3">
      <c r="A1110" s="75" t="s">
        <v>3624</v>
      </c>
      <c r="B1110" s="36" t="str">
        <f t="shared" si="17"/>
        <v>Agosto</v>
      </c>
      <c r="C1110" s="77" t="s">
        <v>162</v>
      </c>
      <c r="D1110" s="77" t="s">
        <v>3645</v>
      </c>
      <c r="E1110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110" s="79" t="s">
        <v>1366</v>
      </c>
      <c r="G1110" s="79" t="s">
        <v>1367</v>
      </c>
      <c r="H1110" s="140" t="s">
        <v>3646</v>
      </c>
      <c r="I1110" s="77" t="s">
        <v>699</v>
      </c>
      <c r="J1110" s="144" t="s">
        <v>700</v>
      </c>
      <c r="K1110" s="77" t="s">
        <v>169</v>
      </c>
      <c r="L1110" s="103" t="str">
        <f>VLOOKUP(Anexo_4[[#This Row],[cod_doc]],TIPODOC,2,FALSE)</f>
        <v>FACTURA</v>
      </c>
      <c r="M1110" s="77" t="s">
        <v>102</v>
      </c>
      <c r="N1110" s="79">
        <v>2212</v>
      </c>
      <c r="O1110" s="80">
        <v>172.88</v>
      </c>
      <c r="P1110" s="81"/>
      <c r="Q1110" s="81">
        <v>31.118399999999998</v>
      </c>
      <c r="R1110" s="80"/>
      <c r="S1110" s="80">
        <v>0</v>
      </c>
      <c r="T1110" s="82">
        <v>204</v>
      </c>
      <c r="U1110" s="77"/>
      <c r="V1110" s="75"/>
      <c r="W1110" s="77"/>
      <c r="X1110" s="77"/>
      <c r="Y1110" s="77"/>
      <c r="Z1110" s="77" t="s">
        <v>2320</v>
      </c>
      <c r="AA1110" s="83" t="s">
        <v>3646</v>
      </c>
      <c r="AB1110" s="104" t="str">
        <f>IFERROR(VLOOKUP(Anexo_4[[#This Row],[cuenta]],OP,2,0),"-")</f>
        <v>Otros Gastos de Gestion</v>
      </c>
    </row>
    <row r="1111" spans="1:28" s="84" customFormat="1" ht="27" customHeight="1" x14ac:dyDescent="0.3">
      <c r="A1111" s="75" t="s">
        <v>3624</v>
      </c>
      <c r="B1111" s="36" t="str">
        <f t="shared" si="17"/>
        <v>Agosto</v>
      </c>
      <c r="C1111" s="77" t="s">
        <v>162</v>
      </c>
      <c r="D1111" s="77" t="s">
        <v>3647</v>
      </c>
      <c r="E1111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111" s="79"/>
      <c r="G1111" s="79"/>
      <c r="H1111" s="140"/>
      <c r="I1111" s="77" t="s">
        <v>231</v>
      </c>
      <c r="J1111" s="144" t="s">
        <v>232</v>
      </c>
      <c r="K1111" s="77" t="s">
        <v>169</v>
      </c>
      <c r="L1111" s="103" t="str">
        <f>VLOOKUP(Anexo_4[[#This Row],[cod_doc]],TIPODOC,2,FALSE)</f>
        <v>FACTURA</v>
      </c>
      <c r="M1111" s="77" t="s">
        <v>102</v>
      </c>
      <c r="N1111" s="79" t="s">
        <v>3648</v>
      </c>
      <c r="O1111" s="80">
        <v>4964.41</v>
      </c>
      <c r="P1111" s="81"/>
      <c r="Q1111" s="81">
        <v>893.59</v>
      </c>
      <c r="R1111" s="80"/>
      <c r="S1111" s="80">
        <v>0</v>
      </c>
      <c r="T1111" s="82">
        <v>5858</v>
      </c>
      <c r="U1111" s="77"/>
      <c r="V1111" s="75"/>
      <c r="W1111" s="77"/>
      <c r="X1111" s="77"/>
      <c r="Y1111" s="77"/>
      <c r="Z1111" s="77"/>
      <c r="AA1111" s="83"/>
      <c r="AB1111" s="104" t="str">
        <f>IFERROR(VLOOKUP(Anexo_4[[#This Row],[cuenta]],OP,2,0),"-")</f>
        <v>-</v>
      </c>
    </row>
    <row r="1112" spans="1:28" s="84" customFormat="1" ht="27" customHeight="1" x14ac:dyDescent="0.3">
      <c r="A1112" s="75" t="s">
        <v>3578</v>
      </c>
      <c r="B1112" s="36" t="str">
        <f t="shared" si="17"/>
        <v>Agosto</v>
      </c>
      <c r="C1112" s="77" t="s">
        <v>162</v>
      </c>
      <c r="D1112" s="77" t="s">
        <v>3649</v>
      </c>
      <c r="E111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112" s="79" t="s">
        <v>456</v>
      </c>
      <c r="G1112" s="79" t="s">
        <v>457</v>
      </c>
      <c r="H1112" s="140" t="s">
        <v>3650</v>
      </c>
      <c r="I1112" s="77" t="s">
        <v>264</v>
      </c>
      <c r="J1112" s="144" t="s">
        <v>265</v>
      </c>
      <c r="K1112" s="77" t="s">
        <v>169</v>
      </c>
      <c r="L1112" s="103" t="str">
        <f>VLOOKUP(Anexo_4[[#This Row],[cod_doc]],TIPODOC,2,FALSE)</f>
        <v>FACTURA</v>
      </c>
      <c r="M1112" s="77" t="s">
        <v>379</v>
      </c>
      <c r="N1112" s="79">
        <v>2136843</v>
      </c>
      <c r="O1112" s="80">
        <v>4.24</v>
      </c>
      <c r="P1112" s="81"/>
      <c r="Q1112" s="81">
        <v>0.76319999999999999</v>
      </c>
      <c r="R1112" s="80"/>
      <c r="S1112" s="80">
        <v>0</v>
      </c>
      <c r="T1112" s="82">
        <v>5</v>
      </c>
      <c r="U1112" s="77"/>
      <c r="V1112" s="75"/>
      <c r="W1112" s="77"/>
      <c r="X1112" s="77"/>
      <c r="Y1112" s="77" t="s">
        <v>3651</v>
      </c>
      <c r="Z1112" s="77" t="s">
        <v>302</v>
      </c>
      <c r="AA1112" s="83" t="s">
        <v>3650</v>
      </c>
      <c r="AB1112" s="104" t="str">
        <f>IFERROR(VLOOKUP(Anexo_4[[#This Row],[cuenta]],OP,2,0),"-")</f>
        <v>Transporte peajes - Servicios</v>
      </c>
    </row>
    <row r="1113" spans="1:28" s="84" customFormat="1" ht="27" customHeight="1" x14ac:dyDescent="0.3">
      <c r="A1113" s="75" t="s">
        <v>3578</v>
      </c>
      <c r="B1113" s="36" t="str">
        <f t="shared" si="17"/>
        <v>Agosto</v>
      </c>
      <c r="C1113" s="77" t="s">
        <v>162</v>
      </c>
      <c r="D1113" s="77" t="s">
        <v>3652</v>
      </c>
      <c r="E1113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113" s="79" t="s">
        <v>456</v>
      </c>
      <c r="G1113" s="79" t="s">
        <v>457</v>
      </c>
      <c r="H1113" s="140" t="s">
        <v>3653</v>
      </c>
      <c r="I1113" s="77" t="s">
        <v>264</v>
      </c>
      <c r="J1113" s="144" t="s">
        <v>265</v>
      </c>
      <c r="K1113" s="77" t="s">
        <v>169</v>
      </c>
      <c r="L1113" s="103" t="str">
        <f>VLOOKUP(Anexo_4[[#This Row],[cod_doc]],TIPODOC,2,FALSE)</f>
        <v>FACTURA</v>
      </c>
      <c r="M1113" s="77" t="s">
        <v>271</v>
      </c>
      <c r="N1113" s="79">
        <v>1804920</v>
      </c>
      <c r="O1113" s="80">
        <v>4.24</v>
      </c>
      <c r="P1113" s="81"/>
      <c r="Q1113" s="81">
        <v>0.76319999999999999</v>
      </c>
      <c r="R1113" s="80"/>
      <c r="S1113" s="80">
        <v>0</v>
      </c>
      <c r="T1113" s="82">
        <v>5</v>
      </c>
      <c r="U1113" s="77"/>
      <c r="V1113" s="75"/>
      <c r="W1113" s="77"/>
      <c r="X1113" s="77"/>
      <c r="Y1113" s="77" t="s">
        <v>3654</v>
      </c>
      <c r="Z1113" s="77" t="s">
        <v>302</v>
      </c>
      <c r="AA1113" s="83" t="s">
        <v>3653</v>
      </c>
      <c r="AB1113" s="104" t="str">
        <f>IFERROR(VLOOKUP(Anexo_4[[#This Row],[cuenta]],OP,2,0),"-")</f>
        <v>Transporte peajes - Servicios</v>
      </c>
    </row>
    <row r="1114" spans="1:28" s="84" customFormat="1" ht="27" customHeight="1" x14ac:dyDescent="0.3">
      <c r="A1114" s="75" t="s">
        <v>3620</v>
      </c>
      <c r="B1114" s="36" t="str">
        <f t="shared" si="17"/>
        <v>Agosto</v>
      </c>
      <c r="C1114" s="77" t="s">
        <v>162</v>
      </c>
      <c r="D1114" s="77" t="s">
        <v>3655</v>
      </c>
      <c r="E1114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114" s="79" t="s">
        <v>456</v>
      </c>
      <c r="G1114" s="79" t="s">
        <v>457</v>
      </c>
      <c r="H1114" s="140" t="s">
        <v>3656</v>
      </c>
      <c r="I1114" s="77" t="s">
        <v>264</v>
      </c>
      <c r="J1114" s="144" t="s">
        <v>265</v>
      </c>
      <c r="K1114" s="77" t="s">
        <v>169</v>
      </c>
      <c r="L1114" s="103" t="str">
        <f>VLOOKUP(Anexo_4[[#This Row],[cod_doc]],TIPODOC,2,FALSE)</f>
        <v>FACTURA</v>
      </c>
      <c r="M1114" s="77" t="s">
        <v>406</v>
      </c>
      <c r="N1114" s="79">
        <v>2424542</v>
      </c>
      <c r="O1114" s="80">
        <v>4.24</v>
      </c>
      <c r="P1114" s="81"/>
      <c r="Q1114" s="81">
        <v>0.76319999999999999</v>
      </c>
      <c r="R1114" s="80"/>
      <c r="S1114" s="80">
        <v>0</v>
      </c>
      <c r="T1114" s="82">
        <v>5</v>
      </c>
      <c r="U1114" s="77"/>
      <c r="V1114" s="75"/>
      <c r="W1114" s="77"/>
      <c r="X1114" s="77"/>
      <c r="Y1114" s="77" t="s">
        <v>3657</v>
      </c>
      <c r="Z1114" s="77" t="s">
        <v>302</v>
      </c>
      <c r="AA1114" s="83" t="s">
        <v>3656</v>
      </c>
      <c r="AB1114" s="104" t="str">
        <f>IFERROR(VLOOKUP(Anexo_4[[#This Row],[cuenta]],OP,2,0),"-")</f>
        <v>Transporte peajes - Servicios</v>
      </c>
    </row>
    <row r="1115" spans="1:28" s="84" customFormat="1" ht="27" customHeight="1" x14ac:dyDescent="0.3">
      <c r="A1115" s="75" t="s">
        <v>3620</v>
      </c>
      <c r="B1115" s="36" t="str">
        <f t="shared" si="17"/>
        <v>Agosto</v>
      </c>
      <c r="C1115" s="77" t="s">
        <v>162</v>
      </c>
      <c r="D1115" s="77" t="s">
        <v>3658</v>
      </c>
      <c r="E111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115" s="79" t="s">
        <v>456</v>
      </c>
      <c r="G1115" s="79" t="s">
        <v>457</v>
      </c>
      <c r="H1115" s="140" t="s">
        <v>3659</v>
      </c>
      <c r="I1115" s="77" t="s">
        <v>264</v>
      </c>
      <c r="J1115" s="144" t="s">
        <v>265</v>
      </c>
      <c r="K1115" s="77" t="s">
        <v>169</v>
      </c>
      <c r="L1115" s="103" t="str">
        <f>VLOOKUP(Anexo_4[[#This Row],[cod_doc]],TIPODOC,2,FALSE)</f>
        <v>FACTURA</v>
      </c>
      <c r="M1115" s="77" t="s">
        <v>352</v>
      </c>
      <c r="N1115" s="79">
        <v>1824636</v>
      </c>
      <c r="O1115" s="80">
        <v>4.24</v>
      </c>
      <c r="P1115" s="81"/>
      <c r="Q1115" s="81">
        <v>0.76319999999999999</v>
      </c>
      <c r="R1115" s="80"/>
      <c r="S1115" s="80">
        <v>0</v>
      </c>
      <c r="T1115" s="82">
        <v>5</v>
      </c>
      <c r="U1115" s="77"/>
      <c r="V1115" s="75"/>
      <c r="W1115" s="77"/>
      <c r="X1115" s="77"/>
      <c r="Y1115" s="77" t="s">
        <v>3660</v>
      </c>
      <c r="Z1115" s="77" t="s">
        <v>302</v>
      </c>
      <c r="AA1115" s="83" t="s">
        <v>3659</v>
      </c>
      <c r="AB1115" s="104" t="str">
        <f>IFERROR(VLOOKUP(Anexo_4[[#This Row],[cuenta]],OP,2,0),"-")</f>
        <v>Transporte peajes - Servicios</v>
      </c>
    </row>
    <row r="1116" spans="1:28" s="84" customFormat="1" ht="27" customHeight="1" x14ac:dyDescent="0.3">
      <c r="A1116" s="75" t="s">
        <v>3610</v>
      </c>
      <c r="B1116" s="36" t="str">
        <f t="shared" si="17"/>
        <v>Agosto</v>
      </c>
      <c r="C1116" s="77" t="s">
        <v>162</v>
      </c>
      <c r="D1116" s="77" t="s">
        <v>3661</v>
      </c>
      <c r="E111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116" s="79" t="s">
        <v>217</v>
      </c>
      <c r="G1116" s="79" t="s">
        <v>218</v>
      </c>
      <c r="H1116" s="140" t="s">
        <v>3662</v>
      </c>
      <c r="I1116" s="77" t="s">
        <v>264</v>
      </c>
      <c r="J1116" s="144" t="s">
        <v>265</v>
      </c>
      <c r="K1116" s="77" t="s">
        <v>169</v>
      </c>
      <c r="L1116" s="103" t="str">
        <f>VLOOKUP(Anexo_4[[#This Row],[cod_doc]],TIPODOC,2,FALSE)</f>
        <v>FACTURA</v>
      </c>
      <c r="M1116" s="77" t="s">
        <v>352</v>
      </c>
      <c r="N1116" s="79">
        <v>1822787</v>
      </c>
      <c r="O1116" s="80">
        <v>6.78</v>
      </c>
      <c r="P1116" s="81"/>
      <c r="Q1116" s="81">
        <v>1.2203999999999999</v>
      </c>
      <c r="R1116" s="80"/>
      <c r="S1116" s="80">
        <v>0</v>
      </c>
      <c r="T1116" s="82">
        <v>8</v>
      </c>
      <c r="U1116" s="77"/>
      <c r="V1116" s="75"/>
      <c r="W1116" s="77"/>
      <c r="X1116" s="77"/>
      <c r="Y1116" s="77" t="s">
        <v>3663</v>
      </c>
      <c r="Z1116" s="77" t="s">
        <v>302</v>
      </c>
      <c r="AA1116" s="83" t="s">
        <v>3662</v>
      </c>
      <c r="AB1116" s="104" t="str">
        <f>IFERROR(VLOOKUP(Anexo_4[[#This Row],[cuenta]],OP,2,0),"-")</f>
        <v>Transporte peajes - Servicios</v>
      </c>
    </row>
    <row r="1117" spans="1:28" s="84" customFormat="1" ht="27" customHeight="1" x14ac:dyDescent="0.3">
      <c r="A1117" s="75" t="s">
        <v>3532</v>
      </c>
      <c r="B1117" s="36" t="str">
        <f t="shared" si="17"/>
        <v>Agosto</v>
      </c>
      <c r="C1117" s="77" t="s">
        <v>162</v>
      </c>
      <c r="D1117" s="77" t="s">
        <v>3664</v>
      </c>
      <c r="E1117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117" s="79" t="s">
        <v>456</v>
      </c>
      <c r="G1117" s="79" t="s">
        <v>457</v>
      </c>
      <c r="H1117" s="140" t="s">
        <v>3665</v>
      </c>
      <c r="I1117" s="77" t="s">
        <v>264</v>
      </c>
      <c r="J1117" s="144" t="s">
        <v>265</v>
      </c>
      <c r="K1117" s="77" t="s">
        <v>169</v>
      </c>
      <c r="L1117" s="103" t="str">
        <f>VLOOKUP(Anexo_4[[#This Row],[cod_doc]],TIPODOC,2,FALSE)</f>
        <v>FACTURA</v>
      </c>
      <c r="M1117" s="77" t="s">
        <v>352</v>
      </c>
      <c r="N1117" s="79">
        <v>1820179</v>
      </c>
      <c r="O1117" s="80">
        <v>4.24</v>
      </c>
      <c r="P1117" s="81"/>
      <c r="Q1117" s="81">
        <v>0.76319999999999999</v>
      </c>
      <c r="R1117" s="80"/>
      <c r="S1117" s="80">
        <v>0</v>
      </c>
      <c r="T1117" s="82">
        <v>5</v>
      </c>
      <c r="U1117" s="77"/>
      <c r="V1117" s="75"/>
      <c r="W1117" s="77"/>
      <c r="X1117" s="77"/>
      <c r="Y1117" s="77" t="s">
        <v>3666</v>
      </c>
      <c r="Z1117" s="77" t="s">
        <v>302</v>
      </c>
      <c r="AA1117" s="83" t="s">
        <v>3665</v>
      </c>
      <c r="AB1117" s="104" t="str">
        <f>IFERROR(VLOOKUP(Anexo_4[[#This Row],[cuenta]],OP,2,0),"-")</f>
        <v>Transporte peajes - Servicios</v>
      </c>
    </row>
    <row r="1118" spans="1:28" s="84" customFormat="1" ht="27" customHeight="1" x14ac:dyDescent="0.3">
      <c r="A1118" s="75" t="s">
        <v>3532</v>
      </c>
      <c r="B1118" s="36" t="str">
        <f t="shared" si="17"/>
        <v>Agosto</v>
      </c>
      <c r="C1118" s="77" t="s">
        <v>162</v>
      </c>
      <c r="D1118" s="77" t="s">
        <v>3667</v>
      </c>
      <c r="E1118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118" s="79" t="s">
        <v>456</v>
      </c>
      <c r="G1118" s="79" t="s">
        <v>457</v>
      </c>
      <c r="H1118" s="140" t="s">
        <v>3668</v>
      </c>
      <c r="I1118" s="77" t="s">
        <v>264</v>
      </c>
      <c r="J1118" s="144" t="s">
        <v>265</v>
      </c>
      <c r="K1118" s="77" t="s">
        <v>169</v>
      </c>
      <c r="L1118" s="103" t="str">
        <f>VLOOKUP(Anexo_4[[#This Row],[cod_doc]],TIPODOC,2,FALSE)</f>
        <v>FACTURA</v>
      </c>
      <c r="M1118" s="77" t="s">
        <v>271</v>
      </c>
      <c r="N1118" s="79">
        <v>1799849</v>
      </c>
      <c r="O1118" s="80">
        <v>4.24</v>
      </c>
      <c r="P1118" s="81"/>
      <c r="Q1118" s="81">
        <v>0.76319999999999999</v>
      </c>
      <c r="R1118" s="80"/>
      <c r="S1118" s="80">
        <v>0</v>
      </c>
      <c r="T1118" s="82">
        <v>5</v>
      </c>
      <c r="U1118" s="77"/>
      <c r="V1118" s="75"/>
      <c r="W1118" s="77"/>
      <c r="X1118" s="77"/>
      <c r="Y1118" s="77" t="s">
        <v>3669</v>
      </c>
      <c r="Z1118" s="77" t="s">
        <v>302</v>
      </c>
      <c r="AA1118" s="83" t="s">
        <v>3668</v>
      </c>
      <c r="AB1118" s="104" t="str">
        <f>IFERROR(VLOOKUP(Anexo_4[[#This Row],[cuenta]],OP,2,0),"-")</f>
        <v>Transporte peajes - Servicios</v>
      </c>
    </row>
    <row r="1119" spans="1:28" s="84" customFormat="1" ht="27" customHeight="1" x14ac:dyDescent="0.3">
      <c r="A1119" s="75" t="s">
        <v>3670</v>
      </c>
      <c r="B1119" s="36" t="str">
        <f t="shared" si="17"/>
        <v>Agosto</v>
      </c>
      <c r="C1119" s="77" t="s">
        <v>162</v>
      </c>
      <c r="D1119" s="77" t="s">
        <v>3671</v>
      </c>
      <c r="E1119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119" s="79" t="s">
        <v>175</v>
      </c>
      <c r="G1119" s="79" t="s">
        <v>176</v>
      </c>
      <c r="H1119" s="140" t="s">
        <v>3672</v>
      </c>
      <c r="I1119" s="77" t="s">
        <v>264</v>
      </c>
      <c r="J1119" s="144" t="s">
        <v>265</v>
      </c>
      <c r="K1119" s="77" t="s">
        <v>169</v>
      </c>
      <c r="L1119" s="103" t="str">
        <f>VLOOKUP(Anexo_4[[#This Row],[cod_doc]],TIPODOC,2,FALSE)</f>
        <v>FACTURA</v>
      </c>
      <c r="M1119" s="77" t="s">
        <v>352</v>
      </c>
      <c r="N1119" s="79">
        <v>1828780</v>
      </c>
      <c r="O1119" s="80">
        <v>10.17</v>
      </c>
      <c r="P1119" s="81"/>
      <c r="Q1119" s="81">
        <v>1.8306</v>
      </c>
      <c r="R1119" s="80"/>
      <c r="S1119" s="80">
        <v>0</v>
      </c>
      <c r="T1119" s="82">
        <v>12</v>
      </c>
      <c r="U1119" s="77"/>
      <c r="V1119" s="75"/>
      <c r="W1119" s="77"/>
      <c r="X1119" s="77"/>
      <c r="Y1119" s="77" t="s">
        <v>3673</v>
      </c>
      <c r="Z1119" s="77" t="s">
        <v>302</v>
      </c>
      <c r="AA1119" s="83" t="s">
        <v>3672</v>
      </c>
      <c r="AB1119" s="104" t="str">
        <f>IFERROR(VLOOKUP(Anexo_4[[#This Row],[cuenta]],OP,2,0),"-")</f>
        <v>Transporte peajes - Servicios</v>
      </c>
    </row>
    <row r="1120" spans="1:28" s="84" customFormat="1" ht="27" customHeight="1" x14ac:dyDescent="0.3">
      <c r="A1120" s="75" t="s">
        <v>3624</v>
      </c>
      <c r="B1120" s="36" t="str">
        <f t="shared" si="17"/>
        <v>Agosto</v>
      </c>
      <c r="C1120" s="77" t="s">
        <v>162</v>
      </c>
      <c r="D1120" s="77" t="s">
        <v>3674</v>
      </c>
      <c r="E1120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120" s="79" t="s">
        <v>175</v>
      </c>
      <c r="G1120" s="79" t="s">
        <v>176</v>
      </c>
      <c r="H1120" s="140" t="s">
        <v>3675</v>
      </c>
      <c r="I1120" s="77" t="s">
        <v>264</v>
      </c>
      <c r="J1120" s="144" t="s">
        <v>265</v>
      </c>
      <c r="K1120" s="77" t="s">
        <v>169</v>
      </c>
      <c r="L1120" s="103" t="str">
        <f>VLOOKUP(Anexo_4[[#This Row],[cod_doc]],TIPODOC,2,FALSE)</f>
        <v>FACTURA</v>
      </c>
      <c r="M1120" s="77" t="s">
        <v>406</v>
      </c>
      <c r="N1120" s="79">
        <v>2427754</v>
      </c>
      <c r="O1120" s="80">
        <v>10.17</v>
      </c>
      <c r="P1120" s="81"/>
      <c r="Q1120" s="81">
        <v>1.8306</v>
      </c>
      <c r="R1120" s="80"/>
      <c r="S1120" s="80">
        <v>0</v>
      </c>
      <c r="T1120" s="82">
        <v>12</v>
      </c>
      <c r="U1120" s="77"/>
      <c r="V1120" s="75"/>
      <c r="W1120" s="77"/>
      <c r="X1120" s="77"/>
      <c r="Y1120" s="77" t="s">
        <v>3676</v>
      </c>
      <c r="Z1120" s="77" t="s">
        <v>302</v>
      </c>
      <c r="AA1120" s="83" t="s">
        <v>3675</v>
      </c>
      <c r="AB1120" s="104" t="str">
        <f>IFERROR(VLOOKUP(Anexo_4[[#This Row],[cuenta]],OP,2,0),"-")</f>
        <v>Transporte peajes - Servicios</v>
      </c>
    </row>
    <row r="1121" spans="1:28" s="84" customFormat="1" ht="27" customHeight="1" x14ac:dyDescent="0.3">
      <c r="A1121" s="75" t="s">
        <v>3573</v>
      </c>
      <c r="B1121" s="36" t="str">
        <f t="shared" si="17"/>
        <v>Agosto</v>
      </c>
      <c r="C1121" s="77" t="s">
        <v>162</v>
      </c>
      <c r="D1121" s="77" t="s">
        <v>3677</v>
      </c>
      <c r="E112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121" s="79" t="s">
        <v>175</v>
      </c>
      <c r="G1121" s="79" t="s">
        <v>176</v>
      </c>
      <c r="H1121" s="140" t="s">
        <v>3678</v>
      </c>
      <c r="I1121" s="77" t="s">
        <v>264</v>
      </c>
      <c r="J1121" s="144" t="s">
        <v>265</v>
      </c>
      <c r="K1121" s="77" t="s">
        <v>169</v>
      </c>
      <c r="L1121" s="103" t="str">
        <f>VLOOKUP(Anexo_4[[#This Row],[cod_doc]],TIPODOC,2,FALSE)</f>
        <v>FACTURA</v>
      </c>
      <c r="M1121" s="77" t="s">
        <v>379</v>
      </c>
      <c r="N1121" s="79">
        <v>2134105</v>
      </c>
      <c r="O1121" s="80">
        <v>10.17</v>
      </c>
      <c r="P1121" s="81"/>
      <c r="Q1121" s="81">
        <v>1.8306</v>
      </c>
      <c r="R1121" s="80"/>
      <c r="S1121" s="80">
        <v>0</v>
      </c>
      <c r="T1121" s="82">
        <v>12</v>
      </c>
      <c r="U1121" s="77"/>
      <c r="V1121" s="75"/>
      <c r="W1121" s="77"/>
      <c r="X1121" s="77"/>
      <c r="Y1121" s="77" t="s">
        <v>3679</v>
      </c>
      <c r="Z1121" s="77" t="s">
        <v>268</v>
      </c>
      <c r="AA1121" s="83" t="s">
        <v>3678</v>
      </c>
      <c r="AB1121" s="104" t="str">
        <f>IFERROR(VLOOKUP(Anexo_4[[#This Row],[cuenta]],OP,2,0),"-")</f>
        <v>Transporte peajes - Ventas</v>
      </c>
    </row>
    <row r="1122" spans="1:28" s="84" customFormat="1" ht="27" customHeight="1" x14ac:dyDescent="0.3">
      <c r="A1122" s="75" t="s">
        <v>3610</v>
      </c>
      <c r="B1122" s="36" t="str">
        <f t="shared" si="17"/>
        <v>Agosto</v>
      </c>
      <c r="C1122" s="77" t="s">
        <v>162</v>
      </c>
      <c r="D1122" s="77" t="s">
        <v>3680</v>
      </c>
      <c r="E112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122" s="79" t="s">
        <v>175</v>
      </c>
      <c r="G1122" s="79" t="s">
        <v>176</v>
      </c>
      <c r="H1122" s="140" t="s">
        <v>3681</v>
      </c>
      <c r="I1122" s="77" t="s">
        <v>264</v>
      </c>
      <c r="J1122" s="144" t="s">
        <v>265</v>
      </c>
      <c r="K1122" s="77" t="s">
        <v>169</v>
      </c>
      <c r="L1122" s="103" t="str">
        <f>VLOOKUP(Anexo_4[[#This Row],[cod_doc]],TIPODOC,2,FALSE)</f>
        <v>FACTURA</v>
      </c>
      <c r="M1122" s="77" t="s">
        <v>406</v>
      </c>
      <c r="N1122" s="79">
        <v>2422670</v>
      </c>
      <c r="O1122" s="80">
        <v>10.17</v>
      </c>
      <c r="P1122" s="81"/>
      <c r="Q1122" s="81">
        <v>1.8306</v>
      </c>
      <c r="R1122" s="80"/>
      <c r="S1122" s="80">
        <v>0</v>
      </c>
      <c r="T1122" s="82">
        <v>12</v>
      </c>
      <c r="U1122" s="77"/>
      <c r="V1122" s="75"/>
      <c r="W1122" s="77"/>
      <c r="X1122" s="77"/>
      <c r="Y1122" s="77" t="s">
        <v>3682</v>
      </c>
      <c r="Z1122" s="77" t="s">
        <v>302</v>
      </c>
      <c r="AA1122" s="83" t="s">
        <v>3681</v>
      </c>
      <c r="AB1122" s="104" t="str">
        <f>IFERROR(VLOOKUP(Anexo_4[[#This Row],[cuenta]],OP,2,0),"-")</f>
        <v>Transporte peajes - Servicios</v>
      </c>
    </row>
    <row r="1123" spans="1:28" s="84" customFormat="1" ht="27" customHeight="1" x14ac:dyDescent="0.3">
      <c r="A1123" s="75" t="s">
        <v>3532</v>
      </c>
      <c r="B1123" s="36" t="str">
        <f t="shared" si="17"/>
        <v>Agosto</v>
      </c>
      <c r="C1123" s="77" t="s">
        <v>162</v>
      </c>
      <c r="D1123" s="77" t="s">
        <v>3683</v>
      </c>
      <c r="E1123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123" s="79" t="s">
        <v>175</v>
      </c>
      <c r="G1123" s="79" t="s">
        <v>176</v>
      </c>
      <c r="H1123" s="140" t="s">
        <v>3684</v>
      </c>
      <c r="I1123" s="77" t="s">
        <v>264</v>
      </c>
      <c r="J1123" s="144" t="s">
        <v>265</v>
      </c>
      <c r="K1123" s="77" t="s">
        <v>169</v>
      </c>
      <c r="L1123" s="103" t="str">
        <f>VLOOKUP(Anexo_4[[#This Row],[cod_doc]],TIPODOC,2,FALSE)</f>
        <v>FACTURA</v>
      </c>
      <c r="M1123" s="77" t="s">
        <v>271</v>
      </c>
      <c r="N1123" s="79">
        <v>1799996</v>
      </c>
      <c r="O1123" s="80">
        <v>10.17</v>
      </c>
      <c r="P1123" s="81"/>
      <c r="Q1123" s="81">
        <v>1.8306</v>
      </c>
      <c r="R1123" s="80"/>
      <c r="S1123" s="80">
        <v>0</v>
      </c>
      <c r="T1123" s="82">
        <v>12</v>
      </c>
      <c r="U1123" s="77"/>
      <c r="V1123" s="75"/>
      <c r="W1123" s="77"/>
      <c r="X1123" s="77"/>
      <c r="Y1123" s="77" t="s">
        <v>3685</v>
      </c>
      <c r="Z1123" s="77" t="s">
        <v>302</v>
      </c>
      <c r="AA1123" s="83" t="s">
        <v>3684</v>
      </c>
      <c r="AB1123" s="104" t="str">
        <f>IFERROR(VLOOKUP(Anexo_4[[#This Row],[cuenta]],OP,2,0),"-")</f>
        <v>Transporte peajes - Servicios</v>
      </c>
    </row>
    <row r="1124" spans="1:28" s="84" customFormat="1" ht="27" customHeight="1" x14ac:dyDescent="0.3">
      <c r="A1124" s="75" t="s">
        <v>3610</v>
      </c>
      <c r="B1124" s="36" t="str">
        <f t="shared" si="17"/>
        <v>Agosto</v>
      </c>
      <c r="C1124" s="77" t="s">
        <v>162</v>
      </c>
      <c r="D1124" s="77" t="s">
        <v>3686</v>
      </c>
      <c r="E1124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124" s="79" t="s">
        <v>175</v>
      </c>
      <c r="G1124" s="79" t="s">
        <v>176</v>
      </c>
      <c r="H1124" s="140" t="s">
        <v>3687</v>
      </c>
      <c r="I1124" s="77" t="s">
        <v>264</v>
      </c>
      <c r="J1124" s="144" t="s">
        <v>265</v>
      </c>
      <c r="K1124" s="77" t="s">
        <v>169</v>
      </c>
      <c r="L1124" s="103" t="str">
        <f>VLOOKUP(Anexo_4[[#This Row],[cod_doc]],TIPODOC,2,FALSE)</f>
        <v>FACTURA</v>
      </c>
      <c r="M1124" s="77" t="s">
        <v>379</v>
      </c>
      <c r="N1124" s="79">
        <v>2133054</v>
      </c>
      <c r="O1124" s="80">
        <v>10.17</v>
      </c>
      <c r="P1124" s="81"/>
      <c r="Q1124" s="81">
        <v>1.8306</v>
      </c>
      <c r="R1124" s="80"/>
      <c r="S1124" s="80">
        <v>0</v>
      </c>
      <c r="T1124" s="82">
        <v>12</v>
      </c>
      <c r="U1124" s="77"/>
      <c r="V1124" s="75"/>
      <c r="W1124" s="77"/>
      <c r="X1124" s="77"/>
      <c r="Y1124" s="77" t="s">
        <v>3688</v>
      </c>
      <c r="Z1124" s="77" t="s">
        <v>302</v>
      </c>
      <c r="AA1124" s="83" t="s">
        <v>3687</v>
      </c>
      <c r="AB1124" s="104" t="str">
        <f>IFERROR(VLOOKUP(Anexo_4[[#This Row],[cuenta]],OP,2,0),"-")</f>
        <v>Transporte peajes - Servicios</v>
      </c>
    </row>
    <row r="1125" spans="1:28" s="84" customFormat="1" ht="27" customHeight="1" x14ac:dyDescent="0.3">
      <c r="A1125" s="75" t="s">
        <v>3532</v>
      </c>
      <c r="B1125" s="36" t="str">
        <f t="shared" si="17"/>
        <v>Agosto</v>
      </c>
      <c r="C1125" s="77" t="s">
        <v>162</v>
      </c>
      <c r="D1125" s="77" t="s">
        <v>3689</v>
      </c>
      <c r="E112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125" s="79" t="s">
        <v>217</v>
      </c>
      <c r="G1125" s="79" t="s">
        <v>218</v>
      </c>
      <c r="H1125" s="140" t="s">
        <v>3690</v>
      </c>
      <c r="I1125" s="77" t="s">
        <v>383</v>
      </c>
      <c r="J1125" s="144" t="s">
        <v>384</v>
      </c>
      <c r="K1125" s="77" t="s">
        <v>169</v>
      </c>
      <c r="L1125" s="103" t="str">
        <f>VLOOKUP(Anexo_4[[#This Row],[cod_doc]],TIPODOC,2,FALSE)</f>
        <v>FACTURA</v>
      </c>
      <c r="M1125" s="77" t="s">
        <v>103</v>
      </c>
      <c r="N1125" s="79">
        <v>17171</v>
      </c>
      <c r="O1125" s="80">
        <v>16.95</v>
      </c>
      <c r="P1125" s="81"/>
      <c r="Q1125" s="81">
        <v>3.0509999999999997</v>
      </c>
      <c r="R1125" s="80"/>
      <c r="S1125" s="80">
        <v>0</v>
      </c>
      <c r="T1125" s="82">
        <v>20</v>
      </c>
      <c r="U1125" s="77"/>
      <c r="V1125" s="75"/>
      <c r="W1125" s="77"/>
      <c r="X1125" s="77"/>
      <c r="Y1125" s="77" t="s">
        <v>3691</v>
      </c>
      <c r="Z1125" s="77" t="s">
        <v>386</v>
      </c>
      <c r="AA1125" s="83" t="s">
        <v>3690</v>
      </c>
      <c r="AB1125" s="104" t="str">
        <f>IFERROR(VLOOKUP(Anexo_4[[#This Row],[cuenta]],OP,2,0),"-")</f>
        <v>Balanza - Servicios</v>
      </c>
    </row>
    <row r="1126" spans="1:28" s="84" customFormat="1" ht="27" customHeight="1" x14ac:dyDescent="0.3">
      <c r="A1126" s="75" t="s">
        <v>3573</v>
      </c>
      <c r="B1126" s="36" t="str">
        <f t="shared" si="17"/>
        <v>Agosto</v>
      </c>
      <c r="C1126" s="77" t="s">
        <v>162</v>
      </c>
      <c r="D1126" s="77" t="s">
        <v>3692</v>
      </c>
      <c r="E1126" s="78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1126" s="79" t="s">
        <v>198</v>
      </c>
      <c r="G1126" s="79" t="s">
        <v>199</v>
      </c>
      <c r="H1126" s="140" t="s">
        <v>3693</v>
      </c>
      <c r="I1126" s="77" t="s">
        <v>769</v>
      </c>
      <c r="J1126" s="144" t="s">
        <v>770</v>
      </c>
      <c r="K1126" s="77" t="s">
        <v>169</v>
      </c>
      <c r="L1126" s="103" t="str">
        <f>VLOOKUP(Anexo_4[[#This Row],[cod_doc]],TIPODOC,2,FALSE)</f>
        <v>FACTURA</v>
      </c>
      <c r="M1126" s="77" t="s">
        <v>102</v>
      </c>
      <c r="N1126" s="79">
        <v>55</v>
      </c>
      <c r="O1126" s="80">
        <v>450</v>
      </c>
      <c r="P1126" s="81"/>
      <c r="Q1126" s="81">
        <v>81</v>
      </c>
      <c r="R1126" s="80"/>
      <c r="S1126" s="80">
        <v>0</v>
      </c>
      <c r="T1126" s="82">
        <v>531</v>
      </c>
      <c r="U1126" s="77" t="s">
        <v>3694</v>
      </c>
      <c r="V1126" s="75" t="s">
        <v>2494</v>
      </c>
      <c r="W1126" s="77"/>
      <c r="X1126" s="77"/>
      <c r="Y1126" s="77"/>
      <c r="Z1126" s="77" t="s">
        <v>468</v>
      </c>
      <c r="AA1126" s="83" t="s">
        <v>3693</v>
      </c>
      <c r="AB1126" s="104" t="str">
        <f>IFERROR(VLOOKUP(Anexo_4[[#This Row],[cuenta]],OP,2,0),"-")</f>
        <v>Transporte de Carga  - Ventas</v>
      </c>
    </row>
    <row r="1127" spans="1:28" s="84" customFormat="1" ht="27" customHeight="1" x14ac:dyDescent="0.3">
      <c r="A1127" s="75" t="s">
        <v>3610</v>
      </c>
      <c r="B1127" s="36" t="str">
        <f t="shared" si="17"/>
        <v>Agosto</v>
      </c>
      <c r="C1127" s="77" t="s">
        <v>162</v>
      </c>
      <c r="D1127" s="77" t="s">
        <v>3695</v>
      </c>
      <c r="E1127" s="78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1127" s="79" t="s">
        <v>198</v>
      </c>
      <c r="G1127" s="79" t="s">
        <v>199</v>
      </c>
      <c r="H1127" s="140" t="s">
        <v>3696</v>
      </c>
      <c r="I1127" s="77" t="s">
        <v>3371</v>
      </c>
      <c r="J1127" s="144" t="s">
        <v>3372</v>
      </c>
      <c r="K1127" s="77" t="s">
        <v>169</v>
      </c>
      <c r="L1127" s="103" t="str">
        <f>VLOOKUP(Anexo_4[[#This Row],[cod_doc]],TIPODOC,2,FALSE)</f>
        <v>FACTURA</v>
      </c>
      <c r="M1127" s="77" t="s">
        <v>102</v>
      </c>
      <c r="N1127" s="79">
        <v>684</v>
      </c>
      <c r="O1127" s="80">
        <v>700</v>
      </c>
      <c r="P1127" s="81"/>
      <c r="Q1127" s="81">
        <v>126</v>
      </c>
      <c r="R1127" s="80"/>
      <c r="S1127" s="80">
        <v>0</v>
      </c>
      <c r="T1127" s="82">
        <v>826</v>
      </c>
      <c r="U1127" s="77" t="s">
        <v>3697</v>
      </c>
      <c r="V1127" s="75" t="s">
        <v>2494</v>
      </c>
      <c r="W1127" s="77"/>
      <c r="X1127" s="77"/>
      <c r="Y1127" s="77"/>
      <c r="Z1127" s="77" t="s">
        <v>468</v>
      </c>
      <c r="AA1127" s="83" t="s">
        <v>3696</v>
      </c>
      <c r="AB1127" s="104" t="str">
        <f>IFERROR(VLOOKUP(Anexo_4[[#This Row],[cuenta]],OP,2,0),"-")</f>
        <v>Transporte de Carga  - Ventas</v>
      </c>
    </row>
    <row r="1128" spans="1:28" s="84" customFormat="1" ht="27" customHeight="1" x14ac:dyDescent="0.3">
      <c r="A1128" s="75" t="s">
        <v>3610</v>
      </c>
      <c r="B1128" s="36" t="str">
        <f t="shared" si="17"/>
        <v>Agosto</v>
      </c>
      <c r="C1128" s="77" t="s">
        <v>162</v>
      </c>
      <c r="D1128" s="77" t="s">
        <v>3698</v>
      </c>
      <c r="E1128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128" s="79" t="s">
        <v>355</v>
      </c>
      <c r="G1128" s="79" t="s">
        <v>356</v>
      </c>
      <c r="H1128" s="140" t="s">
        <v>3699</v>
      </c>
      <c r="I1128" s="77" t="s">
        <v>769</v>
      </c>
      <c r="J1128" s="144" t="s">
        <v>770</v>
      </c>
      <c r="K1128" s="77" t="s">
        <v>169</v>
      </c>
      <c r="L1128" s="103" t="str">
        <f>VLOOKUP(Anexo_4[[#This Row],[cod_doc]],TIPODOC,2,FALSE)</f>
        <v>FACTURA</v>
      </c>
      <c r="M1128" s="77" t="s">
        <v>102</v>
      </c>
      <c r="N1128" s="79">
        <v>53</v>
      </c>
      <c r="O1128" s="80">
        <v>450</v>
      </c>
      <c r="P1128" s="81"/>
      <c r="Q1128" s="81">
        <v>81</v>
      </c>
      <c r="R1128" s="80"/>
      <c r="S1128" s="80">
        <v>0</v>
      </c>
      <c r="T1128" s="82">
        <v>531</v>
      </c>
      <c r="U1128" s="77" t="s">
        <v>3700</v>
      </c>
      <c r="V1128" s="75" t="s">
        <v>2494</v>
      </c>
      <c r="W1128" s="77"/>
      <c r="X1128" s="77"/>
      <c r="Y1128" s="77"/>
      <c r="Z1128" s="77" t="s">
        <v>893</v>
      </c>
      <c r="AA1128" s="83" t="s">
        <v>3699</v>
      </c>
      <c r="AB1128" s="104" t="str">
        <f>IFERROR(VLOOKUP(Anexo_4[[#This Row],[cuenta]],OP,2,0),"-")</f>
        <v>Transporte de Carga - Servicios</v>
      </c>
    </row>
    <row r="1129" spans="1:28" s="84" customFormat="1" ht="27" customHeight="1" x14ac:dyDescent="0.3">
      <c r="A1129" s="75" t="s">
        <v>2494</v>
      </c>
      <c r="B1129" s="36" t="str">
        <f t="shared" si="17"/>
        <v>Agosto</v>
      </c>
      <c r="C1129" s="77" t="s">
        <v>162</v>
      </c>
      <c r="D1129" s="77" t="s">
        <v>3701</v>
      </c>
      <c r="E1129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129" s="79" t="s">
        <v>650</v>
      </c>
      <c r="G1129" s="79" t="s">
        <v>651</v>
      </c>
      <c r="H1129" s="140" t="s">
        <v>3702</v>
      </c>
      <c r="I1129" s="77" t="s">
        <v>3703</v>
      </c>
      <c r="J1129" s="144" t="s">
        <v>3704</v>
      </c>
      <c r="K1129" s="77" t="s">
        <v>239</v>
      </c>
      <c r="L1129" s="103" t="str">
        <f>VLOOKUP(Anexo_4[[#This Row],[cod_doc]],TIPODOC,2,FALSE)</f>
        <v>BOLETA DE VENTA</v>
      </c>
      <c r="M1129" s="77" t="s">
        <v>162</v>
      </c>
      <c r="N1129" s="79">
        <v>220</v>
      </c>
      <c r="O1129" s="80"/>
      <c r="P1129" s="81"/>
      <c r="Q1129" s="81"/>
      <c r="R1129" s="80"/>
      <c r="S1129" s="80">
        <v>7</v>
      </c>
      <c r="T1129" s="82">
        <v>7</v>
      </c>
      <c r="U1129" s="77"/>
      <c r="V1129" s="75"/>
      <c r="W1129" s="77"/>
      <c r="X1129" s="77"/>
      <c r="Y1129" s="77"/>
      <c r="Z1129" s="77" t="s">
        <v>684</v>
      </c>
      <c r="AA1129" s="83" t="s">
        <v>3702</v>
      </c>
      <c r="AB1129" s="104" t="str">
        <f>IFERROR(VLOOKUP(Anexo_4[[#This Row],[cuenta]],OP,2,0),"-")</f>
        <v>-</v>
      </c>
    </row>
    <row r="1130" spans="1:28" s="84" customFormat="1" ht="27" customHeight="1" x14ac:dyDescent="0.3">
      <c r="A1130" s="75" t="s">
        <v>3573</v>
      </c>
      <c r="B1130" s="36" t="str">
        <f t="shared" si="17"/>
        <v>Agosto</v>
      </c>
      <c r="C1130" s="77" t="s">
        <v>162</v>
      </c>
      <c r="D1130" s="77" t="s">
        <v>3705</v>
      </c>
      <c r="E1130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130" s="79" t="s">
        <v>456</v>
      </c>
      <c r="G1130" s="79" t="s">
        <v>457</v>
      </c>
      <c r="H1130" s="140" t="s">
        <v>930</v>
      </c>
      <c r="I1130" s="77" t="s">
        <v>383</v>
      </c>
      <c r="J1130" s="144" t="s">
        <v>384</v>
      </c>
      <c r="K1130" s="77" t="s">
        <v>169</v>
      </c>
      <c r="L1130" s="103" t="str">
        <f>VLOOKUP(Anexo_4[[#This Row],[cod_doc]],TIPODOC,2,FALSE)</f>
        <v>FACTURA</v>
      </c>
      <c r="M1130" s="77" t="s">
        <v>103</v>
      </c>
      <c r="N1130" s="79">
        <v>17234</v>
      </c>
      <c r="O1130" s="80">
        <v>16.95</v>
      </c>
      <c r="P1130" s="81"/>
      <c r="Q1130" s="81">
        <v>3.0509999999999997</v>
      </c>
      <c r="R1130" s="80"/>
      <c r="S1130" s="80">
        <v>0</v>
      </c>
      <c r="T1130" s="82">
        <v>20</v>
      </c>
      <c r="U1130" s="77"/>
      <c r="V1130" s="75"/>
      <c r="W1130" s="77"/>
      <c r="X1130" s="77"/>
      <c r="Y1130" s="77"/>
      <c r="Z1130" s="77" t="s">
        <v>182</v>
      </c>
      <c r="AA1130" s="83" t="s">
        <v>930</v>
      </c>
      <c r="AB1130" s="104" t="str">
        <f>IFERROR(VLOOKUP(Anexo_4[[#This Row],[cuenta]],OP,2,0),"-")</f>
        <v>Balanza - Ventas</v>
      </c>
    </row>
    <row r="1131" spans="1:28" s="84" customFormat="1" ht="27" customHeight="1" x14ac:dyDescent="0.3">
      <c r="A1131" s="75" t="s">
        <v>3578</v>
      </c>
      <c r="B1131" s="36" t="str">
        <f t="shared" si="17"/>
        <v>Agosto</v>
      </c>
      <c r="C1131" s="77" t="s">
        <v>162</v>
      </c>
      <c r="D1131" s="77" t="s">
        <v>3706</v>
      </c>
      <c r="E113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131" s="79" t="s">
        <v>355</v>
      </c>
      <c r="G1131" s="79" t="s">
        <v>356</v>
      </c>
      <c r="H1131" s="140" t="s">
        <v>3707</v>
      </c>
      <c r="I1131" s="77" t="s">
        <v>3708</v>
      </c>
      <c r="J1131" s="144" t="s">
        <v>3709</v>
      </c>
      <c r="K1131" s="77" t="s">
        <v>169</v>
      </c>
      <c r="L1131" s="103" t="str">
        <f>VLOOKUP(Anexo_4[[#This Row],[cod_doc]],TIPODOC,2,FALSE)</f>
        <v>FACTURA</v>
      </c>
      <c r="M1131" s="77" t="s">
        <v>102</v>
      </c>
      <c r="N1131" s="79">
        <v>211</v>
      </c>
      <c r="O1131" s="80">
        <v>847.46</v>
      </c>
      <c r="P1131" s="81"/>
      <c r="Q1131" s="81">
        <v>152.5428</v>
      </c>
      <c r="R1131" s="80"/>
      <c r="S1131" s="80">
        <v>0</v>
      </c>
      <c r="T1131" s="82">
        <v>1000</v>
      </c>
      <c r="U1131" s="77" t="s">
        <v>3710</v>
      </c>
      <c r="V1131" s="75" t="s">
        <v>3711</v>
      </c>
      <c r="W1131" s="77"/>
      <c r="X1131" s="77"/>
      <c r="Y1131" s="77"/>
      <c r="Z1131" s="77" t="s">
        <v>893</v>
      </c>
      <c r="AA1131" s="83" t="s">
        <v>3707</v>
      </c>
      <c r="AB1131" s="104" t="str">
        <f>IFERROR(VLOOKUP(Anexo_4[[#This Row],[cuenta]],OP,2,0),"-")</f>
        <v>Transporte de Carga - Servicios</v>
      </c>
    </row>
    <row r="1132" spans="1:28" s="84" customFormat="1" ht="27" customHeight="1" x14ac:dyDescent="0.3">
      <c r="A1132" s="75" t="s">
        <v>3670</v>
      </c>
      <c r="B1132" s="36" t="str">
        <f t="shared" si="17"/>
        <v>Agosto</v>
      </c>
      <c r="C1132" s="77" t="s">
        <v>162</v>
      </c>
      <c r="D1132" s="77" t="s">
        <v>3712</v>
      </c>
      <c r="E113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132" s="79" t="s">
        <v>248</v>
      </c>
      <c r="G1132" s="79" t="s">
        <v>249</v>
      </c>
      <c r="H1132" s="140" t="s">
        <v>3713</v>
      </c>
      <c r="I1132" s="77" t="s">
        <v>625</v>
      </c>
      <c r="J1132" s="144" t="s">
        <v>626</v>
      </c>
      <c r="K1132" s="77" t="s">
        <v>169</v>
      </c>
      <c r="L1132" s="103" t="str">
        <f>VLOOKUP(Anexo_4[[#This Row],[cod_doc]],TIPODOC,2,FALSE)</f>
        <v>FACTURA</v>
      </c>
      <c r="M1132" s="77" t="s">
        <v>180</v>
      </c>
      <c r="N1132" s="79">
        <v>16619</v>
      </c>
      <c r="O1132" s="80">
        <v>269.37</v>
      </c>
      <c r="P1132" s="81"/>
      <c r="Q1132" s="81">
        <v>48.486599999999996</v>
      </c>
      <c r="R1132" s="80"/>
      <c r="S1132" s="80">
        <v>0</v>
      </c>
      <c r="T1132" s="82">
        <v>317.87</v>
      </c>
      <c r="U1132" s="77"/>
      <c r="V1132" s="75"/>
      <c r="W1132" s="77"/>
      <c r="X1132" s="77"/>
      <c r="Y1132" s="77" t="s">
        <v>3714</v>
      </c>
      <c r="Z1132" s="77" t="s">
        <v>256</v>
      </c>
      <c r="AA1132" s="83" t="s">
        <v>3713</v>
      </c>
      <c r="AB1132" s="104" t="str">
        <f>IFERROR(VLOOKUP(Anexo_4[[#This Row],[cuenta]],OP,2,0),"-")</f>
        <v>Materias Primas - RRSS</v>
      </c>
    </row>
    <row r="1133" spans="1:28" s="84" customFormat="1" ht="27" customHeight="1" x14ac:dyDescent="0.3">
      <c r="A1133" s="75" t="s">
        <v>2494</v>
      </c>
      <c r="B1133" s="36" t="str">
        <f t="shared" si="17"/>
        <v>Agosto</v>
      </c>
      <c r="C1133" s="77" t="s">
        <v>162</v>
      </c>
      <c r="D1133" s="77" t="s">
        <v>3715</v>
      </c>
      <c r="E1133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133" s="79" t="s">
        <v>248</v>
      </c>
      <c r="G1133" s="79" t="s">
        <v>249</v>
      </c>
      <c r="H1133" s="140" t="s">
        <v>3716</v>
      </c>
      <c r="I1133" s="77" t="s">
        <v>3717</v>
      </c>
      <c r="J1133" s="144" t="s">
        <v>3718</v>
      </c>
      <c r="K1133" s="77" t="s">
        <v>169</v>
      </c>
      <c r="L1133" s="103" t="str">
        <f>VLOOKUP(Anexo_4[[#This Row],[cod_doc]],TIPODOC,2,FALSE)</f>
        <v>FACTURA</v>
      </c>
      <c r="M1133" s="77" t="s">
        <v>3719</v>
      </c>
      <c r="N1133" s="79">
        <v>43596</v>
      </c>
      <c r="O1133" s="80">
        <v>2620.9299999999998</v>
      </c>
      <c r="P1133" s="81"/>
      <c r="Q1133" s="81">
        <v>471.76739999999995</v>
      </c>
      <c r="R1133" s="80"/>
      <c r="S1133" s="80">
        <v>0</v>
      </c>
      <c r="T1133" s="82">
        <v>3092.7</v>
      </c>
      <c r="U1133" s="77" t="s">
        <v>3720</v>
      </c>
      <c r="V1133" s="75" t="s">
        <v>3711</v>
      </c>
      <c r="W1133" s="77"/>
      <c r="X1133" s="77"/>
      <c r="Y1133" s="77" t="s">
        <v>3721</v>
      </c>
      <c r="Z1133" s="77" t="s">
        <v>256</v>
      </c>
      <c r="AA1133" s="83" t="s">
        <v>3716</v>
      </c>
      <c r="AB1133" s="104" t="str">
        <f>IFERROR(VLOOKUP(Anexo_4[[#This Row],[cuenta]],OP,2,0),"-")</f>
        <v>Materias Primas - RRSS</v>
      </c>
    </row>
    <row r="1134" spans="1:28" s="84" customFormat="1" ht="27" customHeight="1" x14ac:dyDescent="0.3">
      <c r="A1134" s="75" t="s">
        <v>2494</v>
      </c>
      <c r="B1134" s="36" t="str">
        <f t="shared" si="17"/>
        <v>Agosto</v>
      </c>
      <c r="C1134" s="77" t="s">
        <v>162</v>
      </c>
      <c r="D1134" s="77" t="s">
        <v>3722</v>
      </c>
      <c r="E1134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134" s="79" t="s">
        <v>248</v>
      </c>
      <c r="G1134" s="79" t="s">
        <v>249</v>
      </c>
      <c r="H1134" s="140" t="s">
        <v>3723</v>
      </c>
      <c r="I1134" s="77" t="s">
        <v>3717</v>
      </c>
      <c r="J1134" s="144" t="s">
        <v>3718</v>
      </c>
      <c r="K1134" s="77" t="s">
        <v>169</v>
      </c>
      <c r="L1134" s="103" t="str">
        <f>VLOOKUP(Anexo_4[[#This Row],[cod_doc]],TIPODOC,2,FALSE)</f>
        <v>FACTURA</v>
      </c>
      <c r="M1134" s="77" t="s">
        <v>3719</v>
      </c>
      <c r="N1134" s="79">
        <v>43595</v>
      </c>
      <c r="O1134" s="80">
        <v>1493.22</v>
      </c>
      <c r="P1134" s="81"/>
      <c r="Q1134" s="81">
        <v>268.77960000000002</v>
      </c>
      <c r="R1134" s="80"/>
      <c r="S1134" s="80">
        <v>0</v>
      </c>
      <c r="T1134" s="82">
        <v>1761.99</v>
      </c>
      <c r="U1134" s="77" t="s">
        <v>3724</v>
      </c>
      <c r="V1134" s="75" t="s">
        <v>3711</v>
      </c>
      <c r="W1134" s="77"/>
      <c r="X1134" s="77"/>
      <c r="Y1134" s="77" t="s">
        <v>3725</v>
      </c>
      <c r="Z1134" s="77" t="s">
        <v>256</v>
      </c>
      <c r="AA1134" s="83" t="s">
        <v>3723</v>
      </c>
      <c r="AB1134" s="104" t="str">
        <f>IFERROR(VLOOKUP(Anexo_4[[#This Row],[cuenta]],OP,2,0),"-")</f>
        <v>Materias Primas - RRSS</v>
      </c>
    </row>
    <row r="1135" spans="1:28" s="84" customFormat="1" ht="27" customHeight="1" x14ac:dyDescent="0.3">
      <c r="A1135" s="75" t="s">
        <v>2494</v>
      </c>
      <c r="B1135" s="36" t="str">
        <f t="shared" si="17"/>
        <v>Agosto</v>
      </c>
      <c r="C1135" s="77" t="s">
        <v>162</v>
      </c>
      <c r="D1135" s="77" t="s">
        <v>3726</v>
      </c>
      <c r="E113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135" s="79" t="s">
        <v>248</v>
      </c>
      <c r="G1135" s="79" t="s">
        <v>249</v>
      </c>
      <c r="H1135" s="140" t="s">
        <v>3727</v>
      </c>
      <c r="I1135" s="77" t="s">
        <v>3717</v>
      </c>
      <c r="J1135" s="144" t="s">
        <v>3718</v>
      </c>
      <c r="K1135" s="77" t="s">
        <v>169</v>
      </c>
      <c r="L1135" s="103" t="str">
        <f>VLOOKUP(Anexo_4[[#This Row],[cod_doc]],TIPODOC,2,FALSE)</f>
        <v>FACTURA</v>
      </c>
      <c r="M1135" s="77" t="s">
        <v>3719</v>
      </c>
      <c r="N1135" s="79">
        <v>43594</v>
      </c>
      <c r="O1135" s="80">
        <v>555.51</v>
      </c>
      <c r="P1135" s="81"/>
      <c r="Q1135" s="81">
        <v>99.991799999999998</v>
      </c>
      <c r="R1135" s="80"/>
      <c r="S1135" s="80">
        <v>0</v>
      </c>
      <c r="T1135" s="82">
        <v>655.5</v>
      </c>
      <c r="U1135" s="77" t="s">
        <v>3728</v>
      </c>
      <c r="V1135" s="75" t="s">
        <v>3711</v>
      </c>
      <c r="W1135" s="77"/>
      <c r="X1135" s="77"/>
      <c r="Y1135" s="77" t="s">
        <v>3729</v>
      </c>
      <c r="Z1135" s="77" t="s">
        <v>256</v>
      </c>
      <c r="AA1135" s="83" t="s">
        <v>3727</v>
      </c>
      <c r="AB1135" s="104" t="str">
        <f>IFERROR(VLOOKUP(Anexo_4[[#This Row],[cuenta]],OP,2,0),"-")</f>
        <v>Materias Primas - RRSS</v>
      </c>
    </row>
    <row r="1136" spans="1:28" s="84" customFormat="1" ht="27" customHeight="1" x14ac:dyDescent="0.3">
      <c r="A1136" s="75" t="s">
        <v>2494</v>
      </c>
      <c r="B1136" s="36" t="str">
        <f t="shared" si="17"/>
        <v>Agosto</v>
      </c>
      <c r="C1136" s="77" t="s">
        <v>162</v>
      </c>
      <c r="D1136" s="77" t="s">
        <v>3730</v>
      </c>
      <c r="E113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136" s="79" t="s">
        <v>248</v>
      </c>
      <c r="G1136" s="79" t="s">
        <v>249</v>
      </c>
      <c r="H1136" s="140" t="s">
        <v>3731</v>
      </c>
      <c r="I1136" s="77" t="s">
        <v>3717</v>
      </c>
      <c r="J1136" s="144" t="s">
        <v>3718</v>
      </c>
      <c r="K1136" s="77" t="s">
        <v>169</v>
      </c>
      <c r="L1136" s="103" t="str">
        <f>VLOOKUP(Anexo_4[[#This Row],[cod_doc]],TIPODOC,2,FALSE)</f>
        <v>FACTURA</v>
      </c>
      <c r="M1136" s="77" t="s">
        <v>3719</v>
      </c>
      <c r="N1136" s="79">
        <v>43593</v>
      </c>
      <c r="O1136" s="80">
        <v>320.16000000000003</v>
      </c>
      <c r="P1136" s="81"/>
      <c r="Q1136" s="81">
        <v>57.628800000000005</v>
      </c>
      <c r="R1136" s="80"/>
      <c r="S1136" s="80">
        <v>0</v>
      </c>
      <c r="T1136" s="82">
        <v>377.79</v>
      </c>
      <c r="U1136" s="77" t="s">
        <v>3732</v>
      </c>
      <c r="V1136" s="75" t="s">
        <v>3711</v>
      </c>
      <c r="W1136" s="77"/>
      <c r="X1136" s="77"/>
      <c r="Y1136" s="77" t="s">
        <v>3733</v>
      </c>
      <c r="Z1136" s="77" t="s">
        <v>256</v>
      </c>
      <c r="AA1136" s="83" t="s">
        <v>3731</v>
      </c>
      <c r="AB1136" s="104" t="str">
        <f>IFERROR(VLOOKUP(Anexo_4[[#This Row],[cuenta]],OP,2,0),"-")</f>
        <v>Materias Primas - RRSS</v>
      </c>
    </row>
    <row r="1137" spans="1:28" s="84" customFormat="1" ht="27" customHeight="1" x14ac:dyDescent="0.3">
      <c r="A1137" s="75" t="s">
        <v>2494</v>
      </c>
      <c r="B1137" s="36" t="str">
        <f t="shared" si="17"/>
        <v>Agosto</v>
      </c>
      <c r="C1137" s="77" t="s">
        <v>162</v>
      </c>
      <c r="D1137" s="77" t="s">
        <v>3734</v>
      </c>
      <c r="E1137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137" s="79" t="s">
        <v>248</v>
      </c>
      <c r="G1137" s="79" t="s">
        <v>249</v>
      </c>
      <c r="H1137" s="140" t="s">
        <v>3735</v>
      </c>
      <c r="I1137" s="77" t="s">
        <v>3717</v>
      </c>
      <c r="J1137" s="144" t="s">
        <v>3718</v>
      </c>
      <c r="K1137" s="77" t="s">
        <v>169</v>
      </c>
      <c r="L1137" s="103" t="str">
        <f>VLOOKUP(Anexo_4[[#This Row],[cod_doc]],TIPODOC,2,FALSE)</f>
        <v>FACTURA</v>
      </c>
      <c r="M1137" s="77" t="s">
        <v>3719</v>
      </c>
      <c r="N1137" s="79">
        <v>43592</v>
      </c>
      <c r="O1137" s="80">
        <v>459.15</v>
      </c>
      <c r="P1137" s="81"/>
      <c r="Q1137" s="81">
        <v>82.646999999999991</v>
      </c>
      <c r="R1137" s="80"/>
      <c r="S1137" s="80">
        <v>0</v>
      </c>
      <c r="T1137" s="82">
        <v>541.79</v>
      </c>
      <c r="U1137" s="77" t="s">
        <v>3736</v>
      </c>
      <c r="V1137" s="75" t="s">
        <v>3711</v>
      </c>
      <c r="W1137" s="77"/>
      <c r="X1137" s="77"/>
      <c r="Y1137" s="77" t="s">
        <v>3737</v>
      </c>
      <c r="Z1137" s="77" t="s">
        <v>256</v>
      </c>
      <c r="AA1137" s="83" t="s">
        <v>3735</v>
      </c>
      <c r="AB1137" s="104" t="str">
        <f>IFERROR(VLOOKUP(Anexo_4[[#This Row],[cuenta]],OP,2,0),"-")</f>
        <v>Materias Primas - RRSS</v>
      </c>
    </row>
    <row r="1138" spans="1:28" s="84" customFormat="1" ht="27" customHeight="1" x14ac:dyDescent="0.3">
      <c r="A1138" s="75" t="s">
        <v>2494</v>
      </c>
      <c r="B1138" s="36" t="str">
        <f t="shared" si="17"/>
        <v>Agosto</v>
      </c>
      <c r="C1138" s="77" t="s">
        <v>162</v>
      </c>
      <c r="D1138" s="77" t="s">
        <v>3738</v>
      </c>
      <c r="E1138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138" s="79" t="s">
        <v>248</v>
      </c>
      <c r="G1138" s="79" t="s">
        <v>249</v>
      </c>
      <c r="H1138" s="140" t="s">
        <v>3739</v>
      </c>
      <c r="I1138" s="77" t="s">
        <v>3717</v>
      </c>
      <c r="J1138" s="144" t="s">
        <v>3718</v>
      </c>
      <c r="K1138" s="77" t="s">
        <v>169</v>
      </c>
      <c r="L1138" s="103" t="str">
        <f>VLOOKUP(Anexo_4[[#This Row],[cod_doc]],TIPODOC,2,FALSE)</f>
        <v>FACTURA</v>
      </c>
      <c r="M1138" s="77" t="s">
        <v>3719</v>
      </c>
      <c r="N1138" s="79">
        <v>43597</v>
      </c>
      <c r="O1138" s="80">
        <v>3600</v>
      </c>
      <c r="P1138" s="81"/>
      <c r="Q1138" s="81">
        <v>648</v>
      </c>
      <c r="R1138" s="80"/>
      <c r="S1138" s="80">
        <v>0</v>
      </c>
      <c r="T1138" s="82">
        <v>4248</v>
      </c>
      <c r="U1138" s="77" t="s">
        <v>3740</v>
      </c>
      <c r="V1138" s="75" t="s">
        <v>3711</v>
      </c>
      <c r="W1138" s="77"/>
      <c r="X1138" s="77"/>
      <c r="Y1138" s="77" t="s">
        <v>3741</v>
      </c>
      <c r="Z1138" s="77" t="s">
        <v>256</v>
      </c>
      <c r="AA1138" s="83" t="s">
        <v>3739</v>
      </c>
      <c r="AB1138" s="104" t="str">
        <f>IFERROR(VLOOKUP(Anexo_4[[#This Row],[cuenta]],OP,2,0),"-")</f>
        <v>Materias Primas - RRSS</v>
      </c>
    </row>
    <row r="1139" spans="1:28" s="84" customFormat="1" ht="27" customHeight="1" x14ac:dyDescent="0.3">
      <c r="A1139" s="75" t="s">
        <v>3624</v>
      </c>
      <c r="B1139" s="36" t="str">
        <f t="shared" si="17"/>
        <v>Agosto</v>
      </c>
      <c r="C1139" s="77" t="s">
        <v>162</v>
      </c>
      <c r="D1139" s="77" t="s">
        <v>3742</v>
      </c>
      <c r="E1139" s="78" t="str">
        <f>IF(LEFT(Anexo_4[[#This Row],[c_costos]],2)="91","OPERACIONES",IF(LEFT(Anexo_4[[#This Row],[c_costos]],2)="97","G. FINANCIEROS",IF(LEFT(Anexo_4[[#This Row],[c_costos]],2)="95","G. VENTAS","G. ADMINISTRACIÓN")))</f>
        <v>G. FINANCIEROS</v>
      </c>
      <c r="F1139" s="79" t="s">
        <v>474</v>
      </c>
      <c r="G1139" s="79" t="s">
        <v>475</v>
      </c>
      <c r="H1139" s="140" t="s">
        <v>3480</v>
      </c>
      <c r="I1139" s="77" t="s">
        <v>477</v>
      </c>
      <c r="J1139" s="144" t="s">
        <v>478</v>
      </c>
      <c r="K1139" s="77" t="s">
        <v>169</v>
      </c>
      <c r="L1139" s="103" t="str">
        <f>VLOOKUP(Anexo_4[[#This Row],[cod_doc]],TIPODOC,2,FALSE)</f>
        <v>FACTURA</v>
      </c>
      <c r="M1139" s="77" t="s">
        <v>421</v>
      </c>
      <c r="N1139" s="79">
        <v>2426106</v>
      </c>
      <c r="O1139" s="80"/>
      <c r="P1139" s="81"/>
      <c r="Q1139" s="81"/>
      <c r="R1139" s="80"/>
      <c r="S1139" s="80">
        <v>19.89</v>
      </c>
      <c r="T1139" s="82">
        <v>19.89</v>
      </c>
      <c r="U1139" s="77"/>
      <c r="V1139" s="75"/>
      <c r="W1139" s="77"/>
      <c r="X1139" s="77"/>
      <c r="Y1139" s="77"/>
      <c r="Z1139" s="77" t="s">
        <v>3481</v>
      </c>
      <c r="AA1139" s="83" t="s">
        <v>3480</v>
      </c>
      <c r="AB1139" s="104" t="str">
        <f>IFERROR(VLOOKUP(Anexo_4[[#This Row],[cuenta]],OP,2,0),"-")</f>
        <v>-</v>
      </c>
    </row>
    <row r="1140" spans="1:28" s="84" customFormat="1" ht="27" customHeight="1" x14ac:dyDescent="0.3">
      <c r="A1140" s="75" t="s">
        <v>3743</v>
      </c>
      <c r="B1140" s="36" t="str">
        <f t="shared" si="17"/>
        <v>Agosto</v>
      </c>
      <c r="C1140" s="77" t="s">
        <v>162</v>
      </c>
      <c r="D1140" s="77" t="s">
        <v>3744</v>
      </c>
      <c r="E1140" s="78" t="str">
        <f>IF(LEFT(Anexo_4[[#This Row],[c_costos]],2)="91","OPERACIONES",IF(LEFT(Anexo_4[[#This Row],[c_costos]],2)="97","G. FINANCIEROS",IF(LEFT(Anexo_4[[#This Row],[c_costos]],2)="95","G. VENTAS","G. ADMINISTRACIÓN")))</f>
        <v>G. FINANCIEROS</v>
      </c>
      <c r="F1140" s="79" t="s">
        <v>474</v>
      </c>
      <c r="G1140" s="79" t="s">
        <v>475</v>
      </c>
      <c r="H1140" s="140" t="s">
        <v>3440</v>
      </c>
      <c r="I1140" s="77" t="s">
        <v>477</v>
      </c>
      <c r="J1140" s="144" t="s">
        <v>478</v>
      </c>
      <c r="K1140" s="77" t="s">
        <v>169</v>
      </c>
      <c r="L1140" s="103" t="str">
        <f>VLOOKUP(Anexo_4[[#This Row],[cod_doc]],TIPODOC,2,FALSE)</f>
        <v>FACTURA</v>
      </c>
      <c r="M1140" s="77" t="s">
        <v>3477</v>
      </c>
      <c r="N1140" s="79">
        <v>16106846</v>
      </c>
      <c r="O1140" s="80"/>
      <c r="P1140" s="81"/>
      <c r="Q1140" s="81"/>
      <c r="R1140" s="80"/>
      <c r="S1140" s="80">
        <v>40.5</v>
      </c>
      <c r="T1140" s="82">
        <v>40.5</v>
      </c>
      <c r="U1140" s="77"/>
      <c r="V1140" s="75"/>
      <c r="W1140" s="77"/>
      <c r="X1140" s="77"/>
      <c r="Y1140" s="77"/>
      <c r="Z1140" s="77" t="s">
        <v>3441</v>
      </c>
      <c r="AA1140" s="83" t="s">
        <v>3440</v>
      </c>
      <c r="AB1140" s="104" t="str">
        <f>IFERROR(VLOOKUP(Anexo_4[[#This Row],[cuenta]],OP,2,0),"-")</f>
        <v>-</v>
      </c>
    </row>
    <row r="1141" spans="1:28" s="84" customFormat="1" ht="27" customHeight="1" x14ac:dyDescent="0.3">
      <c r="A1141" s="75" t="s">
        <v>3743</v>
      </c>
      <c r="B1141" s="36" t="str">
        <f t="shared" si="17"/>
        <v>Agosto</v>
      </c>
      <c r="C1141" s="77" t="s">
        <v>162</v>
      </c>
      <c r="D1141" s="77" t="s">
        <v>3745</v>
      </c>
      <c r="E1141" s="78" t="str">
        <f>IF(LEFT(Anexo_4[[#This Row],[c_costos]],2)="91","OPERACIONES",IF(LEFT(Anexo_4[[#This Row],[c_costos]],2)="97","G. FINANCIEROS",IF(LEFT(Anexo_4[[#This Row],[c_costos]],2)="95","G. VENTAS","G. ADMINISTRACIÓN")))</f>
        <v>G. FINANCIEROS</v>
      </c>
      <c r="F1141" s="79" t="s">
        <v>474</v>
      </c>
      <c r="G1141" s="79" t="s">
        <v>475</v>
      </c>
      <c r="H1141" s="140" t="s">
        <v>3440</v>
      </c>
      <c r="I1141" s="77" t="s">
        <v>477</v>
      </c>
      <c r="J1141" s="144" t="s">
        <v>478</v>
      </c>
      <c r="K1141" s="77" t="s">
        <v>169</v>
      </c>
      <c r="L1141" s="103" t="str">
        <f>VLOOKUP(Anexo_4[[#This Row],[cod_doc]],TIPODOC,2,FALSE)</f>
        <v>FACTURA</v>
      </c>
      <c r="M1141" s="77" t="s">
        <v>3477</v>
      </c>
      <c r="N1141" s="79">
        <v>16106894</v>
      </c>
      <c r="O1141" s="80"/>
      <c r="P1141" s="81"/>
      <c r="Q1141" s="81"/>
      <c r="R1141" s="80"/>
      <c r="S1141" s="80">
        <v>53.03</v>
      </c>
      <c r="T1141" s="82">
        <v>53.03</v>
      </c>
      <c r="U1141" s="77"/>
      <c r="V1141" s="75"/>
      <c r="W1141" s="77"/>
      <c r="X1141" s="77"/>
      <c r="Y1141" s="77"/>
      <c r="Z1141" s="77" t="s">
        <v>3441</v>
      </c>
      <c r="AA1141" s="83" t="s">
        <v>3440</v>
      </c>
      <c r="AB1141" s="104" t="str">
        <f>IFERROR(VLOOKUP(Anexo_4[[#This Row],[cuenta]],OP,2,0),"-")</f>
        <v>-</v>
      </c>
    </row>
    <row r="1142" spans="1:28" s="84" customFormat="1" ht="27" customHeight="1" x14ac:dyDescent="0.3">
      <c r="A1142" s="75" t="s">
        <v>3746</v>
      </c>
      <c r="B1142" s="36" t="str">
        <f t="shared" si="17"/>
        <v>Agosto</v>
      </c>
      <c r="C1142" s="77" t="s">
        <v>162</v>
      </c>
      <c r="D1142" s="77" t="s">
        <v>3747</v>
      </c>
      <c r="E114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142" s="79" t="s">
        <v>248</v>
      </c>
      <c r="G1142" s="79" t="s">
        <v>249</v>
      </c>
      <c r="H1142" s="140" t="s">
        <v>3748</v>
      </c>
      <c r="I1142" s="77" t="s">
        <v>536</v>
      </c>
      <c r="J1142" s="144" t="s">
        <v>537</v>
      </c>
      <c r="K1142" s="77" t="s">
        <v>169</v>
      </c>
      <c r="L1142" s="103" t="str">
        <f>VLOOKUP(Anexo_4[[#This Row],[cod_doc]],TIPODOC,2,FALSE)</f>
        <v>FACTURA</v>
      </c>
      <c r="M1142" s="77" t="s">
        <v>538</v>
      </c>
      <c r="N1142" s="79">
        <v>6735</v>
      </c>
      <c r="O1142" s="80">
        <v>151.19999999999999</v>
      </c>
      <c r="P1142" s="81"/>
      <c r="Q1142" s="81">
        <v>27.215999999999998</v>
      </c>
      <c r="R1142" s="80"/>
      <c r="S1142" s="80">
        <v>0</v>
      </c>
      <c r="T1142" s="82">
        <v>178.42</v>
      </c>
      <c r="U1142" s="77" t="s">
        <v>3749</v>
      </c>
      <c r="V1142" s="75" t="s">
        <v>3711</v>
      </c>
      <c r="W1142" s="77"/>
      <c r="X1142" s="77"/>
      <c r="Y1142" s="77" t="s">
        <v>3750</v>
      </c>
      <c r="Z1142" s="77" t="s">
        <v>256</v>
      </c>
      <c r="AA1142" s="83" t="s">
        <v>3748</v>
      </c>
      <c r="AB1142" s="104" t="str">
        <f>IFERROR(VLOOKUP(Anexo_4[[#This Row],[cuenta]],OP,2,0),"-")</f>
        <v>Materias Primas - RRSS</v>
      </c>
    </row>
    <row r="1143" spans="1:28" s="84" customFormat="1" ht="27" customHeight="1" x14ac:dyDescent="0.3">
      <c r="A1143" s="75" t="s">
        <v>3746</v>
      </c>
      <c r="B1143" s="36" t="str">
        <f t="shared" si="17"/>
        <v>Agosto</v>
      </c>
      <c r="C1143" s="77" t="s">
        <v>162</v>
      </c>
      <c r="D1143" s="77" t="s">
        <v>3751</v>
      </c>
      <c r="E1143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143" s="79" t="s">
        <v>248</v>
      </c>
      <c r="G1143" s="79" t="s">
        <v>249</v>
      </c>
      <c r="H1143" s="140" t="s">
        <v>3752</v>
      </c>
      <c r="I1143" s="77" t="s">
        <v>536</v>
      </c>
      <c r="J1143" s="144" t="s">
        <v>537</v>
      </c>
      <c r="K1143" s="77" t="s">
        <v>169</v>
      </c>
      <c r="L1143" s="103" t="str">
        <f>VLOOKUP(Anexo_4[[#This Row],[cod_doc]],TIPODOC,2,FALSE)</f>
        <v>FACTURA</v>
      </c>
      <c r="M1143" s="77" t="s">
        <v>538</v>
      </c>
      <c r="N1143" s="79">
        <v>6740</v>
      </c>
      <c r="O1143" s="80">
        <v>512</v>
      </c>
      <c r="P1143" s="81"/>
      <c r="Q1143" s="81">
        <v>92.16</v>
      </c>
      <c r="R1143" s="80"/>
      <c r="S1143" s="80">
        <v>0</v>
      </c>
      <c r="T1143" s="82">
        <v>604.16</v>
      </c>
      <c r="U1143" s="77" t="s">
        <v>3753</v>
      </c>
      <c r="V1143" s="75" t="s">
        <v>3711</v>
      </c>
      <c r="W1143" s="77"/>
      <c r="X1143" s="77"/>
      <c r="Y1143" s="77" t="s">
        <v>3754</v>
      </c>
      <c r="Z1143" s="77" t="s">
        <v>256</v>
      </c>
      <c r="AA1143" s="83" t="s">
        <v>3752</v>
      </c>
      <c r="AB1143" s="104" t="str">
        <f>IFERROR(VLOOKUP(Anexo_4[[#This Row],[cuenta]],OP,2,0),"-")</f>
        <v>Materias Primas - RRSS</v>
      </c>
    </row>
    <row r="1144" spans="1:28" s="84" customFormat="1" ht="27" customHeight="1" x14ac:dyDescent="0.3">
      <c r="A1144" s="75" t="s">
        <v>3746</v>
      </c>
      <c r="B1144" s="36" t="str">
        <f t="shared" si="17"/>
        <v>Agosto</v>
      </c>
      <c r="C1144" s="77" t="s">
        <v>162</v>
      </c>
      <c r="D1144" s="77" t="s">
        <v>3755</v>
      </c>
      <c r="E1144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144" s="79" t="s">
        <v>248</v>
      </c>
      <c r="G1144" s="79" t="s">
        <v>249</v>
      </c>
      <c r="H1144" s="140" t="s">
        <v>3756</v>
      </c>
      <c r="I1144" s="77" t="s">
        <v>536</v>
      </c>
      <c r="J1144" s="144" t="s">
        <v>537</v>
      </c>
      <c r="K1144" s="77" t="s">
        <v>169</v>
      </c>
      <c r="L1144" s="103" t="str">
        <f>VLOOKUP(Anexo_4[[#This Row],[cod_doc]],TIPODOC,2,FALSE)</f>
        <v>FACTURA</v>
      </c>
      <c r="M1144" s="77" t="s">
        <v>538</v>
      </c>
      <c r="N1144" s="79">
        <v>6736</v>
      </c>
      <c r="O1144" s="80">
        <v>378</v>
      </c>
      <c r="P1144" s="81"/>
      <c r="Q1144" s="81">
        <v>68.039999999999992</v>
      </c>
      <c r="R1144" s="80"/>
      <c r="S1144" s="80">
        <v>0</v>
      </c>
      <c r="T1144" s="82">
        <v>446.04</v>
      </c>
      <c r="U1144" s="77" t="s">
        <v>3757</v>
      </c>
      <c r="V1144" s="75" t="s">
        <v>3711</v>
      </c>
      <c r="W1144" s="77"/>
      <c r="X1144" s="77"/>
      <c r="Y1144" s="77" t="s">
        <v>3758</v>
      </c>
      <c r="Z1144" s="77" t="s">
        <v>256</v>
      </c>
      <c r="AA1144" s="83" t="s">
        <v>3756</v>
      </c>
      <c r="AB1144" s="104" t="str">
        <f>IFERROR(VLOOKUP(Anexo_4[[#This Row],[cuenta]],OP,2,0),"-")</f>
        <v>Materias Primas - RRSS</v>
      </c>
    </row>
    <row r="1145" spans="1:28" s="84" customFormat="1" ht="27" customHeight="1" x14ac:dyDescent="0.3">
      <c r="A1145" s="75" t="s">
        <v>3746</v>
      </c>
      <c r="B1145" s="36" t="str">
        <f t="shared" si="17"/>
        <v>Agosto</v>
      </c>
      <c r="C1145" s="77" t="s">
        <v>162</v>
      </c>
      <c r="D1145" s="77" t="s">
        <v>3759</v>
      </c>
      <c r="E114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145" s="79" t="s">
        <v>248</v>
      </c>
      <c r="G1145" s="79" t="s">
        <v>249</v>
      </c>
      <c r="H1145" s="140" t="s">
        <v>3760</v>
      </c>
      <c r="I1145" s="77" t="s">
        <v>536</v>
      </c>
      <c r="J1145" s="144" t="s">
        <v>537</v>
      </c>
      <c r="K1145" s="77" t="s">
        <v>169</v>
      </c>
      <c r="L1145" s="103" t="str">
        <f>VLOOKUP(Anexo_4[[#This Row],[cod_doc]],TIPODOC,2,FALSE)</f>
        <v>FACTURA</v>
      </c>
      <c r="M1145" s="77" t="s">
        <v>538</v>
      </c>
      <c r="N1145" s="79">
        <v>6737</v>
      </c>
      <c r="O1145" s="80">
        <v>6.9</v>
      </c>
      <c r="P1145" s="81"/>
      <c r="Q1145" s="81">
        <v>1.242</v>
      </c>
      <c r="R1145" s="80"/>
      <c r="S1145" s="80">
        <v>0</v>
      </c>
      <c r="T1145" s="82">
        <v>8.14</v>
      </c>
      <c r="U1145" s="77" t="s">
        <v>3761</v>
      </c>
      <c r="V1145" s="75" t="s">
        <v>3711</v>
      </c>
      <c r="W1145" s="77"/>
      <c r="X1145" s="77"/>
      <c r="Y1145" s="77" t="s">
        <v>3762</v>
      </c>
      <c r="Z1145" s="77" t="s">
        <v>256</v>
      </c>
      <c r="AA1145" s="83" t="s">
        <v>3760</v>
      </c>
      <c r="AB1145" s="104" t="str">
        <f>IFERROR(VLOOKUP(Anexo_4[[#This Row],[cuenta]],OP,2,0),"-")</f>
        <v>Materias Primas - RRSS</v>
      </c>
    </row>
    <row r="1146" spans="1:28" s="84" customFormat="1" ht="27" customHeight="1" x14ac:dyDescent="0.3">
      <c r="A1146" s="75" t="s">
        <v>3746</v>
      </c>
      <c r="B1146" s="36" t="str">
        <f t="shared" si="17"/>
        <v>Agosto</v>
      </c>
      <c r="C1146" s="77" t="s">
        <v>162</v>
      </c>
      <c r="D1146" s="77" t="s">
        <v>3763</v>
      </c>
      <c r="E114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146" s="79" t="s">
        <v>248</v>
      </c>
      <c r="G1146" s="79" t="s">
        <v>249</v>
      </c>
      <c r="H1146" s="140" t="s">
        <v>3764</v>
      </c>
      <c r="I1146" s="77" t="s">
        <v>536</v>
      </c>
      <c r="J1146" s="144" t="s">
        <v>537</v>
      </c>
      <c r="K1146" s="77" t="s">
        <v>169</v>
      </c>
      <c r="L1146" s="103" t="str">
        <f>VLOOKUP(Anexo_4[[#This Row],[cod_doc]],TIPODOC,2,FALSE)</f>
        <v>FACTURA</v>
      </c>
      <c r="M1146" s="77" t="s">
        <v>538</v>
      </c>
      <c r="N1146" s="79">
        <v>6738</v>
      </c>
      <c r="O1146" s="80">
        <v>344</v>
      </c>
      <c r="P1146" s="81"/>
      <c r="Q1146" s="81">
        <v>61.919999999999995</v>
      </c>
      <c r="R1146" s="80"/>
      <c r="S1146" s="80">
        <v>0</v>
      </c>
      <c r="T1146" s="82">
        <v>405.92</v>
      </c>
      <c r="U1146" s="77" t="s">
        <v>3765</v>
      </c>
      <c r="V1146" s="75" t="s">
        <v>3711</v>
      </c>
      <c r="W1146" s="77"/>
      <c r="X1146" s="77"/>
      <c r="Y1146" s="77" t="s">
        <v>3766</v>
      </c>
      <c r="Z1146" s="77" t="s">
        <v>256</v>
      </c>
      <c r="AA1146" s="83" t="s">
        <v>3764</v>
      </c>
      <c r="AB1146" s="104" t="str">
        <f>IFERROR(VLOOKUP(Anexo_4[[#This Row],[cuenta]],OP,2,0),"-")</f>
        <v>Materias Primas - RRSS</v>
      </c>
    </row>
    <row r="1147" spans="1:28" s="84" customFormat="1" ht="27" customHeight="1" x14ac:dyDescent="0.3">
      <c r="A1147" s="75" t="s">
        <v>3746</v>
      </c>
      <c r="B1147" s="36" t="str">
        <f t="shared" si="17"/>
        <v>Agosto</v>
      </c>
      <c r="C1147" s="77" t="s">
        <v>162</v>
      </c>
      <c r="D1147" s="77" t="s">
        <v>3767</v>
      </c>
      <c r="E1147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147" s="79" t="s">
        <v>248</v>
      </c>
      <c r="G1147" s="79" t="s">
        <v>249</v>
      </c>
      <c r="H1147" s="140" t="s">
        <v>3768</v>
      </c>
      <c r="I1147" s="77" t="s">
        <v>536</v>
      </c>
      <c r="J1147" s="144" t="s">
        <v>537</v>
      </c>
      <c r="K1147" s="77" t="s">
        <v>169</v>
      </c>
      <c r="L1147" s="103" t="str">
        <f>VLOOKUP(Anexo_4[[#This Row],[cod_doc]],TIPODOC,2,FALSE)</f>
        <v>FACTURA</v>
      </c>
      <c r="M1147" s="77" t="s">
        <v>538</v>
      </c>
      <c r="N1147" s="79">
        <v>6739</v>
      </c>
      <c r="O1147" s="80">
        <v>120</v>
      </c>
      <c r="P1147" s="81"/>
      <c r="Q1147" s="81">
        <v>21.599999999999998</v>
      </c>
      <c r="R1147" s="80"/>
      <c r="S1147" s="80">
        <v>0</v>
      </c>
      <c r="T1147" s="82">
        <v>141.6</v>
      </c>
      <c r="U1147" s="77" t="s">
        <v>3769</v>
      </c>
      <c r="V1147" s="75" t="s">
        <v>3711</v>
      </c>
      <c r="W1147" s="77"/>
      <c r="X1147" s="77"/>
      <c r="Y1147" s="77" t="s">
        <v>3770</v>
      </c>
      <c r="Z1147" s="77" t="s">
        <v>256</v>
      </c>
      <c r="AA1147" s="83" t="s">
        <v>3768</v>
      </c>
      <c r="AB1147" s="104" t="str">
        <f>IFERROR(VLOOKUP(Anexo_4[[#This Row],[cuenta]],OP,2,0),"-")</f>
        <v>Materias Primas - RRSS</v>
      </c>
    </row>
    <row r="1148" spans="1:28" s="84" customFormat="1" ht="27" customHeight="1" x14ac:dyDescent="0.3">
      <c r="A1148" s="75" t="s">
        <v>3670</v>
      </c>
      <c r="B1148" s="36" t="str">
        <f t="shared" si="17"/>
        <v>Agosto</v>
      </c>
      <c r="C1148" s="77" t="s">
        <v>162</v>
      </c>
      <c r="D1148" s="77" t="s">
        <v>3771</v>
      </c>
      <c r="E1148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148" s="79" t="s">
        <v>442</v>
      </c>
      <c r="G1148" s="79" t="s">
        <v>443</v>
      </c>
      <c r="H1148" s="140" t="s">
        <v>3772</v>
      </c>
      <c r="I1148" s="77" t="s">
        <v>1884</v>
      </c>
      <c r="J1148" s="144" t="s">
        <v>1885</v>
      </c>
      <c r="K1148" s="77" t="s">
        <v>169</v>
      </c>
      <c r="L1148" s="103" t="str">
        <f>VLOOKUP(Anexo_4[[#This Row],[cod_doc]],TIPODOC,2,FALSE)</f>
        <v>FACTURA</v>
      </c>
      <c r="M1148" s="77" t="s">
        <v>102</v>
      </c>
      <c r="N1148" s="79">
        <v>2516</v>
      </c>
      <c r="O1148" s="80">
        <v>25.42</v>
      </c>
      <c r="P1148" s="81"/>
      <c r="Q1148" s="81">
        <v>4.5756000000000006</v>
      </c>
      <c r="R1148" s="80"/>
      <c r="S1148" s="80">
        <v>0</v>
      </c>
      <c r="T1148" s="82">
        <v>30</v>
      </c>
      <c r="U1148" s="77"/>
      <c r="V1148" s="75"/>
      <c r="W1148" s="77"/>
      <c r="X1148" s="77"/>
      <c r="Y1148" s="77"/>
      <c r="Z1148" s="77" t="s">
        <v>1886</v>
      </c>
      <c r="AA1148" s="83" t="s">
        <v>3772</v>
      </c>
      <c r="AB1148" s="104" t="str">
        <f>IFERROR(VLOOKUP(Anexo_4[[#This Row],[cuenta]],OP,2,0),"-")</f>
        <v>-</v>
      </c>
    </row>
    <row r="1149" spans="1:28" s="84" customFormat="1" ht="27" customHeight="1" x14ac:dyDescent="0.3">
      <c r="A1149" s="75" t="s">
        <v>3624</v>
      </c>
      <c r="B1149" s="36" t="str">
        <f t="shared" si="17"/>
        <v>Agosto</v>
      </c>
      <c r="C1149" s="77" t="s">
        <v>162</v>
      </c>
      <c r="D1149" s="77" t="s">
        <v>3773</v>
      </c>
      <c r="E1149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149" s="79" t="s">
        <v>391</v>
      </c>
      <c r="G1149" s="79" t="s">
        <v>392</v>
      </c>
      <c r="H1149" s="140" t="s">
        <v>1276</v>
      </c>
      <c r="I1149" s="77" t="s">
        <v>264</v>
      </c>
      <c r="J1149" s="144" t="s">
        <v>265</v>
      </c>
      <c r="K1149" s="77" t="s">
        <v>169</v>
      </c>
      <c r="L1149" s="103" t="str">
        <f>VLOOKUP(Anexo_4[[#This Row],[cod_doc]],TIPODOC,2,FALSE)</f>
        <v>FACTURA</v>
      </c>
      <c r="M1149" s="77" t="s">
        <v>1548</v>
      </c>
      <c r="N1149" s="79">
        <v>1911643</v>
      </c>
      <c r="O1149" s="80">
        <v>6.53</v>
      </c>
      <c r="P1149" s="81"/>
      <c r="Q1149" s="81">
        <v>1.1754</v>
      </c>
      <c r="R1149" s="80"/>
      <c r="S1149" s="80">
        <v>0</v>
      </c>
      <c r="T1149" s="82">
        <v>7.7</v>
      </c>
      <c r="U1149" s="77"/>
      <c r="V1149" s="75"/>
      <c r="W1149" s="77"/>
      <c r="X1149" s="77"/>
      <c r="Y1149" s="77"/>
      <c r="Z1149" s="77" t="s">
        <v>302</v>
      </c>
      <c r="AA1149" s="83" t="s">
        <v>1276</v>
      </c>
      <c r="AB1149" s="104" t="str">
        <f>IFERROR(VLOOKUP(Anexo_4[[#This Row],[cuenta]],OP,2,0),"-")</f>
        <v>Transporte peajes - Servicios</v>
      </c>
    </row>
    <row r="1150" spans="1:28" s="84" customFormat="1" ht="27" customHeight="1" x14ac:dyDescent="0.3">
      <c r="A1150" s="75" t="s">
        <v>3578</v>
      </c>
      <c r="B1150" s="36" t="str">
        <f t="shared" si="17"/>
        <v>Agosto</v>
      </c>
      <c r="C1150" s="77" t="s">
        <v>162</v>
      </c>
      <c r="D1150" s="77" t="s">
        <v>3774</v>
      </c>
      <c r="E1150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150" s="79" t="s">
        <v>355</v>
      </c>
      <c r="G1150" s="79" t="s">
        <v>356</v>
      </c>
      <c r="H1150" s="140" t="s">
        <v>3775</v>
      </c>
      <c r="I1150" s="77" t="s">
        <v>3776</v>
      </c>
      <c r="J1150" s="144" t="s">
        <v>3777</v>
      </c>
      <c r="K1150" s="77" t="s">
        <v>239</v>
      </c>
      <c r="L1150" s="103" t="str">
        <f>VLOOKUP(Anexo_4[[#This Row],[cod_doc]],TIPODOC,2,FALSE)</f>
        <v>BOLETA DE VENTA</v>
      </c>
      <c r="M1150" s="77" t="s">
        <v>3778</v>
      </c>
      <c r="N1150" s="79">
        <v>473</v>
      </c>
      <c r="O1150" s="80"/>
      <c r="P1150" s="81"/>
      <c r="Q1150" s="81"/>
      <c r="R1150" s="80"/>
      <c r="S1150" s="80">
        <v>35</v>
      </c>
      <c r="T1150" s="82">
        <v>35</v>
      </c>
      <c r="U1150" s="77"/>
      <c r="V1150" s="75"/>
      <c r="W1150" s="77"/>
      <c r="X1150" s="77"/>
      <c r="Y1150" s="77"/>
      <c r="Z1150" s="77" t="s">
        <v>376</v>
      </c>
      <c r="AA1150" s="83" t="s">
        <v>3775</v>
      </c>
      <c r="AB1150" s="104" t="str">
        <f>IFERROR(VLOOKUP(Anexo_4[[#This Row],[cuenta]],OP,2,0),"-")</f>
        <v>Alojamiento (Operativo)</v>
      </c>
    </row>
    <row r="1151" spans="1:28" s="84" customFormat="1" ht="27" customHeight="1" x14ac:dyDescent="0.3">
      <c r="A1151" s="75" t="s">
        <v>3578</v>
      </c>
      <c r="B1151" s="36" t="str">
        <f t="shared" si="17"/>
        <v>Agosto</v>
      </c>
      <c r="C1151" s="77" t="s">
        <v>162</v>
      </c>
      <c r="D1151" s="77" t="s">
        <v>3779</v>
      </c>
      <c r="E115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151" s="79" t="s">
        <v>355</v>
      </c>
      <c r="G1151" s="79" t="s">
        <v>356</v>
      </c>
      <c r="H1151" s="140" t="s">
        <v>3775</v>
      </c>
      <c r="I1151" s="77" t="s">
        <v>3776</v>
      </c>
      <c r="J1151" s="144" t="s">
        <v>3777</v>
      </c>
      <c r="K1151" s="77" t="s">
        <v>239</v>
      </c>
      <c r="L1151" s="103" t="str">
        <f>VLOOKUP(Anexo_4[[#This Row],[cod_doc]],TIPODOC,2,FALSE)</f>
        <v>BOLETA DE VENTA</v>
      </c>
      <c r="M1151" s="77" t="s">
        <v>3778</v>
      </c>
      <c r="N1151" s="79">
        <v>474</v>
      </c>
      <c r="O1151" s="80"/>
      <c r="P1151" s="81"/>
      <c r="Q1151" s="81"/>
      <c r="R1151" s="80"/>
      <c r="S1151" s="80">
        <v>35</v>
      </c>
      <c r="T1151" s="82">
        <v>35</v>
      </c>
      <c r="U1151" s="77"/>
      <c r="V1151" s="75"/>
      <c r="W1151" s="77"/>
      <c r="X1151" s="77"/>
      <c r="Y1151" s="77"/>
      <c r="Z1151" s="77" t="s">
        <v>376</v>
      </c>
      <c r="AA1151" s="83" t="s">
        <v>3775</v>
      </c>
      <c r="AB1151" s="104" t="str">
        <f>IFERROR(VLOOKUP(Anexo_4[[#This Row],[cuenta]],OP,2,0),"-")</f>
        <v>Alojamiento (Operativo)</v>
      </c>
    </row>
    <row r="1152" spans="1:28" s="84" customFormat="1" ht="27" customHeight="1" x14ac:dyDescent="0.3">
      <c r="A1152" s="75" t="s">
        <v>3578</v>
      </c>
      <c r="B1152" s="36" t="str">
        <f t="shared" si="17"/>
        <v>Agosto</v>
      </c>
      <c r="C1152" s="77" t="s">
        <v>162</v>
      </c>
      <c r="D1152" s="77" t="s">
        <v>3780</v>
      </c>
      <c r="E115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152" s="79" t="s">
        <v>391</v>
      </c>
      <c r="G1152" s="79" t="s">
        <v>392</v>
      </c>
      <c r="H1152" s="140" t="s">
        <v>1276</v>
      </c>
      <c r="I1152" s="77" t="s">
        <v>1552</v>
      </c>
      <c r="J1152" s="144" t="s">
        <v>1553</v>
      </c>
      <c r="K1152" s="77" t="s">
        <v>169</v>
      </c>
      <c r="L1152" s="103" t="str">
        <f>VLOOKUP(Anexo_4[[#This Row],[cod_doc]],TIPODOC,2,FALSE)</f>
        <v>FACTURA</v>
      </c>
      <c r="M1152" s="77" t="s">
        <v>1554</v>
      </c>
      <c r="N1152" s="79">
        <v>655640</v>
      </c>
      <c r="O1152" s="80">
        <v>6.53</v>
      </c>
      <c r="P1152" s="81"/>
      <c r="Q1152" s="81">
        <v>1.1754</v>
      </c>
      <c r="R1152" s="80"/>
      <c r="S1152" s="80">
        <v>0</v>
      </c>
      <c r="T1152" s="82">
        <v>7.7</v>
      </c>
      <c r="U1152" s="77"/>
      <c r="V1152" s="75"/>
      <c r="W1152" s="77"/>
      <c r="X1152" s="77"/>
      <c r="Y1152" s="77"/>
      <c r="Z1152" s="77" t="s">
        <v>302</v>
      </c>
      <c r="AA1152" s="83" t="s">
        <v>1276</v>
      </c>
      <c r="AB1152" s="104" t="str">
        <f>IFERROR(VLOOKUP(Anexo_4[[#This Row],[cuenta]],OP,2,0),"-")</f>
        <v>Transporte peajes - Servicios</v>
      </c>
    </row>
    <row r="1153" spans="1:28" s="84" customFormat="1" ht="27" customHeight="1" x14ac:dyDescent="0.3">
      <c r="A1153" s="75" t="s">
        <v>3578</v>
      </c>
      <c r="B1153" s="36" t="str">
        <f t="shared" si="17"/>
        <v>Agosto</v>
      </c>
      <c r="C1153" s="77" t="s">
        <v>162</v>
      </c>
      <c r="D1153" s="77" t="s">
        <v>3781</v>
      </c>
      <c r="E1153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153" s="79" t="s">
        <v>391</v>
      </c>
      <c r="G1153" s="79" t="s">
        <v>392</v>
      </c>
      <c r="H1153" s="140" t="s">
        <v>765</v>
      </c>
      <c r="I1153" s="77" t="s">
        <v>1565</v>
      </c>
      <c r="J1153" s="144" t="s">
        <v>1566</v>
      </c>
      <c r="K1153" s="77" t="s">
        <v>169</v>
      </c>
      <c r="L1153" s="103" t="str">
        <f>VLOOKUP(Anexo_4[[#This Row],[cod_doc]],TIPODOC,2,FALSE)</f>
        <v>FACTURA</v>
      </c>
      <c r="M1153" s="77" t="s">
        <v>222</v>
      </c>
      <c r="N1153" s="79">
        <v>47279</v>
      </c>
      <c r="O1153" s="80">
        <v>84.75</v>
      </c>
      <c r="P1153" s="81"/>
      <c r="Q1153" s="81">
        <v>15.254999999999999</v>
      </c>
      <c r="R1153" s="80"/>
      <c r="S1153" s="80">
        <v>0</v>
      </c>
      <c r="T1153" s="82">
        <v>100</v>
      </c>
      <c r="U1153" s="77"/>
      <c r="V1153" s="75"/>
      <c r="W1153" s="77"/>
      <c r="X1153" s="77"/>
      <c r="Y1153" s="77"/>
      <c r="Z1153" s="77" t="s">
        <v>455</v>
      </c>
      <c r="AA1153" s="83" t="s">
        <v>765</v>
      </c>
      <c r="AB1153" s="104" t="str">
        <f>IFERROR(VLOOKUP(Anexo_4[[#This Row],[cuenta]],OP,2,0),"-")</f>
        <v>Combustible (Vehiculos)</v>
      </c>
    </row>
    <row r="1154" spans="1:28" s="84" customFormat="1" ht="27" customHeight="1" x14ac:dyDescent="0.3">
      <c r="A1154" s="75" t="s">
        <v>3578</v>
      </c>
      <c r="B1154" s="36" t="str">
        <f t="shared" ref="B1154:B1217" si="18">PROPER(CHOOSE(LEFT(D1154,2),"enero","febrero","marzo","abril","mayo","junio","julio","agosto","setiembre","octubre","noviembre","diciembre"))</f>
        <v>Agosto</v>
      </c>
      <c r="C1154" s="77" t="s">
        <v>162</v>
      </c>
      <c r="D1154" s="77" t="s">
        <v>3782</v>
      </c>
      <c r="E1154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154" s="79" t="s">
        <v>355</v>
      </c>
      <c r="G1154" s="79" t="s">
        <v>356</v>
      </c>
      <c r="H1154" s="140" t="s">
        <v>633</v>
      </c>
      <c r="I1154" s="77" t="s">
        <v>3783</v>
      </c>
      <c r="J1154" s="144" t="s">
        <v>3784</v>
      </c>
      <c r="K1154" s="77" t="s">
        <v>239</v>
      </c>
      <c r="L1154" s="103" t="str">
        <f>VLOOKUP(Anexo_4[[#This Row],[cod_doc]],TIPODOC,2,FALSE)</f>
        <v>BOLETA DE VENTA</v>
      </c>
      <c r="M1154" s="77" t="s">
        <v>162</v>
      </c>
      <c r="N1154" s="79">
        <v>1137</v>
      </c>
      <c r="O1154" s="80"/>
      <c r="P1154" s="81"/>
      <c r="Q1154" s="81"/>
      <c r="R1154" s="80"/>
      <c r="S1154" s="80">
        <v>30</v>
      </c>
      <c r="T1154" s="82">
        <v>30</v>
      </c>
      <c r="U1154" s="77"/>
      <c r="V1154" s="75"/>
      <c r="W1154" s="77"/>
      <c r="X1154" s="77"/>
      <c r="Y1154" s="77"/>
      <c r="Z1154" s="77" t="s">
        <v>361</v>
      </c>
      <c r="AA1154" s="83" t="s">
        <v>633</v>
      </c>
      <c r="AB1154" s="104" t="str">
        <f>IFERROR(VLOOKUP(Anexo_4[[#This Row],[cuenta]],OP,2,0),"-")</f>
        <v>Alimentacion (Operativo)</v>
      </c>
    </row>
    <row r="1155" spans="1:28" s="84" customFormat="1" ht="27" customHeight="1" x14ac:dyDescent="0.3">
      <c r="A1155" s="75" t="s">
        <v>3620</v>
      </c>
      <c r="B1155" s="36" t="str">
        <f t="shared" si="18"/>
        <v>Agosto</v>
      </c>
      <c r="C1155" s="77" t="s">
        <v>162</v>
      </c>
      <c r="D1155" s="77" t="s">
        <v>3785</v>
      </c>
      <c r="E115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155" s="79" t="s">
        <v>355</v>
      </c>
      <c r="G1155" s="79" t="s">
        <v>356</v>
      </c>
      <c r="H1155" s="140" t="s">
        <v>3775</v>
      </c>
      <c r="I1155" s="77" t="s">
        <v>3002</v>
      </c>
      <c r="J1155" s="144" t="s">
        <v>3003</v>
      </c>
      <c r="K1155" s="77" t="s">
        <v>239</v>
      </c>
      <c r="L1155" s="103" t="str">
        <f>VLOOKUP(Anexo_4[[#This Row],[cod_doc]],TIPODOC,2,FALSE)</f>
        <v>BOLETA DE VENTA</v>
      </c>
      <c r="M1155" s="77" t="s">
        <v>162</v>
      </c>
      <c r="N1155" s="79">
        <v>2393</v>
      </c>
      <c r="O1155" s="80"/>
      <c r="P1155" s="81"/>
      <c r="Q1155" s="81"/>
      <c r="R1155" s="80"/>
      <c r="S1155" s="80">
        <v>100</v>
      </c>
      <c r="T1155" s="82">
        <v>100</v>
      </c>
      <c r="U1155" s="77"/>
      <c r="V1155" s="75"/>
      <c r="W1155" s="77"/>
      <c r="X1155" s="77"/>
      <c r="Y1155" s="77"/>
      <c r="Z1155" s="77" t="s">
        <v>376</v>
      </c>
      <c r="AA1155" s="83" t="s">
        <v>3775</v>
      </c>
      <c r="AB1155" s="104" t="str">
        <f>IFERROR(VLOOKUP(Anexo_4[[#This Row],[cuenta]],OP,2,0),"-")</f>
        <v>Alojamiento (Operativo)</v>
      </c>
    </row>
    <row r="1156" spans="1:28" s="84" customFormat="1" ht="27" customHeight="1" x14ac:dyDescent="0.3">
      <c r="A1156" s="75" t="s">
        <v>3573</v>
      </c>
      <c r="B1156" s="36" t="str">
        <f t="shared" si="18"/>
        <v>Agosto</v>
      </c>
      <c r="C1156" s="77" t="s">
        <v>162</v>
      </c>
      <c r="D1156" s="77" t="s">
        <v>3786</v>
      </c>
      <c r="E115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156" s="79" t="s">
        <v>391</v>
      </c>
      <c r="G1156" s="79" t="s">
        <v>392</v>
      </c>
      <c r="H1156" s="140" t="s">
        <v>1276</v>
      </c>
      <c r="I1156" s="77" t="s">
        <v>264</v>
      </c>
      <c r="J1156" s="144" t="s">
        <v>265</v>
      </c>
      <c r="K1156" s="77" t="s">
        <v>169</v>
      </c>
      <c r="L1156" s="103" t="str">
        <f>VLOOKUP(Anexo_4[[#This Row],[cod_doc]],TIPODOC,2,FALSE)</f>
        <v>FACTURA</v>
      </c>
      <c r="M1156" s="77" t="s">
        <v>3023</v>
      </c>
      <c r="N1156" s="79">
        <v>1861317</v>
      </c>
      <c r="O1156" s="80">
        <v>6.53</v>
      </c>
      <c r="P1156" s="81"/>
      <c r="Q1156" s="81">
        <v>1.1754</v>
      </c>
      <c r="R1156" s="80"/>
      <c r="S1156" s="80">
        <v>0</v>
      </c>
      <c r="T1156" s="82">
        <v>7.7</v>
      </c>
      <c r="U1156" s="77"/>
      <c r="V1156" s="75"/>
      <c r="W1156" s="77"/>
      <c r="X1156" s="77"/>
      <c r="Y1156" s="77"/>
      <c r="Z1156" s="77" t="s">
        <v>302</v>
      </c>
      <c r="AA1156" s="83" t="s">
        <v>1276</v>
      </c>
      <c r="AB1156" s="104" t="str">
        <f>IFERROR(VLOOKUP(Anexo_4[[#This Row],[cuenta]],OP,2,0),"-")</f>
        <v>Transporte peajes - Servicios</v>
      </c>
    </row>
    <row r="1157" spans="1:28" s="84" customFormat="1" ht="27" customHeight="1" x14ac:dyDescent="0.3">
      <c r="A1157" s="75" t="s">
        <v>3620</v>
      </c>
      <c r="B1157" s="36" t="str">
        <f t="shared" si="18"/>
        <v>Agosto</v>
      </c>
      <c r="C1157" s="77" t="s">
        <v>162</v>
      </c>
      <c r="D1157" s="77" t="s">
        <v>3787</v>
      </c>
      <c r="E1157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157" s="79" t="s">
        <v>391</v>
      </c>
      <c r="G1157" s="79" t="s">
        <v>392</v>
      </c>
      <c r="H1157" s="140" t="s">
        <v>1276</v>
      </c>
      <c r="I1157" s="77" t="s">
        <v>1552</v>
      </c>
      <c r="J1157" s="144" t="s">
        <v>1553</v>
      </c>
      <c r="K1157" s="77" t="s">
        <v>169</v>
      </c>
      <c r="L1157" s="103" t="str">
        <f>VLOOKUP(Anexo_4[[#This Row],[cod_doc]],TIPODOC,2,FALSE)</f>
        <v>FACTURA</v>
      </c>
      <c r="M1157" s="77" t="s">
        <v>1558</v>
      </c>
      <c r="N1157" s="79">
        <v>643380</v>
      </c>
      <c r="O1157" s="80">
        <v>6.53</v>
      </c>
      <c r="P1157" s="81"/>
      <c r="Q1157" s="81">
        <v>1.1754</v>
      </c>
      <c r="R1157" s="80"/>
      <c r="S1157" s="80">
        <v>0</v>
      </c>
      <c r="T1157" s="82">
        <v>7.7</v>
      </c>
      <c r="U1157" s="77"/>
      <c r="V1157" s="75"/>
      <c r="W1157" s="77"/>
      <c r="X1157" s="77"/>
      <c r="Y1157" s="77"/>
      <c r="Z1157" s="77" t="s">
        <v>302</v>
      </c>
      <c r="AA1157" s="83" t="s">
        <v>1276</v>
      </c>
      <c r="AB1157" s="104" t="str">
        <f>IFERROR(VLOOKUP(Anexo_4[[#This Row],[cuenta]],OP,2,0),"-")</f>
        <v>Transporte peajes - Servicios</v>
      </c>
    </row>
    <row r="1158" spans="1:28" s="84" customFormat="1" ht="27" customHeight="1" x14ac:dyDescent="0.3">
      <c r="A1158" s="75" t="s">
        <v>3573</v>
      </c>
      <c r="B1158" s="36" t="str">
        <f t="shared" si="18"/>
        <v>Agosto</v>
      </c>
      <c r="C1158" s="77" t="s">
        <v>162</v>
      </c>
      <c r="D1158" s="77" t="s">
        <v>3788</v>
      </c>
      <c r="E1158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158" s="79" t="s">
        <v>355</v>
      </c>
      <c r="G1158" s="79" t="s">
        <v>356</v>
      </c>
      <c r="H1158" s="140" t="s">
        <v>3775</v>
      </c>
      <c r="I1158" s="77" t="s">
        <v>3789</v>
      </c>
      <c r="J1158" s="144" t="s">
        <v>3790</v>
      </c>
      <c r="K1158" s="77" t="s">
        <v>239</v>
      </c>
      <c r="L1158" s="103" t="str">
        <f>VLOOKUP(Anexo_4[[#This Row],[cod_doc]],TIPODOC,2,FALSE)</f>
        <v>BOLETA DE VENTA</v>
      </c>
      <c r="M1158" s="77" t="s">
        <v>162</v>
      </c>
      <c r="N1158" s="79">
        <v>186</v>
      </c>
      <c r="O1158" s="80"/>
      <c r="P1158" s="81"/>
      <c r="Q1158" s="81"/>
      <c r="R1158" s="80"/>
      <c r="S1158" s="80">
        <v>70</v>
      </c>
      <c r="T1158" s="82">
        <v>70</v>
      </c>
      <c r="U1158" s="77"/>
      <c r="V1158" s="75"/>
      <c r="W1158" s="77"/>
      <c r="X1158" s="77"/>
      <c r="Y1158" s="77"/>
      <c r="Z1158" s="77" t="s">
        <v>376</v>
      </c>
      <c r="AA1158" s="83" t="s">
        <v>3775</v>
      </c>
      <c r="AB1158" s="104" t="str">
        <f>IFERROR(VLOOKUP(Anexo_4[[#This Row],[cuenta]],OP,2,0),"-")</f>
        <v>Alojamiento (Operativo)</v>
      </c>
    </row>
    <row r="1159" spans="1:28" s="84" customFormat="1" ht="27" customHeight="1" x14ac:dyDescent="0.3">
      <c r="A1159" s="75" t="s">
        <v>3573</v>
      </c>
      <c r="B1159" s="36" t="str">
        <f t="shared" si="18"/>
        <v>Agosto</v>
      </c>
      <c r="C1159" s="77" t="s">
        <v>162</v>
      </c>
      <c r="D1159" s="77" t="s">
        <v>3791</v>
      </c>
      <c r="E1159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159" s="79" t="s">
        <v>355</v>
      </c>
      <c r="G1159" s="79" t="s">
        <v>356</v>
      </c>
      <c r="H1159" s="140" t="s">
        <v>633</v>
      </c>
      <c r="I1159" s="77" t="s">
        <v>3792</v>
      </c>
      <c r="J1159" s="144" t="s">
        <v>3793</v>
      </c>
      <c r="K1159" s="77" t="s">
        <v>239</v>
      </c>
      <c r="L1159" s="103" t="str">
        <f>VLOOKUP(Anexo_4[[#This Row],[cod_doc]],TIPODOC,2,FALSE)</f>
        <v>BOLETA DE VENTA</v>
      </c>
      <c r="M1159" s="77" t="s">
        <v>162</v>
      </c>
      <c r="N1159" s="79">
        <v>22250</v>
      </c>
      <c r="O1159" s="80"/>
      <c r="P1159" s="81"/>
      <c r="Q1159" s="81"/>
      <c r="R1159" s="80"/>
      <c r="S1159" s="80">
        <v>24</v>
      </c>
      <c r="T1159" s="82">
        <v>24</v>
      </c>
      <c r="U1159" s="77"/>
      <c r="V1159" s="75"/>
      <c r="W1159" s="77"/>
      <c r="X1159" s="77"/>
      <c r="Y1159" s="77"/>
      <c r="Z1159" s="77" t="s">
        <v>361</v>
      </c>
      <c r="AA1159" s="83" t="s">
        <v>633</v>
      </c>
      <c r="AB1159" s="104" t="str">
        <f>IFERROR(VLOOKUP(Anexo_4[[#This Row],[cuenta]],OP,2,0),"-")</f>
        <v>Alimentacion (Operativo)</v>
      </c>
    </row>
    <row r="1160" spans="1:28" s="84" customFormat="1" ht="27" customHeight="1" x14ac:dyDescent="0.3">
      <c r="A1160" s="75" t="s">
        <v>3794</v>
      </c>
      <c r="B1160" s="36" t="str">
        <f t="shared" si="18"/>
        <v>Agosto</v>
      </c>
      <c r="C1160" s="77" t="s">
        <v>162</v>
      </c>
      <c r="D1160" s="77" t="s">
        <v>3795</v>
      </c>
      <c r="E1160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160" s="79" t="s">
        <v>235</v>
      </c>
      <c r="G1160" s="79" t="s">
        <v>236</v>
      </c>
      <c r="H1160" s="140" t="s">
        <v>3796</v>
      </c>
      <c r="I1160" s="77" t="s">
        <v>264</v>
      </c>
      <c r="J1160" s="144" t="s">
        <v>265</v>
      </c>
      <c r="K1160" s="77" t="s">
        <v>169</v>
      </c>
      <c r="L1160" s="103" t="str">
        <f>VLOOKUP(Anexo_4[[#This Row],[cod_doc]],TIPODOC,2,FALSE)</f>
        <v>FACTURA</v>
      </c>
      <c r="M1160" s="77" t="s">
        <v>379</v>
      </c>
      <c r="N1160" s="79">
        <v>2143326</v>
      </c>
      <c r="O1160" s="80">
        <v>6.78</v>
      </c>
      <c r="P1160" s="81"/>
      <c r="Q1160" s="81">
        <v>1.2203999999999999</v>
      </c>
      <c r="R1160" s="80"/>
      <c r="S1160" s="80">
        <v>0</v>
      </c>
      <c r="T1160" s="82">
        <v>8</v>
      </c>
      <c r="U1160" s="77"/>
      <c r="V1160" s="75"/>
      <c r="W1160" s="77"/>
      <c r="X1160" s="77"/>
      <c r="Y1160" s="77" t="s">
        <v>3797</v>
      </c>
      <c r="Z1160" s="77" t="s">
        <v>302</v>
      </c>
      <c r="AA1160" s="83" t="s">
        <v>3796</v>
      </c>
      <c r="AB1160" s="104" t="str">
        <f>IFERROR(VLOOKUP(Anexo_4[[#This Row],[cuenta]],OP,2,0),"-")</f>
        <v>Transporte peajes - Servicios</v>
      </c>
    </row>
    <row r="1161" spans="1:28" s="84" customFormat="1" ht="27" customHeight="1" x14ac:dyDescent="0.3">
      <c r="A1161" s="75" t="s">
        <v>3794</v>
      </c>
      <c r="B1161" s="36" t="str">
        <f t="shared" si="18"/>
        <v>Agosto</v>
      </c>
      <c r="C1161" s="77" t="s">
        <v>162</v>
      </c>
      <c r="D1161" s="77" t="s">
        <v>3798</v>
      </c>
      <c r="E116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161" s="79" t="s">
        <v>235</v>
      </c>
      <c r="G1161" s="79" t="s">
        <v>236</v>
      </c>
      <c r="H1161" s="140" t="s">
        <v>3799</v>
      </c>
      <c r="I1161" s="77" t="s">
        <v>264</v>
      </c>
      <c r="J1161" s="144" t="s">
        <v>265</v>
      </c>
      <c r="K1161" s="77" t="s">
        <v>169</v>
      </c>
      <c r="L1161" s="103" t="str">
        <f>VLOOKUP(Anexo_4[[#This Row],[cod_doc]],TIPODOC,2,FALSE)</f>
        <v>FACTURA</v>
      </c>
      <c r="M1161" s="77" t="s">
        <v>406</v>
      </c>
      <c r="N1161" s="79">
        <v>2433420</v>
      </c>
      <c r="O1161" s="80">
        <v>6.78</v>
      </c>
      <c r="P1161" s="81"/>
      <c r="Q1161" s="81">
        <v>1.2203999999999999</v>
      </c>
      <c r="R1161" s="80"/>
      <c r="S1161" s="80">
        <v>0</v>
      </c>
      <c r="T1161" s="82">
        <v>8</v>
      </c>
      <c r="U1161" s="77"/>
      <c r="V1161" s="75"/>
      <c r="W1161" s="77"/>
      <c r="X1161" s="77"/>
      <c r="Y1161" s="77" t="s">
        <v>3800</v>
      </c>
      <c r="Z1161" s="77" t="s">
        <v>302</v>
      </c>
      <c r="AA1161" s="83" t="s">
        <v>3799</v>
      </c>
      <c r="AB1161" s="104" t="str">
        <f>IFERROR(VLOOKUP(Anexo_4[[#This Row],[cuenta]],OP,2,0),"-")</f>
        <v>Transporte peajes - Servicios</v>
      </c>
    </row>
    <row r="1162" spans="1:28" s="84" customFormat="1" ht="27" customHeight="1" x14ac:dyDescent="0.3">
      <c r="A1162" s="75" t="s">
        <v>2494</v>
      </c>
      <c r="B1162" s="36" t="str">
        <f t="shared" si="18"/>
        <v>Agosto</v>
      </c>
      <c r="C1162" s="77" t="s">
        <v>162</v>
      </c>
      <c r="D1162" s="77" t="s">
        <v>3801</v>
      </c>
      <c r="E116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162" s="79" t="s">
        <v>235</v>
      </c>
      <c r="G1162" s="79" t="s">
        <v>236</v>
      </c>
      <c r="H1162" s="140" t="s">
        <v>3802</v>
      </c>
      <c r="I1162" s="77" t="s">
        <v>264</v>
      </c>
      <c r="J1162" s="144" t="s">
        <v>265</v>
      </c>
      <c r="K1162" s="77" t="s">
        <v>169</v>
      </c>
      <c r="L1162" s="103" t="str">
        <f>VLOOKUP(Anexo_4[[#This Row],[cod_doc]],TIPODOC,2,FALSE)</f>
        <v>FACTURA</v>
      </c>
      <c r="M1162" s="77" t="s">
        <v>379</v>
      </c>
      <c r="N1162" s="79">
        <v>2142323</v>
      </c>
      <c r="O1162" s="80">
        <v>6.78</v>
      </c>
      <c r="P1162" s="81"/>
      <c r="Q1162" s="81">
        <v>1.2203999999999999</v>
      </c>
      <c r="R1162" s="80"/>
      <c r="S1162" s="80">
        <v>0</v>
      </c>
      <c r="T1162" s="82">
        <v>8</v>
      </c>
      <c r="U1162" s="77"/>
      <c r="V1162" s="75"/>
      <c r="W1162" s="77"/>
      <c r="X1162" s="77"/>
      <c r="Y1162" s="77" t="s">
        <v>3803</v>
      </c>
      <c r="Z1162" s="77" t="s">
        <v>302</v>
      </c>
      <c r="AA1162" s="83" t="s">
        <v>3802</v>
      </c>
      <c r="AB1162" s="104" t="str">
        <f>IFERROR(VLOOKUP(Anexo_4[[#This Row],[cuenta]],OP,2,0),"-")</f>
        <v>Transporte peajes - Servicios</v>
      </c>
    </row>
    <row r="1163" spans="1:28" s="84" customFormat="1" ht="27" customHeight="1" x14ac:dyDescent="0.3">
      <c r="A1163" s="75" t="s">
        <v>2494</v>
      </c>
      <c r="B1163" s="36" t="str">
        <f t="shared" si="18"/>
        <v>Agosto</v>
      </c>
      <c r="C1163" s="77" t="s">
        <v>162</v>
      </c>
      <c r="D1163" s="77" t="s">
        <v>3804</v>
      </c>
      <c r="E1163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163" s="79" t="s">
        <v>235</v>
      </c>
      <c r="G1163" s="79" t="s">
        <v>236</v>
      </c>
      <c r="H1163" s="140" t="s">
        <v>3805</v>
      </c>
      <c r="I1163" s="77" t="s">
        <v>264</v>
      </c>
      <c r="J1163" s="144" t="s">
        <v>265</v>
      </c>
      <c r="K1163" s="77" t="s">
        <v>169</v>
      </c>
      <c r="L1163" s="103" t="str">
        <f>VLOOKUP(Anexo_4[[#This Row],[cod_doc]],TIPODOC,2,FALSE)</f>
        <v>FACTURA</v>
      </c>
      <c r="M1163" s="77" t="s">
        <v>271</v>
      </c>
      <c r="N1163" s="79">
        <v>1809759</v>
      </c>
      <c r="O1163" s="80">
        <v>6.78</v>
      </c>
      <c r="P1163" s="81"/>
      <c r="Q1163" s="81">
        <v>1.2203999999999999</v>
      </c>
      <c r="R1163" s="80"/>
      <c r="S1163" s="80">
        <v>0</v>
      </c>
      <c r="T1163" s="82">
        <v>8</v>
      </c>
      <c r="U1163" s="77"/>
      <c r="V1163" s="75"/>
      <c r="W1163" s="77"/>
      <c r="X1163" s="77"/>
      <c r="Y1163" s="77" t="s">
        <v>3806</v>
      </c>
      <c r="Z1163" s="77" t="s">
        <v>302</v>
      </c>
      <c r="AA1163" s="83" t="s">
        <v>3805</v>
      </c>
      <c r="AB1163" s="104" t="str">
        <f>IFERROR(VLOOKUP(Anexo_4[[#This Row],[cuenta]],OP,2,0),"-")</f>
        <v>Transporte peajes - Servicios</v>
      </c>
    </row>
    <row r="1164" spans="1:28" s="84" customFormat="1" ht="27" customHeight="1" x14ac:dyDescent="0.3">
      <c r="A1164" s="75" t="s">
        <v>3670</v>
      </c>
      <c r="B1164" s="36" t="str">
        <f t="shared" si="18"/>
        <v>Agosto</v>
      </c>
      <c r="C1164" s="77" t="s">
        <v>162</v>
      </c>
      <c r="D1164" s="77" t="s">
        <v>3807</v>
      </c>
      <c r="E1164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164" s="79" t="s">
        <v>217</v>
      </c>
      <c r="G1164" s="79" t="s">
        <v>218</v>
      </c>
      <c r="H1164" s="140" t="s">
        <v>3808</v>
      </c>
      <c r="I1164" s="77" t="s">
        <v>264</v>
      </c>
      <c r="J1164" s="144" t="s">
        <v>265</v>
      </c>
      <c r="K1164" s="77" t="s">
        <v>169</v>
      </c>
      <c r="L1164" s="103" t="str">
        <f>VLOOKUP(Anexo_4[[#This Row],[cod_doc]],TIPODOC,2,FALSE)</f>
        <v>FACTURA</v>
      </c>
      <c r="M1164" s="77" t="s">
        <v>379</v>
      </c>
      <c r="N1164" s="79">
        <v>2141309</v>
      </c>
      <c r="O1164" s="80">
        <v>3.39</v>
      </c>
      <c r="P1164" s="81"/>
      <c r="Q1164" s="81">
        <v>0.61019999999999996</v>
      </c>
      <c r="R1164" s="80"/>
      <c r="S1164" s="80">
        <v>0</v>
      </c>
      <c r="T1164" s="82">
        <v>8</v>
      </c>
      <c r="U1164" s="77"/>
      <c r="V1164" s="75"/>
      <c r="W1164" s="77"/>
      <c r="X1164" s="77"/>
      <c r="Y1164" s="77" t="s">
        <v>3809</v>
      </c>
      <c r="Z1164" s="77" t="s">
        <v>302</v>
      </c>
      <c r="AA1164" s="83" t="s">
        <v>3808</v>
      </c>
      <c r="AB1164" s="104" t="str">
        <f>IFERROR(VLOOKUP(Anexo_4[[#This Row],[cuenta]],OP,2,0),"-")</f>
        <v>Transporte peajes - Servicios</v>
      </c>
    </row>
    <row r="1165" spans="1:28" s="84" customFormat="1" ht="27" customHeight="1" x14ac:dyDescent="0.3">
      <c r="A1165" s="75" t="s">
        <v>3670</v>
      </c>
      <c r="B1165" s="36" t="str">
        <f t="shared" si="18"/>
        <v>Agosto</v>
      </c>
      <c r="C1165" s="77" t="s">
        <v>162</v>
      </c>
      <c r="D1165" s="77" t="s">
        <v>3807</v>
      </c>
      <c r="E116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165" s="79" t="s">
        <v>217</v>
      </c>
      <c r="G1165" s="79" t="s">
        <v>218</v>
      </c>
      <c r="H1165" s="140" t="s">
        <v>3808</v>
      </c>
      <c r="I1165" s="77" t="s">
        <v>264</v>
      </c>
      <c r="J1165" s="144" t="s">
        <v>265</v>
      </c>
      <c r="K1165" s="77" t="s">
        <v>169</v>
      </c>
      <c r="L1165" s="103" t="str">
        <f>VLOOKUP(Anexo_4[[#This Row],[cod_doc]],TIPODOC,2,FALSE)</f>
        <v>FACTURA</v>
      </c>
      <c r="M1165" s="77" t="s">
        <v>379</v>
      </c>
      <c r="N1165" s="79">
        <v>2141309</v>
      </c>
      <c r="O1165" s="80">
        <v>3.39</v>
      </c>
      <c r="P1165" s="81"/>
      <c r="Q1165" s="81">
        <v>0.61019999999999996</v>
      </c>
      <c r="R1165" s="80"/>
      <c r="S1165" s="80">
        <v>0</v>
      </c>
      <c r="T1165" s="82">
        <v>8</v>
      </c>
      <c r="U1165" s="77"/>
      <c r="V1165" s="75"/>
      <c r="W1165" s="77"/>
      <c r="X1165" s="77"/>
      <c r="Y1165" s="77" t="s">
        <v>3809</v>
      </c>
      <c r="Z1165" s="77" t="s">
        <v>268</v>
      </c>
      <c r="AA1165" s="83" t="s">
        <v>3808</v>
      </c>
      <c r="AB1165" s="104" t="str">
        <f>IFERROR(VLOOKUP(Anexo_4[[#This Row],[cuenta]],OP,2,0),"-")</f>
        <v>Transporte peajes - Ventas</v>
      </c>
    </row>
    <row r="1166" spans="1:28" s="84" customFormat="1" ht="27" customHeight="1" x14ac:dyDescent="0.3">
      <c r="A1166" s="75" t="s">
        <v>3670</v>
      </c>
      <c r="B1166" s="36" t="str">
        <f t="shared" si="18"/>
        <v>Agosto</v>
      </c>
      <c r="C1166" s="77" t="s">
        <v>162</v>
      </c>
      <c r="D1166" s="77" t="s">
        <v>3810</v>
      </c>
      <c r="E116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166" s="79" t="s">
        <v>391</v>
      </c>
      <c r="G1166" s="79" t="s">
        <v>392</v>
      </c>
      <c r="H1166" s="140" t="s">
        <v>3811</v>
      </c>
      <c r="I1166" s="77" t="s">
        <v>264</v>
      </c>
      <c r="J1166" s="144" t="s">
        <v>265</v>
      </c>
      <c r="K1166" s="77" t="s">
        <v>169</v>
      </c>
      <c r="L1166" s="103" t="str">
        <f>VLOOKUP(Anexo_4[[#This Row],[cod_doc]],TIPODOC,2,FALSE)</f>
        <v>FACTURA</v>
      </c>
      <c r="M1166" s="77" t="s">
        <v>406</v>
      </c>
      <c r="N1166" s="79">
        <v>2430798</v>
      </c>
      <c r="O1166" s="80">
        <v>3.39</v>
      </c>
      <c r="P1166" s="81"/>
      <c r="Q1166" s="81">
        <v>0.61019999999999996</v>
      </c>
      <c r="R1166" s="80"/>
      <c r="S1166" s="80">
        <v>0</v>
      </c>
      <c r="T1166" s="82">
        <v>8</v>
      </c>
      <c r="U1166" s="77"/>
      <c r="V1166" s="75"/>
      <c r="W1166" s="77"/>
      <c r="X1166" s="77"/>
      <c r="Y1166" s="77" t="s">
        <v>3812</v>
      </c>
      <c r="Z1166" s="77" t="s">
        <v>268</v>
      </c>
      <c r="AA1166" s="83" t="s">
        <v>3811</v>
      </c>
      <c r="AB1166" s="104" t="str">
        <f>IFERROR(VLOOKUP(Anexo_4[[#This Row],[cuenta]],OP,2,0),"-")</f>
        <v>Transporte peajes - Ventas</v>
      </c>
    </row>
    <row r="1167" spans="1:28" s="84" customFormat="1" ht="27" customHeight="1" x14ac:dyDescent="0.3">
      <c r="A1167" s="75" t="s">
        <v>3670</v>
      </c>
      <c r="B1167" s="36" t="str">
        <f t="shared" si="18"/>
        <v>Agosto</v>
      </c>
      <c r="C1167" s="77" t="s">
        <v>162</v>
      </c>
      <c r="D1167" s="77" t="s">
        <v>3810</v>
      </c>
      <c r="E1167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167" s="79" t="s">
        <v>217</v>
      </c>
      <c r="G1167" s="79" t="s">
        <v>218</v>
      </c>
      <c r="H1167" s="140" t="s">
        <v>3811</v>
      </c>
      <c r="I1167" s="77" t="s">
        <v>264</v>
      </c>
      <c r="J1167" s="144" t="s">
        <v>265</v>
      </c>
      <c r="K1167" s="77" t="s">
        <v>169</v>
      </c>
      <c r="L1167" s="103" t="str">
        <f>VLOOKUP(Anexo_4[[#This Row],[cod_doc]],TIPODOC,2,FALSE)</f>
        <v>FACTURA</v>
      </c>
      <c r="M1167" s="77" t="s">
        <v>406</v>
      </c>
      <c r="N1167" s="79">
        <v>2430798</v>
      </c>
      <c r="O1167" s="80">
        <v>3.39</v>
      </c>
      <c r="P1167" s="81"/>
      <c r="Q1167" s="81">
        <v>0.61019999999999996</v>
      </c>
      <c r="R1167" s="80"/>
      <c r="S1167" s="80">
        <v>0</v>
      </c>
      <c r="T1167" s="82">
        <v>8</v>
      </c>
      <c r="U1167" s="77"/>
      <c r="V1167" s="75"/>
      <c r="W1167" s="77"/>
      <c r="X1167" s="77"/>
      <c r="Y1167" s="77" t="s">
        <v>3812</v>
      </c>
      <c r="Z1167" s="77" t="s">
        <v>302</v>
      </c>
      <c r="AA1167" s="83" t="s">
        <v>3811</v>
      </c>
      <c r="AB1167" s="104" t="str">
        <f>IFERROR(VLOOKUP(Anexo_4[[#This Row],[cuenta]],OP,2,0),"-")</f>
        <v>Transporte peajes - Servicios</v>
      </c>
    </row>
    <row r="1168" spans="1:28" s="84" customFormat="1" ht="27" customHeight="1" x14ac:dyDescent="0.3">
      <c r="A1168" s="75" t="s">
        <v>3573</v>
      </c>
      <c r="B1168" s="36" t="str">
        <f t="shared" si="18"/>
        <v>Agosto</v>
      </c>
      <c r="C1168" s="77" t="s">
        <v>162</v>
      </c>
      <c r="D1168" s="77" t="s">
        <v>3813</v>
      </c>
      <c r="E1168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168" s="79" t="s">
        <v>391</v>
      </c>
      <c r="G1168" s="79" t="s">
        <v>392</v>
      </c>
      <c r="H1168" s="140" t="s">
        <v>3814</v>
      </c>
      <c r="I1168" s="77" t="s">
        <v>264</v>
      </c>
      <c r="J1168" s="144" t="s">
        <v>265</v>
      </c>
      <c r="K1168" s="77" t="s">
        <v>169</v>
      </c>
      <c r="L1168" s="103" t="str">
        <f>VLOOKUP(Anexo_4[[#This Row],[cod_doc]],TIPODOC,2,FALSE)</f>
        <v>FACTURA</v>
      </c>
      <c r="M1168" s="77" t="s">
        <v>271</v>
      </c>
      <c r="N1168" s="79">
        <v>1803237</v>
      </c>
      <c r="O1168" s="80">
        <v>6.78</v>
      </c>
      <c r="P1168" s="81"/>
      <c r="Q1168" s="81">
        <v>1.2203999999999999</v>
      </c>
      <c r="R1168" s="80"/>
      <c r="S1168" s="80">
        <v>0</v>
      </c>
      <c r="T1168" s="82">
        <v>8</v>
      </c>
      <c r="U1168" s="77"/>
      <c r="V1168" s="75"/>
      <c r="W1168" s="77"/>
      <c r="X1168" s="77"/>
      <c r="Y1168" s="77" t="s">
        <v>3815</v>
      </c>
      <c r="Z1168" s="77" t="s">
        <v>302</v>
      </c>
      <c r="AA1168" s="83" t="s">
        <v>3814</v>
      </c>
      <c r="AB1168" s="104" t="str">
        <f>IFERROR(VLOOKUP(Anexo_4[[#This Row],[cuenta]],OP,2,0),"-")</f>
        <v>Transporte peajes - Servicios</v>
      </c>
    </row>
    <row r="1169" spans="1:28" s="84" customFormat="1" ht="27" customHeight="1" x14ac:dyDescent="0.3">
      <c r="A1169" s="75" t="s">
        <v>3573</v>
      </c>
      <c r="B1169" s="36" t="str">
        <f t="shared" si="18"/>
        <v>Agosto</v>
      </c>
      <c r="C1169" s="77" t="s">
        <v>162</v>
      </c>
      <c r="D1169" s="77" t="s">
        <v>3816</v>
      </c>
      <c r="E1169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169" s="79" t="s">
        <v>391</v>
      </c>
      <c r="G1169" s="79" t="s">
        <v>392</v>
      </c>
      <c r="H1169" s="140" t="s">
        <v>3817</v>
      </c>
      <c r="I1169" s="77" t="s">
        <v>264</v>
      </c>
      <c r="J1169" s="144" t="s">
        <v>265</v>
      </c>
      <c r="K1169" s="77" t="s">
        <v>169</v>
      </c>
      <c r="L1169" s="103" t="str">
        <f>VLOOKUP(Anexo_4[[#This Row],[cod_doc]],TIPODOC,2,FALSE)</f>
        <v>FACTURA</v>
      </c>
      <c r="M1169" s="77" t="s">
        <v>352</v>
      </c>
      <c r="N1169" s="79">
        <v>1823633</v>
      </c>
      <c r="O1169" s="80">
        <v>6.78</v>
      </c>
      <c r="P1169" s="81"/>
      <c r="Q1169" s="81">
        <v>1.2203999999999999</v>
      </c>
      <c r="R1169" s="80"/>
      <c r="S1169" s="80">
        <v>0</v>
      </c>
      <c r="T1169" s="82">
        <v>8</v>
      </c>
      <c r="U1169" s="77"/>
      <c r="V1169" s="75"/>
      <c r="W1169" s="77"/>
      <c r="X1169" s="77"/>
      <c r="Y1169" s="77" t="s">
        <v>3818</v>
      </c>
      <c r="Z1169" s="77" t="s">
        <v>302</v>
      </c>
      <c r="AA1169" s="83" t="s">
        <v>3817</v>
      </c>
      <c r="AB1169" s="104" t="str">
        <f>IFERROR(VLOOKUP(Anexo_4[[#This Row],[cuenta]],OP,2,0),"-")</f>
        <v>Transporte peajes - Servicios</v>
      </c>
    </row>
    <row r="1170" spans="1:28" s="84" customFormat="1" ht="27" customHeight="1" x14ac:dyDescent="0.3">
      <c r="A1170" s="75" t="s">
        <v>3610</v>
      </c>
      <c r="B1170" s="36" t="str">
        <f t="shared" si="18"/>
        <v>Agosto</v>
      </c>
      <c r="C1170" s="77" t="s">
        <v>162</v>
      </c>
      <c r="D1170" s="77" t="s">
        <v>3819</v>
      </c>
      <c r="E1170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170" s="79" t="s">
        <v>235</v>
      </c>
      <c r="G1170" s="79" t="s">
        <v>236</v>
      </c>
      <c r="H1170" s="140" t="s">
        <v>3820</v>
      </c>
      <c r="I1170" s="77" t="s">
        <v>264</v>
      </c>
      <c r="J1170" s="144" t="s">
        <v>265</v>
      </c>
      <c r="K1170" s="77" t="s">
        <v>169</v>
      </c>
      <c r="L1170" s="103" t="str">
        <f>VLOOKUP(Anexo_4[[#This Row],[cod_doc]],TIPODOC,2,FALSE)</f>
        <v>FACTURA</v>
      </c>
      <c r="M1170" s="77" t="s">
        <v>406</v>
      </c>
      <c r="N1170" s="79">
        <v>2422144</v>
      </c>
      <c r="O1170" s="80">
        <v>6.78</v>
      </c>
      <c r="P1170" s="81"/>
      <c r="Q1170" s="81">
        <v>1.2203999999999999</v>
      </c>
      <c r="R1170" s="80"/>
      <c r="S1170" s="80">
        <v>0</v>
      </c>
      <c r="T1170" s="82">
        <v>8</v>
      </c>
      <c r="U1170" s="77"/>
      <c r="V1170" s="75"/>
      <c r="W1170" s="77"/>
      <c r="X1170" s="77"/>
      <c r="Y1170" s="77" t="s">
        <v>3821</v>
      </c>
      <c r="Z1170" s="77" t="s">
        <v>302</v>
      </c>
      <c r="AA1170" s="83" t="s">
        <v>3820</v>
      </c>
      <c r="AB1170" s="104" t="str">
        <f>IFERROR(VLOOKUP(Anexo_4[[#This Row],[cuenta]],OP,2,0),"-")</f>
        <v>Transporte peajes - Servicios</v>
      </c>
    </row>
    <row r="1171" spans="1:28" s="84" customFormat="1" ht="27" customHeight="1" x14ac:dyDescent="0.3">
      <c r="A1171" s="75" t="s">
        <v>3610</v>
      </c>
      <c r="B1171" s="36" t="str">
        <f t="shared" si="18"/>
        <v>Agosto</v>
      </c>
      <c r="C1171" s="77" t="s">
        <v>162</v>
      </c>
      <c r="D1171" s="77" t="s">
        <v>3822</v>
      </c>
      <c r="E117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171" s="79" t="s">
        <v>235</v>
      </c>
      <c r="G1171" s="79" t="s">
        <v>236</v>
      </c>
      <c r="H1171" s="140" t="s">
        <v>3823</v>
      </c>
      <c r="I1171" s="77" t="s">
        <v>264</v>
      </c>
      <c r="J1171" s="144" t="s">
        <v>265</v>
      </c>
      <c r="K1171" s="77" t="s">
        <v>169</v>
      </c>
      <c r="L1171" s="103" t="str">
        <f>VLOOKUP(Anexo_4[[#This Row],[cod_doc]],TIPODOC,2,FALSE)</f>
        <v>FACTURA</v>
      </c>
      <c r="M1171" s="77" t="s">
        <v>379</v>
      </c>
      <c r="N1171" s="79">
        <v>2133768</v>
      </c>
      <c r="O1171" s="80">
        <v>6.78</v>
      </c>
      <c r="P1171" s="81"/>
      <c r="Q1171" s="81">
        <v>1.2203999999999999</v>
      </c>
      <c r="R1171" s="80"/>
      <c r="S1171" s="80">
        <v>0</v>
      </c>
      <c r="T1171" s="82">
        <v>8</v>
      </c>
      <c r="U1171" s="77"/>
      <c r="V1171" s="75"/>
      <c r="W1171" s="77"/>
      <c r="X1171" s="77"/>
      <c r="Y1171" s="77" t="s">
        <v>3824</v>
      </c>
      <c r="Z1171" s="77" t="s">
        <v>302</v>
      </c>
      <c r="AA1171" s="83" t="s">
        <v>3823</v>
      </c>
      <c r="AB1171" s="104" t="str">
        <f>IFERROR(VLOOKUP(Anexo_4[[#This Row],[cuenta]],OP,2,0),"-")</f>
        <v>Transporte peajes - Servicios</v>
      </c>
    </row>
    <row r="1172" spans="1:28" s="84" customFormat="1" ht="27" customHeight="1" x14ac:dyDescent="0.3">
      <c r="A1172" s="75" t="s">
        <v>3573</v>
      </c>
      <c r="B1172" s="36" t="str">
        <f t="shared" si="18"/>
        <v>Agosto</v>
      </c>
      <c r="C1172" s="77" t="s">
        <v>162</v>
      </c>
      <c r="D1172" s="77" t="s">
        <v>3825</v>
      </c>
      <c r="E117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172" s="79" t="s">
        <v>235</v>
      </c>
      <c r="G1172" s="79" t="s">
        <v>236</v>
      </c>
      <c r="H1172" s="140" t="s">
        <v>3826</v>
      </c>
      <c r="I1172" s="77" t="s">
        <v>264</v>
      </c>
      <c r="J1172" s="144" t="s">
        <v>265</v>
      </c>
      <c r="K1172" s="77" t="s">
        <v>169</v>
      </c>
      <c r="L1172" s="103" t="str">
        <f>VLOOKUP(Anexo_4[[#This Row],[cod_doc]],TIPODOC,2,FALSE)</f>
        <v>FACTURA</v>
      </c>
      <c r="M1172" s="77" t="s">
        <v>379</v>
      </c>
      <c r="N1172" s="79">
        <v>2134731</v>
      </c>
      <c r="O1172" s="80">
        <v>6.78</v>
      </c>
      <c r="P1172" s="81"/>
      <c r="Q1172" s="81">
        <v>1.2203999999999999</v>
      </c>
      <c r="R1172" s="80"/>
      <c r="S1172" s="80">
        <v>0</v>
      </c>
      <c r="T1172" s="82">
        <v>8</v>
      </c>
      <c r="U1172" s="77"/>
      <c r="V1172" s="75"/>
      <c r="W1172" s="77"/>
      <c r="X1172" s="77"/>
      <c r="Y1172" s="77" t="s">
        <v>3827</v>
      </c>
      <c r="Z1172" s="77" t="s">
        <v>302</v>
      </c>
      <c r="AA1172" s="83" t="s">
        <v>3826</v>
      </c>
      <c r="AB1172" s="104" t="str">
        <f>IFERROR(VLOOKUP(Anexo_4[[#This Row],[cuenta]],OP,2,0),"-")</f>
        <v>Transporte peajes - Servicios</v>
      </c>
    </row>
    <row r="1173" spans="1:28" s="84" customFormat="1" ht="27" customHeight="1" x14ac:dyDescent="0.3">
      <c r="A1173" s="75" t="s">
        <v>3573</v>
      </c>
      <c r="B1173" s="36" t="str">
        <f t="shared" si="18"/>
        <v>Agosto</v>
      </c>
      <c r="C1173" s="77" t="s">
        <v>162</v>
      </c>
      <c r="D1173" s="77" t="s">
        <v>3828</v>
      </c>
      <c r="E1173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173" s="79" t="s">
        <v>235</v>
      </c>
      <c r="G1173" s="79" t="s">
        <v>236</v>
      </c>
      <c r="H1173" s="140" t="s">
        <v>3829</v>
      </c>
      <c r="I1173" s="77" t="s">
        <v>264</v>
      </c>
      <c r="J1173" s="144" t="s">
        <v>265</v>
      </c>
      <c r="K1173" s="77" t="s">
        <v>169</v>
      </c>
      <c r="L1173" s="103" t="str">
        <f>VLOOKUP(Anexo_4[[#This Row],[cod_doc]],TIPODOC,2,FALSE)</f>
        <v>FACTURA</v>
      </c>
      <c r="M1173" s="77" t="s">
        <v>271</v>
      </c>
      <c r="N1173" s="79">
        <v>1803532</v>
      </c>
      <c r="O1173" s="80">
        <v>6.78</v>
      </c>
      <c r="P1173" s="81"/>
      <c r="Q1173" s="81">
        <v>1.2203999999999999</v>
      </c>
      <c r="R1173" s="80"/>
      <c r="S1173" s="80">
        <v>0</v>
      </c>
      <c r="T1173" s="82">
        <v>8</v>
      </c>
      <c r="U1173" s="77"/>
      <c r="V1173" s="75"/>
      <c r="W1173" s="77"/>
      <c r="X1173" s="77"/>
      <c r="Y1173" s="77" t="s">
        <v>3830</v>
      </c>
      <c r="Z1173" s="77" t="s">
        <v>302</v>
      </c>
      <c r="AA1173" s="83" t="s">
        <v>3829</v>
      </c>
      <c r="AB1173" s="104" t="str">
        <f>IFERROR(VLOOKUP(Anexo_4[[#This Row],[cuenta]],OP,2,0),"-")</f>
        <v>Transporte peajes - Servicios</v>
      </c>
    </row>
    <row r="1174" spans="1:28" s="84" customFormat="1" ht="27" customHeight="1" x14ac:dyDescent="0.3">
      <c r="A1174" s="75" t="s">
        <v>3624</v>
      </c>
      <c r="B1174" s="36" t="str">
        <f t="shared" si="18"/>
        <v>Agosto</v>
      </c>
      <c r="C1174" s="77" t="s">
        <v>162</v>
      </c>
      <c r="D1174" s="77" t="s">
        <v>3831</v>
      </c>
      <c r="E1174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174" s="79" t="s">
        <v>217</v>
      </c>
      <c r="G1174" s="79" t="s">
        <v>218</v>
      </c>
      <c r="H1174" s="140" t="s">
        <v>3832</v>
      </c>
      <c r="I1174" s="77" t="s">
        <v>264</v>
      </c>
      <c r="J1174" s="144" t="s">
        <v>265</v>
      </c>
      <c r="K1174" s="77" t="s">
        <v>169</v>
      </c>
      <c r="L1174" s="103" t="str">
        <f>VLOOKUP(Anexo_4[[#This Row],[cod_doc]],TIPODOC,2,FALSE)</f>
        <v>FACTURA</v>
      </c>
      <c r="M1174" s="77" t="s">
        <v>271</v>
      </c>
      <c r="N1174" s="79">
        <v>1806246</v>
      </c>
      <c r="O1174" s="80">
        <v>6.78</v>
      </c>
      <c r="P1174" s="81"/>
      <c r="Q1174" s="81">
        <v>1.2203999999999999</v>
      </c>
      <c r="R1174" s="80"/>
      <c r="S1174" s="80">
        <v>0</v>
      </c>
      <c r="T1174" s="82">
        <v>8</v>
      </c>
      <c r="U1174" s="77"/>
      <c r="V1174" s="75"/>
      <c r="W1174" s="77"/>
      <c r="X1174" s="77"/>
      <c r="Y1174" s="77" t="s">
        <v>3833</v>
      </c>
      <c r="Z1174" s="77" t="s">
        <v>268</v>
      </c>
      <c r="AA1174" s="83" t="s">
        <v>3832</v>
      </c>
      <c r="AB1174" s="104" t="str">
        <f>IFERROR(VLOOKUP(Anexo_4[[#This Row],[cuenta]],OP,2,0),"-")</f>
        <v>Transporte peajes - Ventas</v>
      </c>
    </row>
    <row r="1175" spans="1:28" s="84" customFormat="1" ht="27" customHeight="1" x14ac:dyDescent="0.3">
      <c r="A1175" s="75" t="s">
        <v>3624</v>
      </c>
      <c r="B1175" s="36" t="str">
        <f t="shared" si="18"/>
        <v>Agosto</v>
      </c>
      <c r="C1175" s="77" t="s">
        <v>162</v>
      </c>
      <c r="D1175" s="77" t="s">
        <v>3834</v>
      </c>
      <c r="E117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175" s="79" t="s">
        <v>217</v>
      </c>
      <c r="G1175" s="79" t="s">
        <v>218</v>
      </c>
      <c r="H1175" s="140" t="s">
        <v>3835</v>
      </c>
      <c r="I1175" s="77" t="s">
        <v>264</v>
      </c>
      <c r="J1175" s="144" t="s">
        <v>265</v>
      </c>
      <c r="K1175" s="77" t="s">
        <v>169</v>
      </c>
      <c r="L1175" s="103" t="str">
        <f>VLOOKUP(Anexo_4[[#This Row],[cod_doc]],TIPODOC,2,FALSE)</f>
        <v>FACTURA</v>
      </c>
      <c r="M1175" s="77" t="s">
        <v>352</v>
      </c>
      <c r="N1175" s="79">
        <v>1826615</v>
      </c>
      <c r="O1175" s="80">
        <v>6.78</v>
      </c>
      <c r="P1175" s="81"/>
      <c r="Q1175" s="81">
        <v>1.2203999999999999</v>
      </c>
      <c r="R1175" s="80"/>
      <c r="S1175" s="80">
        <v>0</v>
      </c>
      <c r="T1175" s="82">
        <v>8</v>
      </c>
      <c r="U1175" s="77"/>
      <c r="V1175" s="75"/>
      <c r="W1175" s="77"/>
      <c r="X1175" s="77"/>
      <c r="Y1175" s="77" t="s">
        <v>3836</v>
      </c>
      <c r="Z1175" s="77" t="s">
        <v>268</v>
      </c>
      <c r="AA1175" s="83" t="s">
        <v>3835</v>
      </c>
      <c r="AB1175" s="104" t="str">
        <f>IFERROR(VLOOKUP(Anexo_4[[#This Row],[cuenta]],OP,2,0),"-")</f>
        <v>Transporte peajes - Ventas</v>
      </c>
    </row>
    <row r="1176" spans="1:28" s="84" customFormat="1" ht="27" customHeight="1" x14ac:dyDescent="0.3">
      <c r="A1176" s="75" t="s">
        <v>3578</v>
      </c>
      <c r="B1176" s="36" t="str">
        <f t="shared" si="18"/>
        <v>Agosto</v>
      </c>
      <c r="C1176" s="77" t="s">
        <v>162</v>
      </c>
      <c r="D1176" s="77" t="s">
        <v>3837</v>
      </c>
      <c r="E117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176" s="79" t="s">
        <v>217</v>
      </c>
      <c r="G1176" s="79" t="s">
        <v>218</v>
      </c>
      <c r="H1176" s="140" t="s">
        <v>3838</v>
      </c>
      <c r="I1176" s="77" t="s">
        <v>264</v>
      </c>
      <c r="J1176" s="144" t="s">
        <v>265</v>
      </c>
      <c r="K1176" s="77" t="s">
        <v>169</v>
      </c>
      <c r="L1176" s="103" t="str">
        <f>VLOOKUP(Anexo_4[[#This Row],[cod_doc]],TIPODOC,2,FALSE)</f>
        <v>FACTURA</v>
      </c>
      <c r="M1176" s="77" t="s">
        <v>271</v>
      </c>
      <c r="N1176" s="79">
        <v>1805058</v>
      </c>
      <c r="O1176" s="80">
        <v>6.78</v>
      </c>
      <c r="P1176" s="81"/>
      <c r="Q1176" s="81">
        <v>1.2203999999999999</v>
      </c>
      <c r="R1176" s="80"/>
      <c r="S1176" s="80">
        <v>0</v>
      </c>
      <c r="T1176" s="82">
        <v>8</v>
      </c>
      <c r="U1176" s="77"/>
      <c r="V1176" s="75"/>
      <c r="W1176" s="77"/>
      <c r="X1176" s="77"/>
      <c r="Y1176" s="77" t="s">
        <v>3839</v>
      </c>
      <c r="Z1176" s="77" t="s">
        <v>268</v>
      </c>
      <c r="AA1176" s="83" t="s">
        <v>3838</v>
      </c>
      <c r="AB1176" s="104" t="str">
        <f>IFERROR(VLOOKUP(Anexo_4[[#This Row],[cuenta]],OP,2,0),"-")</f>
        <v>Transporte peajes - Ventas</v>
      </c>
    </row>
    <row r="1177" spans="1:28" s="84" customFormat="1" ht="27" customHeight="1" x14ac:dyDescent="0.3">
      <c r="A1177" s="75" t="s">
        <v>3578</v>
      </c>
      <c r="B1177" s="36" t="str">
        <f t="shared" si="18"/>
        <v>Agosto</v>
      </c>
      <c r="C1177" s="77" t="s">
        <v>162</v>
      </c>
      <c r="D1177" s="77" t="s">
        <v>3840</v>
      </c>
      <c r="E1177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177" s="79" t="s">
        <v>217</v>
      </c>
      <c r="G1177" s="79" t="s">
        <v>218</v>
      </c>
      <c r="H1177" s="140" t="s">
        <v>3841</v>
      </c>
      <c r="I1177" s="77" t="s">
        <v>264</v>
      </c>
      <c r="J1177" s="144" t="s">
        <v>265</v>
      </c>
      <c r="K1177" s="77" t="s">
        <v>169</v>
      </c>
      <c r="L1177" s="103" t="str">
        <f>VLOOKUP(Anexo_4[[#This Row],[cod_doc]],TIPODOC,2,FALSE)</f>
        <v>FACTURA</v>
      </c>
      <c r="M1177" s="77" t="s">
        <v>352</v>
      </c>
      <c r="N1177" s="79">
        <v>1825546</v>
      </c>
      <c r="O1177" s="80">
        <v>6.78</v>
      </c>
      <c r="P1177" s="81"/>
      <c r="Q1177" s="81">
        <v>1.2203999999999999</v>
      </c>
      <c r="R1177" s="80"/>
      <c r="S1177" s="80">
        <v>0</v>
      </c>
      <c r="T1177" s="82">
        <v>8</v>
      </c>
      <c r="U1177" s="77"/>
      <c r="V1177" s="75"/>
      <c r="W1177" s="77"/>
      <c r="X1177" s="77"/>
      <c r="Y1177" s="77" t="s">
        <v>3842</v>
      </c>
      <c r="Z1177" s="77" t="s">
        <v>268</v>
      </c>
      <c r="AA1177" s="83" t="s">
        <v>3841</v>
      </c>
      <c r="AB1177" s="104" t="str">
        <f>IFERROR(VLOOKUP(Anexo_4[[#This Row],[cuenta]],OP,2,0),"-")</f>
        <v>Transporte peajes - Ventas</v>
      </c>
    </row>
    <row r="1178" spans="1:28" s="84" customFormat="1" ht="27" customHeight="1" x14ac:dyDescent="0.3">
      <c r="A1178" s="75" t="s">
        <v>3610</v>
      </c>
      <c r="B1178" s="36" t="str">
        <f t="shared" si="18"/>
        <v>Agosto</v>
      </c>
      <c r="C1178" s="77" t="s">
        <v>162</v>
      </c>
      <c r="D1178" s="77" t="s">
        <v>3843</v>
      </c>
      <c r="E1178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178" s="79" t="s">
        <v>235</v>
      </c>
      <c r="G1178" s="79" t="s">
        <v>236</v>
      </c>
      <c r="H1178" s="140" t="s">
        <v>3844</v>
      </c>
      <c r="I1178" s="77" t="s">
        <v>178</v>
      </c>
      <c r="J1178" s="144" t="s">
        <v>179</v>
      </c>
      <c r="K1178" s="77" t="s">
        <v>169</v>
      </c>
      <c r="L1178" s="103" t="str">
        <f>VLOOKUP(Anexo_4[[#This Row],[cod_doc]],TIPODOC,2,FALSE)</f>
        <v>FACTURA</v>
      </c>
      <c r="M1178" s="77" t="s">
        <v>180</v>
      </c>
      <c r="N1178" s="79">
        <v>135037</v>
      </c>
      <c r="O1178" s="80">
        <v>8.4700000000000006</v>
      </c>
      <c r="P1178" s="81"/>
      <c r="Q1178" s="81">
        <v>1.5246</v>
      </c>
      <c r="R1178" s="80"/>
      <c r="S1178" s="80">
        <v>0</v>
      </c>
      <c r="T1178" s="82">
        <v>10</v>
      </c>
      <c r="U1178" s="77"/>
      <c r="V1178" s="75"/>
      <c r="W1178" s="77"/>
      <c r="X1178" s="77"/>
      <c r="Y1178" s="77" t="s">
        <v>3845</v>
      </c>
      <c r="Z1178" s="77" t="s">
        <v>386</v>
      </c>
      <c r="AA1178" s="83" t="s">
        <v>3844</v>
      </c>
      <c r="AB1178" s="104" t="str">
        <f>IFERROR(VLOOKUP(Anexo_4[[#This Row],[cuenta]],OP,2,0),"-")</f>
        <v>Balanza - Servicios</v>
      </c>
    </row>
    <row r="1179" spans="1:28" s="84" customFormat="1" ht="27" customHeight="1" x14ac:dyDescent="0.3">
      <c r="A1179" s="75" t="s">
        <v>3573</v>
      </c>
      <c r="B1179" s="36" t="str">
        <f t="shared" si="18"/>
        <v>Agosto</v>
      </c>
      <c r="C1179" s="77" t="s">
        <v>162</v>
      </c>
      <c r="D1179" s="77" t="s">
        <v>3846</v>
      </c>
      <c r="E1179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179" s="79" t="s">
        <v>235</v>
      </c>
      <c r="G1179" s="79" t="s">
        <v>236</v>
      </c>
      <c r="H1179" s="140" t="s">
        <v>3847</v>
      </c>
      <c r="I1179" s="77" t="s">
        <v>383</v>
      </c>
      <c r="J1179" s="144" t="s">
        <v>384</v>
      </c>
      <c r="K1179" s="77" t="s">
        <v>169</v>
      </c>
      <c r="L1179" s="103" t="str">
        <f>VLOOKUP(Anexo_4[[#This Row],[cod_doc]],TIPODOC,2,FALSE)</f>
        <v>FACTURA</v>
      </c>
      <c r="M1179" s="77" t="s">
        <v>421</v>
      </c>
      <c r="N1179" s="79">
        <v>35294</v>
      </c>
      <c r="O1179" s="80">
        <v>8.4700000000000006</v>
      </c>
      <c r="P1179" s="81"/>
      <c r="Q1179" s="81">
        <v>1.5246</v>
      </c>
      <c r="R1179" s="80"/>
      <c r="S1179" s="80">
        <v>0</v>
      </c>
      <c r="T1179" s="82">
        <v>10</v>
      </c>
      <c r="U1179" s="77"/>
      <c r="V1179" s="75"/>
      <c r="W1179" s="77"/>
      <c r="X1179" s="77"/>
      <c r="Y1179" s="77" t="s">
        <v>3848</v>
      </c>
      <c r="Z1179" s="77" t="s">
        <v>386</v>
      </c>
      <c r="AA1179" s="83" t="s">
        <v>3847</v>
      </c>
      <c r="AB1179" s="104" t="str">
        <f>IFERROR(VLOOKUP(Anexo_4[[#This Row],[cuenta]],OP,2,0),"-")</f>
        <v>Balanza - Servicios</v>
      </c>
    </row>
    <row r="1180" spans="1:28" s="84" customFormat="1" ht="27" customHeight="1" x14ac:dyDescent="0.3">
      <c r="A1180" s="75" t="s">
        <v>3573</v>
      </c>
      <c r="B1180" s="36" t="str">
        <f t="shared" si="18"/>
        <v>Agosto</v>
      </c>
      <c r="C1180" s="77" t="s">
        <v>162</v>
      </c>
      <c r="D1180" s="77" t="s">
        <v>3849</v>
      </c>
      <c r="E1180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180" s="79" t="s">
        <v>235</v>
      </c>
      <c r="G1180" s="79" t="s">
        <v>236</v>
      </c>
      <c r="H1180" s="140" t="s">
        <v>3850</v>
      </c>
      <c r="I1180" s="77" t="s">
        <v>383</v>
      </c>
      <c r="J1180" s="144" t="s">
        <v>384</v>
      </c>
      <c r="K1180" s="77" t="s">
        <v>169</v>
      </c>
      <c r="L1180" s="103" t="str">
        <f>VLOOKUP(Anexo_4[[#This Row],[cod_doc]],TIPODOC,2,FALSE)</f>
        <v>FACTURA</v>
      </c>
      <c r="M1180" s="77" t="s">
        <v>421</v>
      </c>
      <c r="N1180" s="79">
        <v>35295</v>
      </c>
      <c r="O1180" s="80">
        <v>8.4700000000000006</v>
      </c>
      <c r="P1180" s="81"/>
      <c r="Q1180" s="81">
        <v>1.5246</v>
      </c>
      <c r="R1180" s="80"/>
      <c r="S1180" s="80">
        <v>0</v>
      </c>
      <c r="T1180" s="82">
        <v>10</v>
      </c>
      <c r="U1180" s="77"/>
      <c r="V1180" s="75"/>
      <c r="W1180" s="77"/>
      <c r="X1180" s="77"/>
      <c r="Y1180" s="77" t="s">
        <v>3851</v>
      </c>
      <c r="Z1180" s="77" t="s">
        <v>386</v>
      </c>
      <c r="AA1180" s="83" t="s">
        <v>3850</v>
      </c>
      <c r="AB1180" s="104" t="str">
        <f>IFERROR(VLOOKUP(Anexo_4[[#This Row],[cuenta]],OP,2,0),"-")</f>
        <v>Balanza - Servicios</v>
      </c>
    </row>
    <row r="1181" spans="1:28" s="84" customFormat="1" ht="27" customHeight="1" x14ac:dyDescent="0.3">
      <c r="A1181" s="75" t="s">
        <v>3670</v>
      </c>
      <c r="B1181" s="36" t="str">
        <f t="shared" si="18"/>
        <v>Agosto</v>
      </c>
      <c r="C1181" s="77" t="s">
        <v>162</v>
      </c>
      <c r="D1181" s="77" t="s">
        <v>3852</v>
      </c>
      <c r="E118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181" s="79" t="s">
        <v>217</v>
      </c>
      <c r="G1181" s="79" t="s">
        <v>218</v>
      </c>
      <c r="H1181" s="140" t="s">
        <v>3853</v>
      </c>
      <c r="I1181" s="77" t="s">
        <v>383</v>
      </c>
      <c r="J1181" s="144" t="s">
        <v>384</v>
      </c>
      <c r="K1181" s="77" t="s">
        <v>169</v>
      </c>
      <c r="L1181" s="103" t="str">
        <f>VLOOKUP(Anexo_4[[#This Row],[cod_doc]],TIPODOC,2,FALSE)</f>
        <v>FACTURA</v>
      </c>
      <c r="M1181" s="77" t="s">
        <v>103</v>
      </c>
      <c r="N1181" s="79">
        <v>17300</v>
      </c>
      <c r="O1181" s="80">
        <v>16.95</v>
      </c>
      <c r="P1181" s="81"/>
      <c r="Q1181" s="81">
        <v>3.0509999999999997</v>
      </c>
      <c r="R1181" s="80"/>
      <c r="S1181" s="80">
        <v>0</v>
      </c>
      <c r="T1181" s="82">
        <v>20</v>
      </c>
      <c r="U1181" s="77"/>
      <c r="V1181" s="75"/>
      <c r="W1181" s="77"/>
      <c r="X1181" s="77"/>
      <c r="Y1181" s="77" t="s">
        <v>3854</v>
      </c>
      <c r="Z1181" s="77" t="s">
        <v>386</v>
      </c>
      <c r="AA1181" s="83" t="s">
        <v>3853</v>
      </c>
      <c r="AB1181" s="104" t="str">
        <f>IFERROR(VLOOKUP(Anexo_4[[#This Row],[cuenta]],OP,2,0),"-")</f>
        <v>Balanza - Servicios</v>
      </c>
    </row>
    <row r="1182" spans="1:28" s="84" customFormat="1" ht="27" customHeight="1" x14ac:dyDescent="0.3">
      <c r="A1182" s="75" t="s">
        <v>3610</v>
      </c>
      <c r="B1182" s="36" t="str">
        <f t="shared" si="18"/>
        <v>Agosto</v>
      </c>
      <c r="C1182" s="77" t="s">
        <v>162</v>
      </c>
      <c r="D1182" s="77" t="s">
        <v>3855</v>
      </c>
      <c r="E118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182" s="79" t="s">
        <v>418</v>
      </c>
      <c r="G1182" s="79" t="s">
        <v>419</v>
      </c>
      <c r="H1182" s="140" t="s">
        <v>3856</v>
      </c>
      <c r="I1182" s="77" t="s">
        <v>286</v>
      </c>
      <c r="J1182" s="144" t="s">
        <v>287</v>
      </c>
      <c r="K1182" s="77" t="s">
        <v>169</v>
      </c>
      <c r="L1182" s="103" t="str">
        <f>VLOOKUP(Anexo_4[[#This Row],[cod_doc]],TIPODOC,2,FALSE)</f>
        <v>FACTURA</v>
      </c>
      <c r="M1182" s="77" t="s">
        <v>222</v>
      </c>
      <c r="N1182" s="79">
        <v>18114</v>
      </c>
      <c r="O1182" s="80"/>
      <c r="P1182" s="81"/>
      <c r="Q1182" s="81"/>
      <c r="R1182" s="80"/>
      <c r="S1182" s="80">
        <v>11</v>
      </c>
      <c r="T1182" s="82">
        <v>11</v>
      </c>
      <c r="U1182" s="77"/>
      <c r="V1182" s="75"/>
      <c r="W1182" s="77"/>
      <c r="X1182" s="77"/>
      <c r="Y1182" s="77" t="s">
        <v>3857</v>
      </c>
      <c r="Z1182" s="77" t="s">
        <v>386</v>
      </c>
      <c r="AA1182" s="83" t="s">
        <v>3856</v>
      </c>
      <c r="AB1182" s="104" t="str">
        <f>IFERROR(VLOOKUP(Anexo_4[[#This Row],[cuenta]],OP,2,0),"-")</f>
        <v>Balanza - Servicios</v>
      </c>
    </row>
    <row r="1183" spans="1:28" s="84" customFormat="1" ht="27" customHeight="1" x14ac:dyDescent="0.3">
      <c r="A1183" s="75" t="s">
        <v>2494</v>
      </c>
      <c r="B1183" s="36" t="str">
        <f t="shared" si="18"/>
        <v>Agosto</v>
      </c>
      <c r="C1183" s="77" t="s">
        <v>162</v>
      </c>
      <c r="D1183" s="77" t="s">
        <v>3858</v>
      </c>
      <c r="E1183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183" s="79" t="s">
        <v>235</v>
      </c>
      <c r="G1183" s="79" t="s">
        <v>236</v>
      </c>
      <c r="H1183" s="140" t="s">
        <v>3859</v>
      </c>
      <c r="I1183" s="77" t="s">
        <v>504</v>
      </c>
      <c r="J1183" s="144" t="s">
        <v>505</v>
      </c>
      <c r="K1183" s="77" t="s">
        <v>169</v>
      </c>
      <c r="L1183" s="103" t="str">
        <f>VLOOKUP(Anexo_4[[#This Row],[cod_doc]],TIPODOC,2,FALSE)</f>
        <v>FACTURA</v>
      </c>
      <c r="M1183" s="77" t="s">
        <v>222</v>
      </c>
      <c r="N1183" s="79">
        <v>19179</v>
      </c>
      <c r="O1183" s="80">
        <v>21.19</v>
      </c>
      <c r="P1183" s="81"/>
      <c r="Q1183" s="81">
        <v>3.8142</v>
      </c>
      <c r="R1183" s="80"/>
      <c r="S1183" s="80">
        <v>0</v>
      </c>
      <c r="T1183" s="82">
        <v>25</v>
      </c>
      <c r="U1183" s="77"/>
      <c r="V1183" s="75"/>
      <c r="W1183" s="77"/>
      <c r="X1183" s="77"/>
      <c r="Y1183" s="77" t="s">
        <v>3860</v>
      </c>
      <c r="Z1183" s="77" t="s">
        <v>507</v>
      </c>
      <c r="AA1183" s="83" t="s">
        <v>3859</v>
      </c>
      <c r="AB1183" s="104" t="str">
        <f>IFERROR(VLOOKUP(Anexo_4[[#This Row],[cuenta]],OP,2,0),"-")</f>
        <v>Transporte lavado (Higienización)</v>
      </c>
    </row>
    <row r="1184" spans="1:28" s="84" customFormat="1" ht="27" customHeight="1" x14ac:dyDescent="0.3">
      <c r="A1184" s="75" t="s">
        <v>3573</v>
      </c>
      <c r="B1184" s="36" t="str">
        <f t="shared" si="18"/>
        <v>Agosto</v>
      </c>
      <c r="C1184" s="77" t="s">
        <v>162</v>
      </c>
      <c r="D1184" s="77" t="s">
        <v>3861</v>
      </c>
      <c r="E1184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184" s="79" t="s">
        <v>248</v>
      </c>
      <c r="G1184" s="79" t="s">
        <v>249</v>
      </c>
      <c r="H1184" s="140" t="s">
        <v>3862</v>
      </c>
      <c r="I1184" s="77" t="s">
        <v>625</v>
      </c>
      <c r="J1184" s="144" t="s">
        <v>626</v>
      </c>
      <c r="K1184" s="77" t="s">
        <v>169</v>
      </c>
      <c r="L1184" s="103" t="str">
        <f>VLOOKUP(Anexo_4[[#This Row],[cod_doc]],TIPODOC,2,FALSE)</f>
        <v>FACTURA</v>
      </c>
      <c r="M1184" s="77" t="s">
        <v>180</v>
      </c>
      <c r="N1184" s="79">
        <v>16576</v>
      </c>
      <c r="O1184" s="80">
        <v>182.52</v>
      </c>
      <c r="P1184" s="81"/>
      <c r="Q1184" s="81">
        <v>32.8536</v>
      </c>
      <c r="R1184" s="80"/>
      <c r="S1184" s="80">
        <v>0</v>
      </c>
      <c r="T1184" s="82">
        <v>215.38</v>
      </c>
      <c r="U1184" s="77"/>
      <c r="V1184" s="75"/>
      <c r="W1184" s="77"/>
      <c r="X1184" s="77"/>
      <c r="Y1184" s="77" t="s">
        <v>3863</v>
      </c>
      <c r="Z1184" s="77" t="s">
        <v>256</v>
      </c>
      <c r="AA1184" s="83" t="s">
        <v>3862</v>
      </c>
      <c r="AB1184" s="104" t="str">
        <f>IFERROR(VLOOKUP(Anexo_4[[#This Row],[cuenta]],OP,2,0),"-")</f>
        <v>Materias Primas - RRSS</v>
      </c>
    </row>
    <row r="1185" spans="1:28" s="84" customFormat="1" ht="27" customHeight="1" x14ac:dyDescent="0.3">
      <c r="A1185" s="75" t="s">
        <v>3573</v>
      </c>
      <c r="B1185" s="36" t="str">
        <f t="shared" si="18"/>
        <v>Agosto</v>
      </c>
      <c r="C1185" s="77" t="s">
        <v>162</v>
      </c>
      <c r="D1185" s="77" t="s">
        <v>3864</v>
      </c>
      <c r="E118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185" s="79" t="s">
        <v>248</v>
      </c>
      <c r="G1185" s="79" t="s">
        <v>249</v>
      </c>
      <c r="H1185" s="140" t="s">
        <v>3865</v>
      </c>
      <c r="I1185" s="77" t="s">
        <v>625</v>
      </c>
      <c r="J1185" s="144" t="s">
        <v>626</v>
      </c>
      <c r="K1185" s="77" t="s">
        <v>169</v>
      </c>
      <c r="L1185" s="103" t="str">
        <f>VLOOKUP(Anexo_4[[#This Row],[cod_doc]],TIPODOC,2,FALSE)</f>
        <v>FACTURA</v>
      </c>
      <c r="M1185" s="77" t="s">
        <v>180</v>
      </c>
      <c r="N1185" s="79">
        <v>16577</v>
      </c>
      <c r="O1185" s="80">
        <v>165.35</v>
      </c>
      <c r="P1185" s="81"/>
      <c r="Q1185" s="81">
        <v>29.762999999999998</v>
      </c>
      <c r="R1185" s="80"/>
      <c r="S1185" s="80">
        <v>0</v>
      </c>
      <c r="T1185" s="82">
        <v>195.13</v>
      </c>
      <c r="U1185" s="77"/>
      <c r="V1185" s="75"/>
      <c r="W1185" s="77"/>
      <c r="X1185" s="77"/>
      <c r="Y1185" s="77" t="s">
        <v>3866</v>
      </c>
      <c r="Z1185" s="77" t="s">
        <v>256</v>
      </c>
      <c r="AA1185" s="83" t="s">
        <v>3865</v>
      </c>
      <c r="AB1185" s="104" t="str">
        <f>IFERROR(VLOOKUP(Anexo_4[[#This Row],[cuenta]],OP,2,0),"-")</f>
        <v>Materias Primas - RRSS</v>
      </c>
    </row>
    <row r="1186" spans="1:28" s="84" customFormat="1" ht="27" customHeight="1" x14ac:dyDescent="0.3">
      <c r="A1186" s="75" t="s">
        <v>3578</v>
      </c>
      <c r="B1186" s="36" t="str">
        <f t="shared" si="18"/>
        <v>Agosto</v>
      </c>
      <c r="C1186" s="77" t="s">
        <v>162</v>
      </c>
      <c r="D1186" s="77" t="s">
        <v>3867</v>
      </c>
      <c r="E118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186" s="79" t="s">
        <v>248</v>
      </c>
      <c r="G1186" s="79" t="s">
        <v>249</v>
      </c>
      <c r="H1186" s="140" t="s">
        <v>3868</v>
      </c>
      <c r="I1186" s="77" t="s">
        <v>625</v>
      </c>
      <c r="J1186" s="144" t="s">
        <v>626</v>
      </c>
      <c r="K1186" s="77" t="s">
        <v>169</v>
      </c>
      <c r="L1186" s="103" t="str">
        <f>VLOOKUP(Anexo_4[[#This Row],[cod_doc]],TIPODOC,2,FALSE)</f>
        <v>FACTURA</v>
      </c>
      <c r="M1186" s="77" t="s">
        <v>180</v>
      </c>
      <c r="N1186" s="79">
        <v>16591</v>
      </c>
      <c r="O1186" s="80">
        <v>179.62</v>
      </c>
      <c r="P1186" s="81"/>
      <c r="Q1186" s="81">
        <v>32.331600000000002</v>
      </c>
      <c r="R1186" s="80"/>
      <c r="S1186" s="80">
        <v>0</v>
      </c>
      <c r="T1186" s="82">
        <v>211.95</v>
      </c>
      <c r="U1186" s="77"/>
      <c r="V1186" s="75"/>
      <c r="W1186" s="77"/>
      <c r="X1186" s="77"/>
      <c r="Y1186" s="77" t="s">
        <v>3869</v>
      </c>
      <c r="Z1186" s="77" t="s">
        <v>256</v>
      </c>
      <c r="AA1186" s="83" t="s">
        <v>3868</v>
      </c>
      <c r="AB1186" s="104" t="str">
        <f>IFERROR(VLOOKUP(Anexo_4[[#This Row],[cuenta]],OP,2,0),"-")</f>
        <v>Materias Primas - RRSS</v>
      </c>
    </row>
    <row r="1187" spans="1:28" s="84" customFormat="1" ht="27" customHeight="1" x14ac:dyDescent="0.3">
      <c r="A1187" s="75" t="s">
        <v>3573</v>
      </c>
      <c r="B1187" s="36" t="str">
        <f t="shared" si="18"/>
        <v>Agosto</v>
      </c>
      <c r="C1187" s="77" t="s">
        <v>162</v>
      </c>
      <c r="D1187" s="77" t="s">
        <v>3870</v>
      </c>
      <c r="E1187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187" s="79" t="s">
        <v>248</v>
      </c>
      <c r="G1187" s="79" t="s">
        <v>249</v>
      </c>
      <c r="H1187" s="140" t="s">
        <v>3871</v>
      </c>
      <c r="I1187" s="77" t="s">
        <v>625</v>
      </c>
      <c r="J1187" s="144" t="s">
        <v>626</v>
      </c>
      <c r="K1187" s="77" t="s">
        <v>169</v>
      </c>
      <c r="L1187" s="103" t="str">
        <f>VLOOKUP(Anexo_4[[#This Row],[cod_doc]],TIPODOC,2,FALSE)</f>
        <v>FACTURA</v>
      </c>
      <c r="M1187" s="77" t="s">
        <v>180</v>
      </c>
      <c r="N1187" s="79">
        <v>16571</v>
      </c>
      <c r="O1187" s="80">
        <v>158.9</v>
      </c>
      <c r="P1187" s="81"/>
      <c r="Q1187" s="81">
        <v>28.602</v>
      </c>
      <c r="R1187" s="80"/>
      <c r="S1187" s="80">
        <v>0</v>
      </c>
      <c r="T1187" s="82">
        <v>187.5</v>
      </c>
      <c r="U1187" s="77"/>
      <c r="V1187" s="75"/>
      <c r="W1187" s="77"/>
      <c r="X1187" s="77"/>
      <c r="Y1187" s="77" t="s">
        <v>3872</v>
      </c>
      <c r="Z1187" s="77" t="s">
        <v>256</v>
      </c>
      <c r="AA1187" s="83" t="s">
        <v>3871</v>
      </c>
      <c r="AB1187" s="104" t="str">
        <f>IFERROR(VLOOKUP(Anexo_4[[#This Row],[cuenta]],OP,2,0),"-")</f>
        <v>Materias Primas - RRSS</v>
      </c>
    </row>
    <row r="1188" spans="1:28" s="84" customFormat="1" ht="27" customHeight="1" x14ac:dyDescent="0.3">
      <c r="A1188" s="75" t="s">
        <v>3573</v>
      </c>
      <c r="B1188" s="36" t="str">
        <f t="shared" si="18"/>
        <v>Agosto</v>
      </c>
      <c r="C1188" s="77" t="s">
        <v>162</v>
      </c>
      <c r="D1188" s="77" t="s">
        <v>3873</v>
      </c>
      <c r="E1188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188" s="79" t="s">
        <v>248</v>
      </c>
      <c r="G1188" s="79" t="s">
        <v>249</v>
      </c>
      <c r="H1188" s="140" t="s">
        <v>3874</v>
      </c>
      <c r="I1188" s="77" t="s">
        <v>625</v>
      </c>
      <c r="J1188" s="144" t="s">
        <v>626</v>
      </c>
      <c r="K1188" s="77" t="s">
        <v>169</v>
      </c>
      <c r="L1188" s="103" t="str">
        <f>VLOOKUP(Anexo_4[[#This Row],[cod_doc]],TIPODOC,2,FALSE)</f>
        <v>FACTURA</v>
      </c>
      <c r="M1188" s="77" t="s">
        <v>180</v>
      </c>
      <c r="N1188" s="79">
        <v>16582</v>
      </c>
      <c r="O1188" s="80">
        <v>431.63</v>
      </c>
      <c r="P1188" s="81"/>
      <c r="Q1188" s="81">
        <v>77.693399999999997</v>
      </c>
      <c r="R1188" s="80"/>
      <c r="S1188" s="80">
        <v>0</v>
      </c>
      <c r="T1188" s="82">
        <v>509.33</v>
      </c>
      <c r="U1188" s="77"/>
      <c r="V1188" s="75"/>
      <c r="W1188" s="77"/>
      <c r="X1188" s="77"/>
      <c r="Y1188" s="77" t="s">
        <v>3875</v>
      </c>
      <c r="Z1188" s="77" t="s">
        <v>256</v>
      </c>
      <c r="AA1188" s="83" t="s">
        <v>3874</v>
      </c>
      <c r="AB1188" s="104" t="str">
        <f>IFERROR(VLOOKUP(Anexo_4[[#This Row],[cuenta]],OP,2,0),"-")</f>
        <v>Materias Primas - RRSS</v>
      </c>
    </row>
    <row r="1189" spans="1:28" s="84" customFormat="1" ht="27" customHeight="1" x14ac:dyDescent="0.3">
      <c r="A1189" s="75" t="s">
        <v>3578</v>
      </c>
      <c r="B1189" s="36" t="str">
        <f t="shared" si="18"/>
        <v>Agosto</v>
      </c>
      <c r="C1189" s="77" t="s">
        <v>162</v>
      </c>
      <c r="D1189" s="77" t="s">
        <v>3876</v>
      </c>
      <c r="E1189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189" s="79" t="s">
        <v>248</v>
      </c>
      <c r="G1189" s="79" t="s">
        <v>249</v>
      </c>
      <c r="H1189" s="140" t="s">
        <v>3877</v>
      </c>
      <c r="I1189" s="77" t="s">
        <v>625</v>
      </c>
      <c r="J1189" s="144" t="s">
        <v>626</v>
      </c>
      <c r="K1189" s="77" t="s">
        <v>169</v>
      </c>
      <c r="L1189" s="103" t="str">
        <f>VLOOKUP(Anexo_4[[#This Row],[cod_doc]],TIPODOC,2,FALSE)</f>
        <v>FACTURA</v>
      </c>
      <c r="M1189" s="77" t="s">
        <v>180</v>
      </c>
      <c r="N1189" s="79">
        <v>16593</v>
      </c>
      <c r="O1189" s="80">
        <v>79.12</v>
      </c>
      <c r="P1189" s="81"/>
      <c r="Q1189" s="81">
        <v>14.2416</v>
      </c>
      <c r="R1189" s="80"/>
      <c r="S1189" s="80">
        <v>0</v>
      </c>
      <c r="T1189" s="82">
        <v>93.38</v>
      </c>
      <c r="U1189" s="77"/>
      <c r="V1189" s="75"/>
      <c r="W1189" s="77"/>
      <c r="X1189" s="77"/>
      <c r="Y1189" s="77" t="s">
        <v>3878</v>
      </c>
      <c r="Z1189" s="77" t="s">
        <v>256</v>
      </c>
      <c r="AA1189" s="83" t="s">
        <v>3877</v>
      </c>
      <c r="AB1189" s="104" t="str">
        <f>IFERROR(VLOOKUP(Anexo_4[[#This Row],[cuenta]],OP,2,0),"-")</f>
        <v>Materias Primas - RRSS</v>
      </c>
    </row>
    <row r="1190" spans="1:28" s="84" customFormat="1" ht="27" customHeight="1" x14ac:dyDescent="0.3">
      <c r="A1190" s="75" t="s">
        <v>3879</v>
      </c>
      <c r="B1190" s="36" t="str">
        <f t="shared" si="18"/>
        <v>Agosto</v>
      </c>
      <c r="C1190" s="77" t="s">
        <v>162</v>
      </c>
      <c r="D1190" s="77" t="s">
        <v>3880</v>
      </c>
      <c r="E1190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190" s="79" t="s">
        <v>391</v>
      </c>
      <c r="G1190" s="79" t="s">
        <v>392</v>
      </c>
      <c r="H1190" s="140" t="s">
        <v>3881</v>
      </c>
      <c r="I1190" s="77" t="s">
        <v>383</v>
      </c>
      <c r="J1190" s="144" t="s">
        <v>384</v>
      </c>
      <c r="K1190" s="77" t="s">
        <v>169</v>
      </c>
      <c r="L1190" s="103" t="str">
        <f>VLOOKUP(Anexo_4[[#This Row],[cod_doc]],TIPODOC,2,FALSE)</f>
        <v>FACTURA</v>
      </c>
      <c r="M1190" s="77" t="s">
        <v>103</v>
      </c>
      <c r="N1190" s="79">
        <v>17385</v>
      </c>
      <c r="O1190" s="80">
        <v>16.95</v>
      </c>
      <c r="P1190" s="81"/>
      <c r="Q1190" s="81">
        <v>3.0509999999999997</v>
      </c>
      <c r="R1190" s="80"/>
      <c r="S1190" s="80">
        <v>0</v>
      </c>
      <c r="T1190" s="82">
        <v>20</v>
      </c>
      <c r="U1190" s="77"/>
      <c r="V1190" s="75"/>
      <c r="W1190" s="77"/>
      <c r="X1190" s="77"/>
      <c r="Y1190" s="77" t="s">
        <v>3882</v>
      </c>
      <c r="Z1190" s="77" t="s">
        <v>386</v>
      </c>
      <c r="AA1190" s="83" t="s">
        <v>3881</v>
      </c>
      <c r="AB1190" s="104" t="str">
        <f>IFERROR(VLOOKUP(Anexo_4[[#This Row],[cuenta]],OP,2,0),"-")</f>
        <v>Balanza - Servicios</v>
      </c>
    </row>
    <row r="1191" spans="1:28" s="84" customFormat="1" ht="27" customHeight="1" x14ac:dyDescent="0.3">
      <c r="A1191" s="75" t="s">
        <v>3578</v>
      </c>
      <c r="B1191" s="36" t="str">
        <f t="shared" si="18"/>
        <v>Agosto</v>
      </c>
      <c r="C1191" s="77" t="s">
        <v>162</v>
      </c>
      <c r="D1191" s="77" t="s">
        <v>3883</v>
      </c>
      <c r="E1191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191" s="79" t="s">
        <v>442</v>
      </c>
      <c r="G1191" s="79" t="s">
        <v>443</v>
      </c>
      <c r="H1191" s="140" t="s">
        <v>3884</v>
      </c>
      <c r="I1191" s="77" t="s">
        <v>886</v>
      </c>
      <c r="J1191" s="144" t="s">
        <v>887</v>
      </c>
      <c r="K1191" s="77" t="s">
        <v>169</v>
      </c>
      <c r="L1191" s="103" t="str">
        <f>VLOOKUP(Anexo_4[[#This Row],[cod_doc]],TIPODOC,2,FALSE)</f>
        <v>FACTURA</v>
      </c>
      <c r="M1191" s="77" t="s">
        <v>343</v>
      </c>
      <c r="N1191" s="79">
        <v>2138</v>
      </c>
      <c r="O1191" s="80">
        <v>219.56</v>
      </c>
      <c r="P1191" s="81"/>
      <c r="Q1191" s="81">
        <v>39.520800000000001</v>
      </c>
      <c r="R1191" s="80"/>
      <c r="S1191" s="80">
        <v>0</v>
      </c>
      <c r="T1191" s="82">
        <v>259.08</v>
      </c>
      <c r="U1191" s="77"/>
      <c r="V1191" s="75"/>
      <c r="W1191" s="77"/>
      <c r="X1191" s="77"/>
      <c r="Y1191" s="77"/>
      <c r="Z1191" s="77" t="s">
        <v>846</v>
      </c>
      <c r="AA1191" s="83" t="s">
        <v>3884</v>
      </c>
      <c r="AB1191" s="104" t="str">
        <f>IFERROR(VLOOKUP(Anexo_4[[#This Row],[cuenta]],OP,2,0),"-")</f>
        <v>-</v>
      </c>
    </row>
    <row r="1192" spans="1:28" s="84" customFormat="1" ht="27" customHeight="1" x14ac:dyDescent="0.3">
      <c r="A1192" s="75" t="s">
        <v>3670</v>
      </c>
      <c r="B1192" s="36" t="str">
        <f t="shared" si="18"/>
        <v>Agosto</v>
      </c>
      <c r="C1192" s="77" t="s">
        <v>162</v>
      </c>
      <c r="D1192" s="77" t="s">
        <v>3885</v>
      </c>
      <c r="E119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192" s="79" t="s">
        <v>235</v>
      </c>
      <c r="G1192" s="79" t="s">
        <v>236</v>
      </c>
      <c r="H1192" s="140" t="s">
        <v>3886</v>
      </c>
      <c r="I1192" s="77" t="s">
        <v>383</v>
      </c>
      <c r="J1192" s="144" t="s">
        <v>384</v>
      </c>
      <c r="K1192" s="77" t="s">
        <v>169</v>
      </c>
      <c r="L1192" s="103" t="str">
        <f>VLOOKUP(Anexo_4[[#This Row],[cod_doc]],TIPODOC,2,FALSE)</f>
        <v>FACTURA</v>
      </c>
      <c r="M1192" s="77" t="s">
        <v>103</v>
      </c>
      <c r="N1192" s="79">
        <v>17299</v>
      </c>
      <c r="O1192" s="80">
        <v>16.95</v>
      </c>
      <c r="P1192" s="81"/>
      <c r="Q1192" s="81">
        <v>3.0509999999999997</v>
      </c>
      <c r="R1192" s="80"/>
      <c r="S1192" s="80">
        <v>0</v>
      </c>
      <c r="T1192" s="82">
        <v>20</v>
      </c>
      <c r="U1192" s="77"/>
      <c r="V1192" s="75"/>
      <c r="W1192" s="77"/>
      <c r="X1192" s="77"/>
      <c r="Y1192" s="77"/>
      <c r="Z1192" s="77" t="s">
        <v>182</v>
      </c>
      <c r="AA1192" s="83" t="s">
        <v>3886</v>
      </c>
      <c r="AB1192" s="104" t="str">
        <f>IFERROR(VLOOKUP(Anexo_4[[#This Row],[cuenta]],OP,2,0),"-")</f>
        <v>Balanza - Ventas</v>
      </c>
    </row>
    <row r="1193" spans="1:28" s="84" customFormat="1" ht="27" customHeight="1" x14ac:dyDescent="0.3">
      <c r="A1193" s="75" t="s">
        <v>3670</v>
      </c>
      <c r="B1193" s="36" t="str">
        <f t="shared" si="18"/>
        <v>Agosto</v>
      </c>
      <c r="C1193" s="77" t="s">
        <v>162</v>
      </c>
      <c r="D1193" s="77" t="s">
        <v>3887</v>
      </c>
      <c r="E1193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193" s="79" t="s">
        <v>235</v>
      </c>
      <c r="G1193" s="79" t="s">
        <v>236</v>
      </c>
      <c r="H1193" s="140" t="s">
        <v>3888</v>
      </c>
      <c r="I1193" s="77" t="s">
        <v>264</v>
      </c>
      <c r="J1193" s="144" t="s">
        <v>265</v>
      </c>
      <c r="K1193" s="77" t="s">
        <v>169</v>
      </c>
      <c r="L1193" s="103" t="str">
        <f>VLOOKUP(Anexo_4[[#This Row],[cod_doc]],TIPODOC,2,FALSE)</f>
        <v>FACTURA</v>
      </c>
      <c r="M1193" s="77" t="s">
        <v>379</v>
      </c>
      <c r="N1193" s="79">
        <v>2141150</v>
      </c>
      <c r="O1193" s="80">
        <v>6.78</v>
      </c>
      <c r="P1193" s="81"/>
      <c r="Q1193" s="81">
        <v>1.2203999999999999</v>
      </c>
      <c r="R1193" s="80"/>
      <c r="S1193" s="80">
        <v>0</v>
      </c>
      <c r="T1193" s="82">
        <v>8</v>
      </c>
      <c r="U1193" s="77"/>
      <c r="V1193" s="75"/>
      <c r="W1193" s="77"/>
      <c r="X1193" s="77"/>
      <c r="Y1193" s="77" t="s">
        <v>3889</v>
      </c>
      <c r="Z1193" s="77" t="s">
        <v>302</v>
      </c>
      <c r="AA1193" s="83" t="s">
        <v>3888</v>
      </c>
      <c r="AB1193" s="104" t="str">
        <f>IFERROR(VLOOKUP(Anexo_4[[#This Row],[cuenta]],OP,2,0),"-")</f>
        <v>Transporte peajes - Servicios</v>
      </c>
    </row>
    <row r="1194" spans="1:28" s="84" customFormat="1" ht="27" customHeight="1" x14ac:dyDescent="0.3">
      <c r="A1194" s="75" t="s">
        <v>3578</v>
      </c>
      <c r="B1194" s="36" t="str">
        <f t="shared" si="18"/>
        <v>Agosto</v>
      </c>
      <c r="C1194" s="77" t="s">
        <v>162</v>
      </c>
      <c r="D1194" s="77" t="s">
        <v>3890</v>
      </c>
      <c r="E1194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194" s="79" t="s">
        <v>235</v>
      </c>
      <c r="G1194" s="79" t="s">
        <v>236</v>
      </c>
      <c r="H1194" s="140" t="s">
        <v>3891</v>
      </c>
      <c r="I1194" s="77" t="s">
        <v>264</v>
      </c>
      <c r="J1194" s="144" t="s">
        <v>265</v>
      </c>
      <c r="K1194" s="77" t="s">
        <v>169</v>
      </c>
      <c r="L1194" s="103" t="str">
        <f>VLOOKUP(Anexo_4[[#This Row],[cod_doc]],TIPODOC,2,FALSE)</f>
        <v>FACTURA</v>
      </c>
      <c r="M1194" s="77" t="s">
        <v>406</v>
      </c>
      <c r="N1194" s="79">
        <v>2425952</v>
      </c>
      <c r="O1194" s="80">
        <v>6.78</v>
      </c>
      <c r="P1194" s="81"/>
      <c r="Q1194" s="81">
        <v>1.2203999999999999</v>
      </c>
      <c r="R1194" s="80"/>
      <c r="S1194" s="80">
        <v>0</v>
      </c>
      <c r="T1194" s="82">
        <v>8</v>
      </c>
      <c r="U1194" s="77"/>
      <c r="V1194" s="75"/>
      <c r="W1194" s="77"/>
      <c r="X1194" s="77"/>
      <c r="Y1194" s="77" t="s">
        <v>3892</v>
      </c>
      <c r="Z1194" s="77" t="s">
        <v>268</v>
      </c>
      <c r="AA1194" s="83" t="s">
        <v>3891</v>
      </c>
      <c r="AB1194" s="104" t="str">
        <f>IFERROR(VLOOKUP(Anexo_4[[#This Row],[cuenta]],OP,2,0),"-")</f>
        <v>Transporte peajes - Ventas</v>
      </c>
    </row>
    <row r="1195" spans="1:28" s="84" customFormat="1" ht="27" customHeight="1" x14ac:dyDescent="0.3">
      <c r="A1195" s="75" t="s">
        <v>3670</v>
      </c>
      <c r="B1195" s="36" t="str">
        <f t="shared" si="18"/>
        <v>Agosto</v>
      </c>
      <c r="C1195" s="77" t="s">
        <v>162</v>
      </c>
      <c r="D1195" s="77" t="s">
        <v>3893</v>
      </c>
      <c r="E119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195" s="79" t="s">
        <v>235</v>
      </c>
      <c r="G1195" s="79" t="s">
        <v>236</v>
      </c>
      <c r="H1195" s="140" t="s">
        <v>3894</v>
      </c>
      <c r="I1195" s="77" t="s">
        <v>529</v>
      </c>
      <c r="J1195" s="144" t="s">
        <v>530</v>
      </c>
      <c r="K1195" s="77" t="s">
        <v>169</v>
      </c>
      <c r="L1195" s="103" t="str">
        <f>VLOOKUP(Anexo_4[[#This Row],[cod_doc]],TIPODOC,2,FALSE)</f>
        <v>FACTURA</v>
      </c>
      <c r="M1195" s="77" t="s">
        <v>531</v>
      </c>
      <c r="N1195" s="79">
        <v>2109</v>
      </c>
      <c r="O1195" s="80">
        <v>8.4700000000000006</v>
      </c>
      <c r="P1195" s="81"/>
      <c r="Q1195" s="81">
        <v>1.5246</v>
      </c>
      <c r="R1195" s="80"/>
      <c r="S1195" s="80">
        <v>0</v>
      </c>
      <c r="T1195" s="82">
        <v>10</v>
      </c>
      <c r="U1195" s="77"/>
      <c r="V1195" s="75"/>
      <c r="W1195" s="77"/>
      <c r="X1195" s="77"/>
      <c r="Y1195" s="77" t="s">
        <v>3895</v>
      </c>
      <c r="Z1195" s="77" t="s">
        <v>386</v>
      </c>
      <c r="AA1195" s="83" t="s">
        <v>3894</v>
      </c>
      <c r="AB1195" s="104" t="str">
        <f>IFERROR(VLOOKUP(Anexo_4[[#This Row],[cuenta]],OP,2,0),"-")</f>
        <v>Balanza - Servicios</v>
      </c>
    </row>
    <row r="1196" spans="1:28" s="84" customFormat="1" ht="27" customHeight="1" x14ac:dyDescent="0.3">
      <c r="A1196" s="75" t="s">
        <v>3578</v>
      </c>
      <c r="B1196" s="36" t="str">
        <f t="shared" si="18"/>
        <v>Agosto</v>
      </c>
      <c r="C1196" s="77" t="s">
        <v>162</v>
      </c>
      <c r="D1196" s="77" t="s">
        <v>3896</v>
      </c>
      <c r="E119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196" s="79" t="s">
        <v>235</v>
      </c>
      <c r="G1196" s="79" t="s">
        <v>236</v>
      </c>
      <c r="H1196" s="140" t="s">
        <v>3897</v>
      </c>
      <c r="I1196" s="77" t="s">
        <v>264</v>
      </c>
      <c r="J1196" s="144" t="s">
        <v>265</v>
      </c>
      <c r="K1196" s="77" t="s">
        <v>169</v>
      </c>
      <c r="L1196" s="103" t="str">
        <f>VLOOKUP(Anexo_4[[#This Row],[cod_doc]],TIPODOC,2,FALSE)</f>
        <v>FACTURA</v>
      </c>
      <c r="M1196" s="77" t="s">
        <v>379</v>
      </c>
      <c r="N1196" s="79">
        <v>2136668</v>
      </c>
      <c r="O1196" s="80">
        <v>6.78</v>
      </c>
      <c r="P1196" s="81"/>
      <c r="Q1196" s="81">
        <v>1.2203999999999999</v>
      </c>
      <c r="R1196" s="80"/>
      <c r="S1196" s="80">
        <v>0</v>
      </c>
      <c r="T1196" s="82">
        <v>8</v>
      </c>
      <c r="U1196" s="77"/>
      <c r="V1196" s="75"/>
      <c r="W1196" s="77"/>
      <c r="X1196" s="77"/>
      <c r="Y1196" s="77" t="s">
        <v>3898</v>
      </c>
      <c r="Z1196" s="77" t="s">
        <v>268</v>
      </c>
      <c r="AA1196" s="83" t="s">
        <v>3897</v>
      </c>
      <c r="AB1196" s="104" t="str">
        <f>IFERROR(VLOOKUP(Anexo_4[[#This Row],[cuenta]],OP,2,0),"-")</f>
        <v>Transporte peajes - Ventas</v>
      </c>
    </row>
    <row r="1197" spans="1:28" s="84" customFormat="1" ht="27" customHeight="1" x14ac:dyDescent="0.3">
      <c r="A1197" s="75" t="s">
        <v>3578</v>
      </c>
      <c r="B1197" s="36" t="str">
        <f t="shared" si="18"/>
        <v>Agosto</v>
      </c>
      <c r="C1197" s="77" t="s">
        <v>162</v>
      </c>
      <c r="D1197" s="77" t="s">
        <v>3899</v>
      </c>
      <c r="E1197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197" s="79" t="s">
        <v>235</v>
      </c>
      <c r="G1197" s="79" t="s">
        <v>236</v>
      </c>
      <c r="H1197" s="140" t="s">
        <v>3900</v>
      </c>
      <c r="I1197" s="77" t="s">
        <v>178</v>
      </c>
      <c r="J1197" s="144" t="s">
        <v>179</v>
      </c>
      <c r="K1197" s="77" t="s">
        <v>169</v>
      </c>
      <c r="L1197" s="103" t="str">
        <f>VLOOKUP(Anexo_4[[#This Row],[cod_doc]],TIPODOC,2,FALSE)</f>
        <v>FACTURA</v>
      </c>
      <c r="M1197" s="77" t="s">
        <v>180</v>
      </c>
      <c r="N1197" s="79">
        <v>135219</v>
      </c>
      <c r="O1197" s="80">
        <v>8.4700000000000006</v>
      </c>
      <c r="P1197" s="81"/>
      <c r="Q1197" s="81">
        <v>1.5246</v>
      </c>
      <c r="R1197" s="80"/>
      <c r="S1197" s="80">
        <v>0</v>
      </c>
      <c r="T1197" s="82">
        <v>10</v>
      </c>
      <c r="U1197" s="77"/>
      <c r="V1197" s="75"/>
      <c r="W1197" s="77"/>
      <c r="X1197" s="77"/>
      <c r="Y1197" s="77" t="s">
        <v>3901</v>
      </c>
      <c r="Z1197" s="77" t="s">
        <v>182</v>
      </c>
      <c r="AA1197" s="83" t="s">
        <v>3900</v>
      </c>
      <c r="AB1197" s="104" t="str">
        <f>IFERROR(VLOOKUP(Anexo_4[[#This Row],[cuenta]],OP,2,0),"-")</f>
        <v>Balanza - Ventas</v>
      </c>
    </row>
    <row r="1198" spans="1:28" s="84" customFormat="1" ht="27" customHeight="1" x14ac:dyDescent="0.3">
      <c r="A1198" s="75" t="s">
        <v>3624</v>
      </c>
      <c r="B1198" s="36" t="str">
        <f t="shared" si="18"/>
        <v>Agosto</v>
      </c>
      <c r="C1198" s="77" t="s">
        <v>162</v>
      </c>
      <c r="D1198" s="77" t="s">
        <v>3902</v>
      </c>
      <c r="E1198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198" s="79" t="s">
        <v>235</v>
      </c>
      <c r="G1198" s="79" t="s">
        <v>236</v>
      </c>
      <c r="H1198" s="140" t="s">
        <v>3903</v>
      </c>
      <c r="I1198" s="77" t="s">
        <v>178</v>
      </c>
      <c r="J1198" s="144" t="s">
        <v>179</v>
      </c>
      <c r="K1198" s="77" t="s">
        <v>169</v>
      </c>
      <c r="L1198" s="103" t="str">
        <f>VLOOKUP(Anexo_4[[#This Row],[cod_doc]],TIPODOC,2,FALSE)</f>
        <v>FACTURA</v>
      </c>
      <c r="M1198" s="77" t="s">
        <v>180</v>
      </c>
      <c r="N1198" s="79">
        <v>135225</v>
      </c>
      <c r="O1198" s="80">
        <v>8.4700000000000006</v>
      </c>
      <c r="P1198" s="81"/>
      <c r="Q1198" s="81">
        <v>1.5246</v>
      </c>
      <c r="R1198" s="80"/>
      <c r="S1198" s="80">
        <v>0</v>
      </c>
      <c r="T1198" s="82">
        <v>10</v>
      </c>
      <c r="U1198" s="77"/>
      <c r="V1198" s="75"/>
      <c r="W1198" s="77"/>
      <c r="X1198" s="77"/>
      <c r="Y1198" s="77" t="s">
        <v>3904</v>
      </c>
      <c r="Z1198" s="77" t="s">
        <v>386</v>
      </c>
      <c r="AA1198" s="83" t="s">
        <v>3903</v>
      </c>
      <c r="AB1198" s="104" t="str">
        <f>IFERROR(VLOOKUP(Anexo_4[[#This Row],[cuenta]],OP,2,0),"-")</f>
        <v>Balanza - Servicios</v>
      </c>
    </row>
    <row r="1199" spans="1:28" s="84" customFormat="1" ht="27" customHeight="1" x14ac:dyDescent="0.3">
      <c r="A1199" s="75" t="s">
        <v>3624</v>
      </c>
      <c r="B1199" s="36" t="str">
        <f t="shared" si="18"/>
        <v>Agosto</v>
      </c>
      <c r="C1199" s="77" t="s">
        <v>162</v>
      </c>
      <c r="D1199" s="77" t="s">
        <v>3905</v>
      </c>
      <c r="E1199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199" s="79" t="s">
        <v>235</v>
      </c>
      <c r="G1199" s="79" t="s">
        <v>236</v>
      </c>
      <c r="H1199" s="140" t="s">
        <v>3906</v>
      </c>
      <c r="I1199" s="77" t="s">
        <v>264</v>
      </c>
      <c r="J1199" s="144" t="s">
        <v>265</v>
      </c>
      <c r="K1199" s="77" t="s">
        <v>169</v>
      </c>
      <c r="L1199" s="103" t="str">
        <f>VLOOKUP(Anexo_4[[#This Row],[cod_doc]],TIPODOC,2,FALSE)</f>
        <v>FACTURA</v>
      </c>
      <c r="M1199" s="77" t="s">
        <v>406</v>
      </c>
      <c r="N1199" s="79">
        <v>2427203</v>
      </c>
      <c r="O1199" s="80">
        <v>6.78</v>
      </c>
      <c r="P1199" s="81"/>
      <c r="Q1199" s="81">
        <v>1.2203999999999999</v>
      </c>
      <c r="R1199" s="80"/>
      <c r="S1199" s="80">
        <v>0</v>
      </c>
      <c r="T1199" s="82">
        <v>8</v>
      </c>
      <c r="U1199" s="77"/>
      <c r="V1199" s="75"/>
      <c r="W1199" s="77"/>
      <c r="X1199" s="77"/>
      <c r="Y1199" s="77" t="s">
        <v>3907</v>
      </c>
      <c r="Z1199" s="77" t="s">
        <v>268</v>
      </c>
      <c r="AA1199" s="83" t="s">
        <v>3906</v>
      </c>
      <c r="AB1199" s="104" t="str">
        <f>IFERROR(VLOOKUP(Anexo_4[[#This Row],[cuenta]],OP,2,0),"-")</f>
        <v>Transporte peajes - Ventas</v>
      </c>
    </row>
    <row r="1200" spans="1:28" s="84" customFormat="1" ht="27" customHeight="1" x14ac:dyDescent="0.3">
      <c r="A1200" s="75" t="s">
        <v>3624</v>
      </c>
      <c r="B1200" s="36" t="str">
        <f t="shared" si="18"/>
        <v>Agosto</v>
      </c>
      <c r="C1200" s="77" t="s">
        <v>162</v>
      </c>
      <c r="D1200" s="77" t="s">
        <v>3908</v>
      </c>
      <c r="E1200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200" s="79" t="s">
        <v>235</v>
      </c>
      <c r="G1200" s="79" t="s">
        <v>236</v>
      </c>
      <c r="H1200" s="140" t="s">
        <v>3909</v>
      </c>
      <c r="I1200" s="77" t="s">
        <v>264</v>
      </c>
      <c r="J1200" s="144" t="s">
        <v>265</v>
      </c>
      <c r="K1200" s="77" t="s">
        <v>169</v>
      </c>
      <c r="L1200" s="103" t="str">
        <f>VLOOKUP(Anexo_4[[#This Row],[cod_doc]],TIPODOC,2,FALSE)</f>
        <v>FACTURA</v>
      </c>
      <c r="M1200" s="77" t="s">
        <v>379</v>
      </c>
      <c r="N1200" s="79">
        <v>2138002</v>
      </c>
      <c r="O1200" s="80">
        <v>6.78</v>
      </c>
      <c r="P1200" s="81"/>
      <c r="Q1200" s="81">
        <v>1.2203999999999999</v>
      </c>
      <c r="R1200" s="80"/>
      <c r="S1200" s="80">
        <v>0</v>
      </c>
      <c r="T1200" s="82">
        <v>8</v>
      </c>
      <c r="U1200" s="77"/>
      <c r="V1200" s="75"/>
      <c r="W1200" s="77"/>
      <c r="X1200" s="77"/>
      <c r="Y1200" s="77" t="s">
        <v>3910</v>
      </c>
      <c r="Z1200" s="77" t="s">
        <v>302</v>
      </c>
      <c r="AA1200" s="83" t="s">
        <v>3909</v>
      </c>
      <c r="AB1200" s="104" t="str">
        <f>IFERROR(VLOOKUP(Anexo_4[[#This Row],[cuenta]],OP,2,0),"-")</f>
        <v>Transporte peajes - Servicios</v>
      </c>
    </row>
    <row r="1201" spans="1:28" s="84" customFormat="1" ht="27" customHeight="1" x14ac:dyDescent="0.3">
      <c r="A1201" s="75" t="s">
        <v>3670</v>
      </c>
      <c r="B1201" s="36" t="str">
        <f t="shared" si="18"/>
        <v>Agosto</v>
      </c>
      <c r="C1201" s="77" t="s">
        <v>162</v>
      </c>
      <c r="D1201" s="77" t="s">
        <v>3911</v>
      </c>
      <c r="E120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201" s="79" t="s">
        <v>235</v>
      </c>
      <c r="G1201" s="79" t="s">
        <v>236</v>
      </c>
      <c r="H1201" s="140" t="s">
        <v>3912</v>
      </c>
      <c r="I1201" s="77" t="s">
        <v>264</v>
      </c>
      <c r="J1201" s="144" t="s">
        <v>265</v>
      </c>
      <c r="K1201" s="77" t="s">
        <v>169</v>
      </c>
      <c r="L1201" s="103" t="str">
        <f>VLOOKUP(Anexo_4[[#This Row],[cod_doc]],TIPODOC,2,FALSE)</f>
        <v>FACTURA</v>
      </c>
      <c r="M1201" s="77" t="s">
        <v>406</v>
      </c>
      <c r="N1201" s="79">
        <v>2430689</v>
      </c>
      <c r="O1201" s="80">
        <v>6.78</v>
      </c>
      <c r="P1201" s="81"/>
      <c r="Q1201" s="81">
        <v>1.2203999999999999</v>
      </c>
      <c r="R1201" s="80"/>
      <c r="S1201" s="80">
        <v>0</v>
      </c>
      <c r="T1201" s="82">
        <v>8</v>
      </c>
      <c r="U1201" s="77"/>
      <c r="V1201" s="75"/>
      <c r="W1201" s="77"/>
      <c r="X1201" s="77"/>
      <c r="Y1201" s="77" t="s">
        <v>3913</v>
      </c>
      <c r="Z1201" s="77" t="s">
        <v>302</v>
      </c>
      <c r="AA1201" s="83" t="s">
        <v>3912</v>
      </c>
      <c r="AB1201" s="104" t="str">
        <f>IFERROR(VLOOKUP(Anexo_4[[#This Row],[cuenta]],OP,2,0),"-")</f>
        <v>Transporte peajes - Servicios</v>
      </c>
    </row>
    <row r="1202" spans="1:28" s="84" customFormat="1" ht="27" customHeight="1" x14ac:dyDescent="0.3">
      <c r="A1202" s="75" t="s">
        <v>3670</v>
      </c>
      <c r="B1202" s="36" t="str">
        <f t="shared" si="18"/>
        <v>Agosto</v>
      </c>
      <c r="C1202" s="77" t="s">
        <v>162</v>
      </c>
      <c r="D1202" s="77" t="s">
        <v>3914</v>
      </c>
      <c r="E1202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202" s="79"/>
      <c r="G1202" s="79"/>
      <c r="H1202" s="140"/>
      <c r="I1202" s="77" t="s">
        <v>258</v>
      </c>
      <c r="J1202" s="144" t="s">
        <v>259</v>
      </c>
      <c r="K1202" s="77" t="s">
        <v>169</v>
      </c>
      <c r="L1202" s="103" t="str">
        <f>VLOOKUP(Anexo_4[[#This Row],[cod_doc]],TIPODOC,2,FALSE)</f>
        <v>FACTURA</v>
      </c>
      <c r="M1202" s="77" t="s">
        <v>260</v>
      </c>
      <c r="N1202" s="79" t="s">
        <v>3915</v>
      </c>
      <c r="O1202" s="80">
        <v>1247.04</v>
      </c>
      <c r="P1202" s="81"/>
      <c r="Q1202" s="81">
        <v>224.47</v>
      </c>
      <c r="R1202" s="80"/>
      <c r="S1202" s="80">
        <v>0</v>
      </c>
      <c r="T1202" s="82">
        <v>1471.51</v>
      </c>
      <c r="U1202" s="77"/>
      <c r="V1202" s="75"/>
      <c r="W1202" s="77"/>
      <c r="X1202" s="77"/>
      <c r="Y1202" s="77"/>
      <c r="Z1202" s="77"/>
      <c r="AA1202" s="83"/>
      <c r="AB1202" s="104" t="str">
        <f>IFERROR(VLOOKUP(Anexo_4[[#This Row],[cuenta]],OP,2,0),"-")</f>
        <v>-</v>
      </c>
    </row>
    <row r="1203" spans="1:28" s="84" customFormat="1" ht="27" customHeight="1" x14ac:dyDescent="0.3">
      <c r="A1203" s="75" t="s">
        <v>2494</v>
      </c>
      <c r="B1203" s="36" t="str">
        <f t="shared" si="18"/>
        <v>Agosto</v>
      </c>
      <c r="C1203" s="77" t="s">
        <v>162</v>
      </c>
      <c r="D1203" s="77" t="s">
        <v>3916</v>
      </c>
      <c r="E1203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203" s="79"/>
      <c r="G1203" s="79"/>
      <c r="H1203" s="140"/>
      <c r="I1203" s="77" t="s">
        <v>258</v>
      </c>
      <c r="J1203" s="144" t="s">
        <v>259</v>
      </c>
      <c r="K1203" s="77" t="s">
        <v>169</v>
      </c>
      <c r="L1203" s="103" t="str">
        <f>VLOOKUP(Anexo_4[[#This Row],[cod_doc]],TIPODOC,2,FALSE)</f>
        <v>FACTURA</v>
      </c>
      <c r="M1203" s="77" t="s">
        <v>260</v>
      </c>
      <c r="N1203" s="79" t="s">
        <v>3917</v>
      </c>
      <c r="O1203" s="80">
        <v>306.41000000000003</v>
      </c>
      <c r="P1203" s="81"/>
      <c r="Q1203" s="81">
        <v>55.14</v>
      </c>
      <c r="R1203" s="80"/>
      <c r="S1203" s="80">
        <v>0</v>
      </c>
      <c r="T1203" s="82">
        <v>361.55</v>
      </c>
      <c r="U1203" s="77"/>
      <c r="V1203" s="75"/>
      <c r="W1203" s="77"/>
      <c r="X1203" s="77"/>
      <c r="Y1203" s="77"/>
      <c r="Z1203" s="77"/>
      <c r="AA1203" s="83"/>
      <c r="AB1203" s="104" t="str">
        <f>IFERROR(VLOOKUP(Anexo_4[[#This Row],[cuenta]],OP,2,0),"-")</f>
        <v>-</v>
      </c>
    </row>
    <row r="1204" spans="1:28" s="84" customFormat="1" ht="27" customHeight="1" x14ac:dyDescent="0.3">
      <c r="A1204" s="75" t="s">
        <v>3746</v>
      </c>
      <c r="B1204" s="36" t="str">
        <f t="shared" si="18"/>
        <v>Agosto</v>
      </c>
      <c r="C1204" s="77" t="s">
        <v>162</v>
      </c>
      <c r="D1204" s="77" t="s">
        <v>3918</v>
      </c>
      <c r="E1204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204" s="79" t="s">
        <v>1028</v>
      </c>
      <c r="G1204" s="79" t="s">
        <v>1029</v>
      </c>
      <c r="H1204" s="140" t="s">
        <v>3919</v>
      </c>
      <c r="I1204" s="77" t="s">
        <v>1735</v>
      </c>
      <c r="J1204" s="144" t="s">
        <v>1736</v>
      </c>
      <c r="K1204" s="77" t="s">
        <v>169</v>
      </c>
      <c r="L1204" s="103" t="str">
        <f>VLOOKUP(Anexo_4[[#This Row],[cod_doc]],TIPODOC,2,FALSE)</f>
        <v>FACTURA</v>
      </c>
      <c r="M1204" s="77" t="s">
        <v>631</v>
      </c>
      <c r="N1204" s="79">
        <v>172026</v>
      </c>
      <c r="O1204" s="80"/>
      <c r="P1204" s="81"/>
      <c r="Q1204" s="81"/>
      <c r="R1204" s="80"/>
      <c r="S1204" s="80">
        <v>140.38</v>
      </c>
      <c r="T1204" s="82">
        <v>140.38</v>
      </c>
      <c r="U1204" s="77"/>
      <c r="V1204" s="75"/>
      <c r="W1204" s="77"/>
      <c r="X1204" s="77"/>
      <c r="Y1204" s="77"/>
      <c r="Z1204" s="77" t="s">
        <v>1737</v>
      </c>
      <c r="AA1204" s="83" t="s">
        <v>3919</v>
      </c>
      <c r="AB1204" s="104" t="str">
        <f>IFERROR(VLOOKUP(Anexo_4[[#This Row],[cuenta]],OP,2,0),"-")</f>
        <v>-</v>
      </c>
    </row>
    <row r="1205" spans="1:28" s="84" customFormat="1" ht="27" customHeight="1" x14ac:dyDescent="0.3">
      <c r="A1205" s="75" t="s">
        <v>3746</v>
      </c>
      <c r="B1205" s="36" t="str">
        <f t="shared" si="18"/>
        <v>Agosto</v>
      </c>
      <c r="C1205" s="77" t="s">
        <v>162</v>
      </c>
      <c r="D1205" s="77" t="s">
        <v>3920</v>
      </c>
      <c r="E1205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205" s="79" t="s">
        <v>953</v>
      </c>
      <c r="G1205" s="79" t="s">
        <v>954</v>
      </c>
      <c r="H1205" s="140" t="s">
        <v>3921</v>
      </c>
      <c r="I1205" s="77" t="s">
        <v>956</v>
      </c>
      <c r="J1205" s="144" t="s">
        <v>957</v>
      </c>
      <c r="K1205" s="77" t="s">
        <v>169</v>
      </c>
      <c r="L1205" s="103" t="str">
        <f>VLOOKUP(Anexo_4[[#This Row],[cod_doc]],TIPODOC,2,FALSE)</f>
        <v>FACTURA</v>
      </c>
      <c r="M1205" s="77" t="s">
        <v>102</v>
      </c>
      <c r="N1205" s="79">
        <v>490</v>
      </c>
      <c r="O1205" s="80">
        <v>300</v>
      </c>
      <c r="P1205" s="81"/>
      <c r="Q1205" s="81">
        <v>54</v>
      </c>
      <c r="R1205" s="80"/>
      <c r="S1205" s="80">
        <v>0</v>
      </c>
      <c r="T1205" s="82">
        <v>354</v>
      </c>
      <c r="U1205" s="77"/>
      <c r="V1205" s="75"/>
      <c r="W1205" s="77"/>
      <c r="X1205" s="77"/>
      <c r="Y1205" s="77"/>
      <c r="Z1205" s="77" t="s">
        <v>958</v>
      </c>
      <c r="AA1205" s="83" t="s">
        <v>3921</v>
      </c>
      <c r="AB1205" s="104" t="str">
        <f>IFERROR(VLOOKUP(Anexo_4[[#This Row],[cuenta]],OP,2,0),"-")</f>
        <v>-</v>
      </c>
    </row>
    <row r="1206" spans="1:28" s="84" customFormat="1" ht="27" customHeight="1" x14ac:dyDescent="0.3">
      <c r="A1206" s="75" t="s">
        <v>3879</v>
      </c>
      <c r="B1206" s="36" t="str">
        <f t="shared" si="18"/>
        <v>Agosto</v>
      </c>
      <c r="C1206" s="77" t="s">
        <v>162</v>
      </c>
      <c r="D1206" s="77" t="s">
        <v>3922</v>
      </c>
      <c r="E1206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206" s="79" t="s">
        <v>442</v>
      </c>
      <c r="G1206" s="79" t="s">
        <v>443</v>
      </c>
      <c r="H1206" s="140" t="s">
        <v>3923</v>
      </c>
      <c r="I1206" s="77" t="s">
        <v>3924</v>
      </c>
      <c r="J1206" s="144" t="s">
        <v>3925</v>
      </c>
      <c r="K1206" s="77" t="s">
        <v>169</v>
      </c>
      <c r="L1206" s="103" t="str">
        <f>VLOOKUP(Anexo_4[[#This Row],[cod_doc]],TIPODOC,2,FALSE)</f>
        <v>FACTURA</v>
      </c>
      <c r="M1206" s="77" t="s">
        <v>102</v>
      </c>
      <c r="N1206" s="79">
        <v>1522</v>
      </c>
      <c r="O1206" s="80"/>
      <c r="P1206" s="81"/>
      <c r="Q1206" s="81"/>
      <c r="R1206" s="80"/>
      <c r="S1206" s="80">
        <v>500</v>
      </c>
      <c r="T1206" s="82">
        <v>500</v>
      </c>
      <c r="U1206" s="77"/>
      <c r="V1206" s="75"/>
      <c r="W1206" s="77"/>
      <c r="X1206" s="77"/>
      <c r="Y1206" s="77"/>
      <c r="Z1206" s="77" t="s">
        <v>1886</v>
      </c>
      <c r="AA1206" s="83" t="s">
        <v>3923</v>
      </c>
      <c r="AB1206" s="104" t="str">
        <f>IFERROR(VLOOKUP(Anexo_4[[#This Row],[cuenta]],OP,2,0),"-")</f>
        <v>-</v>
      </c>
    </row>
    <row r="1207" spans="1:28" s="84" customFormat="1" ht="27" customHeight="1" x14ac:dyDescent="0.3">
      <c r="A1207" s="75" t="s">
        <v>3879</v>
      </c>
      <c r="B1207" s="36" t="str">
        <f t="shared" si="18"/>
        <v>Agosto</v>
      </c>
      <c r="C1207" s="77" t="s">
        <v>162</v>
      </c>
      <c r="D1207" s="77" t="s">
        <v>3926</v>
      </c>
      <c r="E1207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207" s="79" t="s">
        <v>248</v>
      </c>
      <c r="G1207" s="79" t="s">
        <v>249</v>
      </c>
      <c r="H1207" s="140" t="s">
        <v>3927</v>
      </c>
      <c r="I1207" s="77" t="s">
        <v>3928</v>
      </c>
      <c r="J1207" s="144" t="s">
        <v>3929</v>
      </c>
      <c r="K1207" s="77" t="s">
        <v>169</v>
      </c>
      <c r="L1207" s="103" t="str">
        <f>VLOOKUP(Anexo_4[[#This Row],[cod_doc]],TIPODOC,2,FALSE)</f>
        <v>FACTURA</v>
      </c>
      <c r="M1207" s="77" t="s">
        <v>102</v>
      </c>
      <c r="N1207" s="79">
        <v>2877</v>
      </c>
      <c r="O1207" s="80">
        <v>163.56</v>
      </c>
      <c r="P1207" s="81"/>
      <c r="Q1207" s="81">
        <v>29.440799999999999</v>
      </c>
      <c r="R1207" s="80"/>
      <c r="S1207" s="80">
        <v>0</v>
      </c>
      <c r="T1207" s="82">
        <v>193</v>
      </c>
      <c r="U1207" s="77"/>
      <c r="V1207" s="75"/>
      <c r="W1207" s="77"/>
      <c r="X1207" s="77"/>
      <c r="Y1207" s="77" t="s">
        <v>3930</v>
      </c>
      <c r="Z1207" s="77" t="s">
        <v>256</v>
      </c>
      <c r="AA1207" s="83" t="s">
        <v>3927</v>
      </c>
      <c r="AB1207" s="104" t="str">
        <f>IFERROR(VLOOKUP(Anexo_4[[#This Row],[cuenta]],OP,2,0),"-")</f>
        <v>Materias Primas - RRSS</v>
      </c>
    </row>
    <row r="1208" spans="1:28" s="84" customFormat="1" ht="27" customHeight="1" x14ac:dyDescent="0.3">
      <c r="A1208" s="75" t="s">
        <v>3794</v>
      </c>
      <c r="B1208" s="36" t="str">
        <f t="shared" si="18"/>
        <v>Agosto</v>
      </c>
      <c r="C1208" s="77" t="s">
        <v>162</v>
      </c>
      <c r="D1208" s="77" t="s">
        <v>3931</v>
      </c>
      <c r="E1208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208" s="79" t="s">
        <v>248</v>
      </c>
      <c r="G1208" s="79" t="s">
        <v>249</v>
      </c>
      <c r="H1208" s="140" t="s">
        <v>3932</v>
      </c>
      <c r="I1208" s="77" t="s">
        <v>625</v>
      </c>
      <c r="J1208" s="144" t="s">
        <v>626</v>
      </c>
      <c r="K1208" s="77" t="s">
        <v>169</v>
      </c>
      <c r="L1208" s="103" t="str">
        <f>VLOOKUP(Anexo_4[[#This Row],[cod_doc]],TIPODOC,2,FALSE)</f>
        <v>FACTURA</v>
      </c>
      <c r="M1208" s="77" t="s">
        <v>180</v>
      </c>
      <c r="N1208" s="79">
        <v>16631</v>
      </c>
      <c r="O1208" s="80">
        <v>162.85</v>
      </c>
      <c r="P1208" s="81"/>
      <c r="Q1208" s="81">
        <v>29.312999999999999</v>
      </c>
      <c r="R1208" s="80"/>
      <c r="S1208" s="80">
        <v>0</v>
      </c>
      <c r="T1208" s="82">
        <v>192.18</v>
      </c>
      <c r="U1208" s="77"/>
      <c r="V1208" s="75"/>
      <c r="W1208" s="77"/>
      <c r="X1208" s="77"/>
      <c r="Y1208" s="77" t="s">
        <v>3933</v>
      </c>
      <c r="Z1208" s="77" t="s">
        <v>256</v>
      </c>
      <c r="AA1208" s="83" t="s">
        <v>3932</v>
      </c>
      <c r="AB1208" s="104" t="str">
        <f>IFERROR(VLOOKUP(Anexo_4[[#This Row],[cuenta]],OP,2,0),"-")</f>
        <v>Materias Primas - RRSS</v>
      </c>
    </row>
    <row r="1209" spans="1:28" s="84" customFormat="1" ht="27" customHeight="1" x14ac:dyDescent="0.3">
      <c r="A1209" s="75" t="s">
        <v>3746</v>
      </c>
      <c r="B1209" s="36" t="str">
        <f t="shared" si="18"/>
        <v>Agosto</v>
      </c>
      <c r="C1209" s="77" t="s">
        <v>162</v>
      </c>
      <c r="D1209" s="77" t="s">
        <v>3934</v>
      </c>
      <c r="E1209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209" s="79" t="s">
        <v>248</v>
      </c>
      <c r="G1209" s="79" t="s">
        <v>249</v>
      </c>
      <c r="H1209" s="140" t="s">
        <v>3935</v>
      </c>
      <c r="I1209" s="77" t="s">
        <v>625</v>
      </c>
      <c r="J1209" s="144" t="s">
        <v>626</v>
      </c>
      <c r="K1209" s="77" t="s">
        <v>169</v>
      </c>
      <c r="L1209" s="103" t="str">
        <f>VLOOKUP(Anexo_4[[#This Row],[cod_doc]],TIPODOC,2,FALSE)</f>
        <v>FACTURA</v>
      </c>
      <c r="M1209" s="77" t="s">
        <v>180</v>
      </c>
      <c r="N1209" s="79">
        <v>16638</v>
      </c>
      <c r="O1209" s="80">
        <v>379.87</v>
      </c>
      <c r="P1209" s="81"/>
      <c r="Q1209" s="81">
        <v>68.376599999999996</v>
      </c>
      <c r="R1209" s="80"/>
      <c r="S1209" s="80">
        <v>0</v>
      </c>
      <c r="T1209" s="82">
        <v>448.24</v>
      </c>
      <c r="U1209" s="77"/>
      <c r="V1209" s="75"/>
      <c r="W1209" s="77"/>
      <c r="X1209" s="77"/>
      <c r="Y1209" s="77" t="s">
        <v>3936</v>
      </c>
      <c r="Z1209" s="77" t="s">
        <v>256</v>
      </c>
      <c r="AA1209" s="83" t="s">
        <v>3935</v>
      </c>
      <c r="AB1209" s="104" t="str">
        <f>IFERROR(VLOOKUP(Anexo_4[[#This Row],[cuenta]],OP,2,0),"-")</f>
        <v>Materias Primas - RRSS</v>
      </c>
    </row>
    <row r="1210" spans="1:28" s="84" customFormat="1" ht="27" customHeight="1" x14ac:dyDescent="0.3">
      <c r="A1210" s="75" t="s">
        <v>3879</v>
      </c>
      <c r="B1210" s="36" t="str">
        <f t="shared" si="18"/>
        <v>Agosto</v>
      </c>
      <c r="C1210" s="77" t="s">
        <v>162</v>
      </c>
      <c r="D1210" s="77" t="s">
        <v>3937</v>
      </c>
      <c r="E1210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210" s="79" t="s">
        <v>248</v>
      </c>
      <c r="G1210" s="79" t="s">
        <v>249</v>
      </c>
      <c r="H1210" s="140" t="s">
        <v>3938</v>
      </c>
      <c r="I1210" s="77" t="s">
        <v>625</v>
      </c>
      <c r="J1210" s="144" t="s">
        <v>626</v>
      </c>
      <c r="K1210" s="77" t="s">
        <v>169</v>
      </c>
      <c r="L1210" s="103" t="str">
        <f>VLOOKUP(Anexo_4[[#This Row],[cod_doc]],TIPODOC,2,FALSE)</f>
        <v>FACTURA</v>
      </c>
      <c r="M1210" s="77" t="s">
        <v>180</v>
      </c>
      <c r="N1210" s="79">
        <v>16656</v>
      </c>
      <c r="O1210" s="80">
        <v>419.01</v>
      </c>
      <c r="P1210" s="81"/>
      <c r="Q1210" s="81">
        <v>75.42179999999999</v>
      </c>
      <c r="R1210" s="80"/>
      <c r="S1210" s="80">
        <v>0</v>
      </c>
      <c r="T1210" s="82">
        <v>494.44</v>
      </c>
      <c r="U1210" s="77"/>
      <c r="V1210" s="75"/>
      <c r="W1210" s="77"/>
      <c r="X1210" s="77"/>
      <c r="Y1210" s="77" t="s">
        <v>3939</v>
      </c>
      <c r="Z1210" s="77" t="s">
        <v>256</v>
      </c>
      <c r="AA1210" s="83" t="s">
        <v>3938</v>
      </c>
      <c r="AB1210" s="104" t="str">
        <f>IFERROR(VLOOKUP(Anexo_4[[#This Row],[cuenta]],OP,2,0),"-")</f>
        <v>Materias Primas - RRSS</v>
      </c>
    </row>
    <row r="1211" spans="1:28" s="84" customFormat="1" ht="27" customHeight="1" x14ac:dyDescent="0.3">
      <c r="A1211" s="75" t="s">
        <v>3940</v>
      </c>
      <c r="B1211" s="36" t="str">
        <f t="shared" si="18"/>
        <v>Agosto</v>
      </c>
      <c r="C1211" s="77" t="s">
        <v>162</v>
      </c>
      <c r="D1211" s="77" t="s">
        <v>3941</v>
      </c>
      <c r="E1211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211" s="79" t="s">
        <v>442</v>
      </c>
      <c r="G1211" s="79" t="s">
        <v>443</v>
      </c>
      <c r="H1211" s="140" t="s">
        <v>3942</v>
      </c>
      <c r="I1211" s="77" t="s">
        <v>3637</v>
      </c>
      <c r="J1211" s="144" t="s">
        <v>3638</v>
      </c>
      <c r="K1211" s="77" t="s">
        <v>169</v>
      </c>
      <c r="L1211" s="103" t="str">
        <f>VLOOKUP(Anexo_4[[#This Row],[cod_doc]],TIPODOC,2,FALSE)</f>
        <v>FACTURA</v>
      </c>
      <c r="M1211" s="77" t="s">
        <v>222</v>
      </c>
      <c r="N1211" s="79">
        <v>43786</v>
      </c>
      <c r="O1211" s="80">
        <v>88.98</v>
      </c>
      <c r="P1211" s="81"/>
      <c r="Q1211" s="81">
        <v>16.016400000000001</v>
      </c>
      <c r="R1211" s="80"/>
      <c r="S1211" s="80">
        <v>0</v>
      </c>
      <c r="T1211" s="82">
        <v>105</v>
      </c>
      <c r="U1211" s="77"/>
      <c r="V1211" s="75"/>
      <c r="W1211" s="77"/>
      <c r="X1211" s="77"/>
      <c r="Y1211" s="77"/>
      <c r="Z1211" s="77" t="s">
        <v>1886</v>
      </c>
      <c r="AA1211" s="83" t="s">
        <v>3942</v>
      </c>
      <c r="AB1211" s="104" t="str">
        <f>IFERROR(VLOOKUP(Anexo_4[[#This Row],[cuenta]],OP,2,0),"-")</f>
        <v>-</v>
      </c>
    </row>
    <row r="1212" spans="1:28" s="84" customFormat="1" ht="27" customHeight="1" x14ac:dyDescent="0.3">
      <c r="A1212" s="75" t="s">
        <v>3879</v>
      </c>
      <c r="B1212" s="36" t="str">
        <f t="shared" si="18"/>
        <v>Agosto</v>
      </c>
      <c r="C1212" s="77" t="s">
        <v>162</v>
      </c>
      <c r="D1212" s="77" t="s">
        <v>3943</v>
      </c>
      <c r="E1212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212" s="79" t="s">
        <v>442</v>
      </c>
      <c r="G1212" s="79" t="s">
        <v>443</v>
      </c>
      <c r="H1212" s="140" t="s">
        <v>3944</v>
      </c>
      <c r="I1212" s="77" t="s">
        <v>3637</v>
      </c>
      <c r="J1212" s="144" t="s">
        <v>3638</v>
      </c>
      <c r="K1212" s="77" t="s">
        <v>169</v>
      </c>
      <c r="L1212" s="103" t="str">
        <f>VLOOKUP(Anexo_4[[#This Row],[cod_doc]],TIPODOC,2,FALSE)</f>
        <v>FACTURA</v>
      </c>
      <c r="M1212" s="77" t="s">
        <v>208</v>
      </c>
      <c r="N1212" s="79">
        <v>78</v>
      </c>
      <c r="O1212" s="80">
        <v>46.61</v>
      </c>
      <c r="P1212" s="81"/>
      <c r="Q1212" s="81">
        <v>8.3897999999999993</v>
      </c>
      <c r="R1212" s="80"/>
      <c r="S1212" s="80">
        <v>0</v>
      </c>
      <c r="T1212" s="82">
        <v>55</v>
      </c>
      <c r="U1212" s="77"/>
      <c r="V1212" s="75"/>
      <c r="W1212" s="77"/>
      <c r="X1212" s="77"/>
      <c r="Y1212" s="77"/>
      <c r="Z1212" s="77" t="s">
        <v>1886</v>
      </c>
      <c r="AA1212" s="83" t="s">
        <v>3944</v>
      </c>
      <c r="AB1212" s="104" t="str">
        <f>IFERROR(VLOOKUP(Anexo_4[[#This Row],[cuenta]],OP,2,0),"-")</f>
        <v>-</v>
      </c>
    </row>
    <row r="1213" spans="1:28" s="84" customFormat="1" ht="27" customHeight="1" x14ac:dyDescent="0.3">
      <c r="A1213" s="75" t="s">
        <v>3879</v>
      </c>
      <c r="B1213" s="36" t="str">
        <f t="shared" si="18"/>
        <v>Agosto</v>
      </c>
      <c r="C1213" s="77" t="s">
        <v>162</v>
      </c>
      <c r="D1213" s="77" t="s">
        <v>3945</v>
      </c>
      <c r="E1213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213" s="79" t="s">
        <v>442</v>
      </c>
      <c r="G1213" s="79" t="s">
        <v>443</v>
      </c>
      <c r="H1213" s="140" t="s">
        <v>3946</v>
      </c>
      <c r="I1213" s="77" t="s">
        <v>3637</v>
      </c>
      <c r="J1213" s="144" t="s">
        <v>3638</v>
      </c>
      <c r="K1213" s="77" t="s">
        <v>169</v>
      </c>
      <c r="L1213" s="103" t="str">
        <f>VLOOKUP(Anexo_4[[#This Row],[cod_doc]],TIPODOC,2,FALSE)</f>
        <v>FACTURA</v>
      </c>
      <c r="M1213" s="77" t="s">
        <v>208</v>
      </c>
      <c r="N1213" s="79">
        <v>79</v>
      </c>
      <c r="O1213" s="80">
        <v>46.61</v>
      </c>
      <c r="P1213" s="81"/>
      <c r="Q1213" s="81">
        <v>8.3897999999999993</v>
      </c>
      <c r="R1213" s="80"/>
      <c r="S1213" s="80">
        <v>0</v>
      </c>
      <c r="T1213" s="82">
        <v>55</v>
      </c>
      <c r="U1213" s="77"/>
      <c r="V1213" s="75"/>
      <c r="W1213" s="77"/>
      <c r="X1213" s="77"/>
      <c r="Y1213" s="77"/>
      <c r="Z1213" s="77" t="s">
        <v>1886</v>
      </c>
      <c r="AA1213" s="83" t="s">
        <v>3946</v>
      </c>
      <c r="AB1213" s="104" t="str">
        <f>IFERROR(VLOOKUP(Anexo_4[[#This Row],[cuenta]],OP,2,0),"-")</f>
        <v>-</v>
      </c>
    </row>
    <row r="1214" spans="1:28" s="84" customFormat="1" ht="27" customHeight="1" x14ac:dyDescent="0.3">
      <c r="A1214" s="75" t="s">
        <v>3879</v>
      </c>
      <c r="B1214" s="36" t="str">
        <f t="shared" si="18"/>
        <v>Agosto</v>
      </c>
      <c r="C1214" s="77" t="s">
        <v>162</v>
      </c>
      <c r="D1214" s="77" t="s">
        <v>3947</v>
      </c>
      <c r="E1214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214" s="79" t="s">
        <v>442</v>
      </c>
      <c r="G1214" s="79" t="s">
        <v>443</v>
      </c>
      <c r="H1214" s="140" t="s">
        <v>3946</v>
      </c>
      <c r="I1214" s="77" t="s">
        <v>3637</v>
      </c>
      <c r="J1214" s="144" t="s">
        <v>3638</v>
      </c>
      <c r="K1214" s="77" t="s">
        <v>169</v>
      </c>
      <c r="L1214" s="103" t="str">
        <f>VLOOKUP(Anexo_4[[#This Row],[cod_doc]],TIPODOC,2,FALSE)</f>
        <v>FACTURA</v>
      </c>
      <c r="M1214" s="77" t="s">
        <v>208</v>
      </c>
      <c r="N1214" s="79">
        <v>77</v>
      </c>
      <c r="O1214" s="80">
        <v>46.61</v>
      </c>
      <c r="P1214" s="81"/>
      <c r="Q1214" s="81">
        <v>8.3897999999999993</v>
      </c>
      <c r="R1214" s="80"/>
      <c r="S1214" s="80">
        <v>0</v>
      </c>
      <c r="T1214" s="82">
        <v>55</v>
      </c>
      <c r="U1214" s="77"/>
      <c r="V1214" s="75"/>
      <c r="W1214" s="77"/>
      <c r="X1214" s="77"/>
      <c r="Y1214" s="77"/>
      <c r="Z1214" s="77" t="s">
        <v>1886</v>
      </c>
      <c r="AA1214" s="83" t="s">
        <v>3946</v>
      </c>
      <c r="AB1214" s="104" t="str">
        <f>IFERROR(VLOOKUP(Anexo_4[[#This Row],[cuenta]],OP,2,0),"-")</f>
        <v>-</v>
      </c>
    </row>
    <row r="1215" spans="1:28" s="84" customFormat="1" ht="27" customHeight="1" x14ac:dyDescent="0.3">
      <c r="A1215" s="75" t="s">
        <v>3746</v>
      </c>
      <c r="B1215" s="36" t="str">
        <f t="shared" si="18"/>
        <v>Agosto</v>
      </c>
      <c r="C1215" s="77" t="s">
        <v>162</v>
      </c>
      <c r="D1215" s="77" t="s">
        <v>3948</v>
      </c>
      <c r="E1215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215" s="79" t="s">
        <v>442</v>
      </c>
      <c r="G1215" s="79" t="s">
        <v>443</v>
      </c>
      <c r="H1215" s="140" t="s">
        <v>3949</v>
      </c>
      <c r="I1215" s="77" t="s">
        <v>653</v>
      </c>
      <c r="J1215" s="144" t="s">
        <v>654</v>
      </c>
      <c r="K1215" s="77" t="s">
        <v>169</v>
      </c>
      <c r="L1215" s="103" t="str">
        <f>VLOOKUP(Anexo_4[[#This Row],[cod_doc]],TIPODOC,2,FALSE)</f>
        <v>FACTURA</v>
      </c>
      <c r="M1215" s="77" t="s">
        <v>655</v>
      </c>
      <c r="N1215" s="79">
        <v>16401</v>
      </c>
      <c r="O1215" s="80">
        <v>244</v>
      </c>
      <c r="P1215" s="81"/>
      <c r="Q1215" s="81">
        <v>43.92</v>
      </c>
      <c r="R1215" s="80"/>
      <c r="S1215" s="80">
        <v>0</v>
      </c>
      <c r="T1215" s="82">
        <v>287.92</v>
      </c>
      <c r="U1215" s="77"/>
      <c r="V1215" s="75"/>
      <c r="W1215" s="77"/>
      <c r="X1215" s="77"/>
      <c r="Y1215" s="77"/>
      <c r="Z1215" s="77" t="s">
        <v>1602</v>
      </c>
      <c r="AA1215" s="83" t="s">
        <v>3949</v>
      </c>
      <c r="AB1215" s="104" t="str">
        <f>IFERROR(VLOOKUP(Anexo_4[[#This Row],[cuenta]],OP,2,0),"-")</f>
        <v>Ingreso</v>
      </c>
    </row>
    <row r="1216" spans="1:28" s="84" customFormat="1" ht="27" customHeight="1" x14ac:dyDescent="0.3">
      <c r="A1216" s="75" t="s">
        <v>3746</v>
      </c>
      <c r="B1216" s="36" t="str">
        <f t="shared" si="18"/>
        <v>Agosto</v>
      </c>
      <c r="C1216" s="77" t="s">
        <v>162</v>
      </c>
      <c r="D1216" s="77" t="s">
        <v>3950</v>
      </c>
      <c r="E121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216" s="79" t="s">
        <v>355</v>
      </c>
      <c r="G1216" s="79" t="s">
        <v>356</v>
      </c>
      <c r="H1216" s="140" t="s">
        <v>3951</v>
      </c>
      <c r="I1216" s="77" t="s">
        <v>3371</v>
      </c>
      <c r="J1216" s="144" t="s">
        <v>3372</v>
      </c>
      <c r="K1216" s="77" t="s">
        <v>169</v>
      </c>
      <c r="L1216" s="103" t="str">
        <f>VLOOKUP(Anexo_4[[#This Row],[cod_doc]],TIPODOC,2,FALSE)</f>
        <v>FACTURA</v>
      </c>
      <c r="M1216" s="77" t="s">
        <v>102</v>
      </c>
      <c r="N1216" s="79">
        <v>692</v>
      </c>
      <c r="O1216" s="80">
        <v>550</v>
      </c>
      <c r="P1216" s="81"/>
      <c r="Q1216" s="81">
        <v>99</v>
      </c>
      <c r="R1216" s="80"/>
      <c r="S1216" s="80">
        <v>0</v>
      </c>
      <c r="T1216" s="82">
        <v>649</v>
      </c>
      <c r="U1216" s="77"/>
      <c r="V1216" s="75"/>
      <c r="W1216" s="77"/>
      <c r="X1216" s="77"/>
      <c r="Y1216" s="77"/>
      <c r="Z1216" s="77" t="s">
        <v>468</v>
      </c>
      <c r="AA1216" s="83" t="s">
        <v>3951</v>
      </c>
      <c r="AB1216" s="104" t="str">
        <f>IFERROR(VLOOKUP(Anexo_4[[#This Row],[cuenta]],OP,2,0),"-")</f>
        <v>Transporte de Carga  - Ventas</v>
      </c>
    </row>
    <row r="1217" spans="1:28" s="84" customFormat="1" ht="27" customHeight="1" x14ac:dyDescent="0.3">
      <c r="A1217" s="75" t="s">
        <v>3573</v>
      </c>
      <c r="B1217" s="36" t="str">
        <f t="shared" si="18"/>
        <v>Agosto</v>
      </c>
      <c r="C1217" s="77" t="s">
        <v>162</v>
      </c>
      <c r="D1217" s="77" t="s">
        <v>3952</v>
      </c>
      <c r="E1217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217" s="79" t="s">
        <v>355</v>
      </c>
      <c r="G1217" s="79" t="s">
        <v>356</v>
      </c>
      <c r="H1217" s="140" t="s">
        <v>3953</v>
      </c>
      <c r="I1217" s="77" t="s">
        <v>3954</v>
      </c>
      <c r="J1217" s="144" t="s">
        <v>3955</v>
      </c>
      <c r="K1217" s="77" t="s">
        <v>239</v>
      </c>
      <c r="L1217" s="103" t="str">
        <f>VLOOKUP(Anexo_4[[#This Row],[cod_doc]],TIPODOC,2,FALSE)</f>
        <v>BOLETA DE VENTA</v>
      </c>
      <c r="M1217" s="77" t="s">
        <v>3778</v>
      </c>
      <c r="N1217" s="79">
        <v>216</v>
      </c>
      <c r="O1217" s="80"/>
      <c r="P1217" s="81"/>
      <c r="Q1217" s="81"/>
      <c r="R1217" s="80"/>
      <c r="S1217" s="80">
        <v>19.2</v>
      </c>
      <c r="T1217" s="82">
        <v>19.2</v>
      </c>
      <c r="U1217" s="77"/>
      <c r="V1217" s="75"/>
      <c r="W1217" s="77"/>
      <c r="X1217" s="77"/>
      <c r="Y1217" s="77"/>
      <c r="Z1217" s="77" t="s">
        <v>3956</v>
      </c>
      <c r="AA1217" s="83" t="s">
        <v>3953</v>
      </c>
      <c r="AB1217" s="104" t="str">
        <f>IFERROR(VLOOKUP(Anexo_4[[#This Row],[cuenta]],OP,2,0),"-")</f>
        <v>Impresión de manifiestos</v>
      </c>
    </row>
    <row r="1218" spans="1:28" s="84" customFormat="1" ht="27" customHeight="1" x14ac:dyDescent="0.3">
      <c r="A1218" s="75" t="s">
        <v>3670</v>
      </c>
      <c r="B1218" s="36" t="str">
        <f t="shared" ref="B1218:B1281" si="19">PROPER(CHOOSE(LEFT(D1218,2),"enero","febrero","marzo","abril","mayo","junio","julio","agosto","setiembre","octubre","noviembre","diciembre"))</f>
        <v>Agosto</v>
      </c>
      <c r="C1218" s="77" t="s">
        <v>162</v>
      </c>
      <c r="D1218" s="77" t="s">
        <v>3957</v>
      </c>
      <c r="E1218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218" s="79" t="s">
        <v>592</v>
      </c>
      <c r="G1218" s="79" t="s">
        <v>593</v>
      </c>
      <c r="H1218" s="140" t="s">
        <v>3958</v>
      </c>
      <c r="I1218" s="77" t="s">
        <v>1074</v>
      </c>
      <c r="J1218" s="144" t="s">
        <v>1075</v>
      </c>
      <c r="K1218" s="77" t="s">
        <v>169</v>
      </c>
      <c r="L1218" s="103" t="str">
        <f>VLOOKUP(Anexo_4[[#This Row],[cod_doc]],TIPODOC,2,FALSE)</f>
        <v>FACTURA</v>
      </c>
      <c r="M1218" s="77" t="s">
        <v>102</v>
      </c>
      <c r="N1218" s="79">
        <v>2471</v>
      </c>
      <c r="O1218" s="80">
        <v>60</v>
      </c>
      <c r="P1218" s="81"/>
      <c r="Q1218" s="81">
        <v>10.799999999999999</v>
      </c>
      <c r="R1218" s="80"/>
      <c r="S1218" s="80">
        <v>0</v>
      </c>
      <c r="T1218" s="82">
        <v>70.8</v>
      </c>
      <c r="U1218" s="77"/>
      <c r="V1218" s="75"/>
      <c r="W1218" s="77"/>
      <c r="X1218" s="77"/>
      <c r="Y1218" s="77"/>
      <c r="Z1218" s="77" t="s">
        <v>645</v>
      </c>
      <c r="AA1218" s="83" t="s">
        <v>3958</v>
      </c>
      <c r="AB1218" s="104" t="str">
        <f>IFERROR(VLOOKUP(Anexo_4[[#This Row],[cuenta]],OP,2,0),"-")</f>
        <v>Montacarga - Servicios</v>
      </c>
    </row>
    <row r="1219" spans="1:28" s="84" customFormat="1" ht="27" customHeight="1" x14ac:dyDescent="0.3">
      <c r="A1219" s="75" t="s">
        <v>3670</v>
      </c>
      <c r="B1219" s="36" t="str">
        <f t="shared" si="19"/>
        <v>Agosto</v>
      </c>
      <c r="C1219" s="77" t="s">
        <v>162</v>
      </c>
      <c r="D1219" s="77" t="s">
        <v>3959</v>
      </c>
      <c r="E1219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219" s="79" t="s">
        <v>592</v>
      </c>
      <c r="G1219" s="79" t="s">
        <v>593</v>
      </c>
      <c r="H1219" s="140" t="s">
        <v>3960</v>
      </c>
      <c r="I1219" s="77" t="s">
        <v>1074</v>
      </c>
      <c r="J1219" s="144" t="s">
        <v>1075</v>
      </c>
      <c r="K1219" s="77" t="s">
        <v>169</v>
      </c>
      <c r="L1219" s="103" t="str">
        <f>VLOOKUP(Anexo_4[[#This Row],[cod_doc]],TIPODOC,2,FALSE)</f>
        <v>FACTURA</v>
      </c>
      <c r="M1219" s="77" t="s">
        <v>102</v>
      </c>
      <c r="N1219" s="79">
        <v>2463</v>
      </c>
      <c r="O1219" s="80">
        <v>60</v>
      </c>
      <c r="P1219" s="81"/>
      <c r="Q1219" s="81">
        <v>10.799999999999999</v>
      </c>
      <c r="R1219" s="80"/>
      <c r="S1219" s="80">
        <v>0</v>
      </c>
      <c r="T1219" s="82">
        <v>70.8</v>
      </c>
      <c r="U1219" s="77"/>
      <c r="V1219" s="75"/>
      <c r="W1219" s="77"/>
      <c r="X1219" s="77"/>
      <c r="Y1219" s="77"/>
      <c r="Z1219" s="77" t="s">
        <v>645</v>
      </c>
      <c r="AA1219" s="83" t="s">
        <v>3960</v>
      </c>
      <c r="AB1219" s="104" t="str">
        <f>IFERROR(VLOOKUP(Anexo_4[[#This Row],[cuenta]],OP,2,0),"-")</f>
        <v>Montacarga - Servicios</v>
      </c>
    </row>
    <row r="1220" spans="1:28" s="84" customFormat="1" ht="27" customHeight="1" x14ac:dyDescent="0.3">
      <c r="A1220" s="75" t="s">
        <v>3670</v>
      </c>
      <c r="B1220" s="36" t="str">
        <f t="shared" si="19"/>
        <v>Agosto</v>
      </c>
      <c r="C1220" s="77" t="s">
        <v>162</v>
      </c>
      <c r="D1220" s="77" t="s">
        <v>3961</v>
      </c>
      <c r="E1220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220" s="79" t="s">
        <v>592</v>
      </c>
      <c r="G1220" s="79" t="s">
        <v>593</v>
      </c>
      <c r="H1220" s="140" t="s">
        <v>3962</v>
      </c>
      <c r="I1220" s="77" t="s">
        <v>643</v>
      </c>
      <c r="J1220" s="144" t="s">
        <v>644</v>
      </c>
      <c r="K1220" s="77" t="s">
        <v>169</v>
      </c>
      <c r="L1220" s="103" t="str">
        <f>VLOOKUP(Anexo_4[[#This Row],[cod_doc]],TIPODOC,2,FALSE)</f>
        <v>FACTURA</v>
      </c>
      <c r="M1220" s="77" t="s">
        <v>102</v>
      </c>
      <c r="N1220" s="79">
        <v>4107</v>
      </c>
      <c r="O1220" s="80">
        <v>440</v>
      </c>
      <c r="P1220" s="81"/>
      <c r="Q1220" s="81">
        <v>79.2</v>
      </c>
      <c r="R1220" s="80"/>
      <c r="S1220" s="80">
        <v>0</v>
      </c>
      <c r="T1220" s="82">
        <v>519.20000000000005</v>
      </c>
      <c r="U1220" s="77"/>
      <c r="V1220" s="75"/>
      <c r="W1220" s="77"/>
      <c r="X1220" s="77"/>
      <c r="Y1220" s="77"/>
      <c r="Z1220" s="77" t="s">
        <v>645</v>
      </c>
      <c r="AA1220" s="83" t="s">
        <v>3962</v>
      </c>
      <c r="AB1220" s="104" t="str">
        <f>IFERROR(VLOOKUP(Anexo_4[[#This Row],[cuenta]],OP,2,0),"-")</f>
        <v>Montacarga - Servicios</v>
      </c>
    </row>
    <row r="1221" spans="1:28" s="84" customFormat="1" ht="27" customHeight="1" x14ac:dyDescent="0.3">
      <c r="A1221" s="75" t="s">
        <v>3670</v>
      </c>
      <c r="B1221" s="36" t="str">
        <f t="shared" si="19"/>
        <v>Agosto</v>
      </c>
      <c r="C1221" s="77" t="s">
        <v>162</v>
      </c>
      <c r="D1221" s="77" t="s">
        <v>3963</v>
      </c>
      <c r="E122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221" s="79" t="s">
        <v>592</v>
      </c>
      <c r="G1221" s="79" t="s">
        <v>593</v>
      </c>
      <c r="H1221" s="140" t="s">
        <v>3964</v>
      </c>
      <c r="I1221" s="77" t="s">
        <v>1074</v>
      </c>
      <c r="J1221" s="144" t="s">
        <v>1075</v>
      </c>
      <c r="K1221" s="77" t="s">
        <v>169</v>
      </c>
      <c r="L1221" s="103" t="str">
        <f>VLOOKUP(Anexo_4[[#This Row],[cod_doc]],TIPODOC,2,FALSE)</f>
        <v>FACTURA</v>
      </c>
      <c r="M1221" s="77" t="s">
        <v>102</v>
      </c>
      <c r="N1221" s="79">
        <v>2470</v>
      </c>
      <c r="O1221" s="80">
        <v>60</v>
      </c>
      <c r="P1221" s="81"/>
      <c r="Q1221" s="81">
        <v>10.799999999999999</v>
      </c>
      <c r="R1221" s="80"/>
      <c r="S1221" s="80">
        <v>0</v>
      </c>
      <c r="T1221" s="82">
        <v>70.8</v>
      </c>
      <c r="U1221" s="77"/>
      <c r="V1221" s="75"/>
      <c r="W1221" s="77"/>
      <c r="X1221" s="77"/>
      <c r="Y1221" s="77"/>
      <c r="Z1221" s="77" t="s">
        <v>645</v>
      </c>
      <c r="AA1221" s="83" t="s">
        <v>3964</v>
      </c>
      <c r="AB1221" s="104" t="str">
        <f>IFERROR(VLOOKUP(Anexo_4[[#This Row],[cuenta]],OP,2,0),"-")</f>
        <v>Montacarga - Servicios</v>
      </c>
    </row>
    <row r="1222" spans="1:28" s="84" customFormat="1" ht="27" customHeight="1" x14ac:dyDescent="0.3">
      <c r="A1222" s="75" t="s">
        <v>3670</v>
      </c>
      <c r="B1222" s="36" t="str">
        <f t="shared" si="19"/>
        <v>Agosto</v>
      </c>
      <c r="C1222" s="77" t="s">
        <v>162</v>
      </c>
      <c r="D1222" s="77" t="s">
        <v>3965</v>
      </c>
      <c r="E122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222" s="79" t="s">
        <v>456</v>
      </c>
      <c r="G1222" s="79" t="s">
        <v>457</v>
      </c>
      <c r="H1222" s="140" t="s">
        <v>3966</v>
      </c>
      <c r="I1222" s="77" t="s">
        <v>3967</v>
      </c>
      <c r="J1222" s="144" t="s">
        <v>3968</v>
      </c>
      <c r="K1222" s="77" t="s">
        <v>169</v>
      </c>
      <c r="L1222" s="103" t="str">
        <f>VLOOKUP(Anexo_4[[#This Row],[cod_doc]],TIPODOC,2,FALSE)</f>
        <v>FACTURA</v>
      </c>
      <c r="M1222" s="77" t="s">
        <v>102</v>
      </c>
      <c r="N1222" s="79">
        <v>74</v>
      </c>
      <c r="O1222" s="80">
        <v>30.6</v>
      </c>
      <c r="P1222" s="81"/>
      <c r="Q1222" s="81">
        <v>5.508</v>
      </c>
      <c r="R1222" s="80"/>
      <c r="S1222" s="80">
        <v>0</v>
      </c>
      <c r="T1222" s="82">
        <v>36.11</v>
      </c>
      <c r="U1222" s="77"/>
      <c r="V1222" s="75"/>
      <c r="W1222" s="77"/>
      <c r="X1222" s="77"/>
      <c r="Y1222" s="77" t="s">
        <v>3969</v>
      </c>
      <c r="Z1222" s="77" t="s">
        <v>507</v>
      </c>
      <c r="AA1222" s="83" t="s">
        <v>3966</v>
      </c>
      <c r="AB1222" s="104" t="str">
        <f>IFERROR(VLOOKUP(Anexo_4[[#This Row],[cuenta]],OP,2,0),"-")</f>
        <v>Transporte lavado (Higienización)</v>
      </c>
    </row>
    <row r="1223" spans="1:28" s="84" customFormat="1" ht="27" customHeight="1" x14ac:dyDescent="0.3">
      <c r="A1223" s="75" t="s">
        <v>3610</v>
      </c>
      <c r="B1223" s="36" t="str">
        <f t="shared" si="19"/>
        <v>Agosto</v>
      </c>
      <c r="C1223" s="77" t="s">
        <v>162</v>
      </c>
      <c r="D1223" s="77" t="s">
        <v>3970</v>
      </c>
      <c r="E1223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223" s="79" t="s">
        <v>449</v>
      </c>
      <c r="G1223" s="79" t="s">
        <v>450</v>
      </c>
      <c r="H1223" s="140" t="s">
        <v>3971</v>
      </c>
      <c r="I1223" s="77" t="s">
        <v>2085</v>
      </c>
      <c r="J1223" s="144" t="s">
        <v>2086</v>
      </c>
      <c r="K1223" s="77" t="s">
        <v>169</v>
      </c>
      <c r="L1223" s="103" t="str">
        <f>VLOOKUP(Anexo_4[[#This Row],[cod_doc]],TIPODOC,2,FALSE)</f>
        <v>FACTURA</v>
      </c>
      <c r="M1223" s="77" t="s">
        <v>631</v>
      </c>
      <c r="N1223" s="79">
        <v>42505</v>
      </c>
      <c r="O1223" s="80">
        <v>46.61</v>
      </c>
      <c r="P1223" s="81"/>
      <c r="Q1223" s="81">
        <v>8.3897999999999993</v>
      </c>
      <c r="R1223" s="80"/>
      <c r="S1223" s="80">
        <v>0</v>
      </c>
      <c r="T1223" s="82">
        <v>55</v>
      </c>
      <c r="U1223" s="77"/>
      <c r="V1223" s="75"/>
      <c r="W1223" s="77"/>
      <c r="X1223" s="77"/>
      <c r="Y1223" s="77" t="s">
        <v>3972</v>
      </c>
      <c r="Z1223" s="77" t="s">
        <v>507</v>
      </c>
      <c r="AA1223" s="83" t="s">
        <v>3971</v>
      </c>
      <c r="AB1223" s="104" t="str">
        <f>IFERROR(VLOOKUP(Anexo_4[[#This Row],[cuenta]],OP,2,0),"-")</f>
        <v>Transporte lavado (Higienización)</v>
      </c>
    </row>
    <row r="1224" spans="1:28" s="84" customFormat="1" ht="27" customHeight="1" x14ac:dyDescent="0.3">
      <c r="A1224" s="75" t="s">
        <v>3610</v>
      </c>
      <c r="B1224" s="36" t="str">
        <f t="shared" si="19"/>
        <v>Agosto</v>
      </c>
      <c r="C1224" s="77" t="s">
        <v>162</v>
      </c>
      <c r="D1224" s="77" t="s">
        <v>3973</v>
      </c>
      <c r="E1224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224" s="79" t="s">
        <v>449</v>
      </c>
      <c r="G1224" s="79" t="s">
        <v>450</v>
      </c>
      <c r="H1224" s="140" t="s">
        <v>3974</v>
      </c>
      <c r="I1224" s="77" t="s">
        <v>1445</v>
      </c>
      <c r="J1224" s="144" t="s">
        <v>1446</v>
      </c>
      <c r="K1224" s="77" t="s">
        <v>169</v>
      </c>
      <c r="L1224" s="103" t="str">
        <f>VLOOKUP(Anexo_4[[#This Row],[cod_doc]],TIPODOC,2,FALSE)</f>
        <v>FACTURA</v>
      </c>
      <c r="M1224" s="77" t="s">
        <v>222</v>
      </c>
      <c r="N1224" s="79">
        <v>7699</v>
      </c>
      <c r="O1224" s="80">
        <v>11.02</v>
      </c>
      <c r="P1224" s="81"/>
      <c r="Q1224" s="81">
        <v>1.9835999999999998</v>
      </c>
      <c r="R1224" s="80"/>
      <c r="S1224" s="80">
        <v>0</v>
      </c>
      <c r="T1224" s="82">
        <v>13</v>
      </c>
      <c r="U1224" s="77"/>
      <c r="V1224" s="75"/>
      <c r="W1224" s="77"/>
      <c r="X1224" s="77"/>
      <c r="Y1224" s="77" t="s">
        <v>3975</v>
      </c>
      <c r="Z1224" s="77" t="s">
        <v>386</v>
      </c>
      <c r="AA1224" s="83" t="s">
        <v>3974</v>
      </c>
      <c r="AB1224" s="104" t="str">
        <f>IFERROR(VLOOKUP(Anexo_4[[#This Row],[cuenta]],OP,2,0),"-")</f>
        <v>Balanza - Servicios</v>
      </c>
    </row>
    <row r="1225" spans="1:28" s="84" customFormat="1" ht="27" customHeight="1" x14ac:dyDescent="0.3">
      <c r="A1225" s="75" t="s">
        <v>3610</v>
      </c>
      <c r="B1225" s="36" t="str">
        <f t="shared" si="19"/>
        <v>Agosto</v>
      </c>
      <c r="C1225" s="77" t="s">
        <v>162</v>
      </c>
      <c r="D1225" s="77" t="s">
        <v>3976</v>
      </c>
      <c r="E122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225" s="79" t="s">
        <v>449</v>
      </c>
      <c r="G1225" s="79" t="s">
        <v>450</v>
      </c>
      <c r="H1225" s="140" t="s">
        <v>3977</v>
      </c>
      <c r="I1225" s="77" t="s">
        <v>312</v>
      </c>
      <c r="J1225" s="144" t="s">
        <v>313</v>
      </c>
      <c r="K1225" s="77" t="s">
        <v>169</v>
      </c>
      <c r="L1225" s="103" t="str">
        <f>VLOOKUP(Anexo_4[[#This Row],[cod_doc]],TIPODOC,2,FALSE)</f>
        <v>FACTURA</v>
      </c>
      <c r="M1225" s="77" t="s">
        <v>1459</v>
      </c>
      <c r="N1225" s="79">
        <v>2003536</v>
      </c>
      <c r="O1225" s="80">
        <v>12.71</v>
      </c>
      <c r="P1225" s="81"/>
      <c r="Q1225" s="81">
        <v>2.2878000000000003</v>
      </c>
      <c r="R1225" s="80"/>
      <c r="S1225" s="80">
        <v>0</v>
      </c>
      <c r="T1225" s="82">
        <v>15</v>
      </c>
      <c r="U1225" s="77"/>
      <c r="V1225" s="75"/>
      <c r="W1225" s="77"/>
      <c r="X1225" s="77"/>
      <c r="Y1225" s="77" t="s">
        <v>3978</v>
      </c>
      <c r="Z1225" s="77" t="s">
        <v>302</v>
      </c>
      <c r="AA1225" s="83" t="s">
        <v>3977</v>
      </c>
      <c r="AB1225" s="104" t="str">
        <f>IFERROR(VLOOKUP(Anexo_4[[#This Row],[cuenta]],OP,2,0),"-")</f>
        <v>Transporte peajes - Servicios</v>
      </c>
    </row>
    <row r="1226" spans="1:28" s="84" customFormat="1" ht="27" customHeight="1" x14ac:dyDescent="0.3">
      <c r="A1226" s="75" t="s">
        <v>3610</v>
      </c>
      <c r="B1226" s="36" t="str">
        <f t="shared" si="19"/>
        <v>Agosto</v>
      </c>
      <c r="C1226" s="77" t="s">
        <v>162</v>
      </c>
      <c r="D1226" s="77" t="s">
        <v>3979</v>
      </c>
      <c r="E122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226" s="79" t="s">
        <v>449</v>
      </c>
      <c r="G1226" s="79" t="s">
        <v>450</v>
      </c>
      <c r="H1226" s="140" t="s">
        <v>3980</v>
      </c>
      <c r="I1226" s="77" t="s">
        <v>312</v>
      </c>
      <c r="J1226" s="144" t="s">
        <v>313</v>
      </c>
      <c r="K1226" s="77" t="s">
        <v>169</v>
      </c>
      <c r="L1226" s="103" t="str">
        <f>VLOOKUP(Anexo_4[[#This Row],[cod_doc]],TIPODOC,2,FALSE)</f>
        <v>FACTURA</v>
      </c>
      <c r="M1226" s="77" t="s">
        <v>1482</v>
      </c>
      <c r="N1226" s="79">
        <v>3200171</v>
      </c>
      <c r="O1226" s="80">
        <v>12.71</v>
      </c>
      <c r="P1226" s="81"/>
      <c r="Q1226" s="81">
        <v>2.2878000000000003</v>
      </c>
      <c r="R1226" s="80"/>
      <c r="S1226" s="80">
        <v>0</v>
      </c>
      <c r="T1226" s="82">
        <v>15</v>
      </c>
      <c r="U1226" s="77"/>
      <c r="V1226" s="75"/>
      <c r="W1226" s="77"/>
      <c r="X1226" s="77"/>
      <c r="Y1226" s="77" t="s">
        <v>3981</v>
      </c>
      <c r="Z1226" s="77" t="s">
        <v>302</v>
      </c>
      <c r="AA1226" s="83" t="s">
        <v>3980</v>
      </c>
      <c r="AB1226" s="104" t="str">
        <f>IFERROR(VLOOKUP(Anexo_4[[#This Row],[cuenta]],OP,2,0),"-")</f>
        <v>Transporte peajes - Servicios</v>
      </c>
    </row>
    <row r="1227" spans="1:28" s="84" customFormat="1" ht="27" customHeight="1" x14ac:dyDescent="0.3">
      <c r="A1227" s="75" t="s">
        <v>3573</v>
      </c>
      <c r="B1227" s="36" t="str">
        <f t="shared" si="19"/>
        <v>Agosto</v>
      </c>
      <c r="C1227" s="77" t="s">
        <v>162</v>
      </c>
      <c r="D1227" s="77" t="s">
        <v>3982</v>
      </c>
      <c r="E1227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227" s="79" t="s">
        <v>449</v>
      </c>
      <c r="G1227" s="79" t="s">
        <v>450</v>
      </c>
      <c r="H1227" s="140" t="s">
        <v>3983</v>
      </c>
      <c r="I1227" s="77" t="s">
        <v>312</v>
      </c>
      <c r="J1227" s="144" t="s">
        <v>313</v>
      </c>
      <c r="K1227" s="77" t="s">
        <v>169</v>
      </c>
      <c r="L1227" s="103" t="str">
        <f>VLOOKUP(Anexo_4[[#This Row],[cod_doc]],TIPODOC,2,FALSE)</f>
        <v>FACTURA</v>
      </c>
      <c r="M1227" s="77" t="s">
        <v>1506</v>
      </c>
      <c r="N1227" s="79">
        <v>658300</v>
      </c>
      <c r="O1227" s="80">
        <v>12.71</v>
      </c>
      <c r="P1227" s="81"/>
      <c r="Q1227" s="81">
        <v>2.2878000000000003</v>
      </c>
      <c r="R1227" s="80"/>
      <c r="S1227" s="80">
        <v>0</v>
      </c>
      <c r="T1227" s="82">
        <v>15</v>
      </c>
      <c r="U1227" s="77"/>
      <c r="V1227" s="75"/>
      <c r="W1227" s="77"/>
      <c r="X1227" s="77"/>
      <c r="Y1227" s="77" t="s">
        <v>3984</v>
      </c>
      <c r="Z1227" s="77" t="s">
        <v>302</v>
      </c>
      <c r="AA1227" s="83" t="s">
        <v>3983</v>
      </c>
      <c r="AB1227" s="104" t="str">
        <f>IFERROR(VLOOKUP(Anexo_4[[#This Row],[cuenta]],OP,2,0),"-")</f>
        <v>Transporte peajes - Servicios</v>
      </c>
    </row>
    <row r="1228" spans="1:28" s="84" customFormat="1" ht="27" customHeight="1" x14ac:dyDescent="0.3">
      <c r="A1228" s="75" t="s">
        <v>3532</v>
      </c>
      <c r="B1228" s="36" t="str">
        <f t="shared" si="19"/>
        <v>Agosto</v>
      </c>
      <c r="C1228" s="77" t="s">
        <v>162</v>
      </c>
      <c r="D1228" s="77" t="s">
        <v>3985</v>
      </c>
      <c r="E1228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228" s="79" t="s">
        <v>449</v>
      </c>
      <c r="G1228" s="79" t="s">
        <v>450</v>
      </c>
      <c r="H1228" s="140" t="s">
        <v>3986</v>
      </c>
      <c r="I1228" s="77" t="s">
        <v>312</v>
      </c>
      <c r="J1228" s="144" t="s">
        <v>313</v>
      </c>
      <c r="K1228" s="77" t="s">
        <v>169</v>
      </c>
      <c r="L1228" s="103" t="str">
        <f>VLOOKUP(Anexo_4[[#This Row],[cod_doc]],TIPODOC,2,FALSE)</f>
        <v>FACTURA</v>
      </c>
      <c r="M1228" s="77" t="s">
        <v>195</v>
      </c>
      <c r="N1228" s="79">
        <v>1184261</v>
      </c>
      <c r="O1228" s="80">
        <v>12.71</v>
      </c>
      <c r="P1228" s="81"/>
      <c r="Q1228" s="81">
        <v>2.2878000000000003</v>
      </c>
      <c r="R1228" s="80"/>
      <c r="S1228" s="80">
        <v>0</v>
      </c>
      <c r="T1228" s="82">
        <v>15</v>
      </c>
      <c r="U1228" s="77"/>
      <c r="V1228" s="75"/>
      <c r="W1228" s="77"/>
      <c r="X1228" s="77"/>
      <c r="Y1228" s="77" t="s">
        <v>3987</v>
      </c>
      <c r="Z1228" s="77" t="s">
        <v>302</v>
      </c>
      <c r="AA1228" s="83" t="s">
        <v>3986</v>
      </c>
      <c r="AB1228" s="104" t="str">
        <f>IFERROR(VLOOKUP(Anexo_4[[#This Row],[cuenta]],OP,2,0),"-")</f>
        <v>Transporte peajes - Servicios</v>
      </c>
    </row>
    <row r="1229" spans="1:28" s="84" customFormat="1" ht="27" customHeight="1" x14ac:dyDescent="0.3">
      <c r="A1229" s="75" t="s">
        <v>3573</v>
      </c>
      <c r="B1229" s="36" t="str">
        <f t="shared" si="19"/>
        <v>Agosto</v>
      </c>
      <c r="C1229" s="77" t="s">
        <v>162</v>
      </c>
      <c r="D1229" s="77" t="s">
        <v>3988</v>
      </c>
      <c r="E1229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229" s="79" t="s">
        <v>449</v>
      </c>
      <c r="G1229" s="79" t="s">
        <v>450</v>
      </c>
      <c r="H1229" s="140" t="s">
        <v>3989</v>
      </c>
      <c r="I1229" s="77" t="s">
        <v>312</v>
      </c>
      <c r="J1229" s="144" t="s">
        <v>313</v>
      </c>
      <c r="K1229" s="77" t="s">
        <v>169</v>
      </c>
      <c r="L1229" s="103" t="str">
        <f>VLOOKUP(Anexo_4[[#This Row],[cod_doc]],TIPODOC,2,FALSE)</f>
        <v>FACTURA</v>
      </c>
      <c r="M1229" s="77" t="s">
        <v>1482</v>
      </c>
      <c r="N1229" s="79">
        <v>3201295</v>
      </c>
      <c r="O1229" s="80">
        <v>12.71</v>
      </c>
      <c r="P1229" s="81"/>
      <c r="Q1229" s="81">
        <v>2.2878000000000003</v>
      </c>
      <c r="R1229" s="80"/>
      <c r="S1229" s="80">
        <v>0</v>
      </c>
      <c r="T1229" s="82">
        <v>15</v>
      </c>
      <c r="U1229" s="77"/>
      <c r="V1229" s="75"/>
      <c r="W1229" s="77"/>
      <c r="X1229" s="77"/>
      <c r="Y1229" s="77" t="s">
        <v>3990</v>
      </c>
      <c r="Z1229" s="77" t="s">
        <v>302</v>
      </c>
      <c r="AA1229" s="83" t="s">
        <v>3989</v>
      </c>
      <c r="AB1229" s="104" t="str">
        <f>IFERROR(VLOOKUP(Anexo_4[[#This Row],[cuenta]],OP,2,0),"-")</f>
        <v>Transporte peajes - Servicios</v>
      </c>
    </row>
    <row r="1230" spans="1:28" s="84" customFormat="1" ht="27" customHeight="1" x14ac:dyDescent="0.3">
      <c r="A1230" s="75" t="s">
        <v>3532</v>
      </c>
      <c r="B1230" s="36" t="str">
        <f t="shared" si="19"/>
        <v>Agosto</v>
      </c>
      <c r="C1230" s="77" t="s">
        <v>162</v>
      </c>
      <c r="D1230" s="77" t="s">
        <v>3991</v>
      </c>
      <c r="E1230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230" s="79" t="s">
        <v>449</v>
      </c>
      <c r="G1230" s="79" t="s">
        <v>450</v>
      </c>
      <c r="H1230" s="140" t="s">
        <v>3992</v>
      </c>
      <c r="I1230" s="77" t="s">
        <v>312</v>
      </c>
      <c r="J1230" s="144" t="s">
        <v>313</v>
      </c>
      <c r="K1230" s="77" t="s">
        <v>169</v>
      </c>
      <c r="L1230" s="103" t="str">
        <f>VLOOKUP(Anexo_4[[#This Row],[cod_doc]],TIPODOC,2,FALSE)</f>
        <v>FACTURA</v>
      </c>
      <c r="M1230" s="77" t="s">
        <v>1490</v>
      </c>
      <c r="N1230" s="79">
        <v>609731</v>
      </c>
      <c r="O1230" s="80">
        <v>12.71</v>
      </c>
      <c r="P1230" s="81"/>
      <c r="Q1230" s="81">
        <v>2.2878000000000003</v>
      </c>
      <c r="R1230" s="80"/>
      <c r="S1230" s="80">
        <v>0</v>
      </c>
      <c r="T1230" s="82">
        <v>15</v>
      </c>
      <c r="U1230" s="77"/>
      <c r="V1230" s="75"/>
      <c r="W1230" s="77"/>
      <c r="X1230" s="77"/>
      <c r="Y1230" s="77" t="s">
        <v>3993</v>
      </c>
      <c r="Z1230" s="77" t="s">
        <v>302</v>
      </c>
      <c r="AA1230" s="83" t="s">
        <v>3992</v>
      </c>
      <c r="AB1230" s="104" t="str">
        <f>IFERROR(VLOOKUP(Anexo_4[[#This Row],[cuenta]],OP,2,0),"-")</f>
        <v>Transporte peajes - Servicios</v>
      </c>
    </row>
    <row r="1231" spans="1:28" s="84" customFormat="1" ht="27" customHeight="1" x14ac:dyDescent="0.3">
      <c r="A1231" s="75" t="s">
        <v>3624</v>
      </c>
      <c r="B1231" s="36" t="str">
        <f t="shared" si="19"/>
        <v>Agosto</v>
      </c>
      <c r="C1231" s="77" t="s">
        <v>162</v>
      </c>
      <c r="D1231" s="77" t="s">
        <v>3994</v>
      </c>
      <c r="E123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231" s="79" t="s">
        <v>449</v>
      </c>
      <c r="G1231" s="79" t="s">
        <v>450</v>
      </c>
      <c r="H1231" s="140" t="s">
        <v>3995</v>
      </c>
      <c r="I1231" s="77" t="s">
        <v>312</v>
      </c>
      <c r="J1231" s="144" t="s">
        <v>313</v>
      </c>
      <c r="K1231" s="77" t="s">
        <v>169</v>
      </c>
      <c r="L1231" s="103" t="str">
        <f>VLOOKUP(Anexo_4[[#This Row],[cod_doc]],TIPODOC,2,FALSE)</f>
        <v>FACTURA</v>
      </c>
      <c r="M1231" s="77" t="s">
        <v>1459</v>
      </c>
      <c r="N1231" s="79">
        <v>2007003</v>
      </c>
      <c r="O1231" s="80">
        <v>12.71</v>
      </c>
      <c r="P1231" s="81"/>
      <c r="Q1231" s="81">
        <v>2.2878000000000003</v>
      </c>
      <c r="R1231" s="80"/>
      <c r="S1231" s="80">
        <v>0</v>
      </c>
      <c r="T1231" s="82">
        <v>15</v>
      </c>
      <c r="U1231" s="77"/>
      <c r="V1231" s="75"/>
      <c r="W1231" s="77"/>
      <c r="X1231" s="77"/>
      <c r="Y1231" s="77" t="s">
        <v>3996</v>
      </c>
      <c r="Z1231" s="77" t="s">
        <v>302</v>
      </c>
      <c r="AA1231" s="83" t="s">
        <v>3995</v>
      </c>
      <c r="AB1231" s="104" t="str">
        <f>IFERROR(VLOOKUP(Anexo_4[[#This Row],[cuenta]],OP,2,0),"-")</f>
        <v>Transporte peajes - Servicios</v>
      </c>
    </row>
    <row r="1232" spans="1:28" s="84" customFormat="1" ht="27" customHeight="1" x14ac:dyDescent="0.3">
      <c r="A1232" s="75" t="s">
        <v>3578</v>
      </c>
      <c r="B1232" s="36" t="str">
        <f t="shared" si="19"/>
        <v>Agosto</v>
      </c>
      <c r="C1232" s="77" t="s">
        <v>162</v>
      </c>
      <c r="D1232" s="77" t="s">
        <v>3997</v>
      </c>
      <c r="E123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232" s="79" t="s">
        <v>449</v>
      </c>
      <c r="G1232" s="79" t="s">
        <v>450</v>
      </c>
      <c r="H1232" s="140" t="s">
        <v>3998</v>
      </c>
      <c r="I1232" s="77" t="s">
        <v>312</v>
      </c>
      <c r="J1232" s="144" t="s">
        <v>313</v>
      </c>
      <c r="K1232" s="77" t="s">
        <v>169</v>
      </c>
      <c r="L1232" s="103" t="str">
        <f>VLOOKUP(Anexo_4[[#This Row],[cod_doc]],TIPODOC,2,FALSE)</f>
        <v>FACTURA</v>
      </c>
      <c r="M1232" s="77" t="s">
        <v>195</v>
      </c>
      <c r="N1232" s="79">
        <v>1186401</v>
      </c>
      <c r="O1232" s="80">
        <v>12.71</v>
      </c>
      <c r="P1232" s="81"/>
      <c r="Q1232" s="81">
        <v>2.2878000000000003</v>
      </c>
      <c r="R1232" s="80"/>
      <c r="S1232" s="80">
        <v>0</v>
      </c>
      <c r="T1232" s="82">
        <v>15</v>
      </c>
      <c r="U1232" s="77"/>
      <c r="V1232" s="75"/>
      <c r="W1232" s="77"/>
      <c r="X1232" s="77"/>
      <c r="Y1232" s="77" t="s">
        <v>3999</v>
      </c>
      <c r="Z1232" s="77" t="s">
        <v>302</v>
      </c>
      <c r="AA1232" s="83" t="s">
        <v>3998</v>
      </c>
      <c r="AB1232" s="104" t="str">
        <f>IFERROR(VLOOKUP(Anexo_4[[#This Row],[cuenta]],OP,2,0),"-")</f>
        <v>Transporte peajes - Servicios</v>
      </c>
    </row>
    <row r="1233" spans="1:28" s="84" customFormat="1" ht="27" customHeight="1" x14ac:dyDescent="0.3">
      <c r="A1233" s="75" t="s">
        <v>3578</v>
      </c>
      <c r="B1233" s="36" t="str">
        <f t="shared" si="19"/>
        <v>Agosto</v>
      </c>
      <c r="C1233" s="77" t="s">
        <v>162</v>
      </c>
      <c r="D1233" s="77" t="s">
        <v>4000</v>
      </c>
      <c r="E1233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233" s="79" t="s">
        <v>449</v>
      </c>
      <c r="G1233" s="79" t="s">
        <v>450</v>
      </c>
      <c r="H1233" s="140" t="s">
        <v>4001</v>
      </c>
      <c r="I1233" s="77" t="s">
        <v>312</v>
      </c>
      <c r="J1233" s="144" t="s">
        <v>313</v>
      </c>
      <c r="K1233" s="77" t="s">
        <v>169</v>
      </c>
      <c r="L1233" s="103" t="str">
        <f>VLOOKUP(Anexo_4[[#This Row],[cod_doc]],TIPODOC,2,FALSE)</f>
        <v>FACTURA</v>
      </c>
      <c r="M1233" s="77" t="s">
        <v>1474</v>
      </c>
      <c r="N1233" s="79">
        <v>3078270</v>
      </c>
      <c r="O1233" s="80">
        <v>12.71</v>
      </c>
      <c r="P1233" s="81"/>
      <c r="Q1233" s="81">
        <v>2.2878000000000003</v>
      </c>
      <c r="R1233" s="80"/>
      <c r="S1233" s="80">
        <v>0</v>
      </c>
      <c r="T1233" s="82">
        <v>15</v>
      </c>
      <c r="U1233" s="77"/>
      <c r="V1233" s="75"/>
      <c r="W1233" s="77"/>
      <c r="X1233" s="77"/>
      <c r="Y1233" s="77" t="s">
        <v>4002</v>
      </c>
      <c r="Z1233" s="77" t="s">
        <v>302</v>
      </c>
      <c r="AA1233" s="83" t="s">
        <v>4001</v>
      </c>
      <c r="AB1233" s="104" t="str">
        <f>IFERROR(VLOOKUP(Anexo_4[[#This Row],[cuenta]],OP,2,0),"-")</f>
        <v>Transporte peajes - Servicios</v>
      </c>
    </row>
    <row r="1234" spans="1:28" s="84" customFormat="1" ht="27" customHeight="1" x14ac:dyDescent="0.3">
      <c r="A1234" s="75" t="s">
        <v>3624</v>
      </c>
      <c r="B1234" s="36" t="str">
        <f t="shared" si="19"/>
        <v>Agosto</v>
      </c>
      <c r="C1234" s="77" t="s">
        <v>162</v>
      </c>
      <c r="D1234" s="77" t="s">
        <v>4003</v>
      </c>
      <c r="E1234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234" s="79" t="s">
        <v>449</v>
      </c>
      <c r="G1234" s="79" t="s">
        <v>450</v>
      </c>
      <c r="H1234" s="140" t="s">
        <v>4004</v>
      </c>
      <c r="I1234" s="77" t="s">
        <v>312</v>
      </c>
      <c r="J1234" s="144" t="s">
        <v>313</v>
      </c>
      <c r="K1234" s="77" t="s">
        <v>169</v>
      </c>
      <c r="L1234" s="103" t="str">
        <f>VLOOKUP(Anexo_4[[#This Row],[cod_doc]],TIPODOC,2,FALSE)</f>
        <v>FACTURA</v>
      </c>
      <c r="M1234" s="77" t="s">
        <v>1490</v>
      </c>
      <c r="N1234" s="79">
        <v>612240</v>
      </c>
      <c r="O1234" s="80">
        <v>12.71</v>
      </c>
      <c r="P1234" s="81"/>
      <c r="Q1234" s="81">
        <v>2.2878000000000003</v>
      </c>
      <c r="R1234" s="80"/>
      <c r="S1234" s="80">
        <v>0</v>
      </c>
      <c r="T1234" s="82">
        <v>15</v>
      </c>
      <c r="U1234" s="77"/>
      <c r="V1234" s="75"/>
      <c r="W1234" s="77"/>
      <c r="X1234" s="77"/>
      <c r="Y1234" s="77" t="s">
        <v>4005</v>
      </c>
      <c r="Z1234" s="77" t="s">
        <v>302</v>
      </c>
      <c r="AA1234" s="83" t="s">
        <v>4004</v>
      </c>
      <c r="AB1234" s="104" t="str">
        <f>IFERROR(VLOOKUP(Anexo_4[[#This Row],[cuenta]],OP,2,0),"-")</f>
        <v>Transporte peajes - Servicios</v>
      </c>
    </row>
    <row r="1235" spans="1:28" s="84" customFormat="1" ht="27" customHeight="1" x14ac:dyDescent="0.3">
      <c r="A1235" s="75" t="s">
        <v>2494</v>
      </c>
      <c r="B1235" s="36" t="str">
        <f t="shared" si="19"/>
        <v>Agosto</v>
      </c>
      <c r="C1235" s="77" t="s">
        <v>162</v>
      </c>
      <c r="D1235" s="77" t="s">
        <v>4006</v>
      </c>
      <c r="E123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235" s="79" t="s">
        <v>217</v>
      </c>
      <c r="G1235" s="79" t="s">
        <v>218</v>
      </c>
      <c r="H1235" s="140" t="s">
        <v>4007</v>
      </c>
      <c r="I1235" s="77" t="s">
        <v>383</v>
      </c>
      <c r="J1235" s="144" t="s">
        <v>384</v>
      </c>
      <c r="K1235" s="77" t="s">
        <v>169</v>
      </c>
      <c r="L1235" s="103" t="str">
        <f>VLOOKUP(Anexo_4[[#This Row],[cod_doc]],TIPODOC,2,FALSE)</f>
        <v>FACTURA</v>
      </c>
      <c r="M1235" s="77" t="s">
        <v>103</v>
      </c>
      <c r="N1235" s="79">
        <v>17313</v>
      </c>
      <c r="O1235" s="80">
        <v>16.95</v>
      </c>
      <c r="P1235" s="81"/>
      <c r="Q1235" s="81">
        <v>3.0509999999999997</v>
      </c>
      <c r="R1235" s="80"/>
      <c r="S1235" s="80">
        <v>0</v>
      </c>
      <c r="T1235" s="82">
        <v>20</v>
      </c>
      <c r="U1235" s="77"/>
      <c r="V1235" s="75"/>
      <c r="W1235" s="77"/>
      <c r="X1235" s="77"/>
      <c r="Y1235" s="77" t="s">
        <v>4008</v>
      </c>
      <c r="Z1235" s="77" t="s">
        <v>182</v>
      </c>
      <c r="AA1235" s="83" t="s">
        <v>4007</v>
      </c>
      <c r="AB1235" s="104" t="str">
        <f>IFERROR(VLOOKUP(Anexo_4[[#This Row],[cuenta]],OP,2,0),"-")</f>
        <v>Balanza - Ventas</v>
      </c>
    </row>
    <row r="1236" spans="1:28" s="84" customFormat="1" ht="27" customHeight="1" x14ac:dyDescent="0.3">
      <c r="A1236" s="75" t="s">
        <v>2494</v>
      </c>
      <c r="B1236" s="36" t="str">
        <f t="shared" si="19"/>
        <v>Agosto</v>
      </c>
      <c r="C1236" s="77" t="s">
        <v>162</v>
      </c>
      <c r="D1236" s="77" t="s">
        <v>4009</v>
      </c>
      <c r="E123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236" s="79" t="s">
        <v>217</v>
      </c>
      <c r="G1236" s="79" t="s">
        <v>218</v>
      </c>
      <c r="H1236" s="140" t="s">
        <v>4010</v>
      </c>
      <c r="I1236" s="77" t="s">
        <v>383</v>
      </c>
      <c r="J1236" s="144" t="s">
        <v>384</v>
      </c>
      <c r="K1236" s="77" t="s">
        <v>169</v>
      </c>
      <c r="L1236" s="103" t="str">
        <f>VLOOKUP(Anexo_4[[#This Row],[cod_doc]],TIPODOC,2,FALSE)</f>
        <v>FACTURA</v>
      </c>
      <c r="M1236" s="77" t="s">
        <v>103</v>
      </c>
      <c r="N1236" s="79">
        <v>17308</v>
      </c>
      <c r="O1236" s="80">
        <v>16.95</v>
      </c>
      <c r="P1236" s="81"/>
      <c r="Q1236" s="81">
        <v>3.0509999999999997</v>
      </c>
      <c r="R1236" s="80"/>
      <c r="S1236" s="80">
        <v>0</v>
      </c>
      <c r="T1236" s="82">
        <v>20</v>
      </c>
      <c r="U1236" s="77"/>
      <c r="V1236" s="75"/>
      <c r="W1236" s="77"/>
      <c r="X1236" s="77"/>
      <c r="Y1236" s="77" t="s">
        <v>4011</v>
      </c>
      <c r="Z1236" s="77" t="s">
        <v>182</v>
      </c>
      <c r="AA1236" s="83" t="s">
        <v>4010</v>
      </c>
      <c r="AB1236" s="104" t="str">
        <f>IFERROR(VLOOKUP(Anexo_4[[#This Row],[cuenta]],OP,2,0),"-")</f>
        <v>Balanza - Ventas</v>
      </c>
    </row>
    <row r="1237" spans="1:28" s="84" customFormat="1" ht="27" customHeight="1" x14ac:dyDescent="0.3">
      <c r="A1237" s="75" t="s">
        <v>3670</v>
      </c>
      <c r="B1237" s="36" t="str">
        <f t="shared" si="19"/>
        <v>Agosto</v>
      </c>
      <c r="C1237" s="77" t="s">
        <v>162</v>
      </c>
      <c r="D1237" s="77" t="s">
        <v>4012</v>
      </c>
      <c r="E1237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237" s="79" t="s">
        <v>391</v>
      </c>
      <c r="G1237" s="79" t="s">
        <v>392</v>
      </c>
      <c r="H1237" s="140" t="s">
        <v>4013</v>
      </c>
      <c r="I1237" s="77" t="s">
        <v>178</v>
      </c>
      <c r="J1237" s="144" t="s">
        <v>179</v>
      </c>
      <c r="K1237" s="77" t="s">
        <v>169</v>
      </c>
      <c r="L1237" s="103" t="str">
        <f>VLOOKUP(Anexo_4[[#This Row],[cod_doc]],TIPODOC,2,FALSE)</f>
        <v>FACTURA</v>
      </c>
      <c r="M1237" s="77" t="s">
        <v>180</v>
      </c>
      <c r="N1237" s="79">
        <v>135367</v>
      </c>
      <c r="O1237" s="80">
        <v>8.4700000000000006</v>
      </c>
      <c r="P1237" s="81"/>
      <c r="Q1237" s="81">
        <v>1.5246</v>
      </c>
      <c r="R1237" s="80"/>
      <c r="S1237" s="80">
        <v>0</v>
      </c>
      <c r="T1237" s="82">
        <v>10</v>
      </c>
      <c r="U1237" s="77"/>
      <c r="V1237" s="75"/>
      <c r="W1237" s="77"/>
      <c r="X1237" s="77"/>
      <c r="Y1237" s="77" t="s">
        <v>4014</v>
      </c>
      <c r="Z1237" s="77" t="s">
        <v>386</v>
      </c>
      <c r="AA1237" s="83" t="s">
        <v>4013</v>
      </c>
      <c r="AB1237" s="104" t="str">
        <f>IFERROR(VLOOKUP(Anexo_4[[#This Row],[cuenta]],OP,2,0),"-")</f>
        <v>Balanza - Servicios</v>
      </c>
    </row>
    <row r="1238" spans="1:28" s="84" customFormat="1" ht="27" customHeight="1" x14ac:dyDescent="0.3">
      <c r="A1238" s="75" t="s">
        <v>3670</v>
      </c>
      <c r="B1238" s="36" t="str">
        <f t="shared" si="19"/>
        <v>Agosto</v>
      </c>
      <c r="C1238" s="77" t="s">
        <v>162</v>
      </c>
      <c r="D1238" s="77" t="s">
        <v>4015</v>
      </c>
      <c r="E1238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238" s="79" t="s">
        <v>391</v>
      </c>
      <c r="G1238" s="79" t="s">
        <v>392</v>
      </c>
      <c r="H1238" s="140" t="s">
        <v>4016</v>
      </c>
      <c r="I1238" s="77" t="s">
        <v>529</v>
      </c>
      <c r="J1238" s="144" t="s">
        <v>530</v>
      </c>
      <c r="K1238" s="77" t="s">
        <v>169</v>
      </c>
      <c r="L1238" s="103" t="str">
        <f>VLOOKUP(Anexo_4[[#This Row],[cod_doc]],TIPODOC,2,FALSE)</f>
        <v>FACTURA</v>
      </c>
      <c r="M1238" s="77" t="s">
        <v>531</v>
      </c>
      <c r="N1238" s="79">
        <v>2108</v>
      </c>
      <c r="O1238" s="80">
        <v>8.4700000000000006</v>
      </c>
      <c r="P1238" s="81"/>
      <c r="Q1238" s="81">
        <v>1.5246</v>
      </c>
      <c r="R1238" s="80"/>
      <c r="S1238" s="80">
        <v>0</v>
      </c>
      <c r="T1238" s="82">
        <v>10</v>
      </c>
      <c r="U1238" s="77"/>
      <c r="V1238" s="75"/>
      <c r="W1238" s="77"/>
      <c r="X1238" s="77"/>
      <c r="Y1238" s="77" t="s">
        <v>4017</v>
      </c>
      <c r="Z1238" s="77" t="s">
        <v>182</v>
      </c>
      <c r="AA1238" s="83" t="s">
        <v>4016</v>
      </c>
      <c r="AB1238" s="104" t="str">
        <f>IFERROR(VLOOKUP(Anexo_4[[#This Row],[cuenta]],OP,2,0),"-")</f>
        <v>Balanza - Ventas</v>
      </c>
    </row>
    <row r="1239" spans="1:28" s="84" customFormat="1" ht="27" customHeight="1" x14ac:dyDescent="0.3">
      <c r="A1239" s="75" t="s">
        <v>3794</v>
      </c>
      <c r="B1239" s="36" t="str">
        <f t="shared" si="19"/>
        <v>Agosto</v>
      </c>
      <c r="C1239" s="77" t="s">
        <v>162</v>
      </c>
      <c r="D1239" s="77" t="s">
        <v>4018</v>
      </c>
      <c r="E1239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239" s="79" t="s">
        <v>217</v>
      </c>
      <c r="G1239" s="79" t="s">
        <v>218</v>
      </c>
      <c r="H1239" s="140" t="s">
        <v>4019</v>
      </c>
      <c r="I1239" s="77" t="s">
        <v>264</v>
      </c>
      <c r="J1239" s="144" t="s">
        <v>265</v>
      </c>
      <c r="K1239" s="77" t="s">
        <v>169</v>
      </c>
      <c r="L1239" s="103" t="str">
        <f>VLOOKUP(Anexo_4[[#This Row],[cod_doc]],TIPODOC,2,FALSE)</f>
        <v>FACTURA</v>
      </c>
      <c r="M1239" s="77" t="s">
        <v>352</v>
      </c>
      <c r="N1239" s="79">
        <v>1831368</v>
      </c>
      <c r="O1239" s="80">
        <v>6.78</v>
      </c>
      <c r="P1239" s="81"/>
      <c r="Q1239" s="81">
        <v>1.2203999999999999</v>
      </c>
      <c r="R1239" s="80"/>
      <c r="S1239" s="80">
        <v>0</v>
      </c>
      <c r="T1239" s="82">
        <v>8</v>
      </c>
      <c r="U1239" s="77"/>
      <c r="V1239" s="75"/>
      <c r="W1239" s="77"/>
      <c r="X1239" s="77"/>
      <c r="Y1239" s="77" t="s">
        <v>4020</v>
      </c>
      <c r="Z1239" s="77" t="s">
        <v>268</v>
      </c>
      <c r="AA1239" s="83" t="s">
        <v>4019</v>
      </c>
      <c r="AB1239" s="104" t="str">
        <f>IFERROR(VLOOKUP(Anexo_4[[#This Row],[cuenta]],OP,2,0),"-")</f>
        <v>Transporte peajes - Ventas</v>
      </c>
    </row>
    <row r="1240" spans="1:28" s="84" customFormat="1" ht="27" customHeight="1" x14ac:dyDescent="0.3">
      <c r="A1240" s="75" t="s">
        <v>3794</v>
      </c>
      <c r="B1240" s="36" t="str">
        <f t="shared" si="19"/>
        <v>Agosto</v>
      </c>
      <c r="C1240" s="77" t="s">
        <v>162</v>
      </c>
      <c r="D1240" s="77" t="s">
        <v>4021</v>
      </c>
      <c r="E1240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240" s="79" t="s">
        <v>217</v>
      </c>
      <c r="G1240" s="79" t="s">
        <v>218</v>
      </c>
      <c r="H1240" s="140" t="s">
        <v>4022</v>
      </c>
      <c r="I1240" s="77" t="s">
        <v>264</v>
      </c>
      <c r="J1240" s="144" t="s">
        <v>265</v>
      </c>
      <c r="K1240" s="77" t="s">
        <v>169</v>
      </c>
      <c r="L1240" s="103" t="str">
        <f>VLOOKUP(Anexo_4[[#This Row],[cod_doc]],TIPODOC,2,FALSE)</f>
        <v>FACTURA</v>
      </c>
      <c r="M1240" s="77" t="s">
        <v>271</v>
      </c>
      <c r="N1240" s="79">
        <v>1810630</v>
      </c>
      <c r="O1240" s="80">
        <v>6.78</v>
      </c>
      <c r="P1240" s="81"/>
      <c r="Q1240" s="81">
        <v>1.2203999999999999</v>
      </c>
      <c r="R1240" s="80"/>
      <c r="S1240" s="80">
        <v>0</v>
      </c>
      <c r="T1240" s="82">
        <v>8</v>
      </c>
      <c r="U1240" s="77"/>
      <c r="V1240" s="75"/>
      <c r="W1240" s="77"/>
      <c r="X1240" s="77"/>
      <c r="Y1240" s="77" t="s">
        <v>4023</v>
      </c>
      <c r="Z1240" s="77" t="s">
        <v>268</v>
      </c>
      <c r="AA1240" s="83" t="s">
        <v>4022</v>
      </c>
      <c r="AB1240" s="104" t="str">
        <f>IFERROR(VLOOKUP(Anexo_4[[#This Row],[cuenta]],OP,2,0),"-")</f>
        <v>Transporte peajes - Ventas</v>
      </c>
    </row>
    <row r="1241" spans="1:28" s="84" customFormat="1" ht="27" customHeight="1" x14ac:dyDescent="0.3">
      <c r="A1241" s="75" t="s">
        <v>2494</v>
      </c>
      <c r="B1241" s="36" t="str">
        <f t="shared" si="19"/>
        <v>Agosto</v>
      </c>
      <c r="C1241" s="77" t="s">
        <v>162</v>
      </c>
      <c r="D1241" s="77" t="s">
        <v>4024</v>
      </c>
      <c r="E124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241" s="79" t="s">
        <v>217</v>
      </c>
      <c r="G1241" s="79" t="s">
        <v>218</v>
      </c>
      <c r="H1241" s="140" t="s">
        <v>4025</v>
      </c>
      <c r="I1241" s="77" t="s">
        <v>264</v>
      </c>
      <c r="J1241" s="144" t="s">
        <v>265</v>
      </c>
      <c r="K1241" s="77" t="s">
        <v>169</v>
      </c>
      <c r="L1241" s="103" t="str">
        <f>VLOOKUP(Anexo_4[[#This Row],[cod_doc]],TIPODOC,2,FALSE)</f>
        <v>FACTURA</v>
      </c>
      <c r="M1241" s="77" t="s">
        <v>352</v>
      </c>
      <c r="N1241" s="79">
        <v>1830318</v>
      </c>
      <c r="O1241" s="80">
        <v>6.78</v>
      </c>
      <c r="P1241" s="81"/>
      <c r="Q1241" s="81">
        <v>1.2203999999999999</v>
      </c>
      <c r="R1241" s="80"/>
      <c r="S1241" s="80">
        <v>0</v>
      </c>
      <c r="T1241" s="82">
        <v>8</v>
      </c>
      <c r="U1241" s="77"/>
      <c r="V1241" s="75"/>
      <c r="W1241" s="77"/>
      <c r="X1241" s="77"/>
      <c r="Y1241" s="77" t="s">
        <v>4026</v>
      </c>
      <c r="Z1241" s="77" t="s">
        <v>268</v>
      </c>
      <c r="AA1241" s="83" t="s">
        <v>4025</v>
      </c>
      <c r="AB1241" s="104" t="str">
        <f>IFERROR(VLOOKUP(Anexo_4[[#This Row],[cuenta]],OP,2,0),"-")</f>
        <v>Transporte peajes - Ventas</v>
      </c>
    </row>
    <row r="1242" spans="1:28" s="84" customFormat="1" ht="27" customHeight="1" x14ac:dyDescent="0.3">
      <c r="A1242" s="75" t="s">
        <v>2494</v>
      </c>
      <c r="B1242" s="36" t="str">
        <f t="shared" si="19"/>
        <v>Agosto</v>
      </c>
      <c r="C1242" s="77" t="s">
        <v>162</v>
      </c>
      <c r="D1242" s="77" t="s">
        <v>4027</v>
      </c>
      <c r="E124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242" s="79" t="s">
        <v>217</v>
      </c>
      <c r="G1242" s="79" t="s">
        <v>218</v>
      </c>
      <c r="H1242" s="140" t="s">
        <v>4028</v>
      </c>
      <c r="I1242" s="77" t="s">
        <v>264</v>
      </c>
      <c r="J1242" s="144" t="s">
        <v>265</v>
      </c>
      <c r="K1242" s="77" t="s">
        <v>169</v>
      </c>
      <c r="L1242" s="103" t="str">
        <f>VLOOKUP(Anexo_4[[#This Row],[cod_doc]],TIPODOC,2,FALSE)</f>
        <v>FACTURA</v>
      </c>
      <c r="M1242" s="77" t="s">
        <v>271</v>
      </c>
      <c r="N1242" s="79">
        <v>1809640</v>
      </c>
      <c r="O1242" s="80">
        <v>6.78</v>
      </c>
      <c r="P1242" s="81"/>
      <c r="Q1242" s="81">
        <v>1.2203999999999999</v>
      </c>
      <c r="R1242" s="80"/>
      <c r="S1242" s="80">
        <v>0</v>
      </c>
      <c r="T1242" s="82">
        <v>8</v>
      </c>
      <c r="U1242" s="77"/>
      <c r="V1242" s="75"/>
      <c r="W1242" s="77"/>
      <c r="X1242" s="77"/>
      <c r="Y1242" s="77" t="s">
        <v>4029</v>
      </c>
      <c r="Z1242" s="77" t="s">
        <v>268</v>
      </c>
      <c r="AA1242" s="83" t="s">
        <v>4028</v>
      </c>
      <c r="AB1242" s="104" t="str">
        <f>IFERROR(VLOOKUP(Anexo_4[[#This Row],[cuenta]],OP,2,0),"-")</f>
        <v>Transporte peajes - Ventas</v>
      </c>
    </row>
    <row r="1243" spans="1:28" s="84" customFormat="1" ht="27" customHeight="1" x14ac:dyDescent="0.3">
      <c r="A1243" s="75" t="s">
        <v>1843</v>
      </c>
      <c r="B1243" s="36" t="str">
        <f t="shared" si="19"/>
        <v>Agosto</v>
      </c>
      <c r="C1243" s="77" t="s">
        <v>162</v>
      </c>
      <c r="D1243" s="77" t="s">
        <v>4030</v>
      </c>
      <c r="E1243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243" s="79"/>
      <c r="G1243" s="79"/>
      <c r="H1243" s="140"/>
      <c r="I1243" s="77" t="s">
        <v>4031</v>
      </c>
      <c r="J1243" s="144" t="s">
        <v>4032</v>
      </c>
      <c r="K1243" s="77" t="s">
        <v>1896</v>
      </c>
      <c r="L1243" s="103" t="str">
        <f>VLOOKUP(Anexo_4[[#This Row],[cod_doc]],TIPODOC,2,FALSE)</f>
        <v>NOTA DE CREDITO</v>
      </c>
      <c r="M1243" s="77" t="s">
        <v>180</v>
      </c>
      <c r="N1243" s="79" t="s">
        <v>4033</v>
      </c>
      <c r="O1243" s="80">
        <v>-64870.04</v>
      </c>
      <c r="P1243" s="81"/>
      <c r="Q1243" s="81">
        <v>-11676.6</v>
      </c>
      <c r="R1243" s="80"/>
      <c r="S1243" s="80">
        <v>0</v>
      </c>
      <c r="T1243" s="82">
        <v>-76546.64</v>
      </c>
      <c r="U1243" s="77"/>
      <c r="V1243" s="75"/>
      <c r="W1243" s="77" t="s">
        <v>162</v>
      </c>
      <c r="X1243" s="77" t="s">
        <v>180</v>
      </c>
      <c r="Y1243" s="77" t="s">
        <v>4034</v>
      </c>
      <c r="Z1243" s="77"/>
      <c r="AA1243" s="83"/>
      <c r="AB1243" s="104" t="str">
        <f>IFERROR(VLOOKUP(Anexo_4[[#This Row],[cuenta]],OP,2,0),"-")</f>
        <v>-</v>
      </c>
    </row>
    <row r="1244" spans="1:28" s="84" customFormat="1" ht="27" customHeight="1" x14ac:dyDescent="0.3">
      <c r="A1244" s="75" t="s">
        <v>3578</v>
      </c>
      <c r="B1244" s="36" t="str">
        <f t="shared" si="19"/>
        <v>Agosto</v>
      </c>
      <c r="C1244" s="77" t="s">
        <v>162</v>
      </c>
      <c r="D1244" s="77" t="s">
        <v>4035</v>
      </c>
      <c r="E1244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244" s="79" t="s">
        <v>592</v>
      </c>
      <c r="G1244" s="79" t="s">
        <v>593</v>
      </c>
      <c r="H1244" s="140" t="s">
        <v>2624</v>
      </c>
      <c r="I1244" s="77" t="s">
        <v>937</v>
      </c>
      <c r="J1244" s="144" t="s">
        <v>938</v>
      </c>
      <c r="K1244" s="77" t="s">
        <v>169</v>
      </c>
      <c r="L1244" s="103" t="str">
        <f>VLOOKUP(Anexo_4[[#This Row],[cod_doc]],TIPODOC,2,FALSE)</f>
        <v>FACTURA</v>
      </c>
      <c r="M1244" s="77" t="s">
        <v>939</v>
      </c>
      <c r="N1244" s="79">
        <v>8620</v>
      </c>
      <c r="O1244" s="80">
        <v>194.92</v>
      </c>
      <c r="P1244" s="81"/>
      <c r="Q1244" s="81">
        <v>35.085599999999999</v>
      </c>
      <c r="R1244" s="80"/>
      <c r="S1244" s="80">
        <v>0</v>
      </c>
      <c r="T1244" s="82">
        <v>230.01</v>
      </c>
      <c r="U1244" s="77"/>
      <c r="V1244" s="75"/>
      <c r="W1244" s="77"/>
      <c r="X1244" s="77"/>
      <c r="Y1244" s="77"/>
      <c r="Z1244" s="77" t="s">
        <v>455</v>
      </c>
      <c r="AA1244" s="83" t="s">
        <v>2624</v>
      </c>
      <c r="AB1244" s="104" t="str">
        <f>IFERROR(VLOOKUP(Anexo_4[[#This Row],[cuenta]],OP,2,0),"-")</f>
        <v>Combustible (Vehiculos)</v>
      </c>
    </row>
    <row r="1245" spans="1:28" s="84" customFormat="1" ht="27" customHeight="1" x14ac:dyDescent="0.3">
      <c r="A1245" s="75" t="s">
        <v>3578</v>
      </c>
      <c r="B1245" s="36" t="str">
        <f t="shared" si="19"/>
        <v>Agosto</v>
      </c>
      <c r="C1245" s="77" t="s">
        <v>162</v>
      </c>
      <c r="D1245" s="77" t="s">
        <v>4036</v>
      </c>
      <c r="E124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245" s="79" t="s">
        <v>592</v>
      </c>
      <c r="G1245" s="79" t="s">
        <v>593</v>
      </c>
      <c r="H1245" s="140" t="s">
        <v>2624</v>
      </c>
      <c r="I1245" s="77" t="s">
        <v>937</v>
      </c>
      <c r="J1245" s="144" t="s">
        <v>938</v>
      </c>
      <c r="K1245" s="77" t="s">
        <v>169</v>
      </c>
      <c r="L1245" s="103" t="str">
        <f>VLOOKUP(Anexo_4[[#This Row],[cod_doc]],TIPODOC,2,FALSE)</f>
        <v>FACTURA</v>
      </c>
      <c r="M1245" s="77" t="s">
        <v>942</v>
      </c>
      <c r="N1245" s="79">
        <v>11207</v>
      </c>
      <c r="O1245" s="80">
        <v>222.81</v>
      </c>
      <c r="P1245" s="81"/>
      <c r="Q1245" s="81">
        <v>40.105800000000002</v>
      </c>
      <c r="R1245" s="80"/>
      <c r="S1245" s="80">
        <v>0</v>
      </c>
      <c r="T1245" s="82">
        <v>262.91000000000003</v>
      </c>
      <c r="U1245" s="77"/>
      <c r="V1245" s="75"/>
      <c r="W1245" s="77"/>
      <c r="X1245" s="77"/>
      <c r="Y1245" s="77"/>
      <c r="Z1245" s="77" t="s">
        <v>455</v>
      </c>
      <c r="AA1245" s="83" t="s">
        <v>2624</v>
      </c>
      <c r="AB1245" s="104" t="str">
        <f>IFERROR(VLOOKUP(Anexo_4[[#This Row],[cuenta]],OP,2,0),"-")</f>
        <v>Combustible (Vehiculos)</v>
      </c>
    </row>
    <row r="1246" spans="1:28" s="84" customFormat="1" ht="27" customHeight="1" x14ac:dyDescent="0.3">
      <c r="A1246" s="75" t="s">
        <v>4037</v>
      </c>
      <c r="B1246" s="36" t="str">
        <f t="shared" si="19"/>
        <v>Agosto</v>
      </c>
      <c r="C1246" s="77" t="s">
        <v>162</v>
      </c>
      <c r="D1246" s="77" t="s">
        <v>4038</v>
      </c>
      <c r="E1246" s="78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1246" s="79" t="s">
        <v>198</v>
      </c>
      <c r="G1246" s="79" t="s">
        <v>199</v>
      </c>
      <c r="H1246" s="140" t="s">
        <v>4039</v>
      </c>
      <c r="I1246" s="77" t="s">
        <v>2120</v>
      </c>
      <c r="J1246" s="144" t="s">
        <v>2121</v>
      </c>
      <c r="K1246" s="77" t="s">
        <v>169</v>
      </c>
      <c r="L1246" s="103" t="str">
        <f>VLOOKUP(Anexo_4[[#This Row],[cod_doc]],TIPODOC,2,FALSE)</f>
        <v>FACTURA</v>
      </c>
      <c r="M1246" s="77" t="s">
        <v>222</v>
      </c>
      <c r="N1246" s="79">
        <v>1866</v>
      </c>
      <c r="O1246" s="80">
        <v>189.03</v>
      </c>
      <c r="P1246" s="81"/>
      <c r="Q1246" s="81">
        <v>34.025399999999998</v>
      </c>
      <c r="R1246" s="80"/>
      <c r="S1246" s="80">
        <v>0</v>
      </c>
      <c r="T1246" s="82">
        <v>223.06</v>
      </c>
      <c r="U1246" s="77"/>
      <c r="V1246" s="75"/>
      <c r="W1246" s="77"/>
      <c r="X1246" s="77"/>
      <c r="Y1246" s="77"/>
      <c r="Z1246" s="77" t="s">
        <v>2320</v>
      </c>
      <c r="AA1246" s="83" t="s">
        <v>4039</v>
      </c>
      <c r="AB1246" s="104" t="str">
        <f>IFERROR(VLOOKUP(Anexo_4[[#This Row],[cuenta]],OP,2,0),"-")</f>
        <v>Otros Gastos de Gestion</v>
      </c>
    </row>
    <row r="1247" spans="1:28" s="84" customFormat="1" ht="27" customHeight="1" x14ac:dyDescent="0.3">
      <c r="A1247" s="75" t="s">
        <v>3620</v>
      </c>
      <c r="B1247" s="36" t="str">
        <f t="shared" si="19"/>
        <v>Agosto</v>
      </c>
      <c r="C1247" s="77" t="s">
        <v>162</v>
      </c>
      <c r="D1247" s="77" t="s">
        <v>4040</v>
      </c>
      <c r="E1247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247" s="79" t="s">
        <v>164</v>
      </c>
      <c r="G1247" s="79" t="s">
        <v>165</v>
      </c>
      <c r="H1247" s="140" t="s">
        <v>970</v>
      </c>
      <c r="I1247" s="77" t="s">
        <v>971</v>
      </c>
      <c r="J1247" s="144" t="s">
        <v>972</v>
      </c>
      <c r="K1247" s="77" t="s">
        <v>439</v>
      </c>
      <c r="L1247" s="103" t="str">
        <f>VLOOKUP(Anexo_4[[#This Row],[cod_doc]],TIPODOC,2,FALSE)</f>
        <v>RECIBO POR SERV. PUBLICOS</v>
      </c>
      <c r="M1247" s="77" t="s">
        <v>1048</v>
      </c>
      <c r="N1247" s="79">
        <v>559624262</v>
      </c>
      <c r="O1247" s="80">
        <v>879.12</v>
      </c>
      <c r="P1247" s="81"/>
      <c r="Q1247" s="81">
        <v>158.24160000000001</v>
      </c>
      <c r="R1247" s="80"/>
      <c r="S1247" s="80">
        <v>0</v>
      </c>
      <c r="T1247" s="82">
        <v>1037.3599999999999</v>
      </c>
      <c r="U1247" s="77"/>
      <c r="V1247" s="75"/>
      <c r="W1247" s="77"/>
      <c r="X1247" s="77"/>
      <c r="Y1247" s="77"/>
      <c r="Z1247" s="77" t="s">
        <v>974</v>
      </c>
      <c r="AA1247" s="83" t="s">
        <v>970</v>
      </c>
      <c r="AB1247" s="104" t="str">
        <f>IFERROR(VLOOKUP(Anexo_4[[#This Row],[cuenta]],OP,2,0),"-")</f>
        <v>-</v>
      </c>
    </row>
    <row r="1248" spans="1:28" s="84" customFormat="1" ht="27" customHeight="1" x14ac:dyDescent="0.3">
      <c r="A1248" s="75" t="s">
        <v>3532</v>
      </c>
      <c r="B1248" s="36" t="str">
        <f t="shared" si="19"/>
        <v>Agosto</v>
      </c>
      <c r="C1248" s="77" t="s">
        <v>162</v>
      </c>
      <c r="D1248" s="77" t="s">
        <v>4041</v>
      </c>
      <c r="E1248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248" s="79" t="s">
        <v>164</v>
      </c>
      <c r="G1248" s="79" t="s">
        <v>165</v>
      </c>
      <c r="H1248" s="140" t="s">
        <v>166</v>
      </c>
      <c r="I1248" s="77" t="s">
        <v>167</v>
      </c>
      <c r="J1248" s="144" t="s">
        <v>168</v>
      </c>
      <c r="K1248" s="77" t="s">
        <v>169</v>
      </c>
      <c r="L1248" s="103" t="str">
        <f>VLOOKUP(Anexo_4[[#This Row],[cod_doc]],TIPODOC,2,FALSE)</f>
        <v>FACTURA</v>
      </c>
      <c r="M1248" s="77" t="s">
        <v>4042</v>
      </c>
      <c r="N1248" s="79">
        <v>15607</v>
      </c>
      <c r="O1248" s="80">
        <v>166.54</v>
      </c>
      <c r="P1248" s="81"/>
      <c r="Q1248" s="81">
        <v>29.977199999999996</v>
      </c>
      <c r="R1248" s="80"/>
      <c r="S1248" s="80">
        <v>0</v>
      </c>
      <c r="T1248" s="82">
        <v>196.52</v>
      </c>
      <c r="U1248" s="77"/>
      <c r="V1248" s="75"/>
      <c r="W1248" s="77"/>
      <c r="X1248" s="77"/>
      <c r="Y1248" s="77"/>
      <c r="Z1248" s="77" t="s">
        <v>172</v>
      </c>
      <c r="AA1248" s="83" t="s">
        <v>166</v>
      </c>
      <c r="AB1248" s="104" t="str">
        <f>IFERROR(VLOOKUP(Anexo_4[[#This Row],[cuenta]],OP,2,0),"-")</f>
        <v>-</v>
      </c>
    </row>
    <row r="1249" spans="1:28" s="84" customFormat="1" ht="27" customHeight="1" x14ac:dyDescent="0.3">
      <c r="A1249" s="75" t="s">
        <v>3879</v>
      </c>
      <c r="B1249" s="36" t="str">
        <f t="shared" si="19"/>
        <v>Agosto</v>
      </c>
      <c r="C1249" s="77" t="s">
        <v>162</v>
      </c>
      <c r="D1249" s="77" t="s">
        <v>4043</v>
      </c>
      <c r="E1249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249" s="79" t="s">
        <v>355</v>
      </c>
      <c r="G1249" s="79" t="s">
        <v>356</v>
      </c>
      <c r="H1249" s="140" t="s">
        <v>192</v>
      </c>
      <c r="I1249" s="77" t="s">
        <v>638</v>
      </c>
      <c r="J1249" s="144" t="s">
        <v>639</v>
      </c>
      <c r="K1249" s="77" t="s">
        <v>169</v>
      </c>
      <c r="L1249" s="103" t="str">
        <f>VLOOKUP(Anexo_4[[#This Row],[cod_doc]],TIPODOC,2,FALSE)</f>
        <v>FACTURA</v>
      </c>
      <c r="M1249" s="77" t="s">
        <v>995</v>
      </c>
      <c r="N1249" s="79">
        <v>5507</v>
      </c>
      <c r="O1249" s="80">
        <v>16.95</v>
      </c>
      <c r="P1249" s="81"/>
      <c r="Q1249" s="81">
        <v>3.0509999999999997</v>
      </c>
      <c r="R1249" s="80"/>
      <c r="S1249" s="80">
        <v>0</v>
      </c>
      <c r="T1249" s="82">
        <v>20</v>
      </c>
      <c r="U1249" s="77"/>
      <c r="V1249" s="75"/>
      <c r="W1249" s="77"/>
      <c r="X1249" s="77"/>
      <c r="Y1249" s="77"/>
      <c r="Z1249" s="77" t="s">
        <v>196</v>
      </c>
      <c r="AA1249" s="83" t="s">
        <v>192</v>
      </c>
      <c r="AB1249" s="104" t="str">
        <f>IFERROR(VLOOKUP(Anexo_4[[#This Row],[cuenta]],OP,2,0),"-")</f>
        <v>Encomienda (Envío de documentación)</v>
      </c>
    </row>
    <row r="1250" spans="1:28" s="84" customFormat="1" ht="27" customHeight="1" x14ac:dyDescent="0.3">
      <c r="A1250" s="75" t="s">
        <v>2552</v>
      </c>
      <c r="B1250" s="36" t="str">
        <f t="shared" si="19"/>
        <v>Agosto</v>
      </c>
      <c r="C1250" s="77" t="s">
        <v>162</v>
      </c>
      <c r="D1250" s="77" t="s">
        <v>4044</v>
      </c>
      <c r="E1250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250" s="79"/>
      <c r="G1250" s="79"/>
      <c r="H1250" s="140"/>
      <c r="I1250" s="77" t="s">
        <v>1031</v>
      </c>
      <c r="J1250" s="144" t="s">
        <v>1032</v>
      </c>
      <c r="K1250" s="77" t="s">
        <v>169</v>
      </c>
      <c r="L1250" s="103" t="str">
        <f>VLOOKUP(Anexo_4[[#This Row],[cod_doc]],TIPODOC,2,FALSE)</f>
        <v>FACTURA</v>
      </c>
      <c r="M1250" s="77" t="s">
        <v>222</v>
      </c>
      <c r="N1250" s="79" t="s">
        <v>4045</v>
      </c>
      <c r="O1250" s="80">
        <v>975</v>
      </c>
      <c r="P1250" s="81"/>
      <c r="Q1250" s="81">
        <v>175.5</v>
      </c>
      <c r="R1250" s="80"/>
      <c r="S1250" s="80">
        <v>0</v>
      </c>
      <c r="T1250" s="82">
        <v>1150.5</v>
      </c>
      <c r="U1250" s="77"/>
      <c r="V1250" s="75"/>
      <c r="W1250" s="77"/>
      <c r="X1250" s="77"/>
      <c r="Y1250" s="77"/>
      <c r="Z1250" s="77"/>
      <c r="AA1250" s="83"/>
      <c r="AB1250" s="104" t="str">
        <f>IFERROR(VLOOKUP(Anexo_4[[#This Row],[cuenta]],OP,2,0),"-")</f>
        <v>-</v>
      </c>
    </row>
    <row r="1251" spans="1:28" s="84" customFormat="1" ht="27" customHeight="1" x14ac:dyDescent="0.3">
      <c r="A1251" s="75" t="s">
        <v>3940</v>
      </c>
      <c r="B1251" s="36" t="str">
        <f t="shared" si="19"/>
        <v>Agosto</v>
      </c>
      <c r="C1251" s="77" t="s">
        <v>162</v>
      </c>
      <c r="D1251" s="77" t="s">
        <v>4046</v>
      </c>
      <c r="E125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251" s="79" t="s">
        <v>391</v>
      </c>
      <c r="G1251" s="79" t="s">
        <v>392</v>
      </c>
      <c r="H1251" s="140" t="s">
        <v>765</v>
      </c>
      <c r="I1251" s="77" t="s">
        <v>452</v>
      </c>
      <c r="J1251" s="144" t="s">
        <v>453</v>
      </c>
      <c r="K1251" s="77" t="s">
        <v>169</v>
      </c>
      <c r="L1251" s="103" t="str">
        <f>VLOOKUP(Anexo_4[[#This Row],[cod_doc]],TIPODOC,2,FALSE)</f>
        <v>FACTURA</v>
      </c>
      <c r="M1251" s="77" t="s">
        <v>1056</v>
      </c>
      <c r="N1251" s="79">
        <v>178193</v>
      </c>
      <c r="O1251" s="80">
        <v>380.09</v>
      </c>
      <c r="P1251" s="81"/>
      <c r="Q1251" s="81">
        <v>68.416199999999989</v>
      </c>
      <c r="R1251" s="80"/>
      <c r="S1251" s="80">
        <v>0</v>
      </c>
      <c r="T1251" s="82">
        <v>1231.77</v>
      </c>
      <c r="U1251" s="77"/>
      <c r="V1251" s="75"/>
      <c r="W1251" s="77"/>
      <c r="X1251" s="77"/>
      <c r="Y1251" s="77"/>
      <c r="Z1251" s="77" t="s">
        <v>455</v>
      </c>
      <c r="AA1251" s="83" t="s">
        <v>765</v>
      </c>
      <c r="AB1251" s="104" t="str">
        <f>IFERROR(VLOOKUP(Anexo_4[[#This Row],[cuenta]],OP,2,0),"-")</f>
        <v>Combustible (Vehiculos)</v>
      </c>
    </row>
    <row r="1252" spans="1:28" s="84" customFormat="1" ht="27" customHeight="1" x14ac:dyDescent="0.3">
      <c r="A1252" s="75" t="s">
        <v>3940</v>
      </c>
      <c r="B1252" s="36" t="str">
        <f t="shared" si="19"/>
        <v>Agosto</v>
      </c>
      <c r="C1252" s="77" t="s">
        <v>162</v>
      </c>
      <c r="D1252" s="77" t="s">
        <v>4046</v>
      </c>
      <c r="E125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252" s="79" t="s">
        <v>217</v>
      </c>
      <c r="G1252" s="79" t="s">
        <v>218</v>
      </c>
      <c r="H1252" s="140" t="s">
        <v>765</v>
      </c>
      <c r="I1252" s="77" t="s">
        <v>452</v>
      </c>
      <c r="J1252" s="144" t="s">
        <v>453</v>
      </c>
      <c r="K1252" s="77" t="s">
        <v>169</v>
      </c>
      <c r="L1252" s="103" t="str">
        <f>VLOOKUP(Anexo_4[[#This Row],[cod_doc]],TIPODOC,2,FALSE)</f>
        <v>FACTURA</v>
      </c>
      <c r="M1252" s="77" t="s">
        <v>1056</v>
      </c>
      <c r="N1252" s="79">
        <v>178193</v>
      </c>
      <c r="O1252" s="80">
        <v>663.78</v>
      </c>
      <c r="P1252" s="81"/>
      <c r="Q1252" s="81">
        <v>119.48039999999999</v>
      </c>
      <c r="R1252" s="80"/>
      <c r="S1252" s="80">
        <v>0</v>
      </c>
      <c r="T1252" s="82">
        <v>1231.77</v>
      </c>
      <c r="U1252" s="77"/>
      <c r="V1252" s="75"/>
      <c r="W1252" s="77"/>
      <c r="X1252" s="77"/>
      <c r="Y1252" s="77"/>
      <c r="Z1252" s="77" t="s">
        <v>455</v>
      </c>
      <c r="AA1252" s="83" t="s">
        <v>765</v>
      </c>
      <c r="AB1252" s="104" t="str">
        <f>IFERROR(VLOOKUP(Anexo_4[[#This Row],[cuenta]],OP,2,0),"-")</f>
        <v>Combustible (Vehiculos)</v>
      </c>
    </row>
    <row r="1253" spans="1:28" s="84" customFormat="1" ht="27" customHeight="1" x14ac:dyDescent="0.3">
      <c r="A1253" s="75" t="s">
        <v>3624</v>
      </c>
      <c r="B1253" s="36" t="str">
        <f t="shared" si="19"/>
        <v>Agosto</v>
      </c>
      <c r="C1253" s="77" t="s">
        <v>162</v>
      </c>
      <c r="D1253" s="77" t="s">
        <v>4047</v>
      </c>
      <c r="E1253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253" s="79" t="s">
        <v>175</v>
      </c>
      <c r="G1253" s="79" t="s">
        <v>176</v>
      </c>
      <c r="H1253" s="140" t="s">
        <v>765</v>
      </c>
      <c r="I1253" s="77" t="s">
        <v>452</v>
      </c>
      <c r="J1253" s="144" t="s">
        <v>453</v>
      </c>
      <c r="K1253" s="77" t="s">
        <v>169</v>
      </c>
      <c r="L1253" s="103" t="str">
        <f>VLOOKUP(Anexo_4[[#This Row],[cod_doc]],TIPODOC,2,FALSE)</f>
        <v>FACTURA</v>
      </c>
      <c r="M1253" s="77" t="s">
        <v>1056</v>
      </c>
      <c r="N1253" s="79">
        <v>177266</v>
      </c>
      <c r="O1253" s="80">
        <v>918.99</v>
      </c>
      <c r="P1253" s="81"/>
      <c r="Q1253" s="81">
        <v>165.41819999999998</v>
      </c>
      <c r="R1253" s="80"/>
      <c r="S1253" s="80">
        <v>0</v>
      </c>
      <c r="T1253" s="82">
        <v>1855.04</v>
      </c>
      <c r="U1253" s="77"/>
      <c r="V1253" s="75"/>
      <c r="W1253" s="77"/>
      <c r="X1253" s="77"/>
      <c r="Y1253" s="77"/>
      <c r="Z1253" s="77" t="s">
        <v>455</v>
      </c>
      <c r="AA1253" s="83" t="s">
        <v>765</v>
      </c>
      <c r="AB1253" s="104" t="str">
        <f>IFERROR(VLOOKUP(Anexo_4[[#This Row],[cuenta]],OP,2,0),"-")</f>
        <v>Combustible (Vehiculos)</v>
      </c>
    </row>
    <row r="1254" spans="1:28" s="84" customFormat="1" ht="27" customHeight="1" x14ac:dyDescent="0.3">
      <c r="A1254" s="75" t="s">
        <v>3624</v>
      </c>
      <c r="B1254" s="36" t="str">
        <f t="shared" si="19"/>
        <v>Agosto</v>
      </c>
      <c r="C1254" s="77" t="s">
        <v>162</v>
      </c>
      <c r="D1254" s="77" t="s">
        <v>4047</v>
      </c>
      <c r="E1254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254" s="79" t="s">
        <v>391</v>
      </c>
      <c r="G1254" s="79" t="s">
        <v>392</v>
      </c>
      <c r="H1254" s="140" t="s">
        <v>765</v>
      </c>
      <c r="I1254" s="77" t="s">
        <v>452</v>
      </c>
      <c r="J1254" s="144" t="s">
        <v>453</v>
      </c>
      <c r="K1254" s="77" t="s">
        <v>169</v>
      </c>
      <c r="L1254" s="103" t="str">
        <f>VLOOKUP(Anexo_4[[#This Row],[cod_doc]],TIPODOC,2,FALSE)</f>
        <v>FACTURA</v>
      </c>
      <c r="M1254" s="77" t="s">
        <v>1056</v>
      </c>
      <c r="N1254" s="79">
        <v>177266</v>
      </c>
      <c r="O1254" s="80">
        <v>653.08000000000004</v>
      </c>
      <c r="P1254" s="81"/>
      <c r="Q1254" s="81">
        <v>117.5544</v>
      </c>
      <c r="R1254" s="80"/>
      <c r="S1254" s="80">
        <v>0</v>
      </c>
      <c r="T1254" s="82">
        <v>1855.04</v>
      </c>
      <c r="U1254" s="77"/>
      <c r="V1254" s="75"/>
      <c r="W1254" s="77"/>
      <c r="X1254" s="77"/>
      <c r="Y1254" s="77"/>
      <c r="Z1254" s="77" t="s">
        <v>455</v>
      </c>
      <c r="AA1254" s="83" t="s">
        <v>765</v>
      </c>
      <c r="AB1254" s="104" t="str">
        <f>IFERROR(VLOOKUP(Anexo_4[[#This Row],[cuenta]],OP,2,0),"-")</f>
        <v>Combustible (Vehiculos)</v>
      </c>
    </row>
    <row r="1255" spans="1:28" s="84" customFormat="1" ht="27" customHeight="1" x14ac:dyDescent="0.3">
      <c r="A1255" s="75" t="s">
        <v>3624</v>
      </c>
      <c r="B1255" s="36" t="str">
        <f t="shared" si="19"/>
        <v>Agosto</v>
      </c>
      <c r="C1255" s="77" t="s">
        <v>162</v>
      </c>
      <c r="D1255" s="77" t="s">
        <v>4048</v>
      </c>
      <c r="E125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255" s="79" t="s">
        <v>449</v>
      </c>
      <c r="G1255" s="79" t="s">
        <v>450</v>
      </c>
      <c r="H1255" s="140" t="s">
        <v>765</v>
      </c>
      <c r="I1255" s="77" t="s">
        <v>452</v>
      </c>
      <c r="J1255" s="144" t="s">
        <v>453</v>
      </c>
      <c r="K1255" s="77" t="s">
        <v>169</v>
      </c>
      <c r="L1255" s="103" t="str">
        <f>VLOOKUP(Anexo_4[[#This Row],[cod_doc]],TIPODOC,2,FALSE)</f>
        <v>FACTURA</v>
      </c>
      <c r="M1255" s="77" t="s">
        <v>1056</v>
      </c>
      <c r="N1255" s="79">
        <v>177226</v>
      </c>
      <c r="O1255" s="80">
        <v>452.91</v>
      </c>
      <c r="P1255" s="81"/>
      <c r="Q1255" s="81">
        <v>81.523800000000008</v>
      </c>
      <c r="R1255" s="80"/>
      <c r="S1255" s="80">
        <v>0</v>
      </c>
      <c r="T1255" s="82">
        <v>1134.47</v>
      </c>
      <c r="U1255" s="77"/>
      <c r="V1255" s="75"/>
      <c r="W1255" s="77"/>
      <c r="X1255" s="77"/>
      <c r="Y1255" s="77"/>
      <c r="Z1255" s="77" t="s">
        <v>455</v>
      </c>
      <c r="AA1255" s="83" t="s">
        <v>765</v>
      </c>
      <c r="AB1255" s="104" t="str">
        <f>IFERROR(VLOOKUP(Anexo_4[[#This Row],[cuenta]],OP,2,0),"-")</f>
        <v>Combustible (Vehiculos)</v>
      </c>
    </row>
    <row r="1256" spans="1:28" s="84" customFormat="1" ht="27" customHeight="1" x14ac:dyDescent="0.3">
      <c r="A1256" s="75" t="s">
        <v>3624</v>
      </c>
      <c r="B1256" s="36" t="str">
        <f t="shared" si="19"/>
        <v>Agosto</v>
      </c>
      <c r="C1256" s="77" t="s">
        <v>162</v>
      </c>
      <c r="D1256" s="77" t="s">
        <v>4048</v>
      </c>
      <c r="E125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256" s="79" t="s">
        <v>456</v>
      </c>
      <c r="G1256" s="79" t="s">
        <v>457</v>
      </c>
      <c r="H1256" s="140" t="s">
        <v>765</v>
      </c>
      <c r="I1256" s="77" t="s">
        <v>452</v>
      </c>
      <c r="J1256" s="144" t="s">
        <v>453</v>
      </c>
      <c r="K1256" s="77" t="s">
        <v>169</v>
      </c>
      <c r="L1256" s="103" t="str">
        <f>VLOOKUP(Anexo_4[[#This Row],[cod_doc]],TIPODOC,2,FALSE)</f>
        <v>FACTURA</v>
      </c>
      <c r="M1256" s="77" t="s">
        <v>1056</v>
      </c>
      <c r="N1256" s="79">
        <v>177226</v>
      </c>
      <c r="O1256" s="80">
        <v>144.94999999999999</v>
      </c>
      <c r="P1256" s="81"/>
      <c r="Q1256" s="81">
        <v>26.090999999999998</v>
      </c>
      <c r="R1256" s="80"/>
      <c r="S1256" s="80">
        <v>0</v>
      </c>
      <c r="T1256" s="82">
        <v>1134.47</v>
      </c>
      <c r="U1256" s="77"/>
      <c r="V1256" s="75"/>
      <c r="W1256" s="77"/>
      <c r="X1256" s="77"/>
      <c r="Y1256" s="77"/>
      <c r="Z1256" s="77" t="s">
        <v>455</v>
      </c>
      <c r="AA1256" s="83" t="s">
        <v>765</v>
      </c>
      <c r="AB1256" s="104" t="str">
        <f>IFERROR(VLOOKUP(Anexo_4[[#This Row],[cuenta]],OP,2,0),"-")</f>
        <v>Combustible (Vehiculos)</v>
      </c>
    </row>
    <row r="1257" spans="1:28" s="84" customFormat="1" ht="27" customHeight="1" x14ac:dyDescent="0.3">
      <c r="A1257" s="75" t="s">
        <v>3624</v>
      </c>
      <c r="B1257" s="36" t="str">
        <f t="shared" si="19"/>
        <v>Agosto</v>
      </c>
      <c r="C1257" s="77" t="s">
        <v>162</v>
      </c>
      <c r="D1257" s="77" t="s">
        <v>4048</v>
      </c>
      <c r="E1257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257" s="79" t="s">
        <v>235</v>
      </c>
      <c r="G1257" s="79" t="s">
        <v>236</v>
      </c>
      <c r="H1257" s="140" t="s">
        <v>765</v>
      </c>
      <c r="I1257" s="77" t="s">
        <v>452</v>
      </c>
      <c r="J1257" s="144" t="s">
        <v>453</v>
      </c>
      <c r="K1257" s="77" t="s">
        <v>169</v>
      </c>
      <c r="L1257" s="103" t="str">
        <f>VLOOKUP(Anexo_4[[#This Row],[cod_doc]],TIPODOC,2,FALSE)</f>
        <v>FACTURA</v>
      </c>
      <c r="M1257" s="77" t="s">
        <v>1056</v>
      </c>
      <c r="N1257" s="79">
        <v>177226</v>
      </c>
      <c r="O1257" s="80">
        <v>363.56</v>
      </c>
      <c r="P1257" s="81"/>
      <c r="Q1257" s="81">
        <v>65.440799999999996</v>
      </c>
      <c r="R1257" s="80"/>
      <c r="S1257" s="80">
        <v>0</v>
      </c>
      <c r="T1257" s="82">
        <v>1134.47</v>
      </c>
      <c r="U1257" s="77"/>
      <c r="V1257" s="75"/>
      <c r="W1257" s="77"/>
      <c r="X1257" s="77"/>
      <c r="Y1257" s="77"/>
      <c r="Z1257" s="77" t="s">
        <v>455</v>
      </c>
      <c r="AA1257" s="83" t="s">
        <v>765</v>
      </c>
      <c r="AB1257" s="104" t="str">
        <f>IFERROR(VLOOKUP(Anexo_4[[#This Row],[cuenta]],OP,2,0),"-")</f>
        <v>Combustible (Vehiculos)</v>
      </c>
    </row>
    <row r="1258" spans="1:28" s="84" customFormat="1" ht="27" customHeight="1" x14ac:dyDescent="0.3">
      <c r="A1258" s="75" t="s">
        <v>3940</v>
      </c>
      <c r="B1258" s="36" t="str">
        <f t="shared" si="19"/>
        <v>Agosto</v>
      </c>
      <c r="C1258" s="77" t="s">
        <v>162</v>
      </c>
      <c r="D1258" s="77" t="s">
        <v>4049</v>
      </c>
      <c r="E1258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258" s="79" t="s">
        <v>449</v>
      </c>
      <c r="G1258" s="79" t="s">
        <v>450</v>
      </c>
      <c r="H1258" s="140" t="s">
        <v>765</v>
      </c>
      <c r="I1258" s="77" t="s">
        <v>452</v>
      </c>
      <c r="J1258" s="144" t="s">
        <v>453</v>
      </c>
      <c r="K1258" s="77" t="s">
        <v>169</v>
      </c>
      <c r="L1258" s="103" t="str">
        <f>VLOOKUP(Anexo_4[[#This Row],[cod_doc]],TIPODOC,2,FALSE)</f>
        <v>FACTURA</v>
      </c>
      <c r="M1258" s="77" t="s">
        <v>461</v>
      </c>
      <c r="N1258" s="79">
        <v>153202</v>
      </c>
      <c r="O1258" s="80">
        <v>406.22</v>
      </c>
      <c r="P1258" s="81"/>
      <c r="Q1258" s="81">
        <v>73.119600000000005</v>
      </c>
      <c r="R1258" s="80"/>
      <c r="S1258" s="80">
        <v>0</v>
      </c>
      <c r="T1258" s="82">
        <v>1039.3800000000001</v>
      </c>
      <c r="U1258" s="77"/>
      <c r="V1258" s="75"/>
      <c r="W1258" s="77"/>
      <c r="X1258" s="77"/>
      <c r="Y1258" s="77"/>
      <c r="Z1258" s="77" t="s">
        <v>455</v>
      </c>
      <c r="AA1258" s="83" t="s">
        <v>765</v>
      </c>
      <c r="AB1258" s="104" t="str">
        <f>IFERROR(VLOOKUP(Anexo_4[[#This Row],[cuenta]],OP,2,0),"-")</f>
        <v>Combustible (Vehiculos)</v>
      </c>
    </row>
    <row r="1259" spans="1:28" s="84" customFormat="1" ht="27" customHeight="1" x14ac:dyDescent="0.3">
      <c r="A1259" s="75" t="s">
        <v>3940</v>
      </c>
      <c r="B1259" s="36" t="str">
        <f t="shared" si="19"/>
        <v>Agosto</v>
      </c>
      <c r="C1259" s="77" t="s">
        <v>162</v>
      </c>
      <c r="D1259" s="77" t="s">
        <v>4049</v>
      </c>
      <c r="E1259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259" s="79" t="s">
        <v>456</v>
      </c>
      <c r="G1259" s="79" t="s">
        <v>457</v>
      </c>
      <c r="H1259" s="140" t="s">
        <v>765</v>
      </c>
      <c r="I1259" s="77" t="s">
        <v>452</v>
      </c>
      <c r="J1259" s="144" t="s">
        <v>453</v>
      </c>
      <c r="K1259" s="77" t="s">
        <v>169</v>
      </c>
      <c r="L1259" s="103" t="str">
        <f>VLOOKUP(Anexo_4[[#This Row],[cod_doc]],TIPODOC,2,FALSE)</f>
        <v>FACTURA</v>
      </c>
      <c r="M1259" s="77" t="s">
        <v>461</v>
      </c>
      <c r="N1259" s="79">
        <v>153202</v>
      </c>
      <c r="O1259" s="80">
        <v>217.62</v>
      </c>
      <c r="P1259" s="81"/>
      <c r="Q1259" s="81">
        <v>39.171599999999998</v>
      </c>
      <c r="R1259" s="80"/>
      <c r="S1259" s="80">
        <v>0</v>
      </c>
      <c r="T1259" s="82">
        <v>1039.3800000000001</v>
      </c>
      <c r="U1259" s="77"/>
      <c r="V1259" s="75"/>
      <c r="W1259" s="77"/>
      <c r="X1259" s="77"/>
      <c r="Y1259" s="77"/>
      <c r="Z1259" s="77" t="s">
        <v>455</v>
      </c>
      <c r="AA1259" s="83" t="s">
        <v>765</v>
      </c>
      <c r="AB1259" s="104" t="str">
        <f>IFERROR(VLOOKUP(Anexo_4[[#This Row],[cuenta]],OP,2,0),"-")</f>
        <v>Combustible (Vehiculos)</v>
      </c>
    </row>
    <row r="1260" spans="1:28" s="84" customFormat="1" ht="27" customHeight="1" x14ac:dyDescent="0.3">
      <c r="A1260" s="75" t="s">
        <v>3940</v>
      </c>
      <c r="B1260" s="36" t="str">
        <f t="shared" si="19"/>
        <v>Agosto</v>
      </c>
      <c r="C1260" s="77" t="s">
        <v>162</v>
      </c>
      <c r="D1260" s="77" t="s">
        <v>4049</v>
      </c>
      <c r="E1260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260" s="79" t="s">
        <v>235</v>
      </c>
      <c r="G1260" s="79" t="s">
        <v>236</v>
      </c>
      <c r="H1260" s="140" t="s">
        <v>765</v>
      </c>
      <c r="I1260" s="77" t="s">
        <v>452</v>
      </c>
      <c r="J1260" s="144" t="s">
        <v>453</v>
      </c>
      <c r="K1260" s="77" t="s">
        <v>169</v>
      </c>
      <c r="L1260" s="103" t="str">
        <f>VLOOKUP(Anexo_4[[#This Row],[cod_doc]],TIPODOC,2,FALSE)</f>
        <v>FACTURA</v>
      </c>
      <c r="M1260" s="77" t="s">
        <v>461</v>
      </c>
      <c r="N1260" s="79">
        <v>153202</v>
      </c>
      <c r="O1260" s="80">
        <v>256.99</v>
      </c>
      <c r="P1260" s="81"/>
      <c r="Q1260" s="81">
        <v>46.258200000000002</v>
      </c>
      <c r="R1260" s="80"/>
      <c r="S1260" s="80">
        <v>0</v>
      </c>
      <c r="T1260" s="82">
        <v>1039.3800000000001</v>
      </c>
      <c r="U1260" s="77"/>
      <c r="V1260" s="75"/>
      <c r="W1260" s="77"/>
      <c r="X1260" s="77"/>
      <c r="Y1260" s="77"/>
      <c r="Z1260" s="77" t="s">
        <v>455</v>
      </c>
      <c r="AA1260" s="83" t="s">
        <v>765</v>
      </c>
      <c r="AB1260" s="104" t="str">
        <f>IFERROR(VLOOKUP(Anexo_4[[#This Row],[cuenta]],OP,2,0),"-")</f>
        <v>Combustible (Vehiculos)</v>
      </c>
    </row>
    <row r="1261" spans="1:28" s="84" customFormat="1" ht="27" customHeight="1" x14ac:dyDescent="0.3">
      <c r="A1261" s="75" t="s">
        <v>3746</v>
      </c>
      <c r="B1261" s="36" t="str">
        <f t="shared" si="19"/>
        <v>Agosto</v>
      </c>
      <c r="C1261" s="77" t="s">
        <v>162</v>
      </c>
      <c r="D1261" s="77" t="s">
        <v>4050</v>
      </c>
      <c r="E126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261" s="79" t="s">
        <v>592</v>
      </c>
      <c r="G1261" s="79" t="s">
        <v>593</v>
      </c>
      <c r="H1261" s="140" t="s">
        <v>4051</v>
      </c>
      <c r="I1261" s="77" t="s">
        <v>2598</v>
      </c>
      <c r="J1261" s="144" t="s">
        <v>2599</v>
      </c>
      <c r="K1261" s="77" t="s">
        <v>169</v>
      </c>
      <c r="L1261" s="103" t="str">
        <f>VLOOKUP(Anexo_4[[#This Row],[cod_doc]],TIPODOC,2,FALSE)</f>
        <v>FACTURA</v>
      </c>
      <c r="M1261" s="77" t="s">
        <v>102</v>
      </c>
      <c r="N1261" s="79">
        <v>5270</v>
      </c>
      <c r="O1261" s="80">
        <v>50</v>
      </c>
      <c r="P1261" s="81"/>
      <c r="Q1261" s="81">
        <v>9</v>
      </c>
      <c r="R1261" s="80"/>
      <c r="S1261" s="80">
        <v>0</v>
      </c>
      <c r="T1261" s="82">
        <v>59</v>
      </c>
      <c r="U1261" s="77"/>
      <c r="V1261" s="75"/>
      <c r="W1261" s="77"/>
      <c r="X1261" s="77"/>
      <c r="Y1261" s="77"/>
      <c r="Z1261" s="77" t="s">
        <v>648</v>
      </c>
      <c r="AA1261" s="83" t="s">
        <v>4051</v>
      </c>
      <c r="AB1261" s="104" t="str">
        <f>IFERROR(VLOOKUP(Anexo_4[[#This Row],[cuenta]],OP,2,0),"-")</f>
        <v>Montacarga - Ventas</v>
      </c>
    </row>
    <row r="1262" spans="1:28" s="84" customFormat="1" ht="27" customHeight="1" x14ac:dyDescent="0.3">
      <c r="A1262" s="75" t="s">
        <v>3794</v>
      </c>
      <c r="B1262" s="36" t="str">
        <f t="shared" si="19"/>
        <v>Agosto</v>
      </c>
      <c r="C1262" s="77" t="s">
        <v>162</v>
      </c>
      <c r="D1262" s="77" t="s">
        <v>4052</v>
      </c>
      <c r="E126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262" s="79" t="s">
        <v>355</v>
      </c>
      <c r="G1262" s="79" t="s">
        <v>356</v>
      </c>
      <c r="H1262" s="140" t="s">
        <v>4053</v>
      </c>
      <c r="I1262" s="77" t="s">
        <v>769</v>
      </c>
      <c r="J1262" s="144" t="s">
        <v>770</v>
      </c>
      <c r="K1262" s="77" t="s">
        <v>169</v>
      </c>
      <c r="L1262" s="103" t="str">
        <f>VLOOKUP(Anexo_4[[#This Row],[cod_doc]],TIPODOC,2,FALSE)</f>
        <v>FACTURA</v>
      </c>
      <c r="M1262" s="77" t="s">
        <v>102</v>
      </c>
      <c r="N1262" s="79">
        <v>59</v>
      </c>
      <c r="O1262" s="80">
        <v>450</v>
      </c>
      <c r="P1262" s="81"/>
      <c r="Q1262" s="81">
        <v>81</v>
      </c>
      <c r="R1262" s="80"/>
      <c r="S1262" s="80">
        <v>0</v>
      </c>
      <c r="T1262" s="82">
        <v>531</v>
      </c>
      <c r="U1262" s="77"/>
      <c r="V1262" s="75"/>
      <c r="W1262" s="77"/>
      <c r="X1262" s="77"/>
      <c r="Y1262" s="77"/>
      <c r="Z1262" s="77" t="s">
        <v>468</v>
      </c>
      <c r="AA1262" s="83" t="s">
        <v>4053</v>
      </c>
      <c r="AB1262" s="104" t="str">
        <f>IFERROR(VLOOKUP(Anexo_4[[#This Row],[cuenta]],OP,2,0),"-")</f>
        <v>Transporte de Carga  - Ventas</v>
      </c>
    </row>
    <row r="1263" spans="1:28" s="84" customFormat="1" ht="27" customHeight="1" x14ac:dyDescent="0.3">
      <c r="A1263" s="75" t="s">
        <v>3670</v>
      </c>
      <c r="B1263" s="36" t="str">
        <f t="shared" si="19"/>
        <v>Agosto</v>
      </c>
      <c r="C1263" s="77" t="s">
        <v>162</v>
      </c>
      <c r="D1263" s="77" t="s">
        <v>4054</v>
      </c>
      <c r="E1263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263" s="79" t="s">
        <v>592</v>
      </c>
      <c r="G1263" s="79" t="s">
        <v>593</v>
      </c>
      <c r="H1263" s="140" t="s">
        <v>4055</v>
      </c>
      <c r="I1263" s="77" t="s">
        <v>1074</v>
      </c>
      <c r="J1263" s="144" t="s">
        <v>1075</v>
      </c>
      <c r="K1263" s="77" t="s">
        <v>169</v>
      </c>
      <c r="L1263" s="103" t="str">
        <f>VLOOKUP(Anexo_4[[#This Row],[cod_doc]],TIPODOC,2,FALSE)</f>
        <v>FACTURA</v>
      </c>
      <c r="M1263" s="77" t="s">
        <v>102</v>
      </c>
      <c r="N1263" s="79">
        <v>2460</v>
      </c>
      <c r="O1263" s="80">
        <v>90</v>
      </c>
      <c r="P1263" s="81"/>
      <c r="Q1263" s="81">
        <v>16.2</v>
      </c>
      <c r="R1263" s="80"/>
      <c r="S1263" s="80">
        <v>0</v>
      </c>
      <c r="T1263" s="82">
        <v>106.2</v>
      </c>
      <c r="U1263" s="77"/>
      <c r="V1263" s="75"/>
      <c r="W1263" s="77"/>
      <c r="X1263" s="77"/>
      <c r="Y1263" s="77"/>
      <c r="Z1263" s="77" t="s">
        <v>645</v>
      </c>
      <c r="AA1263" s="83" t="s">
        <v>4055</v>
      </c>
      <c r="AB1263" s="104" t="str">
        <f>IFERROR(VLOOKUP(Anexo_4[[#This Row],[cuenta]],OP,2,0),"-")</f>
        <v>Montacarga - Servicios</v>
      </c>
    </row>
    <row r="1264" spans="1:28" s="84" customFormat="1" ht="27" customHeight="1" x14ac:dyDescent="0.3">
      <c r="A1264" s="75" t="s">
        <v>3670</v>
      </c>
      <c r="B1264" s="36" t="str">
        <f t="shared" si="19"/>
        <v>Agosto</v>
      </c>
      <c r="C1264" s="77" t="s">
        <v>162</v>
      </c>
      <c r="D1264" s="77" t="s">
        <v>4056</v>
      </c>
      <c r="E1264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264" s="79" t="s">
        <v>592</v>
      </c>
      <c r="G1264" s="79" t="s">
        <v>593</v>
      </c>
      <c r="H1264" s="140" t="s">
        <v>4057</v>
      </c>
      <c r="I1264" s="77" t="s">
        <v>1074</v>
      </c>
      <c r="J1264" s="144" t="s">
        <v>1075</v>
      </c>
      <c r="K1264" s="77" t="s">
        <v>169</v>
      </c>
      <c r="L1264" s="103" t="str">
        <f>VLOOKUP(Anexo_4[[#This Row],[cod_doc]],TIPODOC,2,FALSE)</f>
        <v>FACTURA</v>
      </c>
      <c r="M1264" s="77" t="s">
        <v>102</v>
      </c>
      <c r="N1264" s="79">
        <v>2468</v>
      </c>
      <c r="O1264" s="80">
        <v>80</v>
      </c>
      <c r="P1264" s="81"/>
      <c r="Q1264" s="81">
        <v>14.399999999999999</v>
      </c>
      <c r="R1264" s="80"/>
      <c r="S1264" s="80">
        <v>0</v>
      </c>
      <c r="T1264" s="82">
        <v>94.4</v>
      </c>
      <c r="U1264" s="77"/>
      <c r="V1264" s="75"/>
      <c r="W1264" s="77"/>
      <c r="X1264" s="77"/>
      <c r="Y1264" s="77"/>
      <c r="Z1264" s="77" t="s">
        <v>645</v>
      </c>
      <c r="AA1264" s="83" t="s">
        <v>4057</v>
      </c>
      <c r="AB1264" s="104" t="str">
        <f>IFERROR(VLOOKUP(Anexo_4[[#This Row],[cuenta]],OP,2,0),"-")</f>
        <v>Montacarga - Servicios</v>
      </c>
    </row>
    <row r="1265" spans="1:28" s="84" customFormat="1" ht="27" customHeight="1" x14ac:dyDescent="0.3">
      <c r="A1265" s="75" t="s">
        <v>3670</v>
      </c>
      <c r="B1265" s="36" t="str">
        <f t="shared" si="19"/>
        <v>Agosto</v>
      </c>
      <c r="C1265" s="77" t="s">
        <v>162</v>
      </c>
      <c r="D1265" s="77" t="s">
        <v>4058</v>
      </c>
      <c r="E126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265" s="79" t="s">
        <v>592</v>
      </c>
      <c r="G1265" s="79" t="s">
        <v>593</v>
      </c>
      <c r="H1265" s="140" t="s">
        <v>4059</v>
      </c>
      <c r="I1265" s="77" t="s">
        <v>1074</v>
      </c>
      <c r="J1265" s="144" t="s">
        <v>1075</v>
      </c>
      <c r="K1265" s="77" t="s">
        <v>169</v>
      </c>
      <c r="L1265" s="103" t="str">
        <f>VLOOKUP(Anexo_4[[#This Row],[cod_doc]],TIPODOC,2,FALSE)</f>
        <v>FACTURA</v>
      </c>
      <c r="M1265" s="77" t="s">
        <v>102</v>
      </c>
      <c r="N1265" s="79">
        <v>2462</v>
      </c>
      <c r="O1265" s="80">
        <v>60</v>
      </c>
      <c r="P1265" s="81"/>
      <c r="Q1265" s="81">
        <v>10.799999999999999</v>
      </c>
      <c r="R1265" s="80"/>
      <c r="S1265" s="80">
        <v>0</v>
      </c>
      <c r="T1265" s="82">
        <v>70.8</v>
      </c>
      <c r="U1265" s="77"/>
      <c r="V1265" s="75"/>
      <c r="W1265" s="77"/>
      <c r="X1265" s="77"/>
      <c r="Y1265" s="77"/>
      <c r="Z1265" s="77" t="s">
        <v>645</v>
      </c>
      <c r="AA1265" s="83" t="s">
        <v>4059</v>
      </c>
      <c r="AB1265" s="104" t="str">
        <f>IFERROR(VLOOKUP(Anexo_4[[#This Row],[cuenta]],OP,2,0),"-")</f>
        <v>Montacarga - Servicios</v>
      </c>
    </row>
    <row r="1266" spans="1:28" s="84" customFormat="1" ht="27" customHeight="1" x14ac:dyDescent="0.3">
      <c r="A1266" s="75" t="s">
        <v>3670</v>
      </c>
      <c r="B1266" s="36" t="str">
        <f t="shared" si="19"/>
        <v>Agosto</v>
      </c>
      <c r="C1266" s="77" t="s">
        <v>162</v>
      </c>
      <c r="D1266" s="77" t="s">
        <v>4060</v>
      </c>
      <c r="E126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266" s="79" t="s">
        <v>592</v>
      </c>
      <c r="G1266" s="79" t="s">
        <v>593</v>
      </c>
      <c r="H1266" s="140" t="s">
        <v>4061</v>
      </c>
      <c r="I1266" s="77" t="s">
        <v>1074</v>
      </c>
      <c r="J1266" s="144" t="s">
        <v>1075</v>
      </c>
      <c r="K1266" s="77" t="s">
        <v>169</v>
      </c>
      <c r="L1266" s="103" t="str">
        <f>VLOOKUP(Anexo_4[[#This Row],[cod_doc]],TIPODOC,2,FALSE)</f>
        <v>FACTURA</v>
      </c>
      <c r="M1266" s="77" t="s">
        <v>102</v>
      </c>
      <c r="N1266" s="79">
        <v>2461</v>
      </c>
      <c r="O1266" s="80">
        <v>120</v>
      </c>
      <c r="P1266" s="81"/>
      <c r="Q1266" s="81">
        <v>21.599999999999998</v>
      </c>
      <c r="R1266" s="80"/>
      <c r="S1266" s="80">
        <v>0</v>
      </c>
      <c r="T1266" s="82">
        <v>141.6</v>
      </c>
      <c r="U1266" s="77"/>
      <c r="V1266" s="75"/>
      <c r="W1266" s="77"/>
      <c r="X1266" s="77"/>
      <c r="Y1266" s="77"/>
      <c r="Z1266" s="77" t="s">
        <v>645</v>
      </c>
      <c r="AA1266" s="83" t="s">
        <v>4061</v>
      </c>
      <c r="AB1266" s="104" t="str">
        <f>IFERROR(VLOOKUP(Anexo_4[[#This Row],[cuenta]],OP,2,0),"-")</f>
        <v>Montacarga - Servicios</v>
      </c>
    </row>
    <row r="1267" spans="1:28" s="84" customFormat="1" ht="27" customHeight="1" x14ac:dyDescent="0.3">
      <c r="A1267" s="75" t="s">
        <v>3746</v>
      </c>
      <c r="B1267" s="36" t="str">
        <f t="shared" si="19"/>
        <v>Agosto</v>
      </c>
      <c r="C1267" s="77" t="s">
        <v>162</v>
      </c>
      <c r="D1267" s="77" t="s">
        <v>4062</v>
      </c>
      <c r="E1267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267" s="79" t="s">
        <v>391</v>
      </c>
      <c r="G1267" s="79" t="s">
        <v>392</v>
      </c>
      <c r="H1267" s="140" t="s">
        <v>4063</v>
      </c>
      <c r="I1267" s="77" t="s">
        <v>264</v>
      </c>
      <c r="J1267" s="144" t="s">
        <v>265</v>
      </c>
      <c r="K1267" s="77" t="s">
        <v>169</v>
      </c>
      <c r="L1267" s="103" t="str">
        <f>VLOOKUP(Anexo_4[[#This Row],[cod_doc]],TIPODOC,2,FALSE)</f>
        <v>FACTURA</v>
      </c>
      <c r="M1267" s="77" t="s">
        <v>379</v>
      </c>
      <c r="N1267" s="79">
        <v>2144735</v>
      </c>
      <c r="O1267" s="80">
        <v>6.78</v>
      </c>
      <c r="P1267" s="81"/>
      <c r="Q1267" s="81">
        <v>1.2203999999999999</v>
      </c>
      <c r="R1267" s="80"/>
      <c r="S1267" s="80">
        <v>0</v>
      </c>
      <c r="T1267" s="82">
        <v>8</v>
      </c>
      <c r="U1267" s="77"/>
      <c r="V1267" s="75"/>
      <c r="W1267" s="77"/>
      <c r="X1267" s="77"/>
      <c r="Y1267" s="77" t="s">
        <v>4064</v>
      </c>
      <c r="Z1267" s="77" t="s">
        <v>302</v>
      </c>
      <c r="AA1267" s="83" t="s">
        <v>4063</v>
      </c>
      <c r="AB1267" s="104" t="str">
        <f>IFERROR(VLOOKUP(Anexo_4[[#This Row],[cuenta]],OP,2,0),"-")</f>
        <v>Transporte peajes - Servicios</v>
      </c>
    </row>
    <row r="1268" spans="1:28" s="84" customFormat="1" ht="27" customHeight="1" x14ac:dyDescent="0.3">
      <c r="A1268" s="75" t="s">
        <v>3746</v>
      </c>
      <c r="B1268" s="36" t="str">
        <f t="shared" si="19"/>
        <v>Agosto</v>
      </c>
      <c r="C1268" s="77" t="s">
        <v>162</v>
      </c>
      <c r="D1268" s="77" t="s">
        <v>4065</v>
      </c>
      <c r="E1268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268" s="79" t="s">
        <v>217</v>
      </c>
      <c r="G1268" s="79" t="s">
        <v>218</v>
      </c>
      <c r="H1268" s="140" t="s">
        <v>4066</v>
      </c>
      <c r="I1268" s="77" t="s">
        <v>178</v>
      </c>
      <c r="J1268" s="144" t="s">
        <v>179</v>
      </c>
      <c r="K1268" s="77" t="s">
        <v>169</v>
      </c>
      <c r="L1268" s="103" t="str">
        <f>VLOOKUP(Anexo_4[[#This Row],[cod_doc]],TIPODOC,2,FALSE)</f>
        <v>FACTURA</v>
      </c>
      <c r="M1268" s="77" t="s">
        <v>180</v>
      </c>
      <c r="N1268" s="79">
        <v>135507</v>
      </c>
      <c r="O1268" s="80">
        <v>8.4700000000000006</v>
      </c>
      <c r="P1268" s="81"/>
      <c r="Q1268" s="81">
        <v>1.5246</v>
      </c>
      <c r="R1268" s="80"/>
      <c r="S1268" s="80">
        <v>0</v>
      </c>
      <c r="T1268" s="82">
        <v>10</v>
      </c>
      <c r="U1268" s="77"/>
      <c r="V1268" s="75"/>
      <c r="W1268" s="77"/>
      <c r="X1268" s="77"/>
      <c r="Y1268" s="77" t="s">
        <v>4067</v>
      </c>
      <c r="Z1268" s="77" t="s">
        <v>386</v>
      </c>
      <c r="AA1268" s="83" t="s">
        <v>4066</v>
      </c>
      <c r="AB1268" s="104" t="str">
        <f>IFERROR(VLOOKUP(Anexo_4[[#This Row],[cuenta]],OP,2,0),"-")</f>
        <v>Balanza - Servicios</v>
      </c>
    </row>
    <row r="1269" spans="1:28" s="84" customFormat="1" ht="27" customHeight="1" x14ac:dyDescent="0.3">
      <c r="A1269" s="75" t="s">
        <v>3879</v>
      </c>
      <c r="B1269" s="36" t="str">
        <f t="shared" si="19"/>
        <v>Agosto</v>
      </c>
      <c r="C1269" s="77" t="s">
        <v>162</v>
      </c>
      <c r="D1269" s="77" t="s">
        <v>4068</v>
      </c>
      <c r="E1269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269" s="79" t="s">
        <v>217</v>
      </c>
      <c r="G1269" s="79" t="s">
        <v>218</v>
      </c>
      <c r="H1269" s="140" t="s">
        <v>4069</v>
      </c>
      <c r="I1269" s="77" t="s">
        <v>504</v>
      </c>
      <c r="J1269" s="144" t="s">
        <v>505</v>
      </c>
      <c r="K1269" s="77" t="s">
        <v>169</v>
      </c>
      <c r="L1269" s="103" t="str">
        <f>VLOOKUP(Anexo_4[[#This Row],[cod_doc]],TIPODOC,2,FALSE)</f>
        <v>FACTURA</v>
      </c>
      <c r="M1269" s="77" t="s">
        <v>222</v>
      </c>
      <c r="N1269" s="79">
        <v>19265</v>
      </c>
      <c r="O1269" s="80">
        <v>21.19</v>
      </c>
      <c r="P1269" s="81"/>
      <c r="Q1269" s="81">
        <v>3.8142</v>
      </c>
      <c r="R1269" s="80"/>
      <c r="S1269" s="80">
        <v>0</v>
      </c>
      <c r="T1269" s="82">
        <v>25</v>
      </c>
      <c r="U1269" s="77"/>
      <c r="V1269" s="75"/>
      <c r="W1269" s="77"/>
      <c r="X1269" s="77"/>
      <c r="Y1269" s="77" t="s">
        <v>4070</v>
      </c>
      <c r="Z1269" s="77" t="s">
        <v>507</v>
      </c>
      <c r="AA1269" s="83" t="s">
        <v>4069</v>
      </c>
      <c r="AB1269" s="104" t="str">
        <f>IFERROR(VLOOKUP(Anexo_4[[#This Row],[cuenta]],OP,2,0),"-")</f>
        <v>Transporte lavado (Higienización)</v>
      </c>
    </row>
    <row r="1270" spans="1:28" s="84" customFormat="1" ht="27" customHeight="1" x14ac:dyDescent="0.3">
      <c r="A1270" s="75" t="s">
        <v>3283</v>
      </c>
      <c r="B1270" s="36" t="str">
        <f t="shared" si="19"/>
        <v>Agosto</v>
      </c>
      <c r="C1270" s="77" t="s">
        <v>162</v>
      </c>
      <c r="D1270" s="77" t="s">
        <v>4071</v>
      </c>
      <c r="E1270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270" s="79" t="s">
        <v>235</v>
      </c>
      <c r="G1270" s="79" t="s">
        <v>236</v>
      </c>
      <c r="H1270" s="140" t="s">
        <v>4072</v>
      </c>
      <c r="I1270" s="77" t="s">
        <v>383</v>
      </c>
      <c r="J1270" s="144" t="s">
        <v>384</v>
      </c>
      <c r="K1270" s="77" t="s">
        <v>169</v>
      </c>
      <c r="L1270" s="103" t="str">
        <f>VLOOKUP(Anexo_4[[#This Row],[cod_doc]],TIPODOC,2,FALSE)</f>
        <v>FACTURA</v>
      </c>
      <c r="M1270" s="77" t="s">
        <v>103</v>
      </c>
      <c r="N1270" s="79">
        <v>17416</v>
      </c>
      <c r="O1270" s="80">
        <v>16.95</v>
      </c>
      <c r="P1270" s="81"/>
      <c r="Q1270" s="81">
        <v>3.0509999999999997</v>
      </c>
      <c r="R1270" s="80"/>
      <c r="S1270" s="80">
        <v>0</v>
      </c>
      <c r="T1270" s="82">
        <v>20</v>
      </c>
      <c r="U1270" s="77"/>
      <c r="V1270" s="75"/>
      <c r="W1270" s="77"/>
      <c r="X1270" s="77"/>
      <c r="Y1270" s="77" t="s">
        <v>4073</v>
      </c>
      <c r="Z1270" s="77" t="s">
        <v>386</v>
      </c>
      <c r="AA1270" s="83" t="s">
        <v>4072</v>
      </c>
      <c r="AB1270" s="104" t="str">
        <f>IFERROR(VLOOKUP(Anexo_4[[#This Row],[cuenta]],OP,2,0),"-")</f>
        <v>Balanza - Servicios</v>
      </c>
    </row>
    <row r="1271" spans="1:28" s="84" customFormat="1" ht="27" customHeight="1" x14ac:dyDescent="0.3">
      <c r="A1271" s="75" t="s">
        <v>3283</v>
      </c>
      <c r="B1271" s="36" t="str">
        <f t="shared" si="19"/>
        <v>Agosto</v>
      </c>
      <c r="C1271" s="77" t="s">
        <v>162</v>
      </c>
      <c r="D1271" s="77" t="s">
        <v>4074</v>
      </c>
      <c r="E127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271" s="79" t="s">
        <v>235</v>
      </c>
      <c r="G1271" s="79" t="s">
        <v>236</v>
      </c>
      <c r="H1271" s="140" t="s">
        <v>4075</v>
      </c>
      <c r="I1271" s="77" t="s">
        <v>383</v>
      </c>
      <c r="J1271" s="144" t="s">
        <v>384</v>
      </c>
      <c r="K1271" s="77" t="s">
        <v>169</v>
      </c>
      <c r="L1271" s="103" t="str">
        <f>VLOOKUP(Anexo_4[[#This Row],[cod_doc]],TIPODOC,2,FALSE)</f>
        <v>FACTURA</v>
      </c>
      <c r="M1271" s="77" t="s">
        <v>103</v>
      </c>
      <c r="N1271" s="79">
        <v>17417</v>
      </c>
      <c r="O1271" s="80">
        <v>16.95</v>
      </c>
      <c r="P1271" s="81"/>
      <c r="Q1271" s="81">
        <v>3.0509999999999997</v>
      </c>
      <c r="R1271" s="80"/>
      <c r="S1271" s="80">
        <v>0</v>
      </c>
      <c r="T1271" s="82">
        <v>20</v>
      </c>
      <c r="U1271" s="77"/>
      <c r="V1271" s="75"/>
      <c r="W1271" s="77"/>
      <c r="X1271" s="77"/>
      <c r="Y1271" s="77" t="s">
        <v>4076</v>
      </c>
      <c r="Z1271" s="77" t="s">
        <v>386</v>
      </c>
      <c r="AA1271" s="83" t="s">
        <v>4075</v>
      </c>
      <c r="AB1271" s="104" t="str">
        <f>IFERROR(VLOOKUP(Anexo_4[[#This Row],[cuenta]],OP,2,0),"-")</f>
        <v>Balanza - Servicios</v>
      </c>
    </row>
    <row r="1272" spans="1:28" s="84" customFormat="1" ht="27" customHeight="1" x14ac:dyDescent="0.3">
      <c r="A1272" s="75" t="s">
        <v>4037</v>
      </c>
      <c r="B1272" s="36" t="str">
        <f t="shared" si="19"/>
        <v>Agosto</v>
      </c>
      <c r="C1272" s="77" t="s">
        <v>162</v>
      </c>
      <c r="D1272" s="77" t="s">
        <v>4077</v>
      </c>
      <c r="E127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272" s="79" t="s">
        <v>235</v>
      </c>
      <c r="G1272" s="79" t="s">
        <v>236</v>
      </c>
      <c r="H1272" s="140" t="s">
        <v>4078</v>
      </c>
      <c r="I1272" s="77" t="s">
        <v>286</v>
      </c>
      <c r="J1272" s="144" t="s">
        <v>287</v>
      </c>
      <c r="K1272" s="77" t="s">
        <v>169</v>
      </c>
      <c r="L1272" s="103" t="str">
        <f>VLOOKUP(Anexo_4[[#This Row],[cod_doc]],TIPODOC,2,FALSE)</f>
        <v>FACTURA</v>
      </c>
      <c r="M1272" s="77" t="s">
        <v>222</v>
      </c>
      <c r="N1272" s="79">
        <v>18193</v>
      </c>
      <c r="O1272" s="80"/>
      <c r="P1272" s="81"/>
      <c r="Q1272" s="81"/>
      <c r="R1272" s="80"/>
      <c r="S1272" s="80">
        <v>11</v>
      </c>
      <c r="T1272" s="82">
        <v>11</v>
      </c>
      <c r="U1272" s="77"/>
      <c r="V1272" s="75"/>
      <c r="W1272" s="77"/>
      <c r="X1272" s="77"/>
      <c r="Y1272" s="77" t="s">
        <v>4079</v>
      </c>
      <c r="Z1272" s="77" t="s">
        <v>386</v>
      </c>
      <c r="AA1272" s="83" t="s">
        <v>4078</v>
      </c>
      <c r="AB1272" s="104" t="str">
        <f>IFERROR(VLOOKUP(Anexo_4[[#This Row],[cuenta]],OP,2,0),"-")</f>
        <v>Balanza - Servicios</v>
      </c>
    </row>
    <row r="1273" spans="1:28" s="84" customFormat="1" ht="27" customHeight="1" x14ac:dyDescent="0.3">
      <c r="A1273" s="75" t="s">
        <v>3879</v>
      </c>
      <c r="B1273" s="36" t="str">
        <f t="shared" si="19"/>
        <v>Agosto</v>
      </c>
      <c r="C1273" s="77" t="s">
        <v>162</v>
      </c>
      <c r="D1273" s="77" t="s">
        <v>4080</v>
      </c>
      <c r="E1273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273" s="79" t="s">
        <v>235</v>
      </c>
      <c r="G1273" s="79" t="s">
        <v>236</v>
      </c>
      <c r="H1273" s="140" t="s">
        <v>4081</v>
      </c>
      <c r="I1273" s="77" t="s">
        <v>383</v>
      </c>
      <c r="J1273" s="144" t="s">
        <v>384</v>
      </c>
      <c r="K1273" s="77" t="s">
        <v>169</v>
      </c>
      <c r="L1273" s="103" t="str">
        <f>VLOOKUP(Anexo_4[[#This Row],[cod_doc]],TIPODOC,2,FALSE)</f>
        <v>FACTURA</v>
      </c>
      <c r="M1273" s="77" t="s">
        <v>103</v>
      </c>
      <c r="N1273" s="79">
        <v>17382</v>
      </c>
      <c r="O1273" s="80">
        <v>16.95</v>
      </c>
      <c r="P1273" s="81"/>
      <c r="Q1273" s="81">
        <v>3.0509999999999997</v>
      </c>
      <c r="R1273" s="80"/>
      <c r="S1273" s="80">
        <v>0</v>
      </c>
      <c r="T1273" s="82">
        <v>20</v>
      </c>
      <c r="U1273" s="77"/>
      <c r="V1273" s="75"/>
      <c r="W1273" s="77"/>
      <c r="X1273" s="77"/>
      <c r="Y1273" s="77" t="s">
        <v>4082</v>
      </c>
      <c r="Z1273" s="77" t="s">
        <v>386</v>
      </c>
      <c r="AA1273" s="83" t="s">
        <v>4081</v>
      </c>
      <c r="AB1273" s="104" t="str">
        <f>IFERROR(VLOOKUP(Anexo_4[[#This Row],[cuenta]],OP,2,0),"-")</f>
        <v>Balanza - Servicios</v>
      </c>
    </row>
    <row r="1274" spans="1:28" s="84" customFormat="1" ht="27" customHeight="1" x14ac:dyDescent="0.3">
      <c r="A1274" s="75" t="s">
        <v>3879</v>
      </c>
      <c r="B1274" s="36" t="str">
        <f t="shared" si="19"/>
        <v>Agosto</v>
      </c>
      <c r="C1274" s="77" t="s">
        <v>162</v>
      </c>
      <c r="D1274" s="77" t="s">
        <v>4083</v>
      </c>
      <c r="E1274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274" s="79" t="s">
        <v>235</v>
      </c>
      <c r="G1274" s="79" t="s">
        <v>236</v>
      </c>
      <c r="H1274" s="140" t="s">
        <v>4084</v>
      </c>
      <c r="I1274" s="77" t="s">
        <v>383</v>
      </c>
      <c r="J1274" s="144" t="s">
        <v>384</v>
      </c>
      <c r="K1274" s="77" t="s">
        <v>169</v>
      </c>
      <c r="L1274" s="103" t="str">
        <f>VLOOKUP(Anexo_4[[#This Row],[cod_doc]],TIPODOC,2,FALSE)</f>
        <v>FACTURA</v>
      </c>
      <c r="M1274" s="77" t="s">
        <v>103</v>
      </c>
      <c r="N1274" s="79">
        <v>17380</v>
      </c>
      <c r="O1274" s="80">
        <v>16.95</v>
      </c>
      <c r="P1274" s="81"/>
      <c r="Q1274" s="81">
        <v>3.0509999999999997</v>
      </c>
      <c r="R1274" s="80"/>
      <c r="S1274" s="80">
        <v>0</v>
      </c>
      <c r="T1274" s="82">
        <v>20</v>
      </c>
      <c r="U1274" s="77"/>
      <c r="V1274" s="75"/>
      <c r="W1274" s="77"/>
      <c r="X1274" s="77"/>
      <c r="Y1274" s="77" t="s">
        <v>4085</v>
      </c>
      <c r="Z1274" s="77" t="s">
        <v>386</v>
      </c>
      <c r="AA1274" s="83" t="s">
        <v>4084</v>
      </c>
      <c r="AB1274" s="104" t="str">
        <f>IFERROR(VLOOKUP(Anexo_4[[#This Row],[cuenta]],OP,2,0),"-")</f>
        <v>Balanza - Servicios</v>
      </c>
    </row>
    <row r="1275" spans="1:28" s="84" customFormat="1" ht="27" customHeight="1" x14ac:dyDescent="0.3">
      <c r="A1275" s="75" t="s">
        <v>3879</v>
      </c>
      <c r="B1275" s="36" t="str">
        <f t="shared" si="19"/>
        <v>Agosto</v>
      </c>
      <c r="C1275" s="77" t="s">
        <v>162</v>
      </c>
      <c r="D1275" s="77" t="s">
        <v>4086</v>
      </c>
      <c r="E127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275" s="79" t="s">
        <v>235</v>
      </c>
      <c r="G1275" s="79" t="s">
        <v>236</v>
      </c>
      <c r="H1275" s="140" t="s">
        <v>4087</v>
      </c>
      <c r="I1275" s="77" t="s">
        <v>383</v>
      </c>
      <c r="J1275" s="144" t="s">
        <v>384</v>
      </c>
      <c r="K1275" s="77" t="s">
        <v>169</v>
      </c>
      <c r="L1275" s="103" t="str">
        <f>VLOOKUP(Anexo_4[[#This Row],[cod_doc]],TIPODOC,2,FALSE)</f>
        <v>FACTURA</v>
      </c>
      <c r="M1275" s="77" t="s">
        <v>103</v>
      </c>
      <c r="N1275" s="79">
        <v>17384</v>
      </c>
      <c r="O1275" s="80">
        <v>16.95</v>
      </c>
      <c r="P1275" s="81"/>
      <c r="Q1275" s="81">
        <v>3.0509999999999997</v>
      </c>
      <c r="R1275" s="80"/>
      <c r="S1275" s="80">
        <v>0</v>
      </c>
      <c r="T1275" s="82">
        <v>20</v>
      </c>
      <c r="U1275" s="77"/>
      <c r="V1275" s="75"/>
      <c r="W1275" s="77"/>
      <c r="X1275" s="77"/>
      <c r="Y1275" s="77" t="s">
        <v>4088</v>
      </c>
      <c r="Z1275" s="77" t="s">
        <v>386</v>
      </c>
      <c r="AA1275" s="83" t="s">
        <v>4087</v>
      </c>
      <c r="AB1275" s="104" t="str">
        <f>IFERROR(VLOOKUP(Anexo_4[[#This Row],[cuenta]],OP,2,0),"-")</f>
        <v>Balanza - Servicios</v>
      </c>
    </row>
    <row r="1276" spans="1:28" s="84" customFormat="1" ht="27" customHeight="1" x14ac:dyDescent="0.3">
      <c r="A1276" s="75" t="s">
        <v>3283</v>
      </c>
      <c r="B1276" s="36" t="str">
        <f t="shared" si="19"/>
        <v>Agosto</v>
      </c>
      <c r="C1276" s="77" t="s">
        <v>162</v>
      </c>
      <c r="D1276" s="77" t="s">
        <v>4089</v>
      </c>
      <c r="E127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276" s="79" t="s">
        <v>235</v>
      </c>
      <c r="G1276" s="79" t="s">
        <v>236</v>
      </c>
      <c r="H1276" s="140" t="s">
        <v>4090</v>
      </c>
      <c r="I1276" s="77" t="s">
        <v>264</v>
      </c>
      <c r="J1276" s="144" t="s">
        <v>265</v>
      </c>
      <c r="K1276" s="77" t="s">
        <v>169</v>
      </c>
      <c r="L1276" s="103" t="str">
        <f>VLOOKUP(Anexo_4[[#This Row],[cod_doc]],TIPODOC,2,FALSE)</f>
        <v>FACTURA</v>
      </c>
      <c r="M1276" s="77" t="s">
        <v>271</v>
      </c>
      <c r="N1276" s="79">
        <v>1816997</v>
      </c>
      <c r="O1276" s="80">
        <v>6.78</v>
      </c>
      <c r="P1276" s="81"/>
      <c r="Q1276" s="81">
        <v>1.2203999999999999</v>
      </c>
      <c r="R1276" s="80"/>
      <c r="S1276" s="80">
        <v>0</v>
      </c>
      <c r="T1276" s="82">
        <v>8</v>
      </c>
      <c r="U1276" s="77"/>
      <c r="V1276" s="75"/>
      <c r="W1276" s="77"/>
      <c r="X1276" s="77"/>
      <c r="Y1276" s="77" t="s">
        <v>4091</v>
      </c>
      <c r="Z1276" s="77" t="s">
        <v>302</v>
      </c>
      <c r="AA1276" s="83" t="s">
        <v>4090</v>
      </c>
      <c r="AB1276" s="104" t="str">
        <f>IFERROR(VLOOKUP(Anexo_4[[#This Row],[cuenta]],OP,2,0),"-")</f>
        <v>Transporte peajes - Servicios</v>
      </c>
    </row>
    <row r="1277" spans="1:28" s="84" customFormat="1" ht="27" customHeight="1" x14ac:dyDescent="0.3">
      <c r="A1277" s="75" t="s">
        <v>3283</v>
      </c>
      <c r="B1277" s="36" t="str">
        <f t="shared" si="19"/>
        <v>Agosto</v>
      </c>
      <c r="C1277" s="77" t="s">
        <v>162</v>
      </c>
      <c r="D1277" s="77" t="s">
        <v>4092</v>
      </c>
      <c r="E1277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277" s="79" t="s">
        <v>235</v>
      </c>
      <c r="G1277" s="79" t="s">
        <v>236</v>
      </c>
      <c r="H1277" s="140" t="s">
        <v>4093</v>
      </c>
      <c r="I1277" s="77" t="s">
        <v>178</v>
      </c>
      <c r="J1277" s="144" t="s">
        <v>179</v>
      </c>
      <c r="K1277" s="77" t="s">
        <v>169</v>
      </c>
      <c r="L1277" s="103" t="str">
        <f>VLOOKUP(Anexo_4[[#This Row],[cod_doc]],TIPODOC,2,FALSE)</f>
        <v>FACTURA</v>
      </c>
      <c r="M1277" s="77" t="s">
        <v>180</v>
      </c>
      <c r="N1277" s="79">
        <v>135737</v>
      </c>
      <c r="O1277" s="80">
        <v>8.4700000000000006</v>
      </c>
      <c r="P1277" s="81"/>
      <c r="Q1277" s="81">
        <v>1.5246</v>
      </c>
      <c r="R1277" s="80"/>
      <c r="S1277" s="80">
        <v>0</v>
      </c>
      <c r="T1277" s="82">
        <v>10</v>
      </c>
      <c r="U1277" s="77"/>
      <c r="V1277" s="75"/>
      <c r="W1277" s="77"/>
      <c r="X1277" s="77"/>
      <c r="Y1277" s="77" t="s">
        <v>4094</v>
      </c>
      <c r="Z1277" s="77" t="s">
        <v>386</v>
      </c>
      <c r="AA1277" s="83" t="s">
        <v>4093</v>
      </c>
      <c r="AB1277" s="104" t="str">
        <f>IFERROR(VLOOKUP(Anexo_4[[#This Row],[cuenta]],OP,2,0),"-")</f>
        <v>Balanza - Servicios</v>
      </c>
    </row>
    <row r="1278" spans="1:28" s="84" customFormat="1" ht="27" customHeight="1" x14ac:dyDescent="0.3">
      <c r="A1278" s="75" t="s">
        <v>3746</v>
      </c>
      <c r="B1278" s="36" t="str">
        <f t="shared" si="19"/>
        <v>Agosto</v>
      </c>
      <c r="C1278" s="77" t="s">
        <v>162</v>
      </c>
      <c r="D1278" s="77" t="s">
        <v>4095</v>
      </c>
      <c r="E1278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278" s="79" t="s">
        <v>235</v>
      </c>
      <c r="G1278" s="79" t="s">
        <v>236</v>
      </c>
      <c r="H1278" s="140" t="s">
        <v>4096</v>
      </c>
      <c r="I1278" s="77" t="s">
        <v>264</v>
      </c>
      <c r="J1278" s="144" t="s">
        <v>265</v>
      </c>
      <c r="K1278" s="77" t="s">
        <v>169</v>
      </c>
      <c r="L1278" s="103" t="str">
        <f>VLOOKUP(Anexo_4[[#This Row],[cod_doc]],TIPODOC,2,FALSE)</f>
        <v>FACTURA</v>
      </c>
      <c r="M1278" s="77" t="s">
        <v>266</v>
      </c>
      <c r="N1278" s="79">
        <v>496564</v>
      </c>
      <c r="O1278" s="80">
        <v>6.78</v>
      </c>
      <c r="P1278" s="81"/>
      <c r="Q1278" s="81">
        <v>1.2203999999999999</v>
      </c>
      <c r="R1278" s="80"/>
      <c r="S1278" s="80">
        <v>0</v>
      </c>
      <c r="T1278" s="82">
        <v>8</v>
      </c>
      <c r="U1278" s="77"/>
      <c r="V1278" s="75"/>
      <c r="W1278" s="77"/>
      <c r="X1278" s="77"/>
      <c r="Y1278" s="77" t="s">
        <v>4097</v>
      </c>
      <c r="Z1278" s="77" t="s">
        <v>302</v>
      </c>
      <c r="AA1278" s="83" t="s">
        <v>4096</v>
      </c>
      <c r="AB1278" s="104" t="str">
        <f>IFERROR(VLOOKUP(Anexo_4[[#This Row],[cuenta]],OP,2,0),"-")</f>
        <v>Transporte peajes - Servicios</v>
      </c>
    </row>
    <row r="1279" spans="1:28" s="84" customFormat="1" ht="27" customHeight="1" x14ac:dyDescent="0.3">
      <c r="A1279" s="75" t="s">
        <v>3746</v>
      </c>
      <c r="B1279" s="36" t="str">
        <f t="shared" si="19"/>
        <v>Agosto</v>
      </c>
      <c r="C1279" s="77" t="s">
        <v>162</v>
      </c>
      <c r="D1279" s="77" t="s">
        <v>4098</v>
      </c>
      <c r="E1279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279" s="79" t="s">
        <v>235</v>
      </c>
      <c r="G1279" s="79" t="s">
        <v>236</v>
      </c>
      <c r="H1279" s="140" t="s">
        <v>4099</v>
      </c>
      <c r="I1279" s="77" t="s">
        <v>264</v>
      </c>
      <c r="J1279" s="144" t="s">
        <v>265</v>
      </c>
      <c r="K1279" s="77" t="s">
        <v>169</v>
      </c>
      <c r="L1279" s="103" t="str">
        <f>VLOOKUP(Anexo_4[[#This Row],[cod_doc]],TIPODOC,2,FALSE)</f>
        <v>FACTURA</v>
      </c>
      <c r="M1279" s="77" t="s">
        <v>271</v>
      </c>
      <c r="N1279" s="79">
        <v>1811673</v>
      </c>
      <c r="O1279" s="80">
        <v>6.78</v>
      </c>
      <c r="P1279" s="81"/>
      <c r="Q1279" s="81">
        <v>1.2203999999999999</v>
      </c>
      <c r="R1279" s="80"/>
      <c r="S1279" s="80">
        <v>0</v>
      </c>
      <c r="T1279" s="82">
        <v>8</v>
      </c>
      <c r="U1279" s="77"/>
      <c r="V1279" s="75"/>
      <c r="W1279" s="77"/>
      <c r="X1279" s="77"/>
      <c r="Y1279" s="77" t="s">
        <v>4100</v>
      </c>
      <c r="Z1279" s="77" t="s">
        <v>302</v>
      </c>
      <c r="AA1279" s="83" t="s">
        <v>4099</v>
      </c>
      <c r="AB1279" s="104" t="str">
        <f>IFERROR(VLOOKUP(Anexo_4[[#This Row],[cuenta]],OP,2,0),"-")</f>
        <v>Transporte peajes - Servicios</v>
      </c>
    </row>
    <row r="1280" spans="1:28" s="84" customFormat="1" ht="27" customHeight="1" x14ac:dyDescent="0.3">
      <c r="A1280" s="75" t="s">
        <v>3879</v>
      </c>
      <c r="B1280" s="36" t="str">
        <f t="shared" si="19"/>
        <v>Agosto</v>
      </c>
      <c r="C1280" s="77" t="s">
        <v>162</v>
      </c>
      <c r="D1280" s="77" t="s">
        <v>4101</v>
      </c>
      <c r="E1280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280" s="79" t="s">
        <v>235</v>
      </c>
      <c r="G1280" s="79" t="s">
        <v>236</v>
      </c>
      <c r="H1280" s="140" t="s">
        <v>4102</v>
      </c>
      <c r="I1280" s="77" t="s">
        <v>264</v>
      </c>
      <c r="J1280" s="144" t="s">
        <v>265</v>
      </c>
      <c r="K1280" s="77" t="s">
        <v>169</v>
      </c>
      <c r="L1280" s="103" t="str">
        <f>VLOOKUP(Anexo_4[[#This Row],[cod_doc]],TIPODOC,2,FALSE)</f>
        <v>FACTURA</v>
      </c>
      <c r="M1280" s="77" t="s">
        <v>379</v>
      </c>
      <c r="N1280" s="79">
        <v>2149036</v>
      </c>
      <c r="O1280" s="80">
        <v>6.78</v>
      </c>
      <c r="P1280" s="81"/>
      <c r="Q1280" s="81">
        <v>1.2203999999999999</v>
      </c>
      <c r="R1280" s="80"/>
      <c r="S1280" s="80">
        <v>0</v>
      </c>
      <c r="T1280" s="82">
        <v>8</v>
      </c>
      <c r="U1280" s="77"/>
      <c r="V1280" s="75"/>
      <c r="W1280" s="77"/>
      <c r="X1280" s="77"/>
      <c r="Y1280" s="77" t="s">
        <v>4103</v>
      </c>
      <c r="Z1280" s="77" t="s">
        <v>302</v>
      </c>
      <c r="AA1280" s="83" t="s">
        <v>4102</v>
      </c>
      <c r="AB1280" s="104" t="str">
        <f>IFERROR(VLOOKUP(Anexo_4[[#This Row],[cuenta]],OP,2,0),"-")</f>
        <v>Transporte peajes - Servicios</v>
      </c>
    </row>
    <row r="1281" spans="1:28" s="84" customFormat="1" ht="27" customHeight="1" x14ac:dyDescent="0.3">
      <c r="A1281" s="75" t="s">
        <v>3879</v>
      </c>
      <c r="B1281" s="36" t="str">
        <f t="shared" si="19"/>
        <v>Agosto</v>
      </c>
      <c r="C1281" s="77" t="s">
        <v>162</v>
      </c>
      <c r="D1281" s="77" t="s">
        <v>4104</v>
      </c>
      <c r="E128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281" s="79" t="s">
        <v>235</v>
      </c>
      <c r="G1281" s="79" t="s">
        <v>236</v>
      </c>
      <c r="H1281" s="140" t="s">
        <v>4105</v>
      </c>
      <c r="I1281" s="77" t="s">
        <v>264</v>
      </c>
      <c r="J1281" s="144" t="s">
        <v>265</v>
      </c>
      <c r="K1281" s="77" t="s">
        <v>169</v>
      </c>
      <c r="L1281" s="103" t="str">
        <f>VLOOKUP(Anexo_4[[#This Row],[cod_doc]],TIPODOC,2,FALSE)</f>
        <v>FACTURA</v>
      </c>
      <c r="M1281" s="77" t="s">
        <v>406</v>
      </c>
      <c r="N1281" s="79">
        <v>2439270</v>
      </c>
      <c r="O1281" s="80">
        <v>6.78</v>
      </c>
      <c r="P1281" s="81"/>
      <c r="Q1281" s="81">
        <v>1.2203999999999999</v>
      </c>
      <c r="R1281" s="80"/>
      <c r="S1281" s="80">
        <v>0</v>
      </c>
      <c r="T1281" s="82">
        <v>8</v>
      </c>
      <c r="U1281" s="77"/>
      <c r="V1281" s="75"/>
      <c r="W1281" s="77"/>
      <c r="X1281" s="77"/>
      <c r="Y1281" s="77" t="s">
        <v>4106</v>
      </c>
      <c r="Z1281" s="77" t="s">
        <v>302</v>
      </c>
      <c r="AA1281" s="83" t="s">
        <v>4105</v>
      </c>
      <c r="AB1281" s="104" t="str">
        <f>IFERROR(VLOOKUP(Anexo_4[[#This Row],[cuenta]],OP,2,0),"-")</f>
        <v>Transporte peajes - Servicios</v>
      </c>
    </row>
    <row r="1282" spans="1:28" s="84" customFormat="1" ht="27" customHeight="1" x14ac:dyDescent="0.3">
      <c r="A1282" s="75" t="s">
        <v>4037</v>
      </c>
      <c r="B1282" s="36" t="str">
        <f t="shared" ref="B1282:B1345" si="20">PROPER(CHOOSE(LEFT(D1282,2),"enero","febrero","marzo","abril","mayo","junio","julio","agosto","setiembre","octubre","noviembre","diciembre"))</f>
        <v>Agosto</v>
      </c>
      <c r="C1282" s="77" t="s">
        <v>162</v>
      </c>
      <c r="D1282" s="77" t="s">
        <v>4107</v>
      </c>
      <c r="E128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282" s="79" t="s">
        <v>235</v>
      </c>
      <c r="G1282" s="79" t="s">
        <v>236</v>
      </c>
      <c r="H1282" s="140" t="s">
        <v>4108</v>
      </c>
      <c r="I1282" s="77" t="s">
        <v>264</v>
      </c>
      <c r="J1282" s="144" t="s">
        <v>265</v>
      </c>
      <c r="K1282" s="77" t="s">
        <v>169</v>
      </c>
      <c r="L1282" s="103" t="str">
        <f>VLOOKUP(Anexo_4[[#This Row],[cod_doc]],TIPODOC,2,FALSE)</f>
        <v>FACTURA</v>
      </c>
      <c r="M1282" s="77" t="s">
        <v>379</v>
      </c>
      <c r="N1282" s="79">
        <v>2150067</v>
      </c>
      <c r="O1282" s="80">
        <v>6.78</v>
      </c>
      <c r="P1282" s="81"/>
      <c r="Q1282" s="81">
        <v>1.2203999999999999</v>
      </c>
      <c r="R1282" s="80"/>
      <c r="S1282" s="80">
        <v>0</v>
      </c>
      <c r="T1282" s="82">
        <v>8</v>
      </c>
      <c r="U1282" s="77"/>
      <c r="V1282" s="75"/>
      <c r="W1282" s="77"/>
      <c r="X1282" s="77"/>
      <c r="Y1282" s="77" t="s">
        <v>4109</v>
      </c>
      <c r="Z1282" s="77" t="s">
        <v>302</v>
      </c>
      <c r="AA1282" s="83" t="s">
        <v>4108</v>
      </c>
      <c r="AB1282" s="104" t="str">
        <f>IFERROR(VLOOKUP(Anexo_4[[#This Row],[cuenta]],OP,2,0),"-")</f>
        <v>Transporte peajes - Servicios</v>
      </c>
    </row>
    <row r="1283" spans="1:28" s="84" customFormat="1" ht="27" customHeight="1" x14ac:dyDescent="0.3">
      <c r="A1283" s="75" t="s">
        <v>4037</v>
      </c>
      <c r="B1283" s="36" t="str">
        <f t="shared" si="20"/>
        <v>Agosto</v>
      </c>
      <c r="C1283" s="77" t="s">
        <v>162</v>
      </c>
      <c r="D1283" s="77" t="s">
        <v>4110</v>
      </c>
      <c r="E1283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283" s="79" t="s">
        <v>235</v>
      </c>
      <c r="G1283" s="79" t="s">
        <v>236</v>
      </c>
      <c r="H1283" s="140" t="s">
        <v>4111</v>
      </c>
      <c r="I1283" s="77" t="s">
        <v>264</v>
      </c>
      <c r="J1283" s="144" t="s">
        <v>265</v>
      </c>
      <c r="K1283" s="77" t="s">
        <v>169</v>
      </c>
      <c r="L1283" s="103" t="str">
        <f>VLOOKUP(Anexo_4[[#This Row],[cod_doc]],TIPODOC,2,FALSE)</f>
        <v>FACTURA</v>
      </c>
      <c r="M1283" s="77" t="s">
        <v>519</v>
      </c>
      <c r="N1283" s="79">
        <v>399997</v>
      </c>
      <c r="O1283" s="80">
        <v>6.78</v>
      </c>
      <c r="P1283" s="81"/>
      <c r="Q1283" s="81">
        <v>1.2203999999999999</v>
      </c>
      <c r="R1283" s="80"/>
      <c r="S1283" s="80">
        <v>0</v>
      </c>
      <c r="T1283" s="82">
        <v>8</v>
      </c>
      <c r="U1283" s="77"/>
      <c r="V1283" s="75"/>
      <c r="W1283" s="77"/>
      <c r="X1283" s="77"/>
      <c r="Y1283" s="77" t="s">
        <v>4112</v>
      </c>
      <c r="Z1283" s="77" t="s">
        <v>302</v>
      </c>
      <c r="AA1283" s="83" t="s">
        <v>4111</v>
      </c>
      <c r="AB1283" s="104" t="str">
        <f>IFERROR(VLOOKUP(Anexo_4[[#This Row],[cuenta]],OP,2,0),"-")</f>
        <v>Transporte peajes - Servicios</v>
      </c>
    </row>
    <row r="1284" spans="1:28" s="84" customFormat="1" ht="27" customHeight="1" x14ac:dyDescent="0.3">
      <c r="A1284" s="75" t="s">
        <v>4037</v>
      </c>
      <c r="B1284" s="36" t="str">
        <f t="shared" si="20"/>
        <v>Agosto</v>
      </c>
      <c r="C1284" s="77" t="s">
        <v>162</v>
      </c>
      <c r="D1284" s="77" t="s">
        <v>4113</v>
      </c>
      <c r="E1284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284" s="79" t="s">
        <v>235</v>
      </c>
      <c r="G1284" s="79" t="s">
        <v>236</v>
      </c>
      <c r="H1284" s="140" t="s">
        <v>4114</v>
      </c>
      <c r="I1284" s="77" t="s">
        <v>264</v>
      </c>
      <c r="J1284" s="144" t="s">
        <v>265</v>
      </c>
      <c r="K1284" s="77" t="s">
        <v>169</v>
      </c>
      <c r="L1284" s="103" t="str">
        <f>VLOOKUP(Anexo_4[[#This Row],[cod_doc]],TIPODOC,2,FALSE)</f>
        <v>FACTURA</v>
      </c>
      <c r="M1284" s="77" t="s">
        <v>275</v>
      </c>
      <c r="N1284" s="79">
        <v>1016250</v>
      </c>
      <c r="O1284" s="80">
        <v>6.78</v>
      </c>
      <c r="P1284" s="81"/>
      <c r="Q1284" s="81">
        <v>1.2203999999999999</v>
      </c>
      <c r="R1284" s="80"/>
      <c r="S1284" s="80">
        <v>0</v>
      </c>
      <c r="T1284" s="82">
        <v>8</v>
      </c>
      <c r="U1284" s="77"/>
      <c r="V1284" s="75"/>
      <c r="W1284" s="77"/>
      <c r="X1284" s="77"/>
      <c r="Y1284" s="77" t="s">
        <v>4115</v>
      </c>
      <c r="Z1284" s="77" t="s">
        <v>302</v>
      </c>
      <c r="AA1284" s="83" t="s">
        <v>4114</v>
      </c>
      <c r="AB1284" s="104" t="str">
        <f>IFERROR(VLOOKUP(Anexo_4[[#This Row],[cuenta]],OP,2,0),"-")</f>
        <v>Transporte peajes - Servicios</v>
      </c>
    </row>
    <row r="1285" spans="1:28" s="84" customFormat="1" ht="27" customHeight="1" x14ac:dyDescent="0.3">
      <c r="A1285" s="75" t="s">
        <v>4037</v>
      </c>
      <c r="B1285" s="36" t="str">
        <f t="shared" si="20"/>
        <v>Agosto</v>
      </c>
      <c r="C1285" s="77" t="s">
        <v>162</v>
      </c>
      <c r="D1285" s="77" t="s">
        <v>4116</v>
      </c>
      <c r="E128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285" s="79" t="s">
        <v>235</v>
      </c>
      <c r="G1285" s="79" t="s">
        <v>236</v>
      </c>
      <c r="H1285" s="140" t="s">
        <v>4117</v>
      </c>
      <c r="I1285" s="77" t="s">
        <v>264</v>
      </c>
      <c r="J1285" s="144" t="s">
        <v>265</v>
      </c>
      <c r="K1285" s="77" t="s">
        <v>169</v>
      </c>
      <c r="L1285" s="103" t="str">
        <f>VLOOKUP(Anexo_4[[#This Row],[cod_doc]],TIPODOC,2,FALSE)</f>
        <v>FACTURA</v>
      </c>
      <c r="M1285" s="77" t="s">
        <v>271</v>
      </c>
      <c r="N1285" s="79">
        <v>1815922</v>
      </c>
      <c r="O1285" s="80">
        <v>6.78</v>
      </c>
      <c r="P1285" s="81"/>
      <c r="Q1285" s="81">
        <v>1.2203999999999999</v>
      </c>
      <c r="R1285" s="80"/>
      <c r="S1285" s="80">
        <v>0</v>
      </c>
      <c r="T1285" s="82">
        <v>8</v>
      </c>
      <c r="U1285" s="77"/>
      <c r="V1285" s="75"/>
      <c r="W1285" s="77"/>
      <c r="X1285" s="77"/>
      <c r="Y1285" s="77" t="s">
        <v>4118</v>
      </c>
      <c r="Z1285" s="77" t="s">
        <v>302</v>
      </c>
      <c r="AA1285" s="83" t="s">
        <v>4117</v>
      </c>
      <c r="AB1285" s="104" t="str">
        <f>IFERROR(VLOOKUP(Anexo_4[[#This Row],[cuenta]],OP,2,0),"-")</f>
        <v>Transporte peajes - Servicios</v>
      </c>
    </row>
    <row r="1286" spans="1:28" s="84" customFormat="1" ht="27" customHeight="1" x14ac:dyDescent="0.3">
      <c r="A1286" s="75" t="s">
        <v>3879</v>
      </c>
      <c r="B1286" s="36" t="str">
        <f t="shared" si="20"/>
        <v>Agosto</v>
      </c>
      <c r="C1286" s="77" t="s">
        <v>162</v>
      </c>
      <c r="D1286" s="77" t="s">
        <v>4119</v>
      </c>
      <c r="E128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286" s="79" t="s">
        <v>217</v>
      </c>
      <c r="G1286" s="79" t="s">
        <v>218</v>
      </c>
      <c r="H1286" s="140" t="s">
        <v>4120</v>
      </c>
      <c r="I1286" s="77" t="s">
        <v>264</v>
      </c>
      <c r="J1286" s="144" t="s">
        <v>265</v>
      </c>
      <c r="K1286" s="77" t="s">
        <v>169</v>
      </c>
      <c r="L1286" s="103" t="str">
        <f>VLOOKUP(Anexo_4[[#This Row],[cod_doc]],TIPODOC,2,FALSE)</f>
        <v>FACTURA</v>
      </c>
      <c r="M1286" s="77" t="s">
        <v>379</v>
      </c>
      <c r="N1286" s="79">
        <v>2148948</v>
      </c>
      <c r="O1286" s="80">
        <v>6.78</v>
      </c>
      <c r="P1286" s="81"/>
      <c r="Q1286" s="81">
        <v>1.2203999999999999</v>
      </c>
      <c r="R1286" s="80"/>
      <c r="S1286" s="80">
        <v>0</v>
      </c>
      <c r="T1286" s="82">
        <v>8</v>
      </c>
      <c r="U1286" s="77"/>
      <c r="V1286" s="75"/>
      <c r="W1286" s="77"/>
      <c r="X1286" s="77"/>
      <c r="Y1286" s="77" t="s">
        <v>4121</v>
      </c>
      <c r="Z1286" s="77" t="s">
        <v>268</v>
      </c>
      <c r="AA1286" s="83" t="s">
        <v>4120</v>
      </c>
      <c r="AB1286" s="104" t="str">
        <f>IFERROR(VLOOKUP(Anexo_4[[#This Row],[cuenta]],OP,2,0),"-")</f>
        <v>Transporte peajes - Ventas</v>
      </c>
    </row>
    <row r="1287" spans="1:28" s="84" customFormat="1" ht="27" customHeight="1" x14ac:dyDescent="0.3">
      <c r="A1287" s="75" t="s">
        <v>3746</v>
      </c>
      <c r="B1287" s="36" t="str">
        <f t="shared" si="20"/>
        <v>Agosto</v>
      </c>
      <c r="C1287" s="77" t="s">
        <v>162</v>
      </c>
      <c r="D1287" s="77" t="s">
        <v>4122</v>
      </c>
      <c r="E1287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287" s="79" t="s">
        <v>175</v>
      </c>
      <c r="G1287" s="79" t="s">
        <v>176</v>
      </c>
      <c r="H1287" s="140" t="s">
        <v>4123</v>
      </c>
      <c r="I1287" s="77" t="s">
        <v>383</v>
      </c>
      <c r="J1287" s="144" t="s">
        <v>384</v>
      </c>
      <c r="K1287" s="77" t="s">
        <v>169</v>
      </c>
      <c r="L1287" s="103" t="str">
        <f>VLOOKUP(Anexo_4[[#This Row],[cod_doc]],TIPODOC,2,FALSE)</f>
        <v>FACTURA</v>
      </c>
      <c r="M1287" s="77" t="s">
        <v>103</v>
      </c>
      <c r="N1287" s="79">
        <v>17334</v>
      </c>
      <c r="O1287" s="80">
        <v>16.95</v>
      </c>
      <c r="P1287" s="81"/>
      <c r="Q1287" s="81">
        <v>3.0509999999999997</v>
      </c>
      <c r="R1287" s="80"/>
      <c r="S1287" s="80">
        <v>0</v>
      </c>
      <c r="T1287" s="82">
        <v>20</v>
      </c>
      <c r="U1287" s="77"/>
      <c r="V1287" s="75"/>
      <c r="W1287" s="77"/>
      <c r="X1287" s="77"/>
      <c r="Y1287" s="77" t="s">
        <v>4124</v>
      </c>
      <c r="Z1287" s="77" t="s">
        <v>386</v>
      </c>
      <c r="AA1287" s="83" t="s">
        <v>4123</v>
      </c>
      <c r="AB1287" s="104" t="str">
        <f>IFERROR(VLOOKUP(Anexo_4[[#This Row],[cuenta]],OP,2,0),"-")</f>
        <v>Balanza - Servicios</v>
      </c>
    </row>
    <row r="1288" spans="1:28" s="84" customFormat="1" ht="27" customHeight="1" x14ac:dyDescent="0.3">
      <c r="A1288" s="75" t="s">
        <v>3624</v>
      </c>
      <c r="B1288" s="36" t="str">
        <f t="shared" si="20"/>
        <v>Agosto</v>
      </c>
      <c r="C1288" s="77" t="s">
        <v>162</v>
      </c>
      <c r="D1288" s="77" t="s">
        <v>4125</v>
      </c>
      <c r="E1288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288" s="79" t="s">
        <v>175</v>
      </c>
      <c r="G1288" s="79" t="s">
        <v>176</v>
      </c>
      <c r="H1288" s="140" t="s">
        <v>4126</v>
      </c>
      <c r="I1288" s="77" t="s">
        <v>4127</v>
      </c>
      <c r="J1288" s="144" t="s">
        <v>4128</v>
      </c>
      <c r="K1288" s="77" t="s">
        <v>239</v>
      </c>
      <c r="L1288" s="103" t="str">
        <f>VLOOKUP(Anexo_4[[#This Row],[cod_doc]],TIPODOC,2,FALSE)</f>
        <v>BOLETA DE VENTA</v>
      </c>
      <c r="M1288" s="77" t="s">
        <v>162</v>
      </c>
      <c r="N1288" s="79">
        <v>439</v>
      </c>
      <c r="O1288" s="80"/>
      <c r="P1288" s="81"/>
      <c r="Q1288" s="81"/>
      <c r="R1288" s="80"/>
      <c r="S1288" s="80">
        <v>50</v>
      </c>
      <c r="T1288" s="82">
        <v>50</v>
      </c>
      <c r="U1288" s="77"/>
      <c r="V1288" s="75"/>
      <c r="W1288" s="77"/>
      <c r="X1288" s="77"/>
      <c r="Y1288" s="77" t="s">
        <v>4129</v>
      </c>
      <c r="Z1288" s="77" t="s">
        <v>507</v>
      </c>
      <c r="AA1288" s="83" t="s">
        <v>4126</v>
      </c>
      <c r="AB1288" s="104" t="str">
        <f>IFERROR(VLOOKUP(Anexo_4[[#This Row],[cuenta]],OP,2,0),"-")</f>
        <v>Transporte lavado (Higienización)</v>
      </c>
    </row>
    <row r="1289" spans="1:28" s="84" customFormat="1" ht="27" customHeight="1" x14ac:dyDescent="0.3">
      <c r="A1289" s="75" t="s">
        <v>3746</v>
      </c>
      <c r="B1289" s="36" t="str">
        <f t="shared" si="20"/>
        <v>Agosto</v>
      </c>
      <c r="C1289" s="77" t="s">
        <v>162</v>
      </c>
      <c r="D1289" s="77" t="s">
        <v>4130</v>
      </c>
      <c r="E1289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289" s="79" t="s">
        <v>175</v>
      </c>
      <c r="G1289" s="79" t="s">
        <v>176</v>
      </c>
      <c r="H1289" s="140" t="s">
        <v>4131</v>
      </c>
      <c r="I1289" s="77" t="s">
        <v>4132</v>
      </c>
      <c r="J1289" s="144" t="s">
        <v>4133</v>
      </c>
      <c r="K1289" s="77" t="s">
        <v>239</v>
      </c>
      <c r="L1289" s="103" t="str">
        <f>VLOOKUP(Anexo_4[[#This Row],[cod_doc]],TIPODOC,2,FALSE)</f>
        <v>BOLETA DE VENTA</v>
      </c>
      <c r="M1289" s="77" t="s">
        <v>162</v>
      </c>
      <c r="N1289" s="79">
        <v>2598</v>
      </c>
      <c r="O1289" s="80"/>
      <c r="P1289" s="81"/>
      <c r="Q1289" s="81"/>
      <c r="R1289" s="80"/>
      <c r="S1289" s="80">
        <v>50</v>
      </c>
      <c r="T1289" s="82">
        <v>50</v>
      </c>
      <c r="U1289" s="77"/>
      <c r="V1289" s="75"/>
      <c r="W1289" s="77"/>
      <c r="X1289" s="77"/>
      <c r="Y1289" s="77" t="s">
        <v>4134</v>
      </c>
      <c r="Z1289" s="77" t="s">
        <v>507</v>
      </c>
      <c r="AA1289" s="83" t="s">
        <v>4131</v>
      </c>
      <c r="AB1289" s="104" t="str">
        <f>IFERROR(VLOOKUP(Anexo_4[[#This Row],[cuenta]],OP,2,0),"-")</f>
        <v>Transporte lavado (Higienización)</v>
      </c>
    </row>
    <row r="1290" spans="1:28" s="84" customFormat="1" ht="27" customHeight="1" x14ac:dyDescent="0.3">
      <c r="A1290" s="75" t="s">
        <v>4037</v>
      </c>
      <c r="B1290" s="36" t="str">
        <f t="shared" si="20"/>
        <v>Agosto</v>
      </c>
      <c r="C1290" s="77" t="s">
        <v>162</v>
      </c>
      <c r="D1290" s="77" t="s">
        <v>4135</v>
      </c>
      <c r="E1290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290" s="79" t="s">
        <v>175</v>
      </c>
      <c r="G1290" s="79" t="s">
        <v>176</v>
      </c>
      <c r="H1290" s="140" t="s">
        <v>4136</v>
      </c>
      <c r="I1290" s="77" t="s">
        <v>264</v>
      </c>
      <c r="J1290" s="144" t="s">
        <v>265</v>
      </c>
      <c r="K1290" s="77" t="s">
        <v>169</v>
      </c>
      <c r="L1290" s="103" t="str">
        <f>VLOOKUP(Anexo_4[[#This Row],[cod_doc]],TIPODOC,2,FALSE)</f>
        <v>FACTURA</v>
      </c>
      <c r="M1290" s="77" t="s">
        <v>352</v>
      </c>
      <c r="N1290" s="79">
        <v>1836488</v>
      </c>
      <c r="O1290" s="80">
        <v>10.17</v>
      </c>
      <c r="P1290" s="81"/>
      <c r="Q1290" s="81">
        <v>1.8306</v>
      </c>
      <c r="R1290" s="80"/>
      <c r="S1290" s="80">
        <v>0</v>
      </c>
      <c r="T1290" s="82">
        <v>12</v>
      </c>
      <c r="U1290" s="77"/>
      <c r="V1290" s="75"/>
      <c r="W1290" s="77"/>
      <c r="X1290" s="77"/>
      <c r="Y1290" s="77" t="s">
        <v>4137</v>
      </c>
      <c r="Z1290" s="77" t="s">
        <v>302</v>
      </c>
      <c r="AA1290" s="83" t="s">
        <v>4136</v>
      </c>
      <c r="AB1290" s="104" t="str">
        <f>IFERROR(VLOOKUP(Anexo_4[[#This Row],[cuenta]],OP,2,0),"-")</f>
        <v>Transporte peajes - Servicios</v>
      </c>
    </row>
    <row r="1291" spans="1:28" s="84" customFormat="1" ht="27" customHeight="1" x14ac:dyDescent="0.3">
      <c r="A1291" s="75" t="s">
        <v>2494</v>
      </c>
      <c r="B1291" s="36" t="str">
        <f t="shared" si="20"/>
        <v>Agosto</v>
      </c>
      <c r="C1291" s="77" t="s">
        <v>162</v>
      </c>
      <c r="D1291" s="77" t="s">
        <v>4138</v>
      </c>
      <c r="E129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291" s="79" t="s">
        <v>175</v>
      </c>
      <c r="G1291" s="79" t="s">
        <v>176</v>
      </c>
      <c r="H1291" s="140" t="s">
        <v>4139</v>
      </c>
      <c r="I1291" s="77" t="s">
        <v>264</v>
      </c>
      <c r="J1291" s="144" t="s">
        <v>265</v>
      </c>
      <c r="K1291" s="77" t="s">
        <v>169</v>
      </c>
      <c r="L1291" s="103" t="str">
        <f>VLOOKUP(Anexo_4[[#This Row],[cod_doc]],TIPODOC,2,FALSE)</f>
        <v>FACTURA</v>
      </c>
      <c r="M1291" s="77" t="s">
        <v>406</v>
      </c>
      <c r="N1291" s="79">
        <v>2432733</v>
      </c>
      <c r="O1291" s="80">
        <v>10.17</v>
      </c>
      <c r="P1291" s="81"/>
      <c r="Q1291" s="81">
        <v>1.8306</v>
      </c>
      <c r="R1291" s="80"/>
      <c r="S1291" s="80">
        <v>0</v>
      </c>
      <c r="T1291" s="82">
        <v>12</v>
      </c>
      <c r="U1291" s="77"/>
      <c r="V1291" s="75"/>
      <c r="W1291" s="77"/>
      <c r="X1291" s="77"/>
      <c r="Y1291" s="77" t="s">
        <v>4140</v>
      </c>
      <c r="Z1291" s="77" t="s">
        <v>302</v>
      </c>
      <c r="AA1291" s="83" t="s">
        <v>4139</v>
      </c>
      <c r="AB1291" s="104" t="str">
        <f>IFERROR(VLOOKUP(Anexo_4[[#This Row],[cuenta]],OP,2,0),"-")</f>
        <v>Transporte peajes - Servicios</v>
      </c>
    </row>
    <row r="1292" spans="1:28" s="84" customFormat="1" ht="27" customHeight="1" x14ac:dyDescent="0.3">
      <c r="A1292" s="75" t="s">
        <v>1190</v>
      </c>
      <c r="B1292" s="36" t="str">
        <f t="shared" si="20"/>
        <v>Agosto</v>
      </c>
      <c r="C1292" s="77" t="s">
        <v>162</v>
      </c>
      <c r="D1292" s="77" t="s">
        <v>4141</v>
      </c>
      <c r="E1292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292" s="79"/>
      <c r="G1292" s="79"/>
      <c r="H1292" s="140"/>
      <c r="I1292" s="77" t="s">
        <v>4142</v>
      </c>
      <c r="J1292" s="144" t="s">
        <v>4143</v>
      </c>
      <c r="K1292" s="77" t="s">
        <v>239</v>
      </c>
      <c r="L1292" s="103" t="str">
        <f>VLOOKUP(Anexo_4[[#This Row],[cod_doc]],TIPODOC,2,FALSE)</f>
        <v>BOLETA DE VENTA</v>
      </c>
      <c r="M1292" s="77"/>
      <c r="N1292" s="79"/>
      <c r="O1292" s="80"/>
      <c r="P1292" s="81"/>
      <c r="Q1292" s="81">
        <v>0</v>
      </c>
      <c r="R1292" s="80"/>
      <c r="S1292" s="80">
        <v>178</v>
      </c>
      <c r="T1292" s="82">
        <v>178</v>
      </c>
      <c r="U1292" s="77"/>
      <c r="V1292" s="75"/>
      <c r="W1292" s="77"/>
      <c r="X1292" s="77"/>
      <c r="Y1292" s="77"/>
      <c r="Z1292" s="77"/>
      <c r="AA1292" s="83"/>
      <c r="AB1292" s="104" t="str">
        <f>IFERROR(VLOOKUP(Anexo_4[[#This Row],[cuenta]],OP,2,0),"-")</f>
        <v>-</v>
      </c>
    </row>
    <row r="1293" spans="1:28" s="84" customFormat="1" ht="27" customHeight="1" x14ac:dyDescent="0.3">
      <c r="A1293" s="75" t="s">
        <v>1812</v>
      </c>
      <c r="B1293" s="36" t="str">
        <f t="shared" si="20"/>
        <v>Agosto</v>
      </c>
      <c r="C1293" s="77" t="s">
        <v>162</v>
      </c>
      <c r="D1293" s="77" t="s">
        <v>4144</v>
      </c>
      <c r="E1293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293" s="79"/>
      <c r="G1293" s="79"/>
      <c r="H1293" s="140"/>
      <c r="I1293" s="77" t="s">
        <v>643</v>
      </c>
      <c r="J1293" s="144" t="s">
        <v>644</v>
      </c>
      <c r="K1293" s="77" t="s">
        <v>169</v>
      </c>
      <c r="L1293" s="103" t="str">
        <f>VLOOKUP(Anexo_4[[#This Row],[cod_doc]],TIPODOC,2,FALSE)</f>
        <v>FACTURA</v>
      </c>
      <c r="M1293" s="77" t="s">
        <v>102</v>
      </c>
      <c r="N1293" s="79" t="s">
        <v>4145</v>
      </c>
      <c r="O1293" s="80">
        <v>297.5</v>
      </c>
      <c r="P1293" s="81"/>
      <c r="Q1293" s="81">
        <v>53.55</v>
      </c>
      <c r="R1293" s="80"/>
      <c r="S1293" s="80">
        <v>0</v>
      </c>
      <c r="T1293" s="82">
        <v>351.05</v>
      </c>
      <c r="U1293" s="77"/>
      <c r="V1293" s="75"/>
      <c r="W1293" s="77"/>
      <c r="X1293" s="77"/>
      <c r="Y1293" s="77"/>
      <c r="Z1293" s="77"/>
      <c r="AA1293" s="83"/>
      <c r="AB1293" s="104" t="str">
        <f>IFERROR(VLOOKUP(Anexo_4[[#This Row],[cuenta]],OP,2,0),"-")</f>
        <v>-</v>
      </c>
    </row>
    <row r="1294" spans="1:28" s="84" customFormat="1" ht="27" customHeight="1" x14ac:dyDescent="0.3">
      <c r="A1294" s="75" t="s">
        <v>738</v>
      </c>
      <c r="B1294" s="36" t="str">
        <f t="shared" si="20"/>
        <v>Agosto</v>
      </c>
      <c r="C1294" s="77" t="s">
        <v>162</v>
      </c>
      <c r="D1294" s="77" t="s">
        <v>4146</v>
      </c>
      <c r="E1294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294" s="79"/>
      <c r="G1294" s="79"/>
      <c r="H1294" s="140"/>
      <c r="I1294" s="77" t="s">
        <v>643</v>
      </c>
      <c r="J1294" s="144" t="s">
        <v>644</v>
      </c>
      <c r="K1294" s="77" t="s">
        <v>169</v>
      </c>
      <c r="L1294" s="103" t="str">
        <f>VLOOKUP(Anexo_4[[#This Row],[cod_doc]],TIPODOC,2,FALSE)</f>
        <v>FACTURA</v>
      </c>
      <c r="M1294" s="77" t="s">
        <v>102</v>
      </c>
      <c r="N1294" s="79" t="s">
        <v>4147</v>
      </c>
      <c r="O1294" s="80">
        <v>552.5</v>
      </c>
      <c r="P1294" s="81"/>
      <c r="Q1294" s="81">
        <v>99.45</v>
      </c>
      <c r="R1294" s="80"/>
      <c r="S1294" s="80">
        <v>0</v>
      </c>
      <c r="T1294" s="82">
        <v>651.95000000000005</v>
      </c>
      <c r="U1294" s="77"/>
      <c r="V1294" s="75"/>
      <c r="W1294" s="77"/>
      <c r="X1294" s="77"/>
      <c r="Y1294" s="77"/>
      <c r="Z1294" s="77"/>
      <c r="AA1294" s="83"/>
      <c r="AB1294" s="104" t="str">
        <f>IFERROR(VLOOKUP(Anexo_4[[#This Row],[cuenta]],OP,2,0),"-")</f>
        <v>-</v>
      </c>
    </row>
    <row r="1295" spans="1:28" s="84" customFormat="1" ht="27" customHeight="1" x14ac:dyDescent="0.3">
      <c r="A1295" s="75" t="s">
        <v>2494</v>
      </c>
      <c r="B1295" s="36" t="str">
        <f t="shared" si="20"/>
        <v>Agosto</v>
      </c>
      <c r="C1295" s="77" t="s">
        <v>162</v>
      </c>
      <c r="D1295" s="77" t="s">
        <v>4148</v>
      </c>
      <c r="E129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295" s="79" t="s">
        <v>592</v>
      </c>
      <c r="G1295" s="79" t="s">
        <v>593</v>
      </c>
      <c r="H1295" s="140" t="s">
        <v>4149</v>
      </c>
      <c r="I1295" s="77" t="s">
        <v>643</v>
      </c>
      <c r="J1295" s="144" t="s">
        <v>644</v>
      </c>
      <c r="K1295" s="77" t="s">
        <v>169</v>
      </c>
      <c r="L1295" s="103" t="str">
        <f>VLOOKUP(Anexo_4[[#This Row],[cod_doc]],TIPODOC,2,FALSE)</f>
        <v>FACTURA</v>
      </c>
      <c r="M1295" s="77" t="s">
        <v>102</v>
      </c>
      <c r="N1295" s="79">
        <v>4113</v>
      </c>
      <c r="O1295" s="80">
        <v>340</v>
      </c>
      <c r="P1295" s="81"/>
      <c r="Q1295" s="81">
        <v>61.199999999999996</v>
      </c>
      <c r="R1295" s="80"/>
      <c r="S1295" s="80">
        <v>0</v>
      </c>
      <c r="T1295" s="82">
        <v>401.2</v>
      </c>
      <c r="U1295" s="77"/>
      <c r="V1295" s="75"/>
      <c r="W1295" s="77"/>
      <c r="X1295" s="77"/>
      <c r="Y1295" s="77"/>
      <c r="Z1295" s="77" t="s">
        <v>645</v>
      </c>
      <c r="AA1295" s="83" t="s">
        <v>4149</v>
      </c>
      <c r="AB1295" s="104" t="str">
        <f>IFERROR(VLOOKUP(Anexo_4[[#This Row],[cuenta]],OP,2,0),"-")</f>
        <v>Montacarga - Servicios</v>
      </c>
    </row>
    <row r="1296" spans="1:28" s="84" customFormat="1" ht="27" customHeight="1" x14ac:dyDescent="0.3">
      <c r="A1296" s="75" t="s">
        <v>3746</v>
      </c>
      <c r="B1296" s="36" t="str">
        <f t="shared" si="20"/>
        <v>Agosto</v>
      </c>
      <c r="C1296" s="77" t="s">
        <v>162</v>
      </c>
      <c r="D1296" s="77" t="s">
        <v>4150</v>
      </c>
      <c r="E129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296" s="79" t="s">
        <v>592</v>
      </c>
      <c r="G1296" s="79" t="s">
        <v>593</v>
      </c>
      <c r="H1296" s="140" t="s">
        <v>4151</v>
      </c>
      <c r="I1296" s="77" t="s">
        <v>643</v>
      </c>
      <c r="J1296" s="144" t="s">
        <v>644</v>
      </c>
      <c r="K1296" s="77" t="s">
        <v>169</v>
      </c>
      <c r="L1296" s="103" t="str">
        <f>VLOOKUP(Anexo_4[[#This Row],[cod_doc]],TIPODOC,2,FALSE)</f>
        <v>FACTURA</v>
      </c>
      <c r="M1296" s="77" t="s">
        <v>102</v>
      </c>
      <c r="N1296" s="79">
        <v>4125</v>
      </c>
      <c r="O1296" s="80">
        <v>255</v>
      </c>
      <c r="P1296" s="81"/>
      <c r="Q1296" s="81">
        <v>45.9</v>
      </c>
      <c r="R1296" s="80"/>
      <c r="S1296" s="80">
        <v>0</v>
      </c>
      <c r="T1296" s="82">
        <v>300.89999999999998</v>
      </c>
      <c r="U1296" s="77"/>
      <c r="V1296" s="75"/>
      <c r="W1296" s="77"/>
      <c r="X1296" s="77"/>
      <c r="Y1296" s="77"/>
      <c r="Z1296" s="77" t="s">
        <v>648</v>
      </c>
      <c r="AA1296" s="83" t="s">
        <v>4151</v>
      </c>
      <c r="AB1296" s="104" t="str">
        <f>IFERROR(VLOOKUP(Anexo_4[[#This Row],[cuenta]],OP,2,0),"-")</f>
        <v>Montacarga - Ventas</v>
      </c>
    </row>
    <row r="1297" spans="1:28" s="84" customFormat="1" ht="27" customHeight="1" x14ac:dyDescent="0.3">
      <c r="A1297" s="75" t="s">
        <v>2494</v>
      </c>
      <c r="B1297" s="36" t="str">
        <f t="shared" si="20"/>
        <v>Agosto</v>
      </c>
      <c r="C1297" s="77" t="s">
        <v>162</v>
      </c>
      <c r="D1297" s="77" t="s">
        <v>4152</v>
      </c>
      <c r="E1297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297" s="79" t="s">
        <v>592</v>
      </c>
      <c r="G1297" s="79" t="s">
        <v>593</v>
      </c>
      <c r="H1297" s="140" t="s">
        <v>4153</v>
      </c>
      <c r="I1297" s="77" t="s">
        <v>643</v>
      </c>
      <c r="J1297" s="144" t="s">
        <v>644</v>
      </c>
      <c r="K1297" s="77" t="s">
        <v>169</v>
      </c>
      <c r="L1297" s="103" t="str">
        <f>VLOOKUP(Anexo_4[[#This Row],[cod_doc]],TIPODOC,2,FALSE)</f>
        <v>FACTURA</v>
      </c>
      <c r="M1297" s="77" t="s">
        <v>102</v>
      </c>
      <c r="N1297" s="79">
        <v>4114</v>
      </c>
      <c r="O1297" s="80">
        <v>255</v>
      </c>
      <c r="P1297" s="81"/>
      <c r="Q1297" s="81">
        <v>45.9</v>
      </c>
      <c r="R1297" s="80"/>
      <c r="S1297" s="80">
        <v>0</v>
      </c>
      <c r="T1297" s="82">
        <v>300.89999999999998</v>
      </c>
      <c r="U1297" s="77"/>
      <c r="V1297" s="75"/>
      <c r="W1297" s="77"/>
      <c r="X1297" s="77"/>
      <c r="Y1297" s="77"/>
      <c r="Z1297" s="77" t="s">
        <v>645</v>
      </c>
      <c r="AA1297" s="83" t="s">
        <v>4153</v>
      </c>
      <c r="AB1297" s="104" t="str">
        <f>IFERROR(VLOOKUP(Anexo_4[[#This Row],[cuenta]],OP,2,0),"-")</f>
        <v>Montacarga - Servicios</v>
      </c>
    </row>
    <row r="1298" spans="1:28" s="84" customFormat="1" ht="27" customHeight="1" x14ac:dyDescent="0.3">
      <c r="A1298" s="75" t="s">
        <v>3670</v>
      </c>
      <c r="B1298" s="36" t="str">
        <f t="shared" si="20"/>
        <v>Agosto</v>
      </c>
      <c r="C1298" s="77" t="s">
        <v>162</v>
      </c>
      <c r="D1298" s="77" t="s">
        <v>4154</v>
      </c>
      <c r="E1298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298" s="79" t="s">
        <v>592</v>
      </c>
      <c r="G1298" s="79" t="s">
        <v>593</v>
      </c>
      <c r="H1298" s="140" t="s">
        <v>4155</v>
      </c>
      <c r="I1298" s="77" t="s">
        <v>643</v>
      </c>
      <c r="J1298" s="144" t="s">
        <v>644</v>
      </c>
      <c r="K1298" s="77" t="s">
        <v>169</v>
      </c>
      <c r="L1298" s="103" t="str">
        <f>VLOOKUP(Anexo_4[[#This Row],[cod_doc]],TIPODOC,2,FALSE)</f>
        <v>FACTURA</v>
      </c>
      <c r="M1298" s="77" t="s">
        <v>102</v>
      </c>
      <c r="N1298" s="79">
        <v>4108</v>
      </c>
      <c r="O1298" s="80">
        <v>552.5</v>
      </c>
      <c r="P1298" s="81"/>
      <c r="Q1298" s="81">
        <v>99.45</v>
      </c>
      <c r="R1298" s="80"/>
      <c r="S1298" s="80">
        <v>0</v>
      </c>
      <c r="T1298" s="82">
        <v>651.95000000000005</v>
      </c>
      <c r="U1298" s="77"/>
      <c r="V1298" s="75"/>
      <c r="W1298" s="77"/>
      <c r="X1298" s="77"/>
      <c r="Y1298" s="77"/>
      <c r="Z1298" s="77" t="s">
        <v>648</v>
      </c>
      <c r="AA1298" s="83" t="s">
        <v>4155</v>
      </c>
      <c r="AB1298" s="104" t="str">
        <f>IFERROR(VLOOKUP(Anexo_4[[#This Row],[cuenta]],OP,2,0),"-")</f>
        <v>Montacarga - Ventas</v>
      </c>
    </row>
    <row r="1299" spans="1:28" s="84" customFormat="1" ht="27" customHeight="1" x14ac:dyDescent="0.3">
      <c r="A1299" s="75" t="s">
        <v>3670</v>
      </c>
      <c r="B1299" s="36" t="str">
        <f t="shared" si="20"/>
        <v>Agosto</v>
      </c>
      <c r="C1299" s="77" t="s">
        <v>162</v>
      </c>
      <c r="D1299" s="77" t="s">
        <v>4156</v>
      </c>
      <c r="E1299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299" s="79" t="s">
        <v>592</v>
      </c>
      <c r="G1299" s="79" t="s">
        <v>593</v>
      </c>
      <c r="H1299" s="140" t="s">
        <v>4157</v>
      </c>
      <c r="I1299" s="77" t="s">
        <v>1074</v>
      </c>
      <c r="J1299" s="144" t="s">
        <v>1075</v>
      </c>
      <c r="K1299" s="77" t="s">
        <v>169</v>
      </c>
      <c r="L1299" s="103" t="str">
        <f>VLOOKUP(Anexo_4[[#This Row],[cod_doc]],TIPODOC,2,FALSE)</f>
        <v>FACTURA</v>
      </c>
      <c r="M1299" s="77" t="s">
        <v>102</v>
      </c>
      <c r="N1299" s="79">
        <v>2469</v>
      </c>
      <c r="O1299" s="80">
        <v>160</v>
      </c>
      <c r="P1299" s="81"/>
      <c r="Q1299" s="81">
        <v>28.799999999999997</v>
      </c>
      <c r="R1299" s="80"/>
      <c r="S1299" s="80">
        <v>0</v>
      </c>
      <c r="T1299" s="82">
        <v>188.8</v>
      </c>
      <c r="U1299" s="77"/>
      <c r="V1299" s="75"/>
      <c r="W1299" s="77"/>
      <c r="X1299" s="77"/>
      <c r="Y1299" s="77"/>
      <c r="Z1299" s="77" t="s">
        <v>645</v>
      </c>
      <c r="AA1299" s="83" t="s">
        <v>4157</v>
      </c>
      <c r="AB1299" s="104" t="str">
        <f>IFERROR(VLOOKUP(Anexo_4[[#This Row],[cuenta]],OP,2,0),"-")</f>
        <v>Montacarga - Servicios</v>
      </c>
    </row>
    <row r="1300" spans="1:28" s="84" customFormat="1" ht="27" customHeight="1" x14ac:dyDescent="0.3">
      <c r="A1300" s="75" t="s">
        <v>3940</v>
      </c>
      <c r="B1300" s="36" t="str">
        <f t="shared" si="20"/>
        <v>Agosto</v>
      </c>
      <c r="C1300" s="77" t="s">
        <v>162</v>
      </c>
      <c r="D1300" s="77" t="s">
        <v>4158</v>
      </c>
      <c r="E1300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300" s="79" t="s">
        <v>1366</v>
      </c>
      <c r="G1300" s="79" t="s">
        <v>1367</v>
      </c>
      <c r="H1300" s="140" t="s">
        <v>4159</v>
      </c>
      <c r="I1300" s="77" t="s">
        <v>4160</v>
      </c>
      <c r="J1300" s="144" t="s">
        <v>4161</v>
      </c>
      <c r="K1300" s="77" t="s">
        <v>169</v>
      </c>
      <c r="L1300" s="103" t="str">
        <f>VLOOKUP(Anexo_4[[#This Row],[cod_doc]],TIPODOC,2,FALSE)</f>
        <v>FACTURA</v>
      </c>
      <c r="M1300" s="77" t="s">
        <v>102</v>
      </c>
      <c r="N1300" s="79">
        <v>345</v>
      </c>
      <c r="O1300" s="80">
        <v>134.75</v>
      </c>
      <c r="P1300" s="81"/>
      <c r="Q1300" s="81">
        <v>24.254999999999999</v>
      </c>
      <c r="R1300" s="80"/>
      <c r="S1300" s="80">
        <v>0</v>
      </c>
      <c r="T1300" s="82">
        <v>159.01</v>
      </c>
      <c r="U1300" s="77"/>
      <c r="V1300" s="75"/>
      <c r="W1300" s="77"/>
      <c r="X1300" s="77"/>
      <c r="Y1300" s="77"/>
      <c r="Z1300" s="77" t="s">
        <v>4162</v>
      </c>
      <c r="AA1300" s="83" t="s">
        <v>4159</v>
      </c>
      <c r="AB1300" s="104" t="str">
        <f>IFERROR(VLOOKUP(Anexo_4[[#This Row],[cuenta]],OP,2,0),"-")</f>
        <v>-</v>
      </c>
    </row>
    <row r="1301" spans="1:28" s="84" customFormat="1" ht="27" customHeight="1" x14ac:dyDescent="0.3">
      <c r="A1301" s="75" t="s">
        <v>3711</v>
      </c>
      <c r="B1301" s="36" t="str">
        <f t="shared" si="20"/>
        <v>Agosto</v>
      </c>
      <c r="C1301" s="77" t="s">
        <v>162</v>
      </c>
      <c r="D1301" s="77" t="s">
        <v>4163</v>
      </c>
      <c r="E1301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301" s="79" t="s">
        <v>1366</v>
      </c>
      <c r="G1301" s="79" t="s">
        <v>1367</v>
      </c>
      <c r="H1301" s="140" t="s">
        <v>4164</v>
      </c>
      <c r="I1301" s="77" t="s">
        <v>3641</v>
      </c>
      <c r="J1301" s="144" t="s">
        <v>3642</v>
      </c>
      <c r="K1301" s="77" t="s">
        <v>169</v>
      </c>
      <c r="L1301" s="103" t="str">
        <f>VLOOKUP(Anexo_4[[#This Row],[cod_doc]],TIPODOC,2,FALSE)</f>
        <v>FACTURA</v>
      </c>
      <c r="M1301" s="77" t="s">
        <v>222</v>
      </c>
      <c r="N1301" s="79">
        <v>8608</v>
      </c>
      <c r="O1301" s="80">
        <v>581.36</v>
      </c>
      <c r="P1301" s="81"/>
      <c r="Q1301" s="81">
        <v>104.6448</v>
      </c>
      <c r="R1301" s="80"/>
      <c r="S1301" s="80">
        <v>0</v>
      </c>
      <c r="T1301" s="82">
        <v>686</v>
      </c>
      <c r="U1301" s="77"/>
      <c r="V1301" s="75"/>
      <c r="W1301" s="77"/>
      <c r="X1301" s="77"/>
      <c r="Y1301" s="77"/>
      <c r="Z1301" s="77" t="s">
        <v>4162</v>
      </c>
      <c r="AA1301" s="83" t="s">
        <v>4164</v>
      </c>
      <c r="AB1301" s="104" t="str">
        <f>IFERROR(VLOOKUP(Anexo_4[[#This Row],[cuenta]],OP,2,0),"-")</f>
        <v>-</v>
      </c>
    </row>
    <row r="1302" spans="1:28" s="84" customFormat="1" ht="27" customHeight="1" x14ac:dyDescent="0.3">
      <c r="A1302" s="75" t="s">
        <v>3879</v>
      </c>
      <c r="B1302" s="36" t="str">
        <f t="shared" si="20"/>
        <v>Agosto</v>
      </c>
      <c r="C1302" s="77" t="s">
        <v>162</v>
      </c>
      <c r="D1302" s="77" t="s">
        <v>4165</v>
      </c>
      <c r="E1302" s="78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1302" s="79" t="s">
        <v>198</v>
      </c>
      <c r="G1302" s="79" t="s">
        <v>199</v>
      </c>
      <c r="H1302" s="140" t="s">
        <v>4166</v>
      </c>
      <c r="I1302" s="77" t="s">
        <v>1212</v>
      </c>
      <c r="J1302" s="144" t="s">
        <v>1213</v>
      </c>
      <c r="K1302" s="77" t="s">
        <v>169</v>
      </c>
      <c r="L1302" s="103" t="str">
        <f>VLOOKUP(Anexo_4[[#This Row],[cod_doc]],TIPODOC,2,FALSE)</f>
        <v>FACTURA</v>
      </c>
      <c r="M1302" s="77" t="s">
        <v>180</v>
      </c>
      <c r="N1302" s="79">
        <v>1869</v>
      </c>
      <c r="O1302" s="80">
        <v>1186.44</v>
      </c>
      <c r="P1302" s="81"/>
      <c r="Q1302" s="81">
        <v>213.5592</v>
      </c>
      <c r="R1302" s="80"/>
      <c r="S1302" s="80">
        <v>0</v>
      </c>
      <c r="T1302" s="82">
        <v>1400</v>
      </c>
      <c r="U1302" s="77"/>
      <c r="V1302" s="75"/>
      <c r="W1302" s="77"/>
      <c r="X1302" s="77"/>
      <c r="Y1302" s="77"/>
      <c r="Z1302" s="77" t="s">
        <v>468</v>
      </c>
      <c r="AA1302" s="83" t="s">
        <v>4166</v>
      </c>
      <c r="AB1302" s="104" t="str">
        <f>IFERROR(VLOOKUP(Anexo_4[[#This Row],[cuenta]],OP,2,0),"-")</f>
        <v>Transporte de Carga  - Ventas</v>
      </c>
    </row>
    <row r="1303" spans="1:28" s="84" customFormat="1" ht="27" customHeight="1" x14ac:dyDescent="0.3">
      <c r="A1303" s="75" t="s">
        <v>3610</v>
      </c>
      <c r="B1303" s="36" t="str">
        <f t="shared" si="20"/>
        <v>Agosto</v>
      </c>
      <c r="C1303" s="77" t="s">
        <v>162</v>
      </c>
      <c r="D1303" s="77" t="s">
        <v>4167</v>
      </c>
      <c r="E1303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303" s="79" t="s">
        <v>592</v>
      </c>
      <c r="G1303" s="79" t="s">
        <v>593</v>
      </c>
      <c r="H1303" s="140" t="s">
        <v>4168</v>
      </c>
      <c r="I1303" s="77" t="s">
        <v>643</v>
      </c>
      <c r="J1303" s="144" t="s">
        <v>644</v>
      </c>
      <c r="K1303" s="77" t="s">
        <v>169</v>
      </c>
      <c r="L1303" s="103" t="str">
        <f>VLOOKUP(Anexo_4[[#This Row],[cod_doc]],TIPODOC,2,FALSE)</f>
        <v>FACTURA</v>
      </c>
      <c r="M1303" s="77" t="s">
        <v>102</v>
      </c>
      <c r="N1303" s="79">
        <v>4094</v>
      </c>
      <c r="O1303" s="80">
        <v>340</v>
      </c>
      <c r="P1303" s="81"/>
      <c r="Q1303" s="81">
        <v>61.199999999999996</v>
      </c>
      <c r="R1303" s="80"/>
      <c r="S1303" s="80">
        <v>0</v>
      </c>
      <c r="T1303" s="82">
        <v>401.2</v>
      </c>
      <c r="U1303" s="77"/>
      <c r="V1303" s="75"/>
      <c r="W1303" s="77"/>
      <c r="X1303" s="77"/>
      <c r="Y1303" s="77"/>
      <c r="Z1303" s="77" t="s">
        <v>645</v>
      </c>
      <c r="AA1303" s="83" t="s">
        <v>4168</v>
      </c>
      <c r="AB1303" s="104" t="str">
        <f>IFERROR(VLOOKUP(Anexo_4[[#This Row],[cuenta]],OP,2,0),"-")</f>
        <v>Montacarga - Servicios</v>
      </c>
    </row>
    <row r="1304" spans="1:28" s="84" customFormat="1" ht="27" customHeight="1" x14ac:dyDescent="0.3">
      <c r="A1304" s="75" t="s">
        <v>3610</v>
      </c>
      <c r="B1304" s="36" t="str">
        <f t="shared" si="20"/>
        <v>Agosto</v>
      </c>
      <c r="C1304" s="77" t="s">
        <v>162</v>
      </c>
      <c r="D1304" s="77" t="s">
        <v>4169</v>
      </c>
      <c r="E1304" s="78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1304" s="79" t="s">
        <v>198</v>
      </c>
      <c r="G1304" s="79" t="s">
        <v>199</v>
      </c>
      <c r="H1304" s="140" t="s">
        <v>4170</v>
      </c>
      <c r="I1304" s="77" t="s">
        <v>643</v>
      </c>
      <c r="J1304" s="144" t="s">
        <v>644</v>
      </c>
      <c r="K1304" s="77" t="s">
        <v>169</v>
      </c>
      <c r="L1304" s="103" t="str">
        <f>VLOOKUP(Anexo_4[[#This Row],[cod_doc]],TIPODOC,2,FALSE)</f>
        <v>FACTURA</v>
      </c>
      <c r="M1304" s="77" t="s">
        <v>102</v>
      </c>
      <c r="N1304" s="79">
        <v>4095</v>
      </c>
      <c r="O1304" s="80">
        <v>382.5</v>
      </c>
      <c r="P1304" s="81"/>
      <c r="Q1304" s="81">
        <v>68.849999999999994</v>
      </c>
      <c r="R1304" s="80"/>
      <c r="S1304" s="80">
        <v>0</v>
      </c>
      <c r="T1304" s="82">
        <v>451.35</v>
      </c>
      <c r="U1304" s="77"/>
      <c r="V1304" s="75"/>
      <c r="W1304" s="77"/>
      <c r="X1304" s="77"/>
      <c r="Y1304" s="77"/>
      <c r="Z1304" s="77" t="s">
        <v>648</v>
      </c>
      <c r="AA1304" s="83" t="s">
        <v>4170</v>
      </c>
      <c r="AB1304" s="104" t="str">
        <f>IFERROR(VLOOKUP(Anexo_4[[#This Row],[cuenta]],OP,2,0),"-")</f>
        <v>Montacarga - Ventas</v>
      </c>
    </row>
    <row r="1305" spans="1:28" s="84" customFormat="1" ht="27" customHeight="1" x14ac:dyDescent="0.3">
      <c r="A1305" s="75" t="s">
        <v>3610</v>
      </c>
      <c r="B1305" s="36" t="str">
        <f t="shared" si="20"/>
        <v>Agosto</v>
      </c>
      <c r="C1305" s="77" t="s">
        <v>162</v>
      </c>
      <c r="D1305" s="77" t="s">
        <v>4171</v>
      </c>
      <c r="E130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305" s="79" t="s">
        <v>592</v>
      </c>
      <c r="G1305" s="79" t="s">
        <v>593</v>
      </c>
      <c r="H1305" s="140" t="s">
        <v>4172</v>
      </c>
      <c r="I1305" s="77" t="s">
        <v>643</v>
      </c>
      <c r="J1305" s="144" t="s">
        <v>644</v>
      </c>
      <c r="K1305" s="77" t="s">
        <v>169</v>
      </c>
      <c r="L1305" s="103" t="str">
        <f>VLOOKUP(Anexo_4[[#This Row],[cod_doc]],TIPODOC,2,FALSE)</f>
        <v>FACTURA</v>
      </c>
      <c r="M1305" s="77" t="s">
        <v>102</v>
      </c>
      <c r="N1305" s="79">
        <v>4096</v>
      </c>
      <c r="O1305" s="80">
        <v>170</v>
      </c>
      <c r="P1305" s="81"/>
      <c r="Q1305" s="81">
        <v>30.599999999999998</v>
      </c>
      <c r="R1305" s="80"/>
      <c r="S1305" s="80">
        <v>0</v>
      </c>
      <c r="T1305" s="82">
        <v>200.6</v>
      </c>
      <c r="U1305" s="77"/>
      <c r="V1305" s="75"/>
      <c r="W1305" s="77"/>
      <c r="X1305" s="77"/>
      <c r="Y1305" s="77"/>
      <c r="Z1305" s="77" t="s">
        <v>645</v>
      </c>
      <c r="AA1305" s="83" t="s">
        <v>4172</v>
      </c>
      <c r="AB1305" s="104" t="str">
        <f>IFERROR(VLOOKUP(Anexo_4[[#This Row],[cuenta]],OP,2,0),"-")</f>
        <v>Montacarga - Servicios</v>
      </c>
    </row>
    <row r="1306" spans="1:28" s="84" customFormat="1" ht="27" customHeight="1" x14ac:dyDescent="0.3">
      <c r="A1306" s="75" t="s">
        <v>3670</v>
      </c>
      <c r="B1306" s="36" t="str">
        <f t="shared" si="20"/>
        <v>Agosto</v>
      </c>
      <c r="C1306" s="77" t="s">
        <v>162</v>
      </c>
      <c r="D1306" s="77" t="s">
        <v>4173</v>
      </c>
      <c r="E130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306" s="79" t="s">
        <v>592</v>
      </c>
      <c r="G1306" s="79" t="s">
        <v>593</v>
      </c>
      <c r="H1306" s="140" t="s">
        <v>4174</v>
      </c>
      <c r="I1306" s="77" t="s">
        <v>643</v>
      </c>
      <c r="J1306" s="144" t="s">
        <v>644</v>
      </c>
      <c r="K1306" s="77" t="s">
        <v>169</v>
      </c>
      <c r="L1306" s="103" t="str">
        <f>VLOOKUP(Anexo_4[[#This Row],[cod_doc]],TIPODOC,2,FALSE)</f>
        <v>FACTURA</v>
      </c>
      <c r="M1306" s="77" t="s">
        <v>102</v>
      </c>
      <c r="N1306" s="79">
        <v>4105</v>
      </c>
      <c r="O1306" s="80">
        <v>467.5</v>
      </c>
      <c r="P1306" s="81"/>
      <c r="Q1306" s="81">
        <v>84.149999999999991</v>
      </c>
      <c r="R1306" s="80"/>
      <c r="S1306" s="80">
        <v>0</v>
      </c>
      <c r="T1306" s="82">
        <v>551.65</v>
      </c>
      <c r="U1306" s="77"/>
      <c r="V1306" s="75"/>
      <c r="W1306" s="77"/>
      <c r="X1306" s="77"/>
      <c r="Y1306" s="77"/>
      <c r="Z1306" s="77" t="s">
        <v>645</v>
      </c>
      <c r="AA1306" s="83" t="s">
        <v>4174</v>
      </c>
      <c r="AB1306" s="104" t="str">
        <f>IFERROR(VLOOKUP(Anexo_4[[#This Row],[cuenta]],OP,2,0),"-")</f>
        <v>Montacarga - Servicios</v>
      </c>
    </row>
    <row r="1307" spans="1:28" s="84" customFormat="1" ht="27" customHeight="1" x14ac:dyDescent="0.3">
      <c r="A1307" s="75" t="s">
        <v>3283</v>
      </c>
      <c r="B1307" s="36" t="str">
        <f t="shared" si="20"/>
        <v>Agosto</v>
      </c>
      <c r="C1307" s="77" t="s">
        <v>162</v>
      </c>
      <c r="D1307" s="77" t="s">
        <v>4175</v>
      </c>
      <c r="E1307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307" s="79" t="s">
        <v>164</v>
      </c>
      <c r="G1307" s="79" t="s">
        <v>165</v>
      </c>
      <c r="H1307" s="140" t="s">
        <v>4176</v>
      </c>
      <c r="I1307" s="77" t="s">
        <v>213</v>
      </c>
      <c r="J1307" s="144" t="s">
        <v>214</v>
      </c>
      <c r="K1307" s="77" t="s">
        <v>169</v>
      </c>
      <c r="L1307" s="103" t="str">
        <f>VLOOKUP(Anexo_4[[#This Row],[cod_doc]],TIPODOC,2,FALSE)</f>
        <v>FACTURA</v>
      </c>
      <c r="M1307" s="77" t="s">
        <v>102</v>
      </c>
      <c r="N1307" s="79">
        <v>486</v>
      </c>
      <c r="O1307" s="80">
        <v>59.9</v>
      </c>
      <c r="P1307" s="81"/>
      <c r="Q1307" s="81">
        <v>10.782</v>
      </c>
      <c r="R1307" s="80"/>
      <c r="S1307" s="80">
        <v>0</v>
      </c>
      <c r="T1307" s="82">
        <v>70.680000000000007</v>
      </c>
      <c r="U1307" s="77"/>
      <c r="V1307" s="75"/>
      <c r="W1307" s="77"/>
      <c r="X1307" s="77"/>
      <c r="Y1307" s="77"/>
      <c r="Z1307" s="77" t="s">
        <v>209</v>
      </c>
      <c r="AA1307" s="83" t="s">
        <v>4176</v>
      </c>
      <c r="AB1307" s="104" t="str">
        <f>IFERROR(VLOOKUP(Anexo_4[[#This Row],[cuenta]],OP,2,0),"-")</f>
        <v>-</v>
      </c>
    </row>
    <row r="1308" spans="1:28" s="84" customFormat="1" ht="27" customHeight="1" x14ac:dyDescent="0.3">
      <c r="A1308" s="75" t="s">
        <v>3746</v>
      </c>
      <c r="B1308" s="36" t="str">
        <f t="shared" si="20"/>
        <v>Agosto</v>
      </c>
      <c r="C1308" s="77" t="s">
        <v>162</v>
      </c>
      <c r="D1308" s="77" t="s">
        <v>4177</v>
      </c>
      <c r="E1308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308" s="79" t="s">
        <v>823</v>
      </c>
      <c r="G1308" s="79" t="s">
        <v>824</v>
      </c>
      <c r="H1308" s="140" t="s">
        <v>4178</v>
      </c>
      <c r="I1308" s="77" t="s">
        <v>2461</v>
      </c>
      <c r="J1308" s="144" t="s">
        <v>2462</v>
      </c>
      <c r="K1308" s="77" t="s">
        <v>169</v>
      </c>
      <c r="L1308" s="103" t="str">
        <f>VLOOKUP(Anexo_4[[#This Row],[cod_doc]],TIPODOC,2,FALSE)</f>
        <v>FACTURA</v>
      </c>
      <c r="M1308" s="77" t="s">
        <v>102</v>
      </c>
      <c r="N1308" s="79">
        <v>2</v>
      </c>
      <c r="O1308" s="80">
        <v>600</v>
      </c>
      <c r="P1308" s="81"/>
      <c r="Q1308" s="81">
        <v>108</v>
      </c>
      <c r="R1308" s="80"/>
      <c r="S1308" s="80">
        <v>0</v>
      </c>
      <c r="T1308" s="82">
        <v>708</v>
      </c>
      <c r="U1308" s="77"/>
      <c r="V1308" s="75"/>
      <c r="W1308" s="77"/>
      <c r="X1308" s="77"/>
      <c r="Y1308" s="77"/>
      <c r="Z1308" s="77" t="s">
        <v>958</v>
      </c>
      <c r="AA1308" s="83" t="s">
        <v>4178</v>
      </c>
      <c r="AB1308" s="104" t="str">
        <f>IFERROR(VLOOKUP(Anexo_4[[#This Row],[cuenta]],OP,2,0),"-")</f>
        <v>-</v>
      </c>
    </row>
    <row r="1309" spans="1:28" s="84" customFormat="1" ht="27" customHeight="1" x14ac:dyDescent="0.3">
      <c r="A1309" s="75" t="s">
        <v>3711</v>
      </c>
      <c r="B1309" s="36" t="str">
        <f t="shared" si="20"/>
        <v>Agosto</v>
      </c>
      <c r="C1309" s="77" t="s">
        <v>162</v>
      </c>
      <c r="D1309" s="77" t="s">
        <v>4179</v>
      </c>
      <c r="E1309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309" s="79" t="s">
        <v>235</v>
      </c>
      <c r="G1309" s="79" t="s">
        <v>236</v>
      </c>
      <c r="H1309" s="140" t="s">
        <v>4180</v>
      </c>
      <c r="I1309" s="77" t="s">
        <v>178</v>
      </c>
      <c r="J1309" s="144" t="s">
        <v>179</v>
      </c>
      <c r="K1309" s="77" t="s">
        <v>169</v>
      </c>
      <c r="L1309" s="103" t="str">
        <f>VLOOKUP(Anexo_4[[#This Row],[cod_doc]],TIPODOC,2,FALSE)</f>
        <v>FACTURA</v>
      </c>
      <c r="M1309" s="77" t="s">
        <v>180</v>
      </c>
      <c r="N1309" s="79">
        <v>135829</v>
      </c>
      <c r="O1309" s="80">
        <v>8.4700000000000006</v>
      </c>
      <c r="P1309" s="81"/>
      <c r="Q1309" s="81">
        <v>1.5246</v>
      </c>
      <c r="R1309" s="80"/>
      <c r="S1309" s="80">
        <v>0</v>
      </c>
      <c r="T1309" s="82">
        <v>10</v>
      </c>
      <c r="U1309" s="77"/>
      <c r="V1309" s="75"/>
      <c r="W1309" s="77"/>
      <c r="X1309" s="77"/>
      <c r="Y1309" s="77" t="s">
        <v>4181</v>
      </c>
      <c r="Z1309" s="77" t="s">
        <v>182</v>
      </c>
      <c r="AA1309" s="83" t="s">
        <v>4180</v>
      </c>
      <c r="AB1309" s="104" t="str">
        <f>IFERROR(VLOOKUP(Anexo_4[[#This Row],[cuenta]],OP,2,0),"-")</f>
        <v>Balanza - Ventas</v>
      </c>
    </row>
    <row r="1310" spans="1:28" s="84" customFormat="1" ht="27" customHeight="1" x14ac:dyDescent="0.3">
      <c r="A1310" s="75" t="s">
        <v>4037</v>
      </c>
      <c r="B1310" s="36" t="str">
        <f t="shared" si="20"/>
        <v>Agosto</v>
      </c>
      <c r="C1310" s="77" t="s">
        <v>162</v>
      </c>
      <c r="D1310" s="77" t="s">
        <v>4182</v>
      </c>
      <c r="E1310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310" s="79" t="s">
        <v>235</v>
      </c>
      <c r="G1310" s="79" t="s">
        <v>236</v>
      </c>
      <c r="H1310" s="140" t="s">
        <v>930</v>
      </c>
      <c r="I1310" s="77" t="s">
        <v>286</v>
      </c>
      <c r="J1310" s="144" t="s">
        <v>287</v>
      </c>
      <c r="K1310" s="77" t="s">
        <v>169</v>
      </c>
      <c r="L1310" s="103" t="str">
        <f>VLOOKUP(Anexo_4[[#This Row],[cod_doc]],TIPODOC,2,FALSE)</f>
        <v>FACTURA</v>
      </c>
      <c r="M1310" s="77" t="s">
        <v>222</v>
      </c>
      <c r="N1310" s="79">
        <v>18192</v>
      </c>
      <c r="O1310" s="80"/>
      <c r="P1310" s="81"/>
      <c r="Q1310" s="81"/>
      <c r="R1310" s="80"/>
      <c r="S1310" s="80">
        <v>22</v>
      </c>
      <c r="T1310" s="82">
        <v>22</v>
      </c>
      <c r="U1310" s="77"/>
      <c r="V1310" s="75"/>
      <c r="W1310" s="77"/>
      <c r="X1310" s="77"/>
      <c r="Y1310" s="77"/>
      <c r="Z1310" s="77" t="s">
        <v>182</v>
      </c>
      <c r="AA1310" s="83" t="s">
        <v>930</v>
      </c>
      <c r="AB1310" s="104" t="str">
        <f>IFERROR(VLOOKUP(Anexo_4[[#This Row],[cuenta]],OP,2,0),"-")</f>
        <v>Balanza - Ventas</v>
      </c>
    </row>
    <row r="1311" spans="1:28" s="84" customFormat="1" ht="27" customHeight="1" x14ac:dyDescent="0.3">
      <c r="A1311" s="75" t="s">
        <v>4037</v>
      </c>
      <c r="B1311" s="36" t="str">
        <f t="shared" si="20"/>
        <v>Agosto</v>
      </c>
      <c r="C1311" s="77" t="s">
        <v>162</v>
      </c>
      <c r="D1311" s="77" t="s">
        <v>4183</v>
      </c>
      <c r="E131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311" s="79" t="s">
        <v>217</v>
      </c>
      <c r="G1311" s="79" t="s">
        <v>218</v>
      </c>
      <c r="H1311" s="140" t="s">
        <v>1276</v>
      </c>
      <c r="I1311" s="77" t="s">
        <v>264</v>
      </c>
      <c r="J1311" s="144" t="s">
        <v>265</v>
      </c>
      <c r="K1311" s="77" t="s">
        <v>169</v>
      </c>
      <c r="L1311" s="103" t="str">
        <f>VLOOKUP(Anexo_4[[#This Row],[cod_doc]],TIPODOC,2,FALSE)</f>
        <v>FACTURA</v>
      </c>
      <c r="M1311" s="77" t="s">
        <v>379</v>
      </c>
      <c r="N1311" s="79">
        <v>2150007</v>
      </c>
      <c r="O1311" s="80">
        <v>6.78</v>
      </c>
      <c r="P1311" s="81"/>
      <c r="Q1311" s="81">
        <v>1.2203999999999999</v>
      </c>
      <c r="R1311" s="80"/>
      <c r="S1311" s="80">
        <v>0</v>
      </c>
      <c r="T1311" s="82">
        <v>8</v>
      </c>
      <c r="U1311" s="77"/>
      <c r="V1311" s="75"/>
      <c r="W1311" s="77"/>
      <c r="X1311" s="77"/>
      <c r="Y1311" s="77"/>
      <c r="Z1311" s="77" t="s">
        <v>268</v>
      </c>
      <c r="AA1311" s="83" t="s">
        <v>1276</v>
      </c>
      <c r="AB1311" s="104" t="str">
        <f>IFERROR(VLOOKUP(Anexo_4[[#This Row],[cuenta]],OP,2,0),"-")</f>
        <v>Transporte peajes - Ventas</v>
      </c>
    </row>
    <row r="1312" spans="1:28" s="84" customFormat="1" ht="27" customHeight="1" x14ac:dyDescent="0.3">
      <c r="A1312" s="75" t="s">
        <v>4037</v>
      </c>
      <c r="B1312" s="36" t="str">
        <f t="shared" si="20"/>
        <v>Agosto</v>
      </c>
      <c r="C1312" s="77" t="s">
        <v>162</v>
      </c>
      <c r="D1312" s="77" t="s">
        <v>4184</v>
      </c>
      <c r="E131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312" s="79" t="s">
        <v>217</v>
      </c>
      <c r="G1312" s="79" t="s">
        <v>218</v>
      </c>
      <c r="H1312" s="140" t="s">
        <v>1276</v>
      </c>
      <c r="I1312" s="77" t="s">
        <v>264</v>
      </c>
      <c r="J1312" s="144" t="s">
        <v>265</v>
      </c>
      <c r="K1312" s="77" t="s">
        <v>169</v>
      </c>
      <c r="L1312" s="103" t="str">
        <f>VLOOKUP(Anexo_4[[#This Row],[cod_doc]],TIPODOC,2,FALSE)</f>
        <v>FACTURA</v>
      </c>
      <c r="M1312" s="77" t="s">
        <v>279</v>
      </c>
      <c r="N1312" s="79">
        <v>1111679</v>
      </c>
      <c r="O1312" s="80">
        <v>6.78</v>
      </c>
      <c r="P1312" s="81"/>
      <c r="Q1312" s="81">
        <v>1.2203999999999999</v>
      </c>
      <c r="R1312" s="80"/>
      <c r="S1312" s="80">
        <v>0</v>
      </c>
      <c r="T1312" s="82">
        <v>8</v>
      </c>
      <c r="U1312" s="77"/>
      <c r="V1312" s="75"/>
      <c r="W1312" s="77"/>
      <c r="X1312" s="77"/>
      <c r="Y1312" s="77"/>
      <c r="Z1312" s="77" t="s">
        <v>268</v>
      </c>
      <c r="AA1312" s="83" t="s">
        <v>1276</v>
      </c>
      <c r="AB1312" s="104" t="str">
        <f>IFERROR(VLOOKUP(Anexo_4[[#This Row],[cuenta]],OP,2,0),"-")</f>
        <v>Transporte peajes - Ventas</v>
      </c>
    </row>
    <row r="1313" spans="1:28" s="84" customFormat="1" ht="27" customHeight="1" x14ac:dyDescent="0.3">
      <c r="A1313" s="75" t="s">
        <v>3283</v>
      </c>
      <c r="B1313" s="36" t="str">
        <f t="shared" si="20"/>
        <v>Agosto</v>
      </c>
      <c r="C1313" s="77" t="s">
        <v>162</v>
      </c>
      <c r="D1313" s="77" t="s">
        <v>4185</v>
      </c>
      <c r="E1313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313" s="79" t="s">
        <v>217</v>
      </c>
      <c r="G1313" s="79" t="s">
        <v>218</v>
      </c>
      <c r="H1313" s="140" t="s">
        <v>1276</v>
      </c>
      <c r="I1313" s="77" t="s">
        <v>264</v>
      </c>
      <c r="J1313" s="144" t="s">
        <v>265</v>
      </c>
      <c r="K1313" s="77" t="s">
        <v>169</v>
      </c>
      <c r="L1313" s="103" t="str">
        <f>VLOOKUP(Anexo_4[[#This Row],[cod_doc]],TIPODOC,2,FALSE)</f>
        <v>FACTURA</v>
      </c>
      <c r="M1313" s="77" t="s">
        <v>379</v>
      </c>
      <c r="N1313" s="79">
        <v>2151336</v>
      </c>
      <c r="O1313" s="80">
        <v>6.78</v>
      </c>
      <c r="P1313" s="81"/>
      <c r="Q1313" s="81">
        <v>1.2203999999999999</v>
      </c>
      <c r="R1313" s="80"/>
      <c r="S1313" s="80">
        <v>0</v>
      </c>
      <c r="T1313" s="82">
        <v>8</v>
      </c>
      <c r="U1313" s="77"/>
      <c r="V1313" s="75"/>
      <c r="W1313" s="77"/>
      <c r="X1313" s="77"/>
      <c r="Y1313" s="77"/>
      <c r="Z1313" s="77" t="s">
        <v>268</v>
      </c>
      <c r="AA1313" s="83" t="s">
        <v>1276</v>
      </c>
      <c r="AB1313" s="104" t="str">
        <f>IFERROR(VLOOKUP(Anexo_4[[#This Row],[cuenta]],OP,2,0),"-")</f>
        <v>Transporte peajes - Ventas</v>
      </c>
    </row>
    <row r="1314" spans="1:28" s="84" customFormat="1" ht="27" customHeight="1" x14ac:dyDescent="0.3">
      <c r="A1314" s="75" t="s">
        <v>4037</v>
      </c>
      <c r="B1314" s="36" t="str">
        <f t="shared" si="20"/>
        <v>Agosto</v>
      </c>
      <c r="C1314" s="77" t="s">
        <v>162</v>
      </c>
      <c r="D1314" s="77" t="s">
        <v>4186</v>
      </c>
      <c r="E1314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314" s="79" t="s">
        <v>217</v>
      </c>
      <c r="G1314" s="79" t="s">
        <v>218</v>
      </c>
      <c r="H1314" s="140" t="s">
        <v>1276</v>
      </c>
      <c r="I1314" s="77" t="s">
        <v>264</v>
      </c>
      <c r="J1314" s="144" t="s">
        <v>265</v>
      </c>
      <c r="K1314" s="77" t="s">
        <v>169</v>
      </c>
      <c r="L1314" s="103" t="str">
        <f>VLOOKUP(Anexo_4[[#This Row],[cod_doc]],TIPODOC,2,FALSE)</f>
        <v>FACTURA</v>
      </c>
      <c r="M1314" s="77" t="s">
        <v>275</v>
      </c>
      <c r="N1314" s="79">
        <v>1016199</v>
      </c>
      <c r="O1314" s="80">
        <v>6.78</v>
      </c>
      <c r="P1314" s="81"/>
      <c r="Q1314" s="81">
        <v>1.2203999999999999</v>
      </c>
      <c r="R1314" s="80"/>
      <c r="S1314" s="80">
        <v>0</v>
      </c>
      <c r="T1314" s="82">
        <v>8</v>
      </c>
      <c r="U1314" s="77"/>
      <c r="V1314" s="75"/>
      <c r="W1314" s="77"/>
      <c r="X1314" s="77"/>
      <c r="Y1314" s="77"/>
      <c r="Z1314" s="77" t="s">
        <v>268</v>
      </c>
      <c r="AA1314" s="83" t="s">
        <v>1276</v>
      </c>
      <c r="AB1314" s="104" t="str">
        <f>IFERROR(VLOOKUP(Anexo_4[[#This Row],[cuenta]],OP,2,0),"-")</f>
        <v>Transporte peajes - Ventas</v>
      </c>
    </row>
    <row r="1315" spans="1:28" s="84" customFormat="1" ht="27" customHeight="1" x14ac:dyDescent="0.3">
      <c r="A1315" s="75" t="s">
        <v>4037</v>
      </c>
      <c r="B1315" s="36" t="str">
        <f t="shared" si="20"/>
        <v>Agosto</v>
      </c>
      <c r="C1315" s="77" t="s">
        <v>162</v>
      </c>
      <c r="D1315" s="77" t="s">
        <v>4187</v>
      </c>
      <c r="E131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315" s="79" t="s">
        <v>217</v>
      </c>
      <c r="G1315" s="79" t="s">
        <v>218</v>
      </c>
      <c r="H1315" s="140" t="s">
        <v>1276</v>
      </c>
      <c r="I1315" s="77" t="s">
        <v>264</v>
      </c>
      <c r="J1315" s="144" t="s">
        <v>265</v>
      </c>
      <c r="K1315" s="77" t="s">
        <v>169</v>
      </c>
      <c r="L1315" s="103" t="str">
        <f>VLOOKUP(Anexo_4[[#This Row],[cod_doc]],TIPODOC,2,FALSE)</f>
        <v>FACTURA</v>
      </c>
      <c r="M1315" s="77" t="s">
        <v>406</v>
      </c>
      <c r="N1315" s="79">
        <v>2440464</v>
      </c>
      <c r="O1315" s="80">
        <v>6.78</v>
      </c>
      <c r="P1315" s="81"/>
      <c r="Q1315" s="81">
        <v>1.2203999999999999</v>
      </c>
      <c r="R1315" s="80"/>
      <c r="S1315" s="80">
        <v>0</v>
      </c>
      <c r="T1315" s="82">
        <v>8</v>
      </c>
      <c r="U1315" s="77"/>
      <c r="V1315" s="75"/>
      <c r="W1315" s="77"/>
      <c r="X1315" s="77"/>
      <c r="Y1315" s="77"/>
      <c r="Z1315" s="77" t="s">
        <v>268</v>
      </c>
      <c r="AA1315" s="83" t="s">
        <v>1276</v>
      </c>
      <c r="AB1315" s="104" t="str">
        <f>IFERROR(VLOOKUP(Anexo_4[[#This Row],[cuenta]],OP,2,0),"-")</f>
        <v>Transporte peajes - Ventas</v>
      </c>
    </row>
    <row r="1316" spans="1:28" s="84" customFormat="1" ht="27" customHeight="1" x14ac:dyDescent="0.3">
      <c r="A1316" s="75" t="s">
        <v>3879</v>
      </c>
      <c r="B1316" s="36" t="str">
        <f t="shared" si="20"/>
        <v>Agosto</v>
      </c>
      <c r="C1316" s="77" t="s">
        <v>162</v>
      </c>
      <c r="D1316" s="77" t="s">
        <v>4188</v>
      </c>
      <c r="E131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316" s="79" t="s">
        <v>391</v>
      </c>
      <c r="G1316" s="79" t="s">
        <v>392</v>
      </c>
      <c r="H1316" s="140" t="s">
        <v>1276</v>
      </c>
      <c r="I1316" s="77" t="s">
        <v>264</v>
      </c>
      <c r="J1316" s="144" t="s">
        <v>265</v>
      </c>
      <c r="K1316" s="77" t="s">
        <v>169</v>
      </c>
      <c r="L1316" s="103" t="str">
        <f>VLOOKUP(Anexo_4[[#This Row],[cod_doc]],TIPODOC,2,FALSE)</f>
        <v>FACTURA</v>
      </c>
      <c r="M1316" s="77" t="s">
        <v>271</v>
      </c>
      <c r="N1316" s="79">
        <v>1814973</v>
      </c>
      <c r="O1316" s="80">
        <v>6.78</v>
      </c>
      <c r="P1316" s="81"/>
      <c r="Q1316" s="81">
        <v>1.2203999999999999</v>
      </c>
      <c r="R1316" s="80"/>
      <c r="S1316" s="80">
        <v>0</v>
      </c>
      <c r="T1316" s="82">
        <v>8</v>
      </c>
      <c r="U1316" s="77"/>
      <c r="V1316" s="75"/>
      <c r="W1316" s="77"/>
      <c r="X1316" s="77"/>
      <c r="Y1316" s="77"/>
      <c r="Z1316" s="77" t="s">
        <v>268</v>
      </c>
      <c r="AA1316" s="83" t="s">
        <v>1276</v>
      </c>
      <c r="AB1316" s="104" t="str">
        <f>IFERROR(VLOOKUP(Anexo_4[[#This Row],[cuenta]],OP,2,0),"-")</f>
        <v>Transporte peajes - Ventas</v>
      </c>
    </row>
    <row r="1317" spans="1:28" s="84" customFormat="1" ht="27" customHeight="1" x14ac:dyDescent="0.3">
      <c r="A1317" s="75" t="s">
        <v>3283</v>
      </c>
      <c r="B1317" s="36" t="str">
        <f t="shared" si="20"/>
        <v>Agosto</v>
      </c>
      <c r="C1317" s="77" t="s">
        <v>162</v>
      </c>
      <c r="D1317" s="77" t="s">
        <v>4189</v>
      </c>
      <c r="E1317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317" s="79" t="s">
        <v>217</v>
      </c>
      <c r="G1317" s="79" t="s">
        <v>218</v>
      </c>
      <c r="H1317" s="140" t="s">
        <v>1276</v>
      </c>
      <c r="I1317" s="77" t="s">
        <v>264</v>
      </c>
      <c r="J1317" s="144" t="s">
        <v>265</v>
      </c>
      <c r="K1317" s="77" t="s">
        <v>169</v>
      </c>
      <c r="L1317" s="103" t="str">
        <f>VLOOKUP(Anexo_4[[#This Row],[cod_doc]],TIPODOC,2,FALSE)</f>
        <v>FACTURA</v>
      </c>
      <c r="M1317" s="77" t="s">
        <v>406</v>
      </c>
      <c r="N1317" s="79">
        <v>2441872</v>
      </c>
      <c r="O1317" s="80">
        <v>6.78</v>
      </c>
      <c r="P1317" s="81"/>
      <c r="Q1317" s="81">
        <v>1.2203999999999999</v>
      </c>
      <c r="R1317" s="80"/>
      <c r="S1317" s="80">
        <v>0</v>
      </c>
      <c r="T1317" s="82">
        <v>8</v>
      </c>
      <c r="U1317" s="77"/>
      <c r="V1317" s="75"/>
      <c r="W1317" s="77"/>
      <c r="X1317" s="77"/>
      <c r="Y1317" s="77"/>
      <c r="Z1317" s="77" t="s">
        <v>268</v>
      </c>
      <c r="AA1317" s="83" t="s">
        <v>1276</v>
      </c>
      <c r="AB1317" s="104" t="str">
        <f>IFERROR(VLOOKUP(Anexo_4[[#This Row],[cuenta]],OP,2,0),"-")</f>
        <v>Transporte peajes - Ventas</v>
      </c>
    </row>
    <row r="1318" spans="1:28" s="84" customFormat="1" ht="27" customHeight="1" x14ac:dyDescent="0.3">
      <c r="A1318" s="75" t="s">
        <v>3794</v>
      </c>
      <c r="B1318" s="36" t="str">
        <f t="shared" si="20"/>
        <v>Agosto</v>
      </c>
      <c r="C1318" s="77" t="s">
        <v>162</v>
      </c>
      <c r="D1318" s="77" t="s">
        <v>4190</v>
      </c>
      <c r="E1318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318" s="79" t="s">
        <v>391</v>
      </c>
      <c r="G1318" s="79" t="s">
        <v>392</v>
      </c>
      <c r="H1318" s="140" t="s">
        <v>1276</v>
      </c>
      <c r="I1318" s="77" t="s">
        <v>264</v>
      </c>
      <c r="J1318" s="144" t="s">
        <v>265</v>
      </c>
      <c r="K1318" s="77" t="s">
        <v>169</v>
      </c>
      <c r="L1318" s="103" t="str">
        <f>VLOOKUP(Anexo_4[[#This Row],[cod_doc]],TIPODOC,2,FALSE)</f>
        <v>FACTURA</v>
      </c>
      <c r="M1318" s="77" t="s">
        <v>406</v>
      </c>
      <c r="N1318" s="79">
        <v>2433524</v>
      </c>
      <c r="O1318" s="80">
        <v>6.78</v>
      </c>
      <c r="P1318" s="81"/>
      <c r="Q1318" s="81">
        <v>1.2203999999999999</v>
      </c>
      <c r="R1318" s="80"/>
      <c r="S1318" s="80">
        <v>0</v>
      </c>
      <c r="T1318" s="82">
        <v>8</v>
      </c>
      <c r="U1318" s="77"/>
      <c r="V1318" s="75"/>
      <c r="W1318" s="77"/>
      <c r="X1318" s="77"/>
      <c r="Y1318" s="77"/>
      <c r="Z1318" s="77" t="s">
        <v>268</v>
      </c>
      <c r="AA1318" s="83" t="s">
        <v>1276</v>
      </c>
      <c r="AB1318" s="104" t="str">
        <f>IFERROR(VLOOKUP(Anexo_4[[#This Row],[cuenta]],OP,2,0),"-")</f>
        <v>Transporte peajes - Ventas</v>
      </c>
    </row>
    <row r="1319" spans="1:28" s="84" customFormat="1" ht="27" customHeight="1" x14ac:dyDescent="0.3">
      <c r="A1319" s="75" t="s">
        <v>3746</v>
      </c>
      <c r="B1319" s="36" t="str">
        <f t="shared" si="20"/>
        <v>Agosto</v>
      </c>
      <c r="C1319" s="77" t="s">
        <v>162</v>
      </c>
      <c r="D1319" s="77" t="s">
        <v>4191</v>
      </c>
      <c r="E1319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319" s="79" t="s">
        <v>235</v>
      </c>
      <c r="G1319" s="79" t="s">
        <v>236</v>
      </c>
      <c r="H1319" s="140" t="s">
        <v>4192</v>
      </c>
      <c r="I1319" s="77" t="s">
        <v>264</v>
      </c>
      <c r="J1319" s="144" t="s">
        <v>265</v>
      </c>
      <c r="K1319" s="77" t="s">
        <v>169</v>
      </c>
      <c r="L1319" s="103" t="str">
        <f>VLOOKUP(Anexo_4[[#This Row],[cod_doc]],TIPODOC,2,FALSE)</f>
        <v>FACTURA</v>
      </c>
      <c r="M1319" s="77" t="s">
        <v>352</v>
      </c>
      <c r="N1319" s="79">
        <v>1832586</v>
      </c>
      <c r="O1319" s="80">
        <v>6.78</v>
      </c>
      <c r="P1319" s="81"/>
      <c r="Q1319" s="81">
        <v>1.2203999999999999</v>
      </c>
      <c r="R1319" s="80"/>
      <c r="S1319" s="80">
        <v>0</v>
      </c>
      <c r="T1319" s="82">
        <v>8</v>
      </c>
      <c r="U1319" s="77"/>
      <c r="V1319" s="75"/>
      <c r="W1319" s="77"/>
      <c r="X1319" s="77"/>
      <c r="Y1319" s="77" t="s">
        <v>4193</v>
      </c>
      <c r="Z1319" s="77" t="s">
        <v>302</v>
      </c>
      <c r="AA1319" s="83" t="s">
        <v>4192</v>
      </c>
      <c r="AB1319" s="104" t="str">
        <f>IFERROR(VLOOKUP(Anexo_4[[#This Row],[cuenta]],OP,2,0),"-")</f>
        <v>Transporte peajes - Servicios</v>
      </c>
    </row>
    <row r="1320" spans="1:28" s="84" customFormat="1" ht="27" customHeight="1" x14ac:dyDescent="0.3">
      <c r="A1320" s="75" t="s">
        <v>3746</v>
      </c>
      <c r="B1320" s="36" t="str">
        <f t="shared" si="20"/>
        <v>Agosto</v>
      </c>
      <c r="C1320" s="77" t="s">
        <v>162</v>
      </c>
      <c r="D1320" s="77" t="s">
        <v>4194</v>
      </c>
      <c r="E1320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320" s="79" t="s">
        <v>235</v>
      </c>
      <c r="G1320" s="79" t="s">
        <v>236</v>
      </c>
      <c r="H1320" s="140" t="s">
        <v>4195</v>
      </c>
      <c r="I1320" s="77" t="s">
        <v>264</v>
      </c>
      <c r="J1320" s="144" t="s">
        <v>265</v>
      </c>
      <c r="K1320" s="77" t="s">
        <v>169</v>
      </c>
      <c r="L1320" s="103" t="str">
        <f>VLOOKUP(Anexo_4[[#This Row],[cod_doc]],TIPODOC,2,FALSE)</f>
        <v>FACTURA</v>
      </c>
      <c r="M1320" s="77" t="s">
        <v>519</v>
      </c>
      <c r="N1320" s="79">
        <v>399071</v>
      </c>
      <c r="O1320" s="80">
        <v>6.78</v>
      </c>
      <c r="P1320" s="81"/>
      <c r="Q1320" s="81">
        <v>1.2203999999999999</v>
      </c>
      <c r="R1320" s="80"/>
      <c r="S1320" s="80">
        <v>0</v>
      </c>
      <c r="T1320" s="82">
        <v>8</v>
      </c>
      <c r="U1320" s="77"/>
      <c r="V1320" s="75"/>
      <c r="W1320" s="77"/>
      <c r="X1320" s="77"/>
      <c r="Y1320" s="77" t="s">
        <v>4196</v>
      </c>
      <c r="Z1320" s="77" t="s">
        <v>302</v>
      </c>
      <c r="AA1320" s="83" t="s">
        <v>4195</v>
      </c>
      <c r="AB1320" s="104" t="str">
        <f>IFERROR(VLOOKUP(Anexo_4[[#This Row],[cuenta]],OP,2,0),"-")</f>
        <v>Transporte peajes - Servicios</v>
      </c>
    </row>
    <row r="1321" spans="1:28" s="84" customFormat="1" ht="27" customHeight="1" x14ac:dyDescent="0.3">
      <c r="A1321" s="75" t="s">
        <v>3711</v>
      </c>
      <c r="B1321" s="36" t="str">
        <f t="shared" si="20"/>
        <v>Agosto</v>
      </c>
      <c r="C1321" s="77" t="s">
        <v>162</v>
      </c>
      <c r="D1321" s="77" t="s">
        <v>4197</v>
      </c>
      <c r="E132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321" s="79" t="s">
        <v>235</v>
      </c>
      <c r="G1321" s="79" t="s">
        <v>236</v>
      </c>
      <c r="H1321" s="140" t="s">
        <v>4198</v>
      </c>
      <c r="I1321" s="77" t="s">
        <v>178</v>
      </c>
      <c r="J1321" s="144" t="s">
        <v>179</v>
      </c>
      <c r="K1321" s="77" t="s">
        <v>169</v>
      </c>
      <c r="L1321" s="103" t="str">
        <f>VLOOKUP(Anexo_4[[#This Row],[cod_doc]],TIPODOC,2,FALSE)</f>
        <v>FACTURA</v>
      </c>
      <c r="M1321" s="77" t="s">
        <v>180</v>
      </c>
      <c r="N1321" s="79">
        <v>135830</v>
      </c>
      <c r="O1321" s="80">
        <v>8.4700000000000006</v>
      </c>
      <c r="P1321" s="81"/>
      <c r="Q1321" s="81">
        <v>1.5246</v>
      </c>
      <c r="R1321" s="80"/>
      <c r="S1321" s="80">
        <v>0</v>
      </c>
      <c r="T1321" s="82">
        <v>10</v>
      </c>
      <c r="U1321" s="77"/>
      <c r="V1321" s="75"/>
      <c r="W1321" s="77"/>
      <c r="X1321" s="77"/>
      <c r="Y1321" s="77" t="s">
        <v>4199</v>
      </c>
      <c r="Z1321" s="77" t="s">
        <v>182</v>
      </c>
      <c r="AA1321" s="83" t="s">
        <v>4198</v>
      </c>
      <c r="AB1321" s="104" t="str">
        <f>IFERROR(VLOOKUP(Anexo_4[[#This Row],[cuenta]],OP,2,0),"-")</f>
        <v>Balanza - Ventas</v>
      </c>
    </row>
    <row r="1322" spans="1:28" s="84" customFormat="1" ht="27" customHeight="1" x14ac:dyDescent="0.3">
      <c r="A1322" s="75" t="s">
        <v>3711</v>
      </c>
      <c r="B1322" s="36" t="str">
        <f t="shared" si="20"/>
        <v>Agosto</v>
      </c>
      <c r="C1322" s="77" t="s">
        <v>162</v>
      </c>
      <c r="D1322" s="77" t="s">
        <v>4200</v>
      </c>
      <c r="E132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322" s="79" t="s">
        <v>248</v>
      </c>
      <c r="G1322" s="79" t="s">
        <v>249</v>
      </c>
      <c r="H1322" s="140" t="s">
        <v>4201</v>
      </c>
      <c r="I1322" s="77" t="s">
        <v>980</v>
      </c>
      <c r="J1322" s="144" t="s">
        <v>981</v>
      </c>
      <c r="K1322" s="77" t="s">
        <v>169</v>
      </c>
      <c r="L1322" s="103" t="str">
        <f>VLOOKUP(Anexo_4[[#This Row],[cod_doc]],TIPODOC,2,FALSE)</f>
        <v>FACTURA</v>
      </c>
      <c r="M1322" s="77" t="s">
        <v>982</v>
      </c>
      <c r="N1322" s="79">
        <v>1717</v>
      </c>
      <c r="O1322" s="80">
        <v>1344.25</v>
      </c>
      <c r="P1322" s="81"/>
      <c r="Q1322" s="81">
        <v>241.965</v>
      </c>
      <c r="R1322" s="80"/>
      <c r="S1322" s="80">
        <v>0</v>
      </c>
      <c r="T1322" s="82">
        <v>1586.21</v>
      </c>
      <c r="U1322" s="77"/>
      <c r="V1322" s="75"/>
      <c r="W1322" s="77"/>
      <c r="X1322" s="77"/>
      <c r="Y1322" s="77" t="s">
        <v>4202</v>
      </c>
      <c r="Z1322" s="77" t="s">
        <v>256</v>
      </c>
      <c r="AA1322" s="83" t="s">
        <v>4201</v>
      </c>
      <c r="AB1322" s="104" t="str">
        <f>IFERROR(VLOOKUP(Anexo_4[[#This Row],[cuenta]],OP,2,0),"-")</f>
        <v>Materias Primas - RRSS</v>
      </c>
    </row>
    <row r="1323" spans="1:28" s="84" customFormat="1" ht="27" customHeight="1" x14ac:dyDescent="0.3">
      <c r="A1323" s="75" t="s">
        <v>3711</v>
      </c>
      <c r="B1323" s="36" t="str">
        <f t="shared" si="20"/>
        <v>Agosto</v>
      </c>
      <c r="C1323" s="77" t="s">
        <v>162</v>
      </c>
      <c r="D1323" s="77" t="s">
        <v>4203</v>
      </c>
      <c r="E1323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323" s="79" t="s">
        <v>248</v>
      </c>
      <c r="G1323" s="79" t="s">
        <v>249</v>
      </c>
      <c r="H1323" s="140" t="s">
        <v>4204</v>
      </c>
      <c r="I1323" s="77" t="s">
        <v>980</v>
      </c>
      <c r="J1323" s="144" t="s">
        <v>981</v>
      </c>
      <c r="K1323" s="77" t="s">
        <v>169</v>
      </c>
      <c r="L1323" s="103" t="str">
        <f>VLOOKUP(Anexo_4[[#This Row],[cod_doc]],TIPODOC,2,FALSE)</f>
        <v>FACTURA</v>
      </c>
      <c r="M1323" s="77" t="s">
        <v>982</v>
      </c>
      <c r="N1323" s="79">
        <v>1718</v>
      </c>
      <c r="O1323" s="80">
        <v>367.8</v>
      </c>
      <c r="P1323" s="81"/>
      <c r="Q1323" s="81">
        <v>66.203999999999994</v>
      </c>
      <c r="R1323" s="80"/>
      <c r="S1323" s="80">
        <v>0</v>
      </c>
      <c r="T1323" s="82">
        <v>434</v>
      </c>
      <c r="U1323" s="77"/>
      <c r="V1323" s="75"/>
      <c r="W1323" s="77"/>
      <c r="X1323" s="77"/>
      <c r="Y1323" s="77" t="s">
        <v>4205</v>
      </c>
      <c r="Z1323" s="77" t="s">
        <v>256</v>
      </c>
      <c r="AA1323" s="83" t="s">
        <v>4204</v>
      </c>
      <c r="AB1323" s="104" t="str">
        <f>IFERROR(VLOOKUP(Anexo_4[[#This Row],[cuenta]],OP,2,0),"-")</f>
        <v>Materias Primas - RRSS</v>
      </c>
    </row>
    <row r="1324" spans="1:28" s="84" customFormat="1" ht="27" customHeight="1" x14ac:dyDescent="0.3">
      <c r="A1324" s="75" t="s">
        <v>4206</v>
      </c>
      <c r="B1324" s="36" t="str">
        <f t="shared" si="20"/>
        <v>Agosto</v>
      </c>
      <c r="C1324" s="77" t="s">
        <v>162</v>
      </c>
      <c r="D1324" s="77" t="s">
        <v>4207</v>
      </c>
      <c r="E1324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324" s="79" t="s">
        <v>248</v>
      </c>
      <c r="G1324" s="79" t="s">
        <v>249</v>
      </c>
      <c r="H1324" s="140" t="s">
        <v>4208</v>
      </c>
      <c r="I1324" s="77" t="s">
        <v>980</v>
      </c>
      <c r="J1324" s="144" t="s">
        <v>981</v>
      </c>
      <c r="K1324" s="77" t="s">
        <v>169</v>
      </c>
      <c r="L1324" s="103" t="str">
        <f>VLOOKUP(Anexo_4[[#This Row],[cod_doc]],TIPODOC,2,FALSE)</f>
        <v>FACTURA</v>
      </c>
      <c r="M1324" s="77" t="s">
        <v>982</v>
      </c>
      <c r="N1324" s="79">
        <v>1720</v>
      </c>
      <c r="O1324" s="80">
        <v>144.15</v>
      </c>
      <c r="P1324" s="81"/>
      <c r="Q1324" s="81">
        <v>25.946999999999999</v>
      </c>
      <c r="R1324" s="80"/>
      <c r="S1324" s="80">
        <v>0</v>
      </c>
      <c r="T1324" s="82">
        <v>170.1</v>
      </c>
      <c r="U1324" s="77"/>
      <c r="V1324" s="75"/>
      <c r="W1324" s="77"/>
      <c r="X1324" s="77"/>
      <c r="Y1324" s="77" t="s">
        <v>4209</v>
      </c>
      <c r="Z1324" s="77" t="s">
        <v>256</v>
      </c>
      <c r="AA1324" s="83" t="s">
        <v>4208</v>
      </c>
      <c r="AB1324" s="104" t="str">
        <f>IFERROR(VLOOKUP(Anexo_4[[#This Row],[cuenta]],OP,2,0),"-")</f>
        <v>Materias Primas - RRSS</v>
      </c>
    </row>
    <row r="1325" spans="1:28" s="84" customFormat="1" ht="27" customHeight="1" x14ac:dyDescent="0.3">
      <c r="A1325" s="75" t="s">
        <v>4206</v>
      </c>
      <c r="B1325" s="36" t="str">
        <f t="shared" si="20"/>
        <v>Agosto</v>
      </c>
      <c r="C1325" s="77" t="s">
        <v>162</v>
      </c>
      <c r="D1325" s="77" t="s">
        <v>4210</v>
      </c>
      <c r="E132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325" s="79" t="s">
        <v>248</v>
      </c>
      <c r="G1325" s="79" t="s">
        <v>249</v>
      </c>
      <c r="H1325" s="140" t="s">
        <v>4211</v>
      </c>
      <c r="I1325" s="77" t="s">
        <v>980</v>
      </c>
      <c r="J1325" s="144" t="s">
        <v>981</v>
      </c>
      <c r="K1325" s="77" t="s">
        <v>169</v>
      </c>
      <c r="L1325" s="103" t="str">
        <f>VLOOKUP(Anexo_4[[#This Row],[cod_doc]],TIPODOC,2,FALSE)</f>
        <v>FACTURA</v>
      </c>
      <c r="M1325" s="77" t="s">
        <v>982</v>
      </c>
      <c r="N1325" s="79">
        <v>1719</v>
      </c>
      <c r="O1325" s="80">
        <v>469.59</v>
      </c>
      <c r="P1325" s="81"/>
      <c r="Q1325" s="81">
        <v>84.526199999999989</v>
      </c>
      <c r="R1325" s="80"/>
      <c r="S1325" s="80">
        <v>0</v>
      </c>
      <c r="T1325" s="82">
        <v>554.12</v>
      </c>
      <c r="U1325" s="77"/>
      <c r="V1325" s="75"/>
      <c r="W1325" s="77"/>
      <c r="X1325" s="77"/>
      <c r="Y1325" s="77" t="s">
        <v>4212</v>
      </c>
      <c r="Z1325" s="77" t="s">
        <v>256</v>
      </c>
      <c r="AA1325" s="83" t="s">
        <v>4211</v>
      </c>
      <c r="AB1325" s="104" t="str">
        <f>IFERROR(VLOOKUP(Anexo_4[[#This Row],[cuenta]],OP,2,0),"-")</f>
        <v>Materias Primas - RRSS</v>
      </c>
    </row>
    <row r="1326" spans="1:28" s="84" customFormat="1" ht="27" customHeight="1" x14ac:dyDescent="0.3">
      <c r="A1326" s="75" t="s">
        <v>3283</v>
      </c>
      <c r="B1326" s="36" t="str">
        <f t="shared" si="20"/>
        <v>Agosto</v>
      </c>
      <c r="C1326" s="77" t="s">
        <v>162</v>
      </c>
      <c r="D1326" s="77" t="s">
        <v>4213</v>
      </c>
      <c r="E132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326" s="79" t="s">
        <v>248</v>
      </c>
      <c r="G1326" s="79" t="s">
        <v>249</v>
      </c>
      <c r="H1326" s="140" t="s">
        <v>4214</v>
      </c>
      <c r="I1326" s="77" t="s">
        <v>625</v>
      </c>
      <c r="J1326" s="144" t="s">
        <v>626</v>
      </c>
      <c r="K1326" s="77" t="s">
        <v>169</v>
      </c>
      <c r="L1326" s="103" t="str">
        <f>VLOOKUP(Anexo_4[[#This Row],[cod_doc]],TIPODOC,2,FALSE)</f>
        <v>FACTURA</v>
      </c>
      <c r="M1326" s="77" t="s">
        <v>180</v>
      </c>
      <c r="N1326" s="79">
        <v>16669</v>
      </c>
      <c r="O1326" s="80">
        <v>275.97000000000003</v>
      </c>
      <c r="P1326" s="81"/>
      <c r="Q1326" s="81">
        <v>49.674600000000005</v>
      </c>
      <c r="R1326" s="80"/>
      <c r="S1326" s="80">
        <v>0</v>
      </c>
      <c r="T1326" s="82">
        <v>325.64</v>
      </c>
      <c r="U1326" s="77"/>
      <c r="V1326" s="75"/>
      <c r="W1326" s="77"/>
      <c r="X1326" s="77"/>
      <c r="Y1326" s="77" t="s">
        <v>4215</v>
      </c>
      <c r="Z1326" s="77" t="s">
        <v>256</v>
      </c>
      <c r="AA1326" s="83" t="s">
        <v>4214</v>
      </c>
      <c r="AB1326" s="104" t="str">
        <f>IFERROR(VLOOKUP(Anexo_4[[#This Row],[cuenta]],OP,2,0),"-")</f>
        <v>Materias Primas - RRSS</v>
      </c>
    </row>
    <row r="1327" spans="1:28" s="84" customFormat="1" ht="27" customHeight="1" x14ac:dyDescent="0.3">
      <c r="A1327" s="75" t="s">
        <v>3879</v>
      </c>
      <c r="B1327" s="36" t="str">
        <f t="shared" si="20"/>
        <v>Agosto</v>
      </c>
      <c r="C1327" s="77" t="s">
        <v>162</v>
      </c>
      <c r="D1327" s="77" t="s">
        <v>4216</v>
      </c>
      <c r="E1327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327" s="79" t="s">
        <v>190</v>
      </c>
      <c r="G1327" s="79" t="s">
        <v>191</v>
      </c>
      <c r="H1327" s="140" t="s">
        <v>4217</v>
      </c>
      <c r="I1327" s="77" t="s">
        <v>2890</v>
      </c>
      <c r="J1327" s="144" t="s">
        <v>2891</v>
      </c>
      <c r="K1327" s="77" t="s">
        <v>169</v>
      </c>
      <c r="L1327" s="103" t="str">
        <f>VLOOKUP(Anexo_4[[#This Row],[cod_doc]],TIPODOC,2,FALSE)</f>
        <v>FACTURA</v>
      </c>
      <c r="M1327" s="77" t="s">
        <v>2892</v>
      </c>
      <c r="N1327" s="79">
        <v>1803516</v>
      </c>
      <c r="O1327" s="80">
        <v>117.8</v>
      </c>
      <c r="P1327" s="81"/>
      <c r="Q1327" s="81">
        <v>21.203999999999997</v>
      </c>
      <c r="R1327" s="80"/>
      <c r="S1327" s="80">
        <v>0</v>
      </c>
      <c r="T1327" s="82">
        <v>139</v>
      </c>
      <c r="U1327" s="77"/>
      <c r="V1327" s="75"/>
      <c r="W1327" s="77"/>
      <c r="X1327" s="77"/>
      <c r="Y1327" s="77"/>
      <c r="Z1327" s="77" t="s">
        <v>2320</v>
      </c>
      <c r="AA1327" s="83" t="s">
        <v>4217</v>
      </c>
      <c r="AB1327" s="104" t="str">
        <f>IFERROR(VLOOKUP(Anexo_4[[#This Row],[cuenta]],OP,2,0),"-")</f>
        <v>Otros Gastos de Gestion</v>
      </c>
    </row>
    <row r="1328" spans="1:28" s="84" customFormat="1" ht="27" customHeight="1" x14ac:dyDescent="0.3">
      <c r="A1328" s="75" t="s">
        <v>3879</v>
      </c>
      <c r="B1328" s="36" t="str">
        <f t="shared" si="20"/>
        <v>Agosto</v>
      </c>
      <c r="C1328" s="77" t="s">
        <v>162</v>
      </c>
      <c r="D1328" s="77" t="s">
        <v>4218</v>
      </c>
      <c r="E1328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328" s="79" t="s">
        <v>190</v>
      </c>
      <c r="G1328" s="79" t="s">
        <v>191</v>
      </c>
      <c r="H1328" s="140" t="s">
        <v>4219</v>
      </c>
      <c r="I1328" s="77" t="s">
        <v>4220</v>
      </c>
      <c r="J1328" s="144" t="s">
        <v>4221</v>
      </c>
      <c r="K1328" s="77" t="s">
        <v>169</v>
      </c>
      <c r="L1328" s="103" t="str">
        <f>VLOOKUP(Anexo_4[[#This Row],[cod_doc]],TIPODOC,2,FALSE)</f>
        <v>FACTURA</v>
      </c>
      <c r="M1328" s="77" t="s">
        <v>222</v>
      </c>
      <c r="N1328" s="79">
        <v>26766</v>
      </c>
      <c r="O1328" s="80">
        <v>30.51</v>
      </c>
      <c r="P1328" s="81"/>
      <c r="Q1328" s="81">
        <v>5.4918000000000005</v>
      </c>
      <c r="R1328" s="80"/>
      <c r="S1328" s="80">
        <v>0</v>
      </c>
      <c r="T1328" s="82">
        <v>36</v>
      </c>
      <c r="U1328" s="77"/>
      <c r="V1328" s="75"/>
      <c r="W1328" s="77"/>
      <c r="X1328" s="77"/>
      <c r="Y1328" s="77"/>
      <c r="Z1328" s="77" t="s">
        <v>4222</v>
      </c>
      <c r="AA1328" s="83" t="s">
        <v>4219</v>
      </c>
      <c r="AB1328" s="104" t="str">
        <f>IFERROR(VLOOKUP(Anexo_4[[#This Row],[cuenta]],OP,2,0),"-")</f>
        <v>-</v>
      </c>
    </row>
    <row r="1329" spans="1:28" s="84" customFormat="1" ht="27" customHeight="1" x14ac:dyDescent="0.3">
      <c r="A1329" s="75" t="s">
        <v>3879</v>
      </c>
      <c r="B1329" s="36" t="str">
        <f t="shared" si="20"/>
        <v>Agosto</v>
      </c>
      <c r="C1329" s="77" t="s">
        <v>162</v>
      </c>
      <c r="D1329" s="77" t="s">
        <v>4223</v>
      </c>
      <c r="E1329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329" s="79" t="s">
        <v>592</v>
      </c>
      <c r="G1329" s="79" t="s">
        <v>593</v>
      </c>
      <c r="H1329" s="140" t="s">
        <v>4224</v>
      </c>
      <c r="I1329" s="77" t="s">
        <v>643</v>
      </c>
      <c r="J1329" s="144" t="s">
        <v>644</v>
      </c>
      <c r="K1329" s="77" t="s">
        <v>169</v>
      </c>
      <c r="L1329" s="103" t="str">
        <f>VLOOKUP(Anexo_4[[#This Row],[cod_doc]],TIPODOC,2,FALSE)</f>
        <v>FACTURA</v>
      </c>
      <c r="M1329" s="77" t="s">
        <v>102</v>
      </c>
      <c r="N1329" s="79">
        <v>4134</v>
      </c>
      <c r="O1329" s="80">
        <v>297.5</v>
      </c>
      <c r="P1329" s="81"/>
      <c r="Q1329" s="81">
        <v>53.55</v>
      </c>
      <c r="R1329" s="80"/>
      <c r="S1329" s="80">
        <v>0</v>
      </c>
      <c r="T1329" s="82">
        <v>351.05</v>
      </c>
      <c r="U1329" s="77"/>
      <c r="V1329" s="75"/>
      <c r="W1329" s="77"/>
      <c r="X1329" s="77"/>
      <c r="Y1329" s="77"/>
      <c r="Z1329" s="77" t="s">
        <v>648</v>
      </c>
      <c r="AA1329" s="83" t="s">
        <v>4224</v>
      </c>
      <c r="AB1329" s="104" t="str">
        <f>IFERROR(VLOOKUP(Anexo_4[[#This Row],[cuenta]],OP,2,0),"-")</f>
        <v>Montacarga - Ventas</v>
      </c>
    </row>
    <row r="1330" spans="1:28" s="84" customFormat="1" ht="27" customHeight="1" x14ac:dyDescent="0.3">
      <c r="A1330" s="75" t="s">
        <v>3711</v>
      </c>
      <c r="B1330" s="36" t="str">
        <f t="shared" si="20"/>
        <v>Agosto</v>
      </c>
      <c r="C1330" s="77" t="s">
        <v>162</v>
      </c>
      <c r="D1330" s="77" t="s">
        <v>4225</v>
      </c>
      <c r="E1330" s="78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1330" s="79" t="s">
        <v>198</v>
      </c>
      <c r="G1330" s="79" t="s">
        <v>199</v>
      </c>
      <c r="H1330" s="140" t="s">
        <v>4226</v>
      </c>
      <c r="I1330" s="77" t="s">
        <v>4227</v>
      </c>
      <c r="J1330" s="144" t="s">
        <v>4228</v>
      </c>
      <c r="K1330" s="77" t="s">
        <v>169</v>
      </c>
      <c r="L1330" s="103" t="str">
        <f>VLOOKUP(Anexo_4[[#This Row],[cod_doc]],TIPODOC,2,FALSE)</f>
        <v>FACTURA</v>
      </c>
      <c r="M1330" s="77" t="s">
        <v>1906</v>
      </c>
      <c r="N1330" s="79">
        <v>4562</v>
      </c>
      <c r="O1330" s="80">
        <v>8.4700000000000006</v>
      </c>
      <c r="P1330" s="81"/>
      <c r="Q1330" s="81">
        <v>1.5246</v>
      </c>
      <c r="R1330" s="80"/>
      <c r="S1330" s="80">
        <v>0</v>
      </c>
      <c r="T1330" s="82">
        <v>10</v>
      </c>
      <c r="U1330" s="77"/>
      <c r="V1330" s="75"/>
      <c r="W1330" s="77"/>
      <c r="X1330" s="77"/>
      <c r="Y1330" s="77"/>
      <c r="Z1330" s="77" t="s">
        <v>2320</v>
      </c>
      <c r="AA1330" s="83" t="s">
        <v>4226</v>
      </c>
      <c r="AB1330" s="104" t="str">
        <f>IFERROR(VLOOKUP(Anexo_4[[#This Row],[cuenta]],OP,2,0),"-")</f>
        <v>Otros Gastos de Gestion</v>
      </c>
    </row>
    <row r="1331" spans="1:28" s="84" customFormat="1" ht="27" customHeight="1" x14ac:dyDescent="0.3">
      <c r="A1331" s="75" t="s">
        <v>3711</v>
      </c>
      <c r="B1331" s="36" t="str">
        <f t="shared" si="20"/>
        <v>Agosto</v>
      </c>
      <c r="C1331" s="77" t="s">
        <v>162</v>
      </c>
      <c r="D1331" s="77" t="s">
        <v>4229</v>
      </c>
      <c r="E133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331" s="79" t="s">
        <v>458</v>
      </c>
      <c r="G1331" s="79" t="s">
        <v>459</v>
      </c>
      <c r="H1331" s="140" t="s">
        <v>4230</v>
      </c>
      <c r="I1331" s="77" t="s">
        <v>4231</v>
      </c>
      <c r="J1331" s="144" t="s">
        <v>4232</v>
      </c>
      <c r="K1331" s="77" t="s">
        <v>169</v>
      </c>
      <c r="L1331" s="103" t="str">
        <f>VLOOKUP(Anexo_4[[#This Row],[cod_doc]],TIPODOC,2,FALSE)</f>
        <v>FACTURA</v>
      </c>
      <c r="M1331" s="77" t="s">
        <v>102</v>
      </c>
      <c r="N1331" s="79">
        <v>43</v>
      </c>
      <c r="O1331" s="80">
        <v>237.29</v>
      </c>
      <c r="P1331" s="81"/>
      <c r="Q1331" s="81">
        <v>42.712199999999996</v>
      </c>
      <c r="R1331" s="80"/>
      <c r="S1331" s="80">
        <v>0</v>
      </c>
      <c r="T1331" s="82">
        <v>280</v>
      </c>
      <c r="U1331" s="77"/>
      <c r="V1331" s="75"/>
      <c r="W1331" s="77"/>
      <c r="X1331" s="77"/>
      <c r="Y1331" s="77"/>
      <c r="Z1331" s="77" t="s">
        <v>710</v>
      </c>
      <c r="AA1331" s="83" t="s">
        <v>4230</v>
      </c>
      <c r="AB1331" s="104" t="str">
        <f>IFERROR(VLOOKUP(Anexo_4[[#This Row],[cuenta]],OP,2,0),"-")</f>
        <v>Accesorios Vehiculares</v>
      </c>
    </row>
    <row r="1332" spans="1:28" s="84" customFormat="1" ht="27" customHeight="1" x14ac:dyDescent="0.3">
      <c r="A1332" s="75" t="s">
        <v>4206</v>
      </c>
      <c r="B1332" s="36" t="str">
        <f t="shared" si="20"/>
        <v>Agosto</v>
      </c>
      <c r="C1332" s="77" t="s">
        <v>162</v>
      </c>
      <c r="D1332" s="77" t="s">
        <v>4233</v>
      </c>
      <c r="E133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332" s="79" t="s">
        <v>217</v>
      </c>
      <c r="G1332" s="79" t="s">
        <v>218</v>
      </c>
      <c r="H1332" s="140" t="s">
        <v>1276</v>
      </c>
      <c r="I1332" s="77" t="s">
        <v>264</v>
      </c>
      <c r="J1332" s="144" t="s">
        <v>265</v>
      </c>
      <c r="K1332" s="77" t="s">
        <v>169</v>
      </c>
      <c r="L1332" s="103" t="str">
        <f>VLOOKUP(Anexo_4[[#This Row],[cod_doc]],TIPODOC,2,FALSE)</f>
        <v>FACTURA</v>
      </c>
      <c r="M1332" s="77" t="s">
        <v>271</v>
      </c>
      <c r="N1332" s="79">
        <v>1819141</v>
      </c>
      <c r="O1332" s="80">
        <v>6.78</v>
      </c>
      <c r="P1332" s="81"/>
      <c r="Q1332" s="81">
        <v>1.2203999999999999</v>
      </c>
      <c r="R1332" s="80"/>
      <c r="S1332" s="80">
        <v>0</v>
      </c>
      <c r="T1332" s="82">
        <v>8</v>
      </c>
      <c r="U1332" s="77"/>
      <c r="V1332" s="75"/>
      <c r="W1332" s="77"/>
      <c r="X1332" s="77"/>
      <c r="Y1332" s="77"/>
      <c r="Z1332" s="77" t="s">
        <v>268</v>
      </c>
      <c r="AA1332" s="83" t="s">
        <v>1276</v>
      </c>
      <c r="AB1332" s="104" t="str">
        <f>IFERROR(VLOOKUP(Anexo_4[[#This Row],[cuenta]],OP,2,0),"-")</f>
        <v>Transporte peajes - Ventas</v>
      </c>
    </row>
    <row r="1333" spans="1:28" s="84" customFormat="1" ht="27" customHeight="1" x14ac:dyDescent="0.3">
      <c r="A1333" s="75" t="s">
        <v>3711</v>
      </c>
      <c r="B1333" s="36" t="str">
        <f t="shared" si="20"/>
        <v>Agosto</v>
      </c>
      <c r="C1333" s="77" t="s">
        <v>162</v>
      </c>
      <c r="D1333" s="77" t="s">
        <v>4234</v>
      </c>
      <c r="E1333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333" s="79" t="s">
        <v>456</v>
      </c>
      <c r="G1333" s="79" t="s">
        <v>457</v>
      </c>
      <c r="H1333" s="140" t="s">
        <v>4235</v>
      </c>
      <c r="I1333" s="77" t="s">
        <v>4236</v>
      </c>
      <c r="J1333" s="144" t="s">
        <v>4237</v>
      </c>
      <c r="K1333" s="77" t="s">
        <v>169</v>
      </c>
      <c r="L1333" s="103" t="str">
        <f>VLOOKUP(Anexo_4[[#This Row],[cod_doc]],TIPODOC,2,FALSE)</f>
        <v>FACTURA</v>
      </c>
      <c r="M1333" s="77" t="s">
        <v>222</v>
      </c>
      <c r="N1333" s="79">
        <v>5140</v>
      </c>
      <c r="O1333" s="80">
        <v>28.81</v>
      </c>
      <c r="P1333" s="81"/>
      <c r="Q1333" s="81">
        <v>5.1857999999999995</v>
      </c>
      <c r="R1333" s="80"/>
      <c r="S1333" s="80">
        <v>0</v>
      </c>
      <c r="T1333" s="82">
        <v>34</v>
      </c>
      <c r="U1333" s="77"/>
      <c r="V1333" s="75"/>
      <c r="W1333" s="77"/>
      <c r="X1333" s="77"/>
      <c r="Y1333" s="77"/>
      <c r="Z1333" s="77" t="s">
        <v>710</v>
      </c>
      <c r="AA1333" s="83" t="s">
        <v>4235</v>
      </c>
      <c r="AB1333" s="104" t="str">
        <f>IFERROR(VLOOKUP(Anexo_4[[#This Row],[cuenta]],OP,2,0),"-")</f>
        <v>Accesorios Vehiculares</v>
      </c>
    </row>
    <row r="1334" spans="1:28" s="84" customFormat="1" ht="27" customHeight="1" x14ac:dyDescent="0.3">
      <c r="A1334" s="75" t="s">
        <v>3879</v>
      </c>
      <c r="B1334" s="36" t="str">
        <f t="shared" si="20"/>
        <v>Agosto</v>
      </c>
      <c r="C1334" s="77" t="s">
        <v>162</v>
      </c>
      <c r="D1334" s="77" t="s">
        <v>4238</v>
      </c>
      <c r="E1334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334" s="79" t="s">
        <v>190</v>
      </c>
      <c r="G1334" s="79" t="s">
        <v>191</v>
      </c>
      <c r="H1334" s="140" t="s">
        <v>4239</v>
      </c>
      <c r="I1334" s="77" t="s">
        <v>1819</v>
      </c>
      <c r="J1334" s="144" t="s">
        <v>1820</v>
      </c>
      <c r="K1334" s="77" t="s">
        <v>169</v>
      </c>
      <c r="L1334" s="103" t="str">
        <f>VLOOKUP(Anexo_4[[#This Row],[cod_doc]],TIPODOC,2,FALSE)</f>
        <v>FACTURA</v>
      </c>
      <c r="M1334" s="77" t="s">
        <v>102</v>
      </c>
      <c r="N1334" s="79">
        <v>504</v>
      </c>
      <c r="O1334" s="80">
        <v>74.150000000000006</v>
      </c>
      <c r="P1334" s="81"/>
      <c r="Q1334" s="81">
        <v>13.347000000000001</v>
      </c>
      <c r="R1334" s="80"/>
      <c r="S1334" s="80">
        <v>0</v>
      </c>
      <c r="T1334" s="82">
        <v>87.5</v>
      </c>
      <c r="U1334" s="77"/>
      <c r="V1334" s="75"/>
      <c r="W1334" s="77"/>
      <c r="X1334" s="77"/>
      <c r="Y1334" s="77"/>
      <c r="Z1334" s="77" t="s">
        <v>883</v>
      </c>
      <c r="AA1334" s="83" t="s">
        <v>4239</v>
      </c>
      <c r="AB1334" s="104" t="str">
        <f>IFERROR(VLOOKUP(Anexo_4[[#This Row],[cuenta]],OP,2,0),"-")</f>
        <v>-</v>
      </c>
    </row>
    <row r="1335" spans="1:28" s="84" customFormat="1" ht="27" customHeight="1" x14ac:dyDescent="0.3">
      <c r="A1335" s="75" t="s">
        <v>3794</v>
      </c>
      <c r="B1335" s="36" t="str">
        <f t="shared" si="20"/>
        <v>Agosto</v>
      </c>
      <c r="C1335" s="77" t="s">
        <v>162</v>
      </c>
      <c r="D1335" s="77" t="s">
        <v>4240</v>
      </c>
      <c r="E133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335" s="79" t="s">
        <v>235</v>
      </c>
      <c r="G1335" s="79" t="s">
        <v>236</v>
      </c>
      <c r="H1335" s="140" t="s">
        <v>4241</v>
      </c>
      <c r="I1335" s="77" t="s">
        <v>4242</v>
      </c>
      <c r="J1335" s="144" t="s">
        <v>4243</v>
      </c>
      <c r="K1335" s="77" t="s">
        <v>169</v>
      </c>
      <c r="L1335" s="103" t="str">
        <f>VLOOKUP(Anexo_4[[#This Row],[cod_doc]],TIPODOC,2,FALSE)</f>
        <v>FACTURA</v>
      </c>
      <c r="M1335" s="77" t="s">
        <v>4244</v>
      </c>
      <c r="N1335" s="79">
        <v>1005</v>
      </c>
      <c r="O1335" s="80">
        <v>186.44</v>
      </c>
      <c r="P1335" s="81"/>
      <c r="Q1335" s="81">
        <v>33.559199999999997</v>
      </c>
      <c r="R1335" s="80"/>
      <c r="S1335" s="80">
        <v>0</v>
      </c>
      <c r="T1335" s="82">
        <v>220</v>
      </c>
      <c r="U1335" s="77"/>
      <c r="V1335" s="75"/>
      <c r="W1335" s="77"/>
      <c r="X1335" s="77"/>
      <c r="Y1335" s="77"/>
      <c r="Z1335" s="77" t="s">
        <v>710</v>
      </c>
      <c r="AA1335" s="83" t="s">
        <v>4241</v>
      </c>
      <c r="AB1335" s="104" t="str">
        <f>IFERROR(VLOOKUP(Anexo_4[[#This Row],[cuenta]],OP,2,0),"-")</f>
        <v>Accesorios Vehiculares</v>
      </c>
    </row>
    <row r="1336" spans="1:28" s="84" customFormat="1" ht="27" customHeight="1" x14ac:dyDescent="0.3">
      <c r="A1336" s="75" t="s">
        <v>4206</v>
      </c>
      <c r="B1336" s="36" t="str">
        <f t="shared" si="20"/>
        <v>Agosto</v>
      </c>
      <c r="C1336" s="77" t="s">
        <v>162</v>
      </c>
      <c r="D1336" s="77" t="s">
        <v>4245</v>
      </c>
      <c r="E133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336" s="79" t="s">
        <v>235</v>
      </c>
      <c r="G1336" s="79" t="s">
        <v>236</v>
      </c>
      <c r="H1336" s="140" t="s">
        <v>4246</v>
      </c>
      <c r="I1336" s="77" t="s">
        <v>3483</v>
      </c>
      <c r="J1336" s="144" t="s">
        <v>3484</v>
      </c>
      <c r="K1336" s="77" t="s">
        <v>169</v>
      </c>
      <c r="L1336" s="103" t="str">
        <f>VLOOKUP(Anexo_4[[#This Row],[cod_doc]],TIPODOC,2,FALSE)</f>
        <v>FACTURA</v>
      </c>
      <c r="M1336" s="77" t="s">
        <v>3485</v>
      </c>
      <c r="N1336" s="79">
        <v>1563</v>
      </c>
      <c r="O1336" s="80">
        <v>642.45000000000005</v>
      </c>
      <c r="P1336" s="81"/>
      <c r="Q1336" s="81">
        <v>115.64100000000001</v>
      </c>
      <c r="R1336" s="80"/>
      <c r="S1336" s="80">
        <v>0</v>
      </c>
      <c r="T1336" s="82">
        <v>2001.91</v>
      </c>
      <c r="U1336" s="77"/>
      <c r="V1336" s="75"/>
      <c r="W1336" s="77"/>
      <c r="X1336" s="77"/>
      <c r="Y1336" s="77"/>
      <c r="Z1336" s="77" t="s">
        <v>223</v>
      </c>
      <c r="AA1336" s="83" t="s">
        <v>4246</v>
      </c>
      <c r="AB1336" s="104" t="str">
        <f>IFERROR(VLOOKUP(Anexo_4[[#This Row],[cuenta]],OP,2,0),"-")</f>
        <v>Mantenimiento Vehicular (Preventivo)</v>
      </c>
    </row>
    <row r="1337" spans="1:28" s="84" customFormat="1" ht="27" customHeight="1" x14ac:dyDescent="0.3">
      <c r="A1337" s="75" t="s">
        <v>4206</v>
      </c>
      <c r="B1337" s="36" t="str">
        <f t="shared" si="20"/>
        <v>Agosto</v>
      </c>
      <c r="C1337" s="77" t="s">
        <v>162</v>
      </c>
      <c r="D1337" s="77" t="s">
        <v>4245</v>
      </c>
      <c r="E1337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337" s="79" t="s">
        <v>235</v>
      </c>
      <c r="G1337" s="79" t="s">
        <v>236</v>
      </c>
      <c r="H1337" s="140" t="s">
        <v>4246</v>
      </c>
      <c r="I1337" s="77" t="s">
        <v>3483</v>
      </c>
      <c r="J1337" s="144" t="s">
        <v>3484</v>
      </c>
      <c r="K1337" s="77" t="s">
        <v>169</v>
      </c>
      <c r="L1337" s="103" t="str">
        <f>VLOOKUP(Anexo_4[[#This Row],[cod_doc]],TIPODOC,2,FALSE)</f>
        <v>FACTURA</v>
      </c>
      <c r="M1337" s="77" t="s">
        <v>3485</v>
      </c>
      <c r="N1337" s="79">
        <v>1563</v>
      </c>
      <c r="O1337" s="80">
        <v>1054.08</v>
      </c>
      <c r="P1337" s="81"/>
      <c r="Q1337" s="81">
        <v>189.73439999999999</v>
      </c>
      <c r="R1337" s="80"/>
      <c r="S1337" s="80">
        <v>0</v>
      </c>
      <c r="T1337" s="82">
        <v>2001.91</v>
      </c>
      <c r="U1337" s="77"/>
      <c r="V1337" s="75"/>
      <c r="W1337" s="77"/>
      <c r="X1337" s="77"/>
      <c r="Y1337" s="77"/>
      <c r="Z1337" s="77" t="s">
        <v>710</v>
      </c>
      <c r="AA1337" s="83" t="s">
        <v>4246</v>
      </c>
      <c r="AB1337" s="104" t="str">
        <f>IFERROR(VLOOKUP(Anexo_4[[#This Row],[cuenta]],OP,2,0),"-")</f>
        <v>Accesorios Vehiculares</v>
      </c>
    </row>
    <row r="1338" spans="1:28" s="84" customFormat="1" ht="27" customHeight="1" x14ac:dyDescent="0.3">
      <c r="A1338" s="75" t="s">
        <v>3879</v>
      </c>
      <c r="B1338" s="36" t="str">
        <f t="shared" si="20"/>
        <v>Agosto</v>
      </c>
      <c r="C1338" s="77" t="s">
        <v>162</v>
      </c>
      <c r="D1338" s="77" t="s">
        <v>4247</v>
      </c>
      <c r="E1338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338" s="79" t="s">
        <v>355</v>
      </c>
      <c r="G1338" s="79" t="s">
        <v>356</v>
      </c>
      <c r="H1338" s="140" t="s">
        <v>4248</v>
      </c>
      <c r="I1338" s="77" t="s">
        <v>1996</v>
      </c>
      <c r="J1338" s="144" t="s">
        <v>1997</v>
      </c>
      <c r="K1338" s="77" t="s">
        <v>169</v>
      </c>
      <c r="L1338" s="103" t="str">
        <f>VLOOKUP(Anexo_4[[#This Row],[cod_doc]],TIPODOC,2,FALSE)</f>
        <v>FACTURA</v>
      </c>
      <c r="M1338" s="77" t="s">
        <v>102</v>
      </c>
      <c r="N1338" s="79">
        <v>756</v>
      </c>
      <c r="O1338" s="80">
        <v>50.85</v>
      </c>
      <c r="P1338" s="81"/>
      <c r="Q1338" s="81">
        <v>9.1530000000000005</v>
      </c>
      <c r="R1338" s="80"/>
      <c r="S1338" s="80">
        <v>0</v>
      </c>
      <c r="T1338" s="82">
        <v>60</v>
      </c>
      <c r="U1338" s="77"/>
      <c r="V1338" s="75"/>
      <c r="W1338" s="77"/>
      <c r="X1338" s="77"/>
      <c r="Y1338" s="77"/>
      <c r="Z1338" s="77" t="s">
        <v>1998</v>
      </c>
      <c r="AA1338" s="83" t="s">
        <v>4248</v>
      </c>
      <c r="AB1338" s="104" t="str">
        <f>IFERROR(VLOOKUP(Anexo_4[[#This Row],[cuenta]],OP,2,0),"-")</f>
        <v>Mantenimiento de Balanzas</v>
      </c>
    </row>
    <row r="1339" spans="1:28" s="84" customFormat="1" ht="27" customHeight="1" x14ac:dyDescent="0.3">
      <c r="A1339" s="75" t="s">
        <v>4206</v>
      </c>
      <c r="B1339" s="36" t="str">
        <f t="shared" si="20"/>
        <v>Agosto</v>
      </c>
      <c r="C1339" s="77" t="s">
        <v>162</v>
      </c>
      <c r="D1339" s="77" t="s">
        <v>4249</v>
      </c>
      <c r="E1339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339" s="79" t="s">
        <v>650</v>
      </c>
      <c r="G1339" s="79" t="s">
        <v>651</v>
      </c>
      <c r="H1339" s="140" t="s">
        <v>4250</v>
      </c>
      <c r="I1339" s="77" t="s">
        <v>653</v>
      </c>
      <c r="J1339" s="144" t="s">
        <v>654</v>
      </c>
      <c r="K1339" s="77" t="s">
        <v>169</v>
      </c>
      <c r="L1339" s="103" t="str">
        <f>VLOOKUP(Anexo_4[[#This Row],[cod_doc]],TIPODOC,2,FALSE)</f>
        <v>FACTURA</v>
      </c>
      <c r="M1339" s="77" t="s">
        <v>655</v>
      </c>
      <c r="N1339" s="79">
        <v>16460</v>
      </c>
      <c r="O1339" s="80">
        <v>219</v>
      </c>
      <c r="P1339" s="81"/>
      <c r="Q1339" s="81">
        <v>39.42</v>
      </c>
      <c r="R1339" s="80"/>
      <c r="S1339" s="80">
        <v>0</v>
      </c>
      <c r="T1339" s="82">
        <v>258.42</v>
      </c>
      <c r="U1339" s="77"/>
      <c r="V1339" s="75"/>
      <c r="W1339" s="77"/>
      <c r="X1339" s="77"/>
      <c r="Y1339" s="77"/>
      <c r="Z1339" s="77" t="s">
        <v>1602</v>
      </c>
      <c r="AA1339" s="83" t="s">
        <v>4250</v>
      </c>
      <c r="AB1339" s="104" t="str">
        <f>IFERROR(VLOOKUP(Anexo_4[[#This Row],[cuenta]],OP,2,0),"-")</f>
        <v>Ingreso</v>
      </c>
    </row>
    <row r="1340" spans="1:28" s="84" customFormat="1" ht="27" customHeight="1" x14ac:dyDescent="0.3">
      <c r="A1340" s="75" t="s">
        <v>4037</v>
      </c>
      <c r="B1340" s="36" t="str">
        <f t="shared" si="20"/>
        <v>Agosto</v>
      </c>
      <c r="C1340" s="77" t="s">
        <v>162</v>
      </c>
      <c r="D1340" s="77" t="s">
        <v>4251</v>
      </c>
      <c r="E1340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340" s="79" t="s">
        <v>592</v>
      </c>
      <c r="G1340" s="79" t="s">
        <v>593</v>
      </c>
      <c r="H1340" s="140" t="s">
        <v>4252</v>
      </c>
      <c r="I1340" s="77" t="s">
        <v>2598</v>
      </c>
      <c r="J1340" s="144" t="s">
        <v>2599</v>
      </c>
      <c r="K1340" s="77" t="s">
        <v>169</v>
      </c>
      <c r="L1340" s="103" t="str">
        <f>VLOOKUP(Anexo_4[[#This Row],[cod_doc]],TIPODOC,2,FALSE)</f>
        <v>FACTURA</v>
      </c>
      <c r="M1340" s="77" t="s">
        <v>102</v>
      </c>
      <c r="N1340" s="79">
        <v>5287</v>
      </c>
      <c r="O1340" s="80">
        <v>50</v>
      </c>
      <c r="P1340" s="81"/>
      <c r="Q1340" s="81">
        <v>9</v>
      </c>
      <c r="R1340" s="80"/>
      <c r="S1340" s="80">
        <v>0</v>
      </c>
      <c r="T1340" s="82">
        <v>59</v>
      </c>
      <c r="U1340" s="77"/>
      <c r="V1340" s="75"/>
      <c r="W1340" s="77"/>
      <c r="X1340" s="77"/>
      <c r="Y1340" s="77"/>
      <c r="Z1340" s="77" t="s">
        <v>645</v>
      </c>
      <c r="AA1340" s="83" t="s">
        <v>4252</v>
      </c>
      <c r="AB1340" s="104" t="str">
        <f>IFERROR(VLOOKUP(Anexo_4[[#This Row],[cuenta]],OP,2,0),"-")</f>
        <v>Montacarga - Servicios</v>
      </c>
    </row>
    <row r="1341" spans="1:28" s="84" customFormat="1" ht="27" customHeight="1" x14ac:dyDescent="0.3">
      <c r="A1341" s="75" t="s">
        <v>3879</v>
      </c>
      <c r="B1341" s="36" t="str">
        <f t="shared" si="20"/>
        <v>Agosto</v>
      </c>
      <c r="C1341" s="77" t="s">
        <v>162</v>
      </c>
      <c r="D1341" s="77" t="s">
        <v>4253</v>
      </c>
      <c r="E134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341" s="79" t="s">
        <v>391</v>
      </c>
      <c r="G1341" s="79" t="s">
        <v>392</v>
      </c>
      <c r="H1341" s="140" t="s">
        <v>4254</v>
      </c>
      <c r="I1341" s="77" t="s">
        <v>4255</v>
      </c>
      <c r="J1341" s="144" t="s">
        <v>4256</v>
      </c>
      <c r="K1341" s="77" t="s">
        <v>169</v>
      </c>
      <c r="L1341" s="103" t="str">
        <f>VLOOKUP(Anexo_4[[#This Row],[cod_doc]],TIPODOC,2,FALSE)</f>
        <v>FACTURA</v>
      </c>
      <c r="M1341" s="77" t="s">
        <v>222</v>
      </c>
      <c r="N1341" s="79">
        <v>49553</v>
      </c>
      <c r="O1341" s="80">
        <v>610.16999999999996</v>
      </c>
      <c r="P1341" s="81"/>
      <c r="Q1341" s="81">
        <v>109.83059999999999</v>
      </c>
      <c r="R1341" s="80"/>
      <c r="S1341" s="80">
        <v>0</v>
      </c>
      <c r="T1341" s="82">
        <v>720</v>
      </c>
      <c r="U1341" s="77"/>
      <c r="V1341" s="75"/>
      <c r="W1341" s="77"/>
      <c r="X1341" s="77"/>
      <c r="Y1341" s="77"/>
      <c r="Z1341" s="77" t="s">
        <v>223</v>
      </c>
      <c r="AA1341" s="83" t="s">
        <v>4254</v>
      </c>
      <c r="AB1341" s="104" t="str">
        <f>IFERROR(VLOOKUP(Anexo_4[[#This Row],[cuenta]],OP,2,0),"-")</f>
        <v>Mantenimiento Vehicular (Preventivo)</v>
      </c>
    </row>
    <row r="1342" spans="1:28" s="84" customFormat="1" ht="27" customHeight="1" x14ac:dyDescent="0.3">
      <c r="A1342" s="75" t="s">
        <v>4037</v>
      </c>
      <c r="B1342" s="36" t="str">
        <f t="shared" si="20"/>
        <v>Agosto</v>
      </c>
      <c r="C1342" s="77" t="s">
        <v>162</v>
      </c>
      <c r="D1342" s="77" t="s">
        <v>4257</v>
      </c>
      <c r="E1342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342" s="79" t="s">
        <v>190</v>
      </c>
      <c r="G1342" s="79" t="s">
        <v>191</v>
      </c>
      <c r="H1342" s="140" t="s">
        <v>4258</v>
      </c>
      <c r="I1342" s="77" t="s">
        <v>1069</v>
      </c>
      <c r="J1342" s="144" t="s">
        <v>1070</v>
      </c>
      <c r="K1342" s="77" t="s">
        <v>169</v>
      </c>
      <c r="L1342" s="103" t="str">
        <f>VLOOKUP(Anexo_4[[#This Row],[cod_doc]],TIPODOC,2,FALSE)</f>
        <v>FACTURA</v>
      </c>
      <c r="M1342" s="77" t="s">
        <v>102</v>
      </c>
      <c r="N1342" s="79">
        <v>318</v>
      </c>
      <c r="O1342" s="80">
        <v>1106.95</v>
      </c>
      <c r="P1342" s="81"/>
      <c r="Q1342" s="81">
        <v>199.251</v>
      </c>
      <c r="R1342" s="80"/>
      <c r="S1342" s="80">
        <v>0</v>
      </c>
      <c r="T1342" s="82">
        <v>1306.2</v>
      </c>
      <c r="U1342" s="77"/>
      <c r="V1342" s="75"/>
      <c r="W1342" s="77"/>
      <c r="X1342" s="77"/>
      <c r="Y1342" s="77"/>
      <c r="Z1342" s="77" t="s">
        <v>4222</v>
      </c>
      <c r="AA1342" s="83" t="s">
        <v>4258</v>
      </c>
      <c r="AB1342" s="104" t="str">
        <f>IFERROR(VLOOKUP(Anexo_4[[#This Row],[cuenta]],OP,2,0),"-")</f>
        <v>-</v>
      </c>
    </row>
    <row r="1343" spans="1:28" s="84" customFormat="1" ht="27" customHeight="1" x14ac:dyDescent="0.3">
      <c r="A1343" s="75" t="s">
        <v>3610</v>
      </c>
      <c r="B1343" s="36" t="str">
        <f t="shared" si="20"/>
        <v>Agosto</v>
      </c>
      <c r="C1343" s="77" t="s">
        <v>162</v>
      </c>
      <c r="D1343" s="77" t="s">
        <v>4259</v>
      </c>
      <c r="E1343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343" s="79" t="s">
        <v>190</v>
      </c>
      <c r="G1343" s="79" t="s">
        <v>191</v>
      </c>
      <c r="H1343" s="140" t="s">
        <v>4260</v>
      </c>
      <c r="I1343" s="77" t="s">
        <v>1069</v>
      </c>
      <c r="J1343" s="144" t="s">
        <v>1070</v>
      </c>
      <c r="K1343" s="77" t="s">
        <v>169</v>
      </c>
      <c r="L1343" s="103" t="str">
        <f>VLOOKUP(Anexo_4[[#This Row],[cod_doc]],TIPODOC,2,FALSE)</f>
        <v>FACTURA</v>
      </c>
      <c r="M1343" s="77" t="s">
        <v>102</v>
      </c>
      <c r="N1343" s="79">
        <v>311</v>
      </c>
      <c r="O1343" s="80">
        <v>83.05</v>
      </c>
      <c r="P1343" s="81"/>
      <c r="Q1343" s="81">
        <v>14.948999999999998</v>
      </c>
      <c r="R1343" s="80"/>
      <c r="S1343" s="80">
        <v>0</v>
      </c>
      <c r="T1343" s="82">
        <v>98</v>
      </c>
      <c r="U1343" s="77"/>
      <c r="V1343" s="75"/>
      <c r="W1343" s="77"/>
      <c r="X1343" s="77"/>
      <c r="Y1343" s="77"/>
      <c r="Z1343" s="77" t="s">
        <v>2320</v>
      </c>
      <c r="AA1343" s="83" t="s">
        <v>4260</v>
      </c>
      <c r="AB1343" s="104" t="str">
        <f>IFERROR(VLOOKUP(Anexo_4[[#This Row],[cuenta]],OP,2,0),"-")</f>
        <v>Otros Gastos de Gestion</v>
      </c>
    </row>
    <row r="1344" spans="1:28" s="84" customFormat="1" ht="27" customHeight="1" x14ac:dyDescent="0.3">
      <c r="A1344" s="75" t="s">
        <v>2837</v>
      </c>
      <c r="B1344" s="36" t="str">
        <f t="shared" si="20"/>
        <v>Agosto</v>
      </c>
      <c r="C1344" s="77" t="s">
        <v>162</v>
      </c>
      <c r="D1344" s="77" t="s">
        <v>4261</v>
      </c>
      <c r="E1344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344" s="79"/>
      <c r="G1344" s="79"/>
      <c r="H1344" s="140"/>
      <c r="I1344" s="77" t="s">
        <v>2486</v>
      </c>
      <c r="J1344" s="144" t="s">
        <v>2487</v>
      </c>
      <c r="K1344" s="77" t="s">
        <v>169</v>
      </c>
      <c r="L1344" s="103" t="str">
        <f>VLOOKUP(Anexo_4[[#This Row],[cod_doc]],TIPODOC,2,FALSE)</f>
        <v>FACTURA</v>
      </c>
      <c r="M1344" s="77" t="s">
        <v>102</v>
      </c>
      <c r="N1344" s="79" t="s">
        <v>4262</v>
      </c>
      <c r="O1344" s="80">
        <v>450</v>
      </c>
      <c r="P1344" s="81"/>
      <c r="Q1344" s="81">
        <v>81</v>
      </c>
      <c r="R1344" s="80"/>
      <c r="S1344" s="80">
        <v>0</v>
      </c>
      <c r="T1344" s="82">
        <v>531</v>
      </c>
      <c r="U1344" s="77"/>
      <c r="V1344" s="75"/>
      <c r="W1344" s="77"/>
      <c r="X1344" s="77"/>
      <c r="Y1344" s="77"/>
      <c r="Z1344" s="77"/>
      <c r="AA1344" s="83"/>
      <c r="AB1344" s="104" t="str">
        <f>IFERROR(VLOOKUP(Anexo_4[[#This Row],[cuenta]],OP,2,0),"-")</f>
        <v>-</v>
      </c>
    </row>
    <row r="1345" spans="1:28" s="84" customFormat="1" ht="27" customHeight="1" x14ac:dyDescent="0.3">
      <c r="A1345" s="75" t="s">
        <v>3879</v>
      </c>
      <c r="B1345" s="36" t="str">
        <f t="shared" si="20"/>
        <v>Agosto</v>
      </c>
      <c r="C1345" s="77" t="s">
        <v>162</v>
      </c>
      <c r="D1345" s="77" t="s">
        <v>4263</v>
      </c>
      <c r="E134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345" s="79" t="s">
        <v>355</v>
      </c>
      <c r="G1345" s="79" t="s">
        <v>356</v>
      </c>
      <c r="H1345" s="140" t="s">
        <v>4264</v>
      </c>
      <c r="I1345" s="77" t="s">
        <v>4265</v>
      </c>
      <c r="J1345" s="144" t="s">
        <v>4266</v>
      </c>
      <c r="K1345" s="77" t="s">
        <v>169</v>
      </c>
      <c r="L1345" s="103" t="str">
        <f>VLOOKUP(Anexo_4[[#This Row],[cod_doc]],TIPODOC,2,FALSE)</f>
        <v>FACTURA</v>
      </c>
      <c r="M1345" s="77" t="s">
        <v>102</v>
      </c>
      <c r="N1345" s="79">
        <v>542</v>
      </c>
      <c r="O1345" s="80">
        <v>423.73</v>
      </c>
      <c r="P1345" s="81"/>
      <c r="Q1345" s="81">
        <v>76.2714</v>
      </c>
      <c r="R1345" s="80"/>
      <c r="S1345" s="80">
        <v>0</v>
      </c>
      <c r="T1345" s="82">
        <v>500</v>
      </c>
      <c r="U1345" s="77"/>
      <c r="V1345" s="75"/>
      <c r="W1345" s="77"/>
      <c r="X1345" s="77"/>
      <c r="Y1345" s="77"/>
      <c r="Z1345" s="77" t="s">
        <v>893</v>
      </c>
      <c r="AA1345" s="83" t="s">
        <v>4264</v>
      </c>
      <c r="AB1345" s="104" t="str">
        <f>IFERROR(VLOOKUP(Anexo_4[[#This Row],[cuenta]],OP,2,0),"-")</f>
        <v>Transporte de Carga - Servicios</v>
      </c>
    </row>
    <row r="1346" spans="1:28" s="84" customFormat="1" ht="27" customHeight="1" x14ac:dyDescent="0.3">
      <c r="A1346" s="75" t="s">
        <v>3879</v>
      </c>
      <c r="B1346" s="36" t="str">
        <f t="shared" ref="B1346:B1409" si="21">PROPER(CHOOSE(LEFT(D1346,2),"enero","febrero","marzo","abril","mayo","junio","julio","agosto","setiembre","octubre","noviembre","diciembre"))</f>
        <v>Agosto</v>
      </c>
      <c r="C1346" s="77" t="s">
        <v>162</v>
      </c>
      <c r="D1346" s="77" t="s">
        <v>4267</v>
      </c>
      <c r="E134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346" s="79" t="s">
        <v>592</v>
      </c>
      <c r="G1346" s="79" t="s">
        <v>593</v>
      </c>
      <c r="H1346" s="140" t="s">
        <v>4268</v>
      </c>
      <c r="I1346" s="77" t="s">
        <v>2598</v>
      </c>
      <c r="J1346" s="144" t="s">
        <v>2599</v>
      </c>
      <c r="K1346" s="77" t="s">
        <v>169</v>
      </c>
      <c r="L1346" s="103" t="str">
        <f>VLOOKUP(Anexo_4[[#This Row],[cod_doc]],TIPODOC,2,FALSE)</f>
        <v>FACTURA</v>
      </c>
      <c r="M1346" s="77" t="s">
        <v>102</v>
      </c>
      <c r="N1346" s="79">
        <v>5283</v>
      </c>
      <c r="O1346" s="80">
        <v>50</v>
      </c>
      <c r="P1346" s="81"/>
      <c r="Q1346" s="81">
        <v>9</v>
      </c>
      <c r="R1346" s="80"/>
      <c r="S1346" s="80">
        <v>0</v>
      </c>
      <c r="T1346" s="82">
        <v>59</v>
      </c>
      <c r="U1346" s="77"/>
      <c r="V1346" s="75"/>
      <c r="W1346" s="77"/>
      <c r="X1346" s="77"/>
      <c r="Y1346" s="77"/>
      <c r="Z1346" s="77" t="s">
        <v>645</v>
      </c>
      <c r="AA1346" s="83" t="s">
        <v>4268</v>
      </c>
      <c r="AB1346" s="104" t="str">
        <f>IFERROR(VLOOKUP(Anexo_4[[#This Row],[cuenta]],OP,2,0),"-")</f>
        <v>Montacarga - Servicios</v>
      </c>
    </row>
    <row r="1347" spans="1:28" s="84" customFormat="1" ht="27" customHeight="1" x14ac:dyDescent="0.3">
      <c r="A1347" s="75" t="s">
        <v>4206</v>
      </c>
      <c r="B1347" s="36" t="str">
        <f t="shared" si="21"/>
        <v>Agosto</v>
      </c>
      <c r="C1347" s="77" t="s">
        <v>162</v>
      </c>
      <c r="D1347" s="77" t="s">
        <v>4269</v>
      </c>
      <c r="E1347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347" s="79" t="s">
        <v>175</v>
      </c>
      <c r="G1347" s="79" t="s">
        <v>176</v>
      </c>
      <c r="H1347" s="140" t="s">
        <v>4270</v>
      </c>
      <c r="I1347" s="77" t="s">
        <v>264</v>
      </c>
      <c r="J1347" s="144" t="s">
        <v>265</v>
      </c>
      <c r="K1347" s="77" t="s">
        <v>169</v>
      </c>
      <c r="L1347" s="103" t="str">
        <f>VLOOKUP(Anexo_4[[#This Row],[cod_doc]],TIPODOC,2,FALSE)</f>
        <v>FACTURA</v>
      </c>
      <c r="M1347" s="77" t="s">
        <v>271</v>
      </c>
      <c r="N1347" s="79">
        <v>1819437</v>
      </c>
      <c r="O1347" s="80">
        <v>10.17</v>
      </c>
      <c r="P1347" s="81"/>
      <c r="Q1347" s="81">
        <v>1.8306</v>
      </c>
      <c r="R1347" s="80"/>
      <c r="S1347" s="80">
        <v>0</v>
      </c>
      <c r="T1347" s="82">
        <v>12</v>
      </c>
      <c r="U1347" s="77"/>
      <c r="V1347" s="75"/>
      <c r="W1347" s="77"/>
      <c r="X1347" s="77"/>
      <c r="Y1347" s="77" t="s">
        <v>4271</v>
      </c>
      <c r="Z1347" s="77" t="s">
        <v>302</v>
      </c>
      <c r="AA1347" s="83" t="s">
        <v>4270</v>
      </c>
      <c r="AB1347" s="104" t="str">
        <f>IFERROR(VLOOKUP(Anexo_4[[#This Row],[cuenta]],OP,2,0),"-")</f>
        <v>Transporte peajes - Servicios</v>
      </c>
    </row>
    <row r="1348" spans="1:28" s="84" customFormat="1" ht="27" customHeight="1" x14ac:dyDescent="0.3">
      <c r="A1348" s="75" t="s">
        <v>4206</v>
      </c>
      <c r="B1348" s="36" t="str">
        <f t="shared" si="21"/>
        <v>Agosto</v>
      </c>
      <c r="C1348" s="77" t="s">
        <v>162</v>
      </c>
      <c r="D1348" s="77" t="s">
        <v>4272</v>
      </c>
      <c r="E1348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348" s="79" t="s">
        <v>175</v>
      </c>
      <c r="G1348" s="79" t="s">
        <v>176</v>
      </c>
      <c r="H1348" s="140" t="s">
        <v>4273</v>
      </c>
      <c r="I1348" s="77" t="s">
        <v>264</v>
      </c>
      <c r="J1348" s="144" t="s">
        <v>265</v>
      </c>
      <c r="K1348" s="77" t="s">
        <v>169</v>
      </c>
      <c r="L1348" s="103" t="str">
        <f>VLOOKUP(Anexo_4[[#This Row],[cod_doc]],TIPODOC,2,FALSE)</f>
        <v>FACTURA</v>
      </c>
      <c r="M1348" s="77" t="s">
        <v>379</v>
      </c>
      <c r="N1348" s="79">
        <v>2153404</v>
      </c>
      <c r="O1348" s="80">
        <v>10.17</v>
      </c>
      <c r="P1348" s="81"/>
      <c r="Q1348" s="81">
        <v>1.8306</v>
      </c>
      <c r="R1348" s="80"/>
      <c r="S1348" s="80">
        <v>0</v>
      </c>
      <c r="T1348" s="82">
        <v>12</v>
      </c>
      <c r="U1348" s="77"/>
      <c r="V1348" s="75"/>
      <c r="W1348" s="77"/>
      <c r="X1348" s="77"/>
      <c r="Y1348" s="77" t="s">
        <v>4274</v>
      </c>
      <c r="Z1348" s="77" t="s">
        <v>302</v>
      </c>
      <c r="AA1348" s="83" t="s">
        <v>4273</v>
      </c>
      <c r="AB1348" s="104" t="str">
        <f>IFERROR(VLOOKUP(Anexo_4[[#This Row],[cuenta]],OP,2,0),"-")</f>
        <v>Transporte peajes - Servicios</v>
      </c>
    </row>
    <row r="1349" spans="1:28" s="84" customFormat="1" ht="27" customHeight="1" x14ac:dyDescent="0.3">
      <c r="A1349" s="75" t="s">
        <v>4206</v>
      </c>
      <c r="B1349" s="36" t="str">
        <f t="shared" si="21"/>
        <v>Agosto</v>
      </c>
      <c r="C1349" s="77" t="s">
        <v>162</v>
      </c>
      <c r="D1349" s="77" t="s">
        <v>4275</v>
      </c>
      <c r="E1349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349" s="79" t="s">
        <v>235</v>
      </c>
      <c r="G1349" s="79" t="s">
        <v>236</v>
      </c>
      <c r="H1349" s="140" t="s">
        <v>4276</v>
      </c>
      <c r="I1349" s="77" t="s">
        <v>529</v>
      </c>
      <c r="J1349" s="144" t="s">
        <v>530</v>
      </c>
      <c r="K1349" s="77" t="s">
        <v>169</v>
      </c>
      <c r="L1349" s="103" t="str">
        <f>VLOOKUP(Anexo_4[[#This Row],[cod_doc]],TIPODOC,2,FALSE)</f>
        <v>FACTURA</v>
      </c>
      <c r="M1349" s="77" t="s">
        <v>531</v>
      </c>
      <c r="N1349" s="79">
        <v>2267</v>
      </c>
      <c r="O1349" s="80">
        <v>8.4700000000000006</v>
      </c>
      <c r="P1349" s="81"/>
      <c r="Q1349" s="81">
        <v>1.5246</v>
      </c>
      <c r="R1349" s="80"/>
      <c r="S1349" s="80">
        <v>0</v>
      </c>
      <c r="T1349" s="82">
        <v>10</v>
      </c>
      <c r="U1349" s="77"/>
      <c r="V1349" s="75"/>
      <c r="W1349" s="77"/>
      <c r="X1349" s="77"/>
      <c r="Y1349" s="77" t="s">
        <v>4277</v>
      </c>
      <c r="Z1349" s="77" t="s">
        <v>182</v>
      </c>
      <c r="AA1349" s="83" t="s">
        <v>4276</v>
      </c>
      <c r="AB1349" s="104" t="str">
        <f>IFERROR(VLOOKUP(Anexo_4[[#This Row],[cuenta]],OP,2,0),"-")</f>
        <v>Balanza - Ventas</v>
      </c>
    </row>
    <row r="1350" spans="1:28" s="84" customFormat="1" ht="27" customHeight="1" x14ac:dyDescent="0.3">
      <c r="A1350" s="75" t="s">
        <v>4206</v>
      </c>
      <c r="B1350" s="36" t="str">
        <f t="shared" si="21"/>
        <v>Agosto</v>
      </c>
      <c r="C1350" s="77" t="s">
        <v>162</v>
      </c>
      <c r="D1350" s="77" t="s">
        <v>4278</v>
      </c>
      <c r="E1350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350" s="79" t="s">
        <v>235</v>
      </c>
      <c r="G1350" s="79" t="s">
        <v>236</v>
      </c>
      <c r="H1350" s="140" t="s">
        <v>4279</v>
      </c>
      <c r="I1350" s="77" t="s">
        <v>529</v>
      </c>
      <c r="J1350" s="144" t="s">
        <v>530</v>
      </c>
      <c r="K1350" s="77" t="s">
        <v>169</v>
      </c>
      <c r="L1350" s="103" t="str">
        <f>VLOOKUP(Anexo_4[[#This Row],[cod_doc]],TIPODOC,2,FALSE)</f>
        <v>FACTURA</v>
      </c>
      <c r="M1350" s="77" t="s">
        <v>531</v>
      </c>
      <c r="N1350" s="79">
        <v>2257</v>
      </c>
      <c r="O1350" s="80">
        <v>8.4700000000000006</v>
      </c>
      <c r="P1350" s="81"/>
      <c r="Q1350" s="81">
        <v>1.5246</v>
      </c>
      <c r="R1350" s="80"/>
      <c r="S1350" s="80">
        <v>0</v>
      </c>
      <c r="T1350" s="82">
        <v>10</v>
      </c>
      <c r="U1350" s="77"/>
      <c r="V1350" s="75"/>
      <c r="W1350" s="77"/>
      <c r="X1350" s="77"/>
      <c r="Y1350" s="77" t="s">
        <v>4280</v>
      </c>
      <c r="Z1350" s="77" t="s">
        <v>182</v>
      </c>
      <c r="AA1350" s="83" t="s">
        <v>4279</v>
      </c>
      <c r="AB1350" s="104" t="str">
        <f>IFERROR(VLOOKUP(Anexo_4[[#This Row],[cuenta]],OP,2,0),"-")</f>
        <v>Balanza - Ventas</v>
      </c>
    </row>
    <row r="1351" spans="1:28" s="84" customFormat="1" ht="27" customHeight="1" x14ac:dyDescent="0.3">
      <c r="A1351" s="75" t="s">
        <v>3711</v>
      </c>
      <c r="B1351" s="36" t="str">
        <f t="shared" si="21"/>
        <v>Agosto</v>
      </c>
      <c r="C1351" s="77" t="s">
        <v>162</v>
      </c>
      <c r="D1351" s="77" t="s">
        <v>4281</v>
      </c>
      <c r="E135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351" s="79" t="s">
        <v>235</v>
      </c>
      <c r="G1351" s="79" t="s">
        <v>236</v>
      </c>
      <c r="H1351" s="140" t="s">
        <v>4282</v>
      </c>
      <c r="I1351" s="77" t="s">
        <v>264</v>
      </c>
      <c r="J1351" s="144" t="s">
        <v>265</v>
      </c>
      <c r="K1351" s="77" t="s">
        <v>169</v>
      </c>
      <c r="L1351" s="103" t="str">
        <f>VLOOKUP(Anexo_4[[#This Row],[cod_doc]],TIPODOC,2,FALSE)</f>
        <v>FACTURA</v>
      </c>
      <c r="M1351" s="77" t="s">
        <v>271</v>
      </c>
      <c r="N1351" s="79">
        <v>1818310</v>
      </c>
      <c r="O1351" s="80">
        <v>6.78</v>
      </c>
      <c r="P1351" s="81"/>
      <c r="Q1351" s="81">
        <v>1.2203999999999999</v>
      </c>
      <c r="R1351" s="80"/>
      <c r="S1351" s="80">
        <v>0</v>
      </c>
      <c r="T1351" s="82">
        <v>8</v>
      </c>
      <c r="U1351" s="77"/>
      <c r="V1351" s="75"/>
      <c r="W1351" s="77"/>
      <c r="X1351" s="77"/>
      <c r="Y1351" s="77" t="s">
        <v>4283</v>
      </c>
      <c r="Z1351" s="77" t="s">
        <v>302</v>
      </c>
      <c r="AA1351" s="83" t="s">
        <v>4282</v>
      </c>
      <c r="AB1351" s="104" t="str">
        <f>IFERROR(VLOOKUP(Anexo_4[[#This Row],[cuenta]],OP,2,0),"-")</f>
        <v>Transporte peajes - Servicios</v>
      </c>
    </row>
    <row r="1352" spans="1:28" s="84" customFormat="1" ht="27" customHeight="1" x14ac:dyDescent="0.3">
      <c r="A1352" s="75" t="s">
        <v>3711</v>
      </c>
      <c r="B1352" s="36" t="str">
        <f t="shared" si="21"/>
        <v>Agosto</v>
      </c>
      <c r="C1352" s="77" t="s">
        <v>162</v>
      </c>
      <c r="D1352" s="77" t="s">
        <v>4284</v>
      </c>
      <c r="E135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352" s="79" t="s">
        <v>235</v>
      </c>
      <c r="G1352" s="79" t="s">
        <v>236</v>
      </c>
      <c r="H1352" s="140" t="s">
        <v>4285</v>
      </c>
      <c r="I1352" s="77" t="s">
        <v>264</v>
      </c>
      <c r="J1352" s="144" t="s">
        <v>265</v>
      </c>
      <c r="K1352" s="77" t="s">
        <v>169</v>
      </c>
      <c r="L1352" s="103" t="str">
        <f>VLOOKUP(Anexo_4[[#This Row],[cod_doc]],TIPODOC,2,FALSE)</f>
        <v>FACTURA</v>
      </c>
      <c r="M1352" s="77" t="s">
        <v>379</v>
      </c>
      <c r="N1352" s="79">
        <v>2152263</v>
      </c>
      <c r="O1352" s="80">
        <v>6.78</v>
      </c>
      <c r="P1352" s="81"/>
      <c r="Q1352" s="81">
        <v>1.2203999999999999</v>
      </c>
      <c r="R1352" s="80"/>
      <c r="S1352" s="80">
        <v>0</v>
      </c>
      <c r="T1352" s="82">
        <v>8</v>
      </c>
      <c r="U1352" s="77"/>
      <c r="V1352" s="75"/>
      <c r="W1352" s="77"/>
      <c r="X1352" s="77"/>
      <c r="Y1352" s="77" t="s">
        <v>4286</v>
      </c>
      <c r="Z1352" s="77" t="s">
        <v>302</v>
      </c>
      <c r="AA1352" s="83" t="s">
        <v>4285</v>
      </c>
      <c r="AB1352" s="104" t="str">
        <f>IFERROR(VLOOKUP(Anexo_4[[#This Row],[cuenta]],OP,2,0),"-")</f>
        <v>Transporte peajes - Servicios</v>
      </c>
    </row>
    <row r="1353" spans="1:28" s="84" customFormat="1" ht="27" customHeight="1" x14ac:dyDescent="0.3">
      <c r="A1353" s="75" t="s">
        <v>3711</v>
      </c>
      <c r="B1353" s="36" t="str">
        <f t="shared" si="21"/>
        <v>Agosto</v>
      </c>
      <c r="C1353" s="77" t="s">
        <v>162</v>
      </c>
      <c r="D1353" s="77" t="s">
        <v>4287</v>
      </c>
      <c r="E1353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353" s="79" t="s">
        <v>235</v>
      </c>
      <c r="G1353" s="79" t="s">
        <v>236</v>
      </c>
      <c r="H1353" s="140" t="s">
        <v>4288</v>
      </c>
      <c r="I1353" s="77" t="s">
        <v>178</v>
      </c>
      <c r="J1353" s="144" t="s">
        <v>179</v>
      </c>
      <c r="K1353" s="77" t="s">
        <v>169</v>
      </c>
      <c r="L1353" s="103" t="str">
        <f>VLOOKUP(Anexo_4[[#This Row],[cod_doc]],TIPODOC,2,FALSE)</f>
        <v>FACTURA</v>
      </c>
      <c r="M1353" s="77" t="s">
        <v>180</v>
      </c>
      <c r="N1353" s="79">
        <v>135806</v>
      </c>
      <c r="O1353" s="80">
        <v>8.4700000000000006</v>
      </c>
      <c r="P1353" s="81"/>
      <c r="Q1353" s="81">
        <v>1.5246</v>
      </c>
      <c r="R1353" s="80"/>
      <c r="S1353" s="80">
        <v>0</v>
      </c>
      <c r="T1353" s="82">
        <v>10</v>
      </c>
      <c r="U1353" s="77"/>
      <c r="V1353" s="75"/>
      <c r="W1353" s="77"/>
      <c r="X1353" s="77"/>
      <c r="Y1353" s="77" t="s">
        <v>4289</v>
      </c>
      <c r="Z1353" s="77" t="s">
        <v>386</v>
      </c>
      <c r="AA1353" s="83" t="s">
        <v>4288</v>
      </c>
      <c r="AB1353" s="104" t="str">
        <f>IFERROR(VLOOKUP(Anexo_4[[#This Row],[cuenta]],OP,2,0),"-")</f>
        <v>Balanza - Servicios</v>
      </c>
    </row>
    <row r="1354" spans="1:28" s="84" customFormat="1" ht="27" customHeight="1" x14ac:dyDescent="0.3">
      <c r="A1354" s="75" t="s">
        <v>4206</v>
      </c>
      <c r="B1354" s="36" t="str">
        <f t="shared" si="21"/>
        <v>Agosto</v>
      </c>
      <c r="C1354" s="77" t="s">
        <v>162</v>
      </c>
      <c r="D1354" s="77" t="s">
        <v>4290</v>
      </c>
      <c r="E1354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354" s="79" t="s">
        <v>235</v>
      </c>
      <c r="G1354" s="79" t="s">
        <v>236</v>
      </c>
      <c r="H1354" s="140" t="s">
        <v>4291</v>
      </c>
      <c r="I1354" s="77" t="s">
        <v>178</v>
      </c>
      <c r="J1354" s="144" t="s">
        <v>179</v>
      </c>
      <c r="K1354" s="77" t="s">
        <v>169</v>
      </c>
      <c r="L1354" s="103" t="str">
        <f>VLOOKUP(Anexo_4[[#This Row],[cod_doc]],TIPODOC,2,FALSE)</f>
        <v>FACTURA</v>
      </c>
      <c r="M1354" s="77" t="s">
        <v>180</v>
      </c>
      <c r="N1354" s="79">
        <v>135848</v>
      </c>
      <c r="O1354" s="80">
        <v>8.4700000000000006</v>
      </c>
      <c r="P1354" s="81"/>
      <c r="Q1354" s="81">
        <v>1.5246</v>
      </c>
      <c r="R1354" s="80"/>
      <c r="S1354" s="80">
        <v>0</v>
      </c>
      <c r="T1354" s="82">
        <v>10</v>
      </c>
      <c r="U1354" s="77"/>
      <c r="V1354" s="75"/>
      <c r="W1354" s="77"/>
      <c r="X1354" s="77"/>
      <c r="Y1354" s="77" t="s">
        <v>4292</v>
      </c>
      <c r="Z1354" s="77" t="s">
        <v>386</v>
      </c>
      <c r="AA1354" s="83" t="s">
        <v>4291</v>
      </c>
      <c r="AB1354" s="104" t="str">
        <f>IFERROR(VLOOKUP(Anexo_4[[#This Row],[cuenta]],OP,2,0),"-")</f>
        <v>Balanza - Servicios</v>
      </c>
    </row>
    <row r="1355" spans="1:28" s="84" customFormat="1" ht="27" customHeight="1" x14ac:dyDescent="0.3">
      <c r="A1355" s="75" t="s">
        <v>3746</v>
      </c>
      <c r="B1355" s="36" t="str">
        <f t="shared" si="21"/>
        <v>Agosto</v>
      </c>
      <c r="C1355" s="77" t="s">
        <v>162</v>
      </c>
      <c r="D1355" s="77" t="s">
        <v>4293</v>
      </c>
      <c r="E135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355" s="79" t="s">
        <v>217</v>
      </c>
      <c r="G1355" s="79" t="s">
        <v>218</v>
      </c>
      <c r="H1355" s="140" t="s">
        <v>930</v>
      </c>
      <c r="I1355" s="77" t="s">
        <v>529</v>
      </c>
      <c r="J1355" s="144" t="s">
        <v>530</v>
      </c>
      <c r="K1355" s="77" t="s">
        <v>169</v>
      </c>
      <c r="L1355" s="103" t="str">
        <f>VLOOKUP(Anexo_4[[#This Row],[cod_doc]],TIPODOC,2,FALSE)</f>
        <v>FACTURA</v>
      </c>
      <c r="M1355" s="77" t="s">
        <v>531</v>
      </c>
      <c r="N1355" s="79">
        <v>2142</v>
      </c>
      <c r="O1355" s="80">
        <v>8.4700000000000006</v>
      </c>
      <c r="P1355" s="81"/>
      <c r="Q1355" s="81">
        <v>1.5246</v>
      </c>
      <c r="R1355" s="80"/>
      <c r="S1355" s="80">
        <v>0</v>
      </c>
      <c r="T1355" s="82">
        <v>10</v>
      </c>
      <c r="U1355" s="77"/>
      <c r="V1355" s="75"/>
      <c r="W1355" s="77"/>
      <c r="X1355" s="77"/>
      <c r="Y1355" s="77"/>
      <c r="Z1355" s="77" t="s">
        <v>386</v>
      </c>
      <c r="AA1355" s="83" t="s">
        <v>930</v>
      </c>
      <c r="AB1355" s="104" t="str">
        <f>IFERROR(VLOOKUP(Anexo_4[[#This Row],[cuenta]],OP,2,0),"-")</f>
        <v>Balanza - Servicios</v>
      </c>
    </row>
    <row r="1356" spans="1:28" s="84" customFormat="1" ht="27" customHeight="1" x14ac:dyDescent="0.3">
      <c r="A1356" s="75" t="s">
        <v>3746</v>
      </c>
      <c r="B1356" s="36" t="str">
        <f t="shared" si="21"/>
        <v>Agosto</v>
      </c>
      <c r="C1356" s="77" t="s">
        <v>162</v>
      </c>
      <c r="D1356" s="77" t="s">
        <v>4294</v>
      </c>
      <c r="E135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356" s="79" t="s">
        <v>217</v>
      </c>
      <c r="G1356" s="79" t="s">
        <v>218</v>
      </c>
      <c r="H1356" s="140" t="s">
        <v>1276</v>
      </c>
      <c r="I1356" s="77" t="s">
        <v>264</v>
      </c>
      <c r="J1356" s="144" t="s">
        <v>265</v>
      </c>
      <c r="K1356" s="77" t="s">
        <v>169</v>
      </c>
      <c r="L1356" s="103" t="str">
        <f>VLOOKUP(Anexo_4[[#This Row],[cod_doc]],TIPODOC,2,FALSE)</f>
        <v>FACTURA</v>
      </c>
      <c r="M1356" s="77" t="s">
        <v>1548</v>
      </c>
      <c r="N1356" s="79">
        <v>1918350</v>
      </c>
      <c r="O1356" s="80">
        <v>6.53</v>
      </c>
      <c r="P1356" s="81"/>
      <c r="Q1356" s="81">
        <v>1.1754</v>
      </c>
      <c r="R1356" s="80"/>
      <c r="S1356" s="80">
        <v>0</v>
      </c>
      <c r="T1356" s="82">
        <v>7.7</v>
      </c>
      <c r="U1356" s="77"/>
      <c r="V1356" s="75"/>
      <c r="W1356" s="77"/>
      <c r="X1356" s="77"/>
      <c r="Y1356" s="77"/>
      <c r="Z1356" s="77" t="s">
        <v>302</v>
      </c>
      <c r="AA1356" s="83" t="s">
        <v>1276</v>
      </c>
      <c r="AB1356" s="104" t="str">
        <f>IFERROR(VLOOKUP(Anexo_4[[#This Row],[cuenta]],OP,2,0),"-")</f>
        <v>Transporte peajes - Servicios</v>
      </c>
    </row>
    <row r="1357" spans="1:28" s="84" customFormat="1" ht="27" customHeight="1" x14ac:dyDescent="0.3">
      <c r="A1357" s="75" t="s">
        <v>3746</v>
      </c>
      <c r="B1357" s="36" t="str">
        <f t="shared" si="21"/>
        <v>Agosto</v>
      </c>
      <c r="C1357" s="77" t="s">
        <v>162</v>
      </c>
      <c r="D1357" s="77" t="s">
        <v>4295</v>
      </c>
      <c r="E1357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357" s="79" t="s">
        <v>217</v>
      </c>
      <c r="G1357" s="79" t="s">
        <v>218</v>
      </c>
      <c r="H1357" s="140" t="s">
        <v>1276</v>
      </c>
      <c r="I1357" s="77" t="s">
        <v>264</v>
      </c>
      <c r="J1357" s="144" t="s">
        <v>265</v>
      </c>
      <c r="K1357" s="77" t="s">
        <v>169</v>
      </c>
      <c r="L1357" s="103" t="str">
        <f>VLOOKUP(Anexo_4[[#This Row],[cod_doc]],TIPODOC,2,FALSE)</f>
        <v>FACTURA</v>
      </c>
      <c r="M1357" s="77" t="s">
        <v>3023</v>
      </c>
      <c r="N1357" s="79">
        <v>1869915</v>
      </c>
      <c r="O1357" s="80">
        <v>6.53</v>
      </c>
      <c r="P1357" s="81"/>
      <c r="Q1357" s="81">
        <v>1.1754</v>
      </c>
      <c r="R1357" s="80"/>
      <c r="S1357" s="80">
        <v>0</v>
      </c>
      <c r="T1357" s="82">
        <v>7.7</v>
      </c>
      <c r="U1357" s="77"/>
      <c r="V1357" s="75"/>
      <c r="W1357" s="77"/>
      <c r="X1357" s="77"/>
      <c r="Y1357" s="77"/>
      <c r="Z1357" s="77" t="s">
        <v>302</v>
      </c>
      <c r="AA1357" s="83" t="s">
        <v>1276</v>
      </c>
      <c r="AB1357" s="104" t="str">
        <f>IFERROR(VLOOKUP(Anexo_4[[#This Row],[cuenta]],OP,2,0),"-")</f>
        <v>Transporte peajes - Servicios</v>
      </c>
    </row>
    <row r="1358" spans="1:28" s="84" customFormat="1" ht="27" customHeight="1" x14ac:dyDescent="0.3">
      <c r="A1358" s="75" t="s">
        <v>4296</v>
      </c>
      <c r="B1358" s="36" t="str">
        <f t="shared" si="21"/>
        <v>Agosto</v>
      </c>
      <c r="C1358" s="77" t="s">
        <v>162</v>
      </c>
      <c r="D1358" s="77" t="s">
        <v>4297</v>
      </c>
      <c r="E1358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358" s="79" t="s">
        <v>248</v>
      </c>
      <c r="G1358" s="79" t="s">
        <v>249</v>
      </c>
      <c r="H1358" s="140" t="s">
        <v>4298</v>
      </c>
      <c r="I1358" s="77" t="s">
        <v>625</v>
      </c>
      <c r="J1358" s="144" t="s">
        <v>626</v>
      </c>
      <c r="K1358" s="77" t="s">
        <v>169</v>
      </c>
      <c r="L1358" s="103" t="str">
        <f>VLOOKUP(Anexo_4[[#This Row],[cod_doc]],TIPODOC,2,FALSE)</f>
        <v>FACTURA</v>
      </c>
      <c r="M1358" s="77" t="s">
        <v>180</v>
      </c>
      <c r="N1358" s="79">
        <v>16687</v>
      </c>
      <c r="O1358" s="80">
        <v>442.16</v>
      </c>
      <c r="P1358" s="81"/>
      <c r="Q1358" s="81">
        <v>79.588800000000006</v>
      </c>
      <c r="R1358" s="80"/>
      <c r="S1358" s="80">
        <v>0</v>
      </c>
      <c r="T1358" s="82">
        <v>521.74</v>
      </c>
      <c r="U1358" s="77"/>
      <c r="V1358" s="75"/>
      <c r="W1358" s="77"/>
      <c r="X1358" s="77"/>
      <c r="Y1358" s="77" t="s">
        <v>4299</v>
      </c>
      <c r="Z1358" s="77" t="s">
        <v>256</v>
      </c>
      <c r="AA1358" s="83" t="s">
        <v>4298</v>
      </c>
      <c r="AB1358" s="104" t="str">
        <f>IFERROR(VLOOKUP(Anexo_4[[#This Row],[cuenta]],OP,2,0),"-")</f>
        <v>Materias Primas - RRSS</v>
      </c>
    </row>
    <row r="1359" spans="1:28" s="84" customFormat="1" ht="27" customHeight="1" x14ac:dyDescent="0.3">
      <c r="A1359" s="75" t="s">
        <v>3610</v>
      </c>
      <c r="B1359" s="36" t="str">
        <f t="shared" si="21"/>
        <v>Agosto</v>
      </c>
      <c r="C1359" s="77" t="s">
        <v>162</v>
      </c>
      <c r="D1359" s="77" t="s">
        <v>4300</v>
      </c>
      <c r="E1359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359" s="79" t="s">
        <v>248</v>
      </c>
      <c r="G1359" s="79" t="s">
        <v>249</v>
      </c>
      <c r="H1359" s="140" t="s">
        <v>4301</v>
      </c>
      <c r="I1359" s="77" t="s">
        <v>3928</v>
      </c>
      <c r="J1359" s="144" t="s">
        <v>3929</v>
      </c>
      <c r="K1359" s="77" t="s">
        <v>169</v>
      </c>
      <c r="L1359" s="103" t="str">
        <f>VLOOKUP(Anexo_4[[#This Row],[cod_doc]],TIPODOC,2,FALSE)</f>
        <v>FACTURA</v>
      </c>
      <c r="M1359" s="77" t="s">
        <v>102</v>
      </c>
      <c r="N1359" s="79">
        <v>2827</v>
      </c>
      <c r="O1359" s="80">
        <v>124.49</v>
      </c>
      <c r="P1359" s="81"/>
      <c r="Q1359" s="81">
        <v>22.408199999999997</v>
      </c>
      <c r="R1359" s="80"/>
      <c r="S1359" s="80">
        <v>0</v>
      </c>
      <c r="T1359" s="82">
        <v>146.9</v>
      </c>
      <c r="U1359" s="77"/>
      <c r="V1359" s="75"/>
      <c r="W1359" s="77"/>
      <c r="X1359" s="77"/>
      <c r="Y1359" s="77" t="s">
        <v>4302</v>
      </c>
      <c r="Z1359" s="77" t="s">
        <v>256</v>
      </c>
      <c r="AA1359" s="83" t="s">
        <v>4301</v>
      </c>
      <c r="AB1359" s="104" t="str">
        <f>IFERROR(VLOOKUP(Anexo_4[[#This Row],[cuenta]],OP,2,0),"-")</f>
        <v>Materias Primas - RRSS</v>
      </c>
    </row>
    <row r="1360" spans="1:28" s="84" customFormat="1" ht="27" customHeight="1" x14ac:dyDescent="0.3">
      <c r="A1360" s="75" t="s">
        <v>4206</v>
      </c>
      <c r="B1360" s="36" t="str">
        <f t="shared" si="21"/>
        <v>Agosto</v>
      </c>
      <c r="C1360" s="77" t="s">
        <v>162</v>
      </c>
      <c r="D1360" s="77" t="s">
        <v>4303</v>
      </c>
      <c r="E1360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360" s="79" t="s">
        <v>235</v>
      </c>
      <c r="G1360" s="79" t="s">
        <v>236</v>
      </c>
      <c r="H1360" s="140" t="s">
        <v>4304</v>
      </c>
      <c r="I1360" s="77" t="s">
        <v>227</v>
      </c>
      <c r="J1360" s="144" t="s">
        <v>228</v>
      </c>
      <c r="K1360" s="77" t="s">
        <v>169</v>
      </c>
      <c r="L1360" s="103" t="str">
        <f>VLOOKUP(Anexo_4[[#This Row],[cod_doc]],TIPODOC,2,FALSE)</f>
        <v>FACTURA</v>
      </c>
      <c r="M1360" s="77" t="s">
        <v>222</v>
      </c>
      <c r="N1360" s="79">
        <v>37490</v>
      </c>
      <c r="O1360" s="80">
        <v>84.75</v>
      </c>
      <c r="P1360" s="81"/>
      <c r="Q1360" s="81">
        <v>15.254999999999999</v>
      </c>
      <c r="R1360" s="80"/>
      <c r="S1360" s="80">
        <v>0</v>
      </c>
      <c r="T1360" s="82">
        <v>100</v>
      </c>
      <c r="U1360" s="77"/>
      <c r="V1360" s="75"/>
      <c r="W1360" s="77"/>
      <c r="X1360" s="77"/>
      <c r="Y1360" s="77"/>
      <c r="Z1360" s="77" t="s">
        <v>229</v>
      </c>
      <c r="AA1360" s="83" t="s">
        <v>4304</v>
      </c>
      <c r="AB1360" s="104" t="str">
        <f>IFERROR(VLOOKUP(Anexo_4[[#This Row],[cuenta]],OP,2,0),"-")</f>
        <v>Revisión Técnica Vehicular</v>
      </c>
    </row>
    <row r="1361" spans="1:28" s="84" customFormat="1" ht="27" customHeight="1" x14ac:dyDescent="0.3">
      <c r="A1361" s="75" t="s">
        <v>4206</v>
      </c>
      <c r="B1361" s="36" t="str">
        <f t="shared" si="21"/>
        <v>Agosto</v>
      </c>
      <c r="C1361" s="77" t="s">
        <v>162</v>
      </c>
      <c r="D1361" s="77" t="s">
        <v>4305</v>
      </c>
      <c r="E136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361" s="79" t="s">
        <v>235</v>
      </c>
      <c r="G1361" s="79" t="s">
        <v>236</v>
      </c>
      <c r="H1361" s="140" t="s">
        <v>4304</v>
      </c>
      <c r="I1361" s="77" t="s">
        <v>227</v>
      </c>
      <c r="J1361" s="144" t="s">
        <v>228</v>
      </c>
      <c r="K1361" s="77" t="s">
        <v>169</v>
      </c>
      <c r="L1361" s="103" t="str">
        <f>VLOOKUP(Anexo_4[[#This Row],[cod_doc]],TIPODOC,2,FALSE)</f>
        <v>FACTURA</v>
      </c>
      <c r="M1361" s="77" t="s">
        <v>222</v>
      </c>
      <c r="N1361" s="79">
        <v>37491</v>
      </c>
      <c r="O1361" s="80">
        <v>101.69</v>
      </c>
      <c r="P1361" s="81"/>
      <c r="Q1361" s="81">
        <v>18.304199999999998</v>
      </c>
      <c r="R1361" s="80"/>
      <c r="S1361" s="80">
        <v>0</v>
      </c>
      <c r="T1361" s="82">
        <v>120</v>
      </c>
      <c r="U1361" s="77"/>
      <c r="V1361" s="75"/>
      <c r="W1361" s="77"/>
      <c r="X1361" s="77"/>
      <c r="Y1361" s="77"/>
      <c r="Z1361" s="77" t="s">
        <v>229</v>
      </c>
      <c r="AA1361" s="83" t="s">
        <v>4304</v>
      </c>
      <c r="AB1361" s="104" t="str">
        <f>IFERROR(VLOOKUP(Anexo_4[[#This Row],[cuenta]],OP,2,0),"-")</f>
        <v>Revisión Técnica Vehicular</v>
      </c>
    </row>
    <row r="1362" spans="1:28" s="84" customFormat="1" ht="27" customHeight="1" x14ac:dyDescent="0.3">
      <c r="A1362" s="75" t="s">
        <v>4296</v>
      </c>
      <c r="B1362" s="36" t="str">
        <f t="shared" si="21"/>
        <v>Agosto</v>
      </c>
      <c r="C1362" s="77" t="s">
        <v>162</v>
      </c>
      <c r="D1362" s="77" t="s">
        <v>4306</v>
      </c>
      <c r="E136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362" s="79" t="s">
        <v>355</v>
      </c>
      <c r="G1362" s="79" t="s">
        <v>356</v>
      </c>
      <c r="H1362" s="140" t="s">
        <v>4307</v>
      </c>
      <c r="I1362" s="77" t="s">
        <v>4308</v>
      </c>
      <c r="J1362" s="144" t="s">
        <v>4309</v>
      </c>
      <c r="K1362" s="77" t="s">
        <v>169</v>
      </c>
      <c r="L1362" s="103" t="str">
        <f>VLOOKUP(Anexo_4[[#This Row],[cod_doc]],TIPODOC,2,FALSE)</f>
        <v>FACTURA</v>
      </c>
      <c r="M1362" s="77" t="s">
        <v>102</v>
      </c>
      <c r="N1362" s="79">
        <v>350</v>
      </c>
      <c r="O1362" s="80">
        <v>423.73</v>
      </c>
      <c r="P1362" s="81"/>
      <c r="Q1362" s="81">
        <v>76.2714</v>
      </c>
      <c r="R1362" s="80"/>
      <c r="S1362" s="80">
        <v>0</v>
      </c>
      <c r="T1362" s="82">
        <v>500</v>
      </c>
      <c r="U1362" s="77"/>
      <c r="V1362" s="75"/>
      <c r="W1362" s="77"/>
      <c r="X1362" s="77"/>
      <c r="Y1362" s="77"/>
      <c r="Z1362" s="77" t="s">
        <v>893</v>
      </c>
      <c r="AA1362" s="83" t="s">
        <v>4307</v>
      </c>
      <c r="AB1362" s="104" t="str">
        <f>IFERROR(VLOOKUP(Anexo_4[[#This Row],[cuenta]],OP,2,0),"-")</f>
        <v>Transporte de Carga - Servicios</v>
      </c>
    </row>
    <row r="1363" spans="1:28" s="84" customFormat="1" ht="27" customHeight="1" x14ac:dyDescent="0.3">
      <c r="A1363" s="75" t="s">
        <v>3711</v>
      </c>
      <c r="B1363" s="36" t="str">
        <f t="shared" si="21"/>
        <v>Agosto</v>
      </c>
      <c r="C1363" s="77" t="s">
        <v>162</v>
      </c>
      <c r="D1363" s="77" t="s">
        <v>4310</v>
      </c>
      <c r="E1363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363" s="79" t="s">
        <v>418</v>
      </c>
      <c r="G1363" s="79" t="s">
        <v>419</v>
      </c>
      <c r="H1363" s="140" t="s">
        <v>4311</v>
      </c>
      <c r="I1363" s="77" t="s">
        <v>4312</v>
      </c>
      <c r="J1363" s="144" t="s">
        <v>4313</v>
      </c>
      <c r="K1363" s="77" t="s">
        <v>169</v>
      </c>
      <c r="L1363" s="103" t="str">
        <f>VLOOKUP(Anexo_4[[#This Row],[cod_doc]],TIPODOC,2,FALSE)</f>
        <v>FACTURA</v>
      </c>
      <c r="M1363" s="77" t="s">
        <v>102</v>
      </c>
      <c r="N1363" s="79">
        <v>598</v>
      </c>
      <c r="O1363" s="80">
        <v>1500</v>
      </c>
      <c r="P1363" s="81"/>
      <c r="Q1363" s="81">
        <v>270</v>
      </c>
      <c r="R1363" s="80"/>
      <c r="S1363" s="80">
        <v>0</v>
      </c>
      <c r="T1363" s="82">
        <v>1770</v>
      </c>
      <c r="U1363" s="77"/>
      <c r="V1363" s="75"/>
      <c r="W1363" s="77"/>
      <c r="X1363" s="77"/>
      <c r="Y1363" s="77"/>
      <c r="Z1363" s="77" t="s">
        <v>893</v>
      </c>
      <c r="AA1363" s="83" t="s">
        <v>4311</v>
      </c>
      <c r="AB1363" s="104" t="str">
        <f>IFERROR(VLOOKUP(Anexo_4[[#This Row],[cuenta]],OP,2,0),"-")</f>
        <v>Transporte de Carga - Servicios</v>
      </c>
    </row>
    <row r="1364" spans="1:28" s="84" customFormat="1" ht="27" customHeight="1" x14ac:dyDescent="0.3">
      <c r="A1364" s="75" t="s">
        <v>3532</v>
      </c>
      <c r="B1364" s="36" t="str">
        <f t="shared" si="21"/>
        <v>Agosto</v>
      </c>
      <c r="C1364" s="77" t="s">
        <v>162</v>
      </c>
      <c r="D1364" s="77" t="s">
        <v>4314</v>
      </c>
      <c r="E1364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364" s="79" t="s">
        <v>355</v>
      </c>
      <c r="G1364" s="79" t="s">
        <v>356</v>
      </c>
      <c r="H1364" s="140" t="s">
        <v>4315</v>
      </c>
      <c r="I1364" s="77" t="s">
        <v>2050</v>
      </c>
      <c r="J1364" s="144" t="s">
        <v>2051</v>
      </c>
      <c r="K1364" s="77" t="s">
        <v>169</v>
      </c>
      <c r="L1364" s="103" t="str">
        <f>VLOOKUP(Anexo_4[[#This Row],[cod_doc]],TIPODOC,2,FALSE)</f>
        <v>FACTURA</v>
      </c>
      <c r="M1364" s="77" t="s">
        <v>2062</v>
      </c>
      <c r="N1364" s="79">
        <v>77025</v>
      </c>
      <c r="O1364" s="80">
        <v>11.86</v>
      </c>
      <c r="P1364" s="81"/>
      <c r="Q1364" s="81">
        <v>2.1347999999999998</v>
      </c>
      <c r="R1364" s="80"/>
      <c r="S1364" s="80">
        <v>0</v>
      </c>
      <c r="T1364" s="82">
        <v>13.99</v>
      </c>
      <c r="U1364" s="77"/>
      <c r="V1364" s="75"/>
      <c r="W1364" s="77"/>
      <c r="X1364" s="77"/>
      <c r="Y1364" s="77"/>
      <c r="Z1364" s="77" t="s">
        <v>196</v>
      </c>
      <c r="AA1364" s="83" t="s">
        <v>4315</v>
      </c>
      <c r="AB1364" s="104" t="str">
        <f>IFERROR(VLOOKUP(Anexo_4[[#This Row],[cuenta]],OP,2,0),"-")</f>
        <v>Encomienda (Envío de documentación)</v>
      </c>
    </row>
    <row r="1365" spans="1:28" s="84" customFormat="1" ht="27" customHeight="1" x14ac:dyDescent="0.3">
      <c r="A1365" s="75" t="s">
        <v>3624</v>
      </c>
      <c r="B1365" s="36" t="str">
        <f t="shared" si="21"/>
        <v>Agosto</v>
      </c>
      <c r="C1365" s="77" t="s">
        <v>162</v>
      </c>
      <c r="D1365" s="77" t="s">
        <v>4316</v>
      </c>
      <c r="E136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365" s="79" t="s">
        <v>355</v>
      </c>
      <c r="G1365" s="79" t="s">
        <v>356</v>
      </c>
      <c r="H1365" s="140" t="s">
        <v>4317</v>
      </c>
      <c r="I1365" s="77" t="s">
        <v>2050</v>
      </c>
      <c r="J1365" s="144" t="s">
        <v>2051</v>
      </c>
      <c r="K1365" s="77" t="s">
        <v>169</v>
      </c>
      <c r="L1365" s="103" t="str">
        <f>VLOOKUP(Anexo_4[[#This Row],[cod_doc]],TIPODOC,2,FALSE)</f>
        <v>FACTURA</v>
      </c>
      <c r="M1365" s="77" t="s">
        <v>2062</v>
      </c>
      <c r="N1365" s="79">
        <v>77061</v>
      </c>
      <c r="O1365" s="80">
        <v>11.86</v>
      </c>
      <c r="P1365" s="81"/>
      <c r="Q1365" s="81">
        <v>2.1347999999999998</v>
      </c>
      <c r="R1365" s="80"/>
      <c r="S1365" s="80">
        <v>0</v>
      </c>
      <c r="T1365" s="82">
        <v>13.99</v>
      </c>
      <c r="U1365" s="77"/>
      <c r="V1365" s="75"/>
      <c r="W1365" s="77"/>
      <c r="X1365" s="77"/>
      <c r="Y1365" s="77"/>
      <c r="Z1365" s="77" t="s">
        <v>196</v>
      </c>
      <c r="AA1365" s="83" t="s">
        <v>4317</v>
      </c>
      <c r="AB1365" s="104" t="str">
        <f>IFERROR(VLOOKUP(Anexo_4[[#This Row],[cuenta]],OP,2,0),"-")</f>
        <v>Encomienda (Envío de documentación)</v>
      </c>
    </row>
    <row r="1366" spans="1:28" s="84" customFormat="1" ht="27" customHeight="1" x14ac:dyDescent="0.3">
      <c r="A1366" s="75" t="s">
        <v>2494</v>
      </c>
      <c r="B1366" s="36" t="str">
        <f t="shared" si="21"/>
        <v>Agosto</v>
      </c>
      <c r="C1366" s="77" t="s">
        <v>162</v>
      </c>
      <c r="D1366" s="77" t="s">
        <v>4318</v>
      </c>
      <c r="E136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366" s="79" t="s">
        <v>449</v>
      </c>
      <c r="G1366" s="79" t="s">
        <v>450</v>
      </c>
      <c r="H1366" s="140" t="s">
        <v>4319</v>
      </c>
      <c r="I1366" s="77" t="s">
        <v>312</v>
      </c>
      <c r="J1366" s="144" t="s">
        <v>313</v>
      </c>
      <c r="K1366" s="77" t="s">
        <v>169</v>
      </c>
      <c r="L1366" s="103" t="str">
        <f>VLOOKUP(Anexo_4[[#This Row],[cod_doc]],TIPODOC,2,FALSE)</f>
        <v>FACTURA</v>
      </c>
      <c r="M1366" s="77" t="s">
        <v>319</v>
      </c>
      <c r="N1366" s="79">
        <v>2332364</v>
      </c>
      <c r="O1366" s="80">
        <v>12.71</v>
      </c>
      <c r="P1366" s="81"/>
      <c r="Q1366" s="81">
        <v>2.2878000000000003</v>
      </c>
      <c r="R1366" s="80"/>
      <c r="S1366" s="80">
        <v>0</v>
      </c>
      <c r="T1366" s="82">
        <v>15</v>
      </c>
      <c r="U1366" s="77"/>
      <c r="V1366" s="75"/>
      <c r="W1366" s="77"/>
      <c r="X1366" s="77"/>
      <c r="Y1366" s="77" t="s">
        <v>4320</v>
      </c>
      <c r="Z1366" s="77" t="s">
        <v>302</v>
      </c>
      <c r="AA1366" s="83" t="s">
        <v>4319</v>
      </c>
      <c r="AB1366" s="104" t="str">
        <f>IFERROR(VLOOKUP(Anexo_4[[#This Row],[cuenta]],OP,2,0),"-")</f>
        <v>Transporte peajes - Servicios</v>
      </c>
    </row>
    <row r="1367" spans="1:28" s="84" customFormat="1" ht="27" customHeight="1" x14ac:dyDescent="0.3">
      <c r="A1367" s="75" t="s">
        <v>2494</v>
      </c>
      <c r="B1367" s="36" t="str">
        <f t="shared" si="21"/>
        <v>Agosto</v>
      </c>
      <c r="C1367" s="77" t="s">
        <v>162</v>
      </c>
      <c r="D1367" s="77" t="s">
        <v>4321</v>
      </c>
      <c r="E1367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367" s="79" t="s">
        <v>449</v>
      </c>
      <c r="G1367" s="79" t="s">
        <v>450</v>
      </c>
      <c r="H1367" s="140" t="s">
        <v>4322</v>
      </c>
      <c r="I1367" s="77" t="s">
        <v>312</v>
      </c>
      <c r="J1367" s="144" t="s">
        <v>313</v>
      </c>
      <c r="K1367" s="77" t="s">
        <v>169</v>
      </c>
      <c r="L1367" s="103" t="str">
        <f>VLOOKUP(Anexo_4[[#This Row],[cod_doc]],TIPODOC,2,FALSE)</f>
        <v>FACTURA</v>
      </c>
      <c r="M1367" s="77" t="s">
        <v>195</v>
      </c>
      <c r="N1367" s="79">
        <v>1188228</v>
      </c>
      <c r="O1367" s="80">
        <v>12.71</v>
      </c>
      <c r="P1367" s="81"/>
      <c r="Q1367" s="81">
        <v>2.2878000000000003</v>
      </c>
      <c r="R1367" s="80"/>
      <c r="S1367" s="80">
        <v>0</v>
      </c>
      <c r="T1367" s="82">
        <v>15</v>
      </c>
      <c r="U1367" s="77"/>
      <c r="V1367" s="75"/>
      <c r="W1367" s="77"/>
      <c r="X1367" s="77"/>
      <c r="Y1367" s="77" t="s">
        <v>4323</v>
      </c>
      <c r="Z1367" s="77" t="s">
        <v>302</v>
      </c>
      <c r="AA1367" s="83" t="s">
        <v>4322</v>
      </c>
      <c r="AB1367" s="104" t="str">
        <f>IFERROR(VLOOKUP(Anexo_4[[#This Row],[cuenta]],OP,2,0),"-")</f>
        <v>Transporte peajes - Servicios</v>
      </c>
    </row>
    <row r="1368" spans="1:28" s="84" customFormat="1" ht="27" customHeight="1" x14ac:dyDescent="0.3">
      <c r="A1368" s="75" t="s">
        <v>3711</v>
      </c>
      <c r="B1368" s="36" t="str">
        <f t="shared" si="21"/>
        <v>Agosto</v>
      </c>
      <c r="C1368" s="77" t="s">
        <v>162</v>
      </c>
      <c r="D1368" s="77" t="s">
        <v>4324</v>
      </c>
      <c r="E1368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368" s="79" t="s">
        <v>449</v>
      </c>
      <c r="G1368" s="79" t="s">
        <v>450</v>
      </c>
      <c r="H1368" s="140" t="s">
        <v>4325</v>
      </c>
      <c r="I1368" s="77" t="s">
        <v>312</v>
      </c>
      <c r="J1368" s="144" t="s">
        <v>313</v>
      </c>
      <c r="K1368" s="77" t="s">
        <v>169</v>
      </c>
      <c r="L1368" s="103" t="str">
        <f>VLOOKUP(Anexo_4[[#This Row],[cod_doc]],TIPODOC,2,FALSE)</f>
        <v>FACTURA</v>
      </c>
      <c r="M1368" s="77" t="s">
        <v>1463</v>
      </c>
      <c r="N1368" s="79">
        <v>3801852</v>
      </c>
      <c r="O1368" s="80">
        <v>12.71</v>
      </c>
      <c r="P1368" s="81"/>
      <c r="Q1368" s="81">
        <v>2.2878000000000003</v>
      </c>
      <c r="R1368" s="80"/>
      <c r="S1368" s="80">
        <v>0</v>
      </c>
      <c r="T1368" s="82">
        <v>15</v>
      </c>
      <c r="U1368" s="77"/>
      <c r="V1368" s="75"/>
      <c r="W1368" s="77"/>
      <c r="X1368" s="77"/>
      <c r="Y1368" s="77" t="s">
        <v>4326</v>
      </c>
      <c r="Z1368" s="77" t="s">
        <v>302</v>
      </c>
      <c r="AA1368" s="83" t="s">
        <v>4325</v>
      </c>
      <c r="AB1368" s="104" t="str">
        <f>IFERROR(VLOOKUP(Anexo_4[[#This Row],[cuenta]],OP,2,0),"-")</f>
        <v>Transporte peajes - Servicios</v>
      </c>
    </row>
    <row r="1369" spans="1:28" s="84" customFormat="1" ht="27" customHeight="1" x14ac:dyDescent="0.3">
      <c r="A1369" s="75" t="s">
        <v>3711</v>
      </c>
      <c r="B1369" s="36" t="str">
        <f t="shared" si="21"/>
        <v>Agosto</v>
      </c>
      <c r="C1369" s="77" t="s">
        <v>162</v>
      </c>
      <c r="D1369" s="77" t="s">
        <v>4327</v>
      </c>
      <c r="E1369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369" s="79" t="s">
        <v>449</v>
      </c>
      <c r="G1369" s="79" t="s">
        <v>450</v>
      </c>
      <c r="H1369" s="140" t="s">
        <v>4328</v>
      </c>
      <c r="I1369" s="77" t="s">
        <v>312</v>
      </c>
      <c r="J1369" s="144" t="s">
        <v>313</v>
      </c>
      <c r="K1369" s="77" t="s">
        <v>169</v>
      </c>
      <c r="L1369" s="103" t="str">
        <f>VLOOKUP(Anexo_4[[#This Row],[cod_doc]],TIPODOC,2,FALSE)</f>
        <v>FACTURA</v>
      </c>
      <c r="M1369" s="77" t="s">
        <v>1459</v>
      </c>
      <c r="N1369" s="79">
        <v>2016842</v>
      </c>
      <c r="O1369" s="80">
        <v>12.71</v>
      </c>
      <c r="P1369" s="81"/>
      <c r="Q1369" s="81">
        <v>2.2878000000000003</v>
      </c>
      <c r="R1369" s="80"/>
      <c r="S1369" s="80">
        <v>0</v>
      </c>
      <c r="T1369" s="82">
        <v>15</v>
      </c>
      <c r="U1369" s="77"/>
      <c r="V1369" s="75"/>
      <c r="W1369" s="77"/>
      <c r="X1369" s="77"/>
      <c r="Y1369" s="77" t="s">
        <v>4329</v>
      </c>
      <c r="Z1369" s="77" t="s">
        <v>302</v>
      </c>
      <c r="AA1369" s="83" t="s">
        <v>4328</v>
      </c>
      <c r="AB1369" s="104" t="str">
        <f>IFERROR(VLOOKUP(Anexo_4[[#This Row],[cuenta]],OP,2,0),"-")</f>
        <v>Transporte peajes - Servicios</v>
      </c>
    </row>
    <row r="1370" spans="1:28" s="84" customFormat="1" ht="27" customHeight="1" x14ac:dyDescent="0.3">
      <c r="A1370" s="75" t="s">
        <v>4037</v>
      </c>
      <c r="B1370" s="36" t="str">
        <f t="shared" si="21"/>
        <v>Agosto</v>
      </c>
      <c r="C1370" s="77" t="s">
        <v>162</v>
      </c>
      <c r="D1370" s="77" t="s">
        <v>4330</v>
      </c>
      <c r="E1370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370" s="79" t="s">
        <v>449</v>
      </c>
      <c r="G1370" s="79" t="s">
        <v>450</v>
      </c>
      <c r="H1370" s="140" t="s">
        <v>4331</v>
      </c>
      <c r="I1370" s="77" t="s">
        <v>2085</v>
      </c>
      <c r="J1370" s="144" t="s">
        <v>2086</v>
      </c>
      <c r="K1370" s="77" t="s">
        <v>169</v>
      </c>
      <c r="L1370" s="103" t="str">
        <f>VLOOKUP(Anexo_4[[#This Row],[cod_doc]],TIPODOC,2,FALSE)</f>
        <v>FACTURA</v>
      </c>
      <c r="M1370" s="77" t="s">
        <v>631</v>
      </c>
      <c r="N1370" s="79">
        <v>42801</v>
      </c>
      <c r="O1370" s="80">
        <v>46.61</v>
      </c>
      <c r="P1370" s="81"/>
      <c r="Q1370" s="81">
        <v>8.3897999999999993</v>
      </c>
      <c r="R1370" s="80"/>
      <c r="S1370" s="80">
        <v>0</v>
      </c>
      <c r="T1370" s="82">
        <v>55</v>
      </c>
      <c r="U1370" s="77"/>
      <c r="V1370" s="75"/>
      <c r="W1370" s="77"/>
      <c r="X1370" s="77"/>
      <c r="Y1370" s="77" t="s">
        <v>4332</v>
      </c>
      <c r="Z1370" s="77" t="s">
        <v>302</v>
      </c>
      <c r="AA1370" s="83" t="s">
        <v>4331</v>
      </c>
      <c r="AB1370" s="104" t="str">
        <f>IFERROR(VLOOKUP(Anexo_4[[#This Row],[cuenta]],OP,2,0),"-")</f>
        <v>Transporte peajes - Servicios</v>
      </c>
    </row>
    <row r="1371" spans="1:28" s="84" customFormat="1" ht="27" customHeight="1" x14ac:dyDescent="0.3">
      <c r="A1371" s="75" t="s">
        <v>2662</v>
      </c>
      <c r="B1371" s="36" t="str">
        <f t="shared" si="21"/>
        <v>Agosto</v>
      </c>
      <c r="C1371" s="77" t="s">
        <v>162</v>
      </c>
      <c r="D1371" s="77" t="s">
        <v>4333</v>
      </c>
      <c r="E1371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371" s="79"/>
      <c r="G1371" s="79"/>
      <c r="H1371" s="140"/>
      <c r="I1371" s="77" t="s">
        <v>312</v>
      </c>
      <c r="J1371" s="144" t="s">
        <v>313</v>
      </c>
      <c r="K1371" s="77" t="s">
        <v>169</v>
      </c>
      <c r="L1371" s="103" t="str">
        <f>VLOOKUP(Anexo_4[[#This Row],[cod_doc]],TIPODOC,2,FALSE)</f>
        <v>FACTURA</v>
      </c>
      <c r="M1371" s="77" t="s">
        <v>4334</v>
      </c>
      <c r="N1371" s="79" t="s">
        <v>4335</v>
      </c>
      <c r="O1371" s="80">
        <v>12.71</v>
      </c>
      <c r="P1371" s="81"/>
      <c r="Q1371" s="81">
        <v>2.29</v>
      </c>
      <c r="R1371" s="80"/>
      <c r="S1371" s="80">
        <v>0</v>
      </c>
      <c r="T1371" s="82">
        <v>15</v>
      </c>
      <c r="U1371" s="77"/>
      <c r="V1371" s="75"/>
      <c r="W1371" s="77"/>
      <c r="X1371" s="77"/>
      <c r="Y1371" s="77" t="s">
        <v>4336</v>
      </c>
      <c r="Z1371" s="77"/>
      <c r="AA1371" s="83"/>
      <c r="AB1371" s="104" t="str">
        <f>IFERROR(VLOOKUP(Anexo_4[[#This Row],[cuenta]],OP,2,0),"-")</f>
        <v>-</v>
      </c>
    </row>
    <row r="1372" spans="1:28" s="84" customFormat="1" ht="27" customHeight="1" x14ac:dyDescent="0.3">
      <c r="A1372" s="75" t="s">
        <v>2662</v>
      </c>
      <c r="B1372" s="36" t="str">
        <f t="shared" si="21"/>
        <v>Agosto</v>
      </c>
      <c r="C1372" s="77" t="s">
        <v>162</v>
      </c>
      <c r="D1372" s="77" t="s">
        <v>4337</v>
      </c>
      <c r="E1372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372" s="79"/>
      <c r="G1372" s="79"/>
      <c r="H1372" s="140"/>
      <c r="I1372" s="77" t="s">
        <v>312</v>
      </c>
      <c r="J1372" s="144" t="s">
        <v>313</v>
      </c>
      <c r="K1372" s="77" t="s">
        <v>169</v>
      </c>
      <c r="L1372" s="103" t="str">
        <f>VLOOKUP(Anexo_4[[#This Row],[cod_doc]],TIPODOC,2,FALSE)</f>
        <v>FACTURA</v>
      </c>
      <c r="M1372" s="77" t="s">
        <v>1463</v>
      </c>
      <c r="N1372" s="79" t="s">
        <v>4338</v>
      </c>
      <c r="O1372" s="80">
        <v>12.71</v>
      </c>
      <c r="P1372" s="81"/>
      <c r="Q1372" s="81">
        <v>2.29</v>
      </c>
      <c r="R1372" s="80"/>
      <c r="S1372" s="80">
        <v>0</v>
      </c>
      <c r="T1372" s="82">
        <v>15</v>
      </c>
      <c r="U1372" s="77"/>
      <c r="V1372" s="75"/>
      <c r="W1372" s="77"/>
      <c r="X1372" s="77"/>
      <c r="Y1372" s="77" t="s">
        <v>4339</v>
      </c>
      <c r="Z1372" s="77"/>
      <c r="AA1372" s="83"/>
      <c r="AB1372" s="104" t="str">
        <f>IFERROR(VLOOKUP(Anexo_4[[#This Row],[cuenta]],OP,2,0),"-")</f>
        <v>-</v>
      </c>
    </row>
    <row r="1373" spans="1:28" s="84" customFormat="1" ht="27" customHeight="1" x14ac:dyDescent="0.3">
      <c r="A1373" s="75" t="s">
        <v>3879</v>
      </c>
      <c r="B1373" s="36" t="str">
        <f t="shared" si="21"/>
        <v>Agosto</v>
      </c>
      <c r="C1373" s="77" t="s">
        <v>162</v>
      </c>
      <c r="D1373" s="77" t="s">
        <v>4340</v>
      </c>
      <c r="E1373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373" s="79" t="s">
        <v>164</v>
      </c>
      <c r="G1373" s="79" t="s">
        <v>165</v>
      </c>
      <c r="H1373" s="140" t="s">
        <v>1044</v>
      </c>
      <c r="I1373" s="77" t="s">
        <v>437</v>
      </c>
      <c r="J1373" s="144" t="s">
        <v>438</v>
      </c>
      <c r="K1373" s="77" t="s">
        <v>439</v>
      </c>
      <c r="L1373" s="103" t="str">
        <f>VLOOKUP(Anexo_4[[#This Row],[cod_doc]],TIPODOC,2,FALSE)</f>
        <v>RECIBO POR SERV. PUBLICOS</v>
      </c>
      <c r="M1373" s="77" t="s">
        <v>1045</v>
      </c>
      <c r="N1373" s="79">
        <v>73504685</v>
      </c>
      <c r="O1373" s="80">
        <v>121.1</v>
      </c>
      <c r="P1373" s="81"/>
      <c r="Q1373" s="81">
        <v>21.797999999999998</v>
      </c>
      <c r="R1373" s="80"/>
      <c r="S1373" s="80" t="s">
        <v>4341</v>
      </c>
      <c r="T1373" s="82">
        <v>142.9</v>
      </c>
      <c r="U1373" s="77"/>
      <c r="V1373" s="75"/>
      <c r="W1373" s="77"/>
      <c r="X1373" s="77"/>
      <c r="Y1373" s="77"/>
      <c r="Z1373" s="77" t="s">
        <v>1046</v>
      </c>
      <c r="AA1373" s="83" t="s">
        <v>1044</v>
      </c>
      <c r="AB1373" s="104" t="str">
        <f>IFERROR(VLOOKUP(Anexo_4[[#This Row],[cuenta]],OP,2,0),"-")</f>
        <v>-</v>
      </c>
    </row>
    <row r="1374" spans="1:28" s="84" customFormat="1" ht="27" customHeight="1" x14ac:dyDescent="0.3">
      <c r="A1374" s="75" t="s">
        <v>4342</v>
      </c>
      <c r="B1374" s="36" t="str">
        <f t="shared" si="21"/>
        <v>Agosto</v>
      </c>
      <c r="C1374" s="77" t="s">
        <v>162</v>
      </c>
      <c r="D1374" s="77" t="s">
        <v>4343</v>
      </c>
      <c r="E1374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374" s="79" t="s">
        <v>456</v>
      </c>
      <c r="G1374" s="79" t="s">
        <v>457</v>
      </c>
      <c r="H1374" s="140" t="s">
        <v>1276</v>
      </c>
      <c r="I1374" s="77" t="s">
        <v>264</v>
      </c>
      <c r="J1374" s="144" t="s">
        <v>265</v>
      </c>
      <c r="K1374" s="77" t="s">
        <v>169</v>
      </c>
      <c r="L1374" s="103" t="str">
        <f>VLOOKUP(Anexo_4[[#This Row],[cod_doc]],TIPODOC,2,FALSE)</f>
        <v>FACTURA</v>
      </c>
      <c r="M1374" s="77" t="s">
        <v>271</v>
      </c>
      <c r="N1374" s="79">
        <v>1822835</v>
      </c>
      <c r="O1374" s="80">
        <v>4.24</v>
      </c>
      <c r="P1374" s="81"/>
      <c r="Q1374" s="81">
        <v>0.76319999999999999</v>
      </c>
      <c r="R1374" s="80"/>
      <c r="S1374" s="80" t="s">
        <v>4341</v>
      </c>
      <c r="T1374" s="82">
        <v>5</v>
      </c>
      <c r="U1374" s="77"/>
      <c r="V1374" s="75"/>
      <c r="W1374" s="77"/>
      <c r="X1374" s="77"/>
      <c r="Y1374" s="77"/>
      <c r="Z1374" s="77" t="s">
        <v>302</v>
      </c>
      <c r="AA1374" s="83" t="s">
        <v>1276</v>
      </c>
      <c r="AB1374" s="104" t="str">
        <f>IFERROR(VLOOKUP(Anexo_4[[#This Row],[cuenta]],OP,2,0),"-")</f>
        <v>Transporte peajes - Servicios</v>
      </c>
    </row>
    <row r="1375" spans="1:28" s="84" customFormat="1" ht="27" customHeight="1" x14ac:dyDescent="0.3">
      <c r="A1375" s="75" t="s">
        <v>4342</v>
      </c>
      <c r="B1375" s="36" t="str">
        <f t="shared" si="21"/>
        <v>Agosto</v>
      </c>
      <c r="C1375" s="77" t="s">
        <v>162</v>
      </c>
      <c r="D1375" s="77" t="s">
        <v>4344</v>
      </c>
      <c r="E137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375" s="79" t="s">
        <v>456</v>
      </c>
      <c r="G1375" s="79" t="s">
        <v>457</v>
      </c>
      <c r="H1375" s="140" t="s">
        <v>930</v>
      </c>
      <c r="I1375" s="77" t="s">
        <v>383</v>
      </c>
      <c r="J1375" s="144" t="s">
        <v>384</v>
      </c>
      <c r="K1375" s="77" t="s">
        <v>169</v>
      </c>
      <c r="L1375" s="103" t="str">
        <f>VLOOKUP(Anexo_4[[#This Row],[cod_doc]],TIPODOC,2,FALSE)</f>
        <v>FACTURA</v>
      </c>
      <c r="M1375" s="77" t="s">
        <v>103</v>
      </c>
      <c r="N1375" s="79">
        <v>17491</v>
      </c>
      <c r="O1375" s="80">
        <v>16.95</v>
      </c>
      <c r="P1375" s="81"/>
      <c r="Q1375" s="81">
        <v>3.0509999999999997</v>
      </c>
      <c r="R1375" s="80"/>
      <c r="S1375" s="80" t="s">
        <v>4341</v>
      </c>
      <c r="T1375" s="82">
        <v>20</v>
      </c>
      <c r="U1375" s="77"/>
      <c r="V1375" s="75"/>
      <c r="W1375" s="77"/>
      <c r="X1375" s="77"/>
      <c r="Y1375" s="77"/>
      <c r="Z1375" s="77" t="s">
        <v>386</v>
      </c>
      <c r="AA1375" s="83" t="s">
        <v>930</v>
      </c>
      <c r="AB1375" s="104" t="str">
        <f>IFERROR(VLOOKUP(Anexo_4[[#This Row],[cuenta]],OP,2,0),"-")</f>
        <v>Balanza - Servicios</v>
      </c>
    </row>
    <row r="1376" spans="1:28" s="84" customFormat="1" ht="27" customHeight="1" x14ac:dyDescent="0.3">
      <c r="A1376" s="75" t="s">
        <v>3283</v>
      </c>
      <c r="B1376" s="36" t="str">
        <f t="shared" si="21"/>
        <v>Agosto</v>
      </c>
      <c r="C1376" s="77" t="s">
        <v>162</v>
      </c>
      <c r="D1376" s="77" t="s">
        <v>4345</v>
      </c>
      <c r="E1376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376" s="79" t="s">
        <v>164</v>
      </c>
      <c r="G1376" s="79" t="s">
        <v>165</v>
      </c>
      <c r="H1376" s="140" t="s">
        <v>976</v>
      </c>
      <c r="I1376" s="77" t="s">
        <v>971</v>
      </c>
      <c r="J1376" s="144" t="s">
        <v>972</v>
      </c>
      <c r="K1376" s="77" t="s">
        <v>169</v>
      </c>
      <c r="L1376" s="103" t="str">
        <f>VLOOKUP(Anexo_4[[#This Row],[cod_doc]],TIPODOC,2,FALSE)</f>
        <v>FACTURA</v>
      </c>
      <c r="M1376" s="77" t="s">
        <v>973</v>
      </c>
      <c r="N1376" s="79">
        <v>309951</v>
      </c>
      <c r="O1376" s="80">
        <v>10.65</v>
      </c>
      <c r="P1376" s="81"/>
      <c r="Q1376" s="81">
        <v>1.917</v>
      </c>
      <c r="R1376" s="80"/>
      <c r="S1376" s="80" t="s">
        <v>4341</v>
      </c>
      <c r="T1376" s="82">
        <v>12.57</v>
      </c>
      <c r="U1376" s="77"/>
      <c r="V1376" s="75"/>
      <c r="W1376" s="77"/>
      <c r="X1376" s="77"/>
      <c r="Y1376" s="77"/>
      <c r="Z1376" s="77" t="s">
        <v>977</v>
      </c>
      <c r="AA1376" s="83" t="s">
        <v>976</v>
      </c>
      <c r="AB1376" s="104" t="str">
        <f>IFERROR(VLOOKUP(Anexo_4[[#This Row],[cuenta]],OP,2,0),"-")</f>
        <v>-</v>
      </c>
    </row>
    <row r="1377" spans="1:28" s="84" customFormat="1" ht="27" customHeight="1" x14ac:dyDescent="0.3">
      <c r="A1377" s="75" t="s">
        <v>3283</v>
      </c>
      <c r="B1377" s="36" t="str">
        <f t="shared" si="21"/>
        <v>Agosto</v>
      </c>
      <c r="C1377" s="77" t="s">
        <v>162</v>
      </c>
      <c r="D1377" s="77" t="s">
        <v>4346</v>
      </c>
      <c r="E1377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377" s="79" t="s">
        <v>164</v>
      </c>
      <c r="G1377" s="79" t="s">
        <v>165</v>
      </c>
      <c r="H1377" s="140" t="s">
        <v>976</v>
      </c>
      <c r="I1377" s="77" t="s">
        <v>971</v>
      </c>
      <c r="J1377" s="144" t="s">
        <v>972</v>
      </c>
      <c r="K1377" s="77" t="s">
        <v>169</v>
      </c>
      <c r="L1377" s="103" t="str">
        <f>VLOOKUP(Anexo_4[[#This Row],[cod_doc]],TIPODOC,2,FALSE)</f>
        <v>FACTURA</v>
      </c>
      <c r="M1377" s="77" t="s">
        <v>973</v>
      </c>
      <c r="N1377" s="79">
        <v>309950</v>
      </c>
      <c r="O1377" s="80">
        <v>528</v>
      </c>
      <c r="P1377" s="81"/>
      <c r="Q1377" s="81">
        <v>95.039999999999992</v>
      </c>
      <c r="R1377" s="80"/>
      <c r="S1377" s="80" t="s">
        <v>4341</v>
      </c>
      <c r="T1377" s="82">
        <v>623.04</v>
      </c>
      <c r="U1377" s="77"/>
      <c r="V1377" s="75"/>
      <c r="W1377" s="77"/>
      <c r="X1377" s="77"/>
      <c r="Y1377" s="77"/>
      <c r="Z1377" s="77" t="s">
        <v>977</v>
      </c>
      <c r="AA1377" s="83" t="s">
        <v>976</v>
      </c>
      <c r="AB1377" s="104" t="str">
        <f>IFERROR(VLOOKUP(Anexo_4[[#This Row],[cuenta]],OP,2,0),"-")</f>
        <v>-</v>
      </c>
    </row>
    <row r="1378" spans="1:28" s="84" customFormat="1" ht="27" customHeight="1" x14ac:dyDescent="0.3">
      <c r="A1378" s="75" t="s">
        <v>4347</v>
      </c>
      <c r="B1378" s="36" t="str">
        <f t="shared" si="21"/>
        <v>Agosto</v>
      </c>
      <c r="C1378" s="77" t="s">
        <v>162</v>
      </c>
      <c r="D1378" s="77" t="s">
        <v>4348</v>
      </c>
      <c r="E1378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378" s="79" t="s">
        <v>650</v>
      </c>
      <c r="G1378" s="79" t="s">
        <v>651</v>
      </c>
      <c r="H1378" s="140" t="s">
        <v>4349</v>
      </c>
      <c r="I1378" s="77" t="s">
        <v>4350</v>
      </c>
      <c r="J1378" s="144" t="s">
        <v>4351</v>
      </c>
      <c r="K1378" s="77" t="s">
        <v>169</v>
      </c>
      <c r="L1378" s="103" t="str">
        <f>VLOOKUP(Anexo_4[[#This Row],[cod_doc]],TIPODOC,2,FALSE)</f>
        <v>FACTURA</v>
      </c>
      <c r="M1378" s="77" t="s">
        <v>102</v>
      </c>
      <c r="N1378" s="79">
        <v>48</v>
      </c>
      <c r="O1378" s="80">
        <v>1016.95</v>
      </c>
      <c r="P1378" s="81"/>
      <c r="Q1378" s="81">
        <v>183.05099999999999</v>
      </c>
      <c r="R1378" s="80"/>
      <c r="S1378" s="80" t="s">
        <v>4341</v>
      </c>
      <c r="T1378" s="82">
        <v>1200</v>
      </c>
      <c r="U1378" s="77"/>
      <c r="V1378" s="75"/>
      <c r="W1378" s="77"/>
      <c r="X1378" s="77"/>
      <c r="Y1378" s="77"/>
      <c r="Z1378" s="77" t="s">
        <v>2468</v>
      </c>
      <c r="AA1378" s="83" t="s">
        <v>4349</v>
      </c>
      <c r="AB1378" s="104" t="str">
        <f>IFERROR(VLOOKUP(Anexo_4[[#This Row],[cuenta]],OP,2,0),"-")</f>
        <v>Vigilancia Médica</v>
      </c>
    </row>
    <row r="1379" spans="1:28" s="84" customFormat="1" ht="27" customHeight="1" x14ac:dyDescent="0.3">
      <c r="A1379" s="75" t="s">
        <v>4342</v>
      </c>
      <c r="B1379" s="36" t="str">
        <f t="shared" si="21"/>
        <v>Agosto</v>
      </c>
      <c r="C1379" s="77" t="s">
        <v>162</v>
      </c>
      <c r="D1379" s="77" t="s">
        <v>4352</v>
      </c>
      <c r="E1379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379" s="79" t="s">
        <v>1366</v>
      </c>
      <c r="G1379" s="79" t="s">
        <v>1367</v>
      </c>
      <c r="H1379" s="140" t="s">
        <v>4353</v>
      </c>
      <c r="I1379" s="77" t="s">
        <v>4354</v>
      </c>
      <c r="J1379" s="144" t="s">
        <v>4355</v>
      </c>
      <c r="K1379" s="77" t="s">
        <v>169</v>
      </c>
      <c r="L1379" s="103" t="str">
        <f>VLOOKUP(Anexo_4[[#This Row],[cod_doc]],TIPODOC,2,FALSE)</f>
        <v>FACTURA</v>
      </c>
      <c r="M1379" s="77" t="s">
        <v>180</v>
      </c>
      <c r="N1379" s="79">
        <v>2608</v>
      </c>
      <c r="O1379" s="80">
        <v>33.9</v>
      </c>
      <c r="P1379" s="81"/>
      <c r="Q1379" s="81">
        <v>6.1019999999999994</v>
      </c>
      <c r="R1379" s="80"/>
      <c r="S1379" s="80" t="s">
        <v>4341</v>
      </c>
      <c r="T1379" s="82">
        <v>40</v>
      </c>
      <c r="U1379" s="77"/>
      <c r="V1379" s="75"/>
      <c r="W1379" s="77"/>
      <c r="X1379" s="77"/>
      <c r="Y1379" s="77"/>
      <c r="Z1379" s="77" t="s">
        <v>4162</v>
      </c>
      <c r="AA1379" s="83" t="s">
        <v>4353</v>
      </c>
      <c r="AB1379" s="104" t="str">
        <f>IFERROR(VLOOKUP(Anexo_4[[#This Row],[cuenta]],OP,2,0),"-")</f>
        <v>-</v>
      </c>
    </row>
    <row r="1380" spans="1:28" s="84" customFormat="1" ht="27" customHeight="1" x14ac:dyDescent="0.3">
      <c r="A1380" s="75" t="s">
        <v>4296</v>
      </c>
      <c r="B1380" s="36" t="str">
        <f t="shared" si="21"/>
        <v>Agosto</v>
      </c>
      <c r="C1380" s="77" t="s">
        <v>162</v>
      </c>
      <c r="D1380" s="77" t="s">
        <v>4356</v>
      </c>
      <c r="E1380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380" s="79" t="s">
        <v>442</v>
      </c>
      <c r="G1380" s="79" t="s">
        <v>443</v>
      </c>
      <c r="H1380" s="140" t="s">
        <v>4357</v>
      </c>
      <c r="I1380" s="77" t="s">
        <v>3500</v>
      </c>
      <c r="J1380" s="144" t="s">
        <v>3501</v>
      </c>
      <c r="K1380" s="77" t="s">
        <v>169</v>
      </c>
      <c r="L1380" s="103" t="str">
        <f>VLOOKUP(Anexo_4[[#This Row],[cod_doc]],TIPODOC,2,FALSE)</f>
        <v>FACTURA</v>
      </c>
      <c r="M1380" s="77" t="s">
        <v>102</v>
      </c>
      <c r="N1380" s="79">
        <v>54</v>
      </c>
      <c r="O1380" s="80">
        <v>50.85</v>
      </c>
      <c r="P1380" s="81"/>
      <c r="Q1380" s="81">
        <v>9.1530000000000005</v>
      </c>
      <c r="R1380" s="80"/>
      <c r="S1380" s="80" t="s">
        <v>4341</v>
      </c>
      <c r="T1380" s="82">
        <v>60</v>
      </c>
      <c r="U1380" s="77"/>
      <c r="V1380" s="75"/>
      <c r="W1380" s="77"/>
      <c r="X1380" s="77"/>
      <c r="Y1380" s="77"/>
      <c r="Z1380" s="77" t="s">
        <v>1886</v>
      </c>
      <c r="AA1380" s="83" t="s">
        <v>4357</v>
      </c>
      <c r="AB1380" s="104" t="str">
        <f>IFERROR(VLOOKUP(Anexo_4[[#This Row],[cuenta]],OP,2,0),"-")</f>
        <v>-</v>
      </c>
    </row>
    <row r="1381" spans="1:28" s="84" customFormat="1" ht="27" customHeight="1" x14ac:dyDescent="0.3">
      <c r="A1381" s="75" t="s">
        <v>4296</v>
      </c>
      <c r="B1381" s="36" t="str">
        <f t="shared" si="21"/>
        <v>Agosto</v>
      </c>
      <c r="C1381" s="77" t="s">
        <v>162</v>
      </c>
      <c r="D1381" s="77" t="s">
        <v>4358</v>
      </c>
      <c r="E1381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381" s="79" t="s">
        <v>442</v>
      </c>
      <c r="G1381" s="79" t="s">
        <v>443</v>
      </c>
      <c r="H1381" s="140" t="s">
        <v>4359</v>
      </c>
      <c r="I1381" s="77" t="s">
        <v>3500</v>
      </c>
      <c r="J1381" s="144" t="s">
        <v>3501</v>
      </c>
      <c r="K1381" s="77" t="s">
        <v>169</v>
      </c>
      <c r="L1381" s="103" t="str">
        <f>VLOOKUP(Anexo_4[[#This Row],[cod_doc]],TIPODOC,2,FALSE)</f>
        <v>FACTURA</v>
      </c>
      <c r="M1381" s="77" t="s">
        <v>102</v>
      </c>
      <c r="N1381" s="79">
        <v>56</v>
      </c>
      <c r="O1381" s="80">
        <v>50.85</v>
      </c>
      <c r="P1381" s="81"/>
      <c r="Q1381" s="81">
        <v>9.1530000000000005</v>
      </c>
      <c r="R1381" s="80"/>
      <c r="S1381" s="80" t="s">
        <v>4341</v>
      </c>
      <c r="T1381" s="82">
        <v>60</v>
      </c>
      <c r="U1381" s="77"/>
      <c r="V1381" s="75"/>
      <c r="W1381" s="77"/>
      <c r="X1381" s="77"/>
      <c r="Y1381" s="77"/>
      <c r="Z1381" s="77" t="s">
        <v>1886</v>
      </c>
      <c r="AA1381" s="83" t="s">
        <v>4359</v>
      </c>
      <c r="AB1381" s="104" t="str">
        <f>IFERROR(VLOOKUP(Anexo_4[[#This Row],[cuenta]],OP,2,0),"-")</f>
        <v>-</v>
      </c>
    </row>
    <row r="1382" spans="1:28" s="84" customFormat="1" ht="27" customHeight="1" x14ac:dyDescent="0.3">
      <c r="A1382" s="75" t="s">
        <v>4296</v>
      </c>
      <c r="B1382" s="36" t="str">
        <f t="shared" si="21"/>
        <v>Agosto</v>
      </c>
      <c r="C1382" s="77" t="s">
        <v>162</v>
      </c>
      <c r="D1382" s="77" t="s">
        <v>4360</v>
      </c>
      <c r="E1382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382" s="79" t="s">
        <v>442</v>
      </c>
      <c r="G1382" s="79" t="s">
        <v>443</v>
      </c>
      <c r="H1382" s="140" t="s">
        <v>4361</v>
      </c>
      <c r="I1382" s="77" t="s">
        <v>3500</v>
      </c>
      <c r="J1382" s="144" t="s">
        <v>3501</v>
      </c>
      <c r="K1382" s="77" t="s">
        <v>169</v>
      </c>
      <c r="L1382" s="103" t="str">
        <f>VLOOKUP(Anexo_4[[#This Row],[cod_doc]],TIPODOC,2,FALSE)</f>
        <v>FACTURA</v>
      </c>
      <c r="M1382" s="77" t="s">
        <v>102</v>
      </c>
      <c r="N1382" s="79">
        <v>53</v>
      </c>
      <c r="O1382" s="80">
        <v>152.54</v>
      </c>
      <c r="P1382" s="81"/>
      <c r="Q1382" s="81">
        <v>27.457199999999997</v>
      </c>
      <c r="R1382" s="80"/>
      <c r="S1382" s="80" t="s">
        <v>4341</v>
      </c>
      <c r="T1382" s="82">
        <v>180</v>
      </c>
      <c r="U1382" s="77"/>
      <c r="V1382" s="75"/>
      <c r="W1382" s="77"/>
      <c r="X1382" s="77"/>
      <c r="Y1382" s="77"/>
      <c r="Z1382" s="77" t="s">
        <v>1886</v>
      </c>
      <c r="AA1382" s="83" t="s">
        <v>4361</v>
      </c>
      <c r="AB1382" s="104" t="str">
        <f>IFERROR(VLOOKUP(Anexo_4[[#This Row],[cuenta]],OP,2,0),"-")</f>
        <v>-</v>
      </c>
    </row>
    <row r="1383" spans="1:28" s="84" customFormat="1" ht="27" customHeight="1" x14ac:dyDescent="0.3">
      <c r="A1383" s="75" t="s">
        <v>4206</v>
      </c>
      <c r="B1383" s="36" t="str">
        <f t="shared" si="21"/>
        <v>Agosto</v>
      </c>
      <c r="C1383" s="77" t="s">
        <v>162</v>
      </c>
      <c r="D1383" s="77" t="s">
        <v>4362</v>
      </c>
      <c r="E1383" s="78" t="str">
        <f>IF(LEFT(Anexo_4[[#This Row],[c_costos]],2)="91","OPERACIONES",IF(LEFT(Anexo_4[[#This Row],[c_costos]],2)="97","G. FINANCIEROS",IF(LEFT(Anexo_4[[#This Row],[c_costos]],2)="95","G. VENTAS","G. ADMINISTRACIÓN")))</f>
        <v>G. FINANCIEROS</v>
      </c>
      <c r="F1383" s="79" t="s">
        <v>474</v>
      </c>
      <c r="G1383" s="79" t="s">
        <v>475</v>
      </c>
      <c r="H1383" s="140" t="s">
        <v>1731</v>
      </c>
      <c r="I1383" s="77" t="s">
        <v>477</v>
      </c>
      <c r="J1383" s="144" t="s">
        <v>478</v>
      </c>
      <c r="K1383" s="77" t="s">
        <v>169</v>
      </c>
      <c r="L1383" s="103" t="str">
        <f>VLOOKUP(Anexo_4[[#This Row],[cod_doc]],TIPODOC,2,FALSE)</f>
        <v>FACTURA</v>
      </c>
      <c r="M1383" s="77" t="s">
        <v>479</v>
      </c>
      <c r="N1383" s="79">
        <v>36182178</v>
      </c>
      <c r="O1383" s="80"/>
      <c r="P1383" s="81"/>
      <c r="Q1383" s="81">
        <v>0</v>
      </c>
      <c r="R1383" s="80"/>
      <c r="S1383" s="80">
        <v>10.5</v>
      </c>
      <c r="T1383" s="82">
        <v>10.5</v>
      </c>
      <c r="U1383" s="77"/>
      <c r="V1383" s="75"/>
      <c r="W1383" s="77"/>
      <c r="X1383" s="77"/>
      <c r="Y1383" s="77"/>
      <c r="Z1383" s="77" t="s">
        <v>483</v>
      </c>
      <c r="AA1383" s="83" t="s">
        <v>1731</v>
      </c>
      <c r="AB1383" s="104" t="str">
        <f>IFERROR(VLOOKUP(Anexo_4[[#This Row],[cuenta]],OP,2,0),"-")</f>
        <v>-</v>
      </c>
    </row>
    <row r="1384" spans="1:28" s="84" customFormat="1" ht="27" customHeight="1" x14ac:dyDescent="0.3">
      <c r="A1384" s="75" t="s">
        <v>4206</v>
      </c>
      <c r="B1384" s="36" t="str">
        <f t="shared" si="21"/>
        <v>Agosto</v>
      </c>
      <c r="C1384" s="77" t="s">
        <v>162</v>
      </c>
      <c r="D1384" s="77" t="s">
        <v>4363</v>
      </c>
      <c r="E1384" s="78" t="str">
        <f>IF(LEFT(Anexo_4[[#This Row],[c_costos]],2)="91","OPERACIONES",IF(LEFT(Anexo_4[[#This Row],[c_costos]],2)="97","G. FINANCIEROS",IF(LEFT(Anexo_4[[#This Row],[c_costos]],2)="95","G. VENTAS","G. ADMINISTRACIÓN")))</f>
        <v>G. FINANCIEROS</v>
      </c>
      <c r="F1384" s="79" t="s">
        <v>474</v>
      </c>
      <c r="G1384" s="79" t="s">
        <v>475</v>
      </c>
      <c r="H1384" s="140" t="s">
        <v>3424</v>
      </c>
      <c r="I1384" s="77" t="s">
        <v>477</v>
      </c>
      <c r="J1384" s="144" t="s">
        <v>478</v>
      </c>
      <c r="K1384" s="77" t="s">
        <v>169</v>
      </c>
      <c r="L1384" s="103" t="str">
        <f>VLOOKUP(Anexo_4[[#This Row],[cod_doc]],TIPODOC,2,FALSE)</f>
        <v>FACTURA</v>
      </c>
      <c r="M1384" s="77" t="s">
        <v>479</v>
      </c>
      <c r="N1384" s="79">
        <v>36178159</v>
      </c>
      <c r="O1384" s="80"/>
      <c r="P1384" s="81"/>
      <c r="Q1384" s="81">
        <v>0</v>
      </c>
      <c r="R1384" s="80"/>
      <c r="S1384" s="80">
        <v>10</v>
      </c>
      <c r="T1384" s="82">
        <v>10</v>
      </c>
      <c r="U1384" s="77"/>
      <c r="V1384" s="75"/>
      <c r="W1384" s="77"/>
      <c r="X1384" s="77"/>
      <c r="Y1384" s="77"/>
      <c r="Z1384" s="77" t="s">
        <v>480</v>
      </c>
      <c r="AA1384" s="83" t="s">
        <v>3424</v>
      </c>
      <c r="AB1384" s="104" t="str">
        <f>IFERROR(VLOOKUP(Anexo_4[[#This Row],[cuenta]],OP,2,0),"-")</f>
        <v>-</v>
      </c>
    </row>
    <row r="1385" spans="1:28" s="84" customFormat="1" ht="27" customHeight="1" x14ac:dyDescent="0.3">
      <c r="A1385" s="75" t="s">
        <v>3711</v>
      </c>
      <c r="B1385" s="36" t="str">
        <f t="shared" si="21"/>
        <v>Agosto</v>
      </c>
      <c r="C1385" s="77" t="s">
        <v>162</v>
      </c>
      <c r="D1385" s="77" t="s">
        <v>4364</v>
      </c>
      <c r="E1385" s="78" t="str">
        <f>IF(LEFT(Anexo_4[[#This Row],[c_costos]],2)="91","OPERACIONES",IF(LEFT(Anexo_4[[#This Row],[c_costos]],2)="97","G. FINANCIEROS",IF(LEFT(Anexo_4[[#This Row],[c_costos]],2)="95","G. VENTAS","G. ADMINISTRACIÓN")))</f>
        <v>G. FINANCIEROS</v>
      </c>
      <c r="F1385" s="79" t="s">
        <v>474</v>
      </c>
      <c r="G1385" s="79" t="s">
        <v>475</v>
      </c>
      <c r="H1385" s="140" t="s">
        <v>1731</v>
      </c>
      <c r="I1385" s="77" t="s">
        <v>477</v>
      </c>
      <c r="J1385" s="144" t="s">
        <v>478</v>
      </c>
      <c r="K1385" s="77" t="s">
        <v>169</v>
      </c>
      <c r="L1385" s="103" t="str">
        <f>VLOOKUP(Anexo_4[[#This Row],[cod_doc]],TIPODOC,2,FALSE)</f>
        <v>FACTURA</v>
      </c>
      <c r="M1385" s="77" t="s">
        <v>479</v>
      </c>
      <c r="N1385" s="79">
        <v>36153787</v>
      </c>
      <c r="O1385" s="80"/>
      <c r="P1385" s="81"/>
      <c r="Q1385" s="81">
        <v>0</v>
      </c>
      <c r="R1385" s="80"/>
      <c r="S1385" s="80">
        <v>12.7</v>
      </c>
      <c r="T1385" s="82">
        <v>12.7</v>
      </c>
      <c r="U1385" s="77"/>
      <c r="V1385" s="75"/>
      <c r="W1385" s="77"/>
      <c r="X1385" s="77"/>
      <c r="Y1385" s="77"/>
      <c r="Z1385" s="77" t="s">
        <v>483</v>
      </c>
      <c r="AA1385" s="83" t="s">
        <v>1731</v>
      </c>
      <c r="AB1385" s="104" t="str">
        <f>IFERROR(VLOOKUP(Anexo_4[[#This Row],[cuenta]],OP,2,0),"-")</f>
        <v>-</v>
      </c>
    </row>
    <row r="1386" spans="1:28" s="84" customFormat="1" ht="27" customHeight="1" x14ac:dyDescent="0.3">
      <c r="A1386" s="75" t="s">
        <v>3711</v>
      </c>
      <c r="B1386" s="36" t="str">
        <f t="shared" si="21"/>
        <v>Agosto</v>
      </c>
      <c r="C1386" s="77" t="s">
        <v>162</v>
      </c>
      <c r="D1386" s="77" t="s">
        <v>4365</v>
      </c>
      <c r="E1386" s="78" t="str">
        <f>IF(LEFT(Anexo_4[[#This Row],[c_costos]],2)="91","OPERACIONES",IF(LEFT(Anexo_4[[#This Row],[c_costos]],2)="97","G. FINANCIEROS",IF(LEFT(Anexo_4[[#This Row],[c_costos]],2)="95","G. VENTAS","G. ADMINISTRACIÓN")))</f>
        <v>G. FINANCIEROS</v>
      </c>
      <c r="F1386" s="79" t="s">
        <v>474</v>
      </c>
      <c r="G1386" s="79" t="s">
        <v>475</v>
      </c>
      <c r="H1386" s="140" t="s">
        <v>3424</v>
      </c>
      <c r="I1386" s="77" t="s">
        <v>477</v>
      </c>
      <c r="J1386" s="144" t="s">
        <v>478</v>
      </c>
      <c r="K1386" s="77" t="s">
        <v>169</v>
      </c>
      <c r="L1386" s="103" t="str">
        <f>VLOOKUP(Anexo_4[[#This Row],[cod_doc]],TIPODOC,2,FALSE)</f>
        <v>FACTURA</v>
      </c>
      <c r="M1386" s="77" t="s">
        <v>479</v>
      </c>
      <c r="N1386" s="79">
        <v>36147787</v>
      </c>
      <c r="O1386" s="80"/>
      <c r="P1386" s="81"/>
      <c r="Q1386" s="81">
        <v>0</v>
      </c>
      <c r="R1386" s="80"/>
      <c r="S1386" s="80">
        <v>3.5</v>
      </c>
      <c r="T1386" s="82">
        <v>3.5</v>
      </c>
      <c r="U1386" s="77"/>
      <c r="V1386" s="75"/>
      <c r="W1386" s="77"/>
      <c r="X1386" s="77"/>
      <c r="Y1386" s="77"/>
      <c r="Z1386" s="77" t="s">
        <v>480</v>
      </c>
      <c r="AA1386" s="83" t="s">
        <v>3424</v>
      </c>
      <c r="AB1386" s="104" t="str">
        <f>IFERROR(VLOOKUP(Anexo_4[[#This Row],[cuenta]],OP,2,0),"-")</f>
        <v>-</v>
      </c>
    </row>
    <row r="1387" spans="1:28" s="84" customFormat="1" ht="27" customHeight="1" x14ac:dyDescent="0.3">
      <c r="A1387" s="75" t="s">
        <v>3283</v>
      </c>
      <c r="B1387" s="36" t="str">
        <f t="shared" si="21"/>
        <v>Agosto</v>
      </c>
      <c r="C1387" s="77" t="s">
        <v>162</v>
      </c>
      <c r="D1387" s="77" t="s">
        <v>4366</v>
      </c>
      <c r="E1387" s="78" t="str">
        <f>IF(LEFT(Anexo_4[[#This Row],[c_costos]],2)="91","OPERACIONES",IF(LEFT(Anexo_4[[#This Row],[c_costos]],2)="97","G. FINANCIEROS",IF(LEFT(Anexo_4[[#This Row],[c_costos]],2)="95","G. VENTAS","G. ADMINISTRACIÓN")))</f>
        <v>G. FINANCIEROS</v>
      </c>
      <c r="F1387" s="79" t="s">
        <v>474</v>
      </c>
      <c r="G1387" s="79" t="s">
        <v>475</v>
      </c>
      <c r="H1387" s="140" t="s">
        <v>1731</v>
      </c>
      <c r="I1387" s="77" t="s">
        <v>477</v>
      </c>
      <c r="J1387" s="144" t="s">
        <v>478</v>
      </c>
      <c r="K1387" s="77" t="s">
        <v>169</v>
      </c>
      <c r="L1387" s="103" t="str">
        <f>VLOOKUP(Anexo_4[[#This Row],[cod_doc]],TIPODOC,2,FALSE)</f>
        <v>FACTURA</v>
      </c>
      <c r="M1387" s="77" t="s">
        <v>479</v>
      </c>
      <c r="N1387" s="79">
        <v>36132771</v>
      </c>
      <c r="O1387" s="80"/>
      <c r="P1387" s="81"/>
      <c r="Q1387" s="81">
        <v>0</v>
      </c>
      <c r="R1387" s="80"/>
      <c r="S1387" s="80">
        <v>10.5</v>
      </c>
      <c r="T1387" s="82">
        <v>10.5</v>
      </c>
      <c r="U1387" s="77"/>
      <c r="V1387" s="75"/>
      <c r="W1387" s="77"/>
      <c r="X1387" s="77"/>
      <c r="Y1387" s="77"/>
      <c r="Z1387" s="77" t="s">
        <v>483</v>
      </c>
      <c r="AA1387" s="83" t="s">
        <v>1731</v>
      </c>
      <c r="AB1387" s="104" t="str">
        <f>IFERROR(VLOOKUP(Anexo_4[[#This Row],[cuenta]],OP,2,0),"-")</f>
        <v>-</v>
      </c>
    </row>
    <row r="1388" spans="1:28" s="84" customFormat="1" ht="27" customHeight="1" x14ac:dyDescent="0.3">
      <c r="A1388" s="75" t="s">
        <v>4037</v>
      </c>
      <c r="B1388" s="36" t="str">
        <f t="shared" si="21"/>
        <v>Agosto</v>
      </c>
      <c r="C1388" s="77" t="s">
        <v>162</v>
      </c>
      <c r="D1388" s="77" t="s">
        <v>4367</v>
      </c>
      <c r="E1388" s="78" t="str">
        <f>IF(LEFT(Anexo_4[[#This Row],[c_costos]],2)="91","OPERACIONES",IF(LEFT(Anexo_4[[#This Row],[c_costos]],2)="97","G. FINANCIEROS",IF(LEFT(Anexo_4[[#This Row],[c_costos]],2)="95","G. VENTAS","G. ADMINISTRACIÓN")))</f>
        <v>G. FINANCIEROS</v>
      </c>
      <c r="F1388" s="79" t="s">
        <v>474</v>
      </c>
      <c r="G1388" s="79" t="s">
        <v>475</v>
      </c>
      <c r="H1388" s="140" t="s">
        <v>1731</v>
      </c>
      <c r="I1388" s="77" t="s">
        <v>477</v>
      </c>
      <c r="J1388" s="144" t="s">
        <v>478</v>
      </c>
      <c r="K1388" s="77" t="s">
        <v>169</v>
      </c>
      <c r="L1388" s="103" t="str">
        <f>VLOOKUP(Anexo_4[[#This Row],[cod_doc]],TIPODOC,2,FALSE)</f>
        <v>FACTURA</v>
      </c>
      <c r="M1388" s="77" t="s">
        <v>479</v>
      </c>
      <c r="N1388" s="79">
        <v>36077173</v>
      </c>
      <c r="O1388" s="80"/>
      <c r="P1388" s="81"/>
      <c r="Q1388" s="81">
        <v>0</v>
      </c>
      <c r="R1388" s="80"/>
      <c r="S1388" s="80">
        <v>10.5</v>
      </c>
      <c r="T1388" s="82">
        <v>10.5</v>
      </c>
      <c r="U1388" s="77"/>
      <c r="V1388" s="75"/>
      <c r="W1388" s="77"/>
      <c r="X1388" s="77"/>
      <c r="Y1388" s="77"/>
      <c r="Z1388" s="77" t="s">
        <v>483</v>
      </c>
      <c r="AA1388" s="83" t="s">
        <v>1731</v>
      </c>
      <c r="AB1388" s="104" t="str">
        <f>IFERROR(VLOOKUP(Anexo_4[[#This Row],[cuenta]],OP,2,0),"-")</f>
        <v>-</v>
      </c>
    </row>
    <row r="1389" spans="1:28" s="84" customFormat="1" ht="27" customHeight="1" x14ac:dyDescent="0.3">
      <c r="A1389" s="75" t="s">
        <v>4037</v>
      </c>
      <c r="B1389" s="36" t="str">
        <f t="shared" si="21"/>
        <v>Agosto</v>
      </c>
      <c r="C1389" s="77" t="s">
        <v>162</v>
      </c>
      <c r="D1389" s="77" t="s">
        <v>4368</v>
      </c>
      <c r="E1389" s="78" t="str">
        <f>IF(LEFT(Anexo_4[[#This Row],[c_costos]],2)="91","OPERACIONES",IF(LEFT(Anexo_4[[#This Row],[c_costos]],2)="97","G. FINANCIEROS",IF(LEFT(Anexo_4[[#This Row],[c_costos]],2)="95","G. VENTAS","G. ADMINISTRACIÓN")))</f>
        <v>G. FINANCIEROS</v>
      </c>
      <c r="F1389" s="79" t="s">
        <v>474</v>
      </c>
      <c r="G1389" s="79" t="s">
        <v>475</v>
      </c>
      <c r="H1389" s="140" t="s">
        <v>3424</v>
      </c>
      <c r="I1389" s="77" t="s">
        <v>477</v>
      </c>
      <c r="J1389" s="144" t="s">
        <v>478</v>
      </c>
      <c r="K1389" s="77" t="s">
        <v>169</v>
      </c>
      <c r="L1389" s="103" t="str">
        <f>VLOOKUP(Anexo_4[[#This Row],[cod_doc]],TIPODOC,2,FALSE)</f>
        <v>FACTURA</v>
      </c>
      <c r="M1389" s="77" t="s">
        <v>479</v>
      </c>
      <c r="N1389" s="79">
        <v>36068959</v>
      </c>
      <c r="O1389" s="80"/>
      <c r="P1389" s="81"/>
      <c r="Q1389" s="81">
        <v>0</v>
      </c>
      <c r="R1389" s="80"/>
      <c r="S1389" s="80">
        <v>10</v>
      </c>
      <c r="T1389" s="82">
        <v>10</v>
      </c>
      <c r="U1389" s="77"/>
      <c r="V1389" s="75"/>
      <c r="W1389" s="77"/>
      <c r="X1389" s="77"/>
      <c r="Y1389" s="77"/>
      <c r="Z1389" s="77" t="s">
        <v>480</v>
      </c>
      <c r="AA1389" s="83" t="s">
        <v>3424</v>
      </c>
      <c r="AB1389" s="104" t="str">
        <f>IFERROR(VLOOKUP(Anexo_4[[#This Row],[cuenta]],OP,2,0),"-")</f>
        <v>-</v>
      </c>
    </row>
    <row r="1390" spans="1:28" s="84" customFormat="1" ht="27" customHeight="1" x14ac:dyDescent="0.3">
      <c r="A1390" s="75" t="s">
        <v>3879</v>
      </c>
      <c r="B1390" s="36" t="str">
        <f t="shared" si="21"/>
        <v>Agosto</v>
      </c>
      <c r="C1390" s="77" t="s">
        <v>162</v>
      </c>
      <c r="D1390" s="77" t="s">
        <v>4369</v>
      </c>
      <c r="E1390" s="78" t="str">
        <f>IF(LEFT(Anexo_4[[#This Row],[c_costos]],2)="91","OPERACIONES",IF(LEFT(Anexo_4[[#This Row],[c_costos]],2)="97","G. FINANCIEROS",IF(LEFT(Anexo_4[[#This Row],[c_costos]],2)="95","G. VENTAS","G. ADMINISTRACIÓN")))</f>
        <v>G. FINANCIEROS</v>
      </c>
      <c r="F1390" s="79" t="s">
        <v>474</v>
      </c>
      <c r="G1390" s="79" t="s">
        <v>475</v>
      </c>
      <c r="H1390" s="140" t="s">
        <v>3440</v>
      </c>
      <c r="I1390" s="77" t="s">
        <v>477</v>
      </c>
      <c r="J1390" s="144" t="s">
        <v>478</v>
      </c>
      <c r="K1390" s="77" t="s">
        <v>169</v>
      </c>
      <c r="L1390" s="103" t="str">
        <f>VLOOKUP(Anexo_4[[#This Row],[cod_doc]],TIPODOC,2,FALSE)</f>
        <v>FACTURA</v>
      </c>
      <c r="M1390" s="77" t="s">
        <v>479</v>
      </c>
      <c r="N1390" s="79">
        <v>36003598</v>
      </c>
      <c r="O1390" s="80"/>
      <c r="P1390" s="81"/>
      <c r="Q1390" s="81">
        <v>0</v>
      </c>
      <c r="R1390" s="80"/>
      <c r="S1390" s="80">
        <v>10</v>
      </c>
      <c r="T1390" s="82">
        <v>10</v>
      </c>
      <c r="U1390" s="77"/>
      <c r="V1390" s="75"/>
      <c r="W1390" s="77"/>
      <c r="X1390" s="77"/>
      <c r="Y1390" s="77"/>
      <c r="Z1390" s="77" t="s">
        <v>4370</v>
      </c>
      <c r="AA1390" s="83" t="s">
        <v>3440</v>
      </c>
      <c r="AB1390" s="104" t="str">
        <f>IFERROR(VLOOKUP(Anexo_4[[#This Row],[cuenta]],OP,2,0),"-")</f>
        <v>-</v>
      </c>
    </row>
    <row r="1391" spans="1:28" s="84" customFormat="1" ht="27" customHeight="1" x14ac:dyDescent="0.3">
      <c r="A1391" s="75" t="s">
        <v>3879</v>
      </c>
      <c r="B1391" s="36" t="str">
        <f t="shared" si="21"/>
        <v>Agosto</v>
      </c>
      <c r="C1391" s="77" t="s">
        <v>162</v>
      </c>
      <c r="D1391" s="77" t="s">
        <v>4371</v>
      </c>
      <c r="E1391" s="78" t="str">
        <f>IF(LEFT(Anexo_4[[#This Row],[c_costos]],2)="91","OPERACIONES",IF(LEFT(Anexo_4[[#This Row],[c_costos]],2)="97","G. FINANCIEROS",IF(LEFT(Anexo_4[[#This Row],[c_costos]],2)="95","G. VENTAS","G. ADMINISTRACIÓN")))</f>
        <v>G. FINANCIEROS</v>
      </c>
      <c r="F1391" s="79" t="s">
        <v>474</v>
      </c>
      <c r="G1391" s="79" t="s">
        <v>475</v>
      </c>
      <c r="H1391" s="140" t="s">
        <v>3440</v>
      </c>
      <c r="I1391" s="77" t="s">
        <v>477</v>
      </c>
      <c r="J1391" s="144" t="s">
        <v>478</v>
      </c>
      <c r="K1391" s="77" t="s">
        <v>169</v>
      </c>
      <c r="L1391" s="103" t="str">
        <f>VLOOKUP(Anexo_4[[#This Row],[cod_doc]],TIPODOC,2,FALSE)</f>
        <v>FACTURA</v>
      </c>
      <c r="M1391" s="77" t="s">
        <v>479</v>
      </c>
      <c r="N1391" s="79">
        <v>35928154</v>
      </c>
      <c r="O1391" s="80"/>
      <c r="P1391" s="81"/>
      <c r="Q1391" s="81">
        <v>0</v>
      </c>
      <c r="R1391" s="80"/>
      <c r="S1391" s="80">
        <v>10</v>
      </c>
      <c r="T1391" s="82">
        <v>10</v>
      </c>
      <c r="U1391" s="77"/>
      <c r="V1391" s="75"/>
      <c r="W1391" s="77"/>
      <c r="X1391" s="77"/>
      <c r="Y1391" s="77"/>
      <c r="Z1391" s="77" t="s">
        <v>4370</v>
      </c>
      <c r="AA1391" s="83" t="s">
        <v>3440</v>
      </c>
      <c r="AB1391" s="104" t="str">
        <f>IFERROR(VLOOKUP(Anexo_4[[#This Row],[cuenta]],OP,2,0),"-")</f>
        <v>-</v>
      </c>
    </row>
    <row r="1392" spans="1:28" s="84" customFormat="1" ht="27" customHeight="1" x14ac:dyDescent="0.3">
      <c r="A1392" s="75" t="s">
        <v>3940</v>
      </c>
      <c r="B1392" s="36" t="str">
        <f t="shared" si="21"/>
        <v>Agosto</v>
      </c>
      <c r="C1392" s="77" t="s">
        <v>162</v>
      </c>
      <c r="D1392" s="77" t="s">
        <v>4372</v>
      </c>
      <c r="E1392" s="78" t="str">
        <f>IF(LEFT(Anexo_4[[#This Row],[c_costos]],2)="91","OPERACIONES",IF(LEFT(Anexo_4[[#This Row],[c_costos]],2)="97","G. FINANCIEROS",IF(LEFT(Anexo_4[[#This Row],[c_costos]],2)="95","G. VENTAS","G. ADMINISTRACIÓN")))</f>
        <v>G. FINANCIEROS</v>
      </c>
      <c r="F1392" s="79" t="s">
        <v>474</v>
      </c>
      <c r="G1392" s="79" t="s">
        <v>475</v>
      </c>
      <c r="H1392" s="140" t="s">
        <v>3440</v>
      </c>
      <c r="I1392" s="77" t="s">
        <v>477</v>
      </c>
      <c r="J1392" s="144" t="s">
        <v>478</v>
      </c>
      <c r="K1392" s="77" t="s">
        <v>169</v>
      </c>
      <c r="L1392" s="103" t="str">
        <f>VLOOKUP(Anexo_4[[#This Row],[cod_doc]],TIPODOC,2,FALSE)</f>
        <v>FACTURA</v>
      </c>
      <c r="M1392" s="77" t="s">
        <v>479</v>
      </c>
      <c r="N1392" s="79">
        <v>35651935</v>
      </c>
      <c r="O1392" s="80"/>
      <c r="P1392" s="81"/>
      <c r="Q1392" s="81">
        <v>0</v>
      </c>
      <c r="R1392" s="80"/>
      <c r="S1392" s="80">
        <v>20</v>
      </c>
      <c r="T1392" s="82">
        <v>20</v>
      </c>
      <c r="U1392" s="77"/>
      <c r="V1392" s="75"/>
      <c r="W1392" s="77"/>
      <c r="X1392" s="77"/>
      <c r="Y1392" s="77"/>
      <c r="Z1392" s="77" t="s">
        <v>4370</v>
      </c>
      <c r="AA1392" s="83" t="s">
        <v>3440</v>
      </c>
      <c r="AB1392" s="104" t="str">
        <f>IFERROR(VLOOKUP(Anexo_4[[#This Row],[cuenta]],OP,2,0),"-")</f>
        <v>-</v>
      </c>
    </row>
    <row r="1393" spans="1:28" s="84" customFormat="1" ht="27" customHeight="1" x14ac:dyDescent="0.3">
      <c r="A1393" s="75" t="s">
        <v>3794</v>
      </c>
      <c r="B1393" s="36" t="str">
        <f t="shared" si="21"/>
        <v>Agosto</v>
      </c>
      <c r="C1393" s="77" t="s">
        <v>162</v>
      </c>
      <c r="D1393" s="77" t="s">
        <v>4373</v>
      </c>
      <c r="E1393" s="78" t="str">
        <f>IF(LEFT(Anexo_4[[#This Row],[c_costos]],2)="91","OPERACIONES",IF(LEFT(Anexo_4[[#This Row],[c_costos]],2)="97","G. FINANCIEROS",IF(LEFT(Anexo_4[[#This Row],[c_costos]],2)="95","G. VENTAS","G. ADMINISTRACIÓN")))</f>
        <v>G. FINANCIEROS</v>
      </c>
      <c r="F1393" s="79" t="s">
        <v>474</v>
      </c>
      <c r="G1393" s="79" t="s">
        <v>475</v>
      </c>
      <c r="H1393" s="140" t="s">
        <v>1731</v>
      </c>
      <c r="I1393" s="77" t="s">
        <v>477</v>
      </c>
      <c r="J1393" s="144" t="s">
        <v>478</v>
      </c>
      <c r="K1393" s="77" t="s">
        <v>169</v>
      </c>
      <c r="L1393" s="103" t="str">
        <f>VLOOKUP(Anexo_4[[#This Row],[cod_doc]],TIPODOC,2,FALSE)</f>
        <v>FACTURA</v>
      </c>
      <c r="M1393" s="77" t="s">
        <v>479</v>
      </c>
      <c r="N1393" s="79">
        <v>35646390</v>
      </c>
      <c r="O1393" s="80"/>
      <c r="P1393" s="81"/>
      <c r="Q1393" s="81">
        <v>0</v>
      </c>
      <c r="R1393" s="80"/>
      <c r="S1393" s="80">
        <v>19.5</v>
      </c>
      <c r="T1393" s="82">
        <v>19.5</v>
      </c>
      <c r="U1393" s="77"/>
      <c r="V1393" s="75"/>
      <c r="W1393" s="77"/>
      <c r="X1393" s="77"/>
      <c r="Y1393" s="77"/>
      <c r="Z1393" s="77" t="s">
        <v>483</v>
      </c>
      <c r="AA1393" s="83" t="s">
        <v>1731</v>
      </c>
      <c r="AB1393" s="104" t="str">
        <f>IFERROR(VLOOKUP(Anexo_4[[#This Row],[cuenta]],OP,2,0),"-")</f>
        <v>-</v>
      </c>
    </row>
    <row r="1394" spans="1:28" s="84" customFormat="1" ht="27" customHeight="1" x14ac:dyDescent="0.3">
      <c r="A1394" s="75" t="s">
        <v>3794</v>
      </c>
      <c r="B1394" s="36" t="str">
        <f t="shared" si="21"/>
        <v>Agosto</v>
      </c>
      <c r="C1394" s="77" t="s">
        <v>162</v>
      </c>
      <c r="D1394" s="77" t="s">
        <v>4374</v>
      </c>
      <c r="E1394" s="78" t="str">
        <f>IF(LEFT(Anexo_4[[#This Row],[c_costos]],2)="91","OPERACIONES",IF(LEFT(Anexo_4[[#This Row],[c_costos]],2)="97","G. FINANCIEROS",IF(LEFT(Anexo_4[[#This Row],[c_costos]],2)="95","G. VENTAS","G. ADMINISTRACIÓN")))</f>
        <v>G. FINANCIEROS</v>
      </c>
      <c r="F1394" s="79" t="s">
        <v>474</v>
      </c>
      <c r="G1394" s="79" t="s">
        <v>475</v>
      </c>
      <c r="H1394" s="140" t="s">
        <v>3424</v>
      </c>
      <c r="I1394" s="77" t="s">
        <v>477</v>
      </c>
      <c r="J1394" s="144" t="s">
        <v>478</v>
      </c>
      <c r="K1394" s="77" t="s">
        <v>169</v>
      </c>
      <c r="L1394" s="103" t="str">
        <f>VLOOKUP(Anexo_4[[#This Row],[cod_doc]],TIPODOC,2,FALSE)</f>
        <v>FACTURA</v>
      </c>
      <c r="M1394" s="77" t="s">
        <v>479</v>
      </c>
      <c r="N1394" s="79">
        <v>35625336</v>
      </c>
      <c r="O1394" s="80"/>
      <c r="P1394" s="81"/>
      <c r="Q1394" s="81">
        <v>0</v>
      </c>
      <c r="R1394" s="80"/>
      <c r="S1394" s="80">
        <v>23.5</v>
      </c>
      <c r="T1394" s="82">
        <v>23.5</v>
      </c>
      <c r="U1394" s="77"/>
      <c r="V1394" s="75"/>
      <c r="W1394" s="77"/>
      <c r="X1394" s="77"/>
      <c r="Y1394" s="77"/>
      <c r="Z1394" s="77" t="s">
        <v>480</v>
      </c>
      <c r="AA1394" s="83" t="s">
        <v>3424</v>
      </c>
      <c r="AB1394" s="104" t="str">
        <f>IFERROR(VLOOKUP(Anexo_4[[#This Row],[cuenta]],OP,2,0),"-")</f>
        <v>-</v>
      </c>
    </row>
    <row r="1395" spans="1:28" s="84" customFormat="1" ht="27" customHeight="1" x14ac:dyDescent="0.3">
      <c r="A1395" s="75" t="s">
        <v>3670</v>
      </c>
      <c r="B1395" s="36" t="str">
        <f t="shared" si="21"/>
        <v>Agosto</v>
      </c>
      <c r="C1395" s="77" t="s">
        <v>162</v>
      </c>
      <c r="D1395" s="77" t="s">
        <v>4375</v>
      </c>
      <c r="E1395" s="78" t="str">
        <f>IF(LEFT(Anexo_4[[#This Row],[c_costos]],2)="91","OPERACIONES",IF(LEFT(Anexo_4[[#This Row],[c_costos]],2)="97","G. FINANCIEROS",IF(LEFT(Anexo_4[[#This Row],[c_costos]],2)="95","G. VENTAS","G. ADMINISTRACIÓN")))</f>
        <v>G. FINANCIEROS</v>
      </c>
      <c r="F1395" s="79" t="s">
        <v>474</v>
      </c>
      <c r="G1395" s="79" t="s">
        <v>475</v>
      </c>
      <c r="H1395" s="140" t="s">
        <v>1731</v>
      </c>
      <c r="I1395" s="77" t="s">
        <v>477</v>
      </c>
      <c r="J1395" s="144" t="s">
        <v>478</v>
      </c>
      <c r="K1395" s="77" t="s">
        <v>169</v>
      </c>
      <c r="L1395" s="103" t="str">
        <f>VLOOKUP(Anexo_4[[#This Row],[cod_doc]],TIPODOC,2,FALSE)</f>
        <v>FACTURA</v>
      </c>
      <c r="M1395" s="77" t="s">
        <v>479</v>
      </c>
      <c r="N1395" s="79">
        <v>35557942</v>
      </c>
      <c r="O1395" s="80"/>
      <c r="P1395" s="81"/>
      <c r="Q1395" s="81">
        <v>0</v>
      </c>
      <c r="R1395" s="80"/>
      <c r="S1395" s="80">
        <v>2.5</v>
      </c>
      <c r="T1395" s="82">
        <v>2.5</v>
      </c>
      <c r="U1395" s="77"/>
      <c r="V1395" s="75"/>
      <c r="W1395" s="77"/>
      <c r="X1395" s="77"/>
      <c r="Y1395" s="77"/>
      <c r="Z1395" s="77" t="s">
        <v>483</v>
      </c>
      <c r="AA1395" s="83" t="s">
        <v>1731</v>
      </c>
      <c r="AB1395" s="104" t="str">
        <f>IFERROR(VLOOKUP(Anexo_4[[#This Row],[cuenta]],OP,2,0),"-")</f>
        <v>-</v>
      </c>
    </row>
    <row r="1396" spans="1:28" s="84" customFormat="1" ht="27" customHeight="1" x14ac:dyDescent="0.3">
      <c r="A1396" s="75" t="s">
        <v>3578</v>
      </c>
      <c r="B1396" s="36" t="str">
        <f t="shared" si="21"/>
        <v>Agosto</v>
      </c>
      <c r="C1396" s="77" t="s">
        <v>162</v>
      </c>
      <c r="D1396" s="77" t="s">
        <v>4376</v>
      </c>
      <c r="E1396" s="78" t="str">
        <f>IF(LEFT(Anexo_4[[#This Row],[c_costos]],2)="91","OPERACIONES",IF(LEFT(Anexo_4[[#This Row],[c_costos]],2)="97","G. FINANCIEROS",IF(LEFT(Anexo_4[[#This Row],[c_costos]],2)="95","G. VENTAS","G. ADMINISTRACIÓN")))</f>
        <v>G. FINANCIEROS</v>
      </c>
      <c r="F1396" s="79" t="s">
        <v>474</v>
      </c>
      <c r="G1396" s="79" t="s">
        <v>475</v>
      </c>
      <c r="H1396" s="140" t="s">
        <v>3424</v>
      </c>
      <c r="I1396" s="77" t="s">
        <v>477</v>
      </c>
      <c r="J1396" s="144" t="s">
        <v>478</v>
      </c>
      <c r="K1396" s="77" t="s">
        <v>169</v>
      </c>
      <c r="L1396" s="103" t="str">
        <f>VLOOKUP(Anexo_4[[#This Row],[cod_doc]],TIPODOC,2,FALSE)</f>
        <v>FACTURA</v>
      </c>
      <c r="M1396" s="77" t="s">
        <v>479</v>
      </c>
      <c r="N1396" s="79">
        <v>35455361</v>
      </c>
      <c r="O1396" s="80"/>
      <c r="P1396" s="81"/>
      <c r="Q1396" s="81">
        <v>0</v>
      </c>
      <c r="R1396" s="80"/>
      <c r="S1396" s="80">
        <v>10</v>
      </c>
      <c r="T1396" s="82">
        <v>10</v>
      </c>
      <c r="U1396" s="77"/>
      <c r="V1396" s="75"/>
      <c r="W1396" s="77"/>
      <c r="X1396" s="77"/>
      <c r="Y1396" s="77"/>
      <c r="Z1396" s="77" t="s">
        <v>483</v>
      </c>
      <c r="AA1396" s="83" t="s">
        <v>3424</v>
      </c>
      <c r="AB1396" s="104" t="str">
        <f>IFERROR(VLOOKUP(Anexo_4[[#This Row],[cuenta]],OP,2,0),"-")</f>
        <v>-</v>
      </c>
    </row>
    <row r="1397" spans="1:28" s="84" customFormat="1" ht="27" customHeight="1" x14ac:dyDescent="0.3">
      <c r="A1397" s="75" t="s">
        <v>3610</v>
      </c>
      <c r="B1397" s="36" t="str">
        <f t="shared" si="21"/>
        <v>Agosto</v>
      </c>
      <c r="C1397" s="77" t="s">
        <v>162</v>
      </c>
      <c r="D1397" s="77" t="s">
        <v>4377</v>
      </c>
      <c r="E1397" s="78" t="str">
        <f>IF(LEFT(Anexo_4[[#This Row],[c_costos]],2)="91","OPERACIONES",IF(LEFT(Anexo_4[[#This Row],[c_costos]],2)="97","G. FINANCIEROS",IF(LEFT(Anexo_4[[#This Row],[c_costos]],2)="95","G. VENTAS","G. ADMINISTRACIÓN")))</f>
        <v>G. FINANCIEROS</v>
      </c>
      <c r="F1397" s="79" t="s">
        <v>474</v>
      </c>
      <c r="G1397" s="79" t="s">
        <v>475</v>
      </c>
      <c r="H1397" s="140" t="s">
        <v>3424</v>
      </c>
      <c r="I1397" s="77" t="s">
        <v>477</v>
      </c>
      <c r="J1397" s="144" t="s">
        <v>478</v>
      </c>
      <c r="K1397" s="77" t="s">
        <v>169</v>
      </c>
      <c r="L1397" s="103" t="str">
        <f>VLOOKUP(Anexo_4[[#This Row],[cod_doc]],TIPODOC,2,FALSE)</f>
        <v>FACTURA</v>
      </c>
      <c r="M1397" s="77" t="s">
        <v>479</v>
      </c>
      <c r="N1397" s="79">
        <v>35354742</v>
      </c>
      <c r="O1397" s="80"/>
      <c r="P1397" s="81"/>
      <c r="Q1397" s="81">
        <v>0</v>
      </c>
      <c r="R1397" s="80"/>
      <c r="S1397" s="80">
        <v>10</v>
      </c>
      <c r="T1397" s="82">
        <v>10</v>
      </c>
      <c r="U1397" s="77"/>
      <c r="V1397" s="75"/>
      <c r="W1397" s="77"/>
      <c r="X1397" s="77"/>
      <c r="Y1397" s="77"/>
      <c r="Z1397" s="77" t="s">
        <v>480</v>
      </c>
      <c r="AA1397" s="83" t="s">
        <v>3424</v>
      </c>
      <c r="AB1397" s="104" t="str">
        <f>IFERROR(VLOOKUP(Anexo_4[[#This Row],[cuenta]],OP,2,0),"-")</f>
        <v>-</v>
      </c>
    </row>
    <row r="1398" spans="1:28" s="84" customFormat="1" ht="27" customHeight="1" x14ac:dyDescent="0.3">
      <c r="A1398" s="75" t="s">
        <v>3624</v>
      </c>
      <c r="B1398" s="36" t="str">
        <f t="shared" si="21"/>
        <v>Agosto</v>
      </c>
      <c r="C1398" s="77" t="s">
        <v>162</v>
      </c>
      <c r="D1398" s="77" t="s">
        <v>4378</v>
      </c>
      <c r="E1398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398" s="79" t="s">
        <v>355</v>
      </c>
      <c r="G1398" s="79" t="s">
        <v>356</v>
      </c>
      <c r="H1398" s="140" t="s">
        <v>3775</v>
      </c>
      <c r="I1398" s="77" t="s">
        <v>4379</v>
      </c>
      <c r="J1398" s="144" t="s">
        <v>4380</v>
      </c>
      <c r="K1398" s="77" t="s">
        <v>169</v>
      </c>
      <c r="L1398" s="103" t="str">
        <f>VLOOKUP(Anexo_4[[#This Row],[cod_doc]],TIPODOC,2,FALSE)</f>
        <v>FACTURA</v>
      </c>
      <c r="M1398" s="77" t="s">
        <v>102</v>
      </c>
      <c r="N1398" s="79">
        <v>1994</v>
      </c>
      <c r="O1398" s="80">
        <v>84.75</v>
      </c>
      <c r="P1398" s="81"/>
      <c r="Q1398" s="81">
        <v>15.254999999999999</v>
      </c>
      <c r="R1398" s="80"/>
      <c r="S1398" s="80" t="s">
        <v>4341</v>
      </c>
      <c r="T1398" s="82">
        <v>100</v>
      </c>
      <c r="U1398" s="77"/>
      <c r="V1398" s="75"/>
      <c r="W1398" s="77"/>
      <c r="X1398" s="77"/>
      <c r="Y1398" s="77"/>
      <c r="Z1398" s="77" t="s">
        <v>376</v>
      </c>
      <c r="AA1398" s="83" t="s">
        <v>3775</v>
      </c>
      <c r="AB1398" s="104" t="str">
        <f>IFERROR(VLOOKUP(Anexo_4[[#This Row],[cuenta]],OP,2,0),"-")</f>
        <v>Alojamiento (Operativo)</v>
      </c>
    </row>
    <row r="1399" spans="1:28" s="84" customFormat="1" ht="27" customHeight="1" x14ac:dyDescent="0.3">
      <c r="A1399" s="75" t="s">
        <v>3624</v>
      </c>
      <c r="B1399" s="36" t="str">
        <f t="shared" si="21"/>
        <v>Agosto</v>
      </c>
      <c r="C1399" s="77" t="s">
        <v>162</v>
      </c>
      <c r="D1399" s="77" t="s">
        <v>4381</v>
      </c>
      <c r="E1399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399" s="79" t="s">
        <v>355</v>
      </c>
      <c r="G1399" s="79" t="s">
        <v>356</v>
      </c>
      <c r="H1399" s="140" t="s">
        <v>4382</v>
      </c>
      <c r="I1399" s="77" t="s">
        <v>4383</v>
      </c>
      <c r="J1399" s="144" t="s">
        <v>4384</v>
      </c>
      <c r="K1399" s="77" t="s">
        <v>169</v>
      </c>
      <c r="L1399" s="103" t="str">
        <f>VLOOKUP(Anexo_4[[#This Row],[cod_doc]],TIPODOC,2,FALSE)</f>
        <v>FACTURA</v>
      </c>
      <c r="M1399" s="77" t="s">
        <v>4385</v>
      </c>
      <c r="N1399" s="79">
        <v>4896</v>
      </c>
      <c r="O1399" s="80"/>
      <c r="P1399" s="81"/>
      <c r="Q1399" s="81">
        <v>0</v>
      </c>
      <c r="R1399" s="80"/>
      <c r="S1399" s="80">
        <v>20</v>
      </c>
      <c r="T1399" s="82">
        <v>20</v>
      </c>
      <c r="U1399" s="77"/>
      <c r="V1399" s="75"/>
      <c r="W1399" s="77"/>
      <c r="X1399" s="77"/>
      <c r="Y1399" s="77"/>
      <c r="Z1399" s="77" t="s">
        <v>4386</v>
      </c>
      <c r="AA1399" s="83" t="s">
        <v>4382</v>
      </c>
      <c r="AB1399" s="104" t="str">
        <f>IFERROR(VLOOKUP(Anexo_4[[#This Row],[cuenta]],OP,2,0),"-")</f>
        <v>Transporte de Personal (Viajes)</v>
      </c>
    </row>
    <row r="1400" spans="1:28" s="84" customFormat="1" ht="27" customHeight="1" x14ac:dyDescent="0.3">
      <c r="A1400" s="75" t="s">
        <v>3624</v>
      </c>
      <c r="B1400" s="36" t="str">
        <f t="shared" si="21"/>
        <v>Agosto</v>
      </c>
      <c r="C1400" s="77" t="s">
        <v>162</v>
      </c>
      <c r="D1400" s="77" t="s">
        <v>4387</v>
      </c>
      <c r="E1400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400" s="79" t="s">
        <v>355</v>
      </c>
      <c r="G1400" s="79" t="s">
        <v>356</v>
      </c>
      <c r="H1400" s="140" t="s">
        <v>4388</v>
      </c>
      <c r="I1400" s="77" t="s">
        <v>4383</v>
      </c>
      <c r="J1400" s="144" t="s">
        <v>4384</v>
      </c>
      <c r="K1400" s="77" t="s">
        <v>169</v>
      </c>
      <c r="L1400" s="103" t="str">
        <f>VLOOKUP(Anexo_4[[#This Row],[cod_doc]],TIPODOC,2,FALSE)</f>
        <v>FACTURA</v>
      </c>
      <c r="M1400" s="77" t="s">
        <v>4385</v>
      </c>
      <c r="N1400" s="79">
        <v>4895</v>
      </c>
      <c r="O1400" s="80"/>
      <c r="P1400" s="81"/>
      <c r="Q1400" s="81">
        <v>0</v>
      </c>
      <c r="R1400" s="80"/>
      <c r="S1400" s="80">
        <v>20</v>
      </c>
      <c r="T1400" s="82">
        <v>20</v>
      </c>
      <c r="U1400" s="77"/>
      <c r="V1400" s="75"/>
      <c r="W1400" s="77"/>
      <c r="X1400" s="77"/>
      <c r="Y1400" s="77"/>
      <c r="Z1400" s="77" t="s">
        <v>4386</v>
      </c>
      <c r="AA1400" s="83" t="s">
        <v>4388</v>
      </c>
      <c r="AB1400" s="104" t="str">
        <f>IFERROR(VLOOKUP(Anexo_4[[#This Row],[cuenta]],OP,2,0),"-")</f>
        <v>Transporte de Personal (Viajes)</v>
      </c>
    </row>
    <row r="1401" spans="1:28" s="84" customFormat="1" ht="27" customHeight="1" x14ac:dyDescent="0.3">
      <c r="A1401" s="75" t="s">
        <v>3624</v>
      </c>
      <c r="B1401" s="36" t="str">
        <f t="shared" si="21"/>
        <v>Agosto</v>
      </c>
      <c r="C1401" s="77" t="s">
        <v>162</v>
      </c>
      <c r="D1401" s="77" t="s">
        <v>4389</v>
      </c>
      <c r="E140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401" s="79" t="s">
        <v>418</v>
      </c>
      <c r="G1401" s="79" t="s">
        <v>419</v>
      </c>
      <c r="H1401" s="140" t="s">
        <v>930</v>
      </c>
      <c r="I1401" s="77" t="s">
        <v>3136</v>
      </c>
      <c r="J1401" s="144" t="s">
        <v>3137</v>
      </c>
      <c r="K1401" s="77" t="s">
        <v>169</v>
      </c>
      <c r="L1401" s="103" t="str">
        <f>VLOOKUP(Anexo_4[[#This Row],[cod_doc]],TIPODOC,2,FALSE)</f>
        <v>FACTURA</v>
      </c>
      <c r="M1401" s="77" t="s">
        <v>222</v>
      </c>
      <c r="N1401" s="79">
        <v>1705</v>
      </c>
      <c r="O1401" s="80">
        <v>10</v>
      </c>
      <c r="P1401" s="81"/>
      <c r="Q1401" s="81">
        <v>1.7999999999999998</v>
      </c>
      <c r="R1401" s="80"/>
      <c r="S1401" s="80" t="s">
        <v>4341</v>
      </c>
      <c r="T1401" s="82">
        <v>11.8</v>
      </c>
      <c r="U1401" s="77"/>
      <c r="V1401" s="75"/>
      <c r="W1401" s="77"/>
      <c r="X1401" s="77"/>
      <c r="Y1401" s="77"/>
      <c r="Z1401" s="77" t="s">
        <v>386</v>
      </c>
      <c r="AA1401" s="83" t="s">
        <v>930</v>
      </c>
      <c r="AB1401" s="104" t="str">
        <f>IFERROR(VLOOKUP(Anexo_4[[#This Row],[cuenta]],OP,2,0),"-")</f>
        <v>Balanza - Servicios</v>
      </c>
    </row>
    <row r="1402" spans="1:28" s="84" customFormat="1" ht="27" customHeight="1" x14ac:dyDescent="0.3">
      <c r="A1402" s="75" t="s">
        <v>3624</v>
      </c>
      <c r="B1402" s="36" t="str">
        <f t="shared" si="21"/>
        <v>Agosto</v>
      </c>
      <c r="C1402" s="77" t="s">
        <v>162</v>
      </c>
      <c r="D1402" s="77" t="s">
        <v>4390</v>
      </c>
      <c r="E140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402" s="79" t="s">
        <v>418</v>
      </c>
      <c r="G1402" s="79" t="s">
        <v>419</v>
      </c>
      <c r="H1402" s="140" t="s">
        <v>930</v>
      </c>
      <c r="I1402" s="77" t="s">
        <v>3136</v>
      </c>
      <c r="J1402" s="144" t="s">
        <v>3137</v>
      </c>
      <c r="K1402" s="77" t="s">
        <v>169</v>
      </c>
      <c r="L1402" s="103" t="str">
        <f>VLOOKUP(Anexo_4[[#This Row],[cod_doc]],TIPODOC,2,FALSE)</f>
        <v>FACTURA</v>
      </c>
      <c r="M1402" s="77" t="s">
        <v>222</v>
      </c>
      <c r="N1402" s="79">
        <v>1702</v>
      </c>
      <c r="O1402" s="80">
        <v>10</v>
      </c>
      <c r="P1402" s="81"/>
      <c r="Q1402" s="81">
        <v>1.7999999999999998</v>
      </c>
      <c r="R1402" s="80"/>
      <c r="S1402" s="80" t="s">
        <v>4341</v>
      </c>
      <c r="T1402" s="82">
        <v>11.8</v>
      </c>
      <c r="U1402" s="77"/>
      <c r="V1402" s="75"/>
      <c r="W1402" s="77"/>
      <c r="X1402" s="77"/>
      <c r="Y1402" s="77"/>
      <c r="Z1402" s="77" t="s">
        <v>386</v>
      </c>
      <c r="AA1402" s="83" t="s">
        <v>930</v>
      </c>
      <c r="AB1402" s="104" t="str">
        <f>IFERROR(VLOOKUP(Anexo_4[[#This Row],[cuenta]],OP,2,0),"-")</f>
        <v>Balanza - Servicios</v>
      </c>
    </row>
    <row r="1403" spans="1:28" s="84" customFormat="1" ht="27" customHeight="1" x14ac:dyDescent="0.3">
      <c r="A1403" s="75" t="s">
        <v>3578</v>
      </c>
      <c r="B1403" s="36" t="str">
        <f t="shared" si="21"/>
        <v>Agosto</v>
      </c>
      <c r="C1403" s="77" t="s">
        <v>162</v>
      </c>
      <c r="D1403" s="77" t="s">
        <v>4391</v>
      </c>
      <c r="E1403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403" s="79" t="s">
        <v>355</v>
      </c>
      <c r="G1403" s="79" t="s">
        <v>356</v>
      </c>
      <c r="H1403" s="140" t="s">
        <v>4392</v>
      </c>
      <c r="I1403" s="77" t="s">
        <v>4393</v>
      </c>
      <c r="J1403" s="144" t="s">
        <v>4394</v>
      </c>
      <c r="K1403" s="77" t="s">
        <v>169</v>
      </c>
      <c r="L1403" s="103" t="str">
        <f>VLOOKUP(Anexo_4[[#This Row],[cod_doc]],TIPODOC,2,FALSE)</f>
        <v>FACTURA</v>
      </c>
      <c r="M1403" s="77" t="s">
        <v>4395</v>
      </c>
      <c r="N1403" s="79">
        <v>468</v>
      </c>
      <c r="O1403" s="80"/>
      <c r="P1403" s="81"/>
      <c r="Q1403" s="81">
        <v>0</v>
      </c>
      <c r="R1403" s="80"/>
      <c r="S1403" s="80">
        <v>18</v>
      </c>
      <c r="T1403" s="82">
        <v>18</v>
      </c>
      <c r="U1403" s="77"/>
      <c r="V1403" s="75"/>
      <c r="W1403" s="77"/>
      <c r="X1403" s="77"/>
      <c r="Y1403" s="77"/>
      <c r="Z1403" s="77" t="s">
        <v>4386</v>
      </c>
      <c r="AA1403" s="83" t="s">
        <v>4392</v>
      </c>
      <c r="AB1403" s="104" t="str">
        <f>IFERROR(VLOOKUP(Anexo_4[[#This Row],[cuenta]],OP,2,0),"-")</f>
        <v>Transporte de Personal (Viajes)</v>
      </c>
    </row>
    <row r="1404" spans="1:28" s="84" customFormat="1" ht="27" customHeight="1" x14ac:dyDescent="0.3">
      <c r="A1404" s="75" t="s">
        <v>3578</v>
      </c>
      <c r="B1404" s="36" t="str">
        <f t="shared" si="21"/>
        <v>Agosto</v>
      </c>
      <c r="C1404" s="77" t="s">
        <v>162</v>
      </c>
      <c r="D1404" s="77" t="s">
        <v>4396</v>
      </c>
      <c r="E1404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404" s="79" t="s">
        <v>355</v>
      </c>
      <c r="G1404" s="79" t="s">
        <v>356</v>
      </c>
      <c r="H1404" s="140" t="s">
        <v>4397</v>
      </c>
      <c r="I1404" s="77" t="s">
        <v>4393</v>
      </c>
      <c r="J1404" s="144" t="s">
        <v>4394</v>
      </c>
      <c r="K1404" s="77" t="s">
        <v>169</v>
      </c>
      <c r="L1404" s="103" t="str">
        <f>VLOOKUP(Anexo_4[[#This Row],[cod_doc]],TIPODOC,2,FALSE)</f>
        <v>FACTURA</v>
      </c>
      <c r="M1404" s="77" t="s">
        <v>4395</v>
      </c>
      <c r="N1404" s="79">
        <v>469</v>
      </c>
      <c r="O1404" s="80"/>
      <c r="P1404" s="81"/>
      <c r="Q1404" s="81">
        <v>0</v>
      </c>
      <c r="R1404" s="80"/>
      <c r="S1404" s="80">
        <v>18</v>
      </c>
      <c r="T1404" s="82">
        <v>18</v>
      </c>
      <c r="U1404" s="77"/>
      <c r="V1404" s="75"/>
      <c r="W1404" s="77"/>
      <c r="X1404" s="77"/>
      <c r="Y1404" s="77"/>
      <c r="Z1404" s="77" t="s">
        <v>4386</v>
      </c>
      <c r="AA1404" s="83" t="s">
        <v>4397</v>
      </c>
      <c r="AB1404" s="104" t="str">
        <f>IFERROR(VLOOKUP(Anexo_4[[#This Row],[cuenta]],OP,2,0),"-")</f>
        <v>Transporte de Personal (Viajes)</v>
      </c>
    </row>
    <row r="1405" spans="1:28" s="84" customFormat="1" ht="27" customHeight="1" x14ac:dyDescent="0.3">
      <c r="A1405" s="75" t="s">
        <v>3879</v>
      </c>
      <c r="B1405" s="36" t="str">
        <f t="shared" si="21"/>
        <v>Agosto</v>
      </c>
      <c r="C1405" s="77" t="s">
        <v>162</v>
      </c>
      <c r="D1405" s="77" t="s">
        <v>4398</v>
      </c>
      <c r="E140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405" s="79" t="s">
        <v>235</v>
      </c>
      <c r="G1405" s="79" t="s">
        <v>236</v>
      </c>
      <c r="H1405" s="140" t="s">
        <v>4399</v>
      </c>
      <c r="I1405" s="77" t="s">
        <v>4400</v>
      </c>
      <c r="J1405" s="144" t="s">
        <v>4401</v>
      </c>
      <c r="K1405" s="77" t="s">
        <v>169</v>
      </c>
      <c r="L1405" s="103" t="str">
        <f>VLOOKUP(Anexo_4[[#This Row],[cod_doc]],TIPODOC,2,FALSE)</f>
        <v>FACTURA</v>
      </c>
      <c r="M1405" s="77" t="s">
        <v>180</v>
      </c>
      <c r="N1405" s="79">
        <v>13959</v>
      </c>
      <c r="O1405" s="80">
        <v>21.19</v>
      </c>
      <c r="P1405" s="81"/>
      <c r="Q1405" s="81">
        <v>3.8142</v>
      </c>
      <c r="R1405" s="80"/>
      <c r="S1405" s="80" t="s">
        <v>4341</v>
      </c>
      <c r="T1405" s="82">
        <v>25</v>
      </c>
      <c r="U1405" s="77"/>
      <c r="V1405" s="75"/>
      <c r="W1405" s="77"/>
      <c r="X1405" s="77"/>
      <c r="Y1405" s="77" t="s">
        <v>4402</v>
      </c>
      <c r="Z1405" s="77" t="s">
        <v>241</v>
      </c>
      <c r="AA1405" s="83" t="s">
        <v>4399</v>
      </c>
      <c r="AB1405" s="104" t="str">
        <f>IFERROR(VLOOKUP(Anexo_4[[#This Row],[cuenta]],OP,2,0),"-")</f>
        <v>Mantenimiento Vehicular (Correctivo)</v>
      </c>
    </row>
    <row r="1406" spans="1:28" s="84" customFormat="1" ht="27" customHeight="1" x14ac:dyDescent="0.3">
      <c r="A1406" s="75" t="s">
        <v>3879</v>
      </c>
      <c r="B1406" s="36" t="str">
        <f t="shared" si="21"/>
        <v>Agosto</v>
      </c>
      <c r="C1406" s="77" t="s">
        <v>162</v>
      </c>
      <c r="D1406" s="77" t="s">
        <v>4403</v>
      </c>
      <c r="E140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406" s="79" t="s">
        <v>391</v>
      </c>
      <c r="G1406" s="79" t="s">
        <v>392</v>
      </c>
      <c r="H1406" s="140" t="s">
        <v>4404</v>
      </c>
      <c r="I1406" s="77" t="s">
        <v>4400</v>
      </c>
      <c r="J1406" s="144" t="s">
        <v>4401</v>
      </c>
      <c r="K1406" s="77" t="s">
        <v>169</v>
      </c>
      <c r="L1406" s="103" t="str">
        <f>VLOOKUP(Anexo_4[[#This Row],[cod_doc]],TIPODOC,2,FALSE)</f>
        <v>FACTURA</v>
      </c>
      <c r="M1406" s="77" t="s">
        <v>180</v>
      </c>
      <c r="N1406" s="79">
        <v>13970</v>
      </c>
      <c r="O1406" s="80">
        <v>8.4700000000000006</v>
      </c>
      <c r="P1406" s="81"/>
      <c r="Q1406" s="81">
        <v>1.5246</v>
      </c>
      <c r="R1406" s="80"/>
      <c r="S1406" s="80" t="s">
        <v>4341</v>
      </c>
      <c r="T1406" s="82">
        <v>10</v>
      </c>
      <c r="U1406" s="77"/>
      <c r="V1406" s="75"/>
      <c r="W1406" s="77"/>
      <c r="X1406" s="77"/>
      <c r="Y1406" s="77" t="s">
        <v>4405</v>
      </c>
      <c r="Z1406" s="77" t="s">
        <v>241</v>
      </c>
      <c r="AA1406" s="83" t="s">
        <v>4404</v>
      </c>
      <c r="AB1406" s="104" t="str">
        <f>IFERROR(VLOOKUP(Anexo_4[[#This Row],[cuenta]],OP,2,0),"-")</f>
        <v>Mantenimiento Vehicular (Correctivo)</v>
      </c>
    </row>
    <row r="1407" spans="1:28" s="84" customFormat="1" ht="27" customHeight="1" x14ac:dyDescent="0.3">
      <c r="A1407" s="75" t="s">
        <v>3940</v>
      </c>
      <c r="B1407" s="36" t="str">
        <f t="shared" si="21"/>
        <v>Agosto</v>
      </c>
      <c r="C1407" s="77" t="s">
        <v>162</v>
      </c>
      <c r="D1407" s="77" t="s">
        <v>4406</v>
      </c>
      <c r="E1407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407" s="79" t="s">
        <v>449</v>
      </c>
      <c r="G1407" s="79" t="s">
        <v>450</v>
      </c>
      <c r="H1407" s="140" t="s">
        <v>4407</v>
      </c>
      <c r="I1407" s="77" t="s">
        <v>1610</v>
      </c>
      <c r="J1407" s="144" t="s">
        <v>1611</v>
      </c>
      <c r="K1407" s="77" t="s">
        <v>169</v>
      </c>
      <c r="L1407" s="103" t="str">
        <f>VLOOKUP(Anexo_4[[#This Row],[cod_doc]],TIPODOC,2,FALSE)</f>
        <v>FACTURA</v>
      </c>
      <c r="M1407" s="77" t="s">
        <v>222</v>
      </c>
      <c r="N1407" s="79">
        <v>7923</v>
      </c>
      <c r="O1407" s="80">
        <v>74.58</v>
      </c>
      <c r="P1407" s="81"/>
      <c r="Q1407" s="81">
        <v>13.424399999999999</v>
      </c>
      <c r="R1407" s="80"/>
      <c r="S1407" s="80" t="s">
        <v>4341</v>
      </c>
      <c r="T1407" s="82">
        <v>88</v>
      </c>
      <c r="U1407" s="77"/>
      <c r="V1407" s="75"/>
      <c r="W1407" s="77"/>
      <c r="X1407" s="77"/>
      <c r="Y1407" s="77" t="s">
        <v>4408</v>
      </c>
      <c r="Z1407" s="77" t="s">
        <v>710</v>
      </c>
      <c r="AA1407" s="83" t="s">
        <v>4407</v>
      </c>
      <c r="AB1407" s="104" t="str">
        <f>IFERROR(VLOOKUP(Anexo_4[[#This Row],[cuenta]],OP,2,0),"-")</f>
        <v>Accesorios Vehiculares</v>
      </c>
    </row>
    <row r="1408" spans="1:28" s="84" customFormat="1" ht="27" customHeight="1" x14ac:dyDescent="0.3">
      <c r="A1408" s="75" t="s">
        <v>3940</v>
      </c>
      <c r="B1408" s="36" t="str">
        <f t="shared" si="21"/>
        <v>Agosto</v>
      </c>
      <c r="C1408" s="77" t="s">
        <v>162</v>
      </c>
      <c r="D1408" s="77" t="s">
        <v>4409</v>
      </c>
      <c r="E1408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408" s="79" t="s">
        <v>449</v>
      </c>
      <c r="G1408" s="79" t="s">
        <v>450</v>
      </c>
      <c r="H1408" s="140" t="s">
        <v>4410</v>
      </c>
      <c r="I1408" s="77" t="s">
        <v>1610</v>
      </c>
      <c r="J1408" s="144" t="s">
        <v>1611</v>
      </c>
      <c r="K1408" s="77" t="s">
        <v>169</v>
      </c>
      <c r="L1408" s="103" t="str">
        <f>VLOOKUP(Anexo_4[[#This Row],[cod_doc]],TIPODOC,2,FALSE)</f>
        <v>FACTURA</v>
      </c>
      <c r="M1408" s="77" t="s">
        <v>222</v>
      </c>
      <c r="N1408" s="79">
        <v>7924</v>
      </c>
      <c r="O1408" s="80">
        <v>70.34</v>
      </c>
      <c r="P1408" s="81"/>
      <c r="Q1408" s="81">
        <v>12.661200000000001</v>
      </c>
      <c r="R1408" s="80"/>
      <c r="S1408" s="80" t="s">
        <v>4341</v>
      </c>
      <c r="T1408" s="82">
        <v>83</v>
      </c>
      <c r="U1408" s="77"/>
      <c r="V1408" s="75"/>
      <c r="W1408" s="77"/>
      <c r="X1408" s="77"/>
      <c r="Y1408" s="77" t="s">
        <v>4411</v>
      </c>
      <c r="Z1408" s="77" t="s">
        <v>710</v>
      </c>
      <c r="AA1408" s="83" t="s">
        <v>4410</v>
      </c>
      <c r="AB1408" s="104" t="str">
        <f>IFERROR(VLOOKUP(Anexo_4[[#This Row],[cuenta]],OP,2,0),"-")</f>
        <v>Accesorios Vehiculares</v>
      </c>
    </row>
    <row r="1409" spans="1:28" s="84" customFormat="1" ht="27" customHeight="1" x14ac:dyDescent="0.3">
      <c r="A1409" s="75" t="s">
        <v>3940</v>
      </c>
      <c r="B1409" s="36" t="str">
        <f t="shared" si="21"/>
        <v>Agosto</v>
      </c>
      <c r="C1409" s="77" t="s">
        <v>162</v>
      </c>
      <c r="D1409" s="77" t="s">
        <v>4412</v>
      </c>
      <c r="E1409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409" s="79" t="s">
        <v>449</v>
      </c>
      <c r="G1409" s="79" t="s">
        <v>450</v>
      </c>
      <c r="H1409" s="140" t="s">
        <v>4413</v>
      </c>
      <c r="I1409" s="77" t="s">
        <v>4414</v>
      </c>
      <c r="J1409" s="144" t="s">
        <v>4415</v>
      </c>
      <c r="K1409" s="77" t="s">
        <v>169</v>
      </c>
      <c r="L1409" s="103" t="str">
        <f>VLOOKUP(Anexo_4[[#This Row],[cod_doc]],TIPODOC,2,FALSE)</f>
        <v>FACTURA</v>
      </c>
      <c r="M1409" s="77" t="s">
        <v>180</v>
      </c>
      <c r="N1409" s="79">
        <v>33914</v>
      </c>
      <c r="O1409" s="80">
        <v>43.22</v>
      </c>
      <c r="P1409" s="81"/>
      <c r="Q1409" s="81">
        <v>7.7795999999999994</v>
      </c>
      <c r="R1409" s="80"/>
      <c r="S1409" s="80" t="s">
        <v>4341</v>
      </c>
      <c r="T1409" s="82">
        <v>51</v>
      </c>
      <c r="U1409" s="77"/>
      <c r="V1409" s="75"/>
      <c r="W1409" s="77"/>
      <c r="X1409" s="77"/>
      <c r="Y1409" s="77" t="s">
        <v>4416</v>
      </c>
      <c r="Z1409" s="77" t="s">
        <v>710</v>
      </c>
      <c r="AA1409" s="83" t="s">
        <v>4413</v>
      </c>
      <c r="AB1409" s="104" t="str">
        <f>IFERROR(VLOOKUP(Anexo_4[[#This Row],[cuenta]],OP,2,0),"-")</f>
        <v>Accesorios Vehiculares</v>
      </c>
    </row>
    <row r="1410" spans="1:28" s="84" customFormat="1" ht="27" customHeight="1" x14ac:dyDescent="0.3">
      <c r="A1410" s="75" t="s">
        <v>3940</v>
      </c>
      <c r="B1410" s="36" t="str">
        <f t="shared" ref="B1410:B1473" si="22">PROPER(CHOOSE(LEFT(D1410,2),"enero","febrero","marzo","abril","mayo","junio","julio","agosto","setiembre","octubre","noviembre","diciembre"))</f>
        <v>Agosto</v>
      </c>
      <c r="C1410" s="77" t="s">
        <v>162</v>
      </c>
      <c r="D1410" s="77" t="s">
        <v>4417</v>
      </c>
      <c r="E1410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410" s="79" t="s">
        <v>449</v>
      </c>
      <c r="G1410" s="79" t="s">
        <v>450</v>
      </c>
      <c r="H1410" s="140" t="s">
        <v>4418</v>
      </c>
      <c r="I1410" s="77" t="s">
        <v>4414</v>
      </c>
      <c r="J1410" s="144" t="s">
        <v>4415</v>
      </c>
      <c r="K1410" s="77" t="s">
        <v>169</v>
      </c>
      <c r="L1410" s="103" t="str">
        <f>VLOOKUP(Anexo_4[[#This Row],[cod_doc]],TIPODOC,2,FALSE)</f>
        <v>FACTURA</v>
      </c>
      <c r="M1410" s="77" t="s">
        <v>180</v>
      </c>
      <c r="N1410" s="79">
        <v>33915</v>
      </c>
      <c r="O1410" s="80">
        <v>66.95</v>
      </c>
      <c r="P1410" s="81"/>
      <c r="Q1410" s="81">
        <v>12.051</v>
      </c>
      <c r="R1410" s="80"/>
      <c r="S1410" s="80" t="s">
        <v>4341</v>
      </c>
      <c r="T1410" s="82">
        <v>79</v>
      </c>
      <c r="U1410" s="77"/>
      <c r="V1410" s="75"/>
      <c r="W1410" s="77"/>
      <c r="X1410" s="77"/>
      <c r="Y1410" s="77" t="s">
        <v>4419</v>
      </c>
      <c r="Z1410" s="77" t="s">
        <v>710</v>
      </c>
      <c r="AA1410" s="83" t="s">
        <v>4418</v>
      </c>
      <c r="AB1410" s="104" t="str">
        <f>IFERROR(VLOOKUP(Anexo_4[[#This Row],[cuenta]],OP,2,0),"-")</f>
        <v>Accesorios Vehiculares</v>
      </c>
    </row>
    <row r="1411" spans="1:28" s="84" customFormat="1" ht="27" customHeight="1" x14ac:dyDescent="0.3">
      <c r="A1411" s="75" t="s">
        <v>3283</v>
      </c>
      <c r="B1411" s="36" t="str">
        <f t="shared" si="22"/>
        <v>Agosto</v>
      </c>
      <c r="C1411" s="77" t="s">
        <v>162</v>
      </c>
      <c r="D1411" s="77" t="s">
        <v>4420</v>
      </c>
      <c r="E141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411" s="79" t="s">
        <v>235</v>
      </c>
      <c r="G1411" s="79" t="s">
        <v>236</v>
      </c>
      <c r="H1411" s="140" t="s">
        <v>4421</v>
      </c>
      <c r="I1411" s="77" t="s">
        <v>4422</v>
      </c>
      <c r="J1411" s="144" t="s">
        <v>4423</v>
      </c>
      <c r="K1411" s="77" t="s">
        <v>169</v>
      </c>
      <c r="L1411" s="103" t="str">
        <f>VLOOKUP(Anexo_4[[#This Row],[cod_doc]],TIPODOC,2,FALSE)</f>
        <v>FACTURA</v>
      </c>
      <c r="M1411" s="77" t="s">
        <v>4424</v>
      </c>
      <c r="N1411" s="79">
        <v>1453</v>
      </c>
      <c r="O1411" s="80">
        <v>35.36</v>
      </c>
      <c r="P1411" s="81"/>
      <c r="Q1411" s="81">
        <v>6.3647999999999998</v>
      </c>
      <c r="R1411" s="80"/>
      <c r="S1411" s="80" t="s">
        <v>4341</v>
      </c>
      <c r="T1411" s="82">
        <v>41.73</v>
      </c>
      <c r="U1411" s="77"/>
      <c r="V1411" s="75"/>
      <c r="W1411" s="77"/>
      <c r="X1411" s="77"/>
      <c r="Y1411" s="77" t="s">
        <v>4425</v>
      </c>
      <c r="Z1411" s="77" t="s">
        <v>710</v>
      </c>
      <c r="AA1411" s="83" t="s">
        <v>4421</v>
      </c>
      <c r="AB1411" s="104" t="str">
        <f>IFERROR(VLOOKUP(Anexo_4[[#This Row],[cuenta]],OP,2,0),"-")</f>
        <v>Accesorios Vehiculares</v>
      </c>
    </row>
    <row r="1412" spans="1:28" s="84" customFormat="1" ht="27" customHeight="1" x14ac:dyDescent="0.3">
      <c r="A1412" s="75" t="s">
        <v>4296</v>
      </c>
      <c r="B1412" s="36" t="str">
        <f t="shared" si="22"/>
        <v>Agosto</v>
      </c>
      <c r="C1412" s="77" t="s">
        <v>162</v>
      </c>
      <c r="D1412" s="77" t="s">
        <v>4426</v>
      </c>
      <c r="E141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412" s="79" t="s">
        <v>175</v>
      </c>
      <c r="G1412" s="79" t="s">
        <v>176</v>
      </c>
      <c r="H1412" s="140" t="s">
        <v>4427</v>
      </c>
      <c r="I1412" s="77" t="s">
        <v>2357</v>
      </c>
      <c r="J1412" s="144" t="s">
        <v>2358</v>
      </c>
      <c r="K1412" s="77" t="s">
        <v>169</v>
      </c>
      <c r="L1412" s="103" t="str">
        <f>VLOOKUP(Anexo_4[[#This Row],[cod_doc]],TIPODOC,2,FALSE)</f>
        <v>FACTURA</v>
      </c>
      <c r="M1412" s="77" t="s">
        <v>982</v>
      </c>
      <c r="N1412" s="79">
        <v>46024</v>
      </c>
      <c r="O1412" s="80">
        <v>11.02</v>
      </c>
      <c r="P1412" s="81"/>
      <c r="Q1412" s="81">
        <v>1.9835999999999998</v>
      </c>
      <c r="R1412" s="80"/>
      <c r="S1412" s="80" t="s">
        <v>4341</v>
      </c>
      <c r="T1412" s="82">
        <v>13</v>
      </c>
      <c r="U1412" s="77"/>
      <c r="V1412" s="75"/>
      <c r="W1412" s="77"/>
      <c r="X1412" s="77"/>
      <c r="Y1412" s="77" t="s">
        <v>4428</v>
      </c>
      <c r="Z1412" s="77" t="s">
        <v>710</v>
      </c>
      <c r="AA1412" s="83" t="s">
        <v>4427</v>
      </c>
      <c r="AB1412" s="104" t="str">
        <f>IFERROR(VLOOKUP(Anexo_4[[#This Row],[cuenta]],OP,2,0),"-")</f>
        <v>Accesorios Vehiculares</v>
      </c>
    </row>
    <row r="1413" spans="1:28" s="84" customFormat="1" ht="27" customHeight="1" x14ac:dyDescent="0.3">
      <c r="A1413" s="75" t="s">
        <v>3794</v>
      </c>
      <c r="B1413" s="36" t="str">
        <f t="shared" si="22"/>
        <v>Agosto</v>
      </c>
      <c r="C1413" s="77" t="s">
        <v>162</v>
      </c>
      <c r="D1413" s="77" t="s">
        <v>4429</v>
      </c>
      <c r="E1413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413" s="79" t="s">
        <v>235</v>
      </c>
      <c r="G1413" s="79" t="s">
        <v>236</v>
      </c>
      <c r="H1413" s="140" t="s">
        <v>4430</v>
      </c>
      <c r="I1413" s="77" t="s">
        <v>4242</v>
      </c>
      <c r="J1413" s="144" t="s">
        <v>4243</v>
      </c>
      <c r="K1413" s="77" t="s">
        <v>169</v>
      </c>
      <c r="L1413" s="103" t="str">
        <f>VLOOKUP(Anexo_4[[#This Row],[cod_doc]],TIPODOC,2,FALSE)</f>
        <v>FACTURA</v>
      </c>
      <c r="M1413" s="77" t="s">
        <v>4244</v>
      </c>
      <c r="N1413" s="79">
        <v>1008</v>
      </c>
      <c r="O1413" s="80">
        <v>50.85</v>
      </c>
      <c r="P1413" s="81"/>
      <c r="Q1413" s="81">
        <v>9.1530000000000005</v>
      </c>
      <c r="R1413" s="80"/>
      <c r="S1413" s="80" t="s">
        <v>4341</v>
      </c>
      <c r="T1413" s="82">
        <v>60</v>
      </c>
      <c r="U1413" s="77"/>
      <c r="V1413" s="75"/>
      <c r="W1413" s="77"/>
      <c r="X1413" s="77"/>
      <c r="Y1413" s="77" t="s">
        <v>4431</v>
      </c>
      <c r="Z1413" s="77" t="s">
        <v>710</v>
      </c>
      <c r="AA1413" s="83" t="s">
        <v>4430</v>
      </c>
      <c r="AB1413" s="104" t="str">
        <f>IFERROR(VLOOKUP(Anexo_4[[#This Row],[cuenta]],OP,2,0),"-")</f>
        <v>Accesorios Vehiculares</v>
      </c>
    </row>
    <row r="1414" spans="1:28" s="84" customFormat="1" ht="27" customHeight="1" x14ac:dyDescent="0.3">
      <c r="A1414" s="75" t="s">
        <v>3283</v>
      </c>
      <c r="B1414" s="36" t="str">
        <f t="shared" si="22"/>
        <v>Agosto</v>
      </c>
      <c r="C1414" s="77" t="s">
        <v>162</v>
      </c>
      <c r="D1414" s="77" t="s">
        <v>4432</v>
      </c>
      <c r="E1414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414" s="79" t="s">
        <v>449</v>
      </c>
      <c r="G1414" s="79" t="s">
        <v>450</v>
      </c>
      <c r="H1414" s="140" t="s">
        <v>4433</v>
      </c>
      <c r="I1414" s="77" t="s">
        <v>1610</v>
      </c>
      <c r="J1414" s="144" t="s">
        <v>1611</v>
      </c>
      <c r="K1414" s="77" t="s">
        <v>169</v>
      </c>
      <c r="L1414" s="103" t="str">
        <f>VLOOKUP(Anexo_4[[#This Row],[cod_doc]],TIPODOC,2,FALSE)</f>
        <v>FACTURA</v>
      </c>
      <c r="M1414" s="77" t="s">
        <v>222</v>
      </c>
      <c r="N1414" s="79">
        <v>7940</v>
      </c>
      <c r="O1414" s="80">
        <v>22.03</v>
      </c>
      <c r="P1414" s="81"/>
      <c r="Q1414" s="81">
        <v>3.9654000000000003</v>
      </c>
      <c r="R1414" s="80"/>
      <c r="S1414" s="80" t="s">
        <v>4341</v>
      </c>
      <c r="T1414" s="82">
        <v>26</v>
      </c>
      <c r="U1414" s="77"/>
      <c r="V1414" s="75"/>
      <c r="W1414" s="77"/>
      <c r="X1414" s="77"/>
      <c r="Y1414" s="77" t="s">
        <v>4434</v>
      </c>
      <c r="Z1414" s="77" t="s">
        <v>710</v>
      </c>
      <c r="AA1414" s="83" t="s">
        <v>4433</v>
      </c>
      <c r="AB1414" s="104" t="str">
        <f>IFERROR(VLOOKUP(Anexo_4[[#This Row],[cuenta]],OP,2,0),"-")</f>
        <v>Accesorios Vehiculares</v>
      </c>
    </row>
    <row r="1415" spans="1:28" s="84" customFormat="1" ht="27" customHeight="1" x14ac:dyDescent="0.3">
      <c r="A1415" s="75" t="s">
        <v>4037</v>
      </c>
      <c r="B1415" s="36" t="str">
        <f t="shared" si="22"/>
        <v>Agosto</v>
      </c>
      <c r="C1415" s="77" t="s">
        <v>162</v>
      </c>
      <c r="D1415" s="77" t="s">
        <v>4435</v>
      </c>
      <c r="E141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415" s="79" t="s">
        <v>391</v>
      </c>
      <c r="G1415" s="79" t="s">
        <v>392</v>
      </c>
      <c r="H1415" s="140" t="s">
        <v>4436</v>
      </c>
      <c r="I1415" s="77" t="s">
        <v>4437</v>
      </c>
      <c r="J1415" s="144" t="s">
        <v>4438</v>
      </c>
      <c r="K1415" s="77" t="s">
        <v>169</v>
      </c>
      <c r="L1415" s="103" t="str">
        <f>VLOOKUP(Anexo_4[[#This Row],[cod_doc]],TIPODOC,2,FALSE)</f>
        <v>FACTURA</v>
      </c>
      <c r="M1415" s="77" t="s">
        <v>4439</v>
      </c>
      <c r="N1415" s="79">
        <v>6303</v>
      </c>
      <c r="O1415" s="80">
        <v>6.36</v>
      </c>
      <c r="P1415" s="81"/>
      <c r="Q1415" s="81">
        <v>1.1448</v>
      </c>
      <c r="R1415" s="80"/>
      <c r="S1415" s="80" t="s">
        <v>4341</v>
      </c>
      <c r="T1415" s="82">
        <v>7.5</v>
      </c>
      <c r="U1415" s="77"/>
      <c r="V1415" s="75"/>
      <c r="W1415" s="77"/>
      <c r="X1415" s="77"/>
      <c r="Y1415" s="77" t="s">
        <v>4440</v>
      </c>
      <c r="Z1415" s="77" t="s">
        <v>241</v>
      </c>
      <c r="AA1415" s="83" t="s">
        <v>4436</v>
      </c>
      <c r="AB1415" s="104" t="str">
        <f>IFERROR(VLOOKUP(Anexo_4[[#This Row],[cuenta]],OP,2,0),"-")</f>
        <v>Mantenimiento Vehicular (Correctivo)</v>
      </c>
    </row>
    <row r="1416" spans="1:28" s="84" customFormat="1" ht="27" customHeight="1" x14ac:dyDescent="0.3">
      <c r="A1416" s="75" t="s">
        <v>4206</v>
      </c>
      <c r="B1416" s="36" t="str">
        <f t="shared" si="22"/>
        <v>Agosto</v>
      </c>
      <c r="C1416" s="77" t="s">
        <v>162</v>
      </c>
      <c r="D1416" s="77" t="s">
        <v>4441</v>
      </c>
      <c r="E141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416" s="79" t="s">
        <v>175</v>
      </c>
      <c r="G1416" s="79" t="s">
        <v>176</v>
      </c>
      <c r="H1416" s="140" t="s">
        <v>4442</v>
      </c>
      <c r="I1416" s="77" t="s">
        <v>264</v>
      </c>
      <c r="J1416" s="144" t="s">
        <v>265</v>
      </c>
      <c r="K1416" s="77" t="s">
        <v>169</v>
      </c>
      <c r="L1416" s="103" t="str">
        <f>VLOOKUP(Anexo_4[[#This Row],[cod_doc]],TIPODOC,2,FALSE)</f>
        <v>FACTURA</v>
      </c>
      <c r="M1416" s="77" t="s">
        <v>352</v>
      </c>
      <c r="N1416" s="79">
        <v>1839791</v>
      </c>
      <c r="O1416" s="80">
        <v>10.17</v>
      </c>
      <c r="P1416" s="81"/>
      <c r="Q1416" s="81">
        <v>1.8306</v>
      </c>
      <c r="R1416" s="80"/>
      <c r="S1416" s="80" t="s">
        <v>4341</v>
      </c>
      <c r="T1416" s="82">
        <v>12</v>
      </c>
      <c r="U1416" s="77"/>
      <c r="V1416" s="75"/>
      <c r="W1416" s="77"/>
      <c r="X1416" s="77"/>
      <c r="Y1416" s="77" t="s">
        <v>4443</v>
      </c>
      <c r="Z1416" s="77" t="s">
        <v>302</v>
      </c>
      <c r="AA1416" s="83" t="s">
        <v>4442</v>
      </c>
      <c r="AB1416" s="104" t="str">
        <f>IFERROR(VLOOKUP(Anexo_4[[#This Row],[cuenta]],OP,2,0),"-")</f>
        <v>Transporte peajes - Servicios</v>
      </c>
    </row>
    <row r="1417" spans="1:28" s="84" customFormat="1" ht="27" customHeight="1" x14ac:dyDescent="0.3">
      <c r="A1417" s="75" t="s">
        <v>3711</v>
      </c>
      <c r="B1417" s="36" t="str">
        <f t="shared" si="22"/>
        <v>Agosto</v>
      </c>
      <c r="C1417" s="77" t="s">
        <v>162</v>
      </c>
      <c r="D1417" s="77" t="s">
        <v>4444</v>
      </c>
      <c r="E1417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417" s="79" t="s">
        <v>175</v>
      </c>
      <c r="G1417" s="79" t="s">
        <v>176</v>
      </c>
      <c r="H1417" s="140" t="s">
        <v>4445</v>
      </c>
      <c r="I1417" s="77" t="s">
        <v>264</v>
      </c>
      <c r="J1417" s="144" t="s">
        <v>265</v>
      </c>
      <c r="K1417" s="77" t="s">
        <v>169</v>
      </c>
      <c r="L1417" s="103" t="str">
        <f>VLOOKUP(Anexo_4[[#This Row],[cod_doc]],TIPODOC,2,FALSE)</f>
        <v>FACTURA</v>
      </c>
      <c r="M1417" s="77" t="s">
        <v>406</v>
      </c>
      <c r="N1417" s="79">
        <v>2443783</v>
      </c>
      <c r="O1417" s="80">
        <v>10.17</v>
      </c>
      <c r="P1417" s="81"/>
      <c r="Q1417" s="81">
        <v>1.8306</v>
      </c>
      <c r="R1417" s="80"/>
      <c r="S1417" s="80" t="s">
        <v>4341</v>
      </c>
      <c r="T1417" s="82">
        <v>12</v>
      </c>
      <c r="U1417" s="77"/>
      <c r="V1417" s="75"/>
      <c r="W1417" s="77"/>
      <c r="X1417" s="77"/>
      <c r="Y1417" s="77" t="s">
        <v>4446</v>
      </c>
      <c r="Z1417" s="77" t="s">
        <v>302</v>
      </c>
      <c r="AA1417" s="83" t="s">
        <v>4445</v>
      </c>
      <c r="AB1417" s="104" t="str">
        <f>IFERROR(VLOOKUP(Anexo_4[[#This Row],[cuenta]],OP,2,0),"-")</f>
        <v>Transporte peajes - Servicios</v>
      </c>
    </row>
    <row r="1418" spans="1:28" s="84" customFormat="1" ht="27" customHeight="1" x14ac:dyDescent="0.3">
      <c r="A1418" s="75" t="s">
        <v>4447</v>
      </c>
      <c r="B1418" s="36" t="str">
        <f t="shared" si="22"/>
        <v>Agosto</v>
      </c>
      <c r="C1418" s="77" t="s">
        <v>162</v>
      </c>
      <c r="D1418" s="77" t="s">
        <v>4448</v>
      </c>
      <c r="E1418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418" s="79" t="s">
        <v>175</v>
      </c>
      <c r="G1418" s="79" t="s">
        <v>176</v>
      </c>
      <c r="H1418" s="140" t="s">
        <v>930</v>
      </c>
      <c r="I1418" s="77" t="s">
        <v>383</v>
      </c>
      <c r="J1418" s="144" t="s">
        <v>384</v>
      </c>
      <c r="K1418" s="77" t="s">
        <v>169</v>
      </c>
      <c r="L1418" s="103" t="str">
        <f>VLOOKUP(Anexo_4[[#This Row],[cod_doc]],TIPODOC,2,FALSE)</f>
        <v>FACTURA</v>
      </c>
      <c r="M1418" s="77" t="s">
        <v>103</v>
      </c>
      <c r="N1418" s="79">
        <v>17507</v>
      </c>
      <c r="O1418" s="80">
        <v>16.95</v>
      </c>
      <c r="P1418" s="81"/>
      <c r="Q1418" s="81">
        <v>3.0509999999999997</v>
      </c>
      <c r="R1418" s="80"/>
      <c r="S1418" s="80" t="s">
        <v>4341</v>
      </c>
      <c r="T1418" s="82">
        <v>20</v>
      </c>
      <c r="U1418" s="77"/>
      <c r="V1418" s="75"/>
      <c r="W1418" s="77"/>
      <c r="X1418" s="77"/>
      <c r="Y1418" s="77"/>
      <c r="Z1418" s="77" t="s">
        <v>386</v>
      </c>
      <c r="AA1418" s="83" t="s">
        <v>930</v>
      </c>
      <c r="AB1418" s="104" t="str">
        <f>IFERROR(VLOOKUP(Anexo_4[[#This Row],[cuenta]],OP,2,0),"-")</f>
        <v>Balanza - Servicios</v>
      </c>
    </row>
    <row r="1419" spans="1:28" s="84" customFormat="1" ht="27" customHeight="1" x14ac:dyDescent="0.3">
      <c r="A1419" s="75" t="s">
        <v>4447</v>
      </c>
      <c r="B1419" s="36" t="str">
        <f t="shared" si="22"/>
        <v>Agosto</v>
      </c>
      <c r="C1419" s="77" t="s">
        <v>162</v>
      </c>
      <c r="D1419" s="77" t="s">
        <v>4449</v>
      </c>
      <c r="E1419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419" s="79" t="s">
        <v>418</v>
      </c>
      <c r="G1419" s="79" t="s">
        <v>419</v>
      </c>
      <c r="H1419" s="140" t="s">
        <v>930</v>
      </c>
      <c r="I1419" s="77" t="s">
        <v>383</v>
      </c>
      <c r="J1419" s="144" t="s">
        <v>384</v>
      </c>
      <c r="K1419" s="77" t="s">
        <v>169</v>
      </c>
      <c r="L1419" s="103" t="str">
        <f>VLOOKUP(Anexo_4[[#This Row],[cod_doc]],TIPODOC,2,FALSE)</f>
        <v>FACTURA</v>
      </c>
      <c r="M1419" s="77" t="s">
        <v>103</v>
      </c>
      <c r="N1419" s="79">
        <v>17506</v>
      </c>
      <c r="O1419" s="80">
        <v>16.95</v>
      </c>
      <c r="P1419" s="81"/>
      <c r="Q1419" s="81">
        <v>3.0509999999999997</v>
      </c>
      <c r="R1419" s="80"/>
      <c r="S1419" s="80" t="s">
        <v>4341</v>
      </c>
      <c r="T1419" s="82">
        <v>20</v>
      </c>
      <c r="U1419" s="77"/>
      <c r="V1419" s="75"/>
      <c r="W1419" s="77"/>
      <c r="X1419" s="77"/>
      <c r="Y1419" s="77"/>
      <c r="Z1419" s="77" t="s">
        <v>386</v>
      </c>
      <c r="AA1419" s="83" t="s">
        <v>930</v>
      </c>
      <c r="AB1419" s="104" t="str">
        <f>IFERROR(VLOOKUP(Anexo_4[[#This Row],[cuenta]],OP,2,0),"-")</f>
        <v>Balanza - Servicios</v>
      </c>
    </row>
    <row r="1420" spans="1:28" s="84" customFormat="1" ht="27" customHeight="1" x14ac:dyDescent="0.3">
      <c r="A1420" s="75" t="s">
        <v>4447</v>
      </c>
      <c r="B1420" s="36" t="str">
        <f t="shared" si="22"/>
        <v>Agosto</v>
      </c>
      <c r="C1420" s="77" t="s">
        <v>162</v>
      </c>
      <c r="D1420" s="77" t="s">
        <v>4450</v>
      </c>
      <c r="E1420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420" s="79" t="s">
        <v>235</v>
      </c>
      <c r="G1420" s="79" t="s">
        <v>236</v>
      </c>
      <c r="H1420" s="140" t="s">
        <v>4451</v>
      </c>
      <c r="I1420" s="77" t="s">
        <v>383</v>
      </c>
      <c r="J1420" s="144" t="s">
        <v>384</v>
      </c>
      <c r="K1420" s="77" t="s">
        <v>169</v>
      </c>
      <c r="L1420" s="103" t="str">
        <f>VLOOKUP(Anexo_4[[#This Row],[cod_doc]],TIPODOC,2,FALSE)</f>
        <v>FACTURA</v>
      </c>
      <c r="M1420" s="77" t="s">
        <v>103</v>
      </c>
      <c r="N1420" s="79">
        <v>17508</v>
      </c>
      <c r="O1420" s="80">
        <v>16.95</v>
      </c>
      <c r="P1420" s="81"/>
      <c r="Q1420" s="81">
        <v>3.0509999999999997</v>
      </c>
      <c r="R1420" s="80"/>
      <c r="S1420" s="80" t="s">
        <v>4341</v>
      </c>
      <c r="T1420" s="82">
        <v>20</v>
      </c>
      <c r="U1420" s="77"/>
      <c r="V1420" s="75"/>
      <c r="W1420" s="77"/>
      <c r="X1420" s="77"/>
      <c r="Y1420" s="77" t="s">
        <v>4452</v>
      </c>
      <c r="Z1420" s="77" t="s">
        <v>386</v>
      </c>
      <c r="AA1420" s="83" t="s">
        <v>4451</v>
      </c>
      <c r="AB1420" s="104" t="str">
        <f>IFERROR(VLOOKUP(Anexo_4[[#This Row],[cuenta]],OP,2,0),"-")</f>
        <v>Balanza - Servicios</v>
      </c>
    </row>
    <row r="1421" spans="1:28" s="84" customFormat="1" ht="27" customHeight="1" x14ac:dyDescent="0.3">
      <c r="A1421" s="75" t="s">
        <v>3711</v>
      </c>
      <c r="B1421" s="36" t="str">
        <f t="shared" si="22"/>
        <v>Agosto</v>
      </c>
      <c r="C1421" s="77" t="s">
        <v>162</v>
      </c>
      <c r="D1421" s="77" t="s">
        <v>4453</v>
      </c>
      <c r="E142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421" s="79" t="s">
        <v>391</v>
      </c>
      <c r="G1421" s="79" t="s">
        <v>392</v>
      </c>
      <c r="H1421" s="140" t="s">
        <v>4454</v>
      </c>
      <c r="I1421" s="77" t="s">
        <v>1565</v>
      </c>
      <c r="J1421" s="144" t="s">
        <v>1566</v>
      </c>
      <c r="K1421" s="77" t="s">
        <v>169</v>
      </c>
      <c r="L1421" s="103" t="str">
        <f>VLOOKUP(Anexo_4[[#This Row],[cod_doc]],TIPODOC,2,FALSE)</f>
        <v>FACTURA</v>
      </c>
      <c r="M1421" s="77" t="s">
        <v>222</v>
      </c>
      <c r="N1421" s="79">
        <v>47606</v>
      </c>
      <c r="O1421" s="80">
        <v>127.12</v>
      </c>
      <c r="P1421" s="81"/>
      <c r="Q1421" s="81">
        <v>22.881599999999999</v>
      </c>
      <c r="R1421" s="80"/>
      <c r="S1421" s="80" t="s">
        <v>4341</v>
      </c>
      <c r="T1421" s="82">
        <v>150</v>
      </c>
      <c r="U1421" s="77"/>
      <c r="V1421" s="75"/>
      <c r="W1421" s="77"/>
      <c r="X1421" s="77"/>
      <c r="Y1421" s="77" t="s">
        <v>4455</v>
      </c>
      <c r="Z1421" s="77" t="s">
        <v>455</v>
      </c>
      <c r="AA1421" s="83" t="s">
        <v>4454</v>
      </c>
      <c r="AB1421" s="104" t="str">
        <f>IFERROR(VLOOKUP(Anexo_4[[#This Row],[cuenta]],OP,2,0),"-")</f>
        <v>Combustible (Vehiculos)</v>
      </c>
    </row>
    <row r="1422" spans="1:28" s="84" customFormat="1" ht="27" customHeight="1" x14ac:dyDescent="0.3">
      <c r="A1422" s="75" t="s">
        <v>4206</v>
      </c>
      <c r="B1422" s="36" t="str">
        <f t="shared" si="22"/>
        <v>Agosto</v>
      </c>
      <c r="C1422" s="77" t="s">
        <v>162</v>
      </c>
      <c r="D1422" s="77" t="s">
        <v>4456</v>
      </c>
      <c r="E142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422" s="79" t="s">
        <v>391</v>
      </c>
      <c r="G1422" s="79" t="s">
        <v>392</v>
      </c>
      <c r="H1422" s="140" t="s">
        <v>4457</v>
      </c>
      <c r="I1422" s="77" t="s">
        <v>264</v>
      </c>
      <c r="J1422" s="144" t="s">
        <v>265</v>
      </c>
      <c r="K1422" s="77" t="s">
        <v>169</v>
      </c>
      <c r="L1422" s="103" t="str">
        <f>VLOOKUP(Anexo_4[[#This Row],[cod_doc]],TIPODOC,2,FALSE)</f>
        <v>FACTURA</v>
      </c>
      <c r="M1422" s="77" t="s">
        <v>1548</v>
      </c>
      <c r="N1422" s="79">
        <v>1926619</v>
      </c>
      <c r="O1422" s="80">
        <v>6.53</v>
      </c>
      <c r="P1422" s="81"/>
      <c r="Q1422" s="81">
        <v>1.1754</v>
      </c>
      <c r="R1422" s="80"/>
      <c r="S1422" s="80" t="s">
        <v>4341</v>
      </c>
      <c r="T1422" s="82">
        <v>7.7</v>
      </c>
      <c r="U1422" s="77"/>
      <c r="V1422" s="75"/>
      <c r="W1422" s="77"/>
      <c r="X1422" s="77"/>
      <c r="Y1422" s="77" t="s">
        <v>4458</v>
      </c>
      <c r="Z1422" s="77" t="s">
        <v>302</v>
      </c>
      <c r="AA1422" s="83" t="s">
        <v>4457</v>
      </c>
      <c r="AB1422" s="104" t="str">
        <f>IFERROR(VLOOKUP(Anexo_4[[#This Row],[cuenta]],OP,2,0),"-")</f>
        <v>Transporte peajes - Servicios</v>
      </c>
    </row>
    <row r="1423" spans="1:28" s="84" customFormat="1" ht="27" customHeight="1" x14ac:dyDescent="0.3">
      <c r="A1423" s="75" t="s">
        <v>4037</v>
      </c>
      <c r="B1423" s="36" t="str">
        <f t="shared" si="22"/>
        <v>Agosto</v>
      </c>
      <c r="C1423" s="77" t="s">
        <v>162</v>
      </c>
      <c r="D1423" s="77" t="s">
        <v>4459</v>
      </c>
      <c r="E1423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423" s="79" t="s">
        <v>391</v>
      </c>
      <c r="G1423" s="79" t="s">
        <v>392</v>
      </c>
      <c r="H1423" s="140" t="s">
        <v>4460</v>
      </c>
      <c r="I1423" s="77" t="s">
        <v>264</v>
      </c>
      <c r="J1423" s="144" t="s">
        <v>265</v>
      </c>
      <c r="K1423" s="77" t="s">
        <v>169</v>
      </c>
      <c r="L1423" s="103" t="str">
        <f>VLOOKUP(Anexo_4[[#This Row],[cod_doc]],TIPODOC,2,FALSE)</f>
        <v>FACTURA</v>
      </c>
      <c r="M1423" s="77" t="s">
        <v>352</v>
      </c>
      <c r="N1423" s="79">
        <v>1836826</v>
      </c>
      <c r="O1423" s="80">
        <v>6.78</v>
      </c>
      <c r="P1423" s="81"/>
      <c r="Q1423" s="81">
        <v>1.2203999999999999</v>
      </c>
      <c r="R1423" s="80"/>
      <c r="S1423" s="80" t="s">
        <v>4341</v>
      </c>
      <c r="T1423" s="82">
        <v>8</v>
      </c>
      <c r="U1423" s="77"/>
      <c r="V1423" s="75"/>
      <c r="W1423" s="77"/>
      <c r="X1423" s="77"/>
      <c r="Y1423" s="77" t="s">
        <v>4461</v>
      </c>
      <c r="Z1423" s="77" t="s">
        <v>302</v>
      </c>
      <c r="AA1423" s="83" t="s">
        <v>4460</v>
      </c>
      <c r="AB1423" s="104" t="str">
        <f>IFERROR(VLOOKUP(Anexo_4[[#This Row],[cuenta]],OP,2,0),"-")</f>
        <v>Transporte peajes - Servicios</v>
      </c>
    </row>
    <row r="1424" spans="1:28" s="84" customFormat="1" ht="27" customHeight="1" x14ac:dyDescent="0.3">
      <c r="A1424" s="75" t="s">
        <v>3879</v>
      </c>
      <c r="B1424" s="36" t="str">
        <f t="shared" si="22"/>
        <v>Agosto</v>
      </c>
      <c r="C1424" s="77" t="s">
        <v>162</v>
      </c>
      <c r="D1424" s="77" t="s">
        <v>4462</v>
      </c>
      <c r="E1424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424" s="79" t="s">
        <v>217</v>
      </c>
      <c r="G1424" s="79" t="s">
        <v>218</v>
      </c>
      <c r="H1424" s="140" t="s">
        <v>4463</v>
      </c>
      <c r="I1424" s="77" t="s">
        <v>264</v>
      </c>
      <c r="J1424" s="144" t="s">
        <v>265</v>
      </c>
      <c r="K1424" s="77" t="s">
        <v>169</v>
      </c>
      <c r="L1424" s="103" t="str">
        <f>VLOOKUP(Anexo_4[[#This Row],[cod_doc]],TIPODOC,2,FALSE)</f>
        <v>FACTURA</v>
      </c>
      <c r="M1424" s="77" t="s">
        <v>406</v>
      </c>
      <c r="N1424" s="79">
        <v>2439201</v>
      </c>
      <c r="O1424" s="80">
        <v>6.78</v>
      </c>
      <c r="P1424" s="81"/>
      <c r="Q1424" s="81">
        <v>1.2203999999999999</v>
      </c>
      <c r="R1424" s="80"/>
      <c r="S1424" s="80" t="s">
        <v>4341</v>
      </c>
      <c r="T1424" s="82">
        <v>8</v>
      </c>
      <c r="U1424" s="77"/>
      <c r="V1424" s="75"/>
      <c r="W1424" s="77"/>
      <c r="X1424" s="77"/>
      <c r="Y1424" s="77" t="s">
        <v>4464</v>
      </c>
      <c r="Z1424" s="77" t="s">
        <v>268</v>
      </c>
      <c r="AA1424" s="83" t="s">
        <v>4463</v>
      </c>
      <c r="AB1424" s="104" t="str">
        <f>IFERROR(VLOOKUP(Anexo_4[[#This Row],[cuenta]],OP,2,0),"-")</f>
        <v>Transporte peajes - Ventas</v>
      </c>
    </row>
    <row r="1425" spans="1:28" s="84" customFormat="1" ht="27" customHeight="1" x14ac:dyDescent="0.3">
      <c r="A1425" s="75" t="s">
        <v>4037</v>
      </c>
      <c r="B1425" s="36" t="str">
        <f t="shared" si="22"/>
        <v>Agosto</v>
      </c>
      <c r="C1425" s="77" t="s">
        <v>162</v>
      </c>
      <c r="D1425" s="77" t="s">
        <v>4465</v>
      </c>
      <c r="E142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425" s="79" t="s">
        <v>391</v>
      </c>
      <c r="G1425" s="79" t="s">
        <v>392</v>
      </c>
      <c r="H1425" s="140" t="s">
        <v>4466</v>
      </c>
      <c r="I1425" s="77" t="s">
        <v>264</v>
      </c>
      <c r="J1425" s="144" t="s">
        <v>265</v>
      </c>
      <c r="K1425" s="77" t="s">
        <v>169</v>
      </c>
      <c r="L1425" s="103" t="str">
        <f>VLOOKUP(Anexo_4[[#This Row],[cod_doc]],TIPODOC,2,FALSE)</f>
        <v>FACTURA</v>
      </c>
      <c r="M1425" s="77" t="s">
        <v>1562</v>
      </c>
      <c r="N1425" s="79">
        <v>455379</v>
      </c>
      <c r="O1425" s="80">
        <v>6.53</v>
      </c>
      <c r="P1425" s="81"/>
      <c r="Q1425" s="81">
        <v>1.1754</v>
      </c>
      <c r="R1425" s="80"/>
      <c r="S1425" s="80" t="s">
        <v>4341</v>
      </c>
      <c r="T1425" s="82">
        <v>7.7</v>
      </c>
      <c r="U1425" s="77"/>
      <c r="V1425" s="75"/>
      <c r="W1425" s="77"/>
      <c r="X1425" s="77"/>
      <c r="Y1425" s="77" t="s">
        <v>4467</v>
      </c>
      <c r="Z1425" s="77" t="s">
        <v>302</v>
      </c>
      <c r="AA1425" s="83" t="s">
        <v>4466</v>
      </c>
      <c r="AB1425" s="104" t="str">
        <f>IFERROR(VLOOKUP(Anexo_4[[#This Row],[cuenta]],OP,2,0),"-")</f>
        <v>Transporte peajes - Servicios</v>
      </c>
    </row>
    <row r="1426" spans="1:28" s="84" customFormat="1" ht="27" customHeight="1" x14ac:dyDescent="0.3">
      <c r="A1426" s="75" t="s">
        <v>4037</v>
      </c>
      <c r="B1426" s="36" t="str">
        <f t="shared" si="22"/>
        <v>Agosto</v>
      </c>
      <c r="C1426" s="77" t="s">
        <v>162</v>
      </c>
      <c r="D1426" s="77" t="s">
        <v>4468</v>
      </c>
      <c r="E142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426" s="79" t="s">
        <v>391</v>
      </c>
      <c r="G1426" s="79" t="s">
        <v>392</v>
      </c>
      <c r="H1426" s="140" t="s">
        <v>4469</v>
      </c>
      <c r="I1426" s="77" t="s">
        <v>264</v>
      </c>
      <c r="J1426" s="144" t="s">
        <v>265</v>
      </c>
      <c r="K1426" s="77" t="s">
        <v>169</v>
      </c>
      <c r="L1426" s="103" t="str">
        <f>VLOOKUP(Anexo_4[[#This Row],[cod_doc]],TIPODOC,2,FALSE)</f>
        <v>FACTURA</v>
      </c>
      <c r="M1426" s="77" t="s">
        <v>406</v>
      </c>
      <c r="N1426" s="79">
        <v>2440612</v>
      </c>
      <c r="O1426" s="80">
        <v>6.78</v>
      </c>
      <c r="P1426" s="81"/>
      <c r="Q1426" s="81">
        <v>1.2203999999999999</v>
      </c>
      <c r="R1426" s="80"/>
      <c r="S1426" s="80" t="s">
        <v>4341</v>
      </c>
      <c r="T1426" s="82">
        <v>8</v>
      </c>
      <c r="U1426" s="77"/>
      <c r="V1426" s="75"/>
      <c r="W1426" s="77"/>
      <c r="X1426" s="77"/>
      <c r="Y1426" s="77" t="s">
        <v>4470</v>
      </c>
      <c r="Z1426" s="77" t="s">
        <v>302</v>
      </c>
      <c r="AA1426" s="83" t="s">
        <v>4469</v>
      </c>
      <c r="AB1426" s="104" t="str">
        <f>IFERROR(VLOOKUP(Anexo_4[[#This Row],[cuenta]],OP,2,0),"-")</f>
        <v>Transporte peajes - Servicios</v>
      </c>
    </row>
    <row r="1427" spans="1:28" s="84" customFormat="1" ht="27" customHeight="1" x14ac:dyDescent="0.3">
      <c r="A1427" s="75" t="s">
        <v>3711</v>
      </c>
      <c r="B1427" s="36" t="str">
        <f t="shared" si="22"/>
        <v>Agosto</v>
      </c>
      <c r="C1427" s="77" t="s">
        <v>162</v>
      </c>
      <c r="D1427" s="77" t="s">
        <v>4471</v>
      </c>
      <c r="E1427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427" s="79" t="s">
        <v>391</v>
      </c>
      <c r="G1427" s="79" t="s">
        <v>392</v>
      </c>
      <c r="H1427" s="140" t="s">
        <v>3802</v>
      </c>
      <c r="I1427" s="77" t="s">
        <v>1552</v>
      </c>
      <c r="J1427" s="144" t="s">
        <v>1553</v>
      </c>
      <c r="K1427" s="77" t="s">
        <v>169</v>
      </c>
      <c r="L1427" s="103" t="str">
        <f>VLOOKUP(Anexo_4[[#This Row],[cod_doc]],TIPODOC,2,FALSE)</f>
        <v>FACTURA</v>
      </c>
      <c r="M1427" s="77" t="s">
        <v>1554</v>
      </c>
      <c r="N1427" s="79">
        <v>660838</v>
      </c>
      <c r="O1427" s="80">
        <v>6.53</v>
      </c>
      <c r="P1427" s="81"/>
      <c r="Q1427" s="81">
        <v>1.1754</v>
      </c>
      <c r="R1427" s="80"/>
      <c r="S1427" s="80" t="s">
        <v>4341</v>
      </c>
      <c r="T1427" s="82">
        <v>7.7</v>
      </c>
      <c r="U1427" s="77"/>
      <c r="V1427" s="75"/>
      <c r="W1427" s="77"/>
      <c r="X1427" s="77"/>
      <c r="Y1427" s="77" t="s">
        <v>4472</v>
      </c>
      <c r="Z1427" s="77" t="s">
        <v>302</v>
      </c>
      <c r="AA1427" s="83" t="s">
        <v>3802</v>
      </c>
      <c r="AB1427" s="104" t="str">
        <f>IFERROR(VLOOKUP(Anexo_4[[#This Row],[cuenta]],OP,2,0),"-")</f>
        <v>Transporte peajes - Servicios</v>
      </c>
    </row>
    <row r="1428" spans="1:28" s="84" customFormat="1" ht="27" customHeight="1" x14ac:dyDescent="0.3">
      <c r="A1428" s="75" t="s">
        <v>3283</v>
      </c>
      <c r="B1428" s="36" t="str">
        <f t="shared" si="22"/>
        <v>Agosto</v>
      </c>
      <c r="C1428" s="77" t="s">
        <v>162</v>
      </c>
      <c r="D1428" s="77" t="s">
        <v>4473</v>
      </c>
      <c r="E1428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428" s="79" t="s">
        <v>391</v>
      </c>
      <c r="G1428" s="79" t="s">
        <v>392</v>
      </c>
      <c r="H1428" s="140" t="s">
        <v>4474</v>
      </c>
      <c r="I1428" s="77" t="s">
        <v>1552</v>
      </c>
      <c r="J1428" s="144" t="s">
        <v>1553</v>
      </c>
      <c r="K1428" s="77" t="s">
        <v>169</v>
      </c>
      <c r="L1428" s="103" t="str">
        <f>VLOOKUP(Anexo_4[[#This Row],[cod_doc]],TIPODOC,2,FALSE)</f>
        <v>FACTURA</v>
      </c>
      <c r="M1428" s="77" t="s">
        <v>1558</v>
      </c>
      <c r="N1428" s="79">
        <v>648281</v>
      </c>
      <c r="O1428" s="80">
        <v>6.53</v>
      </c>
      <c r="P1428" s="81"/>
      <c r="Q1428" s="81">
        <v>1.1754</v>
      </c>
      <c r="R1428" s="80"/>
      <c r="S1428" s="80" t="s">
        <v>4341</v>
      </c>
      <c r="T1428" s="82">
        <v>7.7</v>
      </c>
      <c r="U1428" s="77"/>
      <c r="V1428" s="75"/>
      <c r="W1428" s="77"/>
      <c r="X1428" s="77"/>
      <c r="Y1428" s="77" t="s">
        <v>4475</v>
      </c>
      <c r="Z1428" s="77" t="s">
        <v>302</v>
      </c>
      <c r="AA1428" s="83" t="s">
        <v>4474</v>
      </c>
      <c r="AB1428" s="104" t="str">
        <f>IFERROR(VLOOKUP(Anexo_4[[#This Row],[cuenta]],OP,2,0),"-")</f>
        <v>Transporte peajes - Servicios</v>
      </c>
    </row>
    <row r="1429" spans="1:28" s="84" customFormat="1" ht="27" customHeight="1" x14ac:dyDescent="0.3">
      <c r="A1429" s="75" t="s">
        <v>3711</v>
      </c>
      <c r="B1429" s="36" t="str">
        <f t="shared" si="22"/>
        <v>Agosto</v>
      </c>
      <c r="C1429" s="77" t="s">
        <v>162</v>
      </c>
      <c r="D1429" s="77" t="s">
        <v>4476</v>
      </c>
      <c r="E1429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429" s="79" t="s">
        <v>355</v>
      </c>
      <c r="G1429" s="79" t="s">
        <v>356</v>
      </c>
      <c r="H1429" s="140" t="s">
        <v>4477</v>
      </c>
      <c r="I1429" s="77" t="s">
        <v>4478</v>
      </c>
      <c r="J1429" s="144" t="s">
        <v>4479</v>
      </c>
      <c r="K1429" s="77" t="s">
        <v>239</v>
      </c>
      <c r="L1429" s="103" t="str">
        <f>VLOOKUP(Anexo_4[[#This Row],[cod_doc]],TIPODOC,2,FALSE)</f>
        <v>BOLETA DE VENTA</v>
      </c>
      <c r="M1429" s="77" t="s">
        <v>162</v>
      </c>
      <c r="N1429" s="79">
        <v>3329</v>
      </c>
      <c r="O1429" s="80"/>
      <c r="P1429" s="81"/>
      <c r="Q1429" s="81">
        <v>0</v>
      </c>
      <c r="R1429" s="80"/>
      <c r="S1429" s="80">
        <v>100</v>
      </c>
      <c r="T1429" s="82">
        <v>100</v>
      </c>
      <c r="U1429" s="77"/>
      <c r="V1429" s="75"/>
      <c r="W1429" s="77"/>
      <c r="X1429" s="77"/>
      <c r="Y1429" s="77" t="s">
        <v>4480</v>
      </c>
      <c r="Z1429" s="77" t="s">
        <v>376</v>
      </c>
      <c r="AA1429" s="83" t="s">
        <v>4477</v>
      </c>
      <c r="AB1429" s="104" t="str">
        <f>IFERROR(VLOOKUP(Anexo_4[[#This Row],[cuenta]],OP,2,0),"-")</f>
        <v>Alojamiento (Operativo)</v>
      </c>
    </row>
    <row r="1430" spans="1:28" s="84" customFormat="1" ht="27" customHeight="1" x14ac:dyDescent="0.3">
      <c r="A1430" s="75" t="s">
        <v>3879</v>
      </c>
      <c r="B1430" s="36" t="str">
        <f t="shared" si="22"/>
        <v>Agosto</v>
      </c>
      <c r="C1430" s="77" t="s">
        <v>162</v>
      </c>
      <c r="D1430" s="77" t="s">
        <v>4481</v>
      </c>
      <c r="E1430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430" s="79" t="s">
        <v>217</v>
      </c>
      <c r="G1430" s="79" t="s">
        <v>218</v>
      </c>
      <c r="H1430" s="140" t="s">
        <v>4482</v>
      </c>
      <c r="I1430" s="77" t="s">
        <v>383</v>
      </c>
      <c r="J1430" s="144" t="s">
        <v>384</v>
      </c>
      <c r="K1430" s="77" t="s">
        <v>169</v>
      </c>
      <c r="L1430" s="103" t="str">
        <f>VLOOKUP(Anexo_4[[#This Row],[cod_doc]],TIPODOC,2,FALSE)</f>
        <v>FACTURA</v>
      </c>
      <c r="M1430" s="77" t="s">
        <v>103</v>
      </c>
      <c r="N1430" s="79">
        <v>17386</v>
      </c>
      <c r="O1430" s="80">
        <v>16.95</v>
      </c>
      <c r="P1430" s="81"/>
      <c r="Q1430" s="81">
        <v>3.0509999999999997</v>
      </c>
      <c r="R1430" s="80"/>
      <c r="S1430" s="80" t="s">
        <v>4341</v>
      </c>
      <c r="T1430" s="82">
        <v>20</v>
      </c>
      <c r="U1430" s="77"/>
      <c r="V1430" s="75"/>
      <c r="W1430" s="77"/>
      <c r="X1430" s="77"/>
      <c r="Y1430" s="77" t="s">
        <v>4483</v>
      </c>
      <c r="Z1430" s="77" t="s">
        <v>386</v>
      </c>
      <c r="AA1430" s="83" t="s">
        <v>4482</v>
      </c>
      <c r="AB1430" s="104" t="str">
        <f>IFERROR(VLOOKUP(Anexo_4[[#This Row],[cuenta]],OP,2,0),"-")</f>
        <v>Balanza - Servicios</v>
      </c>
    </row>
    <row r="1431" spans="1:28" s="84" customFormat="1" ht="27" customHeight="1" x14ac:dyDescent="0.3">
      <c r="A1431" s="75" t="s">
        <v>4447</v>
      </c>
      <c r="B1431" s="36" t="str">
        <f t="shared" si="22"/>
        <v>Agosto</v>
      </c>
      <c r="C1431" s="77" t="s">
        <v>162</v>
      </c>
      <c r="D1431" s="77" t="s">
        <v>4484</v>
      </c>
      <c r="E143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431" s="79" t="s">
        <v>248</v>
      </c>
      <c r="G1431" s="79" t="s">
        <v>249</v>
      </c>
      <c r="H1431" s="140" t="s">
        <v>4485</v>
      </c>
      <c r="I1431" s="77" t="s">
        <v>536</v>
      </c>
      <c r="J1431" s="144" t="s">
        <v>537</v>
      </c>
      <c r="K1431" s="77" t="s">
        <v>169</v>
      </c>
      <c r="L1431" s="103" t="str">
        <f>VLOOKUP(Anexo_4[[#This Row],[cod_doc]],TIPODOC,2,FALSE)</f>
        <v>FACTURA</v>
      </c>
      <c r="M1431" s="77" t="s">
        <v>538</v>
      </c>
      <c r="N1431" s="79">
        <v>6805</v>
      </c>
      <c r="O1431" s="80">
        <v>43</v>
      </c>
      <c r="P1431" s="81"/>
      <c r="Q1431" s="81">
        <v>7.7399999999999993</v>
      </c>
      <c r="R1431" s="80"/>
      <c r="S1431" s="80" t="s">
        <v>4341</v>
      </c>
      <c r="T1431" s="82">
        <v>50.74</v>
      </c>
      <c r="U1431" s="77"/>
      <c r="V1431" s="75"/>
      <c r="W1431" s="77"/>
      <c r="X1431" s="77"/>
      <c r="Y1431" s="77" t="s">
        <v>4486</v>
      </c>
      <c r="Z1431" s="77" t="s">
        <v>256</v>
      </c>
      <c r="AA1431" s="83" t="s">
        <v>4485</v>
      </c>
      <c r="AB1431" s="104" t="str">
        <f>IFERROR(VLOOKUP(Anexo_4[[#This Row],[cuenta]],OP,2,0),"-")</f>
        <v>Materias Primas - RRSS</v>
      </c>
    </row>
    <row r="1432" spans="1:28" s="84" customFormat="1" ht="27" customHeight="1" x14ac:dyDescent="0.3">
      <c r="A1432" s="75" t="s">
        <v>4447</v>
      </c>
      <c r="B1432" s="36" t="str">
        <f t="shared" si="22"/>
        <v>Agosto</v>
      </c>
      <c r="C1432" s="77" t="s">
        <v>162</v>
      </c>
      <c r="D1432" s="77" t="s">
        <v>4487</v>
      </c>
      <c r="E143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432" s="79" t="s">
        <v>248</v>
      </c>
      <c r="G1432" s="79" t="s">
        <v>249</v>
      </c>
      <c r="H1432" s="140" t="s">
        <v>4488</v>
      </c>
      <c r="I1432" s="77" t="s">
        <v>536</v>
      </c>
      <c r="J1432" s="144" t="s">
        <v>537</v>
      </c>
      <c r="K1432" s="77" t="s">
        <v>169</v>
      </c>
      <c r="L1432" s="103" t="str">
        <f>VLOOKUP(Anexo_4[[#This Row],[cod_doc]],TIPODOC,2,FALSE)</f>
        <v>FACTURA</v>
      </c>
      <c r="M1432" s="77" t="s">
        <v>538</v>
      </c>
      <c r="N1432" s="79">
        <v>6806</v>
      </c>
      <c r="O1432" s="80">
        <v>84.5</v>
      </c>
      <c r="P1432" s="81"/>
      <c r="Q1432" s="81">
        <v>15.209999999999999</v>
      </c>
      <c r="R1432" s="80"/>
      <c r="S1432" s="80" t="s">
        <v>4341</v>
      </c>
      <c r="T1432" s="82">
        <v>99.71</v>
      </c>
      <c r="U1432" s="77"/>
      <c r="V1432" s="75"/>
      <c r="W1432" s="77"/>
      <c r="X1432" s="77"/>
      <c r="Y1432" s="77" t="s">
        <v>4489</v>
      </c>
      <c r="Z1432" s="77" t="s">
        <v>256</v>
      </c>
      <c r="AA1432" s="83" t="s">
        <v>4488</v>
      </c>
      <c r="AB1432" s="104" t="str">
        <f>IFERROR(VLOOKUP(Anexo_4[[#This Row],[cuenta]],OP,2,0),"-")</f>
        <v>Materias Primas - RRSS</v>
      </c>
    </row>
    <row r="1433" spans="1:28" s="84" customFormat="1" ht="27" customHeight="1" x14ac:dyDescent="0.3">
      <c r="A1433" s="75" t="s">
        <v>4447</v>
      </c>
      <c r="B1433" s="36" t="str">
        <f t="shared" si="22"/>
        <v>Agosto</v>
      </c>
      <c r="C1433" s="77" t="s">
        <v>162</v>
      </c>
      <c r="D1433" s="77" t="s">
        <v>4490</v>
      </c>
      <c r="E1433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433" s="79" t="s">
        <v>248</v>
      </c>
      <c r="G1433" s="79" t="s">
        <v>249</v>
      </c>
      <c r="H1433" s="140" t="s">
        <v>4491</v>
      </c>
      <c r="I1433" s="77" t="s">
        <v>536</v>
      </c>
      <c r="J1433" s="144" t="s">
        <v>537</v>
      </c>
      <c r="K1433" s="77" t="s">
        <v>169</v>
      </c>
      <c r="L1433" s="103" t="str">
        <f>VLOOKUP(Anexo_4[[#This Row],[cod_doc]],TIPODOC,2,FALSE)</f>
        <v>FACTURA</v>
      </c>
      <c r="M1433" s="77" t="s">
        <v>538</v>
      </c>
      <c r="N1433" s="79">
        <v>6807</v>
      </c>
      <c r="O1433" s="80">
        <v>1.5</v>
      </c>
      <c r="P1433" s="81"/>
      <c r="Q1433" s="81">
        <v>0.27</v>
      </c>
      <c r="R1433" s="80"/>
      <c r="S1433" s="80" t="s">
        <v>4341</v>
      </c>
      <c r="T1433" s="82">
        <v>1.77</v>
      </c>
      <c r="U1433" s="77"/>
      <c r="V1433" s="75"/>
      <c r="W1433" s="77"/>
      <c r="X1433" s="77"/>
      <c r="Y1433" s="77" t="s">
        <v>4492</v>
      </c>
      <c r="Z1433" s="77" t="s">
        <v>256</v>
      </c>
      <c r="AA1433" s="83" t="s">
        <v>4491</v>
      </c>
      <c r="AB1433" s="104" t="str">
        <f>IFERROR(VLOOKUP(Anexo_4[[#This Row],[cuenta]],OP,2,0),"-")</f>
        <v>Materias Primas - RRSS</v>
      </c>
    </row>
    <row r="1434" spans="1:28" s="84" customFormat="1" ht="27" customHeight="1" x14ac:dyDescent="0.3">
      <c r="A1434" s="75" t="s">
        <v>4447</v>
      </c>
      <c r="B1434" s="36" t="str">
        <f t="shared" si="22"/>
        <v>Agosto</v>
      </c>
      <c r="C1434" s="77" t="s">
        <v>162</v>
      </c>
      <c r="D1434" s="77" t="s">
        <v>4493</v>
      </c>
      <c r="E1434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434" s="79" t="s">
        <v>248</v>
      </c>
      <c r="G1434" s="79" t="s">
        <v>249</v>
      </c>
      <c r="H1434" s="140" t="s">
        <v>4494</v>
      </c>
      <c r="I1434" s="77" t="s">
        <v>536</v>
      </c>
      <c r="J1434" s="144" t="s">
        <v>537</v>
      </c>
      <c r="K1434" s="77" t="s">
        <v>169</v>
      </c>
      <c r="L1434" s="103" t="str">
        <f>VLOOKUP(Anexo_4[[#This Row],[cod_doc]],TIPODOC,2,FALSE)</f>
        <v>FACTURA</v>
      </c>
      <c r="M1434" s="77" t="s">
        <v>538</v>
      </c>
      <c r="N1434" s="79">
        <v>6809</v>
      </c>
      <c r="O1434" s="80">
        <v>63</v>
      </c>
      <c r="P1434" s="81"/>
      <c r="Q1434" s="81">
        <v>11.34</v>
      </c>
      <c r="R1434" s="80"/>
      <c r="S1434" s="80" t="s">
        <v>4341</v>
      </c>
      <c r="T1434" s="82">
        <v>74.34</v>
      </c>
      <c r="U1434" s="77"/>
      <c r="V1434" s="75"/>
      <c r="W1434" s="77"/>
      <c r="X1434" s="77"/>
      <c r="Y1434" s="77" t="s">
        <v>4495</v>
      </c>
      <c r="Z1434" s="77" t="s">
        <v>256</v>
      </c>
      <c r="AA1434" s="83" t="s">
        <v>4494</v>
      </c>
      <c r="AB1434" s="104" t="str">
        <f>IFERROR(VLOOKUP(Anexo_4[[#This Row],[cuenta]],OP,2,0),"-")</f>
        <v>Materias Primas - RRSS</v>
      </c>
    </row>
    <row r="1435" spans="1:28" s="84" customFormat="1" ht="27" customHeight="1" x14ac:dyDescent="0.3">
      <c r="A1435" s="75" t="s">
        <v>4447</v>
      </c>
      <c r="B1435" s="36" t="str">
        <f t="shared" si="22"/>
        <v>Agosto</v>
      </c>
      <c r="C1435" s="77" t="s">
        <v>162</v>
      </c>
      <c r="D1435" s="77" t="s">
        <v>4496</v>
      </c>
      <c r="E143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435" s="79" t="s">
        <v>248</v>
      </c>
      <c r="G1435" s="79" t="s">
        <v>249</v>
      </c>
      <c r="H1435" s="140" t="s">
        <v>4497</v>
      </c>
      <c r="I1435" s="77" t="s">
        <v>536</v>
      </c>
      <c r="J1435" s="144" t="s">
        <v>537</v>
      </c>
      <c r="K1435" s="77" t="s">
        <v>169</v>
      </c>
      <c r="L1435" s="103" t="str">
        <f>VLOOKUP(Anexo_4[[#This Row],[cod_doc]],TIPODOC,2,FALSE)</f>
        <v>FACTURA</v>
      </c>
      <c r="M1435" s="77" t="s">
        <v>538</v>
      </c>
      <c r="N1435" s="79">
        <v>6810</v>
      </c>
      <c r="O1435" s="80">
        <v>52</v>
      </c>
      <c r="P1435" s="81"/>
      <c r="Q1435" s="81">
        <v>9.36</v>
      </c>
      <c r="R1435" s="80"/>
      <c r="S1435" s="80" t="s">
        <v>4341</v>
      </c>
      <c r="T1435" s="82">
        <v>61.36</v>
      </c>
      <c r="U1435" s="77"/>
      <c r="V1435" s="75"/>
      <c r="W1435" s="77"/>
      <c r="X1435" s="77"/>
      <c r="Y1435" s="77" t="s">
        <v>4498</v>
      </c>
      <c r="Z1435" s="77" t="s">
        <v>256</v>
      </c>
      <c r="AA1435" s="83" t="s">
        <v>4497</v>
      </c>
      <c r="AB1435" s="104" t="str">
        <f>IFERROR(VLOOKUP(Anexo_4[[#This Row],[cuenta]],OP,2,0),"-")</f>
        <v>Materias Primas - RRSS</v>
      </c>
    </row>
    <row r="1436" spans="1:28" s="84" customFormat="1" ht="27" customHeight="1" x14ac:dyDescent="0.3">
      <c r="A1436" s="75" t="s">
        <v>4447</v>
      </c>
      <c r="B1436" s="36" t="str">
        <f t="shared" si="22"/>
        <v>Agosto</v>
      </c>
      <c r="C1436" s="77" t="s">
        <v>162</v>
      </c>
      <c r="D1436" s="77" t="s">
        <v>4499</v>
      </c>
      <c r="E143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436" s="79" t="s">
        <v>248</v>
      </c>
      <c r="G1436" s="79" t="s">
        <v>249</v>
      </c>
      <c r="H1436" s="140" t="s">
        <v>4500</v>
      </c>
      <c r="I1436" s="77" t="s">
        <v>536</v>
      </c>
      <c r="J1436" s="144" t="s">
        <v>537</v>
      </c>
      <c r="K1436" s="77" t="s">
        <v>169</v>
      </c>
      <c r="L1436" s="103" t="str">
        <f>VLOOKUP(Anexo_4[[#This Row],[cod_doc]],TIPODOC,2,FALSE)</f>
        <v>FACTURA</v>
      </c>
      <c r="M1436" s="77" t="s">
        <v>538</v>
      </c>
      <c r="N1436" s="79">
        <v>6808</v>
      </c>
      <c r="O1436" s="80">
        <v>64.8</v>
      </c>
      <c r="P1436" s="81"/>
      <c r="Q1436" s="81">
        <v>11.664</v>
      </c>
      <c r="R1436" s="80"/>
      <c r="S1436" s="80" t="s">
        <v>4341</v>
      </c>
      <c r="T1436" s="82">
        <v>76.459999999999994</v>
      </c>
      <c r="U1436" s="77"/>
      <c r="V1436" s="75"/>
      <c r="W1436" s="77"/>
      <c r="X1436" s="77"/>
      <c r="Y1436" s="77" t="s">
        <v>4501</v>
      </c>
      <c r="Z1436" s="77" t="s">
        <v>256</v>
      </c>
      <c r="AA1436" s="83" t="s">
        <v>4500</v>
      </c>
      <c r="AB1436" s="104" t="str">
        <f>IFERROR(VLOOKUP(Anexo_4[[#This Row],[cuenta]],OP,2,0),"-")</f>
        <v>Materias Primas - RRSS</v>
      </c>
    </row>
    <row r="1437" spans="1:28" s="84" customFormat="1" ht="27" customHeight="1" x14ac:dyDescent="0.3">
      <c r="A1437" s="75" t="s">
        <v>4447</v>
      </c>
      <c r="B1437" s="36" t="str">
        <f t="shared" si="22"/>
        <v>Agosto</v>
      </c>
      <c r="C1437" s="77" t="s">
        <v>162</v>
      </c>
      <c r="D1437" s="77" t="s">
        <v>4502</v>
      </c>
      <c r="E1437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437" s="79" t="s">
        <v>248</v>
      </c>
      <c r="G1437" s="79" t="s">
        <v>249</v>
      </c>
      <c r="H1437" s="140" t="s">
        <v>4503</v>
      </c>
      <c r="I1437" s="77" t="s">
        <v>536</v>
      </c>
      <c r="J1437" s="144" t="s">
        <v>537</v>
      </c>
      <c r="K1437" s="77" t="s">
        <v>169</v>
      </c>
      <c r="L1437" s="103" t="str">
        <f>VLOOKUP(Anexo_4[[#This Row],[cod_doc]],TIPODOC,2,FALSE)</f>
        <v>FACTURA</v>
      </c>
      <c r="M1437" s="77" t="s">
        <v>538</v>
      </c>
      <c r="N1437" s="79">
        <v>6812</v>
      </c>
      <c r="O1437" s="80">
        <v>522</v>
      </c>
      <c r="P1437" s="81"/>
      <c r="Q1437" s="81">
        <v>93.96</v>
      </c>
      <c r="R1437" s="80"/>
      <c r="S1437" s="80" t="s">
        <v>4341</v>
      </c>
      <c r="T1437" s="82">
        <v>615.96</v>
      </c>
      <c r="U1437" s="77"/>
      <c r="V1437" s="75"/>
      <c r="W1437" s="77"/>
      <c r="X1437" s="77"/>
      <c r="Y1437" s="77" t="s">
        <v>4504</v>
      </c>
      <c r="Z1437" s="77" t="s">
        <v>256</v>
      </c>
      <c r="AA1437" s="83" t="s">
        <v>4503</v>
      </c>
      <c r="AB1437" s="104" t="str">
        <f>IFERROR(VLOOKUP(Anexo_4[[#This Row],[cuenta]],OP,2,0),"-")</f>
        <v>Materias Primas - RRSS</v>
      </c>
    </row>
    <row r="1438" spans="1:28" s="84" customFormat="1" ht="27" customHeight="1" x14ac:dyDescent="0.3">
      <c r="A1438" s="75" t="s">
        <v>4447</v>
      </c>
      <c r="B1438" s="36" t="str">
        <f t="shared" si="22"/>
        <v>Agosto</v>
      </c>
      <c r="C1438" s="77" t="s">
        <v>162</v>
      </c>
      <c r="D1438" s="77" t="s">
        <v>4505</v>
      </c>
      <c r="E1438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438" s="79" t="s">
        <v>248</v>
      </c>
      <c r="G1438" s="79" t="s">
        <v>249</v>
      </c>
      <c r="H1438" s="140" t="s">
        <v>4506</v>
      </c>
      <c r="I1438" s="77" t="s">
        <v>536</v>
      </c>
      <c r="J1438" s="144" t="s">
        <v>537</v>
      </c>
      <c r="K1438" s="77" t="s">
        <v>169</v>
      </c>
      <c r="L1438" s="103" t="str">
        <f>VLOOKUP(Anexo_4[[#This Row],[cod_doc]],TIPODOC,2,FALSE)</f>
        <v>FACTURA</v>
      </c>
      <c r="M1438" s="77" t="s">
        <v>538</v>
      </c>
      <c r="N1438" s="79">
        <v>6813</v>
      </c>
      <c r="O1438" s="80">
        <v>19.5</v>
      </c>
      <c r="P1438" s="81"/>
      <c r="Q1438" s="81">
        <v>3.51</v>
      </c>
      <c r="R1438" s="80"/>
      <c r="S1438" s="80" t="s">
        <v>4341</v>
      </c>
      <c r="T1438" s="82">
        <v>23.01</v>
      </c>
      <c r="U1438" s="77"/>
      <c r="V1438" s="75"/>
      <c r="W1438" s="77"/>
      <c r="X1438" s="77"/>
      <c r="Y1438" s="77" t="s">
        <v>4507</v>
      </c>
      <c r="Z1438" s="77" t="s">
        <v>256</v>
      </c>
      <c r="AA1438" s="83" t="s">
        <v>4506</v>
      </c>
      <c r="AB1438" s="104" t="str">
        <f>IFERROR(VLOOKUP(Anexo_4[[#This Row],[cuenta]],OP,2,0),"-")</f>
        <v>Materias Primas - RRSS</v>
      </c>
    </row>
    <row r="1439" spans="1:28" s="84" customFormat="1" ht="27" customHeight="1" x14ac:dyDescent="0.3">
      <c r="A1439" s="75" t="s">
        <v>4447</v>
      </c>
      <c r="B1439" s="36" t="str">
        <f t="shared" si="22"/>
        <v>Agosto</v>
      </c>
      <c r="C1439" s="77" t="s">
        <v>162</v>
      </c>
      <c r="D1439" s="77" t="s">
        <v>4508</v>
      </c>
      <c r="E1439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439" s="79" t="s">
        <v>248</v>
      </c>
      <c r="G1439" s="79" t="s">
        <v>249</v>
      </c>
      <c r="H1439" s="140" t="s">
        <v>4509</v>
      </c>
      <c r="I1439" s="77" t="s">
        <v>536</v>
      </c>
      <c r="J1439" s="144" t="s">
        <v>537</v>
      </c>
      <c r="K1439" s="77" t="s">
        <v>169</v>
      </c>
      <c r="L1439" s="103" t="str">
        <f>VLOOKUP(Anexo_4[[#This Row],[cod_doc]],TIPODOC,2,FALSE)</f>
        <v>FACTURA</v>
      </c>
      <c r="M1439" s="77" t="s">
        <v>538</v>
      </c>
      <c r="N1439" s="79">
        <v>6811</v>
      </c>
      <c r="O1439" s="80">
        <v>54</v>
      </c>
      <c r="P1439" s="81"/>
      <c r="Q1439" s="81">
        <v>9.7199999999999989</v>
      </c>
      <c r="R1439" s="80"/>
      <c r="S1439" s="80" t="s">
        <v>4341</v>
      </c>
      <c r="T1439" s="82">
        <v>63.72</v>
      </c>
      <c r="U1439" s="77"/>
      <c r="V1439" s="75"/>
      <c r="W1439" s="77"/>
      <c r="X1439" s="77"/>
      <c r="Y1439" s="77" t="s">
        <v>4510</v>
      </c>
      <c r="Z1439" s="77" t="s">
        <v>256</v>
      </c>
      <c r="AA1439" s="83" t="s">
        <v>4509</v>
      </c>
      <c r="AB1439" s="104" t="str">
        <f>IFERROR(VLOOKUP(Anexo_4[[#This Row],[cuenta]],OP,2,0),"-")</f>
        <v>Materias Primas - RRSS</v>
      </c>
    </row>
    <row r="1440" spans="1:28" s="84" customFormat="1" ht="27" customHeight="1" x14ac:dyDescent="0.3">
      <c r="A1440" s="75" t="s">
        <v>4447</v>
      </c>
      <c r="B1440" s="36" t="str">
        <f t="shared" si="22"/>
        <v>Agosto</v>
      </c>
      <c r="C1440" s="77" t="s">
        <v>162</v>
      </c>
      <c r="D1440" s="77" t="s">
        <v>4511</v>
      </c>
      <c r="E1440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440" s="79" t="s">
        <v>248</v>
      </c>
      <c r="G1440" s="79" t="s">
        <v>249</v>
      </c>
      <c r="H1440" s="140" t="s">
        <v>4512</v>
      </c>
      <c r="I1440" s="77" t="s">
        <v>536</v>
      </c>
      <c r="J1440" s="144" t="s">
        <v>537</v>
      </c>
      <c r="K1440" s="77" t="s">
        <v>169</v>
      </c>
      <c r="L1440" s="103" t="str">
        <f>VLOOKUP(Anexo_4[[#This Row],[cod_doc]],TIPODOC,2,FALSE)</f>
        <v>FACTURA</v>
      </c>
      <c r="M1440" s="77" t="s">
        <v>538</v>
      </c>
      <c r="N1440" s="79">
        <v>6804</v>
      </c>
      <c r="O1440" s="80">
        <v>692</v>
      </c>
      <c r="P1440" s="81"/>
      <c r="Q1440" s="81">
        <v>124.56</v>
      </c>
      <c r="R1440" s="80"/>
      <c r="S1440" s="80" t="s">
        <v>4341</v>
      </c>
      <c r="T1440" s="82">
        <v>816.56</v>
      </c>
      <c r="U1440" s="77"/>
      <c r="V1440" s="75"/>
      <c r="W1440" s="77"/>
      <c r="X1440" s="77"/>
      <c r="Y1440" s="77" t="s">
        <v>4513</v>
      </c>
      <c r="Z1440" s="77" t="s">
        <v>256</v>
      </c>
      <c r="AA1440" s="83" t="s">
        <v>4512</v>
      </c>
      <c r="AB1440" s="104" t="str">
        <f>IFERROR(VLOOKUP(Anexo_4[[#This Row],[cuenta]],OP,2,0),"-")</f>
        <v>Materias Primas - RRSS</v>
      </c>
    </row>
    <row r="1441" spans="1:28" s="84" customFormat="1" ht="27" customHeight="1" x14ac:dyDescent="0.3">
      <c r="A1441" s="75" t="s">
        <v>4447</v>
      </c>
      <c r="B1441" s="36" t="str">
        <f t="shared" si="22"/>
        <v>Agosto</v>
      </c>
      <c r="C1441" s="77" t="s">
        <v>162</v>
      </c>
      <c r="D1441" s="77" t="s">
        <v>4514</v>
      </c>
      <c r="E144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441" s="79" t="s">
        <v>248</v>
      </c>
      <c r="G1441" s="79" t="s">
        <v>249</v>
      </c>
      <c r="H1441" s="140" t="s">
        <v>4515</v>
      </c>
      <c r="I1441" s="77" t="s">
        <v>536</v>
      </c>
      <c r="J1441" s="144" t="s">
        <v>537</v>
      </c>
      <c r="K1441" s="77" t="s">
        <v>169</v>
      </c>
      <c r="L1441" s="103" t="str">
        <f>VLOOKUP(Anexo_4[[#This Row],[cod_doc]],TIPODOC,2,FALSE)</f>
        <v>FACTURA</v>
      </c>
      <c r="M1441" s="77" t="s">
        <v>538</v>
      </c>
      <c r="N1441" s="79">
        <v>6803</v>
      </c>
      <c r="O1441" s="80">
        <v>38</v>
      </c>
      <c r="P1441" s="81"/>
      <c r="Q1441" s="81">
        <v>6.84</v>
      </c>
      <c r="R1441" s="80"/>
      <c r="S1441" s="80" t="s">
        <v>4341</v>
      </c>
      <c r="T1441" s="82">
        <v>44.84</v>
      </c>
      <c r="U1441" s="77"/>
      <c r="V1441" s="75"/>
      <c r="W1441" s="77"/>
      <c r="X1441" s="77"/>
      <c r="Y1441" s="77" t="s">
        <v>4516</v>
      </c>
      <c r="Z1441" s="77" t="s">
        <v>256</v>
      </c>
      <c r="AA1441" s="83" t="s">
        <v>4515</v>
      </c>
      <c r="AB1441" s="104" t="str">
        <f>IFERROR(VLOOKUP(Anexo_4[[#This Row],[cuenta]],OP,2,0),"-")</f>
        <v>Materias Primas - RRSS</v>
      </c>
    </row>
    <row r="1442" spans="1:28" s="84" customFormat="1" ht="27" customHeight="1" x14ac:dyDescent="0.3">
      <c r="A1442" s="75" t="s">
        <v>4447</v>
      </c>
      <c r="B1442" s="36" t="str">
        <f t="shared" si="22"/>
        <v>Agosto</v>
      </c>
      <c r="C1442" s="77" t="s">
        <v>162</v>
      </c>
      <c r="D1442" s="77" t="s">
        <v>4517</v>
      </c>
      <c r="E144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442" s="79" t="s">
        <v>248</v>
      </c>
      <c r="G1442" s="79" t="s">
        <v>249</v>
      </c>
      <c r="H1442" s="140" t="s">
        <v>4518</v>
      </c>
      <c r="I1442" s="77" t="s">
        <v>536</v>
      </c>
      <c r="J1442" s="144" t="s">
        <v>537</v>
      </c>
      <c r="K1442" s="77" t="s">
        <v>169</v>
      </c>
      <c r="L1442" s="103" t="str">
        <f>VLOOKUP(Anexo_4[[#This Row],[cod_doc]],TIPODOC,2,FALSE)</f>
        <v>FACTURA</v>
      </c>
      <c r="M1442" s="77" t="s">
        <v>538</v>
      </c>
      <c r="N1442" s="79">
        <v>6799</v>
      </c>
      <c r="O1442" s="80">
        <v>5.7</v>
      </c>
      <c r="P1442" s="81"/>
      <c r="Q1442" s="81">
        <v>1.026</v>
      </c>
      <c r="R1442" s="80"/>
      <c r="S1442" s="80" t="s">
        <v>4341</v>
      </c>
      <c r="T1442" s="82">
        <v>6.73</v>
      </c>
      <c r="U1442" s="77"/>
      <c r="V1442" s="75"/>
      <c r="W1442" s="77"/>
      <c r="X1442" s="77"/>
      <c r="Y1442" s="77" t="s">
        <v>4519</v>
      </c>
      <c r="Z1442" s="77" t="s">
        <v>256</v>
      </c>
      <c r="AA1442" s="83" t="s">
        <v>4518</v>
      </c>
      <c r="AB1442" s="104" t="str">
        <f>IFERROR(VLOOKUP(Anexo_4[[#This Row],[cuenta]],OP,2,0),"-")</f>
        <v>Materias Primas - RRSS</v>
      </c>
    </row>
    <row r="1443" spans="1:28" s="84" customFormat="1" ht="27" customHeight="1" x14ac:dyDescent="0.3">
      <c r="A1443" s="75" t="s">
        <v>4447</v>
      </c>
      <c r="B1443" s="36" t="str">
        <f t="shared" si="22"/>
        <v>Agosto</v>
      </c>
      <c r="C1443" s="77" t="s">
        <v>162</v>
      </c>
      <c r="D1443" s="77" t="s">
        <v>4520</v>
      </c>
      <c r="E1443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443" s="79" t="s">
        <v>248</v>
      </c>
      <c r="G1443" s="79" t="s">
        <v>249</v>
      </c>
      <c r="H1443" s="140" t="s">
        <v>4521</v>
      </c>
      <c r="I1443" s="77" t="s">
        <v>536</v>
      </c>
      <c r="J1443" s="144" t="s">
        <v>537</v>
      </c>
      <c r="K1443" s="77" t="s">
        <v>169</v>
      </c>
      <c r="L1443" s="103" t="str">
        <f>VLOOKUP(Anexo_4[[#This Row],[cod_doc]],TIPODOC,2,FALSE)</f>
        <v>FACTURA</v>
      </c>
      <c r="M1443" s="77" t="s">
        <v>538</v>
      </c>
      <c r="N1443" s="79">
        <v>6801</v>
      </c>
      <c r="O1443" s="80">
        <v>258</v>
      </c>
      <c r="P1443" s="81"/>
      <c r="Q1443" s="81">
        <v>46.44</v>
      </c>
      <c r="R1443" s="80"/>
      <c r="S1443" s="80" t="s">
        <v>4341</v>
      </c>
      <c r="T1443" s="82">
        <v>304.44</v>
      </c>
      <c r="U1443" s="77"/>
      <c r="V1443" s="75"/>
      <c r="W1443" s="77"/>
      <c r="X1443" s="77"/>
      <c r="Y1443" s="77" t="s">
        <v>4522</v>
      </c>
      <c r="Z1443" s="77" t="s">
        <v>256</v>
      </c>
      <c r="AA1443" s="83" t="s">
        <v>4521</v>
      </c>
      <c r="AB1443" s="104" t="str">
        <f>IFERROR(VLOOKUP(Anexo_4[[#This Row],[cuenta]],OP,2,0),"-")</f>
        <v>Materias Primas - RRSS</v>
      </c>
    </row>
    <row r="1444" spans="1:28" s="84" customFormat="1" ht="27" customHeight="1" x14ac:dyDescent="0.3">
      <c r="A1444" s="75" t="s">
        <v>4447</v>
      </c>
      <c r="B1444" s="36" t="str">
        <f t="shared" si="22"/>
        <v>Agosto</v>
      </c>
      <c r="C1444" s="77" t="s">
        <v>162</v>
      </c>
      <c r="D1444" s="77" t="s">
        <v>4523</v>
      </c>
      <c r="E1444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444" s="79" t="s">
        <v>248</v>
      </c>
      <c r="G1444" s="79" t="s">
        <v>249</v>
      </c>
      <c r="H1444" s="140" t="s">
        <v>4524</v>
      </c>
      <c r="I1444" s="77" t="s">
        <v>536</v>
      </c>
      <c r="J1444" s="144" t="s">
        <v>537</v>
      </c>
      <c r="K1444" s="77" t="s">
        <v>169</v>
      </c>
      <c r="L1444" s="103" t="str">
        <f>VLOOKUP(Anexo_4[[#This Row],[cod_doc]],TIPODOC,2,FALSE)</f>
        <v>FACTURA</v>
      </c>
      <c r="M1444" s="77" t="s">
        <v>538</v>
      </c>
      <c r="N1444" s="79">
        <v>6800</v>
      </c>
      <c r="O1444" s="80">
        <v>387</v>
      </c>
      <c r="P1444" s="81"/>
      <c r="Q1444" s="81">
        <v>69.66</v>
      </c>
      <c r="R1444" s="80"/>
      <c r="S1444" s="80" t="s">
        <v>4341</v>
      </c>
      <c r="T1444" s="82">
        <v>456.66</v>
      </c>
      <c r="U1444" s="77"/>
      <c r="V1444" s="75"/>
      <c r="W1444" s="77"/>
      <c r="X1444" s="77"/>
      <c r="Y1444" s="77" t="s">
        <v>4525</v>
      </c>
      <c r="Z1444" s="77" t="s">
        <v>256</v>
      </c>
      <c r="AA1444" s="83" t="s">
        <v>4524</v>
      </c>
      <c r="AB1444" s="104" t="str">
        <f>IFERROR(VLOOKUP(Anexo_4[[#This Row],[cuenta]],OP,2,0),"-")</f>
        <v>Materias Primas - RRSS</v>
      </c>
    </row>
    <row r="1445" spans="1:28" s="84" customFormat="1" ht="27" customHeight="1" x14ac:dyDescent="0.3">
      <c r="A1445" s="75" t="s">
        <v>4447</v>
      </c>
      <c r="B1445" s="36" t="str">
        <f t="shared" si="22"/>
        <v>Agosto</v>
      </c>
      <c r="C1445" s="77" t="s">
        <v>162</v>
      </c>
      <c r="D1445" s="77" t="s">
        <v>4526</v>
      </c>
      <c r="E144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445" s="79" t="s">
        <v>248</v>
      </c>
      <c r="G1445" s="79" t="s">
        <v>249</v>
      </c>
      <c r="H1445" s="140" t="s">
        <v>4527</v>
      </c>
      <c r="I1445" s="77" t="s">
        <v>536</v>
      </c>
      <c r="J1445" s="144" t="s">
        <v>537</v>
      </c>
      <c r="K1445" s="77" t="s">
        <v>169</v>
      </c>
      <c r="L1445" s="103" t="str">
        <f>VLOOKUP(Anexo_4[[#This Row],[cod_doc]],TIPODOC,2,FALSE)</f>
        <v>FACTURA</v>
      </c>
      <c r="M1445" s="77" t="s">
        <v>538</v>
      </c>
      <c r="N1445" s="79">
        <v>6802</v>
      </c>
      <c r="O1445" s="80">
        <v>121.5</v>
      </c>
      <c r="P1445" s="81"/>
      <c r="Q1445" s="81">
        <v>21.869999999999997</v>
      </c>
      <c r="R1445" s="80"/>
      <c r="S1445" s="80" t="s">
        <v>4341</v>
      </c>
      <c r="T1445" s="82">
        <v>143.37</v>
      </c>
      <c r="U1445" s="77"/>
      <c r="V1445" s="75"/>
      <c r="W1445" s="77"/>
      <c r="X1445" s="77"/>
      <c r="Y1445" s="77" t="s">
        <v>4528</v>
      </c>
      <c r="Z1445" s="77" t="s">
        <v>256</v>
      </c>
      <c r="AA1445" s="83" t="s">
        <v>4527</v>
      </c>
      <c r="AB1445" s="104" t="str">
        <f>IFERROR(VLOOKUP(Anexo_4[[#This Row],[cuenta]],OP,2,0),"-")</f>
        <v>Materias Primas - RRSS</v>
      </c>
    </row>
    <row r="1446" spans="1:28" s="84" customFormat="1" ht="27" customHeight="1" x14ac:dyDescent="0.3">
      <c r="A1446" s="75" t="s">
        <v>4447</v>
      </c>
      <c r="B1446" s="36" t="str">
        <f t="shared" si="22"/>
        <v>Agosto</v>
      </c>
      <c r="C1446" s="77" t="s">
        <v>162</v>
      </c>
      <c r="D1446" s="77" t="s">
        <v>4529</v>
      </c>
      <c r="E144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446" s="79" t="s">
        <v>248</v>
      </c>
      <c r="G1446" s="79" t="s">
        <v>249</v>
      </c>
      <c r="H1446" s="140" t="s">
        <v>4530</v>
      </c>
      <c r="I1446" s="77" t="s">
        <v>536</v>
      </c>
      <c r="J1446" s="144" t="s">
        <v>537</v>
      </c>
      <c r="K1446" s="77" t="s">
        <v>169</v>
      </c>
      <c r="L1446" s="103" t="str">
        <f>VLOOKUP(Anexo_4[[#This Row],[cod_doc]],TIPODOC,2,FALSE)</f>
        <v>FACTURA</v>
      </c>
      <c r="M1446" s="77" t="s">
        <v>538</v>
      </c>
      <c r="N1446" s="79">
        <v>6798</v>
      </c>
      <c r="O1446" s="80">
        <v>153.9</v>
      </c>
      <c r="P1446" s="81"/>
      <c r="Q1446" s="81">
        <v>27.702000000000002</v>
      </c>
      <c r="R1446" s="80"/>
      <c r="S1446" s="80" t="s">
        <v>4341</v>
      </c>
      <c r="T1446" s="82">
        <v>181.6</v>
      </c>
      <c r="U1446" s="77"/>
      <c r="V1446" s="75"/>
      <c r="W1446" s="77"/>
      <c r="X1446" s="77"/>
      <c r="Y1446" s="77" t="s">
        <v>4531</v>
      </c>
      <c r="Z1446" s="77" t="s">
        <v>256</v>
      </c>
      <c r="AA1446" s="83" t="s">
        <v>4530</v>
      </c>
      <c r="AB1446" s="104" t="str">
        <f>IFERROR(VLOOKUP(Anexo_4[[#This Row],[cuenta]],OP,2,0),"-")</f>
        <v>Materias Primas - RRSS</v>
      </c>
    </row>
    <row r="1447" spans="1:28" s="84" customFormat="1" ht="27" customHeight="1" x14ac:dyDescent="0.3">
      <c r="A1447" s="75" t="s">
        <v>4296</v>
      </c>
      <c r="B1447" s="36" t="str">
        <f t="shared" si="22"/>
        <v>Agosto</v>
      </c>
      <c r="C1447" s="77" t="s">
        <v>162</v>
      </c>
      <c r="D1447" s="77" t="s">
        <v>4532</v>
      </c>
      <c r="E1447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447" s="79" t="s">
        <v>248</v>
      </c>
      <c r="G1447" s="79" t="s">
        <v>249</v>
      </c>
      <c r="H1447" s="140" t="s">
        <v>4533</v>
      </c>
      <c r="I1447" s="77" t="s">
        <v>1111</v>
      </c>
      <c r="J1447" s="144" t="s">
        <v>1112</v>
      </c>
      <c r="K1447" s="77" t="s">
        <v>169</v>
      </c>
      <c r="L1447" s="103" t="str">
        <f>VLOOKUP(Anexo_4[[#This Row],[cod_doc]],TIPODOC,2,FALSE)</f>
        <v>FACTURA</v>
      </c>
      <c r="M1447" s="77" t="s">
        <v>1113</v>
      </c>
      <c r="N1447" s="79">
        <v>6970</v>
      </c>
      <c r="O1447" s="80">
        <v>52.54</v>
      </c>
      <c r="P1447" s="81"/>
      <c r="Q1447" s="81">
        <v>9.4572000000000003</v>
      </c>
      <c r="R1447" s="80"/>
      <c r="S1447" s="80"/>
      <c r="T1447" s="88">
        <v>62</v>
      </c>
      <c r="U1447" s="85" t="s">
        <v>4534</v>
      </c>
      <c r="V1447" s="79" t="s">
        <v>4535</v>
      </c>
      <c r="W1447" s="85"/>
      <c r="X1447" s="85"/>
      <c r="Y1447" s="85" t="s">
        <v>4536</v>
      </c>
      <c r="Z1447" s="85" t="s">
        <v>256</v>
      </c>
      <c r="AA1447" s="105" t="s">
        <v>4533</v>
      </c>
      <c r="AB1447" s="104" t="str">
        <f>IFERROR(VLOOKUP(Anexo_4[[#This Row],[cuenta]],OP,2,0),"-")</f>
        <v>Materias Primas - RRSS</v>
      </c>
    </row>
    <row r="1448" spans="1:28" s="84" customFormat="1" ht="27" customHeight="1" x14ac:dyDescent="0.3">
      <c r="A1448" s="75" t="s">
        <v>4296</v>
      </c>
      <c r="B1448" s="36" t="str">
        <f t="shared" si="22"/>
        <v>Agosto</v>
      </c>
      <c r="C1448" s="77" t="s">
        <v>162</v>
      </c>
      <c r="D1448" s="77" t="s">
        <v>4537</v>
      </c>
      <c r="E1448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448" s="79" t="s">
        <v>248</v>
      </c>
      <c r="G1448" s="79" t="s">
        <v>249</v>
      </c>
      <c r="H1448" s="140" t="s">
        <v>4538</v>
      </c>
      <c r="I1448" s="77" t="s">
        <v>1111</v>
      </c>
      <c r="J1448" s="144" t="s">
        <v>1112</v>
      </c>
      <c r="K1448" s="77" t="s">
        <v>169</v>
      </c>
      <c r="L1448" s="103" t="str">
        <f>VLOOKUP(Anexo_4[[#This Row],[cod_doc]],TIPODOC,2,FALSE)</f>
        <v>FACTURA</v>
      </c>
      <c r="M1448" s="77" t="s">
        <v>1113</v>
      </c>
      <c r="N1448" s="79">
        <v>6969</v>
      </c>
      <c r="O1448" s="80">
        <v>383.55</v>
      </c>
      <c r="P1448" s="81"/>
      <c r="Q1448" s="81">
        <v>69.039000000000001</v>
      </c>
      <c r="R1448" s="80"/>
      <c r="S1448" s="80"/>
      <c r="T1448" s="88">
        <v>452.6</v>
      </c>
      <c r="U1448" s="85" t="s">
        <v>4539</v>
      </c>
      <c r="V1448" s="79" t="s">
        <v>4535</v>
      </c>
      <c r="W1448" s="85"/>
      <c r="X1448" s="85"/>
      <c r="Y1448" s="85" t="s">
        <v>4540</v>
      </c>
      <c r="Z1448" s="85" t="s">
        <v>256</v>
      </c>
      <c r="AA1448" s="105" t="s">
        <v>4538</v>
      </c>
      <c r="AB1448" s="104" t="str">
        <f>IFERROR(VLOOKUP(Anexo_4[[#This Row],[cuenta]],OP,2,0),"-")</f>
        <v>Materias Primas - RRSS</v>
      </c>
    </row>
    <row r="1449" spans="1:28" s="84" customFormat="1" ht="27" customHeight="1" x14ac:dyDescent="0.3">
      <c r="A1449" s="75" t="s">
        <v>4296</v>
      </c>
      <c r="B1449" s="36" t="str">
        <f t="shared" si="22"/>
        <v>Agosto</v>
      </c>
      <c r="C1449" s="77" t="s">
        <v>162</v>
      </c>
      <c r="D1449" s="77" t="s">
        <v>4541</v>
      </c>
      <c r="E1449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449" s="79" t="s">
        <v>248</v>
      </c>
      <c r="G1449" s="79" t="s">
        <v>249</v>
      </c>
      <c r="H1449" s="140" t="s">
        <v>4542</v>
      </c>
      <c r="I1449" s="77" t="s">
        <v>1111</v>
      </c>
      <c r="J1449" s="144" t="s">
        <v>1112</v>
      </c>
      <c r="K1449" s="77" t="s">
        <v>169</v>
      </c>
      <c r="L1449" s="103" t="str">
        <f>VLOOKUP(Anexo_4[[#This Row],[cod_doc]],TIPODOC,2,FALSE)</f>
        <v>FACTURA</v>
      </c>
      <c r="M1449" s="77" t="s">
        <v>1113</v>
      </c>
      <c r="N1449" s="79">
        <v>6971</v>
      </c>
      <c r="O1449" s="80">
        <v>376.23</v>
      </c>
      <c r="P1449" s="81"/>
      <c r="Q1449" s="81">
        <v>67.721400000000003</v>
      </c>
      <c r="R1449" s="80"/>
      <c r="S1449" s="80"/>
      <c r="T1449" s="88">
        <v>443.95</v>
      </c>
      <c r="U1449" s="85" t="s">
        <v>4543</v>
      </c>
      <c r="V1449" s="79" t="s">
        <v>4535</v>
      </c>
      <c r="W1449" s="85"/>
      <c r="X1449" s="85"/>
      <c r="Y1449" s="85" t="s">
        <v>4544</v>
      </c>
      <c r="Z1449" s="85" t="s">
        <v>256</v>
      </c>
      <c r="AA1449" s="105" t="s">
        <v>4542</v>
      </c>
      <c r="AB1449" s="104" t="str">
        <f>IFERROR(VLOOKUP(Anexo_4[[#This Row],[cuenta]],OP,2,0),"-")</f>
        <v>Materias Primas - RRSS</v>
      </c>
    </row>
    <row r="1450" spans="1:28" s="84" customFormat="1" ht="27" customHeight="1" x14ac:dyDescent="0.3">
      <c r="A1450" s="75" t="s">
        <v>4545</v>
      </c>
      <c r="B1450" s="36" t="str">
        <f t="shared" si="22"/>
        <v>Agosto</v>
      </c>
      <c r="C1450" s="77" t="s">
        <v>162</v>
      </c>
      <c r="D1450" s="77" t="s">
        <v>4546</v>
      </c>
      <c r="E1450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450" s="79" t="s">
        <v>248</v>
      </c>
      <c r="G1450" s="79" t="s">
        <v>249</v>
      </c>
      <c r="H1450" s="140" t="s">
        <v>4547</v>
      </c>
      <c r="I1450" s="77" t="s">
        <v>980</v>
      </c>
      <c r="J1450" s="144" t="s">
        <v>981</v>
      </c>
      <c r="K1450" s="77" t="s">
        <v>169</v>
      </c>
      <c r="L1450" s="103" t="str">
        <f>VLOOKUP(Anexo_4[[#This Row],[cod_doc]],TIPODOC,2,FALSE)</f>
        <v>FACTURA</v>
      </c>
      <c r="M1450" s="77" t="s">
        <v>982</v>
      </c>
      <c r="N1450" s="79">
        <v>1721</v>
      </c>
      <c r="O1450" s="80">
        <v>542.37</v>
      </c>
      <c r="P1450" s="81"/>
      <c r="Q1450" s="81">
        <v>97.626599999999996</v>
      </c>
      <c r="R1450" s="80"/>
      <c r="S1450" s="80"/>
      <c r="T1450" s="88">
        <v>640</v>
      </c>
      <c r="U1450" s="85" t="s">
        <v>4548</v>
      </c>
      <c r="V1450" s="79" t="s">
        <v>4549</v>
      </c>
      <c r="W1450" s="85"/>
      <c r="X1450" s="85"/>
      <c r="Y1450" s="85" t="s">
        <v>4550</v>
      </c>
      <c r="Z1450" s="85" t="s">
        <v>256</v>
      </c>
      <c r="AA1450" s="105" t="s">
        <v>4547</v>
      </c>
      <c r="AB1450" s="104" t="str">
        <f>IFERROR(VLOOKUP(Anexo_4[[#This Row],[cuenta]],OP,2,0),"-")</f>
        <v>Materias Primas - RRSS</v>
      </c>
    </row>
    <row r="1451" spans="1:28" s="84" customFormat="1" ht="27" customHeight="1" x14ac:dyDescent="0.3">
      <c r="A1451" s="75" t="s">
        <v>4447</v>
      </c>
      <c r="B1451" s="36" t="str">
        <f t="shared" si="22"/>
        <v>Agosto</v>
      </c>
      <c r="C1451" s="77" t="s">
        <v>162</v>
      </c>
      <c r="D1451" s="77" t="s">
        <v>4551</v>
      </c>
      <c r="E145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451" s="79" t="s">
        <v>248</v>
      </c>
      <c r="G1451" s="79" t="s">
        <v>249</v>
      </c>
      <c r="H1451" s="140" t="s">
        <v>4552</v>
      </c>
      <c r="I1451" s="77" t="s">
        <v>625</v>
      </c>
      <c r="J1451" s="144" t="s">
        <v>626</v>
      </c>
      <c r="K1451" s="77" t="s">
        <v>169</v>
      </c>
      <c r="L1451" s="103" t="str">
        <f>VLOOKUP(Anexo_4[[#This Row],[cod_doc]],TIPODOC,2,FALSE)</f>
        <v>FACTURA</v>
      </c>
      <c r="M1451" s="77" t="s">
        <v>180</v>
      </c>
      <c r="N1451" s="79">
        <v>16708</v>
      </c>
      <c r="O1451" s="80">
        <v>208.04</v>
      </c>
      <c r="P1451" s="81"/>
      <c r="Q1451" s="81">
        <v>37.447199999999995</v>
      </c>
      <c r="R1451" s="80"/>
      <c r="S1451" s="80"/>
      <c r="T1451" s="88">
        <v>245.47</v>
      </c>
      <c r="U1451" s="85" t="s">
        <v>4553</v>
      </c>
      <c r="V1451" s="79" t="s">
        <v>4535</v>
      </c>
      <c r="W1451" s="85"/>
      <c r="X1451" s="85"/>
      <c r="Y1451" s="85" t="s">
        <v>4554</v>
      </c>
      <c r="Z1451" s="85" t="s">
        <v>256</v>
      </c>
      <c r="AA1451" s="105" t="s">
        <v>4552</v>
      </c>
      <c r="AB1451" s="104" t="str">
        <f>IFERROR(VLOOKUP(Anexo_4[[#This Row],[cuenta]],OP,2,0),"-")</f>
        <v>Materias Primas - RRSS</v>
      </c>
    </row>
    <row r="1452" spans="1:28" s="84" customFormat="1" ht="27" customHeight="1" x14ac:dyDescent="0.3">
      <c r="A1452" s="75" t="s">
        <v>4206</v>
      </c>
      <c r="B1452" s="36" t="str">
        <f t="shared" si="22"/>
        <v>Agosto</v>
      </c>
      <c r="C1452" s="77" t="s">
        <v>162</v>
      </c>
      <c r="D1452" s="77" t="s">
        <v>4555</v>
      </c>
      <c r="E145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452" s="79" t="s">
        <v>175</v>
      </c>
      <c r="G1452" s="79" t="s">
        <v>176</v>
      </c>
      <c r="H1452" s="140" t="s">
        <v>4556</v>
      </c>
      <c r="I1452" s="77" t="s">
        <v>452</v>
      </c>
      <c r="J1452" s="144" t="s">
        <v>453</v>
      </c>
      <c r="K1452" s="77" t="s">
        <v>169</v>
      </c>
      <c r="L1452" s="103" t="str">
        <f>VLOOKUP(Anexo_4[[#This Row],[cod_doc]],TIPODOC,2,FALSE)</f>
        <v>FACTURA</v>
      </c>
      <c r="M1452" s="77" t="s">
        <v>454</v>
      </c>
      <c r="N1452" s="79">
        <v>178706</v>
      </c>
      <c r="O1452" s="80">
        <v>482.92</v>
      </c>
      <c r="P1452" s="81"/>
      <c r="Q1452" s="81">
        <v>86.925600000000003</v>
      </c>
      <c r="R1452" s="80"/>
      <c r="S1452" s="80"/>
      <c r="T1452" s="88">
        <v>1700.3</v>
      </c>
      <c r="U1452" s="85"/>
      <c r="V1452" s="79"/>
      <c r="W1452" s="85"/>
      <c r="X1452" s="85"/>
      <c r="Y1452" s="85"/>
      <c r="Z1452" s="85" t="s">
        <v>455</v>
      </c>
      <c r="AA1452" s="105" t="s">
        <v>4556</v>
      </c>
      <c r="AB1452" s="104" t="str">
        <f>IFERROR(VLOOKUP(Anexo_4[[#This Row],[cuenta]],OP,2,0),"-")</f>
        <v>Combustible (Vehiculos)</v>
      </c>
    </row>
    <row r="1453" spans="1:28" s="84" customFormat="1" ht="27" customHeight="1" x14ac:dyDescent="0.3">
      <c r="A1453" s="75" t="s">
        <v>4206</v>
      </c>
      <c r="B1453" s="36" t="str">
        <f t="shared" si="22"/>
        <v>Agosto</v>
      </c>
      <c r="C1453" s="77" t="s">
        <v>162</v>
      </c>
      <c r="D1453" s="77" t="s">
        <v>4555</v>
      </c>
      <c r="E1453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453" s="79" t="s">
        <v>391</v>
      </c>
      <c r="G1453" s="79" t="s">
        <v>392</v>
      </c>
      <c r="H1453" s="140" t="s">
        <v>4556</v>
      </c>
      <c r="I1453" s="77" t="s">
        <v>452</v>
      </c>
      <c r="J1453" s="144" t="s">
        <v>453</v>
      </c>
      <c r="K1453" s="77" t="s">
        <v>169</v>
      </c>
      <c r="L1453" s="103" t="str">
        <f>VLOOKUP(Anexo_4[[#This Row],[cod_doc]],TIPODOC,2,FALSE)</f>
        <v>FACTURA</v>
      </c>
      <c r="M1453" s="77" t="s">
        <v>454</v>
      </c>
      <c r="N1453" s="79">
        <v>178706</v>
      </c>
      <c r="O1453" s="80">
        <v>663.98</v>
      </c>
      <c r="P1453" s="81"/>
      <c r="Q1453" s="81">
        <v>119.5164</v>
      </c>
      <c r="R1453" s="80"/>
      <c r="S1453" s="80"/>
      <c r="T1453" s="88">
        <v>1700.3</v>
      </c>
      <c r="U1453" s="85"/>
      <c r="V1453" s="79"/>
      <c r="W1453" s="85"/>
      <c r="X1453" s="85"/>
      <c r="Y1453" s="85"/>
      <c r="Z1453" s="85" t="s">
        <v>455</v>
      </c>
      <c r="AA1453" s="105" t="s">
        <v>4556</v>
      </c>
      <c r="AB1453" s="104" t="str">
        <f>IFERROR(VLOOKUP(Anexo_4[[#This Row],[cuenta]],OP,2,0),"-")</f>
        <v>Combustible (Vehiculos)</v>
      </c>
    </row>
    <row r="1454" spans="1:28" s="84" customFormat="1" ht="27" customHeight="1" x14ac:dyDescent="0.3">
      <c r="A1454" s="75" t="s">
        <v>4206</v>
      </c>
      <c r="B1454" s="36" t="str">
        <f t="shared" si="22"/>
        <v>Agosto</v>
      </c>
      <c r="C1454" s="77" t="s">
        <v>162</v>
      </c>
      <c r="D1454" s="77" t="s">
        <v>4555</v>
      </c>
      <c r="E1454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454" s="79" t="s">
        <v>217</v>
      </c>
      <c r="G1454" s="79" t="s">
        <v>218</v>
      </c>
      <c r="H1454" s="140" t="s">
        <v>4556</v>
      </c>
      <c r="I1454" s="77" t="s">
        <v>452</v>
      </c>
      <c r="J1454" s="144" t="s">
        <v>453</v>
      </c>
      <c r="K1454" s="77" t="s">
        <v>169</v>
      </c>
      <c r="L1454" s="103" t="str">
        <f>VLOOKUP(Anexo_4[[#This Row],[cod_doc]],TIPODOC,2,FALSE)</f>
        <v>FACTURA</v>
      </c>
      <c r="M1454" s="77" t="s">
        <v>454</v>
      </c>
      <c r="N1454" s="79">
        <v>178706</v>
      </c>
      <c r="O1454" s="80">
        <v>294.02999999999997</v>
      </c>
      <c r="P1454" s="81"/>
      <c r="Q1454" s="81">
        <v>52.925399999999996</v>
      </c>
      <c r="R1454" s="80"/>
      <c r="S1454" s="80"/>
      <c r="T1454" s="88">
        <v>1700.3</v>
      </c>
      <c r="U1454" s="85"/>
      <c r="V1454" s="79"/>
      <c r="W1454" s="85"/>
      <c r="X1454" s="85"/>
      <c r="Y1454" s="85"/>
      <c r="Z1454" s="85" t="s">
        <v>455</v>
      </c>
      <c r="AA1454" s="105" t="s">
        <v>4556</v>
      </c>
      <c r="AB1454" s="104" t="str">
        <f>IFERROR(VLOOKUP(Anexo_4[[#This Row],[cuenta]],OP,2,0),"-")</f>
        <v>Combustible (Vehiculos)</v>
      </c>
    </row>
    <row r="1455" spans="1:28" s="84" customFormat="1" ht="27" customHeight="1" x14ac:dyDescent="0.3">
      <c r="A1455" s="75" t="s">
        <v>4206</v>
      </c>
      <c r="B1455" s="36" t="str">
        <f t="shared" si="22"/>
        <v>Agosto</v>
      </c>
      <c r="C1455" s="77" t="s">
        <v>162</v>
      </c>
      <c r="D1455" s="77" t="s">
        <v>4557</v>
      </c>
      <c r="E145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455" s="79" t="s">
        <v>449</v>
      </c>
      <c r="G1455" s="79" t="s">
        <v>450</v>
      </c>
      <c r="H1455" s="140" t="s">
        <v>4558</v>
      </c>
      <c r="I1455" s="77" t="s">
        <v>452</v>
      </c>
      <c r="J1455" s="144" t="s">
        <v>453</v>
      </c>
      <c r="K1455" s="77" t="s">
        <v>169</v>
      </c>
      <c r="L1455" s="103" t="str">
        <f>VLOOKUP(Anexo_4[[#This Row],[cod_doc]],TIPODOC,2,FALSE)</f>
        <v>FACTURA</v>
      </c>
      <c r="M1455" s="77" t="s">
        <v>1056</v>
      </c>
      <c r="N1455" s="79">
        <v>179587</v>
      </c>
      <c r="O1455" s="80">
        <v>596.1</v>
      </c>
      <c r="P1455" s="81"/>
      <c r="Q1455" s="81">
        <v>107.298</v>
      </c>
      <c r="R1455" s="80"/>
      <c r="S1455" s="80"/>
      <c r="T1455" s="88">
        <v>1324.4</v>
      </c>
      <c r="U1455" s="85"/>
      <c r="V1455" s="79"/>
      <c r="W1455" s="85"/>
      <c r="X1455" s="85"/>
      <c r="Y1455" s="85"/>
      <c r="Z1455" s="85" t="s">
        <v>455</v>
      </c>
      <c r="AA1455" s="105" t="s">
        <v>4558</v>
      </c>
      <c r="AB1455" s="104" t="str">
        <f>IFERROR(VLOOKUP(Anexo_4[[#This Row],[cuenta]],OP,2,0),"-")</f>
        <v>Combustible (Vehiculos)</v>
      </c>
    </row>
    <row r="1456" spans="1:28" s="84" customFormat="1" ht="27" customHeight="1" x14ac:dyDescent="0.3">
      <c r="A1456" s="75" t="s">
        <v>4206</v>
      </c>
      <c r="B1456" s="36" t="str">
        <f t="shared" si="22"/>
        <v>Agosto</v>
      </c>
      <c r="C1456" s="77" t="s">
        <v>162</v>
      </c>
      <c r="D1456" s="77" t="s">
        <v>4557</v>
      </c>
      <c r="E145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456" s="79" t="s">
        <v>235</v>
      </c>
      <c r="G1456" s="79" t="s">
        <v>236</v>
      </c>
      <c r="H1456" s="140" t="s">
        <v>4558</v>
      </c>
      <c r="I1456" s="77" t="s">
        <v>452</v>
      </c>
      <c r="J1456" s="144" t="s">
        <v>453</v>
      </c>
      <c r="K1456" s="77" t="s">
        <v>169</v>
      </c>
      <c r="L1456" s="103" t="str">
        <f>VLOOKUP(Anexo_4[[#This Row],[cod_doc]],TIPODOC,2,FALSE)</f>
        <v>FACTURA</v>
      </c>
      <c r="M1456" s="77" t="s">
        <v>1056</v>
      </c>
      <c r="N1456" s="79">
        <v>179587</v>
      </c>
      <c r="O1456" s="80">
        <v>495.68</v>
      </c>
      <c r="P1456" s="81"/>
      <c r="Q1456" s="81">
        <v>89.222399999999993</v>
      </c>
      <c r="R1456" s="80"/>
      <c r="S1456" s="80"/>
      <c r="T1456" s="88">
        <v>1324.4</v>
      </c>
      <c r="U1456" s="85"/>
      <c r="V1456" s="79"/>
      <c r="W1456" s="85"/>
      <c r="X1456" s="85"/>
      <c r="Y1456" s="85"/>
      <c r="Z1456" s="85" t="s">
        <v>455</v>
      </c>
      <c r="AA1456" s="105" t="s">
        <v>4558</v>
      </c>
      <c r="AB1456" s="104" t="str">
        <f>IFERROR(VLOOKUP(Anexo_4[[#This Row],[cuenta]],OP,2,0),"-")</f>
        <v>Combustible (Vehiculos)</v>
      </c>
    </row>
    <row r="1457" spans="1:28" s="84" customFormat="1" ht="27" customHeight="1" x14ac:dyDescent="0.3">
      <c r="A1457" s="75" t="s">
        <v>4206</v>
      </c>
      <c r="B1457" s="36" t="str">
        <f t="shared" si="22"/>
        <v>Agosto</v>
      </c>
      <c r="C1457" s="77" t="s">
        <v>162</v>
      </c>
      <c r="D1457" s="77" t="s">
        <v>4557</v>
      </c>
      <c r="E1457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457" s="79" t="s">
        <v>458</v>
      </c>
      <c r="G1457" s="79" t="s">
        <v>459</v>
      </c>
      <c r="H1457" s="140" t="s">
        <v>4558</v>
      </c>
      <c r="I1457" s="77" t="s">
        <v>452</v>
      </c>
      <c r="J1457" s="144" t="s">
        <v>453</v>
      </c>
      <c r="K1457" s="77" t="s">
        <v>169</v>
      </c>
      <c r="L1457" s="103" t="str">
        <f>VLOOKUP(Anexo_4[[#This Row],[cod_doc]],TIPODOC,2,FALSE)</f>
        <v>FACTURA</v>
      </c>
      <c r="M1457" s="77" t="s">
        <v>1056</v>
      </c>
      <c r="N1457" s="79">
        <v>179587</v>
      </c>
      <c r="O1457" s="80">
        <v>30.59</v>
      </c>
      <c r="P1457" s="81"/>
      <c r="Q1457" s="81">
        <v>5.5061999999999998</v>
      </c>
      <c r="R1457" s="80"/>
      <c r="S1457" s="80"/>
      <c r="T1457" s="88">
        <v>1324.4</v>
      </c>
      <c r="U1457" s="85"/>
      <c r="V1457" s="79"/>
      <c r="W1457" s="85"/>
      <c r="X1457" s="85"/>
      <c r="Y1457" s="85"/>
      <c r="Z1457" s="85" t="s">
        <v>455</v>
      </c>
      <c r="AA1457" s="105" t="s">
        <v>4558</v>
      </c>
      <c r="AB1457" s="104" t="str">
        <f>IFERROR(VLOOKUP(Anexo_4[[#This Row],[cuenta]],OP,2,0),"-")</f>
        <v>Combustible (Vehiculos)</v>
      </c>
    </row>
    <row r="1458" spans="1:28" s="84" customFormat="1" ht="27" customHeight="1" x14ac:dyDescent="0.3">
      <c r="A1458" s="75" t="s">
        <v>4296</v>
      </c>
      <c r="B1458" s="36" t="str">
        <f t="shared" si="22"/>
        <v>Agosto</v>
      </c>
      <c r="C1458" s="77" t="s">
        <v>162</v>
      </c>
      <c r="D1458" s="77" t="s">
        <v>4559</v>
      </c>
      <c r="E1458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458" s="79" t="s">
        <v>4560</v>
      </c>
      <c r="G1458" s="79" t="s">
        <v>115</v>
      </c>
      <c r="H1458" s="140" t="s">
        <v>4561</v>
      </c>
      <c r="I1458" s="77" t="s">
        <v>1225</v>
      </c>
      <c r="J1458" s="144" t="s">
        <v>1226</v>
      </c>
      <c r="K1458" s="77" t="s">
        <v>169</v>
      </c>
      <c r="L1458" s="103" t="str">
        <f>VLOOKUP(Anexo_4[[#This Row],[cod_doc]],TIPODOC,2,FALSE)</f>
        <v>FACTURA</v>
      </c>
      <c r="M1458" s="77" t="s">
        <v>222</v>
      </c>
      <c r="N1458" s="79">
        <v>21047</v>
      </c>
      <c r="O1458" s="80">
        <v>228.74</v>
      </c>
      <c r="P1458" s="81"/>
      <c r="Q1458" s="81">
        <v>41.173200000000001</v>
      </c>
      <c r="R1458" s="80"/>
      <c r="S1458" s="80"/>
      <c r="T1458" s="88">
        <v>269.91000000000003</v>
      </c>
      <c r="U1458" s="85"/>
      <c r="V1458" s="79"/>
      <c r="W1458" s="85"/>
      <c r="X1458" s="85"/>
      <c r="Y1458" s="85"/>
      <c r="Z1458" s="85" t="s">
        <v>1235</v>
      </c>
      <c r="AA1458" s="105" t="s">
        <v>4561</v>
      </c>
      <c r="AB1458" s="104" t="str">
        <f>IFERROR(VLOOKUP(Anexo_4[[#This Row],[cuenta]],OP,2,0),"-")</f>
        <v>Disposición Final de RR.SS - No Aprovechables</v>
      </c>
    </row>
    <row r="1459" spans="1:28" s="84" customFormat="1" ht="27" customHeight="1" x14ac:dyDescent="0.3">
      <c r="A1459" s="75" t="s">
        <v>4296</v>
      </c>
      <c r="B1459" s="36" t="str">
        <f t="shared" si="22"/>
        <v>Agosto</v>
      </c>
      <c r="C1459" s="77" t="s">
        <v>162</v>
      </c>
      <c r="D1459" s="77" t="s">
        <v>4562</v>
      </c>
      <c r="E1459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459" s="79" t="s">
        <v>4563</v>
      </c>
      <c r="G1459" s="79" t="s">
        <v>114</v>
      </c>
      <c r="H1459" s="140" t="s">
        <v>4564</v>
      </c>
      <c r="I1459" s="77" t="s">
        <v>1225</v>
      </c>
      <c r="J1459" s="144" t="s">
        <v>1226</v>
      </c>
      <c r="K1459" s="77" t="s">
        <v>169</v>
      </c>
      <c r="L1459" s="103" t="str">
        <f>VLOOKUP(Anexo_4[[#This Row],[cod_doc]],TIPODOC,2,FALSE)</f>
        <v>FACTURA</v>
      </c>
      <c r="M1459" s="77" t="s">
        <v>222</v>
      </c>
      <c r="N1459" s="79">
        <v>21048</v>
      </c>
      <c r="O1459" s="80">
        <v>2900</v>
      </c>
      <c r="P1459" s="81"/>
      <c r="Q1459" s="81">
        <v>522</v>
      </c>
      <c r="R1459" s="80"/>
      <c r="S1459" s="80"/>
      <c r="T1459" s="88">
        <v>8826.4</v>
      </c>
      <c r="U1459" s="85"/>
      <c r="V1459" s="79"/>
      <c r="W1459" s="85"/>
      <c r="X1459" s="85"/>
      <c r="Y1459" s="85"/>
      <c r="Z1459" s="85" t="s">
        <v>854</v>
      </c>
      <c r="AA1459" s="105" t="s">
        <v>4564</v>
      </c>
      <c r="AB1459" s="104" t="str">
        <f>IFERROR(VLOOKUP(Anexo_4[[#This Row],[cuenta]],OP,2,0),"-")</f>
        <v>Disposición Final de RR.SS - Peligrosos</v>
      </c>
    </row>
    <row r="1460" spans="1:28" s="84" customFormat="1" ht="27" customHeight="1" x14ac:dyDescent="0.3">
      <c r="A1460" s="75" t="s">
        <v>4296</v>
      </c>
      <c r="B1460" s="36" t="str">
        <f t="shared" si="22"/>
        <v>Agosto</v>
      </c>
      <c r="C1460" s="77" t="s">
        <v>162</v>
      </c>
      <c r="D1460" s="77" t="s">
        <v>4562</v>
      </c>
      <c r="E1460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460" s="79" t="s">
        <v>4560</v>
      </c>
      <c r="G1460" s="79" t="s">
        <v>115</v>
      </c>
      <c r="H1460" s="140" t="s">
        <v>4564</v>
      </c>
      <c r="I1460" s="77" t="s">
        <v>1225</v>
      </c>
      <c r="J1460" s="144" t="s">
        <v>1226</v>
      </c>
      <c r="K1460" s="77" t="s">
        <v>169</v>
      </c>
      <c r="L1460" s="103" t="str">
        <f>VLOOKUP(Anexo_4[[#This Row],[cod_doc]],TIPODOC,2,FALSE)</f>
        <v>FACTURA</v>
      </c>
      <c r="M1460" s="77" t="s">
        <v>222</v>
      </c>
      <c r="N1460" s="79">
        <v>21048</v>
      </c>
      <c r="O1460" s="80">
        <v>4580</v>
      </c>
      <c r="P1460" s="81"/>
      <c r="Q1460" s="81">
        <v>824.4</v>
      </c>
      <c r="R1460" s="80"/>
      <c r="S1460" s="80"/>
      <c r="T1460" s="88">
        <v>8826.4</v>
      </c>
      <c r="U1460" s="85"/>
      <c r="V1460" s="79"/>
      <c r="W1460" s="85"/>
      <c r="X1460" s="85"/>
      <c r="Y1460" s="85"/>
      <c r="Z1460" s="85" t="s">
        <v>854</v>
      </c>
      <c r="AA1460" s="105" t="s">
        <v>4564</v>
      </c>
      <c r="AB1460" s="104" t="str">
        <f>IFERROR(VLOOKUP(Anexo_4[[#This Row],[cuenta]],OP,2,0),"-")</f>
        <v>Disposición Final de RR.SS - Peligrosos</v>
      </c>
    </row>
    <row r="1461" spans="1:28" s="84" customFormat="1" ht="27" customHeight="1" x14ac:dyDescent="0.3">
      <c r="A1461" s="75" t="s">
        <v>4296</v>
      </c>
      <c r="B1461" s="36" t="str">
        <f t="shared" si="22"/>
        <v>Agosto</v>
      </c>
      <c r="C1461" s="77" t="s">
        <v>162</v>
      </c>
      <c r="D1461" s="77" t="s">
        <v>4565</v>
      </c>
      <c r="E146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461" s="79" t="s">
        <v>4563</v>
      </c>
      <c r="G1461" s="79" t="s">
        <v>114</v>
      </c>
      <c r="H1461" s="140" t="s">
        <v>4566</v>
      </c>
      <c r="I1461" s="77" t="s">
        <v>851</v>
      </c>
      <c r="J1461" s="144" t="s">
        <v>852</v>
      </c>
      <c r="K1461" s="77" t="s">
        <v>169</v>
      </c>
      <c r="L1461" s="103" t="str">
        <f>VLOOKUP(Anexo_4[[#This Row],[cod_doc]],TIPODOC,2,FALSE)</f>
        <v>FACTURA</v>
      </c>
      <c r="M1461" s="77" t="s">
        <v>222</v>
      </c>
      <c r="N1461" s="79">
        <v>15164</v>
      </c>
      <c r="O1461" s="80">
        <v>8455.08</v>
      </c>
      <c r="P1461" s="81"/>
      <c r="Q1461" s="81">
        <v>1521.9143999999999</v>
      </c>
      <c r="R1461" s="80"/>
      <c r="S1461" s="80"/>
      <c r="T1461" s="88">
        <v>9976.99</v>
      </c>
      <c r="U1461" s="85" t="s">
        <v>4567</v>
      </c>
      <c r="V1461" s="79" t="s">
        <v>4549</v>
      </c>
      <c r="W1461" s="85"/>
      <c r="X1461" s="85"/>
      <c r="Y1461" s="85"/>
      <c r="Z1461" s="85" t="s">
        <v>854</v>
      </c>
      <c r="AA1461" s="105" t="s">
        <v>4566</v>
      </c>
      <c r="AB1461" s="104" t="str">
        <f>IFERROR(VLOOKUP(Anexo_4[[#This Row],[cuenta]],OP,2,0),"-")</f>
        <v>Disposición Final de RR.SS - Peligrosos</v>
      </c>
    </row>
    <row r="1462" spans="1:28" s="84" customFormat="1" ht="27" customHeight="1" x14ac:dyDescent="0.3">
      <c r="A1462" s="75" t="s">
        <v>4447</v>
      </c>
      <c r="B1462" s="36" t="str">
        <f t="shared" si="22"/>
        <v>Agosto</v>
      </c>
      <c r="C1462" s="77" t="s">
        <v>162</v>
      </c>
      <c r="D1462" s="77" t="s">
        <v>4568</v>
      </c>
      <c r="E1462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462" s="79" t="s">
        <v>442</v>
      </c>
      <c r="G1462" s="79" t="s">
        <v>443</v>
      </c>
      <c r="H1462" s="140" t="s">
        <v>4569</v>
      </c>
      <c r="I1462" s="77" t="s">
        <v>3637</v>
      </c>
      <c r="J1462" s="144" t="s">
        <v>3638</v>
      </c>
      <c r="K1462" s="77" t="s">
        <v>169</v>
      </c>
      <c r="L1462" s="103" t="str">
        <f>VLOOKUP(Anexo_4[[#This Row],[cod_doc]],TIPODOC,2,FALSE)</f>
        <v>FACTURA</v>
      </c>
      <c r="M1462" s="77" t="s">
        <v>208</v>
      </c>
      <c r="N1462" s="79">
        <v>139</v>
      </c>
      <c r="O1462" s="80">
        <v>292.37</v>
      </c>
      <c r="P1462" s="81"/>
      <c r="Q1462" s="81">
        <v>52.626599999999996</v>
      </c>
      <c r="R1462" s="80"/>
      <c r="S1462" s="80"/>
      <c r="T1462" s="88">
        <v>345</v>
      </c>
      <c r="U1462" s="85"/>
      <c r="V1462" s="79"/>
      <c r="W1462" s="85"/>
      <c r="X1462" s="85"/>
      <c r="Y1462" s="85"/>
      <c r="Z1462" s="85" t="s">
        <v>1886</v>
      </c>
      <c r="AA1462" s="105" t="s">
        <v>4569</v>
      </c>
      <c r="AB1462" s="104" t="str">
        <f>IFERROR(VLOOKUP(Anexo_4[[#This Row],[cuenta]],OP,2,0),"-")</f>
        <v>-</v>
      </c>
    </row>
    <row r="1463" spans="1:28" s="84" customFormat="1" ht="27" customHeight="1" x14ac:dyDescent="0.3">
      <c r="A1463" s="75" t="s">
        <v>2248</v>
      </c>
      <c r="B1463" s="36" t="str">
        <f t="shared" si="22"/>
        <v>Agosto</v>
      </c>
      <c r="C1463" s="77" t="s">
        <v>162</v>
      </c>
      <c r="D1463" s="77" t="s">
        <v>4570</v>
      </c>
      <c r="E1463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463" s="79"/>
      <c r="G1463" s="79"/>
      <c r="H1463" s="140"/>
      <c r="I1463" s="77" t="s">
        <v>4571</v>
      </c>
      <c r="J1463" s="144" t="s">
        <v>4572</v>
      </c>
      <c r="K1463" s="77" t="s">
        <v>169</v>
      </c>
      <c r="L1463" s="103" t="str">
        <f>VLOOKUP(Anexo_4[[#This Row],[cod_doc]],TIPODOC,2,FALSE)</f>
        <v>FACTURA</v>
      </c>
      <c r="M1463" s="77"/>
      <c r="N1463" s="79"/>
      <c r="O1463" s="80"/>
      <c r="P1463" s="81"/>
      <c r="Q1463" s="81">
        <v>0</v>
      </c>
      <c r="R1463" s="80"/>
      <c r="S1463" s="80">
        <v>50</v>
      </c>
      <c r="T1463" s="88">
        <v>50</v>
      </c>
      <c r="U1463" s="85"/>
      <c r="V1463" s="79"/>
      <c r="W1463" s="85"/>
      <c r="X1463" s="85"/>
      <c r="Y1463" s="85"/>
      <c r="Z1463" s="85"/>
      <c r="AA1463" s="105"/>
      <c r="AB1463" s="104" t="str">
        <f>IFERROR(VLOOKUP(Anexo_4[[#This Row],[cuenta]],OP,2,0),"-")</f>
        <v>-</v>
      </c>
    </row>
    <row r="1464" spans="1:28" s="84" customFormat="1" ht="27" customHeight="1" x14ac:dyDescent="0.3">
      <c r="A1464" s="75" t="s">
        <v>4447</v>
      </c>
      <c r="B1464" s="36" t="str">
        <f t="shared" si="22"/>
        <v>Agosto</v>
      </c>
      <c r="C1464" s="77" t="s">
        <v>162</v>
      </c>
      <c r="D1464" s="77" t="s">
        <v>4573</v>
      </c>
      <c r="E1464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464" s="79" t="s">
        <v>442</v>
      </c>
      <c r="G1464" s="79" t="s">
        <v>443</v>
      </c>
      <c r="H1464" s="140" t="s">
        <v>4574</v>
      </c>
      <c r="I1464" s="77" t="s">
        <v>445</v>
      </c>
      <c r="J1464" s="144" t="s">
        <v>446</v>
      </c>
      <c r="K1464" s="77" t="s">
        <v>169</v>
      </c>
      <c r="L1464" s="103" t="str">
        <f>VLOOKUP(Anexo_4[[#This Row],[cod_doc]],TIPODOC,2,FALSE)</f>
        <v>FACTURA</v>
      </c>
      <c r="M1464" s="77" t="s">
        <v>102</v>
      </c>
      <c r="N1464" s="79">
        <v>3059</v>
      </c>
      <c r="O1464" s="80">
        <v>61.86</v>
      </c>
      <c r="P1464" s="81"/>
      <c r="Q1464" s="81">
        <v>11.1348</v>
      </c>
      <c r="R1464" s="80"/>
      <c r="S1464" s="80"/>
      <c r="T1464" s="88">
        <v>73</v>
      </c>
      <c r="U1464" s="85"/>
      <c r="V1464" s="79"/>
      <c r="W1464" s="85"/>
      <c r="X1464" s="85"/>
      <c r="Y1464" s="85"/>
      <c r="Z1464" s="85" t="s">
        <v>447</v>
      </c>
      <c r="AA1464" s="105" t="s">
        <v>4574</v>
      </c>
      <c r="AB1464" s="104" t="str">
        <f>IFERROR(VLOOKUP(Anexo_4[[#This Row],[cuenta]],OP,2,0),"-")</f>
        <v>-</v>
      </c>
    </row>
    <row r="1465" spans="1:28" s="84" customFormat="1" ht="27" customHeight="1" x14ac:dyDescent="0.3">
      <c r="A1465" s="75" t="s">
        <v>4545</v>
      </c>
      <c r="B1465" s="36" t="str">
        <f t="shared" si="22"/>
        <v>Agosto</v>
      </c>
      <c r="C1465" s="77" t="s">
        <v>162</v>
      </c>
      <c r="D1465" s="77" t="s">
        <v>4575</v>
      </c>
      <c r="E146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465" s="79" t="s">
        <v>235</v>
      </c>
      <c r="G1465" s="79" t="s">
        <v>236</v>
      </c>
      <c r="H1465" s="140" t="s">
        <v>4576</v>
      </c>
      <c r="I1465" s="77" t="s">
        <v>264</v>
      </c>
      <c r="J1465" s="144" t="s">
        <v>265</v>
      </c>
      <c r="K1465" s="77" t="s">
        <v>169</v>
      </c>
      <c r="L1465" s="103" t="str">
        <f>VLOOKUP(Anexo_4[[#This Row],[cod_doc]],TIPODOC,2,FALSE)</f>
        <v>FACTURA</v>
      </c>
      <c r="M1465" s="77" t="s">
        <v>379</v>
      </c>
      <c r="N1465" s="79">
        <v>2160048</v>
      </c>
      <c r="O1465" s="80">
        <v>6.78</v>
      </c>
      <c r="P1465" s="81"/>
      <c r="Q1465" s="81">
        <v>1.2203999999999999</v>
      </c>
      <c r="R1465" s="80"/>
      <c r="S1465" s="80"/>
      <c r="T1465" s="88">
        <v>8</v>
      </c>
      <c r="U1465" s="85"/>
      <c r="V1465" s="79"/>
      <c r="W1465" s="85"/>
      <c r="X1465" s="85"/>
      <c r="Y1465" s="85" t="s">
        <v>4577</v>
      </c>
      <c r="Z1465" s="85" t="s">
        <v>302</v>
      </c>
      <c r="AA1465" s="105" t="s">
        <v>4576</v>
      </c>
      <c r="AB1465" s="104" t="str">
        <f>IFERROR(VLOOKUP(Anexo_4[[#This Row],[cuenta]],OP,2,0),"-")</f>
        <v>Transporte peajes - Servicios</v>
      </c>
    </row>
    <row r="1466" spans="1:28" s="84" customFormat="1" ht="27" customHeight="1" x14ac:dyDescent="0.3">
      <c r="A1466" s="75" t="s">
        <v>4545</v>
      </c>
      <c r="B1466" s="36" t="str">
        <f t="shared" si="22"/>
        <v>Agosto</v>
      </c>
      <c r="C1466" s="77" t="s">
        <v>162</v>
      </c>
      <c r="D1466" s="77" t="s">
        <v>4578</v>
      </c>
      <c r="E146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466" s="79" t="s">
        <v>235</v>
      </c>
      <c r="G1466" s="79" t="s">
        <v>236</v>
      </c>
      <c r="H1466" s="140" t="s">
        <v>4579</v>
      </c>
      <c r="I1466" s="77" t="s">
        <v>264</v>
      </c>
      <c r="J1466" s="144" t="s">
        <v>265</v>
      </c>
      <c r="K1466" s="77" t="s">
        <v>169</v>
      </c>
      <c r="L1466" s="103" t="str">
        <f>VLOOKUP(Anexo_4[[#This Row],[cod_doc]],TIPODOC,2,FALSE)</f>
        <v>FACTURA</v>
      </c>
      <c r="M1466" s="77" t="s">
        <v>406</v>
      </c>
      <c r="N1466" s="79">
        <v>2451589</v>
      </c>
      <c r="O1466" s="80">
        <v>6.78</v>
      </c>
      <c r="P1466" s="81"/>
      <c r="Q1466" s="81">
        <v>1.2203999999999999</v>
      </c>
      <c r="R1466" s="80"/>
      <c r="S1466" s="80"/>
      <c r="T1466" s="88">
        <v>8</v>
      </c>
      <c r="U1466" s="85"/>
      <c r="V1466" s="79"/>
      <c r="W1466" s="85"/>
      <c r="X1466" s="85"/>
      <c r="Y1466" s="85" t="s">
        <v>4580</v>
      </c>
      <c r="Z1466" s="85" t="s">
        <v>302</v>
      </c>
      <c r="AA1466" s="105" t="s">
        <v>4579</v>
      </c>
      <c r="AB1466" s="104" t="str">
        <f>IFERROR(VLOOKUP(Anexo_4[[#This Row],[cuenta]],OP,2,0),"-")</f>
        <v>Transporte peajes - Servicios</v>
      </c>
    </row>
    <row r="1467" spans="1:28" s="84" customFormat="1" ht="27" customHeight="1" x14ac:dyDescent="0.3">
      <c r="A1467" s="75" t="s">
        <v>4545</v>
      </c>
      <c r="B1467" s="36" t="str">
        <f t="shared" si="22"/>
        <v>Agosto</v>
      </c>
      <c r="C1467" s="77" t="s">
        <v>162</v>
      </c>
      <c r="D1467" s="77" t="s">
        <v>4581</v>
      </c>
      <c r="E1467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467" s="79" t="s">
        <v>235</v>
      </c>
      <c r="G1467" s="79" t="s">
        <v>236</v>
      </c>
      <c r="H1467" s="140" t="s">
        <v>4582</v>
      </c>
      <c r="I1467" s="77" t="s">
        <v>178</v>
      </c>
      <c r="J1467" s="144" t="s">
        <v>179</v>
      </c>
      <c r="K1467" s="77" t="s">
        <v>169</v>
      </c>
      <c r="L1467" s="103" t="str">
        <f>VLOOKUP(Anexo_4[[#This Row],[cod_doc]],TIPODOC,2,FALSE)</f>
        <v>FACTURA</v>
      </c>
      <c r="M1467" s="77" t="s">
        <v>180</v>
      </c>
      <c r="N1467" s="79">
        <v>136133</v>
      </c>
      <c r="O1467" s="80">
        <v>8.4700000000000006</v>
      </c>
      <c r="P1467" s="81"/>
      <c r="Q1467" s="81">
        <v>1.5246</v>
      </c>
      <c r="R1467" s="80"/>
      <c r="S1467" s="80"/>
      <c r="T1467" s="88">
        <v>10</v>
      </c>
      <c r="U1467" s="85"/>
      <c r="V1467" s="79"/>
      <c r="W1467" s="85"/>
      <c r="X1467" s="85"/>
      <c r="Y1467" s="85" t="s">
        <v>4583</v>
      </c>
      <c r="Z1467" s="85" t="s">
        <v>386</v>
      </c>
      <c r="AA1467" s="105" t="s">
        <v>4582</v>
      </c>
      <c r="AB1467" s="104" t="str">
        <f>IFERROR(VLOOKUP(Anexo_4[[#This Row],[cuenta]],OP,2,0),"-")</f>
        <v>Balanza - Servicios</v>
      </c>
    </row>
    <row r="1468" spans="1:28" s="84" customFormat="1" ht="27" customHeight="1" x14ac:dyDescent="0.3">
      <c r="A1468" s="75" t="s">
        <v>4447</v>
      </c>
      <c r="B1468" s="36" t="str">
        <f t="shared" si="22"/>
        <v>Agosto</v>
      </c>
      <c r="C1468" s="77" t="s">
        <v>162</v>
      </c>
      <c r="D1468" s="77" t="s">
        <v>4584</v>
      </c>
      <c r="E1468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468" s="79" t="s">
        <v>235</v>
      </c>
      <c r="G1468" s="79" t="s">
        <v>236</v>
      </c>
      <c r="H1468" s="140" t="s">
        <v>4585</v>
      </c>
      <c r="I1468" s="77" t="s">
        <v>264</v>
      </c>
      <c r="J1468" s="144" t="s">
        <v>265</v>
      </c>
      <c r="K1468" s="77" t="s">
        <v>169</v>
      </c>
      <c r="L1468" s="103" t="str">
        <f>VLOOKUP(Anexo_4[[#This Row],[cod_doc]],TIPODOC,2,FALSE)</f>
        <v>FACTURA</v>
      </c>
      <c r="M1468" s="77" t="s">
        <v>271</v>
      </c>
      <c r="N1468" s="79">
        <v>1823642</v>
      </c>
      <c r="O1468" s="80">
        <v>6.78</v>
      </c>
      <c r="P1468" s="81"/>
      <c r="Q1468" s="81">
        <v>1.2203999999999999</v>
      </c>
      <c r="R1468" s="80"/>
      <c r="S1468" s="80"/>
      <c r="T1468" s="88">
        <v>8</v>
      </c>
      <c r="U1468" s="85"/>
      <c r="V1468" s="79"/>
      <c r="W1468" s="85"/>
      <c r="X1468" s="85"/>
      <c r="Y1468" s="85" t="s">
        <v>4586</v>
      </c>
      <c r="Z1468" s="85" t="s">
        <v>302</v>
      </c>
      <c r="AA1468" s="105" t="s">
        <v>4585</v>
      </c>
      <c r="AB1468" s="104" t="str">
        <f>IFERROR(VLOOKUP(Anexo_4[[#This Row],[cuenta]],OP,2,0),"-")</f>
        <v>Transporte peajes - Servicios</v>
      </c>
    </row>
    <row r="1469" spans="1:28" s="84" customFormat="1" ht="27" customHeight="1" x14ac:dyDescent="0.3">
      <c r="A1469" s="75" t="s">
        <v>4447</v>
      </c>
      <c r="B1469" s="36" t="str">
        <f t="shared" si="22"/>
        <v>Agosto</v>
      </c>
      <c r="C1469" s="77" t="s">
        <v>162</v>
      </c>
      <c r="D1469" s="77" t="s">
        <v>4587</v>
      </c>
      <c r="E1469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469" s="79" t="s">
        <v>235</v>
      </c>
      <c r="G1469" s="79" t="s">
        <v>236</v>
      </c>
      <c r="H1469" s="140" t="s">
        <v>4588</v>
      </c>
      <c r="I1469" s="77" t="s">
        <v>264</v>
      </c>
      <c r="J1469" s="144" t="s">
        <v>265</v>
      </c>
      <c r="K1469" s="77" t="s">
        <v>169</v>
      </c>
      <c r="L1469" s="103" t="str">
        <f>VLOOKUP(Anexo_4[[#This Row],[cod_doc]],TIPODOC,2,FALSE)</f>
        <v>FACTURA</v>
      </c>
      <c r="M1469" s="77" t="s">
        <v>352</v>
      </c>
      <c r="N1469" s="79">
        <v>1844638</v>
      </c>
      <c r="O1469" s="80">
        <v>6.78</v>
      </c>
      <c r="P1469" s="81"/>
      <c r="Q1469" s="81">
        <v>1.2203999999999999</v>
      </c>
      <c r="R1469" s="80"/>
      <c r="S1469" s="80"/>
      <c r="T1469" s="88">
        <v>8</v>
      </c>
      <c r="U1469" s="85"/>
      <c r="V1469" s="79"/>
      <c r="W1469" s="85"/>
      <c r="X1469" s="85"/>
      <c r="Y1469" s="85" t="s">
        <v>4589</v>
      </c>
      <c r="Z1469" s="85" t="s">
        <v>302</v>
      </c>
      <c r="AA1469" s="105" t="s">
        <v>4588</v>
      </c>
      <c r="AB1469" s="104" t="str">
        <f>IFERROR(VLOOKUP(Anexo_4[[#This Row],[cuenta]],OP,2,0),"-")</f>
        <v>Transporte peajes - Servicios</v>
      </c>
    </row>
    <row r="1470" spans="1:28" s="84" customFormat="1" ht="27" customHeight="1" x14ac:dyDescent="0.3">
      <c r="A1470" s="75" t="s">
        <v>4342</v>
      </c>
      <c r="B1470" s="36" t="str">
        <f t="shared" si="22"/>
        <v>Agosto</v>
      </c>
      <c r="C1470" s="77" t="s">
        <v>162</v>
      </c>
      <c r="D1470" s="77" t="s">
        <v>4590</v>
      </c>
      <c r="E1470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470" s="79" t="s">
        <v>235</v>
      </c>
      <c r="G1470" s="79" t="s">
        <v>236</v>
      </c>
      <c r="H1470" s="140" t="s">
        <v>4591</v>
      </c>
      <c r="I1470" s="77" t="s">
        <v>504</v>
      </c>
      <c r="J1470" s="144" t="s">
        <v>505</v>
      </c>
      <c r="K1470" s="77" t="s">
        <v>169</v>
      </c>
      <c r="L1470" s="103" t="str">
        <f>VLOOKUP(Anexo_4[[#This Row],[cod_doc]],TIPODOC,2,FALSE)</f>
        <v>FACTURA</v>
      </c>
      <c r="M1470" s="77" t="s">
        <v>222</v>
      </c>
      <c r="N1470" s="79">
        <v>19392</v>
      </c>
      <c r="O1470" s="80">
        <v>21.19</v>
      </c>
      <c r="P1470" s="81"/>
      <c r="Q1470" s="81">
        <v>3.8142</v>
      </c>
      <c r="R1470" s="80"/>
      <c r="S1470" s="80"/>
      <c r="T1470" s="88">
        <v>25</v>
      </c>
      <c r="U1470" s="85"/>
      <c r="V1470" s="79"/>
      <c r="W1470" s="85"/>
      <c r="X1470" s="85"/>
      <c r="Y1470" s="85" t="s">
        <v>4592</v>
      </c>
      <c r="Z1470" s="85" t="s">
        <v>507</v>
      </c>
      <c r="AA1470" s="105" t="s">
        <v>4591</v>
      </c>
      <c r="AB1470" s="104" t="str">
        <f>IFERROR(VLOOKUP(Anexo_4[[#This Row],[cuenta]],OP,2,0),"-")</f>
        <v>Transporte lavado (Higienización)</v>
      </c>
    </row>
    <row r="1471" spans="1:28" s="84" customFormat="1" ht="27" customHeight="1" x14ac:dyDescent="0.3">
      <c r="A1471" s="75" t="s">
        <v>4296</v>
      </c>
      <c r="B1471" s="36" t="str">
        <f t="shared" si="22"/>
        <v>Agosto</v>
      </c>
      <c r="C1471" s="77" t="s">
        <v>162</v>
      </c>
      <c r="D1471" s="77" t="s">
        <v>4593</v>
      </c>
      <c r="E147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471" s="79" t="s">
        <v>235</v>
      </c>
      <c r="G1471" s="79" t="s">
        <v>236</v>
      </c>
      <c r="H1471" s="140" t="s">
        <v>4594</v>
      </c>
      <c r="I1471" s="77" t="s">
        <v>264</v>
      </c>
      <c r="J1471" s="144" t="s">
        <v>265</v>
      </c>
      <c r="K1471" s="77" t="s">
        <v>169</v>
      </c>
      <c r="L1471" s="103" t="str">
        <f>VLOOKUP(Anexo_4[[#This Row],[cod_doc]],TIPODOC,2,FALSE)</f>
        <v>FACTURA</v>
      </c>
      <c r="M1471" s="77" t="s">
        <v>271</v>
      </c>
      <c r="N1471" s="79">
        <v>1821449</v>
      </c>
      <c r="O1471" s="80">
        <v>6.78</v>
      </c>
      <c r="P1471" s="81"/>
      <c r="Q1471" s="81">
        <v>1.2203999999999999</v>
      </c>
      <c r="R1471" s="80"/>
      <c r="S1471" s="80"/>
      <c r="T1471" s="88">
        <v>8</v>
      </c>
      <c r="U1471" s="85"/>
      <c r="V1471" s="79"/>
      <c r="W1471" s="85"/>
      <c r="X1471" s="85"/>
      <c r="Y1471" s="85" t="s">
        <v>4595</v>
      </c>
      <c r="Z1471" s="85" t="s">
        <v>302</v>
      </c>
      <c r="AA1471" s="105" t="s">
        <v>4594</v>
      </c>
      <c r="AB1471" s="104" t="str">
        <f>IFERROR(VLOOKUP(Anexo_4[[#This Row],[cuenta]],OP,2,0),"-")</f>
        <v>Transporte peajes - Servicios</v>
      </c>
    </row>
    <row r="1472" spans="1:28" s="84" customFormat="1" ht="27" customHeight="1" x14ac:dyDescent="0.3">
      <c r="A1472" s="75" t="s">
        <v>4296</v>
      </c>
      <c r="B1472" s="36" t="str">
        <f t="shared" si="22"/>
        <v>Agosto</v>
      </c>
      <c r="C1472" s="77" t="s">
        <v>162</v>
      </c>
      <c r="D1472" s="77" t="s">
        <v>4596</v>
      </c>
      <c r="E147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472" s="79" t="s">
        <v>235</v>
      </c>
      <c r="G1472" s="79" t="s">
        <v>236</v>
      </c>
      <c r="H1472" s="140" t="s">
        <v>4597</v>
      </c>
      <c r="I1472" s="77" t="s">
        <v>264</v>
      </c>
      <c r="J1472" s="144" t="s">
        <v>265</v>
      </c>
      <c r="K1472" s="77" t="s">
        <v>169</v>
      </c>
      <c r="L1472" s="103" t="str">
        <f>VLOOKUP(Anexo_4[[#This Row],[cod_doc]],TIPODOC,2,FALSE)</f>
        <v>FACTURA</v>
      </c>
      <c r="M1472" s="77" t="s">
        <v>352</v>
      </c>
      <c r="N1472" s="79">
        <v>1842802</v>
      </c>
      <c r="O1472" s="80">
        <v>6.78</v>
      </c>
      <c r="P1472" s="81"/>
      <c r="Q1472" s="81">
        <v>1.2203999999999999</v>
      </c>
      <c r="R1472" s="80"/>
      <c r="S1472" s="80"/>
      <c r="T1472" s="88">
        <v>8</v>
      </c>
      <c r="U1472" s="85"/>
      <c r="V1472" s="79"/>
      <c r="W1472" s="85"/>
      <c r="X1472" s="85"/>
      <c r="Y1472" s="85" t="s">
        <v>4598</v>
      </c>
      <c r="Z1472" s="85" t="s">
        <v>302</v>
      </c>
      <c r="AA1472" s="105" t="s">
        <v>4597</v>
      </c>
      <c r="AB1472" s="104" t="str">
        <f>IFERROR(VLOOKUP(Anexo_4[[#This Row],[cuenta]],OP,2,0),"-")</f>
        <v>Transporte peajes - Servicios</v>
      </c>
    </row>
    <row r="1473" spans="1:28" s="84" customFormat="1" ht="27" customHeight="1" x14ac:dyDescent="0.3">
      <c r="A1473" s="75" t="s">
        <v>4296</v>
      </c>
      <c r="B1473" s="36" t="str">
        <f t="shared" si="22"/>
        <v>Agosto</v>
      </c>
      <c r="C1473" s="77" t="s">
        <v>162</v>
      </c>
      <c r="D1473" s="77" t="s">
        <v>4599</v>
      </c>
      <c r="E1473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473" s="79" t="s">
        <v>235</v>
      </c>
      <c r="G1473" s="79" t="s">
        <v>236</v>
      </c>
      <c r="H1473" s="140" t="s">
        <v>4600</v>
      </c>
      <c r="I1473" s="77" t="s">
        <v>383</v>
      </c>
      <c r="J1473" s="144" t="s">
        <v>384</v>
      </c>
      <c r="K1473" s="77" t="s">
        <v>169</v>
      </c>
      <c r="L1473" s="103" t="str">
        <f>VLOOKUP(Anexo_4[[#This Row],[cod_doc]],TIPODOC,2,FALSE)</f>
        <v>FACTURA</v>
      </c>
      <c r="M1473" s="77" t="s">
        <v>103</v>
      </c>
      <c r="N1473" s="79">
        <v>17472</v>
      </c>
      <c r="O1473" s="80">
        <v>16.95</v>
      </c>
      <c r="P1473" s="81"/>
      <c r="Q1473" s="81">
        <v>3.0509999999999997</v>
      </c>
      <c r="R1473" s="80"/>
      <c r="S1473" s="80"/>
      <c r="T1473" s="88">
        <v>20</v>
      </c>
      <c r="U1473" s="85"/>
      <c r="V1473" s="79"/>
      <c r="W1473" s="85"/>
      <c r="X1473" s="85"/>
      <c r="Y1473" s="85" t="s">
        <v>4601</v>
      </c>
      <c r="Z1473" s="85" t="s">
        <v>386</v>
      </c>
      <c r="AA1473" s="105" t="s">
        <v>4600</v>
      </c>
      <c r="AB1473" s="104" t="str">
        <f>IFERROR(VLOOKUP(Anexo_4[[#This Row],[cuenta]],OP,2,0),"-")</f>
        <v>Balanza - Servicios</v>
      </c>
    </row>
    <row r="1474" spans="1:28" s="84" customFormat="1" ht="27" customHeight="1" x14ac:dyDescent="0.3">
      <c r="A1474" s="75" t="s">
        <v>4447</v>
      </c>
      <c r="B1474" s="36" t="str">
        <f t="shared" ref="B1474:B1537" si="23">PROPER(CHOOSE(LEFT(D1474,2),"enero","febrero","marzo","abril","mayo","junio","julio","agosto","setiembre","octubre","noviembre","diciembre"))</f>
        <v>Agosto</v>
      </c>
      <c r="C1474" s="77" t="s">
        <v>162</v>
      </c>
      <c r="D1474" s="77" t="s">
        <v>4602</v>
      </c>
      <c r="E1474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474" s="79" t="s">
        <v>235</v>
      </c>
      <c r="G1474" s="79" t="s">
        <v>236</v>
      </c>
      <c r="H1474" s="140" t="s">
        <v>4603</v>
      </c>
      <c r="I1474" s="77" t="s">
        <v>383</v>
      </c>
      <c r="J1474" s="144" t="s">
        <v>384</v>
      </c>
      <c r="K1474" s="77" t="s">
        <v>169</v>
      </c>
      <c r="L1474" s="103" t="str">
        <f>VLOOKUP(Anexo_4[[#This Row],[cod_doc]],TIPODOC,2,FALSE)</f>
        <v>FACTURA</v>
      </c>
      <c r="M1474" s="77" t="s">
        <v>103</v>
      </c>
      <c r="N1474" s="79">
        <v>17497</v>
      </c>
      <c r="O1474" s="80">
        <v>16.95</v>
      </c>
      <c r="P1474" s="81"/>
      <c r="Q1474" s="81">
        <v>3.0509999999999997</v>
      </c>
      <c r="R1474" s="80"/>
      <c r="S1474" s="80"/>
      <c r="T1474" s="88">
        <v>20</v>
      </c>
      <c r="U1474" s="85"/>
      <c r="V1474" s="79"/>
      <c r="W1474" s="85"/>
      <c r="X1474" s="85"/>
      <c r="Y1474" s="85" t="s">
        <v>4604</v>
      </c>
      <c r="Z1474" s="85" t="s">
        <v>386</v>
      </c>
      <c r="AA1474" s="105" t="s">
        <v>4603</v>
      </c>
      <c r="AB1474" s="104" t="str">
        <f>IFERROR(VLOOKUP(Anexo_4[[#This Row],[cuenta]],OP,2,0),"-")</f>
        <v>Balanza - Servicios</v>
      </c>
    </row>
    <row r="1475" spans="1:28" s="84" customFormat="1" ht="27" customHeight="1" x14ac:dyDescent="0.3">
      <c r="A1475" s="75" t="s">
        <v>4342</v>
      </c>
      <c r="B1475" s="36" t="str">
        <f t="shared" si="23"/>
        <v>Agosto</v>
      </c>
      <c r="C1475" s="77" t="s">
        <v>162</v>
      </c>
      <c r="D1475" s="77" t="s">
        <v>4605</v>
      </c>
      <c r="E1475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475" s="79" t="s">
        <v>190</v>
      </c>
      <c r="G1475" s="79" t="s">
        <v>191</v>
      </c>
      <c r="H1475" s="140" t="s">
        <v>4606</v>
      </c>
      <c r="I1475" s="77" t="s">
        <v>4607</v>
      </c>
      <c r="J1475" s="144" t="s">
        <v>4608</v>
      </c>
      <c r="K1475" s="77" t="s">
        <v>239</v>
      </c>
      <c r="L1475" s="103" t="str">
        <f>VLOOKUP(Anexo_4[[#This Row],[cod_doc]],TIPODOC,2,FALSE)</f>
        <v>BOLETA DE VENTA</v>
      </c>
      <c r="M1475" s="77" t="s">
        <v>369</v>
      </c>
      <c r="N1475" s="79">
        <v>3787</v>
      </c>
      <c r="O1475" s="80"/>
      <c r="P1475" s="81"/>
      <c r="Q1475" s="81">
        <v>0</v>
      </c>
      <c r="R1475" s="80"/>
      <c r="S1475" s="80">
        <v>50</v>
      </c>
      <c r="T1475" s="88">
        <v>50</v>
      </c>
      <c r="U1475" s="85"/>
      <c r="V1475" s="79"/>
      <c r="W1475" s="85"/>
      <c r="X1475" s="85"/>
      <c r="Y1475" s="85"/>
      <c r="Z1475" s="85" t="s">
        <v>1071</v>
      </c>
      <c r="AA1475" s="105" t="s">
        <v>4606</v>
      </c>
      <c r="AB1475" s="104" t="str">
        <f>IFERROR(VLOOKUP(Anexo_4[[#This Row],[cuenta]],OP,2,0),"-")</f>
        <v>Gastos de Ferreteria</v>
      </c>
    </row>
    <row r="1476" spans="1:28" s="84" customFormat="1" ht="27" customHeight="1" x14ac:dyDescent="0.3">
      <c r="A1476" s="75" t="s">
        <v>4447</v>
      </c>
      <c r="B1476" s="36" t="str">
        <f t="shared" si="23"/>
        <v>Agosto</v>
      </c>
      <c r="C1476" s="77" t="s">
        <v>162</v>
      </c>
      <c r="D1476" s="77" t="s">
        <v>4609</v>
      </c>
      <c r="E147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476" s="79" t="s">
        <v>456</v>
      </c>
      <c r="G1476" s="79" t="s">
        <v>457</v>
      </c>
      <c r="H1476" s="140" t="s">
        <v>4610</v>
      </c>
      <c r="I1476" s="77" t="s">
        <v>600</v>
      </c>
      <c r="J1476" s="144" t="s">
        <v>4611</v>
      </c>
      <c r="K1476" s="77" t="s">
        <v>169</v>
      </c>
      <c r="L1476" s="103" t="str">
        <f>VLOOKUP(Anexo_4[[#This Row],[cod_doc]],TIPODOC,2,FALSE)</f>
        <v>FACTURA</v>
      </c>
      <c r="M1476" s="77" t="s">
        <v>180</v>
      </c>
      <c r="N1476" s="79">
        <v>20805</v>
      </c>
      <c r="O1476" s="80">
        <v>478.82</v>
      </c>
      <c r="P1476" s="81"/>
      <c r="Q1476" s="81">
        <v>86.187599999999989</v>
      </c>
      <c r="R1476" s="80"/>
      <c r="S1476" s="80" t="s">
        <v>4341</v>
      </c>
      <c r="T1476" s="88">
        <v>565</v>
      </c>
      <c r="U1476" s="85"/>
      <c r="V1476" s="79"/>
      <c r="W1476" s="85"/>
      <c r="X1476" s="85"/>
      <c r="Y1476" s="85"/>
      <c r="Z1476" s="85" t="s">
        <v>223</v>
      </c>
      <c r="AA1476" s="105" t="s">
        <v>4610</v>
      </c>
      <c r="AB1476" s="104" t="str">
        <f>IFERROR(VLOOKUP(Anexo_4[[#This Row],[cuenta]],OP,2,0),"-")</f>
        <v>Mantenimiento Vehicular (Preventivo)</v>
      </c>
    </row>
    <row r="1477" spans="1:28" s="84" customFormat="1" ht="27" customHeight="1" x14ac:dyDescent="0.3">
      <c r="A1477" s="75" t="s">
        <v>4447</v>
      </c>
      <c r="B1477" s="36" t="str">
        <f t="shared" si="23"/>
        <v>Agosto</v>
      </c>
      <c r="C1477" s="77" t="s">
        <v>162</v>
      </c>
      <c r="D1477" s="77" t="s">
        <v>4612</v>
      </c>
      <c r="E1477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477" s="79" t="s">
        <v>449</v>
      </c>
      <c r="G1477" s="79" t="s">
        <v>450</v>
      </c>
      <c r="H1477" s="140" t="s">
        <v>4613</v>
      </c>
      <c r="I1477" s="77" t="s">
        <v>4614</v>
      </c>
      <c r="J1477" s="144" t="s">
        <v>4615</v>
      </c>
      <c r="K1477" s="77" t="s">
        <v>169</v>
      </c>
      <c r="L1477" s="103" t="str">
        <f>VLOOKUP(Anexo_4[[#This Row],[cod_doc]],TIPODOC,2,FALSE)</f>
        <v>FACTURA</v>
      </c>
      <c r="M1477" s="77" t="s">
        <v>102</v>
      </c>
      <c r="N1477" s="79">
        <v>214</v>
      </c>
      <c r="O1477" s="80">
        <v>320</v>
      </c>
      <c r="P1477" s="81"/>
      <c r="Q1477" s="81">
        <v>57.599999999999994</v>
      </c>
      <c r="R1477" s="80"/>
      <c r="S1477" s="80" t="s">
        <v>4341</v>
      </c>
      <c r="T1477" s="88">
        <v>377.6</v>
      </c>
      <c r="U1477" s="85"/>
      <c r="V1477" s="79"/>
      <c r="W1477" s="85"/>
      <c r="X1477" s="85"/>
      <c r="Y1477" s="85"/>
      <c r="Z1477" s="85" t="s">
        <v>710</v>
      </c>
      <c r="AA1477" s="105" t="s">
        <v>4613</v>
      </c>
      <c r="AB1477" s="104" t="str">
        <f>IFERROR(VLOOKUP(Anexo_4[[#This Row],[cuenta]],OP,2,0),"-")</f>
        <v>Accesorios Vehiculares</v>
      </c>
    </row>
    <row r="1478" spans="1:28" s="84" customFormat="1" ht="27" customHeight="1" x14ac:dyDescent="0.3">
      <c r="A1478" s="75" t="s">
        <v>4616</v>
      </c>
      <c r="B1478" s="36" t="str">
        <f t="shared" si="23"/>
        <v>Agosto</v>
      </c>
      <c r="C1478" s="77" t="s">
        <v>162</v>
      </c>
      <c r="D1478" s="77" t="s">
        <v>4617</v>
      </c>
      <c r="E1478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478" s="79" t="s">
        <v>355</v>
      </c>
      <c r="G1478" s="79" t="s">
        <v>356</v>
      </c>
      <c r="H1478" s="140" t="s">
        <v>192</v>
      </c>
      <c r="I1478" s="77" t="s">
        <v>638</v>
      </c>
      <c r="J1478" s="144" t="s">
        <v>4618</v>
      </c>
      <c r="K1478" s="77" t="s">
        <v>169</v>
      </c>
      <c r="L1478" s="103" t="str">
        <f>VLOOKUP(Anexo_4[[#This Row],[cod_doc]],TIPODOC,2,FALSE)</f>
        <v>FACTURA</v>
      </c>
      <c r="M1478" s="77" t="s">
        <v>640</v>
      </c>
      <c r="N1478" s="79">
        <v>14315</v>
      </c>
      <c r="O1478" s="80">
        <v>16.95</v>
      </c>
      <c r="P1478" s="81"/>
      <c r="Q1478" s="81">
        <v>3.0509999999999997</v>
      </c>
      <c r="R1478" s="80"/>
      <c r="S1478" s="80" t="s">
        <v>4341</v>
      </c>
      <c r="T1478" s="88">
        <v>20</v>
      </c>
      <c r="U1478" s="85"/>
      <c r="V1478" s="79"/>
      <c r="W1478" s="85"/>
      <c r="X1478" s="85"/>
      <c r="Y1478" s="85"/>
      <c r="Z1478" s="85" t="s">
        <v>196</v>
      </c>
      <c r="AA1478" s="105" t="s">
        <v>192</v>
      </c>
      <c r="AB1478" s="104" t="str">
        <f>IFERROR(VLOOKUP(Anexo_4[[#This Row],[cuenta]],OP,2,0),"-")</f>
        <v>Encomienda (Envío de documentación)</v>
      </c>
    </row>
    <row r="1479" spans="1:28" s="84" customFormat="1" ht="27" customHeight="1" x14ac:dyDescent="0.3">
      <c r="A1479" s="75" t="s">
        <v>4447</v>
      </c>
      <c r="B1479" s="36" t="str">
        <f t="shared" si="23"/>
        <v>Agosto</v>
      </c>
      <c r="C1479" s="77" t="s">
        <v>162</v>
      </c>
      <c r="D1479" s="77" t="s">
        <v>4619</v>
      </c>
      <c r="E1479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479" s="79" t="s">
        <v>235</v>
      </c>
      <c r="G1479" s="79" t="s">
        <v>236</v>
      </c>
      <c r="H1479" s="140" t="s">
        <v>4620</v>
      </c>
      <c r="I1479" s="77" t="s">
        <v>3075</v>
      </c>
      <c r="J1479" s="144" t="s">
        <v>4621</v>
      </c>
      <c r="K1479" s="77" t="s">
        <v>169</v>
      </c>
      <c r="L1479" s="103" t="str">
        <f>VLOOKUP(Anexo_4[[#This Row],[cod_doc]],TIPODOC,2,FALSE)</f>
        <v>FACTURA</v>
      </c>
      <c r="M1479" s="77" t="s">
        <v>1062</v>
      </c>
      <c r="N1479" s="79">
        <v>72</v>
      </c>
      <c r="O1479" s="80">
        <v>184</v>
      </c>
      <c r="P1479" s="81"/>
      <c r="Q1479" s="81">
        <v>33.119999999999997</v>
      </c>
      <c r="R1479" s="80"/>
      <c r="S1479" s="80" t="s">
        <v>4341</v>
      </c>
      <c r="T1479" s="88">
        <v>217.12</v>
      </c>
      <c r="U1479" s="85"/>
      <c r="V1479" s="79"/>
      <c r="W1479" s="85"/>
      <c r="X1479" s="85"/>
      <c r="Y1479" s="85"/>
      <c r="Z1479" s="85" t="s">
        <v>710</v>
      </c>
      <c r="AA1479" s="105" t="s">
        <v>4620</v>
      </c>
      <c r="AB1479" s="104" t="str">
        <f>IFERROR(VLOOKUP(Anexo_4[[#This Row],[cuenta]],OP,2,0),"-")</f>
        <v>Accesorios Vehiculares</v>
      </c>
    </row>
    <row r="1480" spans="1:28" s="84" customFormat="1" ht="27" customHeight="1" x14ac:dyDescent="0.3">
      <c r="A1480" s="75" t="s">
        <v>4447</v>
      </c>
      <c r="B1480" s="36" t="str">
        <f t="shared" si="23"/>
        <v>Agosto</v>
      </c>
      <c r="C1480" s="77" t="s">
        <v>162</v>
      </c>
      <c r="D1480" s="77" t="s">
        <v>4622</v>
      </c>
      <c r="E1480" s="78" t="str">
        <f>IF(LEFT(Anexo_4[[#This Row],[c_costos]],2)="91","OPERACIONES",IF(LEFT(Anexo_4[[#This Row],[c_costos]],2)="97","G. FINANCIEROS",IF(LEFT(Anexo_4[[#This Row],[c_costos]],2)="95","G. VENTAS","G. ADMINISTRACIÓN")))</f>
        <v>G. FINANCIEROS</v>
      </c>
      <c r="F1480" s="79" t="s">
        <v>474</v>
      </c>
      <c r="G1480" s="79" t="s">
        <v>475</v>
      </c>
      <c r="H1480" s="140" t="s">
        <v>1731</v>
      </c>
      <c r="I1480" s="77" t="s">
        <v>477</v>
      </c>
      <c r="J1480" s="144" t="s">
        <v>4623</v>
      </c>
      <c r="K1480" s="77" t="s">
        <v>169</v>
      </c>
      <c r="L1480" s="103" t="str">
        <f>VLOOKUP(Anexo_4[[#This Row],[cod_doc]],TIPODOC,2,FALSE)</f>
        <v>FACTURA</v>
      </c>
      <c r="M1480" s="77" t="s">
        <v>479</v>
      </c>
      <c r="N1480" s="79">
        <v>36292322</v>
      </c>
      <c r="O1480" s="80"/>
      <c r="P1480" s="81"/>
      <c r="Q1480" s="81">
        <v>0</v>
      </c>
      <c r="R1480" s="80"/>
      <c r="S1480" s="80">
        <v>10</v>
      </c>
      <c r="T1480" s="88">
        <v>10</v>
      </c>
      <c r="U1480" s="85"/>
      <c r="V1480" s="79"/>
      <c r="W1480" s="85"/>
      <c r="X1480" s="85"/>
      <c r="Y1480" s="85"/>
      <c r="Z1480" s="85" t="s">
        <v>483</v>
      </c>
      <c r="AA1480" s="105" t="s">
        <v>1731</v>
      </c>
      <c r="AB1480" s="104" t="str">
        <f>IFERROR(VLOOKUP(Anexo_4[[#This Row],[cuenta]],OP,2,0),"-")</f>
        <v>-</v>
      </c>
    </row>
    <row r="1481" spans="1:28" s="84" customFormat="1" ht="27" customHeight="1" x14ac:dyDescent="0.3">
      <c r="A1481" s="75" t="s">
        <v>4616</v>
      </c>
      <c r="B1481" s="36" t="str">
        <f t="shared" si="23"/>
        <v>Agosto</v>
      </c>
      <c r="C1481" s="77" t="s">
        <v>162</v>
      </c>
      <c r="D1481" s="77" t="s">
        <v>4624</v>
      </c>
      <c r="E148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481" s="79" t="s">
        <v>592</v>
      </c>
      <c r="G1481" s="79" t="s">
        <v>593</v>
      </c>
      <c r="H1481" s="140" t="s">
        <v>4625</v>
      </c>
      <c r="I1481" s="77" t="s">
        <v>839</v>
      </c>
      <c r="J1481" s="144" t="s">
        <v>4626</v>
      </c>
      <c r="K1481" s="77" t="s">
        <v>169</v>
      </c>
      <c r="L1481" s="103" t="str">
        <f>VLOOKUP(Anexo_4[[#This Row],[cod_doc]],TIPODOC,2,FALSE)</f>
        <v>FACTURA</v>
      </c>
      <c r="M1481" s="77" t="s">
        <v>102</v>
      </c>
      <c r="N1481" s="79">
        <v>3443</v>
      </c>
      <c r="O1481" s="80">
        <v>441.53</v>
      </c>
      <c r="P1481" s="81"/>
      <c r="Q1481" s="81">
        <v>79.475399999999993</v>
      </c>
      <c r="R1481" s="80"/>
      <c r="S1481" s="80" t="s">
        <v>4341</v>
      </c>
      <c r="T1481" s="88">
        <v>521</v>
      </c>
      <c r="U1481" s="85"/>
      <c r="V1481" s="79"/>
      <c r="W1481" s="85"/>
      <c r="X1481" s="85"/>
      <c r="Y1481" s="85"/>
      <c r="Z1481" s="85" t="s">
        <v>223</v>
      </c>
      <c r="AA1481" s="105" t="s">
        <v>4625</v>
      </c>
      <c r="AB1481" s="104" t="str">
        <f>IFERROR(VLOOKUP(Anexo_4[[#This Row],[cuenta]],OP,2,0),"-")</f>
        <v>Mantenimiento Vehicular (Preventivo)</v>
      </c>
    </row>
    <row r="1482" spans="1:28" s="84" customFormat="1" ht="27" customHeight="1" x14ac:dyDescent="0.3">
      <c r="A1482" s="75" t="s">
        <v>4296</v>
      </c>
      <c r="B1482" s="36" t="str">
        <f t="shared" si="23"/>
        <v>Agosto</v>
      </c>
      <c r="C1482" s="77" t="s">
        <v>162</v>
      </c>
      <c r="D1482" s="77" t="s">
        <v>4627</v>
      </c>
      <c r="E148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482" s="79" t="s">
        <v>592</v>
      </c>
      <c r="G1482" s="79" t="s">
        <v>593</v>
      </c>
      <c r="H1482" s="140" t="s">
        <v>4628</v>
      </c>
      <c r="I1482" s="77" t="s">
        <v>2598</v>
      </c>
      <c r="J1482" s="144" t="s">
        <v>4629</v>
      </c>
      <c r="K1482" s="77" t="s">
        <v>169</v>
      </c>
      <c r="L1482" s="103" t="str">
        <f>VLOOKUP(Anexo_4[[#This Row],[cod_doc]],TIPODOC,2,FALSE)</f>
        <v>FACTURA</v>
      </c>
      <c r="M1482" s="77" t="s">
        <v>102</v>
      </c>
      <c r="N1482" s="79">
        <v>5313</v>
      </c>
      <c r="O1482" s="80">
        <v>50</v>
      </c>
      <c r="P1482" s="81"/>
      <c r="Q1482" s="81">
        <v>9</v>
      </c>
      <c r="R1482" s="80"/>
      <c r="S1482" s="80" t="s">
        <v>4341</v>
      </c>
      <c r="T1482" s="88">
        <v>59</v>
      </c>
      <c r="U1482" s="85"/>
      <c r="V1482" s="79"/>
      <c r="W1482" s="85"/>
      <c r="X1482" s="85"/>
      <c r="Y1482" s="85"/>
      <c r="Z1482" s="85" t="s">
        <v>645</v>
      </c>
      <c r="AA1482" s="105" t="s">
        <v>4628</v>
      </c>
      <c r="AB1482" s="104" t="str">
        <f>IFERROR(VLOOKUP(Anexo_4[[#This Row],[cuenta]],OP,2,0),"-")</f>
        <v>Montacarga - Servicios</v>
      </c>
    </row>
    <row r="1483" spans="1:28" s="84" customFormat="1" ht="27" customHeight="1" x14ac:dyDescent="0.3">
      <c r="A1483" s="75" t="s">
        <v>4296</v>
      </c>
      <c r="B1483" s="36" t="str">
        <f t="shared" si="23"/>
        <v>Agosto</v>
      </c>
      <c r="C1483" s="77" t="s">
        <v>162</v>
      </c>
      <c r="D1483" s="77" t="s">
        <v>4630</v>
      </c>
      <c r="E1483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483" s="79" t="s">
        <v>592</v>
      </c>
      <c r="G1483" s="79" t="s">
        <v>593</v>
      </c>
      <c r="H1483" s="140" t="s">
        <v>4631</v>
      </c>
      <c r="I1483" s="77" t="s">
        <v>643</v>
      </c>
      <c r="J1483" s="144" t="s">
        <v>4632</v>
      </c>
      <c r="K1483" s="77" t="s">
        <v>169</v>
      </c>
      <c r="L1483" s="103" t="str">
        <f>VLOOKUP(Anexo_4[[#This Row],[cod_doc]],TIPODOC,2,FALSE)</f>
        <v>FACTURA</v>
      </c>
      <c r="M1483" s="77" t="s">
        <v>102</v>
      </c>
      <c r="N1483" s="79">
        <v>4152</v>
      </c>
      <c r="O1483" s="80">
        <v>297.5</v>
      </c>
      <c r="P1483" s="81"/>
      <c r="Q1483" s="81">
        <v>53.55</v>
      </c>
      <c r="R1483" s="80"/>
      <c r="S1483" s="80" t="s">
        <v>4341</v>
      </c>
      <c r="T1483" s="88">
        <v>351.05</v>
      </c>
      <c r="U1483" s="85"/>
      <c r="V1483" s="79"/>
      <c r="W1483" s="85"/>
      <c r="X1483" s="85"/>
      <c r="Y1483" s="85"/>
      <c r="Z1483" s="85" t="s">
        <v>645</v>
      </c>
      <c r="AA1483" s="105" t="s">
        <v>4631</v>
      </c>
      <c r="AB1483" s="104" t="str">
        <f>IFERROR(VLOOKUP(Anexo_4[[#This Row],[cuenta]],OP,2,0),"-")</f>
        <v>Montacarga - Servicios</v>
      </c>
    </row>
    <row r="1484" spans="1:28" s="84" customFormat="1" ht="27" customHeight="1" x14ac:dyDescent="0.3">
      <c r="A1484" s="75" t="s">
        <v>4616</v>
      </c>
      <c r="B1484" s="36" t="str">
        <f t="shared" si="23"/>
        <v>Agosto</v>
      </c>
      <c r="C1484" s="77" t="s">
        <v>162</v>
      </c>
      <c r="D1484" s="77" t="s">
        <v>4633</v>
      </c>
      <c r="E1484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484" s="79" t="s">
        <v>592</v>
      </c>
      <c r="G1484" s="79" t="s">
        <v>593</v>
      </c>
      <c r="H1484" s="140" t="s">
        <v>4634</v>
      </c>
      <c r="I1484" s="77" t="s">
        <v>1074</v>
      </c>
      <c r="J1484" s="144" t="s">
        <v>4635</v>
      </c>
      <c r="K1484" s="77" t="s">
        <v>169</v>
      </c>
      <c r="L1484" s="103" t="str">
        <f>VLOOKUP(Anexo_4[[#This Row],[cod_doc]],TIPODOC,2,FALSE)</f>
        <v>FACTURA</v>
      </c>
      <c r="M1484" s="77" t="s">
        <v>102</v>
      </c>
      <c r="N1484" s="79">
        <v>2539</v>
      </c>
      <c r="O1484" s="80">
        <v>90</v>
      </c>
      <c r="P1484" s="81"/>
      <c r="Q1484" s="81">
        <v>16.2</v>
      </c>
      <c r="R1484" s="80"/>
      <c r="S1484" s="80" t="s">
        <v>4341</v>
      </c>
      <c r="T1484" s="88">
        <v>106.2</v>
      </c>
      <c r="U1484" s="85"/>
      <c r="V1484" s="79"/>
      <c r="W1484" s="85"/>
      <c r="X1484" s="85"/>
      <c r="Y1484" s="85"/>
      <c r="Z1484" s="85" t="s">
        <v>645</v>
      </c>
      <c r="AA1484" s="105" t="s">
        <v>4634</v>
      </c>
      <c r="AB1484" s="104" t="str">
        <f>IFERROR(VLOOKUP(Anexo_4[[#This Row],[cuenta]],OP,2,0),"-")</f>
        <v>Montacarga - Servicios</v>
      </c>
    </row>
    <row r="1485" spans="1:28" s="84" customFormat="1" ht="27" customHeight="1" x14ac:dyDescent="0.3">
      <c r="A1485" s="75" t="s">
        <v>4616</v>
      </c>
      <c r="B1485" s="36" t="str">
        <f t="shared" si="23"/>
        <v>Agosto</v>
      </c>
      <c r="C1485" s="77" t="s">
        <v>162</v>
      </c>
      <c r="D1485" s="77" t="s">
        <v>4636</v>
      </c>
      <c r="E148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485" s="79" t="s">
        <v>592</v>
      </c>
      <c r="G1485" s="79" t="s">
        <v>593</v>
      </c>
      <c r="H1485" s="140" t="s">
        <v>4637</v>
      </c>
      <c r="I1485" s="77" t="s">
        <v>1074</v>
      </c>
      <c r="J1485" s="144" t="s">
        <v>4635</v>
      </c>
      <c r="K1485" s="77" t="s">
        <v>169</v>
      </c>
      <c r="L1485" s="103" t="str">
        <f>VLOOKUP(Anexo_4[[#This Row],[cod_doc]],TIPODOC,2,FALSE)</f>
        <v>FACTURA</v>
      </c>
      <c r="M1485" s="77" t="s">
        <v>102</v>
      </c>
      <c r="N1485" s="79">
        <v>2537</v>
      </c>
      <c r="O1485" s="80">
        <v>60</v>
      </c>
      <c r="P1485" s="81"/>
      <c r="Q1485" s="81">
        <v>10.799999999999999</v>
      </c>
      <c r="R1485" s="80"/>
      <c r="S1485" s="80" t="s">
        <v>4341</v>
      </c>
      <c r="T1485" s="88">
        <v>70.8</v>
      </c>
      <c r="U1485" s="85"/>
      <c r="V1485" s="79"/>
      <c r="W1485" s="85"/>
      <c r="X1485" s="85"/>
      <c r="Y1485" s="85"/>
      <c r="Z1485" s="85" t="s">
        <v>645</v>
      </c>
      <c r="AA1485" s="105" t="s">
        <v>4637</v>
      </c>
      <c r="AB1485" s="104" t="str">
        <f>IFERROR(VLOOKUP(Anexo_4[[#This Row],[cuenta]],OP,2,0),"-")</f>
        <v>Montacarga - Servicios</v>
      </c>
    </row>
    <row r="1486" spans="1:28" s="84" customFormat="1" ht="27" customHeight="1" x14ac:dyDescent="0.3">
      <c r="A1486" s="75" t="s">
        <v>4616</v>
      </c>
      <c r="B1486" s="36" t="str">
        <f t="shared" si="23"/>
        <v>Agosto</v>
      </c>
      <c r="C1486" s="77" t="s">
        <v>162</v>
      </c>
      <c r="D1486" s="77" t="s">
        <v>4638</v>
      </c>
      <c r="E148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486" s="79" t="s">
        <v>592</v>
      </c>
      <c r="G1486" s="79" t="s">
        <v>593</v>
      </c>
      <c r="H1486" s="140" t="s">
        <v>4639</v>
      </c>
      <c r="I1486" s="77" t="s">
        <v>1074</v>
      </c>
      <c r="J1486" s="144" t="s">
        <v>4635</v>
      </c>
      <c r="K1486" s="77" t="s">
        <v>169</v>
      </c>
      <c r="L1486" s="103" t="str">
        <f>VLOOKUP(Anexo_4[[#This Row],[cod_doc]],TIPODOC,2,FALSE)</f>
        <v>FACTURA</v>
      </c>
      <c r="M1486" s="77" t="s">
        <v>102</v>
      </c>
      <c r="N1486" s="79">
        <v>2538</v>
      </c>
      <c r="O1486" s="80">
        <v>60</v>
      </c>
      <c r="P1486" s="81"/>
      <c r="Q1486" s="81">
        <v>10.799999999999999</v>
      </c>
      <c r="R1486" s="80"/>
      <c r="S1486" s="80" t="s">
        <v>4341</v>
      </c>
      <c r="T1486" s="88">
        <v>70.8</v>
      </c>
      <c r="U1486" s="85"/>
      <c r="V1486" s="79"/>
      <c r="W1486" s="85"/>
      <c r="X1486" s="85"/>
      <c r="Y1486" s="85"/>
      <c r="Z1486" s="85" t="s">
        <v>645</v>
      </c>
      <c r="AA1486" s="105" t="s">
        <v>4639</v>
      </c>
      <c r="AB1486" s="104" t="str">
        <f>IFERROR(VLOOKUP(Anexo_4[[#This Row],[cuenta]],OP,2,0),"-")</f>
        <v>Montacarga - Servicios</v>
      </c>
    </row>
    <row r="1487" spans="1:28" s="84" customFormat="1" ht="27" customHeight="1" x14ac:dyDescent="0.3">
      <c r="A1487" s="75" t="s">
        <v>4296</v>
      </c>
      <c r="B1487" s="36" t="str">
        <f t="shared" si="23"/>
        <v>Agosto</v>
      </c>
      <c r="C1487" s="77" t="s">
        <v>162</v>
      </c>
      <c r="D1487" s="77" t="s">
        <v>4640</v>
      </c>
      <c r="E1487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487" s="79" t="s">
        <v>592</v>
      </c>
      <c r="G1487" s="79" t="s">
        <v>593</v>
      </c>
      <c r="H1487" s="140" t="s">
        <v>4641</v>
      </c>
      <c r="I1487" s="77" t="s">
        <v>643</v>
      </c>
      <c r="J1487" s="144" t="s">
        <v>4632</v>
      </c>
      <c r="K1487" s="77" t="s">
        <v>169</v>
      </c>
      <c r="L1487" s="103" t="str">
        <f>VLOOKUP(Anexo_4[[#This Row],[cod_doc]],TIPODOC,2,FALSE)</f>
        <v>FACTURA</v>
      </c>
      <c r="M1487" s="77" t="s">
        <v>102</v>
      </c>
      <c r="N1487" s="79">
        <v>4153</v>
      </c>
      <c r="O1487" s="80">
        <v>106.25</v>
      </c>
      <c r="P1487" s="81"/>
      <c r="Q1487" s="81">
        <v>19.125</v>
      </c>
      <c r="R1487" s="80"/>
      <c r="S1487" s="80" t="s">
        <v>4341</v>
      </c>
      <c r="T1487" s="88">
        <v>250.75</v>
      </c>
      <c r="U1487" s="85"/>
      <c r="V1487" s="79"/>
      <c r="W1487" s="85"/>
      <c r="X1487" s="85"/>
      <c r="Y1487" s="85"/>
      <c r="Z1487" s="85" t="s">
        <v>645</v>
      </c>
      <c r="AA1487" s="105" t="s">
        <v>4641</v>
      </c>
      <c r="AB1487" s="104" t="str">
        <f>IFERROR(VLOOKUP(Anexo_4[[#This Row],[cuenta]],OP,2,0),"-")</f>
        <v>Montacarga - Servicios</v>
      </c>
    </row>
    <row r="1488" spans="1:28" s="84" customFormat="1" ht="27" customHeight="1" x14ac:dyDescent="0.3">
      <c r="A1488" s="75" t="s">
        <v>4296</v>
      </c>
      <c r="B1488" s="36" t="str">
        <f t="shared" si="23"/>
        <v>Agosto</v>
      </c>
      <c r="C1488" s="77" t="s">
        <v>162</v>
      </c>
      <c r="D1488" s="77" t="s">
        <v>4640</v>
      </c>
      <c r="E1488" s="78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1488" s="79" t="s">
        <v>198</v>
      </c>
      <c r="G1488" s="79" t="s">
        <v>199</v>
      </c>
      <c r="H1488" s="140" t="s">
        <v>4641</v>
      </c>
      <c r="I1488" s="77" t="s">
        <v>643</v>
      </c>
      <c r="J1488" s="144" t="s">
        <v>4632</v>
      </c>
      <c r="K1488" s="77" t="s">
        <v>169</v>
      </c>
      <c r="L1488" s="103" t="str">
        <f>VLOOKUP(Anexo_4[[#This Row],[cod_doc]],TIPODOC,2,FALSE)</f>
        <v>FACTURA</v>
      </c>
      <c r="M1488" s="77" t="s">
        <v>102</v>
      </c>
      <c r="N1488" s="79">
        <v>4153</v>
      </c>
      <c r="O1488" s="80">
        <v>106.25</v>
      </c>
      <c r="P1488" s="81"/>
      <c r="Q1488" s="81">
        <v>19.125</v>
      </c>
      <c r="R1488" s="80"/>
      <c r="S1488" s="80" t="s">
        <v>4341</v>
      </c>
      <c r="T1488" s="88">
        <v>250.75</v>
      </c>
      <c r="U1488" s="85"/>
      <c r="V1488" s="79"/>
      <c r="W1488" s="85"/>
      <c r="X1488" s="85"/>
      <c r="Y1488" s="85"/>
      <c r="Z1488" s="85" t="s">
        <v>648</v>
      </c>
      <c r="AA1488" s="105" t="s">
        <v>4641</v>
      </c>
      <c r="AB1488" s="104" t="str">
        <f>IFERROR(VLOOKUP(Anexo_4[[#This Row],[cuenta]],OP,2,0),"-")</f>
        <v>Montacarga - Ventas</v>
      </c>
    </row>
    <row r="1489" spans="1:28" s="84" customFormat="1" ht="27" customHeight="1" x14ac:dyDescent="0.3">
      <c r="A1489" s="75" t="s">
        <v>4616</v>
      </c>
      <c r="B1489" s="36" t="str">
        <f t="shared" si="23"/>
        <v>Agosto</v>
      </c>
      <c r="C1489" s="77" t="s">
        <v>162</v>
      </c>
      <c r="D1489" s="77" t="s">
        <v>4642</v>
      </c>
      <c r="E1489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489" s="79" t="s">
        <v>235</v>
      </c>
      <c r="G1489" s="79" t="s">
        <v>236</v>
      </c>
      <c r="H1489" s="140" t="s">
        <v>4643</v>
      </c>
      <c r="I1489" s="77" t="s">
        <v>264</v>
      </c>
      <c r="J1489" s="144" t="s">
        <v>4644</v>
      </c>
      <c r="K1489" s="77" t="s">
        <v>169</v>
      </c>
      <c r="L1489" s="103" t="str">
        <f>VLOOKUP(Anexo_4[[#This Row],[cod_doc]],TIPODOC,2,FALSE)</f>
        <v>FACTURA</v>
      </c>
      <c r="M1489" s="77" t="s">
        <v>519</v>
      </c>
      <c r="N1489" s="79">
        <v>401893</v>
      </c>
      <c r="O1489" s="80">
        <v>6.78</v>
      </c>
      <c r="P1489" s="81"/>
      <c r="Q1489" s="81">
        <v>1.2203999999999999</v>
      </c>
      <c r="R1489" s="80"/>
      <c r="S1489" s="80" t="s">
        <v>4341</v>
      </c>
      <c r="T1489" s="88">
        <v>8</v>
      </c>
      <c r="U1489" s="85"/>
      <c r="V1489" s="79"/>
      <c r="W1489" s="85"/>
      <c r="X1489" s="85"/>
      <c r="Y1489" s="85" t="s">
        <v>4645</v>
      </c>
      <c r="Z1489" s="85" t="s">
        <v>302</v>
      </c>
      <c r="AA1489" s="105" t="s">
        <v>4643</v>
      </c>
      <c r="AB1489" s="104" t="str">
        <f>IFERROR(VLOOKUP(Anexo_4[[#This Row],[cuenta]],OP,2,0),"-")</f>
        <v>Transporte peajes - Servicios</v>
      </c>
    </row>
    <row r="1490" spans="1:28" s="84" customFormat="1" ht="27" customHeight="1" x14ac:dyDescent="0.3">
      <c r="A1490" s="75" t="s">
        <v>4616</v>
      </c>
      <c r="B1490" s="36" t="str">
        <f t="shared" si="23"/>
        <v>Agosto</v>
      </c>
      <c r="C1490" s="77" t="s">
        <v>162</v>
      </c>
      <c r="D1490" s="77" t="s">
        <v>4646</v>
      </c>
      <c r="E1490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490" s="79" t="s">
        <v>235</v>
      </c>
      <c r="G1490" s="79" t="s">
        <v>236</v>
      </c>
      <c r="H1490" s="140" t="s">
        <v>4647</v>
      </c>
      <c r="I1490" s="77" t="s">
        <v>264</v>
      </c>
      <c r="J1490" s="144" t="s">
        <v>4644</v>
      </c>
      <c r="K1490" s="77" t="s">
        <v>169</v>
      </c>
      <c r="L1490" s="103" t="str">
        <f>VLOOKUP(Anexo_4[[#This Row],[cod_doc]],TIPODOC,2,FALSE)</f>
        <v>FACTURA</v>
      </c>
      <c r="M1490" s="77" t="s">
        <v>352</v>
      </c>
      <c r="N1490" s="79">
        <v>1846999</v>
      </c>
      <c r="O1490" s="80">
        <v>6.78</v>
      </c>
      <c r="P1490" s="81"/>
      <c r="Q1490" s="81">
        <v>1.2203999999999999</v>
      </c>
      <c r="R1490" s="80"/>
      <c r="S1490" s="80" t="s">
        <v>4341</v>
      </c>
      <c r="T1490" s="88">
        <v>8</v>
      </c>
      <c r="U1490" s="85"/>
      <c r="V1490" s="79"/>
      <c r="W1490" s="85"/>
      <c r="X1490" s="85"/>
      <c r="Y1490" s="85" t="s">
        <v>4648</v>
      </c>
      <c r="Z1490" s="85" t="s">
        <v>302</v>
      </c>
      <c r="AA1490" s="105" t="s">
        <v>4647</v>
      </c>
      <c r="AB1490" s="104" t="str">
        <f>IFERROR(VLOOKUP(Anexo_4[[#This Row],[cuenta]],OP,2,0),"-")</f>
        <v>Transporte peajes - Servicios</v>
      </c>
    </row>
    <row r="1491" spans="1:28" s="84" customFormat="1" ht="27" customHeight="1" x14ac:dyDescent="0.3">
      <c r="A1491" s="75" t="s">
        <v>4616</v>
      </c>
      <c r="B1491" s="36" t="str">
        <f t="shared" si="23"/>
        <v>Agosto</v>
      </c>
      <c r="C1491" s="77" t="s">
        <v>162</v>
      </c>
      <c r="D1491" s="77" t="s">
        <v>4649</v>
      </c>
      <c r="E149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491" s="79" t="s">
        <v>235</v>
      </c>
      <c r="G1491" s="79" t="s">
        <v>236</v>
      </c>
      <c r="H1491" s="140" t="s">
        <v>4650</v>
      </c>
      <c r="I1491" s="77" t="s">
        <v>264</v>
      </c>
      <c r="J1491" s="144" t="s">
        <v>4644</v>
      </c>
      <c r="K1491" s="77" t="s">
        <v>169</v>
      </c>
      <c r="L1491" s="103" t="str">
        <f>VLOOKUP(Anexo_4[[#This Row],[cod_doc]],TIPODOC,2,FALSE)</f>
        <v>FACTURA</v>
      </c>
      <c r="M1491" s="77" t="s">
        <v>275</v>
      </c>
      <c r="N1491" s="79">
        <v>1021226</v>
      </c>
      <c r="O1491" s="80">
        <v>6.78</v>
      </c>
      <c r="P1491" s="81"/>
      <c r="Q1491" s="81">
        <v>1.2203999999999999</v>
      </c>
      <c r="R1491" s="80"/>
      <c r="S1491" s="80" t="s">
        <v>4341</v>
      </c>
      <c r="T1491" s="88">
        <v>8</v>
      </c>
      <c r="U1491" s="85"/>
      <c r="V1491" s="79"/>
      <c r="W1491" s="85"/>
      <c r="X1491" s="85"/>
      <c r="Y1491" s="85" t="s">
        <v>4651</v>
      </c>
      <c r="Z1491" s="85" t="s">
        <v>302</v>
      </c>
      <c r="AA1491" s="105" t="s">
        <v>4650</v>
      </c>
      <c r="AB1491" s="104" t="str">
        <f>IFERROR(VLOOKUP(Anexo_4[[#This Row],[cuenta]],OP,2,0),"-")</f>
        <v>Transporte peajes - Servicios</v>
      </c>
    </row>
    <row r="1492" spans="1:28" s="84" customFormat="1" ht="27" customHeight="1" x14ac:dyDescent="0.3">
      <c r="A1492" s="75" t="s">
        <v>4616</v>
      </c>
      <c r="B1492" s="36" t="str">
        <f t="shared" si="23"/>
        <v>Agosto</v>
      </c>
      <c r="C1492" s="77" t="s">
        <v>162</v>
      </c>
      <c r="D1492" s="77" t="s">
        <v>4652</v>
      </c>
      <c r="E149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492" s="79" t="s">
        <v>175</v>
      </c>
      <c r="G1492" s="79" t="s">
        <v>176</v>
      </c>
      <c r="H1492" s="140" t="s">
        <v>4653</v>
      </c>
      <c r="I1492" s="77" t="s">
        <v>264</v>
      </c>
      <c r="J1492" s="144" t="s">
        <v>4644</v>
      </c>
      <c r="K1492" s="77" t="s">
        <v>169</v>
      </c>
      <c r="L1492" s="103" t="str">
        <f>VLOOKUP(Anexo_4[[#This Row],[cod_doc]],TIPODOC,2,FALSE)</f>
        <v>FACTURA</v>
      </c>
      <c r="M1492" s="77" t="s">
        <v>379</v>
      </c>
      <c r="N1492" s="79">
        <v>2160728</v>
      </c>
      <c r="O1492" s="80">
        <v>10.17</v>
      </c>
      <c r="P1492" s="81"/>
      <c r="Q1492" s="81">
        <v>1.8306</v>
      </c>
      <c r="R1492" s="80"/>
      <c r="S1492" s="80" t="s">
        <v>4341</v>
      </c>
      <c r="T1492" s="88">
        <v>12</v>
      </c>
      <c r="U1492" s="85"/>
      <c r="V1492" s="79"/>
      <c r="W1492" s="85"/>
      <c r="X1492" s="85"/>
      <c r="Y1492" s="85" t="s">
        <v>4654</v>
      </c>
      <c r="Z1492" s="85" t="s">
        <v>302</v>
      </c>
      <c r="AA1492" s="105" t="s">
        <v>4653</v>
      </c>
      <c r="AB1492" s="104" t="str">
        <f>IFERROR(VLOOKUP(Anexo_4[[#This Row],[cuenta]],OP,2,0),"-")</f>
        <v>Transporte peajes - Servicios</v>
      </c>
    </row>
    <row r="1493" spans="1:28" s="84" customFormat="1" ht="27" customHeight="1" x14ac:dyDescent="0.3">
      <c r="A1493" s="75" t="s">
        <v>4545</v>
      </c>
      <c r="B1493" s="36" t="str">
        <f t="shared" si="23"/>
        <v>Agosto</v>
      </c>
      <c r="C1493" s="77" t="s">
        <v>162</v>
      </c>
      <c r="D1493" s="77" t="s">
        <v>4655</v>
      </c>
      <c r="E1493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493" s="79" t="s">
        <v>175</v>
      </c>
      <c r="G1493" s="79" t="s">
        <v>176</v>
      </c>
      <c r="H1493" s="140" t="s">
        <v>4656</v>
      </c>
      <c r="I1493" s="77" t="s">
        <v>264</v>
      </c>
      <c r="J1493" s="144" t="s">
        <v>4644</v>
      </c>
      <c r="K1493" s="77" t="s">
        <v>169</v>
      </c>
      <c r="L1493" s="103" t="str">
        <f>VLOOKUP(Anexo_4[[#This Row],[cod_doc]],TIPODOC,2,FALSE)</f>
        <v>FACTURA</v>
      </c>
      <c r="M1493" s="77" t="s">
        <v>406</v>
      </c>
      <c r="N1493" s="79">
        <v>2451506</v>
      </c>
      <c r="O1493" s="80">
        <v>10.17</v>
      </c>
      <c r="P1493" s="81"/>
      <c r="Q1493" s="81">
        <v>1.8306</v>
      </c>
      <c r="R1493" s="80"/>
      <c r="S1493" s="80" t="s">
        <v>4341</v>
      </c>
      <c r="T1493" s="88">
        <v>12</v>
      </c>
      <c r="U1493" s="85"/>
      <c r="V1493" s="79"/>
      <c r="W1493" s="85"/>
      <c r="X1493" s="85"/>
      <c r="Y1493" s="85" t="s">
        <v>4657</v>
      </c>
      <c r="Z1493" s="85" t="s">
        <v>302</v>
      </c>
      <c r="AA1493" s="105" t="s">
        <v>4656</v>
      </c>
      <c r="AB1493" s="104" t="str">
        <f>IFERROR(VLOOKUP(Anexo_4[[#This Row],[cuenta]],OP,2,0),"-")</f>
        <v>Transporte peajes - Servicios</v>
      </c>
    </row>
    <row r="1494" spans="1:28" s="84" customFormat="1" ht="27" customHeight="1" x14ac:dyDescent="0.3">
      <c r="A1494" s="75" t="s">
        <v>4616</v>
      </c>
      <c r="B1494" s="36" t="str">
        <f t="shared" si="23"/>
        <v>Agosto</v>
      </c>
      <c r="C1494" s="77" t="s">
        <v>162</v>
      </c>
      <c r="D1494" s="77" t="s">
        <v>4658</v>
      </c>
      <c r="E1494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494" s="79" t="s">
        <v>175</v>
      </c>
      <c r="G1494" s="79" t="s">
        <v>176</v>
      </c>
      <c r="H1494" s="140" t="s">
        <v>4659</v>
      </c>
      <c r="I1494" s="77" t="s">
        <v>264</v>
      </c>
      <c r="J1494" s="144" t="s">
        <v>4644</v>
      </c>
      <c r="K1494" s="77" t="s">
        <v>169</v>
      </c>
      <c r="L1494" s="103" t="str">
        <f>VLOOKUP(Anexo_4[[#This Row],[cod_doc]],TIPODOC,2,FALSE)</f>
        <v>FACTURA</v>
      </c>
      <c r="M1494" s="77" t="s">
        <v>406</v>
      </c>
      <c r="N1494" s="79">
        <v>2453245</v>
      </c>
      <c r="O1494" s="80">
        <v>10.17</v>
      </c>
      <c r="P1494" s="81"/>
      <c r="Q1494" s="81">
        <v>1.8306</v>
      </c>
      <c r="R1494" s="80"/>
      <c r="S1494" s="80" t="s">
        <v>4341</v>
      </c>
      <c r="T1494" s="88">
        <v>12</v>
      </c>
      <c r="U1494" s="85"/>
      <c r="V1494" s="79"/>
      <c r="W1494" s="85"/>
      <c r="X1494" s="85"/>
      <c r="Y1494" s="85" t="s">
        <v>4660</v>
      </c>
      <c r="Z1494" s="85" t="s">
        <v>302</v>
      </c>
      <c r="AA1494" s="105" t="s">
        <v>4659</v>
      </c>
      <c r="AB1494" s="104" t="str">
        <f>IFERROR(VLOOKUP(Anexo_4[[#This Row],[cuenta]],OP,2,0),"-")</f>
        <v>Transporte peajes - Servicios</v>
      </c>
    </row>
    <row r="1495" spans="1:28" s="84" customFormat="1" ht="27" customHeight="1" x14ac:dyDescent="0.3">
      <c r="A1495" s="75" t="s">
        <v>4661</v>
      </c>
      <c r="B1495" s="36" t="str">
        <f t="shared" si="23"/>
        <v>Agosto</v>
      </c>
      <c r="C1495" s="77" t="s">
        <v>162</v>
      </c>
      <c r="D1495" s="77" t="s">
        <v>4662</v>
      </c>
      <c r="E149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495" s="79" t="s">
        <v>175</v>
      </c>
      <c r="G1495" s="79" t="s">
        <v>176</v>
      </c>
      <c r="H1495" s="140" t="s">
        <v>4663</v>
      </c>
      <c r="I1495" s="77" t="s">
        <v>264</v>
      </c>
      <c r="J1495" s="144" t="s">
        <v>4644</v>
      </c>
      <c r="K1495" s="77" t="s">
        <v>169</v>
      </c>
      <c r="L1495" s="103" t="str">
        <f>VLOOKUP(Anexo_4[[#This Row],[cod_doc]],TIPODOC,2,FALSE)</f>
        <v>FACTURA</v>
      </c>
      <c r="M1495" s="77" t="s">
        <v>379</v>
      </c>
      <c r="N1495" s="79">
        <v>2162563</v>
      </c>
      <c r="O1495" s="80">
        <v>10.17</v>
      </c>
      <c r="P1495" s="81"/>
      <c r="Q1495" s="81">
        <v>1.8306</v>
      </c>
      <c r="R1495" s="80"/>
      <c r="S1495" s="80" t="s">
        <v>4341</v>
      </c>
      <c r="T1495" s="88">
        <v>12</v>
      </c>
      <c r="U1495" s="85"/>
      <c r="V1495" s="79"/>
      <c r="W1495" s="85"/>
      <c r="X1495" s="85"/>
      <c r="Y1495" s="85" t="s">
        <v>4664</v>
      </c>
      <c r="Z1495" s="85" t="s">
        <v>302</v>
      </c>
      <c r="AA1495" s="105" t="s">
        <v>4663</v>
      </c>
      <c r="AB1495" s="104" t="str">
        <f>IFERROR(VLOOKUP(Anexo_4[[#This Row],[cuenta]],OP,2,0),"-")</f>
        <v>Transporte peajes - Servicios</v>
      </c>
    </row>
    <row r="1496" spans="1:28" s="84" customFormat="1" ht="27" customHeight="1" x14ac:dyDescent="0.3">
      <c r="A1496" s="75" t="s">
        <v>4616</v>
      </c>
      <c r="B1496" s="36" t="str">
        <f t="shared" si="23"/>
        <v>Agosto</v>
      </c>
      <c r="C1496" s="77" t="s">
        <v>162</v>
      </c>
      <c r="D1496" s="77" t="s">
        <v>4665</v>
      </c>
      <c r="E149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496" s="79" t="s">
        <v>175</v>
      </c>
      <c r="G1496" s="79" t="s">
        <v>176</v>
      </c>
      <c r="H1496" s="140" t="s">
        <v>4666</v>
      </c>
      <c r="I1496" s="77" t="s">
        <v>178</v>
      </c>
      <c r="J1496" s="144" t="s">
        <v>4667</v>
      </c>
      <c r="K1496" s="77" t="s">
        <v>169</v>
      </c>
      <c r="L1496" s="103" t="str">
        <f>VLOOKUP(Anexo_4[[#This Row],[cod_doc]],TIPODOC,2,FALSE)</f>
        <v>FACTURA</v>
      </c>
      <c r="M1496" s="77" t="s">
        <v>180</v>
      </c>
      <c r="N1496" s="79">
        <v>136209</v>
      </c>
      <c r="O1496" s="80">
        <v>8.4700000000000006</v>
      </c>
      <c r="P1496" s="81"/>
      <c r="Q1496" s="81">
        <v>1.5246</v>
      </c>
      <c r="R1496" s="80"/>
      <c r="S1496" s="80" t="s">
        <v>4341</v>
      </c>
      <c r="T1496" s="88">
        <v>10</v>
      </c>
      <c r="U1496" s="85"/>
      <c r="V1496" s="79"/>
      <c r="W1496" s="85"/>
      <c r="X1496" s="85"/>
      <c r="Y1496" s="85" t="s">
        <v>4668</v>
      </c>
      <c r="Z1496" s="85" t="s">
        <v>386</v>
      </c>
      <c r="AA1496" s="105" t="s">
        <v>4666</v>
      </c>
      <c r="AB1496" s="104" t="str">
        <f>IFERROR(VLOOKUP(Anexo_4[[#This Row],[cuenta]],OP,2,0),"-")</f>
        <v>Balanza - Servicios</v>
      </c>
    </row>
    <row r="1497" spans="1:28" s="84" customFormat="1" ht="27" customHeight="1" x14ac:dyDescent="0.3">
      <c r="A1497" s="75" t="s">
        <v>4447</v>
      </c>
      <c r="B1497" s="36" t="str">
        <f t="shared" si="23"/>
        <v>Agosto</v>
      </c>
      <c r="C1497" s="77" t="s">
        <v>162</v>
      </c>
      <c r="D1497" s="77" t="s">
        <v>4669</v>
      </c>
      <c r="E1497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497" s="79" t="s">
        <v>592</v>
      </c>
      <c r="G1497" s="79" t="s">
        <v>593</v>
      </c>
      <c r="H1497" s="140" t="s">
        <v>4670</v>
      </c>
      <c r="I1497" s="77" t="s">
        <v>937</v>
      </c>
      <c r="J1497" s="144" t="s">
        <v>4671</v>
      </c>
      <c r="K1497" s="77" t="s">
        <v>169</v>
      </c>
      <c r="L1497" s="103" t="str">
        <f>VLOOKUP(Anexo_4[[#This Row],[cod_doc]],TIPODOC,2,FALSE)</f>
        <v>FACTURA</v>
      </c>
      <c r="M1497" s="77" t="s">
        <v>942</v>
      </c>
      <c r="N1497" s="79">
        <v>11406</v>
      </c>
      <c r="O1497" s="80">
        <v>219.5</v>
      </c>
      <c r="P1497" s="81"/>
      <c r="Q1497" s="81">
        <v>39.51</v>
      </c>
      <c r="R1497" s="80"/>
      <c r="S1497" s="80" t="s">
        <v>4341</v>
      </c>
      <c r="T1497" s="88">
        <v>259.01</v>
      </c>
      <c r="U1497" s="85"/>
      <c r="V1497" s="79"/>
      <c r="W1497" s="85"/>
      <c r="X1497" s="85"/>
      <c r="Y1497" s="85"/>
      <c r="Z1497" s="85" t="s">
        <v>455</v>
      </c>
      <c r="AA1497" s="105" t="s">
        <v>4670</v>
      </c>
      <c r="AB1497" s="104" t="str">
        <f>IFERROR(VLOOKUP(Anexo_4[[#This Row],[cuenta]],OP,2,0),"-")</f>
        <v>Combustible (Vehiculos)</v>
      </c>
    </row>
    <row r="1498" spans="1:28" s="84" customFormat="1" ht="27" customHeight="1" x14ac:dyDescent="0.3">
      <c r="A1498" s="75" t="s">
        <v>4342</v>
      </c>
      <c r="B1498" s="36" t="str">
        <f t="shared" si="23"/>
        <v>Agosto</v>
      </c>
      <c r="C1498" s="77" t="s">
        <v>162</v>
      </c>
      <c r="D1498" s="77" t="s">
        <v>4672</v>
      </c>
      <c r="E1498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498" s="79" t="s">
        <v>190</v>
      </c>
      <c r="G1498" s="79" t="s">
        <v>191</v>
      </c>
      <c r="H1498" s="140" t="s">
        <v>4673</v>
      </c>
      <c r="I1498" s="77" t="s">
        <v>4674</v>
      </c>
      <c r="J1498" s="144" t="s">
        <v>4675</v>
      </c>
      <c r="K1498" s="77" t="s">
        <v>169</v>
      </c>
      <c r="L1498" s="103" t="str">
        <f>VLOOKUP(Anexo_4[[#This Row],[cod_doc]],TIPODOC,2,FALSE)</f>
        <v>FACTURA</v>
      </c>
      <c r="M1498" s="77" t="s">
        <v>102</v>
      </c>
      <c r="N1498" s="79">
        <v>3983</v>
      </c>
      <c r="O1498" s="80">
        <v>55.08</v>
      </c>
      <c r="P1498" s="81"/>
      <c r="Q1498" s="81">
        <v>9.9143999999999988</v>
      </c>
      <c r="R1498" s="80"/>
      <c r="S1498" s="80" t="s">
        <v>4341</v>
      </c>
      <c r="T1498" s="88">
        <v>65</v>
      </c>
      <c r="U1498" s="85"/>
      <c r="V1498" s="79"/>
      <c r="W1498" s="85"/>
      <c r="X1498" s="85"/>
      <c r="Y1498" s="85"/>
      <c r="Z1498" s="85" t="s">
        <v>2320</v>
      </c>
      <c r="AA1498" s="105" t="s">
        <v>4673</v>
      </c>
      <c r="AB1498" s="104" t="str">
        <f>IFERROR(VLOOKUP(Anexo_4[[#This Row],[cuenta]],OP,2,0),"-")</f>
        <v>Otros Gastos de Gestion</v>
      </c>
    </row>
    <row r="1499" spans="1:28" s="84" customFormat="1" ht="27" customHeight="1" x14ac:dyDescent="0.3">
      <c r="A1499" s="75" t="s">
        <v>4616</v>
      </c>
      <c r="B1499" s="36" t="str">
        <f t="shared" si="23"/>
        <v>Agosto</v>
      </c>
      <c r="C1499" s="77" t="s">
        <v>162</v>
      </c>
      <c r="D1499" s="77" t="s">
        <v>4676</v>
      </c>
      <c r="E1499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499" s="79" t="s">
        <v>650</v>
      </c>
      <c r="G1499" s="79" t="s">
        <v>651</v>
      </c>
      <c r="H1499" s="140" t="s">
        <v>4677</v>
      </c>
      <c r="I1499" s="77" t="s">
        <v>653</v>
      </c>
      <c r="J1499" s="144" t="s">
        <v>4678</v>
      </c>
      <c r="K1499" s="77" t="s">
        <v>169</v>
      </c>
      <c r="L1499" s="103" t="str">
        <f>VLOOKUP(Anexo_4[[#This Row],[cod_doc]],TIPODOC,2,FALSE)</f>
        <v>FACTURA</v>
      </c>
      <c r="M1499" s="77" t="s">
        <v>655</v>
      </c>
      <c r="N1499" s="79">
        <v>16524</v>
      </c>
      <c r="O1499" s="80">
        <v>92</v>
      </c>
      <c r="P1499" s="81"/>
      <c r="Q1499" s="81">
        <v>16.559999999999999</v>
      </c>
      <c r="R1499" s="80"/>
      <c r="S1499" s="80" t="s">
        <v>4341</v>
      </c>
      <c r="T1499" s="88">
        <v>108.56</v>
      </c>
      <c r="U1499" s="85"/>
      <c r="V1499" s="79"/>
      <c r="W1499" s="85"/>
      <c r="X1499" s="85"/>
      <c r="Y1499" s="85"/>
      <c r="Z1499" s="85" t="s">
        <v>1602</v>
      </c>
      <c r="AA1499" s="105" t="s">
        <v>4677</v>
      </c>
      <c r="AB1499" s="104" t="str">
        <f>IFERROR(VLOOKUP(Anexo_4[[#This Row],[cuenta]],OP,2,0),"-")</f>
        <v>Ingreso</v>
      </c>
    </row>
    <row r="1500" spans="1:28" s="84" customFormat="1" ht="27" customHeight="1" x14ac:dyDescent="0.3">
      <c r="A1500" s="75" t="s">
        <v>4545</v>
      </c>
      <c r="B1500" s="36" t="str">
        <f t="shared" si="23"/>
        <v>Agosto</v>
      </c>
      <c r="C1500" s="77" t="s">
        <v>162</v>
      </c>
      <c r="D1500" s="77" t="s">
        <v>4679</v>
      </c>
      <c r="E1500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500" s="79" t="s">
        <v>456</v>
      </c>
      <c r="G1500" s="79" t="s">
        <v>457</v>
      </c>
      <c r="H1500" s="140" t="s">
        <v>608</v>
      </c>
      <c r="I1500" s="77" t="s">
        <v>2130</v>
      </c>
      <c r="J1500" s="144" t="s">
        <v>4680</v>
      </c>
      <c r="K1500" s="77" t="s">
        <v>169</v>
      </c>
      <c r="L1500" s="103" t="str">
        <f>VLOOKUP(Anexo_4[[#This Row],[cod_doc]],TIPODOC,2,FALSE)</f>
        <v>FACTURA</v>
      </c>
      <c r="M1500" s="77" t="s">
        <v>102</v>
      </c>
      <c r="N1500" s="79">
        <v>146</v>
      </c>
      <c r="O1500" s="80">
        <v>29.66</v>
      </c>
      <c r="P1500" s="81"/>
      <c r="Q1500" s="81">
        <v>5.3388</v>
      </c>
      <c r="R1500" s="80"/>
      <c r="S1500" s="80" t="s">
        <v>4341</v>
      </c>
      <c r="T1500" s="88">
        <v>35</v>
      </c>
      <c r="U1500" s="85"/>
      <c r="V1500" s="79"/>
      <c r="W1500" s="85"/>
      <c r="X1500" s="85"/>
      <c r="Y1500" s="85"/>
      <c r="Z1500" s="85" t="s">
        <v>507</v>
      </c>
      <c r="AA1500" s="105" t="s">
        <v>608</v>
      </c>
      <c r="AB1500" s="104" t="str">
        <f>IFERROR(VLOOKUP(Anexo_4[[#This Row],[cuenta]],OP,2,0),"-")</f>
        <v>Transporte lavado (Higienización)</v>
      </c>
    </row>
    <row r="1501" spans="1:28" s="84" customFormat="1" ht="27" customHeight="1" x14ac:dyDescent="0.3">
      <c r="A1501" s="75" t="s">
        <v>4447</v>
      </c>
      <c r="B1501" s="36" t="str">
        <f t="shared" si="23"/>
        <v>Agosto</v>
      </c>
      <c r="C1501" s="77" t="s">
        <v>162</v>
      </c>
      <c r="D1501" s="77" t="s">
        <v>4681</v>
      </c>
      <c r="E150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501" s="79" t="s">
        <v>592</v>
      </c>
      <c r="G1501" s="79" t="s">
        <v>593</v>
      </c>
      <c r="H1501" s="140" t="s">
        <v>2624</v>
      </c>
      <c r="I1501" s="77" t="s">
        <v>937</v>
      </c>
      <c r="J1501" s="144" t="s">
        <v>4671</v>
      </c>
      <c r="K1501" s="77" t="s">
        <v>169</v>
      </c>
      <c r="L1501" s="103" t="str">
        <f>VLOOKUP(Anexo_4[[#This Row],[cod_doc]],TIPODOC,2,FALSE)</f>
        <v>FACTURA</v>
      </c>
      <c r="M1501" s="77" t="s">
        <v>939</v>
      </c>
      <c r="N1501" s="79">
        <v>8871</v>
      </c>
      <c r="O1501" s="80">
        <v>169.5</v>
      </c>
      <c r="P1501" s="81"/>
      <c r="Q1501" s="81">
        <v>30.509999999999998</v>
      </c>
      <c r="R1501" s="80"/>
      <c r="S1501" s="80" t="s">
        <v>4341</v>
      </c>
      <c r="T1501" s="88">
        <v>200.01</v>
      </c>
      <c r="U1501" s="85"/>
      <c r="V1501" s="79"/>
      <c r="W1501" s="85"/>
      <c r="X1501" s="85"/>
      <c r="Y1501" s="85"/>
      <c r="Z1501" s="85" t="s">
        <v>455</v>
      </c>
      <c r="AA1501" s="105" t="s">
        <v>2624</v>
      </c>
      <c r="AB1501" s="104" t="str">
        <f>IFERROR(VLOOKUP(Anexo_4[[#This Row],[cuenta]],OP,2,0),"-")</f>
        <v>Combustible (Vehiculos)</v>
      </c>
    </row>
    <row r="1502" spans="1:28" s="84" customFormat="1" ht="27" customHeight="1" x14ac:dyDescent="0.3">
      <c r="A1502" s="75" t="s">
        <v>4206</v>
      </c>
      <c r="B1502" s="36" t="str">
        <f t="shared" si="23"/>
        <v>Agosto</v>
      </c>
      <c r="C1502" s="77" t="s">
        <v>162</v>
      </c>
      <c r="D1502" s="77" t="s">
        <v>4682</v>
      </c>
      <c r="E150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502" s="79" t="s">
        <v>355</v>
      </c>
      <c r="G1502" s="79" t="s">
        <v>356</v>
      </c>
      <c r="H1502" s="140" t="s">
        <v>4683</v>
      </c>
      <c r="I1502" s="77" t="s">
        <v>1233</v>
      </c>
      <c r="J1502" s="144" t="s">
        <v>4684</v>
      </c>
      <c r="K1502" s="77" t="s">
        <v>169</v>
      </c>
      <c r="L1502" s="103" t="str">
        <f>VLOOKUP(Anexo_4[[#This Row],[cod_doc]],TIPODOC,2,FALSE)</f>
        <v>FACTURA</v>
      </c>
      <c r="M1502" s="77" t="s">
        <v>102</v>
      </c>
      <c r="N1502" s="79">
        <v>1274</v>
      </c>
      <c r="O1502" s="80">
        <v>357.7</v>
      </c>
      <c r="P1502" s="81"/>
      <c r="Q1502" s="81">
        <v>64.385999999999996</v>
      </c>
      <c r="R1502" s="80"/>
      <c r="S1502" s="80" t="s">
        <v>4341</v>
      </c>
      <c r="T1502" s="88">
        <v>599.09</v>
      </c>
      <c r="U1502" s="85"/>
      <c r="V1502" s="79"/>
      <c r="W1502" s="85"/>
      <c r="X1502" s="85"/>
      <c r="Y1502" s="85"/>
      <c r="Z1502" s="85" t="s">
        <v>1235</v>
      </c>
      <c r="AA1502" s="105" t="s">
        <v>4683</v>
      </c>
      <c r="AB1502" s="104" t="str">
        <f>IFERROR(VLOOKUP(Anexo_4[[#This Row],[cuenta]],OP,2,0),"-")</f>
        <v>Disposición Final de RR.SS - No Aprovechables</v>
      </c>
    </row>
    <row r="1503" spans="1:28" s="84" customFormat="1" ht="27" customHeight="1" x14ac:dyDescent="0.3">
      <c r="A1503" s="75" t="s">
        <v>4206</v>
      </c>
      <c r="B1503" s="36" t="str">
        <f t="shared" si="23"/>
        <v>Agosto</v>
      </c>
      <c r="C1503" s="77" t="s">
        <v>162</v>
      </c>
      <c r="D1503" s="77" t="s">
        <v>4682</v>
      </c>
      <c r="E1503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503" s="79" t="s">
        <v>592</v>
      </c>
      <c r="G1503" s="79" t="s">
        <v>593</v>
      </c>
      <c r="H1503" s="140" t="s">
        <v>4683</v>
      </c>
      <c r="I1503" s="77" t="s">
        <v>1233</v>
      </c>
      <c r="J1503" s="144" t="s">
        <v>4684</v>
      </c>
      <c r="K1503" s="77" t="s">
        <v>169</v>
      </c>
      <c r="L1503" s="103" t="str">
        <f>VLOOKUP(Anexo_4[[#This Row],[cod_doc]],TIPODOC,2,FALSE)</f>
        <v>FACTURA</v>
      </c>
      <c r="M1503" s="77" t="s">
        <v>102</v>
      </c>
      <c r="N1503" s="79">
        <v>1274</v>
      </c>
      <c r="O1503" s="80">
        <v>150</v>
      </c>
      <c r="P1503" s="81"/>
      <c r="Q1503" s="81">
        <v>27</v>
      </c>
      <c r="R1503" s="80"/>
      <c r="S1503" s="80" t="s">
        <v>4341</v>
      </c>
      <c r="T1503" s="88">
        <v>599.09</v>
      </c>
      <c r="U1503" s="85"/>
      <c r="V1503" s="79"/>
      <c r="W1503" s="85"/>
      <c r="X1503" s="85"/>
      <c r="Y1503" s="85"/>
      <c r="Z1503" s="85" t="s">
        <v>645</v>
      </c>
      <c r="AA1503" s="105" t="s">
        <v>4683</v>
      </c>
      <c r="AB1503" s="104" t="str">
        <f>IFERROR(VLOOKUP(Anexo_4[[#This Row],[cuenta]],OP,2,0),"-")</f>
        <v>Montacarga - Servicios</v>
      </c>
    </row>
    <row r="1504" spans="1:28" s="84" customFormat="1" ht="27" customHeight="1" x14ac:dyDescent="0.3">
      <c r="A1504" s="75" t="s">
        <v>4206</v>
      </c>
      <c r="B1504" s="36" t="str">
        <f t="shared" si="23"/>
        <v>Agosto</v>
      </c>
      <c r="C1504" s="77" t="s">
        <v>162</v>
      </c>
      <c r="D1504" s="77" t="s">
        <v>4685</v>
      </c>
      <c r="E1504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504" s="79" t="s">
        <v>355</v>
      </c>
      <c r="G1504" s="79" t="s">
        <v>356</v>
      </c>
      <c r="H1504" s="140" t="s">
        <v>4686</v>
      </c>
      <c r="I1504" s="77" t="s">
        <v>1233</v>
      </c>
      <c r="J1504" s="144" t="s">
        <v>4684</v>
      </c>
      <c r="K1504" s="77" t="s">
        <v>169</v>
      </c>
      <c r="L1504" s="103" t="str">
        <f>VLOOKUP(Anexo_4[[#This Row],[cod_doc]],TIPODOC,2,FALSE)</f>
        <v>FACTURA</v>
      </c>
      <c r="M1504" s="77" t="s">
        <v>102</v>
      </c>
      <c r="N1504" s="79">
        <v>1271</v>
      </c>
      <c r="O1504" s="80">
        <v>427</v>
      </c>
      <c r="P1504" s="81"/>
      <c r="Q1504" s="81">
        <v>76.86</v>
      </c>
      <c r="R1504" s="80"/>
      <c r="S1504" s="80" t="s">
        <v>4341</v>
      </c>
      <c r="T1504" s="88">
        <v>680.86</v>
      </c>
      <c r="U1504" s="85"/>
      <c r="V1504" s="79"/>
      <c r="W1504" s="85"/>
      <c r="X1504" s="85"/>
      <c r="Y1504" s="85"/>
      <c r="Z1504" s="85" t="s">
        <v>1235</v>
      </c>
      <c r="AA1504" s="105" t="s">
        <v>4686</v>
      </c>
      <c r="AB1504" s="104" t="str">
        <f>IFERROR(VLOOKUP(Anexo_4[[#This Row],[cuenta]],OP,2,0),"-")</f>
        <v>Disposición Final de RR.SS - No Aprovechables</v>
      </c>
    </row>
    <row r="1505" spans="1:28" s="84" customFormat="1" ht="27" customHeight="1" x14ac:dyDescent="0.3">
      <c r="A1505" s="75" t="s">
        <v>4206</v>
      </c>
      <c r="B1505" s="36" t="str">
        <f t="shared" si="23"/>
        <v>Agosto</v>
      </c>
      <c r="C1505" s="77" t="s">
        <v>162</v>
      </c>
      <c r="D1505" s="77" t="s">
        <v>4685</v>
      </c>
      <c r="E150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505" s="79" t="s">
        <v>592</v>
      </c>
      <c r="G1505" s="79" t="s">
        <v>593</v>
      </c>
      <c r="H1505" s="140" t="s">
        <v>4686</v>
      </c>
      <c r="I1505" s="77" t="s">
        <v>1233</v>
      </c>
      <c r="J1505" s="144" t="s">
        <v>4684</v>
      </c>
      <c r="K1505" s="77" t="s">
        <v>169</v>
      </c>
      <c r="L1505" s="103" t="str">
        <f>VLOOKUP(Anexo_4[[#This Row],[cod_doc]],TIPODOC,2,FALSE)</f>
        <v>FACTURA</v>
      </c>
      <c r="M1505" s="77" t="s">
        <v>102</v>
      </c>
      <c r="N1505" s="79">
        <v>1271</v>
      </c>
      <c r="O1505" s="80">
        <v>150</v>
      </c>
      <c r="P1505" s="81"/>
      <c r="Q1505" s="81">
        <v>27</v>
      </c>
      <c r="R1505" s="80"/>
      <c r="S1505" s="80" t="s">
        <v>4341</v>
      </c>
      <c r="T1505" s="88">
        <v>680.86</v>
      </c>
      <c r="U1505" s="85"/>
      <c r="V1505" s="79"/>
      <c r="W1505" s="85"/>
      <c r="X1505" s="85"/>
      <c r="Y1505" s="85"/>
      <c r="Z1505" s="85" t="s">
        <v>645</v>
      </c>
      <c r="AA1505" s="105" t="s">
        <v>4686</v>
      </c>
      <c r="AB1505" s="104" t="str">
        <f>IFERROR(VLOOKUP(Anexo_4[[#This Row],[cuenta]],OP,2,0),"-")</f>
        <v>Montacarga - Servicios</v>
      </c>
    </row>
    <row r="1506" spans="1:28" s="84" customFormat="1" ht="27" customHeight="1" x14ac:dyDescent="0.3">
      <c r="A1506" s="75" t="s">
        <v>4206</v>
      </c>
      <c r="B1506" s="36" t="str">
        <f t="shared" si="23"/>
        <v>Agosto</v>
      </c>
      <c r="C1506" s="77" t="s">
        <v>162</v>
      </c>
      <c r="D1506" s="77" t="s">
        <v>4687</v>
      </c>
      <c r="E150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506" s="79" t="s">
        <v>355</v>
      </c>
      <c r="G1506" s="79" t="s">
        <v>356</v>
      </c>
      <c r="H1506" s="140" t="s">
        <v>4688</v>
      </c>
      <c r="I1506" s="77" t="s">
        <v>1233</v>
      </c>
      <c r="J1506" s="144" t="s">
        <v>4684</v>
      </c>
      <c r="K1506" s="77" t="s">
        <v>169</v>
      </c>
      <c r="L1506" s="103" t="str">
        <f>VLOOKUP(Anexo_4[[#This Row],[cod_doc]],TIPODOC,2,FALSE)</f>
        <v>FACTURA</v>
      </c>
      <c r="M1506" s="77" t="s">
        <v>102</v>
      </c>
      <c r="N1506" s="79">
        <v>1272</v>
      </c>
      <c r="O1506" s="80">
        <v>501.2</v>
      </c>
      <c r="P1506" s="81"/>
      <c r="Q1506" s="81">
        <v>90.215999999999994</v>
      </c>
      <c r="R1506" s="80"/>
      <c r="S1506" s="80" t="s">
        <v>4341</v>
      </c>
      <c r="T1506" s="88">
        <v>768.42</v>
      </c>
      <c r="U1506" s="85" t="s">
        <v>4689</v>
      </c>
      <c r="V1506" s="79" t="s">
        <v>4535</v>
      </c>
      <c r="W1506" s="85"/>
      <c r="X1506" s="85"/>
      <c r="Y1506" s="85"/>
      <c r="Z1506" s="85" t="s">
        <v>1235</v>
      </c>
      <c r="AA1506" s="105" t="s">
        <v>4688</v>
      </c>
      <c r="AB1506" s="104" t="str">
        <f>IFERROR(VLOOKUP(Anexo_4[[#This Row],[cuenta]],OP,2,0),"-")</f>
        <v>Disposición Final de RR.SS - No Aprovechables</v>
      </c>
    </row>
    <row r="1507" spans="1:28" s="84" customFormat="1" ht="27" customHeight="1" x14ac:dyDescent="0.3">
      <c r="A1507" s="75" t="s">
        <v>4206</v>
      </c>
      <c r="B1507" s="36" t="str">
        <f t="shared" si="23"/>
        <v>Agosto</v>
      </c>
      <c r="C1507" s="77" t="s">
        <v>162</v>
      </c>
      <c r="D1507" s="77" t="s">
        <v>4687</v>
      </c>
      <c r="E1507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507" s="79" t="s">
        <v>592</v>
      </c>
      <c r="G1507" s="79" t="s">
        <v>593</v>
      </c>
      <c r="H1507" s="140" t="s">
        <v>4688</v>
      </c>
      <c r="I1507" s="77" t="s">
        <v>1233</v>
      </c>
      <c r="J1507" s="144" t="s">
        <v>4684</v>
      </c>
      <c r="K1507" s="77" t="s">
        <v>169</v>
      </c>
      <c r="L1507" s="103" t="str">
        <f>VLOOKUP(Anexo_4[[#This Row],[cod_doc]],TIPODOC,2,FALSE)</f>
        <v>FACTURA</v>
      </c>
      <c r="M1507" s="77" t="s">
        <v>102</v>
      </c>
      <c r="N1507" s="79">
        <v>1272</v>
      </c>
      <c r="O1507" s="80">
        <v>150</v>
      </c>
      <c r="P1507" s="81"/>
      <c r="Q1507" s="81">
        <v>27</v>
      </c>
      <c r="R1507" s="80"/>
      <c r="S1507" s="80" t="s">
        <v>4341</v>
      </c>
      <c r="T1507" s="88">
        <v>768.42</v>
      </c>
      <c r="U1507" s="85" t="s">
        <v>4689</v>
      </c>
      <c r="V1507" s="79" t="s">
        <v>4535</v>
      </c>
      <c r="W1507" s="85"/>
      <c r="X1507" s="85"/>
      <c r="Y1507" s="85"/>
      <c r="Z1507" s="85" t="s">
        <v>645</v>
      </c>
      <c r="AA1507" s="105" t="s">
        <v>4688</v>
      </c>
      <c r="AB1507" s="104" t="str">
        <f>IFERROR(VLOOKUP(Anexo_4[[#This Row],[cuenta]],OP,2,0),"-")</f>
        <v>Montacarga - Servicios</v>
      </c>
    </row>
    <row r="1508" spans="1:28" s="84" customFormat="1" ht="27" customHeight="1" x14ac:dyDescent="0.3">
      <c r="A1508" s="75" t="s">
        <v>4206</v>
      </c>
      <c r="B1508" s="36" t="str">
        <f t="shared" si="23"/>
        <v>Agosto</v>
      </c>
      <c r="C1508" s="77" t="s">
        <v>162</v>
      </c>
      <c r="D1508" s="77" t="s">
        <v>4690</v>
      </c>
      <c r="E1508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508" s="79" t="s">
        <v>355</v>
      </c>
      <c r="G1508" s="79" t="s">
        <v>356</v>
      </c>
      <c r="H1508" s="140" t="s">
        <v>4686</v>
      </c>
      <c r="I1508" s="77" t="s">
        <v>1233</v>
      </c>
      <c r="J1508" s="144" t="s">
        <v>4684</v>
      </c>
      <c r="K1508" s="77" t="s">
        <v>169</v>
      </c>
      <c r="L1508" s="103" t="str">
        <f>VLOOKUP(Anexo_4[[#This Row],[cod_doc]],TIPODOC,2,FALSE)</f>
        <v>FACTURA</v>
      </c>
      <c r="M1508" s="77" t="s">
        <v>102</v>
      </c>
      <c r="N1508" s="79">
        <v>1273</v>
      </c>
      <c r="O1508" s="80">
        <v>392.7</v>
      </c>
      <c r="P1508" s="81"/>
      <c r="Q1508" s="81">
        <v>70.685999999999993</v>
      </c>
      <c r="R1508" s="80"/>
      <c r="S1508" s="80" t="s">
        <v>4341</v>
      </c>
      <c r="T1508" s="88">
        <v>640.39</v>
      </c>
      <c r="U1508" s="85"/>
      <c r="V1508" s="79"/>
      <c r="W1508" s="85"/>
      <c r="X1508" s="85"/>
      <c r="Y1508" s="85"/>
      <c r="Z1508" s="85" t="s">
        <v>1235</v>
      </c>
      <c r="AA1508" s="105" t="s">
        <v>4686</v>
      </c>
      <c r="AB1508" s="104" t="str">
        <f>IFERROR(VLOOKUP(Anexo_4[[#This Row],[cuenta]],OP,2,0),"-")</f>
        <v>Disposición Final de RR.SS - No Aprovechables</v>
      </c>
    </row>
    <row r="1509" spans="1:28" s="84" customFormat="1" ht="27" customHeight="1" x14ac:dyDescent="0.3">
      <c r="A1509" s="75" t="s">
        <v>4206</v>
      </c>
      <c r="B1509" s="36" t="str">
        <f t="shared" si="23"/>
        <v>Agosto</v>
      </c>
      <c r="C1509" s="77" t="s">
        <v>162</v>
      </c>
      <c r="D1509" s="77" t="s">
        <v>4690</v>
      </c>
      <c r="E1509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509" s="79" t="s">
        <v>592</v>
      </c>
      <c r="G1509" s="79" t="s">
        <v>593</v>
      </c>
      <c r="H1509" s="140" t="s">
        <v>4686</v>
      </c>
      <c r="I1509" s="77" t="s">
        <v>1233</v>
      </c>
      <c r="J1509" s="144" t="s">
        <v>4684</v>
      </c>
      <c r="K1509" s="77" t="s">
        <v>169</v>
      </c>
      <c r="L1509" s="103" t="str">
        <f>VLOOKUP(Anexo_4[[#This Row],[cod_doc]],TIPODOC,2,FALSE)</f>
        <v>FACTURA</v>
      </c>
      <c r="M1509" s="77" t="s">
        <v>102</v>
      </c>
      <c r="N1509" s="79">
        <v>1273</v>
      </c>
      <c r="O1509" s="80">
        <v>150</v>
      </c>
      <c r="P1509" s="81"/>
      <c r="Q1509" s="81">
        <v>27</v>
      </c>
      <c r="R1509" s="80"/>
      <c r="S1509" s="80" t="s">
        <v>4341</v>
      </c>
      <c r="T1509" s="88">
        <v>640.39</v>
      </c>
      <c r="U1509" s="85"/>
      <c r="V1509" s="79"/>
      <c r="W1509" s="85"/>
      <c r="X1509" s="85"/>
      <c r="Y1509" s="85"/>
      <c r="Z1509" s="85" t="s">
        <v>645</v>
      </c>
      <c r="AA1509" s="105" t="s">
        <v>4686</v>
      </c>
      <c r="AB1509" s="104" t="str">
        <f>IFERROR(VLOOKUP(Anexo_4[[#This Row],[cuenta]],OP,2,0),"-")</f>
        <v>Montacarga - Servicios</v>
      </c>
    </row>
    <row r="1510" spans="1:28" s="84" customFormat="1" ht="27" customHeight="1" x14ac:dyDescent="0.3">
      <c r="A1510" s="75" t="s">
        <v>4206</v>
      </c>
      <c r="B1510" s="36" t="str">
        <f t="shared" si="23"/>
        <v>Agosto</v>
      </c>
      <c r="C1510" s="77" t="s">
        <v>162</v>
      </c>
      <c r="D1510" s="77" t="s">
        <v>4691</v>
      </c>
      <c r="E1510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510" s="79" t="s">
        <v>190</v>
      </c>
      <c r="G1510" s="79" t="s">
        <v>191</v>
      </c>
      <c r="H1510" s="140" t="s">
        <v>4692</v>
      </c>
      <c r="I1510" s="77" t="s">
        <v>899</v>
      </c>
      <c r="J1510" s="144" t="s">
        <v>4693</v>
      </c>
      <c r="K1510" s="77" t="s">
        <v>169</v>
      </c>
      <c r="L1510" s="103" t="str">
        <f>VLOOKUP(Anexo_4[[#This Row],[cod_doc]],TIPODOC,2,FALSE)</f>
        <v>FACTURA</v>
      </c>
      <c r="M1510" s="77" t="s">
        <v>102</v>
      </c>
      <c r="N1510" s="79">
        <v>587</v>
      </c>
      <c r="O1510" s="80">
        <v>135.59</v>
      </c>
      <c r="P1510" s="81"/>
      <c r="Q1510" s="81">
        <v>24.406199999999998</v>
      </c>
      <c r="R1510" s="80"/>
      <c r="S1510" s="80" t="s">
        <v>4341</v>
      </c>
      <c r="T1510" s="88">
        <v>160</v>
      </c>
      <c r="U1510" s="85"/>
      <c r="V1510" s="79"/>
      <c r="W1510" s="85"/>
      <c r="X1510" s="85"/>
      <c r="Y1510" s="85"/>
      <c r="Z1510" s="85" t="s">
        <v>901</v>
      </c>
      <c r="AA1510" s="105" t="s">
        <v>4692</v>
      </c>
      <c r="AB1510" s="104" t="str">
        <f>IFERROR(VLOOKUP(Anexo_4[[#This Row],[cuenta]],OP,2,0),"-")</f>
        <v>-</v>
      </c>
    </row>
    <row r="1511" spans="1:28" s="84" customFormat="1" ht="27" customHeight="1" x14ac:dyDescent="0.3">
      <c r="A1511" s="75" t="s">
        <v>3624</v>
      </c>
      <c r="B1511" s="36" t="str">
        <f t="shared" si="23"/>
        <v>Agosto</v>
      </c>
      <c r="C1511" s="77" t="s">
        <v>162</v>
      </c>
      <c r="D1511" s="77" t="s">
        <v>4694</v>
      </c>
      <c r="E1511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511" s="79" t="s">
        <v>190</v>
      </c>
      <c r="G1511" s="79" t="s">
        <v>191</v>
      </c>
      <c r="H1511" s="140" t="s">
        <v>4695</v>
      </c>
      <c r="I1511" s="77" t="s">
        <v>899</v>
      </c>
      <c r="J1511" s="144" t="s">
        <v>4693</v>
      </c>
      <c r="K1511" s="77" t="s">
        <v>169</v>
      </c>
      <c r="L1511" s="103" t="str">
        <f>VLOOKUP(Anexo_4[[#This Row],[cod_doc]],TIPODOC,2,FALSE)</f>
        <v>FACTURA</v>
      </c>
      <c r="M1511" s="77" t="s">
        <v>102</v>
      </c>
      <c r="N1511" s="79">
        <v>558</v>
      </c>
      <c r="O1511" s="80">
        <v>152.54</v>
      </c>
      <c r="P1511" s="81"/>
      <c r="Q1511" s="81">
        <v>27.457199999999997</v>
      </c>
      <c r="R1511" s="80"/>
      <c r="S1511" s="80" t="s">
        <v>4341</v>
      </c>
      <c r="T1511" s="88">
        <v>180</v>
      </c>
      <c r="U1511" s="85"/>
      <c r="V1511" s="79"/>
      <c r="W1511" s="85"/>
      <c r="X1511" s="85"/>
      <c r="Y1511" s="85"/>
      <c r="Z1511" s="85" t="s">
        <v>901</v>
      </c>
      <c r="AA1511" s="105" t="s">
        <v>4695</v>
      </c>
      <c r="AB1511" s="104" t="str">
        <f>IFERROR(VLOOKUP(Anexo_4[[#This Row],[cuenta]],OP,2,0),"-")</f>
        <v>-</v>
      </c>
    </row>
    <row r="1512" spans="1:28" s="84" customFormat="1" ht="27" customHeight="1" x14ac:dyDescent="0.3">
      <c r="A1512" s="75" t="s">
        <v>1843</v>
      </c>
      <c r="B1512" s="36" t="str">
        <f t="shared" si="23"/>
        <v>Agosto</v>
      </c>
      <c r="C1512" s="77" t="s">
        <v>162</v>
      </c>
      <c r="D1512" s="77" t="s">
        <v>4696</v>
      </c>
      <c r="E1512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512" s="79"/>
      <c r="G1512" s="79"/>
      <c r="H1512" s="140"/>
      <c r="I1512" s="77" t="s">
        <v>899</v>
      </c>
      <c r="J1512" s="144" t="s">
        <v>4693</v>
      </c>
      <c r="K1512" s="77" t="s">
        <v>169</v>
      </c>
      <c r="L1512" s="103" t="str">
        <f>VLOOKUP(Anexo_4[[#This Row],[cod_doc]],TIPODOC,2,FALSE)</f>
        <v>FACTURA</v>
      </c>
      <c r="M1512" s="77" t="s">
        <v>102</v>
      </c>
      <c r="N1512" s="79" t="s">
        <v>4697</v>
      </c>
      <c r="O1512" s="80">
        <v>144.07</v>
      </c>
      <c r="P1512" s="81"/>
      <c r="Q1512" s="81">
        <v>25.93</v>
      </c>
      <c r="R1512" s="80"/>
      <c r="S1512" s="80" t="s">
        <v>4341</v>
      </c>
      <c r="T1512" s="88">
        <v>170</v>
      </c>
      <c r="U1512" s="85"/>
      <c r="V1512" s="79"/>
      <c r="W1512" s="85"/>
      <c r="X1512" s="85"/>
      <c r="Y1512" s="85"/>
      <c r="Z1512" s="85"/>
      <c r="AA1512" s="105"/>
      <c r="AB1512" s="104" t="str">
        <f>IFERROR(VLOOKUP(Anexo_4[[#This Row],[cuenta]],OP,2,0),"-")</f>
        <v>-</v>
      </c>
    </row>
    <row r="1513" spans="1:28" s="84" customFormat="1" ht="27" customHeight="1" x14ac:dyDescent="0.3">
      <c r="A1513" s="75" t="s">
        <v>4342</v>
      </c>
      <c r="B1513" s="36" t="str">
        <f t="shared" si="23"/>
        <v>Agosto</v>
      </c>
      <c r="C1513" s="77" t="s">
        <v>162</v>
      </c>
      <c r="D1513" s="77" t="s">
        <v>4698</v>
      </c>
      <c r="E1513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513" s="79" t="s">
        <v>190</v>
      </c>
      <c r="G1513" s="79" t="s">
        <v>191</v>
      </c>
      <c r="H1513" s="140" t="s">
        <v>4699</v>
      </c>
      <c r="I1513" s="77" t="s">
        <v>1687</v>
      </c>
      <c r="J1513" s="144" t="s">
        <v>4700</v>
      </c>
      <c r="K1513" s="77" t="s">
        <v>169</v>
      </c>
      <c r="L1513" s="103" t="str">
        <f>VLOOKUP(Anexo_4[[#This Row],[cod_doc]],TIPODOC,2,FALSE)</f>
        <v>FACTURA</v>
      </c>
      <c r="M1513" s="77" t="s">
        <v>102</v>
      </c>
      <c r="N1513" s="79">
        <v>783</v>
      </c>
      <c r="O1513" s="80">
        <v>245.76</v>
      </c>
      <c r="P1513" s="81"/>
      <c r="Q1513" s="81">
        <v>44.236799999999995</v>
      </c>
      <c r="R1513" s="80"/>
      <c r="S1513" s="80" t="s">
        <v>4341</v>
      </c>
      <c r="T1513" s="88">
        <v>290</v>
      </c>
      <c r="U1513" s="85"/>
      <c r="V1513" s="79"/>
      <c r="W1513" s="85"/>
      <c r="X1513" s="85"/>
      <c r="Y1513" s="85"/>
      <c r="Z1513" s="85" t="s">
        <v>4162</v>
      </c>
      <c r="AA1513" s="105" t="s">
        <v>4699</v>
      </c>
      <c r="AB1513" s="104" t="str">
        <f>IFERROR(VLOOKUP(Anexo_4[[#This Row],[cuenta]],OP,2,0),"-")</f>
        <v>-</v>
      </c>
    </row>
    <row r="1514" spans="1:28" s="84" customFormat="1" ht="27" customHeight="1" x14ac:dyDescent="0.3">
      <c r="A1514" s="75" t="s">
        <v>4206</v>
      </c>
      <c r="B1514" s="36" t="str">
        <f t="shared" si="23"/>
        <v>Agosto</v>
      </c>
      <c r="C1514" s="77" t="s">
        <v>162</v>
      </c>
      <c r="D1514" s="77" t="s">
        <v>4701</v>
      </c>
      <c r="E1514" s="78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1514" s="79" t="s">
        <v>198</v>
      </c>
      <c r="G1514" s="79" t="s">
        <v>199</v>
      </c>
      <c r="H1514" s="140" t="s">
        <v>930</v>
      </c>
      <c r="I1514" s="77" t="s">
        <v>383</v>
      </c>
      <c r="J1514" s="144" t="s">
        <v>4702</v>
      </c>
      <c r="K1514" s="77" t="s">
        <v>169</v>
      </c>
      <c r="L1514" s="103" t="str">
        <f>VLOOKUP(Anexo_4[[#This Row],[cod_doc]],TIPODOC,2,FALSE)</f>
        <v>FACTURA</v>
      </c>
      <c r="M1514" s="77" t="s">
        <v>103</v>
      </c>
      <c r="N1514" s="79">
        <v>17445</v>
      </c>
      <c r="O1514" s="80">
        <v>16.95</v>
      </c>
      <c r="P1514" s="81"/>
      <c r="Q1514" s="81">
        <v>3.0509999999999997</v>
      </c>
      <c r="R1514" s="80"/>
      <c r="S1514" s="80" t="s">
        <v>4341</v>
      </c>
      <c r="T1514" s="88">
        <v>20</v>
      </c>
      <c r="U1514" s="85"/>
      <c r="V1514" s="79"/>
      <c r="W1514" s="85"/>
      <c r="X1514" s="85"/>
      <c r="Y1514" s="85"/>
      <c r="Z1514" s="85" t="s">
        <v>182</v>
      </c>
      <c r="AA1514" s="105" t="s">
        <v>930</v>
      </c>
      <c r="AB1514" s="104" t="str">
        <f>IFERROR(VLOOKUP(Anexo_4[[#This Row],[cuenta]],OP,2,0),"-")</f>
        <v>Balanza - Ventas</v>
      </c>
    </row>
    <row r="1515" spans="1:28" s="84" customFormat="1" ht="27" customHeight="1" x14ac:dyDescent="0.3">
      <c r="A1515" s="75" t="s">
        <v>4347</v>
      </c>
      <c r="B1515" s="36" t="str">
        <f t="shared" si="23"/>
        <v>Agosto</v>
      </c>
      <c r="C1515" s="77" t="s">
        <v>162</v>
      </c>
      <c r="D1515" s="77" t="s">
        <v>4703</v>
      </c>
      <c r="E1515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515" s="79" t="s">
        <v>650</v>
      </c>
      <c r="G1515" s="79" t="s">
        <v>651</v>
      </c>
      <c r="H1515" s="140" t="s">
        <v>4704</v>
      </c>
      <c r="I1515" s="77" t="s">
        <v>1089</v>
      </c>
      <c r="J1515" s="144" t="s">
        <v>4705</v>
      </c>
      <c r="K1515" s="77" t="s">
        <v>169</v>
      </c>
      <c r="L1515" s="103" t="str">
        <f>VLOOKUP(Anexo_4[[#This Row],[cod_doc]],TIPODOC,2,FALSE)</f>
        <v>FACTURA</v>
      </c>
      <c r="M1515" s="77" t="s">
        <v>102</v>
      </c>
      <c r="N1515" s="79">
        <v>514</v>
      </c>
      <c r="O1515" s="80"/>
      <c r="P1515" s="80">
        <v>73.64</v>
      </c>
      <c r="Q1515" s="81"/>
      <c r="R1515" s="80">
        <v>7.36</v>
      </c>
      <c r="S1515" s="80" t="s">
        <v>4341</v>
      </c>
      <c r="T1515" s="88">
        <v>81</v>
      </c>
      <c r="U1515" s="85"/>
      <c r="V1515" s="79"/>
      <c r="W1515" s="85"/>
      <c r="X1515" s="85"/>
      <c r="Y1515" s="85"/>
      <c r="Z1515" s="85" t="s">
        <v>684</v>
      </c>
      <c r="AA1515" s="105" t="s">
        <v>4704</v>
      </c>
      <c r="AB1515" s="104" t="str">
        <f>IFERROR(VLOOKUP(Anexo_4[[#This Row],[cuenta]],OP,2,0),"-")</f>
        <v>-</v>
      </c>
    </row>
    <row r="1516" spans="1:28" s="84" customFormat="1" ht="27" customHeight="1" x14ac:dyDescent="0.3">
      <c r="A1516" s="75" t="s">
        <v>3879</v>
      </c>
      <c r="B1516" s="36" t="str">
        <f t="shared" si="23"/>
        <v>Agosto</v>
      </c>
      <c r="C1516" s="77" t="s">
        <v>162</v>
      </c>
      <c r="D1516" s="77" t="s">
        <v>4706</v>
      </c>
      <c r="E1516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516" s="79" t="s">
        <v>650</v>
      </c>
      <c r="G1516" s="79" t="s">
        <v>651</v>
      </c>
      <c r="H1516" s="140" t="s">
        <v>633</v>
      </c>
      <c r="I1516" s="77" t="s">
        <v>4707</v>
      </c>
      <c r="J1516" s="144" t="s">
        <v>4708</v>
      </c>
      <c r="K1516" s="77" t="s">
        <v>239</v>
      </c>
      <c r="L1516" s="103" t="str">
        <f>VLOOKUP(Anexo_4[[#This Row],[cod_doc]],TIPODOC,2,FALSE)</f>
        <v>BOLETA DE VENTA</v>
      </c>
      <c r="M1516" s="77" t="s">
        <v>162</v>
      </c>
      <c r="N1516" s="79">
        <v>2538</v>
      </c>
      <c r="O1516" s="80"/>
      <c r="P1516" s="81"/>
      <c r="Q1516" s="81">
        <v>0</v>
      </c>
      <c r="R1516" s="80"/>
      <c r="S1516" s="80">
        <v>75</v>
      </c>
      <c r="T1516" s="88">
        <v>75</v>
      </c>
      <c r="U1516" s="85"/>
      <c r="V1516" s="79"/>
      <c r="W1516" s="85"/>
      <c r="X1516" s="85"/>
      <c r="Y1516" s="85"/>
      <c r="Z1516" s="85" t="s">
        <v>684</v>
      </c>
      <c r="AA1516" s="105" t="s">
        <v>633</v>
      </c>
      <c r="AB1516" s="104" t="str">
        <f>IFERROR(VLOOKUP(Anexo_4[[#This Row],[cuenta]],OP,2,0),"-")</f>
        <v>-</v>
      </c>
    </row>
    <row r="1517" spans="1:28" s="84" customFormat="1" ht="27" customHeight="1" x14ac:dyDescent="0.3">
      <c r="A1517" s="75" t="s">
        <v>3940</v>
      </c>
      <c r="B1517" s="36" t="str">
        <f t="shared" si="23"/>
        <v>Agosto</v>
      </c>
      <c r="C1517" s="77" t="s">
        <v>162</v>
      </c>
      <c r="D1517" s="77" t="s">
        <v>4709</v>
      </c>
      <c r="E1517" s="78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517" s="79" t="s">
        <v>650</v>
      </c>
      <c r="G1517" s="79" t="s">
        <v>651</v>
      </c>
      <c r="H1517" s="140" t="s">
        <v>633</v>
      </c>
      <c r="I1517" s="77" t="s">
        <v>3509</v>
      </c>
      <c r="J1517" s="144" t="s">
        <v>4710</v>
      </c>
      <c r="K1517" s="77" t="s">
        <v>169</v>
      </c>
      <c r="L1517" s="103" t="str">
        <f>VLOOKUP(Anexo_4[[#This Row],[cod_doc]],TIPODOC,2,FALSE)</f>
        <v>FACTURA</v>
      </c>
      <c r="M1517" s="77" t="s">
        <v>222</v>
      </c>
      <c r="N1517" s="79">
        <v>24208</v>
      </c>
      <c r="O1517" s="80"/>
      <c r="P1517" s="81">
        <v>213.64</v>
      </c>
      <c r="Q1517" s="81">
        <v>0</v>
      </c>
      <c r="R1517" s="80">
        <v>21.36</v>
      </c>
      <c r="S1517" s="80" t="s">
        <v>4341</v>
      </c>
      <c r="T1517" s="88">
        <v>235</v>
      </c>
      <c r="U1517" s="85"/>
      <c r="V1517" s="79"/>
      <c r="W1517" s="85"/>
      <c r="X1517" s="85"/>
      <c r="Y1517" s="85"/>
      <c r="Z1517" s="85" t="s">
        <v>684</v>
      </c>
      <c r="AA1517" s="105" t="s">
        <v>633</v>
      </c>
      <c r="AB1517" s="104" t="str">
        <f>IFERROR(VLOOKUP(Anexo_4[[#This Row],[cuenta]],OP,2,0),"-")</f>
        <v>-</v>
      </c>
    </row>
    <row r="1518" spans="1:28" s="84" customFormat="1" ht="27" customHeight="1" x14ac:dyDescent="0.3">
      <c r="A1518" s="75" t="s">
        <v>4545</v>
      </c>
      <c r="B1518" s="36" t="str">
        <f t="shared" si="23"/>
        <v>Agosto</v>
      </c>
      <c r="C1518" s="77" t="s">
        <v>162</v>
      </c>
      <c r="D1518" s="77" t="s">
        <v>4711</v>
      </c>
      <c r="E1518" s="78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1518" s="79" t="s">
        <v>198</v>
      </c>
      <c r="G1518" s="79" t="s">
        <v>199</v>
      </c>
      <c r="H1518" s="140" t="s">
        <v>4712</v>
      </c>
      <c r="I1518" s="77" t="s">
        <v>178</v>
      </c>
      <c r="J1518" s="144" t="s">
        <v>4667</v>
      </c>
      <c r="K1518" s="77" t="s">
        <v>169</v>
      </c>
      <c r="L1518" s="103" t="str">
        <f>VLOOKUP(Anexo_4[[#This Row],[cod_doc]],TIPODOC,2,FALSE)</f>
        <v>FACTURA</v>
      </c>
      <c r="M1518" s="77" t="s">
        <v>180</v>
      </c>
      <c r="N1518" s="79">
        <v>136177</v>
      </c>
      <c r="O1518" s="80">
        <v>8.4700000000000006</v>
      </c>
      <c r="P1518" s="81"/>
      <c r="Q1518" s="81">
        <v>1.5246</v>
      </c>
      <c r="R1518" s="80"/>
      <c r="S1518" s="80" t="s">
        <v>4341</v>
      </c>
      <c r="T1518" s="88">
        <v>10</v>
      </c>
      <c r="U1518" s="85"/>
      <c r="V1518" s="79"/>
      <c r="W1518" s="85"/>
      <c r="X1518" s="85"/>
      <c r="Y1518" s="85"/>
      <c r="Z1518" s="85" t="s">
        <v>182</v>
      </c>
      <c r="AA1518" s="105" t="s">
        <v>4712</v>
      </c>
      <c r="AB1518" s="104" t="str">
        <f>IFERROR(VLOOKUP(Anexo_4[[#This Row],[cuenta]],OP,2,0),"-")</f>
        <v>Balanza - Ventas</v>
      </c>
    </row>
    <row r="1519" spans="1:28" s="84" customFormat="1" ht="27" customHeight="1" x14ac:dyDescent="0.3">
      <c r="A1519" s="75" t="s">
        <v>4447</v>
      </c>
      <c r="B1519" s="36" t="str">
        <f t="shared" si="23"/>
        <v>Agosto</v>
      </c>
      <c r="C1519" s="77" t="s">
        <v>162</v>
      </c>
      <c r="D1519" s="77" t="s">
        <v>4713</v>
      </c>
      <c r="E1519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519" s="79" t="s">
        <v>418</v>
      </c>
      <c r="G1519" s="79" t="s">
        <v>419</v>
      </c>
      <c r="H1519" s="140" t="s">
        <v>930</v>
      </c>
      <c r="I1519" s="77" t="s">
        <v>178</v>
      </c>
      <c r="J1519" s="144" t="s">
        <v>4667</v>
      </c>
      <c r="K1519" s="77" t="s">
        <v>169</v>
      </c>
      <c r="L1519" s="103" t="str">
        <f>VLOOKUP(Anexo_4[[#This Row],[cod_doc]],TIPODOC,2,FALSE)</f>
        <v>FACTURA</v>
      </c>
      <c r="M1519" s="77" t="s">
        <v>180</v>
      </c>
      <c r="N1519" s="79">
        <v>136086</v>
      </c>
      <c r="O1519" s="80">
        <v>8.4700000000000006</v>
      </c>
      <c r="P1519" s="81"/>
      <c r="Q1519" s="81">
        <v>1.5246</v>
      </c>
      <c r="R1519" s="80"/>
      <c r="S1519" s="80" t="s">
        <v>4341</v>
      </c>
      <c r="T1519" s="88">
        <v>10</v>
      </c>
      <c r="U1519" s="85"/>
      <c r="V1519" s="79"/>
      <c r="W1519" s="85"/>
      <c r="X1519" s="85"/>
      <c r="Y1519" s="85"/>
      <c r="Z1519" s="85" t="s">
        <v>386</v>
      </c>
      <c r="AA1519" s="105" t="s">
        <v>930</v>
      </c>
      <c r="AB1519" s="104" t="str">
        <f>IFERROR(VLOOKUP(Anexo_4[[#This Row],[cuenta]],OP,2,0),"-")</f>
        <v>Balanza - Servicios</v>
      </c>
    </row>
    <row r="1520" spans="1:28" s="84" customFormat="1" ht="27" customHeight="1" x14ac:dyDescent="0.3">
      <c r="A1520" s="75" t="s">
        <v>4616</v>
      </c>
      <c r="B1520" s="36" t="str">
        <f t="shared" si="23"/>
        <v>Agosto</v>
      </c>
      <c r="C1520" s="77" t="s">
        <v>162</v>
      </c>
      <c r="D1520" s="77" t="s">
        <v>4714</v>
      </c>
      <c r="E1520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520" s="79" t="s">
        <v>391</v>
      </c>
      <c r="G1520" s="79" t="s">
        <v>392</v>
      </c>
      <c r="H1520" s="140" t="s">
        <v>1276</v>
      </c>
      <c r="I1520" s="77" t="s">
        <v>264</v>
      </c>
      <c r="J1520" s="144" t="s">
        <v>4644</v>
      </c>
      <c r="K1520" s="77" t="s">
        <v>169</v>
      </c>
      <c r="L1520" s="103" t="str">
        <f>VLOOKUP(Anexo_4[[#This Row],[cod_doc]],TIPODOC,2,FALSE)</f>
        <v>FACTURA</v>
      </c>
      <c r="M1520" s="77" t="s">
        <v>406</v>
      </c>
      <c r="N1520" s="79">
        <v>2452862</v>
      </c>
      <c r="O1520" s="80">
        <v>6.78</v>
      </c>
      <c r="P1520" s="81"/>
      <c r="Q1520" s="81">
        <v>1.2203999999999999</v>
      </c>
      <c r="R1520" s="80"/>
      <c r="S1520" s="80" t="s">
        <v>4341</v>
      </c>
      <c r="T1520" s="88">
        <v>8</v>
      </c>
      <c r="U1520" s="85"/>
      <c r="V1520" s="79"/>
      <c r="W1520" s="85"/>
      <c r="X1520" s="85"/>
      <c r="Y1520" s="85"/>
      <c r="Z1520" s="85" t="s">
        <v>302</v>
      </c>
      <c r="AA1520" s="105" t="s">
        <v>1276</v>
      </c>
      <c r="AB1520" s="104" t="str">
        <f>IFERROR(VLOOKUP(Anexo_4[[#This Row],[cuenta]],OP,2,0),"-")</f>
        <v>Transporte peajes - Servicios</v>
      </c>
    </row>
    <row r="1521" spans="1:28" s="84" customFormat="1" ht="27" customHeight="1" x14ac:dyDescent="0.3">
      <c r="A1521" s="75" t="s">
        <v>4545</v>
      </c>
      <c r="B1521" s="36" t="str">
        <f t="shared" si="23"/>
        <v>Agosto</v>
      </c>
      <c r="C1521" s="77" t="s">
        <v>162</v>
      </c>
      <c r="D1521" s="77" t="s">
        <v>4715</v>
      </c>
      <c r="E152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521" s="79" t="s">
        <v>391</v>
      </c>
      <c r="G1521" s="79" t="s">
        <v>392</v>
      </c>
      <c r="H1521" s="140" t="s">
        <v>4716</v>
      </c>
      <c r="I1521" s="77" t="s">
        <v>504</v>
      </c>
      <c r="J1521" s="144" t="s">
        <v>4717</v>
      </c>
      <c r="K1521" s="77" t="s">
        <v>169</v>
      </c>
      <c r="L1521" s="103" t="str">
        <f>VLOOKUP(Anexo_4[[#This Row],[cod_doc]],TIPODOC,2,FALSE)</f>
        <v>FACTURA</v>
      </c>
      <c r="M1521" s="77" t="s">
        <v>222</v>
      </c>
      <c r="N1521" s="79">
        <v>19462</v>
      </c>
      <c r="O1521" s="80">
        <v>50.85</v>
      </c>
      <c r="P1521" s="81"/>
      <c r="Q1521" s="81">
        <v>9.1530000000000005</v>
      </c>
      <c r="R1521" s="80"/>
      <c r="S1521" s="80" t="s">
        <v>4341</v>
      </c>
      <c r="T1521" s="88">
        <v>60</v>
      </c>
      <c r="U1521" s="85"/>
      <c r="V1521" s="79"/>
      <c r="W1521" s="85"/>
      <c r="X1521" s="85"/>
      <c r="Y1521" s="85" t="s">
        <v>4718</v>
      </c>
      <c r="Z1521" s="85" t="s">
        <v>507</v>
      </c>
      <c r="AA1521" s="105" t="s">
        <v>4716</v>
      </c>
      <c r="AB1521" s="104" t="str">
        <f>IFERROR(VLOOKUP(Anexo_4[[#This Row],[cuenta]],OP,2,0),"-")</f>
        <v>Transporte lavado (Higienización)</v>
      </c>
    </row>
    <row r="1522" spans="1:28" s="84" customFormat="1" ht="27" customHeight="1" x14ac:dyDescent="0.3">
      <c r="A1522" s="75" t="s">
        <v>4342</v>
      </c>
      <c r="B1522" s="36" t="str">
        <f t="shared" si="23"/>
        <v>Agosto</v>
      </c>
      <c r="C1522" s="77" t="s">
        <v>162</v>
      </c>
      <c r="D1522" s="77" t="s">
        <v>4719</v>
      </c>
      <c r="E1522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522" s="79" t="s">
        <v>391</v>
      </c>
      <c r="G1522" s="79" t="s">
        <v>392</v>
      </c>
      <c r="H1522" s="140" t="s">
        <v>4720</v>
      </c>
      <c r="I1522" s="77" t="s">
        <v>264</v>
      </c>
      <c r="J1522" s="144" t="s">
        <v>4644</v>
      </c>
      <c r="K1522" s="77" t="s">
        <v>169</v>
      </c>
      <c r="L1522" s="103" t="str">
        <f>VLOOKUP(Anexo_4[[#This Row],[cod_doc]],TIPODOC,2,FALSE)</f>
        <v>FACTURA</v>
      </c>
      <c r="M1522" s="77" t="s">
        <v>271</v>
      </c>
      <c r="N1522" s="79">
        <v>1822500</v>
      </c>
      <c r="O1522" s="80">
        <v>3.39</v>
      </c>
      <c r="P1522" s="81"/>
      <c r="Q1522" s="81">
        <v>0.61019999999999996</v>
      </c>
      <c r="R1522" s="80"/>
      <c r="S1522" s="80" t="s">
        <v>4341</v>
      </c>
      <c r="T1522" s="88">
        <v>8</v>
      </c>
      <c r="U1522" s="85"/>
      <c r="V1522" s="79"/>
      <c r="W1522" s="85"/>
      <c r="X1522" s="85"/>
      <c r="Y1522" s="85" t="s">
        <v>4721</v>
      </c>
      <c r="Z1522" s="85" t="s">
        <v>302</v>
      </c>
      <c r="AA1522" s="105" t="s">
        <v>4720</v>
      </c>
      <c r="AB1522" s="104" t="str">
        <f>IFERROR(VLOOKUP(Anexo_4[[#This Row],[cuenta]],OP,2,0),"-")</f>
        <v>Transporte peajes - Servicios</v>
      </c>
    </row>
    <row r="1523" spans="1:28" s="84" customFormat="1" ht="27" customHeight="1" x14ac:dyDescent="0.3">
      <c r="A1523" s="75" t="s">
        <v>4342</v>
      </c>
      <c r="B1523" s="36" t="str">
        <f t="shared" si="23"/>
        <v>Agosto</v>
      </c>
      <c r="C1523" s="77" t="s">
        <v>162</v>
      </c>
      <c r="D1523" s="77" t="s">
        <v>4719</v>
      </c>
      <c r="E1523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523" s="79" t="s">
        <v>391</v>
      </c>
      <c r="G1523" s="79" t="s">
        <v>392</v>
      </c>
      <c r="H1523" s="140" t="s">
        <v>4720</v>
      </c>
      <c r="I1523" s="77" t="s">
        <v>264</v>
      </c>
      <c r="J1523" s="144" t="s">
        <v>4644</v>
      </c>
      <c r="K1523" s="77" t="s">
        <v>169</v>
      </c>
      <c r="L1523" s="103" t="str">
        <f>VLOOKUP(Anexo_4[[#This Row],[cod_doc]],TIPODOC,2,FALSE)</f>
        <v>FACTURA</v>
      </c>
      <c r="M1523" s="77" t="s">
        <v>271</v>
      </c>
      <c r="N1523" s="79">
        <v>1822500</v>
      </c>
      <c r="O1523" s="80">
        <v>3.39</v>
      </c>
      <c r="P1523" s="81"/>
      <c r="Q1523" s="81">
        <v>0.61019999999999996</v>
      </c>
      <c r="R1523" s="80"/>
      <c r="S1523" s="80" t="s">
        <v>4341</v>
      </c>
      <c r="T1523" s="88">
        <v>8</v>
      </c>
      <c r="U1523" s="85"/>
      <c r="V1523" s="79"/>
      <c r="W1523" s="85"/>
      <c r="X1523" s="85"/>
      <c r="Y1523" s="85" t="s">
        <v>4721</v>
      </c>
      <c r="Z1523" s="85" t="s">
        <v>268</v>
      </c>
      <c r="AA1523" s="105" t="s">
        <v>4720</v>
      </c>
      <c r="AB1523" s="104" t="str">
        <f>IFERROR(VLOOKUP(Anexo_4[[#This Row],[cuenta]],OP,2,0),"-")</f>
        <v>Transporte peajes - Ventas</v>
      </c>
    </row>
    <row r="1524" spans="1:28" s="84" customFormat="1" ht="27" customHeight="1" x14ac:dyDescent="0.3">
      <c r="A1524" s="75" t="s">
        <v>4447</v>
      </c>
      <c r="B1524" s="36" t="str">
        <f t="shared" si="23"/>
        <v>Agosto</v>
      </c>
      <c r="C1524" s="77" t="s">
        <v>162</v>
      </c>
      <c r="D1524" s="77" t="s">
        <v>4722</v>
      </c>
      <c r="E1524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524" s="79" t="s">
        <v>391</v>
      </c>
      <c r="G1524" s="79" t="s">
        <v>392</v>
      </c>
      <c r="H1524" s="140" t="s">
        <v>4723</v>
      </c>
      <c r="I1524" s="77" t="s">
        <v>264</v>
      </c>
      <c r="J1524" s="144" t="s">
        <v>4644</v>
      </c>
      <c r="K1524" s="77" t="s">
        <v>169</v>
      </c>
      <c r="L1524" s="103" t="str">
        <f>VLOOKUP(Anexo_4[[#This Row],[cod_doc]],TIPODOC,2,FALSE)</f>
        <v>FACTURA</v>
      </c>
      <c r="M1524" s="77" t="s">
        <v>271</v>
      </c>
      <c r="N1524" s="79">
        <v>1823668</v>
      </c>
      <c r="O1524" s="80">
        <v>3.39</v>
      </c>
      <c r="P1524" s="81"/>
      <c r="Q1524" s="81">
        <v>0.61019999999999996</v>
      </c>
      <c r="R1524" s="80"/>
      <c r="S1524" s="80" t="s">
        <v>4341</v>
      </c>
      <c r="T1524" s="88">
        <v>8</v>
      </c>
      <c r="U1524" s="85"/>
      <c r="V1524" s="79"/>
      <c r="W1524" s="85"/>
      <c r="X1524" s="85"/>
      <c r="Y1524" s="85" t="s">
        <v>4724</v>
      </c>
      <c r="Z1524" s="85" t="s">
        <v>302</v>
      </c>
      <c r="AA1524" s="105" t="s">
        <v>4723</v>
      </c>
      <c r="AB1524" s="104" t="str">
        <f>IFERROR(VLOOKUP(Anexo_4[[#This Row],[cuenta]],OP,2,0),"-")</f>
        <v>Transporte peajes - Servicios</v>
      </c>
    </row>
    <row r="1525" spans="1:28" s="84" customFormat="1" ht="27" customHeight="1" x14ac:dyDescent="0.3">
      <c r="A1525" s="75" t="s">
        <v>4447</v>
      </c>
      <c r="B1525" s="36" t="str">
        <f t="shared" si="23"/>
        <v>Agosto</v>
      </c>
      <c r="C1525" s="77" t="s">
        <v>162</v>
      </c>
      <c r="D1525" s="77" t="s">
        <v>4722</v>
      </c>
      <c r="E1525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525" s="79" t="s">
        <v>391</v>
      </c>
      <c r="G1525" s="79" t="s">
        <v>392</v>
      </c>
      <c r="H1525" s="140" t="s">
        <v>4723</v>
      </c>
      <c r="I1525" s="77" t="s">
        <v>264</v>
      </c>
      <c r="J1525" s="144" t="s">
        <v>4644</v>
      </c>
      <c r="K1525" s="77" t="s">
        <v>169</v>
      </c>
      <c r="L1525" s="103" t="str">
        <f>VLOOKUP(Anexo_4[[#This Row],[cod_doc]],TIPODOC,2,FALSE)</f>
        <v>FACTURA</v>
      </c>
      <c r="M1525" s="77" t="s">
        <v>271</v>
      </c>
      <c r="N1525" s="79">
        <v>1823668</v>
      </c>
      <c r="O1525" s="80">
        <v>3.39</v>
      </c>
      <c r="P1525" s="81"/>
      <c r="Q1525" s="81">
        <v>0.61019999999999996</v>
      </c>
      <c r="R1525" s="80"/>
      <c r="S1525" s="80" t="s">
        <v>4341</v>
      </c>
      <c r="T1525" s="88">
        <v>8</v>
      </c>
      <c r="U1525" s="85"/>
      <c r="V1525" s="79"/>
      <c r="W1525" s="85"/>
      <c r="X1525" s="85"/>
      <c r="Y1525" s="85" t="s">
        <v>4724</v>
      </c>
      <c r="Z1525" s="85" t="s">
        <v>268</v>
      </c>
      <c r="AA1525" s="105" t="s">
        <v>4723</v>
      </c>
      <c r="AB1525" s="104" t="str">
        <f>IFERROR(VLOOKUP(Anexo_4[[#This Row],[cuenta]],OP,2,0),"-")</f>
        <v>Transporte peajes - Ventas</v>
      </c>
    </row>
    <row r="1526" spans="1:28" s="84" customFormat="1" ht="27" customHeight="1" x14ac:dyDescent="0.3">
      <c r="A1526" s="75" t="s">
        <v>4447</v>
      </c>
      <c r="B1526" s="36" t="str">
        <f t="shared" si="23"/>
        <v>Agosto</v>
      </c>
      <c r="C1526" s="77" t="s">
        <v>162</v>
      </c>
      <c r="D1526" s="77" t="s">
        <v>4725</v>
      </c>
      <c r="E1526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526" s="79" t="s">
        <v>217</v>
      </c>
      <c r="G1526" s="79" t="s">
        <v>218</v>
      </c>
      <c r="H1526" s="140" t="s">
        <v>4726</v>
      </c>
      <c r="I1526" s="77" t="s">
        <v>264</v>
      </c>
      <c r="J1526" s="144" t="s">
        <v>4644</v>
      </c>
      <c r="K1526" s="77" t="s">
        <v>169</v>
      </c>
      <c r="L1526" s="103" t="str">
        <f>VLOOKUP(Anexo_4[[#This Row],[cod_doc]],TIPODOC,2,FALSE)</f>
        <v>FACTURA</v>
      </c>
      <c r="M1526" s="77" t="s">
        <v>352</v>
      </c>
      <c r="N1526" s="79">
        <v>1844765</v>
      </c>
      <c r="O1526" s="80">
        <v>6.78</v>
      </c>
      <c r="P1526" s="81"/>
      <c r="Q1526" s="81">
        <v>1.2203999999999999</v>
      </c>
      <c r="R1526" s="80"/>
      <c r="S1526" s="80" t="s">
        <v>4341</v>
      </c>
      <c r="T1526" s="88">
        <v>8</v>
      </c>
      <c r="U1526" s="85"/>
      <c r="V1526" s="79"/>
      <c r="W1526" s="85"/>
      <c r="X1526" s="85"/>
      <c r="Y1526" s="85" t="s">
        <v>4727</v>
      </c>
      <c r="Z1526" s="85" t="s">
        <v>302</v>
      </c>
      <c r="AA1526" s="105" t="s">
        <v>4726</v>
      </c>
      <c r="AB1526" s="104" t="str">
        <f>IFERROR(VLOOKUP(Anexo_4[[#This Row],[cuenta]],OP,2,0),"-")</f>
        <v>Transporte peajes - Servicios</v>
      </c>
    </row>
    <row r="1527" spans="1:28" s="84" customFormat="1" ht="27" customHeight="1" x14ac:dyDescent="0.3">
      <c r="A1527" s="75" t="s">
        <v>4616</v>
      </c>
      <c r="B1527" s="36" t="str">
        <f t="shared" si="23"/>
        <v>Agosto</v>
      </c>
      <c r="C1527" s="77" t="s">
        <v>162</v>
      </c>
      <c r="D1527" s="77" t="s">
        <v>4728</v>
      </c>
      <c r="E1527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527" s="79" t="s">
        <v>217</v>
      </c>
      <c r="G1527" s="79" t="s">
        <v>218</v>
      </c>
      <c r="H1527" s="140" t="s">
        <v>4729</v>
      </c>
      <c r="I1527" s="77" t="s">
        <v>264</v>
      </c>
      <c r="J1527" s="144" t="s">
        <v>4644</v>
      </c>
      <c r="K1527" s="77" t="s">
        <v>169</v>
      </c>
      <c r="L1527" s="103" t="str">
        <f>VLOOKUP(Anexo_4[[#This Row],[cod_doc]],TIPODOC,2,FALSE)</f>
        <v>FACTURA</v>
      </c>
      <c r="M1527" s="77" t="s">
        <v>379</v>
      </c>
      <c r="N1527" s="79">
        <v>2161382</v>
      </c>
      <c r="O1527" s="80">
        <v>3.39</v>
      </c>
      <c r="P1527" s="81"/>
      <c r="Q1527" s="81">
        <v>0.61019999999999996</v>
      </c>
      <c r="R1527" s="80"/>
      <c r="S1527" s="80" t="s">
        <v>4341</v>
      </c>
      <c r="T1527" s="88">
        <v>8</v>
      </c>
      <c r="U1527" s="85"/>
      <c r="V1527" s="79"/>
      <c r="W1527" s="85"/>
      <c r="X1527" s="85"/>
      <c r="Y1527" s="85" t="s">
        <v>4730</v>
      </c>
      <c r="Z1527" s="85" t="s">
        <v>302</v>
      </c>
      <c r="AA1527" s="105" t="s">
        <v>4729</v>
      </c>
      <c r="AB1527" s="104" t="str">
        <f>IFERROR(VLOOKUP(Anexo_4[[#This Row],[cuenta]],OP,2,0),"-")</f>
        <v>Transporte peajes - Servicios</v>
      </c>
    </row>
    <row r="1528" spans="1:28" s="84" customFormat="1" ht="27" customHeight="1" x14ac:dyDescent="0.3">
      <c r="A1528" s="75" t="s">
        <v>4616</v>
      </c>
      <c r="B1528" s="36" t="str">
        <f t="shared" si="23"/>
        <v>Agosto</v>
      </c>
      <c r="C1528" s="77" t="s">
        <v>162</v>
      </c>
      <c r="D1528" s="77" t="s">
        <v>4728</v>
      </c>
      <c r="E1528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528" s="79" t="s">
        <v>217</v>
      </c>
      <c r="G1528" s="79" t="s">
        <v>218</v>
      </c>
      <c r="H1528" s="140" t="s">
        <v>4729</v>
      </c>
      <c r="I1528" s="77" t="s">
        <v>264</v>
      </c>
      <c r="J1528" s="144" t="s">
        <v>4644</v>
      </c>
      <c r="K1528" s="77" t="s">
        <v>169</v>
      </c>
      <c r="L1528" s="103" t="str">
        <f>VLOOKUP(Anexo_4[[#This Row],[cod_doc]],TIPODOC,2,FALSE)</f>
        <v>FACTURA</v>
      </c>
      <c r="M1528" s="77" t="s">
        <v>379</v>
      </c>
      <c r="N1528" s="79">
        <v>2161382</v>
      </c>
      <c r="O1528" s="80">
        <v>3.39</v>
      </c>
      <c r="P1528" s="81"/>
      <c r="Q1528" s="81">
        <v>0.61019999999999996</v>
      </c>
      <c r="R1528" s="80"/>
      <c r="S1528" s="80" t="s">
        <v>4341</v>
      </c>
      <c r="T1528" s="88">
        <v>8</v>
      </c>
      <c r="U1528" s="85"/>
      <c r="V1528" s="79"/>
      <c r="W1528" s="85"/>
      <c r="X1528" s="85"/>
      <c r="Y1528" s="85" t="s">
        <v>4730</v>
      </c>
      <c r="Z1528" s="85" t="s">
        <v>268</v>
      </c>
      <c r="AA1528" s="105" t="s">
        <v>4729</v>
      </c>
      <c r="AB1528" s="104" t="str">
        <f>IFERROR(VLOOKUP(Anexo_4[[#This Row],[cuenta]],OP,2,0),"-")</f>
        <v>Transporte peajes - Ventas</v>
      </c>
    </row>
    <row r="1529" spans="1:28" s="84" customFormat="1" ht="27" customHeight="1" x14ac:dyDescent="0.3">
      <c r="A1529" s="75" t="s">
        <v>4616</v>
      </c>
      <c r="B1529" s="36" t="str">
        <f t="shared" si="23"/>
        <v>Agosto</v>
      </c>
      <c r="C1529" s="77" t="s">
        <v>162</v>
      </c>
      <c r="D1529" s="77" t="s">
        <v>4731</v>
      </c>
      <c r="E1529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529" s="79" t="s">
        <v>217</v>
      </c>
      <c r="G1529" s="79" t="s">
        <v>218</v>
      </c>
      <c r="H1529" s="140" t="s">
        <v>4732</v>
      </c>
      <c r="I1529" s="77" t="s">
        <v>264</v>
      </c>
      <c r="J1529" s="144" t="s">
        <v>4644</v>
      </c>
      <c r="K1529" s="77" t="s">
        <v>169</v>
      </c>
      <c r="L1529" s="103" t="str">
        <f>VLOOKUP(Anexo_4[[#This Row],[cod_doc]],TIPODOC,2,FALSE)</f>
        <v>FACTURA</v>
      </c>
      <c r="M1529" s="77" t="s">
        <v>271</v>
      </c>
      <c r="N1529" s="79">
        <v>1825798</v>
      </c>
      <c r="O1529" s="80">
        <v>3.39</v>
      </c>
      <c r="P1529" s="81"/>
      <c r="Q1529" s="81">
        <v>0.61019999999999996</v>
      </c>
      <c r="R1529" s="80"/>
      <c r="S1529" s="80" t="s">
        <v>4341</v>
      </c>
      <c r="T1529" s="88">
        <v>8</v>
      </c>
      <c r="U1529" s="85"/>
      <c r="V1529" s="79"/>
      <c r="W1529" s="85"/>
      <c r="X1529" s="85"/>
      <c r="Y1529" s="85" t="s">
        <v>4733</v>
      </c>
      <c r="Z1529" s="85" t="s">
        <v>302</v>
      </c>
      <c r="AA1529" s="105" t="s">
        <v>4732</v>
      </c>
      <c r="AB1529" s="104" t="str">
        <f>IFERROR(VLOOKUP(Anexo_4[[#This Row],[cuenta]],OP,2,0),"-")</f>
        <v>Transporte peajes - Servicios</v>
      </c>
    </row>
    <row r="1530" spans="1:28" s="84" customFormat="1" ht="27" customHeight="1" x14ac:dyDescent="0.3">
      <c r="A1530" s="75" t="s">
        <v>4616</v>
      </c>
      <c r="B1530" s="36" t="str">
        <f t="shared" si="23"/>
        <v>Agosto</v>
      </c>
      <c r="C1530" s="77" t="s">
        <v>162</v>
      </c>
      <c r="D1530" s="77" t="s">
        <v>4731</v>
      </c>
      <c r="E1530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530" s="79" t="s">
        <v>217</v>
      </c>
      <c r="G1530" s="79" t="s">
        <v>218</v>
      </c>
      <c r="H1530" s="140" t="s">
        <v>4732</v>
      </c>
      <c r="I1530" s="77" t="s">
        <v>264</v>
      </c>
      <c r="J1530" s="144" t="s">
        <v>4644</v>
      </c>
      <c r="K1530" s="77" t="s">
        <v>169</v>
      </c>
      <c r="L1530" s="103" t="str">
        <f>VLOOKUP(Anexo_4[[#This Row],[cod_doc]],TIPODOC,2,FALSE)</f>
        <v>FACTURA</v>
      </c>
      <c r="M1530" s="77" t="s">
        <v>271</v>
      </c>
      <c r="N1530" s="79">
        <v>1825798</v>
      </c>
      <c r="O1530" s="80">
        <v>3.39</v>
      </c>
      <c r="P1530" s="81"/>
      <c r="Q1530" s="81">
        <v>0.61019999999999996</v>
      </c>
      <c r="R1530" s="80"/>
      <c r="S1530" s="80" t="s">
        <v>4341</v>
      </c>
      <c r="T1530" s="88">
        <v>8</v>
      </c>
      <c r="U1530" s="85"/>
      <c r="V1530" s="79"/>
      <c r="W1530" s="85"/>
      <c r="X1530" s="85"/>
      <c r="Y1530" s="85" t="s">
        <v>4733</v>
      </c>
      <c r="Z1530" s="85" t="s">
        <v>268</v>
      </c>
      <c r="AA1530" s="105" t="s">
        <v>4732</v>
      </c>
      <c r="AB1530" s="104" t="str">
        <f>IFERROR(VLOOKUP(Anexo_4[[#This Row],[cuenta]],OP,2,0),"-")</f>
        <v>Transporte peajes - Ventas</v>
      </c>
    </row>
    <row r="1531" spans="1:28" s="84" customFormat="1" ht="27" customHeight="1" x14ac:dyDescent="0.3">
      <c r="A1531" s="75" t="s">
        <v>4296</v>
      </c>
      <c r="B1531" s="36" t="str">
        <f t="shared" si="23"/>
        <v>Agosto</v>
      </c>
      <c r="C1531" s="77" t="s">
        <v>162</v>
      </c>
      <c r="D1531" s="77" t="s">
        <v>4734</v>
      </c>
      <c r="E1531" s="78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531" s="79" t="s">
        <v>391</v>
      </c>
      <c r="G1531" s="79" t="s">
        <v>392</v>
      </c>
      <c r="H1531" s="140" t="s">
        <v>4735</v>
      </c>
      <c r="I1531" s="77" t="s">
        <v>504</v>
      </c>
      <c r="J1531" s="144" t="s">
        <v>4717</v>
      </c>
      <c r="K1531" s="77" t="s">
        <v>169</v>
      </c>
      <c r="L1531" s="103" t="str">
        <f>VLOOKUP(Anexo_4[[#This Row],[cod_doc]],TIPODOC,2,FALSE)</f>
        <v>FACTURA</v>
      </c>
      <c r="M1531" s="77" t="s">
        <v>222</v>
      </c>
      <c r="N1531" s="79">
        <v>19372</v>
      </c>
      <c r="O1531" s="80">
        <v>21.19</v>
      </c>
      <c r="P1531" s="81"/>
      <c r="Q1531" s="81">
        <v>3.8142</v>
      </c>
      <c r="R1531" s="80"/>
      <c r="S1531" s="80" t="s">
        <v>4341</v>
      </c>
      <c r="T1531" s="88">
        <v>25</v>
      </c>
      <c r="U1531" s="85"/>
      <c r="V1531" s="79"/>
      <c r="W1531" s="85"/>
      <c r="X1531" s="85"/>
      <c r="Y1531" s="85" t="s">
        <v>4601</v>
      </c>
      <c r="Z1531" s="85" t="s">
        <v>507</v>
      </c>
      <c r="AA1531" s="105" t="s">
        <v>4735</v>
      </c>
      <c r="AB1531" s="104" t="str">
        <f>IFERROR(VLOOKUP(Anexo_4[[#This Row],[cuenta]],OP,2,0),"-")</f>
        <v>Transporte lavado (Higienización)</v>
      </c>
    </row>
    <row r="1532" spans="1:28" ht="27" customHeight="1" x14ac:dyDescent="0.3">
      <c r="A1532" s="34" t="s">
        <v>4545</v>
      </c>
      <c r="B1532" s="36" t="str">
        <f t="shared" si="23"/>
        <v>Agosto</v>
      </c>
      <c r="C1532" s="33" t="s">
        <v>162</v>
      </c>
      <c r="D1532" s="33" t="s">
        <v>4736</v>
      </c>
      <c r="E1532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532" s="32" t="s">
        <v>217</v>
      </c>
      <c r="G1532" s="32" t="s">
        <v>218</v>
      </c>
      <c r="H1532" s="139" t="s">
        <v>4737</v>
      </c>
      <c r="I1532" s="33" t="s">
        <v>264</v>
      </c>
      <c r="J1532" s="143" t="s">
        <v>4644</v>
      </c>
      <c r="K1532" s="33" t="s">
        <v>169</v>
      </c>
      <c r="L1532" s="102" t="str">
        <f>VLOOKUP(Anexo_4[[#This Row],[cod_doc]],TIPODOC,2,FALSE)</f>
        <v>FACTURA</v>
      </c>
      <c r="M1532" s="33" t="s">
        <v>3023</v>
      </c>
      <c r="N1532" s="32">
        <v>1884291</v>
      </c>
      <c r="O1532" s="48">
        <v>6.53</v>
      </c>
      <c r="P1532" s="49"/>
      <c r="Q1532" s="81">
        <v>1.1754</v>
      </c>
      <c r="R1532" s="80"/>
      <c r="S1532" s="48" t="s">
        <v>4341</v>
      </c>
      <c r="T1532" s="72">
        <v>7.7</v>
      </c>
      <c r="U1532" s="70"/>
      <c r="V1532" s="32"/>
      <c r="W1532" s="70"/>
      <c r="X1532" s="70"/>
      <c r="Y1532" s="70" t="s">
        <v>4738</v>
      </c>
      <c r="Z1532" s="70" t="s">
        <v>302</v>
      </c>
      <c r="AA1532" s="71" t="s">
        <v>4737</v>
      </c>
      <c r="AB1532" s="53" t="str">
        <f>IFERROR(VLOOKUP(Anexo_4[[#This Row],[cuenta]],OP,2,0),"-")</f>
        <v>Transporte peajes - Servicios</v>
      </c>
    </row>
    <row r="1533" spans="1:28" ht="27" customHeight="1" x14ac:dyDescent="0.3">
      <c r="A1533" s="34" t="s">
        <v>4545</v>
      </c>
      <c r="B1533" s="36" t="str">
        <f t="shared" si="23"/>
        <v>Agosto</v>
      </c>
      <c r="C1533" s="33" t="s">
        <v>162</v>
      </c>
      <c r="D1533" s="33" t="s">
        <v>4739</v>
      </c>
      <c r="E1533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533" s="32" t="s">
        <v>217</v>
      </c>
      <c r="G1533" s="32" t="s">
        <v>218</v>
      </c>
      <c r="H1533" s="139" t="s">
        <v>4740</v>
      </c>
      <c r="I1533" s="33" t="s">
        <v>264</v>
      </c>
      <c r="J1533" s="143" t="s">
        <v>4644</v>
      </c>
      <c r="K1533" s="33" t="s">
        <v>169</v>
      </c>
      <c r="L1533" s="102" t="str">
        <f>VLOOKUP(Anexo_4[[#This Row],[cod_doc]],TIPODOC,2,FALSE)</f>
        <v>FACTURA</v>
      </c>
      <c r="M1533" s="33" t="s">
        <v>1548</v>
      </c>
      <c r="N1533" s="32">
        <v>1932960</v>
      </c>
      <c r="O1533" s="48">
        <v>6.53</v>
      </c>
      <c r="P1533" s="49"/>
      <c r="Q1533" s="81">
        <v>1.1754</v>
      </c>
      <c r="R1533" s="80"/>
      <c r="S1533" s="48" t="s">
        <v>4341</v>
      </c>
      <c r="T1533" s="72">
        <v>7.7</v>
      </c>
      <c r="U1533" s="70"/>
      <c r="V1533" s="32"/>
      <c r="W1533" s="70"/>
      <c r="X1533" s="70"/>
      <c r="Y1533" s="70" t="s">
        <v>4741</v>
      </c>
      <c r="Z1533" s="70" t="s">
        <v>302</v>
      </c>
      <c r="AA1533" s="71" t="s">
        <v>4740</v>
      </c>
      <c r="AB1533" s="53" t="str">
        <f>IFERROR(VLOOKUP(Anexo_4[[#This Row],[cuenta]],OP,2,0),"-")</f>
        <v>Transporte peajes - Servicios</v>
      </c>
    </row>
    <row r="1534" spans="1:28" ht="27" customHeight="1" x14ac:dyDescent="0.3">
      <c r="A1534" s="34" t="s">
        <v>4545</v>
      </c>
      <c r="B1534" s="36" t="str">
        <f t="shared" si="23"/>
        <v>Agosto</v>
      </c>
      <c r="C1534" s="33" t="s">
        <v>162</v>
      </c>
      <c r="D1534" s="33" t="s">
        <v>4742</v>
      </c>
      <c r="E1534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534" s="32" t="s">
        <v>217</v>
      </c>
      <c r="G1534" s="32" t="s">
        <v>218</v>
      </c>
      <c r="H1534" s="139" t="s">
        <v>4743</v>
      </c>
      <c r="I1534" s="33" t="s">
        <v>178</v>
      </c>
      <c r="J1534" s="143" t="s">
        <v>4667</v>
      </c>
      <c r="K1534" s="33" t="s">
        <v>169</v>
      </c>
      <c r="L1534" s="102" t="str">
        <f>VLOOKUP(Anexo_4[[#This Row],[cod_doc]],TIPODOC,2,FALSE)</f>
        <v>FACTURA</v>
      </c>
      <c r="M1534" s="33" t="s">
        <v>180</v>
      </c>
      <c r="N1534" s="32">
        <v>136117</v>
      </c>
      <c r="O1534" s="48">
        <v>8.4700000000000006</v>
      </c>
      <c r="P1534" s="49"/>
      <c r="Q1534" s="81">
        <v>1.5246</v>
      </c>
      <c r="R1534" s="80"/>
      <c r="S1534" s="48" t="s">
        <v>4341</v>
      </c>
      <c r="T1534" s="72">
        <v>10</v>
      </c>
      <c r="U1534" s="70"/>
      <c r="V1534" s="32"/>
      <c r="W1534" s="70"/>
      <c r="X1534" s="70"/>
      <c r="Y1534" s="70" t="s">
        <v>4744</v>
      </c>
      <c r="Z1534" s="70" t="s">
        <v>386</v>
      </c>
      <c r="AA1534" s="71" t="s">
        <v>4743</v>
      </c>
      <c r="AB1534" s="53" t="str">
        <f>IFERROR(VLOOKUP(Anexo_4[[#This Row],[cuenta]],OP,2,0),"-")</f>
        <v>Balanza - Servicios</v>
      </c>
    </row>
    <row r="1535" spans="1:28" ht="27" customHeight="1" x14ac:dyDescent="0.3">
      <c r="A1535" s="34" t="s">
        <v>4447</v>
      </c>
      <c r="B1535" s="36" t="str">
        <f t="shared" si="23"/>
        <v>Agosto</v>
      </c>
      <c r="C1535" s="33" t="s">
        <v>162</v>
      </c>
      <c r="D1535" s="33" t="s">
        <v>4745</v>
      </c>
      <c r="E1535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535" s="32" t="s">
        <v>217</v>
      </c>
      <c r="G1535" s="32" t="s">
        <v>218</v>
      </c>
      <c r="H1535" s="139" t="s">
        <v>4746</v>
      </c>
      <c r="I1535" s="33" t="s">
        <v>178</v>
      </c>
      <c r="J1535" s="143" t="s">
        <v>4667</v>
      </c>
      <c r="K1535" s="33" t="s">
        <v>169</v>
      </c>
      <c r="L1535" s="102" t="str">
        <f>VLOOKUP(Anexo_4[[#This Row],[cod_doc]],TIPODOC,2,FALSE)</f>
        <v>FACTURA</v>
      </c>
      <c r="M1535" s="33" t="s">
        <v>180</v>
      </c>
      <c r="N1535" s="32">
        <v>136063</v>
      </c>
      <c r="O1535" s="48">
        <v>8.4700000000000006</v>
      </c>
      <c r="P1535" s="49"/>
      <c r="Q1535" s="81">
        <v>1.5246</v>
      </c>
      <c r="R1535" s="80"/>
      <c r="S1535" s="48" t="s">
        <v>4341</v>
      </c>
      <c r="T1535" s="72">
        <v>10</v>
      </c>
      <c r="U1535" s="70"/>
      <c r="V1535" s="32"/>
      <c r="W1535" s="70"/>
      <c r="X1535" s="70"/>
      <c r="Y1535" s="70" t="s">
        <v>4747</v>
      </c>
      <c r="Z1535" s="70" t="s">
        <v>386</v>
      </c>
      <c r="AA1535" s="71" t="s">
        <v>4746</v>
      </c>
      <c r="AB1535" s="53" t="str">
        <f>IFERROR(VLOOKUP(Anexo_4[[#This Row],[cuenta]],OP,2,0),"-")</f>
        <v>Balanza - Servicios</v>
      </c>
    </row>
    <row r="1536" spans="1:28" ht="27" customHeight="1" x14ac:dyDescent="0.3">
      <c r="A1536" s="34" t="s">
        <v>4296</v>
      </c>
      <c r="B1536" s="36" t="str">
        <f t="shared" si="23"/>
        <v>Agosto</v>
      </c>
      <c r="C1536" s="33" t="s">
        <v>162</v>
      </c>
      <c r="D1536" s="33" t="s">
        <v>4748</v>
      </c>
      <c r="E1536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536" s="32" t="s">
        <v>217</v>
      </c>
      <c r="G1536" s="32" t="s">
        <v>218</v>
      </c>
      <c r="H1536" s="139" t="s">
        <v>4749</v>
      </c>
      <c r="I1536" s="33" t="s">
        <v>264</v>
      </c>
      <c r="J1536" s="143" t="s">
        <v>4644</v>
      </c>
      <c r="K1536" s="33" t="s">
        <v>169</v>
      </c>
      <c r="L1536" s="102" t="str">
        <f>VLOOKUP(Anexo_4[[#This Row],[cod_doc]],TIPODOC,2,FALSE)</f>
        <v>FACTURA</v>
      </c>
      <c r="M1536" s="33" t="s">
        <v>266</v>
      </c>
      <c r="N1536" s="32">
        <v>499362</v>
      </c>
      <c r="O1536" s="48">
        <v>6.78</v>
      </c>
      <c r="P1536" s="49"/>
      <c r="Q1536" s="81">
        <v>1.2203999999999999</v>
      </c>
      <c r="R1536" s="80"/>
      <c r="S1536" s="48" t="s">
        <v>4341</v>
      </c>
      <c r="T1536" s="72">
        <v>8</v>
      </c>
      <c r="U1536" s="70"/>
      <c r="V1536" s="32"/>
      <c r="W1536" s="70"/>
      <c r="X1536" s="70"/>
      <c r="Y1536" s="70" t="s">
        <v>4750</v>
      </c>
      <c r="Z1536" s="70" t="s">
        <v>268</v>
      </c>
      <c r="AA1536" s="71" t="s">
        <v>4749</v>
      </c>
      <c r="AB1536" s="53" t="str">
        <f>IFERROR(VLOOKUP(Anexo_4[[#This Row],[cuenta]],OP,2,0),"-")</f>
        <v>Transporte peajes - Ventas</v>
      </c>
    </row>
    <row r="1537" spans="1:28" ht="27" customHeight="1" x14ac:dyDescent="0.3">
      <c r="A1537" s="34" t="s">
        <v>4296</v>
      </c>
      <c r="B1537" s="36" t="str">
        <f t="shared" si="23"/>
        <v>Agosto</v>
      </c>
      <c r="C1537" s="33" t="s">
        <v>162</v>
      </c>
      <c r="D1537" s="33" t="s">
        <v>4751</v>
      </c>
      <c r="E1537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537" s="32" t="s">
        <v>217</v>
      </c>
      <c r="G1537" s="32" t="s">
        <v>218</v>
      </c>
      <c r="H1537" s="139" t="s">
        <v>4752</v>
      </c>
      <c r="I1537" s="33" t="s">
        <v>264</v>
      </c>
      <c r="J1537" s="143" t="s">
        <v>4644</v>
      </c>
      <c r="K1537" s="33" t="s">
        <v>169</v>
      </c>
      <c r="L1537" s="102" t="str">
        <f>VLOOKUP(Anexo_4[[#This Row],[cod_doc]],TIPODOC,2,FALSE)</f>
        <v>FACTURA</v>
      </c>
      <c r="M1537" s="33" t="s">
        <v>519</v>
      </c>
      <c r="N1537" s="32">
        <v>401033</v>
      </c>
      <c r="O1537" s="48">
        <v>6.78</v>
      </c>
      <c r="P1537" s="49"/>
      <c r="Q1537" s="81">
        <v>1.2203999999999999</v>
      </c>
      <c r="R1537" s="80"/>
      <c r="S1537" s="48" t="s">
        <v>4341</v>
      </c>
      <c r="T1537" s="72">
        <v>8</v>
      </c>
      <c r="U1537" s="70"/>
      <c r="V1537" s="32"/>
      <c r="W1537" s="70"/>
      <c r="X1537" s="70"/>
      <c r="Y1537" s="70" t="s">
        <v>4753</v>
      </c>
      <c r="Z1537" s="70" t="s">
        <v>268</v>
      </c>
      <c r="AA1537" s="71" t="s">
        <v>4752</v>
      </c>
      <c r="AB1537" s="53" t="str">
        <f>IFERROR(VLOOKUP(Anexo_4[[#This Row],[cuenta]],OP,2,0),"-")</f>
        <v>Transporte peajes - Ventas</v>
      </c>
    </row>
    <row r="1538" spans="1:28" ht="27" customHeight="1" x14ac:dyDescent="0.3">
      <c r="A1538" s="34" t="s">
        <v>4206</v>
      </c>
      <c r="B1538" s="36" t="str">
        <f t="shared" ref="B1538:B1601" si="24">PROPER(CHOOSE(LEFT(D1538,2),"enero","febrero","marzo","abril","mayo","junio","julio","agosto","setiembre","octubre","noviembre","diciembre"))</f>
        <v>Agosto</v>
      </c>
      <c r="C1538" s="33" t="s">
        <v>162</v>
      </c>
      <c r="D1538" s="33" t="s">
        <v>4754</v>
      </c>
      <c r="E1538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538" s="32" t="s">
        <v>217</v>
      </c>
      <c r="G1538" s="32" t="s">
        <v>218</v>
      </c>
      <c r="H1538" s="139" t="s">
        <v>4755</v>
      </c>
      <c r="I1538" s="33" t="s">
        <v>264</v>
      </c>
      <c r="J1538" s="143" t="s">
        <v>4644</v>
      </c>
      <c r="K1538" s="33" t="s">
        <v>169</v>
      </c>
      <c r="L1538" s="102" t="str">
        <f>VLOOKUP(Anexo_4[[#This Row],[cod_doc]],TIPODOC,2,FALSE)</f>
        <v>FACTURA</v>
      </c>
      <c r="M1538" s="33" t="s">
        <v>271</v>
      </c>
      <c r="N1538" s="32">
        <v>1819669</v>
      </c>
      <c r="O1538" s="48">
        <v>6.78</v>
      </c>
      <c r="P1538" s="49"/>
      <c r="Q1538" s="81">
        <v>1.2203999999999999</v>
      </c>
      <c r="R1538" s="80"/>
      <c r="S1538" s="48" t="s">
        <v>4341</v>
      </c>
      <c r="T1538" s="72">
        <v>8</v>
      </c>
      <c r="U1538" s="70"/>
      <c r="V1538" s="32"/>
      <c r="W1538" s="70"/>
      <c r="X1538" s="70"/>
      <c r="Y1538" s="70" t="s">
        <v>4756</v>
      </c>
      <c r="Z1538" s="70" t="s">
        <v>268</v>
      </c>
      <c r="AA1538" s="71" t="s">
        <v>4755</v>
      </c>
      <c r="AB1538" s="53" t="str">
        <f>IFERROR(VLOOKUP(Anexo_4[[#This Row],[cuenta]],OP,2,0),"-")</f>
        <v>Transporte peajes - Ventas</v>
      </c>
    </row>
    <row r="1539" spans="1:28" ht="27" customHeight="1" x14ac:dyDescent="0.3">
      <c r="A1539" s="34" t="s">
        <v>4342</v>
      </c>
      <c r="B1539" s="36" t="str">
        <f t="shared" si="24"/>
        <v>Agosto</v>
      </c>
      <c r="C1539" s="33" t="s">
        <v>162</v>
      </c>
      <c r="D1539" s="33" t="s">
        <v>4757</v>
      </c>
      <c r="E1539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539" s="32" t="s">
        <v>217</v>
      </c>
      <c r="G1539" s="32" t="s">
        <v>218</v>
      </c>
      <c r="H1539" s="139" t="s">
        <v>4758</v>
      </c>
      <c r="I1539" s="33" t="s">
        <v>383</v>
      </c>
      <c r="J1539" s="143" t="s">
        <v>4702</v>
      </c>
      <c r="K1539" s="33" t="s">
        <v>169</v>
      </c>
      <c r="L1539" s="102" t="str">
        <f>VLOOKUP(Anexo_4[[#This Row],[cod_doc]],TIPODOC,2,FALSE)</f>
        <v>FACTURA</v>
      </c>
      <c r="M1539" s="33" t="s">
        <v>103</v>
      </c>
      <c r="N1539" s="32">
        <v>17492</v>
      </c>
      <c r="O1539" s="48">
        <v>16.95</v>
      </c>
      <c r="P1539" s="49"/>
      <c r="Q1539" s="81">
        <v>3.0509999999999997</v>
      </c>
      <c r="R1539" s="80"/>
      <c r="S1539" s="48" t="s">
        <v>4341</v>
      </c>
      <c r="T1539" s="72">
        <v>20</v>
      </c>
      <c r="U1539" s="70"/>
      <c r="V1539" s="32"/>
      <c r="W1539" s="70"/>
      <c r="X1539" s="70"/>
      <c r="Y1539" s="70" t="s">
        <v>4759</v>
      </c>
      <c r="Z1539" s="70" t="s">
        <v>182</v>
      </c>
      <c r="AA1539" s="71" t="s">
        <v>4758</v>
      </c>
      <c r="AB1539" s="53" t="str">
        <f>IFERROR(VLOOKUP(Anexo_4[[#This Row],[cuenta]],OP,2,0),"-")</f>
        <v>Balanza - Ventas</v>
      </c>
    </row>
    <row r="1540" spans="1:28" ht="27" customHeight="1" x14ac:dyDescent="0.3">
      <c r="A1540" s="34" t="s">
        <v>4296</v>
      </c>
      <c r="B1540" s="36" t="str">
        <f t="shared" si="24"/>
        <v>Agosto</v>
      </c>
      <c r="C1540" s="33" t="s">
        <v>162</v>
      </c>
      <c r="D1540" s="33" t="s">
        <v>4760</v>
      </c>
      <c r="E1540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540" s="32" t="s">
        <v>217</v>
      </c>
      <c r="G1540" s="32" t="s">
        <v>218</v>
      </c>
      <c r="H1540" s="139" t="s">
        <v>4761</v>
      </c>
      <c r="I1540" s="33" t="s">
        <v>286</v>
      </c>
      <c r="J1540" s="143" t="s">
        <v>4762</v>
      </c>
      <c r="K1540" s="33" t="s">
        <v>169</v>
      </c>
      <c r="L1540" s="102" t="str">
        <f>VLOOKUP(Anexo_4[[#This Row],[cod_doc]],TIPODOC,2,FALSE)</f>
        <v>FACTURA</v>
      </c>
      <c r="M1540" s="33" t="s">
        <v>222</v>
      </c>
      <c r="N1540" s="32">
        <v>18237</v>
      </c>
      <c r="O1540" s="48"/>
      <c r="P1540" s="49"/>
      <c r="Q1540" s="81">
        <v>0</v>
      </c>
      <c r="R1540" s="80"/>
      <c r="S1540" s="48">
        <v>11</v>
      </c>
      <c r="T1540" s="72">
        <v>11</v>
      </c>
      <c r="U1540" s="70"/>
      <c r="V1540" s="32"/>
      <c r="W1540" s="70"/>
      <c r="X1540" s="70"/>
      <c r="Y1540" s="70" t="s">
        <v>4763</v>
      </c>
      <c r="Z1540" s="70" t="s">
        <v>182</v>
      </c>
      <c r="AA1540" s="71" t="s">
        <v>4761</v>
      </c>
      <c r="AB1540" s="53" t="str">
        <f>IFERROR(VLOOKUP(Anexo_4[[#This Row],[cuenta]],OP,2,0),"-")</f>
        <v>Balanza - Ventas</v>
      </c>
    </row>
    <row r="1541" spans="1:28" ht="27" customHeight="1" x14ac:dyDescent="0.3">
      <c r="A1541" s="34" t="s">
        <v>4447</v>
      </c>
      <c r="B1541" s="36" t="str">
        <f t="shared" si="24"/>
        <v>Agosto</v>
      </c>
      <c r="C1541" s="33" t="s">
        <v>162</v>
      </c>
      <c r="D1541" s="33" t="s">
        <v>4764</v>
      </c>
      <c r="E1541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541" s="32" t="s">
        <v>217</v>
      </c>
      <c r="G1541" s="32" t="s">
        <v>218</v>
      </c>
      <c r="H1541" s="139" t="s">
        <v>4765</v>
      </c>
      <c r="I1541" s="33" t="s">
        <v>286</v>
      </c>
      <c r="J1541" s="143" t="s">
        <v>4762</v>
      </c>
      <c r="K1541" s="33" t="s">
        <v>169</v>
      </c>
      <c r="L1541" s="102" t="str">
        <f>VLOOKUP(Anexo_4[[#This Row],[cod_doc]],TIPODOC,2,FALSE)</f>
        <v>FACTURA</v>
      </c>
      <c r="M1541" s="33" t="s">
        <v>222</v>
      </c>
      <c r="N1541" s="32">
        <v>18243</v>
      </c>
      <c r="O1541" s="48"/>
      <c r="P1541" s="49"/>
      <c r="Q1541" s="81">
        <v>0</v>
      </c>
      <c r="R1541" s="80"/>
      <c r="S1541" s="48">
        <v>11</v>
      </c>
      <c r="T1541" s="72">
        <v>11</v>
      </c>
      <c r="U1541" s="70"/>
      <c r="V1541" s="32"/>
      <c r="W1541" s="70"/>
      <c r="X1541" s="70"/>
      <c r="Y1541" s="70" t="s">
        <v>4766</v>
      </c>
      <c r="Z1541" s="70" t="s">
        <v>182</v>
      </c>
      <c r="AA1541" s="71" t="s">
        <v>4765</v>
      </c>
      <c r="AB1541" s="53" t="str">
        <f>IFERROR(VLOOKUP(Anexo_4[[#This Row],[cuenta]],OP,2,0),"-")</f>
        <v>Balanza - Ventas</v>
      </c>
    </row>
    <row r="1542" spans="1:28" ht="27" customHeight="1" x14ac:dyDescent="0.3">
      <c r="A1542" s="34" t="s">
        <v>4616</v>
      </c>
      <c r="B1542" s="36" t="str">
        <f t="shared" si="24"/>
        <v>Agosto</v>
      </c>
      <c r="C1542" s="33" t="s">
        <v>162</v>
      </c>
      <c r="D1542" s="33" t="s">
        <v>4767</v>
      </c>
      <c r="E1542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542" s="32" t="s">
        <v>418</v>
      </c>
      <c r="G1542" s="32" t="s">
        <v>419</v>
      </c>
      <c r="H1542" s="139" t="s">
        <v>4768</v>
      </c>
      <c r="I1542" s="33" t="s">
        <v>178</v>
      </c>
      <c r="J1542" s="143" t="s">
        <v>4667</v>
      </c>
      <c r="K1542" s="33" t="s">
        <v>169</v>
      </c>
      <c r="L1542" s="102" t="str">
        <f>VLOOKUP(Anexo_4[[#This Row],[cod_doc]],TIPODOC,2,FALSE)</f>
        <v>FACTURA</v>
      </c>
      <c r="M1542" s="33" t="s">
        <v>180</v>
      </c>
      <c r="N1542" s="32">
        <v>136190</v>
      </c>
      <c r="O1542" s="48">
        <v>8.4700000000000006</v>
      </c>
      <c r="P1542" s="49"/>
      <c r="Q1542" s="81">
        <v>1.5246</v>
      </c>
      <c r="R1542" s="80"/>
      <c r="S1542" s="48" t="s">
        <v>4341</v>
      </c>
      <c r="T1542" s="72">
        <v>10</v>
      </c>
      <c r="U1542" s="70"/>
      <c r="V1542" s="32"/>
      <c r="W1542" s="70"/>
      <c r="X1542" s="70"/>
      <c r="Y1542" s="70" t="s">
        <v>4769</v>
      </c>
      <c r="Z1542" s="70" t="s">
        <v>386</v>
      </c>
      <c r="AA1542" s="71" t="s">
        <v>4768</v>
      </c>
      <c r="AB1542" s="53" t="str">
        <f>IFERROR(VLOOKUP(Anexo_4[[#This Row],[cuenta]],OP,2,0),"-")</f>
        <v>Balanza - Servicios</v>
      </c>
    </row>
    <row r="1543" spans="1:28" ht="27" customHeight="1" x14ac:dyDescent="0.3">
      <c r="A1543" s="34" t="s">
        <v>3711</v>
      </c>
      <c r="B1543" s="36" t="str">
        <f t="shared" si="24"/>
        <v>Agosto</v>
      </c>
      <c r="C1543" s="33" t="s">
        <v>162</v>
      </c>
      <c r="D1543" s="33" t="s">
        <v>4770</v>
      </c>
      <c r="E1543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543" s="32" t="s">
        <v>217</v>
      </c>
      <c r="G1543" s="32" t="s">
        <v>218</v>
      </c>
      <c r="H1543" s="139" t="s">
        <v>4771</v>
      </c>
      <c r="I1543" s="33" t="s">
        <v>264</v>
      </c>
      <c r="J1543" s="143" t="s">
        <v>4644</v>
      </c>
      <c r="K1543" s="33" t="s">
        <v>169</v>
      </c>
      <c r="L1543" s="102" t="str">
        <f>VLOOKUP(Anexo_4[[#This Row],[cod_doc]],TIPODOC,2,FALSE)</f>
        <v>FACTURA</v>
      </c>
      <c r="M1543" s="33" t="s">
        <v>271</v>
      </c>
      <c r="N1543" s="32">
        <v>1818145</v>
      </c>
      <c r="O1543" s="48">
        <v>6.78</v>
      </c>
      <c r="P1543" s="49"/>
      <c r="Q1543" s="81">
        <v>1.2203999999999999</v>
      </c>
      <c r="R1543" s="80"/>
      <c r="S1543" s="48" t="s">
        <v>4341</v>
      </c>
      <c r="T1543" s="72">
        <v>8</v>
      </c>
      <c r="U1543" s="70"/>
      <c r="V1543" s="32"/>
      <c r="W1543" s="70"/>
      <c r="X1543" s="70"/>
      <c r="Y1543" s="70" t="s">
        <v>4772</v>
      </c>
      <c r="Z1543" s="70" t="s">
        <v>268</v>
      </c>
      <c r="AA1543" s="71" t="s">
        <v>4771</v>
      </c>
      <c r="AB1543" s="53" t="str">
        <f>IFERROR(VLOOKUP(Anexo_4[[#This Row],[cuenta]],OP,2,0),"-")</f>
        <v>Transporte peajes - Ventas</v>
      </c>
    </row>
    <row r="1544" spans="1:28" ht="27" customHeight="1" x14ac:dyDescent="0.3">
      <c r="A1544" s="34" t="s">
        <v>4616</v>
      </c>
      <c r="B1544" s="36" t="str">
        <f t="shared" si="24"/>
        <v>Agosto</v>
      </c>
      <c r="C1544" s="33" t="s">
        <v>162</v>
      </c>
      <c r="D1544" s="33" t="s">
        <v>4773</v>
      </c>
      <c r="E1544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544" s="32" t="s">
        <v>235</v>
      </c>
      <c r="G1544" s="32" t="s">
        <v>236</v>
      </c>
      <c r="H1544" s="139" t="s">
        <v>4774</v>
      </c>
      <c r="I1544" s="33" t="s">
        <v>264</v>
      </c>
      <c r="J1544" s="143" t="s">
        <v>4644</v>
      </c>
      <c r="K1544" s="33" t="s">
        <v>169</v>
      </c>
      <c r="L1544" s="102" t="str">
        <f>VLOOKUP(Anexo_4[[#This Row],[cod_doc]],TIPODOC,2,FALSE)</f>
        <v>FACTURA</v>
      </c>
      <c r="M1544" s="33" t="s">
        <v>271</v>
      </c>
      <c r="N1544" s="32">
        <v>1825745</v>
      </c>
      <c r="O1544" s="48">
        <v>6.78</v>
      </c>
      <c r="P1544" s="49"/>
      <c r="Q1544" s="81">
        <v>1.2203999999999999</v>
      </c>
      <c r="R1544" s="80"/>
      <c r="S1544" s="48" t="s">
        <v>4341</v>
      </c>
      <c r="T1544" s="72">
        <v>8</v>
      </c>
      <c r="U1544" s="70"/>
      <c r="V1544" s="32"/>
      <c r="W1544" s="70"/>
      <c r="X1544" s="70"/>
      <c r="Y1544" s="70" t="s">
        <v>4775</v>
      </c>
      <c r="Z1544" s="70" t="s">
        <v>302</v>
      </c>
      <c r="AA1544" s="71" t="s">
        <v>4774</v>
      </c>
      <c r="AB1544" s="53" t="str">
        <f>IFERROR(VLOOKUP(Anexo_4[[#This Row],[cuenta]],OP,2,0),"-")</f>
        <v>Transporte peajes - Servicios</v>
      </c>
    </row>
    <row r="1545" spans="1:28" ht="27" customHeight="1" x14ac:dyDescent="0.3">
      <c r="A1545" s="34" t="s">
        <v>3711</v>
      </c>
      <c r="B1545" s="36" t="str">
        <f t="shared" si="24"/>
        <v>Agosto</v>
      </c>
      <c r="C1545" s="33" t="s">
        <v>162</v>
      </c>
      <c r="D1545" s="33" t="s">
        <v>4776</v>
      </c>
      <c r="E1545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545" s="32" t="s">
        <v>217</v>
      </c>
      <c r="G1545" s="32" t="s">
        <v>218</v>
      </c>
      <c r="H1545" s="139" t="s">
        <v>4777</v>
      </c>
      <c r="I1545" s="33" t="s">
        <v>264</v>
      </c>
      <c r="J1545" s="143" t="s">
        <v>4644</v>
      </c>
      <c r="K1545" s="33" t="s">
        <v>169</v>
      </c>
      <c r="L1545" s="102" t="str">
        <f>VLOOKUP(Anexo_4[[#This Row],[cod_doc]],TIPODOC,2,FALSE)</f>
        <v>FACTURA</v>
      </c>
      <c r="M1545" s="33" t="s">
        <v>352</v>
      </c>
      <c r="N1545" s="32">
        <v>1839057</v>
      </c>
      <c r="O1545" s="48">
        <v>6.78</v>
      </c>
      <c r="P1545" s="49"/>
      <c r="Q1545" s="81">
        <v>1.2203999999999999</v>
      </c>
      <c r="R1545" s="80"/>
      <c r="S1545" s="48" t="s">
        <v>4341</v>
      </c>
      <c r="T1545" s="72">
        <v>8</v>
      </c>
      <c r="U1545" s="70"/>
      <c r="V1545" s="32"/>
      <c r="W1545" s="70"/>
      <c r="X1545" s="70"/>
      <c r="Y1545" s="70" t="s">
        <v>4778</v>
      </c>
      <c r="Z1545" s="70" t="s">
        <v>268</v>
      </c>
      <c r="AA1545" s="71" t="s">
        <v>4777</v>
      </c>
      <c r="AB1545" s="53" t="str">
        <f>IFERROR(VLOOKUP(Anexo_4[[#This Row],[cuenta]],OP,2,0),"-")</f>
        <v>Transporte peajes - Ventas</v>
      </c>
    </row>
    <row r="1546" spans="1:28" ht="27" customHeight="1" x14ac:dyDescent="0.3">
      <c r="A1546" s="34" t="s">
        <v>4206</v>
      </c>
      <c r="B1546" s="36" t="str">
        <f t="shared" si="24"/>
        <v>Agosto</v>
      </c>
      <c r="C1546" s="33" t="s">
        <v>162</v>
      </c>
      <c r="D1546" s="33" t="s">
        <v>4779</v>
      </c>
      <c r="E1546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546" s="32" t="s">
        <v>217</v>
      </c>
      <c r="G1546" s="32" t="s">
        <v>218</v>
      </c>
      <c r="H1546" s="139" t="s">
        <v>4780</v>
      </c>
      <c r="I1546" s="33" t="s">
        <v>264</v>
      </c>
      <c r="J1546" s="143" t="s">
        <v>4644</v>
      </c>
      <c r="K1546" s="33" t="s">
        <v>169</v>
      </c>
      <c r="L1546" s="102" t="str">
        <f>VLOOKUP(Anexo_4[[#This Row],[cod_doc]],TIPODOC,2,FALSE)</f>
        <v>FACTURA</v>
      </c>
      <c r="M1546" s="33" t="s">
        <v>352</v>
      </c>
      <c r="N1546" s="32">
        <v>1840102</v>
      </c>
      <c r="O1546" s="48">
        <v>6.78</v>
      </c>
      <c r="P1546" s="49"/>
      <c r="Q1546" s="81">
        <v>1.2203999999999999</v>
      </c>
      <c r="R1546" s="80"/>
      <c r="S1546" s="48" t="s">
        <v>4341</v>
      </c>
      <c r="T1546" s="72">
        <v>8</v>
      </c>
      <c r="U1546" s="70"/>
      <c r="V1546" s="32"/>
      <c r="W1546" s="70"/>
      <c r="X1546" s="70"/>
      <c r="Y1546" s="70" t="s">
        <v>4781</v>
      </c>
      <c r="Z1546" s="70" t="s">
        <v>268</v>
      </c>
      <c r="AA1546" s="71" t="s">
        <v>4780</v>
      </c>
      <c r="AB1546" s="53" t="str">
        <f>IFERROR(VLOOKUP(Anexo_4[[#This Row],[cuenta]],OP,2,0),"-")</f>
        <v>Transporte peajes - Ventas</v>
      </c>
    </row>
    <row r="1547" spans="1:28" ht="27" customHeight="1" x14ac:dyDescent="0.3">
      <c r="A1547" s="34" t="s">
        <v>4296</v>
      </c>
      <c r="B1547" s="36" t="str">
        <f t="shared" si="24"/>
        <v>Agosto</v>
      </c>
      <c r="C1547" s="33" t="s">
        <v>162</v>
      </c>
      <c r="D1547" s="33" t="s">
        <v>4782</v>
      </c>
      <c r="E1547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547" s="32" t="s">
        <v>175</v>
      </c>
      <c r="G1547" s="32" t="s">
        <v>176</v>
      </c>
      <c r="H1547" s="139" t="s">
        <v>4783</v>
      </c>
      <c r="I1547" s="33" t="s">
        <v>264</v>
      </c>
      <c r="J1547" s="143" t="s">
        <v>4644</v>
      </c>
      <c r="K1547" s="33" t="s">
        <v>169</v>
      </c>
      <c r="L1547" s="102" t="str">
        <f>VLOOKUP(Anexo_4[[#This Row],[cod_doc]],TIPODOC,2,FALSE)</f>
        <v>FACTURA</v>
      </c>
      <c r="M1547" s="33" t="s">
        <v>379</v>
      </c>
      <c r="N1547" s="32">
        <v>2156725</v>
      </c>
      <c r="O1547" s="48">
        <v>10.17</v>
      </c>
      <c r="P1547" s="49"/>
      <c r="Q1547" s="81">
        <v>1.8306</v>
      </c>
      <c r="R1547" s="80"/>
      <c r="S1547" s="48" t="s">
        <v>4341</v>
      </c>
      <c r="T1547" s="72">
        <v>12</v>
      </c>
      <c r="U1547" s="70"/>
      <c r="V1547" s="32"/>
      <c r="W1547" s="70"/>
      <c r="X1547" s="70"/>
      <c r="Y1547" s="70" t="s">
        <v>4784</v>
      </c>
      <c r="Z1547" s="70" t="s">
        <v>302</v>
      </c>
      <c r="AA1547" s="71" t="s">
        <v>4783</v>
      </c>
      <c r="AB1547" s="53" t="str">
        <f>IFERROR(VLOOKUP(Anexo_4[[#This Row],[cuenta]],OP,2,0),"-")</f>
        <v>Transporte peajes - Servicios</v>
      </c>
    </row>
    <row r="1548" spans="1:28" ht="27" customHeight="1" x14ac:dyDescent="0.3">
      <c r="A1548" s="34" t="s">
        <v>4296</v>
      </c>
      <c r="B1548" s="36" t="str">
        <f t="shared" si="24"/>
        <v>Agosto</v>
      </c>
      <c r="C1548" s="33" t="s">
        <v>162</v>
      </c>
      <c r="D1548" s="33" t="s">
        <v>4785</v>
      </c>
      <c r="E1548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548" s="32" t="s">
        <v>175</v>
      </c>
      <c r="G1548" s="32" t="s">
        <v>176</v>
      </c>
      <c r="H1548" s="139" t="s">
        <v>4786</v>
      </c>
      <c r="I1548" s="33" t="s">
        <v>264</v>
      </c>
      <c r="J1548" s="143" t="s">
        <v>4644</v>
      </c>
      <c r="K1548" s="33" t="s">
        <v>169</v>
      </c>
      <c r="L1548" s="102" t="str">
        <f>VLOOKUP(Anexo_4[[#This Row],[cod_doc]],TIPODOC,2,FALSE)</f>
        <v>FACTURA</v>
      </c>
      <c r="M1548" s="33" t="s">
        <v>406</v>
      </c>
      <c r="N1548" s="32">
        <v>2448025</v>
      </c>
      <c r="O1548" s="48">
        <v>10.17</v>
      </c>
      <c r="P1548" s="49"/>
      <c r="Q1548" s="81">
        <v>1.8306</v>
      </c>
      <c r="R1548" s="80"/>
      <c r="S1548" s="48" t="s">
        <v>4341</v>
      </c>
      <c r="T1548" s="72">
        <v>12</v>
      </c>
      <c r="U1548" s="70"/>
      <c r="V1548" s="32"/>
      <c r="W1548" s="70"/>
      <c r="X1548" s="70"/>
      <c r="Y1548" s="70" t="s">
        <v>4787</v>
      </c>
      <c r="Z1548" s="70" t="s">
        <v>302</v>
      </c>
      <c r="AA1548" s="71" t="s">
        <v>4786</v>
      </c>
      <c r="AB1548" s="53" t="str">
        <f>IFERROR(VLOOKUP(Anexo_4[[#This Row],[cuenta]],OP,2,0),"-")</f>
        <v>Transporte peajes - Servicios</v>
      </c>
    </row>
    <row r="1549" spans="1:28" ht="27" customHeight="1" x14ac:dyDescent="0.3">
      <c r="A1549" s="34" t="s">
        <v>4447</v>
      </c>
      <c r="B1549" s="36" t="str">
        <f t="shared" si="24"/>
        <v>Agosto</v>
      </c>
      <c r="C1549" s="33" t="s">
        <v>162</v>
      </c>
      <c r="D1549" s="33" t="s">
        <v>4788</v>
      </c>
      <c r="E1549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549" s="32" t="s">
        <v>175</v>
      </c>
      <c r="G1549" s="32" t="s">
        <v>176</v>
      </c>
      <c r="H1549" s="139" t="s">
        <v>4789</v>
      </c>
      <c r="I1549" s="33" t="s">
        <v>178</v>
      </c>
      <c r="J1549" s="143" t="s">
        <v>4667</v>
      </c>
      <c r="K1549" s="33" t="s">
        <v>169</v>
      </c>
      <c r="L1549" s="102" t="str">
        <f>VLOOKUP(Anexo_4[[#This Row],[cod_doc]],TIPODOC,2,FALSE)</f>
        <v>FACTURA</v>
      </c>
      <c r="M1549" s="33" t="s">
        <v>180</v>
      </c>
      <c r="N1549" s="32">
        <v>136104</v>
      </c>
      <c r="O1549" s="48">
        <v>8.4700000000000006</v>
      </c>
      <c r="P1549" s="49"/>
      <c r="Q1549" s="81">
        <v>1.5246</v>
      </c>
      <c r="R1549" s="80"/>
      <c r="S1549" s="48" t="s">
        <v>4341</v>
      </c>
      <c r="T1549" s="72">
        <v>10</v>
      </c>
      <c r="U1549" s="70"/>
      <c r="V1549" s="32"/>
      <c r="W1549" s="70"/>
      <c r="X1549" s="70"/>
      <c r="Y1549" s="70" t="s">
        <v>4790</v>
      </c>
      <c r="Z1549" s="70" t="s">
        <v>386</v>
      </c>
      <c r="AA1549" s="71" t="s">
        <v>4789</v>
      </c>
      <c r="AB1549" s="53" t="str">
        <f>IFERROR(VLOOKUP(Anexo_4[[#This Row],[cuenta]],OP,2,0),"-")</f>
        <v>Balanza - Servicios</v>
      </c>
    </row>
    <row r="1550" spans="1:28" ht="27" customHeight="1" x14ac:dyDescent="0.3">
      <c r="A1550" s="34" t="s">
        <v>4447</v>
      </c>
      <c r="B1550" s="36" t="str">
        <f t="shared" si="24"/>
        <v>Agosto</v>
      </c>
      <c r="C1550" s="33" t="s">
        <v>162</v>
      </c>
      <c r="D1550" s="33" t="s">
        <v>4791</v>
      </c>
      <c r="E1550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550" s="32" t="s">
        <v>175</v>
      </c>
      <c r="G1550" s="32" t="s">
        <v>176</v>
      </c>
      <c r="H1550" s="139" t="s">
        <v>4792</v>
      </c>
      <c r="I1550" s="33" t="s">
        <v>178</v>
      </c>
      <c r="J1550" s="143" t="s">
        <v>4667</v>
      </c>
      <c r="K1550" s="33" t="s">
        <v>169</v>
      </c>
      <c r="L1550" s="102" t="str">
        <f>VLOOKUP(Anexo_4[[#This Row],[cod_doc]],TIPODOC,2,FALSE)</f>
        <v>FACTURA</v>
      </c>
      <c r="M1550" s="33" t="s">
        <v>180</v>
      </c>
      <c r="N1550" s="32">
        <v>136101</v>
      </c>
      <c r="O1550" s="48">
        <v>8.4700000000000006</v>
      </c>
      <c r="P1550" s="49"/>
      <c r="Q1550" s="81">
        <v>1.5246</v>
      </c>
      <c r="R1550" s="80"/>
      <c r="S1550" s="48" t="s">
        <v>4341</v>
      </c>
      <c r="T1550" s="72">
        <v>10</v>
      </c>
      <c r="U1550" s="70"/>
      <c r="V1550" s="32"/>
      <c r="W1550" s="70"/>
      <c r="X1550" s="70"/>
      <c r="Y1550" s="70" t="s">
        <v>4793</v>
      </c>
      <c r="Z1550" s="70" t="s">
        <v>386</v>
      </c>
      <c r="AA1550" s="71" t="s">
        <v>4792</v>
      </c>
      <c r="AB1550" s="53" t="str">
        <f>IFERROR(VLOOKUP(Anexo_4[[#This Row],[cuenta]],OP,2,0),"-")</f>
        <v>Balanza - Servicios</v>
      </c>
    </row>
    <row r="1551" spans="1:28" ht="27" customHeight="1" x14ac:dyDescent="0.3">
      <c r="A1551" s="34" t="s">
        <v>4616</v>
      </c>
      <c r="B1551" s="36" t="str">
        <f t="shared" si="24"/>
        <v>Agosto</v>
      </c>
      <c r="C1551" s="33" t="s">
        <v>162</v>
      </c>
      <c r="D1551" s="33" t="s">
        <v>4794</v>
      </c>
      <c r="E1551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551" s="32" t="s">
        <v>248</v>
      </c>
      <c r="G1551" s="32" t="s">
        <v>249</v>
      </c>
      <c r="H1551" s="139" t="s">
        <v>4795</v>
      </c>
      <c r="I1551" s="33" t="s">
        <v>625</v>
      </c>
      <c r="J1551" s="143" t="s">
        <v>4796</v>
      </c>
      <c r="K1551" s="33" t="s">
        <v>169</v>
      </c>
      <c r="L1551" s="102" t="str">
        <f>VLOOKUP(Anexo_4[[#This Row],[cod_doc]],TIPODOC,2,FALSE)</f>
        <v>FACTURA</v>
      </c>
      <c r="M1551" s="33" t="s">
        <v>180</v>
      </c>
      <c r="N1551" s="32">
        <v>16729</v>
      </c>
      <c r="O1551" s="48">
        <v>166.19</v>
      </c>
      <c r="P1551" s="49"/>
      <c r="Q1551" s="81">
        <v>29.914199999999997</v>
      </c>
      <c r="R1551" s="80"/>
      <c r="S1551" s="48" t="s">
        <v>4341</v>
      </c>
      <c r="T1551" s="72">
        <v>196.09</v>
      </c>
      <c r="U1551" s="70"/>
      <c r="V1551" s="32"/>
      <c r="W1551" s="70"/>
      <c r="X1551" s="70"/>
      <c r="Y1551" s="70" t="s">
        <v>4797</v>
      </c>
      <c r="Z1551" s="70" t="s">
        <v>256</v>
      </c>
      <c r="AA1551" s="71" t="s">
        <v>4795</v>
      </c>
      <c r="AB1551" s="53" t="str">
        <f>IFERROR(VLOOKUP(Anexo_4[[#This Row],[cuenta]],OP,2,0),"-")</f>
        <v>Materias Primas - RRSS</v>
      </c>
    </row>
    <row r="1552" spans="1:28" ht="27" customHeight="1" x14ac:dyDescent="0.3">
      <c r="A1552" s="34" t="s">
        <v>4798</v>
      </c>
      <c r="B1552" s="36" t="str">
        <f t="shared" si="24"/>
        <v>Agosto</v>
      </c>
      <c r="C1552" s="33" t="s">
        <v>162</v>
      </c>
      <c r="D1552" s="33" t="s">
        <v>4799</v>
      </c>
      <c r="E1552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552" s="32" t="s">
        <v>248</v>
      </c>
      <c r="G1552" s="32" t="s">
        <v>249</v>
      </c>
      <c r="H1552" s="139" t="s">
        <v>4800</v>
      </c>
      <c r="I1552" s="33" t="s">
        <v>625</v>
      </c>
      <c r="J1552" s="143" t="s">
        <v>4796</v>
      </c>
      <c r="K1552" s="33" t="s">
        <v>169</v>
      </c>
      <c r="L1552" s="102" t="str">
        <f>VLOOKUP(Anexo_4[[#This Row],[cod_doc]],TIPODOC,2,FALSE)</f>
        <v>FACTURA</v>
      </c>
      <c r="M1552" s="33" t="s">
        <v>180</v>
      </c>
      <c r="N1552" s="32">
        <v>16758</v>
      </c>
      <c r="O1552" s="48">
        <v>1785.22</v>
      </c>
      <c r="P1552" s="49"/>
      <c r="Q1552" s="81">
        <v>321.33960000000002</v>
      </c>
      <c r="R1552" s="80"/>
      <c r="S1552" s="48" t="s">
        <v>4341</v>
      </c>
      <c r="T1552" s="72">
        <v>2106.5500000000002</v>
      </c>
      <c r="U1552" s="70"/>
      <c r="V1552" s="32"/>
      <c r="W1552" s="70"/>
      <c r="X1552" s="70"/>
      <c r="Y1552" s="70" t="s">
        <v>4801</v>
      </c>
      <c r="Z1552" s="70" t="s">
        <v>256</v>
      </c>
      <c r="AA1552" s="71" t="s">
        <v>4800</v>
      </c>
      <c r="AB1552" s="53" t="str">
        <f>IFERROR(VLOOKUP(Anexo_4[[#This Row],[cuenta]],OP,2,0),"-")</f>
        <v>Materias Primas - RRSS</v>
      </c>
    </row>
    <row r="1553" spans="1:28" ht="27" customHeight="1" x14ac:dyDescent="0.3">
      <c r="A1553" s="34" t="s">
        <v>4798</v>
      </c>
      <c r="B1553" s="36" t="str">
        <f t="shared" si="24"/>
        <v>Agosto</v>
      </c>
      <c r="C1553" s="33" t="s">
        <v>162</v>
      </c>
      <c r="D1553" s="33" t="s">
        <v>4802</v>
      </c>
      <c r="E1553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553" s="32" t="s">
        <v>248</v>
      </c>
      <c r="G1553" s="32" t="s">
        <v>249</v>
      </c>
      <c r="H1553" s="139" t="s">
        <v>4803</v>
      </c>
      <c r="I1553" s="33" t="s">
        <v>625</v>
      </c>
      <c r="J1553" s="143" t="s">
        <v>4796</v>
      </c>
      <c r="K1553" s="33" t="s">
        <v>169</v>
      </c>
      <c r="L1553" s="102" t="str">
        <f>VLOOKUP(Anexo_4[[#This Row],[cod_doc]],TIPODOC,2,FALSE)</f>
        <v>FACTURA</v>
      </c>
      <c r="M1553" s="33" t="s">
        <v>180</v>
      </c>
      <c r="N1553" s="32">
        <v>16757</v>
      </c>
      <c r="O1553" s="48">
        <v>2745.2</v>
      </c>
      <c r="P1553" s="49"/>
      <c r="Q1553" s="81">
        <v>494.13599999999997</v>
      </c>
      <c r="R1553" s="80"/>
      <c r="S1553" s="48" t="s">
        <v>4341</v>
      </c>
      <c r="T1553" s="72">
        <v>3239.35</v>
      </c>
      <c r="U1553" s="70"/>
      <c r="V1553" s="32"/>
      <c r="W1553" s="70"/>
      <c r="X1553" s="70"/>
      <c r="Y1553" s="70" t="s">
        <v>4804</v>
      </c>
      <c r="Z1553" s="70" t="s">
        <v>256</v>
      </c>
      <c r="AA1553" s="71" t="s">
        <v>4803</v>
      </c>
      <c r="AB1553" s="53" t="str">
        <f>IFERROR(VLOOKUP(Anexo_4[[#This Row],[cuenta]],OP,2,0),"-")</f>
        <v>Materias Primas - RRSS</v>
      </c>
    </row>
    <row r="1554" spans="1:28" ht="27" customHeight="1" x14ac:dyDescent="0.3">
      <c r="A1554" s="34" t="s">
        <v>4616</v>
      </c>
      <c r="B1554" s="36" t="str">
        <f t="shared" si="24"/>
        <v>Agosto</v>
      </c>
      <c r="C1554" s="33" t="s">
        <v>162</v>
      </c>
      <c r="D1554" s="33" t="s">
        <v>4805</v>
      </c>
      <c r="E1554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554" s="32" t="s">
        <v>248</v>
      </c>
      <c r="G1554" s="32" t="s">
        <v>249</v>
      </c>
      <c r="H1554" s="139" t="s">
        <v>4806</v>
      </c>
      <c r="I1554" s="33" t="s">
        <v>625</v>
      </c>
      <c r="J1554" s="143" t="s">
        <v>626</v>
      </c>
      <c r="K1554" s="33" t="s">
        <v>169</v>
      </c>
      <c r="L1554" s="102" t="str">
        <f>VLOOKUP(Anexo_4[[#This Row],[cod_doc]],TIPODOC,2,FALSE)</f>
        <v>FACTURA</v>
      </c>
      <c r="M1554" s="33" t="s">
        <v>180</v>
      </c>
      <c r="N1554" s="32" t="s">
        <v>4807</v>
      </c>
      <c r="O1554" s="48">
        <v>291.89999999999998</v>
      </c>
      <c r="P1554" s="49"/>
      <c r="Q1554" s="81">
        <v>52.55</v>
      </c>
      <c r="R1554" s="80"/>
      <c r="S1554" s="48"/>
      <c r="T1554" s="72">
        <v>344.45</v>
      </c>
      <c r="U1554" s="70"/>
      <c r="V1554" s="32"/>
      <c r="W1554" s="70"/>
      <c r="X1554" s="70"/>
      <c r="Y1554" s="70"/>
      <c r="Z1554" s="70" t="s">
        <v>256</v>
      </c>
      <c r="AA1554" s="71"/>
      <c r="AB1554" s="53" t="str">
        <f>IFERROR(VLOOKUP(Anexo_4[[#This Row],[cuenta]],OP,2,0),"-")</f>
        <v>Materias Primas - RRSS</v>
      </c>
    </row>
    <row r="1555" spans="1:28" ht="27" customHeight="1" x14ac:dyDescent="0.3">
      <c r="A1555" s="34" t="s">
        <v>4798</v>
      </c>
      <c r="B1555" s="36" t="str">
        <f t="shared" si="24"/>
        <v>Agosto</v>
      </c>
      <c r="C1555" s="33" t="s">
        <v>162</v>
      </c>
      <c r="D1555" s="33" t="s">
        <v>4808</v>
      </c>
      <c r="E1555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555" s="32" t="s">
        <v>1028</v>
      </c>
      <c r="G1555" s="32" t="s">
        <v>1029</v>
      </c>
      <c r="H1555" s="139" t="s">
        <v>3417</v>
      </c>
      <c r="I1555" s="33" t="s">
        <v>949</v>
      </c>
      <c r="J1555" s="143" t="s">
        <v>950</v>
      </c>
      <c r="K1555" s="33" t="s">
        <v>169</v>
      </c>
      <c r="L1555" s="102" t="str">
        <f>VLOOKUP(Anexo_4[[#This Row],[cod_doc]],TIPODOC,2,FALSE)</f>
        <v>FACTURA</v>
      </c>
      <c r="M1555" s="33" t="s">
        <v>222</v>
      </c>
      <c r="N1555" s="32" t="s">
        <v>4809</v>
      </c>
      <c r="O1555" s="48">
        <v>102</v>
      </c>
      <c r="P1555" s="49"/>
      <c r="Q1555" s="81">
        <v>18.36</v>
      </c>
      <c r="R1555" s="80"/>
      <c r="S1555" s="48"/>
      <c r="T1555" s="72">
        <v>120.36</v>
      </c>
      <c r="U1555" s="70"/>
      <c r="V1555" s="32"/>
      <c r="W1555" s="70"/>
      <c r="X1555" s="70"/>
      <c r="Y1555" s="70"/>
      <c r="Z1555" s="70" t="s">
        <v>1756</v>
      </c>
      <c r="AA1555" s="71"/>
      <c r="AB1555" s="53" t="str">
        <f>IFERROR(VLOOKUP(Anexo_4[[#This Row],[cuenta]],OP,2,0),"-")</f>
        <v>-</v>
      </c>
    </row>
    <row r="1556" spans="1:28" ht="27" customHeight="1" x14ac:dyDescent="0.3">
      <c r="A1556" s="34" t="s">
        <v>4545</v>
      </c>
      <c r="B1556" s="36" t="str">
        <f t="shared" si="24"/>
        <v>Agosto</v>
      </c>
      <c r="C1556" s="33" t="s">
        <v>162</v>
      </c>
      <c r="D1556" s="33" t="s">
        <v>4810</v>
      </c>
      <c r="E1556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556" s="32"/>
      <c r="G1556" s="32"/>
      <c r="H1556" s="139" t="s">
        <v>4811</v>
      </c>
      <c r="I1556" s="33" t="s">
        <v>258</v>
      </c>
      <c r="J1556" s="143" t="s">
        <v>4812</v>
      </c>
      <c r="K1556" s="33" t="s">
        <v>169</v>
      </c>
      <c r="L1556" s="102" t="str">
        <f>VLOOKUP(Anexo_4[[#This Row],[cod_doc]],TIPODOC,2,FALSE)</f>
        <v>FACTURA</v>
      </c>
      <c r="M1556" s="33" t="s">
        <v>260</v>
      </c>
      <c r="N1556" s="32" t="s">
        <v>4813</v>
      </c>
      <c r="O1556" s="48">
        <v>1255.1600000000001</v>
      </c>
      <c r="P1556" s="49"/>
      <c r="Q1556" s="81">
        <v>225.93</v>
      </c>
      <c r="R1556" s="80"/>
      <c r="S1556" s="48"/>
      <c r="T1556" s="72">
        <v>1481.09</v>
      </c>
      <c r="U1556" s="70"/>
      <c r="V1556" s="32"/>
      <c r="W1556" s="70"/>
      <c r="X1556" s="70"/>
      <c r="Y1556" s="70"/>
      <c r="Z1556" s="70"/>
      <c r="AA1556" s="71"/>
      <c r="AB1556" s="53" t="str">
        <f>IFERROR(VLOOKUP(Anexo_4[[#This Row],[cuenta]],OP,2,0),"-")</f>
        <v>-</v>
      </c>
    </row>
    <row r="1557" spans="1:28" ht="27" customHeight="1" x14ac:dyDescent="0.3">
      <c r="A1557" s="34" t="s">
        <v>4447</v>
      </c>
      <c r="B1557" s="36" t="str">
        <f t="shared" si="24"/>
        <v>Agosto</v>
      </c>
      <c r="C1557" s="33" t="s">
        <v>162</v>
      </c>
      <c r="D1557" s="33" t="s">
        <v>4814</v>
      </c>
      <c r="E1557" s="37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1557" s="32" t="s">
        <v>198</v>
      </c>
      <c r="G1557" s="32" t="s">
        <v>199</v>
      </c>
      <c r="H1557" s="139" t="s">
        <v>4815</v>
      </c>
      <c r="I1557" s="33" t="s">
        <v>3371</v>
      </c>
      <c r="J1557" s="143" t="s">
        <v>3372</v>
      </c>
      <c r="K1557" s="33" t="s">
        <v>169</v>
      </c>
      <c r="L1557" s="102" t="str">
        <f>VLOOKUP(Anexo_4[[#This Row],[cod_doc]],TIPODOC,2,FALSE)</f>
        <v>FACTURA</v>
      </c>
      <c r="M1557" s="33" t="s">
        <v>102</v>
      </c>
      <c r="N1557" s="32" t="s">
        <v>4816</v>
      </c>
      <c r="O1557" s="48">
        <v>550</v>
      </c>
      <c r="P1557" s="49"/>
      <c r="Q1557" s="81">
        <v>99</v>
      </c>
      <c r="R1557" s="80"/>
      <c r="S1557" s="48"/>
      <c r="T1557" s="72">
        <v>649</v>
      </c>
      <c r="U1557" s="70"/>
      <c r="V1557" s="32"/>
      <c r="W1557" s="70"/>
      <c r="X1557" s="70"/>
      <c r="Y1557" s="70"/>
      <c r="Z1557" s="70" t="s">
        <v>468</v>
      </c>
      <c r="AA1557" s="71"/>
      <c r="AB1557" s="53" t="str">
        <f>IFERROR(VLOOKUP(Anexo_4[[#This Row],[cuenta]],OP,2,0),"-")</f>
        <v>Transporte de Carga  - Ventas</v>
      </c>
    </row>
    <row r="1558" spans="1:28" ht="27" customHeight="1" x14ac:dyDescent="0.3">
      <c r="A1558" s="34" t="s">
        <v>4037</v>
      </c>
      <c r="B1558" s="36" t="str">
        <f t="shared" si="24"/>
        <v>Agosto</v>
      </c>
      <c r="C1558" s="33" t="s">
        <v>162</v>
      </c>
      <c r="D1558" s="33" t="s">
        <v>4817</v>
      </c>
      <c r="E1558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558" s="32" t="s">
        <v>823</v>
      </c>
      <c r="G1558" s="32" t="s">
        <v>824</v>
      </c>
      <c r="H1558" s="139" t="s">
        <v>4818</v>
      </c>
      <c r="I1558" s="33" t="s">
        <v>2613</v>
      </c>
      <c r="J1558" s="143" t="s">
        <v>2614</v>
      </c>
      <c r="K1558" s="33" t="s">
        <v>169</v>
      </c>
      <c r="L1558" s="102" t="str">
        <f>VLOOKUP(Anexo_4[[#This Row],[cod_doc]],TIPODOC,2,FALSE)</f>
        <v>FACTURA</v>
      </c>
      <c r="M1558" s="33" t="s">
        <v>102</v>
      </c>
      <c r="N1558" s="32" t="s">
        <v>4819</v>
      </c>
      <c r="O1558" s="48">
        <v>8475</v>
      </c>
      <c r="P1558" s="49"/>
      <c r="Q1558" s="81">
        <v>1525.5</v>
      </c>
      <c r="R1558" s="80"/>
      <c r="S1558" s="48"/>
      <c r="T1558" s="72">
        <v>10000.5</v>
      </c>
      <c r="U1558" s="70"/>
      <c r="V1558" s="32"/>
      <c r="W1558" s="70"/>
      <c r="X1558" s="70"/>
      <c r="Y1558" s="70"/>
      <c r="Z1558" s="70" t="s">
        <v>1756</v>
      </c>
      <c r="AA1558" s="71"/>
      <c r="AB1558" s="53" t="str">
        <f>IFERROR(VLOOKUP(Anexo_4[[#This Row],[cuenta]],OP,2,0),"-")</f>
        <v>-</v>
      </c>
    </row>
    <row r="1559" spans="1:28" ht="27" customHeight="1" x14ac:dyDescent="0.3">
      <c r="A1559" s="34" t="s">
        <v>1190</v>
      </c>
      <c r="B1559" s="36" t="str">
        <f t="shared" si="24"/>
        <v>Agosto</v>
      </c>
      <c r="C1559" s="33" t="s">
        <v>162</v>
      </c>
      <c r="D1559" s="33" t="s">
        <v>4820</v>
      </c>
      <c r="E1559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559" s="32"/>
      <c r="G1559" s="32"/>
      <c r="H1559" s="139" t="s">
        <v>4821</v>
      </c>
      <c r="I1559" s="33" t="s">
        <v>4822</v>
      </c>
      <c r="J1559" s="143" t="s">
        <v>4823</v>
      </c>
      <c r="K1559" s="33" t="s">
        <v>169</v>
      </c>
      <c r="L1559" s="102" t="str">
        <f>VLOOKUP(Anexo_4[[#This Row],[cod_doc]],TIPODOC,2,FALSE)</f>
        <v>FACTURA</v>
      </c>
      <c r="M1559" s="33" t="s">
        <v>102</v>
      </c>
      <c r="N1559" s="32" t="s">
        <v>4824</v>
      </c>
      <c r="O1559" s="48">
        <v>1817.77</v>
      </c>
      <c r="P1559" s="49"/>
      <c r="Q1559" s="81">
        <v>327.2</v>
      </c>
      <c r="R1559" s="80"/>
      <c r="S1559" s="48"/>
      <c r="T1559" s="72">
        <v>2144.9699999999998</v>
      </c>
      <c r="U1559" s="70"/>
      <c r="V1559" s="32"/>
      <c r="W1559" s="70"/>
      <c r="X1559" s="70"/>
      <c r="Y1559" s="70"/>
      <c r="Z1559" s="70"/>
      <c r="AA1559" s="71"/>
      <c r="AB1559" s="53" t="str">
        <f>IFERROR(VLOOKUP(Anexo_4[[#This Row],[cuenta]],OP,2,0),"-")</f>
        <v>-</v>
      </c>
    </row>
    <row r="1560" spans="1:28" ht="27" customHeight="1" x14ac:dyDescent="0.3">
      <c r="A1560" s="34" t="s">
        <v>993</v>
      </c>
      <c r="B1560" s="36" t="str">
        <f t="shared" si="24"/>
        <v>Agosto</v>
      </c>
      <c r="C1560" s="33" t="s">
        <v>162</v>
      </c>
      <c r="D1560" s="33" t="s">
        <v>4825</v>
      </c>
      <c r="E1560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560" s="32"/>
      <c r="G1560" s="32"/>
      <c r="H1560" s="139" t="s">
        <v>4826</v>
      </c>
      <c r="I1560" s="33" t="s">
        <v>4827</v>
      </c>
      <c r="J1560" s="143" t="s">
        <v>4828</v>
      </c>
      <c r="K1560" s="33" t="s">
        <v>169</v>
      </c>
      <c r="L1560" s="102" t="str">
        <f>VLOOKUP(Anexo_4[[#This Row],[cod_doc]],TIPODOC,2,FALSE)</f>
        <v>FACTURA</v>
      </c>
      <c r="M1560" s="33" t="s">
        <v>222</v>
      </c>
      <c r="N1560" s="32" t="s">
        <v>4829</v>
      </c>
      <c r="O1560" s="48">
        <v>1138.98</v>
      </c>
      <c r="P1560" s="49"/>
      <c r="Q1560" s="81">
        <v>205.02</v>
      </c>
      <c r="R1560" s="80"/>
      <c r="S1560" s="48"/>
      <c r="T1560" s="72">
        <v>1344</v>
      </c>
      <c r="U1560" s="70"/>
      <c r="V1560" s="32"/>
      <c r="W1560" s="70"/>
      <c r="X1560" s="70"/>
      <c r="Y1560" s="70"/>
      <c r="Z1560" s="70"/>
      <c r="AA1560" s="71"/>
      <c r="AB1560" s="53" t="str">
        <f>IFERROR(VLOOKUP(Anexo_4[[#This Row],[cuenta]],OP,2,0),"-")</f>
        <v>-</v>
      </c>
    </row>
    <row r="1561" spans="1:28" ht="27" customHeight="1" x14ac:dyDescent="0.3">
      <c r="A1561" s="34" t="s">
        <v>4296</v>
      </c>
      <c r="B1561" s="36" t="str">
        <f t="shared" si="24"/>
        <v>Agosto</v>
      </c>
      <c r="C1561" s="33" t="s">
        <v>162</v>
      </c>
      <c r="D1561" s="33" t="s">
        <v>4830</v>
      </c>
      <c r="E1561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561" s="32" t="s">
        <v>953</v>
      </c>
      <c r="G1561" s="32" t="s">
        <v>954</v>
      </c>
      <c r="H1561" s="139" t="s">
        <v>4831</v>
      </c>
      <c r="I1561" s="33" t="s">
        <v>4832</v>
      </c>
      <c r="J1561" s="143" t="s">
        <v>4833</v>
      </c>
      <c r="K1561" s="33" t="s">
        <v>169</v>
      </c>
      <c r="L1561" s="102" t="str">
        <f>VLOOKUP(Anexo_4[[#This Row],[cod_doc]],TIPODOC,2,FALSE)</f>
        <v>FACTURA</v>
      </c>
      <c r="M1561" s="33" t="s">
        <v>222</v>
      </c>
      <c r="N1561" s="32" t="s">
        <v>4834</v>
      </c>
      <c r="O1561" s="48">
        <v>1023.7</v>
      </c>
      <c r="P1561" s="49"/>
      <c r="Q1561" s="81">
        <v>184.27</v>
      </c>
      <c r="R1561" s="80"/>
      <c r="S1561" s="48"/>
      <c r="T1561" s="72">
        <v>1207.97</v>
      </c>
      <c r="U1561" s="70"/>
      <c r="V1561" s="32"/>
      <c r="W1561" s="70"/>
      <c r="X1561" s="70"/>
      <c r="Y1561" s="70"/>
      <c r="Z1561" s="70" t="s">
        <v>1998</v>
      </c>
      <c r="AA1561" s="71"/>
      <c r="AB1561" s="53" t="str">
        <f>IFERROR(VLOOKUP(Anexo_4[[#This Row],[cuenta]],OP,2,0),"-")</f>
        <v>Mantenimiento de Balanzas</v>
      </c>
    </row>
    <row r="1562" spans="1:28" ht="27" customHeight="1" x14ac:dyDescent="0.3">
      <c r="A1562" s="34" t="s">
        <v>3610</v>
      </c>
      <c r="B1562" s="36" t="str">
        <f t="shared" si="24"/>
        <v>Agosto</v>
      </c>
      <c r="C1562" s="33" t="s">
        <v>162</v>
      </c>
      <c r="D1562" s="33" t="s">
        <v>4835</v>
      </c>
      <c r="E1562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562" s="32" t="s">
        <v>190</v>
      </c>
      <c r="G1562" s="32" t="s">
        <v>191</v>
      </c>
      <c r="H1562" s="139" t="s">
        <v>4836</v>
      </c>
      <c r="I1562" s="33" t="s">
        <v>2435</v>
      </c>
      <c r="J1562" s="143" t="s">
        <v>2436</v>
      </c>
      <c r="K1562" s="33" t="s">
        <v>169</v>
      </c>
      <c r="L1562" s="102" t="str">
        <f>VLOOKUP(Anexo_4[[#This Row],[cod_doc]],TIPODOC,2,FALSE)</f>
        <v>FACTURA</v>
      </c>
      <c r="M1562" s="33" t="s">
        <v>102</v>
      </c>
      <c r="N1562" s="32" t="s">
        <v>4837</v>
      </c>
      <c r="O1562" s="48">
        <v>1169.49</v>
      </c>
      <c r="P1562" s="49"/>
      <c r="Q1562" s="81">
        <v>210.51</v>
      </c>
      <c r="R1562" s="80"/>
      <c r="S1562" s="48"/>
      <c r="T1562" s="72">
        <v>1380</v>
      </c>
      <c r="U1562" s="70"/>
      <c r="V1562" s="32"/>
      <c r="W1562" s="70"/>
      <c r="X1562" s="70"/>
      <c r="Y1562" s="70"/>
      <c r="Z1562" s="70" t="s">
        <v>4222</v>
      </c>
      <c r="AA1562" s="71"/>
      <c r="AB1562" s="53" t="str">
        <f>IFERROR(VLOOKUP(Anexo_4[[#This Row],[cuenta]],OP,2,0),"-")</f>
        <v>-</v>
      </c>
    </row>
    <row r="1563" spans="1:28" ht="27" customHeight="1" x14ac:dyDescent="0.3">
      <c r="A1563" s="34" t="s">
        <v>4447</v>
      </c>
      <c r="B1563" s="36" t="str">
        <f t="shared" si="24"/>
        <v>Agosto</v>
      </c>
      <c r="C1563" s="33" t="s">
        <v>162</v>
      </c>
      <c r="D1563" s="33" t="s">
        <v>4838</v>
      </c>
      <c r="E1563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563" s="32" t="s">
        <v>217</v>
      </c>
      <c r="G1563" s="32" t="s">
        <v>4839</v>
      </c>
      <c r="H1563" s="139" t="s">
        <v>4840</v>
      </c>
      <c r="I1563" s="33" t="s">
        <v>264</v>
      </c>
      <c r="J1563" s="143" t="s">
        <v>265</v>
      </c>
      <c r="K1563" s="33" t="s">
        <v>169</v>
      </c>
      <c r="L1563" s="102" t="str">
        <f>VLOOKUP(Anexo_4[[#This Row],[cod_doc]],TIPODOC,2,FALSE)</f>
        <v>FACTURA</v>
      </c>
      <c r="M1563" s="33" t="s">
        <v>279</v>
      </c>
      <c r="N1563" s="32" t="s">
        <v>4841</v>
      </c>
      <c r="O1563" s="48">
        <v>6.78</v>
      </c>
      <c r="P1563" s="49"/>
      <c r="Q1563" s="81">
        <v>1.22</v>
      </c>
      <c r="R1563" s="80"/>
      <c r="S1563" s="48"/>
      <c r="T1563" s="72">
        <v>8</v>
      </c>
      <c r="U1563" s="70"/>
      <c r="V1563" s="32"/>
      <c r="W1563" s="70"/>
      <c r="X1563" s="70"/>
      <c r="Y1563" s="70" t="s">
        <v>4842</v>
      </c>
      <c r="Z1563" s="70" t="s">
        <v>268</v>
      </c>
      <c r="AA1563" s="71"/>
      <c r="AB1563" s="53" t="str">
        <f>IFERROR(VLOOKUP(Anexo_4[[#This Row],[cuenta]],OP,2,0),"-")</f>
        <v>Transporte peajes - Ventas</v>
      </c>
    </row>
    <row r="1564" spans="1:28" ht="27" customHeight="1" x14ac:dyDescent="0.3">
      <c r="A1564" s="34" t="s">
        <v>4447</v>
      </c>
      <c r="B1564" s="36" t="str">
        <f t="shared" si="24"/>
        <v>Agosto</v>
      </c>
      <c r="C1564" s="33" t="s">
        <v>162</v>
      </c>
      <c r="D1564" s="33" t="s">
        <v>4843</v>
      </c>
      <c r="E1564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564" s="32" t="s">
        <v>217</v>
      </c>
      <c r="G1564" s="32" t="s">
        <v>4839</v>
      </c>
      <c r="H1564" s="139" t="s">
        <v>4844</v>
      </c>
      <c r="I1564" s="33" t="s">
        <v>264</v>
      </c>
      <c r="J1564" s="143" t="s">
        <v>265</v>
      </c>
      <c r="K1564" s="33" t="s">
        <v>169</v>
      </c>
      <c r="L1564" s="102" t="str">
        <f>VLOOKUP(Anexo_4[[#This Row],[cod_doc]],TIPODOC,2,FALSE)</f>
        <v>FACTURA</v>
      </c>
      <c r="M1564" s="33" t="s">
        <v>266</v>
      </c>
      <c r="N1564" s="32" t="s">
        <v>4845</v>
      </c>
      <c r="O1564" s="48">
        <v>6.78</v>
      </c>
      <c r="P1564" s="49"/>
      <c r="Q1564" s="81">
        <v>1.22</v>
      </c>
      <c r="R1564" s="80"/>
      <c r="S1564" s="48"/>
      <c r="T1564" s="72">
        <v>8</v>
      </c>
      <c r="U1564" s="70"/>
      <c r="V1564" s="32"/>
      <c r="W1564" s="70"/>
      <c r="X1564" s="70"/>
      <c r="Y1564" s="70" t="s">
        <v>4842</v>
      </c>
      <c r="Z1564" s="70" t="s">
        <v>268</v>
      </c>
      <c r="AA1564" s="71"/>
      <c r="AB1564" s="53" t="str">
        <f>IFERROR(VLOOKUP(Anexo_4[[#This Row],[cuenta]],OP,2,0),"-")</f>
        <v>Transporte peajes - Ventas</v>
      </c>
    </row>
    <row r="1565" spans="1:28" ht="27" customHeight="1" x14ac:dyDescent="0.3">
      <c r="A1565" s="34" t="s">
        <v>4206</v>
      </c>
      <c r="B1565" s="36" t="str">
        <f t="shared" si="24"/>
        <v>Agosto</v>
      </c>
      <c r="C1565" s="33" t="s">
        <v>162</v>
      </c>
      <c r="D1565" s="33" t="s">
        <v>4846</v>
      </c>
      <c r="E1565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565" s="32" t="s">
        <v>355</v>
      </c>
      <c r="G1565" s="32" t="s">
        <v>356</v>
      </c>
      <c r="H1565" s="139" t="s">
        <v>633</v>
      </c>
      <c r="I1565" s="33" t="s">
        <v>991</v>
      </c>
      <c r="J1565" s="143" t="s">
        <v>992</v>
      </c>
      <c r="K1565" s="33" t="s">
        <v>169</v>
      </c>
      <c r="L1565" s="102" t="str">
        <f>VLOOKUP(Anexo_4[[#This Row],[cod_doc]],TIPODOC,2,FALSE)</f>
        <v>FACTURA</v>
      </c>
      <c r="M1565" s="33" t="s">
        <v>222</v>
      </c>
      <c r="N1565" s="32" t="s">
        <v>4847</v>
      </c>
      <c r="O1565" s="48">
        <v>16.95</v>
      </c>
      <c r="P1565" s="49"/>
      <c r="Q1565" s="81">
        <v>3.05</v>
      </c>
      <c r="R1565" s="80"/>
      <c r="S1565" s="48"/>
      <c r="T1565" s="72">
        <v>20</v>
      </c>
      <c r="U1565" s="70"/>
      <c r="V1565" s="32"/>
      <c r="W1565" s="70"/>
      <c r="X1565" s="70"/>
      <c r="Y1565" s="70"/>
      <c r="Z1565" s="70" t="s">
        <v>361</v>
      </c>
      <c r="AA1565" s="71"/>
      <c r="AB1565" s="53" t="str">
        <f>IFERROR(VLOOKUP(Anexo_4[[#This Row],[cuenta]],OP,2,0),"-")</f>
        <v>Alimentacion (Operativo)</v>
      </c>
    </row>
    <row r="1566" spans="1:28" ht="27" customHeight="1" x14ac:dyDescent="0.3">
      <c r="A1566" s="34" t="s">
        <v>4206</v>
      </c>
      <c r="B1566" s="36" t="str">
        <f t="shared" si="24"/>
        <v>Agosto</v>
      </c>
      <c r="C1566" s="33" t="s">
        <v>162</v>
      </c>
      <c r="D1566" s="33" t="s">
        <v>4848</v>
      </c>
      <c r="E1566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566" s="32" t="s">
        <v>355</v>
      </c>
      <c r="G1566" s="32" t="s">
        <v>356</v>
      </c>
      <c r="H1566" s="139" t="s">
        <v>633</v>
      </c>
      <c r="I1566" s="33" t="s">
        <v>991</v>
      </c>
      <c r="J1566" s="143" t="s">
        <v>992</v>
      </c>
      <c r="K1566" s="33" t="s">
        <v>169</v>
      </c>
      <c r="L1566" s="102" t="str">
        <f>VLOOKUP(Anexo_4[[#This Row],[cod_doc]],TIPODOC,2,FALSE)</f>
        <v>FACTURA</v>
      </c>
      <c r="M1566" s="33" t="s">
        <v>222</v>
      </c>
      <c r="N1566" s="32" t="s">
        <v>4849</v>
      </c>
      <c r="O1566" s="48">
        <v>4.24</v>
      </c>
      <c r="P1566" s="49"/>
      <c r="Q1566" s="81">
        <v>0.76</v>
      </c>
      <c r="R1566" s="80"/>
      <c r="S1566" s="48"/>
      <c r="T1566" s="72">
        <v>5</v>
      </c>
      <c r="U1566" s="70"/>
      <c r="V1566" s="32"/>
      <c r="W1566" s="70"/>
      <c r="X1566" s="70"/>
      <c r="Y1566" s="70"/>
      <c r="Z1566" s="70" t="s">
        <v>361</v>
      </c>
      <c r="AA1566" s="71"/>
      <c r="AB1566" s="53" t="str">
        <f>IFERROR(VLOOKUP(Anexo_4[[#This Row],[cuenta]],OP,2,0),"-")</f>
        <v>Alimentacion (Operativo)</v>
      </c>
    </row>
    <row r="1567" spans="1:28" ht="27" customHeight="1" x14ac:dyDescent="0.3">
      <c r="A1567" s="34" t="s">
        <v>4545</v>
      </c>
      <c r="B1567" s="36" t="str">
        <f t="shared" si="24"/>
        <v>Agosto</v>
      </c>
      <c r="C1567" s="33" t="s">
        <v>162</v>
      </c>
      <c r="D1567" s="33" t="s">
        <v>4850</v>
      </c>
      <c r="E1567" s="37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1567" s="32" t="s">
        <v>198</v>
      </c>
      <c r="G1567" s="32" t="s">
        <v>199</v>
      </c>
      <c r="H1567" s="139" t="s">
        <v>4851</v>
      </c>
      <c r="I1567" s="33" t="s">
        <v>1212</v>
      </c>
      <c r="J1567" s="143" t="s">
        <v>1213</v>
      </c>
      <c r="K1567" s="33" t="s">
        <v>169</v>
      </c>
      <c r="L1567" s="102" t="str">
        <f>VLOOKUP(Anexo_4[[#This Row],[cod_doc]],TIPODOC,2,FALSE)</f>
        <v>FACTURA</v>
      </c>
      <c r="M1567" s="33" t="s">
        <v>180</v>
      </c>
      <c r="N1567" s="32" t="s">
        <v>4852</v>
      </c>
      <c r="O1567" s="48">
        <v>1186.44</v>
      </c>
      <c r="P1567" s="49"/>
      <c r="Q1567" s="81">
        <v>213.56</v>
      </c>
      <c r="R1567" s="80"/>
      <c r="S1567" s="48"/>
      <c r="T1567" s="72">
        <v>1400</v>
      </c>
      <c r="U1567" s="70"/>
      <c r="V1567" s="32"/>
      <c r="W1567" s="70"/>
      <c r="X1567" s="70"/>
      <c r="Y1567" s="70"/>
      <c r="Z1567" s="70" t="s">
        <v>468</v>
      </c>
      <c r="AA1567" s="71"/>
      <c r="AB1567" s="53" t="str">
        <f>IFERROR(VLOOKUP(Anexo_4[[#This Row],[cuenta]],OP,2,0),"-")</f>
        <v>Transporte de Carga  - Ventas</v>
      </c>
    </row>
    <row r="1568" spans="1:28" ht="27" customHeight="1" x14ac:dyDescent="0.3">
      <c r="A1568" s="34" t="s">
        <v>3033</v>
      </c>
      <c r="B1568" s="36" t="str">
        <f t="shared" si="24"/>
        <v>Agosto</v>
      </c>
      <c r="C1568" s="33" t="s">
        <v>162</v>
      </c>
      <c r="D1568" s="33" t="s">
        <v>4853</v>
      </c>
      <c r="E1568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568" s="32"/>
      <c r="G1568" s="32"/>
      <c r="H1568" s="139" t="s">
        <v>765</v>
      </c>
      <c r="I1568" s="33" t="s">
        <v>452</v>
      </c>
      <c r="J1568" s="143" t="s">
        <v>4854</v>
      </c>
      <c r="K1568" s="33" t="s">
        <v>169</v>
      </c>
      <c r="L1568" s="102" t="str">
        <f>VLOOKUP(Anexo_4[[#This Row],[cod_doc]],TIPODOC,2,FALSE)</f>
        <v>FACTURA</v>
      </c>
      <c r="M1568" s="33" t="s">
        <v>461</v>
      </c>
      <c r="N1568" s="32" t="s">
        <v>4855</v>
      </c>
      <c r="O1568" s="48">
        <v>504.26</v>
      </c>
      <c r="P1568" s="49"/>
      <c r="Q1568" s="81">
        <v>90.77</v>
      </c>
      <c r="R1568" s="80"/>
      <c r="S1568" s="48"/>
      <c r="T1568" s="72">
        <v>595.03</v>
      </c>
      <c r="U1568" s="70"/>
      <c r="V1568" s="32"/>
      <c r="W1568" s="70"/>
      <c r="X1568" s="70"/>
      <c r="Y1568" s="70"/>
      <c r="Z1568" s="70"/>
      <c r="AA1568" s="71"/>
      <c r="AB1568" s="53" t="str">
        <f>IFERROR(VLOOKUP(Anexo_4[[#This Row],[cuenta]],OP,2,0),"-")</f>
        <v>-</v>
      </c>
    </row>
    <row r="1569" spans="1:28" ht="27" customHeight="1" x14ac:dyDescent="0.3">
      <c r="A1569" s="34" t="s">
        <v>4616</v>
      </c>
      <c r="B1569" s="36" t="str">
        <f t="shared" si="24"/>
        <v>Agosto</v>
      </c>
      <c r="C1569" s="33" t="s">
        <v>162</v>
      </c>
      <c r="D1569" s="33" t="s">
        <v>4856</v>
      </c>
      <c r="E1569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569" s="32" t="s">
        <v>1366</v>
      </c>
      <c r="G1569" s="32" t="s">
        <v>1367</v>
      </c>
      <c r="H1569" s="139" t="s">
        <v>4857</v>
      </c>
      <c r="I1569" s="33" t="s">
        <v>4858</v>
      </c>
      <c r="J1569" s="143" t="s">
        <v>4859</v>
      </c>
      <c r="K1569" s="33" t="s">
        <v>239</v>
      </c>
      <c r="L1569" s="102" t="str">
        <f>VLOOKUP(Anexo_4[[#This Row],[cod_doc]],TIPODOC,2,FALSE)</f>
        <v>BOLETA DE VENTA</v>
      </c>
      <c r="M1569" s="108" t="s">
        <v>162</v>
      </c>
      <c r="N1569" s="32" t="s">
        <v>4860</v>
      </c>
      <c r="O1569" s="48" t="s">
        <v>4341</v>
      </c>
      <c r="P1569" s="49"/>
      <c r="Q1569" s="81" t="s">
        <v>4341</v>
      </c>
      <c r="R1569" s="80"/>
      <c r="S1569" s="48">
        <v>8</v>
      </c>
      <c r="T1569" s="72">
        <v>8</v>
      </c>
      <c r="U1569" s="70"/>
      <c r="V1569" s="32"/>
      <c r="W1569" s="70"/>
      <c r="X1569" s="70"/>
      <c r="Y1569" s="70"/>
      <c r="Z1569" s="70" t="s">
        <v>4162</v>
      </c>
      <c r="AA1569" s="71"/>
      <c r="AB1569" s="53" t="str">
        <f>IFERROR(VLOOKUP(Anexo_4[[#This Row],[cuenta]],OP,2,0),"-")</f>
        <v>-</v>
      </c>
    </row>
    <row r="1570" spans="1:28" ht="27" customHeight="1" x14ac:dyDescent="0.3">
      <c r="A1570" s="34" t="s">
        <v>4616</v>
      </c>
      <c r="B1570" s="36" t="str">
        <f t="shared" si="24"/>
        <v>Agosto</v>
      </c>
      <c r="C1570" s="33" t="s">
        <v>162</v>
      </c>
      <c r="D1570" s="33" t="s">
        <v>4861</v>
      </c>
      <c r="E1570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570" s="32" t="s">
        <v>418</v>
      </c>
      <c r="G1570" s="32" t="s">
        <v>419</v>
      </c>
      <c r="H1570" s="139" t="s">
        <v>4862</v>
      </c>
      <c r="I1570" s="33" t="s">
        <v>178</v>
      </c>
      <c r="J1570" s="143" t="s">
        <v>179</v>
      </c>
      <c r="K1570" s="33" t="s">
        <v>169</v>
      </c>
      <c r="L1570" s="102" t="str">
        <f>VLOOKUP(Anexo_4[[#This Row],[cod_doc]],TIPODOC,2,FALSE)</f>
        <v>FACTURA</v>
      </c>
      <c r="M1570" s="33" t="s">
        <v>180</v>
      </c>
      <c r="N1570" s="32" t="s">
        <v>4863</v>
      </c>
      <c r="O1570" s="48">
        <v>4.24</v>
      </c>
      <c r="P1570" s="49"/>
      <c r="Q1570" s="81">
        <v>0.76</v>
      </c>
      <c r="R1570" s="80"/>
      <c r="S1570" s="48"/>
      <c r="T1570" s="72">
        <v>5</v>
      </c>
      <c r="U1570" s="70"/>
      <c r="V1570" s="32"/>
      <c r="W1570" s="70"/>
      <c r="X1570" s="70"/>
      <c r="Y1570" s="70" t="s">
        <v>4842</v>
      </c>
      <c r="Z1570" s="70" t="s">
        <v>386</v>
      </c>
      <c r="AA1570" s="71"/>
      <c r="AB1570" s="53" t="str">
        <f>IFERROR(VLOOKUP(Anexo_4[[#This Row],[cuenta]],OP,2,0),"-")</f>
        <v>Balanza - Servicios</v>
      </c>
    </row>
    <row r="1571" spans="1:28" ht="27" customHeight="1" x14ac:dyDescent="0.3">
      <c r="A1571" s="34" t="s">
        <v>4616</v>
      </c>
      <c r="B1571" s="36" t="str">
        <f t="shared" si="24"/>
        <v>Agosto</v>
      </c>
      <c r="C1571" s="33" t="s">
        <v>162</v>
      </c>
      <c r="D1571" s="33" t="s">
        <v>4864</v>
      </c>
      <c r="E1571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571" s="32" t="s">
        <v>418</v>
      </c>
      <c r="G1571" s="32" t="s">
        <v>419</v>
      </c>
      <c r="H1571" s="139" t="s">
        <v>4865</v>
      </c>
      <c r="I1571" s="33" t="s">
        <v>178</v>
      </c>
      <c r="J1571" s="143" t="s">
        <v>179</v>
      </c>
      <c r="K1571" s="33" t="s">
        <v>169</v>
      </c>
      <c r="L1571" s="102" t="str">
        <f>VLOOKUP(Anexo_4[[#This Row],[cod_doc]],TIPODOC,2,FALSE)</f>
        <v>FACTURA</v>
      </c>
      <c r="M1571" s="33" t="s">
        <v>180</v>
      </c>
      <c r="N1571" s="32" t="s">
        <v>4866</v>
      </c>
      <c r="O1571" s="48">
        <v>4.24</v>
      </c>
      <c r="P1571" s="49"/>
      <c r="Q1571" s="81">
        <v>0.76</v>
      </c>
      <c r="R1571" s="80"/>
      <c r="S1571" s="48"/>
      <c r="T1571" s="72">
        <v>5</v>
      </c>
      <c r="U1571" s="70"/>
      <c r="V1571" s="32"/>
      <c r="W1571" s="70"/>
      <c r="X1571" s="70"/>
      <c r="Y1571" s="70" t="s">
        <v>4842</v>
      </c>
      <c r="Z1571" s="70" t="s">
        <v>386</v>
      </c>
      <c r="AA1571" s="71"/>
      <c r="AB1571" s="53" t="str">
        <f>IFERROR(VLOOKUP(Anexo_4[[#This Row],[cuenta]],OP,2,0),"-")</f>
        <v>Balanza - Servicios</v>
      </c>
    </row>
    <row r="1572" spans="1:28" ht="27" customHeight="1" x14ac:dyDescent="0.3">
      <c r="A1572" s="34" t="s">
        <v>4342</v>
      </c>
      <c r="B1572" s="36" t="str">
        <f t="shared" si="24"/>
        <v>Agosto</v>
      </c>
      <c r="C1572" s="33" t="s">
        <v>162</v>
      </c>
      <c r="D1572" s="33" t="s">
        <v>4867</v>
      </c>
      <c r="E1572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572" s="32" t="s">
        <v>449</v>
      </c>
      <c r="G1572" s="32" t="s">
        <v>4868</v>
      </c>
      <c r="H1572" s="139" t="s">
        <v>4869</v>
      </c>
      <c r="I1572" s="33" t="s">
        <v>312</v>
      </c>
      <c r="J1572" s="143" t="s">
        <v>313</v>
      </c>
      <c r="K1572" s="33" t="s">
        <v>169</v>
      </c>
      <c r="L1572" s="102" t="str">
        <f>VLOOKUP(Anexo_4[[#This Row],[cod_doc]],TIPODOC,2,FALSE)</f>
        <v>FACTURA</v>
      </c>
      <c r="M1572" s="33" t="s">
        <v>4870</v>
      </c>
      <c r="N1572" s="32" t="s">
        <v>4871</v>
      </c>
      <c r="O1572" s="48">
        <v>12.71</v>
      </c>
      <c r="P1572" s="49"/>
      <c r="Q1572" s="81">
        <v>2.29</v>
      </c>
      <c r="R1572" s="80"/>
      <c r="S1572" s="48"/>
      <c r="T1572" s="72">
        <v>15</v>
      </c>
      <c r="U1572" s="70"/>
      <c r="V1572" s="32"/>
      <c r="W1572" s="70"/>
      <c r="X1572" s="70"/>
      <c r="Y1572" s="70" t="s">
        <v>4872</v>
      </c>
      <c r="Z1572" s="70" t="s">
        <v>302</v>
      </c>
      <c r="AA1572" s="71"/>
      <c r="AB1572" s="53" t="str">
        <f>IFERROR(VLOOKUP(Anexo_4[[#This Row],[cuenta]],OP,2,0),"-")</f>
        <v>Transporte peajes - Servicios</v>
      </c>
    </row>
    <row r="1573" spans="1:28" ht="27" customHeight="1" x14ac:dyDescent="0.3">
      <c r="A1573" s="34" t="s">
        <v>4296</v>
      </c>
      <c r="B1573" s="36" t="str">
        <f t="shared" si="24"/>
        <v>Agosto</v>
      </c>
      <c r="C1573" s="33" t="s">
        <v>162</v>
      </c>
      <c r="D1573" s="33" t="s">
        <v>4873</v>
      </c>
      <c r="E1573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573" s="32" t="s">
        <v>449</v>
      </c>
      <c r="G1573" s="32" t="s">
        <v>4868</v>
      </c>
      <c r="H1573" s="139" t="s">
        <v>4874</v>
      </c>
      <c r="I1573" s="33" t="s">
        <v>312</v>
      </c>
      <c r="J1573" s="143" t="s">
        <v>313</v>
      </c>
      <c r="K1573" s="33" t="s">
        <v>169</v>
      </c>
      <c r="L1573" s="102" t="str">
        <f>VLOOKUP(Anexo_4[[#This Row],[cod_doc]],TIPODOC,2,FALSE)</f>
        <v>FACTURA</v>
      </c>
      <c r="M1573" s="33" t="s">
        <v>1459</v>
      </c>
      <c r="N1573" s="32" t="s">
        <v>4875</v>
      </c>
      <c r="O1573" s="48">
        <v>12.71</v>
      </c>
      <c r="P1573" s="49"/>
      <c r="Q1573" s="81">
        <v>2.29</v>
      </c>
      <c r="R1573" s="80"/>
      <c r="S1573" s="48"/>
      <c r="T1573" s="72">
        <v>15</v>
      </c>
      <c r="U1573" s="70"/>
      <c r="V1573" s="32"/>
      <c r="W1573" s="70"/>
      <c r="X1573" s="70"/>
      <c r="Y1573" s="70" t="s">
        <v>4872</v>
      </c>
      <c r="Z1573" s="70" t="s">
        <v>302</v>
      </c>
      <c r="AA1573" s="71"/>
      <c r="AB1573" s="53" t="str">
        <f>IFERROR(VLOOKUP(Anexo_4[[#This Row],[cuenta]],OP,2,0),"-")</f>
        <v>Transporte peajes - Servicios</v>
      </c>
    </row>
    <row r="1574" spans="1:28" ht="27" customHeight="1" x14ac:dyDescent="0.3">
      <c r="A1574" s="34" t="s">
        <v>4545</v>
      </c>
      <c r="B1574" s="36" t="str">
        <f t="shared" si="24"/>
        <v>Agosto</v>
      </c>
      <c r="C1574" s="33" t="s">
        <v>162</v>
      </c>
      <c r="D1574" s="33" t="s">
        <v>4876</v>
      </c>
      <c r="E1574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574" s="32" t="s">
        <v>449</v>
      </c>
      <c r="G1574" s="32" t="s">
        <v>4868</v>
      </c>
      <c r="H1574" s="139" t="s">
        <v>4877</v>
      </c>
      <c r="I1574" s="33" t="s">
        <v>312</v>
      </c>
      <c r="J1574" s="143" t="s">
        <v>313</v>
      </c>
      <c r="K1574" s="33" t="s">
        <v>169</v>
      </c>
      <c r="L1574" s="102" t="str">
        <f>VLOOKUP(Anexo_4[[#This Row],[cod_doc]],TIPODOC,2,FALSE)</f>
        <v>FACTURA</v>
      </c>
      <c r="M1574" s="33" t="s">
        <v>271</v>
      </c>
      <c r="N1574" s="32" t="s">
        <v>4878</v>
      </c>
      <c r="O1574" s="48">
        <v>12.71</v>
      </c>
      <c r="P1574" s="49"/>
      <c r="Q1574" s="81">
        <v>2.29</v>
      </c>
      <c r="R1574" s="80"/>
      <c r="S1574" s="48"/>
      <c r="T1574" s="72">
        <v>15</v>
      </c>
      <c r="U1574" s="70"/>
      <c r="V1574" s="32"/>
      <c r="W1574" s="70"/>
      <c r="X1574" s="70"/>
      <c r="Y1574" s="70" t="s">
        <v>4842</v>
      </c>
      <c r="Z1574" s="70" t="s">
        <v>302</v>
      </c>
      <c r="AA1574" s="71"/>
      <c r="AB1574" s="53" t="str">
        <f>IFERROR(VLOOKUP(Anexo_4[[#This Row],[cuenta]],OP,2,0),"-")</f>
        <v>Transporte peajes - Servicios</v>
      </c>
    </row>
    <row r="1575" spans="1:28" ht="27" customHeight="1" x14ac:dyDescent="0.3">
      <c r="A1575" s="34" t="s">
        <v>4342</v>
      </c>
      <c r="B1575" s="36" t="str">
        <f t="shared" si="24"/>
        <v>Agosto</v>
      </c>
      <c r="C1575" s="33" t="s">
        <v>162</v>
      </c>
      <c r="D1575" s="33" t="s">
        <v>4879</v>
      </c>
      <c r="E1575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575" s="32" t="s">
        <v>449</v>
      </c>
      <c r="G1575" s="32" t="s">
        <v>4868</v>
      </c>
      <c r="H1575" s="139" t="s">
        <v>4880</v>
      </c>
      <c r="I1575" s="33" t="s">
        <v>312</v>
      </c>
      <c r="J1575" s="143" t="s">
        <v>313</v>
      </c>
      <c r="K1575" s="33" t="s">
        <v>169</v>
      </c>
      <c r="L1575" s="102" t="str">
        <f>VLOOKUP(Anexo_4[[#This Row],[cod_doc]],TIPODOC,2,FALSE)</f>
        <v>FACTURA</v>
      </c>
      <c r="M1575" s="33" t="s">
        <v>1482</v>
      </c>
      <c r="N1575" s="32" t="s">
        <v>4881</v>
      </c>
      <c r="O1575" s="48">
        <v>12.71</v>
      </c>
      <c r="P1575" s="49"/>
      <c r="Q1575" s="81">
        <v>2.29</v>
      </c>
      <c r="R1575" s="80"/>
      <c r="S1575" s="48"/>
      <c r="T1575" s="72">
        <v>15</v>
      </c>
      <c r="U1575" s="70"/>
      <c r="V1575" s="32"/>
      <c r="W1575" s="70"/>
      <c r="X1575" s="70"/>
      <c r="Y1575" s="70" t="s">
        <v>4842</v>
      </c>
      <c r="Z1575" s="70" t="s">
        <v>302</v>
      </c>
      <c r="AA1575" s="71"/>
      <c r="AB1575" s="53" t="str">
        <f>IFERROR(VLOOKUP(Anexo_4[[#This Row],[cuenta]],OP,2,0),"-")</f>
        <v>Transporte peajes - Servicios</v>
      </c>
    </row>
    <row r="1576" spans="1:28" ht="27" customHeight="1" x14ac:dyDescent="0.3">
      <c r="A1576" s="34" t="s">
        <v>4616</v>
      </c>
      <c r="B1576" s="36" t="str">
        <f t="shared" si="24"/>
        <v>Agosto</v>
      </c>
      <c r="C1576" s="33" t="s">
        <v>162</v>
      </c>
      <c r="D1576" s="33" t="s">
        <v>4882</v>
      </c>
      <c r="E1576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576" s="32" t="s">
        <v>449</v>
      </c>
      <c r="G1576" s="32" t="s">
        <v>4868</v>
      </c>
      <c r="H1576" s="139" t="s">
        <v>4883</v>
      </c>
      <c r="I1576" s="33" t="s">
        <v>312</v>
      </c>
      <c r="J1576" s="143" t="s">
        <v>313</v>
      </c>
      <c r="K1576" s="33" t="s">
        <v>169</v>
      </c>
      <c r="L1576" s="102" t="str">
        <f>VLOOKUP(Anexo_4[[#This Row],[cod_doc]],TIPODOC,2,FALSE)</f>
        <v>FACTURA</v>
      </c>
      <c r="M1576" s="33" t="s">
        <v>4870</v>
      </c>
      <c r="N1576" s="32" t="s">
        <v>4884</v>
      </c>
      <c r="O1576" s="48">
        <v>12.71</v>
      </c>
      <c r="P1576" s="49"/>
      <c r="Q1576" s="81">
        <v>2.29</v>
      </c>
      <c r="R1576" s="80"/>
      <c r="S1576" s="48"/>
      <c r="T1576" s="72">
        <v>15</v>
      </c>
      <c r="U1576" s="70"/>
      <c r="V1576" s="32"/>
      <c r="W1576" s="70"/>
      <c r="X1576" s="70"/>
      <c r="Y1576" s="70" t="s">
        <v>4842</v>
      </c>
      <c r="Z1576" s="70" t="s">
        <v>302</v>
      </c>
      <c r="AA1576" s="71"/>
      <c r="AB1576" s="53" t="str">
        <f>IFERROR(VLOOKUP(Anexo_4[[#This Row],[cuenta]],OP,2,0),"-")</f>
        <v>Transporte peajes - Servicios</v>
      </c>
    </row>
    <row r="1577" spans="1:28" ht="27" customHeight="1" x14ac:dyDescent="0.3">
      <c r="A1577" s="34" t="s">
        <v>4342</v>
      </c>
      <c r="B1577" s="36" t="str">
        <f t="shared" si="24"/>
        <v>Agosto</v>
      </c>
      <c r="C1577" s="33" t="s">
        <v>162</v>
      </c>
      <c r="D1577" s="33" t="s">
        <v>4885</v>
      </c>
      <c r="E1577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577" s="32" t="s">
        <v>449</v>
      </c>
      <c r="G1577" s="32" t="s">
        <v>4868</v>
      </c>
      <c r="H1577" s="139" t="s">
        <v>4886</v>
      </c>
      <c r="I1577" s="33" t="s">
        <v>312</v>
      </c>
      <c r="J1577" s="143" t="s">
        <v>313</v>
      </c>
      <c r="K1577" s="33" t="s">
        <v>169</v>
      </c>
      <c r="L1577" s="102" t="str">
        <f>VLOOKUP(Anexo_4[[#This Row],[cod_doc]],TIPODOC,2,FALSE)</f>
        <v>FACTURA</v>
      </c>
      <c r="M1577" s="33" t="s">
        <v>1482</v>
      </c>
      <c r="N1577" s="32" t="s">
        <v>4887</v>
      </c>
      <c r="O1577" s="48">
        <v>12.71</v>
      </c>
      <c r="P1577" s="49"/>
      <c r="Q1577" s="81">
        <v>2.29</v>
      </c>
      <c r="R1577" s="80"/>
      <c r="S1577" s="48"/>
      <c r="T1577" s="72">
        <v>15</v>
      </c>
      <c r="U1577" s="70"/>
      <c r="V1577" s="32"/>
      <c r="W1577" s="70"/>
      <c r="X1577" s="70"/>
      <c r="Y1577" s="70" t="s">
        <v>4872</v>
      </c>
      <c r="Z1577" s="70" t="s">
        <v>302</v>
      </c>
      <c r="AA1577" s="71"/>
      <c r="AB1577" s="53" t="str">
        <f>IFERROR(VLOOKUP(Anexo_4[[#This Row],[cuenta]],OP,2,0),"-")</f>
        <v>Transporte peajes - Servicios</v>
      </c>
    </row>
    <row r="1578" spans="1:28" ht="27" customHeight="1" x14ac:dyDescent="0.3">
      <c r="A1578" s="34" t="s">
        <v>4545</v>
      </c>
      <c r="B1578" s="36" t="str">
        <f t="shared" si="24"/>
        <v>Agosto</v>
      </c>
      <c r="C1578" s="33" t="s">
        <v>162</v>
      </c>
      <c r="D1578" s="33" t="s">
        <v>4888</v>
      </c>
      <c r="E1578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578" s="32" t="s">
        <v>449</v>
      </c>
      <c r="G1578" s="32" t="s">
        <v>4868</v>
      </c>
      <c r="H1578" s="139" t="s">
        <v>4273</v>
      </c>
      <c r="I1578" s="33" t="s">
        <v>312</v>
      </c>
      <c r="J1578" s="143" t="s">
        <v>313</v>
      </c>
      <c r="K1578" s="33" t="s">
        <v>169</v>
      </c>
      <c r="L1578" s="102" t="str">
        <f>VLOOKUP(Anexo_4[[#This Row],[cod_doc]],TIPODOC,2,FALSE)</f>
        <v>FACTURA</v>
      </c>
      <c r="M1578" s="33" t="s">
        <v>1490</v>
      </c>
      <c r="N1578" s="32" t="s">
        <v>4889</v>
      </c>
      <c r="O1578" s="48">
        <v>12.71</v>
      </c>
      <c r="P1578" s="49"/>
      <c r="Q1578" s="81">
        <v>2.29</v>
      </c>
      <c r="R1578" s="80"/>
      <c r="S1578" s="48"/>
      <c r="T1578" s="72">
        <v>15</v>
      </c>
      <c r="U1578" s="70"/>
      <c r="V1578" s="32"/>
      <c r="W1578" s="70"/>
      <c r="X1578" s="70"/>
      <c r="Y1578" s="70" t="s">
        <v>4842</v>
      </c>
      <c r="Z1578" s="70" t="s">
        <v>302</v>
      </c>
      <c r="AA1578" s="71"/>
      <c r="AB1578" s="53" t="str">
        <f>IFERROR(VLOOKUP(Anexo_4[[#This Row],[cuenta]],OP,2,0),"-")</f>
        <v>Transporte peajes - Servicios</v>
      </c>
    </row>
    <row r="1579" spans="1:28" ht="27" customHeight="1" x14ac:dyDescent="0.3">
      <c r="A1579" s="34" t="s">
        <v>4616</v>
      </c>
      <c r="B1579" s="36" t="str">
        <f t="shared" si="24"/>
        <v>Agosto</v>
      </c>
      <c r="C1579" s="33" t="s">
        <v>162</v>
      </c>
      <c r="D1579" s="33" t="s">
        <v>4890</v>
      </c>
      <c r="E1579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579" s="32" t="s">
        <v>449</v>
      </c>
      <c r="G1579" s="32" t="s">
        <v>4868</v>
      </c>
      <c r="H1579" s="139" t="s">
        <v>4891</v>
      </c>
      <c r="I1579" s="33" t="s">
        <v>312</v>
      </c>
      <c r="J1579" s="143" t="s">
        <v>313</v>
      </c>
      <c r="K1579" s="33" t="s">
        <v>169</v>
      </c>
      <c r="L1579" s="102" t="str">
        <f>VLOOKUP(Anexo_4[[#This Row],[cod_doc]],TIPODOC,2,FALSE)</f>
        <v>FACTURA</v>
      </c>
      <c r="M1579" s="33" t="s">
        <v>1482</v>
      </c>
      <c r="N1579" s="32" t="s">
        <v>4892</v>
      </c>
      <c r="O1579" s="48">
        <v>12.71</v>
      </c>
      <c r="P1579" s="49"/>
      <c r="Q1579" s="81">
        <v>2.29</v>
      </c>
      <c r="R1579" s="80"/>
      <c r="S1579" s="48"/>
      <c r="T1579" s="72">
        <v>15</v>
      </c>
      <c r="U1579" s="70"/>
      <c r="V1579" s="32"/>
      <c r="W1579" s="70"/>
      <c r="X1579" s="70"/>
      <c r="Y1579" s="70" t="s">
        <v>4893</v>
      </c>
      <c r="Z1579" s="70" t="s">
        <v>302</v>
      </c>
      <c r="AA1579" s="71"/>
      <c r="AB1579" s="53" t="str">
        <f>IFERROR(VLOOKUP(Anexo_4[[#This Row],[cuenta]],OP,2,0),"-")</f>
        <v>Transporte peajes - Servicios</v>
      </c>
    </row>
    <row r="1580" spans="1:28" ht="27" customHeight="1" x14ac:dyDescent="0.3">
      <c r="A1580" s="34" t="s">
        <v>3283</v>
      </c>
      <c r="B1580" s="36" t="str">
        <f t="shared" si="24"/>
        <v>Agosto</v>
      </c>
      <c r="C1580" s="33" t="s">
        <v>162</v>
      </c>
      <c r="D1580" s="33" t="s">
        <v>4894</v>
      </c>
      <c r="E1580" s="37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1580" s="32" t="s">
        <v>198</v>
      </c>
      <c r="G1580" s="32" t="s">
        <v>199</v>
      </c>
      <c r="H1580" s="139" t="s">
        <v>4895</v>
      </c>
      <c r="I1580" s="33" t="s">
        <v>2465</v>
      </c>
      <c r="J1580" s="143" t="s">
        <v>4896</v>
      </c>
      <c r="K1580" s="33" t="s">
        <v>169</v>
      </c>
      <c r="L1580" s="102" t="str">
        <f>VLOOKUP(Anexo_4[[#This Row],[cod_doc]],TIPODOC,2,FALSE)</f>
        <v>FACTURA</v>
      </c>
      <c r="M1580" s="33" t="s">
        <v>2288</v>
      </c>
      <c r="N1580" s="32" t="s">
        <v>4897</v>
      </c>
      <c r="O1580" s="48">
        <v>736</v>
      </c>
      <c r="P1580" s="49"/>
      <c r="Q1580" s="81">
        <v>132.47999999999999</v>
      </c>
      <c r="R1580" s="80"/>
      <c r="S1580" s="48"/>
      <c r="T1580" s="72">
        <v>868.48</v>
      </c>
      <c r="U1580" s="70"/>
      <c r="V1580" s="32"/>
      <c r="W1580" s="70"/>
      <c r="X1580" s="70"/>
      <c r="Y1580" s="70"/>
      <c r="Z1580" s="70" t="s">
        <v>2468</v>
      </c>
      <c r="AA1580" s="71"/>
      <c r="AB1580" s="53" t="str">
        <f>IFERROR(VLOOKUP(Anexo_4[[#This Row],[cuenta]],OP,2,0),"-")</f>
        <v>Vigilancia Médica</v>
      </c>
    </row>
    <row r="1581" spans="1:28" ht="27" customHeight="1" x14ac:dyDescent="0.3">
      <c r="A1581" s="34" t="s">
        <v>3026</v>
      </c>
      <c r="B1581" s="36" t="str">
        <f t="shared" si="24"/>
        <v>Agosto</v>
      </c>
      <c r="C1581" s="33" t="s">
        <v>162</v>
      </c>
      <c r="D1581" s="33" t="s">
        <v>4898</v>
      </c>
      <c r="E1581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581" s="32"/>
      <c r="G1581" s="32"/>
      <c r="H1581" s="139" t="s">
        <v>4899</v>
      </c>
      <c r="I1581" s="33" t="s">
        <v>653</v>
      </c>
      <c r="J1581" s="143" t="s">
        <v>4678</v>
      </c>
      <c r="K1581" s="33" t="s">
        <v>169</v>
      </c>
      <c r="L1581" s="102" t="str">
        <f>VLOOKUP(Anexo_4[[#This Row],[cod_doc]],TIPODOC,2,FALSE)</f>
        <v>FACTURA</v>
      </c>
      <c r="M1581" s="33" t="s">
        <v>655</v>
      </c>
      <c r="N1581" s="32" t="s">
        <v>4900</v>
      </c>
      <c r="O1581" s="48">
        <v>92</v>
      </c>
      <c r="P1581" s="49"/>
      <c r="Q1581" s="81">
        <v>16.559999999999999</v>
      </c>
      <c r="R1581" s="80"/>
      <c r="S1581" s="48"/>
      <c r="T1581" s="72">
        <v>108.56</v>
      </c>
      <c r="U1581" s="70"/>
      <c r="V1581" s="32"/>
      <c r="W1581" s="70"/>
      <c r="X1581" s="70"/>
      <c r="Y1581" s="70"/>
      <c r="Z1581" s="70"/>
      <c r="AA1581" s="71"/>
      <c r="AB1581" s="53" t="str">
        <f>IFERROR(VLOOKUP(Anexo_4[[#This Row],[cuenta]],OP,2,0),"-")</f>
        <v>-</v>
      </c>
    </row>
    <row r="1582" spans="1:28" ht="27" customHeight="1" x14ac:dyDescent="0.3">
      <c r="A1582" s="34" t="s">
        <v>4901</v>
      </c>
      <c r="B1582" s="36" t="str">
        <f t="shared" si="24"/>
        <v>Agosto</v>
      </c>
      <c r="C1582" s="33" t="s">
        <v>162</v>
      </c>
      <c r="D1582" s="33" t="s">
        <v>4902</v>
      </c>
      <c r="E1582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582" s="32"/>
      <c r="G1582" s="32"/>
      <c r="H1582" s="139" t="s">
        <v>4903</v>
      </c>
      <c r="I1582" s="33" t="s">
        <v>1031</v>
      </c>
      <c r="J1582" s="143" t="s">
        <v>4904</v>
      </c>
      <c r="K1582" s="33" t="s">
        <v>169</v>
      </c>
      <c r="L1582" s="102" t="str">
        <f>VLOOKUP(Anexo_4[[#This Row],[cod_doc]],TIPODOC,2,FALSE)</f>
        <v>FACTURA</v>
      </c>
      <c r="M1582" s="33" t="s">
        <v>222</v>
      </c>
      <c r="N1582" s="32" t="s">
        <v>4905</v>
      </c>
      <c r="O1582" s="48">
        <v>1260</v>
      </c>
      <c r="P1582" s="49"/>
      <c r="Q1582" s="81">
        <v>226.8</v>
      </c>
      <c r="R1582" s="80"/>
      <c r="S1582" s="48"/>
      <c r="T1582" s="72">
        <v>1486.8</v>
      </c>
      <c r="U1582" s="70"/>
      <c r="V1582" s="32"/>
      <c r="W1582" s="70"/>
      <c r="X1582" s="70"/>
      <c r="Y1582" s="70"/>
      <c r="Z1582" s="70"/>
      <c r="AA1582" s="71"/>
      <c r="AB1582" s="53" t="str">
        <f>IFERROR(VLOOKUP(Anexo_4[[#This Row],[cuenta]],OP,2,0),"-")</f>
        <v>-</v>
      </c>
    </row>
    <row r="1583" spans="1:28" ht="27" customHeight="1" x14ac:dyDescent="0.3">
      <c r="A1583" s="34" t="s">
        <v>902</v>
      </c>
      <c r="B1583" s="36" t="str">
        <f t="shared" si="24"/>
        <v>Agosto</v>
      </c>
      <c r="C1583" s="33" t="s">
        <v>162</v>
      </c>
      <c r="D1583" s="33" t="s">
        <v>4906</v>
      </c>
      <c r="E1583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583" s="32"/>
      <c r="G1583" s="32"/>
      <c r="H1583" s="139" t="s">
        <v>4903</v>
      </c>
      <c r="I1583" s="33" t="s">
        <v>1031</v>
      </c>
      <c r="J1583" s="143" t="s">
        <v>4904</v>
      </c>
      <c r="K1583" s="33" t="s">
        <v>169</v>
      </c>
      <c r="L1583" s="102" t="str">
        <f>VLOOKUP(Anexo_4[[#This Row],[cod_doc]],TIPODOC,2,FALSE)</f>
        <v>FACTURA</v>
      </c>
      <c r="M1583" s="33" t="s">
        <v>222</v>
      </c>
      <c r="N1583" s="32" t="s">
        <v>4907</v>
      </c>
      <c r="O1583" s="48">
        <v>975</v>
      </c>
      <c r="P1583" s="49"/>
      <c r="Q1583" s="81">
        <v>175.5</v>
      </c>
      <c r="R1583" s="80"/>
      <c r="S1583" s="48"/>
      <c r="T1583" s="72">
        <v>1150.5</v>
      </c>
      <c r="U1583" s="70"/>
      <c r="V1583" s="32"/>
      <c r="W1583" s="70"/>
      <c r="X1583" s="70"/>
      <c r="Y1583" s="70"/>
      <c r="Z1583" s="70"/>
      <c r="AA1583" s="71"/>
      <c r="AB1583" s="53" t="str">
        <f>IFERROR(VLOOKUP(Anexo_4[[#This Row],[cuenta]],OP,2,0),"-")</f>
        <v>-</v>
      </c>
    </row>
    <row r="1584" spans="1:28" ht="27" customHeight="1" x14ac:dyDescent="0.3">
      <c r="A1584" s="34" t="s">
        <v>4616</v>
      </c>
      <c r="B1584" s="36" t="str">
        <f t="shared" si="24"/>
        <v>Agosto</v>
      </c>
      <c r="C1584" s="33" t="s">
        <v>162</v>
      </c>
      <c r="D1584" s="33" t="s">
        <v>4908</v>
      </c>
      <c r="E1584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584" s="32" t="s">
        <v>175</v>
      </c>
      <c r="G1584" s="32" t="s">
        <v>4839</v>
      </c>
      <c r="H1584" s="139" t="s">
        <v>765</v>
      </c>
      <c r="I1584" s="33" t="s">
        <v>452</v>
      </c>
      <c r="J1584" s="143" t="s">
        <v>4854</v>
      </c>
      <c r="K1584" s="33" t="s">
        <v>169</v>
      </c>
      <c r="L1584" s="102" t="str">
        <f>VLOOKUP(Anexo_4[[#This Row],[cod_doc]],TIPODOC,2,FALSE)</f>
        <v>FACTURA</v>
      </c>
      <c r="M1584" s="33" t="s">
        <v>454</v>
      </c>
      <c r="N1584" s="32" t="s">
        <v>4909</v>
      </c>
      <c r="O1584" s="48">
        <v>472.47</v>
      </c>
      <c r="P1584" s="49"/>
      <c r="Q1584" s="81">
        <v>85.044600000000003</v>
      </c>
      <c r="R1584" s="80"/>
      <c r="S1584" s="48"/>
      <c r="T1584" s="72">
        <v>1635.11</v>
      </c>
      <c r="U1584" s="70"/>
      <c r="V1584" s="32"/>
      <c r="W1584" s="70"/>
      <c r="X1584" s="70"/>
      <c r="Y1584" s="70"/>
      <c r="Z1584" s="70" t="s">
        <v>455</v>
      </c>
      <c r="AA1584" s="71"/>
      <c r="AB1584" s="53" t="str">
        <f>IFERROR(VLOOKUP(Anexo_4[[#This Row],[cuenta]],OP,2,0),"-")</f>
        <v>Combustible (Vehiculos)</v>
      </c>
    </row>
    <row r="1585" spans="1:28" ht="27" customHeight="1" x14ac:dyDescent="0.3">
      <c r="A1585" s="34" t="s">
        <v>4616</v>
      </c>
      <c r="B1585" s="36" t="str">
        <f t="shared" si="24"/>
        <v>Agosto</v>
      </c>
      <c r="C1585" s="33" t="s">
        <v>162</v>
      </c>
      <c r="D1585" s="33" t="s">
        <v>4908</v>
      </c>
      <c r="E1585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585" s="32" t="s">
        <v>391</v>
      </c>
      <c r="G1585" s="32" t="s">
        <v>4839</v>
      </c>
      <c r="H1585" s="139" t="s">
        <v>765</v>
      </c>
      <c r="I1585" s="33" t="s">
        <v>452</v>
      </c>
      <c r="J1585" s="143" t="s">
        <v>4854</v>
      </c>
      <c r="K1585" s="33" t="s">
        <v>169</v>
      </c>
      <c r="L1585" s="102" t="str">
        <f>VLOOKUP(Anexo_4[[#This Row],[cod_doc]],TIPODOC,2,FALSE)</f>
        <v>FACTURA</v>
      </c>
      <c r="M1585" s="33" t="s">
        <v>454</v>
      </c>
      <c r="N1585" s="32" t="s">
        <v>4909</v>
      </c>
      <c r="O1585" s="48">
        <v>374.75</v>
      </c>
      <c r="P1585" s="49"/>
      <c r="Q1585" s="81">
        <v>67.454999999999998</v>
      </c>
      <c r="R1585" s="80"/>
      <c r="S1585" s="48"/>
      <c r="T1585" s="72">
        <v>1635.11</v>
      </c>
      <c r="U1585" s="70"/>
      <c r="V1585" s="32"/>
      <c r="W1585" s="70"/>
      <c r="X1585" s="70"/>
      <c r="Y1585" s="70"/>
      <c r="Z1585" s="70" t="s">
        <v>455</v>
      </c>
      <c r="AA1585" s="71"/>
      <c r="AB1585" s="53" t="str">
        <f>IFERROR(VLOOKUP(Anexo_4[[#This Row],[cuenta]],OP,2,0),"-")</f>
        <v>Combustible (Vehiculos)</v>
      </c>
    </row>
    <row r="1586" spans="1:28" ht="27" customHeight="1" x14ac:dyDescent="0.3">
      <c r="A1586" s="34" t="s">
        <v>4616</v>
      </c>
      <c r="B1586" s="36" t="str">
        <f t="shared" si="24"/>
        <v>Agosto</v>
      </c>
      <c r="C1586" s="33" t="s">
        <v>162</v>
      </c>
      <c r="D1586" s="33" t="s">
        <v>4908</v>
      </c>
      <c r="E1586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586" s="32" t="s">
        <v>217</v>
      </c>
      <c r="G1586" s="32" t="s">
        <v>4839</v>
      </c>
      <c r="H1586" s="139" t="s">
        <v>765</v>
      </c>
      <c r="I1586" s="33" t="s">
        <v>452</v>
      </c>
      <c r="J1586" s="143" t="s">
        <v>4854</v>
      </c>
      <c r="K1586" s="33" t="s">
        <v>169</v>
      </c>
      <c r="L1586" s="102" t="str">
        <f>VLOOKUP(Anexo_4[[#This Row],[cod_doc]],TIPODOC,2,FALSE)</f>
        <v>FACTURA</v>
      </c>
      <c r="M1586" s="33" t="s">
        <v>454</v>
      </c>
      <c r="N1586" s="32" t="s">
        <v>4909</v>
      </c>
      <c r="O1586" s="48">
        <v>538.47</v>
      </c>
      <c r="P1586" s="49"/>
      <c r="Q1586" s="81">
        <v>96.924599999999998</v>
      </c>
      <c r="R1586" s="80"/>
      <c r="S1586" s="48"/>
      <c r="T1586" s="72">
        <v>1635.11</v>
      </c>
      <c r="U1586" s="70"/>
      <c r="V1586" s="32"/>
      <c r="W1586" s="70"/>
      <c r="X1586" s="70"/>
      <c r="Y1586" s="70"/>
      <c r="Z1586" s="70" t="s">
        <v>455</v>
      </c>
      <c r="AA1586" s="71"/>
      <c r="AB1586" s="53" t="str">
        <f>IFERROR(VLOOKUP(Anexo_4[[#This Row],[cuenta]],OP,2,0),"-")</f>
        <v>Combustible (Vehiculos)</v>
      </c>
    </row>
    <row r="1587" spans="1:28" ht="27" customHeight="1" x14ac:dyDescent="0.3">
      <c r="A1587" s="34" t="s">
        <v>4616</v>
      </c>
      <c r="B1587" s="36" t="str">
        <f t="shared" si="24"/>
        <v>Agosto</v>
      </c>
      <c r="C1587" s="33" t="s">
        <v>162</v>
      </c>
      <c r="D1587" s="33" t="s">
        <v>4910</v>
      </c>
      <c r="E1587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587" s="32" t="s">
        <v>456</v>
      </c>
      <c r="G1587" s="32" t="s">
        <v>4911</v>
      </c>
      <c r="H1587" s="139" t="s">
        <v>765</v>
      </c>
      <c r="I1587" s="33" t="s">
        <v>452</v>
      </c>
      <c r="J1587" s="143" t="s">
        <v>4854</v>
      </c>
      <c r="K1587" s="33" t="s">
        <v>169</v>
      </c>
      <c r="L1587" s="102" t="str">
        <f>VLOOKUP(Anexo_4[[#This Row],[cod_doc]],TIPODOC,2,FALSE)</f>
        <v>FACTURA</v>
      </c>
      <c r="M1587" s="33" t="s">
        <v>454</v>
      </c>
      <c r="N1587" s="32" t="s">
        <v>4912</v>
      </c>
      <c r="O1587" s="48">
        <v>265.88</v>
      </c>
      <c r="P1587" s="49"/>
      <c r="Q1587" s="81">
        <v>47.858399999999996</v>
      </c>
      <c r="R1587" s="80"/>
      <c r="S1587" s="48"/>
      <c r="T1587" s="72">
        <v>481.66</v>
      </c>
      <c r="U1587" s="70"/>
      <c r="V1587" s="32"/>
      <c r="W1587" s="70"/>
      <c r="X1587" s="70"/>
      <c r="Y1587" s="70"/>
      <c r="Z1587" s="70" t="s">
        <v>455</v>
      </c>
      <c r="AA1587" s="71"/>
      <c r="AB1587" s="53" t="str">
        <f>IFERROR(VLOOKUP(Anexo_4[[#This Row],[cuenta]],OP,2,0),"-")</f>
        <v>Combustible (Vehiculos)</v>
      </c>
    </row>
    <row r="1588" spans="1:28" ht="27" customHeight="1" x14ac:dyDescent="0.3">
      <c r="A1588" s="34" t="s">
        <v>4616</v>
      </c>
      <c r="B1588" s="36" t="str">
        <f t="shared" si="24"/>
        <v>Agosto</v>
      </c>
      <c r="C1588" s="33" t="s">
        <v>162</v>
      </c>
      <c r="D1588" s="33" t="s">
        <v>4910</v>
      </c>
      <c r="E1588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588" s="32" t="s">
        <v>235</v>
      </c>
      <c r="G1588" s="32" t="s">
        <v>4911</v>
      </c>
      <c r="H1588" s="139" t="s">
        <v>765</v>
      </c>
      <c r="I1588" s="33" t="s">
        <v>452</v>
      </c>
      <c r="J1588" s="143" t="s">
        <v>4854</v>
      </c>
      <c r="K1588" s="33" t="s">
        <v>169</v>
      </c>
      <c r="L1588" s="102" t="str">
        <f>VLOOKUP(Anexo_4[[#This Row],[cod_doc]],TIPODOC,2,FALSE)</f>
        <v>FACTURA</v>
      </c>
      <c r="M1588" s="33" t="s">
        <v>454</v>
      </c>
      <c r="N1588" s="32" t="s">
        <v>4912</v>
      </c>
      <c r="O1588" s="48">
        <v>142.31</v>
      </c>
      <c r="P1588" s="49"/>
      <c r="Q1588" s="81">
        <v>25.6158</v>
      </c>
      <c r="R1588" s="80"/>
      <c r="S1588" s="48"/>
      <c r="T1588" s="72">
        <v>481.66</v>
      </c>
      <c r="U1588" s="70"/>
      <c r="V1588" s="32"/>
      <c r="W1588" s="70"/>
      <c r="X1588" s="70"/>
      <c r="Y1588" s="70"/>
      <c r="Z1588" s="70" t="s">
        <v>455</v>
      </c>
      <c r="AA1588" s="71"/>
      <c r="AB1588" s="53" t="str">
        <f>IFERROR(VLOOKUP(Anexo_4[[#This Row],[cuenta]],OP,2,0),"-")</f>
        <v>Combustible (Vehiculos)</v>
      </c>
    </row>
    <row r="1589" spans="1:28" ht="27" customHeight="1" x14ac:dyDescent="0.3">
      <c r="A1589" s="34" t="s">
        <v>4798</v>
      </c>
      <c r="B1589" s="36" t="str">
        <f t="shared" si="24"/>
        <v>Agosto</v>
      </c>
      <c r="C1589" s="33" t="s">
        <v>162</v>
      </c>
      <c r="D1589" s="33" t="s">
        <v>4913</v>
      </c>
      <c r="E1589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589" s="32" t="s">
        <v>449</v>
      </c>
      <c r="G1589" s="32" t="s">
        <v>4868</v>
      </c>
      <c r="H1589" s="139" t="s">
        <v>765</v>
      </c>
      <c r="I1589" s="33" t="s">
        <v>452</v>
      </c>
      <c r="J1589" s="143" t="s">
        <v>4854</v>
      </c>
      <c r="K1589" s="33" t="s">
        <v>169</v>
      </c>
      <c r="L1589" s="102" t="str">
        <f>VLOOKUP(Anexo_4[[#This Row],[cod_doc]],TIPODOC,2,FALSE)</f>
        <v>FACTURA</v>
      </c>
      <c r="M1589" s="33" t="s">
        <v>1056</v>
      </c>
      <c r="N1589" s="32" t="s">
        <v>4914</v>
      </c>
      <c r="O1589" s="48">
        <v>604.71</v>
      </c>
      <c r="P1589" s="49"/>
      <c r="Q1589" s="81">
        <v>108.84780000000001</v>
      </c>
      <c r="R1589" s="80"/>
      <c r="S1589" s="48"/>
      <c r="T1589" s="72">
        <v>933.44</v>
      </c>
      <c r="U1589" s="70"/>
      <c r="V1589" s="32"/>
      <c r="W1589" s="70"/>
      <c r="X1589" s="70"/>
      <c r="Y1589" s="70"/>
      <c r="Z1589" s="70" t="s">
        <v>455</v>
      </c>
      <c r="AA1589" s="71"/>
      <c r="AB1589" s="53" t="str">
        <f>IFERROR(VLOOKUP(Anexo_4[[#This Row],[cuenta]],OP,2,0),"-")</f>
        <v>Combustible (Vehiculos)</v>
      </c>
    </row>
    <row r="1590" spans="1:28" ht="27" customHeight="1" x14ac:dyDescent="0.3">
      <c r="A1590" s="34" t="s">
        <v>4798</v>
      </c>
      <c r="B1590" s="36" t="str">
        <f t="shared" si="24"/>
        <v>Agosto</v>
      </c>
      <c r="C1590" s="33" t="s">
        <v>162</v>
      </c>
      <c r="D1590" s="33" t="s">
        <v>4913</v>
      </c>
      <c r="E1590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590" s="32" t="s">
        <v>235</v>
      </c>
      <c r="G1590" s="32" t="s">
        <v>4868</v>
      </c>
      <c r="H1590" s="139" t="s">
        <v>765</v>
      </c>
      <c r="I1590" s="33" t="s">
        <v>452</v>
      </c>
      <c r="J1590" s="143" t="s">
        <v>4854</v>
      </c>
      <c r="K1590" s="33" t="s">
        <v>169</v>
      </c>
      <c r="L1590" s="102" t="str">
        <f>VLOOKUP(Anexo_4[[#This Row],[cod_doc]],TIPODOC,2,FALSE)</f>
        <v>FACTURA</v>
      </c>
      <c r="M1590" s="33" t="s">
        <v>1056</v>
      </c>
      <c r="N1590" s="32" t="s">
        <v>4914</v>
      </c>
      <c r="O1590" s="48">
        <v>154.71</v>
      </c>
      <c r="P1590" s="49"/>
      <c r="Q1590" s="81">
        <v>27.847799999999999</v>
      </c>
      <c r="R1590" s="80"/>
      <c r="S1590" s="48"/>
      <c r="T1590" s="72">
        <v>933.44</v>
      </c>
      <c r="U1590" s="70"/>
      <c r="V1590" s="32"/>
      <c r="W1590" s="70"/>
      <c r="X1590" s="70"/>
      <c r="Y1590" s="70"/>
      <c r="Z1590" s="70" t="s">
        <v>455</v>
      </c>
      <c r="AA1590" s="71"/>
      <c r="AB1590" s="53" t="str">
        <f>IFERROR(VLOOKUP(Anexo_4[[#This Row],[cuenta]],OP,2,0),"-")</f>
        <v>Combustible (Vehiculos)</v>
      </c>
    </row>
    <row r="1591" spans="1:28" ht="27" customHeight="1" x14ac:dyDescent="0.3">
      <c r="A1591" s="34" t="s">
        <v>4798</v>
      </c>
      <c r="B1591" s="36" t="str">
        <f t="shared" si="24"/>
        <v>Agosto</v>
      </c>
      <c r="C1591" s="33" t="s">
        <v>162</v>
      </c>
      <c r="D1591" s="33" t="s">
        <v>4913</v>
      </c>
      <c r="E1591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591" s="32" t="s">
        <v>458</v>
      </c>
      <c r="G1591" s="32" t="s">
        <v>4868</v>
      </c>
      <c r="H1591" s="139" t="s">
        <v>765</v>
      </c>
      <c r="I1591" s="33" t="s">
        <v>452</v>
      </c>
      <c r="J1591" s="143" t="s">
        <v>4854</v>
      </c>
      <c r="K1591" s="33" t="s">
        <v>169</v>
      </c>
      <c r="L1591" s="102" t="str">
        <f>VLOOKUP(Anexo_4[[#This Row],[cod_doc]],TIPODOC,2,FALSE)</f>
        <v>FACTURA</v>
      </c>
      <c r="M1591" s="33" t="s">
        <v>1056</v>
      </c>
      <c r="N1591" s="32" t="s">
        <v>4914</v>
      </c>
      <c r="O1591" s="48">
        <v>31.63</v>
      </c>
      <c r="P1591" s="49"/>
      <c r="Q1591" s="81">
        <v>5.6933999999999996</v>
      </c>
      <c r="R1591" s="80"/>
      <c r="S1591" s="48"/>
      <c r="T1591" s="72">
        <v>933.44</v>
      </c>
      <c r="U1591" s="70"/>
      <c r="V1591" s="32"/>
      <c r="W1591" s="70"/>
      <c r="X1591" s="70"/>
      <c r="Y1591" s="70"/>
      <c r="Z1591" s="70" t="s">
        <v>455</v>
      </c>
      <c r="AA1591" s="71"/>
      <c r="AB1591" s="53" t="str">
        <f>IFERROR(VLOOKUP(Anexo_4[[#This Row],[cuenta]],OP,2,0),"-")</f>
        <v>Combustible (Vehiculos)</v>
      </c>
    </row>
    <row r="1592" spans="1:28" ht="27" customHeight="1" x14ac:dyDescent="0.3">
      <c r="A1592" s="34" t="s">
        <v>4915</v>
      </c>
      <c r="B1592" s="36" t="str">
        <f t="shared" si="24"/>
        <v>Agosto</v>
      </c>
      <c r="C1592" s="33" t="s">
        <v>162</v>
      </c>
      <c r="D1592" s="33" t="s">
        <v>4916</v>
      </c>
      <c r="E1592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592" s="32"/>
      <c r="G1592" s="32"/>
      <c r="H1592" s="139" t="s">
        <v>1276</v>
      </c>
      <c r="I1592" s="33" t="s">
        <v>312</v>
      </c>
      <c r="J1592" s="143" t="s">
        <v>4917</v>
      </c>
      <c r="K1592" s="33" t="s">
        <v>169</v>
      </c>
      <c r="L1592" s="102" t="str">
        <f>VLOOKUP(Anexo_4[[#This Row],[cod_doc]],TIPODOC,2,FALSE)</f>
        <v>FACTURA</v>
      </c>
      <c r="M1592" s="33" t="s">
        <v>1463</v>
      </c>
      <c r="N1592" s="32" t="s">
        <v>4918</v>
      </c>
      <c r="O1592" s="48">
        <v>12.71</v>
      </c>
      <c r="P1592" s="49"/>
      <c r="Q1592" s="81">
        <v>2.29</v>
      </c>
      <c r="R1592" s="80"/>
      <c r="S1592" s="48">
        <v>0</v>
      </c>
      <c r="T1592" s="72">
        <v>15</v>
      </c>
      <c r="U1592" s="70"/>
      <c r="V1592" s="32"/>
      <c r="W1592" s="70"/>
      <c r="X1592" s="70"/>
      <c r="Y1592" s="70"/>
      <c r="Z1592" s="70"/>
      <c r="AA1592" s="71"/>
      <c r="AB1592" s="53" t="str">
        <f>IFERROR(VLOOKUP(Anexo_4[[#This Row],[cuenta]],OP,2,0),"-")</f>
        <v>-</v>
      </c>
    </row>
    <row r="1593" spans="1:28" ht="27" customHeight="1" x14ac:dyDescent="0.3">
      <c r="A1593" s="34" t="s">
        <v>4915</v>
      </c>
      <c r="B1593" s="36" t="str">
        <f t="shared" si="24"/>
        <v>Agosto</v>
      </c>
      <c r="C1593" s="33" t="s">
        <v>162</v>
      </c>
      <c r="D1593" s="33" t="s">
        <v>4919</v>
      </c>
      <c r="E1593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593" s="32"/>
      <c r="G1593" s="32"/>
      <c r="H1593" s="139" t="s">
        <v>1276</v>
      </c>
      <c r="I1593" s="33" t="s">
        <v>312</v>
      </c>
      <c r="J1593" s="143" t="s">
        <v>4917</v>
      </c>
      <c r="K1593" s="33" t="s">
        <v>169</v>
      </c>
      <c r="L1593" s="102" t="str">
        <f>VLOOKUP(Anexo_4[[#This Row],[cod_doc]],TIPODOC,2,FALSE)</f>
        <v>FACTURA</v>
      </c>
      <c r="M1593" s="33" t="s">
        <v>271</v>
      </c>
      <c r="N1593" s="32" t="s">
        <v>4920</v>
      </c>
      <c r="O1593" s="48">
        <v>12.71</v>
      </c>
      <c r="P1593" s="49"/>
      <c r="Q1593" s="81">
        <v>2.29</v>
      </c>
      <c r="R1593" s="80"/>
      <c r="S1593" s="48">
        <v>0</v>
      </c>
      <c r="T1593" s="72">
        <v>15</v>
      </c>
      <c r="U1593" s="70"/>
      <c r="V1593" s="32"/>
      <c r="W1593" s="70"/>
      <c r="X1593" s="70"/>
      <c r="Y1593" s="70"/>
      <c r="Z1593" s="70"/>
      <c r="AA1593" s="71"/>
      <c r="AB1593" s="53" t="str">
        <f>IFERROR(VLOOKUP(Anexo_4[[#This Row],[cuenta]],OP,2,0),"-")</f>
        <v>-</v>
      </c>
    </row>
    <row r="1594" spans="1:28" ht="27" customHeight="1" x14ac:dyDescent="0.3">
      <c r="A1594" s="34" t="s">
        <v>4921</v>
      </c>
      <c r="B1594" s="36" t="str">
        <f t="shared" si="24"/>
        <v>Agosto</v>
      </c>
      <c r="C1594" s="33" t="s">
        <v>162</v>
      </c>
      <c r="D1594" s="33" t="s">
        <v>4922</v>
      </c>
      <c r="E1594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594" s="32"/>
      <c r="G1594" s="32"/>
      <c r="H1594" s="139" t="s">
        <v>3775</v>
      </c>
      <c r="I1594" s="33" t="s">
        <v>4923</v>
      </c>
      <c r="J1594" s="143" t="s">
        <v>4924</v>
      </c>
      <c r="K1594" s="33" t="s">
        <v>169</v>
      </c>
      <c r="L1594" s="102" t="str">
        <f>VLOOKUP(Anexo_4[[#This Row],[cod_doc]],TIPODOC,2,FALSE)</f>
        <v>FACTURA</v>
      </c>
      <c r="M1594" s="33" t="s">
        <v>102</v>
      </c>
      <c r="N1594" s="32" t="s">
        <v>4925</v>
      </c>
      <c r="O1594" s="48">
        <v>127.12</v>
      </c>
      <c r="P1594" s="49"/>
      <c r="Q1594" s="81">
        <v>22.88</v>
      </c>
      <c r="R1594" s="80"/>
      <c r="S1594" s="48">
        <v>0</v>
      </c>
      <c r="T1594" s="72">
        <v>150</v>
      </c>
      <c r="U1594" s="70"/>
      <c r="V1594" s="32"/>
      <c r="W1594" s="70"/>
      <c r="X1594" s="70"/>
      <c r="Y1594" s="70"/>
      <c r="Z1594" s="70"/>
      <c r="AA1594" s="71"/>
      <c r="AB1594" s="53" t="str">
        <f>IFERROR(VLOOKUP(Anexo_4[[#This Row],[cuenta]],OP,2,0),"-")</f>
        <v>-</v>
      </c>
    </row>
    <row r="1595" spans="1:28" ht="27" customHeight="1" x14ac:dyDescent="0.3">
      <c r="A1595" s="34" t="s">
        <v>4545</v>
      </c>
      <c r="B1595" s="36" t="str">
        <f t="shared" si="24"/>
        <v>Agosto</v>
      </c>
      <c r="C1595" s="33" t="s">
        <v>162</v>
      </c>
      <c r="D1595" s="33" t="s">
        <v>4926</v>
      </c>
      <c r="E1595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595" s="32" t="s">
        <v>355</v>
      </c>
      <c r="G1595" s="32" t="s">
        <v>356</v>
      </c>
      <c r="H1595" s="139" t="s">
        <v>4927</v>
      </c>
      <c r="I1595" s="33" t="s">
        <v>1212</v>
      </c>
      <c r="J1595" s="143" t="s">
        <v>4928</v>
      </c>
      <c r="K1595" s="33" t="s">
        <v>169</v>
      </c>
      <c r="L1595" s="102" t="str">
        <f>VLOOKUP(Anexo_4[[#This Row],[cod_doc]],TIPODOC,2,FALSE)</f>
        <v>FACTURA</v>
      </c>
      <c r="M1595" s="33" t="s">
        <v>180</v>
      </c>
      <c r="N1595" s="32" t="s">
        <v>4929</v>
      </c>
      <c r="O1595" s="48">
        <v>1525.42</v>
      </c>
      <c r="P1595" s="49"/>
      <c r="Q1595" s="81">
        <v>274.58</v>
      </c>
      <c r="R1595" s="80"/>
      <c r="S1595" s="48">
        <v>0</v>
      </c>
      <c r="T1595" s="72">
        <v>1800</v>
      </c>
      <c r="U1595" s="70"/>
      <c r="V1595" s="32"/>
      <c r="W1595" s="70"/>
      <c r="X1595" s="70"/>
      <c r="Y1595" s="70"/>
      <c r="Z1595" s="70" t="s">
        <v>893</v>
      </c>
      <c r="AA1595" s="71"/>
      <c r="AB1595" s="53" t="str">
        <f>IFERROR(VLOOKUP(Anexo_4[[#This Row],[cuenta]],OP,2,0),"-")</f>
        <v>Transporte de Carga - Servicios</v>
      </c>
    </row>
    <row r="1596" spans="1:28" ht="27" customHeight="1" x14ac:dyDescent="0.3">
      <c r="A1596" s="34" t="s">
        <v>4342</v>
      </c>
      <c r="B1596" s="36" t="str">
        <f t="shared" si="24"/>
        <v>Agosto</v>
      </c>
      <c r="C1596" s="33" t="s">
        <v>162</v>
      </c>
      <c r="D1596" s="33" t="s">
        <v>4930</v>
      </c>
      <c r="E1596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596" s="32" t="s">
        <v>1366</v>
      </c>
      <c r="G1596" s="32" t="s">
        <v>1367</v>
      </c>
      <c r="H1596" s="139" t="s">
        <v>4931</v>
      </c>
      <c r="I1596" s="33" t="s">
        <v>2441</v>
      </c>
      <c r="J1596" s="143" t="s">
        <v>4932</v>
      </c>
      <c r="K1596" s="33" t="s">
        <v>169</v>
      </c>
      <c r="L1596" s="102" t="str">
        <f>VLOOKUP(Anexo_4[[#This Row],[cod_doc]],TIPODOC,2,FALSE)</f>
        <v>FACTURA</v>
      </c>
      <c r="M1596" s="33" t="s">
        <v>102</v>
      </c>
      <c r="N1596" s="32" t="s">
        <v>4933</v>
      </c>
      <c r="O1596" s="48">
        <v>318.64</v>
      </c>
      <c r="P1596" s="49"/>
      <c r="Q1596" s="81">
        <v>57.36</v>
      </c>
      <c r="R1596" s="80"/>
      <c r="S1596" s="48">
        <v>0</v>
      </c>
      <c r="T1596" s="72">
        <v>376</v>
      </c>
      <c r="U1596" s="70"/>
      <c r="V1596" s="32"/>
      <c r="W1596" s="70"/>
      <c r="X1596" s="70"/>
      <c r="Y1596" s="70"/>
      <c r="Z1596" s="70" t="s">
        <v>4162</v>
      </c>
      <c r="AA1596" s="71"/>
      <c r="AB1596" s="53" t="str">
        <f>IFERROR(VLOOKUP(Anexo_4[[#This Row],[cuenta]],OP,2,0),"-")</f>
        <v>-</v>
      </c>
    </row>
    <row r="1597" spans="1:28" ht="27" customHeight="1" x14ac:dyDescent="0.3">
      <c r="A1597" s="34" t="s">
        <v>2453</v>
      </c>
      <c r="B1597" s="36" t="str">
        <f t="shared" si="24"/>
        <v>Agosto</v>
      </c>
      <c r="C1597" s="33" t="s">
        <v>162</v>
      </c>
      <c r="D1597" s="33" t="s">
        <v>4934</v>
      </c>
      <c r="E1597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597" s="32"/>
      <c r="G1597" s="32"/>
      <c r="H1597" s="139" t="s">
        <v>4935</v>
      </c>
      <c r="I1597" s="33" t="s">
        <v>4393</v>
      </c>
      <c r="J1597" s="143" t="s">
        <v>4936</v>
      </c>
      <c r="K1597" s="33" t="s">
        <v>169</v>
      </c>
      <c r="L1597" s="102" t="str">
        <f>VLOOKUP(Anexo_4[[#This Row],[cod_doc]],TIPODOC,2,FALSE)</f>
        <v>FACTURA</v>
      </c>
      <c r="M1597" s="33" t="s">
        <v>4937</v>
      </c>
      <c r="N1597" s="32" t="s">
        <v>4938</v>
      </c>
      <c r="O1597" s="48">
        <v>0</v>
      </c>
      <c r="P1597" s="49"/>
      <c r="Q1597" s="81">
        <v>0</v>
      </c>
      <c r="R1597" s="80"/>
      <c r="S1597" s="48">
        <v>28</v>
      </c>
      <c r="T1597" s="72">
        <v>28</v>
      </c>
      <c r="U1597" s="70"/>
      <c r="V1597" s="32"/>
      <c r="W1597" s="70"/>
      <c r="X1597" s="70"/>
      <c r="Y1597" s="70"/>
      <c r="Z1597" s="70"/>
      <c r="AA1597" s="71"/>
      <c r="AB1597" s="53" t="str">
        <f>IFERROR(VLOOKUP(Anexo_4[[#This Row],[cuenta]],OP,2,0),"-")</f>
        <v>-</v>
      </c>
    </row>
    <row r="1598" spans="1:28" ht="27" customHeight="1" x14ac:dyDescent="0.3">
      <c r="A1598" s="34" t="s">
        <v>2349</v>
      </c>
      <c r="B1598" s="36" t="str">
        <f t="shared" si="24"/>
        <v>Agosto</v>
      </c>
      <c r="C1598" s="33" t="s">
        <v>162</v>
      </c>
      <c r="D1598" s="33" t="s">
        <v>4939</v>
      </c>
      <c r="E1598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598" s="32"/>
      <c r="G1598" s="32"/>
      <c r="H1598" s="139" t="s">
        <v>4940</v>
      </c>
      <c r="I1598" s="33" t="s">
        <v>4941</v>
      </c>
      <c r="J1598" s="143" t="s">
        <v>4942</v>
      </c>
      <c r="K1598" s="33" t="s">
        <v>169</v>
      </c>
      <c r="L1598" s="102" t="str">
        <f>VLOOKUP(Anexo_4[[#This Row],[cod_doc]],TIPODOC,2,FALSE)</f>
        <v>FACTURA</v>
      </c>
      <c r="M1598" s="33" t="s">
        <v>4244</v>
      </c>
      <c r="N1598" s="32" t="s">
        <v>4943</v>
      </c>
      <c r="O1598" s="48">
        <v>0</v>
      </c>
      <c r="P1598" s="49"/>
      <c r="Q1598" s="81">
        <v>0</v>
      </c>
      <c r="R1598" s="80"/>
      <c r="S1598" s="48">
        <v>30</v>
      </c>
      <c r="T1598" s="72">
        <v>30</v>
      </c>
      <c r="U1598" s="70"/>
      <c r="V1598" s="32"/>
      <c r="W1598" s="70"/>
      <c r="X1598" s="70"/>
      <c r="Y1598" s="70"/>
      <c r="Z1598" s="70"/>
      <c r="AA1598" s="71"/>
      <c r="AB1598" s="53" t="str">
        <f>IFERROR(VLOOKUP(Anexo_4[[#This Row],[cuenta]],OP,2,0),"-")</f>
        <v>-</v>
      </c>
    </row>
    <row r="1599" spans="1:28" ht="27" customHeight="1" x14ac:dyDescent="0.3">
      <c r="A1599" s="34" t="s">
        <v>2453</v>
      </c>
      <c r="B1599" s="36" t="str">
        <f t="shared" si="24"/>
        <v>Agosto</v>
      </c>
      <c r="C1599" s="33" t="s">
        <v>162</v>
      </c>
      <c r="D1599" s="33" t="s">
        <v>4944</v>
      </c>
      <c r="E1599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599" s="32"/>
      <c r="G1599" s="32"/>
      <c r="H1599" s="139" t="s">
        <v>3775</v>
      </c>
      <c r="I1599" s="33" t="s">
        <v>4945</v>
      </c>
      <c r="J1599" s="143" t="s">
        <v>4946</v>
      </c>
      <c r="K1599" s="33" t="s">
        <v>169</v>
      </c>
      <c r="L1599" s="102" t="str">
        <f>VLOOKUP(Anexo_4[[#This Row],[cod_doc]],TIPODOC,2,FALSE)</f>
        <v>FACTURA</v>
      </c>
      <c r="M1599" s="33" t="s">
        <v>631</v>
      </c>
      <c r="N1599" s="32" t="s">
        <v>4947</v>
      </c>
      <c r="O1599" s="48">
        <v>50.85</v>
      </c>
      <c r="P1599" s="49"/>
      <c r="Q1599" s="81">
        <v>9.15</v>
      </c>
      <c r="R1599" s="80"/>
      <c r="S1599" s="48">
        <v>0</v>
      </c>
      <c r="T1599" s="72">
        <v>60</v>
      </c>
      <c r="U1599" s="70"/>
      <c r="V1599" s="32"/>
      <c r="W1599" s="70"/>
      <c r="X1599" s="70"/>
      <c r="Y1599" s="70"/>
      <c r="Z1599" s="70"/>
      <c r="AA1599" s="71"/>
      <c r="AB1599" s="53" t="str">
        <f>IFERROR(VLOOKUP(Anexo_4[[#This Row],[cuenta]],OP,2,0),"-")</f>
        <v>-</v>
      </c>
    </row>
    <row r="1600" spans="1:28" ht="27" customHeight="1" x14ac:dyDescent="0.3">
      <c r="A1600" s="34" t="s">
        <v>3532</v>
      </c>
      <c r="B1600" s="36" t="str">
        <f t="shared" si="24"/>
        <v>Agosto</v>
      </c>
      <c r="C1600" s="33" t="s">
        <v>162</v>
      </c>
      <c r="D1600" s="33" t="s">
        <v>4948</v>
      </c>
      <c r="E1600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600" s="32" t="s">
        <v>190</v>
      </c>
      <c r="G1600" s="32" t="s">
        <v>191</v>
      </c>
      <c r="H1600" s="139" t="s">
        <v>4949</v>
      </c>
      <c r="I1600" s="33" t="s">
        <v>1060</v>
      </c>
      <c r="J1600" s="143" t="s">
        <v>4950</v>
      </c>
      <c r="K1600" s="33" t="s">
        <v>169</v>
      </c>
      <c r="L1600" s="102" t="str">
        <f>VLOOKUP(Anexo_4[[#This Row],[cod_doc]],TIPODOC,2,FALSE)</f>
        <v>FACTURA</v>
      </c>
      <c r="M1600" s="33" t="s">
        <v>1062</v>
      </c>
      <c r="N1600" s="32" t="s">
        <v>4951</v>
      </c>
      <c r="O1600" s="48">
        <v>224.58</v>
      </c>
      <c r="P1600" s="49"/>
      <c r="Q1600" s="81">
        <v>40.42</v>
      </c>
      <c r="R1600" s="80"/>
      <c r="S1600" s="48">
        <v>0</v>
      </c>
      <c r="T1600" s="72">
        <v>265</v>
      </c>
      <c r="U1600" s="70"/>
      <c r="V1600" s="32"/>
      <c r="W1600" s="70"/>
      <c r="X1600" s="70"/>
      <c r="Y1600" s="70"/>
      <c r="Z1600" s="70" t="s">
        <v>1063</v>
      </c>
      <c r="AA1600" s="71"/>
      <c r="AB1600" s="53" t="str">
        <f>IFERROR(VLOOKUP(Anexo_4[[#This Row],[cuenta]],OP,2,0),"-")</f>
        <v>-</v>
      </c>
    </row>
    <row r="1601" spans="1:28" ht="27" customHeight="1" x14ac:dyDescent="0.3">
      <c r="A1601" s="34" t="s">
        <v>3532</v>
      </c>
      <c r="B1601" s="36" t="str">
        <f t="shared" si="24"/>
        <v>Agosto</v>
      </c>
      <c r="C1601" s="33" t="s">
        <v>162</v>
      </c>
      <c r="D1601" s="33" t="s">
        <v>4952</v>
      </c>
      <c r="E1601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601" s="32" t="s">
        <v>190</v>
      </c>
      <c r="G1601" s="32" t="s">
        <v>191</v>
      </c>
      <c r="H1601" s="139" t="s">
        <v>4953</v>
      </c>
      <c r="I1601" s="33" t="s">
        <v>1957</v>
      </c>
      <c r="J1601" s="143" t="s">
        <v>4954</v>
      </c>
      <c r="K1601" s="33" t="s">
        <v>169</v>
      </c>
      <c r="L1601" s="102" t="str">
        <f>VLOOKUP(Anexo_4[[#This Row],[cod_doc]],TIPODOC,2,FALSE)</f>
        <v>FACTURA</v>
      </c>
      <c r="M1601" s="33" t="s">
        <v>1959</v>
      </c>
      <c r="N1601" s="32" t="s">
        <v>4955</v>
      </c>
      <c r="O1601" s="48">
        <v>135.16999999999999</v>
      </c>
      <c r="P1601" s="49"/>
      <c r="Q1601" s="81">
        <v>24.33</v>
      </c>
      <c r="R1601" s="80"/>
      <c r="S1601" s="48">
        <v>0</v>
      </c>
      <c r="T1601" s="72">
        <v>159.5</v>
      </c>
      <c r="U1601" s="70"/>
      <c r="V1601" s="32"/>
      <c r="W1601" s="70"/>
      <c r="X1601" s="70"/>
      <c r="Y1601" s="70"/>
      <c r="Z1601" s="70" t="s">
        <v>4956</v>
      </c>
      <c r="AA1601" s="71"/>
      <c r="AB1601" s="53" t="str">
        <f>IFERROR(VLOOKUP(Anexo_4[[#This Row],[cuenta]],OP,2,0),"-")</f>
        <v>-</v>
      </c>
    </row>
    <row r="1602" spans="1:28" ht="27" customHeight="1" x14ac:dyDescent="0.3">
      <c r="A1602" s="34" t="s">
        <v>2675</v>
      </c>
      <c r="B1602" s="36" t="str">
        <f t="shared" ref="B1602:B1665" si="25">PROPER(CHOOSE(LEFT(D1602,2),"enero","febrero","marzo","abril","mayo","junio","julio","agosto","setiembre","octubre","noviembre","diciembre"))</f>
        <v>Agosto</v>
      </c>
      <c r="C1602" s="33" t="s">
        <v>162</v>
      </c>
      <c r="D1602" s="33" t="s">
        <v>4957</v>
      </c>
      <c r="E1602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602" s="32"/>
      <c r="G1602" s="32"/>
      <c r="H1602" s="139" t="s">
        <v>4958</v>
      </c>
      <c r="I1602" s="33" t="s">
        <v>4393</v>
      </c>
      <c r="J1602" s="143" t="s">
        <v>4936</v>
      </c>
      <c r="K1602" s="33" t="s">
        <v>169</v>
      </c>
      <c r="L1602" s="102" t="str">
        <f>VLOOKUP(Anexo_4[[#This Row],[cod_doc]],TIPODOC,2,FALSE)</f>
        <v>FACTURA</v>
      </c>
      <c r="M1602" s="33" t="s">
        <v>4959</v>
      </c>
      <c r="N1602" s="32" t="s">
        <v>4960</v>
      </c>
      <c r="O1602" s="48">
        <v>0</v>
      </c>
      <c r="P1602" s="49"/>
      <c r="Q1602" s="81">
        <v>0</v>
      </c>
      <c r="R1602" s="80"/>
      <c r="S1602" s="48">
        <v>20</v>
      </c>
      <c r="T1602" s="72">
        <v>20</v>
      </c>
      <c r="U1602" s="70"/>
      <c r="V1602" s="32"/>
      <c r="W1602" s="70"/>
      <c r="X1602" s="70"/>
      <c r="Y1602" s="70"/>
      <c r="Z1602" s="70"/>
      <c r="AA1602" s="71"/>
      <c r="AB1602" s="53" t="str">
        <f>IFERROR(VLOOKUP(Anexo_4[[#This Row],[cuenta]],OP,2,0),"-")</f>
        <v>-</v>
      </c>
    </row>
    <row r="1603" spans="1:28" ht="27" customHeight="1" x14ac:dyDescent="0.3">
      <c r="A1603" s="34" t="s">
        <v>2675</v>
      </c>
      <c r="B1603" s="36" t="str">
        <f t="shared" si="25"/>
        <v>Agosto</v>
      </c>
      <c r="C1603" s="33" t="s">
        <v>162</v>
      </c>
      <c r="D1603" s="33" t="s">
        <v>4961</v>
      </c>
      <c r="E1603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603" s="32"/>
      <c r="G1603" s="32"/>
      <c r="H1603" s="139" t="s">
        <v>4958</v>
      </c>
      <c r="I1603" s="33" t="s">
        <v>4393</v>
      </c>
      <c r="J1603" s="143" t="s">
        <v>4936</v>
      </c>
      <c r="K1603" s="33" t="s">
        <v>169</v>
      </c>
      <c r="L1603" s="102" t="str">
        <f>VLOOKUP(Anexo_4[[#This Row],[cod_doc]],TIPODOC,2,FALSE)</f>
        <v>FACTURA</v>
      </c>
      <c r="M1603" s="33" t="s">
        <v>4959</v>
      </c>
      <c r="N1603" s="32" t="s">
        <v>4962</v>
      </c>
      <c r="O1603" s="48">
        <v>0</v>
      </c>
      <c r="P1603" s="49"/>
      <c r="Q1603" s="81">
        <v>0</v>
      </c>
      <c r="R1603" s="80"/>
      <c r="S1603" s="48">
        <v>20</v>
      </c>
      <c r="T1603" s="72">
        <v>20</v>
      </c>
      <c r="U1603" s="70"/>
      <c r="V1603" s="32"/>
      <c r="W1603" s="70"/>
      <c r="X1603" s="70"/>
      <c r="Y1603" s="70"/>
      <c r="Z1603" s="70"/>
      <c r="AA1603" s="71"/>
      <c r="AB1603" s="53" t="str">
        <f>IFERROR(VLOOKUP(Anexo_4[[#This Row],[cuenta]],OP,2,0),"-")</f>
        <v>-</v>
      </c>
    </row>
    <row r="1604" spans="1:28" ht="27" customHeight="1" x14ac:dyDescent="0.3">
      <c r="A1604" s="34" t="s">
        <v>4545</v>
      </c>
      <c r="B1604" s="36" t="str">
        <f t="shared" si="25"/>
        <v>Agosto</v>
      </c>
      <c r="C1604" s="33" t="s">
        <v>162</v>
      </c>
      <c r="D1604" s="33" t="s">
        <v>4963</v>
      </c>
      <c r="E1604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604" s="32" t="s">
        <v>418</v>
      </c>
      <c r="G1604" s="32" t="s">
        <v>419</v>
      </c>
      <c r="H1604" s="139" t="s">
        <v>4964</v>
      </c>
      <c r="I1604" s="33" t="s">
        <v>178</v>
      </c>
      <c r="J1604" s="143" t="s">
        <v>4667</v>
      </c>
      <c r="K1604" s="33" t="s">
        <v>169</v>
      </c>
      <c r="L1604" s="102" t="str">
        <f>VLOOKUP(Anexo_4[[#This Row],[cod_doc]],TIPODOC,2,FALSE)</f>
        <v>FACTURA</v>
      </c>
      <c r="M1604" s="33" t="s">
        <v>180</v>
      </c>
      <c r="N1604" s="32" t="s">
        <v>4965</v>
      </c>
      <c r="O1604" s="48">
        <v>8.4700000000000006</v>
      </c>
      <c r="P1604" s="49"/>
      <c r="Q1604" s="81">
        <v>1.53</v>
      </c>
      <c r="R1604" s="80"/>
      <c r="S1604" s="48">
        <v>0</v>
      </c>
      <c r="T1604" s="72">
        <v>10</v>
      </c>
      <c r="U1604" s="70"/>
      <c r="V1604" s="32"/>
      <c r="W1604" s="70"/>
      <c r="X1604" s="70"/>
      <c r="Y1604" s="70"/>
      <c r="Z1604" s="70" t="s">
        <v>302</v>
      </c>
      <c r="AA1604" s="71"/>
      <c r="AB1604" s="53" t="str">
        <f>IFERROR(VLOOKUP(Anexo_4[[#This Row],[cuenta]],OP,2,0),"-")</f>
        <v>Transporte peajes - Servicios</v>
      </c>
    </row>
    <row r="1605" spans="1:28" ht="27" customHeight="1" x14ac:dyDescent="0.3">
      <c r="A1605" s="34" t="s">
        <v>3879</v>
      </c>
      <c r="B1605" s="36" t="str">
        <f t="shared" si="25"/>
        <v>Agosto</v>
      </c>
      <c r="C1605" s="33" t="s">
        <v>162</v>
      </c>
      <c r="D1605" s="33" t="s">
        <v>4966</v>
      </c>
      <c r="E1605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605" s="32" t="s">
        <v>418</v>
      </c>
      <c r="G1605" s="32" t="s">
        <v>419</v>
      </c>
      <c r="H1605" s="139" t="s">
        <v>4967</v>
      </c>
      <c r="I1605" s="33" t="s">
        <v>383</v>
      </c>
      <c r="J1605" s="143" t="s">
        <v>4702</v>
      </c>
      <c r="K1605" s="33" t="s">
        <v>169</v>
      </c>
      <c r="L1605" s="102" t="str">
        <f>VLOOKUP(Anexo_4[[#This Row],[cod_doc]],TIPODOC,2,FALSE)</f>
        <v>FACTURA</v>
      </c>
      <c r="M1605" s="33" t="s">
        <v>103</v>
      </c>
      <c r="N1605" s="32" t="s">
        <v>4968</v>
      </c>
      <c r="O1605" s="48">
        <v>16.95</v>
      </c>
      <c r="P1605" s="49"/>
      <c r="Q1605" s="81">
        <v>3.05</v>
      </c>
      <c r="R1605" s="80"/>
      <c r="S1605" s="48">
        <v>0</v>
      </c>
      <c r="T1605" s="72">
        <v>20</v>
      </c>
      <c r="U1605" s="70"/>
      <c r="V1605" s="32"/>
      <c r="W1605" s="70"/>
      <c r="X1605" s="70"/>
      <c r="Y1605" s="70"/>
      <c r="Z1605" s="70" t="s">
        <v>386</v>
      </c>
      <c r="AA1605" s="71"/>
      <c r="AB1605" s="53" t="str">
        <f>IFERROR(VLOOKUP(Anexo_4[[#This Row],[cuenta]],OP,2,0),"-")</f>
        <v>Balanza - Servicios</v>
      </c>
    </row>
    <row r="1606" spans="1:28" ht="27" customHeight="1" x14ac:dyDescent="0.3">
      <c r="A1606" s="34" t="s">
        <v>4296</v>
      </c>
      <c r="B1606" s="36" t="str">
        <f t="shared" si="25"/>
        <v>Agosto</v>
      </c>
      <c r="C1606" s="33" t="s">
        <v>162</v>
      </c>
      <c r="D1606" s="33" t="s">
        <v>4969</v>
      </c>
      <c r="E1606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606" s="32" t="s">
        <v>418</v>
      </c>
      <c r="G1606" s="32" t="s">
        <v>419</v>
      </c>
      <c r="H1606" s="139" t="s">
        <v>4970</v>
      </c>
      <c r="I1606" s="33" t="s">
        <v>383</v>
      </c>
      <c r="J1606" s="143" t="s">
        <v>4702</v>
      </c>
      <c r="K1606" s="33" t="s">
        <v>169</v>
      </c>
      <c r="L1606" s="102" t="str">
        <f>VLOOKUP(Anexo_4[[#This Row],[cod_doc]],TIPODOC,2,FALSE)</f>
        <v>FACTURA</v>
      </c>
      <c r="M1606" s="33" t="s">
        <v>103</v>
      </c>
      <c r="N1606" s="32" t="s">
        <v>4971</v>
      </c>
      <c r="O1606" s="48">
        <v>16.95</v>
      </c>
      <c r="P1606" s="49"/>
      <c r="Q1606" s="81">
        <v>3.05</v>
      </c>
      <c r="R1606" s="80"/>
      <c r="S1606" s="48">
        <v>0</v>
      </c>
      <c r="T1606" s="72">
        <v>20</v>
      </c>
      <c r="U1606" s="70"/>
      <c r="V1606" s="32"/>
      <c r="W1606" s="70"/>
      <c r="X1606" s="70"/>
      <c r="Y1606" s="70"/>
      <c r="Z1606" s="70" t="s">
        <v>386</v>
      </c>
      <c r="AA1606" s="71"/>
      <c r="AB1606" s="53" t="str">
        <f>IFERROR(VLOOKUP(Anexo_4[[#This Row],[cuenta]],OP,2,0),"-")</f>
        <v>Balanza - Servicios</v>
      </c>
    </row>
    <row r="1607" spans="1:28" ht="27" customHeight="1" x14ac:dyDescent="0.3">
      <c r="A1607" s="34" t="s">
        <v>3670</v>
      </c>
      <c r="B1607" s="36" t="str">
        <f t="shared" si="25"/>
        <v>Agosto</v>
      </c>
      <c r="C1607" s="33" t="s">
        <v>162</v>
      </c>
      <c r="D1607" s="33" t="s">
        <v>4972</v>
      </c>
      <c r="E1607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607" s="32" t="s">
        <v>592</v>
      </c>
      <c r="G1607" s="32" t="s">
        <v>593</v>
      </c>
      <c r="H1607" s="139" t="s">
        <v>4973</v>
      </c>
      <c r="I1607" s="33" t="s">
        <v>643</v>
      </c>
      <c r="J1607" s="143" t="s">
        <v>644</v>
      </c>
      <c r="K1607" s="33" t="s">
        <v>169</v>
      </c>
      <c r="L1607" s="102" t="str">
        <f>VLOOKUP(Anexo_4[[#This Row],[cod_doc]],TIPODOC,2,FALSE)</f>
        <v>FACTURA</v>
      </c>
      <c r="M1607" s="33" t="s">
        <v>102</v>
      </c>
      <c r="N1607" s="32" t="s">
        <v>4974</v>
      </c>
      <c r="O1607" s="48">
        <v>552.5</v>
      </c>
      <c r="P1607" s="49"/>
      <c r="Q1607" s="81">
        <v>99.45</v>
      </c>
      <c r="R1607" s="80"/>
      <c r="S1607" s="48"/>
      <c r="T1607" s="72">
        <v>651.95000000000005</v>
      </c>
      <c r="U1607" s="70"/>
      <c r="V1607" s="32"/>
      <c r="W1607" s="70"/>
      <c r="X1607" s="70"/>
      <c r="Y1607" s="70"/>
      <c r="Z1607" s="70" t="s">
        <v>645</v>
      </c>
      <c r="AA1607" s="71"/>
      <c r="AB1607" s="53" t="str">
        <f>IFERROR(VLOOKUP(Anexo_4[[#This Row],[cuenta]],OP,2,0),"-")</f>
        <v>Montacarga - Servicios</v>
      </c>
    </row>
    <row r="1608" spans="1:28" ht="27" customHeight="1" x14ac:dyDescent="0.3">
      <c r="A1608" s="34" t="s">
        <v>4975</v>
      </c>
      <c r="B1608" s="36" t="str">
        <f t="shared" si="25"/>
        <v>Setiembre</v>
      </c>
      <c r="C1608" s="33" t="s">
        <v>162</v>
      </c>
      <c r="D1608" s="33" t="s">
        <v>4976</v>
      </c>
      <c r="E1608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608" s="32" t="s">
        <v>418</v>
      </c>
      <c r="G1608" s="32" t="s">
        <v>419</v>
      </c>
      <c r="H1608" s="139" t="s">
        <v>4977</v>
      </c>
      <c r="I1608" s="33" t="s">
        <v>2905</v>
      </c>
      <c r="J1608" s="143" t="s">
        <v>4978</v>
      </c>
      <c r="K1608" s="33" t="s">
        <v>169</v>
      </c>
      <c r="L1608" s="102" t="str">
        <f>VLOOKUP(Anexo_4[[#This Row],[cod_doc]],TIPODOC,2,FALSE)</f>
        <v>FACTURA</v>
      </c>
      <c r="M1608" s="33" t="s">
        <v>102</v>
      </c>
      <c r="N1608" s="32" t="s">
        <v>4979</v>
      </c>
      <c r="O1608" s="48">
        <v>420.07</v>
      </c>
      <c r="P1608" s="49"/>
      <c r="Q1608" s="81">
        <v>75.61</v>
      </c>
      <c r="R1608" s="80" t="s">
        <v>4341</v>
      </c>
      <c r="S1608" s="48" t="s">
        <v>4341</v>
      </c>
      <c r="T1608" s="72">
        <v>495.68</v>
      </c>
      <c r="U1608" s="70"/>
      <c r="V1608" s="32"/>
      <c r="W1608" s="70"/>
      <c r="X1608" s="70"/>
      <c r="Y1608" s="70"/>
      <c r="Z1608" s="70" t="s">
        <v>2447</v>
      </c>
      <c r="AA1608" s="71"/>
      <c r="AB1608" s="53" t="str">
        <f>IFERROR(VLOOKUP(Anexo_4[[#This Row],[cuenta]],OP,2,0),"-")</f>
        <v>GPS</v>
      </c>
    </row>
    <row r="1609" spans="1:28" ht="27" customHeight="1" x14ac:dyDescent="0.3">
      <c r="A1609" s="34" t="s">
        <v>4975</v>
      </c>
      <c r="B1609" s="36" t="str">
        <f t="shared" si="25"/>
        <v>Setiembre</v>
      </c>
      <c r="C1609" s="33" t="s">
        <v>162</v>
      </c>
      <c r="D1609" s="33" t="s">
        <v>4980</v>
      </c>
      <c r="E1609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609" s="32" t="s">
        <v>418</v>
      </c>
      <c r="G1609" s="32" t="s">
        <v>419</v>
      </c>
      <c r="H1609" s="139" t="s">
        <v>4981</v>
      </c>
      <c r="I1609" s="33" t="s">
        <v>2905</v>
      </c>
      <c r="J1609" s="143" t="s">
        <v>4978</v>
      </c>
      <c r="K1609" s="33" t="s">
        <v>169</v>
      </c>
      <c r="L1609" s="102" t="str">
        <f>VLOOKUP(Anexo_4[[#This Row],[cod_doc]],TIPODOC,2,FALSE)</f>
        <v>FACTURA</v>
      </c>
      <c r="M1609" s="33" t="s">
        <v>102</v>
      </c>
      <c r="N1609" s="32" t="s">
        <v>4982</v>
      </c>
      <c r="O1609" s="48">
        <v>247.66</v>
      </c>
      <c r="P1609" s="49"/>
      <c r="Q1609" s="81">
        <v>44.58</v>
      </c>
      <c r="R1609" s="80" t="s">
        <v>4341</v>
      </c>
      <c r="S1609" s="48" t="s">
        <v>4341</v>
      </c>
      <c r="T1609" s="72">
        <v>292.24</v>
      </c>
      <c r="U1609" s="70"/>
      <c r="V1609" s="32"/>
      <c r="W1609" s="70"/>
      <c r="X1609" s="70"/>
      <c r="Y1609" s="70"/>
      <c r="Z1609" s="70" t="s">
        <v>2447</v>
      </c>
      <c r="AA1609" s="71"/>
      <c r="AB1609" s="53" t="str">
        <f>IFERROR(VLOOKUP(Anexo_4[[#This Row],[cuenta]],OP,2,0),"-")</f>
        <v>GPS</v>
      </c>
    </row>
    <row r="1610" spans="1:28" ht="27" customHeight="1" x14ac:dyDescent="0.3">
      <c r="A1610" s="34" t="s">
        <v>4975</v>
      </c>
      <c r="B1610" s="36" t="str">
        <f t="shared" si="25"/>
        <v>Setiembre</v>
      </c>
      <c r="C1610" s="33" t="s">
        <v>162</v>
      </c>
      <c r="D1610" s="33" t="s">
        <v>4983</v>
      </c>
      <c r="E1610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610" s="32" t="s">
        <v>1366</v>
      </c>
      <c r="G1610" s="32" t="s">
        <v>1367</v>
      </c>
      <c r="H1610" s="139" t="s">
        <v>4984</v>
      </c>
      <c r="I1610" s="33" t="s">
        <v>4985</v>
      </c>
      <c r="J1610" s="143" t="s">
        <v>4986</v>
      </c>
      <c r="K1610" s="33" t="s">
        <v>169</v>
      </c>
      <c r="L1610" s="102" t="str">
        <f>VLOOKUP(Anexo_4[[#This Row],[cod_doc]],TIPODOC,2,FALSE)</f>
        <v>FACTURA</v>
      </c>
      <c r="M1610" s="33" t="s">
        <v>222</v>
      </c>
      <c r="N1610" s="32" t="s">
        <v>4987</v>
      </c>
      <c r="O1610" s="48">
        <v>25.42</v>
      </c>
      <c r="P1610" s="49"/>
      <c r="Q1610" s="81">
        <v>4.58</v>
      </c>
      <c r="R1610" s="80" t="s">
        <v>4341</v>
      </c>
      <c r="S1610" s="48" t="s">
        <v>4341</v>
      </c>
      <c r="T1610" s="72">
        <v>30</v>
      </c>
      <c r="U1610" s="70"/>
      <c r="V1610" s="32"/>
      <c r="W1610" s="70"/>
      <c r="X1610" s="70"/>
      <c r="Y1610" s="70"/>
      <c r="Z1610" s="70" t="s">
        <v>4162</v>
      </c>
      <c r="AA1610" s="71"/>
      <c r="AB1610" s="53" t="str">
        <f>IFERROR(VLOOKUP(Anexo_4[[#This Row],[cuenta]],OP,2,0),"-")</f>
        <v>-</v>
      </c>
    </row>
    <row r="1611" spans="1:28" ht="27" customHeight="1" x14ac:dyDescent="0.3">
      <c r="A1611" s="34" t="s">
        <v>4975</v>
      </c>
      <c r="B1611" s="36" t="str">
        <f t="shared" si="25"/>
        <v>Setiembre</v>
      </c>
      <c r="C1611" s="33" t="s">
        <v>162</v>
      </c>
      <c r="D1611" s="33" t="s">
        <v>4988</v>
      </c>
      <c r="E1611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611" s="32" t="s">
        <v>1366</v>
      </c>
      <c r="G1611" s="32" t="s">
        <v>1367</v>
      </c>
      <c r="H1611" s="139" t="s">
        <v>4989</v>
      </c>
      <c r="I1611" s="33" t="s">
        <v>4990</v>
      </c>
      <c r="J1611" s="143" t="s">
        <v>4991</v>
      </c>
      <c r="K1611" s="33" t="s">
        <v>169</v>
      </c>
      <c r="L1611" s="102" t="str">
        <f>VLOOKUP(Anexo_4[[#This Row],[cod_doc]],TIPODOC,2,FALSE)</f>
        <v>FACTURA</v>
      </c>
      <c r="M1611" s="33" t="s">
        <v>4992</v>
      </c>
      <c r="N1611" s="32" t="s">
        <v>4993</v>
      </c>
      <c r="O1611" s="48">
        <v>360.17</v>
      </c>
      <c r="P1611" s="49"/>
      <c r="Q1611" s="81">
        <v>64.83</v>
      </c>
      <c r="R1611" s="80" t="s">
        <v>4341</v>
      </c>
      <c r="S1611" s="48" t="s">
        <v>4341</v>
      </c>
      <c r="T1611" s="72">
        <v>425</v>
      </c>
      <c r="U1611" s="70"/>
      <c r="V1611" s="32"/>
      <c r="W1611" s="70"/>
      <c r="X1611" s="70"/>
      <c r="Y1611" s="70"/>
      <c r="Z1611" s="70" t="s">
        <v>4162</v>
      </c>
      <c r="AA1611" s="71"/>
      <c r="AB1611" s="53" t="str">
        <f>IFERROR(VLOOKUP(Anexo_4[[#This Row],[cuenta]],OP,2,0),"-")</f>
        <v>-</v>
      </c>
    </row>
    <row r="1612" spans="1:28" ht="27" customHeight="1" x14ac:dyDescent="0.3">
      <c r="A1612" s="34" t="s">
        <v>4994</v>
      </c>
      <c r="B1612" s="36" t="str">
        <f t="shared" si="25"/>
        <v>Setiembre</v>
      </c>
      <c r="C1612" s="33" t="s">
        <v>162</v>
      </c>
      <c r="D1612" s="33" t="s">
        <v>4995</v>
      </c>
      <c r="E1612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612" s="32" t="s">
        <v>248</v>
      </c>
      <c r="G1612" s="32" t="s">
        <v>249</v>
      </c>
      <c r="H1612" s="139" t="s">
        <v>4996</v>
      </c>
      <c r="I1612" s="33" t="s">
        <v>536</v>
      </c>
      <c r="J1612" s="143" t="s">
        <v>4997</v>
      </c>
      <c r="K1612" s="33" t="s">
        <v>169</v>
      </c>
      <c r="L1612" s="102" t="str">
        <f>VLOOKUP(Anexo_4[[#This Row],[cod_doc]],TIPODOC,2,FALSE)</f>
        <v>FACTURA</v>
      </c>
      <c r="M1612" s="33" t="s">
        <v>538</v>
      </c>
      <c r="N1612" s="32" t="s">
        <v>4998</v>
      </c>
      <c r="O1612" s="48">
        <v>560</v>
      </c>
      <c r="P1612" s="49"/>
      <c r="Q1612" s="81">
        <v>100.8</v>
      </c>
      <c r="R1612" s="80" t="s">
        <v>4341</v>
      </c>
      <c r="S1612" s="48" t="s">
        <v>4341</v>
      </c>
      <c r="T1612" s="72">
        <v>660.8</v>
      </c>
      <c r="U1612" s="70" t="s">
        <v>4999</v>
      </c>
      <c r="V1612" s="32" t="s">
        <v>4535</v>
      </c>
      <c r="W1612" s="70"/>
      <c r="X1612" s="70"/>
      <c r="Y1612" s="70" t="s">
        <v>5000</v>
      </c>
      <c r="Z1612" s="70" t="s">
        <v>256</v>
      </c>
      <c r="AA1612" s="71"/>
      <c r="AB1612" s="53" t="str">
        <f>IFERROR(VLOOKUP(Anexo_4[[#This Row],[cuenta]],OP,2,0),"-")</f>
        <v>Materias Primas - RRSS</v>
      </c>
    </row>
    <row r="1613" spans="1:28" ht="27" customHeight="1" x14ac:dyDescent="0.3">
      <c r="A1613" s="34" t="s">
        <v>4994</v>
      </c>
      <c r="B1613" s="36" t="str">
        <f t="shared" si="25"/>
        <v>Setiembre</v>
      </c>
      <c r="C1613" s="33" t="s">
        <v>162</v>
      </c>
      <c r="D1613" s="33" t="s">
        <v>5001</v>
      </c>
      <c r="E1613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613" s="32" t="s">
        <v>248</v>
      </c>
      <c r="G1613" s="32" t="s">
        <v>249</v>
      </c>
      <c r="H1613" s="139" t="s">
        <v>5002</v>
      </c>
      <c r="I1613" s="33" t="s">
        <v>536</v>
      </c>
      <c r="J1613" s="143" t="s">
        <v>4997</v>
      </c>
      <c r="K1613" s="33" t="s">
        <v>169</v>
      </c>
      <c r="L1613" s="102" t="str">
        <f>VLOOKUP(Anexo_4[[#This Row],[cod_doc]],TIPODOC,2,FALSE)</f>
        <v>FACTURA</v>
      </c>
      <c r="M1613" s="33" t="s">
        <v>538</v>
      </c>
      <c r="N1613" s="32" t="s">
        <v>5003</v>
      </c>
      <c r="O1613" s="48">
        <v>333</v>
      </c>
      <c r="P1613" s="49"/>
      <c r="Q1613" s="81">
        <v>59.94</v>
      </c>
      <c r="R1613" s="80" t="s">
        <v>4341</v>
      </c>
      <c r="S1613" s="48" t="s">
        <v>4341</v>
      </c>
      <c r="T1613" s="72">
        <v>392.94</v>
      </c>
      <c r="U1613" s="70" t="s">
        <v>5004</v>
      </c>
      <c r="V1613" s="32" t="s">
        <v>4535</v>
      </c>
      <c r="W1613" s="70"/>
      <c r="X1613" s="70"/>
      <c r="Y1613" s="70" t="s">
        <v>5005</v>
      </c>
      <c r="Z1613" s="70" t="s">
        <v>256</v>
      </c>
      <c r="AA1613" s="71"/>
      <c r="AB1613" s="53" t="str">
        <f>IFERROR(VLOOKUP(Anexo_4[[#This Row],[cuenta]],OP,2,0),"-")</f>
        <v>Materias Primas - RRSS</v>
      </c>
    </row>
    <row r="1614" spans="1:28" ht="27" customHeight="1" x14ac:dyDescent="0.3">
      <c r="A1614" s="34" t="s">
        <v>4994</v>
      </c>
      <c r="B1614" s="36" t="str">
        <f t="shared" si="25"/>
        <v>Setiembre</v>
      </c>
      <c r="C1614" s="33" t="s">
        <v>162</v>
      </c>
      <c r="D1614" s="33" t="s">
        <v>5006</v>
      </c>
      <c r="E1614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614" s="32" t="s">
        <v>248</v>
      </c>
      <c r="G1614" s="32" t="s">
        <v>249</v>
      </c>
      <c r="H1614" s="139" t="s">
        <v>5007</v>
      </c>
      <c r="I1614" s="33" t="s">
        <v>536</v>
      </c>
      <c r="J1614" s="143" t="s">
        <v>4997</v>
      </c>
      <c r="K1614" s="33" t="s">
        <v>169</v>
      </c>
      <c r="L1614" s="102" t="str">
        <f>VLOOKUP(Anexo_4[[#This Row],[cod_doc]],TIPODOC,2,FALSE)</f>
        <v>FACTURA</v>
      </c>
      <c r="M1614" s="33" t="s">
        <v>538</v>
      </c>
      <c r="N1614" s="32" t="s">
        <v>5008</v>
      </c>
      <c r="O1614" s="48">
        <v>27</v>
      </c>
      <c r="P1614" s="49"/>
      <c r="Q1614" s="81">
        <v>4.8600000000000003</v>
      </c>
      <c r="R1614" s="80" t="s">
        <v>4341</v>
      </c>
      <c r="S1614" s="48" t="s">
        <v>4341</v>
      </c>
      <c r="T1614" s="72">
        <v>31.86</v>
      </c>
      <c r="U1614" s="70" t="s">
        <v>5009</v>
      </c>
      <c r="V1614" s="32" t="s">
        <v>4535</v>
      </c>
      <c r="W1614" s="70"/>
      <c r="X1614" s="70"/>
      <c r="Y1614" s="70" t="s">
        <v>5010</v>
      </c>
      <c r="Z1614" s="70" t="s">
        <v>256</v>
      </c>
      <c r="AA1614" s="71"/>
      <c r="AB1614" s="53" t="str">
        <f>IFERROR(VLOOKUP(Anexo_4[[#This Row],[cuenta]],OP,2,0),"-")</f>
        <v>Materias Primas - RRSS</v>
      </c>
    </row>
    <row r="1615" spans="1:28" ht="27" customHeight="1" x14ac:dyDescent="0.3">
      <c r="A1615" s="34" t="s">
        <v>4994</v>
      </c>
      <c r="B1615" s="36" t="str">
        <f t="shared" si="25"/>
        <v>Setiembre</v>
      </c>
      <c r="C1615" s="33" t="s">
        <v>162</v>
      </c>
      <c r="D1615" s="33" t="s">
        <v>5011</v>
      </c>
      <c r="E1615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615" s="32" t="s">
        <v>248</v>
      </c>
      <c r="G1615" s="32" t="s">
        <v>249</v>
      </c>
      <c r="H1615" s="139" t="s">
        <v>5012</v>
      </c>
      <c r="I1615" s="33" t="s">
        <v>536</v>
      </c>
      <c r="J1615" s="143" t="s">
        <v>4997</v>
      </c>
      <c r="K1615" s="33" t="s">
        <v>169</v>
      </c>
      <c r="L1615" s="102" t="str">
        <f>VLOOKUP(Anexo_4[[#This Row],[cod_doc]],TIPODOC,2,FALSE)</f>
        <v>FACTURA</v>
      </c>
      <c r="M1615" s="33" t="s">
        <v>538</v>
      </c>
      <c r="N1615" s="32" t="s">
        <v>5013</v>
      </c>
      <c r="O1615" s="48">
        <v>99.9</v>
      </c>
      <c r="P1615" s="49"/>
      <c r="Q1615" s="81">
        <v>17.98</v>
      </c>
      <c r="R1615" s="80" t="s">
        <v>4341</v>
      </c>
      <c r="S1615" s="48" t="s">
        <v>4341</v>
      </c>
      <c r="T1615" s="72">
        <v>117.88000000000001</v>
      </c>
      <c r="U1615" s="70" t="s">
        <v>5014</v>
      </c>
      <c r="V1615" s="32" t="s">
        <v>4535</v>
      </c>
      <c r="W1615" s="70"/>
      <c r="X1615" s="70"/>
      <c r="Y1615" s="70" t="s">
        <v>5015</v>
      </c>
      <c r="Z1615" s="70" t="s">
        <v>256</v>
      </c>
      <c r="AA1615" s="71"/>
      <c r="AB1615" s="53" t="str">
        <f>IFERROR(VLOOKUP(Anexo_4[[#This Row],[cuenta]],OP,2,0),"-")</f>
        <v>Materias Primas - RRSS</v>
      </c>
    </row>
    <row r="1616" spans="1:28" ht="27" customHeight="1" x14ac:dyDescent="0.3">
      <c r="A1616" s="34" t="s">
        <v>4994</v>
      </c>
      <c r="B1616" s="36" t="str">
        <f t="shared" si="25"/>
        <v>Setiembre</v>
      </c>
      <c r="C1616" s="33" t="s">
        <v>162</v>
      </c>
      <c r="D1616" s="33" t="s">
        <v>5016</v>
      </c>
      <c r="E1616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616" s="32" t="s">
        <v>248</v>
      </c>
      <c r="G1616" s="32" t="s">
        <v>249</v>
      </c>
      <c r="H1616" s="139" t="s">
        <v>5017</v>
      </c>
      <c r="I1616" s="33" t="s">
        <v>536</v>
      </c>
      <c r="J1616" s="143" t="s">
        <v>4997</v>
      </c>
      <c r="K1616" s="33" t="s">
        <v>169</v>
      </c>
      <c r="L1616" s="102" t="str">
        <f>VLOOKUP(Anexo_4[[#This Row],[cod_doc]],TIPODOC,2,FALSE)</f>
        <v>FACTURA</v>
      </c>
      <c r="M1616" s="33" t="s">
        <v>538</v>
      </c>
      <c r="N1616" s="32" t="s">
        <v>5018</v>
      </c>
      <c r="O1616" s="48">
        <v>129</v>
      </c>
      <c r="P1616" s="49"/>
      <c r="Q1616" s="81">
        <v>23.22</v>
      </c>
      <c r="R1616" s="80" t="s">
        <v>4341</v>
      </c>
      <c r="S1616" s="48" t="s">
        <v>4341</v>
      </c>
      <c r="T1616" s="72">
        <v>152.22</v>
      </c>
      <c r="U1616" s="70" t="s">
        <v>5019</v>
      </c>
      <c r="V1616" s="32" t="s">
        <v>4535</v>
      </c>
      <c r="W1616" s="70"/>
      <c r="X1616" s="70"/>
      <c r="Y1616" s="70" t="s">
        <v>5020</v>
      </c>
      <c r="Z1616" s="70" t="s">
        <v>256</v>
      </c>
      <c r="AA1616" s="71"/>
      <c r="AB1616" s="53" t="str">
        <f>IFERROR(VLOOKUP(Anexo_4[[#This Row],[cuenta]],OP,2,0),"-")</f>
        <v>Materias Primas - RRSS</v>
      </c>
    </row>
    <row r="1617" spans="1:28" ht="27" customHeight="1" x14ac:dyDescent="0.3">
      <c r="A1617" s="34" t="s">
        <v>4994</v>
      </c>
      <c r="B1617" s="36" t="str">
        <f t="shared" si="25"/>
        <v>Setiembre</v>
      </c>
      <c r="C1617" s="33" t="s">
        <v>162</v>
      </c>
      <c r="D1617" s="33" t="s">
        <v>5021</v>
      </c>
      <c r="E1617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617" s="32" t="s">
        <v>248</v>
      </c>
      <c r="G1617" s="32" t="s">
        <v>249</v>
      </c>
      <c r="H1617" s="139" t="s">
        <v>5022</v>
      </c>
      <c r="I1617" s="33" t="s">
        <v>536</v>
      </c>
      <c r="J1617" s="143" t="s">
        <v>4997</v>
      </c>
      <c r="K1617" s="33" t="s">
        <v>169</v>
      </c>
      <c r="L1617" s="102" t="str">
        <f>VLOOKUP(Anexo_4[[#This Row],[cod_doc]],TIPODOC,2,FALSE)</f>
        <v>FACTURA</v>
      </c>
      <c r="M1617" s="33" t="s">
        <v>538</v>
      </c>
      <c r="N1617" s="32" t="s">
        <v>5023</v>
      </c>
      <c r="O1617" s="48">
        <v>1062</v>
      </c>
      <c r="P1617" s="49"/>
      <c r="Q1617" s="81">
        <v>191.16</v>
      </c>
      <c r="R1617" s="80" t="s">
        <v>4341</v>
      </c>
      <c r="S1617" s="48" t="s">
        <v>4341</v>
      </c>
      <c r="T1617" s="72">
        <v>1253.1600000000001</v>
      </c>
      <c r="U1617" s="70" t="s">
        <v>5024</v>
      </c>
      <c r="V1617" s="32" t="s">
        <v>4535</v>
      </c>
      <c r="W1617" s="70"/>
      <c r="X1617" s="70"/>
      <c r="Y1617" s="70" t="s">
        <v>5025</v>
      </c>
      <c r="Z1617" s="70" t="s">
        <v>256</v>
      </c>
      <c r="AA1617" s="71"/>
      <c r="AB1617" s="53" t="str">
        <f>IFERROR(VLOOKUP(Anexo_4[[#This Row],[cuenta]],OP,2,0),"-")</f>
        <v>Materias Primas - RRSS</v>
      </c>
    </row>
    <row r="1618" spans="1:28" ht="27" customHeight="1" x14ac:dyDescent="0.3">
      <c r="A1618" s="34" t="s">
        <v>4994</v>
      </c>
      <c r="B1618" s="36" t="str">
        <f t="shared" si="25"/>
        <v>Setiembre</v>
      </c>
      <c r="C1618" s="33" t="s">
        <v>162</v>
      </c>
      <c r="D1618" s="33" t="s">
        <v>5026</v>
      </c>
      <c r="E1618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618" s="32" t="s">
        <v>248</v>
      </c>
      <c r="G1618" s="32" t="s">
        <v>249</v>
      </c>
      <c r="H1618" s="139" t="s">
        <v>5027</v>
      </c>
      <c r="I1618" s="33" t="s">
        <v>536</v>
      </c>
      <c r="J1618" s="143" t="s">
        <v>4997</v>
      </c>
      <c r="K1618" s="33" t="s">
        <v>169</v>
      </c>
      <c r="L1618" s="102" t="str">
        <f>VLOOKUP(Anexo_4[[#This Row],[cod_doc]],TIPODOC,2,FALSE)</f>
        <v>FACTURA</v>
      </c>
      <c r="M1618" s="33" t="s">
        <v>538</v>
      </c>
      <c r="N1618" s="32" t="s">
        <v>5028</v>
      </c>
      <c r="O1618" s="48">
        <v>837</v>
      </c>
      <c r="P1618" s="49"/>
      <c r="Q1618" s="81">
        <v>150.66</v>
      </c>
      <c r="R1618" s="80" t="s">
        <v>4341</v>
      </c>
      <c r="S1618" s="48" t="s">
        <v>4341</v>
      </c>
      <c r="T1618" s="72">
        <v>987.66</v>
      </c>
      <c r="U1618" s="70" t="s">
        <v>5029</v>
      </c>
      <c r="V1618" s="32" t="s">
        <v>4535</v>
      </c>
      <c r="W1618" s="70"/>
      <c r="X1618" s="70"/>
      <c r="Y1618" s="70" t="s">
        <v>5030</v>
      </c>
      <c r="Z1618" s="70" t="s">
        <v>256</v>
      </c>
      <c r="AA1618" s="71"/>
      <c r="AB1618" s="53" t="str">
        <f>IFERROR(VLOOKUP(Anexo_4[[#This Row],[cuenta]],OP,2,0),"-")</f>
        <v>Materias Primas - RRSS</v>
      </c>
    </row>
    <row r="1619" spans="1:28" ht="27" customHeight="1" x14ac:dyDescent="0.3">
      <c r="A1619" s="34" t="s">
        <v>4975</v>
      </c>
      <c r="B1619" s="36" t="str">
        <f t="shared" si="25"/>
        <v>Setiembre</v>
      </c>
      <c r="C1619" s="33" t="s">
        <v>162</v>
      </c>
      <c r="D1619" s="33" t="s">
        <v>5031</v>
      </c>
      <c r="E1619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619" s="32" t="s">
        <v>190</v>
      </c>
      <c r="G1619" s="32" t="s">
        <v>191</v>
      </c>
      <c r="H1619" s="139" t="s">
        <v>5032</v>
      </c>
      <c r="I1619" s="33" t="s">
        <v>5033</v>
      </c>
      <c r="J1619" s="143" t="s">
        <v>5034</v>
      </c>
      <c r="K1619" s="33" t="s">
        <v>169</v>
      </c>
      <c r="L1619" s="102" t="str">
        <f>VLOOKUP(Anexo_4[[#This Row],[cod_doc]],TIPODOC,2,FALSE)</f>
        <v>FACTURA</v>
      </c>
      <c r="M1619" s="33" t="s">
        <v>180</v>
      </c>
      <c r="N1619" s="32" t="s">
        <v>5035</v>
      </c>
      <c r="O1619" s="48">
        <v>257.63</v>
      </c>
      <c r="P1619" s="49"/>
      <c r="Q1619" s="81">
        <v>46.37</v>
      </c>
      <c r="R1619" s="80" t="s">
        <v>4341</v>
      </c>
      <c r="S1619" s="48" t="s">
        <v>4341</v>
      </c>
      <c r="T1619" s="72">
        <v>304</v>
      </c>
      <c r="U1619" s="70"/>
      <c r="V1619" s="32"/>
      <c r="W1619" s="70"/>
      <c r="X1619" s="70"/>
      <c r="Y1619" s="70"/>
      <c r="Z1619" s="70" t="s">
        <v>2320</v>
      </c>
      <c r="AA1619" s="71"/>
      <c r="AB1619" s="53" t="str">
        <f>IFERROR(VLOOKUP(Anexo_4[[#This Row],[cuenta]],OP,2,0),"-")</f>
        <v>Otros Gastos de Gestion</v>
      </c>
    </row>
    <row r="1620" spans="1:28" ht="27" customHeight="1" x14ac:dyDescent="0.3">
      <c r="A1620" s="34" t="s">
        <v>4994</v>
      </c>
      <c r="B1620" s="36" t="str">
        <f t="shared" si="25"/>
        <v>Setiembre</v>
      </c>
      <c r="C1620" s="33" t="s">
        <v>162</v>
      </c>
      <c r="D1620" s="33" t="s">
        <v>5036</v>
      </c>
      <c r="E1620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620" s="32" t="s">
        <v>823</v>
      </c>
      <c r="G1620" s="32" t="s">
        <v>824</v>
      </c>
      <c r="H1620" s="139" t="s">
        <v>5037</v>
      </c>
      <c r="I1620" s="33" t="s">
        <v>2429</v>
      </c>
      <c r="J1620" s="143" t="s">
        <v>5038</v>
      </c>
      <c r="K1620" s="33" t="s">
        <v>239</v>
      </c>
      <c r="L1620" s="102" t="str">
        <f>VLOOKUP(Anexo_4[[#This Row],[cod_doc]],TIPODOC,2,FALSE)</f>
        <v>BOLETA DE VENTA</v>
      </c>
      <c r="M1620" s="33" t="s">
        <v>162</v>
      </c>
      <c r="N1620" s="32" t="s">
        <v>5039</v>
      </c>
      <c r="O1620" s="48" t="s">
        <v>4341</v>
      </c>
      <c r="P1620" s="49"/>
      <c r="Q1620" s="81" t="s">
        <v>4341</v>
      </c>
      <c r="R1620" s="80" t="s">
        <v>4341</v>
      </c>
      <c r="S1620" s="48">
        <v>24</v>
      </c>
      <c r="T1620" s="72">
        <v>24</v>
      </c>
      <c r="U1620" s="70"/>
      <c r="V1620" s="32"/>
      <c r="W1620" s="70"/>
      <c r="X1620" s="70"/>
      <c r="Y1620" s="70"/>
      <c r="Z1620" s="70" t="s">
        <v>684</v>
      </c>
      <c r="AA1620" s="71"/>
      <c r="AB1620" s="53" t="str">
        <f>IFERROR(VLOOKUP(Anexo_4[[#This Row],[cuenta]],OP,2,0),"-")</f>
        <v>-</v>
      </c>
    </row>
    <row r="1621" spans="1:28" ht="27" customHeight="1" x14ac:dyDescent="0.3">
      <c r="A1621" s="34" t="s">
        <v>4975</v>
      </c>
      <c r="B1621" s="36" t="str">
        <f t="shared" si="25"/>
        <v>Setiembre</v>
      </c>
      <c r="C1621" s="33" t="s">
        <v>162</v>
      </c>
      <c r="D1621" s="33" t="s">
        <v>5040</v>
      </c>
      <c r="E1621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621" s="32" t="s">
        <v>391</v>
      </c>
      <c r="G1621" s="32" t="s">
        <v>5041</v>
      </c>
      <c r="H1621" s="139" t="s">
        <v>5042</v>
      </c>
      <c r="I1621" s="33" t="s">
        <v>220</v>
      </c>
      <c r="J1621" s="143" t="s">
        <v>5043</v>
      </c>
      <c r="K1621" s="33" t="s">
        <v>169</v>
      </c>
      <c r="L1621" s="102" t="str">
        <f>VLOOKUP(Anexo_4[[#This Row],[cod_doc]],TIPODOC,2,FALSE)</f>
        <v>FACTURA</v>
      </c>
      <c r="M1621" s="33" t="s">
        <v>222</v>
      </c>
      <c r="N1621" s="32" t="s">
        <v>5044</v>
      </c>
      <c r="O1621" s="48">
        <v>780</v>
      </c>
      <c r="P1621" s="49"/>
      <c r="Q1621" s="81">
        <v>140.4</v>
      </c>
      <c r="R1621" s="80" t="s">
        <v>4341</v>
      </c>
      <c r="S1621" s="48" t="s">
        <v>4341</v>
      </c>
      <c r="T1621" s="72">
        <v>920.4</v>
      </c>
      <c r="U1621" s="70"/>
      <c r="V1621" s="32"/>
      <c r="W1621" s="70"/>
      <c r="X1621" s="70"/>
      <c r="Y1621" s="70"/>
      <c r="Z1621" s="70" t="s">
        <v>241</v>
      </c>
      <c r="AA1621" s="71"/>
      <c r="AB1621" s="53" t="str">
        <f>IFERROR(VLOOKUP(Anexo_4[[#This Row],[cuenta]],OP,2,0),"-")</f>
        <v>Mantenimiento Vehicular (Correctivo)</v>
      </c>
    </row>
    <row r="1622" spans="1:28" ht="27" customHeight="1" x14ac:dyDescent="0.3">
      <c r="A1622" s="34" t="s">
        <v>4975</v>
      </c>
      <c r="B1622" s="36" t="str">
        <f t="shared" si="25"/>
        <v>Setiembre</v>
      </c>
      <c r="C1622" s="33" t="s">
        <v>162</v>
      </c>
      <c r="D1622" s="33" t="s">
        <v>5045</v>
      </c>
      <c r="E1622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622" s="32" t="s">
        <v>650</v>
      </c>
      <c r="G1622" s="32" t="s">
        <v>651</v>
      </c>
      <c r="H1622" s="139" t="s">
        <v>5046</v>
      </c>
      <c r="I1622" s="33" t="s">
        <v>5047</v>
      </c>
      <c r="J1622" s="143" t="s">
        <v>5048</v>
      </c>
      <c r="K1622" s="33" t="s">
        <v>169</v>
      </c>
      <c r="L1622" s="102" t="str">
        <f>VLOOKUP(Anexo_4[[#This Row],[cod_doc]],TIPODOC,2,FALSE)</f>
        <v>FACTURA</v>
      </c>
      <c r="M1622" s="33" t="s">
        <v>222</v>
      </c>
      <c r="N1622" s="32" t="s">
        <v>5049</v>
      </c>
      <c r="O1622" s="48">
        <v>7.63</v>
      </c>
      <c r="P1622" s="49"/>
      <c r="Q1622" s="81">
        <v>1.37</v>
      </c>
      <c r="R1622" s="80" t="s">
        <v>4341</v>
      </c>
      <c r="S1622" s="48" t="s">
        <v>4341</v>
      </c>
      <c r="T1622" s="72">
        <v>9</v>
      </c>
      <c r="U1622" s="70"/>
      <c r="V1622" s="32"/>
      <c r="W1622" s="70"/>
      <c r="X1622" s="70"/>
      <c r="Y1622" s="70"/>
      <c r="Z1622" s="70" t="s">
        <v>684</v>
      </c>
      <c r="AA1622" s="71"/>
      <c r="AB1622" s="53" t="str">
        <f>IFERROR(VLOOKUP(Anexo_4[[#This Row],[cuenta]],OP,2,0),"-")</f>
        <v>-</v>
      </c>
    </row>
    <row r="1623" spans="1:28" ht="27" customHeight="1" x14ac:dyDescent="0.3">
      <c r="A1623" s="34" t="s">
        <v>4975</v>
      </c>
      <c r="B1623" s="36" t="str">
        <f t="shared" si="25"/>
        <v>Setiembre</v>
      </c>
      <c r="C1623" s="33" t="s">
        <v>162</v>
      </c>
      <c r="D1623" s="33" t="s">
        <v>5050</v>
      </c>
      <c r="E1623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623" s="32" t="s">
        <v>235</v>
      </c>
      <c r="G1623" s="32" t="s">
        <v>5051</v>
      </c>
      <c r="H1623" s="139" t="s">
        <v>5052</v>
      </c>
      <c r="I1623" s="33" t="s">
        <v>264</v>
      </c>
      <c r="J1623" s="143" t="s">
        <v>4644</v>
      </c>
      <c r="K1623" s="33" t="s">
        <v>169</v>
      </c>
      <c r="L1623" s="102" t="str">
        <f>VLOOKUP(Anexo_4[[#This Row],[cod_doc]],TIPODOC,2,FALSE)</f>
        <v>FACTURA</v>
      </c>
      <c r="M1623" s="33" t="s">
        <v>266</v>
      </c>
      <c r="N1623" s="32" t="s">
        <v>5053</v>
      </c>
      <c r="O1623" s="48">
        <v>6.78</v>
      </c>
      <c r="P1623" s="49"/>
      <c r="Q1623" s="81">
        <v>1.22</v>
      </c>
      <c r="R1623" s="80" t="s">
        <v>4341</v>
      </c>
      <c r="S1623" s="48" t="s">
        <v>4341</v>
      </c>
      <c r="T1623" s="72">
        <v>8</v>
      </c>
      <c r="U1623" s="70"/>
      <c r="V1623" s="32"/>
      <c r="W1623" s="70"/>
      <c r="X1623" s="70"/>
      <c r="Y1623" s="70" t="s">
        <v>5054</v>
      </c>
      <c r="Z1623" s="70" t="s">
        <v>302</v>
      </c>
      <c r="AA1623" s="71"/>
      <c r="AB1623" s="53" t="str">
        <f>IFERROR(VLOOKUP(Anexo_4[[#This Row],[cuenta]],OP,2,0),"-")</f>
        <v>Transporte peajes - Servicios</v>
      </c>
    </row>
    <row r="1624" spans="1:28" ht="27" customHeight="1" x14ac:dyDescent="0.3">
      <c r="A1624" s="34" t="s">
        <v>4975</v>
      </c>
      <c r="B1624" s="36" t="str">
        <f t="shared" si="25"/>
        <v>Setiembre</v>
      </c>
      <c r="C1624" s="33" t="s">
        <v>162</v>
      </c>
      <c r="D1624" s="33" t="s">
        <v>5055</v>
      </c>
      <c r="E1624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624" s="32" t="s">
        <v>235</v>
      </c>
      <c r="G1624" s="32" t="s">
        <v>5051</v>
      </c>
      <c r="H1624" s="139" t="s">
        <v>5056</v>
      </c>
      <c r="I1624" s="33" t="s">
        <v>264</v>
      </c>
      <c r="J1624" s="143" t="s">
        <v>4644</v>
      </c>
      <c r="K1624" s="33" t="s">
        <v>169</v>
      </c>
      <c r="L1624" s="102" t="str">
        <f>VLOOKUP(Anexo_4[[#This Row],[cod_doc]],TIPODOC,2,FALSE)</f>
        <v>FACTURA</v>
      </c>
      <c r="M1624" s="33" t="s">
        <v>271</v>
      </c>
      <c r="N1624" s="32" t="s">
        <v>5057</v>
      </c>
      <c r="O1624" s="48">
        <v>3.39</v>
      </c>
      <c r="P1624" s="49"/>
      <c r="Q1624" s="81">
        <v>0.61</v>
      </c>
      <c r="R1624" s="80" t="s">
        <v>4341</v>
      </c>
      <c r="S1624" s="48" t="s">
        <v>4341</v>
      </c>
      <c r="T1624" s="72">
        <v>4</v>
      </c>
      <c r="U1624" s="70"/>
      <c r="V1624" s="32"/>
      <c r="W1624" s="70"/>
      <c r="X1624" s="70"/>
      <c r="Y1624" s="70" t="s">
        <v>5058</v>
      </c>
      <c r="Z1624" s="70" t="s">
        <v>302</v>
      </c>
      <c r="AA1624" s="71"/>
      <c r="AB1624" s="53" t="str">
        <f>IFERROR(VLOOKUP(Anexo_4[[#This Row],[cuenta]],OP,2,0),"-")</f>
        <v>Transporte peajes - Servicios</v>
      </c>
    </row>
    <row r="1625" spans="1:28" ht="27" customHeight="1" x14ac:dyDescent="0.3">
      <c r="A1625" s="34" t="s">
        <v>4975</v>
      </c>
      <c r="B1625" s="36" t="str">
        <f t="shared" si="25"/>
        <v>Setiembre</v>
      </c>
      <c r="C1625" s="33" t="s">
        <v>162</v>
      </c>
      <c r="D1625" s="33" t="s">
        <v>5055</v>
      </c>
      <c r="E1625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625" s="32" t="s">
        <v>235</v>
      </c>
      <c r="G1625" s="32" t="s">
        <v>5051</v>
      </c>
      <c r="H1625" s="139" t="s">
        <v>5056</v>
      </c>
      <c r="I1625" s="33" t="s">
        <v>264</v>
      </c>
      <c r="J1625" s="143" t="s">
        <v>4644</v>
      </c>
      <c r="K1625" s="33" t="s">
        <v>169</v>
      </c>
      <c r="L1625" s="102" t="str">
        <f>VLOOKUP(Anexo_4[[#This Row],[cod_doc]],TIPODOC,2,FALSE)</f>
        <v>FACTURA</v>
      </c>
      <c r="M1625" s="33" t="s">
        <v>271</v>
      </c>
      <c r="N1625" s="32" t="s">
        <v>5057</v>
      </c>
      <c r="O1625" s="48">
        <v>3.39</v>
      </c>
      <c r="P1625" s="49"/>
      <c r="Q1625" s="81">
        <v>0.61</v>
      </c>
      <c r="R1625" s="80" t="s">
        <v>4341</v>
      </c>
      <c r="S1625" s="48" t="s">
        <v>4341</v>
      </c>
      <c r="T1625" s="72">
        <v>4</v>
      </c>
      <c r="U1625" s="70"/>
      <c r="V1625" s="32"/>
      <c r="W1625" s="70"/>
      <c r="X1625" s="70"/>
      <c r="Y1625" s="70" t="s">
        <v>5058</v>
      </c>
      <c r="Z1625" s="70" t="s">
        <v>268</v>
      </c>
      <c r="AA1625" s="71"/>
      <c r="AB1625" s="53" t="str">
        <f>IFERROR(VLOOKUP(Anexo_4[[#This Row],[cuenta]],OP,2,0),"-")</f>
        <v>Transporte peajes - Ventas</v>
      </c>
    </row>
    <row r="1626" spans="1:28" ht="27" customHeight="1" x14ac:dyDescent="0.3">
      <c r="A1626" s="34" t="s">
        <v>4975</v>
      </c>
      <c r="B1626" s="36" t="str">
        <f t="shared" si="25"/>
        <v>Setiembre</v>
      </c>
      <c r="C1626" s="33" t="s">
        <v>162</v>
      </c>
      <c r="D1626" s="33" t="s">
        <v>5059</v>
      </c>
      <c r="E1626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626" s="32" t="s">
        <v>235</v>
      </c>
      <c r="G1626" s="32" t="s">
        <v>5051</v>
      </c>
      <c r="H1626" s="139" t="s">
        <v>5060</v>
      </c>
      <c r="I1626" s="33" t="s">
        <v>264</v>
      </c>
      <c r="J1626" s="143" t="s">
        <v>4644</v>
      </c>
      <c r="K1626" s="33" t="s">
        <v>169</v>
      </c>
      <c r="L1626" s="102" t="str">
        <f>VLOOKUP(Anexo_4[[#This Row],[cod_doc]],TIPODOC,2,FALSE)</f>
        <v>FACTURA</v>
      </c>
      <c r="M1626" s="33" t="s">
        <v>379</v>
      </c>
      <c r="N1626" s="32" t="s">
        <v>5061</v>
      </c>
      <c r="O1626" s="48">
        <v>6.78</v>
      </c>
      <c r="P1626" s="49"/>
      <c r="Q1626" s="81">
        <v>1.22</v>
      </c>
      <c r="R1626" s="80" t="s">
        <v>4341</v>
      </c>
      <c r="S1626" s="48" t="s">
        <v>4341</v>
      </c>
      <c r="T1626" s="72">
        <v>8</v>
      </c>
      <c r="U1626" s="70"/>
      <c r="V1626" s="32"/>
      <c r="W1626" s="70"/>
      <c r="X1626" s="70"/>
      <c r="Y1626" s="70" t="s">
        <v>5062</v>
      </c>
      <c r="Z1626" s="70" t="s">
        <v>302</v>
      </c>
      <c r="AA1626" s="71"/>
      <c r="AB1626" s="53" t="str">
        <f>IFERROR(VLOOKUP(Anexo_4[[#This Row],[cuenta]],OP,2,0),"-")</f>
        <v>Transporte peajes - Servicios</v>
      </c>
    </row>
    <row r="1627" spans="1:28" ht="27" customHeight="1" x14ac:dyDescent="0.3">
      <c r="A1627" s="34" t="s">
        <v>4975</v>
      </c>
      <c r="B1627" s="36" t="str">
        <f t="shared" si="25"/>
        <v>Setiembre</v>
      </c>
      <c r="C1627" s="33" t="s">
        <v>162</v>
      </c>
      <c r="D1627" s="33" t="s">
        <v>5063</v>
      </c>
      <c r="E1627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627" s="32" t="s">
        <v>235</v>
      </c>
      <c r="G1627" s="32" t="s">
        <v>5051</v>
      </c>
      <c r="H1627" s="139" t="s">
        <v>5064</v>
      </c>
      <c r="I1627" s="33" t="s">
        <v>264</v>
      </c>
      <c r="J1627" s="143" t="s">
        <v>4644</v>
      </c>
      <c r="K1627" s="33" t="s">
        <v>169</v>
      </c>
      <c r="L1627" s="102" t="str">
        <f>VLOOKUP(Anexo_4[[#This Row],[cod_doc]],TIPODOC,2,FALSE)</f>
        <v>FACTURA</v>
      </c>
      <c r="M1627" s="33" t="s">
        <v>279</v>
      </c>
      <c r="N1627" s="32" t="s">
        <v>5065</v>
      </c>
      <c r="O1627" s="48">
        <v>6.78</v>
      </c>
      <c r="P1627" s="49"/>
      <c r="Q1627" s="81">
        <v>1.22</v>
      </c>
      <c r="R1627" s="80" t="s">
        <v>4341</v>
      </c>
      <c r="S1627" s="48" t="s">
        <v>4341</v>
      </c>
      <c r="T1627" s="72">
        <v>8</v>
      </c>
      <c r="U1627" s="70"/>
      <c r="V1627" s="32"/>
      <c r="W1627" s="70"/>
      <c r="X1627" s="70"/>
      <c r="Y1627" s="70" t="s">
        <v>5066</v>
      </c>
      <c r="Z1627" s="70" t="s">
        <v>302</v>
      </c>
      <c r="AA1627" s="71"/>
      <c r="AB1627" s="53" t="str">
        <f>IFERROR(VLOOKUP(Anexo_4[[#This Row],[cuenta]],OP,2,0),"-")</f>
        <v>Transporte peajes - Servicios</v>
      </c>
    </row>
    <row r="1628" spans="1:28" ht="27" customHeight="1" x14ac:dyDescent="0.3">
      <c r="A1628" s="34" t="s">
        <v>4975</v>
      </c>
      <c r="B1628" s="36" t="str">
        <f t="shared" si="25"/>
        <v>Setiembre</v>
      </c>
      <c r="C1628" s="33" t="s">
        <v>162</v>
      </c>
      <c r="D1628" s="33" t="s">
        <v>5067</v>
      </c>
      <c r="E1628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628" s="32" t="s">
        <v>418</v>
      </c>
      <c r="G1628" s="32" t="s">
        <v>419</v>
      </c>
      <c r="H1628" s="139" t="s">
        <v>5068</v>
      </c>
      <c r="I1628" s="33" t="s">
        <v>178</v>
      </c>
      <c r="J1628" s="143" t="s">
        <v>4667</v>
      </c>
      <c r="K1628" s="33" t="s">
        <v>169</v>
      </c>
      <c r="L1628" s="102" t="str">
        <f>VLOOKUP(Anexo_4[[#This Row],[cod_doc]],TIPODOC,2,FALSE)</f>
        <v>FACTURA</v>
      </c>
      <c r="M1628" s="33" t="s">
        <v>180</v>
      </c>
      <c r="N1628" s="32" t="s">
        <v>5069</v>
      </c>
      <c r="O1628" s="48">
        <v>8.4700000000000006</v>
      </c>
      <c r="P1628" s="49"/>
      <c r="Q1628" s="81">
        <v>1.53</v>
      </c>
      <c r="R1628" s="80" t="s">
        <v>4341</v>
      </c>
      <c r="S1628" s="48" t="s">
        <v>4341</v>
      </c>
      <c r="T1628" s="72">
        <v>10</v>
      </c>
      <c r="U1628" s="70"/>
      <c r="V1628" s="32"/>
      <c r="W1628" s="70"/>
      <c r="X1628" s="70"/>
      <c r="Y1628" s="70" t="s">
        <v>5070</v>
      </c>
      <c r="Z1628" s="70" t="s">
        <v>386</v>
      </c>
      <c r="AA1628" s="71"/>
      <c r="AB1628" s="53" t="str">
        <f>IFERROR(VLOOKUP(Anexo_4[[#This Row],[cuenta]],OP,2,0),"-")</f>
        <v>Balanza - Servicios</v>
      </c>
    </row>
    <row r="1629" spans="1:28" ht="27" customHeight="1" x14ac:dyDescent="0.3">
      <c r="A1629" s="34" t="s">
        <v>5071</v>
      </c>
      <c r="B1629" s="36" t="str">
        <f t="shared" si="25"/>
        <v>Setiembre</v>
      </c>
      <c r="C1629" s="33" t="s">
        <v>162</v>
      </c>
      <c r="D1629" s="33" t="s">
        <v>5072</v>
      </c>
      <c r="E1629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629" s="32" t="s">
        <v>248</v>
      </c>
      <c r="G1629" s="32" t="s">
        <v>249</v>
      </c>
      <c r="H1629" s="139" t="s">
        <v>5073</v>
      </c>
      <c r="I1629" s="33" t="s">
        <v>5074</v>
      </c>
      <c r="J1629" s="143" t="s">
        <v>5075</v>
      </c>
      <c r="K1629" s="33" t="s">
        <v>169</v>
      </c>
      <c r="L1629" s="102" t="str">
        <f>VLOOKUP(Anexo_4[[#This Row],[cod_doc]],TIPODOC,2,FALSE)</f>
        <v>FACTURA</v>
      </c>
      <c r="M1629" s="33" t="s">
        <v>4244</v>
      </c>
      <c r="N1629" s="32" t="s">
        <v>5076</v>
      </c>
      <c r="O1629" s="48">
        <v>2529.25</v>
      </c>
      <c r="P1629" s="49"/>
      <c r="Q1629" s="81">
        <v>455.27</v>
      </c>
      <c r="R1629" s="80" t="s">
        <v>4341</v>
      </c>
      <c r="S1629" s="48" t="s">
        <v>4341</v>
      </c>
      <c r="T1629" s="72">
        <v>2984.52</v>
      </c>
      <c r="U1629" s="70" t="s">
        <v>5077</v>
      </c>
      <c r="V1629" s="32" t="s">
        <v>5078</v>
      </c>
      <c r="W1629" s="70"/>
      <c r="X1629" s="70"/>
      <c r="Y1629" s="70" t="s">
        <v>5079</v>
      </c>
      <c r="Z1629" s="70" t="s">
        <v>256</v>
      </c>
      <c r="AA1629" s="71"/>
      <c r="AB1629" s="53" t="str">
        <f>IFERROR(VLOOKUP(Anexo_4[[#This Row],[cuenta]],OP,2,0),"-")</f>
        <v>Materias Primas - RRSS</v>
      </c>
    </row>
    <row r="1630" spans="1:28" ht="27" customHeight="1" x14ac:dyDescent="0.3">
      <c r="A1630" s="34" t="s">
        <v>5080</v>
      </c>
      <c r="B1630" s="36" t="str">
        <f t="shared" si="25"/>
        <v>Setiembre</v>
      </c>
      <c r="C1630" s="33" t="s">
        <v>162</v>
      </c>
      <c r="D1630" s="33" t="s">
        <v>5081</v>
      </c>
      <c r="E1630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630" s="32" t="s">
        <v>248</v>
      </c>
      <c r="G1630" s="32" t="s">
        <v>249</v>
      </c>
      <c r="H1630" s="139" t="s">
        <v>5082</v>
      </c>
      <c r="I1630" s="33" t="s">
        <v>980</v>
      </c>
      <c r="J1630" s="143" t="s">
        <v>5083</v>
      </c>
      <c r="K1630" s="33" t="s">
        <v>169</v>
      </c>
      <c r="L1630" s="102" t="str">
        <f>VLOOKUP(Anexo_4[[#This Row],[cod_doc]],TIPODOC,2,FALSE)</f>
        <v>FACTURA</v>
      </c>
      <c r="M1630" s="33" t="s">
        <v>982</v>
      </c>
      <c r="N1630" s="32" t="s">
        <v>5084</v>
      </c>
      <c r="O1630" s="48">
        <v>1477.46</v>
      </c>
      <c r="P1630" s="49"/>
      <c r="Q1630" s="81">
        <v>265.94</v>
      </c>
      <c r="R1630" s="80" t="s">
        <v>4341</v>
      </c>
      <c r="S1630" s="48" t="s">
        <v>4341</v>
      </c>
      <c r="T1630" s="72">
        <v>1743.4</v>
      </c>
      <c r="U1630" s="70" t="s">
        <v>5085</v>
      </c>
      <c r="V1630" s="32" t="s">
        <v>5078</v>
      </c>
      <c r="W1630" s="70"/>
      <c r="X1630" s="70"/>
      <c r="Y1630" s="70" t="s">
        <v>5086</v>
      </c>
      <c r="Z1630" s="70" t="s">
        <v>256</v>
      </c>
      <c r="AA1630" s="71"/>
      <c r="AB1630" s="53" t="str">
        <f>IFERROR(VLOOKUP(Anexo_4[[#This Row],[cuenta]],OP,2,0),"-")</f>
        <v>Materias Primas - RRSS</v>
      </c>
    </row>
    <row r="1631" spans="1:28" ht="27" customHeight="1" x14ac:dyDescent="0.3">
      <c r="A1631" s="34" t="s">
        <v>5071</v>
      </c>
      <c r="B1631" s="36" t="str">
        <f t="shared" si="25"/>
        <v>Setiembre</v>
      </c>
      <c r="C1631" s="33" t="s">
        <v>162</v>
      </c>
      <c r="D1631" s="33" t="s">
        <v>5087</v>
      </c>
      <c r="E1631" s="37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1631" s="32" t="s">
        <v>198</v>
      </c>
      <c r="G1631" s="32" t="s">
        <v>199</v>
      </c>
      <c r="H1631" s="139" t="s">
        <v>5088</v>
      </c>
      <c r="I1631" s="33" t="s">
        <v>1709</v>
      </c>
      <c r="J1631" s="143" t="s">
        <v>5089</v>
      </c>
      <c r="K1631" s="33" t="s">
        <v>169</v>
      </c>
      <c r="L1631" s="102" t="str">
        <f>VLOOKUP(Anexo_4[[#This Row],[cod_doc]],TIPODOC,2,FALSE)</f>
        <v>FACTURA</v>
      </c>
      <c r="M1631" s="33" t="s">
        <v>102</v>
      </c>
      <c r="N1631" s="32" t="s">
        <v>5090</v>
      </c>
      <c r="O1631" s="48">
        <v>900</v>
      </c>
      <c r="P1631" s="49"/>
      <c r="Q1631" s="81">
        <v>162</v>
      </c>
      <c r="R1631" s="80" t="s">
        <v>4341</v>
      </c>
      <c r="S1631" s="48" t="s">
        <v>4341</v>
      </c>
      <c r="T1631" s="72">
        <v>1062</v>
      </c>
      <c r="U1631" s="70"/>
      <c r="V1631" s="32"/>
      <c r="W1631" s="70"/>
      <c r="X1631" s="70"/>
      <c r="Y1631" s="70"/>
      <c r="Z1631" s="70" t="s">
        <v>468</v>
      </c>
      <c r="AA1631" s="71"/>
      <c r="AB1631" s="53" t="str">
        <f>IFERROR(VLOOKUP(Anexo_4[[#This Row],[cuenta]],OP,2,0),"-")</f>
        <v>Transporte de Carga  - Ventas</v>
      </c>
    </row>
    <row r="1632" spans="1:28" ht="27" customHeight="1" x14ac:dyDescent="0.3">
      <c r="A1632" s="34" t="s">
        <v>4975</v>
      </c>
      <c r="B1632" s="36" t="str">
        <f t="shared" si="25"/>
        <v>Setiembre</v>
      </c>
      <c r="C1632" s="33" t="s">
        <v>162</v>
      </c>
      <c r="D1632" s="33" t="s">
        <v>5091</v>
      </c>
      <c r="E1632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632" s="32" t="s">
        <v>164</v>
      </c>
      <c r="G1632" s="32" t="s">
        <v>165</v>
      </c>
      <c r="H1632" s="139" t="s">
        <v>5092</v>
      </c>
      <c r="I1632" s="33" t="s">
        <v>206</v>
      </c>
      <c r="J1632" s="143" t="s">
        <v>5093</v>
      </c>
      <c r="K1632" s="33" t="s">
        <v>169</v>
      </c>
      <c r="L1632" s="102" t="str">
        <f>VLOOKUP(Anexo_4[[#This Row],[cod_doc]],TIPODOC,2,FALSE)</f>
        <v>FACTURA</v>
      </c>
      <c r="M1632" s="33" t="s">
        <v>208</v>
      </c>
      <c r="N1632" s="32" t="s">
        <v>5094</v>
      </c>
      <c r="O1632" s="48">
        <v>152.54</v>
      </c>
      <c r="P1632" s="49"/>
      <c r="Q1632" s="81">
        <v>27.46</v>
      </c>
      <c r="R1632" s="80" t="s">
        <v>4341</v>
      </c>
      <c r="S1632" s="48" t="s">
        <v>4341</v>
      </c>
      <c r="T1632" s="72">
        <v>180</v>
      </c>
      <c r="U1632" s="70"/>
      <c r="V1632" s="32"/>
      <c r="W1632" s="70"/>
      <c r="X1632" s="70"/>
      <c r="Y1632" s="70"/>
      <c r="Z1632" s="70" t="s">
        <v>209</v>
      </c>
      <c r="AA1632" s="71"/>
      <c r="AB1632" s="53" t="str">
        <f>IFERROR(VLOOKUP(Anexo_4[[#This Row],[cuenta]],OP,2,0),"-")</f>
        <v>-</v>
      </c>
    </row>
    <row r="1633" spans="1:28" ht="27" customHeight="1" x14ac:dyDescent="0.3">
      <c r="A1633" s="34" t="s">
        <v>5095</v>
      </c>
      <c r="B1633" s="36" t="str">
        <f t="shared" si="25"/>
        <v>Setiembre</v>
      </c>
      <c r="C1633" s="33" t="s">
        <v>162</v>
      </c>
      <c r="D1633" s="33" t="s">
        <v>5096</v>
      </c>
      <c r="E1633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633" s="32" t="s">
        <v>164</v>
      </c>
      <c r="G1633" s="32" t="s">
        <v>165</v>
      </c>
      <c r="H1633" s="139" t="s">
        <v>637</v>
      </c>
      <c r="I1633" s="33" t="s">
        <v>638</v>
      </c>
      <c r="J1633" s="143" t="s">
        <v>4618</v>
      </c>
      <c r="K1633" s="33" t="s">
        <v>169</v>
      </c>
      <c r="L1633" s="102" t="str">
        <f>VLOOKUP(Anexo_4[[#This Row],[cod_doc]],TIPODOC,2,FALSE)</f>
        <v>FACTURA</v>
      </c>
      <c r="M1633" s="33" t="s">
        <v>640</v>
      </c>
      <c r="N1633" s="32" t="s">
        <v>5097</v>
      </c>
      <c r="O1633" s="48">
        <v>22.88</v>
      </c>
      <c r="P1633" s="49"/>
      <c r="Q1633" s="81">
        <v>4.12</v>
      </c>
      <c r="R1633" s="80" t="s">
        <v>4341</v>
      </c>
      <c r="S1633" s="48" t="s">
        <v>4341</v>
      </c>
      <c r="T1633" s="72">
        <v>27</v>
      </c>
      <c r="U1633" s="70"/>
      <c r="V1633" s="32"/>
      <c r="W1633" s="70"/>
      <c r="X1633" s="70"/>
      <c r="Y1633" s="70"/>
      <c r="Z1633" s="70" t="s">
        <v>196</v>
      </c>
      <c r="AA1633" s="71"/>
      <c r="AB1633" s="53" t="str">
        <f>IFERROR(VLOOKUP(Anexo_4[[#This Row],[cuenta]],OP,2,0),"-")</f>
        <v>Encomienda (Envío de documentación)</v>
      </c>
    </row>
    <row r="1634" spans="1:28" ht="27" customHeight="1" x14ac:dyDescent="0.3">
      <c r="A1634" s="34" t="s">
        <v>4994</v>
      </c>
      <c r="B1634" s="36" t="str">
        <f t="shared" si="25"/>
        <v>Setiembre</v>
      </c>
      <c r="C1634" s="33" t="s">
        <v>162</v>
      </c>
      <c r="D1634" s="33" t="s">
        <v>5098</v>
      </c>
      <c r="E1634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634" s="32" t="s">
        <v>217</v>
      </c>
      <c r="G1634" s="32" t="s">
        <v>4839</v>
      </c>
      <c r="H1634" s="139" t="s">
        <v>1276</v>
      </c>
      <c r="I1634" s="33" t="s">
        <v>264</v>
      </c>
      <c r="J1634" s="143" t="s">
        <v>4644</v>
      </c>
      <c r="K1634" s="33" t="s">
        <v>169</v>
      </c>
      <c r="L1634" s="102" t="str">
        <f>VLOOKUP(Anexo_4[[#This Row],[cod_doc]],TIPODOC,2,FALSE)</f>
        <v>FACTURA</v>
      </c>
      <c r="M1634" s="33" t="s">
        <v>279</v>
      </c>
      <c r="N1634" s="32" t="s">
        <v>5099</v>
      </c>
      <c r="O1634" s="48">
        <v>6.78</v>
      </c>
      <c r="P1634" s="49"/>
      <c r="Q1634" s="81">
        <v>1.22</v>
      </c>
      <c r="R1634" s="80" t="s">
        <v>4341</v>
      </c>
      <c r="S1634" s="48" t="s">
        <v>4341</v>
      </c>
      <c r="T1634" s="72">
        <v>8</v>
      </c>
      <c r="U1634" s="70"/>
      <c r="V1634" s="32"/>
      <c r="W1634" s="70"/>
      <c r="X1634" s="70"/>
      <c r="Y1634" s="70"/>
      <c r="Z1634" s="70" t="s">
        <v>302</v>
      </c>
      <c r="AA1634" s="71"/>
      <c r="AB1634" s="53" t="str">
        <f>IFERROR(VLOOKUP(Anexo_4[[#This Row],[cuenta]],OP,2,0),"-")</f>
        <v>Transporte peajes - Servicios</v>
      </c>
    </row>
    <row r="1635" spans="1:28" ht="27" customHeight="1" x14ac:dyDescent="0.3">
      <c r="A1635" s="34" t="s">
        <v>4994</v>
      </c>
      <c r="B1635" s="36" t="str">
        <f t="shared" si="25"/>
        <v>Setiembre</v>
      </c>
      <c r="C1635" s="33" t="s">
        <v>162</v>
      </c>
      <c r="D1635" s="33" t="s">
        <v>5100</v>
      </c>
      <c r="E1635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635" s="32" t="s">
        <v>217</v>
      </c>
      <c r="G1635" s="32" t="s">
        <v>4839</v>
      </c>
      <c r="H1635" s="139" t="s">
        <v>1276</v>
      </c>
      <c r="I1635" s="33" t="s">
        <v>264</v>
      </c>
      <c r="J1635" s="143" t="s">
        <v>4644</v>
      </c>
      <c r="K1635" s="33" t="s">
        <v>169</v>
      </c>
      <c r="L1635" s="102" t="str">
        <f>VLOOKUP(Anexo_4[[#This Row],[cod_doc]],TIPODOC,2,FALSE)</f>
        <v>FACTURA</v>
      </c>
      <c r="M1635" s="33" t="s">
        <v>275</v>
      </c>
      <c r="N1635" s="32" t="s">
        <v>5101</v>
      </c>
      <c r="O1635" s="48">
        <v>6.78</v>
      </c>
      <c r="P1635" s="49"/>
      <c r="Q1635" s="81">
        <v>1.22</v>
      </c>
      <c r="R1635" s="80" t="s">
        <v>4341</v>
      </c>
      <c r="S1635" s="48" t="s">
        <v>4341</v>
      </c>
      <c r="T1635" s="72">
        <v>8</v>
      </c>
      <c r="U1635" s="70"/>
      <c r="V1635" s="32"/>
      <c r="W1635" s="70"/>
      <c r="X1635" s="70"/>
      <c r="Y1635" s="70"/>
      <c r="Z1635" s="70" t="s">
        <v>302</v>
      </c>
      <c r="AA1635" s="71"/>
      <c r="AB1635" s="53" t="str">
        <f>IFERROR(VLOOKUP(Anexo_4[[#This Row],[cuenta]],OP,2,0),"-")</f>
        <v>Transporte peajes - Servicios</v>
      </c>
    </row>
    <row r="1636" spans="1:28" ht="27" customHeight="1" x14ac:dyDescent="0.3">
      <c r="A1636" s="34" t="s">
        <v>4994</v>
      </c>
      <c r="B1636" s="36" t="str">
        <f t="shared" si="25"/>
        <v>Setiembre</v>
      </c>
      <c r="C1636" s="33" t="s">
        <v>162</v>
      </c>
      <c r="D1636" s="33" t="s">
        <v>5102</v>
      </c>
      <c r="E1636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636" s="32" t="s">
        <v>217</v>
      </c>
      <c r="G1636" s="32" t="s">
        <v>4839</v>
      </c>
      <c r="H1636" s="139" t="s">
        <v>930</v>
      </c>
      <c r="I1636" s="33" t="s">
        <v>286</v>
      </c>
      <c r="J1636" s="143" t="s">
        <v>4762</v>
      </c>
      <c r="K1636" s="33" t="s">
        <v>169</v>
      </c>
      <c r="L1636" s="102" t="str">
        <f>VLOOKUP(Anexo_4[[#This Row],[cod_doc]],TIPODOC,2,FALSE)</f>
        <v>FACTURA</v>
      </c>
      <c r="M1636" s="33" t="s">
        <v>222</v>
      </c>
      <c r="N1636" s="32" t="s">
        <v>5103</v>
      </c>
      <c r="O1636" s="48" t="s">
        <v>4341</v>
      </c>
      <c r="P1636" s="49"/>
      <c r="Q1636" s="81" t="s">
        <v>4341</v>
      </c>
      <c r="R1636" s="80" t="s">
        <v>4341</v>
      </c>
      <c r="S1636" s="48">
        <v>11</v>
      </c>
      <c r="T1636" s="72">
        <v>11</v>
      </c>
      <c r="U1636" s="70"/>
      <c r="V1636" s="32"/>
      <c r="W1636" s="70"/>
      <c r="X1636" s="70"/>
      <c r="Y1636" s="70"/>
      <c r="Z1636" s="70" t="s">
        <v>386</v>
      </c>
      <c r="AA1636" s="71"/>
      <c r="AB1636" s="53" t="str">
        <f>IFERROR(VLOOKUP(Anexo_4[[#This Row],[cuenta]],OP,2,0),"-")</f>
        <v>Balanza - Servicios</v>
      </c>
    </row>
    <row r="1637" spans="1:28" ht="27" customHeight="1" x14ac:dyDescent="0.3">
      <c r="A1637" s="34" t="s">
        <v>4994</v>
      </c>
      <c r="B1637" s="36" t="str">
        <f t="shared" si="25"/>
        <v>Setiembre</v>
      </c>
      <c r="C1637" s="33" t="s">
        <v>162</v>
      </c>
      <c r="D1637" s="33" t="s">
        <v>5104</v>
      </c>
      <c r="E1637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637" s="32" t="s">
        <v>217</v>
      </c>
      <c r="G1637" s="32" t="s">
        <v>4839</v>
      </c>
      <c r="H1637" s="139" t="s">
        <v>930</v>
      </c>
      <c r="I1637" s="33" t="s">
        <v>383</v>
      </c>
      <c r="J1637" s="143" t="s">
        <v>4702</v>
      </c>
      <c r="K1637" s="33" t="s">
        <v>169</v>
      </c>
      <c r="L1637" s="102" t="str">
        <f>VLOOKUP(Anexo_4[[#This Row],[cod_doc]],TIPODOC,2,FALSE)</f>
        <v>FACTURA</v>
      </c>
      <c r="M1637" s="33" t="s">
        <v>103</v>
      </c>
      <c r="N1637" s="32" t="s">
        <v>5105</v>
      </c>
      <c r="O1637" s="48">
        <v>16.95</v>
      </c>
      <c r="P1637" s="49"/>
      <c r="Q1637" s="81">
        <v>3.05</v>
      </c>
      <c r="R1637" s="80" t="s">
        <v>4341</v>
      </c>
      <c r="S1637" s="48" t="s">
        <v>4341</v>
      </c>
      <c r="T1637" s="72">
        <v>20</v>
      </c>
      <c r="U1637" s="70"/>
      <c r="V1637" s="32"/>
      <c r="W1637" s="70"/>
      <c r="X1637" s="70"/>
      <c r="Y1637" s="70"/>
      <c r="Z1637" s="70" t="s">
        <v>386</v>
      </c>
      <c r="AA1637" s="71"/>
      <c r="AB1637" s="53" t="str">
        <f>IFERROR(VLOOKUP(Anexo_4[[#This Row],[cuenta]],OP,2,0),"-")</f>
        <v>Balanza - Servicios</v>
      </c>
    </row>
    <row r="1638" spans="1:28" ht="27" customHeight="1" x14ac:dyDescent="0.3">
      <c r="A1638" s="34" t="s">
        <v>4994</v>
      </c>
      <c r="B1638" s="36" t="str">
        <f t="shared" si="25"/>
        <v>Setiembre</v>
      </c>
      <c r="C1638" s="33" t="s">
        <v>162</v>
      </c>
      <c r="D1638" s="33" t="s">
        <v>5106</v>
      </c>
      <c r="E1638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638" s="32"/>
      <c r="G1638" s="32"/>
      <c r="H1638" s="139" t="s">
        <v>5107</v>
      </c>
      <c r="I1638" s="33" t="s">
        <v>258</v>
      </c>
      <c r="J1638" s="143" t="s">
        <v>4812</v>
      </c>
      <c r="K1638" s="33" t="s">
        <v>169</v>
      </c>
      <c r="L1638" s="102" t="str">
        <f>VLOOKUP(Anexo_4[[#This Row],[cod_doc]],TIPODOC,2,FALSE)</f>
        <v>FACTURA</v>
      </c>
      <c r="M1638" s="33" t="s">
        <v>260</v>
      </c>
      <c r="N1638" s="32" t="s">
        <v>5108</v>
      </c>
      <c r="O1638" s="48">
        <v>307.10000000000002</v>
      </c>
      <c r="P1638" s="49"/>
      <c r="Q1638" s="81">
        <v>55.27</v>
      </c>
      <c r="R1638" s="80" t="s">
        <v>4341</v>
      </c>
      <c r="S1638" s="48" t="s">
        <v>4341</v>
      </c>
      <c r="T1638" s="72">
        <v>362.37</v>
      </c>
      <c r="U1638" s="70"/>
      <c r="V1638" s="32"/>
      <c r="W1638" s="70"/>
      <c r="X1638" s="70"/>
      <c r="Y1638" s="70"/>
      <c r="Z1638" s="70"/>
      <c r="AA1638" s="71"/>
      <c r="AB1638" s="53" t="str">
        <f>IFERROR(VLOOKUP(Anexo_4[[#This Row],[cuenta]],OP,2,0),"-")</f>
        <v>-</v>
      </c>
    </row>
    <row r="1639" spans="1:28" ht="27" customHeight="1" x14ac:dyDescent="0.3">
      <c r="A1639" s="34" t="s">
        <v>4975</v>
      </c>
      <c r="B1639" s="36" t="str">
        <f t="shared" si="25"/>
        <v>Setiembre</v>
      </c>
      <c r="C1639" s="33" t="s">
        <v>162</v>
      </c>
      <c r="D1639" s="33" t="s">
        <v>5109</v>
      </c>
      <c r="E1639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639" s="32" t="s">
        <v>164</v>
      </c>
      <c r="G1639" s="32" t="s">
        <v>165</v>
      </c>
      <c r="H1639" s="139" t="s">
        <v>4176</v>
      </c>
      <c r="I1639" s="33" t="s">
        <v>213</v>
      </c>
      <c r="J1639" s="143" t="s">
        <v>5110</v>
      </c>
      <c r="K1639" s="33" t="s">
        <v>169</v>
      </c>
      <c r="L1639" s="102" t="str">
        <f>VLOOKUP(Anexo_4[[#This Row],[cod_doc]],TIPODOC,2,FALSE)</f>
        <v>FACTURA</v>
      </c>
      <c r="M1639" s="33" t="s">
        <v>102</v>
      </c>
      <c r="N1639" s="32" t="s">
        <v>5111</v>
      </c>
      <c r="O1639" s="48">
        <v>79.900000000000006</v>
      </c>
      <c r="P1639" s="49"/>
      <c r="Q1639" s="81">
        <v>14.38</v>
      </c>
      <c r="R1639" s="80" t="s">
        <v>4341</v>
      </c>
      <c r="S1639" s="48" t="s">
        <v>4341</v>
      </c>
      <c r="T1639" s="72">
        <v>94.28</v>
      </c>
      <c r="U1639" s="70"/>
      <c r="V1639" s="32"/>
      <c r="W1639" s="70"/>
      <c r="X1639" s="70"/>
      <c r="Y1639" s="70"/>
      <c r="Z1639" s="70" t="s">
        <v>209</v>
      </c>
      <c r="AA1639" s="71"/>
      <c r="AB1639" s="53" t="str">
        <f>IFERROR(VLOOKUP(Anexo_4[[#This Row],[cuenta]],OP,2,0),"-")</f>
        <v>-</v>
      </c>
    </row>
    <row r="1640" spans="1:28" ht="27" customHeight="1" x14ac:dyDescent="0.3">
      <c r="A1640" s="34" t="s">
        <v>4994</v>
      </c>
      <c r="B1640" s="36" t="str">
        <f t="shared" si="25"/>
        <v>Setiembre</v>
      </c>
      <c r="C1640" s="33" t="s">
        <v>162</v>
      </c>
      <c r="D1640" s="33" t="s">
        <v>5112</v>
      </c>
      <c r="E1640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640" s="32" t="s">
        <v>650</v>
      </c>
      <c r="G1640" s="32" t="s">
        <v>651</v>
      </c>
      <c r="H1640" s="139" t="s">
        <v>5113</v>
      </c>
      <c r="I1640" s="33" t="s">
        <v>653</v>
      </c>
      <c r="J1640" s="143" t="s">
        <v>4678</v>
      </c>
      <c r="K1640" s="33" t="s">
        <v>169</v>
      </c>
      <c r="L1640" s="102" t="str">
        <f>VLOOKUP(Anexo_4[[#This Row],[cod_doc]],TIPODOC,2,FALSE)</f>
        <v>FACTURA</v>
      </c>
      <c r="M1640" s="33" t="s">
        <v>655</v>
      </c>
      <c r="N1640" s="32" t="s">
        <v>5114</v>
      </c>
      <c r="O1640" s="48">
        <v>196</v>
      </c>
      <c r="P1640" s="49"/>
      <c r="Q1640" s="81">
        <v>35.28</v>
      </c>
      <c r="R1640" s="80" t="s">
        <v>4341</v>
      </c>
      <c r="S1640" s="48" t="s">
        <v>4341</v>
      </c>
      <c r="T1640" s="72">
        <v>231.28</v>
      </c>
      <c r="U1640" s="70"/>
      <c r="V1640" s="32"/>
      <c r="W1640" s="70"/>
      <c r="X1640" s="70"/>
      <c r="Y1640" s="70"/>
      <c r="Z1640" s="70" t="s">
        <v>1602</v>
      </c>
      <c r="AA1640" s="71"/>
      <c r="AB1640" s="53" t="str">
        <f>IFERROR(VLOOKUP(Anexo_4[[#This Row],[cuenta]],OP,2,0),"-")</f>
        <v>Ingreso</v>
      </c>
    </row>
    <row r="1641" spans="1:28" ht="27" customHeight="1" x14ac:dyDescent="0.3">
      <c r="A1641" s="34" t="s">
        <v>5095</v>
      </c>
      <c r="B1641" s="36" t="str">
        <f t="shared" si="25"/>
        <v>Setiembre</v>
      </c>
      <c r="C1641" s="33" t="s">
        <v>162</v>
      </c>
      <c r="D1641" s="33" t="s">
        <v>5115</v>
      </c>
      <c r="E1641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641" s="32" t="s">
        <v>442</v>
      </c>
      <c r="G1641" s="32" t="s">
        <v>443</v>
      </c>
      <c r="H1641" s="139" t="s">
        <v>5116</v>
      </c>
      <c r="I1641" s="33" t="s">
        <v>5117</v>
      </c>
      <c r="J1641" s="143" t="s">
        <v>5118</v>
      </c>
      <c r="K1641" s="33" t="s">
        <v>169</v>
      </c>
      <c r="L1641" s="102" t="str">
        <f>VLOOKUP(Anexo_4[[#This Row],[cod_doc]],TIPODOC,2,FALSE)</f>
        <v>FACTURA</v>
      </c>
      <c r="M1641" s="33" t="s">
        <v>102</v>
      </c>
      <c r="N1641" s="32" t="s">
        <v>5119</v>
      </c>
      <c r="O1641" s="48">
        <v>80.510000000000005</v>
      </c>
      <c r="P1641" s="49"/>
      <c r="Q1641" s="81">
        <v>14.49</v>
      </c>
      <c r="R1641" s="80" t="s">
        <v>4341</v>
      </c>
      <c r="S1641" s="48" t="s">
        <v>4341</v>
      </c>
      <c r="T1641" s="72">
        <v>95</v>
      </c>
      <c r="U1641" s="70"/>
      <c r="V1641" s="32"/>
      <c r="W1641" s="70"/>
      <c r="X1641" s="70"/>
      <c r="Y1641" s="70"/>
      <c r="Z1641" s="70" t="s">
        <v>2320</v>
      </c>
      <c r="AA1641" s="71"/>
      <c r="AB1641" s="53" t="str">
        <f>IFERROR(VLOOKUP(Anexo_4[[#This Row],[cuenta]],OP,2,0),"-")</f>
        <v>Otros Gastos de Gestion</v>
      </c>
    </row>
    <row r="1642" spans="1:28" ht="27" customHeight="1" x14ac:dyDescent="0.3">
      <c r="A1642" s="34" t="s">
        <v>5071</v>
      </c>
      <c r="B1642" s="36" t="str">
        <f t="shared" si="25"/>
        <v>Setiembre</v>
      </c>
      <c r="C1642" s="33" t="s">
        <v>162</v>
      </c>
      <c r="D1642" s="33" t="s">
        <v>5120</v>
      </c>
      <c r="E1642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642" s="32" t="s">
        <v>1366</v>
      </c>
      <c r="G1642" s="32" t="s">
        <v>1367</v>
      </c>
      <c r="H1642" s="139" t="s">
        <v>5121</v>
      </c>
      <c r="I1642" s="33" t="s">
        <v>699</v>
      </c>
      <c r="J1642" s="143" t="s">
        <v>5122</v>
      </c>
      <c r="K1642" s="33" t="s">
        <v>169</v>
      </c>
      <c r="L1642" s="102" t="str">
        <f>VLOOKUP(Anexo_4[[#This Row],[cod_doc]],TIPODOC,2,FALSE)</f>
        <v>FACTURA</v>
      </c>
      <c r="M1642" s="33" t="s">
        <v>102</v>
      </c>
      <c r="N1642" s="32" t="s">
        <v>5123</v>
      </c>
      <c r="O1642" s="48">
        <v>100.85</v>
      </c>
      <c r="P1642" s="49"/>
      <c r="Q1642" s="81">
        <v>18.149999999999999</v>
      </c>
      <c r="R1642" s="80" t="s">
        <v>4341</v>
      </c>
      <c r="S1642" s="48" t="s">
        <v>4341</v>
      </c>
      <c r="T1642" s="72">
        <v>119</v>
      </c>
      <c r="U1642" s="70"/>
      <c r="V1642" s="32"/>
      <c r="W1642" s="70"/>
      <c r="X1642" s="70"/>
      <c r="Y1642" s="70"/>
      <c r="Z1642" s="70" t="s">
        <v>4162</v>
      </c>
      <c r="AA1642" s="71"/>
      <c r="AB1642" s="53" t="str">
        <f>IFERROR(VLOOKUP(Anexo_4[[#This Row],[cuenta]],OP,2,0),"-")</f>
        <v>-</v>
      </c>
    </row>
    <row r="1643" spans="1:28" ht="27" customHeight="1" x14ac:dyDescent="0.3">
      <c r="A1643" s="34" t="s">
        <v>5071</v>
      </c>
      <c r="B1643" s="36" t="str">
        <f t="shared" si="25"/>
        <v>Setiembre</v>
      </c>
      <c r="C1643" s="33" t="s">
        <v>162</v>
      </c>
      <c r="D1643" s="33" t="s">
        <v>5124</v>
      </c>
      <c r="E1643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643" s="32" t="s">
        <v>1366</v>
      </c>
      <c r="G1643" s="32" t="s">
        <v>1367</v>
      </c>
      <c r="H1643" s="139" t="s">
        <v>5121</v>
      </c>
      <c r="I1643" s="33" t="s">
        <v>231</v>
      </c>
      <c r="J1643" s="143" t="s">
        <v>5125</v>
      </c>
      <c r="K1643" s="33" t="s">
        <v>169</v>
      </c>
      <c r="L1643" s="102" t="str">
        <f>VLOOKUP(Anexo_4[[#This Row],[cod_doc]],TIPODOC,2,FALSE)</f>
        <v>FACTURA</v>
      </c>
      <c r="M1643" s="33" t="s">
        <v>102</v>
      </c>
      <c r="N1643" s="32" t="s">
        <v>5126</v>
      </c>
      <c r="O1643" s="48">
        <v>639.83000000000004</v>
      </c>
      <c r="P1643" s="49"/>
      <c r="Q1643" s="81">
        <v>115.17</v>
      </c>
      <c r="R1643" s="80" t="s">
        <v>4341</v>
      </c>
      <c r="S1643" s="48" t="s">
        <v>4341</v>
      </c>
      <c r="T1643" s="72">
        <v>755</v>
      </c>
      <c r="U1643" s="70"/>
      <c r="V1643" s="32"/>
      <c r="W1643" s="70"/>
      <c r="X1643" s="70"/>
      <c r="Y1643" s="70"/>
      <c r="Z1643" s="70" t="s">
        <v>4162</v>
      </c>
      <c r="AA1643" s="71"/>
      <c r="AB1643" s="53" t="str">
        <f>IFERROR(VLOOKUP(Anexo_4[[#This Row],[cuenta]],OP,2,0),"-")</f>
        <v>-</v>
      </c>
    </row>
    <row r="1644" spans="1:28" ht="27" customHeight="1" x14ac:dyDescent="0.3">
      <c r="A1644" s="34" t="s">
        <v>4975</v>
      </c>
      <c r="B1644" s="36" t="str">
        <f t="shared" si="25"/>
        <v>Setiembre</v>
      </c>
      <c r="C1644" s="33" t="s">
        <v>162</v>
      </c>
      <c r="D1644" s="33" t="s">
        <v>5127</v>
      </c>
      <c r="E1644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644" s="32" t="s">
        <v>418</v>
      </c>
      <c r="G1644" s="32" t="s">
        <v>419</v>
      </c>
      <c r="H1644" s="139" t="s">
        <v>5128</v>
      </c>
      <c r="I1644" s="33" t="s">
        <v>286</v>
      </c>
      <c r="J1644" s="143" t="s">
        <v>4762</v>
      </c>
      <c r="K1644" s="33" t="s">
        <v>169</v>
      </c>
      <c r="L1644" s="102" t="str">
        <f>VLOOKUP(Anexo_4[[#This Row],[cod_doc]],TIPODOC,2,FALSE)</f>
        <v>FACTURA</v>
      </c>
      <c r="M1644" s="33" t="s">
        <v>222</v>
      </c>
      <c r="N1644" s="32" t="s">
        <v>5129</v>
      </c>
      <c r="O1644" s="48" t="s">
        <v>4341</v>
      </c>
      <c r="P1644" s="49"/>
      <c r="Q1644" s="81" t="s">
        <v>4341</v>
      </c>
      <c r="R1644" s="80" t="s">
        <v>4341</v>
      </c>
      <c r="S1644" s="48">
        <v>11</v>
      </c>
      <c r="T1644" s="72">
        <v>11</v>
      </c>
      <c r="U1644" s="70"/>
      <c r="V1644" s="32"/>
      <c r="W1644" s="70"/>
      <c r="X1644" s="70"/>
      <c r="Y1644" s="70" t="s">
        <v>5130</v>
      </c>
      <c r="Z1644" s="70" t="s">
        <v>386</v>
      </c>
      <c r="AA1644" s="71"/>
      <c r="AB1644" s="53" t="str">
        <f>IFERROR(VLOOKUP(Anexo_4[[#This Row],[cuenta]],OP,2,0),"-")</f>
        <v>Balanza - Servicios</v>
      </c>
    </row>
    <row r="1645" spans="1:28" ht="27" customHeight="1" x14ac:dyDescent="0.3">
      <c r="A1645" s="34" t="s">
        <v>4975</v>
      </c>
      <c r="B1645" s="36" t="str">
        <f t="shared" si="25"/>
        <v>Setiembre</v>
      </c>
      <c r="C1645" s="33" t="s">
        <v>162</v>
      </c>
      <c r="D1645" s="33" t="s">
        <v>5127</v>
      </c>
      <c r="E1645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645" s="32" t="s">
        <v>418</v>
      </c>
      <c r="G1645" s="32" t="s">
        <v>419</v>
      </c>
      <c r="H1645" s="139" t="s">
        <v>5128</v>
      </c>
      <c r="I1645" s="33" t="s">
        <v>286</v>
      </c>
      <c r="J1645" s="143" t="s">
        <v>4762</v>
      </c>
      <c r="K1645" s="33" t="s">
        <v>169</v>
      </c>
      <c r="L1645" s="102" t="str">
        <f>VLOOKUP(Anexo_4[[#This Row],[cod_doc]],TIPODOC,2,FALSE)</f>
        <v>FACTURA</v>
      </c>
      <c r="M1645" s="33" t="s">
        <v>222</v>
      </c>
      <c r="N1645" s="32" t="s">
        <v>5129</v>
      </c>
      <c r="O1645" s="48" t="s">
        <v>4341</v>
      </c>
      <c r="P1645" s="49"/>
      <c r="Q1645" s="81" t="s">
        <v>4341</v>
      </c>
      <c r="R1645" s="80" t="s">
        <v>4341</v>
      </c>
      <c r="S1645" s="48">
        <v>11</v>
      </c>
      <c r="T1645" s="72">
        <v>11</v>
      </c>
      <c r="U1645" s="70"/>
      <c r="V1645" s="32"/>
      <c r="W1645" s="70"/>
      <c r="X1645" s="70"/>
      <c r="Y1645" s="70" t="s">
        <v>5130</v>
      </c>
      <c r="Z1645" s="70" t="s">
        <v>182</v>
      </c>
      <c r="AA1645" s="71"/>
      <c r="AB1645" s="53" t="str">
        <f>IFERROR(VLOOKUP(Anexo_4[[#This Row],[cuenta]],OP,2,0),"-")</f>
        <v>Balanza - Ventas</v>
      </c>
    </row>
    <row r="1646" spans="1:28" ht="27" customHeight="1" x14ac:dyDescent="0.3">
      <c r="A1646" s="34" t="s">
        <v>4994</v>
      </c>
      <c r="B1646" s="36" t="str">
        <f t="shared" si="25"/>
        <v>Setiembre</v>
      </c>
      <c r="C1646" s="33" t="s">
        <v>162</v>
      </c>
      <c r="D1646" s="33" t="s">
        <v>5131</v>
      </c>
      <c r="E1646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646" s="32" t="s">
        <v>235</v>
      </c>
      <c r="G1646" s="32" t="s">
        <v>5051</v>
      </c>
      <c r="H1646" s="139" t="s">
        <v>5132</v>
      </c>
      <c r="I1646" s="33" t="s">
        <v>383</v>
      </c>
      <c r="J1646" s="143" t="s">
        <v>4702</v>
      </c>
      <c r="K1646" s="33" t="s">
        <v>169</v>
      </c>
      <c r="L1646" s="102" t="str">
        <f>VLOOKUP(Anexo_4[[#This Row],[cod_doc]],TIPODOC,2,FALSE)</f>
        <v>FACTURA</v>
      </c>
      <c r="M1646" s="33" t="s">
        <v>103</v>
      </c>
      <c r="N1646" s="32" t="s">
        <v>5133</v>
      </c>
      <c r="O1646" s="48">
        <v>16.95</v>
      </c>
      <c r="P1646" s="49"/>
      <c r="Q1646" s="81">
        <v>3.05</v>
      </c>
      <c r="R1646" s="80" t="s">
        <v>4341</v>
      </c>
      <c r="S1646" s="48" t="s">
        <v>4341</v>
      </c>
      <c r="T1646" s="72">
        <v>20</v>
      </c>
      <c r="U1646" s="70"/>
      <c r="V1646" s="32"/>
      <c r="W1646" s="70"/>
      <c r="X1646" s="70"/>
      <c r="Y1646" s="70" t="s">
        <v>5134</v>
      </c>
      <c r="Z1646" s="70" t="s">
        <v>386</v>
      </c>
      <c r="AA1646" s="71"/>
      <c r="AB1646" s="53" t="str">
        <f>IFERROR(VLOOKUP(Anexo_4[[#This Row],[cuenta]],OP,2,0),"-")</f>
        <v>Balanza - Servicios</v>
      </c>
    </row>
    <row r="1647" spans="1:28" ht="27" customHeight="1" x14ac:dyDescent="0.3">
      <c r="A1647" s="34" t="s">
        <v>5071</v>
      </c>
      <c r="B1647" s="36" t="str">
        <f t="shared" si="25"/>
        <v>Setiembre</v>
      </c>
      <c r="C1647" s="33" t="s">
        <v>162</v>
      </c>
      <c r="D1647" s="33" t="s">
        <v>5135</v>
      </c>
      <c r="E1647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647" s="32" t="s">
        <v>235</v>
      </c>
      <c r="G1647" s="32" t="s">
        <v>5051</v>
      </c>
      <c r="H1647" s="139" t="s">
        <v>5136</v>
      </c>
      <c r="I1647" s="33" t="s">
        <v>178</v>
      </c>
      <c r="J1647" s="143" t="s">
        <v>4667</v>
      </c>
      <c r="K1647" s="33" t="s">
        <v>169</v>
      </c>
      <c r="L1647" s="102" t="str">
        <f>VLOOKUP(Anexo_4[[#This Row],[cod_doc]],TIPODOC,2,FALSE)</f>
        <v>FACTURA</v>
      </c>
      <c r="M1647" s="33" t="s">
        <v>180</v>
      </c>
      <c r="N1647" s="32" t="s">
        <v>5137</v>
      </c>
      <c r="O1647" s="48">
        <v>8.4700000000000006</v>
      </c>
      <c r="P1647" s="49"/>
      <c r="Q1647" s="81">
        <v>1.53</v>
      </c>
      <c r="R1647" s="80" t="s">
        <v>4341</v>
      </c>
      <c r="S1647" s="48" t="s">
        <v>4341</v>
      </c>
      <c r="T1647" s="72">
        <v>10</v>
      </c>
      <c r="U1647" s="70"/>
      <c r="V1647" s="32"/>
      <c r="W1647" s="70"/>
      <c r="X1647" s="70"/>
      <c r="Y1647" s="70" t="s">
        <v>5138</v>
      </c>
      <c r="Z1647" s="70" t="s">
        <v>386</v>
      </c>
      <c r="AA1647" s="71"/>
      <c r="AB1647" s="53" t="str">
        <f>IFERROR(VLOOKUP(Anexo_4[[#This Row],[cuenta]],OP,2,0),"-")</f>
        <v>Balanza - Servicios</v>
      </c>
    </row>
    <row r="1648" spans="1:28" ht="27" customHeight="1" x14ac:dyDescent="0.3">
      <c r="A1648" s="34" t="s">
        <v>5071</v>
      </c>
      <c r="B1648" s="36" t="str">
        <f t="shared" si="25"/>
        <v>Setiembre</v>
      </c>
      <c r="C1648" s="33" t="s">
        <v>162</v>
      </c>
      <c r="D1648" s="33" t="s">
        <v>5139</v>
      </c>
      <c r="E1648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648" s="32" t="s">
        <v>235</v>
      </c>
      <c r="G1648" s="32" t="s">
        <v>5051</v>
      </c>
      <c r="H1648" s="139" t="s">
        <v>5140</v>
      </c>
      <c r="I1648" s="33" t="s">
        <v>264</v>
      </c>
      <c r="J1648" s="143" t="s">
        <v>4644</v>
      </c>
      <c r="K1648" s="33" t="s">
        <v>169</v>
      </c>
      <c r="L1648" s="102" t="str">
        <f>VLOOKUP(Anexo_4[[#This Row],[cod_doc]],TIPODOC,2,FALSE)</f>
        <v>FACTURA</v>
      </c>
      <c r="M1648" s="33" t="s">
        <v>352</v>
      </c>
      <c r="N1648" s="32" t="s">
        <v>5141</v>
      </c>
      <c r="O1648" s="48">
        <v>6.78</v>
      </c>
      <c r="P1648" s="49"/>
      <c r="Q1648" s="81">
        <v>1.22</v>
      </c>
      <c r="R1648" s="80" t="s">
        <v>4341</v>
      </c>
      <c r="S1648" s="48" t="s">
        <v>4341</v>
      </c>
      <c r="T1648" s="72">
        <v>8</v>
      </c>
      <c r="U1648" s="70"/>
      <c r="V1648" s="32"/>
      <c r="W1648" s="70"/>
      <c r="X1648" s="70"/>
      <c r="Y1648" s="70" t="s">
        <v>5142</v>
      </c>
      <c r="Z1648" s="70" t="s">
        <v>302</v>
      </c>
      <c r="AA1648" s="71"/>
      <c r="AB1648" s="53" t="str">
        <f>IFERROR(VLOOKUP(Anexo_4[[#This Row],[cuenta]],OP,2,0),"-")</f>
        <v>Transporte peajes - Servicios</v>
      </c>
    </row>
    <row r="1649" spans="1:28" ht="27" customHeight="1" x14ac:dyDescent="0.3">
      <c r="A1649" s="34" t="s">
        <v>5071</v>
      </c>
      <c r="B1649" s="36" t="str">
        <f t="shared" si="25"/>
        <v>Setiembre</v>
      </c>
      <c r="C1649" s="33" t="s">
        <v>162</v>
      </c>
      <c r="D1649" s="33" t="s">
        <v>5143</v>
      </c>
      <c r="E1649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649" s="32" t="s">
        <v>235</v>
      </c>
      <c r="G1649" s="32" t="s">
        <v>5051</v>
      </c>
      <c r="H1649" s="139" t="s">
        <v>5144</v>
      </c>
      <c r="I1649" s="33" t="s">
        <v>264</v>
      </c>
      <c r="J1649" s="143" t="s">
        <v>4644</v>
      </c>
      <c r="K1649" s="33" t="s">
        <v>169</v>
      </c>
      <c r="L1649" s="102" t="str">
        <f>VLOOKUP(Anexo_4[[#This Row],[cod_doc]],TIPODOC,2,FALSE)</f>
        <v>FACTURA</v>
      </c>
      <c r="M1649" s="33" t="s">
        <v>271</v>
      </c>
      <c r="N1649" s="32" t="s">
        <v>5145</v>
      </c>
      <c r="O1649" s="48">
        <v>6.78</v>
      </c>
      <c r="P1649" s="49"/>
      <c r="Q1649" s="81">
        <v>1.22</v>
      </c>
      <c r="R1649" s="80" t="s">
        <v>4341</v>
      </c>
      <c r="S1649" s="48" t="s">
        <v>4341</v>
      </c>
      <c r="T1649" s="72">
        <v>8</v>
      </c>
      <c r="U1649" s="70"/>
      <c r="V1649" s="32"/>
      <c r="W1649" s="70"/>
      <c r="X1649" s="70"/>
      <c r="Y1649" s="70" t="s">
        <v>5146</v>
      </c>
      <c r="Z1649" s="70" t="s">
        <v>302</v>
      </c>
      <c r="AA1649" s="71"/>
      <c r="AB1649" s="53" t="str">
        <f>IFERROR(VLOOKUP(Anexo_4[[#This Row],[cuenta]],OP,2,0),"-")</f>
        <v>Transporte peajes - Servicios</v>
      </c>
    </row>
    <row r="1650" spans="1:28" ht="27" customHeight="1" x14ac:dyDescent="0.3">
      <c r="A1650" s="34" t="s">
        <v>4994</v>
      </c>
      <c r="B1650" s="36" t="str">
        <f t="shared" si="25"/>
        <v>Setiembre</v>
      </c>
      <c r="C1650" s="33" t="s">
        <v>162</v>
      </c>
      <c r="D1650" s="33" t="s">
        <v>5147</v>
      </c>
      <c r="E1650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650" s="32" t="s">
        <v>235</v>
      </c>
      <c r="G1650" s="32" t="s">
        <v>5051</v>
      </c>
      <c r="H1650" s="139" t="s">
        <v>5148</v>
      </c>
      <c r="I1650" s="33" t="s">
        <v>264</v>
      </c>
      <c r="J1650" s="143" t="s">
        <v>4644</v>
      </c>
      <c r="K1650" s="33" t="s">
        <v>169</v>
      </c>
      <c r="L1650" s="102" t="str">
        <f>VLOOKUP(Anexo_4[[#This Row],[cod_doc]],TIPODOC,2,FALSE)</f>
        <v>FACTURA</v>
      </c>
      <c r="M1650" s="33" t="s">
        <v>352</v>
      </c>
      <c r="N1650" s="32" t="s">
        <v>5149</v>
      </c>
      <c r="O1650" s="48">
        <v>6.78</v>
      </c>
      <c r="P1650" s="49"/>
      <c r="Q1650" s="81">
        <v>1.22</v>
      </c>
      <c r="R1650" s="80" t="s">
        <v>4341</v>
      </c>
      <c r="S1650" s="48" t="s">
        <v>4341</v>
      </c>
      <c r="T1650" s="72">
        <v>8</v>
      </c>
      <c r="U1650" s="70"/>
      <c r="V1650" s="32"/>
      <c r="W1650" s="70"/>
      <c r="X1650" s="70"/>
      <c r="Y1650" s="70" t="s">
        <v>5150</v>
      </c>
      <c r="Z1650" s="70" t="s">
        <v>302</v>
      </c>
      <c r="AA1650" s="71"/>
      <c r="AB1650" s="53" t="str">
        <f>IFERROR(VLOOKUP(Anexo_4[[#This Row],[cuenta]],OP,2,0),"-")</f>
        <v>Transporte peajes - Servicios</v>
      </c>
    </row>
    <row r="1651" spans="1:28" ht="27" customHeight="1" x14ac:dyDescent="0.3">
      <c r="A1651" s="34" t="s">
        <v>4994</v>
      </c>
      <c r="B1651" s="36" t="str">
        <f t="shared" si="25"/>
        <v>Setiembre</v>
      </c>
      <c r="C1651" s="33" t="s">
        <v>162</v>
      </c>
      <c r="D1651" s="33" t="s">
        <v>5151</v>
      </c>
      <c r="E1651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651" s="32" t="s">
        <v>235</v>
      </c>
      <c r="G1651" s="32" t="s">
        <v>5051</v>
      </c>
      <c r="H1651" s="139" t="s">
        <v>5152</v>
      </c>
      <c r="I1651" s="33" t="s">
        <v>264</v>
      </c>
      <c r="J1651" s="143" t="s">
        <v>4644</v>
      </c>
      <c r="K1651" s="33" t="s">
        <v>169</v>
      </c>
      <c r="L1651" s="102" t="str">
        <f>VLOOKUP(Anexo_4[[#This Row],[cod_doc]],TIPODOC,2,FALSE)</f>
        <v>FACTURA</v>
      </c>
      <c r="M1651" s="33" t="s">
        <v>271</v>
      </c>
      <c r="N1651" s="32" t="s">
        <v>5153</v>
      </c>
      <c r="O1651" s="48">
        <v>6.78</v>
      </c>
      <c r="P1651" s="49"/>
      <c r="Q1651" s="81">
        <v>1.22</v>
      </c>
      <c r="R1651" s="80" t="s">
        <v>4341</v>
      </c>
      <c r="S1651" s="48" t="s">
        <v>4341</v>
      </c>
      <c r="T1651" s="72">
        <v>8</v>
      </c>
      <c r="U1651" s="70"/>
      <c r="V1651" s="32"/>
      <c r="W1651" s="70"/>
      <c r="X1651" s="70"/>
      <c r="Y1651" s="70" t="s">
        <v>5154</v>
      </c>
      <c r="Z1651" s="70" t="s">
        <v>302</v>
      </c>
      <c r="AA1651" s="71"/>
      <c r="AB1651" s="53" t="str">
        <f>IFERROR(VLOOKUP(Anexo_4[[#This Row],[cuenta]],OP,2,0),"-")</f>
        <v>Transporte peajes - Servicios</v>
      </c>
    </row>
    <row r="1652" spans="1:28" ht="27" customHeight="1" x14ac:dyDescent="0.3">
      <c r="A1652" s="34" t="s">
        <v>5071</v>
      </c>
      <c r="B1652" s="36" t="str">
        <f t="shared" si="25"/>
        <v>Setiembre</v>
      </c>
      <c r="C1652" s="33" t="s">
        <v>162</v>
      </c>
      <c r="D1652" s="33" t="s">
        <v>5155</v>
      </c>
      <c r="E1652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652" s="32" t="s">
        <v>355</v>
      </c>
      <c r="G1652" s="32" t="s">
        <v>356</v>
      </c>
      <c r="H1652" s="139" t="s">
        <v>5156</v>
      </c>
      <c r="I1652" s="33" t="s">
        <v>5157</v>
      </c>
      <c r="J1652" s="143" t="s">
        <v>5158</v>
      </c>
      <c r="K1652" s="33" t="s">
        <v>169</v>
      </c>
      <c r="L1652" s="102" t="str">
        <f>VLOOKUP(Anexo_4[[#This Row],[cod_doc]],TIPODOC,2,FALSE)</f>
        <v>FACTURA</v>
      </c>
      <c r="M1652" s="33" t="s">
        <v>102</v>
      </c>
      <c r="N1652" s="32" t="s">
        <v>5159</v>
      </c>
      <c r="O1652" s="48"/>
      <c r="P1652" s="48">
        <v>63.64</v>
      </c>
      <c r="Q1652" s="49"/>
      <c r="R1652" s="81">
        <v>6.36</v>
      </c>
      <c r="S1652" s="48" t="s">
        <v>4341</v>
      </c>
      <c r="T1652" s="72">
        <v>70</v>
      </c>
      <c r="U1652" s="70"/>
      <c r="V1652" s="32"/>
      <c r="W1652" s="70"/>
      <c r="X1652" s="70"/>
      <c r="Y1652" s="70" t="s">
        <v>5160</v>
      </c>
      <c r="Z1652" s="70" t="s">
        <v>376</v>
      </c>
      <c r="AA1652" s="71"/>
      <c r="AB1652" s="53" t="str">
        <f>IFERROR(VLOOKUP(Anexo_4[[#This Row],[cuenta]],OP,2,0),"-")</f>
        <v>Alojamiento (Operativo)</v>
      </c>
    </row>
    <row r="1653" spans="1:28" ht="27" customHeight="1" x14ac:dyDescent="0.3">
      <c r="A1653" s="34" t="s">
        <v>5071</v>
      </c>
      <c r="B1653" s="36" t="str">
        <f t="shared" si="25"/>
        <v>Setiembre</v>
      </c>
      <c r="C1653" s="33" t="s">
        <v>162</v>
      </c>
      <c r="D1653" s="33" t="s">
        <v>5161</v>
      </c>
      <c r="E1653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653" s="32" t="s">
        <v>355</v>
      </c>
      <c r="G1653" s="32" t="s">
        <v>356</v>
      </c>
      <c r="H1653" s="139" t="s">
        <v>5162</v>
      </c>
      <c r="I1653" s="33" t="s">
        <v>5163</v>
      </c>
      <c r="J1653" s="143" t="s">
        <v>5164</v>
      </c>
      <c r="K1653" s="33" t="s">
        <v>239</v>
      </c>
      <c r="L1653" s="102" t="str">
        <f>VLOOKUP(Anexo_4[[#This Row],[cod_doc]],TIPODOC,2,FALSE)</f>
        <v>BOLETA DE VENTA</v>
      </c>
      <c r="M1653" s="33" t="s">
        <v>162</v>
      </c>
      <c r="N1653" s="32" t="s">
        <v>5165</v>
      </c>
      <c r="O1653" s="48" t="s">
        <v>4341</v>
      </c>
      <c r="P1653" s="49"/>
      <c r="Q1653" s="81" t="s">
        <v>4341</v>
      </c>
      <c r="R1653" s="80" t="s">
        <v>4341</v>
      </c>
      <c r="S1653" s="48">
        <v>15</v>
      </c>
      <c r="T1653" s="72">
        <v>15</v>
      </c>
      <c r="U1653" s="70"/>
      <c r="V1653" s="32"/>
      <c r="W1653" s="70"/>
      <c r="X1653" s="70"/>
      <c r="Y1653" s="70" t="s">
        <v>5166</v>
      </c>
      <c r="Z1653" s="70" t="s">
        <v>361</v>
      </c>
      <c r="AA1653" s="71"/>
      <c r="AB1653" s="53" t="str">
        <f>IFERROR(VLOOKUP(Anexo_4[[#This Row],[cuenta]],OP,2,0),"-")</f>
        <v>Alimentacion (Operativo)</v>
      </c>
    </row>
    <row r="1654" spans="1:28" ht="27" customHeight="1" x14ac:dyDescent="0.3">
      <c r="A1654" s="34" t="s">
        <v>4994</v>
      </c>
      <c r="B1654" s="36" t="str">
        <f t="shared" si="25"/>
        <v>Setiembre</v>
      </c>
      <c r="C1654" s="33" t="s">
        <v>162</v>
      </c>
      <c r="D1654" s="33" t="s">
        <v>5167</v>
      </c>
      <c r="E1654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654" s="32" t="s">
        <v>175</v>
      </c>
      <c r="G1654" s="32" t="s">
        <v>5168</v>
      </c>
      <c r="H1654" s="139" t="s">
        <v>5169</v>
      </c>
      <c r="I1654" s="33" t="s">
        <v>298</v>
      </c>
      <c r="J1654" s="143" t="s">
        <v>5170</v>
      </c>
      <c r="K1654" s="33" t="s">
        <v>169</v>
      </c>
      <c r="L1654" s="102" t="str">
        <f>VLOOKUP(Anexo_4[[#This Row],[cod_doc]],TIPODOC,2,FALSE)</f>
        <v>FACTURA</v>
      </c>
      <c r="M1654" s="33" t="s">
        <v>1470</v>
      </c>
      <c r="N1654" s="32" t="s">
        <v>5171</v>
      </c>
      <c r="O1654" s="48">
        <v>49.32</v>
      </c>
      <c r="P1654" s="49"/>
      <c r="Q1654" s="81">
        <v>8.8800000000000008</v>
      </c>
      <c r="R1654" s="80" t="s">
        <v>4341</v>
      </c>
      <c r="S1654" s="48" t="s">
        <v>4341</v>
      </c>
      <c r="T1654" s="72">
        <v>58.2</v>
      </c>
      <c r="U1654" s="70"/>
      <c r="V1654" s="32"/>
      <c r="W1654" s="70"/>
      <c r="X1654" s="70"/>
      <c r="Y1654" s="70" t="s">
        <v>5172</v>
      </c>
      <c r="Z1654" s="70" t="s">
        <v>302</v>
      </c>
      <c r="AA1654" s="71"/>
      <c r="AB1654" s="53" t="str">
        <f>IFERROR(VLOOKUP(Anexo_4[[#This Row],[cuenta]],OP,2,0),"-")</f>
        <v>Transporte peajes - Servicios</v>
      </c>
    </row>
    <row r="1655" spans="1:28" ht="27" customHeight="1" x14ac:dyDescent="0.3">
      <c r="A1655" s="34" t="s">
        <v>4994</v>
      </c>
      <c r="B1655" s="36" t="str">
        <f t="shared" si="25"/>
        <v>Setiembre</v>
      </c>
      <c r="C1655" s="33" t="s">
        <v>162</v>
      </c>
      <c r="D1655" s="33" t="s">
        <v>5173</v>
      </c>
      <c r="E1655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655" s="32" t="s">
        <v>355</v>
      </c>
      <c r="G1655" s="32" t="s">
        <v>356</v>
      </c>
      <c r="H1655" s="139" t="s">
        <v>5174</v>
      </c>
      <c r="I1655" s="33" t="s">
        <v>367</v>
      </c>
      <c r="J1655" s="143" t="s">
        <v>5175</v>
      </c>
      <c r="K1655" s="33" t="s">
        <v>239</v>
      </c>
      <c r="L1655" s="102" t="str">
        <f>VLOOKUP(Anexo_4[[#This Row],[cod_doc]],TIPODOC,2,FALSE)</f>
        <v>BOLETA DE VENTA</v>
      </c>
      <c r="M1655" s="33" t="s">
        <v>369</v>
      </c>
      <c r="N1655" s="32" t="s">
        <v>5176</v>
      </c>
      <c r="O1655" s="48" t="s">
        <v>4341</v>
      </c>
      <c r="P1655" s="49"/>
      <c r="Q1655" s="81" t="s">
        <v>4341</v>
      </c>
      <c r="R1655" s="80" t="s">
        <v>4341</v>
      </c>
      <c r="S1655" s="48">
        <v>15</v>
      </c>
      <c r="T1655" s="72">
        <v>15</v>
      </c>
      <c r="U1655" s="70"/>
      <c r="V1655" s="32"/>
      <c r="W1655" s="70"/>
      <c r="X1655" s="70"/>
      <c r="Y1655" s="70" t="s">
        <v>5177</v>
      </c>
      <c r="Z1655" s="70" t="s">
        <v>361</v>
      </c>
      <c r="AA1655" s="71"/>
      <c r="AB1655" s="53" t="str">
        <f>IFERROR(VLOOKUP(Anexo_4[[#This Row],[cuenta]],OP,2,0),"-")</f>
        <v>Alimentacion (Operativo)</v>
      </c>
    </row>
    <row r="1656" spans="1:28" ht="27" customHeight="1" x14ac:dyDescent="0.3">
      <c r="A1656" s="34" t="s">
        <v>5071</v>
      </c>
      <c r="B1656" s="36" t="str">
        <f t="shared" si="25"/>
        <v>Setiembre</v>
      </c>
      <c r="C1656" s="33" t="s">
        <v>162</v>
      </c>
      <c r="D1656" s="33" t="s">
        <v>5178</v>
      </c>
      <c r="E1656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656" s="32" t="s">
        <v>175</v>
      </c>
      <c r="G1656" s="32" t="s">
        <v>5168</v>
      </c>
      <c r="H1656" s="139" t="s">
        <v>5179</v>
      </c>
      <c r="I1656" s="33" t="s">
        <v>5180</v>
      </c>
      <c r="J1656" s="143" t="s">
        <v>5181</v>
      </c>
      <c r="K1656" s="33" t="s">
        <v>169</v>
      </c>
      <c r="L1656" s="102" t="str">
        <f>VLOOKUP(Anexo_4[[#This Row],[cod_doc]],TIPODOC,2,FALSE)</f>
        <v>FACTURA</v>
      </c>
      <c r="M1656" s="33" t="s">
        <v>5182</v>
      </c>
      <c r="N1656" s="32" t="s">
        <v>5183</v>
      </c>
      <c r="O1656" s="48">
        <v>16.78</v>
      </c>
      <c r="P1656" s="49"/>
      <c r="Q1656" s="81">
        <v>3.02</v>
      </c>
      <c r="R1656" s="80" t="s">
        <v>4341</v>
      </c>
      <c r="S1656" s="48" t="s">
        <v>4341</v>
      </c>
      <c r="T1656" s="72">
        <v>19.8</v>
      </c>
      <c r="U1656" s="70"/>
      <c r="V1656" s="32"/>
      <c r="W1656" s="70"/>
      <c r="X1656" s="70"/>
      <c r="Y1656" s="70" t="s">
        <v>5184</v>
      </c>
      <c r="Z1656" s="70" t="s">
        <v>302</v>
      </c>
      <c r="AA1656" s="71"/>
      <c r="AB1656" s="53" t="str">
        <f>IFERROR(VLOOKUP(Anexo_4[[#This Row],[cuenta]],OP,2,0),"-")</f>
        <v>Transporte peajes - Servicios</v>
      </c>
    </row>
    <row r="1657" spans="1:28" ht="27" customHeight="1" x14ac:dyDescent="0.3">
      <c r="A1657" s="34" t="s">
        <v>5071</v>
      </c>
      <c r="B1657" s="36" t="str">
        <f t="shared" si="25"/>
        <v>Setiembre</v>
      </c>
      <c r="C1657" s="33" t="s">
        <v>162</v>
      </c>
      <c r="D1657" s="33" t="s">
        <v>5185</v>
      </c>
      <c r="E1657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657" s="32" t="s">
        <v>175</v>
      </c>
      <c r="G1657" s="32" t="s">
        <v>5168</v>
      </c>
      <c r="H1657" s="139" t="s">
        <v>5186</v>
      </c>
      <c r="I1657" s="33" t="s">
        <v>298</v>
      </c>
      <c r="J1657" s="143" t="s">
        <v>5170</v>
      </c>
      <c r="K1657" s="33" t="s">
        <v>169</v>
      </c>
      <c r="L1657" s="102" t="str">
        <f>VLOOKUP(Anexo_4[[#This Row],[cod_doc]],TIPODOC,2,FALSE)</f>
        <v>FACTURA</v>
      </c>
      <c r="M1657" s="33" t="s">
        <v>5187</v>
      </c>
      <c r="N1657" s="32" t="s">
        <v>5188</v>
      </c>
      <c r="O1657" s="48">
        <v>49.32</v>
      </c>
      <c r="P1657" s="49"/>
      <c r="Q1657" s="81">
        <v>8.8800000000000008</v>
      </c>
      <c r="R1657" s="80" t="s">
        <v>4341</v>
      </c>
      <c r="S1657" s="48" t="s">
        <v>4341</v>
      </c>
      <c r="T1657" s="72">
        <v>58.2</v>
      </c>
      <c r="U1657" s="70"/>
      <c r="V1657" s="32"/>
      <c r="W1657" s="70"/>
      <c r="X1657" s="70"/>
      <c r="Y1657" s="70" t="s">
        <v>5189</v>
      </c>
      <c r="Z1657" s="70" t="s">
        <v>302</v>
      </c>
      <c r="AA1657" s="71"/>
      <c r="AB1657" s="53" t="str">
        <f>IFERROR(VLOOKUP(Anexo_4[[#This Row],[cuenta]],OP,2,0),"-")</f>
        <v>Transporte peajes - Servicios</v>
      </c>
    </row>
    <row r="1658" spans="1:28" ht="27" customHeight="1" x14ac:dyDescent="0.3">
      <c r="A1658" s="34" t="s">
        <v>5071</v>
      </c>
      <c r="B1658" s="36" t="str">
        <f t="shared" si="25"/>
        <v>Setiembre</v>
      </c>
      <c r="C1658" s="33" t="s">
        <v>162</v>
      </c>
      <c r="D1658" s="33" t="s">
        <v>5190</v>
      </c>
      <c r="E1658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658" s="32" t="s">
        <v>175</v>
      </c>
      <c r="G1658" s="32" t="s">
        <v>5168</v>
      </c>
      <c r="H1658" s="139" t="s">
        <v>5191</v>
      </c>
      <c r="I1658" s="33" t="s">
        <v>5180</v>
      </c>
      <c r="J1658" s="143" t="s">
        <v>5181</v>
      </c>
      <c r="K1658" s="33" t="s">
        <v>169</v>
      </c>
      <c r="L1658" s="102" t="str">
        <f>VLOOKUP(Anexo_4[[#This Row],[cod_doc]],TIPODOC,2,FALSE)</f>
        <v>FACTURA</v>
      </c>
      <c r="M1658" s="33" t="s">
        <v>5192</v>
      </c>
      <c r="N1658" s="32" t="s">
        <v>5193</v>
      </c>
      <c r="O1658" s="48">
        <v>16.78</v>
      </c>
      <c r="P1658" s="49"/>
      <c r="Q1658" s="81">
        <v>3.02</v>
      </c>
      <c r="R1658" s="80" t="s">
        <v>4341</v>
      </c>
      <c r="S1658" s="48" t="s">
        <v>4341</v>
      </c>
      <c r="T1658" s="72">
        <v>19.8</v>
      </c>
      <c r="U1658" s="70"/>
      <c r="V1658" s="32"/>
      <c r="W1658" s="70"/>
      <c r="X1658" s="70"/>
      <c r="Y1658" s="70" t="s">
        <v>5194</v>
      </c>
      <c r="Z1658" s="70" t="s">
        <v>302</v>
      </c>
      <c r="AA1658" s="71"/>
      <c r="AB1658" s="53" t="str">
        <f>IFERROR(VLOOKUP(Anexo_4[[#This Row],[cuenta]],OP,2,0),"-")</f>
        <v>Transporte peajes - Servicios</v>
      </c>
    </row>
    <row r="1659" spans="1:28" ht="27" customHeight="1" x14ac:dyDescent="0.3">
      <c r="A1659" s="34" t="s">
        <v>5071</v>
      </c>
      <c r="B1659" s="36" t="str">
        <f t="shared" si="25"/>
        <v>Setiembre</v>
      </c>
      <c r="C1659" s="33" t="s">
        <v>162</v>
      </c>
      <c r="D1659" s="33" t="s">
        <v>5195</v>
      </c>
      <c r="E1659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659" s="32" t="s">
        <v>175</v>
      </c>
      <c r="G1659" s="32" t="s">
        <v>5168</v>
      </c>
      <c r="H1659" s="139" t="s">
        <v>5196</v>
      </c>
      <c r="I1659" s="33" t="s">
        <v>5180</v>
      </c>
      <c r="J1659" s="143" t="s">
        <v>5181</v>
      </c>
      <c r="K1659" s="33" t="s">
        <v>169</v>
      </c>
      <c r="L1659" s="102" t="str">
        <f>VLOOKUP(Anexo_4[[#This Row],[cod_doc]],TIPODOC,2,FALSE)</f>
        <v>FACTURA</v>
      </c>
      <c r="M1659" s="33" t="s">
        <v>180</v>
      </c>
      <c r="N1659" s="32" t="s">
        <v>5197</v>
      </c>
      <c r="O1659" s="48">
        <v>16.78</v>
      </c>
      <c r="P1659" s="49"/>
      <c r="Q1659" s="81">
        <v>3.02</v>
      </c>
      <c r="R1659" s="80" t="s">
        <v>4341</v>
      </c>
      <c r="S1659" s="48" t="s">
        <v>4341</v>
      </c>
      <c r="T1659" s="72">
        <v>19.8</v>
      </c>
      <c r="U1659" s="70"/>
      <c r="V1659" s="32"/>
      <c r="W1659" s="70"/>
      <c r="X1659" s="70"/>
      <c r="Y1659" s="70" t="s">
        <v>5198</v>
      </c>
      <c r="Z1659" s="70" t="s">
        <v>302</v>
      </c>
      <c r="AA1659" s="71"/>
      <c r="AB1659" s="53" t="str">
        <f>IFERROR(VLOOKUP(Anexo_4[[#This Row],[cuenta]],OP,2,0),"-")</f>
        <v>Transporte peajes - Servicios</v>
      </c>
    </row>
    <row r="1660" spans="1:28" ht="27" customHeight="1" x14ac:dyDescent="0.3">
      <c r="A1660" s="34" t="s">
        <v>5071</v>
      </c>
      <c r="B1660" s="36" t="str">
        <f t="shared" si="25"/>
        <v>Setiembre</v>
      </c>
      <c r="C1660" s="33" t="s">
        <v>162</v>
      </c>
      <c r="D1660" s="33" t="s">
        <v>5199</v>
      </c>
      <c r="E1660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660" s="32" t="s">
        <v>175</v>
      </c>
      <c r="G1660" s="32" t="s">
        <v>5168</v>
      </c>
      <c r="H1660" s="139" t="s">
        <v>5200</v>
      </c>
      <c r="I1660" s="33" t="s">
        <v>312</v>
      </c>
      <c r="J1660" s="143" t="s">
        <v>4917</v>
      </c>
      <c r="K1660" s="33" t="s">
        <v>169</v>
      </c>
      <c r="L1660" s="102" t="str">
        <f>VLOOKUP(Anexo_4[[#This Row],[cod_doc]],TIPODOC,2,FALSE)</f>
        <v>FACTURA</v>
      </c>
      <c r="M1660" s="33" t="s">
        <v>4870</v>
      </c>
      <c r="N1660" s="32" t="s">
        <v>5201</v>
      </c>
      <c r="O1660" s="48">
        <v>19.07</v>
      </c>
      <c r="P1660" s="49"/>
      <c r="Q1660" s="81">
        <v>3.43</v>
      </c>
      <c r="R1660" s="80" t="s">
        <v>4341</v>
      </c>
      <c r="S1660" s="48" t="s">
        <v>4341</v>
      </c>
      <c r="T1660" s="72">
        <v>22.5</v>
      </c>
      <c r="U1660" s="70"/>
      <c r="V1660" s="32"/>
      <c r="W1660" s="70"/>
      <c r="X1660" s="70"/>
      <c r="Y1660" s="70" t="s">
        <v>5202</v>
      </c>
      <c r="Z1660" s="70" t="s">
        <v>302</v>
      </c>
      <c r="AA1660" s="71"/>
      <c r="AB1660" s="53" t="str">
        <f>IFERROR(VLOOKUP(Anexo_4[[#This Row],[cuenta]],OP,2,0),"-")</f>
        <v>Transporte peajes - Servicios</v>
      </c>
    </row>
    <row r="1661" spans="1:28" ht="27" customHeight="1" x14ac:dyDescent="0.3">
      <c r="A1661" s="34" t="s">
        <v>5095</v>
      </c>
      <c r="B1661" s="36" t="str">
        <f t="shared" si="25"/>
        <v>Setiembre</v>
      </c>
      <c r="C1661" s="33" t="s">
        <v>162</v>
      </c>
      <c r="D1661" s="33" t="s">
        <v>5203</v>
      </c>
      <c r="E1661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661" s="32" t="s">
        <v>175</v>
      </c>
      <c r="G1661" s="32" t="s">
        <v>5168</v>
      </c>
      <c r="H1661" s="139" t="s">
        <v>5204</v>
      </c>
      <c r="I1661" s="33" t="s">
        <v>298</v>
      </c>
      <c r="J1661" s="143" t="s">
        <v>5170</v>
      </c>
      <c r="K1661" s="33" t="s">
        <v>169</v>
      </c>
      <c r="L1661" s="102" t="str">
        <f>VLOOKUP(Anexo_4[[#This Row],[cod_doc]],TIPODOC,2,FALSE)</f>
        <v>FACTURA</v>
      </c>
      <c r="M1661" s="33" t="s">
        <v>324</v>
      </c>
      <c r="N1661" s="32" t="s">
        <v>5205</v>
      </c>
      <c r="O1661" s="48">
        <v>49.32</v>
      </c>
      <c r="P1661" s="49"/>
      <c r="Q1661" s="81">
        <v>8.8800000000000008</v>
      </c>
      <c r="R1661" s="80" t="s">
        <v>4341</v>
      </c>
      <c r="S1661" s="48" t="s">
        <v>4341</v>
      </c>
      <c r="T1661" s="72">
        <v>58.2</v>
      </c>
      <c r="U1661" s="70"/>
      <c r="V1661" s="32"/>
      <c r="W1661" s="70"/>
      <c r="X1661" s="70"/>
      <c r="Y1661" s="70" t="s">
        <v>5206</v>
      </c>
      <c r="Z1661" s="70" t="s">
        <v>302</v>
      </c>
      <c r="AA1661" s="71"/>
      <c r="AB1661" s="53" t="str">
        <f>IFERROR(VLOOKUP(Anexo_4[[#This Row],[cuenta]],OP,2,0),"-")</f>
        <v>Transporte peajes - Servicios</v>
      </c>
    </row>
    <row r="1662" spans="1:28" ht="27" customHeight="1" x14ac:dyDescent="0.3">
      <c r="A1662" s="34" t="s">
        <v>5080</v>
      </c>
      <c r="B1662" s="36" t="str">
        <f t="shared" si="25"/>
        <v>Setiembre</v>
      </c>
      <c r="C1662" s="33" t="s">
        <v>162</v>
      </c>
      <c r="D1662" s="33" t="s">
        <v>5207</v>
      </c>
      <c r="E1662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662" s="32" t="s">
        <v>355</v>
      </c>
      <c r="G1662" s="32" t="s">
        <v>356</v>
      </c>
      <c r="H1662" s="139" t="s">
        <v>5208</v>
      </c>
      <c r="I1662" s="33" t="s">
        <v>5209</v>
      </c>
      <c r="J1662" s="143" t="s">
        <v>5210</v>
      </c>
      <c r="K1662" s="33" t="s">
        <v>239</v>
      </c>
      <c r="L1662" s="102" t="str">
        <f>VLOOKUP(Anexo_4[[#This Row],[cod_doc]],TIPODOC,2,FALSE)</f>
        <v>BOLETA DE VENTA</v>
      </c>
      <c r="M1662" s="33" t="s">
        <v>162</v>
      </c>
      <c r="N1662" s="32" t="s">
        <v>5211</v>
      </c>
      <c r="O1662" s="48" t="s">
        <v>4341</v>
      </c>
      <c r="P1662" s="49"/>
      <c r="Q1662" s="81" t="s">
        <v>4341</v>
      </c>
      <c r="R1662" s="80" t="s">
        <v>4341</v>
      </c>
      <c r="S1662" s="48">
        <v>35</v>
      </c>
      <c r="T1662" s="72">
        <v>35</v>
      </c>
      <c r="U1662" s="70"/>
      <c r="V1662" s="32"/>
      <c r="W1662" s="70"/>
      <c r="X1662" s="70"/>
      <c r="Y1662" s="70" t="s">
        <v>5212</v>
      </c>
      <c r="Z1662" s="70" t="s">
        <v>376</v>
      </c>
      <c r="AA1662" s="71"/>
      <c r="AB1662" s="53" t="str">
        <f>IFERROR(VLOOKUP(Anexo_4[[#This Row],[cuenta]],OP,2,0),"-")</f>
        <v>Alojamiento (Operativo)</v>
      </c>
    </row>
    <row r="1663" spans="1:28" ht="27" customHeight="1" x14ac:dyDescent="0.3">
      <c r="A1663" s="34" t="s">
        <v>5080</v>
      </c>
      <c r="B1663" s="36" t="str">
        <f t="shared" si="25"/>
        <v>Setiembre</v>
      </c>
      <c r="C1663" s="33" t="s">
        <v>162</v>
      </c>
      <c r="D1663" s="33" t="s">
        <v>5207</v>
      </c>
      <c r="E1663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663" s="32" t="s">
        <v>175</v>
      </c>
      <c r="G1663" s="32" t="s">
        <v>5168</v>
      </c>
      <c r="H1663" s="139" t="s">
        <v>5208</v>
      </c>
      <c r="I1663" s="33" t="s">
        <v>5209</v>
      </c>
      <c r="J1663" s="143" t="s">
        <v>5210</v>
      </c>
      <c r="K1663" s="33" t="s">
        <v>239</v>
      </c>
      <c r="L1663" s="102" t="str">
        <f>VLOOKUP(Anexo_4[[#This Row],[cod_doc]],TIPODOC,2,FALSE)</f>
        <v>BOLETA DE VENTA</v>
      </c>
      <c r="M1663" s="33" t="s">
        <v>162</v>
      </c>
      <c r="N1663" s="32" t="s">
        <v>5211</v>
      </c>
      <c r="O1663" s="48" t="s">
        <v>4341</v>
      </c>
      <c r="P1663" s="49"/>
      <c r="Q1663" s="81" t="s">
        <v>4341</v>
      </c>
      <c r="R1663" s="80" t="s">
        <v>4341</v>
      </c>
      <c r="S1663" s="48">
        <v>35</v>
      </c>
      <c r="T1663" s="72">
        <v>35</v>
      </c>
      <c r="U1663" s="70"/>
      <c r="V1663" s="32"/>
      <c r="W1663" s="70"/>
      <c r="X1663" s="70"/>
      <c r="Y1663" s="70" t="s">
        <v>5212</v>
      </c>
      <c r="Z1663" s="70" t="s">
        <v>3128</v>
      </c>
      <c r="AA1663" s="71"/>
      <c r="AB1663" s="53" t="str">
        <f>IFERROR(VLOOKUP(Anexo_4[[#This Row],[cuenta]],OP,2,0),"-")</f>
        <v>Transporte parqueo (Cochera)</v>
      </c>
    </row>
    <row r="1664" spans="1:28" ht="27" customHeight="1" x14ac:dyDescent="0.3">
      <c r="A1664" s="34" t="s">
        <v>5080</v>
      </c>
      <c r="B1664" s="36" t="str">
        <f t="shared" si="25"/>
        <v>Setiembre</v>
      </c>
      <c r="C1664" s="33" t="s">
        <v>162</v>
      </c>
      <c r="D1664" s="33" t="s">
        <v>5213</v>
      </c>
      <c r="E1664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664" s="32" t="s">
        <v>175</v>
      </c>
      <c r="G1664" s="32" t="s">
        <v>5168</v>
      </c>
      <c r="H1664" s="139" t="s">
        <v>5214</v>
      </c>
      <c r="I1664" s="33" t="s">
        <v>305</v>
      </c>
      <c r="J1664" s="143" t="s">
        <v>5215</v>
      </c>
      <c r="K1664" s="33" t="s">
        <v>169</v>
      </c>
      <c r="L1664" s="102" t="str">
        <f>VLOOKUP(Anexo_4[[#This Row],[cod_doc]],TIPODOC,2,FALSE)</f>
        <v>FACTURA</v>
      </c>
      <c r="M1664" s="33" t="s">
        <v>343</v>
      </c>
      <c r="N1664" s="32" t="s">
        <v>5216</v>
      </c>
      <c r="O1664" s="48">
        <v>20</v>
      </c>
      <c r="P1664" s="49"/>
      <c r="Q1664" s="81">
        <v>3.6</v>
      </c>
      <c r="R1664" s="80" t="s">
        <v>4341</v>
      </c>
      <c r="S1664" s="48" t="s">
        <v>4341</v>
      </c>
      <c r="T1664" s="72">
        <v>23.6</v>
      </c>
      <c r="U1664" s="70"/>
      <c r="V1664" s="32"/>
      <c r="W1664" s="70"/>
      <c r="X1664" s="70"/>
      <c r="Y1664" s="70" t="s">
        <v>5217</v>
      </c>
      <c r="Z1664" s="70" t="s">
        <v>302</v>
      </c>
      <c r="AA1664" s="71"/>
      <c r="AB1664" s="53" t="str">
        <f>IFERROR(VLOOKUP(Anexo_4[[#This Row],[cuenta]],OP,2,0),"-")</f>
        <v>Transporte peajes - Servicios</v>
      </c>
    </row>
    <row r="1665" spans="1:28" ht="27" customHeight="1" x14ac:dyDescent="0.3">
      <c r="A1665" s="34" t="s">
        <v>4975</v>
      </c>
      <c r="B1665" s="36" t="str">
        <f t="shared" si="25"/>
        <v>Setiembre</v>
      </c>
      <c r="C1665" s="33" t="s">
        <v>162</v>
      </c>
      <c r="D1665" s="33" t="s">
        <v>5218</v>
      </c>
      <c r="E1665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665" s="32" t="s">
        <v>175</v>
      </c>
      <c r="G1665" s="32" t="s">
        <v>5168</v>
      </c>
      <c r="H1665" s="139" t="s">
        <v>5219</v>
      </c>
      <c r="I1665" s="33" t="s">
        <v>305</v>
      </c>
      <c r="J1665" s="143" t="s">
        <v>5215</v>
      </c>
      <c r="K1665" s="33" t="s">
        <v>169</v>
      </c>
      <c r="L1665" s="102" t="str">
        <f>VLOOKUP(Anexo_4[[#This Row],[cod_doc]],TIPODOC,2,FALSE)</f>
        <v>FACTURA</v>
      </c>
      <c r="M1665" s="33" t="s">
        <v>307</v>
      </c>
      <c r="N1665" s="32" t="s">
        <v>5220</v>
      </c>
      <c r="O1665" s="48">
        <v>20</v>
      </c>
      <c r="P1665" s="49"/>
      <c r="Q1665" s="81">
        <v>3.6</v>
      </c>
      <c r="R1665" s="80" t="s">
        <v>4341</v>
      </c>
      <c r="S1665" s="48" t="s">
        <v>4341</v>
      </c>
      <c r="T1665" s="72">
        <v>23.6</v>
      </c>
      <c r="U1665" s="70"/>
      <c r="V1665" s="32"/>
      <c r="W1665" s="70"/>
      <c r="X1665" s="70"/>
      <c r="Y1665" s="70" t="s">
        <v>5221</v>
      </c>
      <c r="Z1665" s="70" t="s">
        <v>302</v>
      </c>
      <c r="AA1665" s="71"/>
      <c r="AB1665" s="53" t="str">
        <f>IFERROR(VLOOKUP(Anexo_4[[#This Row],[cuenta]],OP,2,0),"-")</f>
        <v>Transporte peajes - Servicios</v>
      </c>
    </row>
    <row r="1666" spans="1:28" ht="27" customHeight="1" x14ac:dyDescent="0.3">
      <c r="A1666" s="34" t="s">
        <v>4975</v>
      </c>
      <c r="B1666" s="36" t="str">
        <f t="shared" ref="B1666:B1729" si="26">PROPER(CHOOSE(LEFT(D1666,2),"enero","febrero","marzo","abril","mayo","junio","julio","agosto","setiembre","octubre","noviembre","diciembre"))</f>
        <v>Setiembre</v>
      </c>
      <c r="C1666" s="33" t="s">
        <v>162</v>
      </c>
      <c r="D1666" s="33" t="s">
        <v>5222</v>
      </c>
      <c r="E1666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666" s="32" t="s">
        <v>175</v>
      </c>
      <c r="G1666" s="32" t="s">
        <v>5168</v>
      </c>
      <c r="H1666" s="139" t="s">
        <v>5223</v>
      </c>
      <c r="I1666" s="33" t="s">
        <v>264</v>
      </c>
      <c r="J1666" s="143" t="s">
        <v>4644</v>
      </c>
      <c r="K1666" s="33" t="s">
        <v>169</v>
      </c>
      <c r="L1666" s="102" t="str">
        <f>VLOOKUP(Anexo_4[[#This Row],[cod_doc]],TIPODOC,2,FALSE)</f>
        <v>FACTURA</v>
      </c>
      <c r="M1666" s="33" t="s">
        <v>271</v>
      </c>
      <c r="N1666" s="32" t="s">
        <v>5224</v>
      </c>
      <c r="O1666" s="48">
        <v>10.17</v>
      </c>
      <c r="P1666" s="49"/>
      <c r="Q1666" s="81">
        <v>1.83</v>
      </c>
      <c r="R1666" s="80" t="s">
        <v>4341</v>
      </c>
      <c r="S1666" s="48" t="s">
        <v>4341</v>
      </c>
      <c r="T1666" s="72">
        <v>12</v>
      </c>
      <c r="U1666" s="70"/>
      <c r="V1666" s="32"/>
      <c r="W1666" s="70"/>
      <c r="X1666" s="70"/>
      <c r="Y1666" s="70" t="s">
        <v>5225</v>
      </c>
      <c r="Z1666" s="70" t="s">
        <v>302</v>
      </c>
      <c r="AA1666" s="71"/>
      <c r="AB1666" s="53" t="str">
        <f>IFERROR(VLOOKUP(Anexo_4[[#This Row],[cuenta]],OP,2,0),"-")</f>
        <v>Transporte peajes - Servicios</v>
      </c>
    </row>
    <row r="1667" spans="1:28" ht="27" customHeight="1" x14ac:dyDescent="0.3">
      <c r="A1667" s="34" t="s">
        <v>4994</v>
      </c>
      <c r="B1667" s="36" t="str">
        <f t="shared" si="26"/>
        <v>Setiembre</v>
      </c>
      <c r="C1667" s="33" t="s">
        <v>162</v>
      </c>
      <c r="D1667" s="33" t="s">
        <v>5226</v>
      </c>
      <c r="E1667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667" s="32" t="s">
        <v>175</v>
      </c>
      <c r="G1667" s="32" t="s">
        <v>5168</v>
      </c>
      <c r="H1667" s="139" t="s">
        <v>5227</v>
      </c>
      <c r="I1667" s="33" t="s">
        <v>312</v>
      </c>
      <c r="J1667" s="143" t="s">
        <v>4917</v>
      </c>
      <c r="K1667" s="33" t="s">
        <v>169</v>
      </c>
      <c r="L1667" s="102" t="str">
        <f>VLOOKUP(Anexo_4[[#This Row],[cod_doc]],TIPODOC,2,FALSE)</f>
        <v>FACTURA</v>
      </c>
      <c r="M1667" s="33" t="s">
        <v>1463</v>
      </c>
      <c r="N1667" s="32" t="s">
        <v>5228</v>
      </c>
      <c r="O1667" s="48">
        <v>19.07</v>
      </c>
      <c r="P1667" s="49"/>
      <c r="Q1667" s="81">
        <v>3.43</v>
      </c>
      <c r="R1667" s="80" t="s">
        <v>4341</v>
      </c>
      <c r="S1667" s="48" t="s">
        <v>4341</v>
      </c>
      <c r="T1667" s="72">
        <v>22.5</v>
      </c>
      <c r="U1667" s="70"/>
      <c r="V1667" s="32"/>
      <c r="W1667" s="70"/>
      <c r="X1667" s="70"/>
      <c r="Y1667" s="70" t="s">
        <v>5229</v>
      </c>
      <c r="Z1667" s="70" t="s">
        <v>302</v>
      </c>
      <c r="AA1667" s="71"/>
      <c r="AB1667" s="53" t="str">
        <f>IFERROR(VLOOKUP(Anexo_4[[#This Row],[cuenta]],OP,2,0),"-")</f>
        <v>Transporte peajes - Servicios</v>
      </c>
    </row>
    <row r="1668" spans="1:28" ht="27" customHeight="1" x14ac:dyDescent="0.3">
      <c r="A1668" s="34" t="s">
        <v>4975</v>
      </c>
      <c r="B1668" s="36" t="str">
        <f t="shared" si="26"/>
        <v>Setiembre</v>
      </c>
      <c r="C1668" s="33" t="s">
        <v>162</v>
      </c>
      <c r="D1668" s="33" t="s">
        <v>5230</v>
      </c>
      <c r="E1668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668" s="32" t="s">
        <v>175</v>
      </c>
      <c r="G1668" s="32" t="s">
        <v>5168</v>
      </c>
      <c r="H1668" s="139" t="s">
        <v>5231</v>
      </c>
      <c r="I1668" s="33" t="s">
        <v>5209</v>
      </c>
      <c r="J1668" s="143" t="s">
        <v>5210</v>
      </c>
      <c r="K1668" s="33" t="s">
        <v>239</v>
      </c>
      <c r="L1668" s="102" t="str">
        <f>VLOOKUP(Anexo_4[[#This Row],[cod_doc]],TIPODOC,2,FALSE)</f>
        <v>BOLETA DE VENTA</v>
      </c>
      <c r="M1668" s="33" t="s">
        <v>162</v>
      </c>
      <c r="N1668" s="32" t="s">
        <v>5232</v>
      </c>
      <c r="O1668" s="48" t="s">
        <v>4341</v>
      </c>
      <c r="P1668" s="49"/>
      <c r="Q1668" s="81" t="s">
        <v>4341</v>
      </c>
      <c r="R1668" s="80" t="s">
        <v>4341</v>
      </c>
      <c r="S1668" s="48">
        <v>35</v>
      </c>
      <c r="T1668" s="72">
        <v>35</v>
      </c>
      <c r="U1668" s="70"/>
      <c r="V1668" s="32"/>
      <c r="W1668" s="70"/>
      <c r="X1668" s="70"/>
      <c r="Y1668" s="70" t="s">
        <v>5233</v>
      </c>
      <c r="Z1668" s="70" t="s">
        <v>3128</v>
      </c>
      <c r="AA1668" s="71"/>
      <c r="AB1668" s="53" t="str">
        <f>IFERROR(VLOOKUP(Anexo_4[[#This Row],[cuenta]],OP,2,0),"-")</f>
        <v>Transporte parqueo (Cochera)</v>
      </c>
    </row>
    <row r="1669" spans="1:28" ht="27" customHeight="1" x14ac:dyDescent="0.3">
      <c r="A1669" s="34" t="s">
        <v>4975</v>
      </c>
      <c r="B1669" s="36" t="str">
        <f t="shared" si="26"/>
        <v>Setiembre</v>
      </c>
      <c r="C1669" s="33" t="s">
        <v>162</v>
      </c>
      <c r="D1669" s="33" t="s">
        <v>5230</v>
      </c>
      <c r="E1669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669" s="32" t="s">
        <v>175</v>
      </c>
      <c r="G1669" s="32" t="s">
        <v>5168</v>
      </c>
      <c r="H1669" s="139" t="s">
        <v>5231</v>
      </c>
      <c r="I1669" s="33" t="s">
        <v>5209</v>
      </c>
      <c r="J1669" s="143" t="s">
        <v>5210</v>
      </c>
      <c r="K1669" s="33" t="s">
        <v>239</v>
      </c>
      <c r="L1669" s="102" t="str">
        <f>VLOOKUP(Anexo_4[[#This Row],[cod_doc]],TIPODOC,2,FALSE)</f>
        <v>BOLETA DE VENTA</v>
      </c>
      <c r="M1669" s="33" t="s">
        <v>162</v>
      </c>
      <c r="N1669" s="32" t="s">
        <v>5232</v>
      </c>
      <c r="O1669" s="48" t="s">
        <v>4341</v>
      </c>
      <c r="P1669" s="49"/>
      <c r="Q1669" s="81" t="s">
        <v>4341</v>
      </c>
      <c r="R1669" s="80" t="s">
        <v>4341</v>
      </c>
      <c r="S1669" s="48">
        <v>35</v>
      </c>
      <c r="T1669" s="72">
        <v>35</v>
      </c>
      <c r="U1669" s="70"/>
      <c r="V1669" s="32"/>
      <c r="W1669" s="70"/>
      <c r="X1669" s="70"/>
      <c r="Y1669" s="70" t="s">
        <v>5233</v>
      </c>
      <c r="Z1669" s="70" t="s">
        <v>376</v>
      </c>
      <c r="AA1669" s="71"/>
      <c r="AB1669" s="53" t="str">
        <f>IFERROR(VLOOKUP(Anexo_4[[#This Row],[cuenta]],OP,2,0),"-")</f>
        <v>Alojamiento (Operativo)</v>
      </c>
    </row>
    <row r="1670" spans="1:28" ht="27" customHeight="1" x14ac:dyDescent="0.3">
      <c r="A1670" s="34" t="s">
        <v>4975</v>
      </c>
      <c r="B1670" s="36" t="str">
        <f t="shared" si="26"/>
        <v>Setiembre</v>
      </c>
      <c r="C1670" s="33" t="s">
        <v>162</v>
      </c>
      <c r="D1670" s="33" t="s">
        <v>5234</v>
      </c>
      <c r="E1670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670" s="32" t="s">
        <v>248</v>
      </c>
      <c r="G1670" s="32" t="s">
        <v>249</v>
      </c>
      <c r="H1670" s="139" t="s">
        <v>5235</v>
      </c>
      <c r="I1670" s="33" t="s">
        <v>625</v>
      </c>
      <c r="J1670" s="143" t="s">
        <v>4796</v>
      </c>
      <c r="K1670" s="33" t="s">
        <v>169</v>
      </c>
      <c r="L1670" s="102" t="str">
        <f>VLOOKUP(Anexo_4[[#This Row],[cod_doc]],TIPODOC,2,FALSE)</f>
        <v>FACTURA</v>
      </c>
      <c r="M1670" s="33" t="s">
        <v>180</v>
      </c>
      <c r="N1670" s="32" t="s">
        <v>5236</v>
      </c>
      <c r="O1670" s="48">
        <v>180.54</v>
      </c>
      <c r="P1670" s="49"/>
      <c r="Q1670" s="81">
        <v>32.5</v>
      </c>
      <c r="R1670" s="80" t="s">
        <v>4341</v>
      </c>
      <c r="S1670" s="48" t="s">
        <v>4341</v>
      </c>
      <c r="T1670" s="72">
        <v>213.04</v>
      </c>
      <c r="U1670" s="70" t="s">
        <v>5237</v>
      </c>
      <c r="V1670" s="32" t="s">
        <v>5238</v>
      </c>
      <c r="W1670" s="70"/>
      <c r="X1670" s="70"/>
      <c r="Y1670" s="70" t="s">
        <v>5239</v>
      </c>
      <c r="Z1670" s="70" t="s">
        <v>256</v>
      </c>
      <c r="AA1670" s="71"/>
      <c r="AB1670" s="53" t="str">
        <f>IFERROR(VLOOKUP(Anexo_4[[#This Row],[cuenta]],OP,2,0),"-")</f>
        <v>Materias Primas - RRSS</v>
      </c>
    </row>
    <row r="1671" spans="1:28" ht="27" customHeight="1" x14ac:dyDescent="0.3">
      <c r="A1671" s="34" t="s">
        <v>5071</v>
      </c>
      <c r="B1671" s="36" t="str">
        <f t="shared" si="26"/>
        <v>Setiembre</v>
      </c>
      <c r="C1671" s="33" t="s">
        <v>162</v>
      </c>
      <c r="D1671" s="33" t="s">
        <v>5240</v>
      </c>
      <c r="E1671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671" s="32" t="s">
        <v>248</v>
      </c>
      <c r="G1671" s="32" t="s">
        <v>249</v>
      </c>
      <c r="H1671" s="139" t="s">
        <v>5241</v>
      </c>
      <c r="I1671" s="33" t="s">
        <v>625</v>
      </c>
      <c r="J1671" s="143" t="s">
        <v>4796</v>
      </c>
      <c r="K1671" s="33" t="s">
        <v>169</v>
      </c>
      <c r="L1671" s="102" t="str">
        <f>VLOOKUP(Anexo_4[[#This Row],[cod_doc]],TIPODOC,2,FALSE)</f>
        <v>FACTURA</v>
      </c>
      <c r="M1671" s="33" t="s">
        <v>180</v>
      </c>
      <c r="N1671" s="32" t="s">
        <v>5242</v>
      </c>
      <c r="O1671" s="48">
        <v>242.55</v>
      </c>
      <c r="P1671" s="49"/>
      <c r="Q1671" s="81">
        <v>43.65</v>
      </c>
      <c r="R1671" s="80" t="s">
        <v>4341</v>
      </c>
      <c r="S1671" s="48" t="s">
        <v>4341</v>
      </c>
      <c r="T1671" s="72">
        <v>286.2</v>
      </c>
      <c r="U1671" s="70" t="s">
        <v>5243</v>
      </c>
      <c r="V1671" s="32" t="s">
        <v>5238</v>
      </c>
      <c r="W1671" s="70"/>
      <c r="X1671" s="70"/>
      <c r="Y1671" s="70" t="s">
        <v>5244</v>
      </c>
      <c r="Z1671" s="70" t="s">
        <v>256</v>
      </c>
      <c r="AA1671" s="71"/>
      <c r="AB1671" s="53" t="str">
        <f>IFERROR(VLOOKUP(Anexo_4[[#This Row],[cuenta]],OP,2,0),"-")</f>
        <v>Materias Primas - RRSS</v>
      </c>
    </row>
    <row r="1672" spans="1:28" ht="27" customHeight="1" x14ac:dyDescent="0.3">
      <c r="A1672" s="34" t="s">
        <v>5080</v>
      </c>
      <c r="B1672" s="36" t="str">
        <f t="shared" si="26"/>
        <v>Setiembre</v>
      </c>
      <c r="C1672" s="33" t="s">
        <v>162</v>
      </c>
      <c r="D1672" s="33" t="s">
        <v>5245</v>
      </c>
      <c r="E1672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672" s="32" t="s">
        <v>248</v>
      </c>
      <c r="G1672" s="32" t="s">
        <v>249</v>
      </c>
      <c r="H1672" s="139" t="s">
        <v>5246</v>
      </c>
      <c r="I1672" s="33" t="s">
        <v>625</v>
      </c>
      <c r="J1672" s="143" t="s">
        <v>4796</v>
      </c>
      <c r="K1672" s="33" t="s">
        <v>169</v>
      </c>
      <c r="L1672" s="102" t="str">
        <f>VLOOKUP(Anexo_4[[#This Row],[cod_doc]],TIPODOC,2,FALSE)</f>
        <v>FACTURA</v>
      </c>
      <c r="M1672" s="33" t="s">
        <v>180</v>
      </c>
      <c r="N1672" s="32" t="s">
        <v>5247</v>
      </c>
      <c r="O1672" s="48">
        <v>199.6</v>
      </c>
      <c r="P1672" s="49"/>
      <c r="Q1672" s="81">
        <v>35.92</v>
      </c>
      <c r="R1672" s="80" t="s">
        <v>4341</v>
      </c>
      <c r="S1672" s="48" t="s">
        <v>4341</v>
      </c>
      <c r="T1672" s="72">
        <v>235.51999999999998</v>
      </c>
      <c r="U1672" s="70" t="s">
        <v>5248</v>
      </c>
      <c r="V1672" s="32" t="s">
        <v>5238</v>
      </c>
      <c r="W1672" s="70"/>
      <c r="X1672" s="70"/>
      <c r="Y1672" s="70" t="s">
        <v>5249</v>
      </c>
      <c r="Z1672" s="70" t="s">
        <v>256</v>
      </c>
      <c r="AA1672" s="71"/>
      <c r="AB1672" s="53" t="str">
        <f>IFERROR(VLOOKUP(Anexo_4[[#This Row],[cuenta]],OP,2,0),"-")</f>
        <v>Materias Primas - RRSS</v>
      </c>
    </row>
    <row r="1673" spans="1:28" ht="27" customHeight="1" x14ac:dyDescent="0.3">
      <c r="A1673" s="34" t="s">
        <v>5095</v>
      </c>
      <c r="B1673" s="36" t="str">
        <f t="shared" si="26"/>
        <v>Setiembre</v>
      </c>
      <c r="C1673" s="33" t="s">
        <v>162</v>
      </c>
      <c r="D1673" s="33" t="s">
        <v>5250</v>
      </c>
      <c r="E1673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673" s="32" t="s">
        <v>248</v>
      </c>
      <c r="G1673" s="32" t="s">
        <v>249</v>
      </c>
      <c r="H1673" s="139" t="s">
        <v>5251</v>
      </c>
      <c r="I1673" s="33" t="s">
        <v>625</v>
      </c>
      <c r="J1673" s="143" t="s">
        <v>4796</v>
      </c>
      <c r="K1673" s="33" t="s">
        <v>169</v>
      </c>
      <c r="L1673" s="102" t="str">
        <f>VLOOKUP(Anexo_4[[#This Row],[cod_doc]],TIPODOC,2,FALSE)</f>
        <v>FACTURA</v>
      </c>
      <c r="M1673" s="33" t="s">
        <v>180</v>
      </c>
      <c r="N1673" s="32" t="s">
        <v>5252</v>
      </c>
      <c r="O1673" s="48">
        <v>303.22000000000003</v>
      </c>
      <c r="P1673" s="49"/>
      <c r="Q1673" s="81">
        <v>54.56</v>
      </c>
      <c r="R1673" s="80" t="s">
        <v>4341</v>
      </c>
      <c r="S1673" s="48" t="s">
        <v>4341</v>
      </c>
      <c r="T1673" s="72">
        <v>357.78000000000003</v>
      </c>
      <c r="U1673" s="70" t="s">
        <v>5253</v>
      </c>
      <c r="V1673" s="32" t="s">
        <v>5238</v>
      </c>
      <c r="W1673" s="70"/>
      <c r="X1673" s="70"/>
      <c r="Y1673" s="70" t="s">
        <v>5254</v>
      </c>
      <c r="Z1673" s="70" t="s">
        <v>256</v>
      </c>
      <c r="AA1673" s="71"/>
      <c r="AB1673" s="53" t="str">
        <f>IFERROR(VLOOKUP(Anexo_4[[#This Row],[cuenta]],OP,2,0),"-")</f>
        <v>Materias Primas - RRSS</v>
      </c>
    </row>
    <row r="1674" spans="1:28" ht="27" customHeight="1" x14ac:dyDescent="0.3">
      <c r="A1674" s="34" t="s">
        <v>5255</v>
      </c>
      <c r="B1674" s="36" t="str">
        <f t="shared" si="26"/>
        <v>Setiembre</v>
      </c>
      <c r="C1674" s="33" t="s">
        <v>162</v>
      </c>
      <c r="D1674" s="33" t="s">
        <v>5256</v>
      </c>
      <c r="E1674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674" s="32" t="s">
        <v>248</v>
      </c>
      <c r="G1674" s="32" t="s">
        <v>249</v>
      </c>
      <c r="H1674" s="139" t="s">
        <v>5257</v>
      </c>
      <c r="I1674" s="33" t="s">
        <v>625</v>
      </c>
      <c r="J1674" s="143" t="s">
        <v>4796</v>
      </c>
      <c r="K1674" s="33" t="s">
        <v>169</v>
      </c>
      <c r="L1674" s="102" t="str">
        <f>VLOOKUP(Anexo_4[[#This Row],[cod_doc]],TIPODOC,2,FALSE)</f>
        <v>FACTURA</v>
      </c>
      <c r="M1674" s="33" t="s">
        <v>180</v>
      </c>
      <c r="N1674" s="32" t="s">
        <v>5258</v>
      </c>
      <c r="O1674" s="48">
        <v>427.47</v>
      </c>
      <c r="P1674" s="49"/>
      <c r="Q1674" s="81">
        <v>76.959999999999994</v>
      </c>
      <c r="R1674" s="80" t="s">
        <v>4341</v>
      </c>
      <c r="S1674" s="48" t="s">
        <v>4341</v>
      </c>
      <c r="T1674" s="72">
        <v>504.43</v>
      </c>
      <c r="U1674" s="70" t="s">
        <v>5259</v>
      </c>
      <c r="V1674" s="32" t="s">
        <v>5238</v>
      </c>
      <c r="W1674" s="70"/>
      <c r="X1674" s="70"/>
      <c r="Y1674" s="70" t="s">
        <v>5260</v>
      </c>
      <c r="Z1674" s="70" t="s">
        <v>256</v>
      </c>
      <c r="AA1674" s="71"/>
      <c r="AB1674" s="53" t="str">
        <f>IFERROR(VLOOKUP(Anexo_4[[#This Row],[cuenta]],OP,2,0),"-")</f>
        <v>Materias Primas - RRSS</v>
      </c>
    </row>
    <row r="1675" spans="1:28" ht="27" customHeight="1" x14ac:dyDescent="0.3">
      <c r="A1675" s="34" t="s">
        <v>5080</v>
      </c>
      <c r="B1675" s="36" t="str">
        <f t="shared" si="26"/>
        <v>Setiembre</v>
      </c>
      <c r="C1675" s="33" t="s">
        <v>162</v>
      </c>
      <c r="D1675" s="33" t="s">
        <v>5261</v>
      </c>
      <c r="E1675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675" s="32" t="s">
        <v>248</v>
      </c>
      <c r="G1675" s="32" t="s">
        <v>249</v>
      </c>
      <c r="H1675" s="139" t="s">
        <v>5262</v>
      </c>
      <c r="I1675" s="33" t="s">
        <v>614</v>
      </c>
      <c r="J1675" s="143" t="s">
        <v>5263</v>
      </c>
      <c r="K1675" s="33" t="s">
        <v>169</v>
      </c>
      <c r="L1675" s="102" t="str">
        <f>VLOOKUP(Anexo_4[[#This Row],[cod_doc]],TIPODOC,2,FALSE)</f>
        <v>FACTURA</v>
      </c>
      <c r="M1675" s="33" t="s">
        <v>102</v>
      </c>
      <c r="N1675" s="32" t="s">
        <v>5264</v>
      </c>
      <c r="O1675" s="48">
        <v>134.07</v>
      </c>
      <c r="P1675" s="49"/>
      <c r="Q1675" s="81">
        <v>24.13</v>
      </c>
      <c r="R1675" s="80" t="s">
        <v>4341</v>
      </c>
      <c r="S1675" s="48" t="s">
        <v>4341</v>
      </c>
      <c r="T1675" s="72">
        <v>158.19999999999999</v>
      </c>
      <c r="U1675" s="70" t="s">
        <v>5265</v>
      </c>
      <c r="V1675" s="32" t="s">
        <v>5078</v>
      </c>
      <c r="W1675" s="70"/>
      <c r="X1675" s="70"/>
      <c r="Y1675" s="70" t="s">
        <v>5266</v>
      </c>
      <c r="Z1675" s="70" t="s">
        <v>256</v>
      </c>
      <c r="AA1675" s="71"/>
      <c r="AB1675" s="53" t="str">
        <f>IFERROR(VLOOKUP(Anexo_4[[#This Row],[cuenta]],OP,2,0),"-")</f>
        <v>Materias Primas - RRSS</v>
      </c>
    </row>
    <row r="1676" spans="1:28" ht="27" customHeight="1" x14ac:dyDescent="0.3">
      <c r="A1676" s="34" t="s">
        <v>5071</v>
      </c>
      <c r="B1676" s="36" t="str">
        <f t="shared" si="26"/>
        <v>Setiembre</v>
      </c>
      <c r="C1676" s="33" t="s">
        <v>162</v>
      </c>
      <c r="D1676" s="33" t="s">
        <v>5267</v>
      </c>
      <c r="E1676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676" s="32" t="s">
        <v>355</v>
      </c>
      <c r="G1676" s="32" t="s">
        <v>356</v>
      </c>
      <c r="H1676" s="139" t="s">
        <v>633</v>
      </c>
      <c r="I1676" s="33" t="s">
        <v>2429</v>
      </c>
      <c r="J1676" s="143" t="s">
        <v>5038</v>
      </c>
      <c r="K1676" s="33" t="s">
        <v>239</v>
      </c>
      <c r="L1676" s="102" t="str">
        <f>VLOOKUP(Anexo_4[[#This Row],[cod_doc]],TIPODOC,2,FALSE)</f>
        <v>BOLETA DE VENTA</v>
      </c>
      <c r="M1676" s="33" t="s">
        <v>162</v>
      </c>
      <c r="N1676" s="32" t="s">
        <v>5268</v>
      </c>
      <c r="O1676" s="48" t="s">
        <v>4341</v>
      </c>
      <c r="P1676" s="49"/>
      <c r="Q1676" s="81" t="s">
        <v>4341</v>
      </c>
      <c r="R1676" s="80" t="s">
        <v>4341</v>
      </c>
      <c r="S1676" s="48">
        <v>15</v>
      </c>
      <c r="T1676" s="72">
        <v>15</v>
      </c>
      <c r="U1676" s="70"/>
      <c r="V1676" s="32"/>
      <c r="W1676" s="70"/>
      <c r="X1676" s="70"/>
      <c r="Y1676" s="70"/>
      <c r="Z1676" s="70" t="s">
        <v>361</v>
      </c>
      <c r="AA1676" s="71"/>
      <c r="AB1676" s="53" t="str">
        <f>IFERROR(VLOOKUP(Anexo_4[[#This Row],[cuenta]],OP,2,0),"-")</f>
        <v>Alimentacion (Operativo)</v>
      </c>
    </row>
    <row r="1677" spans="1:28" ht="27" customHeight="1" x14ac:dyDescent="0.3">
      <c r="A1677" s="34" t="s">
        <v>4994</v>
      </c>
      <c r="B1677" s="36" t="str">
        <f t="shared" si="26"/>
        <v>Setiembre</v>
      </c>
      <c r="C1677" s="33" t="s">
        <v>162</v>
      </c>
      <c r="D1677" s="33" t="s">
        <v>5269</v>
      </c>
      <c r="E1677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677" s="32" t="s">
        <v>355</v>
      </c>
      <c r="G1677" s="32" t="s">
        <v>356</v>
      </c>
      <c r="H1677" s="139" t="s">
        <v>5270</v>
      </c>
      <c r="I1677" s="33" t="s">
        <v>4308</v>
      </c>
      <c r="J1677" s="143" t="s">
        <v>5271</v>
      </c>
      <c r="K1677" s="33" t="s">
        <v>169</v>
      </c>
      <c r="L1677" s="102" t="str">
        <f>VLOOKUP(Anexo_4[[#This Row],[cod_doc]],TIPODOC,2,FALSE)</f>
        <v>FACTURA</v>
      </c>
      <c r="M1677" s="33" t="s">
        <v>102</v>
      </c>
      <c r="N1677" s="32" t="s">
        <v>5272</v>
      </c>
      <c r="O1677" s="48">
        <v>1500</v>
      </c>
      <c r="P1677" s="49"/>
      <c r="Q1677" s="81">
        <v>270</v>
      </c>
      <c r="R1677" s="80" t="s">
        <v>4341</v>
      </c>
      <c r="S1677" s="48" t="s">
        <v>4341</v>
      </c>
      <c r="T1677" s="72">
        <v>1770</v>
      </c>
      <c r="U1677" s="70" t="s">
        <v>5273</v>
      </c>
      <c r="V1677" s="32" t="s">
        <v>5078</v>
      </c>
      <c r="W1677" s="70"/>
      <c r="X1677" s="70"/>
      <c r="Y1677" s="70"/>
      <c r="Z1677" s="70" t="s">
        <v>893</v>
      </c>
      <c r="AA1677" s="71"/>
      <c r="AB1677" s="53" t="str">
        <f>IFERROR(VLOOKUP(Anexo_4[[#This Row],[cuenta]],OP,2,0),"-")</f>
        <v>Transporte de Carga - Servicios</v>
      </c>
    </row>
    <row r="1678" spans="1:28" ht="27" customHeight="1" x14ac:dyDescent="0.3">
      <c r="A1678" s="34" t="s">
        <v>5274</v>
      </c>
      <c r="B1678" s="36" t="str">
        <f t="shared" si="26"/>
        <v>Setiembre</v>
      </c>
      <c r="C1678" s="33" t="s">
        <v>162</v>
      </c>
      <c r="D1678" s="33" t="s">
        <v>5275</v>
      </c>
      <c r="E1678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678" s="32" t="s">
        <v>355</v>
      </c>
      <c r="G1678" s="32" t="s">
        <v>356</v>
      </c>
      <c r="H1678" s="139" t="s">
        <v>5276</v>
      </c>
      <c r="I1678" s="33" t="s">
        <v>3371</v>
      </c>
      <c r="J1678" s="143" t="s">
        <v>5277</v>
      </c>
      <c r="K1678" s="33" t="s">
        <v>169</v>
      </c>
      <c r="L1678" s="102" t="str">
        <f>VLOOKUP(Anexo_4[[#This Row],[cod_doc]],TIPODOC,2,FALSE)</f>
        <v>FACTURA</v>
      </c>
      <c r="M1678" s="33" t="s">
        <v>102</v>
      </c>
      <c r="N1678" s="32" t="s">
        <v>5278</v>
      </c>
      <c r="O1678" s="48">
        <v>550</v>
      </c>
      <c r="P1678" s="49"/>
      <c r="Q1678" s="81">
        <v>99</v>
      </c>
      <c r="R1678" s="80" t="s">
        <v>4341</v>
      </c>
      <c r="S1678" s="48" t="s">
        <v>4341</v>
      </c>
      <c r="T1678" s="72">
        <v>649</v>
      </c>
      <c r="U1678" s="70" t="s">
        <v>5279</v>
      </c>
      <c r="V1678" s="32" t="s">
        <v>5078</v>
      </c>
      <c r="W1678" s="70"/>
      <c r="X1678" s="70"/>
      <c r="Y1678" s="70"/>
      <c r="Z1678" s="70" t="s">
        <v>468</v>
      </c>
      <c r="AA1678" s="71"/>
      <c r="AB1678" s="53" t="str">
        <f>IFERROR(VLOOKUP(Anexo_4[[#This Row],[cuenta]],OP,2,0),"-")</f>
        <v>Transporte de Carga  - Ventas</v>
      </c>
    </row>
    <row r="1679" spans="1:28" ht="27" customHeight="1" x14ac:dyDescent="0.3">
      <c r="A1679" s="34" t="s">
        <v>5080</v>
      </c>
      <c r="B1679" s="36" t="str">
        <f t="shared" si="26"/>
        <v>Setiembre</v>
      </c>
      <c r="C1679" s="33" t="s">
        <v>162</v>
      </c>
      <c r="D1679" s="33" t="s">
        <v>5280</v>
      </c>
      <c r="E1679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679" s="32" t="s">
        <v>1366</v>
      </c>
      <c r="G1679" s="32" t="s">
        <v>1367</v>
      </c>
      <c r="H1679" s="139" t="s">
        <v>5281</v>
      </c>
      <c r="I1679" s="33" t="s">
        <v>4858</v>
      </c>
      <c r="J1679" s="143" t="s">
        <v>5282</v>
      </c>
      <c r="K1679" s="33" t="s">
        <v>239</v>
      </c>
      <c r="L1679" s="102" t="str">
        <f>VLOOKUP(Anexo_4[[#This Row],[cod_doc]],TIPODOC,2,FALSE)</f>
        <v>BOLETA DE VENTA</v>
      </c>
      <c r="M1679" s="33" t="s">
        <v>162</v>
      </c>
      <c r="N1679" s="32" t="s">
        <v>5283</v>
      </c>
      <c r="O1679" s="48" t="s">
        <v>4341</v>
      </c>
      <c r="P1679" s="49"/>
      <c r="Q1679" s="81" t="s">
        <v>4341</v>
      </c>
      <c r="R1679" s="80" t="s">
        <v>4341</v>
      </c>
      <c r="S1679" s="48">
        <v>7</v>
      </c>
      <c r="T1679" s="72">
        <v>7</v>
      </c>
      <c r="U1679" s="70"/>
      <c r="V1679" s="32"/>
      <c r="W1679" s="70"/>
      <c r="X1679" s="70"/>
      <c r="Y1679" s="70"/>
      <c r="Z1679" s="70" t="s">
        <v>4162</v>
      </c>
      <c r="AA1679" s="71"/>
      <c r="AB1679" s="53" t="str">
        <f>IFERROR(VLOOKUP(Anexo_4[[#This Row],[cuenta]],OP,2,0),"-")</f>
        <v>-</v>
      </c>
    </row>
    <row r="1680" spans="1:28" ht="27" customHeight="1" x14ac:dyDescent="0.3">
      <c r="A1680" s="34" t="s">
        <v>4975</v>
      </c>
      <c r="B1680" s="36" t="str">
        <f t="shared" si="26"/>
        <v>Setiembre</v>
      </c>
      <c r="C1680" s="33" t="s">
        <v>162</v>
      </c>
      <c r="D1680" s="33" t="s">
        <v>5284</v>
      </c>
      <c r="E1680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680" s="32" t="s">
        <v>592</v>
      </c>
      <c r="G1680" s="32" t="s">
        <v>593</v>
      </c>
      <c r="H1680" s="139" t="s">
        <v>5285</v>
      </c>
      <c r="I1680" s="33" t="s">
        <v>2598</v>
      </c>
      <c r="J1680" s="143" t="s">
        <v>4629</v>
      </c>
      <c r="K1680" s="33" t="s">
        <v>169</v>
      </c>
      <c r="L1680" s="102" t="str">
        <f>VLOOKUP(Anexo_4[[#This Row],[cod_doc]],TIPODOC,2,FALSE)</f>
        <v>FACTURA</v>
      </c>
      <c r="M1680" s="33" t="s">
        <v>102</v>
      </c>
      <c r="N1680" s="32" t="s">
        <v>5286</v>
      </c>
      <c r="O1680" s="48">
        <v>50</v>
      </c>
      <c r="P1680" s="49"/>
      <c r="Q1680" s="81">
        <v>9</v>
      </c>
      <c r="R1680" s="80" t="s">
        <v>4341</v>
      </c>
      <c r="S1680" s="48" t="s">
        <v>4341</v>
      </c>
      <c r="T1680" s="72">
        <v>59</v>
      </c>
      <c r="U1680" s="70"/>
      <c r="V1680" s="32"/>
      <c r="W1680" s="70"/>
      <c r="X1680" s="70"/>
      <c r="Y1680" s="70"/>
      <c r="Z1680" s="70" t="s">
        <v>645</v>
      </c>
      <c r="AA1680" s="71"/>
      <c r="AB1680" s="53" t="str">
        <f>IFERROR(VLOOKUP(Anexo_4[[#This Row],[cuenta]],OP,2,0),"-")</f>
        <v>Montacarga - Servicios</v>
      </c>
    </row>
    <row r="1681" spans="1:28" ht="27" customHeight="1" x14ac:dyDescent="0.3">
      <c r="A1681" s="34" t="s">
        <v>4975</v>
      </c>
      <c r="B1681" s="36" t="str">
        <f t="shared" si="26"/>
        <v>Setiembre</v>
      </c>
      <c r="C1681" s="33" t="s">
        <v>162</v>
      </c>
      <c r="D1681" s="33" t="s">
        <v>5287</v>
      </c>
      <c r="E1681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681" s="32" t="s">
        <v>391</v>
      </c>
      <c r="G1681" s="32" t="s">
        <v>5041</v>
      </c>
      <c r="H1681" s="139" t="s">
        <v>5288</v>
      </c>
      <c r="I1681" s="33" t="s">
        <v>383</v>
      </c>
      <c r="J1681" s="143" t="s">
        <v>4702</v>
      </c>
      <c r="K1681" s="33" t="s">
        <v>169</v>
      </c>
      <c r="L1681" s="102" t="str">
        <f>VLOOKUP(Anexo_4[[#This Row],[cod_doc]],TIPODOC,2,FALSE)</f>
        <v>FACTURA</v>
      </c>
      <c r="M1681" s="33" t="s">
        <v>103</v>
      </c>
      <c r="N1681" s="32" t="s">
        <v>5289</v>
      </c>
      <c r="O1681" s="48">
        <v>16.95</v>
      </c>
      <c r="P1681" s="49"/>
      <c r="Q1681" s="81">
        <v>3.05</v>
      </c>
      <c r="R1681" s="80" t="s">
        <v>4341</v>
      </c>
      <c r="S1681" s="48" t="s">
        <v>4341</v>
      </c>
      <c r="T1681" s="72">
        <v>20</v>
      </c>
      <c r="U1681" s="70"/>
      <c r="V1681" s="32"/>
      <c r="W1681" s="70"/>
      <c r="X1681" s="70"/>
      <c r="Y1681" s="70" t="s">
        <v>5290</v>
      </c>
      <c r="Z1681" s="70" t="s">
        <v>386</v>
      </c>
      <c r="AA1681" s="71"/>
      <c r="AB1681" s="53" t="str">
        <f>IFERROR(VLOOKUP(Anexo_4[[#This Row],[cuenta]],OP,2,0),"-")</f>
        <v>Balanza - Servicios</v>
      </c>
    </row>
    <row r="1682" spans="1:28" ht="27" customHeight="1" x14ac:dyDescent="0.3">
      <c r="A1682" s="34" t="s">
        <v>5080</v>
      </c>
      <c r="B1682" s="36" t="str">
        <f t="shared" si="26"/>
        <v>Setiembre</v>
      </c>
      <c r="C1682" s="33" t="s">
        <v>162</v>
      </c>
      <c r="D1682" s="33" t="s">
        <v>5291</v>
      </c>
      <c r="E1682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682" s="32" t="s">
        <v>391</v>
      </c>
      <c r="G1682" s="32" t="s">
        <v>5041</v>
      </c>
      <c r="H1682" s="139" t="s">
        <v>5292</v>
      </c>
      <c r="I1682" s="33" t="s">
        <v>529</v>
      </c>
      <c r="J1682" s="143" t="s">
        <v>5293</v>
      </c>
      <c r="K1682" s="33" t="s">
        <v>169</v>
      </c>
      <c r="L1682" s="102" t="str">
        <f>VLOOKUP(Anexo_4[[#This Row],[cod_doc]],TIPODOC,2,FALSE)</f>
        <v>FACTURA</v>
      </c>
      <c r="M1682" s="33" t="s">
        <v>531</v>
      </c>
      <c r="N1682" s="32" t="s">
        <v>5294</v>
      </c>
      <c r="O1682" s="48">
        <v>8.4700000000000006</v>
      </c>
      <c r="P1682" s="49"/>
      <c r="Q1682" s="81">
        <v>1.53</v>
      </c>
      <c r="R1682" s="80" t="s">
        <v>4341</v>
      </c>
      <c r="S1682" s="48" t="s">
        <v>4341</v>
      </c>
      <c r="T1682" s="72">
        <v>10</v>
      </c>
      <c r="U1682" s="70"/>
      <c r="V1682" s="32"/>
      <c r="W1682" s="70"/>
      <c r="X1682" s="70"/>
      <c r="Y1682" s="70" t="s">
        <v>5295</v>
      </c>
      <c r="Z1682" s="70" t="s">
        <v>386</v>
      </c>
      <c r="AA1682" s="71"/>
      <c r="AB1682" s="53" t="str">
        <f>IFERROR(VLOOKUP(Anexo_4[[#This Row],[cuenta]],OP,2,0),"-")</f>
        <v>Balanza - Servicios</v>
      </c>
    </row>
    <row r="1683" spans="1:28" ht="27" customHeight="1" x14ac:dyDescent="0.3">
      <c r="A1683" s="34" t="s">
        <v>5071</v>
      </c>
      <c r="B1683" s="36" t="str">
        <f t="shared" si="26"/>
        <v>Setiembre</v>
      </c>
      <c r="C1683" s="33" t="s">
        <v>162</v>
      </c>
      <c r="D1683" s="33" t="s">
        <v>5296</v>
      </c>
      <c r="E1683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683" s="32" t="s">
        <v>391</v>
      </c>
      <c r="G1683" s="32" t="s">
        <v>5041</v>
      </c>
      <c r="H1683" s="139" t="s">
        <v>5297</v>
      </c>
      <c r="I1683" s="33" t="s">
        <v>504</v>
      </c>
      <c r="J1683" s="143" t="s">
        <v>4717</v>
      </c>
      <c r="K1683" s="33" t="s">
        <v>169</v>
      </c>
      <c r="L1683" s="102" t="str">
        <f>VLOOKUP(Anexo_4[[#This Row],[cod_doc]],TIPODOC,2,FALSE)</f>
        <v>FACTURA</v>
      </c>
      <c r="M1683" s="33" t="s">
        <v>222</v>
      </c>
      <c r="N1683" s="32" t="s">
        <v>5298</v>
      </c>
      <c r="O1683" s="48">
        <v>21.19</v>
      </c>
      <c r="P1683" s="49"/>
      <c r="Q1683" s="81">
        <v>3.81</v>
      </c>
      <c r="R1683" s="80" t="s">
        <v>4341</v>
      </c>
      <c r="S1683" s="48" t="s">
        <v>4341</v>
      </c>
      <c r="T1683" s="72">
        <v>25</v>
      </c>
      <c r="U1683" s="70"/>
      <c r="V1683" s="32"/>
      <c r="W1683" s="70"/>
      <c r="X1683" s="70"/>
      <c r="Y1683" s="70" t="s">
        <v>5299</v>
      </c>
      <c r="Z1683" s="70" t="s">
        <v>507</v>
      </c>
      <c r="AA1683" s="71"/>
      <c r="AB1683" s="53" t="str">
        <f>IFERROR(VLOOKUP(Anexo_4[[#This Row],[cuenta]],OP,2,0),"-")</f>
        <v>Transporte lavado (Higienización)</v>
      </c>
    </row>
    <row r="1684" spans="1:28" ht="27" customHeight="1" x14ac:dyDescent="0.3">
      <c r="A1684" s="34" t="s">
        <v>5080</v>
      </c>
      <c r="B1684" s="36" t="str">
        <f t="shared" si="26"/>
        <v>Setiembre</v>
      </c>
      <c r="C1684" s="33" t="s">
        <v>162</v>
      </c>
      <c r="D1684" s="33" t="s">
        <v>5300</v>
      </c>
      <c r="E1684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684" s="32" t="s">
        <v>391</v>
      </c>
      <c r="G1684" s="32" t="s">
        <v>5041</v>
      </c>
      <c r="H1684" s="139" t="s">
        <v>5301</v>
      </c>
      <c r="I1684" s="33" t="s">
        <v>178</v>
      </c>
      <c r="J1684" s="143" t="s">
        <v>4667</v>
      </c>
      <c r="K1684" s="33" t="s">
        <v>169</v>
      </c>
      <c r="L1684" s="102" t="str">
        <f>VLOOKUP(Anexo_4[[#This Row],[cod_doc]],TIPODOC,2,FALSE)</f>
        <v>FACTURA</v>
      </c>
      <c r="M1684" s="33" t="s">
        <v>180</v>
      </c>
      <c r="N1684" s="32" t="s">
        <v>5302</v>
      </c>
      <c r="O1684" s="48">
        <v>8.4700000000000006</v>
      </c>
      <c r="P1684" s="49"/>
      <c r="Q1684" s="81">
        <v>1.53</v>
      </c>
      <c r="R1684" s="80" t="s">
        <v>4341</v>
      </c>
      <c r="S1684" s="48" t="s">
        <v>4341</v>
      </c>
      <c r="T1684" s="72">
        <v>10</v>
      </c>
      <c r="U1684" s="70"/>
      <c r="V1684" s="32"/>
      <c r="W1684" s="70"/>
      <c r="X1684" s="70"/>
      <c r="Y1684" s="70" t="s">
        <v>5303</v>
      </c>
      <c r="Z1684" s="70" t="s">
        <v>182</v>
      </c>
      <c r="AA1684" s="71"/>
      <c r="AB1684" s="53" t="str">
        <f>IFERROR(VLOOKUP(Anexo_4[[#This Row],[cuenta]],OP,2,0),"-")</f>
        <v>Balanza - Ventas</v>
      </c>
    </row>
    <row r="1685" spans="1:28" ht="27" customHeight="1" x14ac:dyDescent="0.3">
      <c r="A1685" s="34" t="s">
        <v>4975</v>
      </c>
      <c r="B1685" s="36" t="str">
        <f t="shared" si="26"/>
        <v>Setiembre</v>
      </c>
      <c r="C1685" s="33" t="s">
        <v>162</v>
      </c>
      <c r="D1685" s="33" t="s">
        <v>5304</v>
      </c>
      <c r="E1685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685" s="32" t="s">
        <v>391</v>
      </c>
      <c r="G1685" s="32" t="s">
        <v>5041</v>
      </c>
      <c r="H1685" s="139" t="s">
        <v>5305</v>
      </c>
      <c r="I1685" s="33" t="s">
        <v>264</v>
      </c>
      <c r="J1685" s="143" t="s">
        <v>4644</v>
      </c>
      <c r="K1685" s="33" t="s">
        <v>169</v>
      </c>
      <c r="L1685" s="102" t="str">
        <f>VLOOKUP(Anexo_4[[#This Row],[cod_doc]],TIPODOC,2,FALSE)</f>
        <v>FACTURA</v>
      </c>
      <c r="M1685" s="33" t="s">
        <v>271</v>
      </c>
      <c r="N1685" s="32" t="s">
        <v>5306</v>
      </c>
      <c r="O1685" s="48">
        <v>6.78</v>
      </c>
      <c r="P1685" s="49"/>
      <c r="Q1685" s="81">
        <v>1.22</v>
      </c>
      <c r="R1685" s="80" t="s">
        <v>4341</v>
      </c>
      <c r="S1685" s="48" t="s">
        <v>4341</v>
      </c>
      <c r="T1685" s="72">
        <v>8</v>
      </c>
      <c r="U1685" s="70"/>
      <c r="V1685" s="32"/>
      <c r="W1685" s="70"/>
      <c r="X1685" s="70"/>
      <c r="Y1685" s="70" t="s">
        <v>5307</v>
      </c>
      <c r="Z1685" s="70" t="s">
        <v>302</v>
      </c>
      <c r="AA1685" s="71"/>
      <c r="AB1685" s="53" t="str">
        <f>IFERROR(VLOOKUP(Anexo_4[[#This Row],[cuenta]],OP,2,0),"-")</f>
        <v>Transporte peajes - Servicios</v>
      </c>
    </row>
    <row r="1686" spans="1:28" ht="27" customHeight="1" x14ac:dyDescent="0.3">
      <c r="A1686" s="34" t="s">
        <v>4975</v>
      </c>
      <c r="B1686" s="36" t="str">
        <f t="shared" si="26"/>
        <v>Setiembre</v>
      </c>
      <c r="C1686" s="33" t="s">
        <v>162</v>
      </c>
      <c r="D1686" s="33" t="s">
        <v>5308</v>
      </c>
      <c r="E1686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686" s="32" t="s">
        <v>391</v>
      </c>
      <c r="G1686" s="32" t="s">
        <v>5041</v>
      </c>
      <c r="H1686" s="139" t="s">
        <v>5309</v>
      </c>
      <c r="I1686" s="33" t="s">
        <v>264</v>
      </c>
      <c r="J1686" s="143" t="s">
        <v>4644</v>
      </c>
      <c r="K1686" s="33" t="s">
        <v>169</v>
      </c>
      <c r="L1686" s="102" t="str">
        <f>VLOOKUP(Anexo_4[[#This Row],[cod_doc]],TIPODOC,2,FALSE)</f>
        <v>FACTURA</v>
      </c>
      <c r="M1686" s="33" t="s">
        <v>379</v>
      </c>
      <c r="N1686" s="32" t="s">
        <v>5310</v>
      </c>
      <c r="O1686" s="48">
        <v>6.78</v>
      </c>
      <c r="P1686" s="49"/>
      <c r="Q1686" s="81">
        <v>1.22</v>
      </c>
      <c r="R1686" s="80" t="s">
        <v>4341</v>
      </c>
      <c r="S1686" s="48" t="s">
        <v>4341</v>
      </c>
      <c r="T1686" s="72">
        <v>8</v>
      </c>
      <c r="U1686" s="70"/>
      <c r="V1686" s="32"/>
      <c r="W1686" s="70"/>
      <c r="X1686" s="70"/>
      <c r="Y1686" s="70" t="s">
        <v>5311</v>
      </c>
      <c r="Z1686" s="70" t="s">
        <v>302</v>
      </c>
      <c r="AA1686" s="71"/>
      <c r="AB1686" s="53" t="str">
        <f>IFERROR(VLOOKUP(Anexo_4[[#This Row],[cuenta]],OP,2,0),"-")</f>
        <v>Transporte peajes - Servicios</v>
      </c>
    </row>
    <row r="1687" spans="1:28" ht="27" customHeight="1" x14ac:dyDescent="0.3">
      <c r="A1687" s="34" t="s">
        <v>5095</v>
      </c>
      <c r="B1687" s="36" t="str">
        <f t="shared" si="26"/>
        <v>Setiembre</v>
      </c>
      <c r="C1687" s="33" t="s">
        <v>162</v>
      </c>
      <c r="D1687" s="33" t="s">
        <v>5312</v>
      </c>
      <c r="E1687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687" s="32" t="s">
        <v>391</v>
      </c>
      <c r="G1687" s="32" t="s">
        <v>5041</v>
      </c>
      <c r="H1687" s="139" t="s">
        <v>5313</v>
      </c>
      <c r="I1687" s="33" t="s">
        <v>264</v>
      </c>
      <c r="J1687" s="143" t="s">
        <v>4644</v>
      </c>
      <c r="K1687" s="33" t="s">
        <v>169</v>
      </c>
      <c r="L1687" s="102" t="str">
        <f>VLOOKUP(Anexo_4[[#This Row],[cod_doc]],TIPODOC,2,FALSE)</f>
        <v>FACTURA</v>
      </c>
      <c r="M1687" s="33" t="s">
        <v>352</v>
      </c>
      <c r="N1687" s="32" t="s">
        <v>5314</v>
      </c>
      <c r="O1687" s="48">
        <v>6.78</v>
      </c>
      <c r="P1687" s="49"/>
      <c r="Q1687" s="81">
        <v>1.22</v>
      </c>
      <c r="R1687" s="80" t="s">
        <v>4341</v>
      </c>
      <c r="S1687" s="48" t="s">
        <v>4341</v>
      </c>
      <c r="T1687" s="72">
        <v>8</v>
      </c>
      <c r="U1687" s="70"/>
      <c r="V1687" s="32"/>
      <c r="W1687" s="70"/>
      <c r="X1687" s="70"/>
      <c r="Y1687" s="70" t="s">
        <v>5315</v>
      </c>
      <c r="Z1687" s="70" t="s">
        <v>268</v>
      </c>
      <c r="AA1687" s="71"/>
      <c r="AB1687" s="53" t="str">
        <f>IFERROR(VLOOKUP(Anexo_4[[#This Row],[cuenta]],OP,2,0),"-")</f>
        <v>Transporte peajes - Ventas</v>
      </c>
    </row>
    <row r="1688" spans="1:28" ht="27" customHeight="1" x14ac:dyDescent="0.3">
      <c r="A1688" s="34" t="s">
        <v>5095</v>
      </c>
      <c r="B1688" s="36" t="str">
        <f t="shared" si="26"/>
        <v>Setiembre</v>
      </c>
      <c r="C1688" s="33" t="s">
        <v>162</v>
      </c>
      <c r="D1688" s="33" t="s">
        <v>5316</v>
      </c>
      <c r="E1688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688" s="32" t="s">
        <v>391</v>
      </c>
      <c r="G1688" s="32" t="s">
        <v>5041</v>
      </c>
      <c r="H1688" s="139" t="s">
        <v>5317</v>
      </c>
      <c r="I1688" s="33" t="s">
        <v>264</v>
      </c>
      <c r="J1688" s="143" t="s">
        <v>4644</v>
      </c>
      <c r="K1688" s="33" t="s">
        <v>169</v>
      </c>
      <c r="L1688" s="102" t="str">
        <f>VLOOKUP(Anexo_4[[#This Row],[cod_doc]],TIPODOC,2,FALSE)</f>
        <v>FACTURA</v>
      </c>
      <c r="M1688" s="33" t="s">
        <v>271</v>
      </c>
      <c r="N1688" s="32" t="s">
        <v>5318</v>
      </c>
      <c r="O1688" s="48">
        <v>6.78</v>
      </c>
      <c r="P1688" s="49"/>
      <c r="Q1688" s="81">
        <v>1.22</v>
      </c>
      <c r="R1688" s="80" t="s">
        <v>4341</v>
      </c>
      <c r="S1688" s="48" t="s">
        <v>4341</v>
      </c>
      <c r="T1688" s="72">
        <v>8</v>
      </c>
      <c r="U1688" s="70"/>
      <c r="V1688" s="32"/>
      <c r="W1688" s="70"/>
      <c r="X1688" s="70"/>
      <c r="Y1688" s="70" t="s">
        <v>5319</v>
      </c>
      <c r="Z1688" s="70" t="s">
        <v>268</v>
      </c>
      <c r="AA1688" s="71"/>
      <c r="AB1688" s="53" t="str">
        <f>IFERROR(VLOOKUP(Anexo_4[[#This Row],[cuenta]],OP,2,0),"-")</f>
        <v>Transporte peajes - Ventas</v>
      </c>
    </row>
    <row r="1689" spans="1:28" ht="27" customHeight="1" x14ac:dyDescent="0.3">
      <c r="A1689" s="34" t="s">
        <v>5071</v>
      </c>
      <c r="B1689" s="36" t="str">
        <f t="shared" si="26"/>
        <v>Setiembre</v>
      </c>
      <c r="C1689" s="33" t="s">
        <v>162</v>
      </c>
      <c r="D1689" s="33" t="s">
        <v>5320</v>
      </c>
      <c r="E1689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689" s="32" t="s">
        <v>391</v>
      </c>
      <c r="G1689" s="32" t="s">
        <v>5041</v>
      </c>
      <c r="H1689" s="139" t="s">
        <v>5321</v>
      </c>
      <c r="I1689" s="33" t="s">
        <v>264</v>
      </c>
      <c r="J1689" s="143" t="s">
        <v>4644</v>
      </c>
      <c r="K1689" s="33" t="s">
        <v>169</v>
      </c>
      <c r="L1689" s="102" t="str">
        <f>VLOOKUP(Anexo_4[[#This Row],[cod_doc]],TIPODOC,2,FALSE)</f>
        <v>FACTURA</v>
      </c>
      <c r="M1689" s="33" t="s">
        <v>271</v>
      </c>
      <c r="N1689" s="32" t="s">
        <v>5322</v>
      </c>
      <c r="O1689" s="48">
        <v>6.78</v>
      </c>
      <c r="P1689" s="49"/>
      <c r="Q1689" s="81">
        <v>1.22</v>
      </c>
      <c r="R1689" s="80" t="s">
        <v>4341</v>
      </c>
      <c r="S1689" s="48" t="s">
        <v>4341</v>
      </c>
      <c r="T1689" s="72">
        <v>8</v>
      </c>
      <c r="U1689" s="70"/>
      <c r="V1689" s="32"/>
      <c r="W1689" s="70"/>
      <c r="X1689" s="70"/>
      <c r="Y1689" s="70" t="s">
        <v>5323</v>
      </c>
      <c r="Z1689" s="70" t="s">
        <v>268</v>
      </c>
      <c r="AA1689" s="71"/>
      <c r="AB1689" s="53" t="str">
        <f>IFERROR(VLOOKUP(Anexo_4[[#This Row],[cuenta]],OP,2,0),"-")</f>
        <v>Transporte peajes - Ventas</v>
      </c>
    </row>
    <row r="1690" spans="1:28" ht="27" customHeight="1" x14ac:dyDescent="0.3">
      <c r="A1690" s="34" t="s">
        <v>5071</v>
      </c>
      <c r="B1690" s="36" t="str">
        <f t="shared" si="26"/>
        <v>Setiembre</v>
      </c>
      <c r="C1690" s="33" t="s">
        <v>162</v>
      </c>
      <c r="D1690" s="33" t="s">
        <v>5324</v>
      </c>
      <c r="E1690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690" s="32" t="s">
        <v>391</v>
      </c>
      <c r="G1690" s="32" t="s">
        <v>5041</v>
      </c>
      <c r="H1690" s="139" t="s">
        <v>5325</v>
      </c>
      <c r="I1690" s="33" t="s">
        <v>264</v>
      </c>
      <c r="J1690" s="143" t="s">
        <v>4644</v>
      </c>
      <c r="K1690" s="33" t="s">
        <v>169</v>
      </c>
      <c r="L1690" s="102" t="str">
        <f>VLOOKUP(Anexo_4[[#This Row],[cod_doc]],TIPODOC,2,FALSE)</f>
        <v>FACTURA</v>
      </c>
      <c r="M1690" s="33" t="s">
        <v>352</v>
      </c>
      <c r="N1690" s="32" t="s">
        <v>5326</v>
      </c>
      <c r="O1690" s="48">
        <v>6.78</v>
      </c>
      <c r="P1690" s="49"/>
      <c r="Q1690" s="81">
        <v>1.22</v>
      </c>
      <c r="R1690" s="80" t="s">
        <v>4341</v>
      </c>
      <c r="S1690" s="48" t="s">
        <v>4341</v>
      </c>
      <c r="T1690" s="72">
        <v>8</v>
      </c>
      <c r="U1690" s="70"/>
      <c r="V1690" s="32"/>
      <c r="W1690" s="70"/>
      <c r="X1690" s="70"/>
      <c r="Y1690" s="70" t="s">
        <v>5327</v>
      </c>
      <c r="Z1690" s="70" t="s">
        <v>302</v>
      </c>
      <c r="AA1690" s="71"/>
      <c r="AB1690" s="53" t="str">
        <f>IFERROR(VLOOKUP(Anexo_4[[#This Row],[cuenta]],OP,2,0),"-")</f>
        <v>Transporte peajes - Servicios</v>
      </c>
    </row>
    <row r="1691" spans="1:28" ht="27" customHeight="1" x14ac:dyDescent="0.3">
      <c r="A1691" s="34" t="s">
        <v>5328</v>
      </c>
      <c r="B1691" s="36" t="str">
        <f t="shared" si="26"/>
        <v>Setiembre</v>
      </c>
      <c r="C1691" s="33" t="s">
        <v>162</v>
      </c>
      <c r="D1691" s="33" t="s">
        <v>5329</v>
      </c>
      <c r="E1691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691" s="32" t="s">
        <v>248</v>
      </c>
      <c r="G1691" s="32" t="s">
        <v>249</v>
      </c>
      <c r="H1691" s="139" t="s">
        <v>5330</v>
      </c>
      <c r="I1691" s="33" t="s">
        <v>5331</v>
      </c>
      <c r="J1691" s="143" t="s">
        <v>5332</v>
      </c>
      <c r="K1691" s="33" t="s">
        <v>169</v>
      </c>
      <c r="L1691" s="102" t="str">
        <f>VLOOKUP(Anexo_4[[#This Row],[cod_doc]],TIPODOC,2,FALSE)</f>
        <v>FACTURA</v>
      </c>
      <c r="M1691" s="33" t="s">
        <v>3719</v>
      </c>
      <c r="N1691" s="32" t="s">
        <v>5333</v>
      </c>
      <c r="O1691" s="48">
        <v>155</v>
      </c>
      <c r="P1691" s="49"/>
      <c r="Q1691" s="81">
        <v>27.9</v>
      </c>
      <c r="R1691" s="80" t="s">
        <v>4341</v>
      </c>
      <c r="S1691" s="48" t="s">
        <v>4341</v>
      </c>
      <c r="T1691" s="72">
        <v>182.9</v>
      </c>
      <c r="U1691" s="70" t="s">
        <v>5334</v>
      </c>
      <c r="V1691" s="32" t="s">
        <v>5078</v>
      </c>
      <c r="W1691" s="70"/>
      <c r="X1691" s="70"/>
      <c r="Y1691" s="70"/>
      <c r="Z1691" s="70" t="s">
        <v>256</v>
      </c>
      <c r="AA1691" s="71"/>
      <c r="AB1691" s="53" t="str">
        <f>IFERROR(VLOOKUP(Anexo_4[[#This Row],[cuenta]],OP,2,0),"-")</f>
        <v>Materias Primas - RRSS</v>
      </c>
    </row>
    <row r="1692" spans="1:28" ht="27" customHeight="1" x14ac:dyDescent="0.3">
      <c r="A1692" s="34" t="s">
        <v>5078</v>
      </c>
      <c r="B1692" s="36" t="str">
        <f t="shared" si="26"/>
        <v>Setiembre</v>
      </c>
      <c r="C1692" s="33" t="s">
        <v>162</v>
      </c>
      <c r="D1692" s="33" t="s">
        <v>5335</v>
      </c>
      <c r="E1692" s="37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1692" s="32" t="s">
        <v>198</v>
      </c>
      <c r="G1692" s="32" t="s">
        <v>199</v>
      </c>
      <c r="H1692" s="139" t="s">
        <v>5336</v>
      </c>
      <c r="I1692" s="33" t="s">
        <v>5337</v>
      </c>
      <c r="J1692" s="143" t="s">
        <v>5338</v>
      </c>
      <c r="K1692" s="33" t="s">
        <v>169</v>
      </c>
      <c r="L1692" s="102" t="str">
        <f>VLOOKUP(Anexo_4[[#This Row],[cod_doc]],TIPODOC,2,FALSE)</f>
        <v>FACTURA</v>
      </c>
      <c r="M1692" s="33" t="s">
        <v>102</v>
      </c>
      <c r="N1692" s="32" t="s">
        <v>5339</v>
      </c>
      <c r="O1692" s="48">
        <v>932.2</v>
      </c>
      <c r="P1692" s="49"/>
      <c r="Q1692" s="81">
        <v>167.8</v>
      </c>
      <c r="R1692" s="80" t="s">
        <v>4341</v>
      </c>
      <c r="S1692" s="48" t="s">
        <v>4341</v>
      </c>
      <c r="T1692" s="72">
        <v>1100</v>
      </c>
      <c r="U1692" s="70" t="s">
        <v>5340</v>
      </c>
      <c r="V1692" s="32" t="s">
        <v>5238</v>
      </c>
      <c r="W1692" s="70"/>
      <c r="X1692" s="70"/>
      <c r="Y1692" s="70"/>
      <c r="Z1692" s="70" t="s">
        <v>468</v>
      </c>
      <c r="AA1692" s="71"/>
      <c r="AB1692" s="53" t="str">
        <f>IFERROR(VLOOKUP(Anexo_4[[#This Row],[cuenta]],OP,2,0),"-")</f>
        <v>Transporte de Carga  - Ventas</v>
      </c>
    </row>
    <row r="1693" spans="1:28" ht="27" customHeight="1" x14ac:dyDescent="0.3">
      <c r="A1693" s="34" t="s">
        <v>5328</v>
      </c>
      <c r="B1693" s="36" t="str">
        <f t="shared" si="26"/>
        <v>Setiembre</v>
      </c>
      <c r="C1693" s="33" t="s">
        <v>162</v>
      </c>
      <c r="D1693" s="33" t="s">
        <v>5341</v>
      </c>
      <c r="E1693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693" s="32" t="s">
        <v>442</v>
      </c>
      <c r="G1693" s="32" t="s">
        <v>443</v>
      </c>
      <c r="H1693" s="139" t="s">
        <v>5342</v>
      </c>
      <c r="I1693" s="33" t="s">
        <v>5343</v>
      </c>
      <c r="J1693" s="143" t="s">
        <v>5344</v>
      </c>
      <c r="K1693" s="33" t="s">
        <v>169</v>
      </c>
      <c r="L1693" s="102" t="str">
        <f>VLOOKUP(Anexo_4[[#This Row],[cod_doc]],TIPODOC,2,FALSE)</f>
        <v>FACTURA</v>
      </c>
      <c r="M1693" s="33" t="s">
        <v>102</v>
      </c>
      <c r="N1693" s="32" t="s">
        <v>5345</v>
      </c>
      <c r="O1693" s="48">
        <v>93.22</v>
      </c>
      <c r="P1693" s="49"/>
      <c r="Q1693" s="81">
        <v>16.78</v>
      </c>
      <c r="R1693" s="80" t="s">
        <v>4341</v>
      </c>
      <c r="S1693" s="48" t="s">
        <v>4341</v>
      </c>
      <c r="T1693" s="72">
        <v>110</v>
      </c>
      <c r="U1693" s="70"/>
      <c r="V1693" s="32"/>
      <c r="W1693" s="70"/>
      <c r="X1693" s="70"/>
      <c r="Y1693" s="70"/>
      <c r="Z1693" s="70" t="s">
        <v>447</v>
      </c>
      <c r="AA1693" s="71"/>
      <c r="AB1693" s="53" t="str">
        <f>IFERROR(VLOOKUP(Anexo_4[[#This Row],[cuenta]],OP,2,0),"-")</f>
        <v>-</v>
      </c>
    </row>
    <row r="1694" spans="1:28" ht="27" customHeight="1" x14ac:dyDescent="0.3">
      <c r="A1694" s="34" t="s">
        <v>5328</v>
      </c>
      <c r="B1694" s="36" t="str">
        <f t="shared" si="26"/>
        <v>Setiembre</v>
      </c>
      <c r="C1694" s="33" t="s">
        <v>162</v>
      </c>
      <c r="D1694" s="33" t="s">
        <v>5341</v>
      </c>
      <c r="E1694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694" s="32" t="s">
        <v>442</v>
      </c>
      <c r="G1694" s="32" t="s">
        <v>443</v>
      </c>
      <c r="H1694" s="139" t="s">
        <v>5342</v>
      </c>
      <c r="I1694" s="33" t="s">
        <v>5343</v>
      </c>
      <c r="J1694" s="143" t="s">
        <v>5344</v>
      </c>
      <c r="K1694" s="33" t="s">
        <v>169</v>
      </c>
      <c r="L1694" s="102" t="str">
        <f>VLOOKUP(Anexo_4[[#This Row],[cod_doc]],TIPODOC,2,FALSE)</f>
        <v>FACTURA</v>
      </c>
      <c r="M1694" s="33" t="s">
        <v>102</v>
      </c>
      <c r="N1694" s="32" t="s">
        <v>5345</v>
      </c>
      <c r="O1694" s="48">
        <v>38.14</v>
      </c>
      <c r="P1694" s="49"/>
      <c r="Q1694" s="81">
        <v>6.87</v>
      </c>
      <c r="R1694" s="80" t="s">
        <v>4341</v>
      </c>
      <c r="S1694" s="48" t="s">
        <v>4341</v>
      </c>
      <c r="T1694" s="72">
        <v>45.01</v>
      </c>
      <c r="U1694" s="70"/>
      <c r="V1694" s="32"/>
      <c r="W1694" s="70"/>
      <c r="X1694" s="70"/>
      <c r="Y1694" s="70"/>
      <c r="Z1694" s="70" t="s">
        <v>5346</v>
      </c>
      <c r="AA1694" s="71"/>
      <c r="AB1694" s="53" t="str">
        <f>IFERROR(VLOOKUP(Anexo_4[[#This Row],[cuenta]],OP,2,0),"-")</f>
        <v>-</v>
      </c>
    </row>
    <row r="1695" spans="1:28" ht="27" customHeight="1" x14ac:dyDescent="0.3">
      <c r="A1695" s="34" t="s">
        <v>4994</v>
      </c>
      <c r="B1695" s="36" t="str">
        <f t="shared" si="26"/>
        <v>Setiembre</v>
      </c>
      <c r="C1695" s="33" t="s">
        <v>162</v>
      </c>
      <c r="D1695" s="33" t="s">
        <v>5347</v>
      </c>
      <c r="E1695" s="37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1695" s="32" t="s">
        <v>198</v>
      </c>
      <c r="G1695" s="32" t="s">
        <v>199</v>
      </c>
      <c r="H1695" s="139" t="s">
        <v>5348</v>
      </c>
      <c r="I1695" s="33" t="s">
        <v>933</v>
      </c>
      <c r="J1695" s="143" t="s">
        <v>5349</v>
      </c>
      <c r="K1695" s="33" t="s">
        <v>169</v>
      </c>
      <c r="L1695" s="102" t="str">
        <f>VLOOKUP(Anexo_4[[#This Row],[cod_doc]],TIPODOC,2,FALSE)</f>
        <v>FACTURA</v>
      </c>
      <c r="M1695" s="33" t="s">
        <v>102</v>
      </c>
      <c r="N1695" s="32" t="s">
        <v>5350</v>
      </c>
      <c r="O1695" s="48">
        <v>500</v>
      </c>
      <c r="P1695" s="49"/>
      <c r="Q1695" s="81">
        <v>90</v>
      </c>
      <c r="R1695" s="80" t="s">
        <v>4341</v>
      </c>
      <c r="S1695" s="48" t="s">
        <v>4341</v>
      </c>
      <c r="T1695" s="72">
        <v>590</v>
      </c>
      <c r="U1695" s="70" t="s">
        <v>5351</v>
      </c>
      <c r="V1695" s="32" t="s">
        <v>5238</v>
      </c>
      <c r="W1695" s="70"/>
      <c r="X1695" s="70"/>
      <c r="Y1695" s="70"/>
      <c r="Z1695" s="70" t="s">
        <v>468</v>
      </c>
      <c r="AA1695" s="71"/>
      <c r="AB1695" s="53" t="str">
        <f>IFERROR(VLOOKUP(Anexo_4[[#This Row],[cuenta]],OP,2,0),"-")</f>
        <v>Transporte de Carga  - Ventas</v>
      </c>
    </row>
    <row r="1696" spans="1:28" ht="27" customHeight="1" x14ac:dyDescent="0.3">
      <c r="A1696" s="34" t="s">
        <v>4994</v>
      </c>
      <c r="B1696" s="36" t="str">
        <f t="shared" si="26"/>
        <v>Setiembre</v>
      </c>
      <c r="C1696" s="33" t="s">
        <v>162</v>
      </c>
      <c r="D1696" s="33" t="s">
        <v>5352</v>
      </c>
      <c r="E1696" s="37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1696" s="32" t="s">
        <v>198</v>
      </c>
      <c r="G1696" s="32" t="s">
        <v>199</v>
      </c>
      <c r="H1696" s="139" t="s">
        <v>5353</v>
      </c>
      <c r="I1696" s="33" t="s">
        <v>933</v>
      </c>
      <c r="J1696" s="143" t="s">
        <v>5349</v>
      </c>
      <c r="K1696" s="33" t="s">
        <v>169</v>
      </c>
      <c r="L1696" s="102" t="str">
        <f>VLOOKUP(Anexo_4[[#This Row],[cod_doc]],TIPODOC,2,FALSE)</f>
        <v>FACTURA</v>
      </c>
      <c r="M1696" s="33" t="s">
        <v>102</v>
      </c>
      <c r="N1696" s="32" t="s">
        <v>5354</v>
      </c>
      <c r="O1696" s="48">
        <v>400</v>
      </c>
      <c r="P1696" s="49"/>
      <c r="Q1696" s="81">
        <v>72</v>
      </c>
      <c r="R1696" s="80" t="s">
        <v>4341</v>
      </c>
      <c r="S1696" s="48" t="s">
        <v>4341</v>
      </c>
      <c r="T1696" s="72">
        <v>472</v>
      </c>
      <c r="U1696" s="70" t="s">
        <v>5355</v>
      </c>
      <c r="V1696" s="32" t="s">
        <v>5238</v>
      </c>
      <c r="W1696" s="70"/>
      <c r="X1696" s="70"/>
      <c r="Y1696" s="70"/>
      <c r="Z1696" s="70" t="s">
        <v>468</v>
      </c>
      <c r="AA1696" s="71"/>
      <c r="AB1696" s="53" t="str">
        <f>IFERROR(VLOOKUP(Anexo_4[[#This Row],[cuenta]],OP,2,0),"-")</f>
        <v>Transporte de Carga  - Ventas</v>
      </c>
    </row>
    <row r="1697" spans="1:28" ht="27" customHeight="1" x14ac:dyDescent="0.3">
      <c r="A1697" s="34" t="s">
        <v>5328</v>
      </c>
      <c r="B1697" s="36" t="str">
        <f t="shared" si="26"/>
        <v>Setiembre</v>
      </c>
      <c r="C1697" s="33" t="s">
        <v>162</v>
      </c>
      <c r="D1697" s="33" t="s">
        <v>5356</v>
      </c>
      <c r="E1697" s="37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1697" s="32" t="s">
        <v>198</v>
      </c>
      <c r="G1697" s="32" t="s">
        <v>199</v>
      </c>
      <c r="H1697" s="139" t="s">
        <v>5357</v>
      </c>
      <c r="I1697" s="33" t="s">
        <v>2465</v>
      </c>
      <c r="J1697" s="143" t="s">
        <v>4896</v>
      </c>
      <c r="K1697" s="33" t="s">
        <v>169</v>
      </c>
      <c r="L1697" s="102" t="str">
        <f>VLOOKUP(Anexo_4[[#This Row],[cod_doc]],TIPODOC,2,FALSE)</f>
        <v>FACTURA</v>
      </c>
      <c r="M1697" s="33" t="s">
        <v>2288</v>
      </c>
      <c r="N1697" s="32" t="s">
        <v>5358</v>
      </c>
      <c r="O1697" s="48">
        <v>311</v>
      </c>
      <c r="P1697" s="49"/>
      <c r="Q1697" s="81">
        <v>55.98</v>
      </c>
      <c r="R1697" s="80" t="s">
        <v>4341</v>
      </c>
      <c r="S1697" s="48" t="s">
        <v>4341</v>
      </c>
      <c r="T1697" s="72">
        <v>366.98</v>
      </c>
      <c r="U1697" s="70"/>
      <c r="V1697" s="32"/>
      <c r="W1697" s="70"/>
      <c r="X1697" s="70"/>
      <c r="Y1697" s="70"/>
      <c r="Z1697" s="70" t="s">
        <v>2468</v>
      </c>
      <c r="AA1697" s="71"/>
      <c r="AB1697" s="53" t="str">
        <f>IFERROR(VLOOKUP(Anexo_4[[#This Row],[cuenta]],OP,2,0),"-")</f>
        <v>Vigilancia Médica</v>
      </c>
    </row>
    <row r="1698" spans="1:28" ht="27" customHeight="1" x14ac:dyDescent="0.3">
      <c r="A1698" s="34" t="s">
        <v>5328</v>
      </c>
      <c r="B1698" s="36" t="str">
        <f t="shared" si="26"/>
        <v>Setiembre</v>
      </c>
      <c r="C1698" s="33" t="s">
        <v>162</v>
      </c>
      <c r="D1698" s="33" t="s">
        <v>5359</v>
      </c>
      <c r="E1698" s="37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1698" s="32" t="s">
        <v>198</v>
      </c>
      <c r="G1698" s="32" t="s">
        <v>199</v>
      </c>
      <c r="H1698" s="139" t="s">
        <v>5360</v>
      </c>
      <c r="I1698" s="33" t="s">
        <v>2465</v>
      </c>
      <c r="J1698" s="143" t="s">
        <v>4896</v>
      </c>
      <c r="K1698" s="33" t="s">
        <v>169</v>
      </c>
      <c r="L1698" s="102" t="str">
        <f>VLOOKUP(Anexo_4[[#This Row],[cod_doc]],TIPODOC,2,FALSE)</f>
        <v>FACTURA</v>
      </c>
      <c r="M1698" s="33" t="s">
        <v>2288</v>
      </c>
      <c r="N1698" s="32" t="s">
        <v>5361</v>
      </c>
      <c r="O1698" s="48">
        <v>222</v>
      </c>
      <c r="P1698" s="49"/>
      <c r="Q1698" s="81">
        <v>39.96</v>
      </c>
      <c r="R1698" s="80" t="s">
        <v>4341</v>
      </c>
      <c r="S1698" s="48" t="s">
        <v>4341</v>
      </c>
      <c r="T1698" s="72">
        <v>261.95999999999998</v>
      </c>
      <c r="U1698" s="70"/>
      <c r="V1698" s="32"/>
      <c r="W1698" s="70"/>
      <c r="X1698" s="70"/>
      <c r="Y1698" s="70"/>
      <c r="Z1698" s="70" t="s">
        <v>2468</v>
      </c>
      <c r="AA1698" s="71"/>
      <c r="AB1698" s="53" t="str">
        <f>IFERROR(VLOOKUP(Anexo_4[[#This Row],[cuenta]],OP,2,0),"-")</f>
        <v>Vigilancia Médica</v>
      </c>
    </row>
    <row r="1699" spans="1:28" ht="27" customHeight="1" x14ac:dyDescent="0.3">
      <c r="A1699" s="34" t="s">
        <v>5255</v>
      </c>
      <c r="B1699" s="36" t="str">
        <f t="shared" si="26"/>
        <v>Setiembre</v>
      </c>
      <c r="C1699" s="33" t="s">
        <v>162</v>
      </c>
      <c r="D1699" s="33" t="s">
        <v>5362</v>
      </c>
      <c r="E1699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699" s="32" t="s">
        <v>175</v>
      </c>
      <c r="G1699" s="32" t="s">
        <v>5168</v>
      </c>
      <c r="H1699" s="139" t="s">
        <v>765</v>
      </c>
      <c r="I1699" s="33" t="s">
        <v>452</v>
      </c>
      <c r="J1699" s="143" t="s">
        <v>4854</v>
      </c>
      <c r="K1699" s="33" t="s">
        <v>169</v>
      </c>
      <c r="L1699" s="102" t="str">
        <f>VLOOKUP(Anexo_4[[#This Row],[cod_doc]],TIPODOC,2,FALSE)</f>
        <v>FACTURA</v>
      </c>
      <c r="M1699" s="33" t="s">
        <v>461</v>
      </c>
      <c r="N1699" s="32" t="s">
        <v>5363</v>
      </c>
      <c r="O1699" s="48">
        <v>2232.36</v>
      </c>
      <c r="P1699" s="49"/>
      <c r="Q1699" s="81">
        <v>401.82</v>
      </c>
      <c r="R1699" s="80" t="s">
        <v>4341</v>
      </c>
      <c r="S1699" s="48" t="s">
        <v>4341</v>
      </c>
      <c r="T1699" s="72">
        <v>2634.1800000000003</v>
      </c>
      <c r="U1699" s="70"/>
      <c r="V1699" s="32"/>
      <c r="W1699" s="70"/>
      <c r="X1699" s="70"/>
      <c r="Y1699" s="70"/>
      <c r="Z1699" s="70" t="s">
        <v>455</v>
      </c>
      <c r="AA1699" s="71"/>
      <c r="AB1699" s="53" t="str">
        <f>IFERROR(VLOOKUP(Anexo_4[[#This Row],[cuenta]],OP,2,0),"-")</f>
        <v>Combustible (Vehiculos)</v>
      </c>
    </row>
    <row r="1700" spans="1:28" ht="27" customHeight="1" x14ac:dyDescent="0.3">
      <c r="A1700" s="34" t="s">
        <v>5255</v>
      </c>
      <c r="B1700" s="36" t="str">
        <f t="shared" si="26"/>
        <v>Setiembre</v>
      </c>
      <c r="C1700" s="33" t="s">
        <v>162</v>
      </c>
      <c r="D1700" s="33" t="s">
        <v>5362</v>
      </c>
      <c r="E1700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700" s="32" t="s">
        <v>391</v>
      </c>
      <c r="G1700" s="32" t="s">
        <v>5041</v>
      </c>
      <c r="H1700" s="139" t="s">
        <v>765</v>
      </c>
      <c r="I1700" s="33" t="s">
        <v>452</v>
      </c>
      <c r="J1700" s="143" t="s">
        <v>4854</v>
      </c>
      <c r="K1700" s="33" t="s">
        <v>169</v>
      </c>
      <c r="L1700" s="102" t="str">
        <f>VLOOKUP(Anexo_4[[#This Row],[cod_doc]],TIPODOC,2,FALSE)</f>
        <v>FACTURA</v>
      </c>
      <c r="M1700" s="33" t="s">
        <v>461</v>
      </c>
      <c r="N1700" s="32" t="s">
        <v>5363</v>
      </c>
      <c r="O1700" s="48">
        <v>185.88</v>
      </c>
      <c r="P1700" s="49"/>
      <c r="Q1700" s="81">
        <v>33.46</v>
      </c>
      <c r="R1700" s="80" t="s">
        <v>4341</v>
      </c>
      <c r="S1700" s="48" t="s">
        <v>4341</v>
      </c>
      <c r="T1700" s="72">
        <v>219.34</v>
      </c>
      <c r="U1700" s="70"/>
      <c r="V1700" s="32"/>
      <c r="W1700" s="70"/>
      <c r="X1700" s="70"/>
      <c r="Y1700" s="70"/>
      <c r="Z1700" s="70" t="s">
        <v>455</v>
      </c>
      <c r="AA1700" s="71"/>
      <c r="AB1700" s="53" t="str">
        <f>IFERROR(VLOOKUP(Anexo_4[[#This Row],[cuenta]],OP,2,0),"-")</f>
        <v>Combustible (Vehiculos)</v>
      </c>
    </row>
    <row r="1701" spans="1:28" ht="27" customHeight="1" x14ac:dyDescent="0.3">
      <c r="A1701" s="34" t="s">
        <v>5255</v>
      </c>
      <c r="B1701" s="36" t="str">
        <f t="shared" si="26"/>
        <v>Setiembre</v>
      </c>
      <c r="C1701" s="33" t="s">
        <v>162</v>
      </c>
      <c r="D1701" s="33" t="s">
        <v>5362</v>
      </c>
      <c r="E1701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701" s="32" t="s">
        <v>217</v>
      </c>
      <c r="G1701" s="32" t="s">
        <v>4839</v>
      </c>
      <c r="H1701" s="139" t="s">
        <v>765</v>
      </c>
      <c r="I1701" s="33" t="s">
        <v>452</v>
      </c>
      <c r="J1701" s="143" t="s">
        <v>4854</v>
      </c>
      <c r="K1701" s="33" t="s">
        <v>169</v>
      </c>
      <c r="L1701" s="102" t="str">
        <f>VLOOKUP(Anexo_4[[#This Row],[cod_doc]],TIPODOC,2,FALSE)</f>
        <v>FACTURA</v>
      </c>
      <c r="M1701" s="33" t="s">
        <v>461</v>
      </c>
      <c r="N1701" s="32" t="s">
        <v>5363</v>
      </c>
      <c r="O1701" s="48">
        <v>510.53</v>
      </c>
      <c r="P1701" s="49"/>
      <c r="Q1701" s="81">
        <v>91.9</v>
      </c>
      <c r="R1701" s="80" t="s">
        <v>4341</v>
      </c>
      <c r="S1701" s="48" t="s">
        <v>4341</v>
      </c>
      <c r="T1701" s="72">
        <v>602.42999999999995</v>
      </c>
      <c r="U1701" s="70"/>
      <c r="V1701" s="32"/>
      <c r="W1701" s="70"/>
      <c r="X1701" s="70"/>
      <c r="Y1701" s="70"/>
      <c r="Z1701" s="70" t="s">
        <v>455</v>
      </c>
      <c r="AA1701" s="71"/>
      <c r="AB1701" s="53" t="str">
        <f>IFERROR(VLOOKUP(Anexo_4[[#This Row],[cuenta]],OP,2,0),"-")</f>
        <v>Combustible (Vehiculos)</v>
      </c>
    </row>
    <row r="1702" spans="1:28" ht="27" customHeight="1" x14ac:dyDescent="0.3">
      <c r="A1702" s="34" t="s">
        <v>5255</v>
      </c>
      <c r="B1702" s="36" t="str">
        <f t="shared" si="26"/>
        <v>Setiembre</v>
      </c>
      <c r="C1702" s="33" t="s">
        <v>162</v>
      </c>
      <c r="D1702" s="33" t="s">
        <v>5364</v>
      </c>
      <c r="E1702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702" s="32" t="s">
        <v>449</v>
      </c>
      <c r="G1702" s="32" t="s">
        <v>4868</v>
      </c>
      <c r="H1702" s="139" t="s">
        <v>765</v>
      </c>
      <c r="I1702" s="33" t="s">
        <v>452</v>
      </c>
      <c r="J1702" s="143" t="s">
        <v>4854</v>
      </c>
      <c r="K1702" s="33" t="s">
        <v>169</v>
      </c>
      <c r="L1702" s="102" t="str">
        <f>VLOOKUP(Anexo_4[[#This Row],[cod_doc]],TIPODOC,2,FALSE)</f>
        <v>FACTURA</v>
      </c>
      <c r="M1702" s="33" t="s">
        <v>1056</v>
      </c>
      <c r="N1702" s="32" t="s">
        <v>5365</v>
      </c>
      <c r="O1702" s="48">
        <v>338.3</v>
      </c>
      <c r="P1702" s="49"/>
      <c r="Q1702" s="81">
        <v>60.89</v>
      </c>
      <c r="R1702" s="80" t="s">
        <v>4341</v>
      </c>
      <c r="S1702" s="48" t="s">
        <v>4341</v>
      </c>
      <c r="T1702" s="72">
        <v>399.19</v>
      </c>
      <c r="U1702" s="70"/>
      <c r="V1702" s="32"/>
      <c r="W1702" s="70"/>
      <c r="X1702" s="70"/>
      <c r="Y1702" s="70"/>
      <c r="Z1702" s="70" t="s">
        <v>455</v>
      </c>
      <c r="AA1702" s="71"/>
      <c r="AB1702" s="53" t="str">
        <f>IFERROR(VLOOKUP(Anexo_4[[#This Row],[cuenta]],OP,2,0),"-")</f>
        <v>Combustible (Vehiculos)</v>
      </c>
    </row>
    <row r="1703" spans="1:28" ht="27" customHeight="1" x14ac:dyDescent="0.3">
      <c r="A1703" s="34" t="s">
        <v>5255</v>
      </c>
      <c r="B1703" s="36" t="str">
        <f t="shared" si="26"/>
        <v>Setiembre</v>
      </c>
      <c r="C1703" s="33" t="s">
        <v>162</v>
      </c>
      <c r="D1703" s="33" t="s">
        <v>5364</v>
      </c>
      <c r="E1703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703" s="32" t="s">
        <v>456</v>
      </c>
      <c r="G1703" s="32" t="s">
        <v>4911</v>
      </c>
      <c r="H1703" s="139" t="s">
        <v>765</v>
      </c>
      <c r="I1703" s="33" t="s">
        <v>452</v>
      </c>
      <c r="J1703" s="143" t="s">
        <v>4854</v>
      </c>
      <c r="K1703" s="33" t="s">
        <v>169</v>
      </c>
      <c r="L1703" s="102" t="str">
        <f>VLOOKUP(Anexo_4[[#This Row],[cod_doc]],TIPODOC,2,FALSE)</f>
        <v>FACTURA</v>
      </c>
      <c r="M1703" s="33" t="s">
        <v>1056</v>
      </c>
      <c r="N1703" s="32" t="s">
        <v>5365</v>
      </c>
      <c r="O1703" s="48">
        <v>84.75</v>
      </c>
      <c r="P1703" s="49"/>
      <c r="Q1703" s="81">
        <v>15.26</v>
      </c>
      <c r="R1703" s="80" t="s">
        <v>4341</v>
      </c>
      <c r="S1703" s="48" t="s">
        <v>4341</v>
      </c>
      <c r="T1703" s="72">
        <v>100.01</v>
      </c>
      <c r="U1703" s="70"/>
      <c r="V1703" s="32"/>
      <c r="W1703" s="70"/>
      <c r="X1703" s="70"/>
      <c r="Y1703" s="70"/>
      <c r="Z1703" s="70" t="s">
        <v>455</v>
      </c>
      <c r="AA1703" s="71"/>
      <c r="AB1703" s="53" t="str">
        <f>IFERROR(VLOOKUP(Anexo_4[[#This Row],[cuenta]],OP,2,0),"-")</f>
        <v>Combustible (Vehiculos)</v>
      </c>
    </row>
    <row r="1704" spans="1:28" ht="27" customHeight="1" x14ac:dyDescent="0.3">
      <c r="A1704" s="34" t="s">
        <v>5255</v>
      </c>
      <c r="B1704" s="36" t="str">
        <f t="shared" si="26"/>
        <v>Setiembre</v>
      </c>
      <c r="C1704" s="33" t="s">
        <v>162</v>
      </c>
      <c r="D1704" s="33" t="s">
        <v>5364</v>
      </c>
      <c r="E1704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704" s="32" t="s">
        <v>235</v>
      </c>
      <c r="G1704" s="32" t="s">
        <v>5051</v>
      </c>
      <c r="H1704" s="139" t="s">
        <v>765</v>
      </c>
      <c r="I1704" s="33" t="s">
        <v>452</v>
      </c>
      <c r="J1704" s="143" t="s">
        <v>4854</v>
      </c>
      <c r="K1704" s="33" t="s">
        <v>169</v>
      </c>
      <c r="L1704" s="102" t="str">
        <f>VLOOKUP(Anexo_4[[#This Row],[cod_doc]],TIPODOC,2,FALSE)</f>
        <v>FACTURA</v>
      </c>
      <c r="M1704" s="33" t="s">
        <v>1056</v>
      </c>
      <c r="N1704" s="32" t="s">
        <v>5365</v>
      </c>
      <c r="O1704" s="48">
        <v>348.88</v>
      </c>
      <c r="P1704" s="49"/>
      <c r="Q1704" s="81">
        <v>62.8</v>
      </c>
      <c r="R1704" s="80" t="s">
        <v>4341</v>
      </c>
      <c r="S1704" s="48" t="s">
        <v>4341</v>
      </c>
      <c r="T1704" s="72">
        <v>411.68</v>
      </c>
      <c r="U1704" s="70"/>
      <c r="V1704" s="32"/>
      <c r="W1704" s="70"/>
      <c r="X1704" s="70"/>
      <c r="Y1704" s="70"/>
      <c r="Z1704" s="70" t="s">
        <v>455</v>
      </c>
      <c r="AA1704" s="71"/>
      <c r="AB1704" s="53" t="str">
        <f>IFERROR(VLOOKUP(Anexo_4[[#This Row],[cuenta]],OP,2,0),"-")</f>
        <v>Combustible (Vehiculos)</v>
      </c>
    </row>
    <row r="1705" spans="1:28" ht="27" customHeight="1" x14ac:dyDescent="0.3">
      <c r="A1705" s="34" t="s">
        <v>5255</v>
      </c>
      <c r="B1705" s="36" t="str">
        <f t="shared" si="26"/>
        <v>Setiembre</v>
      </c>
      <c r="C1705" s="33" t="s">
        <v>162</v>
      </c>
      <c r="D1705" s="33" t="s">
        <v>5364</v>
      </c>
      <c r="E1705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705" s="32" t="s">
        <v>458</v>
      </c>
      <c r="G1705" s="32" t="s">
        <v>5366</v>
      </c>
      <c r="H1705" s="139" t="s">
        <v>765</v>
      </c>
      <c r="I1705" s="33" t="s">
        <v>452</v>
      </c>
      <c r="J1705" s="143" t="s">
        <v>4854</v>
      </c>
      <c r="K1705" s="33" t="s">
        <v>169</v>
      </c>
      <c r="L1705" s="102" t="str">
        <f>VLOOKUP(Anexo_4[[#This Row],[cod_doc]],TIPODOC,2,FALSE)</f>
        <v>FACTURA</v>
      </c>
      <c r="M1705" s="33" t="s">
        <v>1056</v>
      </c>
      <c r="N1705" s="32" t="s">
        <v>5365</v>
      </c>
      <c r="O1705" s="48">
        <v>26.43</v>
      </c>
      <c r="P1705" s="49"/>
      <c r="Q1705" s="81">
        <v>4.76</v>
      </c>
      <c r="R1705" s="80" t="s">
        <v>4341</v>
      </c>
      <c r="S1705" s="48" t="s">
        <v>4341</v>
      </c>
      <c r="T1705" s="72">
        <v>31.189999999999998</v>
      </c>
      <c r="U1705" s="70"/>
      <c r="V1705" s="32"/>
      <c r="W1705" s="70"/>
      <c r="X1705" s="70"/>
      <c r="Y1705" s="70"/>
      <c r="Z1705" s="70" t="s">
        <v>455</v>
      </c>
      <c r="AA1705" s="71"/>
      <c r="AB1705" s="53" t="str">
        <f>IFERROR(VLOOKUP(Anexo_4[[#This Row],[cuenta]],OP,2,0),"-")</f>
        <v>Combustible (Vehiculos)</v>
      </c>
    </row>
    <row r="1706" spans="1:28" ht="27" customHeight="1" x14ac:dyDescent="0.3">
      <c r="A1706" s="34" t="s">
        <v>5071</v>
      </c>
      <c r="B1706" s="36" t="str">
        <f t="shared" si="26"/>
        <v>Setiembre</v>
      </c>
      <c r="C1706" s="33" t="s">
        <v>162</v>
      </c>
      <c r="D1706" s="33" t="s">
        <v>5367</v>
      </c>
      <c r="E1706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706" s="32" t="s">
        <v>164</v>
      </c>
      <c r="G1706" s="32" t="s">
        <v>165</v>
      </c>
      <c r="H1706" s="139" t="s">
        <v>5368</v>
      </c>
      <c r="I1706" s="33" t="s">
        <v>5369</v>
      </c>
      <c r="J1706" s="143" t="s">
        <v>5370</v>
      </c>
      <c r="K1706" s="33" t="s">
        <v>439</v>
      </c>
      <c r="L1706" s="102" t="str">
        <f>VLOOKUP(Anexo_4[[#This Row],[cod_doc]],TIPODOC,2,FALSE)</f>
        <v>RECIBO POR SERV. PUBLICOS</v>
      </c>
      <c r="M1706" s="33" t="s">
        <v>5371</v>
      </c>
      <c r="N1706" s="32" t="s">
        <v>5372</v>
      </c>
      <c r="O1706" s="48">
        <v>373.43</v>
      </c>
      <c r="P1706" s="49"/>
      <c r="Q1706" s="81">
        <v>67.22</v>
      </c>
      <c r="R1706" s="80" t="s">
        <v>4341</v>
      </c>
      <c r="S1706" s="48">
        <v>5.35</v>
      </c>
      <c r="T1706" s="72">
        <v>446</v>
      </c>
      <c r="U1706" s="70"/>
      <c r="V1706" s="32"/>
      <c r="W1706" s="70"/>
      <c r="X1706" s="70"/>
      <c r="Y1706" s="70"/>
      <c r="Z1706" s="70" t="s">
        <v>5373</v>
      </c>
      <c r="AA1706" s="71"/>
      <c r="AB1706" s="53" t="str">
        <f>IFERROR(VLOOKUP(Anexo_4[[#This Row],[cuenta]],OP,2,0),"-")</f>
        <v>-</v>
      </c>
    </row>
    <row r="1707" spans="1:28" ht="27" customHeight="1" x14ac:dyDescent="0.3">
      <c r="A1707" s="34" t="s">
        <v>5080</v>
      </c>
      <c r="B1707" s="36" t="str">
        <f t="shared" si="26"/>
        <v>Setiembre</v>
      </c>
      <c r="C1707" s="33" t="s">
        <v>162</v>
      </c>
      <c r="D1707" s="33" t="s">
        <v>5374</v>
      </c>
      <c r="E1707" s="37" t="str">
        <f>IF(LEFT(Anexo_4[[#This Row],[c_costos]],2)="91","OPERACIONES",IF(LEFT(Anexo_4[[#This Row],[c_costos]],2)="97","G. FINANCIEROS",IF(LEFT(Anexo_4[[#This Row],[c_costos]],2)="95","G. VENTAS","G. ADMINISTRACIÓN")))</f>
        <v>G. FINANCIEROS</v>
      </c>
      <c r="F1707" s="32" t="s">
        <v>474</v>
      </c>
      <c r="G1707" s="32" t="s">
        <v>475</v>
      </c>
      <c r="H1707" s="139" t="s">
        <v>3440</v>
      </c>
      <c r="I1707" s="33" t="s">
        <v>477</v>
      </c>
      <c r="J1707" s="143" t="s">
        <v>4623</v>
      </c>
      <c r="K1707" s="33" t="s">
        <v>169</v>
      </c>
      <c r="L1707" s="102" t="str">
        <f>VLOOKUP(Anexo_4[[#This Row],[cod_doc]],TIPODOC,2,FALSE)</f>
        <v>FACTURA</v>
      </c>
      <c r="M1707" s="33" t="s">
        <v>3477</v>
      </c>
      <c r="N1707" s="32" t="s">
        <v>5375</v>
      </c>
      <c r="O1707" s="48" t="s">
        <v>4341</v>
      </c>
      <c r="P1707" s="49"/>
      <c r="Q1707" s="81" t="s">
        <v>4341</v>
      </c>
      <c r="R1707" s="80" t="s">
        <v>4341</v>
      </c>
      <c r="S1707" s="48">
        <v>53.09</v>
      </c>
      <c r="T1707" s="72">
        <v>53.09</v>
      </c>
      <c r="U1707" s="70"/>
      <c r="V1707" s="32"/>
      <c r="W1707" s="70"/>
      <c r="X1707" s="70"/>
      <c r="Y1707" s="70"/>
      <c r="Z1707" s="70" t="s">
        <v>3441</v>
      </c>
      <c r="AA1707" s="71"/>
      <c r="AB1707" s="53" t="str">
        <f>IFERROR(VLOOKUP(Anexo_4[[#This Row],[cuenta]],OP,2,0),"-")</f>
        <v>-</v>
      </c>
    </row>
    <row r="1708" spans="1:28" ht="27" customHeight="1" x14ac:dyDescent="0.3">
      <c r="A1708" s="34" t="s">
        <v>5080</v>
      </c>
      <c r="B1708" s="36" t="str">
        <f t="shared" si="26"/>
        <v>Setiembre</v>
      </c>
      <c r="C1708" s="33" t="s">
        <v>162</v>
      </c>
      <c r="D1708" s="33" t="s">
        <v>5376</v>
      </c>
      <c r="E1708" s="37" t="str">
        <f>IF(LEFT(Anexo_4[[#This Row],[c_costos]],2)="91","OPERACIONES",IF(LEFT(Anexo_4[[#This Row],[c_costos]],2)="97","G. FINANCIEROS",IF(LEFT(Anexo_4[[#This Row],[c_costos]],2)="95","G. VENTAS","G. ADMINISTRACIÓN")))</f>
        <v>G. FINANCIEROS</v>
      </c>
      <c r="F1708" s="32" t="s">
        <v>474</v>
      </c>
      <c r="G1708" s="32" t="s">
        <v>475</v>
      </c>
      <c r="H1708" s="139" t="s">
        <v>3440</v>
      </c>
      <c r="I1708" s="33" t="s">
        <v>477</v>
      </c>
      <c r="J1708" s="143" t="s">
        <v>4623</v>
      </c>
      <c r="K1708" s="33" t="s">
        <v>169</v>
      </c>
      <c r="L1708" s="102" t="str">
        <f>VLOOKUP(Anexo_4[[#This Row],[cod_doc]],TIPODOC,2,FALSE)</f>
        <v>FACTURA</v>
      </c>
      <c r="M1708" s="33" t="s">
        <v>3477</v>
      </c>
      <c r="N1708" s="32" t="s">
        <v>5377</v>
      </c>
      <c r="O1708" s="48" t="s">
        <v>4341</v>
      </c>
      <c r="P1708" s="49"/>
      <c r="Q1708" s="81" t="s">
        <v>4341</v>
      </c>
      <c r="R1708" s="80" t="s">
        <v>4341</v>
      </c>
      <c r="S1708" s="48">
        <v>40.5</v>
      </c>
      <c r="T1708" s="72">
        <v>40.5</v>
      </c>
      <c r="U1708" s="70"/>
      <c r="V1708" s="32"/>
      <c r="W1708" s="70"/>
      <c r="X1708" s="70"/>
      <c r="Y1708" s="70"/>
      <c r="Z1708" s="70" t="s">
        <v>3441</v>
      </c>
      <c r="AA1708" s="71"/>
      <c r="AB1708" s="53" t="str">
        <f>IFERROR(VLOOKUP(Anexo_4[[#This Row],[cuenta]],OP,2,0),"-")</f>
        <v>-</v>
      </c>
    </row>
    <row r="1709" spans="1:28" ht="27" customHeight="1" x14ac:dyDescent="0.3">
      <c r="A1709" s="34" t="s">
        <v>5274</v>
      </c>
      <c r="B1709" s="36" t="str">
        <f t="shared" si="26"/>
        <v>Setiembre</v>
      </c>
      <c r="C1709" s="33" t="s">
        <v>162</v>
      </c>
      <c r="D1709" s="33" t="s">
        <v>5378</v>
      </c>
      <c r="E1709" s="37" t="str">
        <f>IF(LEFT(Anexo_4[[#This Row],[c_costos]],2)="91","OPERACIONES",IF(LEFT(Anexo_4[[#This Row],[c_costos]],2)="97","G. FINANCIEROS",IF(LEFT(Anexo_4[[#This Row],[c_costos]],2)="95","G. VENTAS","G. ADMINISTRACIÓN")))</f>
        <v>G. FINANCIEROS</v>
      </c>
      <c r="F1709" s="32" t="s">
        <v>474</v>
      </c>
      <c r="G1709" s="32" t="s">
        <v>475</v>
      </c>
      <c r="H1709" s="139" t="s">
        <v>3440</v>
      </c>
      <c r="I1709" s="33" t="s">
        <v>477</v>
      </c>
      <c r="J1709" s="143" t="s">
        <v>4623</v>
      </c>
      <c r="K1709" s="33" t="s">
        <v>169</v>
      </c>
      <c r="L1709" s="102" t="str">
        <f>VLOOKUP(Anexo_4[[#This Row],[cod_doc]],TIPODOC,2,FALSE)</f>
        <v>FACTURA</v>
      </c>
      <c r="M1709" s="33" t="s">
        <v>5379</v>
      </c>
      <c r="N1709" s="32" t="s">
        <v>5380</v>
      </c>
      <c r="O1709" s="48" t="s">
        <v>4341</v>
      </c>
      <c r="P1709" s="49"/>
      <c r="Q1709" s="81" t="s">
        <v>4341</v>
      </c>
      <c r="R1709" s="80" t="s">
        <v>4341</v>
      </c>
      <c r="S1709" s="48">
        <v>60.18</v>
      </c>
      <c r="T1709" s="72">
        <v>60.18</v>
      </c>
      <c r="U1709" s="70"/>
      <c r="V1709" s="32"/>
      <c r="W1709" s="70"/>
      <c r="X1709" s="70"/>
      <c r="Y1709" s="70"/>
      <c r="Z1709" s="70" t="s">
        <v>3441</v>
      </c>
      <c r="AA1709" s="71"/>
      <c r="AB1709" s="53" t="str">
        <f>IFERROR(VLOOKUP(Anexo_4[[#This Row],[cuenta]],OP,2,0),"-")</f>
        <v>-</v>
      </c>
    </row>
    <row r="1710" spans="1:28" ht="27" customHeight="1" x14ac:dyDescent="0.3">
      <c r="A1710" s="34" t="s">
        <v>4975</v>
      </c>
      <c r="B1710" s="36" t="str">
        <f t="shared" si="26"/>
        <v>Setiembre</v>
      </c>
      <c r="C1710" s="33" t="s">
        <v>162</v>
      </c>
      <c r="D1710" s="33" t="s">
        <v>5381</v>
      </c>
      <c r="E1710" s="37" t="str">
        <f>IF(LEFT(Anexo_4[[#This Row],[c_costos]],2)="91","OPERACIONES",IF(LEFT(Anexo_4[[#This Row],[c_costos]],2)="97","G. FINANCIEROS",IF(LEFT(Anexo_4[[#This Row],[c_costos]],2)="95","G. VENTAS","G. ADMINISTRACIÓN")))</f>
        <v>G. FINANCIEROS</v>
      </c>
      <c r="F1710" s="32" t="s">
        <v>474</v>
      </c>
      <c r="G1710" s="32" t="s">
        <v>475</v>
      </c>
      <c r="H1710" s="139" t="s">
        <v>5382</v>
      </c>
      <c r="I1710" s="33" t="s">
        <v>477</v>
      </c>
      <c r="J1710" s="143" t="s">
        <v>4623</v>
      </c>
      <c r="K1710" s="33" t="s">
        <v>169</v>
      </c>
      <c r="L1710" s="102" t="str">
        <f>VLOOKUP(Anexo_4[[#This Row],[cod_doc]],TIPODOC,2,FALSE)</f>
        <v>FACTURA</v>
      </c>
      <c r="M1710" s="33" t="s">
        <v>479</v>
      </c>
      <c r="N1710" s="32" t="s">
        <v>5383</v>
      </c>
      <c r="O1710" s="48" t="s">
        <v>4341</v>
      </c>
      <c r="P1710" s="49"/>
      <c r="Q1710" s="81" t="s">
        <v>4341</v>
      </c>
      <c r="R1710" s="80" t="s">
        <v>4341</v>
      </c>
      <c r="S1710" s="48">
        <v>10</v>
      </c>
      <c r="T1710" s="72">
        <v>10</v>
      </c>
      <c r="U1710" s="70"/>
      <c r="V1710" s="32"/>
      <c r="W1710" s="70"/>
      <c r="X1710" s="70"/>
      <c r="Y1710" s="70"/>
      <c r="Z1710" s="70" t="s">
        <v>480</v>
      </c>
      <c r="AA1710" s="71"/>
      <c r="AB1710" s="53" t="str">
        <f>IFERROR(VLOOKUP(Anexo_4[[#This Row],[cuenta]],OP,2,0),"-")</f>
        <v>-</v>
      </c>
    </row>
    <row r="1711" spans="1:28" ht="27" customHeight="1" x14ac:dyDescent="0.3">
      <c r="A1711" s="34" t="s">
        <v>5095</v>
      </c>
      <c r="B1711" s="36" t="str">
        <f t="shared" si="26"/>
        <v>Setiembre</v>
      </c>
      <c r="C1711" s="33" t="s">
        <v>162</v>
      </c>
      <c r="D1711" s="33" t="s">
        <v>5384</v>
      </c>
      <c r="E1711" s="37" t="str">
        <f>IF(LEFT(Anexo_4[[#This Row],[c_costos]],2)="91","OPERACIONES",IF(LEFT(Anexo_4[[#This Row],[c_costos]],2)="97","G. FINANCIEROS",IF(LEFT(Anexo_4[[#This Row],[c_costos]],2)="95","G. VENTAS","G. ADMINISTRACIÓN")))</f>
        <v>G. FINANCIEROS</v>
      </c>
      <c r="F1711" s="32" t="s">
        <v>474</v>
      </c>
      <c r="G1711" s="32" t="s">
        <v>475</v>
      </c>
      <c r="H1711" s="139" t="s">
        <v>5382</v>
      </c>
      <c r="I1711" s="33" t="s">
        <v>477</v>
      </c>
      <c r="J1711" s="143" t="s">
        <v>4623</v>
      </c>
      <c r="K1711" s="33" t="s">
        <v>169</v>
      </c>
      <c r="L1711" s="102" t="str">
        <f>VLOOKUP(Anexo_4[[#This Row],[cod_doc]],TIPODOC,2,FALSE)</f>
        <v>FACTURA</v>
      </c>
      <c r="M1711" s="33" t="s">
        <v>479</v>
      </c>
      <c r="N1711" s="32" t="s">
        <v>5385</v>
      </c>
      <c r="O1711" s="48" t="s">
        <v>4341</v>
      </c>
      <c r="P1711" s="49"/>
      <c r="Q1711" s="81" t="s">
        <v>4341</v>
      </c>
      <c r="R1711" s="80" t="s">
        <v>4341</v>
      </c>
      <c r="S1711" s="48">
        <v>10</v>
      </c>
      <c r="T1711" s="72">
        <v>10</v>
      </c>
      <c r="U1711" s="70"/>
      <c r="V1711" s="32"/>
      <c r="W1711" s="70"/>
      <c r="X1711" s="70"/>
      <c r="Y1711" s="70"/>
      <c r="Z1711" s="70" t="s">
        <v>480</v>
      </c>
      <c r="AA1711" s="71"/>
      <c r="AB1711" s="53" t="str">
        <f>IFERROR(VLOOKUP(Anexo_4[[#This Row],[cuenta]],OP,2,0),"-")</f>
        <v>-</v>
      </c>
    </row>
    <row r="1712" spans="1:28" ht="27" customHeight="1" x14ac:dyDescent="0.3">
      <c r="A1712" s="34" t="s">
        <v>5255</v>
      </c>
      <c r="B1712" s="36" t="str">
        <f t="shared" si="26"/>
        <v>Setiembre</v>
      </c>
      <c r="C1712" s="33" t="s">
        <v>162</v>
      </c>
      <c r="D1712" s="33" t="s">
        <v>5386</v>
      </c>
      <c r="E1712" s="37" t="str">
        <f>IF(LEFT(Anexo_4[[#This Row],[c_costos]],2)="91","OPERACIONES",IF(LEFT(Anexo_4[[#This Row],[c_costos]],2)="97","G. FINANCIEROS",IF(LEFT(Anexo_4[[#This Row],[c_costos]],2)="95","G. VENTAS","G. ADMINISTRACIÓN")))</f>
        <v>G. FINANCIEROS</v>
      </c>
      <c r="F1712" s="32" t="s">
        <v>474</v>
      </c>
      <c r="G1712" s="32" t="s">
        <v>475</v>
      </c>
      <c r="H1712" s="139" t="s">
        <v>5387</v>
      </c>
      <c r="I1712" s="33" t="s">
        <v>477</v>
      </c>
      <c r="J1712" s="143" t="s">
        <v>4623</v>
      </c>
      <c r="K1712" s="33" t="s">
        <v>169</v>
      </c>
      <c r="L1712" s="102" t="str">
        <f>VLOOKUP(Anexo_4[[#This Row],[cod_doc]],TIPODOC,2,FALSE)</f>
        <v>FACTURA</v>
      </c>
      <c r="M1712" s="33" t="s">
        <v>479</v>
      </c>
      <c r="N1712" s="32" t="s">
        <v>5388</v>
      </c>
      <c r="O1712" s="48" t="s">
        <v>4341</v>
      </c>
      <c r="P1712" s="49"/>
      <c r="Q1712" s="81" t="s">
        <v>4341</v>
      </c>
      <c r="R1712" s="80" t="s">
        <v>4341</v>
      </c>
      <c r="S1712" s="48">
        <v>140.30000000000001</v>
      </c>
      <c r="T1712" s="72">
        <v>140.30000000000001</v>
      </c>
      <c r="U1712" s="70"/>
      <c r="V1712" s="32"/>
      <c r="W1712" s="70"/>
      <c r="X1712" s="70"/>
      <c r="Y1712" s="70"/>
      <c r="Z1712" s="70" t="s">
        <v>483</v>
      </c>
      <c r="AA1712" s="71"/>
      <c r="AB1712" s="53" t="str">
        <f>IFERROR(VLOOKUP(Anexo_4[[#This Row],[cuenta]],OP,2,0),"-")</f>
        <v>-</v>
      </c>
    </row>
    <row r="1713" spans="1:28" ht="27" customHeight="1" x14ac:dyDescent="0.3">
      <c r="A1713" s="34" t="s">
        <v>5080</v>
      </c>
      <c r="B1713" s="36" t="str">
        <f t="shared" si="26"/>
        <v>Setiembre</v>
      </c>
      <c r="C1713" s="33" t="s">
        <v>162</v>
      </c>
      <c r="D1713" s="33" t="s">
        <v>5389</v>
      </c>
      <c r="E1713" s="37" t="str">
        <f>IF(LEFT(Anexo_4[[#This Row],[c_costos]],2)="91","OPERACIONES",IF(LEFT(Anexo_4[[#This Row],[c_costos]],2)="97","G. FINANCIEROS",IF(LEFT(Anexo_4[[#This Row],[c_costos]],2)="95","G. VENTAS","G. ADMINISTRACIÓN")))</f>
        <v>G. FINANCIEROS</v>
      </c>
      <c r="F1713" s="32" t="s">
        <v>474</v>
      </c>
      <c r="G1713" s="32" t="s">
        <v>475</v>
      </c>
      <c r="H1713" s="139" t="s">
        <v>5387</v>
      </c>
      <c r="I1713" s="33" t="s">
        <v>477</v>
      </c>
      <c r="J1713" s="143" t="s">
        <v>4623</v>
      </c>
      <c r="K1713" s="33" t="s">
        <v>169</v>
      </c>
      <c r="L1713" s="102" t="str">
        <f>VLOOKUP(Anexo_4[[#This Row],[cod_doc]],TIPODOC,2,FALSE)</f>
        <v>FACTURA</v>
      </c>
      <c r="M1713" s="33" t="s">
        <v>479</v>
      </c>
      <c r="N1713" s="32" t="s">
        <v>5390</v>
      </c>
      <c r="O1713" s="48" t="s">
        <v>4341</v>
      </c>
      <c r="P1713" s="49"/>
      <c r="Q1713" s="81" t="s">
        <v>4341</v>
      </c>
      <c r="R1713" s="80" t="s">
        <v>4341</v>
      </c>
      <c r="S1713" s="48">
        <v>19.5</v>
      </c>
      <c r="T1713" s="72">
        <v>19.5</v>
      </c>
      <c r="U1713" s="70"/>
      <c r="V1713" s="32"/>
      <c r="W1713" s="70"/>
      <c r="X1713" s="70"/>
      <c r="Y1713" s="70"/>
      <c r="Z1713" s="70" t="s">
        <v>483</v>
      </c>
      <c r="AA1713" s="71"/>
      <c r="AB1713" s="53" t="str">
        <f>IFERROR(VLOOKUP(Anexo_4[[#This Row],[cuenta]],OP,2,0),"-")</f>
        <v>-</v>
      </c>
    </row>
    <row r="1714" spans="1:28" ht="27" customHeight="1" x14ac:dyDescent="0.3">
      <c r="A1714" s="34" t="s">
        <v>5095</v>
      </c>
      <c r="B1714" s="36" t="str">
        <f t="shared" si="26"/>
        <v>Setiembre</v>
      </c>
      <c r="C1714" s="33" t="s">
        <v>162</v>
      </c>
      <c r="D1714" s="33" t="s">
        <v>5391</v>
      </c>
      <c r="E1714" s="37" t="str">
        <f>IF(LEFT(Anexo_4[[#This Row],[c_costos]],2)="91","OPERACIONES",IF(LEFT(Anexo_4[[#This Row],[c_costos]],2)="97","G. FINANCIEROS",IF(LEFT(Anexo_4[[#This Row],[c_costos]],2)="95","G. VENTAS","G. ADMINISTRACIÓN")))</f>
        <v>G. FINANCIEROS</v>
      </c>
      <c r="F1714" s="32" t="s">
        <v>474</v>
      </c>
      <c r="G1714" s="32" t="s">
        <v>475</v>
      </c>
      <c r="H1714" s="139" t="s">
        <v>5387</v>
      </c>
      <c r="I1714" s="33" t="s">
        <v>477</v>
      </c>
      <c r="J1714" s="143" t="s">
        <v>4623</v>
      </c>
      <c r="K1714" s="33" t="s">
        <v>169</v>
      </c>
      <c r="L1714" s="102" t="str">
        <f>VLOOKUP(Anexo_4[[#This Row],[cod_doc]],TIPODOC,2,FALSE)</f>
        <v>FACTURA</v>
      </c>
      <c r="M1714" s="33" t="s">
        <v>479</v>
      </c>
      <c r="N1714" s="32" t="s">
        <v>5392</v>
      </c>
      <c r="O1714" s="48" t="s">
        <v>4341</v>
      </c>
      <c r="P1714" s="49"/>
      <c r="Q1714" s="81" t="s">
        <v>4341</v>
      </c>
      <c r="R1714" s="80" t="s">
        <v>4341</v>
      </c>
      <c r="S1714" s="48">
        <v>4.3</v>
      </c>
      <c r="T1714" s="72">
        <v>4.3</v>
      </c>
      <c r="U1714" s="70"/>
      <c r="V1714" s="32"/>
      <c r="W1714" s="70"/>
      <c r="X1714" s="70"/>
      <c r="Y1714" s="70"/>
      <c r="Z1714" s="70" t="s">
        <v>483</v>
      </c>
      <c r="AA1714" s="71"/>
      <c r="AB1714" s="53" t="str">
        <f>IFERROR(VLOOKUP(Anexo_4[[#This Row],[cuenta]],OP,2,0),"-")</f>
        <v>-</v>
      </c>
    </row>
    <row r="1715" spans="1:28" ht="27" customHeight="1" x14ac:dyDescent="0.3">
      <c r="A1715" s="34" t="s">
        <v>4994</v>
      </c>
      <c r="B1715" s="36" t="str">
        <f t="shared" si="26"/>
        <v>Setiembre</v>
      </c>
      <c r="C1715" s="33" t="s">
        <v>162</v>
      </c>
      <c r="D1715" s="33" t="s">
        <v>5393</v>
      </c>
      <c r="E1715" s="37" t="str">
        <f>IF(LEFT(Anexo_4[[#This Row],[c_costos]],2)="91","OPERACIONES",IF(LEFT(Anexo_4[[#This Row],[c_costos]],2)="97","G. FINANCIEROS",IF(LEFT(Anexo_4[[#This Row],[c_costos]],2)="95","G. VENTAS","G. ADMINISTRACIÓN")))</f>
        <v>G. FINANCIEROS</v>
      </c>
      <c r="F1715" s="32" t="s">
        <v>474</v>
      </c>
      <c r="G1715" s="32" t="s">
        <v>475</v>
      </c>
      <c r="H1715" s="139" t="s">
        <v>5387</v>
      </c>
      <c r="I1715" s="33" t="s">
        <v>477</v>
      </c>
      <c r="J1715" s="143" t="s">
        <v>4623</v>
      </c>
      <c r="K1715" s="33" t="s">
        <v>169</v>
      </c>
      <c r="L1715" s="102" t="str">
        <f>VLOOKUP(Anexo_4[[#This Row],[cod_doc]],TIPODOC,2,FALSE)</f>
        <v>FACTURA</v>
      </c>
      <c r="M1715" s="33" t="s">
        <v>479</v>
      </c>
      <c r="N1715" s="32" t="s">
        <v>5394</v>
      </c>
      <c r="O1715" s="48" t="s">
        <v>4341</v>
      </c>
      <c r="P1715" s="49"/>
      <c r="Q1715" s="81" t="s">
        <v>4341</v>
      </c>
      <c r="R1715" s="80" t="s">
        <v>4341</v>
      </c>
      <c r="S1715" s="48">
        <v>2.5</v>
      </c>
      <c r="T1715" s="72">
        <v>2.5</v>
      </c>
      <c r="U1715" s="70"/>
      <c r="V1715" s="32"/>
      <c r="W1715" s="70"/>
      <c r="X1715" s="70"/>
      <c r="Y1715" s="70"/>
      <c r="Z1715" s="70" t="s">
        <v>483</v>
      </c>
      <c r="AA1715" s="71"/>
      <c r="AB1715" s="53" t="str">
        <f>IFERROR(VLOOKUP(Anexo_4[[#This Row],[cuenta]],OP,2,0),"-")</f>
        <v>-</v>
      </c>
    </row>
    <row r="1716" spans="1:28" ht="27" customHeight="1" x14ac:dyDescent="0.3">
      <c r="A1716" s="34" t="s">
        <v>5071</v>
      </c>
      <c r="B1716" s="36" t="str">
        <f t="shared" si="26"/>
        <v>Setiembre</v>
      </c>
      <c r="C1716" s="33" t="s">
        <v>162</v>
      </c>
      <c r="D1716" s="33" t="s">
        <v>5395</v>
      </c>
      <c r="E1716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716" s="32" t="s">
        <v>449</v>
      </c>
      <c r="G1716" s="32" t="s">
        <v>4868</v>
      </c>
      <c r="H1716" s="139" t="s">
        <v>5396</v>
      </c>
      <c r="I1716" s="33" t="s">
        <v>2085</v>
      </c>
      <c r="J1716" s="143" t="s">
        <v>5397</v>
      </c>
      <c r="K1716" s="33" t="s">
        <v>169</v>
      </c>
      <c r="L1716" s="102" t="str">
        <f>VLOOKUP(Anexo_4[[#This Row],[cod_doc]],TIPODOC,2,FALSE)</f>
        <v>FACTURA</v>
      </c>
      <c r="M1716" s="33" t="s">
        <v>631</v>
      </c>
      <c r="N1716" s="32" t="s">
        <v>5398</v>
      </c>
      <c r="O1716" s="48">
        <v>46.61</v>
      </c>
      <c r="P1716" s="49"/>
      <c r="Q1716" s="81">
        <v>8.39</v>
      </c>
      <c r="R1716" s="80" t="s">
        <v>4341</v>
      </c>
      <c r="S1716" s="48" t="s">
        <v>4341</v>
      </c>
      <c r="T1716" s="72">
        <v>55</v>
      </c>
      <c r="U1716" s="70"/>
      <c r="V1716" s="32"/>
      <c r="W1716" s="70"/>
      <c r="X1716" s="70"/>
      <c r="Y1716" s="70" t="s">
        <v>5399</v>
      </c>
      <c r="Z1716" s="70" t="s">
        <v>507</v>
      </c>
      <c r="AA1716" s="71"/>
      <c r="AB1716" s="53" t="str">
        <f>IFERROR(VLOOKUP(Anexo_4[[#This Row],[cuenta]],OP,2,0),"-")</f>
        <v>Transporte lavado (Higienización)</v>
      </c>
    </row>
    <row r="1717" spans="1:28" ht="27" customHeight="1" x14ac:dyDescent="0.3">
      <c r="A1717" s="34" t="s">
        <v>4994</v>
      </c>
      <c r="B1717" s="36" t="str">
        <f t="shared" si="26"/>
        <v>Setiembre</v>
      </c>
      <c r="C1717" s="33" t="s">
        <v>162</v>
      </c>
      <c r="D1717" s="33" t="s">
        <v>5400</v>
      </c>
      <c r="E1717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717" s="32" t="s">
        <v>449</v>
      </c>
      <c r="G1717" s="32" t="s">
        <v>4868</v>
      </c>
      <c r="H1717" s="139" t="s">
        <v>5401</v>
      </c>
      <c r="I1717" s="33" t="s">
        <v>312</v>
      </c>
      <c r="J1717" s="143" t="s">
        <v>4917</v>
      </c>
      <c r="K1717" s="33" t="s">
        <v>169</v>
      </c>
      <c r="L1717" s="102" t="str">
        <f>VLOOKUP(Anexo_4[[#This Row],[cod_doc]],TIPODOC,2,FALSE)</f>
        <v>FACTURA</v>
      </c>
      <c r="M1717" s="33" t="s">
        <v>1459</v>
      </c>
      <c r="N1717" s="32" t="s">
        <v>5402</v>
      </c>
      <c r="O1717" s="48">
        <v>12.71</v>
      </c>
      <c r="P1717" s="49"/>
      <c r="Q1717" s="81">
        <v>2.29</v>
      </c>
      <c r="R1717" s="80" t="s">
        <v>4341</v>
      </c>
      <c r="S1717" s="48" t="s">
        <v>4341</v>
      </c>
      <c r="T1717" s="72">
        <v>15</v>
      </c>
      <c r="U1717" s="70"/>
      <c r="V1717" s="32"/>
      <c r="W1717" s="70"/>
      <c r="X1717" s="70"/>
      <c r="Y1717" s="70" t="s">
        <v>5403</v>
      </c>
      <c r="Z1717" s="70" t="s">
        <v>302</v>
      </c>
      <c r="AA1717" s="71"/>
      <c r="AB1717" s="53" t="str">
        <f>IFERROR(VLOOKUP(Anexo_4[[#This Row],[cuenta]],OP,2,0),"-")</f>
        <v>Transporte peajes - Servicios</v>
      </c>
    </row>
    <row r="1718" spans="1:28" ht="27" customHeight="1" x14ac:dyDescent="0.3">
      <c r="A1718" s="34" t="s">
        <v>4994</v>
      </c>
      <c r="B1718" s="36" t="str">
        <f t="shared" si="26"/>
        <v>Setiembre</v>
      </c>
      <c r="C1718" s="33" t="s">
        <v>162</v>
      </c>
      <c r="D1718" s="33" t="s">
        <v>5404</v>
      </c>
      <c r="E1718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718" s="32" t="s">
        <v>449</v>
      </c>
      <c r="G1718" s="32" t="s">
        <v>4868</v>
      </c>
      <c r="H1718" s="139" t="s">
        <v>5405</v>
      </c>
      <c r="I1718" s="33" t="s">
        <v>312</v>
      </c>
      <c r="J1718" s="143" t="s">
        <v>4917</v>
      </c>
      <c r="K1718" s="33" t="s">
        <v>169</v>
      </c>
      <c r="L1718" s="102" t="str">
        <f>VLOOKUP(Anexo_4[[#This Row],[cod_doc]],TIPODOC,2,FALSE)</f>
        <v>FACTURA</v>
      </c>
      <c r="M1718" s="33" t="s">
        <v>1474</v>
      </c>
      <c r="N1718" s="32" t="s">
        <v>5406</v>
      </c>
      <c r="O1718" s="48">
        <v>12.71</v>
      </c>
      <c r="P1718" s="49"/>
      <c r="Q1718" s="81">
        <v>2.29</v>
      </c>
      <c r="R1718" s="80" t="s">
        <v>4341</v>
      </c>
      <c r="S1718" s="48" t="s">
        <v>4341</v>
      </c>
      <c r="T1718" s="72">
        <v>15</v>
      </c>
      <c r="U1718" s="70"/>
      <c r="V1718" s="32"/>
      <c r="W1718" s="70"/>
      <c r="X1718" s="70"/>
      <c r="Y1718" s="70" t="s">
        <v>5407</v>
      </c>
      <c r="Z1718" s="70" t="s">
        <v>302</v>
      </c>
      <c r="AA1718" s="71"/>
      <c r="AB1718" s="53" t="str">
        <f>IFERROR(VLOOKUP(Anexo_4[[#This Row],[cuenta]],OP,2,0),"-")</f>
        <v>Transporte peajes - Servicios</v>
      </c>
    </row>
    <row r="1719" spans="1:28" ht="27" customHeight="1" x14ac:dyDescent="0.3">
      <c r="A1719" s="34" t="s">
        <v>5080</v>
      </c>
      <c r="B1719" s="36" t="str">
        <f t="shared" si="26"/>
        <v>Setiembre</v>
      </c>
      <c r="C1719" s="33" t="s">
        <v>162</v>
      </c>
      <c r="D1719" s="33" t="s">
        <v>5408</v>
      </c>
      <c r="E1719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719" s="32" t="s">
        <v>449</v>
      </c>
      <c r="G1719" s="32" t="s">
        <v>4868</v>
      </c>
      <c r="H1719" s="139" t="s">
        <v>5409</v>
      </c>
      <c r="I1719" s="33" t="s">
        <v>312</v>
      </c>
      <c r="J1719" s="143" t="s">
        <v>4917</v>
      </c>
      <c r="K1719" s="33" t="s">
        <v>169</v>
      </c>
      <c r="L1719" s="102" t="str">
        <f>VLOOKUP(Anexo_4[[#This Row],[cod_doc]],TIPODOC,2,FALSE)</f>
        <v>FACTURA</v>
      </c>
      <c r="M1719" s="33" t="s">
        <v>195</v>
      </c>
      <c r="N1719" s="32" t="s">
        <v>5410</v>
      </c>
      <c r="O1719" s="48">
        <v>12.71</v>
      </c>
      <c r="P1719" s="49"/>
      <c r="Q1719" s="81">
        <v>2.29</v>
      </c>
      <c r="R1719" s="80" t="s">
        <v>4341</v>
      </c>
      <c r="S1719" s="48" t="s">
        <v>4341</v>
      </c>
      <c r="T1719" s="72">
        <v>15</v>
      </c>
      <c r="U1719" s="70"/>
      <c r="V1719" s="32"/>
      <c r="W1719" s="70"/>
      <c r="X1719" s="70"/>
      <c r="Y1719" s="70" t="s">
        <v>5411</v>
      </c>
      <c r="Z1719" s="70" t="s">
        <v>302</v>
      </c>
      <c r="AA1719" s="71"/>
      <c r="AB1719" s="53" t="str">
        <f>IFERROR(VLOOKUP(Anexo_4[[#This Row],[cuenta]],OP,2,0),"-")</f>
        <v>Transporte peajes - Servicios</v>
      </c>
    </row>
    <row r="1720" spans="1:28" ht="27" customHeight="1" x14ac:dyDescent="0.3">
      <c r="A1720" s="34" t="s">
        <v>5080</v>
      </c>
      <c r="B1720" s="36" t="str">
        <f t="shared" si="26"/>
        <v>Setiembre</v>
      </c>
      <c r="C1720" s="33" t="s">
        <v>162</v>
      </c>
      <c r="D1720" s="33" t="s">
        <v>5412</v>
      </c>
      <c r="E1720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720" s="32" t="s">
        <v>449</v>
      </c>
      <c r="G1720" s="32" t="s">
        <v>4868</v>
      </c>
      <c r="H1720" s="139" t="s">
        <v>5413</v>
      </c>
      <c r="I1720" s="33" t="s">
        <v>312</v>
      </c>
      <c r="J1720" s="143" t="s">
        <v>4917</v>
      </c>
      <c r="K1720" s="33" t="s">
        <v>169</v>
      </c>
      <c r="L1720" s="102" t="str">
        <f>VLOOKUP(Anexo_4[[#This Row],[cod_doc]],TIPODOC,2,FALSE)</f>
        <v>FACTURA</v>
      </c>
      <c r="M1720" s="33" t="s">
        <v>1490</v>
      </c>
      <c r="N1720" s="32" t="s">
        <v>5414</v>
      </c>
      <c r="O1720" s="48">
        <v>12.71</v>
      </c>
      <c r="P1720" s="49"/>
      <c r="Q1720" s="81">
        <v>2.29</v>
      </c>
      <c r="R1720" s="80" t="s">
        <v>4341</v>
      </c>
      <c r="S1720" s="48" t="s">
        <v>4341</v>
      </c>
      <c r="T1720" s="72">
        <v>15</v>
      </c>
      <c r="U1720" s="70"/>
      <c r="V1720" s="32"/>
      <c r="W1720" s="70"/>
      <c r="X1720" s="70"/>
      <c r="Y1720" s="70" t="s">
        <v>5415</v>
      </c>
      <c r="Z1720" s="70" t="s">
        <v>302</v>
      </c>
      <c r="AA1720" s="71"/>
      <c r="AB1720" s="53" t="str">
        <f>IFERROR(VLOOKUP(Anexo_4[[#This Row],[cuenta]],OP,2,0),"-")</f>
        <v>Transporte peajes - Servicios</v>
      </c>
    </row>
    <row r="1721" spans="1:28" ht="27" customHeight="1" x14ac:dyDescent="0.3">
      <c r="A1721" s="34" t="s">
        <v>5095</v>
      </c>
      <c r="B1721" s="36" t="str">
        <f t="shared" si="26"/>
        <v>Setiembre</v>
      </c>
      <c r="C1721" s="33" t="s">
        <v>162</v>
      </c>
      <c r="D1721" s="33" t="s">
        <v>5416</v>
      </c>
      <c r="E1721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721" s="32" t="s">
        <v>449</v>
      </c>
      <c r="G1721" s="32" t="s">
        <v>4868</v>
      </c>
      <c r="H1721" s="139" t="s">
        <v>5417</v>
      </c>
      <c r="I1721" s="33" t="s">
        <v>312</v>
      </c>
      <c r="J1721" s="143" t="s">
        <v>4917</v>
      </c>
      <c r="K1721" s="33" t="s">
        <v>169</v>
      </c>
      <c r="L1721" s="102" t="str">
        <f>VLOOKUP(Anexo_4[[#This Row],[cod_doc]],TIPODOC,2,FALSE)</f>
        <v>FACTURA</v>
      </c>
      <c r="M1721" s="33" t="s">
        <v>1482</v>
      </c>
      <c r="N1721" s="32" t="s">
        <v>5418</v>
      </c>
      <c r="O1721" s="48">
        <v>12.71</v>
      </c>
      <c r="P1721" s="49"/>
      <c r="Q1721" s="81">
        <v>2.29</v>
      </c>
      <c r="R1721" s="80" t="s">
        <v>4341</v>
      </c>
      <c r="S1721" s="48" t="s">
        <v>4341</v>
      </c>
      <c r="T1721" s="72">
        <v>15</v>
      </c>
      <c r="U1721" s="70"/>
      <c r="V1721" s="32"/>
      <c r="W1721" s="70"/>
      <c r="X1721" s="70"/>
      <c r="Y1721" s="70" t="s">
        <v>5419</v>
      </c>
      <c r="Z1721" s="70" t="s">
        <v>302</v>
      </c>
      <c r="AA1721" s="71"/>
      <c r="AB1721" s="53" t="str">
        <f>IFERROR(VLOOKUP(Anexo_4[[#This Row],[cuenta]],OP,2,0),"-")</f>
        <v>Transporte peajes - Servicios</v>
      </c>
    </row>
    <row r="1722" spans="1:28" ht="27" customHeight="1" x14ac:dyDescent="0.3">
      <c r="A1722" s="34" t="s">
        <v>5095</v>
      </c>
      <c r="B1722" s="36" t="str">
        <f t="shared" si="26"/>
        <v>Setiembre</v>
      </c>
      <c r="C1722" s="33" t="s">
        <v>162</v>
      </c>
      <c r="D1722" s="33" t="s">
        <v>5420</v>
      </c>
      <c r="E1722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722" s="32" t="s">
        <v>449</v>
      </c>
      <c r="G1722" s="32" t="s">
        <v>4868</v>
      </c>
      <c r="H1722" s="139" t="s">
        <v>5421</v>
      </c>
      <c r="I1722" s="33" t="s">
        <v>312</v>
      </c>
      <c r="J1722" s="143" t="s">
        <v>4917</v>
      </c>
      <c r="K1722" s="33" t="s">
        <v>169</v>
      </c>
      <c r="L1722" s="102" t="str">
        <f>VLOOKUP(Anexo_4[[#This Row],[cod_doc]],TIPODOC,2,FALSE)</f>
        <v>FACTURA</v>
      </c>
      <c r="M1722" s="33" t="s">
        <v>195</v>
      </c>
      <c r="N1722" s="32" t="s">
        <v>5422</v>
      </c>
      <c r="O1722" s="48">
        <v>12.71</v>
      </c>
      <c r="P1722" s="49"/>
      <c r="Q1722" s="81">
        <v>2.29</v>
      </c>
      <c r="R1722" s="80" t="s">
        <v>4341</v>
      </c>
      <c r="S1722" s="48" t="s">
        <v>4341</v>
      </c>
      <c r="T1722" s="72">
        <v>15</v>
      </c>
      <c r="U1722" s="70"/>
      <c r="V1722" s="32"/>
      <c r="W1722" s="70"/>
      <c r="X1722" s="70"/>
      <c r="Y1722" s="70" t="s">
        <v>5423</v>
      </c>
      <c r="Z1722" s="70" t="s">
        <v>302</v>
      </c>
      <c r="AA1722" s="71"/>
      <c r="AB1722" s="53" t="str">
        <f>IFERROR(VLOOKUP(Anexo_4[[#This Row],[cuenta]],OP,2,0),"-")</f>
        <v>Transporte peajes - Servicios</v>
      </c>
    </row>
    <row r="1723" spans="1:28" ht="27" customHeight="1" x14ac:dyDescent="0.3">
      <c r="A1723" s="34" t="s">
        <v>4975</v>
      </c>
      <c r="B1723" s="36" t="str">
        <f t="shared" si="26"/>
        <v>Setiembre</v>
      </c>
      <c r="C1723" s="33" t="s">
        <v>162</v>
      </c>
      <c r="D1723" s="33" t="s">
        <v>5424</v>
      </c>
      <c r="E1723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723" s="32" t="s">
        <v>217</v>
      </c>
      <c r="G1723" s="32" t="s">
        <v>4839</v>
      </c>
      <c r="H1723" s="139" t="s">
        <v>5425</v>
      </c>
      <c r="I1723" s="33" t="s">
        <v>264</v>
      </c>
      <c r="J1723" s="143" t="s">
        <v>4644</v>
      </c>
      <c r="K1723" s="33" t="s">
        <v>169</v>
      </c>
      <c r="L1723" s="102" t="str">
        <f>VLOOKUP(Anexo_4[[#This Row],[cod_doc]],TIPODOC,2,FALSE)</f>
        <v>FACTURA</v>
      </c>
      <c r="M1723" s="33" t="s">
        <v>406</v>
      </c>
      <c r="N1723" s="32" t="s">
        <v>5426</v>
      </c>
      <c r="O1723" s="48">
        <v>6.78</v>
      </c>
      <c r="P1723" s="49"/>
      <c r="Q1723" s="81">
        <v>1.22</v>
      </c>
      <c r="R1723" s="80" t="s">
        <v>4341</v>
      </c>
      <c r="S1723" s="48" t="s">
        <v>4341</v>
      </c>
      <c r="T1723" s="72">
        <v>8</v>
      </c>
      <c r="U1723" s="70"/>
      <c r="V1723" s="32"/>
      <c r="W1723" s="70"/>
      <c r="X1723" s="70"/>
      <c r="Y1723" s="70" t="s">
        <v>5427</v>
      </c>
      <c r="Z1723" s="70" t="s">
        <v>302</v>
      </c>
      <c r="AA1723" s="71"/>
      <c r="AB1723" s="53" t="str">
        <f>IFERROR(VLOOKUP(Anexo_4[[#This Row],[cuenta]],OP,2,0),"-")</f>
        <v>Transporte peajes - Servicios</v>
      </c>
    </row>
    <row r="1724" spans="1:28" ht="27" customHeight="1" x14ac:dyDescent="0.3">
      <c r="A1724" s="34" t="s">
        <v>5095</v>
      </c>
      <c r="B1724" s="36" t="str">
        <f t="shared" si="26"/>
        <v>Setiembre</v>
      </c>
      <c r="C1724" s="33" t="s">
        <v>162</v>
      </c>
      <c r="D1724" s="33" t="s">
        <v>5428</v>
      </c>
      <c r="E1724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724" s="32" t="s">
        <v>217</v>
      </c>
      <c r="G1724" s="32" t="s">
        <v>4839</v>
      </c>
      <c r="H1724" s="139" t="s">
        <v>5429</v>
      </c>
      <c r="I1724" s="33" t="s">
        <v>264</v>
      </c>
      <c r="J1724" s="143" t="s">
        <v>4644</v>
      </c>
      <c r="K1724" s="33" t="s">
        <v>169</v>
      </c>
      <c r="L1724" s="102" t="str">
        <f>VLOOKUP(Anexo_4[[#This Row],[cod_doc]],TIPODOC,2,FALSE)</f>
        <v>FACTURA</v>
      </c>
      <c r="M1724" s="33" t="s">
        <v>271</v>
      </c>
      <c r="N1724" s="32" t="s">
        <v>5430</v>
      </c>
      <c r="O1724" s="48">
        <v>6.78</v>
      </c>
      <c r="P1724" s="49"/>
      <c r="Q1724" s="81">
        <v>1.22</v>
      </c>
      <c r="R1724" s="80" t="s">
        <v>4341</v>
      </c>
      <c r="S1724" s="48" t="s">
        <v>4341</v>
      </c>
      <c r="T1724" s="72">
        <v>8</v>
      </c>
      <c r="U1724" s="70"/>
      <c r="V1724" s="32"/>
      <c r="W1724" s="70"/>
      <c r="X1724" s="70"/>
      <c r="Y1724" s="70" t="s">
        <v>5431</v>
      </c>
      <c r="Z1724" s="70" t="s">
        <v>302</v>
      </c>
      <c r="AA1724" s="71"/>
      <c r="AB1724" s="53" t="str">
        <f>IFERROR(VLOOKUP(Anexo_4[[#This Row],[cuenta]],OP,2,0),"-")</f>
        <v>Transporte peajes - Servicios</v>
      </c>
    </row>
    <row r="1725" spans="1:28" ht="27" customHeight="1" x14ac:dyDescent="0.3">
      <c r="A1725" s="34" t="s">
        <v>5071</v>
      </c>
      <c r="B1725" s="36" t="str">
        <f t="shared" si="26"/>
        <v>Setiembre</v>
      </c>
      <c r="C1725" s="33" t="s">
        <v>162</v>
      </c>
      <c r="D1725" s="33" t="s">
        <v>5432</v>
      </c>
      <c r="E1725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725" s="32" t="s">
        <v>217</v>
      </c>
      <c r="G1725" s="32" t="s">
        <v>4839</v>
      </c>
      <c r="H1725" s="139" t="s">
        <v>5433</v>
      </c>
      <c r="I1725" s="33" t="s">
        <v>264</v>
      </c>
      <c r="J1725" s="143" t="s">
        <v>4644</v>
      </c>
      <c r="K1725" s="33" t="s">
        <v>169</v>
      </c>
      <c r="L1725" s="102" t="str">
        <f>VLOOKUP(Anexo_4[[#This Row],[cod_doc]],TIPODOC,2,FALSE)</f>
        <v>FACTURA</v>
      </c>
      <c r="M1725" s="33" t="s">
        <v>352</v>
      </c>
      <c r="N1725" s="32" t="s">
        <v>5434</v>
      </c>
      <c r="O1725" s="48">
        <v>6.78</v>
      </c>
      <c r="P1725" s="49"/>
      <c r="Q1725" s="81">
        <v>1.22</v>
      </c>
      <c r="R1725" s="80" t="s">
        <v>4341</v>
      </c>
      <c r="S1725" s="48" t="s">
        <v>4341</v>
      </c>
      <c r="T1725" s="72">
        <v>8</v>
      </c>
      <c r="U1725" s="70"/>
      <c r="V1725" s="32"/>
      <c r="W1725" s="70"/>
      <c r="X1725" s="70"/>
      <c r="Y1725" s="70" t="s">
        <v>5435</v>
      </c>
      <c r="Z1725" s="70" t="s">
        <v>302</v>
      </c>
      <c r="AA1725" s="71"/>
      <c r="AB1725" s="53" t="str">
        <f>IFERROR(VLOOKUP(Anexo_4[[#This Row],[cuenta]],OP,2,0),"-")</f>
        <v>Transporte peajes - Servicios</v>
      </c>
    </row>
    <row r="1726" spans="1:28" ht="27" customHeight="1" x14ac:dyDescent="0.3">
      <c r="A1726" s="34" t="s">
        <v>5080</v>
      </c>
      <c r="B1726" s="36" t="str">
        <f t="shared" si="26"/>
        <v>Setiembre</v>
      </c>
      <c r="C1726" s="33" t="s">
        <v>162</v>
      </c>
      <c r="D1726" s="33" t="s">
        <v>5436</v>
      </c>
      <c r="E1726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726" s="32" t="s">
        <v>217</v>
      </c>
      <c r="G1726" s="32" t="s">
        <v>4839</v>
      </c>
      <c r="H1726" s="139" t="s">
        <v>5437</v>
      </c>
      <c r="I1726" s="33" t="s">
        <v>529</v>
      </c>
      <c r="J1726" s="143" t="s">
        <v>5293</v>
      </c>
      <c r="K1726" s="33" t="s">
        <v>169</v>
      </c>
      <c r="L1726" s="102" t="str">
        <f>VLOOKUP(Anexo_4[[#This Row],[cod_doc]],TIPODOC,2,FALSE)</f>
        <v>FACTURA</v>
      </c>
      <c r="M1726" s="33" t="s">
        <v>531</v>
      </c>
      <c r="N1726" s="32" t="s">
        <v>5438</v>
      </c>
      <c r="O1726" s="48">
        <v>8.4700000000000006</v>
      </c>
      <c r="P1726" s="49"/>
      <c r="Q1726" s="81">
        <v>1.53</v>
      </c>
      <c r="R1726" s="80" t="s">
        <v>4341</v>
      </c>
      <c r="S1726" s="48" t="s">
        <v>4341</v>
      </c>
      <c r="T1726" s="72">
        <v>10</v>
      </c>
      <c r="U1726" s="70"/>
      <c r="V1726" s="32"/>
      <c r="W1726" s="70"/>
      <c r="X1726" s="70"/>
      <c r="Y1726" s="70" t="s">
        <v>5439</v>
      </c>
      <c r="Z1726" s="70" t="s">
        <v>386</v>
      </c>
      <c r="AA1726" s="71"/>
      <c r="AB1726" s="53" t="str">
        <f>IFERROR(VLOOKUP(Anexo_4[[#This Row],[cuenta]],OP,2,0),"-")</f>
        <v>Balanza - Servicios</v>
      </c>
    </row>
    <row r="1727" spans="1:28" ht="27" customHeight="1" x14ac:dyDescent="0.3">
      <c r="A1727" s="34" t="s">
        <v>4975</v>
      </c>
      <c r="B1727" s="36" t="str">
        <f t="shared" si="26"/>
        <v>Setiembre</v>
      </c>
      <c r="C1727" s="33" t="s">
        <v>162</v>
      </c>
      <c r="D1727" s="33" t="s">
        <v>5440</v>
      </c>
      <c r="E1727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727" s="32" t="s">
        <v>217</v>
      </c>
      <c r="G1727" s="32" t="s">
        <v>4839</v>
      </c>
      <c r="H1727" s="139" t="s">
        <v>5441</v>
      </c>
      <c r="I1727" s="33" t="s">
        <v>383</v>
      </c>
      <c r="J1727" s="143" t="s">
        <v>4702</v>
      </c>
      <c r="K1727" s="33" t="s">
        <v>169</v>
      </c>
      <c r="L1727" s="102" t="str">
        <f>VLOOKUP(Anexo_4[[#This Row],[cod_doc]],TIPODOC,2,FALSE)</f>
        <v>FACTURA</v>
      </c>
      <c r="M1727" s="33" t="s">
        <v>103</v>
      </c>
      <c r="N1727" s="32" t="s">
        <v>5442</v>
      </c>
      <c r="O1727" s="48">
        <v>16.95</v>
      </c>
      <c r="P1727" s="49"/>
      <c r="Q1727" s="81">
        <v>3.05</v>
      </c>
      <c r="R1727" s="80" t="s">
        <v>4341</v>
      </c>
      <c r="S1727" s="48" t="s">
        <v>4341</v>
      </c>
      <c r="T1727" s="72">
        <v>20</v>
      </c>
      <c r="U1727" s="70"/>
      <c r="V1727" s="32"/>
      <c r="W1727" s="70"/>
      <c r="X1727" s="70"/>
      <c r="Y1727" s="70" t="s">
        <v>5443</v>
      </c>
      <c r="Z1727" s="70" t="s">
        <v>386</v>
      </c>
      <c r="AA1727" s="71"/>
      <c r="AB1727" s="53" t="str">
        <f>IFERROR(VLOOKUP(Anexo_4[[#This Row],[cuenta]],OP,2,0),"-")</f>
        <v>Balanza - Servicios</v>
      </c>
    </row>
    <row r="1728" spans="1:28" ht="27" customHeight="1" x14ac:dyDescent="0.3">
      <c r="A1728" s="34" t="s">
        <v>5444</v>
      </c>
      <c r="B1728" s="36" t="str">
        <f t="shared" si="26"/>
        <v>Setiembre</v>
      </c>
      <c r="C1728" s="33" t="s">
        <v>162</v>
      </c>
      <c r="D1728" s="33" t="s">
        <v>5445</v>
      </c>
      <c r="E1728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728" s="32" t="s">
        <v>248</v>
      </c>
      <c r="G1728" s="32" t="s">
        <v>249</v>
      </c>
      <c r="H1728" s="139" t="s">
        <v>5446</v>
      </c>
      <c r="I1728" s="33" t="s">
        <v>536</v>
      </c>
      <c r="J1728" s="143" t="s">
        <v>4997</v>
      </c>
      <c r="K1728" s="33" t="s">
        <v>169</v>
      </c>
      <c r="L1728" s="102" t="str">
        <f>VLOOKUP(Anexo_4[[#This Row],[cod_doc]],TIPODOC,2,FALSE)</f>
        <v>FACTURA</v>
      </c>
      <c r="M1728" s="33" t="s">
        <v>538</v>
      </c>
      <c r="N1728" s="32" t="s">
        <v>5447</v>
      </c>
      <c r="O1728" s="48">
        <v>768</v>
      </c>
      <c r="P1728" s="49"/>
      <c r="Q1728" s="81">
        <v>138.24</v>
      </c>
      <c r="R1728" s="80" t="s">
        <v>4341</v>
      </c>
      <c r="S1728" s="48" t="s">
        <v>4341</v>
      </c>
      <c r="T1728" s="72">
        <v>906.24</v>
      </c>
      <c r="U1728" s="70" t="s">
        <v>5448</v>
      </c>
      <c r="V1728" s="32" t="s">
        <v>5449</v>
      </c>
      <c r="W1728" s="70"/>
      <c r="X1728" s="70"/>
      <c r="Y1728" s="70" t="s">
        <v>5450</v>
      </c>
      <c r="Z1728" s="70" t="s">
        <v>256</v>
      </c>
      <c r="AA1728" s="71"/>
      <c r="AB1728" s="53" t="str">
        <f>IFERROR(VLOOKUP(Anexo_4[[#This Row],[cuenta]],OP,2,0),"-")</f>
        <v>Materias Primas - RRSS</v>
      </c>
    </row>
    <row r="1729" spans="1:28" ht="27" customHeight="1" x14ac:dyDescent="0.3">
      <c r="A1729" s="34" t="s">
        <v>5444</v>
      </c>
      <c r="B1729" s="36" t="str">
        <f t="shared" si="26"/>
        <v>Setiembre</v>
      </c>
      <c r="C1729" s="33" t="s">
        <v>162</v>
      </c>
      <c r="D1729" s="33" t="s">
        <v>5451</v>
      </c>
      <c r="E1729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729" s="32" t="s">
        <v>248</v>
      </c>
      <c r="G1729" s="32" t="s">
        <v>249</v>
      </c>
      <c r="H1729" s="139" t="s">
        <v>5452</v>
      </c>
      <c r="I1729" s="33" t="s">
        <v>536</v>
      </c>
      <c r="J1729" s="143" t="s">
        <v>4997</v>
      </c>
      <c r="K1729" s="33" t="s">
        <v>169</v>
      </c>
      <c r="L1729" s="102" t="str">
        <f>VLOOKUP(Anexo_4[[#This Row],[cod_doc]],TIPODOC,2,FALSE)</f>
        <v>FACTURA</v>
      </c>
      <c r="M1729" s="33" t="s">
        <v>538</v>
      </c>
      <c r="N1729" s="32" t="s">
        <v>5453</v>
      </c>
      <c r="O1729" s="48">
        <v>387</v>
      </c>
      <c r="P1729" s="49"/>
      <c r="Q1729" s="81">
        <v>69.66</v>
      </c>
      <c r="R1729" s="80" t="s">
        <v>4341</v>
      </c>
      <c r="S1729" s="48" t="s">
        <v>4341</v>
      </c>
      <c r="T1729" s="72">
        <v>456.65999999999997</v>
      </c>
      <c r="U1729" s="70" t="s">
        <v>5454</v>
      </c>
      <c r="V1729" s="32" t="s">
        <v>5449</v>
      </c>
      <c r="W1729" s="70"/>
      <c r="X1729" s="70"/>
      <c r="Y1729" s="70" t="s">
        <v>5455</v>
      </c>
      <c r="Z1729" s="70" t="s">
        <v>256</v>
      </c>
      <c r="AA1729" s="71"/>
      <c r="AB1729" s="53" t="str">
        <f>IFERROR(VLOOKUP(Anexo_4[[#This Row],[cuenta]],OP,2,0),"-")</f>
        <v>Materias Primas - RRSS</v>
      </c>
    </row>
    <row r="1730" spans="1:28" ht="27" customHeight="1" x14ac:dyDescent="0.3">
      <c r="A1730" s="34" t="s">
        <v>5444</v>
      </c>
      <c r="B1730" s="36" t="str">
        <f t="shared" ref="B1730:B1793" si="27">PROPER(CHOOSE(LEFT(D1730,2),"enero","febrero","marzo","abril","mayo","junio","julio","agosto","setiembre","octubre","noviembre","diciembre"))</f>
        <v>Setiembre</v>
      </c>
      <c r="C1730" s="33" t="s">
        <v>162</v>
      </c>
      <c r="D1730" s="33" t="s">
        <v>5456</v>
      </c>
      <c r="E1730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730" s="32" t="s">
        <v>248</v>
      </c>
      <c r="G1730" s="32" t="s">
        <v>249</v>
      </c>
      <c r="H1730" s="139" t="s">
        <v>5457</v>
      </c>
      <c r="I1730" s="33" t="s">
        <v>536</v>
      </c>
      <c r="J1730" s="143" t="s">
        <v>4997</v>
      </c>
      <c r="K1730" s="33" t="s">
        <v>169</v>
      </c>
      <c r="L1730" s="102" t="str">
        <f>VLOOKUP(Anexo_4[[#This Row],[cod_doc]],TIPODOC,2,FALSE)</f>
        <v>FACTURA</v>
      </c>
      <c r="M1730" s="33" t="s">
        <v>538</v>
      </c>
      <c r="N1730" s="32" t="s">
        <v>5458</v>
      </c>
      <c r="O1730" s="48">
        <v>457.5</v>
      </c>
      <c r="P1730" s="49"/>
      <c r="Q1730" s="81">
        <v>82.35</v>
      </c>
      <c r="R1730" s="80" t="s">
        <v>4341</v>
      </c>
      <c r="S1730" s="48" t="s">
        <v>4341</v>
      </c>
      <c r="T1730" s="72">
        <v>539.85</v>
      </c>
      <c r="U1730" s="70" t="s">
        <v>5459</v>
      </c>
      <c r="V1730" s="32" t="s">
        <v>5449</v>
      </c>
      <c r="W1730" s="70"/>
      <c r="X1730" s="70"/>
      <c r="Y1730" s="70" t="s">
        <v>5460</v>
      </c>
      <c r="Z1730" s="70" t="s">
        <v>256</v>
      </c>
      <c r="AA1730" s="71"/>
      <c r="AB1730" s="53" t="str">
        <f>IFERROR(VLOOKUP(Anexo_4[[#This Row],[cuenta]],OP,2,0),"-")</f>
        <v>Materias Primas - RRSS</v>
      </c>
    </row>
    <row r="1731" spans="1:28" ht="27" customHeight="1" x14ac:dyDescent="0.3">
      <c r="A1731" s="34" t="s">
        <v>5444</v>
      </c>
      <c r="B1731" s="36" t="str">
        <f t="shared" si="27"/>
        <v>Setiembre</v>
      </c>
      <c r="C1731" s="33" t="s">
        <v>162</v>
      </c>
      <c r="D1731" s="33" t="s">
        <v>5461</v>
      </c>
      <c r="E1731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731" s="32" t="s">
        <v>248</v>
      </c>
      <c r="G1731" s="32" t="s">
        <v>249</v>
      </c>
      <c r="H1731" s="139" t="s">
        <v>5462</v>
      </c>
      <c r="I1731" s="33" t="s">
        <v>536</v>
      </c>
      <c r="J1731" s="143" t="s">
        <v>4997</v>
      </c>
      <c r="K1731" s="33" t="s">
        <v>169</v>
      </c>
      <c r="L1731" s="102" t="str">
        <f>VLOOKUP(Anexo_4[[#This Row],[cod_doc]],TIPODOC,2,FALSE)</f>
        <v>FACTURA</v>
      </c>
      <c r="M1731" s="33" t="s">
        <v>538</v>
      </c>
      <c r="N1731" s="32" t="s">
        <v>5463</v>
      </c>
      <c r="O1731" s="48">
        <v>6.9</v>
      </c>
      <c r="P1731" s="49"/>
      <c r="Q1731" s="81">
        <v>1.24</v>
      </c>
      <c r="R1731" s="80" t="s">
        <v>4341</v>
      </c>
      <c r="S1731" s="48" t="s">
        <v>4341</v>
      </c>
      <c r="T1731" s="72">
        <v>8.14</v>
      </c>
      <c r="U1731" s="70" t="s">
        <v>5464</v>
      </c>
      <c r="V1731" s="32" t="s">
        <v>5449</v>
      </c>
      <c r="W1731" s="70"/>
      <c r="X1731" s="70"/>
      <c r="Y1731" s="70" t="s">
        <v>5465</v>
      </c>
      <c r="Z1731" s="70" t="s">
        <v>256</v>
      </c>
      <c r="AA1731" s="71"/>
      <c r="AB1731" s="53" t="str">
        <f>IFERROR(VLOOKUP(Anexo_4[[#This Row],[cuenta]],OP,2,0),"-")</f>
        <v>Materias Primas - RRSS</v>
      </c>
    </row>
    <row r="1732" spans="1:28" ht="27" customHeight="1" x14ac:dyDescent="0.3">
      <c r="A1732" s="34" t="s">
        <v>5444</v>
      </c>
      <c r="B1732" s="36" t="str">
        <f t="shared" si="27"/>
        <v>Setiembre</v>
      </c>
      <c r="C1732" s="33" t="s">
        <v>162</v>
      </c>
      <c r="D1732" s="33" t="s">
        <v>5466</v>
      </c>
      <c r="E1732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732" s="32" t="s">
        <v>248</v>
      </c>
      <c r="G1732" s="32" t="s">
        <v>249</v>
      </c>
      <c r="H1732" s="139" t="s">
        <v>5467</v>
      </c>
      <c r="I1732" s="33" t="s">
        <v>536</v>
      </c>
      <c r="J1732" s="143" t="s">
        <v>4997</v>
      </c>
      <c r="K1732" s="33" t="s">
        <v>169</v>
      </c>
      <c r="L1732" s="102" t="str">
        <f>VLOOKUP(Anexo_4[[#This Row],[cod_doc]],TIPODOC,2,FALSE)</f>
        <v>FACTURA</v>
      </c>
      <c r="M1732" s="33" t="s">
        <v>538</v>
      </c>
      <c r="N1732" s="32" t="s">
        <v>5468</v>
      </c>
      <c r="O1732" s="48">
        <v>129</v>
      </c>
      <c r="P1732" s="49"/>
      <c r="Q1732" s="81">
        <v>23.22</v>
      </c>
      <c r="R1732" s="80" t="s">
        <v>4341</v>
      </c>
      <c r="S1732" s="48" t="s">
        <v>4341</v>
      </c>
      <c r="T1732" s="72">
        <v>152.22</v>
      </c>
      <c r="U1732" s="70" t="s">
        <v>5469</v>
      </c>
      <c r="V1732" s="32" t="s">
        <v>5449</v>
      </c>
      <c r="W1732" s="70"/>
      <c r="X1732" s="70"/>
      <c r="Y1732" s="70" t="s">
        <v>5470</v>
      </c>
      <c r="Z1732" s="70" t="s">
        <v>256</v>
      </c>
      <c r="AA1732" s="71"/>
      <c r="AB1732" s="53" t="str">
        <f>IFERROR(VLOOKUP(Anexo_4[[#This Row],[cuenta]],OP,2,0),"-")</f>
        <v>Materias Primas - RRSS</v>
      </c>
    </row>
    <row r="1733" spans="1:28" ht="27" customHeight="1" x14ac:dyDescent="0.3">
      <c r="A1733" s="34" t="s">
        <v>5444</v>
      </c>
      <c r="B1733" s="36" t="str">
        <f t="shared" si="27"/>
        <v>Setiembre</v>
      </c>
      <c r="C1733" s="33" t="s">
        <v>162</v>
      </c>
      <c r="D1733" s="33" t="s">
        <v>5471</v>
      </c>
      <c r="E1733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733" s="32" t="s">
        <v>248</v>
      </c>
      <c r="G1733" s="32" t="s">
        <v>249</v>
      </c>
      <c r="H1733" s="139" t="s">
        <v>5472</v>
      </c>
      <c r="I1733" s="33" t="s">
        <v>536</v>
      </c>
      <c r="J1733" s="143" t="s">
        <v>4997</v>
      </c>
      <c r="K1733" s="33" t="s">
        <v>169</v>
      </c>
      <c r="L1733" s="102" t="str">
        <f>VLOOKUP(Anexo_4[[#This Row],[cod_doc]],TIPODOC,2,FALSE)</f>
        <v>FACTURA</v>
      </c>
      <c r="M1733" s="33" t="s">
        <v>538</v>
      </c>
      <c r="N1733" s="32" t="s">
        <v>5473</v>
      </c>
      <c r="O1733" s="48">
        <v>45.5</v>
      </c>
      <c r="P1733" s="49"/>
      <c r="Q1733" s="81">
        <v>8.19</v>
      </c>
      <c r="R1733" s="80" t="s">
        <v>4341</v>
      </c>
      <c r="S1733" s="48" t="s">
        <v>4341</v>
      </c>
      <c r="T1733" s="72">
        <v>53.69</v>
      </c>
      <c r="U1733" s="70" t="s">
        <v>5474</v>
      </c>
      <c r="V1733" s="32" t="s">
        <v>5449</v>
      </c>
      <c r="W1733" s="70"/>
      <c r="X1733" s="70"/>
      <c r="Y1733" s="70" t="s">
        <v>5475</v>
      </c>
      <c r="Z1733" s="70" t="s">
        <v>256</v>
      </c>
      <c r="AA1733" s="71"/>
      <c r="AB1733" s="53" t="str">
        <f>IFERROR(VLOOKUP(Anexo_4[[#This Row],[cuenta]],OP,2,0),"-")</f>
        <v>Materias Primas - RRSS</v>
      </c>
    </row>
    <row r="1734" spans="1:28" ht="27" customHeight="1" x14ac:dyDescent="0.3">
      <c r="A1734" s="34" t="s">
        <v>5444</v>
      </c>
      <c r="B1734" s="36" t="str">
        <f t="shared" si="27"/>
        <v>Setiembre</v>
      </c>
      <c r="C1734" s="33" t="s">
        <v>162</v>
      </c>
      <c r="D1734" s="33" t="s">
        <v>5476</v>
      </c>
      <c r="E1734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734" s="32" t="s">
        <v>248</v>
      </c>
      <c r="G1734" s="32" t="s">
        <v>249</v>
      </c>
      <c r="H1734" s="139" t="s">
        <v>5477</v>
      </c>
      <c r="I1734" s="33" t="s">
        <v>536</v>
      </c>
      <c r="J1734" s="143" t="s">
        <v>4997</v>
      </c>
      <c r="K1734" s="33" t="s">
        <v>169</v>
      </c>
      <c r="L1734" s="102" t="str">
        <f>VLOOKUP(Anexo_4[[#This Row],[cod_doc]],TIPODOC,2,FALSE)</f>
        <v>FACTURA</v>
      </c>
      <c r="M1734" s="33" t="s">
        <v>538</v>
      </c>
      <c r="N1734" s="32" t="s">
        <v>5478</v>
      </c>
      <c r="O1734" s="48">
        <v>78.3</v>
      </c>
      <c r="P1734" s="49"/>
      <c r="Q1734" s="81">
        <v>14.09</v>
      </c>
      <c r="R1734" s="80" t="s">
        <v>4341</v>
      </c>
      <c r="S1734" s="48" t="s">
        <v>4341</v>
      </c>
      <c r="T1734" s="72">
        <v>92.39</v>
      </c>
      <c r="U1734" s="70" t="s">
        <v>5479</v>
      </c>
      <c r="V1734" s="32" t="s">
        <v>5449</v>
      </c>
      <c r="W1734" s="70"/>
      <c r="X1734" s="70"/>
      <c r="Y1734" s="70" t="s">
        <v>5480</v>
      </c>
      <c r="Z1734" s="70" t="s">
        <v>256</v>
      </c>
      <c r="AA1734" s="71"/>
      <c r="AB1734" s="53" t="str">
        <f>IFERROR(VLOOKUP(Anexo_4[[#This Row],[cuenta]],OP,2,0),"-")</f>
        <v>Materias Primas - RRSS</v>
      </c>
    </row>
    <row r="1735" spans="1:28" ht="27" customHeight="1" x14ac:dyDescent="0.3">
      <c r="A1735" s="34" t="s">
        <v>5078</v>
      </c>
      <c r="B1735" s="36" t="str">
        <f t="shared" si="27"/>
        <v>Setiembre</v>
      </c>
      <c r="C1735" s="33" t="s">
        <v>162</v>
      </c>
      <c r="D1735" s="33" t="s">
        <v>5481</v>
      </c>
      <c r="E1735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735" s="32" t="s">
        <v>248</v>
      </c>
      <c r="G1735" s="32" t="s">
        <v>249</v>
      </c>
      <c r="H1735" s="139" t="s">
        <v>5482</v>
      </c>
      <c r="I1735" s="33" t="s">
        <v>625</v>
      </c>
      <c r="J1735" s="143" t="s">
        <v>4796</v>
      </c>
      <c r="K1735" s="33" t="s">
        <v>169</v>
      </c>
      <c r="L1735" s="102" t="str">
        <f>VLOOKUP(Anexo_4[[#This Row],[cod_doc]],TIPODOC,2,FALSE)</f>
        <v>FACTURA</v>
      </c>
      <c r="M1735" s="33" t="s">
        <v>180</v>
      </c>
      <c r="N1735" s="32" t="s">
        <v>5483</v>
      </c>
      <c r="O1735" s="48">
        <v>240.01</v>
      </c>
      <c r="P1735" s="49"/>
      <c r="Q1735" s="81">
        <v>43.2</v>
      </c>
      <c r="R1735" s="80" t="s">
        <v>4341</v>
      </c>
      <c r="S1735" s="48" t="s">
        <v>4341</v>
      </c>
      <c r="T1735" s="72">
        <v>283.20999999999998</v>
      </c>
      <c r="U1735" s="70" t="s">
        <v>5484</v>
      </c>
      <c r="V1735" s="32" t="s">
        <v>5238</v>
      </c>
      <c r="W1735" s="70"/>
      <c r="X1735" s="70"/>
      <c r="Y1735" s="70" t="s">
        <v>5485</v>
      </c>
      <c r="Z1735" s="70" t="s">
        <v>256</v>
      </c>
      <c r="AA1735" s="71"/>
      <c r="AB1735" s="53" t="str">
        <f>IFERROR(VLOOKUP(Anexo_4[[#This Row],[cuenta]],OP,2,0),"-")</f>
        <v>Materias Primas - RRSS</v>
      </c>
    </row>
    <row r="1736" spans="1:28" ht="27" customHeight="1" x14ac:dyDescent="0.3">
      <c r="A1736" s="34" t="s">
        <v>5486</v>
      </c>
      <c r="B1736" s="36" t="str">
        <f t="shared" si="27"/>
        <v>Setiembre</v>
      </c>
      <c r="C1736" s="33" t="s">
        <v>162</v>
      </c>
      <c r="D1736" s="33" t="s">
        <v>5487</v>
      </c>
      <c r="E1736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736" s="32" t="s">
        <v>248</v>
      </c>
      <c r="G1736" s="32" t="s">
        <v>249</v>
      </c>
      <c r="H1736" s="139" t="s">
        <v>5488</v>
      </c>
      <c r="I1736" s="33" t="s">
        <v>5074</v>
      </c>
      <c r="J1736" s="143" t="s">
        <v>5075</v>
      </c>
      <c r="K1736" s="33" t="s">
        <v>169</v>
      </c>
      <c r="L1736" s="102" t="str">
        <f>VLOOKUP(Anexo_4[[#This Row],[cod_doc]],TIPODOC,2,FALSE)</f>
        <v>FACTURA</v>
      </c>
      <c r="M1736" s="33" t="s">
        <v>4244</v>
      </c>
      <c r="N1736" s="32" t="s">
        <v>5489</v>
      </c>
      <c r="O1736" s="48">
        <v>3279.56</v>
      </c>
      <c r="P1736" s="49"/>
      <c r="Q1736" s="81">
        <v>590.32000000000005</v>
      </c>
      <c r="R1736" s="80" t="s">
        <v>4341</v>
      </c>
      <c r="S1736" s="48" t="s">
        <v>4341</v>
      </c>
      <c r="T1736" s="72">
        <v>3869.88</v>
      </c>
      <c r="U1736" s="70" t="s">
        <v>5490</v>
      </c>
      <c r="V1736" s="32" t="s">
        <v>5238</v>
      </c>
      <c r="W1736" s="70"/>
      <c r="X1736" s="70"/>
      <c r="Y1736" s="70" t="s">
        <v>5491</v>
      </c>
      <c r="Z1736" s="70" t="s">
        <v>256</v>
      </c>
      <c r="AA1736" s="71"/>
      <c r="AB1736" s="53" t="str">
        <f>IFERROR(VLOOKUP(Anexo_4[[#This Row],[cuenta]],OP,2,0),"-")</f>
        <v>Materias Primas - RRSS</v>
      </c>
    </row>
    <row r="1737" spans="1:28" ht="27" customHeight="1" x14ac:dyDescent="0.3">
      <c r="A1737" s="34" t="s">
        <v>5444</v>
      </c>
      <c r="B1737" s="36" t="str">
        <f t="shared" si="27"/>
        <v>Setiembre</v>
      </c>
      <c r="C1737" s="33" t="s">
        <v>162</v>
      </c>
      <c r="D1737" s="33" t="s">
        <v>5492</v>
      </c>
      <c r="E1737" s="37" t="str">
        <f>IF(LEFT(Anexo_4[[#This Row],[c_costos]],2)="91","OPERACIONES",IF(LEFT(Anexo_4[[#This Row],[c_costos]],2)="97","G. FINANCIEROS",IF(LEFT(Anexo_4[[#This Row],[c_costos]],2)="95","G. VENTAS","G. ADMINISTRACIÓN")))</f>
        <v>G. FINANCIEROS</v>
      </c>
      <c r="F1737" s="32" t="s">
        <v>474</v>
      </c>
      <c r="G1737" s="32" t="s">
        <v>475</v>
      </c>
      <c r="H1737" s="139" t="s">
        <v>5387</v>
      </c>
      <c r="I1737" s="33" t="s">
        <v>477</v>
      </c>
      <c r="J1737" s="143" t="s">
        <v>4623</v>
      </c>
      <c r="K1737" s="33" t="s">
        <v>169</v>
      </c>
      <c r="L1737" s="102" t="str">
        <f>VLOOKUP(Anexo_4[[#This Row],[cod_doc]],TIPODOC,2,FALSE)</f>
        <v>FACTURA</v>
      </c>
      <c r="M1737" s="33" t="s">
        <v>479</v>
      </c>
      <c r="N1737" s="32" t="s">
        <v>5493</v>
      </c>
      <c r="O1737" s="48" t="s">
        <v>4341</v>
      </c>
      <c r="P1737" s="49"/>
      <c r="Q1737" s="81" t="s">
        <v>4341</v>
      </c>
      <c r="R1737" s="80" t="s">
        <v>4341</v>
      </c>
      <c r="S1737" s="48">
        <v>2.5</v>
      </c>
      <c r="T1737" s="72">
        <v>2.5</v>
      </c>
      <c r="U1737" s="70"/>
      <c r="V1737" s="32"/>
      <c r="W1737" s="70"/>
      <c r="X1737" s="70"/>
      <c r="Y1737" s="70"/>
      <c r="Z1737" s="70" t="s">
        <v>4370</v>
      </c>
      <c r="AA1737" s="71"/>
      <c r="AB1737" s="53" t="str">
        <f>IFERROR(VLOOKUP(Anexo_4[[#This Row],[cuenta]],OP,2,0),"-")</f>
        <v>-</v>
      </c>
    </row>
    <row r="1738" spans="1:28" ht="27" customHeight="1" x14ac:dyDescent="0.3">
      <c r="A1738" s="34" t="s">
        <v>5494</v>
      </c>
      <c r="B1738" s="36" t="str">
        <f t="shared" si="27"/>
        <v>Setiembre</v>
      </c>
      <c r="C1738" s="33" t="s">
        <v>162</v>
      </c>
      <c r="D1738" s="33" t="s">
        <v>5495</v>
      </c>
      <c r="E1738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738" s="32" t="s">
        <v>248</v>
      </c>
      <c r="G1738" s="32" t="s">
        <v>249</v>
      </c>
      <c r="H1738" s="139" t="s">
        <v>5496</v>
      </c>
      <c r="I1738" s="33" t="s">
        <v>980</v>
      </c>
      <c r="J1738" s="143" t="s">
        <v>5083</v>
      </c>
      <c r="K1738" s="33" t="s">
        <v>169</v>
      </c>
      <c r="L1738" s="102" t="str">
        <f>VLOOKUP(Anexo_4[[#This Row],[cod_doc]],TIPODOC,2,FALSE)</f>
        <v>FACTURA</v>
      </c>
      <c r="M1738" s="33" t="s">
        <v>982</v>
      </c>
      <c r="N1738" s="32" t="s">
        <v>5497</v>
      </c>
      <c r="O1738" s="48">
        <v>108.47</v>
      </c>
      <c r="P1738" s="49"/>
      <c r="Q1738" s="81">
        <v>19.52</v>
      </c>
      <c r="R1738" s="80" t="s">
        <v>4341</v>
      </c>
      <c r="S1738" s="48" t="s">
        <v>4341</v>
      </c>
      <c r="T1738" s="72">
        <v>127.99</v>
      </c>
      <c r="U1738" s="70" t="s">
        <v>5498</v>
      </c>
      <c r="V1738" s="32" t="s">
        <v>5238</v>
      </c>
      <c r="W1738" s="70"/>
      <c r="X1738" s="70"/>
      <c r="Y1738" s="70" t="s">
        <v>5499</v>
      </c>
      <c r="Z1738" s="70" t="s">
        <v>256</v>
      </c>
      <c r="AA1738" s="71"/>
      <c r="AB1738" s="53" t="str">
        <f>IFERROR(VLOOKUP(Anexo_4[[#This Row],[cuenta]],OP,2,0),"-")</f>
        <v>Materias Primas - RRSS</v>
      </c>
    </row>
    <row r="1739" spans="1:28" ht="27" customHeight="1" x14ac:dyDescent="0.3">
      <c r="A1739" s="34" t="s">
        <v>5494</v>
      </c>
      <c r="B1739" s="36" t="str">
        <f t="shared" si="27"/>
        <v>Setiembre</v>
      </c>
      <c r="C1739" s="33" t="s">
        <v>162</v>
      </c>
      <c r="D1739" s="33" t="s">
        <v>5500</v>
      </c>
      <c r="E1739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739" s="32" t="s">
        <v>248</v>
      </c>
      <c r="G1739" s="32" t="s">
        <v>249</v>
      </c>
      <c r="H1739" s="139" t="s">
        <v>5501</v>
      </c>
      <c r="I1739" s="33" t="s">
        <v>980</v>
      </c>
      <c r="J1739" s="143" t="s">
        <v>5083</v>
      </c>
      <c r="K1739" s="33" t="s">
        <v>169</v>
      </c>
      <c r="L1739" s="102" t="str">
        <f>VLOOKUP(Anexo_4[[#This Row],[cod_doc]],TIPODOC,2,FALSE)</f>
        <v>FACTURA</v>
      </c>
      <c r="M1739" s="33" t="s">
        <v>982</v>
      </c>
      <c r="N1739" s="32" t="s">
        <v>5502</v>
      </c>
      <c r="O1739" s="48">
        <v>164.75</v>
      </c>
      <c r="P1739" s="49"/>
      <c r="Q1739" s="81">
        <v>29.65</v>
      </c>
      <c r="R1739" s="80" t="s">
        <v>4341</v>
      </c>
      <c r="S1739" s="48" t="s">
        <v>4341</v>
      </c>
      <c r="T1739" s="72">
        <v>194.4</v>
      </c>
      <c r="U1739" s="70" t="s">
        <v>5503</v>
      </c>
      <c r="V1739" s="32" t="s">
        <v>5238</v>
      </c>
      <c r="W1739" s="70"/>
      <c r="X1739" s="70"/>
      <c r="Y1739" s="70" t="s">
        <v>5504</v>
      </c>
      <c r="Z1739" s="70" t="s">
        <v>256</v>
      </c>
      <c r="AA1739" s="71"/>
      <c r="AB1739" s="53" t="str">
        <f>IFERROR(VLOOKUP(Anexo_4[[#This Row],[cuenta]],OP,2,0),"-")</f>
        <v>Materias Primas - RRSS</v>
      </c>
    </row>
    <row r="1740" spans="1:28" ht="27" customHeight="1" x14ac:dyDescent="0.3">
      <c r="A1740" s="34" t="s">
        <v>5494</v>
      </c>
      <c r="B1740" s="36" t="str">
        <f t="shared" si="27"/>
        <v>Setiembre</v>
      </c>
      <c r="C1740" s="33" t="s">
        <v>162</v>
      </c>
      <c r="D1740" s="33" t="s">
        <v>5505</v>
      </c>
      <c r="E1740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740" s="32" t="s">
        <v>248</v>
      </c>
      <c r="G1740" s="32" t="s">
        <v>249</v>
      </c>
      <c r="H1740" s="139" t="s">
        <v>5506</v>
      </c>
      <c r="I1740" s="33" t="s">
        <v>980</v>
      </c>
      <c r="J1740" s="143" t="s">
        <v>5083</v>
      </c>
      <c r="K1740" s="33" t="s">
        <v>169</v>
      </c>
      <c r="L1740" s="102" t="str">
        <f>VLOOKUP(Anexo_4[[#This Row],[cod_doc]],TIPODOC,2,FALSE)</f>
        <v>FACTURA</v>
      </c>
      <c r="M1740" s="33" t="s">
        <v>982</v>
      </c>
      <c r="N1740" s="32" t="s">
        <v>5507</v>
      </c>
      <c r="O1740" s="48">
        <v>1189.92</v>
      </c>
      <c r="P1740" s="49"/>
      <c r="Q1740" s="81">
        <v>214.19</v>
      </c>
      <c r="R1740" s="80" t="s">
        <v>4341</v>
      </c>
      <c r="S1740" s="48" t="s">
        <v>4341</v>
      </c>
      <c r="T1740" s="72">
        <v>1404.1100000000001</v>
      </c>
      <c r="U1740" s="70" t="s">
        <v>5508</v>
      </c>
      <c r="V1740" s="32" t="s">
        <v>5238</v>
      </c>
      <c r="W1740" s="70"/>
      <c r="X1740" s="70"/>
      <c r="Y1740" s="70" t="s">
        <v>5509</v>
      </c>
      <c r="Z1740" s="70" t="s">
        <v>256</v>
      </c>
      <c r="AA1740" s="71"/>
      <c r="AB1740" s="53" t="str">
        <f>IFERROR(VLOOKUP(Anexo_4[[#This Row],[cuenta]],OP,2,0),"-")</f>
        <v>Materias Primas - RRSS</v>
      </c>
    </row>
    <row r="1741" spans="1:28" ht="27" customHeight="1" x14ac:dyDescent="0.3">
      <c r="A1741" s="34" t="s">
        <v>5494</v>
      </c>
      <c r="B1741" s="36" t="str">
        <f t="shared" si="27"/>
        <v>Setiembre</v>
      </c>
      <c r="C1741" s="33" t="s">
        <v>162</v>
      </c>
      <c r="D1741" s="33" t="s">
        <v>5510</v>
      </c>
      <c r="E1741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741" s="32" t="s">
        <v>248</v>
      </c>
      <c r="G1741" s="32" t="s">
        <v>249</v>
      </c>
      <c r="H1741" s="139" t="s">
        <v>5511</v>
      </c>
      <c r="I1741" s="33" t="s">
        <v>980</v>
      </c>
      <c r="J1741" s="143" t="s">
        <v>5083</v>
      </c>
      <c r="K1741" s="33" t="s">
        <v>169</v>
      </c>
      <c r="L1741" s="102" t="str">
        <f>VLOOKUP(Anexo_4[[#This Row],[cod_doc]],TIPODOC,2,FALSE)</f>
        <v>FACTURA</v>
      </c>
      <c r="M1741" s="33" t="s">
        <v>982</v>
      </c>
      <c r="N1741" s="32" t="s">
        <v>5512</v>
      </c>
      <c r="O1741" s="48">
        <v>318.64</v>
      </c>
      <c r="P1741" s="49"/>
      <c r="Q1741" s="81">
        <v>57.36</v>
      </c>
      <c r="R1741" s="80" t="s">
        <v>4341</v>
      </c>
      <c r="S1741" s="48" t="s">
        <v>4341</v>
      </c>
      <c r="T1741" s="72">
        <v>376</v>
      </c>
      <c r="U1741" s="70" t="s">
        <v>5513</v>
      </c>
      <c r="V1741" s="32" t="s">
        <v>5238</v>
      </c>
      <c r="W1741" s="70"/>
      <c r="X1741" s="70"/>
      <c r="Y1741" s="70" t="s">
        <v>5514</v>
      </c>
      <c r="Z1741" s="70" t="s">
        <v>256</v>
      </c>
      <c r="AA1741" s="71"/>
      <c r="AB1741" s="53" t="str">
        <f>IFERROR(VLOOKUP(Anexo_4[[#This Row],[cuenta]],OP,2,0),"-")</f>
        <v>Materias Primas - RRSS</v>
      </c>
    </row>
    <row r="1742" spans="1:28" ht="27" customHeight="1" x14ac:dyDescent="0.3">
      <c r="A1742" s="34" t="s">
        <v>5494</v>
      </c>
      <c r="B1742" s="36" t="str">
        <f t="shared" si="27"/>
        <v>Setiembre</v>
      </c>
      <c r="C1742" s="33" t="s">
        <v>162</v>
      </c>
      <c r="D1742" s="33" t="s">
        <v>5515</v>
      </c>
      <c r="E1742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742" s="32" t="s">
        <v>248</v>
      </c>
      <c r="G1742" s="32" t="s">
        <v>249</v>
      </c>
      <c r="H1742" s="139" t="s">
        <v>5516</v>
      </c>
      <c r="I1742" s="33" t="s">
        <v>980</v>
      </c>
      <c r="J1742" s="143" t="s">
        <v>5083</v>
      </c>
      <c r="K1742" s="33" t="s">
        <v>169</v>
      </c>
      <c r="L1742" s="102" t="str">
        <f>VLOOKUP(Anexo_4[[#This Row],[cod_doc]],TIPODOC,2,FALSE)</f>
        <v>FACTURA</v>
      </c>
      <c r="M1742" s="33" t="s">
        <v>982</v>
      </c>
      <c r="N1742" s="32" t="s">
        <v>5517</v>
      </c>
      <c r="O1742" s="48">
        <v>208.47</v>
      </c>
      <c r="P1742" s="49"/>
      <c r="Q1742" s="81">
        <v>37.520000000000003</v>
      </c>
      <c r="R1742" s="80" t="s">
        <v>4341</v>
      </c>
      <c r="S1742" s="48" t="s">
        <v>4341</v>
      </c>
      <c r="T1742" s="72">
        <v>245.99</v>
      </c>
      <c r="U1742" s="70" t="s">
        <v>5518</v>
      </c>
      <c r="V1742" s="32" t="s">
        <v>5238</v>
      </c>
      <c r="W1742" s="70"/>
      <c r="X1742" s="70"/>
      <c r="Y1742" s="70" t="s">
        <v>5519</v>
      </c>
      <c r="Z1742" s="70" t="s">
        <v>256</v>
      </c>
      <c r="AA1742" s="71"/>
      <c r="AB1742" s="53" t="str">
        <f>IFERROR(VLOOKUP(Anexo_4[[#This Row],[cuenta]],OP,2,0),"-")</f>
        <v>Materias Primas - RRSS</v>
      </c>
    </row>
    <row r="1743" spans="1:28" ht="27" customHeight="1" x14ac:dyDescent="0.3">
      <c r="A1743" s="34" t="s">
        <v>5486</v>
      </c>
      <c r="B1743" s="36" t="str">
        <f t="shared" si="27"/>
        <v>Setiembre</v>
      </c>
      <c r="C1743" s="33" t="s">
        <v>162</v>
      </c>
      <c r="D1743" s="33" t="s">
        <v>5520</v>
      </c>
      <c r="E1743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743" s="32" t="s">
        <v>456</v>
      </c>
      <c r="G1743" s="32" t="s">
        <v>4911</v>
      </c>
      <c r="H1743" s="139" t="s">
        <v>5521</v>
      </c>
      <c r="I1743" s="33" t="s">
        <v>2130</v>
      </c>
      <c r="J1743" s="143" t="s">
        <v>4680</v>
      </c>
      <c r="K1743" s="33" t="s">
        <v>169</v>
      </c>
      <c r="L1743" s="102" t="str">
        <f>VLOOKUP(Anexo_4[[#This Row],[cod_doc]],TIPODOC,2,FALSE)</f>
        <v>FACTURA</v>
      </c>
      <c r="M1743" s="33" t="s">
        <v>102</v>
      </c>
      <c r="N1743" s="32" t="s">
        <v>5522</v>
      </c>
      <c r="O1743" s="48">
        <v>29.66</v>
      </c>
      <c r="P1743" s="49"/>
      <c r="Q1743" s="81">
        <v>5.34</v>
      </c>
      <c r="R1743" s="80" t="s">
        <v>4341</v>
      </c>
      <c r="S1743" s="48" t="s">
        <v>4341</v>
      </c>
      <c r="T1743" s="72">
        <v>35</v>
      </c>
      <c r="U1743" s="70"/>
      <c r="V1743" s="32"/>
      <c r="W1743" s="70"/>
      <c r="X1743" s="70"/>
      <c r="Y1743" s="70"/>
      <c r="Z1743" s="70" t="s">
        <v>507</v>
      </c>
      <c r="AA1743" s="71"/>
      <c r="AB1743" s="53" t="str">
        <f>IFERROR(VLOOKUP(Anexo_4[[#This Row],[cuenta]],OP,2,0),"-")</f>
        <v>Transporte lavado (Higienización)</v>
      </c>
    </row>
    <row r="1744" spans="1:28" ht="27" customHeight="1" x14ac:dyDescent="0.3">
      <c r="A1744" s="34" t="s">
        <v>5095</v>
      </c>
      <c r="B1744" s="36" t="str">
        <f t="shared" si="27"/>
        <v>Setiembre</v>
      </c>
      <c r="C1744" s="33" t="s">
        <v>162</v>
      </c>
      <c r="D1744" s="33" t="s">
        <v>5523</v>
      </c>
      <c r="E1744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744" s="32" t="s">
        <v>592</v>
      </c>
      <c r="G1744" s="32" t="s">
        <v>593</v>
      </c>
      <c r="H1744" s="139" t="s">
        <v>5524</v>
      </c>
      <c r="I1744" s="33" t="s">
        <v>643</v>
      </c>
      <c r="J1744" s="143" t="s">
        <v>4632</v>
      </c>
      <c r="K1744" s="33" t="s">
        <v>169</v>
      </c>
      <c r="L1744" s="102" t="str">
        <f>VLOOKUP(Anexo_4[[#This Row],[cod_doc]],TIPODOC,2,FALSE)</f>
        <v>FACTURA</v>
      </c>
      <c r="M1744" s="33" t="s">
        <v>102</v>
      </c>
      <c r="N1744" s="32" t="s">
        <v>5525</v>
      </c>
      <c r="O1744" s="48">
        <v>722.5</v>
      </c>
      <c r="P1744" s="49"/>
      <c r="Q1744" s="81">
        <v>130.05000000000001</v>
      </c>
      <c r="R1744" s="80" t="s">
        <v>4341</v>
      </c>
      <c r="S1744" s="48" t="s">
        <v>4341</v>
      </c>
      <c r="T1744" s="72">
        <v>852.55</v>
      </c>
      <c r="U1744" s="70" t="s">
        <v>5526</v>
      </c>
      <c r="V1744" s="32" t="s">
        <v>5238</v>
      </c>
      <c r="W1744" s="70"/>
      <c r="X1744" s="70"/>
      <c r="Y1744" s="70"/>
      <c r="Z1744" s="70" t="s">
        <v>648</v>
      </c>
      <c r="AA1744" s="71"/>
      <c r="AB1744" s="53" t="str">
        <f>IFERROR(VLOOKUP(Anexo_4[[#This Row],[cuenta]],OP,2,0),"-")</f>
        <v>Montacarga - Ventas</v>
      </c>
    </row>
    <row r="1745" spans="1:28" ht="27" customHeight="1" x14ac:dyDescent="0.3">
      <c r="A1745" s="34" t="s">
        <v>5444</v>
      </c>
      <c r="B1745" s="36" t="str">
        <f t="shared" si="27"/>
        <v>Setiembre</v>
      </c>
      <c r="C1745" s="33" t="s">
        <v>162</v>
      </c>
      <c r="D1745" s="33" t="s">
        <v>5527</v>
      </c>
      <c r="E1745" s="37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1745" s="32" t="s">
        <v>198</v>
      </c>
      <c r="G1745" s="32" t="s">
        <v>199</v>
      </c>
      <c r="H1745" s="139" t="s">
        <v>5528</v>
      </c>
      <c r="I1745" s="33" t="s">
        <v>5529</v>
      </c>
      <c r="J1745" s="143" t="s">
        <v>5530</v>
      </c>
      <c r="K1745" s="33" t="s">
        <v>169</v>
      </c>
      <c r="L1745" s="102" t="str">
        <f>VLOOKUP(Anexo_4[[#This Row],[cod_doc]],TIPODOC,2,FALSE)</f>
        <v>FACTURA</v>
      </c>
      <c r="M1745" s="33" t="s">
        <v>102</v>
      </c>
      <c r="N1745" s="32" t="s">
        <v>5531</v>
      </c>
      <c r="O1745" s="48">
        <v>1016.95</v>
      </c>
      <c r="P1745" s="49"/>
      <c r="Q1745" s="81">
        <v>183.05</v>
      </c>
      <c r="R1745" s="80" t="s">
        <v>4341</v>
      </c>
      <c r="S1745" s="48" t="s">
        <v>4341</v>
      </c>
      <c r="T1745" s="72">
        <v>1200</v>
      </c>
      <c r="U1745" s="70" t="s">
        <v>5532</v>
      </c>
      <c r="V1745" s="32" t="s">
        <v>5238</v>
      </c>
      <c r="W1745" s="70"/>
      <c r="X1745" s="70"/>
      <c r="Y1745" s="70"/>
      <c r="Z1745" s="70" t="s">
        <v>468</v>
      </c>
      <c r="AA1745" s="71"/>
      <c r="AB1745" s="53" t="str">
        <f>IFERROR(VLOOKUP(Anexo_4[[#This Row],[cuenta]],OP,2,0),"-")</f>
        <v>Transporte de Carga  - Ventas</v>
      </c>
    </row>
    <row r="1746" spans="1:28" ht="27" customHeight="1" x14ac:dyDescent="0.3">
      <c r="A1746" s="34" t="s">
        <v>4975</v>
      </c>
      <c r="B1746" s="36" t="str">
        <f t="shared" si="27"/>
        <v>Setiembre</v>
      </c>
      <c r="C1746" s="33" t="s">
        <v>162</v>
      </c>
      <c r="D1746" s="33" t="s">
        <v>5533</v>
      </c>
      <c r="E1746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746" s="32" t="s">
        <v>164</v>
      </c>
      <c r="G1746" s="32" t="s">
        <v>165</v>
      </c>
      <c r="H1746" s="139" t="s">
        <v>166</v>
      </c>
      <c r="I1746" s="33" t="s">
        <v>167</v>
      </c>
      <c r="J1746" s="143" t="s">
        <v>5534</v>
      </c>
      <c r="K1746" s="33" t="s">
        <v>169</v>
      </c>
      <c r="L1746" s="102" t="str">
        <f>VLOOKUP(Anexo_4[[#This Row],[cod_doc]],TIPODOC,2,FALSE)</f>
        <v>FACTURA</v>
      </c>
      <c r="M1746" s="33" t="s">
        <v>5535</v>
      </c>
      <c r="N1746" s="32" t="s">
        <v>5536</v>
      </c>
      <c r="O1746" s="48">
        <v>166.54</v>
      </c>
      <c r="P1746" s="49"/>
      <c r="Q1746" s="81">
        <v>29.98</v>
      </c>
      <c r="R1746" s="80" t="s">
        <v>4341</v>
      </c>
      <c r="S1746" s="48" t="s">
        <v>4341</v>
      </c>
      <c r="T1746" s="72">
        <v>196.51999999999998</v>
      </c>
      <c r="U1746" s="70"/>
      <c r="V1746" s="32"/>
      <c r="W1746" s="70"/>
      <c r="X1746" s="70"/>
      <c r="Y1746" s="70"/>
      <c r="Z1746" s="70" t="s">
        <v>172</v>
      </c>
      <c r="AA1746" s="71"/>
      <c r="AB1746" s="53" t="str">
        <f>IFERROR(VLOOKUP(Anexo_4[[#This Row],[cuenta]],OP,2,0),"-")</f>
        <v>-</v>
      </c>
    </row>
    <row r="1747" spans="1:28" ht="27" customHeight="1" x14ac:dyDescent="0.3">
      <c r="A1747" s="34" t="s">
        <v>5078</v>
      </c>
      <c r="B1747" s="36" t="str">
        <f t="shared" si="27"/>
        <v>Setiembre</v>
      </c>
      <c r="C1747" s="33" t="s">
        <v>162</v>
      </c>
      <c r="D1747" s="33" t="s">
        <v>5537</v>
      </c>
      <c r="E1747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747" s="32" t="s">
        <v>164</v>
      </c>
      <c r="G1747" s="32" t="s">
        <v>165</v>
      </c>
      <c r="H1747" s="139" t="s">
        <v>5538</v>
      </c>
      <c r="I1747" s="33" t="s">
        <v>956</v>
      </c>
      <c r="J1747" s="143" t="s">
        <v>5539</v>
      </c>
      <c r="K1747" s="33" t="s">
        <v>169</v>
      </c>
      <c r="L1747" s="102" t="str">
        <f>VLOOKUP(Anexo_4[[#This Row],[cod_doc]],TIPODOC,2,FALSE)</f>
        <v>FACTURA</v>
      </c>
      <c r="M1747" s="33" t="s">
        <v>102</v>
      </c>
      <c r="N1747" s="32" t="s">
        <v>5540</v>
      </c>
      <c r="O1747" s="48">
        <v>1000</v>
      </c>
      <c r="P1747" s="49"/>
      <c r="Q1747" s="81">
        <v>180</v>
      </c>
      <c r="R1747" s="80" t="s">
        <v>4341</v>
      </c>
      <c r="S1747" s="48" t="s">
        <v>4341</v>
      </c>
      <c r="T1747" s="72">
        <v>1180</v>
      </c>
      <c r="U1747" s="70" t="s">
        <v>5541</v>
      </c>
      <c r="V1747" s="32" t="s">
        <v>5238</v>
      </c>
      <c r="W1747" s="70"/>
      <c r="X1747" s="70"/>
      <c r="Y1747" s="70"/>
      <c r="Z1747" s="70" t="s">
        <v>5542</v>
      </c>
      <c r="AA1747" s="71"/>
      <c r="AB1747" s="53" t="str">
        <f>IFERROR(VLOOKUP(Anexo_4[[#This Row],[cuenta]],OP,2,0),"-")</f>
        <v>-</v>
      </c>
    </row>
    <row r="1748" spans="1:28" ht="27" customHeight="1" x14ac:dyDescent="0.3">
      <c r="A1748" s="34" t="s">
        <v>5444</v>
      </c>
      <c r="B1748" s="36" t="str">
        <f t="shared" si="27"/>
        <v>Setiembre</v>
      </c>
      <c r="C1748" s="33" t="s">
        <v>162</v>
      </c>
      <c r="D1748" s="33" t="s">
        <v>5543</v>
      </c>
      <c r="E1748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748" s="32" t="s">
        <v>650</v>
      </c>
      <c r="G1748" s="32" t="s">
        <v>651</v>
      </c>
      <c r="H1748" s="139" t="s">
        <v>5544</v>
      </c>
      <c r="I1748" s="33" t="s">
        <v>653</v>
      </c>
      <c r="J1748" s="143" t="s">
        <v>4678</v>
      </c>
      <c r="K1748" s="33" t="s">
        <v>169</v>
      </c>
      <c r="L1748" s="102" t="str">
        <f>VLOOKUP(Anexo_4[[#This Row],[cod_doc]],TIPODOC,2,FALSE)</f>
        <v>FACTURA</v>
      </c>
      <c r="M1748" s="33" t="s">
        <v>655</v>
      </c>
      <c r="N1748" s="32" t="s">
        <v>5545</v>
      </c>
      <c r="O1748" s="48">
        <v>244</v>
      </c>
      <c r="P1748" s="49"/>
      <c r="Q1748" s="81">
        <v>43.92</v>
      </c>
      <c r="R1748" s="80" t="s">
        <v>4341</v>
      </c>
      <c r="S1748" s="48" t="s">
        <v>4341</v>
      </c>
      <c r="T1748" s="72">
        <v>287.92</v>
      </c>
      <c r="U1748" s="70"/>
      <c r="V1748" s="32"/>
      <c r="W1748" s="70"/>
      <c r="X1748" s="70"/>
      <c r="Y1748" s="70"/>
      <c r="Z1748" s="70" t="s">
        <v>1602</v>
      </c>
      <c r="AA1748" s="71"/>
      <c r="AB1748" s="53" t="str">
        <f>IFERROR(VLOOKUP(Anexo_4[[#This Row],[cuenta]],OP,2,0),"-")</f>
        <v>Ingreso</v>
      </c>
    </row>
    <row r="1749" spans="1:28" ht="27" customHeight="1" x14ac:dyDescent="0.3">
      <c r="A1749" s="34" t="s">
        <v>5486</v>
      </c>
      <c r="B1749" s="36" t="str">
        <f t="shared" si="27"/>
        <v>Setiembre</v>
      </c>
      <c r="C1749" s="33" t="s">
        <v>162</v>
      </c>
      <c r="D1749" s="33" t="s">
        <v>5546</v>
      </c>
      <c r="E1749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749" s="32" t="s">
        <v>1366</v>
      </c>
      <c r="G1749" s="32" t="s">
        <v>1367</v>
      </c>
      <c r="H1749" s="139" t="s">
        <v>5547</v>
      </c>
      <c r="I1749" s="33" t="s">
        <v>2429</v>
      </c>
      <c r="J1749" s="143" t="s">
        <v>5038</v>
      </c>
      <c r="K1749" s="33" t="s">
        <v>239</v>
      </c>
      <c r="L1749" s="102" t="str">
        <f>VLOOKUP(Anexo_4[[#This Row],[cod_doc]],TIPODOC,2,FALSE)</f>
        <v>BOLETA DE VENTA</v>
      </c>
      <c r="M1749" s="33" t="s">
        <v>162</v>
      </c>
      <c r="N1749" s="32" t="s">
        <v>5548</v>
      </c>
      <c r="O1749" s="48" t="s">
        <v>4341</v>
      </c>
      <c r="P1749" s="49"/>
      <c r="Q1749" s="81" t="s">
        <v>4341</v>
      </c>
      <c r="R1749" s="80" t="s">
        <v>4341</v>
      </c>
      <c r="S1749" s="48">
        <v>5</v>
      </c>
      <c r="T1749" s="72">
        <v>5</v>
      </c>
      <c r="U1749" s="70"/>
      <c r="V1749" s="32"/>
      <c r="W1749" s="70"/>
      <c r="X1749" s="70"/>
      <c r="Y1749" s="70"/>
      <c r="Z1749" s="70" t="s">
        <v>2320</v>
      </c>
      <c r="AA1749" s="71"/>
      <c r="AB1749" s="53" t="str">
        <f>IFERROR(VLOOKUP(Anexo_4[[#This Row],[cuenta]],OP,2,0),"-")</f>
        <v>Otros Gastos de Gestion</v>
      </c>
    </row>
    <row r="1750" spans="1:28" ht="27" customHeight="1" x14ac:dyDescent="0.3">
      <c r="A1750" s="34" t="s">
        <v>5328</v>
      </c>
      <c r="B1750" s="36" t="str">
        <f t="shared" si="27"/>
        <v>Setiembre</v>
      </c>
      <c r="C1750" s="33" t="s">
        <v>162</v>
      </c>
      <c r="D1750" s="33" t="s">
        <v>5549</v>
      </c>
      <c r="E1750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750" s="32" t="s">
        <v>953</v>
      </c>
      <c r="G1750" s="32" t="s">
        <v>954</v>
      </c>
      <c r="H1750" s="139" t="s">
        <v>5550</v>
      </c>
      <c r="I1750" s="33" t="s">
        <v>1089</v>
      </c>
      <c r="J1750" s="143" t="s">
        <v>4705</v>
      </c>
      <c r="K1750" s="33" t="s">
        <v>169</v>
      </c>
      <c r="L1750" s="102" t="str">
        <f>VLOOKUP(Anexo_4[[#This Row],[cod_doc]],TIPODOC,2,FALSE)</f>
        <v>FACTURA</v>
      </c>
      <c r="M1750" s="33" t="s">
        <v>102</v>
      </c>
      <c r="N1750" s="32" t="s">
        <v>5551</v>
      </c>
      <c r="O1750" s="48"/>
      <c r="P1750" s="49">
        <v>153.63999999999999</v>
      </c>
      <c r="Q1750" s="81"/>
      <c r="R1750" s="80">
        <v>15.36</v>
      </c>
      <c r="S1750" s="48" t="s">
        <v>4341</v>
      </c>
      <c r="T1750" s="72">
        <v>169</v>
      </c>
      <c r="U1750" s="70"/>
      <c r="V1750" s="32"/>
      <c r="W1750" s="70"/>
      <c r="X1750" s="70"/>
      <c r="Y1750" s="70"/>
      <c r="Z1750" s="70" t="s">
        <v>684</v>
      </c>
      <c r="AA1750" s="71"/>
      <c r="AB1750" s="53" t="str">
        <f>IFERROR(VLOOKUP(Anexo_4[[#This Row],[cuenta]],OP,2,0),"-")</f>
        <v>-</v>
      </c>
    </row>
    <row r="1751" spans="1:28" ht="27" customHeight="1" x14ac:dyDescent="0.3">
      <c r="A1751" s="34" t="s">
        <v>5095</v>
      </c>
      <c r="B1751" s="36" t="str">
        <f t="shared" si="27"/>
        <v>Setiembre</v>
      </c>
      <c r="C1751" s="33" t="s">
        <v>162</v>
      </c>
      <c r="D1751" s="33" t="s">
        <v>5552</v>
      </c>
      <c r="E1751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751" s="32" t="s">
        <v>953</v>
      </c>
      <c r="G1751" s="32" t="s">
        <v>954</v>
      </c>
      <c r="H1751" s="139" t="s">
        <v>5553</v>
      </c>
      <c r="I1751" s="33" t="s">
        <v>5554</v>
      </c>
      <c r="J1751" s="143" t="s">
        <v>5555</v>
      </c>
      <c r="K1751" s="33" t="s">
        <v>169</v>
      </c>
      <c r="L1751" s="102" t="str">
        <f>VLOOKUP(Anexo_4[[#This Row],[cod_doc]],TIPODOC,2,FALSE)</f>
        <v>FACTURA</v>
      </c>
      <c r="M1751" s="33" t="s">
        <v>102</v>
      </c>
      <c r="N1751" s="32" t="s">
        <v>5556</v>
      </c>
      <c r="O1751" s="48">
        <v>25.42</v>
      </c>
      <c r="P1751" s="49"/>
      <c r="Q1751" s="81">
        <v>4.58</v>
      </c>
      <c r="R1751" s="80" t="s">
        <v>4341</v>
      </c>
      <c r="S1751" s="48" t="s">
        <v>4341</v>
      </c>
      <c r="T1751" s="72">
        <v>30</v>
      </c>
      <c r="U1751" s="70"/>
      <c r="V1751" s="32"/>
      <c r="W1751" s="70"/>
      <c r="X1751" s="70"/>
      <c r="Y1751" s="70"/>
      <c r="Z1751" s="70" t="s">
        <v>684</v>
      </c>
      <c r="AA1751" s="71"/>
      <c r="AB1751" s="53" t="str">
        <f>IFERROR(VLOOKUP(Anexo_4[[#This Row],[cuenta]],OP,2,0),"-")</f>
        <v>-</v>
      </c>
    </row>
    <row r="1752" spans="1:28" ht="27" customHeight="1" x14ac:dyDescent="0.3">
      <c r="A1752" s="34" t="s">
        <v>5080</v>
      </c>
      <c r="B1752" s="36" t="str">
        <f t="shared" si="27"/>
        <v>Setiembre</v>
      </c>
      <c r="C1752" s="33" t="s">
        <v>162</v>
      </c>
      <c r="D1752" s="33" t="s">
        <v>5557</v>
      </c>
      <c r="E1752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752" s="32" t="s">
        <v>953</v>
      </c>
      <c r="G1752" s="32" t="s">
        <v>954</v>
      </c>
      <c r="H1752" s="139" t="s">
        <v>5558</v>
      </c>
      <c r="I1752" s="33" t="s">
        <v>904</v>
      </c>
      <c r="J1752" s="143" t="s">
        <v>5559</v>
      </c>
      <c r="K1752" s="33" t="s">
        <v>169</v>
      </c>
      <c r="L1752" s="102" t="str">
        <f>VLOOKUP(Anexo_4[[#This Row],[cod_doc]],TIPODOC,2,FALSE)</f>
        <v>FACTURA</v>
      </c>
      <c r="M1752" s="33" t="s">
        <v>180</v>
      </c>
      <c r="N1752" s="32" t="s">
        <v>5560</v>
      </c>
      <c r="O1752" s="48"/>
      <c r="P1752" s="49">
        <v>72.72</v>
      </c>
      <c r="Q1752" s="81"/>
      <c r="R1752" s="80">
        <v>7.28</v>
      </c>
      <c r="S1752" s="48" t="s">
        <v>4341</v>
      </c>
      <c r="T1752" s="72">
        <v>80</v>
      </c>
      <c r="U1752" s="70"/>
      <c r="V1752" s="32"/>
      <c r="W1752" s="70"/>
      <c r="X1752" s="70"/>
      <c r="Y1752" s="70"/>
      <c r="Z1752" s="70" t="s">
        <v>684</v>
      </c>
      <c r="AA1752" s="71"/>
      <c r="AB1752" s="53" t="str">
        <f>IFERROR(VLOOKUP(Anexo_4[[#This Row],[cuenta]],OP,2,0),"-")</f>
        <v>-</v>
      </c>
    </row>
    <row r="1753" spans="1:28" ht="27" customHeight="1" x14ac:dyDescent="0.3">
      <c r="A1753" s="34" t="s">
        <v>5080</v>
      </c>
      <c r="B1753" s="36" t="str">
        <f t="shared" si="27"/>
        <v>Setiembre</v>
      </c>
      <c r="C1753" s="33" t="s">
        <v>162</v>
      </c>
      <c r="D1753" s="33" t="s">
        <v>5561</v>
      </c>
      <c r="E1753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753" s="32" t="s">
        <v>953</v>
      </c>
      <c r="G1753" s="32" t="s">
        <v>954</v>
      </c>
      <c r="H1753" s="139" t="s">
        <v>5562</v>
      </c>
      <c r="I1753" s="33" t="s">
        <v>2429</v>
      </c>
      <c r="J1753" s="143" t="s">
        <v>5038</v>
      </c>
      <c r="K1753" s="33" t="s">
        <v>239</v>
      </c>
      <c r="L1753" s="102" t="str">
        <f>VLOOKUP(Anexo_4[[#This Row],[cod_doc]],TIPODOC,2,FALSE)</f>
        <v>BOLETA DE VENTA</v>
      </c>
      <c r="M1753" s="33" t="s">
        <v>162</v>
      </c>
      <c r="N1753" s="32" t="s">
        <v>5522</v>
      </c>
      <c r="O1753" s="48" t="s">
        <v>4341</v>
      </c>
      <c r="P1753" s="49"/>
      <c r="Q1753" s="81" t="s">
        <v>4341</v>
      </c>
      <c r="R1753" s="80" t="s">
        <v>4341</v>
      </c>
      <c r="S1753" s="48">
        <v>9.5</v>
      </c>
      <c r="T1753" s="72">
        <v>9.5</v>
      </c>
      <c r="U1753" s="70"/>
      <c r="V1753" s="32"/>
      <c r="W1753" s="70"/>
      <c r="X1753" s="70"/>
      <c r="Y1753" s="70"/>
      <c r="Z1753" s="70" t="s">
        <v>684</v>
      </c>
      <c r="AA1753" s="71"/>
      <c r="AB1753" s="53" t="str">
        <f>IFERROR(VLOOKUP(Anexo_4[[#This Row],[cuenta]],OP,2,0),"-")</f>
        <v>-</v>
      </c>
    </row>
    <row r="1754" spans="1:28" ht="27" customHeight="1" x14ac:dyDescent="0.3">
      <c r="A1754" s="34" t="s">
        <v>5071</v>
      </c>
      <c r="B1754" s="36" t="str">
        <f t="shared" si="27"/>
        <v>Setiembre</v>
      </c>
      <c r="C1754" s="33" t="s">
        <v>162</v>
      </c>
      <c r="D1754" s="33" t="s">
        <v>5563</v>
      </c>
      <c r="E1754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754" s="32" t="s">
        <v>953</v>
      </c>
      <c r="G1754" s="32" t="s">
        <v>954</v>
      </c>
      <c r="H1754" s="139" t="s">
        <v>5564</v>
      </c>
      <c r="I1754" s="33" t="s">
        <v>2429</v>
      </c>
      <c r="J1754" s="143" t="s">
        <v>5038</v>
      </c>
      <c r="K1754" s="33" t="s">
        <v>239</v>
      </c>
      <c r="L1754" s="102" t="str">
        <f>VLOOKUP(Anexo_4[[#This Row],[cod_doc]],TIPODOC,2,FALSE)</f>
        <v>BOLETA DE VENTA</v>
      </c>
      <c r="M1754" s="33" t="s">
        <v>162</v>
      </c>
      <c r="N1754" s="32" t="s">
        <v>5565</v>
      </c>
      <c r="O1754" s="48" t="s">
        <v>4341</v>
      </c>
      <c r="P1754" s="49"/>
      <c r="Q1754" s="81" t="s">
        <v>4341</v>
      </c>
      <c r="R1754" s="80" t="s">
        <v>4341</v>
      </c>
      <c r="S1754" s="48">
        <v>15.6</v>
      </c>
      <c r="T1754" s="72">
        <v>15.6</v>
      </c>
      <c r="U1754" s="70"/>
      <c r="V1754" s="32"/>
      <c r="W1754" s="70"/>
      <c r="X1754" s="70"/>
      <c r="Y1754" s="70"/>
      <c r="Z1754" s="70" t="s">
        <v>684</v>
      </c>
      <c r="AA1754" s="71"/>
      <c r="AB1754" s="53" t="str">
        <f>IFERROR(VLOOKUP(Anexo_4[[#This Row],[cuenta]],OP,2,0),"-")</f>
        <v>-</v>
      </c>
    </row>
    <row r="1755" spans="1:28" ht="27" customHeight="1" x14ac:dyDescent="0.3">
      <c r="A1755" s="34" t="s">
        <v>5095</v>
      </c>
      <c r="B1755" s="36" t="str">
        <f t="shared" si="27"/>
        <v>Setiembre</v>
      </c>
      <c r="C1755" s="33" t="s">
        <v>162</v>
      </c>
      <c r="D1755" s="33" t="s">
        <v>5566</v>
      </c>
      <c r="E1755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755" s="32" t="s">
        <v>953</v>
      </c>
      <c r="G1755" s="32" t="s">
        <v>954</v>
      </c>
      <c r="H1755" s="139" t="s">
        <v>5567</v>
      </c>
      <c r="I1755" s="33" t="s">
        <v>904</v>
      </c>
      <c r="J1755" s="143" t="s">
        <v>5559</v>
      </c>
      <c r="K1755" s="33" t="s">
        <v>169</v>
      </c>
      <c r="L1755" s="102" t="str">
        <f>VLOOKUP(Anexo_4[[#This Row],[cod_doc]],TIPODOC,2,FALSE)</f>
        <v>FACTURA</v>
      </c>
      <c r="M1755" s="33" t="s">
        <v>180</v>
      </c>
      <c r="N1755" s="32" t="s">
        <v>5568</v>
      </c>
      <c r="O1755" s="48" t="s">
        <v>4341</v>
      </c>
      <c r="P1755" s="48">
        <v>154.55000000000001</v>
      </c>
      <c r="Q1755" s="81" t="s">
        <v>4341</v>
      </c>
      <c r="R1755" s="80">
        <v>15.45</v>
      </c>
      <c r="S1755" s="48"/>
      <c r="T1755" s="72">
        <v>170</v>
      </c>
      <c r="U1755" s="70"/>
      <c r="V1755" s="32"/>
      <c r="W1755" s="70"/>
      <c r="X1755" s="70"/>
      <c r="Y1755" s="70"/>
      <c r="Z1755" s="70" t="s">
        <v>684</v>
      </c>
      <c r="AA1755" s="71"/>
      <c r="AB1755" s="53" t="str">
        <f>IFERROR(VLOOKUP(Anexo_4[[#This Row],[cuenta]],OP,2,0),"-")</f>
        <v>-</v>
      </c>
    </row>
    <row r="1756" spans="1:28" ht="27" customHeight="1" x14ac:dyDescent="0.3">
      <c r="A1756" s="34" t="s">
        <v>5255</v>
      </c>
      <c r="B1756" s="36" t="str">
        <f t="shared" si="27"/>
        <v>Setiembre</v>
      </c>
      <c r="C1756" s="33" t="s">
        <v>162</v>
      </c>
      <c r="D1756" s="33" t="s">
        <v>5569</v>
      </c>
      <c r="E1756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756" s="32" t="s">
        <v>418</v>
      </c>
      <c r="G1756" s="32" t="s">
        <v>419</v>
      </c>
      <c r="H1756" s="139" t="s">
        <v>5570</v>
      </c>
      <c r="I1756" s="33" t="s">
        <v>178</v>
      </c>
      <c r="J1756" s="143" t="s">
        <v>4667</v>
      </c>
      <c r="K1756" s="33" t="s">
        <v>169</v>
      </c>
      <c r="L1756" s="102" t="str">
        <f>VLOOKUP(Anexo_4[[#This Row],[cod_doc]],TIPODOC,2,FALSE)</f>
        <v>FACTURA</v>
      </c>
      <c r="M1756" s="33" t="s">
        <v>180</v>
      </c>
      <c r="N1756" s="32" t="s">
        <v>5571</v>
      </c>
      <c r="O1756" s="48">
        <v>4.24</v>
      </c>
      <c r="P1756" s="49"/>
      <c r="Q1756" s="81">
        <v>0.76</v>
      </c>
      <c r="R1756" s="80" t="s">
        <v>4341</v>
      </c>
      <c r="S1756" s="48" t="s">
        <v>4341</v>
      </c>
      <c r="T1756" s="72">
        <v>5</v>
      </c>
      <c r="U1756" s="70"/>
      <c r="V1756" s="32"/>
      <c r="W1756" s="70"/>
      <c r="X1756" s="70"/>
      <c r="Y1756" s="70" t="s">
        <v>5572</v>
      </c>
      <c r="Z1756" s="70" t="s">
        <v>386</v>
      </c>
      <c r="AA1756" s="71"/>
      <c r="AB1756" s="53" t="str">
        <f>IFERROR(VLOOKUP(Anexo_4[[#This Row],[cuenta]],OP,2,0),"-")</f>
        <v>Balanza - Servicios</v>
      </c>
    </row>
    <row r="1757" spans="1:28" ht="27" customHeight="1" x14ac:dyDescent="0.3">
      <c r="A1757" s="34" t="s">
        <v>5486</v>
      </c>
      <c r="B1757" s="36" t="str">
        <f t="shared" si="27"/>
        <v>Setiembre</v>
      </c>
      <c r="C1757" s="33" t="s">
        <v>162</v>
      </c>
      <c r="D1757" s="33" t="s">
        <v>5573</v>
      </c>
      <c r="E1757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757" s="32" t="s">
        <v>418</v>
      </c>
      <c r="G1757" s="32" t="s">
        <v>419</v>
      </c>
      <c r="H1757" s="139" t="s">
        <v>5574</v>
      </c>
      <c r="I1757" s="33" t="s">
        <v>178</v>
      </c>
      <c r="J1757" s="143" t="s">
        <v>4667</v>
      </c>
      <c r="K1757" s="33" t="s">
        <v>169</v>
      </c>
      <c r="L1757" s="102" t="str">
        <f>VLOOKUP(Anexo_4[[#This Row],[cod_doc]],TIPODOC,2,FALSE)</f>
        <v>FACTURA</v>
      </c>
      <c r="M1757" s="33" t="s">
        <v>180</v>
      </c>
      <c r="N1757" s="32" t="s">
        <v>5575</v>
      </c>
      <c r="O1757" s="48">
        <v>8.4700000000000006</v>
      </c>
      <c r="P1757" s="49"/>
      <c r="Q1757" s="81">
        <v>1.53</v>
      </c>
      <c r="R1757" s="80" t="s">
        <v>4341</v>
      </c>
      <c r="S1757" s="48" t="s">
        <v>4341</v>
      </c>
      <c r="T1757" s="72">
        <v>10</v>
      </c>
      <c r="U1757" s="70"/>
      <c r="V1757" s="32"/>
      <c r="W1757" s="70"/>
      <c r="X1757" s="70"/>
      <c r="Y1757" s="70" t="s">
        <v>5576</v>
      </c>
      <c r="Z1757" s="70" t="s">
        <v>386</v>
      </c>
      <c r="AA1757" s="71"/>
      <c r="AB1757" s="53" t="str">
        <f>IFERROR(VLOOKUP(Anexo_4[[#This Row],[cuenta]],OP,2,0),"-")</f>
        <v>Balanza - Servicios</v>
      </c>
    </row>
    <row r="1758" spans="1:28" ht="27" customHeight="1" x14ac:dyDescent="0.3">
      <c r="A1758" s="34" t="s">
        <v>5255</v>
      </c>
      <c r="B1758" s="36" t="str">
        <f t="shared" si="27"/>
        <v>Setiembre</v>
      </c>
      <c r="C1758" s="33" t="s">
        <v>162</v>
      </c>
      <c r="D1758" s="33" t="s">
        <v>5577</v>
      </c>
      <c r="E1758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758" s="32" t="s">
        <v>418</v>
      </c>
      <c r="G1758" s="32" t="s">
        <v>419</v>
      </c>
      <c r="H1758" s="139" t="s">
        <v>5578</v>
      </c>
      <c r="I1758" s="33" t="s">
        <v>178</v>
      </c>
      <c r="J1758" s="143" t="s">
        <v>4667</v>
      </c>
      <c r="K1758" s="33" t="s">
        <v>169</v>
      </c>
      <c r="L1758" s="102" t="str">
        <f>VLOOKUP(Anexo_4[[#This Row],[cod_doc]],TIPODOC,2,FALSE)</f>
        <v>FACTURA</v>
      </c>
      <c r="M1758" s="33" t="s">
        <v>180</v>
      </c>
      <c r="N1758" s="32" t="s">
        <v>5579</v>
      </c>
      <c r="O1758" s="48">
        <v>8.4700000000000006</v>
      </c>
      <c r="P1758" s="49"/>
      <c r="Q1758" s="81">
        <v>1.53</v>
      </c>
      <c r="R1758" s="80" t="s">
        <v>4341</v>
      </c>
      <c r="S1758" s="48" t="s">
        <v>4341</v>
      </c>
      <c r="T1758" s="72">
        <v>10</v>
      </c>
      <c r="U1758" s="70"/>
      <c r="V1758" s="32"/>
      <c r="W1758" s="70"/>
      <c r="X1758" s="70"/>
      <c r="Y1758" s="70" t="s">
        <v>5580</v>
      </c>
      <c r="Z1758" s="70" t="s">
        <v>386</v>
      </c>
      <c r="AA1758" s="71"/>
      <c r="AB1758" s="53" t="str">
        <f>IFERROR(VLOOKUP(Anexo_4[[#This Row],[cuenta]],OP,2,0),"-")</f>
        <v>Balanza - Servicios</v>
      </c>
    </row>
    <row r="1759" spans="1:28" ht="27" customHeight="1" x14ac:dyDescent="0.3">
      <c r="A1759" s="34" t="s">
        <v>5486</v>
      </c>
      <c r="B1759" s="36" t="str">
        <f t="shared" si="27"/>
        <v>Setiembre</v>
      </c>
      <c r="C1759" s="33" t="s">
        <v>162</v>
      </c>
      <c r="D1759" s="33" t="s">
        <v>5581</v>
      </c>
      <c r="E1759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759" s="32" t="s">
        <v>217</v>
      </c>
      <c r="G1759" s="32" t="s">
        <v>4839</v>
      </c>
      <c r="H1759" s="139" t="s">
        <v>5582</v>
      </c>
      <c r="I1759" s="33" t="s">
        <v>264</v>
      </c>
      <c r="J1759" s="143" t="s">
        <v>4644</v>
      </c>
      <c r="K1759" s="33" t="s">
        <v>169</v>
      </c>
      <c r="L1759" s="102" t="str">
        <f>VLOOKUP(Anexo_4[[#This Row],[cod_doc]],TIPODOC,2,FALSE)</f>
        <v>FACTURA</v>
      </c>
      <c r="M1759" s="33" t="s">
        <v>406</v>
      </c>
      <c r="N1759" s="32" t="s">
        <v>5583</v>
      </c>
      <c r="O1759" s="48">
        <v>6.78</v>
      </c>
      <c r="P1759" s="49"/>
      <c r="Q1759" s="81">
        <v>1.22</v>
      </c>
      <c r="R1759" s="80" t="s">
        <v>4341</v>
      </c>
      <c r="S1759" s="48" t="s">
        <v>4341</v>
      </c>
      <c r="T1759" s="72">
        <v>8</v>
      </c>
      <c r="U1759" s="70"/>
      <c r="V1759" s="32"/>
      <c r="W1759" s="70"/>
      <c r="X1759" s="70"/>
      <c r="Y1759" s="70" t="s">
        <v>5584</v>
      </c>
      <c r="Z1759" s="70" t="s">
        <v>302</v>
      </c>
      <c r="AA1759" s="71"/>
      <c r="AB1759" s="53" t="str">
        <f>IFERROR(VLOOKUP(Anexo_4[[#This Row],[cuenta]],OP,2,0),"-")</f>
        <v>Transporte peajes - Servicios</v>
      </c>
    </row>
    <row r="1760" spans="1:28" ht="27" customHeight="1" x14ac:dyDescent="0.3">
      <c r="A1760" s="34" t="s">
        <v>5585</v>
      </c>
      <c r="B1760" s="36" t="str">
        <f t="shared" si="27"/>
        <v>Setiembre</v>
      </c>
      <c r="C1760" s="33" t="s">
        <v>162</v>
      </c>
      <c r="D1760" s="33" t="s">
        <v>5586</v>
      </c>
      <c r="E1760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760" s="32" t="s">
        <v>175</v>
      </c>
      <c r="G1760" s="32" t="s">
        <v>5168</v>
      </c>
      <c r="H1760" s="139" t="s">
        <v>5587</v>
      </c>
      <c r="I1760" s="33" t="s">
        <v>264</v>
      </c>
      <c r="J1760" s="143" t="s">
        <v>4644</v>
      </c>
      <c r="K1760" s="33" t="s">
        <v>169</v>
      </c>
      <c r="L1760" s="102" t="str">
        <f>VLOOKUP(Anexo_4[[#This Row],[cod_doc]],TIPODOC,2,FALSE)</f>
        <v>FACTURA</v>
      </c>
      <c r="M1760" s="33" t="s">
        <v>379</v>
      </c>
      <c r="N1760" s="32" t="s">
        <v>5588</v>
      </c>
      <c r="O1760" s="48">
        <v>10.17</v>
      </c>
      <c r="P1760" s="49"/>
      <c r="Q1760" s="81">
        <v>1.83</v>
      </c>
      <c r="R1760" s="80" t="s">
        <v>4341</v>
      </c>
      <c r="S1760" s="48" t="s">
        <v>4341</v>
      </c>
      <c r="T1760" s="72">
        <v>12</v>
      </c>
      <c r="U1760" s="70"/>
      <c r="V1760" s="32"/>
      <c r="W1760" s="70"/>
      <c r="X1760" s="70"/>
      <c r="Y1760" s="70" t="s">
        <v>5589</v>
      </c>
      <c r="Z1760" s="70" t="s">
        <v>268</v>
      </c>
      <c r="AA1760" s="71"/>
      <c r="AB1760" s="53" t="str">
        <f>IFERROR(VLOOKUP(Anexo_4[[#This Row],[cuenta]],OP,2,0),"-")</f>
        <v>Transporte peajes - Ventas</v>
      </c>
    </row>
    <row r="1761" spans="1:28" ht="27" customHeight="1" x14ac:dyDescent="0.3">
      <c r="A1761" s="34" t="s">
        <v>5444</v>
      </c>
      <c r="B1761" s="36" t="str">
        <f t="shared" si="27"/>
        <v>Setiembre</v>
      </c>
      <c r="C1761" s="33" t="s">
        <v>162</v>
      </c>
      <c r="D1761" s="33" t="s">
        <v>5590</v>
      </c>
      <c r="E1761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761" s="32" t="s">
        <v>175</v>
      </c>
      <c r="G1761" s="32" t="s">
        <v>5168</v>
      </c>
      <c r="H1761" s="139" t="s">
        <v>5591</v>
      </c>
      <c r="I1761" s="33" t="s">
        <v>264</v>
      </c>
      <c r="J1761" s="143" t="s">
        <v>4644</v>
      </c>
      <c r="K1761" s="33" t="s">
        <v>169</v>
      </c>
      <c r="L1761" s="102" t="str">
        <f>VLOOKUP(Anexo_4[[#This Row],[cod_doc]],TIPODOC,2,FALSE)</f>
        <v>FACTURA</v>
      </c>
      <c r="M1761" s="33" t="s">
        <v>379</v>
      </c>
      <c r="N1761" s="32" t="s">
        <v>5592</v>
      </c>
      <c r="O1761" s="48">
        <v>10.17</v>
      </c>
      <c r="P1761" s="49"/>
      <c r="Q1761" s="81">
        <v>1.83</v>
      </c>
      <c r="R1761" s="80" t="s">
        <v>4341</v>
      </c>
      <c r="S1761" s="48" t="s">
        <v>4341</v>
      </c>
      <c r="T1761" s="72">
        <v>12</v>
      </c>
      <c r="U1761" s="70"/>
      <c r="V1761" s="32"/>
      <c r="W1761" s="70"/>
      <c r="X1761" s="70"/>
      <c r="Y1761" s="70" t="s">
        <v>5593</v>
      </c>
      <c r="Z1761" s="70" t="s">
        <v>268</v>
      </c>
      <c r="AA1761" s="71"/>
      <c r="AB1761" s="53" t="str">
        <f>IFERROR(VLOOKUP(Anexo_4[[#This Row],[cuenta]],OP,2,0),"-")</f>
        <v>Transporte peajes - Ventas</v>
      </c>
    </row>
    <row r="1762" spans="1:28" ht="27" customHeight="1" x14ac:dyDescent="0.3">
      <c r="A1762" s="34" t="s">
        <v>5486</v>
      </c>
      <c r="B1762" s="36" t="str">
        <f t="shared" si="27"/>
        <v>Setiembre</v>
      </c>
      <c r="C1762" s="33" t="s">
        <v>162</v>
      </c>
      <c r="D1762" s="33" t="s">
        <v>5594</v>
      </c>
      <c r="E1762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762" s="32" t="s">
        <v>391</v>
      </c>
      <c r="G1762" s="32" t="s">
        <v>5041</v>
      </c>
      <c r="H1762" s="139" t="s">
        <v>5595</v>
      </c>
      <c r="I1762" s="33" t="s">
        <v>264</v>
      </c>
      <c r="J1762" s="143" t="s">
        <v>4644</v>
      </c>
      <c r="K1762" s="33" t="s">
        <v>169</v>
      </c>
      <c r="L1762" s="102" t="str">
        <f>VLOOKUP(Anexo_4[[#This Row],[cod_doc]],TIPODOC,2,FALSE)</f>
        <v>FACTURA</v>
      </c>
      <c r="M1762" s="33" t="s">
        <v>379</v>
      </c>
      <c r="N1762" s="32" t="s">
        <v>5596</v>
      </c>
      <c r="O1762" s="48">
        <v>6.78</v>
      </c>
      <c r="P1762" s="49"/>
      <c r="Q1762" s="81">
        <v>1.22</v>
      </c>
      <c r="R1762" s="80" t="s">
        <v>4341</v>
      </c>
      <c r="S1762" s="48" t="s">
        <v>4341</v>
      </c>
      <c r="T1762" s="72">
        <v>8</v>
      </c>
      <c r="U1762" s="70"/>
      <c r="V1762" s="32"/>
      <c r="W1762" s="70"/>
      <c r="X1762" s="70"/>
      <c r="Y1762" s="70" t="s">
        <v>5597</v>
      </c>
      <c r="Z1762" s="70" t="s">
        <v>268</v>
      </c>
      <c r="AA1762" s="71"/>
      <c r="AB1762" s="53" t="str">
        <f>IFERROR(VLOOKUP(Anexo_4[[#This Row],[cuenta]],OP,2,0),"-")</f>
        <v>Transporte peajes - Ventas</v>
      </c>
    </row>
    <row r="1763" spans="1:28" ht="27" customHeight="1" x14ac:dyDescent="0.3">
      <c r="A1763" s="34" t="s">
        <v>5444</v>
      </c>
      <c r="B1763" s="36" t="str">
        <f t="shared" si="27"/>
        <v>Setiembre</v>
      </c>
      <c r="C1763" s="33" t="s">
        <v>162</v>
      </c>
      <c r="D1763" s="33" t="s">
        <v>5598</v>
      </c>
      <c r="E1763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763" s="32" t="s">
        <v>175</v>
      </c>
      <c r="G1763" s="32" t="s">
        <v>5168</v>
      </c>
      <c r="H1763" s="139" t="s">
        <v>5599</v>
      </c>
      <c r="I1763" s="33" t="s">
        <v>264</v>
      </c>
      <c r="J1763" s="143" t="s">
        <v>4644</v>
      </c>
      <c r="K1763" s="33" t="s">
        <v>169</v>
      </c>
      <c r="L1763" s="102" t="str">
        <f>VLOOKUP(Anexo_4[[#This Row],[cod_doc]],TIPODOC,2,FALSE)</f>
        <v>FACTURA</v>
      </c>
      <c r="M1763" s="33" t="s">
        <v>406</v>
      </c>
      <c r="N1763" s="32" t="s">
        <v>5600</v>
      </c>
      <c r="O1763" s="48">
        <v>10.17</v>
      </c>
      <c r="P1763" s="49"/>
      <c r="Q1763" s="81">
        <v>1.83</v>
      </c>
      <c r="R1763" s="80" t="s">
        <v>4341</v>
      </c>
      <c r="S1763" s="48" t="s">
        <v>4341</v>
      </c>
      <c r="T1763" s="72">
        <v>12</v>
      </c>
      <c r="U1763" s="70"/>
      <c r="V1763" s="32"/>
      <c r="W1763" s="70"/>
      <c r="X1763" s="70"/>
      <c r="Y1763" s="70" t="s">
        <v>5601</v>
      </c>
      <c r="Z1763" s="70" t="s">
        <v>268</v>
      </c>
      <c r="AA1763" s="71"/>
      <c r="AB1763" s="53" t="str">
        <f>IFERROR(VLOOKUP(Anexo_4[[#This Row],[cuenta]],OP,2,0),"-")</f>
        <v>Transporte peajes - Ventas</v>
      </c>
    </row>
    <row r="1764" spans="1:28" ht="27" customHeight="1" x14ac:dyDescent="0.3">
      <c r="A1764" s="34" t="s">
        <v>5328</v>
      </c>
      <c r="B1764" s="36" t="str">
        <f t="shared" si="27"/>
        <v>Setiembre</v>
      </c>
      <c r="C1764" s="33" t="s">
        <v>162</v>
      </c>
      <c r="D1764" s="33" t="s">
        <v>5602</v>
      </c>
      <c r="E1764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764" s="32" t="s">
        <v>175</v>
      </c>
      <c r="G1764" s="32" t="s">
        <v>5168</v>
      </c>
      <c r="H1764" s="139" t="s">
        <v>5603</v>
      </c>
      <c r="I1764" s="33" t="s">
        <v>504</v>
      </c>
      <c r="J1764" s="143" t="s">
        <v>4717</v>
      </c>
      <c r="K1764" s="33" t="s">
        <v>169</v>
      </c>
      <c r="L1764" s="102" t="str">
        <f>VLOOKUP(Anexo_4[[#This Row],[cod_doc]],TIPODOC,2,FALSE)</f>
        <v>FACTURA</v>
      </c>
      <c r="M1764" s="33" t="s">
        <v>222</v>
      </c>
      <c r="N1764" s="32" t="s">
        <v>5604</v>
      </c>
      <c r="O1764" s="48">
        <v>29.66</v>
      </c>
      <c r="P1764" s="49"/>
      <c r="Q1764" s="81">
        <v>5.34</v>
      </c>
      <c r="R1764" s="80" t="s">
        <v>4341</v>
      </c>
      <c r="S1764" s="48" t="s">
        <v>4341</v>
      </c>
      <c r="T1764" s="72">
        <v>35</v>
      </c>
      <c r="U1764" s="70"/>
      <c r="V1764" s="32"/>
      <c r="W1764" s="70"/>
      <c r="X1764" s="70"/>
      <c r="Y1764" s="70" t="s">
        <v>5605</v>
      </c>
      <c r="Z1764" s="70" t="s">
        <v>507</v>
      </c>
      <c r="AA1764" s="71"/>
      <c r="AB1764" s="53" t="str">
        <f>IFERROR(VLOOKUP(Anexo_4[[#This Row],[cuenta]],OP,2,0),"-")</f>
        <v>Transporte lavado (Higienización)</v>
      </c>
    </row>
    <row r="1765" spans="1:28" ht="27" customHeight="1" x14ac:dyDescent="0.3">
      <c r="A1765" s="34" t="s">
        <v>5328</v>
      </c>
      <c r="B1765" s="36" t="str">
        <f t="shared" si="27"/>
        <v>Setiembre</v>
      </c>
      <c r="C1765" s="33" t="s">
        <v>162</v>
      </c>
      <c r="D1765" s="33" t="s">
        <v>5606</v>
      </c>
      <c r="E1765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765" s="32" t="s">
        <v>175</v>
      </c>
      <c r="G1765" s="32" t="s">
        <v>5168</v>
      </c>
      <c r="H1765" s="139" t="s">
        <v>5607</v>
      </c>
      <c r="I1765" s="33" t="s">
        <v>264</v>
      </c>
      <c r="J1765" s="143" t="s">
        <v>4644</v>
      </c>
      <c r="K1765" s="33" t="s">
        <v>169</v>
      </c>
      <c r="L1765" s="102" t="str">
        <f>VLOOKUP(Anexo_4[[#This Row],[cod_doc]],TIPODOC,2,FALSE)</f>
        <v>FACTURA</v>
      </c>
      <c r="M1765" s="33" t="s">
        <v>352</v>
      </c>
      <c r="N1765" s="32" t="s">
        <v>5608</v>
      </c>
      <c r="O1765" s="48">
        <v>10.17</v>
      </c>
      <c r="P1765" s="49"/>
      <c r="Q1765" s="81">
        <v>1.83</v>
      </c>
      <c r="R1765" s="80" t="s">
        <v>4341</v>
      </c>
      <c r="S1765" s="48" t="s">
        <v>4341</v>
      </c>
      <c r="T1765" s="72">
        <v>12</v>
      </c>
      <c r="U1765" s="70"/>
      <c r="V1765" s="32"/>
      <c r="W1765" s="70"/>
      <c r="X1765" s="70"/>
      <c r="Y1765" s="70" t="s">
        <v>5609</v>
      </c>
      <c r="Z1765" s="70" t="s">
        <v>302</v>
      </c>
      <c r="AA1765" s="71"/>
      <c r="AB1765" s="53" t="str">
        <f>IFERROR(VLOOKUP(Anexo_4[[#This Row],[cuenta]],OP,2,0),"-")</f>
        <v>Transporte peajes - Servicios</v>
      </c>
    </row>
    <row r="1766" spans="1:28" ht="27" customHeight="1" x14ac:dyDescent="0.3">
      <c r="A1766" s="34" t="s">
        <v>5328</v>
      </c>
      <c r="B1766" s="36" t="str">
        <f t="shared" si="27"/>
        <v>Setiembre</v>
      </c>
      <c r="C1766" s="33" t="s">
        <v>162</v>
      </c>
      <c r="D1766" s="33" t="s">
        <v>5610</v>
      </c>
      <c r="E1766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766" s="32" t="s">
        <v>175</v>
      </c>
      <c r="G1766" s="32" t="s">
        <v>5168</v>
      </c>
      <c r="H1766" s="139" t="s">
        <v>5611</v>
      </c>
      <c r="I1766" s="33" t="s">
        <v>264</v>
      </c>
      <c r="J1766" s="143" t="s">
        <v>4644</v>
      </c>
      <c r="K1766" s="33" t="s">
        <v>169</v>
      </c>
      <c r="L1766" s="102" t="str">
        <f>VLOOKUP(Anexo_4[[#This Row],[cod_doc]],TIPODOC,2,FALSE)</f>
        <v>FACTURA</v>
      </c>
      <c r="M1766" s="33" t="s">
        <v>406</v>
      </c>
      <c r="N1766" s="32" t="s">
        <v>5612</v>
      </c>
      <c r="O1766" s="48">
        <v>10.17</v>
      </c>
      <c r="P1766" s="49"/>
      <c r="Q1766" s="81">
        <v>1.83</v>
      </c>
      <c r="R1766" s="80" t="s">
        <v>4341</v>
      </c>
      <c r="S1766" s="48" t="s">
        <v>4341</v>
      </c>
      <c r="T1766" s="72">
        <v>12</v>
      </c>
      <c r="U1766" s="70"/>
      <c r="V1766" s="32"/>
      <c r="W1766" s="70"/>
      <c r="X1766" s="70"/>
      <c r="Y1766" s="70" t="s">
        <v>5613</v>
      </c>
      <c r="Z1766" s="70" t="s">
        <v>302</v>
      </c>
      <c r="AA1766" s="71"/>
      <c r="AB1766" s="53" t="str">
        <f>IFERROR(VLOOKUP(Anexo_4[[#This Row],[cuenta]],OP,2,0),"-")</f>
        <v>Transporte peajes - Servicios</v>
      </c>
    </row>
    <row r="1767" spans="1:28" ht="27" customHeight="1" x14ac:dyDescent="0.3">
      <c r="A1767" s="34" t="s">
        <v>5071</v>
      </c>
      <c r="B1767" s="36" t="str">
        <f t="shared" si="27"/>
        <v>Setiembre</v>
      </c>
      <c r="C1767" s="33" t="s">
        <v>162</v>
      </c>
      <c r="D1767" s="33" t="s">
        <v>5614</v>
      </c>
      <c r="E1767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767" s="32" t="s">
        <v>418</v>
      </c>
      <c r="G1767" s="32" t="s">
        <v>419</v>
      </c>
      <c r="H1767" s="139" t="s">
        <v>5615</v>
      </c>
      <c r="I1767" s="33" t="s">
        <v>3141</v>
      </c>
      <c r="J1767" s="143" t="s">
        <v>5616</v>
      </c>
      <c r="K1767" s="33" t="s">
        <v>169</v>
      </c>
      <c r="L1767" s="102" t="str">
        <f>VLOOKUP(Anexo_4[[#This Row],[cod_doc]],TIPODOC,2,FALSE)</f>
        <v>FACTURA</v>
      </c>
      <c r="M1767" s="33" t="s">
        <v>180</v>
      </c>
      <c r="N1767" s="32" t="s">
        <v>5617</v>
      </c>
      <c r="O1767" s="48">
        <v>8.4700000000000006</v>
      </c>
      <c r="P1767" s="49"/>
      <c r="Q1767" s="81">
        <v>1.53</v>
      </c>
      <c r="R1767" s="80" t="s">
        <v>4341</v>
      </c>
      <c r="S1767" s="48" t="s">
        <v>4341</v>
      </c>
      <c r="T1767" s="72">
        <v>10</v>
      </c>
      <c r="U1767" s="70"/>
      <c r="V1767" s="32"/>
      <c r="W1767" s="70"/>
      <c r="X1767" s="70"/>
      <c r="Y1767" s="70" t="s">
        <v>5618</v>
      </c>
      <c r="Z1767" s="70" t="s">
        <v>386</v>
      </c>
      <c r="AA1767" s="71"/>
      <c r="AB1767" s="53" t="str">
        <f>IFERROR(VLOOKUP(Anexo_4[[#This Row],[cuenta]],OP,2,0),"-")</f>
        <v>Balanza - Servicios</v>
      </c>
    </row>
    <row r="1768" spans="1:28" ht="27" customHeight="1" x14ac:dyDescent="0.3">
      <c r="A1768" s="34" t="s">
        <v>5095</v>
      </c>
      <c r="B1768" s="36" t="str">
        <f t="shared" si="27"/>
        <v>Setiembre</v>
      </c>
      <c r="C1768" s="33" t="s">
        <v>162</v>
      </c>
      <c r="D1768" s="33" t="s">
        <v>5619</v>
      </c>
      <c r="E1768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768" s="32" t="s">
        <v>235</v>
      </c>
      <c r="G1768" s="32" t="s">
        <v>5051</v>
      </c>
      <c r="H1768" s="139" t="s">
        <v>5620</v>
      </c>
      <c r="I1768" s="33" t="s">
        <v>264</v>
      </c>
      <c r="J1768" s="143" t="s">
        <v>4644</v>
      </c>
      <c r="K1768" s="33" t="s">
        <v>169</v>
      </c>
      <c r="L1768" s="102" t="str">
        <f>VLOOKUP(Anexo_4[[#This Row],[cod_doc]],TIPODOC,2,FALSE)</f>
        <v>FACTURA</v>
      </c>
      <c r="M1768" s="33" t="s">
        <v>352</v>
      </c>
      <c r="N1768" s="32" t="s">
        <v>5621</v>
      </c>
      <c r="O1768" s="48">
        <v>6.78</v>
      </c>
      <c r="P1768" s="49"/>
      <c r="Q1768" s="81">
        <v>1.22</v>
      </c>
      <c r="R1768" s="80" t="s">
        <v>4341</v>
      </c>
      <c r="S1768" s="48" t="s">
        <v>4341</v>
      </c>
      <c r="T1768" s="72">
        <v>8</v>
      </c>
      <c r="U1768" s="70"/>
      <c r="V1768" s="32"/>
      <c r="W1768" s="70"/>
      <c r="X1768" s="70"/>
      <c r="Y1768" s="70" t="s">
        <v>5622</v>
      </c>
      <c r="Z1768" s="70" t="s">
        <v>302</v>
      </c>
      <c r="AA1768" s="71"/>
      <c r="AB1768" s="53" t="str">
        <f>IFERROR(VLOOKUP(Anexo_4[[#This Row],[cuenta]],OP,2,0),"-")</f>
        <v>Transporte peajes - Servicios</v>
      </c>
    </row>
    <row r="1769" spans="1:28" ht="27" customHeight="1" x14ac:dyDescent="0.3">
      <c r="A1769" s="34" t="s">
        <v>5095</v>
      </c>
      <c r="B1769" s="36" t="str">
        <f t="shared" si="27"/>
        <v>Setiembre</v>
      </c>
      <c r="C1769" s="33" t="s">
        <v>162</v>
      </c>
      <c r="D1769" s="33" t="s">
        <v>5623</v>
      </c>
      <c r="E1769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769" s="32" t="s">
        <v>235</v>
      </c>
      <c r="G1769" s="32" t="s">
        <v>5051</v>
      </c>
      <c r="H1769" s="139" t="s">
        <v>5624</v>
      </c>
      <c r="I1769" s="33" t="s">
        <v>264</v>
      </c>
      <c r="J1769" s="143" t="s">
        <v>4644</v>
      </c>
      <c r="K1769" s="33" t="s">
        <v>169</v>
      </c>
      <c r="L1769" s="102" t="str">
        <f>VLOOKUP(Anexo_4[[#This Row],[cod_doc]],TIPODOC,2,FALSE)</f>
        <v>FACTURA</v>
      </c>
      <c r="M1769" s="33" t="s">
        <v>406</v>
      </c>
      <c r="N1769" s="32" t="s">
        <v>5625</v>
      </c>
      <c r="O1769" s="48">
        <v>6.78</v>
      </c>
      <c r="P1769" s="49"/>
      <c r="Q1769" s="81">
        <v>1.22</v>
      </c>
      <c r="R1769" s="80" t="s">
        <v>4341</v>
      </c>
      <c r="S1769" s="48" t="s">
        <v>4341</v>
      </c>
      <c r="T1769" s="72">
        <v>8</v>
      </c>
      <c r="U1769" s="70"/>
      <c r="V1769" s="32"/>
      <c r="W1769" s="70"/>
      <c r="X1769" s="70"/>
      <c r="Y1769" s="70" t="s">
        <v>5626</v>
      </c>
      <c r="Z1769" s="70" t="s">
        <v>302</v>
      </c>
      <c r="AA1769" s="71"/>
      <c r="AB1769" s="53" t="str">
        <f>IFERROR(VLOOKUP(Anexo_4[[#This Row],[cuenta]],OP,2,0),"-")</f>
        <v>Transporte peajes - Servicios</v>
      </c>
    </row>
    <row r="1770" spans="1:28" ht="27" customHeight="1" x14ac:dyDescent="0.3">
      <c r="A1770" s="34" t="s">
        <v>5080</v>
      </c>
      <c r="B1770" s="36" t="str">
        <f t="shared" si="27"/>
        <v>Setiembre</v>
      </c>
      <c r="C1770" s="33" t="s">
        <v>162</v>
      </c>
      <c r="D1770" s="33" t="s">
        <v>5627</v>
      </c>
      <c r="E1770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770" s="32" t="s">
        <v>235</v>
      </c>
      <c r="G1770" s="32" t="s">
        <v>5051</v>
      </c>
      <c r="H1770" s="139" t="s">
        <v>5628</v>
      </c>
      <c r="I1770" s="33" t="s">
        <v>264</v>
      </c>
      <c r="J1770" s="143" t="s">
        <v>4644</v>
      </c>
      <c r="K1770" s="33" t="s">
        <v>169</v>
      </c>
      <c r="L1770" s="102" t="str">
        <f>VLOOKUP(Anexo_4[[#This Row],[cod_doc]],TIPODOC,2,FALSE)</f>
        <v>FACTURA</v>
      </c>
      <c r="M1770" s="33" t="s">
        <v>406</v>
      </c>
      <c r="N1770" s="32" t="s">
        <v>5629</v>
      </c>
      <c r="O1770" s="48">
        <v>6.78</v>
      </c>
      <c r="P1770" s="49"/>
      <c r="Q1770" s="81">
        <v>1.22</v>
      </c>
      <c r="R1770" s="80" t="s">
        <v>4341</v>
      </c>
      <c r="S1770" s="48" t="s">
        <v>4341</v>
      </c>
      <c r="T1770" s="72">
        <v>8</v>
      </c>
      <c r="U1770" s="70"/>
      <c r="V1770" s="32"/>
      <c r="W1770" s="70"/>
      <c r="X1770" s="70"/>
      <c r="Y1770" s="70" t="s">
        <v>5630</v>
      </c>
      <c r="Z1770" s="70" t="s">
        <v>302</v>
      </c>
      <c r="AA1770" s="71"/>
      <c r="AB1770" s="53" t="str">
        <f>IFERROR(VLOOKUP(Anexo_4[[#This Row],[cuenta]],OP,2,0),"-")</f>
        <v>Transporte peajes - Servicios</v>
      </c>
    </row>
    <row r="1771" spans="1:28" ht="27" customHeight="1" x14ac:dyDescent="0.3">
      <c r="A1771" s="34" t="s">
        <v>5080</v>
      </c>
      <c r="B1771" s="36" t="str">
        <f t="shared" si="27"/>
        <v>Setiembre</v>
      </c>
      <c r="C1771" s="33" t="s">
        <v>162</v>
      </c>
      <c r="D1771" s="33" t="s">
        <v>5631</v>
      </c>
      <c r="E1771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771" s="32" t="s">
        <v>235</v>
      </c>
      <c r="G1771" s="32" t="s">
        <v>5051</v>
      </c>
      <c r="H1771" s="139" t="s">
        <v>5632</v>
      </c>
      <c r="I1771" s="33" t="s">
        <v>264</v>
      </c>
      <c r="J1771" s="143" t="s">
        <v>4644</v>
      </c>
      <c r="K1771" s="33" t="s">
        <v>169</v>
      </c>
      <c r="L1771" s="102" t="str">
        <f>VLOOKUP(Anexo_4[[#This Row],[cod_doc]],TIPODOC,2,FALSE)</f>
        <v>FACTURA</v>
      </c>
      <c r="M1771" s="33" t="s">
        <v>279</v>
      </c>
      <c r="N1771" s="32" t="s">
        <v>5633</v>
      </c>
      <c r="O1771" s="48">
        <v>6.78</v>
      </c>
      <c r="P1771" s="49"/>
      <c r="Q1771" s="81">
        <v>1.22</v>
      </c>
      <c r="R1771" s="80" t="s">
        <v>4341</v>
      </c>
      <c r="S1771" s="48" t="s">
        <v>4341</v>
      </c>
      <c r="T1771" s="72">
        <v>8</v>
      </c>
      <c r="U1771" s="70"/>
      <c r="V1771" s="32"/>
      <c r="W1771" s="70"/>
      <c r="X1771" s="70"/>
      <c r="Y1771" s="70" t="s">
        <v>5634</v>
      </c>
      <c r="Z1771" s="70" t="s">
        <v>302</v>
      </c>
      <c r="AA1771" s="71"/>
      <c r="AB1771" s="53" t="str">
        <f>IFERROR(VLOOKUP(Anexo_4[[#This Row],[cuenta]],OP,2,0),"-")</f>
        <v>Transporte peajes - Servicios</v>
      </c>
    </row>
    <row r="1772" spans="1:28" ht="27" customHeight="1" x14ac:dyDescent="0.3">
      <c r="A1772" s="34" t="s">
        <v>5080</v>
      </c>
      <c r="B1772" s="36" t="str">
        <f t="shared" si="27"/>
        <v>Setiembre</v>
      </c>
      <c r="C1772" s="33" t="s">
        <v>162</v>
      </c>
      <c r="D1772" s="33" t="s">
        <v>5635</v>
      </c>
      <c r="E1772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772" s="32" t="s">
        <v>235</v>
      </c>
      <c r="G1772" s="32" t="s">
        <v>5051</v>
      </c>
      <c r="H1772" s="139" t="s">
        <v>5636</v>
      </c>
      <c r="I1772" s="33" t="s">
        <v>264</v>
      </c>
      <c r="J1772" s="143" t="s">
        <v>4644</v>
      </c>
      <c r="K1772" s="33" t="s">
        <v>169</v>
      </c>
      <c r="L1772" s="102" t="str">
        <f>VLOOKUP(Anexo_4[[#This Row],[cod_doc]],TIPODOC,2,FALSE)</f>
        <v>FACTURA</v>
      </c>
      <c r="M1772" s="33" t="s">
        <v>352</v>
      </c>
      <c r="N1772" s="32" t="s">
        <v>5637</v>
      </c>
      <c r="O1772" s="48">
        <v>6.78</v>
      </c>
      <c r="P1772" s="49"/>
      <c r="Q1772" s="81">
        <v>1.22</v>
      </c>
      <c r="R1772" s="80" t="s">
        <v>4341</v>
      </c>
      <c r="S1772" s="48" t="s">
        <v>4341</v>
      </c>
      <c r="T1772" s="72">
        <v>8</v>
      </c>
      <c r="U1772" s="70"/>
      <c r="V1772" s="32"/>
      <c r="W1772" s="70"/>
      <c r="X1772" s="70"/>
      <c r="Y1772" s="70" t="s">
        <v>5638</v>
      </c>
      <c r="Z1772" s="70" t="s">
        <v>302</v>
      </c>
      <c r="AA1772" s="71"/>
      <c r="AB1772" s="53" t="str">
        <f>IFERROR(VLOOKUP(Anexo_4[[#This Row],[cuenta]],OP,2,0),"-")</f>
        <v>Transporte peajes - Servicios</v>
      </c>
    </row>
    <row r="1773" spans="1:28" ht="27" customHeight="1" x14ac:dyDescent="0.3">
      <c r="A1773" s="34" t="s">
        <v>5080</v>
      </c>
      <c r="B1773" s="36" t="str">
        <f t="shared" si="27"/>
        <v>Setiembre</v>
      </c>
      <c r="C1773" s="33" t="s">
        <v>162</v>
      </c>
      <c r="D1773" s="33" t="s">
        <v>5639</v>
      </c>
      <c r="E1773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773" s="32" t="s">
        <v>235</v>
      </c>
      <c r="G1773" s="32" t="s">
        <v>5051</v>
      </c>
      <c r="H1773" s="139" t="s">
        <v>5640</v>
      </c>
      <c r="I1773" s="33" t="s">
        <v>264</v>
      </c>
      <c r="J1773" s="143" t="s">
        <v>4644</v>
      </c>
      <c r="K1773" s="33" t="s">
        <v>169</v>
      </c>
      <c r="L1773" s="102" t="str">
        <f>VLOOKUP(Anexo_4[[#This Row],[cod_doc]],TIPODOC,2,FALSE)</f>
        <v>FACTURA</v>
      </c>
      <c r="M1773" s="33" t="s">
        <v>266</v>
      </c>
      <c r="N1773" s="32" t="s">
        <v>5641</v>
      </c>
      <c r="O1773" s="48">
        <v>6.78</v>
      </c>
      <c r="P1773" s="49"/>
      <c r="Q1773" s="81">
        <v>1.22</v>
      </c>
      <c r="R1773" s="80" t="s">
        <v>4341</v>
      </c>
      <c r="S1773" s="48" t="s">
        <v>4341</v>
      </c>
      <c r="T1773" s="72">
        <v>8</v>
      </c>
      <c r="U1773" s="70"/>
      <c r="V1773" s="32"/>
      <c r="W1773" s="70"/>
      <c r="X1773" s="70"/>
      <c r="Y1773" s="70" t="s">
        <v>5642</v>
      </c>
      <c r="Z1773" s="70" t="s">
        <v>302</v>
      </c>
      <c r="AA1773" s="71"/>
      <c r="AB1773" s="53" t="str">
        <f>IFERROR(VLOOKUP(Anexo_4[[#This Row],[cuenta]],OP,2,0),"-")</f>
        <v>Transporte peajes - Servicios</v>
      </c>
    </row>
    <row r="1774" spans="1:28" ht="27" customHeight="1" x14ac:dyDescent="0.3">
      <c r="A1774" s="34" t="s">
        <v>5328</v>
      </c>
      <c r="B1774" s="36" t="str">
        <f t="shared" si="27"/>
        <v>Setiembre</v>
      </c>
      <c r="C1774" s="33" t="s">
        <v>162</v>
      </c>
      <c r="D1774" s="33" t="s">
        <v>5643</v>
      </c>
      <c r="E1774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774" s="32" t="s">
        <v>456</v>
      </c>
      <c r="G1774" s="32" t="s">
        <v>4911</v>
      </c>
      <c r="H1774" s="139" t="s">
        <v>5644</v>
      </c>
      <c r="I1774" s="33" t="s">
        <v>264</v>
      </c>
      <c r="J1774" s="143" t="s">
        <v>4644</v>
      </c>
      <c r="K1774" s="33" t="s">
        <v>169</v>
      </c>
      <c r="L1774" s="102" t="str">
        <f>VLOOKUP(Anexo_4[[#This Row],[cod_doc]],TIPODOC,2,FALSE)</f>
        <v>FACTURA</v>
      </c>
      <c r="M1774" s="33" t="s">
        <v>379</v>
      </c>
      <c r="N1774" s="32" t="s">
        <v>5645</v>
      </c>
      <c r="O1774" s="48">
        <v>4.24</v>
      </c>
      <c r="P1774" s="49"/>
      <c r="Q1774" s="81">
        <v>0.76</v>
      </c>
      <c r="R1774" s="80" t="s">
        <v>4341</v>
      </c>
      <c r="S1774" s="48" t="s">
        <v>4341</v>
      </c>
      <c r="T1774" s="72">
        <v>5</v>
      </c>
      <c r="U1774" s="70"/>
      <c r="V1774" s="32"/>
      <c r="W1774" s="70"/>
      <c r="X1774" s="70"/>
      <c r="Y1774" s="70" t="s">
        <v>5646</v>
      </c>
      <c r="Z1774" s="70" t="s">
        <v>302</v>
      </c>
      <c r="AA1774" s="71"/>
      <c r="AB1774" s="53" t="str">
        <f>IFERROR(VLOOKUP(Anexo_4[[#This Row],[cuenta]],OP,2,0),"-")</f>
        <v>Transporte peajes - Servicios</v>
      </c>
    </row>
    <row r="1775" spans="1:28" ht="27" customHeight="1" x14ac:dyDescent="0.3">
      <c r="A1775" s="34" t="s">
        <v>5078</v>
      </c>
      <c r="B1775" s="36" t="str">
        <f t="shared" si="27"/>
        <v>Setiembre</v>
      </c>
      <c r="C1775" s="33" t="s">
        <v>162</v>
      </c>
      <c r="D1775" s="33" t="s">
        <v>5647</v>
      </c>
      <c r="E1775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775" s="32" t="s">
        <v>456</v>
      </c>
      <c r="G1775" s="32" t="s">
        <v>4911</v>
      </c>
      <c r="H1775" s="139" t="s">
        <v>5648</v>
      </c>
      <c r="I1775" s="33" t="s">
        <v>264</v>
      </c>
      <c r="J1775" s="143" t="s">
        <v>4644</v>
      </c>
      <c r="K1775" s="33" t="s">
        <v>169</v>
      </c>
      <c r="L1775" s="102" t="str">
        <f>VLOOKUP(Anexo_4[[#This Row],[cod_doc]],TIPODOC,2,FALSE)</f>
        <v>FACTURA</v>
      </c>
      <c r="M1775" s="33" t="s">
        <v>352</v>
      </c>
      <c r="N1775" s="32" t="s">
        <v>5649</v>
      </c>
      <c r="O1775" s="48">
        <v>4.24</v>
      </c>
      <c r="P1775" s="49"/>
      <c r="Q1775" s="81">
        <v>0.76</v>
      </c>
      <c r="R1775" s="80" t="s">
        <v>4341</v>
      </c>
      <c r="S1775" s="48" t="s">
        <v>4341</v>
      </c>
      <c r="T1775" s="72">
        <v>5</v>
      </c>
      <c r="U1775" s="70"/>
      <c r="V1775" s="32"/>
      <c r="W1775" s="70"/>
      <c r="X1775" s="70"/>
      <c r="Y1775" s="70" t="s">
        <v>5650</v>
      </c>
      <c r="Z1775" s="70" t="s">
        <v>302</v>
      </c>
      <c r="AA1775" s="71"/>
      <c r="AB1775" s="53" t="str">
        <f>IFERROR(VLOOKUP(Anexo_4[[#This Row],[cuenta]],OP,2,0),"-")</f>
        <v>Transporte peajes - Servicios</v>
      </c>
    </row>
    <row r="1776" spans="1:28" ht="27" customHeight="1" x14ac:dyDescent="0.3">
      <c r="A1776" s="34" t="s">
        <v>5255</v>
      </c>
      <c r="B1776" s="36" t="str">
        <f t="shared" si="27"/>
        <v>Setiembre</v>
      </c>
      <c r="C1776" s="33" t="s">
        <v>162</v>
      </c>
      <c r="D1776" s="33" t="s">
        <v>5651</v>
      </c>
      <c r="E1776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776" s="32" t="s">
        <v>418</v>
      </c>
      <c r="G1776" s="32" t="s">
        <v>419</v>
      </c>
      <c r="H1776" s="139" t="s">
        <v>5652</v>
      </c>
      <c r="I1776" s="33" t="s">
        <v>178</v>
      </c>
      <c r="J1776" s="143" t="s">
        <v>4667</v>
      </c>
      <c r="K1776" s="33" t="s">
        <v>169</v>
      </c>
      <c r="L1776" s="102" t="str">
        <f>VLOOKUP(Anexo_4[[#This Row],[cod_doc]],TIPODOC,2,FALSE)</f>
        <v>FACTURA</v>
      </c>
      <c r="M1776" s="33" t="s">
        <v>180</v>
      </c>
      <c r="N1776" s="32" t="s">
        <v>5653</v>
      </c>
      <c r="O1776" s="48">
        <v>8.4700000000000006</v>
      </c>
      <c r="P1776" s="49"/>
      <c r="Q1776" s="81">
        <v>1.53</v>
      </c>
      <c r="R1776" s="80" t="s">
        <v>4341</v>
      </c>
      <c r="S1776" s="48" t="s">
        <v>4341</v>
      </c>
      <c r="T1776" s="72">
        <v>10</v>
      </c>
      <c r="U1776" s="70"/>
      <c r="V1776" s="32"/>
      <c r="W1776" s="70"/>
      <c r="X1776" s="70"/>
      <c r="Y1776" s="70" t="s">
        <v>5654</v>
      </c>
      <c r="Z1776" s="70" t="s">
        <v>386</v>
      </c>
      <c r="AA1776" s="71"/>
      <c r="AB1776" s="53" t="str">
        <f>IFERROR(VLOOKUP(Anexo_4[[#This Row],[cuenta]],OP,2,0),"-")</f>
        <v>Balanza - Servicios</v>
      </c>
    </row>
    <row r="1777" spans="1:28" ht="27" customHeight="1" x14ac:dyDescent="0.3">
      <c r="A1777" s="34" t="s">
        <v>5255</v>
      </c>
      <c r="B1777" s="36" t="str">
        <f t="shared" si="27"/>
        <v>Setiembre</v>
      </c>
      <c r="C1777" s="33" t="s">
        <v>162</v>
      </c>
      <c r="D1777" s="33" t="s">
        <v>5655</v>
      </c>
      <c r="E1777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777" s="32" t="s">
        <v>418</v>
      </c>
      <c r="G1777" s="32" t="s">
        <v>419</v>
      </c>
      <c r="H1777" s="139" t="s">
        <v>5656</v>
      </c>
      <c r="I1777" s="33" t="s">
        <v>178</v>
      </c>
      <c r="J1777" s="143" t="s">
        <v>4667</v>
      </c>
      <c r="K1777" s="33" t="s">
        <v>169</v>
      </c>
      <c r="L1777" s="102" t="str">
        <f>VLOOKUP(Anexo_4[[#This Row],[cod_doc]],TIPODOC,2,FALSE)</f>
        <v>FACTURA</v>
      </c>
      <c r="M1777" s="33" t="s">
        <v>180</v>
      </c>
      <c r="N1777" s="32" t="s">
        <v>5657</v>
      </c>
      <c r="O1777" s="48">
        <v>4.24</v>
      </c>
      <c r="P1777" s="49"/>
      <c r="Q1777" s="81">
        <v>0.76</v>
      </c>
      <c r="R1777" s="80" t="s">
        <v>4341</v>
      </c>
      <c r="S1777" s="48" t="s">
        <v>4341</v>
      </c>
      <c r="T1777" s="72">
        <v>5</v>
      </c>
      <c r="U1777" s="70"/>
      <c r="V1777" s="32"/>
      <c r="W1777" s="70"/>
      <c r="X1777" s="70"/>
      <c r="Y1777" s="70" t="s">
        <v>5658</v>
      </c>
      <c r="Z1777" s="70" t="s">
        <v>386</v>
      </c>
      <c r="AA1777" s="71"/>
      <c r="AB1777" s="53" t="str">
        <f>IFERROR(VLOOKUP(Anexo_4[[#This Row],[cuenta]],OP,2,0),"-")</f>
        <v>Balanza - Servicios</v>
      </c>
    </row>
    <row r="1778" spans="1:28" ht="27" customHeight="1" x14ac:dyDescent="0.3">
      <c r="A1778" s="34" t="s">
        <v>5444</v>
      </c>
      <c r="B1778" s="36" t="str">
        <f t="shared" si="27"/>
        <v>Setiembre</v>
      </c>
      <c r="C1778" s="33" t="s">
        <v>162</v>
      </c>
      <c r="D1778" s="33" t="s">
        <v>5659</v>
      </c>
      <c r="E1778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778" s="32" t="s">
        <v>456</v>
      </c>
      <c r="G1778" s="32" t="s">
        <v>4911</v>
      </c>
      <c r="H1778" s="139" t="s">
        <v>5660</v>
      </c>
      <c r="I1778" s="33" t="s">
        <v>264</v>
      </c>
      <c r="J1778" s="143" t="s">
        <v>4644</v>
      </c>
      <c r="K1778" s="33" t="s">
        <v>169</v>
      </c>
      <c r="L1778" s="102" t="str">
        <f>VLOOKUP(Anexo_4[[#This Row],[cod_doc]],TIPODOC,2,FALSE)</f>
        <v>FACTURA</v>
      </c>
      <c r="M1778" s="33" t="s">
        <v>352</v>
      </c>
      <c r="N1778" s="32" t="s">
        <v>5661</v>
      </c>
      <c r="O1778" s="48">
        <v>4.24</v>
      </c>
      <c r="P1778" s="49"/>
      <c r="Q1778" s="81">
        <v>0.76</v>
      </c>
      <c r="R1778" s="80" t="s">
        <v>4341</v>
      </c>
      <c r="S1778" s="48" t="s">
        <v>4341</v>
      </c>
      <c r="T1778" s="72">
        <v>5</v>
      </c>
      <c r="U1778" s="70"/>
      <c r="V1778" s="32"/>
      <c r="W1778" s="70"/>
      <c r="X1778" s="70"/>
      <c r="Y1778" s="70" t="s">
        <v>5662</v>
      </c>
      <c r="Z1778" s="70" t="s">
        <v>302</v>
      </c>
      <c r="AA1778" s="71"/>
      <c r="AB1778" s="53" t="str">
        <f>IFERROR(VLOOKUP(Anexo_4[[#This Row],[cuenta]],OP,2,0),"-")</f>
        <v>Transporte peajes - Servicios</v>
      </c>
    </row>
    <row r="1779" spans="1:28" ht="27" customHeight="1" x14ac:dyDescent="0.3">
      <c r="A1779" s="34" t="s">
        <v>5255</v>
      </c>
      <c r="B1779" s="36" t="str">
        <f t="shared" si="27"/>
        <v>Setiembre</v>
      </c>
      <c r="C1779" s="33" t="s">
        <v>162</v>
      </c>
      <c r="D1779" s="33" t="s">
        <v>5663</v>
      </c>
      <c r="E1779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779" s="32" t="s">
        <v>217</v>
      </c>
      <c r="G1779" s="32" t="s">
        <v>4839</v>
      </c>
      <c r="H1779" s="139" t="s">
        <v>5664</v>
      </c>
      <c r="I1779" s="33" t="s">
        <v>264</v>
      </c>
      <c r="J1779" s="143" t="s">
        <v>4644</v>
      </c>
      <c r="K1779" s="33" t="s">
        <v>169</v>
      </c>
      <c r="L1779" s="102" t="str">
        <f>VLOOKUP(Anexo_4[[#This Row],[cod_doc]],TIPODOC,2,FALSE)</f>
        <v>FACTURA</v>
      </c>
      <c r="M1779" s="33" t="s">
        <v>271</v>
      </c>
      <c r="N1779" s="32" t="s">
        <v>5665</v>
      </c>
      <c r="O1779" s="48">
        <v>6.78</v>
      </c>
      <c r="P1779" s="49"/>
      <c r="Q1779" s="81">
        <v>1.22</v>
      </c>
      <c r="R1779" s="80" t="s">
        <v>4341</v>
      </c>
      <c r="S1779" s="48" t="s">
        <v>4341</v>
      </c>
      <c r="T1779" s="72">
        <v>8</v>
      </c>
      <c r="U1779" s="70"/>
      <c r="V1779" s="32"/>
      <c r="W1779" s="70"/>
      <c r="X1779" s="70"/>
      <c r="Y1779" s="70" t="s">
        <v>5666</v>
      </c>
      <c r="Z1779" s="70" t="s">
        <v>302</v>
      </c>
      <c r="AA1779" s="71"/>
      <c r="AB1779" s="53" t="str">
        <f>IFERROR(VLOOKUP(Anexo_4[[#This Row],[cuenta]],OP,2,0),"-")</f>
        <v>Transporte peajes - Servicios</v>
      </c>
    </row>
    <row r="1780" spans="1:28" ht="27" customHeight="1" x14ac:dyDescent="0.3">
      <c r="A1780" s="34" t="s">
        <v>5667</v>
      </c>
      <c r="B1780" s="36" t="str">
        <f t="shared" si="27"/>
        <v>Setiembre</v>
      </c>
      <c r="C1780" s="33" t="s">
        <v>162</v>
      </c>
      <c r="D1780" s="33" t="s">
        <v>5668</v>
      </c>
      <c r="E1780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780" s="32" t="s">
        <v>442</v>
      </c>
      <c r="G1780" s="32" t="s">
        <v>443</v>
      </c>
      <c r="H1780" s="139" t="s">
        <v>5669</v>
      </c>
      <c r="I1780" s="33" t="s">
        <v>2429</v>
      </c>
      <c r="J1780" s="143" t="s">
        <v>5038</v>
      </c>
      <c r="K1780" s="33" t="s">
        <v>239</v>
      </c>
      <c r="L1780" s="102" t="str">
        <f>VLOOKUP(Anexo_4[[#This Row],[cod_doc]],TIPODOC,2,FALSE)</f>
        <v>BOLETA DE VENTA</v>
      </c>
      <c r="M1780" s="33" t="s">
        <v>162</v>
      </c>
      <c r="N1780" s="32" t="s">
        <v>5670</v>
      </c>
      <c r="O1780" s="48" t="s">
        <v>4341</v>
      </c>
      <c r="P1780" s="49"/>
      <c r="Q1780" s="81" t="s">
        <v>4341</v>
      </c>
      <c r="R1780" s="80" t="s">
        <v>4341</v>
      </c>
      <c r="S1780" s="48">
        <v>11.5</v>
      </c>
      <c r="T1780" s="72">
        <v>11.5</v>
      </c>
      <c r="U1780" s="70"/>
      <c r="V1780" s="32"/>
      <c r="W1780" s="70"/>
      <c r="X1780" s="70"/>
      <c r="Y1780" s="70"/>
      <c r="Z1780" s="70" t="s">
        <v>2320</v>
      </c>
      <c r="AA1780" s="71"/>
      <c r="AB1780" s="53" t="str">
        <f>IFERROR(VLOOKUP(Anexo_4[[#This Row],[cuenta]],OP,2,0),"-")</f>
        <v>Otros Gastos de Gestion</v>
      </c>
    </row>
    <row r="1781" spans="1:28" ht="27" customHeight="1" x14ac:dyDescent="0.3">
      <c r="A1781" s="34" t="s">
        <v>5444</v>
      </c>
      <c r="B1781" s="36" t="str">
        <f t="shared" si="27"/>
        <v>Setiembre</v>
      </c>
      <c r="C1781" s="33" t="s">
        <v>162</v>
      </c>
      <c r="D1781" s="33" t="s">
        <v>5671</v>
      </c>
      <c r="E1781" s="37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1781" s="32" t="s">
        <v>198</v>
      </c>
      <c r="G1781" s="32" t="s">
        <v>199</v>
      </c>
      <c r="H1781" s="139" t="s">
        <v>5672</v>
      </c>
      <c r="I1781" s="33" t="s">
        <v>1212</v>
      </c>
      <c r="J1781" s="143" t="s">
        <v>4928</v>
      </c>
      <c r="K1781" s="33" t="s">
        <v>169</v>
      </c>
      <c r="L1781" s="102" t="str">
        <f>VLOOKUP(Anexo_4[[#This Row],[cod_doc]],TIPODOC,2,FALSE)</f>
        <v>FACTURA</v>
      </c>
      <c r="M1781" s="33" t="s">
        <v>180</v>
      </c>
      <c r="N1781" s="32" t="s">
        <v>5673</v>
      </c>
      <c r="O1781" s="48">
        <v>1016.95</v>
      </c>
      <c r="P1781" s="49"/>
      <c r="Q1781" s="81">
        <v>183.05</v>
      </c>
      <c r="R1781" s="80" t="s">
        <v>4341</v>
      </c>
      <c r="S1781" s="48" t="s">
        <v>4341</v>
      </c>
      <c r="T1781" s="72">
        <v>1200</v>
      </c>
      <c r="U1781" s="70" t="s">
        <v>5674</v>
      </c>
      <c r="V1781" s="32" t="s">
        <v>5238</v>
      </c>
      <c r="W1781" s="70"/>
      <c r="X1781" s="70"/>
      <c r="Y1781" s="70"/>
      <c r="Z1781" s="70" t="s">
        <v>468</v>
      </c>
      <c r="AA1781" s="71"/>
      <c r="AB1781" s="53" t="str">
        <f>IFERROR(VLOOKUP(Anexo_4[[#This Row],[cuenta]],OP,2,0),"-")</f>
        <v>Transporte de Carga  - Ventas</v>
      </c>
    </row>
    <row r="1782" spans="1:28" ht="27" customHeight="1" x14ac:dyDescent="0.3">
      <c r="A1782" s="34" t="s">
        <v>321</v>
      </c>
      <c r="B1782" s="36" t="str">
        <f t="shared" si="27"/>
        <v>Setiembre</v>
      </c>
      <c r="C1782" s="33" t="s">
        <v>162</v>
      </c>
      <c r="D1782" s="33" t="s">
        <v>5675</v>
      </c>
      <c r="E1782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782" s="32"/>
      <c r="G1782" s="32"/>
      <c r="H1782" s="139" t="s">
        <v>5676</v>
      </c>
      <c r="I1782" s="33" t="s">
        <v>1246</v>
      </c>
      <c r="J1782" s="143" t="s">
        <v>5677</v>
      </c>
      <c r="K1782" s="33" t="s">
        <v>169</v>
      </c>
      <c r="L1782" s="102" t="str">
        <f>VLOOKUP(Anexo_4[[#This Row],[cod_doc]],TIPODOC,2,FALSE)</f>
        <v>FACTURA</v>
      </c>
      <c r="M1782" s="33" t="s">
        <v>102</v>
      </c>
      <c r="N1782" s="32" t="s">
        <v>5678</v>
      </c>
      <c r="O1782" s="48">
        <v>2754.24</v>
      </c>
      <c r="P1782" s="49"/>
      <c r="Q1782" s="81">
        <v>495.76</v>
      </c>
      <c r="R1782" s="80" t="s">
        <v>4341</v>
      </c>
      <c r="S1782" s="48" t="s">
        <v>4341</v>
      </c>
      <c r="T1782" s="72">
        <v>3250</v>
      </c>
      <c r="U1782" s="70" t="s">
        <v>5679</v>
      </c>
      <c r="V1782" s="32" t="s">
        <v>5238</v>
      </c>
      <c r="W1782" s="70"/>
      <c r="X1782" s="70"/>
      <c r="Y1782" s="70"/>
      <c r="Z1782" s="70"/>
      <c r="AA1782" s="71"/>
      <c r="AB1782" s="53" t="str">
        <f>IFERROR(VLOOKUP(Anexo_4[[#This Row],[cuenta]],OP,2,0),"-")</f>
        <v>-</v>
      </c>
    </row>
    <row r="1783" spans="1:28" ht="27" customHeight="1" x14ac:dyDescent="0.3">
      <c r="A1783" s="34" t="s">
        <v>5494</v>
      </c>
      <c r="B1783" s="36" t="str">
        <f t="shared" si="27"/>
        <v>Setiembre</v>
      </c>
      <c r="C1783" s="33" t="s">
        <v>162</v>
      </c>
      <c r="D1783" s="33" t="s">
        <v>5680</v>
      </c>
      <c r="E1783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783" s="32" t="s">
        <v>355</v>
      </c>
      <c r="G1783" s="32" t="s">
        <v>356</v>
      </c>
      <c r="H1783" s="139" t="s">
        <v>5681</v>
      </c>
      <c r="I1783" s="33" t="s">
        <v>1212</v>
      </c>
      <c r="J1783" s="143" t="s">
        <v>4928</v>
      </c>
      <c r="K1783" s="33" t="s">
        <v>169</v>
      </c>
      <c r="L1783" s="102" t="str">
        <f>VLOOKUP(Anexo_4[[#This Row],[cod_doc]],TIPODOC,2,FALSE)</f>
        <v>FACTURA</v>
      </c>
      <c r="M1783" s="33" t="s">
        <v>180</v>
      </c>
      <c r="N1783" s="32" t="s">
        <v>5682</v>
      </c>
      <c r="O1783" s="48">
        <v>1271.19</v>
      </c>
      <c r="P1783" s="49"/>
      <c r="Q1783" s="81">
        <v>228.81</v>
      </c>
      <c r="R1783" s="80" t="s">
        <v>4341</v>
      </c>
      <c r="S1783" s="48" t="s">
        <v>4341</v>
      </c>
      <c r="T1783" s="72">
        <v>1500</v>
      </c>
      <c r="U1783" s="70" t="s">
        <v>5683</v>
      </c>
      <c r="V1783" s="32" t="s">
        <v>5238</v>
      </c>
      <c r="W1783" s="70"/>
      <c r="X1783" s="70"/>
      <c r="Y1783" s="70"/>
      <c r="Z1783" s="70" t="s">
        <v>893</v>
      </c>
      <c r="AA1783" s="71"/>
      <c r="AB1783" s="53" t="str">
        <f>IFERROR(VLOOKUP(Anexo_4[[#This Row],[cuenta]],OP,2,0),"-")</f>
        <v>Transporte de Carga - Servicios</v>
      </c>
    </row>
    <row r="1784" spans="1:28" ht="27" customHeight="1" x14ac:dyDescent="0.3">
      <c r="A1784" s="34" t="s">
        <v>5444</v>
      </c>
      <c r="B1784" s="36" t="str">
        <f t="shared" si="27"/>
        <v>Setiembre</v>
      </c>
      <c r="C1784" s="33" t="s">
        <v>162</v>
      </c>
      <c r="D1784" s="33" t="s">
        <v>5684</v>
      </c>
      <c r="E1784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784" s="32" t="s">
        <v>592</v>
      </c>
      <c r="G1784" s="32" t="s">
        <v>593</v>
      </c>
      <c r="H1784" s="139" t="s">
        <v>5685</v>
      </c>
      <c r="I1784" s="33" t="s">
        <v>5686</v>
      </c>
      <c r="J1784" s="143" t="s">
        <v>5687</v>
      </c>
      <c r="K1784" s="33" t="s">
        <v>169</v>
      </c>
      <c r="L1784" s="102" t="str">
        <f>VLOOKUP(Anexo_4[[#This Row],[cod_doc]],TIPODOC,2,FALSE)</f>
        <v>FACTURA</v>
      </c>
      <c r="M1784" s="33" t="s">
        <v>102</v>
      </c>
      <c r="N1784" s="32" t="s">
        <v>5688</v>
      </c>
      <c r="O1784" s="48">
        <v>160</v>
      </c>
      <c r="P1784" s="49"/>
      <c r="Q1784" s="81">
        <v>28.8</v>
      </c>
      <c r="R1784" s="80" t="s">
        <v>4341</v>
      </c>
      <c r="S1784" s="48" t="s">
        <v>4341</v>
      </c>
      <c r="T1784" s="72">
        <v>188.8</v>
      </c>
      <c r="U1784" s="70"/>
      <c r="V1784" s="32"/>
      <c r="W1784" s="70"/>
      <c r="X1784" s="70"/>
      <c r="Y1784" s="70"/>
      <c r="Z1784" s="70" t="s">
        <v>645</v>
      </c>
      <c r="AA1784" s="71"/>
      <c r="AB1784" s="53" t="str">
        <f>IFERROR(VLOOKUP(Anexo_4[[#This Row],[cuenta]],OP,2,0),"-")</f>
        <v>Montacarga - Servicios</v>
      </c>
    </row>
    <row r="1785" spans="1:28" ht="27" customHeight="1" x14ac:dyDescent="0.3">
      <c r="A1785" s="34" t="s">
        <v>5486</v>
      </c>
      <c r="B1785" s="36" t="str">
        <f t="shared" si="27"/>
        <v>Setiembre</v>
      </c>
      <c r="C1785" s="33" t="s">
        <v>162</v>
      </c>
      <c r="D1785" s="33" t="s">
        <v>5689</v>
      </c>
      <c r="E1785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785" s="32" t="s">
        <v>592</v>
      </c>
      <c r="G1785" s="32" t="s">
        <v>593</v>
      </c>
      <c r="H1785" s="139" t="s">
        <v>5690</v>
      </c>
      <c r="I1785" s="33" t="s">
        <v>5686</v>
      </c>
      <c r="J1785" s="143" t="s">
        <v>5687</v>
      </c>
      <c r="K1785" s="33" t="s">
        <v>169</v>
      </c>
      <c r="L1785" s="102" t="str">
        <f>VLOOKUP(Anexo_4[[#This Row],[cod_doc]],TIPODOC,2,FALSE)</f>
        <v>FACTURA</v>
      </c>
      <c r="M1785" s="33" t="s">
        <v>102</v>
      </c>
      <c r="N1785" s="32" t="s">
        <v>5691</v>
      </c>
      <c r="O1785" s="48">
        <v>200</v>
      </c>
      <c r="P1785" s="49"/>
      <c r="Q1785" s="81">
        <v>36</v>
      </c>
      <c r="R1785" s="80" t="s">
        <v>4341</v>
      </c>
      <c r="S1785" s="48" t="s">
        <v>4341</v>
      </c>
      <c r="T1785" s="72">
        <v>236</v>
      </c>
      <c r="U1785" s="70"/>
      <c r="V1785" s="32"/>
      <c r="W1785" s="70"/>
      <c r="X1785" s="70"/>
      <c r="Y1785" s="70"/>
      <c r="Z1785" s="70" t="s">
        <v>645</v>
      </c>
      <c r="AA1785" s="71"/>
      <c r="AB1785" s="53" t="str">
        <f>IFERROR(VLOOKUP(Anexo_4[[#This Row],[cuenta]],OP,2,0),"-")</f>
        <v>Montacarga - Servicios</v>
      </c>
    </row>
    <row r="1786" spans="1:28" ht="27" customHeight="1" x14ac:dyDescent="0.3">
      <c r="A1786" s="34" t="s">
        <v>5667</v>
      </c>
      <c r="B1786" s="36" t="str">
        <f t="shared" si="27"/>
        <v>Setiembre</v>
      </c>
      <c r="C1786" s="33" t="s">
        <v>162</v>
      </c>
      <c r="D1786" s="33" t="s">
        <v>5692</v>
      </c>
      <c r="E1786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786" s="32" t="s">
        <v>248</v>
      </c>
      <c r="G1786" s="32" t="s">
        <v>249</v>
      </c>
      <c r="H1786" s="139" t="s">
        <v>5693</v>
      </c>
      <c r="I1786" s="33" t="s">
        <v>536</v>
      </c>
      <c r="J1786" s="143" t="s">
        <v>4997</v>
      </c>
      <c r="K1786" s="33" t="s">
        <v>169</v>
      </c>
      <c r="L1786" s="102" t="str">
        <f>VLOOKUP(Anexo_4[[#This Row],[cod_doc]],TIPODOC,2,FALSE)</f>
        <v>FACTURA</v>
      </c>
      <c r="M1786" s="33" t="s">
        <v>538</v>
      </c>
      <c r="N1786" s="32" t="s">
        <v>5694</v>
      </c>
      <c r="O1786" s="48">
        <v>180.9</v>
      </c>
      <c r="P1786" s="49"/>
      <c r="Q1786" s="81">
        <v>32.56</v>
      </c>
      <c r="R1786" s="80" t="s">
        <v>4341</v>
      </c>
      <c r="S1786" s="48" t="s">
        <v>4341</v>
      </c>
      <c r="T1786" s="72">
        <v>213.46</v>
      </c>
      <c r="U1786" s="70" t="s">
        <v>5695</v>
      </c>
      <c r="V1786" s="32" t="s">
        <v>5238</v>
      </c>
      <c r="W1786" s="70"/>
      <c r="X1786" s="70"/>
      <c r="Y1786" s="70" t="s">
        <v>5696</v>
      </c>
      <c r="Z1786" s="70" t="s">
        <v>256</v>
      </c>
      <c r="AA1786" s="71"/>
      <c r="AB1786" s="53" t="str">
        <f>IFERROR(VLOOKUP(Anexo_4[[#This Row],[cuenta]],OP,2,0),"-")</f>
        <v>Materias Primas - RRSS</v>
      </c>
    </row>
    <row r="1787" spans="1:28" ht="27" customHeight="1" x14ac:dyDescent="0.3">
      <c r="A1787" s="34" t="s">
        <v>5667</v>
      </c>
      <c r="B1787" s="36" t="str">
        <f t="shared" si="27"/>
        <v>Setiembre</v>
      </c>
      <c r="C1787" s="33" t="s">
        <v>162</v>
      </c>
      <c r="D1787" s="33" t="s">
        <v>5697</v>
      </c>
      <c r="E1787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787" s="32" t="s">
        <v>248</v>
      </c>
      <c r="G1787" s="32" t="s">
        <v>249</v>
      </c>
      <c r="H1787" s="139" t="s">
        <v>5698</v>
      </c>
      <c r="I1787" s="33" t="s">
        <v>536</v>
      </c>
      <c r="J1787" s="143" t="s">
        <v>4997</v>
      </c>
      <c r="K1787" s="33" t="s">
        <v>169</v>
      </c>
      <c r="L1787" s="102" t="str">
        <f>VLOOKUP(Anexo_4[[#This Row],[cod_doc]],TIPODOC,2,FALSE)</f>
        <v>FACTURA</v>
      </c>
      <c r="M1787" s="33" t="s">
        <v>538</v>
      </c>
      <c r="N1787" s="32" t="s">
        <v>5699</v>
      </c>
      <c r="O1787" s="48">
        <v>261</v>
      </c>
      <c r="P1787" s="49"/>
      <c r="Q1787" s="81">
        <v>46.98</v>
      </c>
      <c r="R1787" s="80" t="s">
        <v>4341</v>
      </c>
      <c r="S1787" s="48" t="s">
        <v>4341</v>
      </c>
      <c r="T1787" s="72">
        <v>307.98</v>
      </c>
      <c r="U1787" s="70" t="s">
        <v>5700</v>
      </c>
      <c r="V1787" s="32" t="s">
        <v>5238</v>
      </c>
      <c r="W1787" s="70"/>
      <c r="X1787" s="70"/>
      <c r="Y1787" s="70" t="s">
        <v>5701</v>
      </c>
      <c r="Z1787" s="70" t="s">
        <v>256</v>
      </c>
      <c r="AA1787" s="71"/>
      <c r="AB1787" s="53" t="str">
        <f>IFERROR(VLOOKUP(Anexo_4[[#This Row],[cuenta]],OP,2,0),"-")</f>
        <v>Materias Primas - RRSS</v>
      </c>
    </row>
    <row r="1788" spans="1:28" ht="27" customHeight="1" x14ac:dyDescent="0.3">
      <c r="A1788" s="34" t="s">
        <v>5667</v>
      </c>
      <c r="B1788" s="36" t="str">
        <f t="shared" si="27"/>
        <v>Setiembre</v>
      </c>
      <c r="C1788" s="33" t="s">
        <v>162</v>
      </c>
      <c r="D1788" s="33" t="s">
        <v>5702</v>
      </c>
      <c r="E1788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788" s="32" t="s">
        <v>248</v>
      </c>
      <c r="G1788" s="32" t="s">
        <v>249</v>
      </c>
      <c r="H1788" s="139" t="s">
        <v>5703</v>
      </c>
      <c r="I1788" s="33" t="s">
        <v>536</v>
      </c>
      <c r="J1788" s="143" t="s">
        <v>4997</v>
      </c>
      <c r="K1788" s="33" t="s">
        <v>169</v>
      </c>
      <c r="L1788" s="102" t="str">
        <f>VLOOKUP(Anexo_4[[#This Row],[cod_doc]],TIPODOC,2,FALSE)</f>
        <v>FACTURA</v>
      </c>
      <c r="M1788" s="33" t="s">
        <v>538</v>
      </c>
      <c r="N1788" s="32" t="s">
        <v>5704</v>
      </c>
      <c r="O1788" s="48">
        <v>301</v>
      </c>
      <c r="P1788" s="49"/>
      <c r="Q1788" s="81">
        <v>54.18</v>
      </c>
      <c r="R1788" s="80" t="s">
        <v>4341</v>
      </c>
      <c r="S1788" s="48" t="s">
        <v>4341</v>
      </c>
      <c r="T1788" s="72">
        <v>355.18</v>
      </c>
      <c r="U1788" s="70" t="s">
        <v>5705</v>
      </c>
      <c r="V1788" s="32" t="s">
        <v>5238</v>
      </c>
      <c r="W1788" s="70"/>
      <c r="X1788" s="70"/>
      <c r="Y1788" s="70" t="s">
        <v>5706</v>
      </c>
      <c r="Z1788" s="70" t="s">
        <v>256</v>
      </c>
      <c r="AA1788" s="71"/>
      <c r="AB1788" s="53" t="str">
        <f>IFERROR(VLOOKUP(Anexo_4[[#This Row],[cuenta]],OP,2,0),"-")</f>
        <v>Materias Primas - RRSS</v>
      </c>
    </row>
    <row r="1789" spans="1:28" ht="27" customHeight="1" x14ac:dyDescent="0.3">
      <c r="A1789" s="34" t="s">
        <v>5667</v>
      </c>
      <c r="B1789" s="36" t="str">
        <f t="shared" si="27"/>
        <v>Setiembre</v>
      </c>
      <c r="C1789" s="33" t="s">
        <v>162</v>
      </c>
      <c r="D1789" s="33" t="s">
        <v>5707</v>
      </c>
      <c r="E1789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789" s="32" t="s">
        <v>248</v>
      </c>
      <c r="G1789" s="32" t="s">
        <v>249</v>
      </c>
      <c r="H1789" s="139" t="s">
        <v>5708</v>
      </c>
      <c r="I1789" s="33" t="s">
        <v>536</v>
      </c>
      <c r="J1789" s="143" t="s">
        <v>4997</v>
      </c>
      <c r="K1789" s="33" t="s">
        <v>169</v>
      </c>
      <c r="L1789" s="102" t="str">
        <f>VLOOKUP(Anexo_4[[#This Row],[cod_doc]],TIPODOC,2,FALSE)</f>
        <v>FACTURA</v>
      </c>
      <c r="M1789" s="33" t="s">
        <v>538</v>
      </c>
      <c r="N1789" s="32" t="s">
        <v>5709</v>
      </c>
      <c r="O1789" s="48">
        <v>3.6</v>
      </c>
      <c r="P1789" s="49"/>
      <c r="Q1789" s="81">
        <v>0.65</v>
      </c>
      <c r="R1789" s="80" t="s">
        <v>4341</v>
      </c>
      <c r="S1789" s="48" t="s">
        <v>4341</v>
      </c>
      <c r="T1789" s="72">
        <v>4.25</v>
      </c>
      <c r="U1789" s="70"/>
      <c r="V1789" s="32"/>
      <c r="W1789" s="70"/>
      <c r="X1789" s="70"/>
      <c r="Y1789" s="70" t="s">
        <v>5710</v>
      </c>
      <c r="Z1789" s="70" t="s">
        <v>256</v>
      </c>
      <c r="AA1789" s="71"/>
      <c r="AB1789" s="53" t="str">
        <f>IFERROR(VLOOKUP(Anexo_4[[#This Row],[cuenta]],OP,2,0),"-")</f>
        <v>Materias Primas - RRSS</v>
      </c>
    </row>
    <row r="1790" spans="1:28" ht="27" customHeight="1" x14ac:dyDescent="0.3">
      <c r="A1790" s="34" t="s">
        <v>5667</v>
      </c>
      <c r="B1790" s="36" t="str">
        <f t="shared" si="27"/>
        <v>Setiembre</v>
      </c>
      <c r="C1790" s="33" t="s">
        <v>162</v>
      </c>
      <c r="D1790" s="33" t="s">
        <v>5711</v>
      </c>
      <c r="E1790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790" s="32" t="s">
        <v>248</v>
      </c>
      <c r="G1790" s="32" t="s">
        <v>249</v>
      </c>
      <c r="H1790" s="139" t="s">
        <v>5712</v>
      </c>
      <c r="I1790" s="33" t="s">
        <v>536</v>
      </c>
      <c r="J1790" s="143" t="s">
        <v>4997</v>
      </c>
      <c r="K1790" s="33" t="s">
        <v>169</v>
      </c>
      <c r="L1790" s="102" t="str">
        <f>VLOOKUP(Anexo_4[[#This Row],[cod_doc]],TIPODOC,2,FALSE)</f>
        <v>FACTURA</v>
      </c>
      <c r="M1790" s="33" t="s">
        <v>538</v>
      </c>
      <c r="N1790" s="32" t="s">
        <v>5713</v>
      </c>
      <c r="O1790" s="48">
        <v>15</v>
      </c>
      <c r="P1790" s="49"/>
      <c r="Q1790" s="81">
        <v>2.7</v>
      </c>
      <c r="R1790" s="80" t="s">
        <v>4341</v>
      </c>
      <c r="S1790" s="48" t="s">
        <v>4341</v>
      </c>
      <c r="T1790" s="72">
        <v>17.7</v>
      </c>
      <c r="U1790" s="70" t="s">
        <v>5714</v>
      </c>
      <c r="V1790" s="32" t="s">
        <v>5238</v>
      </c>
      <c r="W1790" s="70"/>
      <c r="X1790" s="70"/>
      <c r="Y1790" s="70" t="s">
        <v>5715</v>
      </c>
      <c r="Z1790" s="70" t="s">
        <v>256</v>
      </c>
      <c r="AA1790" s="71"/>
      <c r="AB1790" s="53" t="str">
        <f>IFERROR(VLOOKUP(Anexo_4[[#This Row],[cuenta]],OP,2,0),"-")</f>
        <v>Materias Primas - RRSS</v>
      </c>
    </row>
    <row r="1791" spans="1:28" ht="27" customHeight="1" x14ac:dyDescent="0.3">
      <c r="A1791" s="34" t="s">
        <v>5667</v>
      </c>
      <c r="B1791" s="36" t="str">
        <f t="shared" si="27"/>
        <v>Setiembre</v>
      </c>
      <c r="C1791" s="33" t="s">
        <v>162</v>
      </c>
      <c r="D1791" s="33" t="s">
        <v>5716</v>
      </c>
      <c r="E1791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791" s="32" t="s">
        <v>248</v>
      </c>
      <c r="G1791" s="32" t="s">
        <v>249</v>
      </c>
      <c r="H1791" s="139" t="s">
        <v>5717</v>
      </c>
      <c r="I1791" s="33" t="s">
        <v>536</v>
      </c>
      <c r="J1791" s="143" t="s">
        <v>4997</v>
      </c>
      <c r="K1791" s="33" t="s">
        <v>169</v>
      </c>
      <c r="L1791" s="102" t="str">
        <f>VLOOKUP(Anexo_4[[#This Row],[cod_doc]],TIPODOC,2,FALSE)</f>
        <v>FACTURA</v>
      </c>
      <c r="M1791" s="33" t="s">
        <v>538</v>
      </c>
      <c r="N1791" s="32" t="s">
        <v>5718</v>
      </c>
      <c r="O1791" s="48">
        <v>468</v>
      </c>
      <c r="P1791" s="49"/>
      <c r="Q1791" s="81">
        <v>84.24</v>
      </c>
      <c r="R1791" s="80" t="s">
        <v>4341</v>
      </c>
      <c r="S1791" s="48" t="s">
        <v>4341</v>
      </c>
      <c r="T1791" s="72">
        <v>552.24</v>
      </c>
      <c r="U1791" s="70" t="s">
        <v>5719</v>
      </c>
      <c r="V1791" s="32" t="s">
        <v>5238</v>
      </c>
      <c r="W1791" s="70"/>
      <c r="X1791" s="70"/>
      <c r="Y1791" s="70" t="s">
        <v>5720</v>
      </c>
      <c r="Z1791" s="70" t="s">
        <v>256</v>
      </c>
      <c r="AA1791" s="71"/>
      <c r="AB1791" s="53" t="str">
        <f>IFERROR(VLOOKUP(Anexo_4[[#This Row],[cuenta]],OP,2,0),"-")</f>
        <v>Materias Primas - RRSS</v>
      </c>
    </row>
    <row r="1792" spans="1:28" ht="27" customHeight="1" x14ac:dyDescent="0.3">
      <c r="A1792" s="34" t="s">
        <v>5449</v>
      </c>
      <c r="B1792" s="36" t="str">
        <f t="shared" si="27"/>
        <v>Setiembre</v>
      </c>
      <c r="C1792" s="33" t="s">
        <v>162</v>
      </c>
      <c r="D1792" s="33" t="s">
        <v>5721</v>
      </c>
      <c r="E1792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792" s="32" t="s">
        <v>175</v>
      </c>
      <c r="G1792" s="32" t="s">
        <v>5168</v>
      </c>
      <c r="H1792" s="139" t="s">
        <v>765</v>
      </c>
      <c r="I1792" s="33" t="s">
        <v>452</v>
      </c>
      <c r="J1792" s="143" t="s">
        <v>4854</v>
      </c>
      <c r="K1792" s="33" t="s">
        <v>169</v>
      </c>
      <c r="L1792" s="102" t="str">
        <f>VLOOKUP(Anexo_4[[#This Row],[cod_doc]],TIPODOC,2,FALSE)</f>
        <v>FACTURA</v>
      </c>
      <c r="M1792" s="33" t="s">
        <v>454</v>
      </c>
      <c r="N1792" s="32" t="s">
        <v>5722</v>
      </c>
      <c r="O1792" s="48">
        <v>339.14</v>
      </c>
      <c r="P1792" s="49"/>
      <c r="Q1792" s="81">
        <v>61.05</v>
      </c>
      <c r="R1792" s="80" t="s">
        <v>4341</v>
      </c>
      <c r="S1792" s="48" t="s">
        <v>4341</v>
      </c>
      <c r="T1792" s="72">
        <v>400.19</v>
      </c>
      <c r="U1792" s="70"/>
      <c r="V1792" s="32"/>
      <c r="W1792" s="70"/>
      <c r="X1792" s="70"/>
      <c r="Y1792" s="70"/>
      <c r="Z1792" s="70" t="s">
        <v>455</v>
      </c>
      <c r="AA1792" s="71"/>
      <c r="AB1792" s="53" t="str">
        <f>IFERROR(VLOOKUP(Anexo_4[[#This Row],[cuenta]],OP,2,0),"-")</f>
        <v>Combustible (Vehiculos)</v>
      </c>
    </row>
    <row r="1793" spans="1:28" ht="27" customHeight="1" x14ac:dyDescent="0.3">
      <c r="A1793" s="34" t="s">
        <v>5449</v>
      </c>
      <c r="B1793" s="36" t="str">
        <f t="shared" si="27"/>
        <v>Setiembre</v>
      </c>
      <c r="C1793" s="33" t="s">
        <v>162</v>
      </c>
      <c r="D1793" s="33" t="s">
        <v>5721</v>
      </c>
      <c r="E1793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793" s="32" t="s">
        <v>391</v>
      </c>
      <c r="G1793" s="32" t="s">
        <v>5041</v>
      </c>
      <c r="H1793" s="139" t="s">
        <v>765</v>
      </c>
      <c r="I1793" s="33" t="s">
        <v>452</v>
      </c>
      <c r="J1793" s="143" t="s">
        <v>4854</v>
      </c>
      <c r="K1793" s="33" t="s">
        <v>169</v>
      </c>
      <c r="L1793" s="102" t="str">
        <f>VLOOKUP(Anexo_4[[#This Row],[cod_doc]],TIPODOC,2,FALSE)</f>
        <v>FACTURA</v>
      </c>
      <c r="M1793" s="33" t="s">
        <v>454</v>
      </c>
      <c r="N1793" s="32" t="s">
        <v>5722</v>
      </c>
      <c r="O1793" s="48">
        <v>213.27</v>
      </c>
      <c r="P1793" s="49"/>
      <c r="Q1793" s="81">
        <v>38.39</v>
      </c>
      <c r="R1793" s="80" t="s">
        <v>4341</v>
      </c>
      <c r="S1793" s="48" t="s">
        <v>4341</v>
      </c>
      <c r="T1793" s="72">
        <v>251.66000000000003</v>
      </c>
      <c r="U1793" s="70"/>
      <c r="V1793" s="32"/>
      <c r="W1793" s="70"/>
      <c r="X1793" s="70"/>
      <c r="Y1793" s="70"/>
      <c r="Z1793" s="70" t="s">
        <v>455</v>
      </c>
      <c r="AA1793" s="71"/>
      <c r="AB1793" s="53" t="str">
        <f>IFERROR(VLOOKUP(Anexo_4[[#This Row],[cuenta]],OP,2,0),"-")</f>
        <v>Combustible (Vehiculos)</v>
      </c>
    </row>
    <row r="1794" spans="1:28" ht="27" customHeight="1" x14ac:dyDescent="0.3">
      <c r="A1794" s="34" t="s">
        <v>5449</v>
      </c>
      <c r="B1794" s="36" t="str">
        <f t="shared" ref="B1794:B1840" si="28">PROPER(CHOOSE(LEFT(D1794,2),"enero","febrero","marzo","abril","mayo","junio","julio","agosto","setiembre","octubre","noviembre","diciembre"))</f>
        <v>Setiembre</v>
      </c>
      <c r="C1794" s="33" t="s">
        <v>162</v>
      </c>
      <c r="D1794" s="33" t="s">
        <v>5723</v>
      </c>
      <c r="E1794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794" s="32" t="s">
        <v>449</v>
      </c>
      <c r="G1794" s="32" t="s">
        <v>4868</v>
      </c>
      <c r="H1794" s="139" t="s">
        <v>765</v>
      </c>
      <c r="I1794" s="33" t="s">
        <v>452</v>
      </c>
      <c r="J1794" s="143" t="s">
        <v>4854</v>
      </c>
      <c r="K1794" s="33" t="s">
        <v>169</v>
      </c>
      <c r="L1794" s="102" t="str">
        <f>VLOOKUP(Anexo_4[[#This Row],[cod_doc]],TIPODOC,2,FALSE)</f>
        <v>FACTURA</v>
      </c>
      <c r="M1794" s="33" t="s">
        <v>461</v>
      </c>
      <c r="N1794" s="32" t="s">
        <v>5724</v>
      </c>
      <c r="O1794" s="48">
        <v>299.37</v>
      </c>
      <c r="P1794" s="49"/>
      <c r="Q1794" s="81">
        <v>53.89</v>
      </c>
      <c r="R1794" s="80" t="s">
        <v>4341</v>
      </c>
      <c r="S1794" s="48" t="s">
        <v>4341</v>
      </c>
      <c r="T1794" s="72">
        <v>353.26</v>
      </c>
      <c r="U1794" s="70"/>
      <c r="V1794" s="32"/>
      <c r="W1794" s="70"/>
      <c r="X1794" s="70"/>
      <c r="Y1794" s="70"/>
      <c r="Z1794" s="70" t="s">
        <v>455</v>
      </c>
      <c r="AA1794" s="71"/>
      <c r="AB1794" s="53" t="str">
        <f>IFERROR(VLOOKUP(Anexo_4[[#This Row],[cuenta]],OP,2,0),"-")</f>
        <v>Combustible (Vehiculos)</v>
      </c>
    </row>
    <row r="1795" spans="1:28" ht="27" customHeight="1" x14ac:dyDescent="0.3">
      <c r="A1795" s="34" t="s">
        <v>5449</v>
      </c>
      <c r="B1795" s="36" t="str">
        <f t="shared" si="28"/>
        <v>Setiembre</v>
      </c>
      <c r="C1795" s="33" t="s">
        <v>162</v>
      </c>
      <c r="D1795" s="33" t="s">
        <v>5723</v>
      </c>
      <c r="E1795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795" s="32" t="s">
        <v>456</v>
      </c>
      <c r="G1795" s="32" t="s">
        <v>4911</v>
      </c>
      <c r="H1795" s="139" t="s">
        <v>765</v>
      </c>
      <c r="I1795" s="33" t="s">
        <v>452</v>
      </c>
      <c r="J1795" s="143" t="s">
        <v>4854</v>
      </c>
      <c r="K1795" s="33" t="s">
        <v>169</v>
      </c>
      <c r="L1795" s="102" t="str">
        <f>VLOOKUP(Anexo_4[[#This Row],[cod_doc]],TIPODOC,2,FALSE)</f>
        <v>FACTURA</v>
      </c>
      <c r="M1795" s="33" t="s">
        <v>461</v>
      </c>
      <c r="N1795" s="32" t="s">
        <v>5724</v>
      </c>
      <c r="O1795" s="48">
        <v>445.64</v>
      </c>
      <c r="P1795" s="49"/>
      <c r="Q1795" s="81">
        <v>80.22</v>
      </c>
      <c r="R1795" s="80" t="s">
        <v>4341</v>
      </c>
      <c r="S1795" s="48" t="s">
        <v>4341</v>
      </c>
      <c r="T1795" s="72">
        <v>525.86</v>
      </c>
      <c r="U1795" s="70"/>
      <c r="V1795" s="32"/>
      <c r="W1795" s="70"/>
      <c r="X1795" s="70"/>
      <c r="Y1795" s="70"/>
      <c r="Z1795" s="70" t="s">
        <v>455</v>
      </c>
      <c r="AA1795" s="71"/>
      <c r="AB1795" s="53" t="str">
        <f>IFERROR(VLOOKUP(Anexo_4[[#This Row],[cuenta]],OP,2,0),"-")</f>
        <v>Combustible (Vehiculos)</v>
      </c>
    </row>
    <row r="1796" spans="1:28" ht="27" customHeight="1" x14ac:dyDescent="0.3">
      <c r="A1796" s="34" t="s">
        <v>5449</v>
      </c>
      <c r="B1796" s="36" t="str">
        <f t="shared" si="28"/>
        <v>Setiembre</v>
      </c>
      <c r="C1796" s="33" t="s">
        <v>162</v>
      </c>
      <c r="D1796" s="33" t="s">
        <v>5723</v>
      </c>
      <c r="E1796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796" s="32" t="s">
        <v>235</v>
      </c>
      <c r="G1796" s="32" t="s">
        <v>5051</v>
      </c>
      <c r="H1796" s="139" t="s">
        <v>765</v>
      </c>
      <c r="I1796" s="33" t="s">
        <v>452</v>
      </c>
      <c r="J1796" s="143" t="s">
        <v>4854</v>
      </c>
      <c r="K1796" s="33" t="s">
        <v>169</v>
      </c>
      <c r="L1796" s="102" t="str">
        <f>VLOOKUP(Anexo_4[[#This Row],[cod_doc]],TIPODOC,2,FALSE)</f>
        <v>FACTURA</v>
      </c>
      <c r="M1796" s="33" t="s">
        <v>461</v>
      </c>
      <c r="N1796" s="32" t="s">
        <v>5724</v>
      </c>
      <c r="O1796" s="48">
        <v>360.04</v>
      </c>
      <c r="P1796" s="49"/>
      <c r="Q1796" s="81">
        <v>64.81</v>
      </c>
      <c r="R1796" s="80" t="s">
        <v>4341</v>
      </c>
      <c r="S1796" s="48" t="s">
        <v>4341</v>
      </c>
      <c r="T1796" s="72">
        <v>424.85</v>
      </c>
      <c r="U1796" s="70"/>
      <c r="V1796" s="32"/>
      <c r="W1796" s="70"/>
      <c r="X1796" s="70"/>
      <c r="Y1796" s="70"/>
      <c r="Z1796" s="70" t="s">
        <v>455</v>
      </c>
      <c r="AA1796" s="71"/>
      <c r="AB1796" s="53" t="str">
        <f>IFERROR(VLOOKUP(Anexo_4[[#This Row],[cuenta]],OP,2,0),"-")</f>
        <v>Combustible (Vehiculos)</v>
      </c>
    </row>
    <row r="1797" spans="1:28" ht="27" customHeight="1" x14ac:dyDescent="0.3">
      <c r="A1797" s="34" t="s">
        <v>5449</v>
      </c>
      <c r="B1797" s="36" t="str">
        <f t="shared" si="28"/>
        <v>Setiembre</v>
      </c>
      <c r="C1797" s="33" t="s">
        <v>162</v>
      </c>
      <c r="D1797" s="33" t="s">
        <v>5723</v>
      </c>
      <c r="E1797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797" s="32" t="s">
        <v>458</v>
      </c>
      <c r="G1797" s="32" t="s">
        <v>5366</v>
      </c>
      <c r="H1797" s="139" t="s">
        <v>765</v>
      </c>
      <c r="I1797" s="33" t="s">
        <v>452</v>
      </c>
      <c r="J1797" s="143" t="s">
        <v>4854</v>
      </c>
      <c r="K1797" s="33" t="s">
        <v>169</v>
      </c>
      <c r="L1797" s="102" t="str">
        <f>VLOOKUP(Anexo_4[[#This Row],[cod_doc]],TIPODOC,2,FALSE)</f>
        <v>FACTURA</v>
      </c>
      <c r="M1797" s="33" t="s">
        <v>461</v>
      </c>
      <c r="N1797" s="32" t="s">
        <v>5724</v>
      </c>
      <c r="O1797" s="48">
        <v>35.81</v>
      </c>
      <c r="P1797" s="49"/>
      <c r="Q1797" s="81">
        <v>6.45</v>
      </c>
      <c r="R1797" s="80" t="s">
        <v>4341</v>
      </c>
      <c r="S1797" s="48" t="s">
        <v>4341</v>
      </c>
      <c r="T1797" s="72">
        <v>42.260000000000005</v>
      </c>
      <c r="U1797" s="70"/>
      <c r="V1797" s="32"/>
      <c r="W1797" s="70"/>
      <c r="X1797" s="70"/>
      <c r="Y1797" s="70"/>
      <c r="Z1797" s="70" t="s">
        <v>455</v>
      </c>
      <c r="AA1797" s="71"/>
      <c r="AB1797" s="53" t="str">
        <f>IFERROR(VLOOKUP(Anexo_4[[#This Row],[cuenta]],OP,2,0),"-")</f>
        <v>Combustible (Vehiculos)</v>
      </c>
    </row>
    <row r="1798" spans="1:28" ht="27" customHeight="1" x14ac:dyDescent="0.3">
      <c r="A1798" s="34" t="s">
        <v>4994</v>
      </c>
      <c r="B1798" s="36" t="str">
        <f t="shared" si="28"/>
        <v>Setiembre</v>
      </c>
      <c r="C1798" s="33" t="s">
        <v>162</v>
      </c>
      <c r="D1798" s="33" t="s">
        <v>5725</v>
      </c>
      <c r="E1798" s="37" t="str">
        <f>IF(LEFT(Anexo_4[[#This Row],[c_costos]],2)="91","OPERACIONES",IF(LEFT(Anexo_4[[#This Row],[c_costos]],2)="97","G. FINANCIEROS",IF(LEFT(Anexo_4[[#This Row],[c_costos]],2)="95","G. VENTAS","G. ADMINISTRACIÓN")))</f>
        <v>G. FINANCIEROS</v>
      </c>
      <c r="F1798" s="32" t="s">
        <v>474</v>
      </c>
      <c r="G1798" s="32" t="s">
        <v>475</v>
      </c>
      <c r="H1798" s="139" t="s">
        <v>5382</v>
      </c>
      <c r="I1798" s="33" t="s">
        <v>477</v>
      </c>
      <c r="J1798" s="143" t="s">
        <v>4623</v>
      </c>
      <c r="K1798" s="33" t="s">
        <v>169</v>
      </c>
      <c r="L1798" s="102" t="str">
        <f>VLOOKUP(Anexo_4[[#This Row],[cod_doc]],TIPODOC,2,FALSE)</f>
        <v>FACTURA</v>
      </c>
      <c r="M1798" s="33" t="s">
        <v>479</v>
      </c>
      <c r="N1798" s="32" t="s">
        <v>5726</v>
      </c>
      <c r="O1798" s="48" t="s">
        <v>4341</v>
      </c>
      <c r="P1798" s="49"/>
      <c r="Q1798" s="81" t="s">
        <v>4341</v>
      </c>
      <c r="R1798" s="80" t="s">
        <v>4341</v>
      </c>
      <c r="S1798" s="48">
        <v>10</v>
      </c>
      <c r="T1798" s="72">
        <v>10</v>
      </c>
      <c r="U1798" s="70"/>
      <c r="V1798" s="32"/>
      <c r="W1798" s="70"/>
      <c r="X1798" s="70"/>
      <c r="Y1798" s="70"/>
      <c r="Z1798" s="70" t="s">
        <v>480</v>
      </c>
      <c r="AA1798" s="71"/>
      <c r="AB1798" s="53" t="str">
        <f>IFERROR(VLOOKUP(Anexo_4[[#This Row],[cuenta]],OP,2,0),"-")</f>
        <v>-</v>
      </c>
    </row>
    <row r="1799" spans="1:28" ht="27" customHeight="1" x14ac:dyDescent="0.3">
      <c r="A1799" s="34" t="s">
        <v>5449</v>
      </c>
      <c r="B1799" s="36" t="str">
        <f t="shared" si="28"/>
        <v>Setiembre</v>
      </c>
      <c r="C1799" s="33" t="s">
        <v>162</v>
      </c>
      <c r="D1799" s="33" t="s">
        <v>5727</v>
      </c>
      <c r="E1799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799" s="32" t="s">
        <v>355</v>
      </c>
      <c r="G1799" s="32" t="s">
        <v>356</v>
      </c>
      <c r="H1799" s="139" t="s">
        <v>5728</v>
      </c>
      <c r="I1799" s="33" t="s">
        <v>991</v>
      </c>
      <c r="J1799" s="143" t="s">
        <v>5729</v>
      </c>
      <c r="K1799" s="33" t="s">
        <v>169</v>
      </c>
      <c r="L1799" s="102" t="str">
        <f>VLOOKUP(Anexo_4[[#This Row],[cod_doc]],TIPODOC,2,FALSE)</f>
        <v>FACTURA</v>
      </c>
      <c r="M1799" s="33" t="s">
        <v>222</v>
      </c>
      <c r="N1799" s="32" t="s">
        <v>5730</v>
      </c>
      <c r="O1799" s="48">
        <v>19.920000000000002</v>
      </c>
      <c r="P1799" s="49"/>
      <c r="Q1799" s="81">
        <v>3.58</v>
      </c>
      <c r="R1799" s="80" t="s">
        <v>4341</v>
      </c>
      <c r="S1799" s="48" t="s">
        <v>4341</v>
      </c>
      <c r="T1799" s="72">
        <v>23.5</v>
      </c>
      <c r="U1799" s="70"/>
      <c r="V1799" s="32"/>
      <c r="W1799" s="70"/>
      <c r="X1799" s="70"/>
      <c r="Y1799" s="70"/>
      <c r="Z1799" s="70" t="s">
        <v>2320</v>
      </c>
      <c r="AA1799" s="71"/>
      <c r="AB1799" s="53" t="str">
        <f>IFERROR(VLOOKUP(Anexo_4[[#This Row],[cuenta]],OP,2,0),"-")</f>
        <v>Otros Gastos de Gestion</v>
      </c>
    </row>
    <row r="1800" spans="1:28" ht="27" customHeight="1" x14ac:dyDescent="0.3">
      <c r="A1800" s="34" t="s">
        <v>5080</v>
      </c>
      <c r="B1800" s="36" t="str">
        <f t="shared" si="28"/>
        <v>Setiembre</v>
      </c>
      <c r="C1800" s="33" t="s">
        <v>162</v>
      </c>
      <c r="D1800" s="33" t="s">
        <v>5731</v>
      </c>
      <c r="E1800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800" s="32" t="s">
        <v>355</v>
      </c>
      <c r="G1800" s="32" t="s">
        <v>356</v>
      </c>
      <c r="H1800" s="139" t="s">
        <v>5732</v>
      </c>
      <c r="I1800" s="33" t="s">
        <v>991</v>
      </c>
      <c r="J1800" s="143" t="s">
        <v>5729</v>
      </c>
      <c r="K1800" s="33" t="s">
        <v>169</v>
      </c>
      <c r="L1800" s="102" t="str">
        <f>VLOOKUP(Anexo_4[[#This Row],[cod_doc]],TIPODOC,2,FALSE)</f>
        <v>FACTURA</v>
      </c>
      <c r="M1800" s="33" t="s">
        <v>222</v>
      </c>
      <c r="N1800" s="32" t="s">
        <v>5733</v>
      </c>
      <c r="O1800" s="48">
        <v>21.19</v>
      </c>
      <c r="P1800" s="49"/>
      <c r="Q1800" s="81">
        <v>3.81</v>
      </c>
      <c r="R1800" s="80" t="s">
        <v>4341</v>
      </c>
      <c r="S1800" s="48" t="s">
        <v>4341</v>
      </c>
      <c r="T1800" s="72">
        <v>25</v>
      </c>
      <c r="U1800" s="70"/>
      <c r="V1800" s="32"/>
      <c r="W1800" s="70"/>
      <c r="X1800" s="70"/>
      <c r="Y1800" s="70"/>
      <c r="Z1800" s="70" t="s">
        <v>2320</v>
      </c>
      <c r="AA1800" s="71"/>
      <c r="AB1800" s="53" t="str">
        <f>IFERROR(VLOOKUP(Anexo_4[[#This Row],[cuenta]],OP,2,0),"-")</f>
        <v>Otros Gastos de Gestion</v>
      </c>
    </row>
    <row r="1801" spans="1:28" ht="27" customHeight="1" x14ac:dyDescent="0.3">
      <c r="A1801" s="34" t="s">
        <v>5078</v>
      </c>
      <c r="B1801" s="36" t="str">
        <f t="shared" si="28"/>
        <v>Setiembre</v>
      </c>
      <c r="C1801" s="33" t="s">
        <v>162</v>
      </c>
      <c r="D1801" s="33" t="s">
        <v>5734</v>
      </c>
      <c r="E1801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801" s="32" t="s">
        <v>592</v>
      </c>
      <c r="G1801" s="32" t="s">
        <v>593</v>
      </c>
      <c r="H1801" s="139" t="s">
        <v>5735</v>
      </c>
      <c r="I1801" s="33" t="s">
        <v>937</v>
      </c>
      <c r="J1801" s="143" t="s">
        <v>4671</v>
      </c>
      <c r="K1801" s="33" t="s">
        <v>169</v>
      </c>
      <c r="L1801" s="102" t="str">
        <f>VLOOKUP(Anexo_4[[#This Row],[cod_doc]],TIPODOC,2,FALSE)</f>
        <v>FACTURA</v>
      </c>
      <c r="M1801" s="33" t="s">
        <v>942</v>
      </c>
      <c r="N1801" s="32" t="s">
        <v>5736</v>
      </c>
      <c r="O1801" s="48">
        <v>179.15</v>
      </c>
      <c r="P1801" s="49"/>
      <c r="Q1801" s="81">
        <v>32.25</v>
      </c>
      <c r="R1801" s="80" t="s">
        <v>4341</v>
      </c>
      <c r="S1801" s="48" t="s">
        <v>4341</v>
      </c>
      <c r="T1801" s="72">
        <v>211.4</v>
      </c>
      <c r="U1801" s="70"/>
      <c r="V1801" s="32"/>
      <c r="W1801" s="70"/>
      <c r="X1801" s="70"/>
      <c r="Y1801" s="70"/>
      <c r="Z1801" s="70" t="s">
        <v>455</v>
      </c>
      <c r="AA1801" s="71"/>
      <c r="AB1801" s="53" t="str">
        <f>IFERROR(VLOOKUP(Anexo_4[[#This Row],[cuenta]],OP,2,0),"-")</f>
        <v>Combustible (Vehiculos)</v>
      </c>
    </row>
    <row r="1802" spans="1:28" ht="27" customHeight="1" x14ac:dyDescent="0.3">
      <c r="A1802" s="34" t="s">
        <v>5078</v>
      </c>
      <c r="B1802" s="36" t="str">
        <f t="shared" si="28"/>
        <v>Setiembre</v>
      </c>
      <c r="C1802" s="33" t="s">
        <v>162</v>
      </c>
      <c r="D1802" s="33" t="s">
        <v>5737</v>
      </c>
      <c r="E1802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802" s="32" t="s">
        <v>592</v>
      </c>
      <c r="G1802" s="32" t="s">
        <v>593</v>
      </c>
      <c r="H1802" s="139" t="s">
        <v>5735</v>
      </c>
      <c r="I1802" s="33" t="s">
        <v>937</v>
      </c>
      <c r="J1802" s="143" t="s">
        <v>4671</v>
      </c>
      <c r="K1802" s="33" t="s">
        <v>169</v>
      </c>
      <c r="L1802" s="102" t="str">
        <f>VLOOKUP(Anexo_4[[#This Row],[cod_doc]],TIPODOC,2,FALSE)</f>
        <v>FACTURA</v>
      </c>
      <c r="M1802" s="33" t="s">
        <v>5738</v>
      </c>
      <c r="N1802" s="32" t="s">
        <v>5739</v>
      </c>
      <c r="O1802" s="48">
        <v>186.49</v>
      </c>
      <c r="P1802" s="49"/>
      <c r="Q1802" s="81">
        <v>33.57</v>
      </c>
      <c r="R1802" s="80" t="s">
        <v>4341</v>
      </c>
      <c r="S1802" s="48" t="s">
        <v>4341</v>
      </c>
      <c r="T1802" s="72">
        <v>220.06</v>
      </c>
      <c r="U1802" s="70"/>
      <c r="V1802" s="32"/>
      <c r="W1802" s="70"/>
      <c r="X1802" s="70"/>
      <c r="Y1802" s="70"/>
      <c r="Z1802" s="70" t="s">
        <v>455</v>
      </c>
      <c r="AA1802" s="71"/>
      <c r="AB1802" s="53" t="str">
        <f>IFERROR(VLOOKUP(Anexo_4[[#This Row],[cuenta]],OP,2,0),"-")</f>
        <v>Combustible (Vehiculos)</v>
      </c>
    </row>
    <row r="1803" spans="1:28" ht="27" customHeight="1" x14ac:dyDescent="0.3">
      <c r="A1803" s="34" t="s">
        <v>5486</v>
      </c>
      <c r="B1803" s="36" t="str">
        <f t="shared" si="28"/>
        <v>Setiembre</v>
      </c>
      <c r="C1803" s="33" t="s">
        <v>162</v>
      </c>
      <c r="D1803" s="33" t="s">
        <v>5740</v>
      </c>
      <c r="E1803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803" s="32" t="s">
        <v>418</v>
      </c>
      <c r="G1803" s="32" t="s">
        <v>419</v>
      </c>
      <c r="H1803" s="139" t="s">
        <v>5741</v>
      </c>
      <c r="I1803" s="33" t="s">
        <v>3141</v>
      </c>
      <c r="J1803" s="143" t="s">
        <v>5616</v>
      </c>
      <c r="K1803" s="33" t="s">
        <v>169</v>
      </c>
      <c r="L1803" s="102" t="str">
        <f>VLOOKUP(Anexo_4[[#This Row],[cod_doc]],TIPODOC,2,FALSE)</f>
        <v>FACTURA</v>
      </c>
      <c r="M1803" s="33" t="s">
        <v>180</v>
      </c>
      <c r="N1803" s="32" t="s">
        <v>5742</v>
      </c>
      <c r="O1803" s="48">
        <v>8.4700000000000006</v>
      </c>
      <c r="P1803" s="49"/>
      <c r="Q1803" s="81">
        <v>1.53</v>
      </c>
      <c r="R1803" s="80" t="s">
        <v>4341</v>
      </c>
      <c r="S1803" s="48" t="s">
        <v>4341</v>
      </c>
      <c r="T1803" s="72">
        <v>10</v>
      </c>
      <c r="U1803" s="70"/>
      <c r="V1803" s="32"/>
      <c r="W1803" s="70"/>
      <c r="X1803" s="70"/>
      <c r="Y1803" s="70" t="s">
        <v>5743</v>
      </c>
      <c r="Z1803" s="70" t="s">
        <v>386</v>
      </c>
      <c r="AA1803" s="71"/>
      <c r="AB1803" s="53" t="str">
        <f>IFERROR(VLOOKUP(Anexo_4[[#This Row],[cuenta]],OP,2,0),"-")</f>
        <v>Balanza - Servicios</v>
      </c>
    </row>
    <row r="1804" spans="1:28" ht="27" customHeight="1" x14ac:dyDescent="0.3">
      <c r="A1804" s="34" t="s">
        <v>5486</v>
      </c>
      <c r="B1804" s="36" t="str">
        <f t="shared" si="28"/>
        <v>Setiembre</v>
      </c>
      <c r="C1804" s="33" t="s">
        <v>162</v>
      </c>
      <c r="D1804" s="33" t="s">
        <v>5744</v>
      </c>
      <c r="E1804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804" s="32" t="s">
        <v>1028</v>
      </c>
      <c r="G1804" s="32" t="s">
        <v>1029</v>
      </c>
      <c r="H1804" s="139" t="s">
        <v>5745</v>
      </c>
      <c r="I1804" s="33" t="s">
        <v>2429</v>
      </c>
      <c r="J1804" s="143" t="s">
        <v>5038</v>
      </c>
      <c r="K1804" s="33" t="s">
        <v>239</v>
      </c>
      <c r="L1804" s="102" t="str">
        <f>VLOOKUP(Anexo_4[[#This Row],[cod_doc]],TIPODOC,2,FALSE)</f>
        <v>BOLETA DE VENTA</v>
      </c>
      <c r="M1804" s="33" t="s">
        <v>162</v>
      </c>
      <c r="N1804" s="32" t="s">
        <v>5746</v>
      </c>
      <c r="O1804" s="48" t="s">
        <v>4341</v>
      </c>
      <c r="P1804" s="49"/>
      <c r="Q1804" s="81" t="s">
        <v>4341</v>
      </c>
      <c r="R1804" s="80" t="s">
        <v>4341</v>
      </c>
      <c r="S1804" s="48">
        <v>11</v>
      </c>
      <c r="T1804" s="72">
        <v>11</v>
      </c>
      <c r="U1804" s="70"/>
      <c r="V1804" s="32"/>
      <c r="W1804" s="70"/>
      <c r="X1804" s="70"/>
      <c r="Y1804" s="70"/>
      <c r="Z1804" s="70" t="s">
        <v>2320</v>
      </c>
      <c r="AA1804" s="71"/>
      <c r="AB1804" s="53" t="str">
        <f>IFERROR(VLOOKUP(Anexo_4[[#This Row],[cuenta]],OP,2,0),"-")</f>
        <v>Otros Gastos de Gestion</v>
      </c>
    </row>
    <row r="1805" spans="1:28" ht="27" customHeight="1" x14ac:dyDescent="0.3">
      <c r="A1805" s="34" t="s">
        <v>5449</v>
      </c>
      <c r="B1805" s="36" t="str">
        <f t="shared" si="28"/>
        <v>Setiembre</v>
      </c>
      <c r="C1805" s="33" t="s">
        <v>162</v>
      </c>
      <c r="D1805" s="33" t="s">
        <v>5747</v>
      </c>
      <c r="E1805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805" s="32" t="s">
        <v>442</v>
      </c>
      <c r="G1805" s="32" t="s">
        <v>443</v>
      </c>
      <c r="H1805" s="139" t="s">
        <v>5748</v>
      </c>
      <c r="I1805" s="33" t="s">
        <v>5749</v>
      </c>
      <c r="J1805" s="143" t="s">
        <v>5750</v>
      </c>
      <c r="K1805" s="33" t="s">
        <v>239</v>
      </c>
      <c r="L1805" s="102" t="str">
        <f>VLOOKUP(Anexo_4[[#This Row],[cod_doc]],TIPODOC,2,FALSE)</f>
        <v>BOLETA DE VENTA</v>
      </c>
      <c r="M1805" s="33" t="s">
        <v>162</v>
      </c>
      <c r="N1805" s="32" t="s">
        <v>5751</v>
      </c>
      <c r="O1805" s="48" t="s">
        <v>4341</v>
      </c>
      <c r="P1805" s="49"/>
      <c r="Q1805" s="81" t="s">
        <v>4341</v>
      </c>
      <c r="R1805" s="80" t="s">
        <v>4341</v>
      </c>
      <c r="S1805" s="48">
        <v>15</v>
      </c>
      <c r="T1805" s="72">
        <v>15</v>
      </c>
      <c r="U1805" s="70"/>
      <c r="V1805" s="32"/>
      <c r="W1805" s="70"/>
      <c r="X1805" s="70"/>
      <c r="Y1805" s="70"/>
      <c r="Z1805" s="70" t="s">
        <v>2320</v>
      </c>
      <c r="AA1805" s="71"/>
      <c r="AB1805" s="53" t="str">
        <f>IFERROR(VLOOKUP(Anexo_4[[#This Row],[cuenta]],OP,2,0),"-")</f>
        <v>Otros Gastos de Gestion</v>
      </c>
    </row>
    <row r="1806" spans="1:28" ht="27" customHeight="1" x14ac:dyDescent="0.3">
      <c r="A1806" s="34" t="s">
        <v>5667</v>
      </c>
      <c r="B1806" s="36" t="str">
        <f t="shared" si="28"/>
        <v>Setiembre</v>
      </c>
      <c r="C1806" s="33" t="s">
        <v>162</v>
      </c>
      <c r="D1806" s="33" t="s">
        <v>5752</v>
      </c>
      <c r="E1806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806" s="32"/>
      <c r="G1806" s="32"/>
      <c r="H1806" s="139" t="s">
        <v>5753</v>
      </c>
      <c r="I1806" s="33" t="s">
        <v>231</v>
      </c>
      <c r="J1806" s="143" t="s">
        <v>5125</v>
      </c>
      <c r="K1806" s="33" t="s">
        <v>169</v>
      </c>
      <c r="L1806" s="102" t="str">
        <f>VLOOKUP(Anexo_4[[#This Row],[cod_doc]],TIPODOC,2,FALSE)</f>
        <v>FACTURA</v>
      </c>
      <c r="M1806" s="33" t="s">
        <v>102</v>
      </c>
      <c r="N1806" s="32" t="s">
        <v>5754</v>
      </c>
      <c r="O1806" s="48">
        <v>3754.24</v>
      </c>
      <c r="P1806" s="49"/>
      <c r="Q1806" s="81">
        <v>675.76</v>
      </c>
      <c r="R1806" s="80" t="s">
        <v>4341</v>
      </c>
      <c r="S1806" s="48" t="s">
        <v>4341</v>
      </c>
      <c r="T1806" s="72">
        <v>4430</v>
      </c>
      <c r="U1806" s="70"/>
      <c r="V1806" s="32"/>
      <c r="W1806" s="70"/>
      <c r="X1806" s="70"/>
      <c r="Y1806" s="70"/>
      <c r="Z1806" s="70"/>
      <c r="AA1806" s="71"/>
      <c r="AB1806" s="53" t="str">
        <f>IFERROR(VLOOKUP(Anexo_4[[#This Row],[cuenta]],OP,2,0),"-")</f>
        <v>-</v>
      </c>
    </row>
    <row r="1807" spans="1:28" ht="27" customHeight="1" x14ac:dyDescent="0.3">
      <c r="A1807" s="34" t="s">
        <v>5449</v>
      </c>
      <c r="B1807" s="36" t="str">
        <f t="shared" si="28"/>
        <v>Setiembre</v>
      </c>
      <c r="C1807" s="33" t="s">
        <v>162</v>
      </c>
      <c r="D1807" s="33" t="s">
        <v>5755</v>
      </c>
      <c r="E1807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807" s="32" t="s">
        <v>442</v>
      </c>
      <c r="G1807" s="32" t="s">
        <v>443</v>
      </c>
      <c r="H1807" s="139" t="s">
        <v>5756</v>
      </c>
      <c r="I1807" s="33" t="s">
        <v>2195</v>
      </c>
      <c r="J1807" s="143" t="s">
        <v>5757</v>
      </c>
      <c r="K1807" s="33" t="s">
        <v>169</v>
      </c>
      <c r="L1807" s="102" t="str">
        <f>VLOOKUP(Anexo_4[[#This Row],[cod_doc]],TIPODOC,2,FALSE)</f>
        <v>FACTURA</v>
      </c>
      <c r="M1807" s="33" t="s">
        <v>102</v>
      </c>
      <c r="N1807" s="32" t="s">
        <v>5758</v>
      </c>
      <c r="O1807" s="48">
        <v>6540.33</v>
      </c>
      <c r="P1807" s="49"/>
      <c r="Q1807" s="81">
        <v>1177.26</v>
      </c>
      <c r="R1807" s="80" t="s">
        <v>4341</v>
      </c>
      <c r="S1807" s="48" t="s">
        <v>4341</v>
      </c>
      <c r="T1807" s="72">
        <v>7717.59</v>
      </c>
      <c r="U1807" s="70"/>
      <c r="V1807" s="32"/>
      <c r="W1807" s="70"/>
      <c r="X1807" s="70"/>
      <c r="Y1807" s="70"/>
      <c r="Z1807" s="70" t="s">
        <v>846</v>
      </c>
      <c r="AA1807" s="71"/>
      <c r="AB1807" s="53" t="str">
        <f>IFERROR(VLOOKUP(Anexo_4[[#This Row],[cuenta]],OP,2,0),"-")</f>
        <v>-</v>
      </c>
    </row>
    <row r="1808" spans="1:28" ht="27" customHeight="1" x14ac:dyDescent="0.3">
      <c r="A1808" s="34" t="s">
        <v>5486</v>
      </c>
      <c r="B1808" s="36" t="str">
        <f t="shared" si="28"/>
        <v>Setiembre</v>
      </c>
      <c r="C1808" s="33" t="s">
        <v>162</v>
      </c>
      <c r="D1808" s="33" t="s">
        <v>5759</v>
      </c>
      <c r="E1808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808" s="32" t="s">
        <v>456</v>
      </c>
      <c r="G1808" s="32" t="s">
        <v>4911</v>
      </c>
      <c r="H1808" s="139" t="s">
        <v>1276</v>
      </c>
      <c r="I1808" s="33" t="s">
        <v>264</v>
      </c>
      <c r="J1808" s="143" t="s">
        <v>4644</v>
      </c>
      <c r="K1808" s="33" t="s">
        <v>169</v>
      </c>
      <c r="L1808" s="102" t="str">
        <f>VLOOKUP(Anexo_4[[#This Row],[cod_doc]],TIPODOC,2,FALSE)</f>
        <v>FACTURA</v>
      </c>
      <c r="M1808" s="33" t="s">
        <v>352</v>
      </c>
      <c r="N1808" s="32" t="s">
        <v>5760</v>
      </c>
      <c r="O1808" s="48">
        <v>4.24</v>
      </c>
      <c r="P1808" s="49"/>
      <c r="Q1808" s="81">
        <v>0.76</v>
      </c>
      <c r="R1808" s="80" t="s">
        <v>4341</v>
      </c>
      <c r="S1808" s="48" t="s">
        <v>4341</v>
      </c>
      <c r="T1808" s="72">
        <v>5</v>
      </c>
      <c r="U1808" s="70"/>
      <c r="V1808" s="32"/>
      <c r="W1808" s="70"/>
      <c r="X1808" s="70"/>
      <c r="Y1808" s="70"/>
      <c r="Z1808" s="70" t="s">
        <v>302</v>
      </c>
      <c r="AA1808" s="71"/>
      <c r="AB1808" s="53" t="str">
        <f>IFERROR(VLOOKUP(Anexo_4[[#This Row],[cuenta]],OP,2,0),"-")</f>
        <v>Transporte peajes - Servicios</v>
      </c>
    </row>
    <row r="1809" spans="1:28" ht="27" customHeight="1" x14ac:dyDescent="0.3">
      <c r="A1809" s="34" t="s">
        <v>5486</v>
      </c>
      <c r="B1809" s="36" t="str">
        <f t="shared" si="28"/>
        <v>Setiembre</v>
      </c>
      <c r="C1809" s="33" t="s">
        <v>162</v>
      </c>
      <c r="D1809" s="33" t="s">
        <v>5761</v>
      </c>
      <c r="E1809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809" s="32" t="s">
        <v>456</v>
      </c>
      <c r="G1809" s="32" t="s">
        <v>4911</v>
      </c>
      <c r="H1809" s="139" t="s">
        <v>1276</v>
      </c>
      <c r="I1809" s="33" t="s">
        <v>264</v>
      </c>
      <c r="J1809" s="143" t="s">
        <v>4644</v>
      </c>
      <c r="K1809" s="33" t="s">
        <v>169</v>
      </c>
      <c r="L1809" s="102" t="str">
        <f>VLOOKUP(Anexo_4[[#This Row],[cod_doc]],TIPODOC,2,FALSE)</f>
        <v>FACTURA</v>
      </c>
      <c r="M1809" s="33" t="s">
        <v>271</v>
      </c>
      <c r="N1809" s="32" t="s">
        <v>5762</v>
      </c>
      <c r="O1809" s="48">
        <v>4.24</v>
      </c>
      <c r="P1809" s="49"/>
      <c r="Q1809" s="81">
        <v>0.76</v>
      </c>
      <c r="R1809" s="80" t="s">
        <v>4341</v>
      </c>
      <c r="S1809" s="48" t="s">
        <v>4341</v>
      </c>
      <c r="T1809" s="72">
        <v>5</v>
      </c>
      <c r="U1809" s="70"/>
      <c r="V1809" s="32"/>
      <c r="W1809" s="70"/>
      <c r="X1809" s="70"/>
      <c r="Y1809" s="70"/>
      <c r="Z1809" s="70" t="s">
        <v>302</v>
      </c>
      <c r="AA1809" s="71"/>
      <c r="AB1809" s="53" t="str">
        <f>IFERROR(VLOOKUP(Anexo_4[[#This Row],[cuenta]],OP,2,0),"-")</f>
        <v>Transporte peajes - Servicios</v>
      </c>
    </row>
    <row r="1810" spans="1:28" ht="27" customHeight="1" x14ac:dyDescent="0.3">
      <c r="A1810" s="34" t="s">
        <v>5486</v>
      </c>
      <c r="B1810" s="36" t="str">
        <f t="shared" si="28"/>
        <v>Setiembre</v>
      </c>
      <c r="C1810" s="33" t="s">
        <v>162</v>
      </c>
      <c r="D1810" s="33" t="s">
        <v>5763</v>
      </c>
      <c r="E1810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810" s="32" t="s">
        <v>355</v>
      </c>
      <c r="G1810" s="32" t="s">
        <v>356</v>
      </c>
      <c r="H1810" s="139" t="s">
        <v>5764</v>
      </c>
      <c r="I1810" s="33" t="s">
        <v>991</v>
      </c>
      <c r="J1810" s="143" t="s">
        <v>5729</v>
      </c>
      <c r="K1810" s="33" t="s">
        <v>169</v>
      </c>
      <c r="L1810" s="102" t="str">
        <f>VLOOKUP(Anexo_4[[#This Row],[cod_doc]],TIPODOC,2,FALSE)</f>
        <v>FACTURA</v>
      </c>
      <c r="M1810" s="33" t="s">
        <v>222</v>
      </c>
      <c r="N1810" s="32" t="s">
        <v>5765</v>
      </c>
      <c r="O1810" s="48">
        <v>13.56</v>
      </c>
      <c r="P1810" s="49"/>
      <c r="Q1810" s="81">
        <v>2.44</v>
      </c>
      <c r="R1810" s="80" t="s">
        <v>4341</v>
      </c>
      <c r="S1810" s="48" t="s">
        <v>4341</v>
      </c>
      <c r="T1810" s="72">
        <v>16</v>
      </c>
      <c r="U1810" s="70"/>
      <c r="V1810" s="32"/>
      <c r="W1810" s="70"/>
      <c r="X1810" s="70"/>
      <c r="Y1810" s="70"/>
      <c r="Z1810" s="70" t="s">
        <v>2320</v>
      </c>
      <c r="AA1810" s="71"/>
      <c r="AB1810" s="53" t="str">
        <f>IFERROR(VLOOKUP(Anexo_4[[#This Row],[cuenta]],OP,2,0),"-")</f>
        <v>Otros Gastos de Gestion</v>
      </c>
    </row>
    <row r="1811" spans="1:28" ht="27" customHeight="1" x14ac:dyDescent="0.3">
      <c r="A1811" s="34" t="s">
        <v>5667</v>
      </c>
      <c r="B1811" s="36" t="str">
        <f t="shared" si="28"/>
        <v>Setiembre</v>
      </c>
      <c r="C1811" s="33" t="s">
        <v>162</v>
      </c>
      <c r="D1811" s="33" t="s">
        <v>5766</v>
      </c>
      <c r="E1811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811" s="32" t="s">
        <v>248</v>
      </c>
      <c r="G1811" s="32" t="s">
        <v>249</v>
      </c>
      <c r="H1811" s="139" t="s">
        <v>5767</v>
      </c>
      <c r="I1811" s="33" t="s">
        <v>625</v>
      </c>
      <c r="J1811" s="143" t="s">
        <v>4796</v>
      </c>
      <c r="K1811" s="33" t="s">
        <v>169</v>
      </c>
      <c r="L1811" s="102" t="str">
        <f>VLOOKUP(Anexo_4[[#This Row],[cod_doc]],TIPODOC,2,FALSE)</f>
        <v>FACTURA</v>
      </c>
      <c r="M1811" s="33" t="s">
        <v>180</v>
      </c>
      <c r="N1811" s="32" t="s">
        <v>5768</v>
      </c>
      <c r="O1811" s="48">
        <v>321.20999999999998</v>
      </c>
      <c r="P1811" s="49"/>
      <c r="Q1811" s="81">
        <v>57.8</v>
      </c>
      <c r="R1811" s="80" t="s">
        <v>4341</v>
      </c>
      <c r="S1811" s="48" t="s">
        <v>4341</v>
      </c>
      <c r="T1811" s="72">
        <v>379.01</v>
      </c>
      <c r="U1811" s="70"/>
      <c r="V1811" s="32"/>
      <c r="W1811" s="70"/>
      <c r="X1811" s="70"/>
      <c r="Y1811" s="70" t="s">
        <v>5769</v>
      </c>
      <c r="Z1811" s="70" t="s">
        <v>256</v>
      </c>
      <c r="AA1811" s="71"/>
      <c r="AB1811" s="53" t="str">
        <f>IFERROR(VLOOKUP(Anexo_4[[#This Row],[cuenta]],OP,2,0),"-")</f>
        <v>Materias Primas - RRSS</v>
      </c>
    </row>
    <row r="1812" spans="1:28" ht="27" customHeight="1" x14ac:dyDescent="0.3">
      <c r="A1812" s="34" t="s">
        <v>5071</v>
      </c>
      <c r="B1812" s="36" t="str">
        <f t="shared" si="28"/>
        <v>Setiembre</v>
      </c>
      <c r="C1812" s="33" t="s">
        <v>162</v>
      </c>
      <c r="D1812" s="33" t="s">
        <v>5770</v>
      </c>
      <c r="E1812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812" s="32" t="s">
        <v>442</v>
      </c>
      <c r="G1812" s="32" t="s">
        <v>443</v>
      </c>
      <c r="H1812" s="139" t="s">
        <v>5771</v>
      </c>
      <c r="I1812" s="33" t="s">
        <v>1687</v>
      </c>
      <c r="J1812" s="143" t="s">
        <v>4700</v>
      </c>
      <c r="K1812" s="33" t="s">
        <v>169</v>
      </c>
      <c r="L1812" s="102" t="str">
        <f>VLOOKUP(Anexo_4[[#This Row],[cod_doc]],TIPODOC,2,FALSE)</f>
        <v>FACTURA</v>
      </c>
      <c r="M1812" s="33" t="s">
        <v>102</v>
      </c>
      <c r="N1812" s="32" t="s">
        <v>5772</v>
      </c>
      <c r="O1812" s="48">
        <v>296.61</v>
      </c>
      <c r="P1812" s="49"/>
      <c r="Q1812" s="81">
        <v>53.39</v>
      </c>
      <c r="R1812" s="80" t="s">
        <v>4341</v>
      </c>
      <c r="S1812" s="48" t="s">
        <v>4341</v>
      </c>
      <c r="T1812" s="72">
        <v>350</v>
      </c>
      <c r="U1812" s="70"/>
      <c r="V1812" s="32"/>
      <c r="W1812" s="70"/>
      <c r="X1812" s="70"/>
      <c r="Y1812" s="70"/>
      <c r="Z1812" s="70" t="s">
        <v>5773</v>
      </c>
      <c r="AA1812" s="71"/>
      <c r="AB1812" s="53" t="str">
        <f>IFERROR(VLOOKUP(Anexo_4[[#This Row],[cuenta]],OP,2,0),"-")</f>
        <v>-</v>
      </c>
    </row>
    <row r="1813" spans="1:28" ht="27" customHeight="1" x14ac:dyDescent="0.3">
      <c r="A1813" s="34" t="s">
        <v>5444</v>
      </c>
      <c r="B1813" s="36" t="str">
        <f t="shared" si="28"/>
        <v>Setiembre</v>
      </c>
      <c r="C1813" s="33" t="s">
        <v>162</v>
      </c>
      <c r="D1813" s="33" t="s">
        <v>5774</v>
      </c>
      <c r="E1813" s="37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1813" s="32" t="s">
        <v>198</v>
      </c>
      <c r="G1813" s="32" t="s">
        <v>199</v>
      </c>
      <c r="H1813" s="139" t="s">
        <v>5775</v>
      </c>
      <c r="I1813" s="33" t="s">
        <v>769</v>
      </c>
      <c r="J1813" s="143" t="s">
        <v>5776</v>
      </c>
      <c r="K1813" s="33" t="s">
        <v>169</v>
      </c>
      <c r="L1813" s="102" t="str">
        <f>VLOOKUP(Anexo_4[[#This Row],[cod_doc]],TIPODOC,2,FALSE)</f>
        <v>FACTURA</v>
      </c>
      <c r="M1813" s="33" t="s">
        <v>102</v>
      </c>
      <c r="N1813" s="32" t="s">
        <v>5777</v>
      </c>
      <c r="O1813" s="48">
        <v>500</v>
      </c>
      <c r="P1813" s="49"/>
      <c r="Q1813" s="81">
        <v>90</v>
      </c>
      <c r="R1813" s="80" t="s">
        <v>4341</v>
      </c>
      <c r="S1813" s="48" t="s">
        <v>4341</v>
      </c>
      <c r="T1813" s="72">
        <v>590</v>
      </c>
      <c r="U1813" s="70" t="s">
        <v>5778</v>
      </c>
      <c r="V1813" s="32" t="s">
        <v>5238</v>
      </c>
      <c r="W1813" s="70"/>
      <c r="X1813" s="70"/>
      <c r="Y1813" s="70"/>
      <c r="Z1813" s="70" t="s">
        <v>468</v>
      </c>
      <c r="AA1813" s="71"/>
      <c r="AB1813" s="53" t="str">
        <f>IFERROR(VLOOKUP(Anexo_4[[#This Row],[cuenta]],OP,2,0),"-")</f>
        <v>Transporte de Carga  - Ventas</v>
      </c>
    </row>
    <row r="1814" spans="1:28" ht="27" customHeight="1" x14ac:dyDescent="0.3">
      <c r="A1814" s="34" t="s">
        <v>4994</v>
      </c>
      <c r="B1814" s="36" t="str">
        <f t="shared" si="28"/>
        <v>Setiembre</v>
      </c>
      <c r="C1814" s="33" t="s">
        <v>162</v>
      </c>
      <c r="D1814" s="33" t="s">
        <v>5779</v>
      </c>
      <c r="E1814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814" s="32" t="s">
        <v>190</v>
      </c>
      <c r="G1814" s="32" t="s">
        <v>191</v>
      </c>
      <c r="H1814" s="139" t="s">
        <v>5780</v>
      </c>
      <c r="I1814" s="33" t="s">
        <v>1687</v>
      </c>
      <c r="J1814" s="143" t="s">
        <v>4700</v>
      </c>
      <c r="K1814" s="33" t="s">
        <v>169</v>
      </c>
      <c r="L1814" s="102" t="str">
        <f>VLOOKUP(Anexo_4[[#This Row],[cod_doc]],TIPODOC,2,FALSE)</f>
        <v>FACTURA</v>
      </c>
      <c r="M1814" s="33" t="s">
        <v>102</v>
      </c>
      <c r="N1814" s="32" t="s">
        <v>5781</v>
      </c>
      <c r="O1814" s="48">
        <v>38.979999999999997</v>
      </c>
      <c r="P1814" s="49"/>
      <c r="Q1814" s="81">
        <v>7.02</v>
      </c>
      <c r="R1814" s="80" t="s">
        <v>4341</v>
      </c>
      <c r="S1814" s="48" t="s">
        <v>4341</v>
      </c>
      <c r="T1814" s="72">
        <v>46</v>
      </c>
      <c r="U1814" s="70"/>
      <c r="V1814" s="32"/>
      <c r="W1814" s="70"/>
      <c r="X1814" s="70"/>
      <c r="Y1814" s="70"/>
      <c r="Z1814" s="70" t="s">
        <v>1839</v>
      </c>
      <c r="AA1814" s="71"/>
      <c r="AB1814" s="53" t="str">
        <f>IFERROR(VLOOKUP(Anexo_4[[#This Row],[cuenta]],OP,2,0),"-")</f>
        <v>-</v>
      </c>
    </row>
    <row r="1815" spans="1:28" ht="27" customHeight="1" x14ac:dyDescent="0.3">
      <c r="A1815" s="34" t="s">
        <v>5255</v>
      </c>
      <c r="B1815" s="36" t="str">
        <f t="shared" si="28"/>
        <v>Setiembre</v>
      </c>
      <c r="C1815" s="33" t="s">
        <v>162</v>
      </c>
      <c r="D1815" s="33" t="s">
        <v>5782</v>
      </c>
      <c r="E1815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815" s="32" t="s">
        <v>592</v>
      </c>
      <c r="G1815" s="32" t="s">
        <v>593</v>
      </c>
      <c r="H1815" s="139" t="s">
        <v>5783</v>
      </c>
      <c r="I1815" s="33" t="s">
        <v>1074</v>
      </c>
      <c r="J1815" s="143" t="s">
        <v>4635</v>
      </c>
      <c r="K1815" s="33" t="s">
        <v>169</v>
      </c>
      <c r="L1815" s="102" t="str">
        <f>VLOOKUP(Anexo_4[[#This Row],[cod_doc]],TIPODOC,2,FALSE)</f>
        <v>FACTURA</v>
      </c>
      <c r="M1815" s="33" t="s">
        <v>102</v>
      </c>
      <c r="N1815" s="32" t="s">
        <v>5784</v>
      </c>
      <c r="O1815" s="48">
        <v>60</v>
      </c>
      <c r="P1815" s="49"/>
      <c r="Q1815" s="81">
        <v>10.8</v>
      </c>
      <c r="R1815" s="80" t="s">
        <v>4341</v>
      </c>
      <c r="S1815" s="48" t="s">
        <v>4341</v>
      </c>
      <c r="T1815" s="72">
        <v>70.8</v>
      </c>
      <c r="U1815" s="70"/>
      <c r="V1815" s="32"/>
      <c r="W1815" s="70"/>
      <c r="X1815" s="70"/>
      <c r="Y1815" s="70"/>
      <c r="Z1815" s="70" t="s">
        <v>645</v>
      </c>
      <c r="AA1815" s="71"/>
      <c r="AB1815" s="53" t="str">
        <f>IFERROR(VLOOKUP(Anexo_4[[#This Row],[cuenta]],OP,2,0),"-")</f>
        <v>Montacarga - Servicios</v>
      </c>
    </row>
    <row r="1816" spans="1:28" ht="27" customHeight="1" x14ac:dyDescent="0.3">
      <c r="A1816" s="34" t="s">
        <v>5078</v>
      </c>
      <c r="B1816" s="36" t="str">
        <f t="shared" si="28"/>
        <v>Setiembre</v>
      </c>
      <c r="C1816" s="33" t="s">
        <v>162</v>
      </c>
      <c r="D1816" s="33" t="s">
        <v>5785</v>
      </c>
      <c r="E1816" s="37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1816" s="32" t="s">
        <v>198</v>
      </c>
      <c r="G1816" s="32" t="s">
        <v>199</v>
      </c>
      <c r="H1816" s="139" t="s">
        <v>5786</v>
      </c>
      <c r="I1816" s="33" t="s">
        <v>643</v>
      </c>
      <c r="J1816" s="143" t="s">
        <v>4632</v>
      </c>
      <c r="K1816" s="33" t="s">
        <v>169</v>
      </c>
      <c r="L1816" s="102" t="str">
        <f>VLOOKUP(Anexo_4[[#This Row],[cod_doc]],TIPODOC,2,FALSE)</f>
        <v>FACTURA</v>
      </c>
      <c r="M1816" s="33" t="s">
        <v>102</v>
      </c>
      <c r="N1816" s="32" t="s">
        <v>5787</v>
      </c>
      <c r="O1816" s="48">
        <v>467.5</v>
      </c>
      <c r="P1816" s="49"/>
      <c r="Q1816" s="81">
        <v>84.15</v>
      </c>
      <c r="R1816" s="80" t="s">
        <v>4341</v>
      </c>
      <c r="S1816" s="48" t="s">
        <v>4341</v>
      </c>
      <c r="T1816" s="72">
        <v>551.65</v>
      </c>
      <c r="U1816" s="70"/>
      <c r="V1816" s="32"/>
      <c r="W1816" s="70"/>
      <c r="X1816" s="70"/>
      <c r="Y1816" s="70"/>
      <c r="Z1816" s="70" t="s">
        <v>648</v>
      </c>
      <c r="AA1816" s="71"/>
      <c r="AB1816" s="53" t="str">
        <f>IFERROR(VLOOKUP(Anexo_4[[#This Row],[cuenta]],OP,2,0),"-")</f>
        <v>Montacarga - Ventas</v>
      </c>
    </row>
    <row r="1817" spans="1:28" ht="27" customHeight="1" x14ac:dyDescent="0.3">
      <c r="A1817" s="34" t="s">
        <v>4447</v>
      </c>
      <c r="B1817" s="36" t="str">
        <f t="shared" si="28"/>
        <v>Setiembre</v>
      </c>
      <c r="C1817" s="33" t="s">
        <v>162</v>
      </c>
      <c r="D1817" s="33" t="s">
        <v>5788</v>
      </c>
      <c r="E1817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817" s="32"/>
      <c r="G1817" s="32"/>
      <c r="H1817" s="139" t="s">
        <v>5789</v>
      </c>
      <c r="I1817" s="33" t="s">
        <v>643</v>
      </c>
      <c r="J1817" s="143" t="s">
        <v>4632</v>
      </c>
      <c r="K1817" s="33" t="s">
        <v>169</v>
      </c>
      <c r="L1817" s="102" t="str">
        <f>VLOOKUP(Anexo_4[[#This Row],[cod_doc]],TIPODOC,2,FALSE)</f>
        <v>FACTURA</v>
      </c>
      <c r="M1817" s="33" t="s">
        <v>102</v>
      </c>
      <c r="N1817" s="32" t="s">
        <v>5790</v>
      </c>
      <c r="O1817" s="48">
        <v>212.5</v>
      </c>
      <c r="P1817" s="49"/>
      <c r="Q1817" s="81">
        <v>38.25</v>
      </c>
      <c r="R1817" s="80" t="s">
        <v>4341</v>
      </c>
      <c r="S1817" s="48" t="s">
        <v>4341</v>
      </c>
      <c r="T1817" s="72">
        <v>250.75</v>
      </c>
      <c r="U1817" s="70"/>
      <c r="V1817" s="32"/>
      <c r="W1817" s="70"/>
      <c r="X1817" s="70"/>
      <c r="Y1817" s="70"/>
      <c r="Z1817" s="70"/>
      <c r="AA1817" s="71"/>
      <c r="AB1817" s="53" t="str">
        <f>IFERROR(VLOOKUP(Anexo_4[[#This Row],[cuenta]],OP,2,0),"-")</f>
        <v>-</v>
      </c>
    </row>
    <row r="1818" spans="1:28" ht="27" customHeight="1" x14ac:dyDescent="0.3">
      <c r="A1818" s="34" t="s">
        <v>5255</v>
      </c>
      <c r="B1818" s="36" t="str">
        <f t="shared" si="28"/>
        <v>Setiembre</v>
      </c>
      <c r="C1818" s="33" t="s">
        <v>162</v>
      </c>
      <c r="D1818" s="33" t="s">
        <v>5791</v>
      </c>
      <c r="E1818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818" s="32" t="s">
        <v>592</v>
      </c>
      <c r="G1818" s="32" t="s">
        <v>593</v>
      </c>
      <c r="H1818" s="139" t="s">
        <v>5792</v>
      </c>
      <c r="I1818" s="33" t="s">
        <v>1074</v>
      </c>
      <c r="J1818" s="143" t="s">
        <v>4635</v>
      </c>
      <c r="K1818" s="33" t="s">
        <v>169</v>
      </c>
      <c r="L1818" s="102" t="str">
        <f>VLOOKUP(Anexo_4[[#This Row],[cod_doc]],TIPODOC,2,FALSE)</f>
        <v>FACTURA</v>
      </c>
      <c r="M1818" s="33" t="s">
        <v>102</v>
      </c>
      <c r="N1818" s="32" t="s">
        <v>5793</v>
      </c>
      <c r="O1818" s="48">
        <v>60</v>
      </c>
      <c r="P1818" s="49"/>
      <c r="Q1818" s="81">
        <v>10.8</v>
      </c>
      <c r="R1818" s="80" t="s">
        <v>4341</v>
      </c>
      <c r="S1818" s="48" t="s">
        <v>4341</v>
      </c>
      <c r="T1818" s="72">
        <v>70.8</v>
      </c>
      <c r="U1818" s="70"/>
      <c r="V1818" s="32"/>
      <c r="W1818" s="70"/>
      <c r="X1818" s="70"/>
      <c r="Y1818" s="70"/>
      <c r="Z1818" s="70" t="s">
        <v>645</v>
      </c>
      <c r="AA1818" s="71"/>
      <c r="AB1818" s="53" t="str">
        <f>IFERROR(VLOOKUP(Anexo_4[[#This Row],[cuenta]],OP,2,0),"-")</f>
        <v>Montacarga - Servicios</v>
      </c>
    </row>
    <row r="1819" spans="1:28" ht="27" customHeight="1" x14ac:dyDescent="0.3">
      <c r="A1819" s="34" t="s">
        <v>5255</v>
      </c>
      <c r="B1819" s="36" t="str">
        <f t="shared" si="28"/>
        <v>Setiembre</v>
      </c>
      <c r="C1819" s="33" t="s">
        <v>162</v>
      </c>
      <c r="D1819" s="33" t="s">
        <v>5794</v>
      </c>
      <c r="E1819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819" s="32" t="s">
        <v>592</v>
      </c>
      <c r="G1819" s="32" t="s">
        <v>593</v>
      </c>
      <c r="H1819" s="139" t="s">
        <v>5795</v>
      </c>
      <c r="I1819" s="33" t="s">
        <v>1074</v>
      </c>
      <c r="J1819" s="143" t="s">
        <v>4635</v>
      </c>
      <c r="K1819" s="33" t="s">
        <v>169</v>
      </c>
      <c r="L1819" s="102" t="str">
        <f>VLOOKUP(Anexo_4[[#This Row],[cod_doc]],TIPODOC,2,FALSE)</f>
        <v>FACTURA</v>
      </c>
      <c r="M1819" s="33" t="s">
        <v>102</v>
      </c>
      <c r="N1819" s="32" t="s">
        <v>5796</v>
      </c>
      <c r="O1819" s="48">
        <v>60</v>
      </c>
      <c r="P1819" s="49"/>
      <c r="Q1819" s="81">
        <v>10.8</v>
      </c>
      <c r="R1819" s="80" t="s">
        <v>4341</v>
      </c>
      <c r="S1819" s="48" t="s">
        <v>4341</v>
      </c>
      <c r="T1819" s="72">
        <v>70.8</v>
      </c>
      <c r="U1819" s="70"/>
      <c r="V1819" s="32"/>
      <c r="W1819" s="70"/>
      <c r="X1819" s="70"/>
      <c r="Y1819" s="70"/>
      <c r="Z1819" s="70" t="s">
        <v>645</v>
      </c>
      <c r="AA1819" s="71"/>
      <c r="AB1819" s="53" t="str">
        <f>IFERROR(VLOOKUP(Anexo_4[[#This Row],[cuenta]],OP,2,0),"-")</f>
        <v>Montacarga - Servicios</v>
      </c>
    </row>
    <row r="1820" spans="1:28" ht="27" customHeight="1" x14ac:dyDescent="0.3">
      <c r="A1820" s="34" t="s">
        <v>5449</v>
      </c>
      <c r="B1820" s="36" t="str">
        <f t="shared" si="28"/>
        <v>Setiembre</v>
      </c>
      <c r="C1820" s="33" t="s">
        <v>162</v>
      </c>
      <c r="D1820" s="33" t="s">
        <v>5797</v>
      </c>
      <c r="E1820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820" s="32" t="s">
        <v>442</v>
      </c>
      <c r="G1820" s="32" t="s">
        <v>443</v>
      </c>
      <c r="H1820" s="139" t="s">
        <v>5798</v>
      </c>
      <c r="I1820" s="33" t="s">
        <v>2195</v>
      </c>
      <c r="J1820" s="143" t="s">
        <v>5757</v>
      </c>
      <c r="K1820" s="33" t="s">
        <v>169</v>
      </c>
      <c r="L1820" s="102" t="str">
        <f>VLOOKUP(Anexo_4[[#This Row],[cod_doc]],TIPODOC,2,FALSE)</f>
        <v>FACTURA</v>
      </c>
      <c r="M1820" s="33" t="s">
        <v>102</v>
      </c>
      <c r="N1820" s="32" t="s">
        <v>5799</v>
      </c>
      <c r="O1820" s="48">
        <v>686.44</v>
      </c>
      <c r="P1820" s="49"/>
      <c r="Q1820" s="81">
        <v>123.56</v>
      </c>
      <c r="R1820" s="80" t="s">
        <v>4341</v>
      </c>
      <c r="S1820" s="48" t="s">
        <v>4341</v>
      </c>
      <c r="T1820" s="72">
        <v>810</v>
      </c>
      <c r="U1820" s="70"/>
      <c r="V1820" s="32"/>
      <c r="W1820" s="70"/>
      <c r="X1820" s="70"/>
      <c r="Y1820" s="70"/>
      <c r="Z1820" s="70" t="s">
        <v>846</v>
      </c>
      <c r="AA1820" s="71"/>
      <c r="AB1820" s="53" t="str">
        <f>IFERROR(VLOOKUP(Anexo_4[[#This Row],[cuenta]],OP,2,0),"-")</f>
        <v>-</v>
      </c>
    </row>
    <row r="1821" spans="1:28" ht="27" customHeight="1" x14ac:dyDescent="0.3">
      <c r="A1821" s="34" t="s">
        <v>5667</v>
      </c>
      <c r="B1821" s="36" t="str">
        <f t="shared" si="28"/>
        <v>Setiembre</v>
      </c>
      <c r="C1821" s="33" t="s">
        <v>162</v>
      </c>
      <c r="D1821" s="33" t="s">
        <v>5800</v>
      </c>
      <c r="E1821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821" s="32"/>
      <c r="G1821" s="32"/>
      <c r="H1821" s="139" t="s">
        <v>5801</v>
      </c>
      <c r="I1821" s="33" t="s">
        <v>5802</v>
      </c>
      <c r="J1821" s="143" t="s">
        <v>5803</v>
      </c>
      <c r="K1821" s="33" t="s">
        <v>169</v>
      </c>
      <c r="L1821" s="102" t="str">
        <f>VLOOKUP(Anexo_4[[#This Row],[cod_doc]],TIPODOC,2,FALSE)</f>
        <v>FACTURA</v>
      </c>
      <c r="M1821" s="33" t="s">
        <v>102</v>
      </c>
      <c r="N1821" s="32" t="s">
        <v>5804</v>
      </c>
      <c r="O1821" s="48">
        <v>1449.15</v>
      </c>
      <c r="P1821" s="49"/>
      <c r="Q1821" s="81">
        <v>260.85000000000002</v>
      </c>
      <c r="R1821" s="80" t="s">
        <v>4341</v>
      </c>
      <c r="S1821" s="48" t="s">
        <v>4341</v>
      </c>
      <c r="T1821" s="72">
        <v>1710</v>
      </c>
      <c r="U1821" s="70"/>
      <c r="V1821" s="32"/>
      <c r="W1821" s="70"/>
      <c r="X1821" s="70"/>
      <c r="Y1821" s="70"/>
      <c r="Z1821" s="70"/>
      <c r="AA1821" s="71"/>
      <c r="AB1821" s="53" t="str">
        <f>IFERROR(VLOOKUP(Anexo_4[[#This Row],[cuenta]],OP,2,0),"-")</f>
        <v>-</v>
      </c>
    </row>
    <row r="1822" spans="1:28" ht="27" customHeight="1" x14ac:dyDescent="0.3">
      <c r="A1822" s="34" t="s">
        <v>5667</v>
      </c>
      <c r="B1822" s="36" t="str">
        <f t="shared" si="28"/>
        <v>Setiembre</v>
      </c>
      <c r="C1822" s="33" t="s">
        <v>162</v>
      </c>
      <c r="D1822" s="33" t="s">
        <v>5805</v>
      </c>
      <c r="E1822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822" s="32" t="s">
        <v>442</v>
      </c>
      <c r="G1822" s="32" t="s">
        <v>443</v>
      </c>
      <c r="H1822" s="139" t="s">
        <v>5806</v>
      </c>
      <c r="I1822" s="33" t="s">
        <v>3924</v>
      </c>
      <c r="J1822" s="143" t="s">
        <v>5807</v>
      </c>
      <c r="K1822" s="33" t="s">
        <v>169</v>
      </c>
      <c r="L1822" s="102" t="str">
        <f>VLOOKUP(Anexo_4[[#This Row],[cod_doc]],TIPODOC,2,FALSE)</f>
        <v>FACTURA</v>
      </c>
      <c r="M1822" s="33" t="s">
        <v>102</v>
      </c>
      <c r="N1822" s="32" t="s">
        <v>5808</v>
      </c>
      <c r="O1822" s="48" t="s">
        <v>4341</v>
      </c>
      <c r="P1822" s="49"/>
      <c r="Q1822" s="81" t="s">
        <v>4341</v>
      </c>
      <c r="R1822" s="80" t="s">
        <v>4341</v>
      </c>
      <c r="S1822" s="48">
        <v>1520</v>
      </c>
      <c r="T1822" s="72">
        <v>1520</v>
      </c>
      <c r="U1822" s="70"/>
      <c r="V1822" s="32"/>
      <c r="W1822" s="70"/>
      <c r="X1822" s="70"/>
      <c r="Y1822" s="70"/>
      <c r="Z1822" s="70" t="s">
        <v>5809</v>
      </c>
      <c r="AA1822" s="71"/>
      <c r="AB1822" s="53" t="str">
        <f>IFERROR(VLOOKUP(Anexo_4[[#This Row],[cuenta]],OP,2,0),"-")</f>
        <v>-</v>
      </c>
    </row>
    <row r="1823" spans="1:28" ht="27" customHeight="1" x14ac:dyDescent="0.3">
      <c r="A1823" s="34" t="s">
        <v>5667</v>
      </c>
      <c r="B1823" s="36" t="str">
        <f t="shared" si="28"/>
        <v>Setiembre</v>
      </c>
      <c r="C1823" s="33" t="s">
        <v>162</v>
      </c>
      <c r="D1823" s="33" t="s">
        <v>5810</v>
      </c>
      <c r="E1823" s="37" t="str">
        <f>IF(LEFT(Anexo_4[[#This Row],[c_costos]],2)="91","OPERACIONES",IF(LEFT(Anexo_4[[#This Row],[c_costos]],2)="97","G. FINANCIEROS",IF(LEFT(Anexo_4[[#This Row],[c_costos]],2)="95","G. VENTAS","G. ADMINISTRACIÓN")))</f>
        <v>G. FINANCIEROS</v>
      </c>
      <c r="F1823" s="32" t="s">
        <v>474</v>
      </c>
      <c r="G1823" s="32" t="s">
        <v>475</v>
      </c>
      <c r="H1823" s="139" t="s">
        <v>3440</v>
      </c>
      <c r="I1823" s="33" t="s">
        <v>477</v>
      </c>
      <c r="J1823" s="143" t="s">
        <v>4623</v>
      </c>
      <c r="K1823" s="33" t="s">
        <v>169</v>
      </c>
      <c r="L1823" s="102" t="str">
        <f>VLOOKUP(Anexo_4[[#This Row],[cod_doc]],TIPODOC,2,FALSE)</f>
        <v>FACTURA</v>
      </c>
      <c r="M1823" s="33" t="s">
        <v>479</v>
      </c>
      <c r="N1823" s="32" t="s">
        <v>5811</v>
      </c>
      <c r="O1823" s="48" t="s">
        <v>4341</v>
      </c>
      <c r="P1823" s="49"/>
      <c r="Q1823" s="81" t="s">
        <v>4341</v>
      </c>
      <c r="R1823" s="80" t="s">
        <v>4341</v>
      </c>
      <c r="S1823" s="48">
        <v>10</v>
      </c>
      <c r="T1823" s="72">
        <v>10</v>
      </c>
      <c r="U1823" s="70"/>
      <c r="V1823" s="32"/>
      <c r="W1823" s="70"/>
      <c r="X1823" s="70"/>
      <c r="Y1823" s="70"/>
      <c r="Z1823" s="70" t="s">
        <v>4370</v>
      </c>
      <c r="AA1823" s="71"/>
      <c r="AB1823" s="53" t="str">
        <f>IFERROR(VLOOKUP(Anexo_4[[#This Row],[cuenta]],OP,2,0),"-")</f>
        <v>-</v>
      </c>
    </row>
    <row r="1824" spans="1:28" ht="27" customHeight="1" x14ac:dyDescent="0.3">
      <c r="A1824" s="34" t="s">
        <v>5071</v>
      </c>
      <c r="B1824" s="36" t="str">
        <f t="shared" si="28"/>
        <v>Setiembre</v>
      </c>
      <c r="C1824" s="33" t="s">
        <v>162</v>
      </c>
      <c r="D1824" s="33" t="s">
        <v>5812</v>
      </c>
      <c r="E1824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824" s="32" t="s">
        <v>456</v>
      </c>
      <c r="G1824" s="32" t="s">
        <v>4911</v>
      </c>
      <c r="H1824" s="139" t="s">
        <v>1276</v>
      </c>
      <c r="I1824" s="33" t="s">
        <v>264</v>
      </c>
      <c r="J1824" s="143" t="s">
        <v>4644</v>
      </c>
      <c r="K1824" s="33" t="s">
        <v>169</v>
      </c>
      <c r="L1824" s="102" t="str">
        <f>VLOOKUP(Anexo_4[[#This Row],[cod_doc]],TIPODOC,2,FALSE)</f>
        <v>FACTURA</v>
      </c>
      <c r="M1824" s="33" t="s">
        <v>271</v>
      </c>
      <c r="N1824" s="32" t="s">
        <v>5813</v>
      </c>
      <c r="O1824" s="48">
        <v>4.24</v>
      </c>
      <c r="P1824" s="49"/>
      <c r="Q1824" s="81">
        <v>0.76</v>
      </c>
      <c r="R1824" s="80" t="s">
        <v>4341</v>
      </c>
      <c r="S1824" s="48" t="s">
        <v>4341</v>
      </c>
      <c r="T1824" s="72">
        <v>5</v>
      </c>
      <c r="U1824" s="70"/>
      <c r="V1824" s="32"/>
      <c r="W1824" s="70"/>
      <c r="X1824" s="70"/>
      <c r="Y1824" s="70"/>
      <c r="Z1824" s="70" t="s">
        <v>302</v>
      </c>
      <c r="AA1824" s="71"/>
      <c r="AB1824" s="53" t="str">
        <f>IFERROR(VLOOKUP(Anexo_4[[#This Row],[cuenta]],OP,2,0),"-")</f>
        <v>Transporte peajes - Servicios</v>
      </c>
    </row>
    <row r="1825" spans="1:28" ht="27" customHeight="1" x14ac:dyDescent="0.3">
      <c r="A1825" s="34" t="s">
        <v>5071</v>
      </c>
      <c r="B1825" s="36" t="str">
        <f t="shared" si="28"/>
        <v>Setiembre</v>
      </c>
      <c r="C1825" s="33" t="s">
        <v>162</v>
      </c>
      <c r="D1825" s="33" t="s">
        <v>5814</v>
      </c>
      <c r="E1825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825" s="32" t="s">
        <v>456</v>
      </c>
      <c r="G1825" s="32" t="s">
        <v>4911</v>
      </c>
      <c r="H1825" s="139" t="s">
        <v>1276</v>
      </c>
      <c r="I1825" s="33" t="s">
        <v>264</v>
      </c>
      <c r="J1825" s="143" t="s">
        <v>4644</v>
      </c>
      <c r="K1825" s="33" t="s">
        <v>169</v>
      </c>
      <c r="L1825" s="102" t="str">
        <f>VLOOKUP(Anexo_4[[#This Row],[cod_doc]],TIPODOC,2,FALSE)</f>
        <v>FACTURA</v>
      </c>
      <c r="M1825" s="33" t="s">
        <v>352</v>
      </c>
      <c r="N1825" s="32" t="s">
        <v>5815</v>
      </c>
      <c r="O1825" s="48">
        <v>4.24</v>
      </c>
      <c r="P1825" s="49"/>
      <c r="Q1825" s="81">
        <v>0.76</v>
      </c>
      <c r="R1825" s="80" t="s">
        <v>4341</v>
      </c>
      <c r="S1825" s="48" t="s">
        <v>4341</v>
      </c>
      <c r="T1825" s="72">
        <v>5</v>
      </c>
      <c r="U1825" s="70"/>
      <c r="V1825" s="32"/>
      <c r="W1825" s="70"/>
      <c r="X1825" s="70"/>
      <c r="Y1825" s="70"/>
      <c r="Z1825" s="70" t="s">
        <v>302</v>
      </c>
      <c r="AA1825" s="71"/>
      <c r="AB1825" s="53" t="str">
        <f>IFERROR(VLOOKUP(Anexo_4[[#This Row],[cuenta]],OP,2,0),"-")</f>
        <v>Transporte peajes - Servicios</v>
      </c>
    </row>
    <row r="1826" spans="1:28" ht="27" customHeight="1" x14ac:dyDescent="0.3">
      <c r="A1826" s="34" t="s">
        <v>3940</v>
      </c>
      <c r="B1826" s="36" t="str">
        <f t="shared" si="28"/>
        <v>Setiembre</v>
      </c>
      <c r="C1826" s="33" t="s">
        <v>162</v>
      </c>
      <c r="D1826" s="33" t="s">
        <v>5816</v>
      </c>
      <c r="E1826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826" s="32"/>
      <c r="G1826" s="32"/>
      <c r="H1826" s="139" t="s">
        <v>5817</v>
      </c>
      <c r="I1826" s="33" t="s">
        <v>2050</v>
      </c>
      <c r="J1826" s="143" t="s">
        <v>5818</v>
      </c>
      <c r="K1826" s="33" t="s">
        <v>169</v>
      </c>
      <c r="L1826" s="102" t="str">
        <f>VLOOKUP(Anexo_4[[#This Row],[cod_doc]],TIPODOC,2,FALSE)</f>
        <v>FACTURA</v>
      </c>
      <c r="M1826" s="33" t="s">
        <v>2062</v>
      </c>
      <c r="N1826" s="32" t="s">
        <v>5819</v>
      </c>
      <c r="O1826" s="48">
        <v>11.86</v>
      </c>
      <c r="P1826" s="49"/>
      <c r="Q1826" s="81">
        <v>2.13</v>
      </c>
      <c r="R1826" s="80" t="s">
        <v>4341</v>
      </c>
      <c r="S1826" s="48" t="s">
        <v>4341</v>
      </c>
      <c r="T1826" s="72">
        <v>13.989999999999998</v>
      </c>
      <c r="U1826" s="70"/>
      <c r="V1826" s="32"/>
      <c r="W1826" s="70"/>
      <c r="X1826" s="70"/>
      <c r="Y1826" s="70"/>
      <c r="Z1826" s="70"/>
      <c r="AA1826" s="71"/>
      <c r="AB1826" s="53" t="str">
        <f>IFERROR(VLOOKUP(Anexo_4[[#This Row],[cuenta]],OP,2,0),"-")</f>
        <v>-</v>
      </c>
    </row>
    <row r="1827" spans="1:28" ht="27" customHeight="1" x14ac:dyDescent="0.3">
      <c r="A1827" s="34" t="s">
        <v>4206</v>
      </c>
      <c r="B1827" s="36" t="str">
        <f t="shared" si="28"/>
        <v>Setiembre</v>
      </c>
      <c r="C1827" s="33" t="s">
        <v>162</v>
      </c>
      <c r="D1827" s="33" t="s">
        <v>5820</v>
      </c>
      <c r="E1827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827" s="32"/>
      <c r="G1827" s="32"/>
      <c r="H1827" s="139" t="s">
        <v>930</v>
      </c>
      <c r="I1827" s="33" t="s">
        <v>5821</v>
      </c>
      <c r="J1827" s="143" t="s">
        <v>5822</v>
      </c>
      <c r="K1827" s="33" t="s">
        <v>169</v>
      </c>
      <c r="L1827" s="102" t="str">
        <f>VLOOKUP(Anexo_4[[#This Row],[cod_doc]],TIPODOC,2,FALSE)</f>
        <v>FACTURA</v>
      </c>
      <c r="M1827" s="33" t="s">
        <v>222</v>
      </c>
      <c r="N1827" s="32" t="s">
        <v>5823</v>
      </c>
      <c r="O1827" s="48">
        <v>11.02</v>
      </c>
      <c r="P1827" s="49"/>
      <c r="Q1827" s="81">
        <v>1.98</v>
      </c>
      <c r="R1827" s="80" t="s">
        <v>4341</v>
      </c>
      <c r="S1827" s="48" t="s">
        <v>4341</v>
      </c>
      <c r="T1827" s="72">
        <v>13</v>
      </c>
      <c r="U1827" s="70"/>
      <c r="V1827" s="32"/>
      <c r="W1827" s="70"/>
      <c r="X1827" s="70"/>
      <c r="Y1827" s="70"/>
      <c r="Z1827" s="70"/>
      <c r="AA1827" s="71"/>
      <c r="AB1827" s="53" t="str">
        <f>IFERROR(VLOOKUP(Anexo_4[[#This Row],[cuenta]],OP,2,0),"-")</f>
        <v>-</v>
      </c>
    </row>
    <row r="1828" spans="1:28" ht="27" customHeight="1" x14ac:dyDescent="0.3">
      <c r="A1828" s="34" t="s">
        <v>4206</v>
      </c>
      <c r="B1828" s="36" t="str">
        <f t="shared" si="28"/>
        <v>Setiembre</v>
      </c>
      <c r="C1828" s="33" t="s">
        <v>162</v>
      </c>
      <c r="D1828" s="33" t="s">
        <v>5824</v>
      </c>
      <c r="E1828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828" s="32"/>
      <c r="G1828" s="32"/>
      <c r="H1828" s="139" t="s">
        <v>128</v>
      </c>
      <c r="I1828" s="33" t="s">
        <v>4393</v>
      </c>
      <c r="J1828" s="143" t="s">
        <v>4936</v>
      </c>
      <c r="K1828" s="33" t="s">
        <v>169</v>
      </c>
      <c r="L1828" s="102" t="str">
        <f>VLOOKUP(Anexo_4[[#This Row],[cod_doc]],TIPODOC,2,FALSE)</f>
        <v>FACTURA</v>
      </c>
      <c r="M1828" s="33" t="s">
        <v>5825</v>
      </c>
      <c r="N1828" s="32" t="s">
        <v>5826</v>
      </c>
      <c r="O1828" s="48" t="s">
        <v>4341</v>
      </c>
      <c r="P1828" s="49"/>
      <c r="Q1828" s="81" t="s">
        <v>4341</v>
      </c>
      <c r="R1828" s="80" t="s">
        <v>4341</v>
      </c>
      <c r="S1828" s="48">
        <v>27</v>
      </c>
      <c r="T1828" s="72">
        <v>27</v>
      </c>
      <c r="U1828" s="70"/>
      <c r="V1828" s="32"/>
      <c r="W1828" s="70"/>
      <c r="X1828" s="70"/>
      <c r="Y1828" s="70"/>
      <c r="Z1828" s="70"/>
      <c r="AA1828" s="71"/>
      <c r="AB1828" s="53" t="str">
        <f>IFERROR(VLOOKUP(Anexo_4[[#This Row],[cuenta]],OP,2,0),"-")</f>
        <v>-</v>
      </c>
    </row>
    <row r="1829" spans="1:28" ht="27" customHeight="1" x14ac:dyDescent="0.3">
      <c r="A1829" s="34" t="s">
        <v>3711</v>
      </c>
      <c r="B1829" s="36" t="str">
        <f t="shared" si="28"/>
        <v>Setiembre</v>
      </c>
      <c r="C1829" s="33" t="s">
        <v>162</v>
      </c>
      <c r="D1829" s="33" t="s">
        <v>5827</v>
      </c>
      <c r="E1829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829" s="32"/>
      <c r="G1829" s="32"/>
      <c r="H1829" s="139" t="s">
        <v>3775</v>
      </c>
      <c r="I1829" s="33" t="s">
        <v>4945</v>
      </c>
      <c r="J1829" s="143" t="s">
        <v>4946</v>
      </c>
      <c r="K1829" s="33" t="s">
        <v>169</v>
      </c>
      <c r="L1829" s="102" t="str">
        <f>VLOOKUP(Anexo_4[[#This Row],[cod_doc]],TIPODOC,2,FALSE)</f>
        <v>FACTURA</v>
      </c>
      <c r="M1829" s="33" t="s">
        <v>631</v>
      </c>
      <c r="N1829" s="32" t="s">
        <v>5828</v>
      </c>
      <c r="O1829" s="48">
        <v>42.37</v>
      </c>
      <c r="P1829" s="49"/>
      <c r="Q1829" s="81">
        <v>7.63</v>
      </c>
      <c r="R1829" s="80" t="s">
        <v>4341</v>
      </c>
      <c r="S1829" s="48" t="s">
        <v>4341</v>
      </c>
      <c r="T1829" s="72">
        <v>50</v>
      </c>
      <c r="U1829" s="70"/>
      <c r="V1829" s="32"/>
      <c r="W1829" s="70"/>
      <c r="X1829" s="70"/>
      <c r="Y1829" s="70"/>
      <c r="Z1829" s="70"/>
      <c r="AA1829" s="71"/>
      <c r="AB1829" s="53" t="str">
        <f>IFERROR(VLOOKUP(Anexo_4[[#This Row],[cuenta]],OP,2,0),"-")</f>
        <v>-</v>
      </c>
    </row>
    <row r="1830" spans="1:28" ht="27" customHeight="1" x14ac:dyDescent="0.3">
      <c r="A1830" s="34" t="s">
        <v>3711</v>
      </c>
      <c r="B1830" s="36" t="str">
        <f t="shared" si="28"/>
        <v>Setiembre</v>
      </c>
      <c r="C1830" s="33" t="s">
        <v>162</v>
      </c>
      <c r="D1830" s="33" t="s">
        <v>5829</v>
      </c>
      <c r="E1830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830" s="32"/>
      <c r="G1830" s="32"/>
      <c r="H1830" s="139" t="s">
        <v>128</v>
      </c>
      <c r="I1830" s="33" t="s">
        <v>4941</v>
      </c>
      <c r="J1830" s="143" t="s">
        <v>4942</v>
      </c>
      <c r="K1830" s="33" t="s">
        <v>169</v>
      </c>
      <c r="L1830" s="102" t="str">
        <f>VLOOKUP(Anexo_4[[#This Row],[cod_doc]],TIPODOC,2,FALSE)</f>
        <v>FACTURA</v>
      </c>
      <c r="M1830" s="33" t="s">
        <v>4244</v>
      </c>
      <c r="N1830" s="32" t="s">
        <v>5830</v>
      </c>
      <c r="O1830" s="48" t="s">
        <v>4341</v>
      </c>
      <c r="P1830" s="49"/>
      <c r="Q1830" s="81" t="s">
        <v>4341</v>
      </c>
      <c r="R1830" s="80" t="s">
        <v>4341</v>
      </c>
      <c r="S1830" s="48">
        <v>25</v>
      </c>
      <c r="T1830" s="72">
        <v>25</v>
      </c>
      <c r="U1830" s="70"/>
      <c r="V1830" s="32"/>
      <c r="W1830" s="70"/>
      <c r="X1830" s="70"/>
      <c r="Y1830" s="70"/>
      <c r="Z1830" s="70"/>
      <c r="AA1830" s="71"/>
      <c r="AB1830" s="53" t="str">
        <f>IFERROR(VLOOKUP(Anexo_4[[#This Row],[cuenta]],OP,2,0),"-")</f>
        <v>-</v>
      </c>
    </row>
    <row r="1831" spans="1:28" ht="27" customHeight="1" x14ac:dyDescent="0.3">
      <c r="A1831" s="34" t="s">
        <v>5080</v>
      </c>
      <c r="B1831" s="36" t="str">
        <f t="shared" si="28"/>
        <v>Setiembre</v>
      </c>
      <c r="C1831" s="33" t="s">
        <v>162</v>
      </c>
      <c r="D1831" s="33" t="s">
        <v>5831</v>
      </c>
      <c r="E1831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831" s="32" t="s">
        <v>823</v>
      </c>
      <c r="G1831" s="32" t="s">
        <v>3494</v>
      </c>
      <c r="H1831" s="139" t="s">
        <v>5832</v>
      </c>
      <c r="I1831" s="33" t="s">
        <v>2422</v>
      </c>
      <c r="J1831" s="143" t="s">
        <v>5833</v>
      </c>
      <c r="K1831" s="33" t="s">
        <v>169</v>
      </c>
      <c r="L1831" s="102" t="str">
        <f>VLOOKUP(Anexo_4[[#This Row],[cod_doc]],TIPODOC,2,FALSE)</f>
        <v>FACTURA</v>
      </c>
      <c r="M1831" s="33" t="s">
        <v>222</v>
      </c>
      <c r="N1831" s="32" t="s">
        <v>5751</v>
      </c>
      <c r="O1831" s="48">
        <v>5308.5</v>
      </c>
      <c r="P1831" s="49"/>
      <c r="Q1831" s="81">
        <v>955.53</v>
      </c>
      <c r="R1831" s="80" t="s">
        <v>4341</v>
      </c>
      <c r="S1831" s="48" t="s">
        <v>4341</v>
      </c>
      <c r="T1831" s="72">
        <v>6264.03</v>
      </c>
      <c r="U1831" s="70" t="s">
        <v>5834</v>
      </c>
      <c r="V1831" s="32" t="s">
        <v>5238</v>
      </c>
      <c r="W1831" s="70"/>
      <c r="X1831" s="70"/>
      <c r="Y1831" s="70"/>
      <c r="Z1831" s="70" t="s">
        <v>1756</v>
      </c>
      <c r="AA1831" s="71"/>
      <c r="AB1831" s="53" t="str">
        <f>IFERROR(VLOOKUP(Anexo_4[[#This Row],[cuenta]],OP,2,0),"-")</f>
        <v>-</v>
      </c>
    </row>
    <row r="1832" spans="1:28" ht="27" customHeight="1" x14ac:dyDescent="0.3">
      <c r="A1832" s="34" t="s">
        <v>5449</v>
      </c>
      <c r="B1832" s="36" t="str">
        <f t="shared" si="28"/>
        <v>Setiembre</v>
      </c>
      <c r="C1832" s="33" t="s">
        <v>162</v>
      </c>
      <c r="D1832" s="33" t="s">
        <v>5835</v>
      </c>
      <c r="E1832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832" s="32" t="s">
        <v>217</v>
      </c>
      <c r="G1832" s="32" t="s">
        <v>4839</v>
      </c>
      <c r="H1832" s="139" t="s">
        <v>5836</v>
      </c>
      <c r="I1832" s="33" t="s">
        <v>264</v>
      </c>
      <c r="J1832" s="143" t="s">
        <v>4644</v>
      </c>
      <c r="K1832" s="33" t="s">
        <v>169</v>
      </c>
      <c r="L1832" s="102" t="str">
        <f>VLOOKUP(Anexo_4[[#This Row],[cod_doc]],TIPODOC,2,FALSE)</f>
        <v>FACTURA</v>
      </c>
      <c r="M1832" s="33" t="s">
        <v>379</v>
      </c>
      <c r="N1832" s="32" t="s">
        <v>5837</v>
      </c>
      <c r="O1832" s="48">
        <v>6.78</v>
      </c>
      <c r="P1832" s="49"/>
      <c r="Q1832" s="81">
        <v>1.22</v>
      </c>
      <c r="R1832" s="80" t="s">
        <v>4341</v>
      </c>
      <c r="S1832" s="48" t="s">
        <v>4341</v>
      </c>
      <c r="T1832" s="72">
        <v>8</v>
      </c>
      <c r="U1832" s="70"/>
      <c r="V1832" s="32"/>
      <c r="W1832" s="70"/>
      <c r="X1832" s="70"/>
      <c r="Y1832" s="70" t="s">
        <v>5838</v>
      </c>
      <c r="Z1832" s="70" t="s">
        <v>302</v>
      </c>
      <c r="AA1832" s="71"/>
      <c r="AB1832" s="53" t="str">
        <f>IFERROR(VLOOKUP(Anexo_4[[#This Row],[cuenta]],OP,2,0),"-")</f>
        <v>Transporte peajes - Servicios</v>
      </c>
    </row>
    <row r="1833" spans="1:28" ht="27" customHeight="1" x14ac:dyDescent="0.3">
      <c r="A1833" s="34" t="s">
        <v>5449</v>
      </c>
      <c r="B1833" s="36" t="str">
        <f t="shared" si="28"/>
        <v>Setiembre</v>
      </c>
      <c r="C1833" s="33" t="s">
        <v>162</v>
      </c>
      <c r="D1833" s="33" t="s">
        <v>5839</v>
      </c>
      <c r="E1833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833" s="32" t="s">
        <v>217</v>
      </c>
      <c r="G1833" s="32" t="s">
        <v>4839</v>
      </c>
      <c r="H1833" s="139" t="s">
        <v>5840</v>
      </c>
      <c r="I1833" s="33" t="s">
        <v>264</v>
      </c>
      <c r="J1833" s="143" t="s">
        <v>4644</v>
      </c>
      <c r="K1833" s="33" t="s">
        <v>169</v>
      </c>
      <c r="L1833" s="102" t="str">
        <f>VLOOKUP(Anexo_4[[#This Row],[cod_doc]],TIPODOC,2,FALSE)</f>
        <v>FACTURA</v>
      </c>
      <c r="M1833" s="33" t="s">
        <v>406</v>
      </c>
      <c r="N1833" s="32" t="s">
        <v>5841</v>
      </c>
      <c r="O1833" s="48">
        <v>6.78</v>
      </c>
      <c r="P1833" s="49"/>
      <c r="Q1833" s="81">
        <v>1.22</v>
      </c>
      <c r="R1833" s="80" t="s">
        <v>4341</v>
      </c>
      <c r="S1833" s="48" t="s">
        <v>4341</v>
      </c>
      <c r="T1833" s="72">
        <v>8</v>
      </c>
      <c r="U1833" s="70"/>
      <c r="V1833" s="32"/>
      <c r="W1833" s="70"/>
      <c r="X1833" s="70"/>
      <c r="Y1833" s="70" t="s">
        <v>5842</v>
      </c>
      <c r="Z1833" s="70" t="s">
        <v>302</v>
      </c>
      <c r="AA1833" s="71"/>
      <c r="AB1833" s="53" t="str">
        <f>IFERROR(VLOOKUP(Anexo_4[[#This Row],[cuenta]],OP,2,0),"-")</f>
        <v>Transporte peajes - Servicios</v>
      </c>
    </row>
    <row r="1834" spans="1:28" ht="27" customHeight="1" x14ac:dyDescent="0.3">
      <c r="A1834" s="34" t="s">
        <v>5486</v>
      </c>
      <c r="B1834" s="36" t="str">
        <f t="shared" si="28"/>
        <v>Setiembre</v>
      </c>
      <c r="C1834" s="33" t="s">
        <v>162</v>
      </c>
      <c r="D1834" s="33" t="s">
        <v>5843</v>
      </c>
      <c r="E1834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834" s="32" t="s">
        <v>235</v>
      </c>
      <c r="G1834" s="32" t="s">
        <v>5051</v>
      </c>
      <c r="H1834" s="139" t="s">
        <v>5844</v>
      </c>
      <c r="I1834" s="33" t="s">
        <v>264</v>
      </c>
      <c r="J1834" s="143" t="s">
        <v>4644</v>
      </c>
      <c r="K1834" s="33" t="s">
        <v>169</v>
      </c>
      <c r="L1834" s="102" t="str">
        <f>VLOOKUP(Anexo_4[[#This Row],[cod_doc]],TIPODOC,2,FALSE)</f>
        <v>FACTURA</v>
      </c>
      <c r="M1834" s="33" t="s">
        <v>406</v>
      </c>
      <c r="N1834" s="32" t="s">
        <v>5845</v>
      </c>
      <c r="O1834" s="48">
        <v>6.78</v>
      </c>
      <c r="P1834" s="49"/>
      <c r="Q1834" s="81">
        <v>1.22</v>
      </c>
      <c r="R1834" s="80" t="s">
        <v>4341</v>
      </c>
      <c r="S1834" s="48" t="s">
        <v>4341</v>
      </c>
      <c r="T1834" s="72">
        <v>8</v>
      </c>
      <c r="U1834" s="70"/>
      <c r="V1834" s="32"/>
      <c r="W1834" s="70"/>
      <c r="X1834" s="70"/>
      <c r="Y1834" s="70" t="s">
        <v>5846</v>
      </c>
      <c r="Z1834" s="70" t="s">
        <v>302</v>
      </c>
      <c r="AA1834" s="71"/>
      <c r="AB1834" s="53" t="str">
        <f>IFERROR(VLOOKUP(Anexo_4[[#This Row],[cuenta]],OP,2,0),"-")</f>
        <v>Transporte peajes - Servicios</v>
      </c>
    </row>
    <row r="1835" spans="1:28" ht="27" customHeight="1" x14ac:dyDescent="0.3">
      <c r="A1835" s="34" t="s">
        <v>5486</v>
      </c>
      <c r="B1835" s="36" t="str">
        <f t="shared" si="28"/>
        <v>Setiembre</v>
      </c>
      <c r="C1835" s="33" t="s">
        <v>162</v>
      </c>
      <c r="D1835" s="33" t="s">
        <v>5847</v>
      </c>
      <c r="E1835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835" s="32" t="s">
        <v>235</v>
      </c>
      <c r="G1835" s="32" t="s">
        <v>5051</v>
      </c>
      <c r="H1835" s="139" t="s">
        <v>5848</v>
      </c>
      <c r="I1835" s="33" t="s">
        <v>264</v>
      </c>
      <c r="J1835" s="143" t="s">
        <v>4644</v>
      </c>
      <c r="K1835" s="33" t="s">
        <v>169</v>
      </c>
      <c r="L1835" s="102" t="str">
        <f>VLOOKUP(Anexo_4[[#This Row],[cod_doc]],TIPODOC,2,FALSE)</f>
        <v>FACTURA</v>
      </c>
      <c r="M1835" s="33" t="s">
        <v>379</v>
      </c>
      <c r="N1835" s="32" t="s">
        <v>5849</v>
      </c>
      <c r="O1835" s="48">
        <v>6.78</v>
      </c>
      <c r="P1835" s="49"/>
      <c r="Q1835" s="81">
        <v>1.22</v>
      </c>
      <c r="R1835" s="80" t="s">
        <v>4341</v>
      </c>
      <c r="S1835" s="48" t="s">
        <v>4341</v>
      </c>
      <c r="T1835" s="72">
        <v>8</v>
      </c>
      <c r="U1835" s="70"/>
      <c r="V1835" s="32"/>
      <c r="W1835" s="70"/>
      <c r="X1835" s="70"/>
      <c r="Y1835" s="70" t="s">
        <v>5850</v>
      </c>
      <c r="Z1835" s="70" t="s">
        <v>302</v>
      </c>
      <c r="AA1835" s="71"/>
      <c r="AB1835" s="53" t="str">
        <f>IFERROR(VLOOKUP(Anexo_4[[#This Row],[cuenta]],OP,2,0),"-")</f>
        <v>Transporte peajes - Servicios</v>
      </c>
    </row>
    <row r="1836" spans="1:28" ht="27" customHeight="1" x14ac:dyDescent="0.3">
      <c r="A1836" s="34" t="s">
        <v>5486</v>
      </c>
      <c r="B1836" s="36" t="str">
        <f t="shared" si="28"/>
        <v>Setiembre</v>
      </c>
      <c r="C1836" s="33" t="s">
        <v>162</v>
      </c>
      <c r="D1836" s="33" t="s">
        <v>5851</v>
      </c>
      <c r="E1836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836" s="32" t="s">
        <v>235</v>
      </c>
      <c r="G1836" s="32" t="s">
        <v>5051</v>
      </c>
      <c r="H1836" s="139" t="s">
        <v>5852</v>
      </c>
      <c r="I1836" s="33" t="s">
        <v>383</v>
      </c>
      <c r="J1836" s="143" t="s">
        <v>4702</v>
      </c>
      <c r="K1836" s="33" t="s">
        <v>169</v>
      </c>
      <c r="L1836" s="102" t="str">
        <f>VLOOKUP(Anexo_4[[#This Row],[cod_doc]],TIPODOC,2,FALSE)</f>
        <v>FACTURA</v>
      </c>
      <c r="M1836" s="33" t="s">
        <v>103</v>
      </c>
      <c r="N1836" s="32" t="s">
        <v>5853</v>
      </c>
      <c r="O1836" s="48">
        <v>8.4700000000000006</v>
      </c>
      <c r="P1836" s="49"/>
      <c r="Q1836" s="81">
        <v>1.53</v>
      </c>
      <c r="R1836" s="80" t="s">
        <v>4341</v>
      </c>
      <c r="S1836" s="48" t="s">
        <v>4341</v>
      </c>
      <c r="T1836" s="72">
        <v>10</v>
      </c>
      <c r="U1836" s="70"/>
      <c r="V1836" s="32"/>
      <c r="W1836" s="70"/>
      <c r="X1836" s="70"/>
      <c r="Y1836" s="70" t="s">
        <v>5854</v>
      </c>
      <c r="Z1836" s="70" t="s">
        <v>386</v>
      </c>
      <c r="AA1836" s="71"/>
      <c r="AB1836" s="53" t="str">
        <f>IFERROR(VLOOKUP(Anexo_4[[#This Row],[cuenta]],OP,2,0),"-")</f>
        <v>Balanza - Servicios</v>
      </c>
    </row>
    <row r="1837" spans="1:28" ht="27" customHeight="1" x14ac:dyDescent="0.3">
      <c r="A1837" s="34" t="s">
        <v>5449</v>
      </c>
      <c r="B1837" s="36" t="str">
        <f t="shared" si="28"/>
        <v>Setiembre</v>
      </c>
      <c r="C1837" s="33" t="s">
        <v>162</v>
      </c>
      <c r="D1837" s="33" t="s">
        <v>5855</v>
      </c>
      <c r="E1837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837" s="32" t="s">
        <v>217</v>
      </c>
      <c r="G1837" s="32" t="s">
        <v>4839</v>
      </c>
      <c r="H1837" s="139" t="s">
        <v>5856</v>
      </c>
      <c r="I1837" s="33" t="s">
        <v>383</v>
      </c>
      <c r="J1837" s="143" t="s">
        <v>4702</v>
      </c>
      <c r="K1837" s="33" t="s">
        <v>169</v>
      </c>
      <c r="L1837" s="102" t="str">
        <f>VLOOKUP(Anexo_4[[#This Row],[cod_doc]],TIPODOC,2,FALSE)</f>
        <v>FACTURA</v>
      </c>
      <c r="M1837" s="33" t="s">
        <v>103</v>
      </c>
      <c r="N1837" s="32" t="s">
        <v>5857</v>
      </c>
      <c r="O1837" s="48">
        <v>16.95</v>
      </c>
      <c r="P1837" s="49"/>
      <c r="Q1837" s="81">
        <v>3.05</v>
      </c>
      <c r="R1837" s="80" t="s">
        <v>4341</v>
      </c>
      <c r="S1837" s="48" t="s">
        <v>4341</v>
      </c>
      <c r="T1837" s="72">
        <v>20</v>
      </c>
      <c r="U1837" s="70"/>
      <c r="V1837" s="32"/>
      <c r="W1837" s="70"/>
      <c r="X1837" s="70"/>
      <c r="Y1837" s="70" t="s">
        <v>5858</v>
      </c>
      <c r="Z1837" s="70" t="s">
        <v>386</v>
      </c>
      <c r="AA1837" s="71"/>
      <c r="AB1837" s="53" t="str">
        <f>IFERROR(VLOOKUP(Anexo_4[[#This Row],[cuenta]],OP,2,0),"-")</f>
        <v>Balanza - Servicios</v>
      </c>
    </row>
    <row r="1838" spans="1:28" ht="27" customHeight="1" x14ac:dyDescent="0.3">
      <c r="A1838" s="34" t="s">
        <v>5486</v>
      </c>
      <c r="B1838" s="36" t="str">
        <f t="shared" si="28"/>
        <v>Setiembre</v>
      </c>
      <c r="C1838" s="33" t="s">
        <v>162</v>
      </c>
      <c r="D1838" s="33" t="s">
        <v>5859</v>
      </c>
      <c r="E1838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838" s="32" t="s">
        <v>235</v>
      </c>
      <c r="G1838" s="32" t="s">
        <v>5051</v>
      </c>
      <c r="H1838" s="139" t="s">
        <v>5860</v>
      </c>
      <c r="I1838" s="33" t="s">
        <v>383</v>
      </c>
      <c r="J1838" s="143" t="s">
        <v>4702</v>
      </c>
      <c r="K1838" s="33" t="s">
        <v>169</v>
      </c>
      <c r="L1838" s="102" t="str">
        <f>VLOOKUP(Anexo_4[[#This Row],[cod_doc]],TIPODOC,2,FALSE)</f>
        <v>FACTURA</v>
      </c>
      <c r="M1838" s="33" t="s">
        <v>103</v>
      </c>
      <c r="N1838" s="32" t="s">
        <v>5861</v>
      </c>
      <c r="O1838" s="48">
        <v>16.95</v>
      </c>
      <c r="P1838" s="49"/>
      <c r="Q1838" s="81">
        <v>3.05</v>
      </c>
      <c r="R1838" s="80" t="s">
        <v>4341</v>
      </c>
      <c r="S1838" s="48" t="s">
        <v>4341</v>
      </c>
      <c r="T1838" s="72">
        <v>20</v>
      </c>
      <c r="U1838" s="70"/>
      <c r="V1838" s="32"/>
      <c r="W1838" s="70"/>
      <c r="X1838" s="70"/>
      <c r="Y1838" s="70" t="s">
        <v>5862</v>
      </c>
      <c r="Z1838" s="70" t="s">
        <v>386</v>
      </c>
      <c r="AA1838" s="71"/>
      <c r="AB1838" s="53" t="str">
        <f>IFERROR(VLOOKUP(Anexo_4[[#This Row],[cuenta]],OP,2,0),"-")</f>
        <v>Balanza - Servicios</v>
      </c>
    </row>
    <row r="1839" spans="1:28" ht="27" customHeight="1" x14ac:dyDescent="0.3">
      <c r="A1839" s="34" t="s">
        <v>5486</v>
      </c>
      <c r="B1839" s="36" t="str">
        <f t="shared" si="28"/>
        <v>Setiembre</v>
      </c>
      <c r="C1839" s="33" t="s">
        <v>162</v>
      </c>
      <c r="D1839" s="33" t="s">
        <v>5863</v>
      </c>
      <c r="E1839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839" s="32" t="s">
        <v>235</v>
      </c>
      <c r="G1839" s="32" t="s">
        <v>5051</v>
      </c>
      <c r="H1839" s="139" t="s">
        <v>5864</v>
      </c>
      <c r="I1839" s="33" t="s">
        <v>383</v>
      </c>
      <c r="J1839" s="143" t="s">
        <v>4702</v>
      </c>
      <c r="K1839" s="33" t="s">
        <v>169</v>
      </c>
      <c r="L1839" s="102" t="str">
        <f>VLOOKUP(Anexo_4[[#This Row],[cod_doc]],TIPODOC,2,FALSE)</f>
        <v>FACTURA</v>
      </c>
      <c r="M1839" s="33" t="s">
        <v>103</v>
      </c>
      <c r="N1839" s="32" t="s">
        <v>5865</v>
      </c>
      <c r="O1839" s="48">
        <v>8.4700000000000006</v>
      </c>
      <c r="P1839" s="49"/>
      <c r="Q1839" s="81">
        <v>1.53</v>
      </c>
      <c r="R1839" s="80" t="s">
        <v>4341</v>
      </c>
      <c r="S1839" s="48" t="s">
        <v>4341</v>
      </c>
      <c r="T1839" s="72">
        <v>10</v>
      </c>
      <c r="U1839" s="70"/>
      <c r="V1839" s="32"/>
      <c r="W1839" s="70"/>
      <c r="X1839" s="70"/>
      <c r="Y1839" s="70" t="s">
        <v>5866</v>
      </c>
      <c r="Z1839" s="70" t="s">
        <v>386</v>
      </c>
      <c r="AA1839" s="71"/>
      <c r="AB1839" s="53" t="str">
        <f>IFERROR(VLOOKUP(Anexo_4[[#This Row],[cuenta]],OP,2,0),"-")</f>
        <v>Balanza - Servicios</v>
      </c>
    </row>
    <row r="1840" spans="1:28" ht="27" customHeight="1" x14ac:dyDescent="0.3">
      <c r="A1840" s="34" t="s">
        <v>4616</v>
      </c>
      <c r="B1840" s="36" t="str">
        <f t="shared" si="28"/>
        <v>Setiembre</v>
      </c>
      <c r="C1840" s="33" t="s">
        <v>162</v>
      </c>
      <c r="D1840" s="33" t="s">
        <v>5867</v>
      </c>
      <c r="E1840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840" s="32"/>
      <c r="G1840" s="32"/>
      <c r="H1840" s="139" t="s">
        <v>5868</v>
      </c>
      <c r="I1840" s="33" t="s">
        <v>1783</v>
      </c>
      <c r="J1840" s="143" t="s">
        <v>5869</v>
      </c>
      <c r="K1840" s="33" t="s">
        <v>169</v>
      </c>
      <c r="L1840" s="102" t="str">
        <f>VLOOKUP(Anexo_4[[#This Row],[cod_doc]],TIPODOC,2,FALSE)</f>
        <v>FACTURA</v>
      </c>
      <c r="M1840" s="33" t="s">
        <v>102</v>
      </c>
      <c r="N1840" s="32" t="s">
        <v>5870</v>
      </c>
      <c r="O1840" s="48">
        <v>442.37</v>
      </c>
      <c r="P1840" s="49"/>
      <c r="Q1840" s="81">
        <v>79.63</v>
      </c>
      <c r="R1840" s="80" t="s">
        <v>4341</v>
      </c>
      <c r="S1840" s="48" t="s">
        <v>4341</v>
      </c>
      <c r="T1840" s="72">
        <v>522</v>
      </c>
      <c r="U1840" s="70"/>
      <c r="V1840" s="32"/>
      <c r="W1840" s="70"/>
      <c r="X1840" s="70"/>
      <c r="Y1840" s="70" t="s">
        <v>5871</v>
      </c>
      <c r="Z1840" s="70"/>
      <c r="AA1840" s="71"/>
      <c r="AB1840" s="53" t="str">
        <f>IFERROR(VLOOKUP(Anexo_4[[#This Row],[cuenta]],OP,2,0),"-")</f>
        <v>-</v>
      </c>
    </row>
    <row r="1841" spans="1:28" ht="27" customHeight="1" x14ac:dyDescent="0.3">
      <c r="A1841" s="34" t="s">
        <v>5238</v>
      </c>
      <c r="B1841" s="36" t="str">
        <f t="shared" ref="B1841:B1847" si="29">PROPER(CHOOSE(LEFT(D1841,2),"enero","febrero","marzo","abril","mayo","junio","julio","agosto","setiembre","octubre","noviembre","diciembre"))</f>
        <v>Setiembre</v>
      </c>
      <c r="C1841" s="33" t="s">
        <v>162</v>
      </c>
      <c r="D1841" s="33" t="s">
        <v>5872</v>
      </c>
      <c r="E1841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841" s="32" t="s">
        <v>248</v>
      </c>
      <c r="G1841" s="32" t="s">
        <v>249</v>
      </c>
      <c r="H1841" s="139" t="s">
        <v>5873</v>
      </c>
      <c r="I1841" s="33" t="s">
        <v>619</v>
      </c>
      <c r="J1841" s="143" t="s">
        <v>5874</v>
      </c>
      <c r="K1841" s="33" t="s">
        <v>169</v>
      </c>
      <c r="L1841" s="102" t="str">
        <f>VLOOKUP(Anexo_4[[#This Row],[cod_doc]],TIPODOC,2,FALSE)</f>
        <v>FACTURA</v>
      </c>
      <c r="M1841" s="33" t="s">
        <v>621</v>
      </c>
      <c r="N1841" s="32" t="s">
        <v>5875</v>
      </c>
      <c r="O1841" s="48">
        <v>64.41</v>
      </c>
      <c r="P1841" s="49"/>
      <c r="Q1841" s="81">
        <v>11.59</v>
      </c>
      <c r="R1841" s="80" t="s">
        <v>4341</v>
      </c>
      <c r="S1841" s="48" t="s">
        <v>4341</v>
      </c>
      <c r="T1841" s="72">
        <v>76</v>
      </c>
      <c r="U1841" s="70"/>
      <c r="V1841" s="32"/>
      <c r="W1841" s="70"/>
      <c r="X1841" s="70"/>
      <c r="Y1841" s="70" t="s">
        <v>5876</v>
      </c>
      <c r="Z1841" s="70" t="s">
        <v>256</v>
      </c>
      <c r="AA1841" s="71"/>
      <c r="AB1841" s="53" t="str">
        <f>IFERROR(VLOOKUP(Anexo_4[[#This Row],[cuenta]],OP,2,0),"-")</f>
        <v>Materias Primas - RRSS</v>
      </c>
    </row>
    <row r="1842" spans="1:28" ht="27" customHeight="1" x14ac:dyDescent="0.3">
      <c r="A1842" s="34" t="s">
        <v>5238</v>
      </c>
      <c r="B1842" s="36" t="str">
        <f t="shared" si="29"/>
        <v>Setiembre</v>
      </c>
      <c r="C1842" s="33" t="s">
        <v>162</v>
      </c>
      <c r="D1842" s="33" t="s">
        <v>5877</v>
      </c>
      <c r="E1842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842" s="32" t="s">
        <v>248</v>
      </c>
      <c r="G1842" s="32" t="s">
        <v>249</v>
      </c>
      <c r="H1842" s="139" t="s">
        <v>5878</v>
      </c>
      <c r="I1842" s="33" t="s">
        <v>3928</v>
      </c>
      <c r="J1842" s="143" t="s">
        <v>5879</v>
      </c>
      <c r="K1842" s="33" t="s">
        <v>169</v>
      </c>
      <c r="L1842" s="102" t="str">
        <f>VLOOKUP(Anexo_4[[#This Row],[cod_doc]],TIPODOC,2,FALSE)</f>
        <v>FACTURA</v>
      </c>
      <c r="M1842" s="33" t="s">
        <v>102</v>
      </c>
      <c r="N1842" s="32" t="s">
        <v>5880</v>
      </c>
      <c r="O1842" s="48">
        <v>122.29</v>
      </c>
      <c r="P1842" s="49"/>
      <c r="Q1842" s="81">
        <v>22.01</v>
      </c>
      <c r="R1842" s="80" t="s">
        <v>4341</v>
      </c>
      <c r="S1842" s="48" t="s">
        <v>4341</v>
      </c>
      <c r="T1842" s="72">
        <v>144.30000000000001</v>
      </c>
      <c r="U1842" s="70"/>
      <c r="V1842" s="32"/>
      <c r="W1842" s="70"/>
      <c r="X1842" s="70"/>
      <c r="Y1842" s="70" t="s">
        <v>5881</v>
      </c>
      <c r="Z1842" s="70" t="s">
        <v>256</v>
      </c>
      <c r="AA1842" s="71"/>
      <c r="AB1842" s="53" t="str">
        <f>IFERROR(VLOOKUP(Anexo_4[[#This Row],[cuenta]],OP,2,0),"-")</f>
        <v>Materias Primas - RRSS</v>
      </c>
    </row>
    <row r="1843" spans="1:28" ht="27" customHeight="1" x14ac:dyDescent="0.3">
      <c r="A1843" s="34" t="s">
        <v>5080</v>
      </c>
      <c r="B1843" s="36" t="str">
        <f t="shared" si="29"/>
        <v>Setiembre</v>
      </c>
      <c r="C1843" s="33" t="s">
        <v>162</v>
      </c>
      <c r="D1843" s="33" t="s">
        <v>5882</v>
      </c>
      <c r="E1843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843" s="32" t="s">
        <v>823</v>
      </c>
      <c r="G1843" s="32" t="s">
        <v>3494</v>
      </c>
      <c r="H1843" s="139" t="s">
        <v>5883</v>
      </c>
      <c r="I1843" s="33" t="s">
        <v>2422</v>
      </c>
      <c r="J1843" s="143" t="s">
        <v>5833</v>
      </c>
      <c r="K1843" s="33" t="s">
        <v>169</v>
      </c>
      <c r="L1843" s="102" t="str">
        <f>VLOOKUP(Anexo_4[[#This Row],[cod_doc]],TIPODOC,2,FALSE)</f>
        <v>FACTURA</v>
      </c>
      <c r="M1843" s="33" t="s">
        <v>222</v>
      </c>
      <c r="N1843" s="32" t="s">
        <v>5884</v>
      </c>
      <c r="O1843" s="48">
        <v>1486.38</v>
      </c>
      <c r="P1843" s="49"/>
      <c r="Q1843" s="81">
        <v>267.55</v>
      </c>
      <c r="R1843" s="80" t="s">
        <v>4341</v>
      </c>
      <c r="S1843" s="48" t="s">
        <v>4341</v>
      </c>
      <c r="T1843" s="72">
        <v>1753.93</v>
      </c>
      <c r="U1843" s="70"/>
      <c r="V1843" s="32"/>
      <c r="W1843" s="70"/>
      <c r="X1843" s="70"/>
      <c r="Y1843" s="70"/>
      <c r="Z1843" s="70" t="s">
        <v>1756</v>
      </c>
      <c r="AA1843" s="71"/>
      <c r="AB1843" s="53" t="str">
        <f>IFERROR(VLOOKUP(Anexo_4[[#This Row],[cuenta]],OP,2,0),"-")</f>
        <v>-</v>
      </c>
    </row>
    <row r="1844" spans="1:28" ht="27" customHeight="1" x14ac:dyDescent="0.3">
      <c r="A1844" s="34" t="s">
        <v>5444</v>
      </c>
      <c r="B1844" s="36" t="str">
        <f t="shared" si="29"/>
        <v>Setiembre</v>
      </c>
      <c r="C1844" s="33" t="s">
        <v>162</v>
      </c>
      <c r="D1844" s="33" t="s">
        <v>5885</v>
      </c>
      <c r="E1844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844" s="32" t="s">
        <v>650</v>
      </c>
      <c r="G1844" s="32" t="s">
        <v>651</v>
      </c>
      <c r="H1844" s="139" t="s">
        <v>3498</v>
      </c>
      <c r="I1844" s="33" t="s">
        <v>3509</v>
      </c>
      <c r="J1844" s="143" t="s">
        <v>4710</v>
      </c>
      <c r="K1844" s="33" t="s">
        <v>169</v>
      </c>
      <c r="L1844" s="102" t="str">
        <f>VLOOKUP(Anexo_4[[#This Row],[cod_doc]],TIPODOC,2,FALSE)</f>
        <v>FACTURA</v>
      </c>
      <c r="M1844" s="33" t="s">
        <v>222</v>
      </c>
      <c r="N1844" s="32" t="s">
        <v>590</v>
      </c>
      <c r="O1844" s="48"/>
      <c r="P1844" s="49">
        <v>339.09</v>
      </c>
      <c r="Q1844" s="81"/>
      <c r="R1844" s="80">
        <v>33.909999999999997</v>
      </c>
      <c r="S1844" s="48" t="s">
        <v>4341</v>
      </c>
      <c r="T1844" s="72">
        <v>373</v>
      </c>
      <c r="U1844" s="70"/>
      <c r="V1844" s="32"/>
      <c r="W1844" s="70"/>
      <c r="X1844" s="70"/>
      <c r="Y1844" s="70"/>
      <c r="Z1844" s="70" t="s">
        <v>684</v>
      </c>
      <c r="AA1844" s="71"/>
      <c r="AB1844" s="53" t="str">
        <f>IFERROR(VLOOKUP(Anexo_4[[#This Row],[cuenta]],OP,2,0),"-")</f>
        <v>-</v>
      </c>
    </row>
    <row r="1845" spans="1:28" ht="27" customHeight="1" x14ac:dyDescent="0.3">
      <c r="A1845" s="34" t="s">
        <v>5444</v>
      </c>
      <c r="B1845" s="36" t="str">
        <f t="shared" si="29"/>
        <v>Setiembre</v>
      </c>
      <c r="C1845" s="33" t="s">
        <v>162</v>
      </c>
      <c r="D1845" s="33" t="s">
        <v>5886</v>
      </c>
      <c r="E1845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845" s="32"/>
      <c r="G1845" s="32"/>
      <c r="H1845" s="139" t="s">
        <v>3498</v>
      </c>
      <c r="I1845" s="33" t="s">
        <v>3525</v>
      </c>
      <c r="J1845" s="143" t="s">
        <v>5887</v>
      </c>
      <c r="K1845" s="33" t="s">
        <v>169</v>
      </c>
      <c r="L1845" s="102" t="str">
        <f>VLOOKUP(Anexo_4[[#This Row],[cod_doc]],TIPODOC,2,FALSE)</f>
        <v>FACTURA</v>
      </c>
      <c r="M1845" s="33" t="s">
        <v>222</v>
      </c>
      <c r="N1845" s="32" t="s">
        <v>5888</v>
      </c>
      <c r="O1845" s="48">
        <v>5981.24</v>
      </c>
      <c r="P1845" s="49"/>
      <c r="Q1845" s="81">
        <v>1076.6400000000001</v>
      </c>
      <c r="R1845" s="80" t="s">
        <v>4341</v>
      </c>
      <c r="S1845" s="48" t="s">
        <v>4341</v>
      </c>
      <c r="T1845" s="72">
        <v>7057.88</v>
      </c>
      <c r="U1845" s="70"/>
      <c r="V1845" s="32"/>
      <c r="W1845" s="70"/>
      <c r="X1845" s="70"/>
      <c r="Y1845" s="70"/>
      <c r="Z1845" s="70"/>
      <c r="AA1845" s="71"/>
      <c r="AB1845" s="53" t="str">
        <f>IFERROR(VLOOKUP(Anexo_4[[#This Row],[cuenta]],OP,2,0),"-")</f>
        <v>-</v>
      </c>
    </row>
    <row r="1846" spans="1:28" ht="27" customHeight="1" x14ac:dyDescent="0.3">
      <c r="A1846" s="34" t="s">
        <v>5080</v>
      </c>
      <c r="B1846" s="36" t="str">
        <f t="shared" si="29"/>
        <v>Setiembre</v>
      </c>
      <c r="C1846" s="33" t="s">
        <v>162</v>
      </c>
      <c r="D1846" s="33" t="s">
        <v>5889</v>
      </c>
      <c r="E1846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846" s="32" t="s">
        <v>175</v>
      </c>
      <c r="G1846" s="32" t="s">
        <v>5168</v>
      </c>
      <c r="H1846" s="139" t="s">
        <v>3498</v>
      </c>
      <c r="I1846" s="33" t="s">
        <v>5890</v>
      </c>
      <c r="J1846" s="143" t="s">
        <v>5891</v>
      </c>
      <c r="K1846" s="33" t="s">
        <v>169</v>
      </c>
      <c r="L1846" s="102" t="str">
        <f>VLOOKUP(Anexo_4[[#This Row],[cod_doc]],TIPODOC,2,FALSE)</f>
        <v>FACTURA</v>
      </c>
      <c r="M1846" s="33" t="s">
        <v>5892</v>
      </c>
      <c r="N1846" s="32" t="s">
        <v>5893</v>
      </c>
      <c r="O1846" s="48">
        <v>944.22</v>
      </c>
      <c r="P1846" s="49"/>
      <c r="Q1846" s="81">
        <v>169.96</v>
      </c>
      <c r="R1846" s="80" t="s">
        <v>4341</v>
      </c>
      <c r="S1846" s="48" t="s">
        <v>4341</v>
      </c>
      <c r="T1846" s="72">
        <v>1114.18</v>
      </c>
      <c r="U1846" s="70"/>
      <c r="V1846" s="32"/>
      <c r="W1846" s="70"/>
      <c r="X1846" s="70"/>
      <c r="Y1846" s="70"/>
      <c r="Z1846" s="70" t="s">
        <v>223</v>
      </c>
      <c r="AA1846" s="71"/>
      <c r="AB1846" s="53" t="str">
        <f>IFERROR(VLOOKUP(Anexo_4[[#This Row],[cuenta]],OP,2,0),"-")</f>
        <v>Mantenimiento Vehicular (Preventivo)</v>
      </c>
    </row>
    <row r="1847" spans="1:28" ht="27" customHeight="1" x14ac:dyDescent="0.3">
      <c r="A1847" s="34" t="s">
        <v>4975</v>
      </c>
      <c r="B1847" s="36" t="str">
        <f t="shared" si="29"/>
        <v>Setiembre</v>
      </c>
      <c r="C1847" s="33" t="s">
        <v>162</v>
      </c>
      <c r="D1847" s="33" t="s">
        <v>5894</v>
      </c>
      <c r="E1847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847" s="32" t="s">
        <v>823</v>
      </c>
      <c r="G1847" s="32" t="s">
        <v>824</v>
      </c>
      <c r="H1847" s="139" t="s">
        <v>3498</v>
      </c>
      <c r="I1847" s="33" t="s">
        <v>904</v>
      </c>
      <c r="J1847" s="143" t="s">
        <v>5559</v>
      </c>
      <c r="K1847" s="33" t="s">
        <v>169</v>
      </c>
      <c r="L1847" s="102" t="str">
        <f>VLOOKUP(Anexo_4[[#This Row],[cod_doc]],TIPODOC,2,FALSE)</f>
        <v>FACTURA</v>
      </c>
      <c r="M1847" s="33" t="s">
        <v>180</v>
      </c>
      <c r="N1847" s="32" t="s">
        <v>5895</v>
      </c>
      <c r="O1847" s="48"/>
      <c r="P1847" s="49">
        <v>80.900000000000006</v>
      </c>
      <c r="Q1847" s="81"/>
      <c r="R1847" s="80">
        <v>8.1</v>
      </c>
      <c r="S1847" s="48" t="s">
        <v>4341</v>
      </c>
      <c r="T1847" s="72">
        <v>89</v>
      </c>
      <c r="U1847" s="70"/>
      <c r="V1847" s="32"/>
      <c r="W1847" s="70"/>
      <c r="X1847" s="70"/>
      <c r="Y1847" s="70"/>
      <c r="Z1847" s="70" t="s">
        <v>684</v>
      </c>
      <c r="AA1847" s="71"/>
      <c r="AB1847" s="53" t="str">
        <f>IFERROR(VLOOKUP(Anexo_4[[#This Row],[cuenta]],OP,2,0),"-")</f>
        <v>-</v>
      </c>
    </row>
    <row r="1848" spans="1:28" ht="27" customHeight="1" x14ac:dyDescent="0.3">
      <c r="A1848" s="34" t="s">
        <v>5449</v>
      </c>
      <c r="B1848" s="36" t="str">
        <f t="shared" ref="B1848:B1869" si="30">PROPER(CHOOSE(LEFT(D1848,2),"enero","febrero","marzo","abril","mayo","junio","julio","agosto","setiembre","octubre","noviembre","diciembre"))</f>
        <v>Setiembre</v>
      </c>
      <c r="C1848" s="33" t="s">
        <v>162</v>
      </c>
      <c r="D1848" s="33" t="s">
        <v>5896</v>
      </c>
      <c r="E1848" s="37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1848" s="32" t="s">
        <v>198</v>
      </c>
      <c r="G1848" s="32" t="s">
        <v>199</v>
      </c>
      <c r="H1848" s="139" t="s">
        <v>5897</v>
      </c>
      <c r="I1848" s="33" t="s">
        <v>5898</v>
      </c>
      <c r="J1848" s="143" t="s">
        <v>5899</v>
      </c>
      <c r="K1848" s="33" t="s">
        <v>169</v>
      </c>
      <c r="L1848" s="102" t="str">
        <f>VLOOKUP(Anexo_4[[#This Row],[cod_doc]],TIPODOC,2,FALSE)</f>
        <v>FACTURA</v>
      </c>
      <c r="M1848" s="33" t="s">
        <v>102</v>
      </c>
      <c r="N1848" s="32" t="s">
        <v>5900</v>
      </c>
      <c r="O1848" s="48">
        <v>550</v>
      </c>
      <c r="P1848" s="49"/>
      <c r="Q1848" s="81">
        <v>99</v>
      </c>
      <c r="R1848" s="80"/>
      <c r="S1848" s="48">
        <v>0</v>
      </c>
      <c r="T1848" s="72">
        <v>649</v>
      </c>
      <c r="U1848" s="70"/>
      <c r="V1848" s="32"/>
      <c r="W1848" s="70"/>
      <c r="X1848" s="70"/>
      <c r="Y1848" s="70"/>
      <c r="Z1848" s="70" t="s">
        <v>468</v>
      </c>
      <c r="AA1848" s="71"/>
      <c r="AB1848" s="117" t="str">
        <f>IFERROR(VLOOKUP(Anexo_4[[#This Row],[cuenta]],OP,2,0),"-")</f>
        <v>Transporte de Carga  - Ventas</v>
      </c>
    </row>
    <row r="1849" spans="1:28" ht="27" customHeight="1" x14ac:dyDescent="0.3">
      <c r="A1849" s="34" t="s">
        <v>5585</v>
      </c>
      <c r="B1849" s="36" t="str">
        <f t="shared" si="30"/>
        <v>Setiembre</v>
      </c>
      <c r="C1849" s="33" t="s">
        <v>162</v>
      </c>
      <c r="D1849" s="33" t="s">
        <v>5901</v>
      </c>
      <c r="E1849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849" s="32" t="s">
        <v>355</v>
      </c>
      <c r="G1849" s="32" t="s">
        <v>356</v>
      </c>
      <c r="H1849" s="139" t="s">
        <v>5902</v>
      </c>
      <c r="I1849" s="33" t="s">
        <v>4308</v>
      </c>
      <c r="J1849" s="143" t="s">
        <v>4309</v>
      </c>
      <c r="K1849" s="33" t="s">
        <v>169</v>
      </c>
      <c r="L1849" s="102" t="str">
        <f>VLOOKUP(Anexo_4[[#This Row],[cod_doc]],TIPODOC,2,FALSE)</f>
        <v>FACTURA</v>
      </c>
      <c r="M1849" s="33" t="s">
        <v>102</v>
      </c>
      <c r="N1849" s="32" t="s">
        <v>5903</v>
      </c>
      <c r="O1849" s="48">
        <v>508.47</v>
      </c>
      <c r="P1849" s="49"/>
      <c r="Q1849" s="81">
        <v>91.52</v>
      </c>
      <c r="R1849" s="80"/>
      <c r="S1849" s="48">
        <v>0</v>
      </c>
      <c r="T1849" s="72">
        <v>599.99</v>
      </c>
      <c r="U1849" s="70"/>
      <c r="V1849" s="32"/>
      <c r="W1849" s="70"/>
      <c r="X1849" s="70"/>
      <c r="Y1849" s="70"/>
      <c r="Z1849" s="70" t="s">
        <v>893</v>
      </c>
      <c r="AA1849" s="71"/>
      <c r="AB1849" s="117" t="str">
        <f>IFERROR(VLOOKUP(Anexo_4[[#This Row],[cuenta]],OP,2,0),"-")</f>
        <v>Transporte de Carga - Servicios</v>
      </c>
    </row>
    <row r="1850" spans="1:28" ht="27" customHeight="1" x14ac:dyDescent="0.3">
      <c r="A1850" s="34" t="s">
        <v>5071</v>
      </c>
      <c r="B1850" s="36" t="str">
        <f t="shared" si="30"/>
        <v>Setiembre</v>
      </c>
      <c r="C1850" s="33" t="s">
        <v>162</v>
      </c>
      <c r="D1850" s="33" t="s">
        <v>5904</v>
      </c>
      <c r="E1850" s="37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1850" s="32" t="s">
        <v>198</v>
      </c>
      <c r="G1850" s="32" t="s">
        <v>199</v>
      </c>
      <c r="H1850" s="139" t="s">
        <v>5905</v>
      </c>
      <c r="I1850" s="33" t="s">
        <v>4308</v>
      </c>
      <c r="J1850" s="143" t="s">
        <v>4309</v>
      </c>
      <c r="K1850" s="33" t="s">
        <v>169</v>
      </c>
      <c r="L1850" s="102" t="str">
        <f>VLOOKUP(Anexo_4[[#This Row],[cod_doc]],TIPODOC,2,FALSE)</f>
        <v>FACTURA</v>
      </c>
      <c r="M1850" s="33" t="s">
        <v>102</v>
      </c>
      <c r="N1850" s="32" t="s">
        <v>5906</v>
      </c>
      <c r="O1850" s="48">
        <v>338.99</v>
      </c>
      <c r="P1850" s="49"/>
      <c r="Q1850" s="81">
        <v>61.02</v>
      </c>
      <c r="R1850" s="80"/>
      <c r="S1850" s="48">
        <v>0</v>
      </c>
      <c r="T1850" s="72">
        <v>400.01</v>
      </c>
      <c r="U1850" s="70"/>
      <c r="V1850" s="32"/>
      <c r="W1850" s="70"/>
      <c r="X1850" s="70"/>
      <c r="Y1850" s="70"/>
      <c r="Z1850" s="70" t="s">
        <v>468</v>
      </c>
      <c r="AA1850" s="71"/>
      <c r="AB1850" s="117" t="str">
        <f>IFERROR(VLOOKUP(Anexo_4[[#This Row],[cuenta]],OP,2,0),"-")</f>
        <v>Transporte de Carga  - Ventas</v>
      </c>
    </row>
    <row r="1851" spans="1:28" ht="27" customHeight="1" x14ac:dyDescent="0.3">
      <c r="A1851" s="34" t="s">
        <v>5486</v>
      </c>
      <c r="B1851" s="36" t="str">
        <f t="shared" si="30"/>
        <v>Setiembre</v>
      </c>
      <c r="C1851" s="33" t="s">
        <v>162</v>
      </c>
      <c r="D1851" s="33" t="s">
        <v>5907</v>
      </c>
      <c r="E1851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851" s="32" t="s">
        <v>592</v>
      </c>
      <c r="G1851" s="32" t="s">
        <v>593</v>
      </c>
      <c r="H1851" s="139" t="s">
        <v>5908</v>
      </c>
      <c r="I1851" s="33" t="s">
        <v>2598</v>
      </c>
      <c r="J1851" s="143" t="s">
        <v>2599</v>
      </c>
      <c r="K1851" s="33" t="s">
        <v>169</v>
      </c>
      <c r="L1851" s="102" t="str">
        <f>VLOOKUP(Anexo_4[[#This Row],[cod_doc]],TIPODOC,2,FALSE)</f>
        <v>FACTURA</v>
      </c>
      <c r="M1851" s="33" t="s">
        <v>102</v>
      </c>
      <c r="N1851" s="32" t="s">
        <v>5909</v>
      </c>
      <c r="O1851" s="48">
        <v>50</v>
      </c>
      <c r="P1851" s="49"/>
      <c r="Q1851" s="81">
        <v>9</v>
      </c>
      <c r="R1851" s="80"/>
      <c r="S1851" s="48">
        <v>0</v>
      </c>
      <c r="T1851" s="72">
        <v>59</v>
      </c>
      <c r="U1851" s="70"/>
      <c r="V1851" s="32"/>
      <c r="W1851" s="70"/>
      <c r="X1851" s="70"/>
      <c r="Y1851" s="70"/>
      <c r="Z1851" s="70" t="s">
        <v>645</v>
      </c>
      <c r="AA1851" s="71"/>
      <c r="AB1851" s="117" t="str">
        <f>IFERROR(VLOOKUP(Anexo_4[[#This Row],[cuenta]],OP,2,0),"-")</f>
        <v>Montacarga - Servicios</v>
      </c>
    </row>
    <row r="1852" spans="1:28" ht="27" customHeight="1" x14ac:dyDescent="0.3">
      <c r="A1852" s="34" t="s">
        <v>5910</v>
      </c>
      <c r="B1852" s="36" t="str">
        <f t="shared" si="30"/>
        <v>Setiembre</v>
      </c>
      <c r="C1852" s="33" t="s">
        <v>162</v>
      </c>
      <c r="D1852" s="33" t="s">
        <v>5911</v>
      </c>
      <c r="E1852" s="37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1852" s="32" t="s">
        <v>198</v>
      </c>
      <c r="G1852" s="32" t="s">
        <v>199</v>
      </c>
      <c r="H1852" s="139" t="s">
        <v>5912</v>
      </c>
      <c r="I1852" s="33" t="s">
        <v>2867</v>
      </c>
      <c r="J1852" s="143" t="s">
        <v>2868</v>
      </c>
      <c r="K1852" s="33" t="s">
        <v>169</v>
      </c>
      <c r="L1852" s="102" t="str">
        <f>VLOOKUP(Anexo_4[[#This Row],[cod_doc]],TIPODOC,2,FALSE)</f>
        <v>FACTURA</v>
      </c>
      <c r="M1852" s="33" t="s">
        <v>222</v>
      </c>
      <c r="N1852" s="32" t="s">
        <v>5913</v>
      </c>
      <c r="O1852" s="48">
        <v>1694.9</v>
      </c>
      <c r="P1852" s="49"/>
      <c r="Q1852" s="81">
        <v>305.10000000000002</v>
      </c>
      <c r="R1852" s="80"/>
      <c r="S1852" s="48">
        <v>0</v>
      </c>
      <c r="T1852" s="72">
        <v>2000</v>
      </c>
      <c r="U1852" s="70"/>
      <c r="V1852" s="32"/>
      <c r="W1852" s="70"/>
      <c r="X1852" s="70"/>
      <c r="Y1852" s="70"/>
      <c r="Z1852" s="70" t="s">
        <v>2870</v>
      </c>
      <c r="AA1852" s="71"/>
      <c r="AB1852" s="117" t="str">
        <f>IFERROR(VLOOKUP(Anexo_4[[#This Row],[cuenta]],OP,2,0),"-")</f>
        <v>-</v>
      </c>
    </row>
    <row r="1853" spans="1:28" ht="27" customHeight="1" x14ac:dyDescent="0.3">
      <c r="A1853" s="34" t="s">
        <v>5914</v>
      </c>
      <c r="B1853" s="36" t="str">
        <f t="shared" si="30"/>
        <v>Setiembre</v>
      </c>
      <c r="C1853" s="33" t="s">
        <v>162</v>
      </c>
      <c r="D1853" s="33" t="s">
        <v>5915</v>
      </c>
      <c r="E1853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853" s="32" t="s">
        <v>442</v>
      </c>
      <c r="G1853" s="32" t="s">
        <v>443</v>
      </c>
      <c r="H1853" s="139" t="s">
        <v>5916</v>
      </c>
      <c r="I1853" s="33" t="s">
        <v>3500</v>
      </c>
      <c r="J1853" s="143" t="s">
        <v>3501</v>
      </c>
      <c r="K1853" s="33" t="s">
        <v>169</v>
      </c>
      <c r="L1853" s="102" t="str">
        <f>VLOOKUP(Anexo_4[[#This Row],[cod_doc]],TIPODOC,2,FALSE)</f>
        <v>FACTURA</v>
      </c>
      <c r="M1853" s="33" t="s">
        <v>102</v>
      </c>
      <c r="N1853" s="32" t="s">
        <v>5917</v>
      </c>
      <c r="O1853" s="48">
        <v>101.7</v>
      </c>
      <c r="P1853" s="49"/>
      <c r="Q1853" s="81">
        <v>18.3</v>
      </c>
      <c r="R1853" s="80"/>
      <c r="S1853" s="48">
        <v>0</v>
      </c>
      <c r="T1853" s="72">
        <v>120</v>
      </c>
      <c r="U1853" s="70"/>
      <c r="V1853" s="32"/>
      <c r="W1853" s="70"/>
      <c r="X1853" s="70"/>
      <c r="Y1853" s="70"/>
      <c r="Z1853" s="70" t="s">
        <v>1886</v>
      </c>
      <c r="AA1853" s="71"/>
      <c r="AB1853" s="117" t="str">
        <f>IFERROR(VLOOKUP(Anexo_4[[#This Row],[cuenta]],OP,2,0),"-")</f>
        <v>-</v>
      </c>
    </row>
    <row r="1854" spans="1:28" ht="27" customHeight="1" x14ac:dyDescent="0.3">
      <c r="A1854" s="34" t="s">
        <v>4994</v>
      </c>
      <c r="B1854" s="36" t="str">
        <f t="shared" si="30"/>
        <v>Setiembre</v>
      </c>
      <c r="C1854" s="33" t="s">
        <v>162</v>
      </c>
      <c r="D1854" s="33" t="s">
        <v>5918</v>
      </c>
      <c r="E1854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854" s="32" t="s">
        <v>592</v>
      </c>
      <c r="G1854" s="32" t="s">
        <v>593</v>
      </c>
      <c r="H1854" s="139" t="s">
        <v>5919</v>
      </c>
      <c r="I1854" s="33" t="s">
        <v>595</v>
      </c>
      <c r="J1854" s="143" t="s">
        <v>596</v>
      </c>
      <c r="K1854" s="33" t="s">
        <v>169</v>
      </c>
      <c r="L1854" s="102" t="str">
        <f>VLOOKUP(Anexo_4[[#This Row],[cod_doc]],TIPODOC,2,FALSE)</f>
        <v>FACTURA</v>
      </c>
      <c r="M1854" s="33" t="s">
        <v>102</v>
      </c>
      <c r="N1854" s="32" t="s">
        <v>5920</v>
      </c>
      <c r="O1854" s="48">
        <v>110.17</v>
      </c>
      <c r="P1854" s="49"/>
      <c r="Q1854" s="81">
        <v>19.829999999999998</v>
      </c>
      <c r="R1854" s="80"/>
      <c r="S1854" s="48">
        <v>0</v>
      </c>
      <c r="T1854" s="72">
        <v>130</v>
      </c>
      <c r="U1854" s="70"/>
      <c r="V1854" s="32"/>
      <c r="W1854" s="70"/>
      <c r="X1854" s="70"/>
      <c r="Y1854" s="70"/>
      <c r="Z1854" s="70" t="s">
        <v>597</v>
      </c>
      <c r="AA1854" s="71"/>
      <c r="AB1854" s="117" t="str">
        <f>IFERROR(VLOOKUP(Anexo_4[[#This Row],[cuenta]],OP,2,0),"-")</f>
        <v>Mantenimiento Preventivo (Montacarga)</v>
      </c>
    </row>
    <row r="1855" spans="1:28" ht="27" customHeight="1" x14ac:dyDescent="0.3">
      <c r="A1855" s="34" t="s">
        <v>5921</v>
      </c>
      <c r="B1855" s="36" t="str">
        <f t="shared" si="30"/>
        <v>Setiembre</v>
      </c>
      <c r="C1855" s="33" t="s">
        <v>162</v>
      </c>
      <c r="D1855" s="33" t="s">
        <v>5922</v>
      </c>
      <c r="E1855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855" s="32" t="s">
        <v>5923</v>
      </c>
      <c r="G1855" s="32" t="s">
        <v>5924</v>
      </c>
      <c r="H1855" s="139" t="s">
        <v>5925</v>
      </c>
      <c r="I1855" s="33" t="s">
        <v>4614</v>
      </c>
      <c r="J1855" s="143" t="s">
        <v>5926</v>
      </c>
      <c r="K1855" s="33" t="s">
        <v>169</v>
      </c>
      <c r="L1855" s="102" t="str">
        <f>VLOOKUP(Anexo_4[[#This Row],[cod_doc]],TIPODOC,2,FALSE)</f>
        <v>FACTURA</v>
      </c>
      <c r="M1855" s="33" t="s">
        <v>102</v>
      </c>
      <c r="N1855" s="32" t="s">
        <v>5927</v>
      </c>
      <c r="O1855" s="48">
        <v>200</v>
      </c>
      <c r="P1855" s="49"/>
      <c r="Q1855" s="81">
        <v>36</v>
      </c>
      <c r="R1855" s="80"/>
      <c r="S1855" s="48">
        <v>0</v>
      </c>
      <c r="T1855" s="72">
        <v>236</v>
      </c>
      <c r="U1855" s="70"/>
      <c r="V1855" s="32"/>
      <c r="W1855" s="70"/>
      <c r="X1855" s="70"/>
      <c r="Y1855" s="70"/>
      <c r="Z1855" s="70" t="s">
        <v>710</v>
      </c>
      <c r="AA1855" s="71"/>
      <c r="AB1855" s="117" t="str">
        <f>IFERROR(VLOOKUP(Anexo_4[[#This Row],[cuenta]],OP,2,0),"-")</f>
        <v>Accesorios Vehiculares</v>
      </c>
    </row>
    <row r="1856" spans="1:28" ht="27" customHeight="1" x14ac:dyDescent="0.3">
      <c r="A1856" s="34" t="s">
        <v>5238</v>
      </c>
      <c r="B1856" s="36" t="str">
        <f t="shared" si="30"/>
        <v>Setiembre</v>
      </c>
      <c r="C1856" s="33" t="s">
        <v>162</v>
      </c>
      <c r="D1856" s="33" t="s">
        <v>5928</v>
      </c>
      <c r="E1856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856" s="32" t="s">
        <v>217</v>
      </c>
      <c r="G1856" s="32" t="s">
        <v>4839</v>
      </c>
      <c r="H1856" s="139" t="s">
        <v>5929</v>
      </c>
      <c r="I1856" s="33" t="s">
        <v>5930</v>
      </c>
      <c r="J1856" s="143" t="s">
        <v>5931</v>
      </c>
      <c r="K1856" s="33" t="s">
        <v>169</v>
      </c>
      <c r="L1856" s="102" t="str">
        <f>VLOOKUP(Anexo_4[[#This Row],[cod_doc]],TIPODOC,2,FALSE)</f>
        <v>FACTURA</v>
      </c>
      <c r="M1856" s="33" t="s">
        <v>180</v>
      </c>
      <c r="N1856" s="32" t="s">
        <v>5932</v>
      </c>
      <c r="O1856" s="48">
        <v>170.34</v>
      </c>
      <c r="P1856" s="49"/>
      <c r="Q1856" s="81">
        <v>30.66</v>
      </c>
      <c r="R1856" s="80"/>
      <c r="S1856" s="48">
        <v>0</v>
      </c>
      <c r="T1856" s="72">
        <v>201</v>
      </c>
      <c r="U1856" s="70"/>
      <c r="V1856" s="32"/>
      <c r="W1856" s="70"/>
      <c r="X1856" s="70"/>
      <c r="Y1856" s="70"/>
      <c r="Z1856" s="70" t="s">
        <v>710</v>
      </c>
      <c r="AA1856" s="71"/>
      <c r="AB1856" s="117" t="str">
        <f>IFERROR(VLOOKUP(Anexo_4[[#This Row],[cuenta]],OP,2,0),"-")</f>
        <v>Accesorios Vehiculares</v>
      </c>
    </row>
    <row r="1857" spans="1:28" ht="27" customHeight="1" x14ac:dyDescent="0.3">
      <c r="A1857" s="34" t="s">
        <v>5238</v>
      </c>
      <c r="B1857" s="36" t="str">
        <f t="shared" si="30"/>
        <v>Setiembre</v>
      </c>
      <c r="C1857" s="33" t="s">
        <v>162</v>
      </c>
      <c r="D1857" s="33" t="s">
        <v>5933</v>
      </c>
      <c r="E1857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857" s="32" t="s">
        <v>217</v>
      </c>
      <c r="G1857" s="32" t="s">
        <v>4839</v>
      </c>
      <c r="H1857" s="139" t="s">
        <v>5934</v>
      </c>
      <c r="I1857" s="33" t="s">
        <v>4255</v>
      </c>
      <c r="J1857" s="143" t="s">
        <v>4256</v>
      </c>
      <c r="K1857" s="33" t="s">
        <v>169</v>
      </c>
      <c r="L1857" s="102" t="str">
        <f>VLOOKUP(Anexo_4[[#This Row],[cod_doc]],TIPODOC,2,FALSE)</f>
        <v>FACTURA</v>
      </c>
      <c r="M1857" s="33" t="s">
        <v>222</v>
      </c>
      <c r="N1857" s="32" t="s">
        <v>5935</v>
      </c>
      <c r="O1857" s="48">
        <v>381.36</v>
      </c>
      <c r="P1857" s="49"/>
      <c r="Q1857" s="81">
        <v>68.64</v>
      </c>
      <c r="R1857" s="80"/>
      <c r="S1857" s="48">
        <v>0</v>
      </c>
      <c r="T1857" s="72">
        <v>450</v>
      </c>
      <c r="U1857" s="70"/>
      <c r="V1857" s="32"/>
      <c r="W1857" s="70"/>
      <c r="X1857" s="70"/>
      <c r="Y1857" s="70"/>
      <c r="Z1857" s="70" t="s">
        <v>710</v>
      </c>
      <c r="AA1857" s="71"/>
      <c r="AB1857" s="117" t="str">
        <f>IFERROR(VLOOKUP(Anexo_4[[#This Row],[cuenta]],OP,2,0),"-")</f>
        <v>Accesorios Vehiculares</v>
      </c>
    </row>
    <row r="1858" spans="1:28" ht="27" customHeight="1" x14ac:dyDescent="0.3">
      <c r="A1858" s="34" t="s">
        <v>5444</v>
      </c>
      <c r="B1858" s="36" t="str">
        <f t="shared" si="30"/>
        <v>Setiembre</v>
      </c>
      <c r="C1858" s="33" t="s">
        <v>162</v>
      </c>
      <c r="D1858" s="33" t="s">
        <v>5936</v>
      </c>
      <c r="E1858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858" s="32" t="s">
        <v>1366</v>
      </c>
      <c r="G1858" s="32" t="s">
        <v>1367</v>
      </c>
      <c r="H1858" s="139" t="s">
        <v>5937</v>
      </c>
      <c r="I1858" s="33" t="s">
        <v>4858</v>
      </c>
      <c r="J1858" s="143" t="s">
        <v>4859</v>
      </c>
      <c r="K1858" s="33" t="s">
        <v>239</v>
      </c>
      <c r="L1858" s="102" t="str">
        <f>VLOOKUP(Anexo_4[[#This Row],[cod_doc]],TIPODOC,2,FALSE)</f>
        <v>BOLETA DE VENTA</v>
      </c>
      <c r="M1858" s="33" t="s">
        <v>5938</v>
      </c>
      <c r="N1858" s="32" t="s">
        <v>5939</v>
      </c>
      <c r="O1858" s="48">
        <v>0</v>
      </c>
      <c r="P1858" s="49"/>
      <c r="Q1858" s="81">
        <v>0</v>
      </c>
      <c r="R1858" s="80"/>
      <c r="S1858" s="48">
        <v>462</v>
      </c>
      <c r="T1858" s="72">
        <v>462</v>
      </c>
      <c r="U1858" s="70"/>
      <c r="V1858" s="32"/>
      <c r="W1858" s="70"/>
      <c r="X1858" s="70"/>
      <c r="Y1858" s="70"/>
      <c r="Z1858" s="70" t="s">
        <v>5940</v>
      </c>
      <c r="AA1858" s="71"/>
      <c r="AB1858" s="117" t="str">
        <f>IFERROR(VLOOKUP(Anexo_4[[#This Row],[cuenta]],OP,2,0),"-")</f>
        <v>-</v>
      </c>
    </row>
    <row r="1859" spans="1:28" ht="27" customHeight="1" x14ac:dyDescent="0.3">
      <c r="A1859" s="34" t="s">
        <v>5921</v>
      </c>
      <c r="B1859" s="36" t="str">
        <f t="shared" si="30"/>
        <v>Setiembre</v>
      </c>
      <c r="C1859" s="33" t="s">
        <v>162</v>
      </c>
      <c r="D1859" s="33" t="s">
        <v>5941</v>
      </c>
      <c r="E1859" s="37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1859" s="32" t="s">
        <v>198</v>
      </c>
      <c r="G1859" s="32" t="s">
        <v>199</v>
      </c>
      <c r="H1859" s="139" t="s">
        <v>5942</v>
      </c>
      <c r="I1859" s="33" t="s">
        <v>5943</v>
      </c>
      <c r="J1859" s="143" t="s">
        <v>5944</v>
      </c>
      <c r="K1859" s="33" t="s">
        <v>169</v>
      </c>
      <c r="L1859" s="102" t="str">
        <f>VLOOKUP(Anexo_4[[#This Row],[cod_doc]],TIPODOC,2,FALSE)</f>
        <v>FACTURA</v>
      </c>
      <c r="M1859" s="33" t="s">
        <v>1062</v>
      </c>
      <c r="N1859" s="32" t="s">
        <v>5945</v>
      </c>
      <c r="O1859" s="48"/>
      <c r="P1859" s="49">
        <v>141.82</v>
      </c>
      <c r="Q1859" s="81"/>
      <c r="R1859" s="80">
        <v>14.18</v>
      </c>
      <c r="S1859" s="48">
        <v>0</v>
      </c>
      <c r="T1859" s="72">
        <v>156</v>
      </c>
      <c r="U1859" s="70"/>
      <c r="V1859" s="32"/>
      <c r="W1859" s="70"/>
      <c r="X1859" s="70"/>
      <c r="Y1859" s="70"/>
      <c r="Z1859" s="70" t="s">
        <v>684</v>
      </c>
      <c r="AA1859" s="71"/>
      <c r="AB1859" s="117" t="str">
        <f>IFERROR(VLOOKUP(Anexo_4[[#This Row],[cuenta]],OP,2,0),"-")</f>
        <v>-</v>
      </c>
    </row>
    <row r="1860" spans="1:28" ht="27" customHeight="1" x14ac:dyDescent="0.3">
      <c r="A1860" s="34" t="s">
        <v>4447</v>
      </c>
      <c r="B1860" s="36" t="str">
        <f t="shared" si="30"/>
        <v>Setiembre</v>
      </c>
      <c r="C1860" s="33" t="s">
        <v>162</v>
      </c>
      <c r="D1860" s="33" t="s">
        <v>5946</v>
      </c>
      <c r="E1860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860" s="32"/>
      <c r="G1860" s="32"/>
      <c r="H1860" s="139"/>
      <c r="I1860" s="33" t="s">
        <v>1836</v>
      </c>
      <c r="J1860" s="143" t="s">
        <v>1837</v>
      </c>
      <c r="K1860" s="33" t="s">
        <v>169</v>
      </c>
      <c r="L1860" s="102" t="str">
        <f>VLOOKUP(Anexo_4[[#This Row],[cod_doc]],TIPODOC,2,FALSE)</f>
        <v>FACTURA</v>
      </c>
      <c r="M1860" s="33" t="s">
        <v>1906</v>
      </c>
      <c r="N1860" s="32" t="s">
        <v>5947</v>
      </c>
      <c r="O1860" s="48">
        <v>185.59</v>
      </c>
      <c r="P1860" s="49"/>
      <c r="Q1860" s="81">
        <v>33.409999999999997</v>
      </c>
      <c r="R1860" s="80"/>
      <c r="S1860" s="48">
        <v>0</v>
      </c>
      <c r="T1860" s="72">
        <v>219</v>
      </c>
      <c r="U1860" s="70"/>
      <c r="V1860" s="32"/>
      <c r="W1860" s="70"/>
      <c r="X1860" s="70"/>
      <c r="Y1860" s="70"/>
      <c r="Z1860" s="70"/>
      <c r="AA1860" s="71"/>
      <c r="AB1860" s="117" t="str">
        <f>IFERROR(VLOOKUP(Anexo_4[[#This Row],[cuenta]],OP,2,0),"-")</f>
        <v>-</v>
      </c>
    </row>
    <row r="1861" spans="1:28" ht="27" customHeight="1" x14ac:dyDescent="0.3">
      <c r="A1861" s="34" t="s">
        <v>3879</v>
      </c>
      <c r="B1861" s="36" t="str">
        <f t="shared" si="30"/>
        <v>Setiembre</v>
      </c>
      <c r="C1861" s="33" t="s">
        <v>162</v>
      </c>
      <c r="D1861" s="33" t="s">
        <v>5948</v>
      </c>
      <c r="E1861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861" s="32"/>
      <c r="G1861" s="32"/>
      <c r="H1861" s="139"/>
      <c r="I1861" s="33" t="s">
        <v>1031</v>
      </c>
      <c r="J1861" s="143" t="s">
        <v>1032</v>
      </c>
      <c r="K1861" s="33" t="s">
        <v>169</v>
      </c>
      <c r="L1861" s="102" t="str">
        <f>VLOOKUP(Anexo_4[[#This Row],[cod_doc]],TIPODOC,2,FALSE)</f>
        <v>FACTURA</v>
      </c>
      <c r="M1861" s="33" t="s">
        <v>222</v>
      </c>
      <c r="N1861" s="32" t="s">
        <v>5949</v>
      </c>
      <c r="O1861" s="48">
        <v>975</v>
      </c>
      <c r="P1861" s="49"/>
      <c r="Q1861" s="81">
        <v>175.5</v>
      </c>
      <c r="R1861" s="80"/>
      <c r="S1861" s="48">
        <v>0</v>
      </c>
      <c r="T1861" s="72">
        <v>1150.5</v>
      </c>
      <c r="U1861" s="70"/>
      <c r="V1861" s="32"/>
      <c r="W1861" s="70"/>
      <c r="X1861" s="70"/>
      <c r="Y1861" s="70"/>
      <c r="Z1861" s="70"/>
      <c r="AA1861" s="71"/>
      <c r="AB1861" s="117" t="str">
        <f>IFERROR(VLOOKUP(Anexo_4[[#This Row],[cuenta]],OP,2,0),"-")</f>
        <v>-</v>
      </c>
    </row>
    <row r="1862" spans="1:28" ht="27" customHeight="1" x14ac:dyDescent="0.3">
      <c r="A1862" s="34" t="s">
        <v>5667</v>
      </c>
      <c r="B1862" s="36" t="str">
        <f t="shared" si="30"/>
        <v>Setiembre</v>
      </c>
      <c r="C1862" s="33" t="s">
        <v>162</v>
      </c>
      <c r="D1862" s="33" t="s">
        <v>5950</v>
      </c>
      <c r="E1862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862" s="32" t="s">
        <v>1028</v>
      </c>
      <c r="G1862" s="32" t="s">
        <v>1029</v>
      </c>
      <c r="H1862" s="139" t="s">
        <v>5951</v>
      </c>
      <c r="I1862" s="33" t="s">
        <v>1031</v>
      </c>
      <c r="J1862" s="143" t="s">
        <v>1032</v>
      </c>
      <c r="K1862" s="33" t="s">
        <v>169</v>
      </c>
      <c r="L1862" s="102" t="str">
        <f>VLOOKUP(Anexo_4[[#This Row],[cod_doc]],TIPODOC,2,FALSE)</f>
        <v>FACTURA</v>
      </c>
      <c r="M1862" s="33" t="s">
        <v>222</v>
      </c>
      <c r="N1862" s="32" t="s">
        <v>5952</v>
      </c>
      <c r="O1862" s="48">
        <v>975</v>
      </c>
      <c r="P1862" s="49"/>
      <c r="Q1862" s="81">
        <v>175.5</v>
      </c>
      <c r="R1862" s="80"/>
      <c r="S1862" s="48">
        <v>0</v>
      </c>
      <c r="T1862" s="72">
        <v>1150.5</v>
      </c>
      <c r="U1862" s="70"/>
      <c r="V1862" s="32"/>
      <c r="W1862" s="70"/>
      <c r="X1862" s="70"/>
      <c r="Y1862" s="70"/>
      <c r="Z1862" s="70" t="s">
        <v>1034</v>
      </c>
      <c r="AA1862" s="71"/>
      <c r="AB1862" s="117" t="str">
        <f>IFERROR(VLOOKUP(Anexo_4[[#This Row],[cuenta]],OP,2,0),"-")</f>
        <v>-</v>
      </c>
    </row>
    <row r="1863" spans="1:28" ht="27" customHeight="1" x14ac:dyDescent="0.3">
      <c r="A1863" s="34" t="s">
        <v>5910</v>
      </c>
      <c r="B1863" s="36" t="str">
        <f t="shared" si="30"/>
        <v>Setiembre</v>
      </c>
      <c r="C1863" s="33" t="s">
        <v>162</v>
      </c>
      <c r="D1863" s="33" t="s">
        <v>5953</v>
      </c>
      <c r="E1863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863" s="32" t="s">
        <v>442</v>
      </c>
      <c r="G1863" s="32" t="s">
        <v>443</v>
      </c>
      <c r="H1863" s="139" t="s">
        <v>5954</v>
      </c>
      <c r="I1863" s="33" t="s">
        <v>3924</v>
      </c>
      <c r="J1863" s="143" t="s">
        <v>3925</v>
      </c>
      <c r="K1863" s="33" t="s">
        <v>169</v>
      </c>
      <c r="L1863" s="102" t="str">
        <f>VLOOKUP(Anexo_4[[#This Row],[cod_doc]],TIPODOC,2,FALSE)</f>
        <v>FACTURA</v>
      </c>
      <c r="M1863" s="33" t="s">
        <v>102</v>
      </c>
      <c r="N1863" s="32" t="s">
        <v>1992</v>
      </c>
      <c r="O1863" s="48">
        <v>0</v>
      </c>
      <c r="P1863" s="49"/>
      <c r="Q1863" s="81">
        <v>0</v>
      </c>
      <c r="R1863" s="80"/>
      <c r="S1863" s="48">
        <v>600</v>
      </c>
      <c r="T1863" s="72">
        <v>600</v>
      </c>
      <c r="U1863" s="70"/>
      <c r="V1863" s="32"/>
      <c r="W1863" s="70"/>
      <c r="X1863" s="70"/>
      <c r="Y1863" s="70"/>
      <c r="Z1863" s="70" t="s">
        <v>5809</v>
      </c>
      <c r="AA1863" s="71"/>
      <c r="AB1863" s="117" t="str">
        <f>IFERROR(VLOOKUP(Anexo_4[[#This Row],[cuenta]],OP,2,0),"-")</f>
        <v>-</v>
      </c>
    </row>
    <row r="1864" spans="1:28" ht="27" customHeight="1" x14ac:dyDescent="0.3">
      <c r="A1864" s="34" t="s">
        <v>5274</v>
      </c>
      <c r="B1864" s="36" t="str">
        <f t="shared" si="30"/>
        <v>Setiembre</v>
      </c>
      <c r="C1864" s="33" t="s">
        <v>162</v>
      </c>
      <c r="D1864" s="33" t="s">
        <v>5955</v>
      </c>
      <c r="E1864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864" s="32" t="s">
        <v>164</v>
      </c>
      <c r="G1864" s="32" t="s">
        <v>165</v>
      </c>
      <c r="H1864" s="139" t="s">
        <v>970</v>
      </c>
      <c r="I1864" s="33" t="s">
        <v>971</v>
      </c>
      <c r="J1864" s="143" t="s">
        <v>972</v>
      </c>
      <c r="K1864" s="33" t="s">
        <v>439</v>
      </c>
      <c r="L1864" s="102" t="str">
        <f>VLOOKUP(Anexo_4[[#This Row],[cod_doc]],TIPODOC,2,FALSE)</f>
        <v>RECIBO POR SERV. PUBLICOS</v>
      </c>
      <c r="M1864" s="33" t="s">
        <v>1048</v>
      </c>
      <c r="N1864" s="32" t="s">
        <v>5956</v>
      </c>
      <c r="O1864" s="48">
        <v>896.15</v>
      </c>
      <c r="P1864" s="49"/>
      <c r="Q1864" s="81">
        <v>161.31</v>
      </c>
      <c r="R1864" s="80"/>
      <c r="S1864" s="48">
        <v>0</v>
      </c>
      <c r="T1864" s="72">
        <v>1057.46</v>
      </c>
      <c r="U1864" s="70"/>
      <c r="V1864" s="32"/>
      <c r="W1864" s="70"/>
      <c r="X1864" s="70"/>
      <c r="Y1864" s="70"/>
      <c r="Z1864" s="70" t="s">
        <v>974</v>
      </c>
      <c r="AA1864" s="71"/>
      <c r="AB1864" s="117" t="str">
        <f>IFERROR(VLOOKUP(Anexo_4[[#This Row],[cuenta]],OP,2,0),"-")</f>
        <v>-</v>
      </c>
    </row>
    <row r="1865" spans="1:28" ht="27" customHeight="1" x14ac:dyDescent="0.3">
      <c r="A1865" s="34" t="s">
        <v>5921</v>
      </c>
      <c r="B1865" s="36" t="str">
        <f t="shared" si="30"/>
        <v>Setiembre</v>
      </c>
      <c r="C1865" s="33" t="s">
        <v>162</v>
      </c>
      <c r="D1865" s="33" t="s">
        <v>5957</v>
      </c>
      <c r="E1865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865" s="32" t="s">
        <v>164</v>
      </c>
      <c r="G1865" s="32" t="s">
        <v>165</v>
      </c>
      <c r="H1865" s="139" t="s">
        <v>976</v>
      </c>
      <c r="I1865" s="33" t="s">
        <v>971</v>
      </c>
      <c r="J1865" s="143" t="s">
        <v>972</v>
      </c>
      <c r="K1865" s="33" t="s">
        <v>169</v>
      </c>
      <c r="L1865" s="102" t="str">
        <f>VLOOKUP(Anexo_4[[#This Row],[cod_doc]],TIPODOC,2,FALSE)</f>
        <v>FACTURA</v>
      </c>
      <c r="M1865" s="33" t="s">
        <v>973</v>
      </c>
      <c r="N1865" s="32" t="s">
        <v>5958</v>
      </c>
      <c r="O1865" s="48">
        <v>528</v>
      </c>
      <c r="P1865" s="49"/>
      <c r="Q1865" s="81">
        <v>95.04</v>
      </c>
      <c r="R1865" s="80"/>
      <c r="S1865" s="48">
        <v>0</v>
      </c>
      <c r="T1865" s="72">
        <v>623.04</v>
      </c>
      <c r="U1865" s="70"/>
      <c r="V1865" s="32"/>
      <c r="W1865" s="70"/>
      <c r="X1865" s="70"/>
      <c r="Y1865" s="70"/>
      <c r="Z1865" s="70" t="s">
        <v>977</v>
      </c>
      <c r="AA1865" s="71"/>
      <c r="AB1865" s="117" t="str">
        <f>IFERROR(VLOOKUP(Anexo_4[[#This Row],[cuenta]],OP,2,0),"-")</f>
        <v>-</v>
      </c>
    </row>
    <row r="1866" spans="1:28" ht="27" customHeight="1" x14ac:dyDescent="0.3">
      <c r="A1866" s="34" t="s">
        <v>5486</v>
      </c>
      <c r="B1866" s="36" t="str">
        <f t="shared" si="30"/>
        <v>Setiembre</v>
      </c>
      <c r="C1866" s="33" t="s">
        <v>162</v>
      </c>
      <c r="D1866" s="33" t="s">
        <v>5959</v>
      </c>
      <c r="E1866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866" s="32" t="s">
        <v>1366</v>
      </c>
      <c r="G1866" s="32" t="s">
        <v>1367</v>
      </c>
      <c r="H1866" s="139" t="s">
        <v>5960</v>
      </c>
      <c r="I1866" s="33" t="s">
        <v>1369</v>
      </c>
      <c r="J1866" s="143" t="s">
        <v>1370</v>
      </c>
      <c r="K1866" s="33" t="s">
        <v>169</v>
      </c>
      <c r="L1866" s="102" t="str">
        <f>VLOOKUP(Anexo_4[[#This Row],[cod_doc]],TIPODOC,2,FALSE)</f>
        <v>FACTURA</v>
      </c>
      <c r="M1866" s="33" t="s">
        <v>102</v>
      </c>
      <c r="N1866" s="32" t="s">
        <v>5961</v>
      </c>
      <c r="O1866" s="48">
        <v>203.39</v>
      </c>
      <c r="P1866" s="49"/>
      <c r="Q1866" s="81">
        <v>36.61</v>
      </c>
      <c r="R1866" s="80"/>
      <c r="S1866" s="48">
        <v>0</v>
      </c>
      <c r="T1866" s="72">
        <v>240</v>
      </c>
      <c r="U1866" s="70"/>
      <c r="V1866" s="32"/>
      <c r="W1866" s="70"/>
      <c r="X1866" s="70"/>
      <c r="Y1866" s="70"/>
      <c r="Z1866" s="70" t="s">
        <v>1371</v>
      </c>
      <c r="AA1866" s="71"/>
      <c r="AB1866" s="117" t="str">
        <f>IFERROR(VLOOKUP(Anexo_4[[#This Row],[cuenta]],OP,2,0),"-")</f>
        <v>-</v>
      </c>
    </row>
    <row r="1867" spans="1:28" ht="27" customHeight="1" x14ac:dyDescent="0.3">
      <c r="A1867" s="34" t="s">
        <v>5238</v>
      </c>
      <c r="B1867" s="36" t="str">
        <f t="shared" si="30"/>
        <v>Setiembre</v>
      </c>
      <c r="C1867" s="33" t="s">
        <v>162</v>
      </c>
      <c r="D1867" s="33" t="s">
        <v>5962</v>
      </c>
      <c r="E1867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867" s="32" t="s">
        <v>456</v>
      </c>
      <c r="G1867" s="32" t="s">
        <v>4911</v>
      </c>
      <c r="H1867" s="139" t="s">
        <v>5521</v>
      </c>
      <c r="I1867" s="33" t="s">
        <v>5963</v>
      </c>
      <c r="J1867" s="143" t="s">
        <v>5964</v>
      </c>
      <c r="K1867" s="33" t="s">
        <v>169</v>
      </c>
      <c r="L1867" s="102" t="str">
        <f>VLOOKUP(Anexo_4[[#This Row],[cod_doc]],TIPODOC,2,FALSE)</f>
        <v>FACTURA</v>
      </c>
      <c r="M1867" s="33" t="s">
        <v>102</v>
      </c>
      <c r="N1867" s="32" t="s">
        <v>5965</v>
      </c>
      <c r="O1867" s="48">
        <v>25.42</v>
      </c>
      <c r="P1867" s="49"/>
      <c r="Q1867" s="81">
        <v>4.58</v>
      </c>
      <c r="R1867" s="80"/>
      <c r="S1867" s="48">
        <v>0</v>
      </c>
      <c r="T1867" s="72">
        <v>30</v>
      </c>
      <c r="U1867" s="70"/>
      <c r="V1867" s="32"/>
      <c r="W1867" s="70"/>
      <c r="X1867" s="70"/>
      <c r="Y1867" s="70"/>
      <c r="Z1867" s="70" t="s">
        <v>507</v>
      </c>
      <c r="AA1867" s="71"/>
      <c r="AB1867" s="117" t="str">
        <f>IFERROR(VLOOKUP(Anexo_4[[#This Row],[cuenta]],OP,2,0),"-")</f>
        <v>Transporte lavado (Higienización)</v>
      </c>
    </row>
    <row r="1868" spans="1:28" ht="27" customHeight="1" x14ac:dyDescent="0.3">
      <c r="A1868" s="34" t="s">
        <v>5486</v>
      </c>
      <c r="B1868" s="36" t="str">
        <f t="shared" si="30"/>
        <v>Setiembre</v>
      </c>
      <c r="C1868" s="33" t="s">
        <v>162</v>
      </c>
      <c r="D1868" s="33" t="s">
        <v>5966</v>
      </c>
      <c r="E1868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868" s="32" t="s">
        <v>355</v>
      </c>
      <c r="G1868" s="32" t="s">
        <v>356</v>
      </c>
      <c r="H1868" s="139" t="s">
        <v>5967</v>
      </c>
      <c r="I1868" s="33" t="s">
        <v>851</v>
      </c>
      <c r="J1868" s="143" t="s">
        <v>852</v>
      </c>
      <c r="K1868" s="33" t="s">
        <v>169</v>
      </c>
      <c r="L1868" s="102" t="str">
        <f>VLOOKUP(Anexo_4[[#This Row],[cod_doc]],TIPODOC,2,FALSE)</f>
        <v>FACTURA</v>
      </c>
      <c r="M1868" s="33" t="s">
        <v>222</v>
      </c>
      <c r="N1868" s="32" t="s">
        <v>5968</v>
      </c>
      <c r="O1868" s="48">
        <v>8575.32</v>
      </c>
      <c r="P1868" s="49"/>
      <c r="Q1868" s="81">
        <v>1543.56</v>
      </c>
      <c r="R1868" s="80"/>
      <c r="S1868" s="48">
        <v>0</v>
      </c>
      <c r="T1868" s="72">
        <v>10118.879999999999</v>
      </c>
      <c r="U1868" s="70"/>
      <c r="V1868" s="32"/>
      <c r="W1868" s="70"/>
      <c r="X1868" s="70"/>
      <c r="Y1868" s="70"/>
      <c r="Z1868" s="70" t="s">
        <v>854</v>
      </c>
      <c r="AA1868" s="71"/>
      <c r="AB1868" s="117" t="str">
        <f>IFERROR(VLOOKUP(Anexo_4[[#This Row],[cuenta]],OP,2,0),"-")</f>
        <v>Disposición Final de RR.SS - Peligrosos</v>
      </c>
    </row>
    <row r="1869" spans="1:28" ht="27" customHeight="1" x14ac:dyDescent="0.3">
      <c r="A1869" s="34" t="s">
        <v>5078</v>
      </c>
      <c r="B1869" s="36" t="str">
        <f t="shared" si="30"/>
        <v>Setiembre</v>
      </c>
      <c r="C1869" s="33" t="s">
        <v>162</v>
      </c>
      <c r="D1869" s="33" t="s">
        <v>5969</v>
      </c>
      <c r="E1869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869" s="32" t="s">
        <v>418</v>
      </c>
      <c r="G1869" s="32" t="s">
        <v>419</v>
      </c>
      <c r="H1869" s="139" t="s">
        <v>5521</v>
      </c>
      <c r="I1869" s="33" t="s">
        <v>2130</v>
      </c>
      <c r="J1869" s="143" t="s">
        <v>2131</v>
      </c>
      <c r="K1869" s="33" t="s">
        <v>169</v>
      </c>
      <c r="L1869" s="102" t="str">
        <f>VLOOKUP(Anexo_4[[#This Row],[cod_doc]],TIPODOC,2,FALSE)</f>
        <v>FACTURA</v>
      </c>
      <c r="M1869" s="33" t="s">
        <v>102</v>
      </c>
      <c r="N1869" s="32" t="s">
        <v>5970</v>
      </c>
      <c r="O1869" s="48">
        <v>29.66</v>
      </c>
      <c r="P1869" s="49"/>
      <c r="Q1869" s="81">
        <v>5.34</v>
      </c>
      <c r="R1869" s="80"/>
      <c r="S1869" s="48">
        <v>0</v>
      </c>
      <c r="T1869" s="72">
        <v>35</v>
      </c>
      <c r="U1869" s="70"/>
      <c r="V1869" s="32"/>
      <c r="W1869" s="70"/>
      <c r="X1869" s="70"/>
      <c r="Y1869" s="70"/>
      <c r="Z1869" s="70" t="s">
        <v>507</v>
      </c>
      <c r="AA1869" s="71"/>
      <c r="AB1869" s="117" t="str">
        <f>IFERROR(VLOOKUP(Anexo_4[[#This Row],[cuenta]],OP,2,0),"-")</f>
        <v>Transporte lavado (Higienización)</v>
      </c>
    </row>
    <row r="1870" spans="1:28" ht="27" customHeight="1" x14ac:dyDescent="0.3">
      <c r="A1870" s="34" t="s">
        <v>5971</v>
      </c>
      <c r="B1870" s="36" t="str">
        <f t="shared" ref="B1870:B2134" si="31">PROPER(CHOOSE(LEFT(D1870,2),"enero","febrero","marzo","abril","mayo","junio","julio","agosto","setiembre","octubre","noviembre","diciembre"))</f>
        <v>Setiembre</v>
      </c>
      <c r="C1870" s="33" t="s">
        <v>162</v>
      </c>
      <c r="D1870" s="33" t="s">
        <v>5972</v>
      </c>
      <c r="E1870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870" s="32"/>
      <c r="G1870" s="32"/>
      <c r="H1870" s="139" t="s">
        <v>5973</v>
      </c>
      <c r="I1870" s="33" t="s">
        <v>971</v>
      </c>
      <c r="J1870" s="143" t="s">
        <v>5974</v>
      </c>
      <c r="K1870" s="33" t="s">
        <v>439</v>
      </c>
      <c r="L1870" s="102" t="str">
        <f>VLOOKUP(Anexo_4[[#This Row],[cod_doc]],TIPODOC,2,FALSE)</f>
        <v>RECIBO POR SERV. PUBLICOS</v>
      </c>
      <c r="M1870" s="33" t="s">
        <v>1048</v>
      </c>
      <c r="N1870" s="32" t="s">
        <v>5975</v>
      </c>
      <c r="O1870" s="48">
        <v>676.44</v>
      </c>
      <c r="P1870" s="49"/>
      <c r="Q1870" s="81">
        <v>121.76</v>
      </c>
      <c r="R1870" s="80"/>
      <c r="S1870" s="48">
        <v>0</v>
      </c>
      <c r="T1870" s="72">
        <v>798.2</v>
      </c>
      <c r="U1870" s="70"/>
      <c r="V1870" s="32"/>
      <c r="W1870" s="70"/>
      <c r="X1870" s="70"/>
      <c r="Y1870" s="70"/>
      <c r="Z1870" s="70"/>
      <c r="AA1870" s="71"/>
      <c r="AB1870" s="117" t="str">
        <f>IFERROR(VLOOKUP(Anexo_4[[#This Row],[cuenta]],OP,2,0),"-")</f>
        <v>-</v>
      </c>
    </row>
    <row r="1871" spans="1:28" ht="27" customHeight="1" x14ac:dyDescent="0.3">
      <c r="A1871" s="34" t="s">
        <v>5071</v>
      </c>
      <c r="B1871" s="36" t="str">
        <f t="shared" ref="B1871:B1902" si="32">PROPER(CHOOSE(LEFT(D1871,2),"enero","febrero","marzo","abril","mayo","junio","julio","agosto","setiembre","octubre","noviembre","diciembre"))</f>
        <v>Setiembre</v>
      </c>
      <c r="C1871" s="33" t="s">
        <v>162</v>
      </c>
      <c r="D1871" s="33" t="s">
        <v>5976</v>
      </c>
      <c r="E1871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871" s="32" t="s">
        <v>217</v>
      </c>
      <c r="G1871" s="32" t="s">
        <v>4839</v>
      </c>
      <c r="H1871" s="139" t="s">
        <v>5977</v>
      </c>
      <c r="I1871" s="33" t="s">
        <v>2357</v>
      </c>
      <c r="J1871" s="143" t="s">
        <v>5978</v>
      </c>
      <c r="K1871" s="33" t="s">
        <v>169</v>
      </c>
      <c r="L1871" s="102" t="str">
        <f>VLOOKUP(Anexo_4[[#This Row],[cod_doc]],TIPODOC,2,FALSE)</f>
        <v>FACTURA</v>
      </c>
      <c r="M1871" s="33" t="s">
        <v>982</v>
      </c>
      <c r="N1871" s="32" t="s">
        <v>5979</v>
      </c>
      <c r="O1871" s="48">
        <v>8.4700000000000006</v>
      </c>
      <c r="P1871" s="49"/>
      <c r="Q1871" s="81">
        <v>1.53</v>
      </c>
      <c r="R1871" s="80"/>
      <c r="S1871" s="48">
        <v>0</v>
      </c>
      <c r="T1871" s="72">
        <v>10</v>
      </c>
      <c r="U1871" s="70"/>
      <c r="V1871" s="32"/>
      <c r="W1871" s="70"/>
      <c r="X1871" s="70"/>
      <c r="Y1871" s="70"/>
      <c r="Z1871" s="70" t="s">
        <v>710</v>
      </c>
      <c r="AA1871" s="71"/>
      <c r="AB1871" s="117" t="str">
        <f>IFERROR(VLOOKUP(Anexo_4[[#This Row],[cuenta]],OP,2,0),"-")</f>
        <v>Accesorios Vehiculares</v>
      </c>
    </row>
    <row r="1872" spans="1:28" ht="27" customHeight="1" x14ac:dyDescent="0.3">
      <c r="A1872" s="34" t="s">
        <v>5095</v>
      </c>
      <c r="B1872" s="36" t="str">
        <f t="shared" si="32"/>
        <v>Setiembre</v>
      </c>
      <c r="C1872" s="33" t="s">
        <v>162</v>
      </c>
      <c r="D1872" s="33" t="s">
        <v>5980</v>
      </c>
      <c r="E1872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872" s="32" t="s">
        <v>418</v>
      </c>
      <c r="G1872" s="32" t="s">
        <v>419</v>
      </c>
      <c r="H1872" s="139" t="s">
        <v>5981</v>
      </c>
      <c r="I1872" s="33" t="s">
        <v>5982</v>
      </c>
      <c r="J1872" s="143" t="s">
        <v>5983</v>
      </c>
      <c r="K1872" s="33" t="s">
        <v>239</v>
      </c>
      <c r="L1872" s="102" t="str">
        <f>VLOOKUP(Anexo_4[[#This Row],[cod_doc]],TIPODOC,2,FALSE)</f>
        <v>BOLETA DE VENTA</v>
      </c>
      <c r="M1872" s="33" t="s">
        <v>5938</v>
      </c>
      <c r="N1872" s="32" t="s">
        <v>5984</v>
      </c>
      <c r="O1872" s="48">
        <v>0</v>
      </c>
      <c r="P1872" s="49"/>
      <c r="Q1872" s="81">
        <v>0</v>
      </c>
      <c r="R1872" s="80"/>
      <c r="S1872" s="48">
        <v>20</v>
      </c>
      <c r="T1872" s="72">
        <v>20</v>
      </c>
      <c r="U1872" s="70"/>
      <c r="V1872" s="32"/>
      <c r="W1872" s="70"/>
      <c r="X1872" s="70"/>
      <c r="Y1872" s="70"/>
      <c r="Z1872" s="70" t="s">
        <v>241</v>
      </c>
      <c r="AA1872" s="71"/>
      <c r="AB1872" s="117" t="str">
        <f>IFERROR(VLOOKUP(Anexo_4[[#This Row],[cuenta]],OP,2,0),"-")</f>
        <v>Mantenimiento Vehicular (Correctivo)</v>
      </c>
    </row>
    <row r="1873" spans="1:28" ht="27" customHeight="1" x14ac:dyDescent="0.3">
      <c r="A1873" s="34" t="s">
        <v>5985</v>
      </c>
      <c r="B1873" s="36" t="str">
        <f t="shared" si="32"/>
        <v>Setiembre</v>
      </c>
      <c r="C1873" s="33" t="s">
        <v>162</v>
      </c>
      <c r="D1873" s="33" t="s">
        <v>5986</v>
      </c>
      <c r="E1873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873" s="32" t="s">
        <v>355</v>
      </c>
      <c r="G1873" s="32" t="s">
        <v>356</v>
      </c>
      <c r="H1873" s="139" t="s">
        <v>5987</v>
      </c>
      <c r="I1873" s="33" t="s">
        <v>1060</v>
      </c>
      <c r="J1873" s="143" t="s">
        <v>4950</v>
      </c>
      <c r="K1873" s="33" t="s">
        <v>169</v>
      </c>
      <c r="L1873" s="102" t="str">
        <f>VLOOKUP(Anexo_4[[#This Row],[cod_doc]],TIPODOC,2,FALSE)</f>
        <v>FACTURA</v>
      </c>
      <c r="M1873" s="33" t="s">
        <v>1062</v>
      </c>
      <c r="N1873" s="32" t="s">
        <v>5988</v>
      </c>
      <c r="O1873" s="48">
        <v>35.590000000000003</v>
      </c>
      <c r="P1873" s="49"/>
      <c r="Q1873" s="81">
        <v>6.41</v>
      </c>
      <c r="R1873" s="80"/>
      <c r="S1873" s="48">
        <v>0</v>
      </c>
      <c r="T1873" s="72">
        <v>42</v>
      </c>
      <c r="U1873" s="70"/>
      <c r="V1873" s="32"/>
      <c r="W1873" s="70"/>
      <c r="X1873" s="70"/>
      <c r="Y1873" s="70"/>
      <c r="Z1873" s="70" t="s">
        <v>846</v>
      </c>
      <c r="AA1873" s="71"/>
      <c r="AB1873" s="117" t="str">
        <f>IFERROR(VLOOKUP(Anexo_4[[#This Row],[cuenta]],OP,2,0),"-")</f>
        <v>-</v>
      </c>
    </row>
    <row r="1874" spans="1:28" ht="27" customHeight="1" x14ac:dyDescent="0.3">
      <c r="A1874" s="34" t="s">
        <v>4206</v>
      </c>
      <c r="B1874" s="36" t="str">
        <f t="shared" si="32"/>
        <v>Setiembre</v>
      </c>
      <c r="C1874" s="33" t="s">
        <v>162</v>
      </c>
      <c r="D1874" s="33" t="s">
        <v>5989</v>
      </c>
      <c r="E1874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874" s="32"/>
      <c r="G1874" s="32"/>
      <c r="H1874" s="139" t="s">
        <v>5990</v>
      </c>
      <c r="I1874" s="33" t="s">
        <v>2050</v>
      </c>
      <c r="J1874" s="143" t="s">
        <v>5818</v>
      </c>
      <c r="K1874" s="33" t="s">
        <v>169</v>
      </c>
      <c r="L1874" s="102" t="str">
        <f>VLOOKUP(Anexo_4[[#This Row],[cod_doc]],TIPODOC,2,FALSE)</f>
        <v>FACTURA</v>
      </c>
      <c r="M1874" s="33" t="s">
        <v>2062</v>
      </c>
      <c r="N1874" s="32" t="s">
        <v>5991</v>
      </c>
      <c r="O1874" s="48">
        <v>11.86</v>
      </c>
      <c r="P1874" s="49"/>
      <c r="Q1874" s="81">
        <v>2.13</v>
      </c>
      <c r="R1874" s="80"/>
      <c r="S1874" s="48">
        <v>0</v>
      </c>
      <c r="T1874" s="72">
        <v>13.99</v>
      </c>
      <c r="U1874" s="70"/>
      <c r="V1874" s="32"/>
      <c r="W1874" s="70"/>
      <c r="X1874" s="70"/>
      <c r="Y1874" s="70"/>
      <c r="Z1874" s="70"/>
      <c r="AA1874" s="71"/>
      <c r="AB1874" s="117" t="str">
        <f>IFERROR(VLOOKUP(Anexo_4[[#This Row],[cuenta]],OP,2,0),"-")</f>
        <v>-</v>
      </c>
    </row>
    <row r="1875" spans="1:28" ht="27" customHeight="1" x14ac:dyDescent="0.3">
      <c r="A1875" s="34" t="s">
        <v>5921</v>
      </c>
      <c r="B1875" s="36" t="str">
        <f t="shared" si="32"/>
        <v>Setiembre</v>
      </c>
      <c r="C1875" s="33" t="s">
        <v>162</v>
      </c>
      <c r="D1875" s="33" t="s">
        <v>5992</v>
      </c>
      <c r="E1875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875" s="32" t="s">
        <v>355</v>
      </c>
      <c r="G1875" s="32" t="s">
        <v>356</v>
      </c>
      <c r="H1875" s="139" t="s">
        <v>5993</v>
      </c>
      <c r="I1875" s="33" t="s">
        <v>5994</v>
      </c>
      <c r="J1875" s="143" t="s">
        <v>5995</v>
      </c>
      <c r="K1875" s="33" t="s">
        <v>169</v>
      </c>
      <c r="L1875" s="102" t="str">
        <f>VLOOKUP(Anexo_4[[#This Row],[cod_doc]],TIPODOC,2,FALSE)</f>
        <v>FACTURA</v>
      </c>
      <c r="M1875" s="33" t="s">
        <v>5996</v>
      </c>
      <c r="N1875" s="32" t="s">
        <v>5997</v>
      </c>
      <c r="O1875" s="48">
        <v>22.2</v>
      </c>
      <c r="P1875" s="49"/>
      <c r="Q1875" s="81">
        <v>4</v>
      </c>
      <c r="R1875" s="80"/>
      <c r="S1875" s="48">
        <v>0</v>
      </c>
      <c r="T1875" s="72">
        <v>26.2</v>
      </c>
      <c r="U1875" s="70"/>
      <c r="V1875" s="32"/>
      <c r="W1875" s="70"/>
      <c r="X1875" s="70"/>
      <c r="Y1875" s="70"/>
      <c r="Z1875" s="70" t="s">
        <v>361</v>
      </c>
      <c r="AA1875" s="71"/>
      <c r="AB1875" s="117" t="str">
        <f>IFERROR(VLOOKUP(Anexo_4[[#This Row],[cuenta]],OP,2,0),"-")</f>
        <v>Alimentacion (Operativo)</v>
      </c>
    </row>
    <row r="1876" spans="1:28" ht="27" customHeight="1" x14ac:dyDescent="0.3">
      <c r="A1876" s="34" t="s">
        <v>5078</v>
      </c>
      <c r="B1876" s="36" t="str">
        <f t="shared" si="32"/>
        <v>Setiembre</v>
      </c>
      <c r="C1876" s="33" t="s">
        <v>162</v>
      </c>
      <c r="D1876" s="33" t="s">
        <v>5998</v>
      </c>
      <c r="E1876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876" s="32" t="s">
        <v>355</v>
      </c>
      <c r="G1876" s="32" t="s">
        <v>356</v>
      </c>
      <c r="H1876" s="139" t="s">
        <v>5999</v>
      </c>
      <c r="I1876" s="33" t="s">
        <v>5994</v>
      </c>
      <c r="J1876" s="143" t="s">
        <v>5995</v>
      </c>
      <c r="K1876" s="33" t="s">
        <v>169</v>
      </c>
      <c r="L1876" s="102" t="str">
        <f>VLOOKUP(Anexo_4[[#This Row],[cod_doc]],TIPODOC,2,FALSE)</f>
        <v>FACTURA</v>
      </c>
      <c r="M1876" s="33" t="s">
        <v>5996</v>
      </c>
      <c r="N1876" s="32" t="s">
        <v>6000</v>
      </c>
      <c r="O1876" s="48">
        <v>46.86</v>
      </c>
      <c r="P1876" s="49"/>
      <c r="Q1876" s="81">
        <v>8.44</v>
      </c>
      <c r="R1876" s="80"/>
      <c r="S1876" s="48">
        <v>0</v>
      </c>
      <c r="T1876" s="72">
        <v>55.3</v>
      </c>
      <c r="U1876" s="70"/>
      <c r="V1876" s="32"/>
      <c r="W1876" s="70"/>
      <c r="X1876" s="70"/>
      <c r="Y1876" s="70"/>
      <c r="Z1876" s="70" t="s">
        <v>361</v>
      </c>
      <c r="AA1876" s="71"/>
      <c r="AB1876" s="117" t="str">
        <f>IFERROR(VLOOKUP(Anexo_4[[#This Row],[cuenta]],OP,2,0),"-")</f>
        <v>Alimentacion (Operativo)</v>
      </c>
    </row>
    <row r="1877" spans="1:28" ht="27" customHeight="1" x14ac:dyDescent="0.3">
      <c r="A1877" s="34" t="s">
        <v>5078</v>
      </c>
      <c r="B1877" s="36" t="str">
        <f t="shared" si="32"/>
        <v>Setiembre</v>
      </c>
      <c r="C1877" s="33" t="s">
        <v>162</v>
      </c>
      <c r="D1877" s="33" t="s">
        <v>6001</v>
      </c>
      <c r="E1877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877" s="32" t="s">
        <v>355</v>
      </c>
      <c r="G1877" s="32" t="s">
        <v>356</v>
      </c>
      <c r="H1877" s="139" t="s">
        <v>6002</v>
      </c>
      <c r="I1877" s="33" t="s">
        <v>1610</v>
      </c>
      <c r="J1877" s="143" t="s">
        <v>6003</v>
      </c>
      <c r="K1877" s="33" t="s">
        <v>169</v>
      </c>
      <c r="L1877" s="102" t="str">
        <f>VLOOKUP(Anexo_4[[#This Row],[cod_doc]],TIPODOC,2,FALSE)</f>
        <v>FACTURA</v>
      </c>
      <c r="M1877" s="33" t="s">
        <v>222</v>
      </c>
      <c r="N1877" s="32" t="s">
        <v>6004</v>
      </c>
      <c r="O1877" s="48">
        <v>10.59</v>
      </c>
      <c r="P1877" s="49"/>
      <c r="Q1877" s="81">
        <v>1.91</v>
      </c>
      <c r="R1877" s="80"/>
      <c r="S1877" s="48">
        <v>0</v>
      </c>
      <c r="T1877" s="72">
        <v>12.5</v>
      </c>
      <c r="U1877" s="70"/>
      <c r="V1877" s="32"/>
      <c r="W1877" s="70"/>
      <c r="X1877" s="70"/>
      <c r="Y1877" s="70"/>
      <c r="Z1877" s="70" t="s">
        <v>1071</v>
      </c>
      <c r="AA1877" s="71"/>
      <c r="AB1877" s="117" t="str">
        <f>IFERROR(VLOOKUP(Anexo_4[[#This Row],[cuenta]],OP,2,0),"-")</f>
        <v>Gastos de Ferreteria</v>
      </c>
    </row>
    <row r="1878" spans="1:28" ht="27" customHeight="1" x14ac:dyDescent="0.3">
      <c r="A1878" s="34" t="s">
        <v>5080</v>
      </c>
      <c r="B1878" s="36" t="str">
        <f t="shared" si="32"/>
        <v>Setiembre</v>
      </c>
      <c r="C1878" s="33" t="s">
        <v>162</v>
      </c>
      <c r="D1878" s="33" t="s">
        <v>6005</v>
      </c>
      <c r="E1878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878" s="32" t="s">
        <v>355</v>
      </c>
      <c r="G1878" s="32" t="s">
        <v>356</v>
      </c>
      <c r="H1878" s="139" t="s">
        <v>5817</v>
      </c>
      <c r="I1878" s="33" t="s">
        <v>2050</v>
      </c>
      <c r="J1878" s="143" t="s">
        <v>5818</v>
      </c>
      <c r="K1878" s="33" t="s">
        <v>169</v>
      </c>
      <c r="L1878" s="102" t="str">
        <f>VLOOKUP(Anexo_4[[#This Row],[cod_doc]],TIPODOC,2,FALSE)</f>
        <v>FACTURA</v>
      </c>
      <c r="M1878" s="33" t="s">
        <v>2062</v>
      </c>
      <c r="N1878" s="32" t="s">
        <v>6006</v>
      </c>
      <c r="O1878" s="48">
        <v>11.86</v>
      </c>
      <c r="P1878" s="49"/>
      <c r="Q1878" s="81">
        <v>2.13</v>
      </c>
      <c r="R1878" s="80"/>
      <c r="S1878" s="48">
        <v>0</v>
      </c>
      <c r="T1878" s="72">
        <v>13.99</v>
      </c>
      <c r="U1878" s="70"/>
      <c r="V1878" s="32"/>
      <c r="W1878" s="70"/>
      <c r="X1878" s="70"/>
      <c r="Y1878" s="70"/>
      <c r="Z1878" s="70" t="s">
        <v>196</v>
      </c>
      <c r="AA1878" s="71"/>
      <c r="AB1878" s="117" t="str">
        <f>IFERROR(VLOOKUP(Anexo_4[[#This Row],[cuenta]],OP,2,0),"-")</f>
        <v>Encomienda (Envío de documentación)</v>
      </c>
    </row>
    <row r="1879" spans="1:28" ht="27" customHeight="1" x14ac:dyDescent="0.3">
      <c r="A1879" s="34" t="s">
        <v>4616</v>
      </c>
      <c r="B1879" s="36" t="str">
        <f t="shared" si="32"/>
        <v>Setiembre</v>
      </c>
      <c r="C1879" s="33" t="s">
        <v>162</v>
      </c>
      <c r="D1879" s="33" t="s">
        <v>6007</v>
      </c>
      <c r="E1879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879" s="32"/>
      <c r="G1879" s="32"/>
      <c r="H1879" s="139" t="s">
        <v>6008</v>
      </c>
      <c r="I1879" s="33" t="s">
        <v>2050</v>
      </c>
      <c r="J1879" s="143" t="s">
        <v>5818</v>
      </c>
      <c r="K1879" s="33" t="s">
        <v>169</v>
      </c>
      <c r="L1879" s="102" t="str">
        <f>VLOOKUP(Anexo_4[[#This Row],[cod_doc]],TIPODOC,2,FALSE)</f>
        <v>FACTURA</v>
      </c>
      <c r="M1879" s="33" t="s">
        <v>2052</v>
      </c>
      <c r="N1879" s="32" t="s">
        <v>6009</v>
      </c>
      <c r="O1879" s="48">
        <v>11.86</v>
      </c>
      <c r="P1879" s="49"/>
      <c r="Q1879" s="81">
        <v>2.13</v>
      </c>
      <c r="R1879" s="80"/>
      <c r="S1879" s="48">
        <v>0</v>
      </c>
      <c r="T1879" s="72">
        <v>13.99</v>
      </c>
      <c r="U1879" s="70"/>
      <c r="V1879" s="32"/>
      <c r="W1879" s="70"/>
      <c r="X1879" s="70"/>
      <c r="Y1879" s="70"/>
      <c r="Z1879" s="70"/>
      <c r="AA1879" s="71"/>
      <c r="AB1879" s="117" t="str">
        <f>IFERROR(VLOOKUP(Anexo_4[[#This Row],[cuenta]],OP,2,0),"-")</f>
        <v>-</v>
      </c>
    </row>
    <row r="1880" spans="1:28" ht="27" customHeight="1" x14ac:dyDescent="0.3">
      <c r="A1880" s="34" t="s">
        <v>4994</v>
      </c>
      <c r="B1880" s="36" t="str">
        <f t="shared" si="32"/>
        <v>Setiembre</v>
      </c>
      <c r="C1880" s="33" t="s">
        <v>162</v>
      </c>
      <c r="D1880" s="33" t="s">
        <v>6010</v>
      </c>
      <c r="E1880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880" s="32" t="s">
        <v>355</v>
      </c>
      <c r="G1880" s="32" t="s">
        <v>356</v>
      </c>
      <c r="H1880" s="139" t="s">
        <v>6011</v>
      </c>
      <c r="I1880" s="33" t="s">
        <v>6012</v>
      </c>
      <c r="J1880" s="143" t="s">
        <v>6013</v>
      </c>
      <c r="K1880" s="33" t="s">
        <v>239</v>
      </c>
      <c r="L1880" s="102" t="str">
        <f>VLOOKUP(Anexo_4[[#This Row],[cod_doc]],TIPODOC,2,FALSE)</f>
        <v>BOLETA DE VENTA</v>
      </c>
      <c r="M1880" s="33" t="s">
        <v>5938</v>
      </c>
      <c r="N1880" s="32" t="s">
        <v>6014</v>
      </c>
      <c r="O1880" s="48">
        <v>0</v>
      </c>
      <c r="P1880" s="49"/>
      <c r="Q1880" s="81">
        <v>0</v>
      </c>
      <c r="R1880" s="80"/>
      <c r="S1880" s="48">
        <v>15</v>
      </c>
      <c r="T1880" s="72">
        <v>15</v>
      </c>
      <c r="U1880" s="70"/>
      <c r="V1880" s="32"/>
      <c r="W1880" s="70"/>
      <c r="X1880" s="70"/>
      <c r="Y1880" s="70"/>
      <c r="Z1880" s="70" t="s">
        <v>1839</v>
      </c>
      <c r="AA1880" s="71"/>
      <c r="AB1880" s="117" t="str">
        <f>IFERROR(VLOOKUP(Anexo_4[[#This Row],[cuenta]],OP,2,0),"-")</f>
        <v>-</v>
      </c>
    </row>
    <row r="1881" spans="1:28" ht="27" customHeight="1" x14ac:dyDescent="0.3">
      <c r="A1881" s="34" t="s">
        <v>5255</v>
      </c>
      <c r="B1881" s="36" t="str">
        <f t="shared" si="32"/>
        <v>Setiembre</v>
      </c>
      <c r="C1881" s="33" t="s">
        <v>162</v>
      </c>
      <c r="D1881" s="33" t="s">
        <v>6015</v>
      </c>
      <c r="E1881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881" s="32" t="s">
        <v>418</v>
      </c>
      <c r="G1881" s="32" t="s">
        <v>419</v>
      </c>
      <c r="H1881" s="139" t="s">
        <v>6016</v>
      </c>
      <c r="I1881" s="33" t="s">
        <v>6017</v>
      </c>
      <c r="J1881" s="143" t="s">
        <v>6018</v>
      </c>
      <c r="K1881" s="33" t="s">
        <v>169</v>
      </c>
      <c r="L1881" s="102" t="str">
        <f>VLOOKUP(Anexo_4[[#This Row],[cod_doc]],TIPODOC,2,FALSE)</f>
        <v>FACTURA</v>
      </c>
      <c r="M1881" s="33" t="s">
        <v>102</v>
      </c>
      <c r="N1881" s="32" t="s">
        <v>6019</v>
      </c>
      <c r="O1881" s="48">
        <v>30.51</v>
      </c>
      <c r="P1881" s="49"/>
      <c r="Q1881" s="81">
        <v>5.49</v>
      </c>
      <c r="R1881" s="80"/>
      <c r="S1881" s="48">
        <v>0</v>
      </c>
      <c r="T1881" s="72">
        <v>36</v>
      </c>
      <c r="U1881" s="70"/>
      <c r="V1881" s="32"/>
      <c r="W1881" s="70"/>
      <c r="X1881" s="70"/>
      <c r="Y1881" s="70"/>
      <c r="Z1881" s="70" t="s">
        <v>710</v>
      </c>
      <c r="AA1881" s="71"/>
      <c r="AB1881" s="117" t="str">
        <f>IFERROR(VLOOKUP(Anexo_4[[#This Row],[cuenta]],OP,2,0),"-")</f>
        <v>Accesorios Vehiculares</v>
      </c>
    </row>
    <row r="1882" spans="1:28" ht="27" customHeight="1" x14ac:dyDescent="0.3">
      <c r="A1882" s="34" t="s">
        <v>5910</v>
      </c>
      <c r="B1882" s="36" t="str">
        <f t="shared" si="32"/>
        <v>Setiembre</v>
      </c>
      <c r="C1882" s="33" t="s">
        <v>162</v>
      </c>
      <c r="D1882" s="33" t="s">
        <v>6020</v>
      </c>
      <c r="E1882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882" s="32" t="s">
        <v>248</v>
      </c>
      <c r="G1882" s="32" t="s">
        <v>249</v>
      </c>
      <c r="H1882" s="139" t="s">
        <v>6021</v>
      </c>
      <c r="I1882" s="33" t="s">
        <v>980</v>
      </c>
      <c r="J1882" s="143" t="s">
        <v>5083</v>
      </c>
      <c r="K1882" s="33" t="s">
        <v>169</v>
      </c>
      <c r="L1882" s="102" t="str">
        <f>VLOOKUP(Anexo_4[[#This Row],[cod_doc]],TIPODOC,2,FALSE)</f>
        <v>FACTURA</v>
      </c>
      <c r="M1882" s="33" t="s">
        <v>982</v>
      </c>
      <c r="N1882" s="32" t="s">
        <v>6022</v>
      </c>
      <c r="O1882" s="48">
        <v>325.44</v>
      </c>
      <c r="P1882" s="49"/>
      <c r="Q1882" s="81">
        <v>58.58</v>
      </c>
      <c r="R1882" s="80"/>
      <c r="S1882" s="48">
        <v>0</v>
      </c>
      <c r="T1882" s="72">
        <v>384.02</v>
      </c>
      <c r="U1882" s="70"/>
      <c r="V1882" s="32"/>
      <c r="W1882" s="70"/>
      <c r="X1882" s="70"/>
      <c r="Y1882" s="70"/>
      <c r="Z1882" s="70" t="s">
        <v>256</v>
      </c>
      <c r="AA1882" s="71"/>
      <c r="AB1882" s="117" t="str">
        <f>IFERROR(VLOOKUP(Anexo_4[[#This Row],[cuenta]],OP,2,0),"-")</f>
        <v>Materias Primas - RRSS</v>
      </c>
    </row>
    <row r="1883" spans="1:28" ht="27" customHeight="1" x14ac:dyDescent="0.3">
      <c r="A1883" s="34" t="s">
        <v>5910</v>
      </c>
      <c r="B1883" s="36" t="str">
        <f t="shared" si="32"/>
        <v>Setiembre</v>
      </c>
      <c r="C1883" s="33" t="s">
        <v>162</v>
      </c>
      <c r="D1883" s="33" t="s">
        <v>6023</v>
      </c>
      <c r="E1883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883" s="32" t="s">
        <v>248</v>
      </c>
      <c r="G1883" s="32" t="s">
        <v>249</v>
      </c>
      <c r="H1883" s="139" t="s">
        <v>6024</v>
      </c>
      <c r="I1883" s="33" t="s">
        <v>980</v>
      </c>
      <c r="J1883" s="143" t="s">
        <v>5083</v>
      </c>
      <c r="K1883" s="33" t="s">
        <v>169</v>
      </c>
      <c r="L1883" s="102" t="str">
        <f>VLOOKUP(Anexo_4[[#This Row],[cod_doc]],TIPODOC,2,FALSE)</f>
        <v>FACTURA</v>
      </c>
      <c r="M1883" s="33" t="s">
        <v>982</v>
      </c>
      <c r="N1883" s="32" t="s">
        <v>6025</v>
      </c>
      <c r="O1883" s="48">
        <v>94.49</v>
      </c>
      <c r="P1883" s="49"/>
      <c r="Q1883" s="81">
        <v>17.010000000000002</v>
      </c>
      <c r="R1883" s="80"/>
      <c r="S1883" s="48">
        <v>0</v>
      </c>
      <c r="T1883" s="72">
        <v>111.5</v>
      </c>
      <c r="U1883" s="70"/>
      <c r="V1883" s="32"/>
      <c r="W1883" s="70"/>
      <c r="X1883" s="70"/>
      <c r="Y1883" s="70"/>
      <c r="Z1883" s="70" t="s">
        <v>256</v>
      </c>
      <c r="AA1883" s="71"/>
      <c r="AB1883" s="117" t="str">
        <f>IFERROR(VLOOKUP(Anexo_4[[#This Row],[cuenta]],OP,2,0),"-")</f>
        <v>Materias Primas - RRSS</v>
      </c>
    </row>
    <row r="1884" spans="1:28" ht="27" customHeight="1" x14ac:dyDescent="0.3">
      <c r="A1884" s="34" t="s">
        <v>5914</v>
      </c>
      <c r="B1884" s="36" t="str">
        <f t="shared" si="32"/>
        <v>Setiembre</v>
      </c>
      <c r="C1884" s="33" t="s">
        <v>162</v>
      </c>
      <c r="D1884" s="33" t="s">
        <v>6026</v>
      </c>
      <c r="E1884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884" s="32" t="s">
        <v>248</v>
      </c>
      <c r="G1884" s="32" t="s">
        <v>249</v>
      </c>
      <c r="H1884" s="139" t="s">
        <v>6027</v>
      </c>
      <c r="I1884" s="33" t="s">
        <v>980</v>
      </c>
      <c r="J1884" s="143" t="s">
        <v>5083</v>
      </c>
      <c r="K1884" s="33" t="s">
        <v>169</v>
      </c>
      <c r="L1884" s="102" t="str">
        <f>VLOOKUP(Anexo_4[[#This Row],[cod_doc]],TIPODOC,2,FALSE)</f>
        <v>FACTURA</v>
      </c>
      <c r="M1884" s="33" t="s">
        <v>982</v>
      </c>
      <c r="N1884" s="32" t="s">
        <v>6028</v>
      </c>
      <c r="O1884" s="48">
        <v>692.04</v>
      </c>
      <c r="P1884" s="49"/>
      <c r="Q1884" s="81">
        <v>124.57</v>
      </c>
      <c r="R1884" s="80"/>
      <c r="S1884" s="48">
        <v>0</v>
      </c>
      <c r="T1884" s="72">
        <v>816.61</v>
      </c>
      <c r="U1884" s="70"/>
      <c r="V1884" s="32"/>
      <c r="W1884" s="70"/>
      <c r="X1884" s="70"/>
      <c r="Y1884" s="70"/>
      <c r="Z1884" s="70" t="s">
        <v>256</v>
      </c>
      <c r="AA1884" s="71"/>
      <c r="AB1884" s="117" t="str">
        <f>IFERROR(VLOOKUP(Anexo_4[[#This Row],[cuenta]],OP,2,0),"-")</f>
        <v>Materias Primas - RRSS</v>
      </c>
    </row>
    <row r="1885" spans="1:28" ht="27" customHeight="1" x14ac:dyDescent="0.3">
      <c r="A1885" s="34" t="s">
        <v>5910</v>
      </c>
      <c r="B1885" s="36" t="str">
        <f t="shared" si="32"/>
        <v>Setiembre</v>
      </c>
      <c r="C1885" s="33" t="s">
        <v>162</v>
      </c>
      <c r="D1885" s="33" t="s">
        <v>6029</v>
      </c>
      <c r="E1885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885" s="32" t="s">
        <v>248</v>
      </c>
      <c r="G1885" s="32" t="s">
        <v>249</v>
      </c>
      <c r="H1885" s="139" t="s">
        <v>6030</v>
      </c>
      <c r="I1885" s="33" t="s">
        <v>980</v>
      </c>
      <c r="J1885" s="143" t="s">
        <v>5083</v>
      </c>
      <c r="K1885" s="33" t="s">
        <v>169</v>
      </c>
      <c r="L1885" s="102" t="str">
        <f>VLOOKUP(Anexo_4[[#This Row],[cod_doc]],TIPODOC,2,FALSE)</f>
        <v>FACTURA</v>
      </c>
      <c r="M1885" s="33" t="s">
        <v>982</v>
      </c>
      <c r="N1885" s="32" t="s">
        <v>5333</v>
      </c>
      <c r="O1885" s="48">
        <v>148.19</v>
      </c>
      <c r="P1885" s="49"/>
      <c r="Q1885" s="81">
        <v>26.67</v>
      </c>
      <c r="R1885" s="80"/>
      <c r="S1885" s="48">
        <v>0</v>
      </c>
      <c r="T1885" s="72">
        <v>174.86</v>
      </c>
      <c r="U1885" s="70"/>
      <c r="V1885" s="32"/>
      <c r="W1885" s="70"/>
      <c r="X1885" s="70"/>
      <c r="Y1885" s="70"/>
      <c r="Z1885" s="70" t="s">
        <v>256</v>
      </c>
      <c r="AA1885" s="71"/>
      <c r="AB1885" s="117" t="str">
        <f>IFERROR(VLOOKUP(Anexo_4[[#This Row],[cuenta]],OP,2,0),"-")</f>
        <v>Materias Primas - RRSS</v>
      </c>
    </row>
    <row r="1886" spans="1:28" ht="27" customHeight="1" x14ac:dyDescent="0.3">
      <c r="A1886" s="34" t="s">
        <v>5910</v>
      </c>
      <c r="B1886" s="36" t="str">
        <f t="shared" si="32"/>
        <v>Setiembre</v>
      </c>
      <c r="C1886" s="33" t="s">
        <v>162</v>
      </c>
      <c r="D1886" s="33" t="s">
        <v>6031</v>
      </c>
      <c r="E1886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886" s="32" t="s">
        <v>248</v>
      </c>
      <c r="G1886" s="32" t="s">
        <v>249</v>
      </c>
      <c r="H1886" s="139" t="s">
        <v>6032</v>
      </c>
      <c r="I1886" s="33" t="s">
        <v>980</v>
      </c>
      <c r="J1886" s="143" t="s">
        <v>5083</v>
      </c>
      <c r="K1886" s="33" t="s">
        <v>169</v>
      </c>
      <c r="L1886" s="102" t="str">
        <f>VLOOKUP(Anexo_4[[#This Row],[cod_doc]],TIPODOC,2,FALSE)</f>
        <v>FACTURA</v>
      </c>
      <c r="M1886" s="33" t="s">
        <v>982</v>
      </c>
      <c r="N1886" s="32" t="s">
        <v>6033</v>
      </c>
      <c r="O1886" s="48">
        <v>153.68</v>
      </c>
      <c r="P1886" s="49"/>
      <c r="Q1886" s="81">
        <v>27.66</v>
      </c>
      <c r="R1886" s="80"/>
      <c r="S1886" s="48">
        <v>0</v>
      </c>
      <c r="T1886" s="72">
        <v>181.34</v>
      </c>
      <c r="U1886" s="70"/>
      <c r="V1886" s="32"/>
      <c r="W1886" s="70"/>
      <c r="X1886" s="70"/>
      <c r="Y1886" s="70"/>
      <c r="Z1886" s="70" t="s">
        <v>256</v>
      </c>
      <c r="AA1886" s="71"/>
      <c r="AB1886" s="117" t="str">
        <f>IFERROR(VLOOKUP(Anexo_4[[#This Row],[cuenta]],OP,2,0),"-")</f>
        <v>Materias Primas - RRSS</v>
      </c>
    </row>
    <row r="1887" spans="1:28" ht="27" customHeight="1" x14ac:dyDescent="0.3">
      <c r="A1887" s="34" t="s">
        <v>5985</v>
      </c>
      <c r="B1887" s="36" t="str">
        <f t="shared" si="32"/>
        <v>Setiembre</v>
      </c>
      <c r="C1887" s="33" t="s">
        <v>162</v>
      </c>
      <c r="D1887" s="33" t="s">
        <v>6034</v>
      </c>
      <c r="E1887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887" s="32" t="s">
        <v>449</v>
      </c>
      <c r="G1887" s="32" t="s">
        <v>4868</v>
      </c>
      <c r="H1887" s="139" t="s">
        <v>6035</v>
      </c>
      <c r="I1887" s="33" t="s">
        <v>312</v>
      </c>
      <c r="J1887" s="143" t="s">
        <v>4917</v>
      </c>
      <c r="K1887" s="33" t="s">
        <v>169</v>
      </c>
      <c r="L1887" s="102" t="str">
        <f>VLOOKUP(Anexo_4[[#This Row],[cod_doc]],TIPODOC,2,FALSE)</f>
        <v>FACTURA</v>
      </c>
      <c r="M1887" s="33" t="s">
        <v>1482</v>
      </c>
      <c r="N1887" s="32" t="s">
        <v>6036</v>
      </c>
      <c r="O1887" s="48">
        <v>12.71</v>
      </c>
      <c r="P1887" s="49"/>
      <c r="Q1887" s="81">
        <v>2.29</v>
      </c>
      <c r="R1887" s="80"/>
      <c r="S1887" s="48">
        <v>0</v>
      </c>
      <c r="T1887" s="72">
        <v>15</v>
      </c>
      <c r="U1887" s="70"/>
      <c r="V1887" s="32"/>
      <c r="W1887" s="70"/>
      <c r="X1887" s="70"/>
      <c r="Y1887" s="70"/>
      <c r="Z1887" s="70" t="s">
        <v>302</v>
      </c>
      <c r="AA1887" s="71"/>
      <c r="AB1887" s="117" t="str">
        <f>IFERROR(VLOOKUP(Anexo_4[[#This Row],[cuenta]],OP,2,0),"-")</f>
        <v>Transporte peajes - Servicios</v>
      </c>
    </row>
    <row r="1888" spans="1:28" ht="27" customHeight="1" x14ac:dyDescent="0.3">
      <c r="A1888" s="34" t="s">
        <v>5985</v>
      </c>
      <c r="B1888" s="36" t="str">
        <f t="shared" si="32"/>
        <v>Setiembre</v>
      </c>
      <c r="C1888" s="33" t="s">
        <v>162</v>
      </c>
      <c r="D1888" s="33" t="s">
        <v>6037</v>
      </c>
      <c r="E1888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888" s="32" t="s">
        <v>449</v>
      </c>
      <c r="G1888" s="32" t="s">
        <v>4868</v>
      </c>
      <c r="H1888" s="139" t="s">
        <v>6038</v>
      </c>
      <c r="I1888" s="33" t="s">
        <v>312</v>
      </c>
      <c r="J1888" s="143" t="s">
        <v>4917</v>
      </c>
      <c r="K1888" s="33" t="s">
        <v>169</v>
      </c>
      <c r="L1888" s="102" t="str">
        <f>VLOOKUP(Anexo_4[[#This Row],[cod_doc]],TIPODOC,2,FALSE)</f>
        <v>FACTURA</v>
      </c>
      <c r="M1888" s="33" t="s">
        <v>271</v>
      </c>
      <c r="N1888" s="32" t="s">
        <v>6039</v>
      </c>
      <c r="O1888" s="48">
        <v>12.71</v>
      </c>
      <c r="P1888" s="49"/>
      <c r="Q1888" s="81">
        <v>2.29</v>
      </c>
      <c r="R1888" s="80"/>
      <c r="S1888" s="48">
        <v>0</v>
      </c>
      <c r="T1888" s="72">
        <v>15</v>
      </c>
      <c r="U1888" s="70"/>
      <c r="V1888" s="32"/>
      <c r="W1888" s="70"/>
      <c r="X1888" s="70"/>
      <c r="Y1888" s="70"/>
      <c r="Z1888" s="70" t="s">
        <v>302</v>
      </c>
      <c r="AA1888" s="71"/>
      <c r="AB1888" s="117" t="str">
        <f>IFERROR(VLOOKUP(Anexo_4[[#This Row],[cuenta]],OP,2,0),"-")</f>
        <v>Transporte peajes - Servicios</v>
      </c>
    </row>
    <row r="1889" spans="1:28" ht="27" customHeight="1" x14ac:dyDescent="0.3">
      <c r="A1889" s="34" t="s">
        <v>5328</v>
      </c>
      <c r="B1889" s="36" t="str">
        <f t="shared" si="32"/>
        <v>Setiembre</v>
      </c>
      <c r="C1889" s="33" t="s">
        <v>162</v>
      </c>
      <c r="D1889" s="33" t="s">
        <v>6040</v>
      </c>
      <c r="E1889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889" s="32" t="s">
        <v>449</v>
      </c>
      <c r="G1889" s="32" t="s">
        <v>4868</v>
      </c>
      <c r="H1889" s="139" t="s">
        <v>6041</v>
      </c>
      <c r="I1889" s="33" t="s">
        <v>312</v>
      </c>
      <c r="J1889" s="143" t="s">
        <v>4917</v>
      </c>
      <c r="K1889" s="33" t="s">
        <v>169</v>
      </c>
      <c r="L1889" s="102" t="str">
        <f>VLOOKUP(Anexo_4[[#This Row],[cod_doc]],TIPODOC,2,FALSE)</f>
        <v>FACTURA</v>
      </c>
      <c r="M1889" s="33" t="s">
        <v>1474</v>
      </c>
      <c r="N1889" s="32" t="s">
        <v>6042</v>
      </c>
      <c r="O1889" s="48">
        <v>12.71</v>
      </c>
      <c r="P1889" s="49"/>
      <c r="Q1889" s="81">
        <v>2.29</v>
      </c>
      <c r="R1889" s="80"/>
      <c r="S1889" s="48">
        <v>0</v>
      </c>
      <c r="T1889" s="72">
        <v>15</v>
      </c>
      <c r="U1889" s="70"/>
      <c r="V1889" s="32"/>
      <c r="W1889" s="70"/>
      <c r="X1889" s="70"/>
      <c r="Y1889" s="70"/>
      <c r="Z1889" s="70" t="s">
        <v>302</v>
      </c>
      <c r="AA1889" s="71"/>
      <c r="AB1889" s="117" t="str">
        <f>IFERROR(VLOOKUP(Anexo_4[[#This Row],[cuenta]],OP,2,0),"-")</f>
        <v>Transporte peajes - Servicios</v>
      </c>
    </row>
    <row r="1890" spans="1:28" ht="27" customHeight="1" x14ac:dyDescent="0.3">
      <c r="A1890" s="34" t="s">
        <v>5328</v>
      </c>
      <c r="B1890" s="36" t="str">
        <f t="shared" si="32"/>
        <v>Setiembre</v>
      </c>
      <c r="C1890" s="33" t="s">
        <v>162</v>
      </c>
      <c r="D1890" s="33" t="s">
        <v>6043</v>
      </c>
      <c r="E1890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890" s="32" t="s">
        <v>449</v>
      </c>
      <c r="G1890" s="32" t="s">
        <v>4868</v>
      </c>
      <c r="H1890" s="139" t="s">
        <v>6044</v>
      </c>
      <c r="I1890" s="33" t="s">
        <v>312</v>
      </c>
      <c r="J1890" s="143" t="s">
        <v>4917</v>
      </c>
      <c r="K1890" s="33" t="s">
        <v>169</v>
      </c>
      <c r="L1890" s="102" t="str">
        <f>VLOOKUP(Anexo_4[[#This Row],[cod_doc]],TIPODOC,2,FALSE)</f>
        <v>FACTURA</v>
      </c>
      <c r="M1890" s="33" t="s">
        <v>4870</v>
      </c>
      <c r="N1890" s="32" t="s">
        <v>6045</v>
      </c>
      <c r="O1890" s="48">
        <v>12.71</v>
      </c>
      <c r="P1890" s="49"/>
      <c r="Q1890" s="81">
        <v>2.29</v>
      </c>
      <c r="R1890" s="80"/>
      <c r="S1890" s="48">
        <v>0</v>
      </c>
      <c r="T1890" s="72">
        <v>15</v>
      </c>
      <c r="U1890" s="70"/>
      <c r="V1890" s="32"/>
      <c r="W1890" s="70"/>
      <c r="X1890" s="70"/>
      <c r="Y1890" s="70"/>
      <c r="Z1890" s="70" t="s">
        <v>302</v>
      </c>
      <c r="AA1890" s="71"/>
      <c r="AB1890" s="117" t="str">
        <f>IFERROR(VLOOKUP(Anexo_4[[#This Row],[cuenta]],OP,2,0),"-")</f>
        <v>Transporte peajes - Servicios</v>
      </c>
    </row>
    <row r="1891" spans="1:28" ht="27" customHeight="1" x14ac:dyDescent="0.3">
      <c r="A1891" s="34" t="s">
        <v>5667</v>
      </c>
      <c r="B1891" s="36" t="str">
        <f t="shared" si="32"/>
        <v>Setiembre</v>
      </c>
      <c r="C1891" s="33" t="s">
        <v>162</v>
      </c>
      <c r="D1891" s="33" t="s">
        <v>6046</v>
      </c>
      <c r="E1891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891" s="32" t="s">
        <v>449</v>
      </c>
      <c r="G1891" s="32" t="s">
        <v>4868</v>
      </c>
      <c r="H1891" s="139" t="s">
        <v>6047</v>
      </c>
      <c r="I1891" s="33" t="s">
        <v>312</v>
      </c>
      <c r="J1891" s="143" t="s">
        <v>4917</v>
      </c>
      <c r="K1891" s="33" t="s">
        <v>169</v>
      </c>
      <c r="L1891" s="102" t="str">
        <f>VLOOKUP(Anexo_4[[#This Row],[cod_doc]],TIPODOC,2,FALSE)</f>
        <v>FACTURA</v>
      </c>
      <c r="M1891" s="33" t="s">
        <v>271</v>
      </c>
      <c r="N1891" s="32" t="s">
        <v>6048</v>
      </c>
      <c r="O1891" s="48">
        <v>12.71</v>
      </c>
      <c r="P1891" s="49"/>
      <c r="Q1891" s="81">
        <v>2.29</v>
      </c>
      <c r="R1891" s="80"/>
      <c r="S1891" s="48">
        <v>0</v>
      </c>
      <c r="T1891" s="72">
        <v>15</v>
      </c>
      <c r="U1891" s="70"/>
      <c r="V1891" s="32"/>
      <c r="W1891" s="70"/>
      <c r="X1891" s="70"/>
      <c r="Y1891" s="70"/>
      <c r="Z1891" s="70" t="s">
        <v>302</v>
      </c>
      <c r="AA1891" s="71"/>
      <c r="AB1891" s="117" t="str">
        <f>IFERROR(VLOOKUP(Anexo_4[[#This Row],[cuenta]],OP,2,0),"-")</f>
        <v>Transporte peajes - Servicios</v>
      </c>
    </row>
    <row r="1892" spans="1:28" ht="27" customHeight="1" x14ac:dyDescent="0.3">
      <c r="A1892" s="34" t="s">
        <v>5667</v>
      </c>
      <c r="B1892" s="36" t="str">
        <f t="shared" si="32"/>
        <v>Setiembre</v>
      </c>
      <c r="C1892" s="33" t="s">
        <v>162</v>
      </c>
      <c r="D1892" s="33" t="s">
        <v>6049</v>
      </c>
      <c r="E1892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892" s="32" t="s">
        <v>449</v>
      </c>
      <c r="G1892" s="32" t="s">
        <v>4868</v>
      </c>
      <c r="H1892" s="139" t="s">
        <v>6050</v>
      </c>
      <c r="I1892" s="33" t="s">
        <v>312</v>
      </c>
      <c r="J1892" s="143" t="s">
        <v>4917</v>
      </c>
      <c r="K1892" s="33" t="s">
        <v>169</v>
      </c>
      <c r="L1892" s="102" t="str">
        <f>VLOOKUP(Anexo_4[[#This Row],[cod_doc]],TIPODOC,2,FALSE)</f>
        <v>FACTURA</v>
      </c>
      <c r="M1892" s="33" t="s">
        <v>1463</v>
      </c>
      <c r="N1892" s="32" t="s">
        <v>6051</v>
      </c>
      <c r="O1892" s="48">
        <v>12.71</v>
      </c>
      <c r="P1892" s="49"/>
      <c r="Q1892" s="81">
        <v>2.29</v>
      </c>
      <c r="R1892" s="80"/>
      <c r="S1892" s="48">
        <v>0</v>
      </c>
      <c r="T1892" s="72">
        <v>15</v>
      </c>
      <c r="U1892" s="70"/>
      <c r="V1892" s="32"/>
      <c r="W1892" s="70"/>
      <c r="X1892" s="70"/>
      <c r="Y1892" s="70"/>
      <c r="Z1892" s="70" t="s">
        <v>302</v>
      </c>
      <c r="AA1892" s="71"/>
      <c r="AB1892" s="117" t="str">
        <f>IFERROR(VLOOKUP(Anexo_4[[#This Row],[cuenta]],OP,2,0),"-")</f>
        <v>Transporte peajes - Servicios</v>
      </c>
    </row>
    <row r="1893" spans="1:28" ht="27" customHeight="1" x14ac:dyDescent="0.3">
      <c r="A1893" s="34" t="s">
        <v>5444</v>
      </c>
      <c r="B1893" s="36" t="str">
        <f t="shared" si="32"/>
        <v>Setiembre</v>
      </c>
      <c r="C1893" s="33" t="s">
        <v>162</v>
      </c>
      <c r="D1893" s="33" t="s">
        <v>6052</v>
      </c>
      <c r="E1893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893" s="32" t="s">
        <v>449</v>
      </c>
      <c r="G1893" s="32" t="s">
        <v>4868</v>
      </c>
      <c r="H1893" s="139" t="s">
        <v>6053</v>
      </c>
      <c r="I1893" s="33" t="s">
        <v>312</v>
      </c>
      <c r="J1893" s="143" t="s">
        <v>4917</v>
      </c>
      <c r="K1893" s="33" t="s">
        <v>169</v>
      </c>
      <c r="L1893" s="102" t="str">
        <f>VLOOKUP(Anexo_4[[#This Row],[cod_doc]],TIPODOC,2,FALSE)</f>
        <v>FACTURA</v>
      </c>
      <c r="M1893" s="33" t="s">
        <v>1478</v>
      </c>
      <c r="N1893" s="32" t="s">
        <v>6054</v>
      </c>
      <c r="O1893" s="48">
        <v>12.71</v>
      </c>
      <c r="P1893" s="49"/>
      <c r="Q1893" s="81">
        <v>2.29</v>
      </c>
      <c r="R1893" s="80"/>
      <c r="S1893" s="48">
        <v>0</v>
      </c>
      <c r="T1893" s="72">
        <v>15</v>
      </c>
      <c r="U1893" s="70"/>
      <c r="V1893" s="32"/>
      <c r="W1893" s="70"/>
      <c r="X1893" s="70"/>
      <c r="Y1893" s="70"/>
      <c r="Z1893" s="70" t="s">
        <v>302</v>
      </c>
      <c r="AA1893" s="71"/>
      <c r="AB1893" s="117" t="str">
        <f>IFERROR(VLOOKUP(Anexo_4[[#This Row],[cuenta]],OP,2,0),"-")</f>
        <v>Transporte peajes - Servicios</v>
      </c>
    </row>
    <row r="1894" spans="1:28" ht="27" customHeight="1" x14ac:dyDescent="0.3">
      <c r="A1894" s="34" t="s">
        <v>5444</v>
      </c>
      <c r="B1894" s="36" t="str">
        <f t="shared" si="32"/>
        <v>Setiembre</v>
      </c>
      <c r="C1894" s="33" t="s">
        <v>162</v>
      </c>
      <c r="D1894" s="33" t="s">
        <v>6055</v>
      </c>
      <c r="E1894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894" s="32" t="s">
        <v>449</v>
      </c>
      <c r="G1894" s="32" t="s">
        <v>4868</v>
      </c>
      <c r="H1894" s="139" t="s">
        <v>6056</v>
      </c>
      <c r="I1894" s="33" t="s">
        <v>312</v>
      </c>
      <c r="J1894" s="143" t="s">
        <v>4917</v>
      </c>
      <c r="K1894" s="33" t="s">
        <v>169</v>
      </c>
      <c r="L1894" s="102" t="str">
        <f>VLOOKUP(Anexo_4[[#This Row],[cod_doc]],TIPODOC,2,FALSE)</f>
        <v>FACTURA</v>
      </c>
      <c r="M1894" s="33" t="s">
        <v>1463</v>
      </c>
      <c r="N1894" s="32" t="s">
        <v>6057</v>
      </c>
      <c r="O1894" s="48">
        <v>12.71</v>
      </c>
      <c r="P1894" s="49"/>
      <c r="Q1894" s="81">
        <v>2.29</v>
      </c>
      <c r="R1894" s="80"/>
      <c r="S1894" s="48">
        <v>0</v>
      </c>
      <c r="T1894" s="72">
        <v>15</v>
      </c>
      <c r="U1894" s="70"/>
      <c r="V1894" s="32"/>
      <c r="W1894" s="70"/>
      <c r="X1894" s="70"/>
      <c r="Y1894" s="70"/>
      <c r="Z1894" s="70" t="s">
        <v>302</v>
      </c>
      <c r="AA1894" s="71"/>
      <c r="AB1894" s="117" t="str">
        <f>IFERROR(VLOOKUP(Anexo_4[[#This Row],[cuenta]],OP,2,0),"-")</f>
        <v>Transporte peajes - Servicios</v>
      </c>
    </row>
    <row r="1895" spans="1:28" ht="27" customHeight="1" x14ac:dyDescent="0.3">
      <c r="A1895" s="34" t="s">
        <v>5921</v>
      </c>
      <c r="B1895" s="36" t="str">
        <f t="shared" si="32"/>
        <v>Setiembre</v>
      </c>
      <c r="C1895" s="33" t="s">
        <v>162</v>
      </c>
      <c r="D1895" s="33" t="s">
        <v>6058</v>
      </c>
      <c r="E1895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895" s="32" t="s">
        <v>449</v>
      </c>
      <c r="G1895" s="32" t="s">
        <v>4868</v>
      </c>
      <c r="H1895" s="139" t="s">
        <v>6059</v>
      </c>
      <c r="I1895" s="33" t="s">
        <v>2085</v>
      </c>
      <c r="J1895" s="143" t="s">
        <v>5397</v>
      </c>
      <c r="K1895" s="33" t="s">
        <v>169</v>
      </c>
      <c r="L1895" s="102" t="str">
        <f>VLOOKUP(Anexo_4[[#This Row],[cod_doc]],TIPODOC,2,FALSE)</f>
        <v>FACTURA</v>
      </c>
      <c r="M1895" s="33" t="s">
        <v>631</v>
      </c>
      <c r="N1895" s="32" t="s">
        <v>6060</v>
      </c>
      <c r="O1895" s="48">
        <v>46.61</v>
      </c>
      <c r="P1895" s="49"/>
      <c r="Q1895" s="81">
        <v>8.39</v>
      </c>
      <c r="R1895" s="80"/>
      <c r="S1895" s="48">
        <v>0</v>
      </c>
      <c r="T1895" s="72">
        <v>55</v>
      </c>
      <c r="U1895" s="70"/>
      <c r="V1895" s="32"/>
      <c r="W1895" s="70"/>
      <c r="X1895" s="70"/>
      <c r="Y1895" s="70"/>
      <c r="Z1895" s="70" t="s">
        <v>507</v>
      </c>
      <c r="AA1895" s="71"/>
      <c r="AB1895" s="117" t="str">
        <f>IFERROR(VLOOKUP(Anexo_4[[#This Row],[cuenta]],OP,2,0),"-")</f>
        <v>Transporte lavado (Higienización)</v>
      </c>
    </row>
    <row r="1896" spans="1:28" ht="27" customHeight="1" x14ac:dyDescent="0.3">
      <c r="A1896" s="34" t="s">
        <v>5078</v>
      </c>
      <c r="B1896" s="36" t="str">
        <f t="shared" si="32"/>
        <v>Setiembre</v>
      </c>
      <c r="C1896" s="33" t="s">
        <v>162</v>
      </c>
      <c r="D1896" s="33" t="s">
        <v>6061</v>
      </c>
      <c r="E1896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896" s="32" t="s">
        <v>235</v>
      </c>
      <c r="G1896" s="32" t="s">
        <v>5051</v>
      </c>
      <c r="H1896" s="139" t="s">
        <v>6062</v>
      </c>
      <c r="I1896" s="33" t="s">
        <v>504</v>
      </c>
      <c r="J1896" s="143" t="s">
        <v>4717</v>
      </c>
      <c r="K1896" s="33" t="s">
        <v>169</v>
      </c>
      <c r="L1896" s="102" t="str">
        <f>VLOOKUP(Anexo_4[[#This Row],[cod_doc]],TIPODOC,2,FALSE)</f>
        <v>FACTURA</v>
      </c>
      <c r="M1896" s="33" t="s">
        <v>222</v>
      </c>
      <c r="N1896" s="32" t="s">
        <v>6063</v>
      </c>
      <c r="O1896" s="48">
        <v>21.19</v>
      </c>
      <c r="P1896" s="49"/>
      <c r="Q1896" s="81">
        <v>3.81</v>
      </c>
      <c r="R1896" s="80"/>
      <c r="S1896" s="48">
        <v>0</v>
      </c>
      <c r="T1896" s="72">
        <v>25</v>
      </c>
      <c r="U1896" s="70"/>
      <c r="V1896" s="32"/>
      <c r="W1896" s="70"/>
      <c r="X1896" s="70"/>
      <c r="Y1896" s="70"/>
      <c r="Z1896" s="70" t="s">
        <v>507</v>
      </c>
      <c r="AA1896" s="71"/>
      <c r="AB1896" s="117" t="str">
        <f>IFERROR(VLOOKUP(Anexo_4[[#This Row],[cuenta]],OP,2,0),"-")</f>
        <v>Transporte lavado (Higienización)</v>
      </c>
    </row>
    <row r="1897" spans="1:28" ht="27" customHeight="1" x14ac:dyDescent="0.3">
      <c r="A1897" s="34" t="s">
        <v>5078</v>
      </c>
      <c r="B1897" s="36" t="str">
        <f t="shared" si="32"/>
        <v>Setiembre</v>
      </c>
      <c r="C1897" s="33" t="s">
        <v>162</v>
      </c>
      <c r="D1897" s="33" t="s">
        <v>6064</v>
      </c>
      <c r="E1897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897" s="32" t="s">
        <v>235</v>
      </c>
      <c r="G1897" s="32" t="s">
        <v>5051</v>
      </c>
      <c r="H1897" s="139" t="s">
        <v>6065</v>
      </c>
      <c r="I1897" s="33" t="s">
        <v>178</v>
      </c>
      <c r="J1897" s="143" t="s">
        <v>4667</v>
      </c>
      <c r="K1897" s="33" t="s">
        <v>169</v>
      </c>
      <c r="L1897" s="102" t="str">
        <f>VLOOKUP(Anexo_4[[#This Row],[cod_doc]],TIPODOC,2,FALSE)</f>
        <v>FACTURA</v>
      </c>
      <c r="M1897" s="33" t="s">
        <v>180</v>
      </c>
      <c r="N1897" s="32" t="s">
        <v>6066</v>
      </c>
      <c r="O1897" s="48">
        <v>8.4700000000000006</v>
      </c>
      <c r="P1897" s="49"/>
      <c r="Q1897" s="81">
        <v>1.53</v>
      </c>
      <c r="R1897" s="80"/>
      <c r="S1897" s="48">
        <v>0</v>
      </c>
      <c r="T1897" s="72">
        <v>10</v>
      </c>
      <c r="U1897" s="70"/>
      <c r="V1897" s="32"/>
      <c r="W1897" s="70"/>
      <c r="X1897" s="70"/>
      <c r="Y1897" s="70"/>
      <c r="Z1897" s="70" t="s">
        <v>386</v>
      </c>
      <c r="AA1897" s="71"/>
      <c r="AB1897" s="117" t="str">
        <f>IFERROR(VLOOKUP(Anexo_4[[#This Row],[cuenta]],OP,2,0),"-")</f>
        <v>Balanza - Servicios</v>
      </c>
    </row>
    <row r="1898" spans="1:28" ht="27" customHeight="1" x14ac:dyDescent="0.3">
      <c r="A1898" s="34" t="s">
        <v>5914</v>
      </c>
      <c r="B1898" s="36" t="str">
        <f t="shared" si="32"/>
        <v>Setiembre</v>
      </c>
      <c r="C1898" s="33" t="s">
        <v>162</v>
      </c>
      <c r="D1898" s="33" t="s">
        <v>6067</v>
      </c>
      <c r="E1898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898" s="32" t="s">
        <v>235</v>
      </c>
      <c r="G1898" s="32" t="s">
        <v>5051</v>
      </c>
      <c r="H1898" s="139" t="s">
        <v>6068</v>
      </c>
      <c r="I1898" s="33" t="s">
        <v>178</v>
      </c>
      <c r="J1898" s="143" t="s">
        <v>4667</v>
      </c>
      <c r="K1898" s="33" t="s">
        <v>169</v>
      </c>
      <c r="L1898" s="102" t="str">
        <f>VLOOKUP(Anexo_4[[#This Row],[cod_doc]],TIPODOC,2,FALSE)</f>
        <v>FACTURA</v>
      </c>
      <c r="M1898" s="33" t="s">
        <v>180</v>
      </c>
      <c r="N1898" s="32" t="s">
        <v>6069</v>
      </c>
      <c r="O1898" s="48">
        <v>8.4700000000000006</v>
      </c>
      <c r="P1898" s="49"/>
      <c r="Q1898" s="81">
        <v>1.53</v>
      </c>
      <c r="R1898" s="80"/>
      <c r="S1898" s="48">
        <v>0</v>
      </c>
      <c r="T1898" s="72">
        <v>10</v>
      </c>
      <c r="U1898" s="70"/>
      <c r="V1898" s="32"/>
      <c r="W1898" s="70"/>
      <c r="X1898" s="70"/>
      <c r="Y1898" s="70"/>
      <c r="Z1898" s="70" t="s">
        <v>386</v>
      </c>
      <c r="AA1898" s="71"/>
      <c r="AB1898" s="117" t="str">
        <f>IFERROR(VLOOKUP(Anexo_4[[#This Row],[cuenta]],OP,2,0),"-")</f>
        <v>Balanza - Servicios</v>
      </c>
    </row>
    <row r="1899" spans="1:28" ht="27" customHeight="1" x14ac:dyDescent="0.3">
      <c r="A1899" s="34" t="s">
        <v>5238</v>
      </c>
      <c r="B1899" s="36" t="str">
        <f t="shared" si="32"/>
        <v>Setiembre</v>
      </c>
      <c r="C1899" s="33" t="s">
        <v>162</v>
      </c>
      <c r="D1899" s="33" t="s">
        <v>6070</v>
      </c>
      <c r="E1899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899" s="32" t="s">
        <v>235</v>
      </c>
      <c r="G1899" s="32" t="s">
        <v>5051</v>
      </c>
      <c r="H1899" s="139" t="s">
        <v>6071</v>
      </c>
      <c r="I1899" s="33" t="s">
        <v>178</v>
      </c>
      <c r="J1899" s="143" t="s">
        <v>4667</v>
      </c>
      <c r="K1899" s="33" t="s">
        <v>169</v>
      </c>
      <c r="L1899" s="102" t="str">
        <f>VLOOKUP(Anexo_4[[#This Row],[cod_doc]],TIPODOC,2,FALSE)</f>
        <v>FACTURA</v>
      </c>
      <c r="M1899" s="33" t="s">
        <v>180</v>
      </c>
      <c r="N1899" s="32" t="s">
        <v>6072</v>
      </c>
      <c r="O1899" s="48">
        <v>8.4700000000000006</v>
      </c>
      <c r="P1899" s="49"/>
      <c r="Q1899" s="81">
        <v>1.53</v>
      </c>
      <c r="R1899" s="80"/>
      <c r="S1899" s="48">
        <v>0</v>
      </c>
      <c r="T1899" s="72">
        <v>10</v>
      </c>
      <c r="U1899" s="70"/>
      <c r="V1899" s="32"/>
      <c r="W1899" s="70"/>
      <c r="X1899" s="70"/>
      <c r="Y1899" s="70"/>
      <c r="Z1899" s="70" t="s">
        <v>386</v>
      </c>
      <c r="AA1899" s="71"/>
      <c r="AB1899" s="117" t="str">
        <f>IFERROR(VLOOKUP(Anexo_4[[#This Row],[cuenta]],OP,2,0),"-")</f>
        <v>Balanza - Servicios</v>
      </c>
    </row>
    <row r="1900" spans="1:28" ht="27" customHeight="1" x14ac:dyDescent="0.3">
      <c r="A1900" s="34" t="s">
        <v>5238</v>
      </c>
      <c r="B1900" s="36" t="str">
        <f t="shared" si="32"/>
        <v>Setiembre</v>
      </c>
      <c r="C1900" s="33" t="s">
        <v>162</v>
      </c>
      <c r="D1900" s="33" t="s">
        <v>6073</v>
      </c>
      <c r="E1900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900" s="32" t="s">
        <v>235</v>
      </c>
      <c r="G1900" s="32" t="s">
        <v>5051</v>
      </c>
      <c r="H1900" s="139" t="s">
        <v>6074</v>
      </c>
      <c r="I1900" s="33" t="s">
        <v>383</v>
      </c>
      <c r="J1900" s="143" t="s">
        <v>4702</v>
      </c>
      <c r="K1900" s="33" t="s">
        <v>169</v>
      </c>
      <c r="L1900" s="102" t="str">
        <f>VLOOKUP(Anexo_4[[#This Row],[cod_doc]],TIPODOC,2,FALSE)</f>
        <v>FACTURA</v>
      </c>
      <c r="M1900" s="33" t="s">
        <v>103</v>
      </c>
      <c r="N1900" s="32" t="s">
        <v>6075</v>
      </c>
      <c r="O1900" s="48">
        <v>16.95</v>
      </c>
      <c r="P1900" s="49"/>
      <c r="Q1900" s="81">
        <v>3.05</v>
      </c>
      <c r="R1900" s="80"/>
      <c r="S1900" s="48">
        <v>0</v>
      </c>
      <c r="T1900" s="72">
        <v>20</v>
      </c>
      <c r="U1900" s="70"/>
      <c r="V1900" s="32"/>
      <c r="W1900" s="70"/>
      <c r="X1900" s="70"/>
      <c r="Y1900" s="70"/>
      <c r="Z1900" s="70" t="s">
        <v>386</v>
      </c>
      <c r="AA1900" s="71"/>
      <c r="AB1900" s="117" t="str">
        <f>IFERROR(VLOOKUP(Anexo_4[[#This Row],[cuenta]],OP,2,0),"-")</f>
        <v>Balanza - Servicios</v>
      </c>
    </row>
    <row r="1901" spans="1:28" ht="27" customHeight="1" x14ac:dyDescent="0.3">
      <c r="A1901" s="34" t="s">
        <v>5444</v>
      </c>
      <c r="B1901" s="36" t="str">
        <f t="shared" si="32"/>
        <v>Setiembre</v>
      </c>
      <c r="C1901" s="33" t="s">
        <v>162</v>
      </c>
      <c r="D1901" s="33" t="s">
        <v>6076</v>
      </c>
      <c r="E1901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901" s="32" t="s">
        <v>235</v>
      </c>
      <c r="G1901" s="32" t="s">
        <v>5051</v>
      </c>
      <c r="H1901" s="139" t="s">
        <v>6077</v>
      </c>
      <c r="I1901" s="33" t="s">
        <v>383</v>
      </c>
      <c r="J1901" s="143" t="s">
        <v>4702</v>
      </c>
      <c r="K1901" s="33" t="s">
        <v>169</v>
      </c>
      <c r="L1901" s="102" t="str">
        <f>VLOOKUP(Anexo_4[[#This Row],[cod_doc]],TIPODOC,2,FALSE)</f>
        <v>FACTURA</v>
      </c>
      <c r="M1901" s="33" t="s">
        <v>421</v>
      </c>
      <c r="N1901" s="32" t="s">
        <v>6078</v>
      </c>
      <c r="O1901" s="48">
        <v>8.4700000000000006</v>
      </c>
      <c r="P1901" s="49"/>
      <c r="Q1901" s="81">
        <v>1.53</v>
      </c>
      <c r="R1901" s="80"/>
      <c r="S1901" s="48">
        <v>0</v>
      </c>
      <c r="T1901" s="72">
        <v>10</v>
      </c>
      <c r="U1901" s="70"/>
      <c r="V1901" s="32"/>
      <c r="W1901" s="70"/>
      <c r="X1901" s="70"/>
      <c r="Y1901" s="70"/>
      <c r="Z1901" s="70" t="s">
        <v>386</v>
      </c>
      <c r="AA1901" s="71"/>
      <c r="AB1901" s="117" t="str">
        <f>IFERROR(VLOOKUP(Anexo_4[[#This Row],[cuenta]],OP,2,0),"-")</f>
        <v>Balanza - Servicios</v>
      </c>
    </row>
    <row r="1902" spans="1:28" ht="27" customHeight="1" x14ac:dyDescent="0.3">
      <c r="A1902" s="34" t="s">
        <v>5444</v>
      </c>
      <c r="B1902" s="36" t="str">
        <f t="shared" si="32"/>
        <v>Setiembre</v>
      </c>
      <c r="C1902" s="33" t="s">
        <v>162</v>
      </c>
      <c r="D1902" s="33" t="s">
        <v>6079</v>
      </c>
      <c r="E1902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902" s="32" t="s">
        <v>235</v>
      </c>
      <c r="G1902" s="32" t="s">
        <v>5051</v>
      </c>
      <c r="H1902" s="139" t="s">
        <v>6080</v>
      </c>
      <c r="I1902" s="33" t="s">
        <v>383</v>
      </c>
      <c r="J1902" s="143" t="s">
        <v>4702</v>
      </c>
      <c r="K1902" s="33" t="s">
        <v>169</v>
      </c>
      <c r="L1902" s="102" t="str">
        <f>VLOOKUP(Anexo_4[[#This Row],[cod_doc]],TIPODOC,2,FALSE)</f>
        <v>FACTURA</v>
      </c>
      <c r="M1902" s="33" t="s">
        <v>421</v>
      </c>
      <c r="N1902" s="32" t="s">
        <v>6081</v>
      </c>
      <c r="O1902" s="48">
        <v>8.4700000000000006</v>
      </c>
      <c r="P1902" s="49"/>
      <c r="Q1902" s="81">
        <v>1.53</v>
      </c>
      <c r="R1902" s="80"/>
      <c r="S1902" s="48">
        <v>0</v>
      </c>
      <c r="T1902" s="72">
        <v>10</v>
      </c>
      <c r="U1902" s="70"/>
      <c r="V1902" s="32"/>
      <c r="W1902" s="70"/>
      <c r="X1902" s="70"/>
      <c r="Y1902" s="70"/>
      <c r="Z1902" s="70" t="s">
        <v>386</v>
      </c>
      <c r="AA1902" s="71"/>
      <c r="AB1902" s="117" t="str">
        <f>IFERROR(VLOOKUP(Anexo_4[[#This Row],[cuenta]],OP,2,0),"-")</f>
        <v>Balanza - Servicios</v>
      </c>
    </row>
    <row r="1903" spans="1:28" ht="27" customHeight="1" x14ac:dyDescent="0.3">
      <c r="A1903" s="34" t="s">
        <v>5328</v>
      </c>
      <c r="B1903" s="36" t="str">
        <f t="shared" ref="B1903:B1933" si="33">PROPER(CHOOSE(LEFT(D1903,2),"enero","febrero","marzo","abril","mayo","junio","julio","agosto","setiembre","octubre","noviembre","diciembre"))</f>
        <v>Setiembre</v>
      </c>
      <c r="C1903" s="33" t="s">
        <v>162</v>
      </c>
      <c r="D1903" s="33" t="s">
        <v>6082</v>
      </c>
      <c r="E1903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903" s="32" t="s">
        <v>235</v>
      </c>
      <c r="G1903" s="32" t="s">
        <v>5051</v>
      </c>
      <c r="H1903" s="139" t="s">
        <v>6083</v>
      </c>
      <c r="I1903" s="33" t="s">
        <v>264</v>
      </c>
      <c r="J1903" s="143" t="s">
        <v>4644</v>
      </c>
      <c r="K1903" s="33" t="s">
        <v>169</v>
      </c>
      <c r="L1903" s="102" t="str">
        <f>VLOOKUP(Anexo_4[[#This Row],[cod_doc]],TIPODOC,2,FALSE)</f>
        <v>FACTURA</v>
      </c>
      <c r="M1903" s="33" t="s">
        <v>352</v>
      </c>
      <c r="N1903" s="32" t="s">
        <v>6084</v>
      </c>
      <c r="O1903" s="48">
        <v>6.78</v>
      </c>
      <c r="P1903" s="49"/>
      <c r="Q1903" s="81">
        <v>1.22</v>
      </c>
      <c r="R1903" s="80"/>
      <c r="S1903" s="48">
        <v>0</v>
      </c>
      <c r="T1903" s="72">
        <v>8</v>
      </c>
      <c r="U1903" s="70"/>
      <c r="V1903" s="32"/>
      <c r="W1903" s="70"/>
      <c r="X1903" s="70"/>
      <c r="Y1903" s="70"/>
      <c r="Z1903" s="70" t="s">
        <v>302</v>
      </c>
      <c r="AA1903" s="71"/>
      <c r="AB1903" s="117" t="str">
        <f>IFERROR(VLOOKUP(Anexo_4[[#This Row],[cuenta]],OP,2,0),"-")</f>
        <v>Transporte peajes - Servicios</v>
      </c>
    </row>
    <row r="1904" spans="1:28" ht="27" customHeight="1" x14ac:dyDescent="0.3">
      <c r="A1904" s="34" t="s">
        <v>5078</v>
      </c>
      <c r="B1904" s="36" t="str">
        <f t="shared" si="33"/>
        <v>Setiembre</v>
      </c>
      <c r="C1904" s="33" t="s">
        <v>162</v>
      </c>
      <c r="D1904" s="33" t="s">
        <v>6085</v>
      </c>
      <c r="E1904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904" s="32" t="s">
        <v>235</v>
      </c>
      <c r="G1904" s="32" t="s">
        <v>5051</v>
      </c>
      <c r="H1904" s="139" t="s">
        <v>6086</v>
      </c>
      <c r="I1904" s="33" t="s">
        <v>264</v>
      </c>
      <c r="J1904" s="143" t="s">
        <v>4644</v>
      </c>
      <c r="K1904" s="33" t="s">
        <v>169</v>
      </c>
      <c r="L1904" s="102" t="str">
        <f>VLOOKUP(Anexo_4[[#This Row],[cod_doc]],TIPODOC,2,FALSE)</f>
        <v>FACTURA</v>
      </c>
      <c r="M1904" s="33" t="s">
        <v>271</v>
      </c>
      <c r="N1904" s="32" t="s">
        <v>6087</v>
      </c>
      <c r="O1904" s="48">
        <v>6.78</v>
      </c>
      <c r="P1904" s="49"/>
      <c r="Q1904" s="81">
        <v>1.22</v>
      </c>
      <c r="R1904" s="80"/>
      <c r="S1904" s="48">
        <v>0</v>
      </c>
      <c r="T1904" s="72">
        <v>8</v>
      </c>
      <c r="U1904" s="70"/>
      <c r="V1904" s="32"/>
      <c r="W1904" s="70"/>
      <c r="X1904" s="70"/>
      <c r="Y1904" s="70"/>
      <c r="Z1904" s="70" t="s">
        <v>302</v>
      </c>
      <c r="AA1904" s="71"/>
      <c r="AB1904" s="117" t="str">
        <f>IFERROR(VLOOKUP(Anexo_4[[#This Row],[cuenta]],OP,2,0),"-")</f>
        <v>Transporte peajes - Servicios</v>
      </c>
    </row>
    <row r="1905" spans="1:28" ht="27" customHeight="1" x14ac:dyDescent="0.3">
      <c r="A1905" s="34" t="s">
        <v>5328</v>
      </c>
      <c r="B1905" s="36" t="str">
        <f t="shared" si="33"/>
        <v>Setiembre</v>
      </c>
      <c r="C1905" s="33" t="s">
        <v>162</v>
      </c>
      <c r="D1905" s="33" t="s">
        <v>6088</v>
      </c>
      <c r="E1905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905" s="32" t="s">
        <v>235</v>
      </c>
      <c r="G1905" s="32" t="s">
        <v>5051</v>
      </c>
      <c r="H1905" s="139" t="s">
        <v>6089</v>
      </c>
      <c r="I1905" s="33" t="s">
        <v>264</v>
      </c>
      <c r="J1905" s="143" t="s">
        <v>4644</v>
      </c>
      <c r="K1905" s="33" t="s">
        <v>169</v>
      </c>
      <c r="L1905" s="102" t="str">
        <f>VLOOKUP(Anexo_4[[#This Row],[cod_doc]],TIPODOC,2,FALSE)</f>
        <v>FACTURA</v>
      </c>
      <c r="M1905" s="33" t="s">
        <v>271</v>
      </c>
      <c r="N1905" s="32" t="s">
        <v>6090</v>
      </c>
      <c r="O1905" s="48">
        <v>6.78</v>
      </c>
      <c r="P1905" s="49"/>
      <c r="Q1905" s="81">
        <v>1.22</v>
      </c>
      <c r="R1905" s="80"/>
      <c r="S1905" s="48">
        <v>0</v>
      </c>
      <c r="T1905" s="72">
        <v>8</v>
      </c>
      <c r="U1905" s="70"/>
      <c r="V1905" s="32"/>
      <c r="W1905" s="70"/>
      <c r="X1905" s="70"/>
      <c r="Y1905" s="70"/>
      <c r="Z1905" s="70" t="s">
        <v>302</v>
      </c>
      <c r="AA1905" s="71"/>
      <c r="AB1905" s="117" t="str">
        <f>IFERROR(VLOOKUP(Anexo_4[[#This Row],[cuenta]],OP,2,0),"-")</f>
        <v>Transporte peajes - Servicios</v>
      </c>
    </row>
    <row r="1906" spans="1:28" ht="27" customHeight="1" x14ac:dyDescent="0.3">
      <c r="A1906" s="34" t="s">
        <v>5078</v>
      </c>
      <c r="B1906" s="36" t="str">
        <f t="shared" si="33"/>
        <v>Setiembre</v>
      </c>
      <c r="C1906" s="33" t="s">
        <v>162</v>
      </c>
      <c r="D1906" s="33" t="s">
        <v>6091</v>
      </c>
      <c r="E1906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906" s="32" t="s">
        <v>235</v>
      </c>
      <c r="G1906" s="32" t="s">
        <v>5051</v>
      </c>
      <c r="H1906" s="139" t="s">
        <v>6092</v>
      </c>
      <c r="I1906" s="33" t="s">
        <v>264</v>
      </c>
      <c r="J1906" s="143" t="s">
        <v>4644</v>
      </c>
      <c r="K1906" s="33" t="s">
        <v>169</v>
      </c>
      <c r="L1906" s="102" t="str">
        <f>VLOOKUP(Anexo_4[[#This Row],[cod_doc]],TIPODOC,2,FALSE)</f>
        <v>FACTURA</v>
      </c>
      <c r="M1906" s="33" t="s">
        <v>352</v>
      </c>
      <c r="N1906" s="32" t="s">
        <v>6093</v>
      </c>
      <c r="O1906" s="48">
        <v>6.78</v>
      </c>
      <c r="P1906" s="49"/>
      <c r="Q1906" s="81">
        <v>1.22</v>
      </c>
      <c r="R1906" s="80"/>
      <c r="S1906" s="48">
        <v>0</v>
      </c>
      <c r="T1906" s="72">
        <v>8</v>
      </c>
      <c r="U1906" s="70"/>
      <c r="V1906" s="32"/>
      <c r="W1906" s="70"/>
      <c r="X1906" s="70"/>
      <c r="Y1906" s="70"/>
      <c r="Z1906" s="70" t="s">
        <v>302</v>
      </c>
      <c r="AA1906" s="71"/>
      <c r="AB1906" s="117" t="str">
        <f>IFERROR(VLOOKUP(Anexo_4[[#This Row],[cuenta]],OP,2,0),"-")</f>
        <v>Transporte peajes - Servicios</v>
      </c>
    </row>
    <row r="1907" spans="1:28" ht="27" customHeight="1" x14ac:dyDescent="0.3">
      <c r="A1907" s="34" t="s">
        <v>5985</v>
      </c>
      <c r="B1907" s="36" t="str">
        <f t="shared" si="33"/>
        <v>Setiembre</v>
      </c>
      <c r="C1907" s="33" t="s">
        <v>162</v>
      </c>
      <c r="D1907" s="33" t="s">
        <v>6094</v>
      </c>
      <c r="E1907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907" s="32" t="s">
        <v>217</v>
      </c>
      <c r="G1907" s="32" t="s">
        <v>4839</v>
      </c>
      <c r="H1907" s="139" t="s">
        <v>6095</v>
      </c>
      <c r="I1907" s="33" t="s">
        <v>264</v>
      </c>
      <c r="J1907" s="143" t="s">
        <v>4644</v>
      </c>
      <c r="K1907" s="33" t="s">
        <v>169</v>
      </c>
      <c r="L1907" s="102" t="str">
        <f>VLOOKUP(Anexo_4[[#This Row],[cod_doc]],TIPODOC,2,FALSE)</f>
        <v>FACTURA</v>
      </c>
      <c r="M1907" s="33" t="s">
        <v>271</v>
      </c>
      <c r="N1907" s="32" t="s">
        <v>6096</v>
      </c>
      <c r="O1907" s="48">
        <v>6.78</v>
      </c>
      <c r="P1907" s="49"/>
      <c r="Q1907" s="81">
        <v>1.22</v>
      </c>
      <c r="R1907" s="80"/>
      <c r="S1907" s="48">
        <v>0</v>
      </c>
      <c r="T1907" s="72">
        <v>8</v>
      </c>
      <c r="U1907" s="70"/>
      <c r="V1907" s="32"/>
      <c r="W1907" s="70"/>
      <c r="X1907" s="70"/>
      <c r="Y1907" s="70"/>
      <c r="Z1907" s="70" t="s">
        <v>268</v>
      </c>
      <c r="AA1907" s="71"/>
      <c r="AB1907" s="117" t="str">
        <f>IFERROR(VLOOKUP(Anexo_4[[#This Row],[cuenta]],OP,2,0),"-")</f>
        <v>Transporte peajes - Ventas</v>
      </c>
    </row>
    <row r="1908" spans="1:28" ht="27" customHeight="1" x14ac:dyDescent="0.3">
      <c r="A1908" s="34" t="s">
        <v>5238</v>
      </c>
      <c r="B1908" s="36" t="str">
        <f t="shared" si="33"/>
        <v>Setiembre</v>
      </c>
      <c r="C1908" s="33" t="s">
        <v>162</v>
      </c>
      <c r="D1908" s="33" t="s">
        <v>6097</v>
      </c>
      <c r="E1908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908" s="32" t="s">
        <v>235</v>
      </c>
      <c r="G1908" s="32" t="s">
        <v>5051</v>
      </c>
      <c r="H1908" s="139" t="s">
        <v>6098</v>
      </c>
      <c r="I1908" s="33" t="s">
        <v>264</v>
      </c>
      <c r="J1908" s="143" t="s">
        <v>4644</v>
      </c>
      <c r="K1908" s="33" t="s">
        <v>169</v>
      </c>
      <c r="L1908" s="102" t="str">
        <f>VLOOKUP(Anexo_4[[#This Row],[cod_doc]],TIPODOC,2,FALSE)</f>
        <v>FACTURA</v>
      </c>
      <c r="M1908" s="33" t="s">
        <v>352</v>
      </c>
      <c r="N1908" s="32" t="s">
        <v>6099</v>
      </c>
      <c r="O1908" s="48">
        <v>6.78</v>
      </c>
      <c r="P1908" s="49"/>
      <c r="Q1908" s="81">
        <v>1.22</v>
      </c>
      <c r="R1908" s="80"/>
      <c r="S1908" s="48">
        <v>0</v>
      </c>
      <c r="T1908" s="72">
        <v>8</v>
      </c>
      <c r="U1908" s="70"/>
      <c r="V1908" s="32"/>
      <c r="W1908" s="70"/>
      <c r="X1908" s="70"/>
      <c r="Y1908" s="70"/>
      <c r="Z1908" s="70" t="s">
        <v>302</v>
      </c>
      <c r="AA1908" s="71"/>
      <c r="AB1908" s="117" t="str">
        <f>IFERROR(VLOOKUP(Anexo_4[[#This Row],[cuenta]],OP,2,0),"-")</f>
        <v>Transporte peajes - Servicios</v>
      </c>
    </row>
    <row r="1909" spans="1:28" ht="27" customHeight="1" x14ac:dyDescent="0.3">
      <c r="A1909" s="34" t="s">
        <v>5238</v>
      </c>
      <c r="B1909" s="36" t="str">
        <f t="shared" si="33"/>
        <v>Setiembre</v>
      </c>
      <c r="C1909" s="33" t="s">
        <v>162</v>
      </c>
      <c r="D1909" s="33" t="s">
        <v>6100</v>
      </c>
      <c r="E1909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909" s="32" t="s">
        <v>235</v>
      </c>
      <c r="G1909" s="32" t="s">
        <v>5051</v>
      </c>
      <c r="H1909" s="139" t="s">
        <v>6101</v>
      </c>
      <c r="I1909" s="33" t="s">
        <v>264</v>
      </c>
      <c r="J1909" s="143" t="s">
        <v>4644</v>
      </c>
      <c r="K1909" s="33" t="s">
        <v>169</v>
      </c>
      <c r="L1909" s="102" t="str">
        <f>VLOOKUP(Anexo_4[[#This Row],[cod_doc]],TIPODOC,2,FALSE)</f>
        <v>FACTURA</v>
      </c>
      <c r="M1909" s="33" t="s">
        <v>266</v>
      </c>
      <c r="N1909" s="32" t="s">
        <v>6102</v>
      </c>
      <c r="O1909" s="48">
        <v>6.78</v>
      </c>
      <c r="P1909" s="49"/>
      <c r="Q1909" s="81">
        <v>1.22</v>
      </c>
      <c r="R1909" s="80"/>
      <c r="S1909" s="48">
        <v>0</v>
      </c>
      <c r="T1909" s="72">
        <v>8</v>
      </c>
      <c r="U1909" s="70"/>
      <c r="V1909" s="32"/>
      <c r="W1909" s="70"/>
      <c r="X1909" s="70"/>
      <c r="Y1909" s="70"/>
      <c r="Z1909" s="70" t="s">
        <v>302</v>
      </c>
      <c r="AA1909" s="71"/>
      <c r="AB1909" s="117" t="str">
        <f>IFERROR(VLOOKUP(Anexo_4[[#This Row],[cuenta]],OP,2,0),"-")</f>
        <v>Transporte peajes - Servicios</v>
      </c>
    </row>
    <row r="1910" spans="1:28" ht="27" customHeight="1" x14ac:dyDescent="0.3">
      <c r="A1910" s="34" t="s">
        <v>5238</v>
      </c>
      <c r="B1910" s="36" t="str">
        <f t="shared" si="33"/>
        <v>Setiembre</v>
      </c>
      <c r="C1910" s="33" t="s">
        <v>162</v>
      </c>
      <c r="D1910" s="33" t="s">
        <v>6103</v>
      </c>
      <c r="E1910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910" s="32" t="s">
        <v>235</v>
      </c>
      <c r="G1910" s="32" t="s">
        <v>5051</v>
      </c>
      <c r="H1910" s="139" t="s">
        <v>6104</v>
      </c>
      <c r="I1910" s="33" t="s">
        <v>264</v>
      </c>
      <c r="J1910" s="143" t="s">
        <v>4644</v>
      </c>
      <c r="K1910" s="33" t="s">
        <v>169</v>
      </c>
      <c r="L1910" s="102" t="str">
        <f>VLOOKUP(Anexo_4[[#This Row],[cod_doc]],TIPODOC,2,FALSE)</f>
        <v>FACTURA</v>
      </c>
      <c r="M1910" s="33" t="s">
        <v>271</v>
      </c>
      <c r="N1910" s="32" t="s">
        <v>6105</v>
      </c>
      <c r="O1910" s="48">
        <v>6.78</v>
      </c>
      <c r="P1910" s="49"/>
      <c r="Q1910" s="81">
        <v>1.22</v>
      </c>
      <c r="R1910" s="80"/>
      <c r="S1910" s="48">
        <v>0</v>
      </c>
      <c r="T1910" s="72">
        <v>8</v>
      </c>
      <c r="U1910" s="70"/>
      <c r="V1910" s="32"/>
      <c r="W1910" s="70"/>
      <c r="X1910" s="70"/>
      <c r="Y1910" s="70"/>
      <c r="Z1910" s="70" t="s">
        <v>302</v>
      </c>
      <c r="AA1910" s="71"/>
      <c r="AB1910" s="117" t="str">
        <f>IFERROR(VLOOKUP(Anexo_4[[#This Row],[cuenta]],OP,2,0),"-")</f>
        <v>Transporte peajes - Servicios</v>
      </c>
    </row>
    <row r="1911" spans="1:28" ht="27" customHeight="1" x14ac:dyDescent="0.3">
      <c r="A1911" s="34" t="s">
        <v>5985</v>
      </c>
      <c r="B1911" s="36" t="str">
        <f t="shared" si="33"/>
        <v>Setiembre</v>
      </c>
      <c r="C1911" s="33" t="s">
        <v>162</v>
      </c>
      <c r="D1911" s="33" t="s">
        <v>6106</v>
      </c>
      <c r="E1911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911" s="32" t="s">
        <v>217</v>
      </c>
      <c r="G1911" s="32" t="s">
        <v>4839</v>
      </c>
      <c r="H1911" s="139" t="s">
        <v>6107</v>
      </c>
      <c r="I1911" s="33" t="s">
        <v>264</v>
      </c>
      <c r="J1911" s="143" t="s">
        <v>4644</v>
      </c>
      <c r="K1911" s="33" t="s">
        <v>169</v>
      </c>
      <c r="L1911" s="102" t="str">
        <f>VLOOKUP(Anexo_4[[#This Row],[cod_doc]],TIPODOC,2,FALSE)</f>
        <v>FACTURA</v>
      </c>
      <c r="M1911" s="33" t="s">
        <v>352</v>
      </c>
      <c r="N1911" s="32" t="s">
        <v>6108</v>
      </c>
      <c r="O1911" s="48">
        <v>6.78</v>
      </c>
      <c r="P1911" s="49"/>
      <c r="Q1911" s="81">
        <v>1.22</v>
      </c>
      <c r="R1911" s="80"/>
      <c r="S1911" s="48">
        <v>0</v>
      </c>
      <c r="T1911" s="72">
        <v>8</v>
      </c>
      <c r="U1911" s="70"/>
      <c r="V1911" s="32"/>
      <c r="W1911" s="70"/>
      <c r="X1911" s="70"/>
      <c r="Y1911" s="70"/>
      <c r="Z1911" s="70" t="s">
        <v>268</v>
      </c>
      <c r="AA1911" s="71"/>
      <c r="AB1911" s="117" t="str">
        <f>IFERROR(VLOOKUP(Anexo_4[[#This Row],[cuenta]],OP,2,0),"-")</f>
        <v>Transporte peajes - Ventas</v>
      </c>
    </row>
    <row r="1912" spans="1:28" ht="27" customHeight="1" x14ac:dyDescent="0.3">
      <c r="A1912" s="34" t="s">
        <v>5449</v>
      </c>
      <c r="B1912" s="36" t="str">
        <f t="shared" si="33"/>
        <v>Setiembre</v>
      </c>
      <c r="C1912" s="33" t="s">
        <v>162</v>
      </c>
      <c r="D1912" s="33" t="s">
        <v>6109</v>
      </c>
      <c r="E1912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912" s="32" t="s">
        <v>175</v>
      </c>
      <c r="G1912" s="32" t="s">
        <v>5168</v>
      </c>
      <c r="H1912" s="139" t="s">
        <v>6110</v>
      </c>
      <c r="I1912" s="33" t="s">
        <v>178</v>
      </c>
      <c r="J1912" s="143" t="s">
        <v>4667</v>
      </c>
      <c r="K1912" s="33" t="s">
        <v>169</v>
      </c>
      <c r="L1912" s="102" t="str">
        <f>VLOOKUP(Anexo_4[[#This Row],[cod_doc]],TIPODOC,2,FALSE)</f>
        <v>FACTURA</v>
      </c>
      <c r="M1912" s="33" t="s">
        <v>180</v>
      </c>
      <c r="N1912" s="32" t="s">
        <v>6111</v>
      </c>
      <c r="O1912" s="48">
        <v>8.4700000000000006</v>
      </c>
      <c r="P1912" s="49"/>
      <c r="Q1912" s="81">
        <v>1.53</v>
      </c>
      <c r="R1912" s="80"/>
      <c r="S1912" s="48">
        <v>0</v>
      </c>
      <c r="T1912" s="72">
        <v>10</v>
      </c>
      <c r="U1912" s="70"/>
      <c r="V1912" s="32"/>
      <c r="W1912" s="70"/>
      <c r="X1912" s="70"/>
      <c r="Y1912" s="70"/>
      <c r="Z1912" s="70" t="s">
        <v>182</v>
      </c>
      <c r="AA1912" s="71"/>
      <c r="AB1912" s="117" t="str">
        <f>IFERROR(VLOOKUP(Anexo_4[[#This Row],[cuenta]],OP,2,0),"-")</f>
        <v>Balanza - Ventas</v>
      </c>
    </row>
    <row r="1913" spans="1:28" ht="27" customHeight="1" x14ac:dyDescent="0.3">
      <c r="A1913" s="34" t="s">
        <v>5667</v>
      </c>
      <c r="B1913" s="36" t="str">
        <f t="shared" si="33"/>
        <v>Setiembre</v>
      </c>
      <c r="C1913" s="33" t="s">
        <v>162</v>
      </c>
      <c r="D1913" s="33" t="s">
        <v>6112</v>
      </c>
      <c r="E1913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913" s="32" t="s">
        <v>175</v>
      </c>
      <c r="G1913" s="32" t="s">
        <v>5168</v>
      </c>
      <c r="H1913" s="139" t="s">
        <v>6113</v>
      </c>
      <c r="I1913" s="33" t="s">
        <v>178</v>
      </c>
      <c r="J1913" s="143" t="s">
        <v>4667</v>
      </c>
      <c r="K1913" s="33" t="s">
        <v>169</v>
      </c>
      <c r="L1913" s="102" t="str">
        <f>VLOOKUP(Anexo_4[[#This Row],[cod_doc]],TIPODOC,2,FALSE)</f>
        <v>FACTURA</v>
      </c>
      <c r="M1913" s="33" t="s">
        <v>180</v>
      </c>
      <c r="N1913" s="32" t="s">
        <v>6114</v>
      </c>
      <c r="O1913" s="48">
        <v>8.4700000000000006</v>
      </c>
      <c r="P1913" s="49"/>
      <c r="Q1913" s="81">
        <v>1.53</v>
      </c>
      <c r="R1913" s="80"/>
      <c r="S1913" s="48">
        <v>0</v>
      </c>
      <c r="T1913" s="72">
        <v>10</v>
      </c>
      <c r="U1913" s="70"/>
      <c r="V1913" s="32"/>
      <c r="W1913" s="70"/>
      <c r="X1913" s="70"/>
      <c r="Y1913" s="70"/>
      <c r="Z1913" s="70" t="s">
        <v>386</v>
      </c>
      <c r="AA1913" s="71"/>
      <c r="AB1913" s="117" t="str">
        <f>IFERROR(VLOOKUP(Anexo_4[[#This Row],[cuenta]],OP,2,0),"-")</f>
        <v>Balanza - Servicios</v>
      </c>
    </row>
    <row r="1914" spans="1:28" ht="27" customHeight="1" x14ac:dyDescent="0.3">
      <c r="A1914" s="34" t="s">
        <v>5921</v>
      </c>
      <c r="B1914" s="36" t="str">
        <f t="shared" si="33"/>
        <v>Setiembre</v>
      </c>
      <c r="C1914" s="33" t="s">
        <v>162</v>
      </c>
      <c r="D1914" s="33" t="s">
        <v>6115</v>
      </c>
      <c r="E1914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914" s="32" t="s">
        <v>175</v>
      </c>
      <c r="G1914" s="32" t="s">
        <v>5168</v>
      </c>
      <c r="H1914" s="139" t="s">
        <v>6116</v>
      </c>
      <c r="I1914" s="33" t="s">
        <v>264</v>
      </c>
      <c r="J1914" s="143" t="s">
        <v>4644</v>
      </c>
      <c r="K1914" s="33" t="s">
        <v>169</v>
      </c>
      <c r="L1914" s="102" t="str">
        <f>VLOOKUP(Anexo_4[[#This Row],[cod_doc]],TIPODOC,2,FALSE)</f>
        <v>FACTURA</v>
      </c>
      <c r="M1914" s="33" t="s">
        <v>406</v>
      </c>
      <c r="N1914" s="32" t="s">
        <v>6117</v>
      </c>
      <c r="O1914" s="48">
        <v>10.17</v>
      </c>
      <c r="P1914" s="49"/>
      <c r="Q1914" s="81">
        <v>1.83</v>
      </c>
      <c r="R1914" s="80"/>
      <c r="S1914" s="48">
        <v>0</v>
      </c>
      <c r="T1914" s="72">
        <v>12</v>
      </c>
      <c r="U1914" s="70"/>
      <c r="V1914" s="32"/>
      <c r="W1914" s="70"/>
      <c r="X1914" s="70"/>
      <c r="Y1914" s="70"/>
      <c r="Z1914" s="70" t="s">
        <v>302</v>
      </c>
      <c r="AA1914" s="71"/>
      <c r="AB1914" s="117" t="str">
        <f>IFERROR(VLOOKUP(Anexo_4[[#This Row],[cuenta]],OP,2,0),"-")</f>
        <v>Transporte peajes - Servicios</v>
      </c>
    </row>
    <row r="1915" spans="1:28" ht="27" customHeight="1" x14ac:dyDescent="0.3">
      <c r="A1915" s="34" t="s">
        <v>5921</v>
      </c>
      <c r="B1915" s="36" t="str">
        <f t="shared" si="33"/>
        <v>Setiembre</v>
      </c>
      <c r="C1915" s="33" t="s">
        <v>162</v>
      </c>
      <c r="D1915" s="33" t="s">
        <v>6118</v>
      </c>
      <c r="E1915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915" s="32" t="s">
        <v>175</v>
      </c>
      <c r="G1915" s="32" t="s">
        <v>5168</v>
      </c>
      <c r="H1915" s="139" t="s">
        <v>6119</v>
      </c>
      <c r="I1915" s="33" t="s">
        <v>264</v>
      </c>
      <c r="J1915" s="143" t="s">
        <v>4644</v>
      </c>
      <c r="K1915" s="33" t="s">
        <v>169</v>
      </c>
      <c r="L1915" s="102" t="str">
        <f>VLOOKUP(Anexo_4[[#This Row],[cod_doc]],TIPODOC,2,FALSE)</f>
        <v>FACTURA</v>
      </c>
      <c r="M1915" s="33" t="s">
        <v>352</v>
      </c>
      <c r="N1915" s="32" t="s">
        <v>6120</v>
      </c>
      <c r="O1915" s="48">
        <v>10.17</v>
      </c>
      <c r="P1915" s="49"/>
      <c r="Q1915" s="81">
        <v>1.83</v>
      </c>
      <c r="R1915" s="80"/>
      <c r="S1915" s="48">
        <v>0</v>
      </c>
      <c r="T1915" s="72">
        <v>12</v>
      </c>
      <c r="U1915" s="70"/>
      <c r="V1915" s="32"/>
      <c r="W1915" s="70"/>
      <c r="X1915" s="70"/>
      <c r="Y1915" s="70"/>
      <c r="Z1915" s="70" t="s">
        <v>302</v>
      </c>
      <c r="AA1915" s="71"/>
      <c r="AB1915" s="117" t="str">
        <f>IFERROR(VLOOKUP(Anexo_4[[#This Row],[cuenta]],OP,2,0),"-")</f>
        <v>Transporte peajes - Servicios</v>
      </c>
    </row>
    <row r="1916" spans="1:28" ht="27" customHeight="1" x14ac:dyDescent="0.3">
      <c r="A1916" s="34" t="s">
        <v>5985</v>
      </c>
      <c r="B1916" s="36" t="str">
        <f t="shared" si="33"/>
        <v>Setiembre</v>
      </c>
      <c r="C1916" s="33" t="s">
        <v>162</v>
      </c>
      <c r="D1916" s="33" t="s">
        <v>6121</v>
      </c>
      <c r="E1916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916" s="32" t="s">
        <v>175</v>
      </c>
      <c r="G1916" s="32" t="s">
        <v>5168</v>
      </c>
      <c r="H1916" s="139" t="s">
        <v>6122</v>
      </c>
      <c r="I1916" s="33" t="s">
        <v>264</v>
      </c>
      <c r="J1916" s="143" t="s">
        <v>4644</v>
      </c>
      <c r="K1916" s="33" t="s">
        <v>169</v>
      </c>
      <c r="L1916" s="102" t="str">
        <f>VLOOKUP(Anexo_4[[#This Row],[cod_doc]],TIPODOC,2,FALSE)</f>
        <v>FACTURA</v>
      </c>
      <c r="M1916" s="33" t="s">
        <v>406</v>
      </c>
      <c r="N1916" s="32" t="s">
        <v>6123</v>
      </c>
      <c r="O1916" s="48">
        <v>10.17</v>
      </c>
      <c r="P1916" s="49"/>
      <c r="Q1916" s="81">
        <v>1.83</v>
      </c>
      <c r="R1916" s="80"/>
      <c r="S1916" s="48">
        <v>0</v>
      </c>
      <c r="T1916" s="72">
        <v>12</v>
      </c>
      <c r="U1916" s="70"/>
      <c r="V1916" s="32"/>
      <c r="W1916" s="70"/>
      <c r="X1916" s="70"/>
      <c r="Y1916" s="70"/>
      <c r="Z1916" s="70" t="s">
        <v>302</v>
      </c>
      <c r="AA1916" s="71"/>
      <c r="AB1916" s="117" t="str">
        <f>IFERROR(VLOOKUP(Anexo_4[[#This Row],[cuenta]],OP,2,0),"-")</f>
        <v>Transporte peajes - Servicios</v>
      </c>
    </row>
    <row r="1917" spans="1:28" ht="27" customHeight="1" x14ac:dyDescent="0.3">
      <c r="A1917" s="34" t="s">
        <v>5985</v>
      </c>
      <c r="B1917" s="36" t="str">
        <f t="shared" si="33"/>
        <v>Setiembre</v>
      </c>
      <c r="C1917" s="33" t="s">
        <v>162</v>
      </c>
      <c r="D1917" s="33" t="s">
        <v>6124</v>
      </c>
      <c r="E1917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917" s="32" t="s">
        <v>175</v>
      </c>
      <c r="G1917" s="32" t="s">
        <v>5168</v>
      </c>
      <c r="H1917" s="139" t="s">
        <v>6125</v>
      </c>
      <c r="I1917" s="33" t="s">
        <v>264</v>
      </c>
      <c r="J1917" s="143" t="s">
        <v>4644</v>
      </c>
      <c r="K1917" s="33" t="s">
        <v>169</v>
      </c>
      <c r="L1917" s="102" t="str">
        <f>VLOOKUP(Anexo_4[[#This Row],[cod_doc]],TIPODOC,2,FALSE)</f>
        <v>FACTURA</v>
      </c>
      <c r="M1917" s="33" t="s">
        <v>379</v>
      </c>
      <c r="N1917" s="32" t="s">
        <v>6126</v>
      </c>
      <c r="O1917" s="48">
        <v>10.17</v>
      </c>
      <c r="P1917" s="49"/>
      <c r="Q1917" s="81">
        <v>1.83</v>
      </c>
      <c r="R1917" s="80"/>
      <c r="S1917" s="48">
        <v>0</v>
      </c>
      <c r="T1917" s="72">
        <v>12</v>
      </c>
      <c r="U1917" s="70"/>
      <c r="V1917" s="32"/>
      <c r="W1917" s="70"/>
      <c r="X1917" s="70"/>
      <c r="Y1917" s="70"/>
      <c r="Z1917" s="70" t="s">
        <v>302</v>
      </c>
      <c r="AA1917" s="71"/>
      <c r="AB1917" s="117" t="str">
        <f>IFERROR(VLOOKUP(Anexo_4[[#This Row],[cuenta]],OP,2,0),"-")</f>
        <v>Transporte peajes - Servicios</v>
      </c>
    </row>
    <row r="1918" spans="1:28" ht="27" customHeight="1" x14ac:dyDescent="0.3">
      <c r="A1918" s="34" t="s">
        <v>5985</v>
      </c>
      <c r="B1918" s="36" t="str">
        <f t="shared" si="33"/>
        <v>Setiembre</v>
      </c>
      <c r="C1918" s="33" t="s">
        <v>162</v>
      </c>
      <c r="D1918" s="33" t="s">
        <v>6127</v>
      </c>
      <c r="E1918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918" s="32" t="s">
        <v>175</v>
      </c>
      <c r="G1918" s="32" t="s">
        <v>5168</v>
      </c>
      <c r="H1918" s="139" t="s">
        <v>6128</v>
      </c>
      <c r="I1918" s="33" t="s">
        <v>1695</v>
      </c>
      <c r="J1918" s="143" t="s">
        <v>6129</v>
      </c>
      <c r="K1918" s="33" t="s">
        <v>169</v>
      </c>
      <c r="L1918" s="102" t="str">
        <f>VLOOKUP(Anexo_4[[#This Row],[cod_doc]],TIPODOC,2,FALSE)</f>
        <v>FACTURA</v>
      </c>
      <c r="M1918" s="33" t="s">
        <v>982</v>
      </c>
      <c r="N1918" s="32" t="s">
        <v>6130</v>
      </c>
      <c r="O1918" s="48">
        <v>10.17</v>
      </c>
      <c r="P1918" s="49"/>
      <c r="Q1918" s="81">
        <v>1.83</v>
      </c>
      <c r="R1918" s="80"/>
      <c r="S1918" s="48">
        <v>0</v>
      </c>
      <c r="T1918" s="72">
        <v>12</v>
      </c>
      <c r="U1918" s="70"/>
      <c r="V1918" s="32"/>
      <c r="W1918" s="70"/>
      <c r="X1918" s="70"/>
      <c r="Y1918" s="70"/>
      <c r="Z1918" s="70" t="s">
        <v>386</v>
      </c>
      <c r="AA1918" s="71"/>
      <c r="AB1918" s="117" t="str">
        <f>IFERROR(VLOOKUP(Anexo_4[[#This Row],[cuenta]],OP,2,0),"-")</f>
        <v>Balanza - Servicios</v>
      </c>
    </row>
    <row r="1919" spans="1:28" ht="27" customHeight="1" x14ac:dyDescent="0.3">
      <c r="A1919" s="34" t="s">
        <v>5985</v>
      </c>
      <c r="B1919" s="36" t="str">
        <f t="shared" si="33"/>
        <v>Setiembre</v>
      </c>
      <c r="C1919" s="33" t="s">
        <v>162</v>
      </c>
      <c r="D1919" s="33" t="s">
        <v>6131</v>
      </c>
      <c r="E1919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919" s="32" t="s">
        <v>217</v>
      </c>
      <c r="G1919" s="32" t="s">
        <v>4839</v>
      </c>
      <c r="H1919" s="139" t="s">
        <v>6132</v>
      </c>
      <c r="I1919" s="33" t="s">
        <v>504</v>
      </c>
      <c r="J1919" s="143" t="s">
        <v>4717</v>
      </c>
      <c r="K1919" s="33" t="s">
        <v>169</v>
      </c>
      <c r="L1919" s="102" t="str">
        <f>VLOOKUP(Anexo_4[[#This Row],[cod_doc]],TIPODOC,2,FALSE)</f>
        <v>FACTURA</v>
      </c>
      <c r="M1919" s="33" t="s">
        <v>222</v>
      </c>
      <c r="N1919" s="32" t="s">
        <v>6133</v>
      </c>
      <c r="O1919" s="48">
        <v>25.42</v>
      </c>
      <c r="P1919" s="49"/>
      <c r="Q1919" s="81">
        <v>4.58</v>
      </c>
      <c r="R1919" s="80"/>
      <c r="S1919" s="48">
        <v>0</v>
      </c>
      <c r="T1919" s="72">
        <v>30</v>
      </c>
      <c r="U1919" s="70"/>
      <c r="V1919" s="32"/>
      <c r="W1919" s="70"/>
      <c r="X1919" s="70"/>
      <c r="Y1919" s="70"/>
      <c r="Z1919" s="70" t="s">
        <v>507</v>
      </c>
      <c r="AA1919" s="71"/>
      <c r="AB1919" s="117" t="str">
        <f>IFERROR(VLOOKUP(Anexo_4[[#This Row],[cuenta]],OP,2,0),"-")</f>
        <v>Transporte lavado (Higienización)</v>
      </c>
    </row>
    <row r="1920" spans="1:28" ht="27" customHeight="1" x14ac:dyDescent="0.3">
      <c r="A1920" s="34" t="s">
        <v>5667</v>
      </c>
      <c r="B1920" s="36" t="str">
        <f t="shared" si="33"/>
        <v>Setiembre</v>
      </c>
      <c r="C1920" s="33" t="s">
        <v>162</v>
      </c>
      <c r="D1920" s="33" t="s">
        <v>6134</v>
      </c>
      <c r="E1920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920" s="32" t="s">
        <v>217</v>
      </c>
      <c r="G1920" s="32" t="s">
        <v>4839</v>
      </c>
      <c r="H1920" s="139" t="s">
        <v>6135</v>
      </c>
      <c r="I1920" s="33" t="s">
        <v>264</v>
      </c>
      <c r="J1920" s="143" t="s">
        <v>4644</v>
      </c>
      <c r="K1920" s="33" t="s">
        <v>169</v>
      </c>
      <c r="L1920" s="102" t="str">
        <f>VLOOKUP(Anexo_4[[#This Row],[cod_doc]],TIPODOC,2,FALSE)</f>
        <v>FACTURA</v>
      </c>
      <c r="M1920" s="33" t="s">
        <v>271</v>
      </c>
      <c r="N1920" s="32" t="s">
        <v>6136</v>
      </c>
      <c r="O1920" s="48">
        <v>6.78</v>
      </c>
      <c r="P1920" s="49"/>
      <c r="Q1920" s="81">
        <v>1.22</v>
      </c>
      <c r="R1920" s="80"/>
      <c r="S1920" s="48">
        <v>0</v>
      </c>
      <c r="T1920" s="72">
        <v>8</v>
      </c>
      <c r="U1920" s="70"/>
      <c r="V1920" s="32"/>
      <c r="W1920" s="70"/>
      <c r="X1920" s="70"/>
      <c r="Y1920" s="70"/>
      <c r="Z1920" s="70" t="s">
        <v>302</v>
      </c>
      <c r="AA1920" s="71"/>
      <c r="AB1920" s="117" t="str">
        <f>IFERROR(VLOOKUP(Anexo_4[[#This Row],[cuenta]],OP,2,0),"-")</f>
        <v>Transporte peajes - Servicios</v>
      </c>
    </row>
    <row r="1921" spans="1:28" ht="27" customHeight="1" x14ac:dyDescent="0.3">
      <c r="A1921" s="34" t="s">
        <v>5667</v>
      </c>
      <c r="B1921" s="36" t="str">
        <f t="shared" si="33"/>
        <v>Setiembre</v>
      </c>
      <c r="C1921" s="33" t="s">
        <v>162</v>
      </c>
      <c r="D1921" s="33" t="s">
        <v>6137</v>
      </c>
      <c r="E1921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921" s="32" t="s">
        <v>217</v>
      </c>
      <c r="G1921" s="32" t="s">
        <v>4839</v>
      </c>
      <c r="H1921" s="139" t="s">
        <v>6138</v>
      </c>
      <c r="I1921" s="33" t="s">
        <v>264</v>
      </c>
      <c r="J1921" s="143" t="s">
        <v>4644</v>
      </c>
      <c r="K1921" s="33" t="s">
        <v>169</v>
      </c>
      <c r="L1921" s="102" t="str">
        <f>VLOOKUP(Anexo_4[[#This Row],[cod_doc]],TIPODOC,2,FALSE)</f>
        <v>FACTURA</v>
      </c>
      <c r="M1921" s="33" t="s">
        <v>352</v>
      </c>
      <c r="N1921" s="32" t="s">
        <v>6139</v>
      </c>
      <c r="O1921" s="48">
        <v>6.78</v>
      </c>
      <c r="P1921" s="49"/>
      <c r="Q1921" s="81">
        <v>1.22</v>
      </c>
      <c r="R1921" s="80"/>
      <c r="S1921" s="48">
        <v>0</v>
      </c>
      <c r="T1921" s="72">
        <v>8</v>
      </c>
      <c r="U1921" s="70"/>
      <c r="V1921" s="32"/>
      <c r="W1921" s="70"/>
      <c r="X1921" s="70"/>
      <c r="Y1921" s="70"/>
      <c r="Z1921" s="70" t="s">
        <v>302</v>
      </c>
      <c r="AA1921" s="71"/>
      <c r="AB1921" s="117" t="str">
        <f>IFERROR(VLOOKUP(Anexo_4[[#This Row],[cuenta]],OP,2,0),"-")</f>
        <v>Transporte peajes - Servicios</v>
      </c>
    </row>
    <row r="1922" spans="1:28" ht="27" customHeight="1" x14ac:dyDescent="0.3">
      <c r="A1922" s="34" t="s">
        <v>5921</v>
      </c>
      <c r="B1922" s="36" t="str">
        <f t="shared" si="33"/>
        <v>Setiembre</v>
      </c>
      <c r="C1922" s="33" t="s">
        <v>162</v>
      </c>
      <c r="D1922" s="33" t="s">
        <v>6140</v>
      </c>
      <c r="E1922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922" s="32" t="s">
        <v>235</v>
      </c>
      <c r="G1922" s="32" t="s">
        <v>5051</v>
      </c>
      <c r="H1922" s="139" t="s">
        <v>6141</v>
      </c>
      <c r="I1922" s="33" t="s">
        <v>264</v>
      </c>
      <c r="J1922" s="143" t="s">
        <v>4644</v>
      </c>
      <c r="K1922" s="33" t="s">
        <v>169</v>
      </c>
      <c r="L1922" s="102" t="str">
        <f>VLOOKUP(Anexo_4[[#This Row],[cod_doc]],TIPODOC,2,FALSE)</f>
        <v>FACTURA</v>
      </c>
      <c r="M1922" s="33" t="s">
        <v>271</v>
      </c>
      <c r="N1922" s="32" t="s">
        <v>6142</v>
      </c>
      <c r="O1922" s="48">
        <v>6.78</v>
      </c>
      <c r="P1922" s="49"/>
      <c r="Q1922" s="81">
        <v>1.22</v>
      </c>
      <c r="R1922" s="80"/>
      <c r="S1922" s="48">
        <v>0</v>
      </c>
      <c r="T1922" s="72">
        <v>8</v>
      </c>
      <c r="U1922" s="70"/>
      <c r="V1922" s="32"/>
      <c r="W1922" s="70"/>
      <c r="X1922" s="70"/>
      <c r="Y1922" s="70"/>
      <c r="Z1922" s="70" t="s">
        <v>302</v>
      </c>
      <c r="AA1922" s="71"/>
      <c r="AB1922" s="117" t="str">
        <f>IFERROR(VLOOKUP(Anexo_4[[#This Row],[cuenta]],OP,2,0),"-")</f>
        <v>Transporte peajes - Servicios</v>
      </c>
    </row>
    <row r="1923" spans="1:28" ht="27" customHeight="1" x14ac:dyDescent="0.3">
      <c r="A1923" s="34" t="s">
        <v>5921</v>
      </c>
      <c r="B1923" s="36" t="str">
        <f t="shared" si="33"/>
        <v>Setiembre</v>
      </c>
      <c r="C1923" s="33" t="s">
        <v>162</v>
      </c>
      <c r="D1923" s="33" t="s">
        <v>6143</v>
      </c>
      <c r="E1923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923" s="32" t="s">
        <v>235</v>
      </c>
      <c r="G1923" s="32" t="s">
        <v>5051</v>
      </c>
      <c r="H1923" s="139" t="s">
        <v>6144</v>
      </c>
      <c r="I1923" s="33" t="s">
        <v>264</v>
      </c>
      <c r="J1923" s="143" t="s">
        <v>4644</v>
      </c>
      <c r="K1923" s="33" t="s">
        <v>169</v>
      </c>
      <c r="L1923" s="102" t="str">
        <f>VLOOKUP(Anexo_4[[#This Row],[cod_doc]],TIPODOC,2,FALSE)</f>
        <v>FACTURA</v>
      </c>
      <c r="M1923" s="33" t="s">
        <v>519</v>
      </c>
      <c r="N1923" s="32" t="s">
        <v>6145</v>
      </c>
      <c r="O1923" s="48">
        <v>4.24</v>
      </c>
      <c r="P1923" s="49"/>
      <c r="Q1923" s="81">
        <v>0.76</v>
      </c>
      <c r="R1923" s="80"/>
      <c r="S1923" s="48">
        <v>0</v>
      </c>
      <c r="T1923" s="72">
        <v>5</v>
      </c>
      <c r="U1923" s="70"/>
      <c r="V1923" s="32"/>
      <c r="W1923" s="70"/>
      <c r="X1923" s="70"/>
      <c r="Y1923" s="70"/>
      <c r="Z1923" s="70" t="s">
        <v>302</v>
      </c>
      <c r="AA1923" s="71"/>
      <c r="AB1923" s="117" t="str">
        <f>IFERROR(VLOOKUP(Anexo_4[[#This Row],[cuenta]],OP,2,0),"-")</f>
        <v>Transporte peajes - Servicios</v>
      </c>
    </row>
    <row r="1924" spans="1:28" ht="27" customHeight="1" x14ac:dyDescent="0.3">
      <c r="A1924" s="34" t="s">
        <v>5921</v>
      </c>
      <c r="B1924" s="36" t="str">
        <f t="shared" si="33"/>
        <v>Setiembre</v>
      </c>
      <c r="C1924" s="33" t="s">
        <v>162</v>
      </c>
      <c r="D1924" s="33" t="s">
        <v>6146</v>
      </c>
      <c r="E1924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924" s="32" t="s">
        <v>235</v>
      </c>
      <c r="G1924" s="32" t="s">
        <v>5051</v>
      </c>
      <c r="H1924" s="139" t="s">
        <v>6147</v>
      </c>
      <c r="I1924" s="33" t="s">
        <v>264</v>
      </c>
      <c r="J1924" s="143" t="s">
        <v>4644</v>
      </c>
      <c r="K1924" s="33" t="s">
        <v>169</v>
      </c>
      <c r="L1924" s="102" t="str">
        <f>VLOOKUP(Anexo_4[[#This Row],[cod_doc]],TIPODOC,2,FALSE)</f>
        <v>FACTURA</v>
      </c>
      <c r="M1924" s="33" t="s">
        <v>352</v>
      </c>
      <c r="N1924" s="32" t="s">
        <v>6148</v>
      </c>
      <c r="O1924" s="48">
        <v>6.78</v>
      </c>
      <c r="P1924" s="49"/>
      <c r="Q1924" s="81">
        <v>1.22</v>
      </c>
      <c r="R1924" s="80"/>
      <c r="S1924" s="48">
        <v>0</v>
      </c>
      <c r="T1924" s="72">
        <v>8</v>
      </c>
      <c r="U1924" s="70"/>
      <c r="V1924" s="32"/>
      <c r="W1924" s="70"/>
      <c r="X1924" s="70"/>
      <c r="Y1924" s="70"/>
      <c r="Z1924" s="70" t="s">
        <v>302</v>
      </c>
      <c r="AA1924" s="71"/>
      <c r="AB1924" s="117" t="str">
        <f>IFERROR(VLOOKUP(Anexo_4[[#This Row],[cuenta]],OP,2,0),"-")</f>
        <v>Transporte peajes - Servicios</v>
      </c>
    </row>
    <row r="1925" spans="1:28" ht="27" customHeight="1" x14ac:dyDescent="0.3">
      <c r="A1925" s="34" t="s">
        <v>5921</v>
      </c>
      <c r="B1925" s="36" t="str">
        <f t="shared" si="33"/>
        <v>Setiembre</v>
      </c>
      <c r="C1925" s="33" t="s">
        <v>162</v>
      </c>
      <c r="D1925" s="33" t="s">
        <v>6149</v>
      </c>
      <c r="E1925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925" s="32" t="s">
        <v>235</v>
      </c>
      <c r="G1925" s="32" t="s">
        <v>5051</v>
      </c>
      <c r="H1925" s="139" t="s">
        <v>6150</v>
      </c>
      <c r="I1925" s="33" t="s">
        <v>264</v>
      </c>
      <c r="J1925" s="143" t="s">
        <v>4644</v>
      </c>
      <c r="K1925" s="33" t="s">
        <v>169</v>
      </c>
      <c r="L1925" s="102" t="str">
        <f>VLOOKUP(Anexo_4[[#This Row],[cod_doc]],TIPODOC,2,FALSE)</f>
        <v>FACTURA</v>
      </c>
      <c r="M1925" s="33" t="s">
        <v>266</v>
      </c>
      <c r="N1925" s="32" t="s">
        <v>6151</v>
      </c>
      <c r="O1925" s="48">
        <v>4.24</v>
      </c>
      <c r="P1925" s="49"/>
      <c r="Q1925" s="81">
        <v>0.76</v>
      </c>
      <c r="R1925" s="80"/>
      <c r="S1925" s="48">
        <v>0</v>
      </c>
      <c r="T1925" s="72">
        <v>5</v>
      </c>
      <c r="U1925" s="70"/>
      <c r="V1925" s="32"/>
      <c r="W1925" s="70"/>
      <c r="X1925" s="70"/>
      <c r="Y1925" s="70"/>
      <c r="Z1925" s="70" t="s">
        <v>302</v>
      </c>
      <c r="AA1925" s="71"/>
      <c r="AB1925" s="117" t="str">
        <f>IFERROR(VLOOKUP(Anexo_4[[#This Row],[cuenta]],OP,2,0),"-")</f>
        <v>Transporte peajes - Servicios</v>
      </c>
    </row>
    <row r="1926" spans="1:28" ht="27" customHeight="1" x14ac:dyDescent="0.3">
      <c r="A1926" s="34" t="s">
        <v>5921</v>
      </c>
      <c r="B1926" s="36" t="str">
        <f t="shared" si="33"/>
        <v>Setiembre</v>
      </c>
      <c r="C1926" s="33" t="s">
        <v>162</v>
      </c>
      <c r="D1926" s="33" t="s">
        <v>6152</v>
      </c>
      <c r="E1926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926" s="32" t="s">
        <v>235</v>
      </c>
      <c r="G1926" s="32" t="s">
        <v>5051</v>
      </c>
      <c r="H1926" s="139" t="s">
        <v>6153</v>
      </c>
      <c r="I1926" s="33" t="s">
        <v>178</v>
      </c>
      <c r="J1926" s="143" t="s">
        <v>4667</v>
      </c>
      <c r="K1926" s="33" t="s">
        <v>169</v>
      </c>
      <c r="L1926" s="102" t="str">
        <f>VLOOKUP(Anexo_4[[#This Row],[cod_doc]],TIPODOC,2,FALSE)</f>
        <v>FACTURA</v>
      </c>
      <c r="M1926" s="33" t="s">
        <v>180</v>
      </c>
      <c r="N1926" s="32" t="s">
        <v>6154</v>
      </c>
      <c r="O1926" s="48">
        <v>8.4700000000000006</v>
      </c>
      <c r="P1926" s="49"/>
      <c r="Q1926" s="81">
        <v>1.53</v>
      </c>
      <c r="R1926" s="80"/>
      <c r="S1926" s="48">
        <v>0</v>
      </c>
      <c r="T1926" s="72">
        <v>10</v>
      </c>
      <c r="U1926" s="70"/>
      <c r="V1926" s="32"/>
      <c r="W1926" s="70"/>
      <c r="X1926" s="70"/>
      <c r="Y1926" s="70"/>
      <c r="Z1926" s="70" t="s">
        <v>386</v>
      </c>
      <c r="AA1926" s="71"/>
      <c r="AB1926" s="117" t="str">
        <f>IFERROR(VLOOKUP(Anexo_4[[#This Row],[cuenta]],OP,2,0),"-")</f>
        <v>Balanza - Servicios</v>
      </c>
    </row>
    <row r="1927" spans="1:28" ht="27" customHeight="1" x14ac:dyDescent="0.3">
      <c r="A1927" s="34" t="s">
        <v>5921</v>
      </c>
      <c r="B1927" s="36" t="str">
        <f t="shared" si="33"/>
        <v>Setiembre</v>
      </c>
      <c r="C1927" s="33" t="s">
        <v>162</v>
      </c>
      <c r="D1927" s="33" t="s">
        <v>6155</v>
      </c>
      <c r="E1927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927" s="32" t="s">
        <v>235</v>
      </c>
      <c r="G1927" s="32" t="s">
        <v>5051</v>
      </c>
      <c r="H1927" s="139" t="s">
        <v>6156</v>
      </c>
      <c r="I1927" s="33" t="s">
        <v>286</v>
      </c>
      <c r="J1927" s="143" t="s">
        <v>4762</v>
      </c>
      <c r="K1927" s="33" t="s">
        <v>169</v>
      </c>
      <c r="L1927" s="102" t="str">
        <f>VLOOKUP(Anexo_4[[#This Row],[cod_doc]],TIPODOC,2,FALSE)</f>
        <v>FACTURA</v>
      </c>
      <c r="M1927" s="33" t="s">
        <v>222</v>
      </c>
      <c r="N1927" s="32" t="s">
        <v>6157</v>
      </c>
      <c r="O1927" s="48">
        <v>0</v>
      </c>
      <c r="P1927" s="49"/>
      <c r="Q1927" s="81">
        <v>0</v>
      </c>
      <c r="R1927" s="80"/>
      <c r="S1927" s="48">
        <v>22</v>
      </c>
      <c r="T1927" s="72">
        <v>22</v>
      </c>
      <c r="U1927" s="70"/>
      <c r="V1927" s="32"/>
      <c r="W1927" s="70"/>
      <c r="X1927" s="70"/>
      <c r="Y1927" s="70"/>
      <c r="Z1927" s="70" t="s">
        <v>386</v>
      </c>
      <c r="AA1927" s="71"/>
      <c r="AB1927" s="117" t="str">
        <f>IFERROR(VLOOKUP(Anexo_4[[#This Row],[cuenta]],OP,2,0),"-")</f>
        <v>Balanza - Servicios</v>
      </c>
    </row>
    <row r="1928" spans="1:28" ht="27" customHeight="1" x14ac:dyDescent="0.3">
      <c r="A1928" s="34" t="s">
        <v>5667</v>
      </c>
      <c r="B1928" s="36" t="str">
        <f t="shared" si="33"/>
        <v>Setiembre</v>
      </c>
      <c r="C1928" s="33" t="s">
        <v>162</v>
      </c>
      <c r="D1928" s="33" t="s">
        <v>6158</v>
      </c>
      <c r="E1928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928" s="32" t="s">
        <v>217</v>
      </c>
      <c r="G1928" s="32" t="s">
        <v>4839</v>
      </c>
      <c r="H1928" s="139" t="s">
        <v>6159</v>
      </c>
      <c r="I1928" s="33" t="s">
        <v>383</v>
      </c>
      <c r="J1928" s="143" t="s">
        <v>4702</v>
      </c>
      <c r="K1928" s="33" t="s">
        <v>169</v>
      </c>
      <c r="L1928" s="102" t="str">
        <f>VLOOKUP(Anexo_4[[#This Row],[cod_doc]],TIPODOC,2,FALSE)</f>
        <v>FACTURA</v>
      </c>
      <c r="M1928" s="33" t="s">
        <v>103</v>
      </c>
      <c r="N1928" s="32" t="s">
        <v>6160</v>
      </c>
      <c r="O1928" s="48">
        <v>16.95</v>
      </c>
      <c r="P1928" s="49"/>
      <c r="Q1928" s="81">
        <v>3.05</v>
      </c>
      <c r="R1928" s="80"/>
      <c r="S1928" s="48">
        <v>0</v>
      </c>
      <c r="T1928" s="72">
        <v>20</v>
      </c>
      <c r="U1928" s="70"/>
      <c r="V1928" s="32"/>
      <c r="W1928" s="70"/>
      <c r="X1928" s="70"/>
      <c r="Y1928" s="70"/>
      <c r="Z1928" s="70" t="s">
        <v>386</v>
      </c>
      <c r="AA1928" s="71"/>
      <c r="AB1928" s="117" t="str">
        <f>IFERROR(VLOOKUP(Anexo_4[[#This Row],[cuenta]],OP,2,0),"-")</f>
        <v>Balanza - Servicios</v>
      </c>
    </row>
    <row r="1929" spans="1:28" ht="27" customHeight="1" x14ac:dyDescent="0.3">
      <c r="A1929" s="34" t="s">
        <v>5667</v>
      </c>
      <c r="B1929" s="36" t="str">
        <f t="shared" si="33"/>
        <v>Setiembre</v>
      </c>
      <c r="C1929" s="33" t="s">
        <v>162</v>
      </c>
      <c r="D1929" s="33" t="s">
        <v>6161</v>
      </c>
      <c r="E1929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929" s="32" t="s">
        <v>217</v>
      </c>
      <c r="G1929" s="32" t="s">
        <v>4839</v>
      </c>
      <c r="H1929" s="139" t="s">
        <v>6162</v>
      </c>
      <c r="I1929" s="33" t="s">
        <v>383</v>
      </c>
      <c r="J1929" s="143" t="s">
        <v>4702</v>
      </c>
      <c r="K1929" s="33" t="s">
        <v>169</v>
      </c>
      <c r="L1929" s="102" t="str">
        <f>VLOOKUP(Anexo_4[[#This Row],[cod_doc]],TIPODOC,2,FALSE)</f>
        <v>FACTURA</v>
      </c>
      <c r="M1929" s="33" t="s">
        <v>103</v>
      </c>
      <c r="N1929" s="32" t="s">
        <v>6163</v>
      </c>
      <c r="O1929" s="48">
        <v>16.95</v>
      </c>
      <c r="P1929" s="49"/>
      <c r="Q1929" s="81">
        <v>3.05</v>
      </c>
      <c r="R1929" s="80"/>
      <c r="S1929" s="48">
        <v>0</v>
      </c>
      <c r="T1929" s="72">
        <v>20</v>
      </c>
      <c r="U1929" s="70"/>
      <c r="V1929" s="32"/>
      <c r="W1929" s="70"/>
      <c r="X1929" s="70"/>
      <c r="Y1929" s="70"/>
      <c r="Z1929" s="70" t="s">
        <v>386</v>
      </c>
      <c r="AA1929" s="71"/>
      <c r="AB1929" s="117" t="str">
        <f>IFERROR(VLOOKUP(Anexo_4[[#This Row],[cuenta]],OP,2,0),"-")</f>
        <v>Balanza - Servicios</v>
      </c>
    </row>
    <row r="1930" spans="1:28" ht="27" customHeight="1" x14ac:dyDescent="0.3">
      <c r="A1930" s="34" t="s">
        <v>5238</v>
      </c>
      <c r="B1930" s="36" t="str">
        <f t="shared" si="33"/>
        <v>Setiembre</v>
      </c>
      <c r="C1930" s="33" t="s">
        <v>162</v>
      </c>
      <c r="D1930" s="33" t="s">
        <v>6164</v>
      </c>
      <c r="E1930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930" s="32" t="s">
        <v>391</v>
      </c>
      <c r="G1930" s="32" t="s">
        <v>5041</v>
      </c>
      <c r="H1930" s="139" t="s">
        <v>6165</v>
      </c>
      <c r="I1930" s="33" t="s">
        <v>264</v>
      </c>
      <c r="J1930" s="143" t="s">
        <v>4644</v>
      </c>
      <c r="K1930" s="33" t="s">
        <v>169</v>
      </c>
      <c r="L1930" s="102" t="str">
        <f>VLOOKUP(Anexo_4[[#This Row],[cod_doc]],TIPODOC,2,FALSE)</f>
        <v>FACTURA</v>
      </c>
      <c r="M1930" s="33" t="s">
        <v>379</v>
      </c>
      <c r="N1930" s="32" t="s">
        <v>6166</v>
      </c>
      <c r="O1930" s="48">
        <v>6.78</v>
      </c>
      <c r="P1930" s="49"/>
      <c r="Q1930" s="81">
        <v>1.22</v>
      </c>
      <c r="R1930" s="80"/>
      <c r="S1930" s="48">
        <v>0</v>
      </c>
      <c r="T1930" s="72">
        <v>8</v>
      </c>
      <c r="U1930" s="70"/>
      <c r="V1930" s="32"/>
      <c r="W1930" s="70"/>
      <c r="X1930" s="70"/>
      <c r="Y1930" s="70"/>
      <c r="Z1930" s="70" t="s">
        <v>302</v>
      </c>
      <c r="AA1930" s="71"/>
      <c r="AB1930" s="117" t="str">
        <f>IFERROR(VLOOKUP(Anexo_4[[#This Row],[cuenta]],OP,2,0),"-")</f>
        <v>Transporte peajes - Servicios</v>
      </c>
    </row>
    <row r="1931" spans="1:28" ht="27" customHeight="1" x14ac:dyDescent="0.3">
      <c r="A1931" s="34" t="s">
        <v>5328</v>
      </c>
      <c r="B1931" s="36" t="str">
        <f t="shared" si="33"/>
        <v>Setiembre</v>
      </c>
      <c r="C1931" s="33" t="s">
        <v>162</v>
      </c>
      <c r="D1931" s="33" t="s">
        <v>6167</v>
      </c>
      <c r="E1931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931" s="32" t="s">
        <v>391</v>
      </c>
      <c r="G1931" s="32" t="s">
        <v>5041</v>
      </c>
      <c r="H1931" s="139" t="s">
        <v>6168</v>
      </c>
      <c r="I1931" s="33" t="s">
        <v>264</v>
      </c>
      <c r="J1931" s="143" t="s">
        <v>4644</v>
      </c>
      <c r="K1931" s="33" t="s">
        <v>169</v>
      </c>
      <c r="L1931" s="102" t="str">
        <f>VLOOKUP(Anexo_4[[#This Row],[cod_doc]],TIPODOC,2,FALSE)</f>
        <v>FACTURA</v>
      </c>
      <c r="M1931" s="33" t="s">
        <v>271</v>
      </c>
      <c r="N1931" s="32" t="s">
        <v>6169</v>
      </c>
      <c r="O1931" s="48">
        <v>6.78</v>
      </c>
      <c r="P1931" s="49"/>
      <c r="Q1931" s="81">
        <v>1.22</v>
      </c>
      <c r="R1931" s="80"/>
      <c r="S1931" s="48">
        <v>0</v>
      </c>
      <c r="T1931" s="72">
        <v>8</v>
      </c>
      <c r="U1931" s="70"/>
      <c r="V1931" s="32"/>
      <c r="W1931" s="70"/>
      <c r="X1931" s="70"/>
      <c r="Y1931" s="70"/>
      <c r="Z1931" s="70" t="s">
        <v>268</v>
      </c>
      <c r="AA1931" s="71"/>
      <c r="AB1931" s="117" t="str">
        <f>IFERROR(VLOOKUP(Anexo_4[[#This Row],[cuenta]],OP,2,0),"-")</f>
        <v>Transporte peajes - Ventas</v>
      </c>
    </row>
    <row r="1932" spans="1:28" ht="27" customHeight="1" x14ac:dyDescent="0.3">
      <c r="A1932" s="34" t="s">
        <v>5486</v>
      </c>
      <c r="B1932" s="36" t="str">
        <f t="shared" si="33"/>
        <v>Setiembre</v>
      </c>
      <c r="C1932" s="33" t="s">
        <v>162</v>
      </c>
      <c r="D1932" s="33" t="s">
        <v>6170</v>
      </c>
      <c r="E1932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932" s="32" t="s">
        <v>391</v>
      </c>
      <c r="G1932" s="32" t="s">
        <v>5041</v>
      </c>
      <c r="H1932" s="139" t="s">
        <v>6171</v>
      </c>
      <c r="I1932" s="33" t="s">
        <v>264</v>
      </c>
      <c r="J1932" s="143" t="s">
        <v>4644</v>
      </c>
      <c r="K1932" s="33" t="s">
        <v>169</v>
      </c>
      <c r="L1932" s="102" t="str">
        <f>VLOOKUP(Anexo_4[[#This Row],[cod_doc]],TIPODOC,2,FALSE)</f>
        <v>FACTURA</v>
      </c>
      <c r="M1932" s="33" t="s">
        <v>271</v>
      </c>
      <c r="N1932" s="32" t="s">
        <v>6172</v>
      </c>
      <c r="O1932" s="48">
        <v>6.78</v>
      </c>
      <c r="P1932" s="49"/>
      <c r="Q1932" s="81">
        <v>1.22</v>
      </c>
      <c r="R1932" s="80"/>
      <c r="S1932" s="48">
        <v>0</v>
      </c>
      <c r="T1932" s="72">
        <v>8</v>
      </c>
      <c r="U1932" s="70"/>
      <c r="V1932" s="32"/>
      <c r="W1932" s="70"/>
      <c r="X1932" s="70"/>
      <c r="Y1932" s="70"/>
      <c r="Z1932" s="70" t="s">
        <v>302</v>
      </c>
      <c r="AA1932" s="71"/>
      <c r="AB1932" s="117" t="str">
        <f>IFERROR(VLOOKUP(Anexo_4[[#This Row],[cuenta]],OP,2,0),"-")</f>
        <v>Transporte peajes - Servicios</v>
      </c>
    </row>
    <row r="1933" spans="1:28" ht="27" customHeight="1" x14ac:dyDescent="0.3">
      <c r="A1933" s="34" t="s">
        <v>5486</v>
      </c>
      <c r="B1933" s="36" t="str">
        <f t="shared" si="33"/>
        <v>Setiembre</v>
      </c>
      <c r="C1933" s="33" t="s">
        <v>162</v>
      </c>
      <c r="D1933" s="33" t="s">
        <v>6173</v>
      </c>
      <c r="E1933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933" s="32" t="s">
        <v>217</v>
      </c>
      <c r="G1933" s="32" t="s">
        <v>4839</v>
      </c>
      <c r="H1933" s="139" t="s">
        <v>6174</v>
      </c>
      <c r="I1933" s="33" t="s">
        <v>264</v>
      </c>
      <c r="J1933" s="143" t="s">
        <v>4644</v>
      </c>
      <c r="K1933" s="33" t="s">
        <v>169</v>
      </c>
      <c r="L1933" s="102" t="str">
        <f>VLOOKUP(Anexo_4[[#This Row],[cod_doc]],TIPODOC,2,FALSE)</f>
        <v>FACTURA</v>
      </c>
      <c r="M1933" s="33" t="s">
        <v>352</v>
      </c>
      <c r="N1933" s="32" t="s">
        <v>6175</v>
      </c>
      <c r="O1933" s="48">
        <v>6.78</v>
      </c>
      <c r="P1933" s="49"/>
      <c r="Q1933" s="81">
        <v>1.22</v>
      </c>
      <c r="R1933" s="80"/>
      <c r="S1933" s="48">
        <v>0</v>
      </c>
      <c r="T1933" s="72">
        <v>8</v>
      </c>
      <c r="U1933" s="70"/>
      <c r="V1933" s="32"/>
      <c r="W1933" s="70"/>
      <c r="X1933" s="70"/>
      <c r="Y1933" s="70"/>
      <c r="Z1933" s="70" t="s">
        <v>302</v>
      </c>
      <c r="AA1933" s="71"/>
      <c r="AB1933" s="117" t="str">
        <f>IFERROR(VLOOKUP(Anexo_4[[#This Row],[cuenta]],OP,2,0),"-")</f>
        <v>Transporte peajes - Servicios</v>
      </c>
    </row>
    <row r="1934" spans="1:28" ht="27" customHeight="1" x14ac:dyDescent="0.3">
      <c r="A1934" s="34" t="s">
        <v>5921</v>
      </c>
      <c r="B1934" s="36" t="str">
        <f t="shared" ref="B1934:B1965" si="34">PROPER(CHOOSE(LEFT(D1934,2),"enero","febrero","marzo","abril","mayo","junio","julio","agosto","setiembre","octubre","noviembre","diciembre"))</f>
        <v>Setiembre</v>
      </c>
      <c r="C1934" s="33" t="s">
        <v>162</v>
      </c>
      <c r="D1934" s="33" t="s">
        <v>6176</v>
      </c>
      <c r="E1934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934" s="32" t="s">
        <v>391</v>
      </c>
      <c r="G1934" s="32" t="s">
        <v>5041</v>
      </c>
      <c r="H1934" s="139" t="s">
        <v>6177</v>
      </c>
      <c r="I1934" s="33" t="s">
        <v>264</v>
      </c>
      <c r="J1934" s="143" t="s">
        <v>4644</v>
      </c>
      <c r="K1934" s="33" t="s">
        <v>169</v>
      </c>
      <c r="L1934" s="102" t="str">
        <f>VLOOKUP(Anexo_4[[#This Row],[cod_doc]],TIPODOC,2,FALSE)</f>
        <v>FACTURA</v>
      </c>
      <c r="M1934" s="33" t="s">
        <v>406</v>
      </c>
      <c r="N1934" s="32" t="s">
        <v>6178</v>
      </c>
      <c r="O1934" s="48">
        <v>6.78</v>
      </c>
      <c r="P1934" s="49"/>
      <c r="Q1934" s="81">
        <v>1.22</v>
      </c>
      <c r="R1934" s="80"/>
      <c r="S1934" s="48">
        <v>0</v>
      </c>
      <c r="T1934" s="72">
        <v>8</v>
      </c>
      <c r="U1934" s="70"/>
      <c r="V1934" s="32"/>
      <c r="W1934" s="70"/>
      <c r="X1934" s="70"/>
      <c r="Y1934" s="70"/>
      <c r="Z1934" s="70" t="s">
        <v>268</v>
      </c>
      <c r="AA1934" s="71"/>
      <c r="AB1934" s="117" t="str">
        <f>IFERROR(VLOOKUP(Anexo_4[[#This Row],[cuenta]],OP,2,0),"-")</f>
        <v>Transporte peajes - Ventas</v>
      </c>
    </row>
    <row r="1935" spans="1:28" ht="27" customHeight="1" x14ac:dyDescent="0.3">
      <c r="A1935" s="34" t="s">
        <v>5921</v>
      </c>
      <c r="B1935" s="36" t="str">
        <f t="shared" si="34"/>
        <v>Setiembre</v>
      </c>
      <c r="C1935" s="33" t="s">
        <v>162</v>
      </c>
      <c r="D1935" s="33" t="s">
        <v>6179</v>
      </c>
      <c r="E1935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935" s="32" t="s">
        <v>391</v>
      </c>
      <c r="G1935" s="32" t="s">
        <v>5041</v>
      </c>
      <c r="H1935" s="139" t="s">
        <v>6180</v>
      </c>
      <c r="I1935" s="33" t="s">
        <v>264</v>
      </c>
      <c r="J1935" s="143" t="s">
        <v>4644</v>
      </c>
      <c r="K1935" s="33" t="s">
        <v>169</v>
      </c>
      <c r="L1935" s="102" t="str">
        <f>VLOOKUP(Anexo_4[[#This Row],[cod_doc]],TIPODOC,2,FALSE)</f>
        <v>FACTURA</v>
      </c>
      <c r="M1935" s="33" t="s">
        <v>352</v>
      </c>
      <c r="N1935" s="32" t="s">
        <v>6181</v>
      </c>
      <c r="O1935" s="48">
        <v>6.78</v>
      </c>
      <c r="P1935" s="49"/>
      <c r="Q1935" s="81">
        <v>1.22</v>
      </c>
      <c r="R1935" s="80"/>
      <c r="S1935" s="48">
        <v>0</v>
      </c>
      <c r="T1935" s="72">
        <v>8</v>
      </c>
      <c r="U1935" s="70"/>
      <c r="V1935" s="32"/>
      <c r="W1935" s="70"/>
      <c r="X1935" s="70"/>
      <c r="Y1935" s="70"/>
      <c r="Z1935" s="70" t="s">
        <v>302</v>
      </c>
      <c r="AA1935" s="71"/>
      <c r="AB1935" s="117" t="str">
        <f>IFERROR(VLOOKUP(Anexo_4[[#This Row],[cuenta]],OP,2,0),"-")</f>
        <v>Transporte peajes - Servicios</v>
      </c>
    </row>
    <row r="1936" spans="1:28" ht="27" customHeight="1" x14ac:dyDescent="0.3">
      <c r="A1936" s="34" t="s">
        <v>5985</v>
      </c>
      <c r="B1936" s="36" t="str">
        <f t="shared" si="34"/>
        <v>Setiembre</v>
      </c>
      <c r="C1936" s="33" t="s">
        <v>162</v>
      </c>
      <c r="D1936" s="33" t="s">
        <v>6182</v>
      </c>
      <c r="E1936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936" s="32" t="s">
        <v>391</v>
      </c>
      <c r="G1936" s="32" t="s">
        <v>5041</v>
      </c>
      <c r="H1936" s="139" t="s">
        <v>6183</v>
      </c>
      <c r="I1936" s="33" t="s">
        <v>264</v>
      </c>
      <c r="J1936" s="143" t="s">
        <v>4644</v>
      </c>
      <c r="K1936" s="33" t="s">
        <v>169</v>
      </c>
      <c r="L1936" s="102" t="str">
        <f>VLOOKUP(Anexo_4[[#This Row],[cod_doc]],TIPODOC,2,FALSE)</f>
        <v>FACTURA</v>
      </c>
      <c r="M1936" s="33" t="s">
        <v>271</v>
      </c>
      <c r="N1936" s="32" t="s">
        <v>6184</v>
      </c>
      <c r="O1936" s="48">
        <v>6.78</v>
      </c>
      <c r="P1936" s="49"/>
      <c r="Q1936" s="81">
        <v>1.22</v>
      </c>
      <c r="R1936" s="80"/>
      <c r="S1936" s="48">
        <v>0</v>
      </c>
      <c r="T1936" s="72">
        <v>8</v>
      </c>
      <c r="U1936" s="70"/>
      <c r="V1936" s="32"/>
      <c r="W1936" s="70"/>
      <c r="X1936" s="70"/>
      <c r="Y1936" s="70"/>
      <c r="Z1936" s="70" t="s">
        <v>268</v>
      </c>
      <c r="AA1936" s="71"/>
      <c r="AB1936" s="117" t="str">
        <f>IFERROR(VLOOKUP(Anexo_4[[#This Row],[cuenta]],OP,2,0),"-")</f>
        <v>Transporte peajes - Ventas</v>
      </c>
    </row>
    <row r="1937" spans="1:28" ht="27" customHeight="1" x14ac:dyDescent="0.3">
      <c r="A1937" s="34" t="s">
        <v>5985</v>
      </c>
      <c r="B1937" s="36" t="str">
        <f t="shared" si="34"/>
        <v>Setiembre</v>
      </c>
      <c r="C1937" s="33" t="s">
        <v>162</v>
      </c>
      <c r="D1937" s="33" t="s">
        <v>6185</v>
      </c>
      <c r="E1937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937" s="32" t="s">
        <v>391</v>
      </c>
      <c r="G1937" s="32" t="s">
        <v>5041</v>
      </c>
      <c r="H1937" s="139" t="s">
        <v>6186</v>
      </c>
      <c r="I1937" s="33" t="s">
        <v>264</v>
      </c>
      <c r="J1937" s="143" t="s">
        <v>4644</v>
      </c>
      <c r="K1937" s="33" t="s">
        <v>169</v>
      </c>
      <c r="L1937" s="102" t="str">
        <f>VLOOKUP(Anexo_4[[#This Row],[cod_doc]],TIPODOC,2,FALSE)</f>
        <v>FACTURA</v>
      </c>
      <c r="M1937" s="33" t="s">
        <v>352</v>
      </c>
      <c r="N1937" s="32" t="s">
        <v>6187</v>
      </c>
      <c r="O1937" s="48">
        <v>6.78</v>
      </c>
      <c r="P1937" s="49"/>
      <c r="Q1937" s="81">
        <v>1.22</v>
      </c>
      <c r="R1937" s="80"/>
      <c r="S1937" s="48">
        <v>0</v>
      </c>
      <c r="T1937" s="72">
        <v>8</v>
      </c>
      <c r="U1937" s="70"/>
      <c r="V1937" s="32"/>
      <c r="W1937" s="70"/>
      <c r="X1937" s="70"/>
      <c r="Y1937" s="70"/>
      <c r="Z1937" s="70" t="s">
        <v>302</v>
      </c>
      <c r="AA1937" s="71"/>
      <c r="AB1937" s="117" t="str">
        <f>IFERROR(VLOOKUP(Anexo_4[[#This Row],[cuenta]],OP,2,0),"-")</f>
        <v>Transporte peajes - Servicios</v>
      </c>
    </row>
    <row r="1938" spans="1:28" ht="27" customHeight="1" x14ac:dyDescent="0.3">
      <c r="A1938" s="34" t="s">
        <v>5238</v>
      </c>
      <c r="B1938" s="36" t="str">
        <f t="shared" si="34"/>
        <v>Setiembre</v>
      </c>
      <c r="C1938" s="33" t="s">
        <v>162</v>
      </c>
      <c r="D1938" s="33" t="s">
        <v>6188</v>
      </c>
      <c r="E1938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938" s="32" t="s">
        <v>391</v>
      </c>
      <c r="G1938" s="32" t="s">
        <v>5041</v>
      </c>
      <c r="H1938" s="139" t="s">
        <v>6189</v>
      </c>
      <c r="I1938" s="33" t="s">
        <v>264</v>
      </c>
      <c r="J1938" s="143" t="s">
        <v>4644</v>
      </c>
      <c r="K1938" s="33" t="s">
        <v>169</v>
      </c>
      <c r="L1938" s="102" t="str">
        <f>VLOOKUP(Anexo_4[[#This Row],[cod_doc]],TIPODOC,2,FALSE)</f>
        <v>FACTURA</v>
      </c>
      <c r="M1938" s="33" t="s">
        <v>271</v>
      </c>
      <c r="N1938" s="32" t="s">
        <v>6190</v>
      </c>
      <c r="O1938" s="48">
        <v>6.78</v>
      </c>
      <c r="P1938" s="49"/>
      <c r="Q1938" s="81">
        <v>1.22</v>
      </c>
      <c r="R1938" s="80"/>
      <c r="S1938" s="48">
        <v>0</v>
      </c>
      <c r="T1938" s="72">
        <v>8</v>
      </c>
      <c r="U1938" s="70"/>
      <c r="V1938" s="32"/>
      <c r="W1938" s="70"/>
      <c r="X1938" s="70"/>
      <c r="Y1938" s="70"/>
      <c r="Z1938" s="70" t="s">
        <v>302</v>
      </c>
      <c r="AA1938" s="71"/>
      <c r="AB1938" s="117" t="str">
        <f>IFERROR(VLOOKUP(Anexo_4[[#This Row],[cuenta]],OP,2,0),"-")</f>
        <v>Transporte peajes - Servicios</v>
      </c>
    </row>
    <row r="1939" spans="1:28" ht="27" customHeight="1" x14ac:dyDescent="0.3">
      <c r="A1939" s="34" t="s">
        <v>5078</v>
      </c>
      <c r="B1939" s="36" t="str">
        <f t="shared" si="34"/>
        <v>Setiembre</v>
      </c>
      <c r="C1939" s="33" t="s">
        <v>162</v>
      </c>
      <c r="D1939" s="33" t="s">
        <v>6191</v>
      </c>
      <c r="E1939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939" s="32" t="s">
        <v>391</v>
      </c>
      <c r="G1939" s="32" t="s">
        <v>5041</v>
      </c>
      <c r="H1939" s="139" t="s">
        <v>6192</v>
      </c>
      <c r="I1939" s="33" t="s">
        <v>504</v>
      </c>
      <c r="J1939" s="143" t="s">
        <v>4717</v>
      </c>
      <c r="K1939" s="33" t="s">
        <v>169</v>
      </c>
      <c r="L1939" s="102" t="str">
        <f>VLOOKUP(Anexo_4[[#This Row],[cod_doc]],TIPODOC,2,FALSE)</f>
        <v>FACTURA</v>
      </c>
      <c r="M1939" s="33" t="s">
        <v>222</v>
      </c>
      <c r="N1939" s="32" t="s">
        <v>6193</v>
      </c>
      <c r="O1939" s="48">
        <v>21.19</v>
      </c>
      <c r="P1939" s="49"/>
      <c r="Q1939" s="81">
        <v>3.81</v>
      </c>
      <c r="R1939" s="80"/>
      <c r="S1939" s="48">
        <v>0</v>
      </c>
      <c r="T1939" s="72">
        <v>25</v>
      </c>
      <c r="U1939" s="70"/>
      <c r="V1939" s="32"/>
      <c r="W1939" s="70"/>
      <c r="X1939" s="70"/>
      <c r="Y1939" s="70"/>
      <c r="Z1939" s="70" t="s">
        <v>507</v>
      </c>
      <c r="AA1939" s="71"/>
      <c r="AB1939" s="117" t="str">
        <f>IFERROR(VLOOKUP(Anexo_4[[#This Row],[cuenta]],OP,2,0),"-")</f>
        <v>Transporte lavado (Higienización)</v>
      </c>
    </row>
    <row r="1940" spans="1:28" ht="27" customHeight="1" x14ac:dyDescent="0.3">
      <c r="A1940" s="34" t="s">
        <v>5444</v>
      </c>
      <c r="B1940" s="36" t="str">
        <f t="shared" si="34"/>
        <v>Setiembre</v>
      </c>
      <c r="C1940" s="33" t="s">
        <v>162</v>
      </c>
      <c r="D1940" s="33" t="s">
        <v>6194</v>
      </c>
      <c r="E1940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940" s="32" t="s">
        <v>391</v>
      </c>
      <c r="G1940" s="32" t="s">
        <v>5041</v>
      </c>
      <c r="H1940" s="139" t="s">
        <v>6195</v>
      </c>
      <c r="I1940" s="33" t="s">
        <v>178</v>
      </c>
      <c r="J1940" s="143" t="s">
        <v>4667</v>
      </c>
      <c r="K1940" s="33" t="s">
        <v>169</v>
      </c>
      <c r="L1940" s="102" t="str">
        <f>VLOOKUP(Anexo_4[[#This Row],[cod_doc]],TIPODOC,2,FALSE)</f>
        <v>FACTURA</v>
      </c>
      <c r="M1940" s="33" t="s">
        <v>180</v>
      </c>
      <c r="N1940" s="32" t="s">
        <v>6196</v>
      </c>
      <c r="O1940" s="48">
        <v>8.4700000000000006</v>
      </c>
      <c r="P1940" s="49"/>
      <c r="Q1940" s="81">
        <v>1.53</v>
      </c>
      <c r="R1940" s="80"/>
      <c r="S1940" s="48">
        <v>0</v>
      </c>
      <c r="T1940" s="72">
        <v>10</v>
      </c>
      <c r="U1940" s="70"/>
      <c r="V1940" s="32"/>
      <c r="W1940" s="70"/>
      <c r="X1940" s="70"/>
      <c r="Y1940" s="70"/>
      <c r="Z1940" s="70" t="s">
        <v>386</v>
      </c>
      <c r="AA1940" s="71"/>
      <c r="AB1940" s="117" t="str">
        <f>IFERROR(VLOOKUP(Anexo_4[[#This Row],[cuenta]],OP,2,0),"-")</f>
        <v>Balanza - Servicios</v>
      </c>
    </row>
    <row r="1941" spans="1:28" ht="27" customHeight="1" x14ac:dyDescent="0.3">
      <c r="A1941" s="34" t="s">
        <v>5444</v>
      </c>
      <c r="B1941" s="36" t="str">
        <f t="shared" si="34"/>
        <v>Setiembre</v>
      </c>
      <c r="C1941" s="33" t="s">
        <v>162</v>
      </c>
      <c r="D1941" s="33" t="s">
        <v>6197</v>
      </c>
      <c r="E1941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941" s="32" t="s">
        <v>391</v>
      </c>
      <c r="G1941" s="32" t="s">
        <v>5041</v>
      </c>
      <c r="H1941" s="139" t="s">
        <v>6198</v>
      </c>
      <c r="I1941" s="33" t="s">
        <v>178</v>
      </c>
      <c r="J1941" s="143" t="s">
        <v>4667</v>
      </c>
      <c r="K1941" s="33" t="s">
        <v>169</v>
      </c>
      <c r="L1941" s="102" t="str">
        <f>VLOOKUP(Anexo_4[[#This Row],[cod_doc]],TIPODOC,2,FALSE)</f>
        <v>FACTURA</v>
      </c>
      <c r="M1941" s="33" t="s">
        <v>180</v>
      </c>
      <c r="N1941" s="32" t="s">
        <v>6199</v>
      </c>
      <c r="O1941" s="48">
        <v>8.4700000000000006</v>
      </c>
      <c r="P1941" s="49"/>
      <c r="Q1941" s="81">
        <v>1.53</v>
      </c>
      <c r="R1941" s="80"/>
      <c r="S1941" s="48">
        <v>0</v>
      </c>
      <c r="T1941" s="72">
        <v>10</v>
      </c>
      <c r="U1941" s="70"/>
      <c r="V1941" s="32"/>
      <c r="W1941" s="70"/>
      <c r="X1941" s="70"/>
      <c r="Y1941" s="70"/>
      <c r="Z1941" s="70" t="s">
        <v>386</v>
      </c>
      <c r="AA1941" s="71"/>
      <c r="AB1941" s="117" t="str">
        <f>IFERROR(VLOOKUP(Anexo_4[[#This Row],[cuenta]],OP,2,0),"-")</f>
        <v>Balanza - Servicios</v>
      </c>
    </row>
    <row r="1942" spans="1:28" ht="27" customHeight="1" x14ac:dyDescent="0.3">
      <c r="A1942" s="34" t="s">
        <v>5444</v>
      </c>
      <c r="B1942" s="36" t="str">
        <f t="shared" si="34"/>
        <v>Setiembre</v>
      </c>
      <c r="C1942" s="33" t="s">
        <v>162</v>
      </c>
      <c r="D1942" s="33" t="s">
        <v>6200</v>
      </c>
      <c r="E1942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942" s="32" t="s">
        <v>391</v>
      </c>
      <c r="G1942" s="32" t="s">
        <v>5041</v>
      </c>
      <c r="H1942" s="139" t="s">
        <v>6201</v>
      </c>
      <c r="I1942" s="33" t="s">
        <v>178</v>
      </c>
      <c r="J1942" s="143" t="s">
        <v>4667</v>
      </c>
      <c r="K1942" s="33" t="s">
        <v>169</v>
      </c>
      <c r="L1942" s="102" t="str">
        <f>VLOOKUP(Anexo_4[[#This Row],[cod_doc]],TIPODOC,2,FALSE)</f>
        <v>FACTURA</v>
      </c>
      <c r="M1942" s="33" t="s">
        <v>180</v>
      </c>
      <c r="N1942" s="32" t="s">
        <v>6202</v>
      </c>
      <c r="O1942" s="48">
        <v>8.4700000000000006</v>
      </c>
      <c r="P1942" s="49"/>
      <c r="Q1942" s="81">
        <v>1.53</v>
      </c>
      <c r="R1942" s="80"/>
      <c r="S1942" s="48">
        <v>0</v>
      </c>
      <c r="T1942" s="72">
        <v>10</v>
      </c>
      <c r="U1942" s="70"/>
      <c r="V1942" s="32"/>
      <c r="W1942" s="70"/>
      <c r="X1942" s="70"/>
      <c r="Y1942" s="70"/>
      <c r="Z1942" s="70" t="s">
        <v>386</v>
      </c>
      <c r="AA1942" s="71"/>
      <c r="AB1942" s="117" t="str">
        <f>IFERROR(VLOOKUP(Anexo_4[[#This Row],[cuenta]],OP,2,0),"-")</f>
        <v>Balanza - Servicios</v>
      </c>
    </row>
    <row r="1943" spans="1:28" ht="27" customHeight="1" x14ac:dyDescent="0.3">
      <c r="A1943" s="34" t="s">
        <v>5486</v>
      </c>
      <c r="B1943" s="36" t="str">
        <f t="shared" si="34"/>
        <v>Setiembre</v>
      </c>
      <c r="C1943" s="33" t="s">
        <v>162</v>
      </c>
      <c r="D1943" s="33" t="s">
        <v>6203</v>
      </c>
      <c r="E1943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943" s="32" t="s">
        <v>217</v>
      </c>
      <c r="G1943" s="32" t="s">
        <v>4839</v>
      </c>
      <c r="H1943" s="139" t="s">
        <v>6204</v>
      </c>
      <c r="I1943" s="33" t="s">
        <v>383</v>
      </c>
      <c r="J1943" s="143" t="s">
        <v>4702</v>
      </c>
      <c r="K1943" s="33" t="s">
        <v>169</v>
      </c>
      <c r="L1943" s="102" t="str">
        <f>VLOOKUP(Anexo_4[[#This Row],[cod_doc]],TIPODOC,2,FALSE)</f>
        <v>FACTURA</v>
      </c>
      <c r="M1943" s="33" t="s">
        <v>103</v>
      </c>
      <c r="N1943" s="32" t="s">
        <v>6205</v>
      </c>
      <c r="O1943" s="48">
        <v>16.95</v>
      </c>
      <c r="P1943" s="49"/>
      <c r="Q1943" s="81">
        <v>3.05</v>
      </c>
      <c r="R1943" s="80"/>
      <c r="S1943" s="48">
        <v>0</v>
      </c>
      <c r="T1943" s="72">
        <v>20</v>
      </c>
      <c r="U1943" s="70"/>
      <c r="V1943" s="32"/>
      <c r="W1943" s="70"/>
      <c r="X1943" s="70"/>
      <c r="Y1943" s="70"/>
      <c r="Z1943" s="70" t="s">
        <v>386</v>
      </c>
      <c r="AA1943" s="71"/>
      <c r="AB1943" s="117" t="str">
        <f>IFERROR(VLOOKUP(Anexo_4[[#This Row],[cuenta]],OP,2,0),"-")</f>
        <v>Balanza - Servicios</v>
      </c>
    </row>
    <row r="1944" spans="1:28" ht="27" customHeight="1" x14ac:dyDescent="0.3">
      <c r="A1944" s="34" t="s">
        <v>5667</v>
      </c>
      <c r="B1944" s="36" t="str">
        <f t="shared" si="34"/>
        <v>Setiembre</v>
      </c>
      <c r="C1944" s="33" t="s">
        <v>162</v>
      </c>
      <c r="D1944" s="33" t="s">
        <v>6206</v>
      </c>
      <c r="E1944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944" s="32" t="s">
        <v>235</v>
      </c>
      <c r="G1944" s="32" t="s">
        <v>5051</v>
      </c>
      <c r="H1944" s="139" t="s">
        <v>6207</v>
      </c>
      <c r="I1944" s="33" t="s">
        <v>178</v>
      </c>
      <c r="J1944" s="143" t="s">
        <v>4667</v>
      </c>
      <c r="K1944" s="33" t="s">
        <v>169</v>
      </c>
      <c r="L1944" s="102" t="str">
        <f>VLOOKUP(Anexo_4[[#This Row],[cod_doc]],TIPODOC,2,FALSE)</f>
        <v>FACTURA</v>
      </c>
      <c r="M1944" s="33" t="s">
        <v>180</v>
      </c>
      <c r="N1944" s="32" t="s">
        <v>6208</v>
      </c>
      <c r="O1944" s="48">
        <v>8.4700000000000006</v>
      </c>
      <c r="P1944" s="49"/>
      <c r="Q1944" s="81">
        <v>1.53</v>
      </c>
      <c r="R1944" s="80"/>
      <c r="S1944" s="48">
        <v>0</v>
      </c>
      <c r="T1944" s="72">
        <v>10</v>
      </c>
      <c r="U1944" s="70"/>
      <c r="V1944" s="32"/>
      <c r="W1944" s="70"/>
      <c r="X1944" s="70"/>
      <c r="Y1944" s="70"/>
      <c r="Z1944" s="70" t="s">
        <v>386</v>
      </c>
      <c r="AA1944" s="71"/>
      <c r="AB1944" s="117" t="str">
        <f>IFERROR(VLOOKUP(Anexo_4[[#This Row],[cuenta]],OP,2,0),"-")</f>
        <v>Balanza - Servicios</v>
      </c>
    </row>
    <row r="1945" spans="1:28" ht="27" customHeight="1" x14ac:dyDescent="0.3">
      <c r="A1945" s="34" t="s">
        <v>5985</v>
      </c>
      <c r="B1945" s="36" t="str">
        <f t="shared" si="34"/>
        <v>Setiembre</v>
      </c>
      <c r="C1945" s="33" t="s">
        <v>162</v>
      </c>
      <c r="D1945" s="33" t="s">
        <v>6209</v>
      </c>
      <c r="E1945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945" s="32" t="s">
        <v>235</v>
      </c>
      <c r="G1945" s="32" t="s">
        <v>5051</v>
      </c>
      <c r="H1945" s="139" t="s">
        <v>6210</v>
      </c>
      <c r="I1945" s="33" t="s">
        <v>264</v>
      </c>
      <c r="J1945" s="143" t="s">
        <v>4644</v>
      </c>
      <c r="K1945" s="33" t="s">
        <v>169</v>
      </c>
      <c r="L1945" s="102" t="str">
        <f>VLOOKUP(Anexo_4[[#This Row],[cod_doc]],TIPODOC,2,FALSE)</f>
        <v>FACTURA</v>
      </c>
      <c r="M1945" s="33" t="s">
        <v>379</v>
      </c>
      <c r="N1945" s="32" t="s">
        <v>6211</v>
      </c>
      <c r="O1945" s="48">
        <v>6.78</v>
      </c>
      <c r="P1945" s="49"/>
      <c r="Q1945" s="81">
        <v>1.22</v>
      </c>
      <c r="R1945" s="80"/>
      <c r="S1945" s="48">
        <v>0</v>
      </c>
      <c r="T1945" s="72">
        <v>8</v>
      </c>
      <c r="U1945" s="70"/>
      <c r="V1945" s="32"/>
      <c r="W1945" s="70"/>
      <c r="X1945" s="70"/>
      <c r="Y1945" s="70"/>
      <c r="Z1945" s="70" t="s">
        <v>302</v>
      </c>
      <c r="AA1945" s="71"/>
      <c r="AB1945" s="117" t="str">
        <f>IFERROR(VLOOKUP(Anexo_4[[#This Row],[cuenta]],OP,2,0),"-")</f>
        <v>Transporte peajes - Servicios</v>
      </c>
    </row>
    <row r="1946" spans="1:28" ht="27" customHeight="1" x14ac:dyDescent="0.3">
      <c r="A1946" s="34" t="s">
        <v>5921</v>
      </c>
      <c r="B1946" s="36" t="str">
        <f t="shared" si="34"/>
        <v>Setiembre</v>
      </c>
      <c r="C1946" s="33" t="s">
        <v>162</v>
      </c>
      <c r="D1946" s="33" t="s">
        <v>6212</v>
      </c>
      <c r="E1946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946" s="32" t="s">
        <v>217</v>
      </c>
      <c r="G1946" s="32" t="s">
        <v>4839</v>
      </c>
      <c r="H1946" s="139" t="s">
        <v>6213</v>
      </c>
      <c r="I1946" s="33" t="s">
        <v>264</v>
      </c>
      <c r="J1946" s="143" t="s">
        <v>4644</v>
      </c>
      <c r="K1946" s="33" t="s">
        <v>169</v>
      </c>
      <c r="L1946" s="102" t="str">
        <f>VLOOKUP(Anexo_4[[#This Row],[cod_doc]],TIPODOC,2,FALSE)</f>
        <v>FACTURA</v>
      </c>
      <c r="M1946" s="33" t="s">
        <v>352</v>
      </c>
      <c r="N1946" s="32" t="s">
        <v>6214</v>
      </c>
      <c r="O1946" s="48">
        <v>6.78</v>
      </c>
      <c r="P1946" s="49"/>
      <c r="Q1946" s="81">
        <v>1.22</v>
      </c>
      <c r="R1946" s="80"/>
      <c r="S1946" s="48">
        <v>0</v>
      </c>
      <c r="T1946" s="72">
        <v>8</v>
      </c>
      <c r="U1946" s="70"/>
      <c r="V1946" s="32"/>
      <c r="W1946" s="70"/>
      <c r="X1946" s="70"/>
      <c r="Y1946" s="70"/>
      <c r="Z1946" s="70" t="s">
        <v>302</v>
      </c>
      <c r="AA1946" s="71"/>
      <c r="AB1946" s="117" t="str">
        <f>IFERROR(VLOOKUP(Anexo_4[[#This Row],[cuenta]],OP,2,0),"-")</f>
        <v>Transporte peajes - Servicios</v>
      </c>
    </row>
    <row r="1947" spans="1:28" ht="27" customHeight="1" x14ac:dyDescent="0.3">
      <c r="A1947" s="34" t="s">
        <v>5985</v>
      </c>
      <c r="B1947" s="36" t="str">
        <f t="shared" si="34"/>
        <v>Setiembre</v>
      </c>
      <c r="C1947" s="33" t="s">
        <v>162</v>
      </c>
      <c r="D1947" s="33" t="s">
        <v>6215</v>
      </c>
      <c r="E1947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947" s="32" t="s">
        <v>235</v>
      </c>
      <c r="G1947" s="32" t="s">
        <v>5051</v>
      </c>
      <c r="H1947" s="139" t="s">
        <v>6216</v>
      </c>
      <c r="I1947" s="33" t="s">
        <v>264</v>
      </c>
      <c r="J1947" s="143" t="s">
        <v>4644</v>
      </c>
      <c r="K1947" s="33" t="s">
        <v>169</v>
      </c>
      <c r="L1947" s="102" t="str">
        <f>VLOOKUP(Anexo_4[[#This Row],[cod_doc]],TIPODOC,2,FALSE)</f>
        <v>FACTURA</v>
      </c>
      <c r="M1947" s="33" t="s">
        <v>406</v>
      </c>
      <c r="N1947" s="32" t="s">
        <v>6217</v>
      </c>
      <c r="O1947" s="48">
        <v>6.78</v>
      </c>
      <c r="P1947" s="49"/>
      <c r="Q1947" s="81">
        <v>1.22</v>
      </c>
      <c r="R1947" s="80"/>
      <c r="S1947" s="48">
        <v>0</v>
      </c>
      <c r="T1947" s="72">
        <v>8</v>
      </c>
      <c r="U1947" s="70"/>
      <c r="V1947" s="32"/>
      <c r="W1947" s="70"/>
      <c r="X1947" s="70"/>
      <c r="Y1947" s="70"/>
      <c r="Z1947" s="70" t="s">
        <v>302</v>
      </c>
      <c r="AA1947" s="71"/>
      <c r="AB1947" s="117" t="str">
        <f>IFERROR(VLOOKUP(Anexo_4[[#This Row],[cuenta]],OP,2,0),"-")</f>
        <v>Transporte peajes - Servicios</v>
      </c>
    </row>
    <row r="1948" spans="1:28" ht="27" customHeight="1" x14ac:dyDescent="0.3">
      <c r="A1948" s="34" t="s">
        <v>5921</v>
      </c>
      <c r="B1948" s="36" t="str">
        <f t="shared" si="34"/>
        <v>Setiembre</v>
      </c>
      <c r="C1948" s="33" t="s">
        <v>162</v>
      </c>
      <c r="D1948" s="33" t="s">
        <v>6218</v>
      </c>
      <c r="E1948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948" s="32" t="s">
        <v>217</v>
      </c>
      <c r="G1948" s="32" t="s">
        <v>4839</v>
      </c>
      <c r="H1948" s="139" t="s">
        <v>6219</v>
      </c>
      <c r="I1948" s="33" t="s">
        <v>264</v>
      </c>
      <c r="J1948" s="143" t="s">
        <v>4644</v>
      </c>
      <c r="K1948" s="33" t="s">
        <v>169</v>
      </c>
      <c r="L1948" s="102" t="str">
        <f>VLOOKUP(Anexo_4[[#This Row],[cod_doc]],TIPODOC,2,FALSE)</f>
        <v>FACTURA</v>
      </c>
      <c r="M1948" s="33" t="s">
        <v>406</v>
      </c>
      <c r="N1948" s="32" t="s">
        <v>6220</v>
      </c>
      <c r="O1948" s="48">
        <v>6.78</v>
      </c>
      <c r="P1948" s="49"/>
      <c r="Q1948" s="81">
        <v>1.22</v>
      </c>
      <c r="R1948" s="80"/>
      <c r="S1948" s="48">
        <v>0</v>
      </c>
      <c r="T1948" s="72">
        <v>8</v>
      </c>
      <c r="U1948" s="70"/>
      <c r="V1948" s="32"/>
      <c r="W1948" s="70"/>
      <c r="X1948" s="70"/>
      <c r="Y1948" s="70"/>
      <c r="Z1948" s="70" t="s">
        <v>302</v>
      </c>
      <c r="AA1948" s="71"/>
      <c r="AB1948" s="117" t="str">
        <f>IFERROR(VLOOKUP(Anexo_4[[#This Row],[cuenta]],OP,2,0),"-")</f>
        <v>Transporte peajes - Servicios</v>
      </c>
    </row>
    <row r="1949" spans="1:28" ht="27" customHeight="1" x14ac:dyDescent="0.3">
      <c r="A1949" s="34" t="s">
        <v>5667</v>
      </c>
      <c r="B1949" s="36" t="str">
        <f t="shared" si="34"/>
        <v>Setiembre</v>
      </c>
      <c r="C1949" s="33" t="s">
        <v>162</v>
      </c>
      <c r="D1949" s="33" t="s">
        <v>6221</v>
      </c>
      <c r="E1949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949" s="32" t="s">
        <v>235</v>
      </c>
      <c r="G1949" s="32" t="s">
        <v>5051</v>
      </c>
      <c r="H1949" s="139" t="s">
        <v>6222</v>
      </c>
      <c r="I1949" s="33" t="s">
        <v>264</v>
      </c>
      <c r="J1949" s="143" t="s">
        <v>4644</v>
      </c>
      <c r="K1949" s="33" t="s">
        <v>169</v>
      </c>
      <c r="L1949" s="102" t="str">
        <f>VLOOKUP(Anexo_4[[#This Row],[cod_doc]],TIPODOC,2,FALSE)</f>
        <v>FACTURA</v>
      </c>
      <c r="M1949" s="33" t="s">
        <v>352</v>
      </c>
      <c r="N1949" s="32" t="s">
        <v>6223</v>
      </c>
      <c r="O1949" s="48">
        <v>6.78</v>
      </c>
      <c r="P1949" s="49"/>
      <c r="Q1949" s="81">
        <v>1.22</v>
      </c>
      <c r="R1949" s="80"/>
      <c r="S1949" s="48">
        <v>0</v>
      </c>
      <c r="T1949" s="72">
        <v>8</v>
      </c>
      <c r="U1949" s="70"/>
      <c r="V1949" s="32"/>
      <c r="W1949" s="70"/>
      <c r="X1949" s="70"/>
      <c r="Y1949" s="70"/>
      <c r="Z1949" s="70" t="s">
        <v>302</v>
      </c>
      <c r="AA1949" s="71"/>
      <c r="AB1949" s="117" t="str">
        <f>IFERROR(VLOOKUP(Anexo_4[[#This Row],[cuenta]],OP,2,0),"-")</f>
        <v>Transporte peajes - Servicios</v>
      </c>
    </row>
    <row r="1950" spans="1:28" ht="27" customHeight="1" x14ac:dyDescent="0.3">
      <c r="A1950" s="34" t="s">
        <v>5667</v>
      </c>
      <c r="B1950" s="36" t="str">
        <f t="shared" si="34"/>
        <v>Setiembre</v>
      </c>
      <c r="C1950" s="33" t="s">
        <v>162</v>
      </c>
      <c r="D1950" s="33" t="s">
        <v>6224</v>
      </c>
      <c r="E1950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950" s="32" t="s">
        <v>235</v>
      </c>
      <c r="G1950" s="32" t="s">
        <v>5051</v>
      </c>
      <c r="H1950" s="139" t="s">
        <v>6225</v>
      </c>
      <c r="I1950" s="33" t="s">
        <v>264</v>
      </c>
      <c r="J1950" s="143" t="s">
        <v>4644</v>
      </c>
      <c r="K1950" s="33" t="s">
        <v>169</v>
      </c>
      <c r="L1950" s="102" t="str">
        <f>VLOOKUP(Anexo_4[[#This Row],[cod_doc]],TIPODOC,2,FALSE)</f>
        <v>FACTURA</v>
      </c>
      <c r="M1950" s="33" t="s">
        <v>406</v>
      </c>
      <c r="N1950" s="32" t="s">
        <v>6226</v>
      </c>
      <c r="O1950" s="48">
        <v>6.78</v>
      </c>
      <c r="P1950" s="49"/>
      <c r="Q1950" s="81">
        <v>1.22</v>
      </c>
      <c r="R1950" s="80"/>
      <c r="S1950" s="48">
        <v>0</v>
      </c>
      <c r="T1950" s="72">
        <v>8</v>
      </c>
      <c r="U1950" s="70"/>
      <c r="V1950" s="32"/>
      <c r="W1950" s="70"/>
      <c r="X1950" s="70"/>
      <c r="Y1950" s="70"/>
      <c r="Z1950" s="70" t="s">
        <v>302</v>
      </c>
      <c r="AA1950" s="71"/>
      <c r="AB1950" s="117" t="str">
        <f>IFERROR(VLOOKUP(Anexo_4[[#This Row],[cuenta]],OP,2,0),"-")</f>
        <v>Transporte peajes - Servicios</v>
      </c>
    </row>
    <row r="1951" spans="1:28" ht="27" customHeight="1" x14ac:dyDescent="0.3">
      <c r="A1951" s="34" t="s">
        <v>5921</v>
      </c>
      <c r="B1951" s="36" t="str">
        <f t="shared" si="34"/>
        <v>Setiembre</v>
      </c>
      <c r="C1951" s="33" t="s">
        <v>162</v>
      </c>
      <c r="D1951" s="33" t="s">
        <v>6227</v>
      </c>
      <c r="E1951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951" s="32" t="s">
        <v>217</v>
      </c>
      <c r="G1951" s="32" t="s">
        <v>4839</v>
      </c>
      <c r="H1951" s="139" t="s">
        <v>6228</v>
      </c>
      <c r="I1951" s="33" t="s">
        <v>383</v>
      </c>
      <c r="J1951" s="143" t="s">
        <v>4702</v>
      </c>
      <c r="K1951" s="33" t="s">
        <v>169</v>
      </c>
      <c r="L1951" s="102" t="str">
        <f>VLOOKUP(Anexo_4[[#This Row],[cod_doc]],TIPODOC,2,FALSE)</f>
        <v>FACTURA</v>
      </c>
      <c r="M1951" s="33" t="s">
        <v>103</v>
      </c>
      <c r="N1951" s="32" t="s">
        <v>6229</v>
      </c>
      <c r="O1951" s="48">
        <v>16.95</v>
      </c>
      <c r="P1951" s="49"/>
      <c r="Q1951" s="81">
        <v>3.05</v>
      </c>
      <c r="R1951" s="80"/>
      <c r="S1951" s="48">
        <v>0</v>
      </c>
      <c r="T1951" s="72">
        <v>20</v>
      </c>
      <c r="U1951" s="70"/>
      <c r="V1951" s="32"/>
      <c r="W1951" s="70"/>
      <c r="X1951" s="70"/>
      <c r="Y1951" s="70"/>
      <c r="Z1951" s="70" t="s">
        <v>386</v>
      </c>
      <c r="AA1951" s="71"/>
      <c r="AB1951" s="117" t="str">
        <f>IFERROR(VLOOKUP(Anexo_4[[#This Row],[cuenta]],OP,2,0),"-")</f>
        <v>Balanza - Servicios</v>
      </c>
    </row>
    <row r="1952" spans="1:28" ht="27" customHeight="1" x14ac:dyDescent="0.3">
      <c r="A1952" s="34" t="s">
        <v>5985</v>
      </c>
      <c r="B1952" s="36" t="str">
        <f t="shared" si="34"/>
        <v>Setiembre</v>
      </c>
      <c r="C1952" s="33" t="s">
        <v>162</v>
      </c>
      <c r="D1952" s="33" t="s">
        <v>6230</v>
      </c>
      <c r="E1952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952" s="32" t="s">
        <v>235</v>
      </c>
      <c r="G1952" s="32" t="s">
        <v>5051</v>
      </c>
      <c r="H1952" s="139" t="s">
        <v>6231</v>
      </c>
      <c r="I1952" s="33" t="s">
        <v>383</v>
      </c>
      <c r="J1952" s="143" t="s">
        <v>4702</v>
      </c>
      <c r="K1952" s="33" t="s">
        <v>169</v>
      </c>
      <c r="L1952" s="102" t="str">
        <f>VLOOKUP(Anexo_4[[#This Row],[cod_doc]],TIPODOC,2,FALSE)</f>
        <v>FACTURA</v>
      </c>
      <c r="M1952" s="33" t="s">
        <v>103</v>
      </c>
      <c r="N1952" s="32" t="s">
        <v>6232</v>
      </c>
      <c r="O1952" s="48">
        <v>16.95</v>
      </c>
      <c r="P1952" s="49"/>
      <c r="Q1952" s="81">
        <v>3.05</v>
      </c>
      <c r="R1952" s="80"/>
      <c r="S1952" s="48">
        <v>0</v>
      </c>
      <c r="T1952" s="72">
        <v>20</v>
      </c>
      <c r="U1952" s="70"/>
      <c r="V1952" s="32"/>
      <c r="W1952" s="70"/>
      <c r="X1952" s="70"/>
      <c r="Y1952" s="70"/>
      <c r="Z1952" s="70" t="s">
        <v>386</v>
      </c>
      <c r="AA1952" s="71"/>
      <c r="AB1952" s="117" t="str">
        <f>IFERROR(VLOOKUP(Anexo_4[[#This Row],[cuenta]],OP,2,0),"-")</f>
        <v>Balanza - Servicios</v>
      </c>
    </row>
    <row r="1953" spans="1:28" ht="27" customHeight="1" x14ac:dyDescent="0.3">
      <c r="A1953" s="34" t="s">
        <v>5238</v>
      </c>
      <c r="B1953" s="36" t="str">
        <f t="shared" si="34"/>
        <v>Setiembre</v>
      </c>
      <c r="C1953" s="33" t="s">
        <v>162</v>
      </c>
      <c r="D1953" s="33" t="s">
        <v>6233</v>
      </c>
      <c r="E1953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953" s="32" t="s">
        <v>217</v>
      </c>
      <c r="G1953" s="32" t="s">
        <v>4839</v>
      </c>
      <c r="H1953" s="139" t="s">
        <v>6234</v>
      </c>
      <c r="I1953" s="33" t="s">
        <v>264</v>
      </c>
      <c r="J1953" s="143" t="s">
        <v>4644</v>
      </c>
      <c r="K1953" s="33" t="s">
        <v>169</v>
      </c>
      <c r="L1953" s="102" t="str">
        <f>VLOOKUP(Anexo_4[[#This Row],[cod_doc]],TIPODOC,2,FALSE)</f>
        <v>FACTURA</v>
      </c>
      <c r="M1953" s="33" t="s">
        <v>406</v>
      </c>
      <c r="N1953" s="32" t="s">
        <v>6235</v>
      </c>
      <c r="O1953" s="48">
        <v>6.78</v>
      </c>
      <c r="P1953" s="49"/>
      <c r="Q1953" s="81">
        <v>1.22</v>
      </c>
      <c r="R1953" s="80"/>
      <c r="S1953" s="48">
        <v>0</v>
      </c>
      <c r="T1953" s="72">
        <v>8</v>
      </c>
      <c r="U1953" s="70"/>
      <c r="V1953" s="32"/>
      <c r="W1953" s="70"/>
      <c r="X1953" s="70"/>
      <c r="Y1953" s="70"/>
      <c r="Z1953" s="70" t="s">
        <v>386</v>
      </c>
      <c r="AA1953" s="71"/>
      <c r="AB1953" s="117" t="str">
        <f>IFERROR(VLOOKUP(Anexo_4[[#This Row],[cuenta]],OP,2,0),"-")</f>
        <v>Balanza - Servicios</v>
      </c>
    </row>
    <row r="1954" spans="1:28" ht="27" customHeight="1" x14ac:dyDescent="0.3">
      <c r="A1954" s="34" t="s">
        <v>5238</v>
      </c>
      <c r="B1954" s="36" t="str">
        <f t="shared" si="34"/>
        <v>Setiembre</v>
      </c>
      <c r="C1954" s="33" t="s">
        <v>162</v>
      </c>
      <c r="D1954" s="33" t="s">
        <v>6236</v>
      </c>
      <c r="E1954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954" s="32" t="s">
        <v>217</v>
      </c>
      <c r="G1954" s="32" t="s">
        <v>4839</v>
      </c>
      <c r="H1954" s="139" t="s">
        <v>6237</v>
      </c>
      <c r="I1954" s="33" t="s">
        <v>264</v>
      </c>
      <c r="J1954" s="143" t="s">
        <v>4644</v>
      </c>
      <c r="K1954" s="33" t="s">
        <v>169</v>
      </c>
      <c r="L1954" s="102" t="str">
        <f>VLOOKUP(Anexo_4[[#This Row],[cod_doc]],TIPODOC,2,FALSE)</f>
        <v>FACTURA</v>
      </c>
      <c r="M1954" s="33" t="s">
        <v>352</v>
      </c>
      <c r="N1954" s="32" t="s">
        <v>6238</v>
      </c>
      <c r="O1954" s="48">
        <v>6.78</v>
      </c>
      <c r="P1954" s="49"/>
      <c r="Q1954" s="81">
        <v>1.22</v>
      </c>
      <c r="R1954" s="80"/>
      <c r="S1954" s="48">
        <v>0</v>
      </c>
      <c r="T1954" s="72">
        <v>8</v>
      </c>
      <c r="U1954" s="70"/>
      <c r="V1954" s="32"/>
      <c r="W1954" s="70"/>
      <c r="X1954" s="70"/>
      <c r="Y1954" s="70"/>
      <c r="Z1954" s="70" t="s">
        <v>302</v>
      </c>
      <c r="AA1954" s="71"/>
      <c r="AB1954" s="117" t="str">
        <f>IFERROR(VLOOKUP(Anexo_4[[#This Row],[cuenta]],OP,2,0),"-")</f>
        <v>Transporte peajes - Servicios</v>
      </c>
    </row>
    <row r="1955" spans="1:28" ht="27" customHeight="1" x14ac:dyDescent="0.3">
      <c r="A1955" s="34" t="s">
        <v>5238</v>
      </c>
      <c r="B1955" s="36" t="str">
        <f t="shared" si="34"/>
        <v>Setiembre</v>
      </c>
      <c r="C1955" s="33" t="s">
        <v>162</v>
      </c>
      <c r="D1955" s="33" t="s">
        <v>6239</v>
      </c>
      <c r="E1955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955" s="32" t="s">
        <v>217</v>
      </c>
      <c r="G1955" s="32" t="s">
        <v>4839</v>
      </c>
      <c r="H1955" s="139" t="s">
        <v>6240</v>
      </c>
      <c r="I1955" s="33" t="s">
        <v>383</v>
      </c>
      <c r="J1955" s="143" t="s">
        <v>4702</v>
      </c>
      <c r="K1955" s="33" t="s">
        <v>169</v>
      </c>
      <c r="L1955" s="102" t="str">
        <f>VLOOKUP(Anexo_4[[#This Row],[cod_doc]],TIPODOC,2,FALSE)</f>
        <v>FACTURA</v>
      </c>
      <c r="M1955" s="33" t="s">
        <v>103</v>
      </c>
      <c r="N1955" s="32" t="s">
        <v>6241</v>
      </c>
      <c r="O1955" s="48">
        <v>16.95</v>
      </c>
      <c r="P1955" s="49"/>
      <c r="Q1955" s="81">
        <v>3.05</v>
      </c>
      <c r="R1955" s="80"/>
      <c r="S1955" s="48">
        <v>0</v>
      </c>
      <c r="T1955" s="72">
        <v>20</v>
      </c>
      <c r="U1955" s="70"/>
      <c r="V1955" s="32"/>
      <c r="W1955" s="70"/>
      <c r="X1955" s="70"/>
      <c r="Y1955" s="70"/>
      <c r="Z1955" s="70" t="s">
        <v>386</v>
      </c>
      <c r="AA1955" s="71"/>
      <c r="AB1955" s="117" t="str">
        <f>IFERROR(VLOOKUP(Anexo_4[[#This Row],[cuenta]],OP,2,0),"-")</f>
        <v>Balanza - Servicios</v>
      </c>
    </row>
    <row r="1956" spans="1:28" ht="27" customHeight="1" x14ac:dyDescent="0.3">
      <c r="A1956" s="34" t="s">
        <v>5486</v>
      </c>
      <c r="B1956" s="36" t="str">
        <f t="shared" si="34"/>
        <v>Setiembre</v>
      </c>
      <c r="C1956" s="33" t="s">
        <v>162</v>
      </c>
      <c r="D1956" s="33" t="s">
        <v>6242</v>
      </c>
      <c r="E1956" s="37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1956" s="32" t="s">
        <v>198</v>
      </c>
      <c r="G1956" s="32" t="s">
        <v>199</v>
      </c>
      <c r="H1956" s="139" t="s">
        <v>6243</v>
      </c>
      <c r="I1956" s="33" t="s">
        <v>2605</v>
      </c>
      <c r="J1956" s="143" t="s">
        <v>6244</v>
      </c>
      <c r="K1956" s="33" t="s">
        <v>169</v>
      </c>
      <c r="L1956" s="102" t="str">
        <f>VLOOKUP(Anexo_4[[#This Row],[cod_doc]],TIPODOC,2,FALSE)</f>
        <v>FACTURA</v>
      </c>
      <c r="M1956" s="33" t="s">
        <v>102</v>
      </c>
      <c r="N1956" s="32" t="s">
        <v>6245</v>
      </c>
      <c r="O1956" s="48">
        <v>211.86</v>
      </c>
      <c r="P1956" s="49"/>
      <c r="Q1956" s="81">
        <v>38.14</v>
      </c>
      <c r="R1956" s="80"/>
      <c r="S1956" s="48">
        <v>0</v>
      </c>
      <c r="T1956" s="72">
        <v>250</v>
      </c>
      <c r="U1956" s="70"/>
      <c r="V1956" s="32"/>
      <c r="W1956" s="70"/>
      <c r="X1956" s="70"/>
      <c r="Y1956" s="70"/>
      <c r="Z1956" s="70" t="s">
        <v>468</v>
      </c>
      <c r="AA1956" s="71"/>
      <c r="AB1956" s="117" t="str">
        <f>IFERROR(VLOOKUP(Anexo_4[[#This Row],[cuenta]],OP,2,0),"-")</f>
        <v>Transporte de Carga  - Ventas</v>
      </c>
    </row>
    <row r="1957" spans="1:28" ht="27" customHeight="1" x14ac:dyDescent="0.3">
      <c r="A1957" s="34" t="s">
        <v>5914</v>
      </c>
      <c r="B1957" s="36" t="str">
        <f t="shared" si="34"/>
        <v>Setiembre</v>
      </c>
      <c r="C1957" s="33" t="s">
        <v>162</v>
      </c>
      <c r="D1957" s="33" t="s">
        <v>6246</v>
      </c>
      <c r="E1957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957" s="32" t="s">
        <v>449</v>
      </c>
      <c r="G1957" s="32" t="s">
        <v>5051</v>
      </c>
      <c r="H1957" s="139" t="s">
        <v>765</v>
      </c>
      <c r="I1957" s="33" t="s">
        <v>452</v>
      </c>
      <c r="J1957" s="143" t="s">
        <v>4854</v>
      </c>
      <c r="K1957" s="33" t="s">
        <v>169</v>
      </c>
      <c r="L1957" s="102" t="str">
        <f>VLOOKUP(Anexo_4[[#This Row],[cod_doc]],TIPODOC,2,FALSE)</f>
        <v>FACTURA</v>
      </c>
      <c r="M1957" s="33" t="s">
        <v>1056</v>
      </c>
      <c r="N1957" s="32" t="s">
        <v>6247</v>
      </c>
      <c r="O1957" s="48">
        <v>314.26</v>
      </c>
      <c r="P1957" s="49"/>
      <c r="Q1957" s="81">
        <v>56.566799999999994</v>
      </c>
      <c r="R1957" s="80"/>
      <c r="S1957" s="48">
        <v>0</v>
      </c>
      <c r="T1957" s="72">
        <v>370.82679999999999</v>
      </c>
      <c r="U1957" s="70"/>
      <c r="V1957" s="32"/>
      <c r="W1957" s="70"/>
      <c r="X1957" s="70"/>
      <c r="Y1957" s="70"/>
      <c r="Z1957" s="70" t="s">
        <v>455</v>
      </c>
      <c r="AA1957" s="71"/>
      <c r="AB1957" s="117" t="str">
        <f>IFERROR(VLOOKUP(Anexo_4[[#This Row],[cuenta]],OP,2,0),"-")</f>
        <v>Combustible (Vehiculos)</v>
      </c>
    </row>
    <row r="1958" spans="1:28" ht="27" customHeight="1" x14ac:dyDescent="0.3">
      <c r="A1958" s="34" t="s">
        <v>5914</v>
      </c>
      <c r="B1958" s="36" t="str">
        <f t="shared" si="34"/>
        <v>Setiembre</v>
      </c>
      <c r="C1958" s="33" t="s">
        <v>162</v>
      </c>
      <c r="D1958" s="33" t="s">
        <v>6246</v>
      </c>
      <c r="E1958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958" s="32" t="s">
        <v>456</v>
      </c>
      <c r="G1958" s="32" t="s">
        <v>5051</v>
      </c>
      <c r="H1958" s="139" t="s">
        <v>765</v>
      </c>
      <c r="I1958" s="33" t="s">
        <v>452</v>
      </c>
      <c r="J1958" s="143" t="s">
        <v>4854</v>
      </c>
      <c r="K1958" s="33" t="s">
        <v>169</v>
      </c>
      <c r="L1958" s="102" t="str">
        <f>VLOOKUP(Anexo_4[[#This Row],[cod_doc]],TIPODOC,2,FALSE)</f>
        <v>FACTURA</v>
      </c>
      <c r="M1958" s="33" t="s">
        <v>1056</v>
      </c>
      <c r="N1958" s="32" t="s">
        <v>6247</v>
      </c>
      <c r="O1958" s="48">
        <v>190.16</v>
      </c>
      <c r="P1958" s="49"/>
      <c r="Q1958" s="81">
        <v>34.2288</v>
      </c>
      <c r="R1958" s="80"/>
      <c r="S1958" s="48">
        <v>0</v>
      </c>
      <c r="T1958" s="72">
        <v>224.3888</v>
      </c>
      <c r="U1958" s="70"/>
      <c r="V1958" s="32"/>
      <c r="W1958" s="70"/>
      <c r="X1958" s="70"/>
      <c r="Y1958" s="70"/>
      <c r="Z1958" s="70" t="s">
        <v>455</v>
      </c>
      <c r="AA1958" s="71"/>
      <c r="AB1958" s="117" t="str">
        <f>IFERROR(VLOOKUP(Anexo_4[[#This Row],[cuenta]],OP,2,0),"-")</f>
        <v>Combustible (Vehiculos)</v>
      </c>
    </row>
    <row r="1959" spans="1:28" ht="27" customHeight="1" x14ac:dyDescent="0.3">
      <c r="A1959" s="34" t="s">
        <v>5914</v>
      </c>
      <c r="B1959" s="36" t="str">
        <f t="shared" si="34"/>
        <v>Setiembre</v>
      </c>
      <c r="C1959" s="33" t="s">
        <v>162</v>
      </c>
      <c r="D1959" s="33" t="s">
        <v>6246</v>
      </c>
      <c r="E1959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959" s="32" t="s">
        <v>235</v>
      </c>
      <c r="G1959" s="32" t="s">
        <v>5051</v>
      </c>
      <c r="H1959" s="139" t="s">
        <v>765</v>
      </c>
      <c r="I1959" s="33" t="s">
        <v>452</v>
      </c>
      <c r="J1959" s="143" t="s">
        <v>4854</v>
      </c>
      <c r="K1959" s="33" t="s">
        <v>169</v>
      </c>
      <c r="L1959" s="102" t="str">
        <f>VLOOKUP(Anexo_4[[#This Row],[cod_doc]],TIPODOC,2,FALSE)</f>
        <v>FACTURA</v>
      </c>
      <c r="M1959" s="33" t="s">
        <v>1056</v>
      </c>
      <c r="N1959" s="32" t="s">
        <v>6247</v>
      </c>
      <c r="O1959" s="48">
        <v>377.87</v>
      </c>
      <c r="P1959" s="49"/>
      <c r="Q1959" s="81">
        <v>68.016599999999997</v>
      </c>
      <c r="R1959" s="80"/>
      <c r="S1959" s="48">
        <v>0</v>
      </c>
      <c r="T1959" s="72">
        <v>445.88659999999999</v>
      </c>
      <c r="U1959" s="70"/>
      <c r="V1959" s="32"/>
      <c r="W1959" s="70"/>
      <c r="X1959" s="70"/>
      <c r="Y1959" s="70"/>
      <c r="Z1959" s="70" t="s">
        <v>455</v>
      </c>
      <c r="AA1959" s="71"/>
      <c r="AB1959" s="117" t="str">
        <f>IFERROR(VLOOKUP(Anexo_4[[#This Row],[cuenta]],OP,2,0),"-")</f>
        <v>Combustible (Vehiculos)</v>
      </c>
    </row>
    <row r="1960" spans="1:28" ht="27" customHeight="1" x14ac:dyDescent="0.3">
      <c r="A1960" s="34" t="s">
        <v>5914</v>
      </c>
      <c r="B1960" s="36" t="str">
        <f t="shared" si="34"/>
        <v>Setiembre</v>
      </c>
      <c r="C1960" s="33" t="s">
        <v>162</v>
      </c>
      <c r="D1960" s="33" t="s">
        <v>6246</v>
      </c>
      <c r="E1960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960" s="32" t="s">
        <v>458</v>
      </c>
      <c r="G1960" s="32" t="s">
        <v>5051</v>
      </c>
      <c r="H1960" s="139" t="s">
        <v>765</v>
      </c>
      <c r="I1960" s="33" t="s">
        <v>452</v>
      </c>
      <c r="J1960" s="143" t="s">
        <v>4854</v>
      </c>
      <c r="K1960" s="33" t="s">
        <v>169</v>
      </c>
      <c r="L1960" s="102" t="str">
        <f>VLOOKUP(Anexo_4[[#This Row],[cod_doc]],TIPODOC,2,FALSE)</f>
        <v>FACTURA</v>
      </c>
      <c r="M1960" s="33" t="s">
        <v>1056</v>
      </c>
      <c r="N1960" s="32" t="s">
        <v>6247</v>
      </c>
      <c r="O1960" s="48">
        <v>25.8</v>
      </c>
      <c r="P1960" s="49"/>
      <c r="Q1960" s="81">
        <v>4.6440000000000001</v>
      </c>
      <c r="R1960" s="80"/>
      <c r="S1960" s="48">
        <v>0</v>
      </c>
      <c r="T1960" s="72">
        <v>30.444000000000003</v>
      </c>
      <c r="U1960" s="70"/>
      <c r="V1960" s="32"/>
      <c r="W1960" s="70"/>
      <c r="X1960" s="70"/>
      <c r="Y1960" s="70"/>
      <c r="Z1960" s="70" t="s">
        <v>455</v>
      </c>
      <c r="AA1960" s="71"/>
      <c r="AB1960" s="117" t="str">
        <f>IFERROR(VLOOKUP(Anexo_4[[#This Row],[cuenta]],OP,2,0),"-")</f>
        <v>Combustible (Vehiculos)</v>
      </c>
    </row>
    <row r="1961" spans="1:28" ht="27" customHeight="1" x14ac:dyDescent="0.3">
      <c r="A1961" s="34" t="s">
        <v>5914</v>
      </c>
      <c r="B1961" s="36" t="str">
        <f t="shared" si="34"/>
        <v>Setiembre</v>
      </c>
      <c r="C1961" s="33" t="s">
        <v>162</v>
      </c>
      <c r="D1961" s="33" t="s">
        <v>6248</v>
      </c>
      <c r="E1961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961" s="32" t="s">
        <v>175</v>
      </c>
      <c r="G1961" s="32" t="s">
        <v>5924</v>
      </c>
      <c r="H1961" s="139" t="s">
        <v>765</v>
      </c>
      <c r="I1961" s="33" t="s">
        <v>452</v>
      </c>
      <c r="J1961" s="143" t="s">
        <v>4854</v>
      </c>
      <c r="K1961" s="33" t="s">
        <v>169</v>
      </c>
      <c r="L1961" s="102" t="str">
        <f>VLOOKUP(Anexo_4[[#This Row],[cod_doc]],TIPODOC,2,FALSE)</f>
        <v>FACTURA</v>
      </c>
      <c r="M1961" s="33" t="s">
        <v>1056</v>
      </c>
      <c r="N1961" s="32" t="s">
        <v>6249</v>
      </c>
      <c r="O1961" s="48">
        <v>371.24</v>
      </c>
      <c r="P1961" s="49"/>
      <c r="Q1961" s="81">
        <v>66.8232</v>
      </c>
      <c r="R1961" s="80"/>
      <c r="S1961" s="48">
        <v>0</v>
      </c>
      <c r="T1961" s="72">
        <v>438.06319999999999</v>
      </c>
      <c r="U1961" s="70"/>
      <c r="V1961" s="32"/>
      <c r="W1961" s="70"/>
      <c r="X1961" s="70"/>
      <c r="Y1961" s="70"/>
      <c r="Z1961" s="70" t="s">
        <v>455</v>
      </c>
      <c r="AA1961" s="71"/>
      <c r="AB1961" s="117" t="str">
        <f>IFERROR(VLOOKUP(Anexo_4[[#This Row],[cuenta]],OP,2,0),"-")</f>
        <v>Combustible (Vehiculos)</v>
      </c>
    </row>
    <row r="1962" spans="1:28" ht="27" customHeight="1" x14ac:dyDescent="0.3">
      <c r="A1962" s="34" t="s">
        <v>5914</v>
      </c>
      <c r="B1962" s="36" t="str">
        <f t="shared" si="34"/>
        <v>Setiembre</v>
      </c>
      <c r="C1962" s="33" t="s">
        <v>162</v>
      </c>
      <c r="D1962" s="33" t="s">
        <v>6248</v>
      </c>
      <c r="E1962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962" s="32" t="s">
        <v>391</v>
      </c>
      <c r="G1962" s="32" t="s">
        <v>5924</v>
      </c>
      <c r="H1962" s="139" t="s">
        <v>765</v>
      </c>
      <c r="I1962" s="33" t="s">
        <v>452</v>
      </c>
      <c r="J1962" s="143" t="s">
        <v>4854</v>
      </c>
      <c r="K1962" s="33" t="s">
        <v>169</v>
      </c>
      <c r="L1962" s="102" t="str">
        <f>VLOOKUP(Anexo_4[[#This Row],[cod_doc]],TIPODOC,2,FALSE)</f>
        <v>FACTURA</v>
      </c>
      <c r="M1962" s="33" t="s">
        <v>1056</v>
      </c>
      <c r="N1962" s="32" t="s">
        <v>6249</v>
      </c>
      <c r="O1962" s="48">
        <v>195.45</v>
      </c>
      <c r="P1962" s="49"/>
      <c r="Q1962" s="81">
        <v>35.180999999999997</v>
      </c>
      <c r="R1962" s="80"/>
      <c r="S1962" s="48">
        <v>0</v>
      </c>
      <c r="T1962" s="72">
        <v>230.63099999999997</v>
      </c>
      <c r="U1962" s="70"/>
      <c r="V1962" s="32"/>
      <c r="W1962" s="70"/>
      <c r="X1962" s="70"/>
      <c r="Y1962" s="70"/>
      <c r="Z1962" s="70" t="s">
        <v>455</v>
      </c>
      <c r="AA1962" s="71"/>
      <c r="AB1962" s="117" t="str">
        <f>IFERROR(VLOOKUP(Anexo_4[[#This Row],[cuenta]],OP,2,0),"-")</f>
        <v>Combustible (Vehiculos)</v>
      </c>
    </row>
    <row r="1963" spans="1:28" ht="27" customHeight="1" x14ac:dyDescent="0.3">
      <c r="A1963" s="34" t="s">
        <v>5914</v>
      </c>
      <c r="B1963" s="36" t="str">
        <f t="shared" si="34"/>
        <v>Setiembre</v>
      </c>
      <c r="C1963" s="33" t="s">
        <v>162</v>
      </c>
      <c r="D1963" s="33" t="s">
        <v>6248</v>
      </c>
      <c r="E1963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963" s="32" t="s">
        <v>217</v>
      </c>
      <c r="G1963" s="32" t="s">
        <v>5924</v>
      </c>
      <c r="H1963" s="139" t="s">
        <v>765</v>
      </c>
      <c r="I1963" s="33" t="s">
        <v>452</v>
      </c>
      <c r="J1963" s="143" t="s">
        <v>4854</v>
      </c>
      <c r="K1963" s="33" t="s">
        <v>169</v>
      </c>
      <c r="L1963" s="102" t="str">
        <f>VLOOKUP(Anexo_4[[#This Row],[cod_doc]],TIPODOC,2,FALSE)</f>
        <v>FACTURA</v>
      </c>
      <c r="M1963" s="33" t="s">
        <v>1056</v>
      </c>
      <c r="N1963" s="32" t="s">
        <v>6249</v>
      </c>
      <c r="O1963" s="48">
        <v>862.12</v>
      </c>
      <c r="P1963" s="49"/>
      <c r="Q1963" s="81">
        <v>155.1816</v>
      </c>
      <c r="R1963" s="80"/>
      <c r="S1963" s="48">
        <v>0</v>
      </c>
      <c r="T1963" s="72">
        <v>1017.3016</v>
      </c>
      <c r="U1963" s="70"/>
      <c r="V1963" s="32"/>
      <c r="W1963" s="70"/>
      <c r="X1963" s="70"/>
      <c r="Y1963" s="70"/>
      <c r="Z1963" s="70" t="s">
        <v>455</v>
      </c>
      <c r="AA1963" s="71"/>
      <c r="AB1963" s="117" t="str">
        <f>IFERROR(VLOOKUP(Anexo_4[[#This Row],[cuenta]],OP,2,0),"-")</f>
        <v>Combustible (Vehiculos)</v>
      </c>
    </row>
    <row r="1964" spans="1:28" ht="27" customHeight="1" x14ac:dyDescent="0.3">
      <c r="A1964" s="34" t="s">
        <v>5914</v>
      </c>
      <c r="B1964" s="36" t="str">
        <f t="shared" si="34"/>
        <v>Setiembre</v>
      </c>
      <c r="C1964" s="33" t="s">
        <v>162</v>
      </c>
      <c r="D1964" s="33" t="s">
        <v>6248</v>
      </c>
      <c r="E1964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964" s="32" t="s">
        <v>5923</v>
      </c>
      <c r="G1964" s="32" t="s">
        <v>5924</v>
      </c>
      <c r="H1964" s="139" t="s">
        <v>765</v>
      </c>
      <c r="I1964" s="33" t="s">
        <v>452</v>
      </c>
      <c r="J1964" s="143" t="s">
        <v>4854</v>
      </c>
      <c r="K1964" s="33" t="s">
        <v>169</v>
      </c>
      <c r="L1964" s="102" t="str">
        <f>VLOOKUP(Anexo_4[[#This Row],[cod_doc]],TIPODOC,2,FALSE)</f>
        <v>FACTURA</v>
      </c>
      <c r="M1964" s="33" t="s">
        <v>1056</v>
      </c>
      <c r="N1964" s="32" t="s">
        <v>6249</v>
      </c>
      <c r="O1964" s="48">
        <v>1419.11</v>
      </c>
      <c r="P1964" s="49"/>
      <c r="Q1964" s="81">
        <v>255.43979999999996</v>
      </c>
      <c r="R1964" s="80"/>
      <c r="S1964" s="48">
        <v>0</v>
      </c>
      <c r="T1964" s="72">
        <v>1674.5497999999998</v>
      </c>
      <c r="U1964" s="70"/>
      <c r="V1964" s="32"/>
      <c r="W1964" s="70"/>
      <c r="X1964" s="70"/>
      <c r="Y1964" s="70"/>
      <c r="Z1964" s="70" t="s">
        <v>455</v>
      </c>
      <c r="AA1964" s="71"/>
      <c r="AB1964" s="117" t="str">
        <f>IFERROR(VLOOKUP(Anexo_4[[#This Row],[cuenta]],OP,2,0),"-")</f>
        <v>Combustible (Vehiculos)</v>
      </c>
    </row>
    <row r="1965" spans="1:28" ht="27" customHeight="1" x14ac:dyDescent="0.3">
      <c r="A1965" s="34" t="s">
        <v>4206</v>
      </c>
      <c r="B1965" s="36" t="str">
        <f t="shared" si="34"/>
        <v>Setiembre</v>
      </c>
      <c r="C1965" s="33" t="s">
        <v>162</v>
      </c>
      <c r="D1965" s="33" t="s">
        <v>6250</v>
      </c>
      <c r="E1965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965" s="32"/>
      <c r="G1965" s="32"/>
      <c r="H1965" s="139" t="s">
        <v>5387</v>
      </c>
      <c r="I1965" s="33" t="s">
        <v>1739</v>
      </c>
      <c r="J1965" s="143" t="s">
        <v>6251</v>
      </c>
      <c r="K1965" s="33" t="s">
        <v>169</v>
      </c>
      <c r="L1965" s="102" t="str">
        <f>VLOOKUP(Anexo_4[[#This Row],[cod_doc]],TIPODOC,2,FALSE)</f>
        <v>FACTURA</v>
      </c>
      <c r="M1965" s="33" t="s">
        <v>1741</v>
      </c>
      <c r="N1965" s="32" t="s">
        <v>6252</v>
      </c>
      <c r="O1965" s="48">
        <v>0</v>
      </c>
      <c r="P1965" s="49"/>
      <c r="Q1965" s="81">
        <v>0</v>
      </c>
      <c r="R1965" s="80"/>
      <c r="S1965" s="48">
        <v>5.3</v>
      </c>
      <c r="T1965" s="72">
        <v>5.3</v>
      </c>
      <c r="U1965" s="70"/>
      <c r="V1965" s="32"/>
      <c r="W1965" s="70"/>
      <c r="X1965" s="70"/>
      <c r="Y1965" s="70"/>
      <c r="Z1965" s="70"/>
      <c r="AA1965" s="71"/>
      <c r="AB1965" s="117" t="str">
        <f>IFERROR(VLOOKUP(Anexo_4[[#This Row],[cuenta]],OP,2,0),"-")</f>
        <v>-</v>
      </c>
    </row>
    <row r="1966" spans="1:28" ht="27" customHeight="1" x14ac:dyDescent="0.3">
      <c r="A1966" s="34" t="s">
        <v>5910</v>
      </c>
      <c r="B1966" s="36" t="str">
        <f t="shared" ref="B1966:B1996" si="35">PROPER(CHOOSE(LEFT(D1966,2),"enero","febrero","marzo","abril","mayo","junio","julio","agosto","setiembre","octubre","noviembre","diciembre"))</f>
        <v>Setiembre</v>
      </c>
      <c r="C1966" s="33" t="s">
        <v>162</v>
      </c>
      <c r="D1966" s="33" t="s">
        <v>6253</v>
      </c>
      <c r="E1966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966" s="32" t="s">
        <v>248</v>
      </c>
      <c r="G1966" s="32" t="s">
        <v>249</v>
      </c>
      <c r="H1966" s="139" t="s">
        <v>6254</v>
      </c>
      <c r="I1966" s="33" t="s">
        <v>625</v>
      </c>
      <c r="J1966" s="143" t="s">
        <v>4796</v>
      </c>
      <c r="K1966" s="33" t="s">
        <v>169</v>
      </c>
      <c r="L1966" s="102" t="str">
        <f>VLOOKUP(Anexo_4[[#This Row],[cod_doc]],TIPODOC,2,FALSE)</f>
        <v>FACTURA</v>
      </c>
      <c r="M1966" s="33" t="s">
        <v>180</v>
      </c>
      <c r="N1966" s="32" t="s">
        <v>6255</v>
      </c>
      <c r="O1966" s="48">
        <v>315.89999999999998</v>
      </c>
      <c r="P1966" s="49"/>
      <c r="Q1966" s="81">
        <v>56.86</v>
      </c>
      <c r="R1966" s="80"/>
      <c r="S1966" s="48">
        <v>0</v>
      </c>
      <c r="T1966" s="72">
        <v>372.76</v>
      </c>
      <c r="U1966" s="70"/>
      <c r="V1966" s="32"/>
      <c r="W1966" s="70"/>
      <c r="X1966" s="70"/>
      <c r="Y1966" s="70"/>
      <c r="Z1966" s="70" t="s">
        <v>256</v>
      </c>
      <c r="AA1966" s="71"/>
      <c r="AB1966" s="117" t="str">
        <f>IFERROR(VLOOKUP(Anexo_4[[#This Row],[cuenta]],OP,2,0),"-")</f>
        <v>Materias Primas - RRSS</v>
      </c>
    </row>
    <row r="1967" spans="1:28" ht="27" customHeight="1" x14ac:dyDescent="0.3">
      <c r="A1967" s="34" t="s">
        <v>6256</v>
      </c>
      <c r="B1967" s="36" t="str">
        <f t="shared" si="35"/>
        <v>Setiembre</v>
      </c>
      <c r="C1967" s="33" t="s">
        <v>162</v>
      </c>
      <c r="D1967" s="33" t="s">
        <v>6257</v>
      </c>
      <c r="E1967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967" s="32" t="s">
        <v>248</v>
      </c>
      <c r="G1967" s="32" t="s">
        <v>249</v>
      </c>
      <c r="H1967" s="139" t="s">
        <v>6258</v>
      </c>
      <c r="I1967" s="33" t="s">
        <v>625</v>
      </c>
      <c r="J1967" s="143" t="s">
        <v>4796</v>
      </c>
      <c r="K1967" s="33" t="s">
        <v>169</v>
      </c>
      <c r="L1967" s="102" t="str">
        <f>VLOOKUP(Anexo_4[[#This Row],[cod_doc]],TIPODOC,2,FALSE)</f>
        <v>FACTURA</v>
      </c>
      <c r="M1967" s="33" t="s">
        <v>180</v>
      </c>
      <c r="N1967" s="32" t="s">
        <v>6259</v>
      </c>
      <c r="O1967" s="48">
        <v>255.76</v>
      </c>
      <c r="P1967" s="49"/>
      <c r="Q1967" s="81">
        <v>46.05</v>
      </c>
      <c r="R1967" s="80"/>
      <c r="S1967" s="48">
        <v>0</v>
      </c>
      <c r="T1967" s="72">
        <v>301.81</v>
      </c>
      <c r="U1967" s="70"/>
      <c r="V1967" s="32"/>
      <c r="W1967" s="70"/>
      <c r="X1967" s="70"/>
      <c r="Y1967" s="70"/>
      <c r="Z1967" s="70" t="s">
        <v>256</v>
      </c>
      <c r="AA1967" s="71"/>
      <c r="AB1967" s="117" t="str">
        <f>IFERROR(VLOOKUP(Anexo_4[[#This Row],[cuenta]],OP,2,0),"-")</f>
        <v>Materias Primas - RRSS</v>
      </c>
    </row>
    <row r="1968" spans="1:28" ht="27" customHeight="1" x14ac:dyDescent="0.3">
      <c r="A1968" s="34" t="s">
        <v>5921</v>
      </c>
      <c r="B1968" s="36" t="str">
        <f t="shared" si="35"/>
        <v>Setiembre</v>
      </c>
      <c r="C1968" s="33" t="s">
        <v>162</v>
      </c>
      <c r="D1968" s="33" t="s">
        <v>6260</v>
      </c>
      <c r="E1968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968" s="32" t="s">
        <v>164</v>
      </c>
      <c r="G1968" s="32" t="s">
        <v>165</v>
      </c>
      <c r="H1968" s="139" t="s">
        <v>976</v>
      </c>
      <c r="I1968" s="33" t="s">
        <v>971</v>
      </c>
      <c r="J1968" s="143" t="s">
        <v>5974</v>
      </c>
      <c r="K1968" s="33" t="s">
        <v>169</v>
      </c>
      <c r="L1968" s="102" t="str">
        <f>VLOOKUP(Anexo_4[[#This Row],[cod_doc]],TIPODOC,2,FALSE)</f>
        <v>FACTURA</v>
      </c>
      <c r="M1968" s="33" t="s">
        <v>973</v>
      </c>
      <c r="N1968" s="32" t="s">
        <v>6261</v>
      </c>
      <c r="O1968" s="48">
        <v>33</v>
      </c>
      <c r="P1968" s="49"/>
      <c r="Q1968" s="81">
        <v>5.94</v>
      </c>
      <c r="R1968" s="80"/>
      <c r="S1968" s="48">
        <v>0</v>
      </c>
      <c r="T1968" s="72">
        <v>38.94</v>
      </c>
      <c r="U1968" s="70"/>
      <c r="V1968" s="32"/>
      <c r="W1968" s="70"/>
      <c r="X1968" s="70"/>
      <c r="Y1968" s="70"/>
      <c r="Z1968" s="70" t="s">
        <v>977</v>
      </c>
      <c r="AA1968" s="71"/>
      <c r="AB1968" s="117" t="str">
        <f>IFERROR(VLOOKUP(Anexo_4[[#This Row],[cuenta]],OP,2,0),"-")</f>
        <v>-</v>
      </c>
    </row>
    <row r="1969" spans="1:28" ht="27" customHeight="1" x14ac:dyDescent="0.3">
      <c r="A1969" s="34" t="s">
        <v>5921</v>
      </c>
      <c r="B1969" s="36" t="str">
        <f t="shared" si="35"/>
        <v>Setiembre</v>
      </c>
      <c r="C1969" s="33" t="s">
        <v>162</v>
      </c>
      <c r="D1969" s="33" t="s">
        <v>6262</v>
      </c>
      <c r="E1969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969" s="32" t="s">
        <v>164</v>
      </c>
      <c r="G1969" s="32" t="s">
        <v>165</v>
      </c>
      <c r="H1969" s="139" t="s">
        <v>976</v>
      </c>
      <c r="I1969" s="33" t="s">
        <v>971</v>
      </c>
      <c r="J1969" s="143" t="s">
        <v>5974</v>
      </c>
      <c r="K1969" s="33" t="s">
        <v>169</v>
      </c>
      <c r="L1969" s="102" t="str">
        <f>VLOOKUP(Anexo_4[[#This Row],[cod_doc]],TIPODOC,2,FALSE)</f>
        <v>FACTURA</v>
      </c>
      <c r="M1969" s="33" t="s">
        <v>973</v>
      </c>
      <c r="N1969" s="32" t="s">
        <v>6263</v>
      </c>
      <c r="O1969" s="48">
        <v>5.29</v>
      </c>
      <c r="P1969" s="49"/>
      <c r="Q1969" s="81">
        <v>0.95</v>
      </c>
      <c r="R1969" s="80"/>
      <c r="S1969" s="48">
        <v>0</v>
      </c>
      <c r="T1969" s="72">
        <v>6.24</v>
      </c>
      <c r="U1969" s="70"/>
      <c r="V1969" s="32"/>
      <c r="W1969" s="70"/>
      <c r="X1969" s="70"/>
      <c r="Y1969" s="70"/>
      <c r="Z1969" s="70" t="s">
        <v>977</v>
      </c>
      <c r="AA1969" s="71"/>
      <c r="AB1969" s="117" t="str">
        <f>IFERROR(VLOOKUP(Anexo_4[[#This Row],[cuenta]],OP,2,0),"-")</f>
        <v>-</v>
      </c>
    </row>
    <row r="1970" spans="1:28" ht="27" customHeight="1" x14ac:dyDescent="0.3">
      <c r="A1970" s="34" t="s">
        <v>2017</v>
      </c>
      <c r="B1970" s="36" t="str">
        <f t="shared" si="35"/>
        <v>Setiembre</v>
      </c>
      <c r="C1970" s="33" t="s">
        <v>162</v>
      </c>
      <c r="D1970" s="33" t="s">
        <v>6264</v>
      </c>
      <c r="E1970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970" s="32"/>
      <c r="G1970" s="32"/>
      <c r="H1970" s="139" t="s">
        <v>5387</v>
      </c>
      <c r="I1970" s="33" t="s">
        <v>1739</v>
      </c>
      <c r="J1970" s="143" t="s">
        <v>6251</v>
      </c>
      <c r="K1970" s="33" t="s">
        <v>169</v>
      </c>
      <c r="L1970" s="102" t="str">
        <f>VLOOKUP(Anexo_4[[#This Row],[cod_doc]],TIPODOC,2,FALSE)</f>
        <v>FACTURA</v>
      </c>
      <c r="M1970" s="33" t="s">
        <v>1741</v>
      </c>
      <c r="N1970" s="32" t="s">
        <v>6265</v>
      </c>
      <c r="O1970" s="48">
        <v>0</v>
      </c>
      <c r="P1970" s="49"/>
      <c r="Q1970" s="81">
        <v>0</v>
      </c>
      <c r="R1970" s="80"/>
      <c r="S1970" s="48">
        <v>5.3</v>
      </c>
      <c r="T1970" s="72">
        <v>5.3</v>
      </c>
      <c r="U1970" s="70"/>
      <c r="V1970" s="32"/>
      <c r="W1970" s="70"/>
      <c r="X1970" s="70"/>
      <c r="Y1970" s="70"/>
      <c r="Z1970" s="70"/>
      <c r="AA1970" s="71"/>
      <c r="AB1970" s="117" t="str">
        <f>IFERROR(VLOOKUP(Anexo_4[[#This Row],[cuenta]],OP,2,0),"-")</f>
        <v>-</v>
      </c>
    </row>
    <row r="1971" spans="1:28" ht="27" customHeight="1" x14ac:dyDescent="0.3">
      <c r="A1971" s="34" t="s">
        <v>5985</v>
      </c>
      <c r="B1971" s="36" t="str">
        <f t="shared" si="35"/>
        <v>Setiembre</v>
      </c>
      <c r="C1971" s="33" t="s">
        <v>162</v>
      </c>
      <c r="D1971" s="33" t="s">
        <v>6266</v>
      </c>
      <c r="E1971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971" s="32" t="s">
        <v>1366</v>
      </c>
      <c r="G1971" s="32" t="s">
        <v>1367</v>
      </c>
      <c r="H1971" s="139" t="s">
        <v>6267</v>
      </c>
      <c r="I1971" s="33" t="s">
        <v>4858</v>
      </c>
      <c r="J1971" s="143" t="s">
        <v>5282</v>
      </c>
      <c r="K1971" s="33" t="s">
        <v>239</v>
      </c>
      <c r="L1971" s="102" t="str">
        <f>VLOOKUP(Anexo_4[[#This Row],[cod_doc]],TIPODOC,2,FALSE)</f>
        <v>BOLETA DE VENTA</v>
      </c>
      <c r="M1971" s="33" t="s">
        <v>5938</v>
      </c>
      <c r="N1971" s="32" t="s">
        <v>6268</v>
      </c>
      <c r="O1971" s="48">
        <v>0</v>
      </c>
      <c r="P1971" s="49"/>
      <c r="Q1971" s="81">
        <v>0</v>
      </c>
      <c r="R1971" s="80"/>
      <c r="S1971" s="48">
        <v>403</v>
      </c>
      <c r="T1971" s="72">
        <v>403</v>
      </c>
      <c r="U1971" s="70"/>
      <c r="V1971" s="32"/>
      <c r="W1971" s="70"/>
      <c r="X1971" s="70"/>
      <c r="Y1971" s="70"/>
      <c r="Z1971" s="70" t="s">
        <v>2559</v>
      </c>
      <c r="AA1971" s="71"/>
      <c r="AB1971" s="117" t="str">
        <f>IFERROR(VLOOKUP(Anexo_4[[#This Row],[cuenta]],OP,2,0),"-")</f>
        <v>-</v>
      </c>
    </row>
    <row r="1972" spans="1:28" ht="27" customHeight="1" x14ac:dyDescent="0.3">
      <c r="A1972" s="34" t="s">
        <v>3283</v>
      </c>
      <c r="B1972" s="36" t="str">
        <f t="shared" si="35"/>
        <v>Setiembre</v>
      </c>
      <c r="C1972" s="33" t="s">
        <v>162</v>
      </c>
      <c r="D1972" s="33" t="s">
        <v>6269</v>
      </c>
      <c r="E1972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972" s="32"/>
      <c r="G1972" s="32"/>
      <c r="H1972" s="139" t="s">
        <v>6270</v>
      </c>
      <c r="I1972" s="33" t="s">
        <v>886</v>
      </c>
      <c r="J1972" s="143" t="s">
        <v>6271</v>
      </c>
      <c r="K1972" s="33" t="s">
        <v>169</v>
      </c>
      <c r="L1972" s="102" t="str">
        <f>VLOOKUP(Anexo_4[[#This Row],[cod_doc]],TIPODOC,2,FALSE)</f>
        <v>FACTURA</v>
      </c>
      <c r="M1972" s="33" t="s">
        <v>343</v>
      </c>
      <c r="N1972" s="32" t="s">
        <v>6272</v>
      </c>
      <c r="O1972" s="48">
        <v>499</v>
      </c>
      <c r="P1972" s="49"/>
      <c r="Q1972" s="81">
        <v>89.82</v>
      </c>
      <c r="R1972" s="80"/>
      <c r="S1972" s="48">
        <v>0</v>
      </c>
      <c r="T1972" s="72">
        <v>588.82000000000005</v>
      </c>
      <c r="U1972" s="70"/>
      <c r="V1972" s="32"/>
      <c r="W1972" s="70"/>
      <c r="X1972" s="70"/>
      <c r="Y1972" s="70"/>
      <c r="Z1972" s="70"/>
      <c r="AA1972" s="71"/>
      <c r="AB1972" s="117" t="str">
        <f>IFERROR(VLOOKUP(Anexo_4[[#This Row],[cuenta]],OP,2,0),"-")</f>
        <v>-</v>
      </c>
    </row>
    <row r="1973" spans="1:28" ht="27" customHeight="1" x14ac:dyDescent="0.3">
      <c r="A1973" s="34" t="s">
        <v>5238</v>
      </c>
      <c r="B1973" s="36" t="str">
        <f t="shared" si="35"/>
        <v>Setiembre</v>
      </c>
      <c r="C1973" s="33" t="s">
        <v>162</v>
      </c>
      <c r="D1973" s="33" t="s">
        <v>6273</v>
      </c>
      <c r="E1973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973" s="32" t="s">
        <v>418</v>
      </c>
      <c r="G1973" s="32" t="s">
        <v>419</v>
      </c>
      <c r="H1973" s="139" t="s">
        <v>1276</v>
      </c>
      <c r="I1973" s="33" t="s">
        <v>264</v>
      </c>
      <c r="J1973" s="143" t="s">
        <v>4644</v>
      </c>
      <c r="K1973" s="33" t="s">
        <v>169</v>
      </c>
      <c r="L1973" s="102" t="str">
        <f>VLOOKUP(Anexo_4[[#This Row],[cod_doc]],TIPODOC,2,FALSE)</f>
        <v>FACTURA</v>
      </c>
      <c r="M1973" s="33" t="s">
        <v>519</v>
      </c>
      <c r="N1973" s="32" t="s">
        <v>6274</v>
      </c>
      <c r="O1973" s="48">
        <v>6.78</v>
      </c>
      <c r="P1973" s="49"/>
      <c r="Q1973" s="81">
        <v>1.22</v>
      </c>
      <c r="R1973" s="80"/>
      <c r="S1973" s="48">
        <v>0</v>
      </c>
      <c r="T1973" s="72">
        <v>8</v>
      </c>
      <c r="U1973" s="70"/>
      <c r="V1973" s="32"/>
      <c r="W1973" s="70"/>
      <c r="X1973" s="70"/>
      <c r="Y1973" s="70"/>
      <c r="Z1973" s="70" t="s">
        <v>302</v>
      </c>
      <c r="AA1973" s="71"/>
      <c r="AB1973" s="117" t="str">
        <f>IFERROR(VLOOKUP(Anexo_4[[#This Row],[cuenta]],OP,2,0),"-")</f>
        <v>Transporte peajes - Servicios</v>
      </c>
    </row>
    <row r="1974" spans="1:28" ht="27" customHeight="1" x14ac:dyDescent="0.3">
      <c r="A1974" s="34" t="s">
        <v>6275</v>
      </c>
      <c r="B1974" s="36" t="str">
        <f t="shared" si="35"/>
        <v>Setiembre</v>
      </c>
      <c r="C1974" s="33" t="s">
        <v>162</v>
      </c>
      <c r="D1974" s="33" t="s">
        <v>6276</v>
      </c>
      <c r="E1974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974" s="32"/>
      <c r="G1974" s="32"/>
      <c r="H1974" s="139" t="s">
        <v>3440</v>
      </c>
      <c r="I1974" s="33" t="s">
        <v>1747</v>
      </c>
      <c r="J1974" s="143" t="s">
        <v>6277</v>
      </c>
      <c r="K1974" s="33" t="s">
        <v>169</v>
      </c>
      <c r="L1974" s="102" t="str">
        <f>VLOOKUP(Anexo_4[[#This Row],[cod_doc]],TIPODOC,2,FALSE)</f>
        <v>FACTURA</v>
      </c>
      <c r="M1974" s="33" t="s">
        <v>6278</v>
      </c>
      <c r="N1974" s="32" t="s">
        <v>6279</v>
      </c>
      <c r="O1974" s="48">
        <v>0</v>
      </c>
      <c r="P1974" s="49"/>
      <c r="Q1974" s="81">
        <v>0</v>
      </c>
      <c r="R1974" s="80"/>
      <c r="S1974" s="48">
        <v>30</v>
      </c>
      <c r="T1974" s="72">
        <v>30</v>
      </c>
      <c r="U1974" s="70"/>
      <c r="V1974" s="32"/>
      <c r="W1974" s="70"/>
      <c r="X1974" s="70"/>
      <c r="Y1974" s="70"/>
      <c r="Z1974" s="70"/>
      <c r="AA1974" s="71"/>
      <c r="AB1974" s="117" t="str">
        <f>IFERROR(VLOOKUP(Anexo_4[[#This Row],[cuenta]],OP,2,0),"-")</f>
        <v>-</v>
      </c>
    </row>
    <row r="1975" spans="1:28" ht="27" customHeight="1" x14ac:dyDescent="0.3">
      <c r="A1975" s="34" t="s">
        <v>5667</v>
      </c>
      <c r="B1975" s="36" t="str">
        <f t="shared" si="35"/>
        <v>Setiembre</v>
      </c>
      <c r="C1975" s="33" t="s">
        <v>162</v>
      </c>
      <c r="D1975" s="33" t="s">
        <v>6280</v>
      </c>
      <c r="E1975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975" s="32" t="s">
        <v>164</v>
      </c>
      <c r="G1975" s="32" t="s">
        <v>165</v>
      </c>
      <c r="H1975" s="139" t="s">
        <v>6281</v>
      </c>
      <c r="I1975" s="33" t="s">
        <v>213</v>
      </c>
      <c r="J1975" s="143" t="s">
        <v>5110</v>
      </c>
      <c r="K1975" s="33" t="s">
        <v>169</v>
      </c>
      <c r="L1975" s="102" t="str">
        <f>VLOOKUP(Anexo_4[[#This Row],[cod_doc]],TIPODOC,2,FALSE)</f>
        <v>FACTURA</v>
      </c>
      <c r="M1975" s="33" t="s">
        <v>102</v>
      </c>
      <c r="N1975" s="32" t="s">
        <v>6282</v>
      </c>
      <c r="O1975" s="48">
        <v>59.9</v>
      </c>
      <c r="P1975" s="49"/>
      <c r="Q1975" s="81">
        <v>10.78</v>
      </c>
      <c r="R1975" s="80"/>
      <c r="S1975" s="48">
        <v>0</v>
      </c>
      <c r="T1975" s="72">
        <v>70.680000000000007</v>
      </c>
      <c r="U1975" s="70"/>
      <c r="V1975" s="32"/>
      <c r="W1975" s="70"/>
      <c r="X1975" s="70"/>
      <c r="Y1975" s="70"/>
      <c r="Z1975" s="70" t="s">
        <v>209</v>
      </c>
      <c r="AA1975" s="71"/>
      <c r="AB1975" s="117" t="str">
        <f>IFERROR(VLOOKUP(Anexo_4[[#This Row],[cuenta]],OP,2,0),"-")</f>
        <v>-</v>
      </c>
    </row>
    <row r="1976" spans="1:28" ht="27" customHeight="1" x14ac:dyDescent="0.3">
      <c r="A1976" s="34" t="s">
        <v>5444</v>
      </c>
      <c r="B1976" s="36" t="str">
        <f t="shared" si="35"/>
        <v>Setiembre</v>
      </c>
      <c r="C1976" s="33" t="s">
        <v>162</v>
      </c>
      <c r="D1976" s="33" t="s">
        <v>6283</v>
      </c>
      <c r="E1976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976" s="32" t="s">
        <v>190</v>
      </c>
      <c r="G1976" s="32" t="s">
        <v>191</v>
      </c>
      <c r="H1976" s="139" t="s">
        <v>6284</v>
      </c>
      <c r="I1976" s="33" t="s">
        <v>899</v>
      </c>
      <c r="J1976" s="143" t="s">
        <v>4693</v>
      </c>
      <c r="K1976" s="33" t="s">
        <v>169</v>
      </c>
      <c r="L1976" s="102" t="str">
        <f>VLOOKUP(Anexo_4[[#This Row],[cod_doc]],TIPODOC,2,FALSE)</f>
        <v>FACTURA</v>
      </c>
      <c r="M1976" s="33" t="s">
        <v>102</v>
      </c>
      <c r="N1976" s="32" t="s">
        <v>6285</v>
      </c>
      <c r="O1976" s="48">
        <v>127.12</v>
      </c>
      <c r="P1976" s="49"/>
      <c r="Q1976" s="81">
        <v>22.88</v>
      </c>
      <c r="R1976" s="80"/>
      <c r="S1976" s="48">
        <v>0</v>
      </c>
      <c r="T1976" s="72">
        <v>150</v>
      </c>
      <c r="U1976" s="70"/>
      <c r="V1976" s="32"/>
      <c r="W1976" s="70"/>
      <c r="X1976" s="70"/>
      <c r="Y1976" s="70"/>
      <c r="Z1976" s="70" t="s">
        <v>901</v>
      </c>
      <c r="AA1976" s="71"/>
      <c r="AB1976" s="117" t="str">
        <f>IFERROR(VLOOKUP(Anexo_4[[#This Row],[cuenta]],OP,2,0),"-")</f>
        <v>-</v>
      </c>
    </row>
    <row r="1977" spans="1:28" ht="27" customHeight="1" x14ac:dyDescent="0.3">
      <c r="A1977" s="34" t="s">
        <v>4994</v>
      </c>
      <c r="B1977" s="36" t="str">
        <f t="shared" si="35"/>
        <v>Setiembre</v>
      </c>
      <c r="C1977" s="33" t="s">
        <v>162</v>
      </c>
      <c r="D1977" s="33" t="s">
        <v>6286</v>
      </c>
      <c r="E1977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977" s="32" t="s">
        <v>190</v>
      </c>
      <c r="G1977" s="32" t="s">
        <v>191</v>
      </c>
      <c r="H1977" s="139" t="s">
        <v>6284</v>
      </c>
      <c r="I1977" s="33" t="s">
        <v>899</v>
      </c>
      <c r="J1977" s="143" t="s">
        <v>4693</v>
      </c>
      <c r="K1977" s="33" t="s">
        <v>169</v>
      </c>
      <c r="L1977" s="102" t="str">
        <f>VLOOKUP(Anexo_4[[#This Row],[cod_doc]],TIPODOC,2,FALSE)</f>
        <v>FACTURA</v>
      </c>
      <c r="M1977" s="33" t="s">
        <v>102</v>
      </c>
      <c r="N1977" s="32" t="s">
        <v>6287</v>
      </c>
      <c r="O1977" s="48">
        <v>101.69</v>
      </c>
      <c r="P1977" s="49"/>
      <c r="Q1977" s="81">
        <v>18.309999999999999</v>
      </c>
      <c r="R1977" s="80"/>
      <c r="S1977" s="48">
        <v>0</v>
      </c>
      <c r="T1977" s="72">
        <v>120</v>
      </c>
      <c r="U1977" s="70"/>
      <c r="V1977" s="32"/>
      <c r="W1977" s="70"/>
      <c r="X1977" s="70"/>
      <c r="Y1977" s="70"/>
      <c r="Z1977" s="70" t="s">
        <v>901</v>
      </c>
      <c r="AA1977" s="71"/>
      <c r="AB1977" s="117" t="str">
        <f>IFERROR(VLOOKUP(Anexo_4[[#This Row],[cuenta]],OP,2,0),"-")</f>
        <v>-</v>
      </c>
    </row>
    <row r="1978" spans="1:28" ht="27" customHeight="1" x14ac:dyDescent="0.3">
      <c r="A1978" s="34" t="s">
        <v>5910</v>
      </c>
      <c r="B1978" s="36" t="str">
        <f t="shared" si="35"/>
        <v>Setiembre</v>
      </c>
      <c r="C1978" s="33" t="s">
        <v>162</v>
      </c>
      <c r="D1978" s="33" t="s">
        <v>6288</v>
      </c>
      <c r="E1978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978" s="32" t="s">
        <v>190</v>
      </c>
      <c r="G1978" s="32" t="s">
        <v>191</v>
      </c>
      <c r="H1978" s="139" t="s">
        <v>6284</v>
      </c>
      <c r="I1978" s="33" t="s">
        <v>899</v>
      </c>
      <c r="J1978" s="143" t="s">
        <v>4693</v>
      </c>
      <c r="K1978" s="33" t="s">
        <v>169</v>
      </c>
      <c r="L1978" s="102" t="str">
        <f>VLOOKUP(Anexo_4[[#This Row],[cod_doc]],TIPODOC,2,FALSE)</f>
        <v>FACTURA</v>
      </c>
      <c r="M1978" s="33" t="s">
        <v>102</v>
      </c>
      <c r="N1978" s="32" t="s">
        <v>6289</v>
      </c>
      <c r="O1978" s="48">
        <v>169.49</v>
      </c>
      <c r="P1978" s="49"/>
      <c r="Q1978" s="81">
        <v>30.51</v>
      </c>
      <c r="R1978" s="80"/>
      <c r="S1978" s="48">
        <v>0</v>
      </c>
      <c r="T1978" s="72">
        <v>200</v>
      </c>
      <c r="U1978" s="70"/>
      <c r="V1978" s="32"/>
      <c r="W1978" s="70"/>
      <c r="X1978" s="70"/>
      <c r="Y1978" s="70"/>
      <c r="Z1978" s="70" t="s">
        <v>901</v>
      </c>
      <c r="AA1978" s="71"/>
      <c r="AB1978" s="117" t="str">
        <f>IFERROR(VLOOKUP(Anexo_4[[#This Row],[cuenta]],OP,2,0),"-")</f>
        <v>-</v>
      </c>
    </row>
    <row r="1979" spans="1:28" ht="27" customHeight="1" x14ac:dyDescent="0.3">
      <c r="A1979" s="34" t="s">
        <v>5667</v>
      </c>
      <c r="B1979" s="36" t="str">
        <f t="shared" si="35"/>
        <v>Setiembre</v>
      </c>
      <c r="C1979" s="33" t="s">
        <v>162</v>
      </c>
      <c r="D1979" s="33" t="s">
        <v>6290</v>
      </c>
      <c r="E1979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979" s="32" t="s">
        <v>823</v>
      </c>
      <c r="G1979" s="32" t="s">
        <v>824</v>
      </c>
      <c r="H1979" s="139" t="s">
        <v>6291</v>
      </c>
      <c r="I1979" s="33" t="s">
        <v>2461</v>
      </c>
      <c r="J1979" s="143" t="s">
        <v>6292</v>
      </c>
      <c r="K1979" s="33" t="s">
        <v>169</v>
      </c>
      <c r="L1979" s="102" t="str">
        <f>VLOOKUP(Anexo_4[[#This Row],[cod_doc]],TIPODOC,2,FALSE)</f>
        <v>FACTURA</v>
      </c>
      <c r="M1979" s="33" t="s">
        <v>102</v>
      </c>
      <c r="N1979" s="32" t="s">
        <v>6293</v>
      </c>
      <c r="O1979" s="48">
        <v>650</v>
      </c>
      <c r="P1979" s="49"/>
      <c r="Q1979" s="81">
        <v>117</v>
      </c>
      <c r="R1979" s="80"/>
      <c r="S1979" s="48">
        <v>0</v>
      </c>
      <c r="T1979" s="72">
        <v>767</v>
      </c>
      <c r="U1979" s="70"/>
      <c r="V1979" s="32"/>
      <c r="W1979" s="70"/>
      <c r="X1979" s="70"/>
      <c r="Y1979" s="70"/>
      <c r="Z1979" s="70" t="s">
        <v>958</v>
      </c>
      <c r="AA1979" s="71"/>
      <c r="AB1979" s="117" t="str">
        <f>IFERROR(VLOOKUP(Anexo_4[[#This Row],[cuenta]],OP,2,0),"-")</f>
        <v>-</v>
      </c>
    </row>
    <row r="1980" spans="1:28" ht="27" customHeight="1" x14ac:dyDescent="0.3">
      <c r="A1980" s="34" t="s">
        <v>6294</v>
      </c>
      <c r="B1980" s="36" t="str">
        <f t="shared" si="35"/>
        <v>Setiembre</v>
      </c>
      <c r="C1980" s="33" t="s">
        <v>162</v>
      </c>
      <c r="D1980" s="33" t="s">
        <v>6295</v>
      </c>
      <c r="E1980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980" s="32" t="s">
        <v>1366</v>
      </c>
      <c r="G1980" s="32" t="s">
        <v>1367</v>
      </c>
      <c r="H1980" s="139" t="s">
        <v>6296</v>
      </c>
      <c r="I1980" s="33" t="s">
        <v>3641</v>
      </c>
      <c r="J1980" s="143" t="s">
        <v>6297</v>
      </c>
      <c r="K1980" s="33" t="s">
        <v>169</v>
      </c>
      <c r="L1980" s="102" t="str">
        <f>VLOOKUP(Anexo_4[[#This Row],[cod_doc]],TIPODOC,2,FALSE)</f>
        <v>FACTURA</v>
      </c>
      <c r="M1980" s="33" t="s">
        <v>222</v>
      </c>
      <c r="N1980" s="32" t="s">
        <v>6298</v>
      </c>
      <c r="O1980" s="48">
        <v>76.27</v>
      </c>
      <c r="P1980" s="49"/>
      <c r="Q1980" s="81">
        <v>13.73</v>
      </c>
      <c r="R1980" s="80"/>
      <c r="S1980" s="48">
        <v>0</v>
      </c>
      <c r="T1980" s="72">
        <v>90</v>
      </c>
      <c r="U1980" s="70"/>
      <c r="V1980" s="32"/>
      <c r="W1980" s="70"/>
      <c r="X1980" s="70"/>
      <c r="Y1980" s="70"/>
      <c r="Z1980" s="70" t="s">
        <v>2559</v>
      </c>
      <c r="AA1980" s="71"/>
      <c r="AB1980" s="117" t="str">
        <f>IFERROR(VLOOKUP(Anexo_4[[#This Row],[cuenta]],OP,2,0),"-")</f>
        <v>-</v>
      </c>
    </row>
    <row r="1981" spans="1:28" ht="27" customHeight="1" x14ac:dyDescent="0.3">
      <c r="A1981" s="34" t="s">
        <v>6294</v>
      </c>
      <c r="B1981" s="36" t="str">
        <f t="shared" si="35"/>
        <v>Setiembre</v>
      </c>
      <c r="C1981" s="33" t="s">
        <v>162</v>
      </c>
      <c r="D1981" s="33" t="s">
        <v>6299</v>
      </c>
      <c r="E1981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1981" s="32" t="s">
        <v>1366</v>
      </c>
      <c r="G1981" s="32" t="s">
        <v>1367</v>
      </c>
      <c r="H1981" s="139" t="s">
        <v>6300</v>
      </c>
      <c r="I1981" s="33" t="s">
        <v>3641</v>
      </c>
      <c r="J1981" s="143" t="s">
        <v>6297</v>
      </c>
      <c r="K1981" s="33" t="s">
        <v>169</v>
      </c>
      <c r="L1981" s="102" t="str">
        <f>VLOOKUP(Anexo_4[[#This Row],[cod_doc]],TIPODOC,2,FALSE)</f>
        <v>FACTURA</v>
      </c>
      <c r="M1981" s="33" t="s">
        <v>222</v>
      </c>
      <c r="N1981" s="32" t="s">
        <v>6301</v>
      </c>
      <c r="O1981" s="48">
        <v>581.36</v>
      </c>
      <c r="P1981" s="49"/>
      <c r="Q1981" s="81">
        <v>104.64</v>
      </c>
      <c r="R1981" s="80"/>
      <c r="S1981" s="48">
        <v>0</v>
      </c>
      <c r="T1981" s="72">
        <v>686</v>
      </c>
      <c r="U1981" s="70"/>
      <c r="V1981" s="32"/>
      <c r="W1981" s="70"/>
      <c r="X1981" s="70"/>
      <c r="Y1981" s="70"/>
      <c r="Z1981" s="70" t="s">
        <v>2559</v>
      </c>
      <c r="AA1981" s="71"/>
      <c r="AB1981" s="117" t="str">
        <f>IFERROR(VLOOKUP(Anexo_4[[#This Row],[cuenta]],OP,2,0),"-")</f>
        <v>-</v>
      </c>
    </row>
    <row r="1982" spans="1:28" ht="27" customHeight="1" x14ac:dyDescent="0.3">
      <c r="A1982" s="34" t="s">
        <v>6302</v>
      </c>
      <c r="B1982" s="36" t="str">
        <f t="shared" si="35"/>
        <v>Setiembre</v>
      </c>
      <c r="C1982" s="33" t="s">
        <v>162</v>
      </c>
      <c r="D1982" s="33" t="s">
        <v>6303</v>
      </c>
      <c r="E1982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982" s="32" t="s">
        <v>456</v>
      </c>
      <c r="G1982" s="32" t="s">
        <v>4911</v>
      </c>
      <c r="H1982" s="139" t="s">
        <v>136</v>
      </c>
      <c r="I1982" s="33" t="s">
        <v>227</v>
      </c>
      <c r="J1982" s="143" t="s">
        <v>6304</v>
      </c>
      <c r="K1982" s="33" t="s">
        <v>169</v>
      </c>
      <c r="L1982" s="102" t="str">
        <f>VLOOKUP(Anexo_4[[#This Row],[cod_doc]],TIPODOC,2,FALSE)</f>
        <v>FACTURA</v>
      </c>
      <c r="M1982" s="33" t="s">
        <v>222</v>
      </c>
      <c r="N1982" s="32" t="s">
        <v>6305</v>
      </c>
      <c r="O1982" s="48">
        <v>59.32</v>
      </c>
      <c r="P1982" s="49"/>
      <c r="Q1982" s="81">
        <v>10.68</v>
      </c>
      <c r="R1982" s="80"/>
      <c r="S1982" s="48">
        <v>0</v>
      </c>
      <c r="T1982" s="72">
        <v>70</v>
      </c>
      <c r="U1982" s="70"/>
      <c r="V1982" s="32"/>
      <c r="W1982" s="70"/>
      <c r="X1982" s="70"/>
      <c r="Y1982" s="70"/>
      <c r="Z1982" s="70" t="s">
        <v>229</v>
      </c>
      <c r="AA1982" s="71"/>
      <c r="AB1982" s="117" t="str">
        <f>IFERROR(VLOOKUP(Anexo_4[[#This Row],[cuenta]],OP,2,0),"-")</f>
        <v>Revisión Técnica Vehicular</v>
      </c>
    </row>
    <row r="1983" spans="1:28" ht="27" customHeight="1" x14ac:dyDescent="0.3">
      <c r="A1983" s="34" t="s">
        <v>5078</v>
      </c>
      <c r="B1983" s="36" t="str">
        <f t="shared" si="35"/>
        <v>Setiembre</v>
      </c>
      <c r="C1983" s="33" t="s">
        <v>162</v>
      </c>
      <c r="D1983" s="33" t="s">
        <v>6306</v>
      </c>
      <c r="E1983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983" s="32" t="s">
        <v>418</v>
      </c>
      <c r="G1983" s="32" t="s">
        <v>419</v>
      </c>
      <c r="H1983" s="139" t="s">
        <v>6307</v>
      </c>
      <c r="I1983" s="33" t="s">
        <v>1060</v>
      </c>
      <c r="J1983" s="143" t="s">
        <v>4950</v>
      </c>
      <c r="K1983" s="33" t="s">
        <v>169</v>
      </c>
      <c r="L1983" s="102" t="str">
        <f>VLOOKUP(Anexo_4[[#This Row],[cod_doc]],TIPODOC,2,FALSE)</f>
        <v>FACTURA</v>
      </c>
      <c r="M1983" s="33" t="s">
        <v>222</v>
      </c>
      <c r="N1983" s="32" t="s">
        <v>6308</v>
      </c>
      <c r="O1983" s="48">
        <v>61.86</v>
      </c>
      <c r="P1983" s="49"/>
      <c r="Q1983" s="81">
        <v>11.14</v>
      </c>
      <c r="R1983" s="80"/>
      <c r="S1983" s="48">
        <v>0</v>
      </c>
      <c r="T1983" s="72">
        <v>73</v>
      </c>
      <c r="U1983" s="70"/>
      <c r="V1983" s="32"/>
      <c r="W1983" s="70"/>
      <c r="X1983" s="70"/>
      <c r="Y1983" s="70"/>
      <c r="Z1983" s="70" t="s">
        <v>710</v>
      </c>
      <c r="AA1983" s="71"/>
      <c r="AB1983" s="117" t="str">
        <f>IFERROR(VLOOKUP(Anexo_4[[#This Row],[cuenta]],OP,2,0),"-")</f>
        <v>Accesorios Vehiculares</v>
      </c>
    </row>
    <row r="1984" spans="1:28" ht="27" customHeight="1" x14ac:dyDescent="0.3">
      <c r="A1984" s="34" t="s">
        <v>4994</v>
      </c>
      <c r="B1984" s="36" t="str">
        <f t="shared" si="35"/>
        <v>Setiembre</v>
      </c>
      <c r="C1984" s="33" t="s">
        <v>162</v>
      </c>
      <c r="D1984" s="33" t="s">
        <v>6309</v>
      </c>
      <c r="E1984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984" s="32" t="s">
        <v>449</v>
      </c>
      <c r="G1984" s="32" t="s">
        <v>4868</v>
      </c>
      <c r="H1984" s="139" t="s">
        <v>6310</v>
      </c>
      <c r="I1984" s="33" t="s">
        <v>6311</v>
      </c>
      <c r="J1984" s="143" t="s">
        <v>6312</v>
      </c>
      <c r="K1984" s="33" t="s">
        <v>239</v>
      </c>
      <c r="L1984" s="102" t="str">
        <f>VLOOKUP(Anexo_4[[#This Row],[cod_doc]],TIPODOC,2,FALSE)</f>
        <v>BOLETA DE VENTA</v>
      </c>
      <c r="M1984" s="33" t="s">
        <v>5938</v>
      </c>
      <c r="N1984" s="32" t="s">
        <v>6313</v>
      </c>
      <c r="O1984" s="48">
        <v>0</v>
      </c>
      <c r="P1984" s="49"/>
      <c r="Q1984" s="81">
        <v>0</v>
      </c>
      <c r="R1984" s="80"/>
      <c r="S1984" s="48">
        <v>20</v>
      </c>
      <c r="T1984" s="72">
        <v>20</v>
      </c>
      <c r="U1984" s="70"/>
      <c r="V1984" s="32"/>
      <c r="W1984" s="70"/>
      <c r="X1984" s="70"/>
      <c r="Y1984" s="70"/>
      <c r="Z1984" s="70" t="s">
        <v>223</v>
      </c>
      <c r="AA1984" s="71"/>
      <c r="AB1984" s="117" t="str">
        <f>IFERROR(VLOOKUP(Anexo_4[[#This Row],[cuenta]],OP,2,0),"-")</f>
        <v>Mantenimiento Vehicular (Preventivo)</v>
      </c>
    </row>
    <row r="1985" spans="1:28" ht="27" customHeight="1" x14ac:dyDescent="0.3">
      <c r="A1985" s="34" t="s">
        <v>5921</v>
      </c>
      <c r="B1985" s="36" t="str">
        <f t="shared" si="35"/>
        <v>Setiembre</v>
      </c>
      <c r="C1985" s="33" t="s">
        <v>162</v>
      </c>
      <c r="D1985" s="33" t="s">
        <v>6314</v>
      </c>
      <c r="E1985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985" s="32" t="s">
        <v>449</v>
      </c>
      <c r="G1985" s="32" t="s">
        <v>4868</v>
      </c>
      <c r="H1985" s="139" t="s">
        <v>6315</v>
      </c>
      <c r="I1985" s="33" t="s">
        <v>6311</v>
      </c>
      <c r="J1985" s="143" t="s">
        <v>6312</v>
      </c>
      <c r="K1985" s="33" t="s">
        <v>239</v>
      </c>
      <c r="L1985" s="102" t="str">
        <f>VLOOKUP(Anexo_4[[#This Row],[cod_doc]],TIPODOC,2,FALSE)</f>
        <v>BOLETA DE VENTA</v>
      </c>
      <c r="M1985" s="33" t="s">
        <v>5938</v>
      </c>
      <c r="N1985" s="32" t="s">
        <v>6316</v>
      </c>
      <c r="O1985" s="48"/>
      <c r="P1985" s="49"/>
      <c r="Q1985" s="81">
        <v>0</v>
      </c>
      <c r="R1985" s="80"/>
      <c r="S1985" s="48">
        <v>30</v>
      </c>
      <c r="T1985" s="72">
        <v>30</v>
      </c>
      <c r="U1985" s="70"/>
      <c r="V1985" s="32"/>
      <c r="W1985" s="70"/>
      <c r="X1985" s="70"/>
      <c r="Y1985" s="70"/>
      <c r="Z1985" s="70" t="s">
        <v>223</v>
      </c>
      <c r="AA1985" s="71"/>
      <c r="AB1985" s="117" t="str">
        <f>IFERROR(VLOOKUP(Anexo_4[[#This Row],[cuenta]],OP,2,0),"-")</f>
        <v>Mantenimiento Vehicular (Preventivo)</v>
      </c>
    </row>
    <row r="1986" spans="1:28" ht="27" customHeight="1" x14ac:dyDescent="0.3">
      <c r="A1986" s="34" t="s">
        <v>5921</v>
      </c>
      <c r="B1986" s="36" t="str">
        <f t="shared" si="35"/>
        <v>Setiembre</v>
      </c>
      <c r="C1986" s="33" t="s">
        <v>162</v>
      </c>
      <c r="D1986" s="33" t="s">
        <v>6317</v>
      </c>
      <c r="E1986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986" s="32" t="s">
        <v>449</v>
      </c>
      <c r="G1986" s="32" t="s">
        <v>4868</v>
      </c>
      <c r="H1986" s="139" t="s">
        <v>6318</v>
      </c>
      <c r="I1986" s="33" t="s">
        <v>6319</v>
      </c>
      <c r="J1986" s="143" t="s">
        <v>6320</v>
      </c>
      <c r="K1986" s="33" t="s">
        <v>239</v>
      </c>
      <c r="L1986" s="102" t="str">
        <f>VLOOKUP(Anexo_4[[#This Row],[cod_doc]],TIPODOC,2,FALSE)</f>
        <v>BOLETA DE VENTA</v>
      </c>
      <c r="M1986" s="33" t="s">
        <v>5938</v>
      </c>
      <c r="N1986" s="32" t="s">
        <v>1977</v>
      </c>
      <c r="O1986" s="48">
        <v>0</v>
      </c>
      <c r="P1986" s="49"/>
      <c r="Q1986" s="81">
        <v>0</v>
      </c>
      <c r="R1986" s="80"/>
      <c r="S1986" s="48">
        <v>30</v>
      </c>
      <c r="T1986" s="72">
        <v>30</v>
      </c>
      <c r="U1986" s="70"/>
      <c r="V1986" s="32"/>
      <c r="W1986" s="70"/>
      <c r="X1986" s="70"/>
      <c r="Y1986" s="70"/>
      <c r="Z1986" s="70" t="s">
        <v>241</v>
      </c>
      <c r="AA1986" s="71"/>
      <c r="AB1986" s="117" t="str">
        <f>IFERROR(VLOOKUP(Anexo_4[[#This Row],[cuenta]],OP,2,0),"-")</f>
        <v>Mantenimiento Vehicular (Correctivo)</v>
      </c>
    </row>
    <row r="1987" spans="1:28" ht="27" customHeight="1" x14ac:dyDescent="0.3">
      <c r="A1987" s="34" t="s">
        <v>5921</v>
      </c>
      <c r="B1987" s="36" t="str">
        <f t="shared" si="35"/>
        <v>Setiembre</v>
      </c>
      <c r="C1987" s="33" t="s">
        <v>162</v>
      </c>
      <c r="D1987" s="33" t="s">
        <v>6321</v>
      </c>
      <c r="E1987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987" s="32" t="s">
        <v>449</v>
      </c>
      <c r="G1987" s="32" t="s">
        <v>4868</v>
      </c>
      <c r="H1987" s="139" t="s">
        <v>6322</v>
      </c>
      <c r="I1987" s="33" t="s">
        <v>2085</v>
      </c>
      <c r="J1987" s="143" t="s">
        <v>5397</v>
      </c>
      <c r="K1987" s="33" t="s">
        <v>169</v>
      </c>
      <c r="L1987" s="102" t="str">
        <f>VLOOKUP(Anexo_4[[#This Row],[cod_doc]],TIPODOC,2,FALSE)</f>
        <v>FACTURA</v>
      </c>
      <c r="M1987" s="33" t="s">
        <v>631</v>
      </c>
      <c r="N1987" s="32" t="s">
        <v>6323</v>
      </c>
      <c r="O1987" s="48">
        <v>38.14</v>
      </c>
      <c r="P1987" s="49"/>
      <c r="Q1987" s="81">
        <v>6.86</v>
      </c>
      <c r="R1987" s="80"/>
      <c r="S1987" s="48">
        <v>0</v>
      </c>
      <c r="T1987" s="72">
        <v>45</v>
      </c>
      <c r="U1987" s="70"/>
      <c r="V1987" s="32"/>
      <c r="W1987" s="70"/>
      <c r="X1987" s="70"/>
      <c r="Y1987" s="70"/>
      <c r="Z1987" s="70" t="s">
        <v>223</v>
      </c>
      <c r="AA1987" s="71"/>
      <c r="AB1987" s="117" t="str">
        <f>IFERROR(VLOOKUP(Anexo_4[[#This Row],[cuenta]],OP,2,0),"-")</f>
        <v>Mantenimiento Vehicular (Preventivo)</v>
      </c>
    </row>
    <row r="1988" spans="1:28" ht="27" customHeight="1" x14ac:dyDescent="0.3">
      <c r="A1988" s="34" t="s">
        <v>6294</v>
      </c>
      <c r="B1988" s="36" t="str">
        <f t="shared" si="35"/>
        <v>Setiembre</v>
      </c>
      <c r="C1988" s="33" t="s">
        <v>162</v>
      </c>
      <c r="D1988" s="33" t="s">
        <v>6324</v>
      </c>
      <c r="E1988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988" s="32" t="s">
        <v>235</v>
      </c>
      <c r="G1988" s="32" t="s">
        <v>5051</v>
      </c>
      <c r="H1988" s="139" t="s">
        <v>6325</v>
      </c>
      <c r="I1988" s="33" t="s">
        <v>2357</v>
      </c>
      <c r="J1988" s="143" t="s">
        <v>5978</v>
      </c>
      <c r="K1988" s="33" t="s">
        <v>169</v>
      </c>
      <c r="L1988" s="102" t="str">
        <f>VLOOKUP(Anexo_4[[#This Row],[cod_doc]],TIPODOC,2,FALSE)</f>
        <v>FACTURA</v>
      </c>
      <c r="M1988" s="33" t="s">
        <v>982</v>
      </c>
      <c r="N1988" s="32" t="s">
        <v>6326</v>
      </c>
      <c r="O1988" s="48">
        <v>42.37</v>
      </c>
      <c r="P1988" s="49"/>
      <c r="Q1988" s="81">
        <v>7.63</v>
      </c>
      <c r="R1988" s="80"/>
      <c r="S1988" s="48">
        <v>0</v>
      </c>
      <c r="T1988" s="72">
        <v>50</v>
      </c>
      <c r="U1988" s="70"/>
      <c r="V1988" s="32"/>
      <c r="W1988" s="70"/>
      <c r="X1988" s="70"/>
      <c r="Y1988" s="70"/>
      <c r="Z1988" s="70" t="s">
        <v>710</v>
      </c>
      <c r="AA1988" s="71"/>
      <c r="AB1988" s="117" t="str">
        <f>IFERROR(VLOOKUP(Anexo_4[[#This Row],[cuenta]],OP,2,0),"-")</f>
        <v>Accesorios Vehiculares</v>
      </c>
    </row>
    <row r="1989" spans="1:28" ht="27" customHeight="1" x14ac:dyDescent="0.3">
      <c r="A1989" s="34" t="s">
        <v>5095</v>
      </c>
      <c r="B1989" s="36" t="str">
        <f t="shared" si="35"/>
        <v>Setiembre</v>
      </c>
      <c r="C1989" s="33" t="s">
        <v>162</v>
      </c>
      <c r="D1989" s="33" t="s">
        <v>6327</v>
      </c>
      <c r="E1989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989" s="32" t="s">
        <v>391</v>
      </c>
      <c r="G1989" s="32" t="s">
        <v>5041</v>
      </c>
      <c r="H1989" s="139" t="s">
        <v>6328</v>
      </c>
      <c r="I1989" s="33" t="s">
        <v>2357</v>
      </c>
      <c r="J1989" s="143" t="s">
        <v>5978</v>
      </c>
      <c r="K1989" s="33" t="s">
        <v>169</v>
      </c>
      <c r="L1989" s="102" t="str">
        <f>VLOOKUP(Anexo_4[[#This Row],[cod_doc]],TIPODOC,2,FALSE)</f>
        <v>FACTURA</v>
      </c>
      <c r="M1989" s="33" t="s">
        <v>982</v>
      </c>
      <c r="N1989" s="32" t="s">
        <v>6329</v>
      </c>
      <c r="O1989" s="48">
        <v>13.56</v>
      </c>
      <c r="P1989" s="49"/>
      <c r="Q1989" s="81">
        <v>2.44</v>
      </c>
      <c r="R1989" s="80"/>
      <c r="S1989" s="48">
        <v>0</v>
      </c>
      <c r="T1989" s="72">
        <v>16</v>
      </c>
      <c r="U1989" s="70"/>
      <c r="V1989" s="32"/>
      <c r="W1989" s="70"/>
      <c r="X1989" s="70"/>
      <c r="Y1989" s="70"/>
      <c r="Z1989" s="70" t="s">
        <v>710</v>
      </c>
      <c r="AA1989" s="71"/>
      <c r="AB1989" s="117" t="str">
        <f>IFERROR(VLOOKUP(Anexo_4[[#This Row],[cuenta]],OP,2,0),"-")</f>
        <v>Accesorios Vehiculares</v>
      </c>
    </row>
    <row r="1990" spans="1:28" ht="27" customHeight="1" x14ac:dyDescent="0.3">
      <c r="A1990" s="34" t="s">
        <v>5921</v>
      </c>
      <c r="B1990" s="36" t="str">
        <f t="shared" si="35"/>
        <v>Setiembre</v>
      </c>
      <c r="C1990" s="33" t="s">
        <v>162</v>
      </c>
      <c r="D1990" s="33" t="s">
        <v>6330</v>
      </c>
      <c r="E1990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990" s="32" t="s">
        <v>418</v>
      </c>
      <c r="G1990" s="32" t="s">
        <v>419</v>
      </c>
      <c r="H1990" s="139" t="s">
        <v>6331</v>
      </c>
      <c r="I1990" s="33" t="s">
        <v>6332</v>
      </c>
      <c r="J1990" s="143" t="s">
        <v>6333</v>
      </c>
      <c r="K1990" s="33" t="s">
        <v>169</v>
      </c>
      <c r="L1990" s="102" t="str">
        <f>VLOOKUP(Anexo_4[[#This Row],[cod_doc]],TIPODOC,2,FALSE)</f>
        <v>FACTURA</v>
      </c>
      <c r="M1990" s="33" t="s">
        <v>6334</v>
      </c>
      <c r="N1990" s="32" t="s">
        <v>6335</v>
      </c>
      <c r="O1990" s="48">
        <v>5.08</v>
      </c>
      <c r="P1990" s="49"/>
      <c r="Q1990" s="81">
        <v>0.91</v>
      </c>
      <c r="R1990" s="80"/>
      <c r="S1990" s="48">
        <v>0</v>
      </c>
      <c r="T1990" s="72">
        <v>5.99</v>
      </c>
      <c r="U1990" s="70"/>
      <c r="V1990" s="32"/>
      <c r="W1990" s="70"/>
      <c r="X1990" s="70"/>
      <c r="Y1990" s="70"/>
      <c r="Z1990" s="70" t="s">
        <v>710</v>
      </c>
      <c r="AA1990" s="71"/>
      <c r="AB1990" s="117" t="str">
        <f>IFERROR(VLOOKUP(Anexo_4[[#This Row],[cuenta]],OP,2,0),"-")</f>
        <v>Accesorios Vehiculares</v>
      </c>
    </row>
    <row r="1991" spans="1:28" ht="27" customHeight="1" x14ac:dyDescent="0.3">
      <c r="A1991" s="34" t="s">
        <v>5667</v>
      </c>
      <c r="B1991" s="36" t="str">
        <f t="shared" si="35"/>
        <v>Setiembre</v>
      </c>
      <c r="C1991" s="33" t="s">
        <v>162</v>
      </c>
      <c r="D1991" s="33" t="s">
        <v>6336</v>
      </c>
      <c r="E1991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991" s="32" t="s">
        <v>449</v>
      </c>
      <c r="G1991" s="32" t="s">
        <v>4868</v>
      </c>
      <c r="H1991" s="139" t="s">
        <v>6331</v>
      </c>
      <c r="I1991" s="33" t="s">
        <v>6337</v>
      </c>
      <c r="J1991" s="143" t="s">
        <v>6338</v>
      </c>
      <c r="K1991" s="33" t="s">
        <v>169</v>
      </c>
      <c r="L1991" s="102" t="str">
        <f>VLOOKUP(Anexo_4[[#This Row],[cod_doc]],TIPODOC,2,FALSE)</f>
        <v>FACTURA</v>
      </c>
      <c r="M1991" s="33" t="s">
        <v>6339</v>
      </c>
      <c r="N1991" s="32" t="s">
        <v>6340</v>
      </c>
      <c r="O1991" s="48">
        <v>44.67</v>
      </c>
      <c r="P1991" s="49"/>
      <c r="Q1991" s="81">
        <v>8.0399999999999991</v>
      </c>
      <c r="R1991" s="80"/>
      <c r="S1991" s="48">
        <v>0</v>
      </c>
      <c r="T1991" s="72">
        <v>52.71</v>
      </c>
      <c r="U1991" s="70"/>
      <c r="V1991" s="32"/>
      <c r="W1991" s="70"/>
      <c r="X1991" s="70"/>
      <c r="Y1991" s="70"/>
      <c r="Z1991" s="70" t="s">
        <v>710</v>
      </c>
      <c r="AA1991" s="71"/>
      <c r="AB1991" s="117" t="str">
        <f>IFERROR(VLOOKUP(Anexo_4[[#This Row],[cuenta]],OP,2,0),"-")</f>
        <v>Accesorios Vehiculares</v>
      </c>
    </row>
    <row r="1992" spans="1:28" ht="27" customHeight="1" x14ac:dyDescent="0.3">
      <c r="A1992" s="34" t="s">
        <v>6302</v>
      </c>
      <c r="B1992" s="36" t="str">
        <f t="shared" si="35"/>
        <v>Setiembre</v>
      </c>
      <c r="C1992" s="33" t="s">
        <v>162</v>
      </c>
      <c r="D1992" s="33" t="s">
        <v>6341</v>
      </c>
      <c r="E1992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992" s="32" t="s">
        <v>217</v>
      </c>
      <c r="G1992" s="32" t="s">
        <v>4839</v>
      </c>
      <c r="H1992" s="139" t="s">
        <v>6342</v>
      </c>
      <c r="I1992" s="33" t="s">
        <v>264</v>
      </c>
      <c r="J1992" s="143" t="s">
        <v>4644</v>
      </c>
      <c r="K1992" s="33" t="s">
        <v>169</v>
      </c>
      <c r="L1992" s="102" t="str">
        <f>VLOOKUP(Anexo_4[[#This Row],[cod_doc]],TIPODOC,2,FALSE)</f>
        <v>FACTURA</v>
      </c>
      <c r="M1992" s="33" t="s">
        <v>406</v>
      </c>
      <c r="N1992" s="32" t="s">
        <v>6343</v>
      </c>
      <c r="O1992" s="48">
        <v>6.78</v>
      </c>
      <c r="P1992" s="49"/>
      <c r="Q1992" s="81">
        <v>1.22</v>
      </c>
      <c r="R1992" s="80"/>
      <c r="S1992" s="48">
        <v>0</v>
      </c>
      <c r="T1992" s="72">
        <v>8</v>
      </c>
      <c r="U1992" s="70"/>
      <c r="V1992" s="32"/>
      <c r="W1992" s="70"/>
      <c r="X1992" s="70"/>
      <c r="Y1992" s="70"/>
      <c r="Z1992" s="70" t="s">
        <v>302</v>
      </c>
      <c r="AA1992" s="71"/>
      <c r="AB1992" s="117" t="str">
        <f>IFERROR(VLOOKUP(Anexo_4[[#This Row],[cuenta]],OP,2,0),"-")</f>
        <v>Transporte peajes - Servicios</v>
      </c>
    </row>
    <row r="1993" spans="1:28" ht="27" customHeight="1" x14ac:dyDescent="0.3">
      <c r="A1993" s="34" t="s">
        <v>5914</v>
      </c>
      <c r="B1993" s="36" t="str">
        <f t="shared" si="35"/>
        <v>Setiembre</v>
      </c>
      <c r="C1993" s="33" t="s">
        <v>162</v>
      </c>
      <c r="D1993" s="33" t="s">
        <v>6344</v>
      </c>
      <c r="E1993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993" s="32" t="s">
        <v>217</v>
      </c>
      <c r="G1993" s="32" t="s">
        <v>4839</v>
      </c>
      <c r="H1993" s="139" t="s">
        <v>6345</v>
      </c>
      <c r="I1993" s="33" t="s">
        <v>264</v>
      </c>
      <c r="J1993" s="143" t="s">
        <v>4644</v>
      </c>
      <c r="K1993" s="33" t="s">
        <v>169</v>
      </c>
      <c r="L1993" s="102" t="str">
        <f>VLOOKUP(Anexo_4[[#This Row],[cod_doc]],TIPODOC,2,FALSE)</f>
        <v>FACTURA</v>
      </c>
      <c r="M1993" s="33" t="s">
        <v>352</v>
      </c>
      <c r="N1993" s="32" t="s">
        <v>6346</v>
      </c>
      <c r="O1993" s="48">
        <v>6.78</v>
      </c>
      <c r="P1993" s="49"/>
      <c r="Q1993" s="81">
        <v>1.22</v>
      </c>
      <c r="R1993" s="80"/>
      <c r="S1993" s="48">
        <v>0</v>
      </c>
      <c r="T1993" s="72">
        <v>8</v>
      </c>
      <c r="U1993" s="70"/>
      <c r="V1993" s="32"/>
      <c r="W1993" s="70"/>
      <c r="X1993" s="70"/>
      <c r="Y1993" s="70"/>
      <c r="Z1993" s="70" t="s">
        <v>268</v>
      </c>
      <c r="AA1993" s="71"/>
      <c r="AB1993" s="117" t="str">
        <f>IFERROR(VLOOKUP(Anexo_4[[#This Row],[cuenta]],OP,2,0),"-")</f>
        <v>Transporte peajes - Ventas</v>
      </c>
    </row>
    <row r="1994" spans="1:28" ht="27" customHeight="1" x14ac:dyDescent="0.3">
      <c r="A1994" s="34" t="s">
        <v>5914</v>
      </c>
      <c r="B1994" s="36" t="str">
        <f t="shared" si="35"/>
        <v>Setiembre</v>
      </c>
      <c r="C1994" s="33" t="s">
        <v>162</v>
      </c>
      <c r="D1994" s="33" t="s">
        <v>6347</v>
      </c>
      <c r="E1994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994" s="32" t="s">
        <v>217</v>
      </c>
      <c r="G1994" s="32" t="s">
        <v>4839</v>
      </c>
      <c r="H1994" s="139" t="s">
        <v>6348</v>
      </c>
      <c r="I1994" s="33" t="s">
        <v>264</v>
      </c>
      <c r="J1994" s="143" t="s">
        <v>4644</v>
      </c>
      <c r="K1994" s="33" t="s">
        <v>169</v>
      </c>
      <c r="L1994" s="102" t="str">
        <f>VLOOKUP(Anexo_4[[#This Row],[cod_doc]],TIPODOC,2,FALSE)</f>
        <v>FACTURA</v>
      </c>
      <c r="M1994" s="33" t="s">
        <v>406</v>
      </c>
      <c r="N1994" s="32" t="s">
        <v>6349</v>
      </c>
      <c r="O1994" s="48">
        <v>6.78</v>
      </c>
      <c r="P1994" s="49"/>
      <c r="Q1994" s="81">
        <v>1.22</v>
      </c>
      <c r="R1994" s="80"/>
      <c r="S1994" s="48">
        <v>0</v>
      </c>
      <c r="T1994" s="72">
        <v>8</v>
      </c>
      <c r="U1994" s="70"/>
      <c r="V1994" s="32"/>
      <c r="W1994" s="70"/>
      <c r="X1994" s="70"/>
      <c r="Y1994" s="70"/>
      <c r="Z1994" s="70" t="s">
        <v>268</v>
      </c>
      <c r="AA1994" s="71"/>
      <c r="AB1994" s="117" t="str">
        <f>IFERROR(VLOOKUP(Anexo_4[[#This Row],[cuenta]],OP,2,0),"-")</f>
        <v>Transporte peajes - Ventas</v>
      </c>
    </row>
    <row r="1995" spans="1:28" ht="27" customHeight="1" x14ac:dyDescent="0.3">
      <c r="A1995" s="34" t="s">
        <v>5910</v>
      </c>
      <c r="B1995" s="36" t="str">
        <f t="shared" si="35"/>
        <v>Setiembre</v>
      </c>
      <c r="C1995" s="33" t="s">
        <v>162</v>
      </c>
      <c r="D1995" s="33" t="s">
        <v>6350</v>
      </c>
      <c r="E1995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995" s="32" t="s">
        <v>217</v>
      </c>
      <c r="G1995" s="32" t="s">
        <v>4839</v>
      </c>
      <c r="H1995" s="139" t="s">
        <v>6351</v>
      </c>
      <c r="I1995" s="33" t="s">
        <v>264</v>
      </c>
      <c r="J1995" s="143" t="s">
        <v>4644</v>
      </c>
      <c r="K1995" s="33" t="s">
        <v>169</v>
      </c>
      <c r="L1995" s="102" t="str">
        <f>VLOOKUP(Anexo_4[[#This Row],[cod_doc]],TIPODOC,2,FALSE)</f>
        <v>FACTURA</v>
      </c>
      <c r="M1995" s="33" t="s">
        <v>406</v>
      </c>
      <c r="N1995" s="32" t="s">
        <v>6352</v>
      </c>
      <c r="O1995" s="48">
        <v>6.78</v>
      </c>
      <c r="P1995" s="49"/>
      <c r="Q1995" s="81">
        <v>1.22</v>
      </c>
      <c r="R1995" s="80"/>
      <c r="S1995" s="48">
        <v>0</v>
      </c>
      <c r="T1995" s="72">
        <v>8</v>
      </c>
      <c r="U1995" s="70"/>
      <c r="V1995" s="32"/>
      <c r="W1995" s="70"/>
      <c r="X1995" s="70"/>
      <c r="Y1995" s="70"/>
      <c r="Z1995" s="70" t="s">
        <v>268</v>
      </c>
      <c r="AA1995" s="71"/>
      <c r="AB1995" s="117" t="str">
        <f>IFERROR(VLOOKUP(Anexo_4[[#This Row],[cuenta]],OP,2,0),"-")</f>
        <v>Transporte peajes - Ventas</v>
      </c>
    </row>
    <row r="1996" spans="1:28" ht="27" customHeight="1" x14ac:dyDescent="0.3">
      <c r="A1996" s="34" t="s">
        <v>5910</v>
      </c>
      <c r="B1996" s="36" t="str">
        <f t="shared" si="35"/>
        <v>Setiembre</v>
      </c>
      <c r="C1996" s="33" t="s">
        <v>162</v>
      </c>
      <c r="D1996" s="33" t="s">
        <v>6353</v>
      </c>
      <c r="E1996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996" s="32" t="s">
        <v>217</v>
      </c>
      <c r="G1996" s="32" t="s">
        <v>4839</v>
      </c>
      <c r="H1996" s="139" t="s">
        <v>6354</v>
      </c>
      <c r="I1996" s="33" t="s">
        <v>264</v>
      </c>
      <c r="J1996" s="143" t="s">
        <v>4644</v>
      </c>
      <c r="K1996" s="33" t="s">
        <v>169</v>
      </c>
      <c r="L1996" s="102" t="str">
        <f>VLOOKUP(Anexo_4[[#This Row],[cod_doc]],TIPODOC,2,FALSE)</f>
        <v>FACTURA</v>
      </c>
      <c r="M1996" s="33" t="s">
        <v>379</v>
      </c>
      <c r="N1996" s="32" t="s">
        <v>6355</v>
      </c>
      <c r="O1996" s="48">
        <v>6.78</v>
      </c>
      <c r="P1996" s="49"/>
      <c r="Q1996" s="81">
        <v>1.22</v>
      </c>
      <c r="R1996" s="80"/>
      <c r="S1996" s="48">
        <v>0</v>
      </c>
      <c r="T1996" s="72">
        <v>8</v>
      </c>
      <c r="U1996" s="70"/>
      <c r="V1996" s="32"/>
      <c r="W1996" s="70"/>
      <c r="X1996" s="70"/>
      <c r="Y1996" s="70"/>
      <c r="Z1996" s="70" t="s">
        <v>268</v>
      </c>
      <c r="AA1996" s="71"/>
      <c r="AB1996" s="117" t="str">
        <f>IFERROR(VLOOKUP(Anexo_4[[#This Row],[cuenta]],OP,2,0),"-")</f>
        <v>Transporte peajes - Ventas</v>
      </c>
    </row>
    <row r="1997" spans="1:28" ht="27" customHeight="1" x14ac:dyDescent="0.3">
      <c r="A1997" s="34" t="s">
        <v>6294</v>
      </c>
      <c r="B1997" s="36" t="str">
        <f t="shared" ref="B1997:B2028" si="36">PROPER(CHOOSE(LEFT(D1997,2),"enero","febrero","marzo","abril","mayo","junio","julio","agosto","setiembre","octubre","noviembre","diciembre"))</f>
        <v>Setiembre</v>
      </c>
      <c r="C1997" s="33" t="s">
        <v>162</v>
      </c>
      <c r="D1997" s="33" t="s">
        <v>6356</v>
      </c>
      <c r="E1997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997" s="32" t="s">
        <v>217</v>
      </c>
      <c r="G1997" s="32" t="s">
        <v>4839</v>
      </c>
      <c r="H1997" s="139" t="s">
        <v>6357</v>
      </c>
      <c r="I1997" s="33" t="s">
        <v>264</v>
      </c>
      <c r="J1997" s="143" t="s">
        <v>4644</v>
      </c>
      <c r="K1997" s="33" t="s">
        <v>169</v>
      </c>
      <c r="L1997" s="102" t="str">
        <f>VLOOKUP(Anexo_4[[#This Row],[cod_doc]],TIPODOC,2,FALSE)</f>
        <v>FACTURA</v>
      </c>
      <c r="M1997" s="33" t="s">
        <v>406</v>
      </c>
      <c r="N1997" s="32" t="s">
        <v>6358</v>
      </c>
      <c r="O1997" s="48">
        <v>6.78</v>
      </c>
      <c r="P1997" s="49"/>
      <c r="Q1997" s="81">
        <v>1.22</v>
      </c>
      <c r="R1997" s="80"/>
      <c r="S1997" s="48">
        <v>0</v>
      </c>
      <c r="T1997" s="72">
        <v>8</v>
      </c>
      <c r="U1997" s="70"/>
      <c r="V1997" s="32"/>
      <c r="W1997" s="70"/>
      <c r="X1997" s="70"/>
      <c r="Y1997" s="70"/>
      <c r="Z1997" s="70" t="s">
        <v>302</v>
      </c>
      <c r="AA1997" s="71"/>
      <c r="AB1997" s="117" t="str">
        <f>IFERROR(VLOOKUP(Anexo_4[[#This Row],[cuenta]],OP,2,0),"-")</f>
        <v>Transporte peajes - Servicios</v>
      </c>
    </row>
    <row r="1998" spans="1:28" ht="27" customHeight="1" x14ac:dyDescent="0.3">
      <c r="A1998" s="34" t="s">
        <v>5910</v>
      </c>
      <c r="B1998" s="36" t="str">
        <f t="shared" si="36"/>
        <v>Setiembre</v>
      </c>
      <c r="C1998" s="33" t="s">
        <v>162</v>
      </c>
      <c r="D1998" s="33" t="s">
        <v>6359</v>
      </c>
      <c r="E1998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998" s="32" t="s">
        <v>418</v>
      </c>
      <c r="G1998" s="32" t="s">
        <v>419</v>
      </c>
      <c r="H1998" s="139" t="s">
        <v>6360</v>
      </c>
      <c r="I1998" s="33" t="s">
        <v>178</v>
      </c>
      <c r="J1998" s="143" t="s">
        <v>4667</v>
      </c>
      <c r="K1998" s="33" t="s">
        <v>169</v>
      </c>
      <c r="L1998" s="102" t="str">
        <f>VLOOKUP(Anexo_4[[#This Row],[cod_doc]],TIPODOC,2,FALSE)</f>
        <v>FACTURA</v>
      </c>
      <c r="M1998" s="33" t="s">
        <v>180</v>
      </c>
      <c r="N1998" s="32" t="s">
        <v>6361</v>
      </c>
      <c r="O1998" s="48">
        <v>8.4700000000000006</v>
      </c>
      <c r="P1998" s="49"/>
      <c r="Q1998" s="81">
        <v>1.53</v>
      </c>
      <c r="R1998" s="80"/>
      <c r="S1998" s="48">
        <v>0</v>
      </c>
      <c r="T1998" s="72">
        <v>10</v>
      </c>
      <c r="U1998" s="70"/>
      <c r="V1998" s="32"/>
      <c r="W1998" s="70"/>
      <c r="X1998" s="70"/>
      <c r="Y1998" s="70"/>
      <c r="Z1998" s="70" t="s">
        <v>386</v>
      </c>
      <c r="AA1998" s="71"/>
      <c r="AB1998" s="117" t="str">
        <f>IFERROR(VLOOKUP(Anexo_4[[#This Row],[cuenta]],OP,2,0),"-")</f>
        <v>Balanza - Servicios</v>
      </c>
    </row>
    <row r="1999" spans="1:28" ht="27" customHeight="1" x14ac:dyDescent="0.3">
      <c r="A1999" s="34" t="s">
        <v>5914</v>
      </c>
      <c r="B1999" s="36" t="str">
        <f t="shared" si="36"/>
        <v>Setiembre</v>
      </c>
      <c r="C1999" s="33" t="s">
        <v>162</v>
      </c>
      <c r="D1999" s="33" t="s">
        <v>6362</v>
      </c>
      <c r="E1999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1999" s="32" t="s">
        <v>217</v>
      </c>
      <c r="G1999" s="32" t="s">
        <v>4839</v>
      </c>
      <c r="H1999" s="139" t="s">
        <v>6363</v>
      </c>
      <c r="I1999" s="33" t="s">
        <v>383</v>
      </c>
      <c r="J1999" s="143" t="s">
        <v>4702</v>
      </c>
      <c r="K1999" s="33" t="s">
        <v>169</v>
      </c>
      <c r="L1999" s="102" t="str">
        <f>VLOOKUP(Anexo_4[[#This Row],[cod_doc]],TIPODOC,2,FALSE)</f>
        <v>FACTURA</v>
      </c>
      <c r="M1999" s="33" t="s">
        <v>103</v>
      </c>
      <c r="N1999" s="32" t="s">
        <v>6364</v>
      </c>
      <c r="O1999" s="48">
        <v>16.95</v>
      </c>
      <c r="P1999" s="49"/>
      <c r="Q1999" s="81">
        <v>3.05</v>
      </c>
      <c r="R1999" s="80"/>
      <c r="S1999" s="48">
        <v>0</v>
      </c>
      <c r="T1999" s="72">
        <v>20</v>
      </c>
      <c r="U1999" s="70"/>
      <c r="V1999" s="32"/>
      <c r="W1999" s="70"/>
      <c r="X1999" s="70"/>
      <c r="Y1999" s="70"/>
      <c r="Z1999" s="70" t="s">
        <v>386</v>
      </c>
      <c r="AA1999" s="71"/>
      <c r="AB1999" s="117" t="str">
        <f>IFERROR(VLOOKUP(Anexo_4[[#This Row],[cuenta]],OP,2,0),"-")</f>
        <v>Balanza - Servicios</v>
      </c>
    </row>
    <row r="2000" spans="1:28" ht="27" customHeight="1" x14ac:dyDescent="0.3">
      <c r="A2000" s="34" t="s">
        <v>6302</v>
      </c>
      <c r="B2000" s="36" t="str">
        <f t="shared" si="36"/>
        <v>Setiembre</v>
      </c>
      <c r="C2000" s="33" t="s">
        <v>162</v>
      </c>
      <c r="D2000" s="33" t="s">
        <v>6365</v>
      </c>
      <c r="E2000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000" s="32" t="s">
        <v>217</v>
      </c>
      <c r="G2000" s="32" t="s">
        <v>4839</v>
      </c>
      <c r="H2000" s="139" t="s">
        <v>6366</v>
      </c>
      <c r="I2000" s="33" t="s">
        <v>383</v>
      </c>
      <c r="J2000" s="143" t="s">
        <v>4702</v>
      </c>
      <c r="K2000" s="33" t="s">
        <v>169</v>
      </c>
      <c r="L2000" s="102" t="str">
        <f>VLOOKUP(Anexo_4[[#This Row],[cod_doc]],TIPODOC,2,FALSE)</f>
        <v>FACTURA</v>
      </c>
      <c r="M2000" s="33" t="s">
        <v>103</v>
      </c>
      <c r="N2000" s="32" t="s">
        <v>6367</v>
      </c>
      <c r="O2000" s="48">
        <v>16.95</v>
      </c>
      <c r="P2000" s="49"/>
      <c r="Q2000" s="81">
        <v>3.05</v>
      </c>
      <c r="R2000" s="80"/>
      <c r="S2000" s="48">
        <v>0</v>
      </c>
      <c r="T2000" s="72">
        <v>20</v>
      </c>
      <c r="U2000" s="70"/>
      <c r="V2000" s="32"/>
      <c r="W2000" s="70"/>
      <c r="X2000" s="70"/>
      <c r="Y2000" s="70"/>
      <c r="Z2000" s="70" t="s">
        <v>386</v>
      </c>
      <c r="AA2000" s="71"/>
      <c r="AB2000" s="117" t="str">
        <f>IFERROR(VLOOKUP(Anexo_4[[#This Row],[cuenta]],OP,2,0),"-")</f>
        <v>Balanza - Servicios</v>
      </c>
    </row>
    <row r="2001" spans="1:28" ht="27" customHeight="1" x14ac:dyDescent="0.3">
      <c r="A2001" s="34" t="s">
        <v>6302</v>
      </c>
      <c r="B2001" s="36" t="str">
        <f t="shared" si="36"/>
        <v>Setiembre</v>
      </c>
      <c r="C2001" s="33" t="s">
        <v>162</v>
      </c>
      <c r="D2001" s="33" t="s">
        <v>6368</v>
      </c>
      <c r="E2001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001" s="32" t="s">
        <v>217</v>
      </c>
      <c r="G2001" s="32" t="s">
        <v>4839</v>
      </c>
      <c r="H2001" s="139" t="s">
        <v>6369</v>
      </c>
      <c r="I2001" s="33" t="s">
        <v>383</v>
      </c>
      <c r="J2001" s="143" t="s">
        <v>4702</v>
      </c>
      <c r="K2001" s="33" t="s">
        <v>169</v>
      </c>
      <c r="L2001" s="102" t="str">
        <f>VLOOKUP(Anexo_4[[#This Row],[cod_doc]],TIPODOC,2,FALSE)</f>
        <v>FACTURA</v>
      </c>
      <c r="M2001" s="33" t="s">
        <v>103</v>
      </c>
      <c r="N2001" s="32" t="s">
        <v>6370</v>
      </c>
      <c r="O2001" s="48">
        <v>16.95</v>
      </c>
      <c r="P2001" s="49"/>
      <c r="Q2001" s="81">
        <v>3.05</v>
      </c>
      <c r="R2001" s="80"/>
      <c r="S2001" s="48">
        <v>0</v>
      </c>
      <c r="T2001" s="72">
        <v>20</v>
      </c>
      <c r="U2001" s="70"/>
      <c r="V2001" s="32"/>
      <c r="W2001" s="70"/>
      <c r="X2001" s="70"/>
      <c r="Y2001" s="70"/>
      <c r="Z2001" s="70" t="s">
        <v>386</v>
      </c>
      <c r="AA2001" s="71"/>
      <c r="AB2001" s="117" t="str">
        <f>IFERROR(VLOOKUP(Anexo_4[[#This Row],[cuenta]],OP,2,0),"-")</f>
        <v>Balanza - Servicios</v>
      </c>
    </row>
    <row r="2002" spans="1:28" ht="27" customHeight="1" x14ac:dyDescent="0.3">
      <c r="A2002" s="34" t="s">
        <v>6294</v>
      </c>
      <c r="B2002" s="36" t="str">
        <f t="shared" si="36"/>
        <v>Setiembre</v>
      </c>
      <c r="C2002" s="33" t="s">
        <v>162</v>
      </c>
      <c r="D2002" s="33" t="s">
        <v>6371</v>
      </c>
      <c r="E2002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002" s="32" t="s">
        <v>217</v>
      </c>
      <c r="G2002" s="32" t="s">
        <v>4839</v>
      </c>
      <c r="H2002" s="139" t="s">
        <v>6372</v>
      </c>
      <c r="I2002" s="33" t="s">
        <v>383</v>
      </c>
      <c r="J2002" s="143" t="s">
        <v>4702</v>
      </c>
      <c r="K2002" s="33" t="s">
        <v>169</v>
      </c>
      <c r="L2002" s="102" t="str">
        <f>VLOOKUP(Anexo_4[[#This Row],[cod_doc]],TIPODOC,2,FALSE)</f>
        <v>FACTURA</v>
      </c>
      <c r="M2002" s="33" t="s">
        <v>103</v>
      </c>
      <c r="N2002" s="32" t="s">
        <v>6373</v>
      </c>
      <c r="O2002" s="48">
        <v>16.95</v>
      </c>
      <c r="P2002" s="49"/>
      <c r="Q2002" s="81">
        <v>3.05</v>
      </c>
      <c r="R2002" s="80"/>
      <c r="S2002" s="48">
        <v>0</v>
      </c>
      <c r="T2002" s="72">
        <v>20</v>
      </c>
      <c r="U2002" s="70"/>
      <c r="V2002" s="32"/>
      <c r="W2002" s="70"/>
      <c r="X2002" s="70"/>
      <c r="Y2002" s="70"/>
      <c r="Z2002" s="70" t="s">
        <v>386</v>
      </c>
      <c r="AA2002" s="71"/>
      <c r="AB2002" s="117" t="str">
        <f>IFERROR(VLOOKUP(Anexo_4[[#This Row],[cuenta]],OP,2,0),"-")</f>
        <v>Balanza - Servicios</v>
      </c>
    </row>
    <row r="2003" spans="1:28" ht="27" customHeight="1" x14ac:dyDescent="0.3">
      <c r="A2003" s="34" t="s">
        <v>6294</v>
      </c>
      <c r="B2003" s="36" t="str">
        <f t="shared" si="36"/>
        <v>Setiembre</v>
      </c>
      <c r="C2003" s="33" t="s">
        <v>162</v>
      </c>
      <c r="D2003" s="33" t="s">
        <v>6374</v>
      </c>
      <c r="E2003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003" s="32" t="s">
        <v>217</v>
      </c>
      <c r="G2003" s="32" t="s">
        <v>4839</v>
      </c>
      <c r="H2003" s="139" t="s">
        <v>6375</v>
      </c>
      <c r="I2003" s="33" t="s">
        <v>264</v>
      </c>
      <c r="J2003" s="143" t="s">
        <v>4644</v>
      </c>
      <c r="K2003" s="33" t="s">
        <v>169</v>
      </c>
      <c r="L2003" s="102" t="str">
        <f>VLOOKUP(Anexo_4[[#This Row],[cod_doc]],TIPODOC,2,FALSE)</f>
        <v>FACTURA</v>
      </c>
      <c r="M2003" s="33" t="s">
        <v>352</v>
      </c>
      <c r="N2003" s="32" t="s">
        <v>6376</v>
      </c>
      <c r="O2003" s="48">
        <v>6.78</v>
      </c>
      <c r="P2003" s="49"/>
      <c r="Q2003" s="81">
        <v>1.22</v>
      </c>
      <c r="R2003" s="80"/>
      <c r="S2003" s="48">
        <v>0</v>
      </c>
      <c r="T2003" s="72">
        <v>8</v>
      </c>
      <c r="U2003" s="70"/>
      <c r="V2003" s="32"/>
      <c r="W2003" s="70"/>
      <c r="X2003" s="70"/>
      <c r="Y2003" s="70"/>
      <c r="Z2003" s="70" t="s">
        <v>302</v>
      </c>
      <c r="AA2003" s="71"/>
      <c r="AB2003" s="117" t="str">
        <f>IFERROR(VLOOKUP(Anexo_4[[#This Row],[cuenta]],OP,2,0),"-")</f>
        <v>Transporte peajes - Servicios</v>
      </c>
    </row>
    <row r="2004" spans="1:28" ht="27" customHeight="1" x14ac:dyDescent="0.3">
      <c r="A2004" s="34" t="s">
        <v>5449</v>
      </c>
      <c r="B2004" s="36" t="str">
        <f t="shared" si="36"/>
        <v>Setiembre</v>
      </c>
      <c r="C2004" s="33" t="s">
        <v>162</v>
      </c>
      <c r="D2004" s="33" t="s">
        <v>6377</v>
      </c>
      <c r="E2004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004" s="32" t="s">
        <v>650</v>
      </c>
      <c r="G2004" s="32" t="s">
        <v>651</v>
      </c>
      <c r="H2004" s="139" t="s">
        <v>3498</v>
      </c>
      <c r="I2004" s="33" t="s">
        <v>2465</v>
      </c>
      <c r="J2004" s="143" t="s">
        <v>4896</v>
      </c>
      <c r="K2004" s="33" t="s">
        <v>169</v>
      </c>
      <c r="L2004" s="102" t="str">
        <f>VLOOKUP(Anexo_4[[#This Row],[cod_doc]],TIPODOC,2,FALSE)</f>
        <v>FACTURA</v>
      </c>
      <c r="M2004" s="33" t="s">
        <v>2288</v>
      </c>
      <c r="N2004" s="32" t="s">
        <v>6378</v>
      </c>
      <c r="O2004" s="48">
        <v>630</v>
      </c>
      <c r="P2004" s="49"/>
      <c r="Q2004" s="81">
        <v>113.4</v>
      </c>
      <c r="R2004" s="80"/>
      <c r="S2004" s="48">
        <v>0</v>
      </c>
      <c r="T2004" s="72">
        <v>743.4</v>
      </c>
      <c r="U2004" s="70"/>
      <c r="V2004" s="32"/>
      <c r="W2004" s="70"/>
      <c r="X2004" s="70"/>
      <c r="Y2004" s="70"/>
      <c r="Z2004" s="70" t="s">
        <v>6379</v>
      </c>
      <c r="AA2004" s="71"/>
      <c r="AB2004" s="117" t="str">
        <f>IFERROR(VLOOKUP(Anexo_4[[#This Row],[cuenta]],OP,2,0),"-")</f>
        <v>-</v>
      </c>
    </row>
    <row r="2005" spans="1:28" ht="27" customHeight="1" x14ac:dyDescent="0.3">
      <c r="A2005" s="34" t="s">
        <v>6380</v>
      </c>
      <c r="B2005" s="36" t="str">
        <f t="shared" si="36"/>
        <v>Setiembre</v>
      </c>
      <c r="C2005" s="33" t="s">
        <v>162</v>
      </c>
      <c r="D2005" s="33" t="s">
        <v>6381</v>
      </c>
      <c r="E2005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005" s="32" t="s">
        <v>248</v>
      </c>
      <c r="G2005" s="32" t="s">
        <v>249</v>
      </c>
      <c r="H2005" s="139" t="s">
        <v>6382</v>
      </c>
      <c r="I2005" s="33" t="s">
        <v>625</v>
      </c>
      <c r="J2005" s="143" t="s">
        <v>4796</v>
      </c>
      <c r="K2005" s="33" t="s">
        <v>169</v>
      </c>
      <c r="L2005" s="102" t="str">
        <f>VLOOKUP(Anexo_4[[#This Row],[cod_doc]],TIPODOC,2,FALSE)</f>
        <v>FACTURA</v>
      </c>
      <c r="M2005" s="33" t="s">
        <v>180</v>
      </c>
      <c r="N2005" s="32" t="s">
        <v>6383</v>
      </c>
      <c r="O2005" s="48">
        <v>174.85</v>
      </c>
      <c r="P2005" s="49"/>
      <c r="Q2005" s="81">
        <v>31.46</v>
      </c>
      <c r="R2005" s="80"/>
      <c r="S2005" s="48">
        <v>0</v>
      </c>
      <c r="T2005" s="72">
        <v>206.31</v>
      </c>
      <c r="U2005" s="70"/>
      <c r="V2005" s="32"/>
      <c r="W2005" s="70"/>
      <c r="X2005" s="70"/>
      <c r="Y2005" s="70"/>
      <c r="Z2005" s="70" t="s">
        <v>256</v>
      </c>
      <c r="AA2005" s="71"/>
      <c r="AB2005" s="117" t="str">
        <f>IFERROR(VLOOKUP(Anexo_4[[#This Row],[cuenta]],OP,2,0),"-")</f>
        <v>Materias Primas - RRSS</v>
      </c>
    </row>
    <row r="2006" spans="1:28" ht="27" customHeight="1" x14ac:dyDescent="0.3">
      <c r="A2006" s="34" t="s">
        <v>6384</v>
      </c>
      <c r="B2006" s="36" t="str">
        <f t="shared" si="36"/>
        <v>Setiembre</v>
      </c>
      <c r="C2006" s="33" t="s">
        <v>162</v>
      </c>
      <c r="D2006" s="33" t="s">
        <v>6385</v>
      </c>
      <c r="E2006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006" s="32" t="s">
        <v>823</v>
      </c>
      <c r="G2006" s="32" t="s">
        <v>824</v>
      </c>
      <c r="H2006" s="139" t="s">
        <v>6386</v>
      </c>
      <c r="I2006" s="33" t="s">
        <v>2429</v>
      </c>
      <c r="J2006" s="143" t="s">
        <v>5038</v>
      </c>
      <c r="K2006" s="33" t="s">
        <v>239</v>
      </c>
      <c r="L2006" s="102" t="str">
        <f>VLOOKUP(Anexo_4[[#This Row],[cod_doc]],TIPODOC,2,FALSE)</f>
        <v>BOLETA DE VENTA</v>
      </c>
      <c r="M2006" s="33" t="s">
        <v>5938</v>
      </c>
      <c r="N2006" s="32" t="s">
        <v>6387</v>
      </c>
      <c r="O2006" s="48">
        <v>0</v>
      </c>
      <c r="P2006" s="49"/>
      <c r="Q2006" s="81">
        <v>0</v>
      </c>
      <c r="R2006" s="80"/>
      <c r="S2006" s="48">
        <v>24</v>
      </c>
      <c r="T2006" s="72">
        <v>24</v>
      </c>
      <c r="U2006" s="70"/>
      <c r="V2006" s="32"/>
      <c r="W2006" s="70"/>
      <c r="X2006" s="70"/>
      <c r="Y2006" s="70"/>
      <c r="Z2006" s="70" t="s">
        <v>684</v>
      </c>
      <c r="AA2006" s="71"/>
      <c r="AB2006" s="117" t="str">
        <f>IFERROR(VLOOKUP(Anexo_4[[#This Row],[cuenta]],OP,2,0),"-")</f>
        <v>-</v>
      </c>
    </row>
    <row r="2007" spans="1:28" ht="27" customHeight="1" x14ac:dyDescent="0.3">
      <c r="A2007" s="34" t="s">
        <v>6384</v>
      </c>
      <c r="B2007" s="36" t="str">
        <f t="shared" si="36"/>
        <v>Setiembre</v>
      </c>
      <c r="C2007" s="33" t="s">
        <v>162</v>
      </c>
      <c r="D2007" s="33" t="s">
        <v>6388</v>
      </c>
      <c r="E2007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007" s="32" t="s">
        <v>823</v>
      </c>
      <c r="G2007" s="32" t="s">
        <v>824</v>
      </c>
      <c r="H2007" s="139" t="s">
        <v>6389</v>
      </c>
      <c r="I2007" s="33" t="s">
        <v>2429</v>
      </c>
      <c r="J2007" s="143" t="s">
        <v>5038</v>
      </c>
      <c r="K2007" s="33" t="s">
        <v>239</v>
      </c>
      <c r="L2007" s="102" t="str">
        <f>VLOOKUP(Anexo_4[[#This Row],[cod_doc]],TIPODOC,2,FALSE)</f>
        <v>BOLETA DE VENTA</v>
      </c>
      <c r="M2007" s="33" t="s">
        <v>5938</v>
      </c>
      <c r="N2007" s="32" t="s">
        <v>6390</v>
      </c>
      <c r="O2007" s="48">
        <v>0</v>
      </c>
      <c r="P2007" s="49"/>
      <c r="Q2007" s="81">
        <v>0</v>
      </c>
      <c r="R2007" s="80"/>
      <c r="S2007" s="48">
        <v>4</v>
      </c>
      <c r="T2007" s="72">
        <v>4</v>
      </c>
      <c r="U2007" s="70"/>
      <c r="V2007" s="32"/>
      <c r="W2007" s="70"/>
      <c r="X2007" s="70"/>
      <c r="Y2007" s="70"/>
      <c r="Z2007" s="70" t="s">
        <v>684</v>
      </c>
      <c r="AA2007" s="71"/>
      <c r="AB2007" s="117" t="str">
        <f>IFERROR(VLOOKUP(Anexo_4[[#This Row],[cuenta]],OP,2,0),"-")</f>
        <v>-</v>
      </c>
    </row>
    <row r="2008" spans="1:28" ht="27" customHeight="1" x14ac:dyDescent="0.3">
      <c r="A2008" s="34" t="s">
        <v>6380</v>
      </c>
      <c r="B2008" s="36" t="str">
        <f t="shared" si="36"/>
        <v>Setiembre</v>
      </c>
      <c r="C2008" s="33" t="s">
        <v>162</v>
      </c>
      <c r="D2008" s="33" t="s">
        <v>6391</v>
      </c>
      <c r="E2008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008" s="32" t="s">
        <v>953</v>
      </c>
      <c r="G2008" s="32" t="s">
        <v>954</v>
      </c>
      <c r="H2008" s="139" t="s">
        <v>6392</v>
      </c>
      <c r="I2008" s="33" t="s">
        <v>956</v>
      </c>
      <c r="J2008" s="143" t="s">
        <v>5539</v>
      </c>
      <c r="K2008" s="33" t="s">
        <v>169</v>
      </c>
      <c r="L2008" s="102" t="str">
        <f>VLOOKUP(Anexo_4[[#This Row],[cod_doc]],TIPODOC,2,FALSE)</f>
        <v>FACTURA</v>
      </c>
      <c r="M2008" s="33" t="s">
        <v>102</v>
      </c>
      <c r="N2008" s="32" t="s">
        <v>6393</v>
      </c>
      <c r="O2008" s="48">
        <v>300</v>
      </c>
      <c r="P2008" s="49"/>
      <c r="Q2008" s="81">
        <v>54</v>
      </c>
      <c r="R2008" s="80"/>
      <c r="S2008" s="48">
        <v>0</v>
      </c>
      <c r="T2008" s="72">
        <v>354</v>
      </c>
      <c r="U2008" s="70"/>
      <c r="V2008" s="32"/>
      <c r="W2008" s="70"/>
      <c r="X2008" s="70"/>
      <c r="Y2008" s="70"/>
      <c r="Z2008" s="70" t="s">
        <v>1756</v>
      </c>
      <c r="AA2008" s="71"/>
      <c r="AB2008" s="117" t="str">
        <f>IFERROR(VLOOKUP(Anexo_4[[#This Row],[cuenta]],OP,2,0),"-")</f>
        <v>-</v>
      </c>
    </row>
    <row r="2009" spans="1:28" ht="27" customHeight="1" x14ac:dyDescent="0.3">
      <c r="A2009" s="34" t="s">
        <v>6380</v>
      </c>
      <c r="B2009" s="36" t="str">
        <f t="shared" si="36"/>
        <v>Setiembre</v>
      </c>
      <c r="C2009" s="33" t="s">
        <v>162</v>
      </c>
      <c r="D2009" s="33" t="s">
        <v>6394</v>
      </c>
      <c r="E2009" s="37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2009" s="32" t="s">
        <v>198</v>
      </c>
      <c r="G2009" s="32" t="s">
        <v>199</v>
      </c>
      <c r="H2009" s="139" t="s">
        <v>6395</v>
      </c>
      <c r="I2009" s="33" t="s">
        <v>6396</v>
      </c>
      <c r="J2009" s="143" t="s">
        <v>6397</v>
      </c>
      <c r="K2009" s="33" t="s">
        <v>169</v>
      </c>
      <c r="L2009" s="102" t="str">
        <f>VLOOKUP(Anexo_4[[#This Row],[cod_doc]],TIPODOC,2,FALSE)</f>
        <v>FACTURA</v>
      </c>
      <c r="M2009" s="33" t="s">
        <v>102</v>
      </c>
      <c r="N2009" s="32" t="s">
        <v>6398</v>
      </c>
      <c r="O2009" s="48">
        <v>1144.07</v>
      </c>
      <c r="P2009" s="49"/>
      <c r="Q2009" s="81">
        <v>205.93</v>
      </c>
      <c r="R2009" s="80"/>
      <c r="S2009" s="48">
        <v>0</v>
      </c>
      <c r="T2009" s="72">
        <v>1350</v>
      </c>
      <c r="U2009" s="70"/>
      <c r="V2009" s="32"/>
      <c r="W2009" s="70"/>
      <c r="X2009" s="70"/>
      <c r="Y2009" s="70"/>
      <c r="Z2009" s="70" t="s">
        <v>468</v>
      </c>
      <c r="AA2009" s="71"/>
      <c r="AB2009" s="117" t="str">
        <f>IFERROR(VLOOKUP(Anexo_4[[#This Row],[cuenta]],OP,2,0),"-")</f>
        <v>Transporte de Carga  - Ventas</v>
      </c>
    </row>
    <row r="2010" spans="1:28" ht="27" customHeight="1" x14ac:dyDescent="0.3">
      <c r="A2010" s="34" t="s">
        <v>5238</v>
      </c>
      <c r="B2010" s="36" t="str">
        <f t="shared" si="36"/>
        <v>Setiembre</v>
      </c>
      <c r="C2010" s="33" t="s">
        <v>162</v>
      </c>
      <c r="D2010" s="33" t="s">
        <v>6399</v>
      </c>
      <c r="E2010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010" s="32" t="s">
        <v>5923</v>
      </c>
      <c r="G2010" s="32" t="s">
        <v>5924</v>
      </c>
      <c r="H2010" s="139" t="s">
        <v>1276</v>
      </c>
      <c r="I2010" s="33" t="s">
        <v>298</v>
      </c>
      <c r="J2010" s="143" t="s">
        <v>5170</v>
      </c>
      <c r="K2010" s="33" t="s">
        <v>169</v>
      </c>
      <c r="L2010" s="102" t="str">
        <f>VLOOKUP(Anexo_4[[#This Row],[cod_doc]],TIPODOC,2,FALSE)</f>
        <v>FACTURA</v>
      </c>
      <c r="M2010" s="33" t="s">
        <v>6400</v>
      </c>
      <c r="N2010" s="32" t="s">
        <v>6401</v>
      </c>
      <c r="O2010" s="48">
        <v>32.880000000000003</v>
      </c>
      <c r="P2010" s="49"/>
      <c r="Q2010" s="81">
        <v>5.92</v>
      </c>
      <c r="R2010" s="80"/>
      <c r="S2010" s="48">
        <v>0</v>
      </c>
      <c r="T2010" s="72">
        <v>38.799999999999997</v>
      </c>
      <c r="U2010" s="70"/>
      <c r="V2010" s="32"/>
      <c r="W2010" s="70"/>
      <c r="X2010" s="70"/>
      <c r="Y2010" s="70"/>
      <c r="Z2010" s="70" t="s">
        <v>302</v>
      </c>
      <c r="AA2010" s="71"/>
      <c r="AB2010" s="117" t="str">
        <f>IFERROR(VLOOKUP(Anexo_4[[#This Row],[cuenta]],OP,2,0),"-")</f>
        <v>Transporte peajes - Servicios</v>
      </c>
    </row>
    <row r="2011" spans="1:28" ht="27" customHeight="1" x14ac:dyDescent="0.3">
      <c r="A2011" s="34" t="s">
        <v>5238</v>
      </c>
      <c r="B2011" s="36" t="str">
        <f t="shared" si="36"/>
        <v>Setiembre</v>
      </c>
      <c r="C2011" s="33" t="s">
        <v>162</v>
      </c>
      <c r="D2011" s="33" t="s">
        <v>6402</v>
      </c>
      <c r="E2011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011" s="32" t="s">
        <v>5923</v>
      </c>
      <c r="G2011" s="32" t="s">
        <v>5924</v>
      </c>
      <c r="H2011" s="139" t="s">
        <v>1276</v>
      </c>
      <c r="I2011" s="33" t="s">
        <v>305</v>
      </c>
      <c r="J2011" s="143" t="s">
        <v>5215</v>
      </c>
      <c r="K2011" s="33" t="s">
        <v>169</v>
      </c>
      <c r="L2011" s="102" t="str">
        <f>VLOOKUP(Anexo_4[[#This Row],[cod_doc]],TIPODOC,2,FALSE)</f>
        <v>FACTURA</v>
      </c>
      <c r="M2011" s="33" t="s">
        <v>343</v>
      </c>
      <c r="N2011" s="32" t="s">
        <v>6403</v>
      </c>
      <c r="O2011" s="48">
        <v>13.31</v>
      </c>
      <c r="P2011" s="49"/>
      <c r="Q2011" s="81">
        <v>2.39</v>
      </c>
      <c r="R2011" s="80"/>
      <c r="S2011" s="48">
        <v>0</v>
      </c>
      <c r="T2011" s="72">
        <v>15.7</v>
      </c>
      <c r="U2011" s="70"/>
      <c r="V2011" s="32"/>
      <c r="W2011" s="70"/>
      <c r="X2011" s="70"/>
      <c r="Y2011" s="70"/>
      <c r="Z2011" s="70" t="s">
        <v>302</v>
      </c>
      <c r="AA2011" s="71"/>
      <c r="AB2011" s="117" t="str">
        <f>IFERROR(VLOOKUP(Anexo_4[[#This Row],[cuenta]],OP,2,0),"-")</f>
        <v>Transporte peajes - Servicios</v>
      </c>
    </row>
    <row r="2012" spans="1:28" ht="27" customHeight="1" x14ac:dyDescent="0.3">
      <c r="A2012" s="34" t="s">
        <v>5585</v>
      </c>
      <c r="B2012" s="36" t="str">
        <f t="shared" si="36"/>
        <v>Setiembre</v>
      </c>
      <c r="C2012" s="33" t="s">
        <v>162</v>
      </c>
      <c r="D2012" s="33" t="s">
        <v>6404</v>
      </c>
      <c r="E2012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012" s="32" t="s">
        <v>5923</v>
      </c>
      <c r="G2012" s="32" t="s">
        <v>5924</v>
      </c>
      <c r="H2012" s="139" t="s">
        <v>6405</v>
      </c>
      <c r="I2012" s="33" t="s">
        <v>6406</v>
      </c>
      <c r="J2012" s="143" t="s">
        <v>6407</v>
      </c>
      <c r="K2012" s="33" t="s">
        <v>169</v>
      </c>
      <c r="L2012" s="102" t="str">
        <f>VLOOKUP(Anexo_4[[#This Row],[cod_doc]],TIPODOC,2,FALSE)</f>
        <v>FACTURA</v>
      </c>
      <c r="M2012" s="33" t="s">
        <v>6408</v>
      </c>
      <c r="N2012" s="32" t="s">
        <v>6409</v>
      </c>
      <c r="O2012" s="48">
        <v>0</v>
      </c>
      <c r="P2012" s="49"/>
      <c r="Q2012" s="81">
        <v>0</v>
      </c>
      <c r="R2012" s="80"/>
      <c r="S2012" s="48">
        <v>110</v>
      </c>
      <c r="T2012" s="72">
        <v>110</v>
      </c>
      <c r="U2012" s="70"/>
      <c r="V2012" s="32"/>
      <c r="W2012" s="70"/>
      <c r="X2012" s="70"/>
      <c r="Y2012" s="70"/>
      <c r="Z2012" s="70" t="s">
        <v>4386</v>
      </c>
      <c r="AA2012" s="71"/>
      <c r="AB2012" s="117" t="str">
        <f>IFERROR(VLOOKUP(Anexo_4[[#This Row],[cuenta]],OP,2,0),"-")</f>
        <v>Transporte de Personal (Viajes)</v>
      </c>
    </row>
    <row r="2013" spans="1:28" ht="27" customHeight="1" x14ac:dyDescent="0.3">
      <c r="A2013" s="34" t="s">
        <v>5449</v>
      </c>
      <c r="B2013" s="36" t="str">
        <f t="shared" si="36"/>
        <v>Setiembre</v>
      </c>
      <c r="C2013" s="33" t="s">
        <v>162</v>
      </c>
      <c r="D2013" s="33" t="s">
        <v>6410</v>
      </c>
      <c r="E2013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013" s="32" t="s">
        <v>5923</v>
      </c>
      <c r="G2013" s="32" t="s">
        <v>5924</v>
      </c>
      <c r="H2013" s="139" t="s">
        <v>1276</v>
      </c>
      <c r="I2013" s="33" t="s">
        <v>312</v>
      </c>
      <c r="J2013" s="143" t="s">
        <v>4917</v>
      </c>
      <c r="K2013" s="33" t="s">
        <v>169</v>
      </c>
      <c r="L2013" s="102" t="str">
        <f>VLOOKUP(Anexo_4[[#This Row],[cod_doc]],TIPODOC,2,FALSE)</f>
        <v>FACTURA</v>
      </c>
      <c r="M2013" s="33" t="s">
        <v>4870</v>
      </c>
      <c r="N2013" s="32" t="s">
        <v>6411</v>
      </c>
      <c r="O2013" s="48">
        <v>12.71</v>
      </c>
      <c r="P2013" s="49"/>
      <c r="Q2013" s="81">
        <v>2.29</v>
      </c>
      <c r="R2013" s="80"/>
      <c r="S2013" s="48">
        <v>0</v>
      </c>
      <c r="T2013" s="72">
        <v>15</v>
      </c>
      <c r="U2013" s="70"/>
      <c r="V2013" s="32"/>
      <c r="W2013" s="70"/>
      <c r="X2013" s="70"/>
      <c r="Y2013" s="70"/>
      <c r="Z2013" s="70" t="s">
        <v>302</v>
      </c>
      <c r="AA2013" s="71"/>
      <c r="AB2013" s="117" t="str">
        <f>IFERROR(VLOOKUP(Anexo_4[[#This Row],[cuenta]],OP,2,0),"-")</f>
        <v>Transporte peajes - Servicios</v>
      </c>
    </row>
    <row r="2014" spans="1:28" ht="27" customHeight="1" x14ac:dyDescent="0.3">
      <c r="A2014" s="34" t="s">
        <v>5449</v>
      </c>
      <c r="B2014" s="36" t="str">
        <f t="shared" si="36"/>
        <v>Setiembre</v>
      </c>
      <c r="C2014" s="33" t="s">
        <v>162</v>
      </c>
      <c r="D2014" s="33" t="s">
        <v>6412</v>
      </c>
      <c r="E2014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014" s="32" t="s">
        <v>5923</v>
      </c>
      <c r="G2014" s="32" t="s">
        <v>5924</v>
      </c>
      <c r="H2014" s="139" t="s">
        <v>1276</v>
      </c>
      <c r="I2014" s="33" t="s">
        <v>312</v>
      </c>
      <c r="J2014" s="143" t="s">
        <v>4917</v>
      </c>
      <c r="K2014" s="33" t="s">
        <v>169</v>
      </c>
      <c r="L2014" s="102" t="str">
        <f>VLOOKUP(Anexo_4[[#This Row],[cod_doc]],TIPODOC,2,FALSE)</f>
        <v>FACTURA</v>
      </c>
      <c r="M2014" s="33" t="s">
        <v>6413</v>
      </c>
      <c r="N2014" s="32" t="s">
        <v>6414</v>
      </c>
      <c r="O2014" s="48">
        <v>12.71</v>
      </c>
      <c r="P2014" s="49"/>
      <c r="Q2014" s="81">
        <v>2.29</v>
      </c>
      <c r="R2014" s="80"/>
      <c r="S2014" s="48">
        <v>0</v>
      </c>
      <c r="T2014" s="72">
        <v>15</v>
      </c>
      <c r="U2014" s="70"/>
      <c r="V2014" s="32"/>
      <c r="W2014" s="70"/>
      <c r="X2014" s="70"/>
      <c r="Y2014" s="70"/>
      <c r="Z2014" s="70" t="s">
        <v>302</v>
      </c>
      <c r="AA2014" s="71"/>
      <c r="AB2014" s="117" t="str">
        <f>IFERROR(VLOOKUP(Anexo_4[[#This Row],[cuenta]],OP,2,0),"-")</f>
        <v>Transporte peajes - Servicios</v>
      </c>
    </row>
    <row r="2015" spans="1:28" ht="27" customHeight="1" x14ac:dyDescent="0.3">
      <c r="A2015" s="34" t="s">
        <v>5449</v>
      </c>
      <c r="B2015" s="36" t="str">
        <f t="shared" si="36"/>
        <v>Setiembre</v>
      </c>
      <c r="C2015" s="33" t="s">
        <v>162</v>
      </c>
      <c r="D2015" s="33" t="s">
        <v>6415</v>
      </c>
      <c r="E2015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015" s="32" t="s">
        <v>5923</v>
      </c>
      <c r="G2015" s="32" t="s">
        <v>5924</v>
      </c>
      <c r="H2015" s="139" t="s">
        <v>930</v>
      </c>
      <c r="I2015" s="33" t="s">
        <v>1445</v>
      </c>
      <c r="J2015" s="143" t="s">
        <v>6416</v>
      </c>
      <c r="K2015" s="33" t="s">
        <v>169</v>
      </c>
      <c r="L2015" s="102" t="str">
        <f>VLOOKUP(Anexo_4[[#This Row],[cod_doc]],TIPODOC,2,FALSE)</f>
        <v>FACTURA</v>
      </c>
      <c r="M2015" s="33" t="s">
        <v>222</v>
      </c>
      <c r="N2015" s="32" t="s">
        <v>6417</v>
      </c>
      <c r="O2015" s="48">
        <v>11.02</v>
      </c>
      <c r="P2015" s="49"/>
      <c r="Q2015" s="81">
        <v>1.98</v>
      </c>
      <c r="R2015" s="80"/>
      <c r="S2015" s="48">
        <v>0</v>
      </c>
      <c r="T2015" s="72">
        <v>13</v>
      </c>
      <c r="U2015" s="70"/>
      <c r="V2015" s="32"/>
      <c r="W2015" s="70"/>
      <c r="X2015" s="70"/>
      <c r="Y2015" s="70"/>
      <c r="Z2015" s="70" t="s">
        <v>386</v>
      </c>
      <c r="AA2015" s="71"/>
      <c r="AB2015" s="117" t="str">
        <f>IFERROR(VLOOKUP(Anexo_4[[#This Row],[cuenta]],OP,2,0),"-")</f>
        <v>Balanza - Servicios</v>
      </c>
    </row>
    <row r="2016" spans="1:28" ht="27" customHeight="1" x14ac:dyDescent="0.3">
      <c r="A2016" s="34" t="s">
        <v>5667</v>
      </c>
      <c r="B2016" s="36" t="str">
        <f t="shared" si="36"/>
        <v>Setiembre</v>
      </c>
      <c r="C2016" s="33" t="s">
        <v>162</v>
      </c>
      <c r="D2016" s="33" t="s">
        <v>6418</v>
      </c>
      <c r="E2016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016" s="32" t="s">
        <v>5923</v>
      </c>
      <c r="G2016" s="32" t="s">
        <v>5924</v>
      </c>
      <c r="H2016" s="139" t="s">
        <v>1276</v>
      </c>
      <c r="I2016" s="33" t="s">
        <v>312</v>
      </c>
      <c r="J2016" s="143" t="s">
        <v>4917</v>
      </c>
      <c r="K2016" s="33" t="s">
        <v>169</v>
      </c>
      <c r="L2016" s="102" t="str">
        <f>VLOOKUP(Anexo_4[[#This Row],[cod_doc]],TIPODOC,2,FALSE)</f>
        <v>FACTURA</v>
      </c>
      <c r="M2016" s="33" t="s">
        <v>4870</v>
      </c>
      <c r="N2016" s="32" t="s">
        <v>6419</v>
      </c>
      <c r="O2016" s="48">
        <v>12.71</v>
      </c>
      <c r="P2016" s="49"/>
      <c r="Q2016" s="81">
        <v>2.29</v>
      </c>
      <c r="R2016" s="80"/>
      <c r="S2016" s="48">
        <v>0</v>
      </c>
      <c r="T2016" s="72">
        <v>15</v>
      </c>
      <c r="U2016" s="70"/>
      <c r="V2016" s="32"/>
      <c r="W2016" s="70"/>
      <c r="X2016" s="70"/>
      <c r="Y2016" s="70"/>
      <c r="Z2016" s="70" t="s">
        <v>302</v>
      </c>
      <c r="AA2016" s="71"/>
      <c r="AB2016" s="117" t="str">
        <f>IFERROR(VLOOKUP(Anexo_4[[#This Row],[cuenta]],OP,2,0),"-")</f>
        <v>Transporte peajes - Servicios</v>
      </c>
    </row>
    <row r="2017" spans="1:28" ht="27" customHeight="1" x14ac:dyDescent="0.3">
      <c r="A2017" s="34" t="s">
        <v>5667</v>
      </c>
      <c r="B2017" s="36" t="str">
        <f t="shared" si="36"/>
        <v>Setiembre</v>
      </c>
      <c r="C2017" s="33" t="s">
        <v>162</v>
      </c>
      <c r="D2017" s="33" t="s">
        <v>6420</v>
      </c>
      <c r="E2017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017" s="32" t="s">
        <v>5923</v>
      </c>
      <c r="G2017" s="32" t="s">
        <v>5924</v>
      </c>
      <c r="H2017" s="139" t="s">
        <v>1276</v>
      </c>
      <c r="I2017" s="33" t="s">
        <v>312</v>
      </c>
      <c r="J2017" s="143" t="s">
        <v>4917</v>
      </c>
      <c r="K2017" s="33" t="s">
        <v>169</v>
      </c>
      <c r="L2017" s="102" t="str">
        <f>VLOOKUP(Anexo_4[[#This Row],[cod_doc]],TIPODOC,2,FALSE)</f>
        <v>FACTURA</v>
      </c>
      <c r="M2017" s="33" t="s">
        <v>1474</v>
      </c>
      <c r="N2017" s="32" t="s">
        <v>6421</v>
      </c>
      <c r="O2017" s="48">
        <v>12.71</v>
      </c>
      <c r="P2017" s="49"/>
      <c r="Q2017" s="81">
        <v>2.29</v>
      </c>
      <c r="R2017" s="80"/>
      <c r="S2017" s="48">
        <v>0</v>
      </c>
      <c r="T2017" s="72">
        <v>15</v>
      </c>
      <c r="U2017" s="70"/>
      <c r="V2017" s="32"/>
      <c r="W2017" s="70"/>
      <c r="X2017" s="70"/>
      <c r="Y2017" s="70"/>
      <c r="Z2017" s="70" t="s">
        <v>302</v>
      </c>
      <c r="AA2017" s="71"/>
      <c r="AB2017" s="117" t="str">
        <f>IFERROR(VLOOKUP(Anexo_4[[#This Row],[cuenta]],OP,2,0),"-")</f>
        <v>Transporte peajes - Servicios</v>
      </c>
    </row>
    <row r="2018" spans="1:28" ht="27" customHeight="1" x14ac:dyDescent="0.3">
      <c r="A2018" s="34" t="s">
        <v>5667</v>
      </c>
      <c r="B2018" s="36" t="str">
        <f t="shared" si="36"/>
        <v>Setiembre</v>
      </c>
      <c r="C2018" s="33" t="s">
        <v>162</v>
      </c>
      <c r="D2018" s="33" t="s">
        <v>6422</v>
      </c>
      <c r="E2018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018" s="32" t="s">
        <v>5923</v>
      </c>
      <c r="G2018" s="32" t="s">
        <v>5924</v>
      </c>
      <c r="H2018" s="139" t="s">
        <v>6423</v>
      </c>
      <c r="I2018" s="33" t="s">
        <v>6424</v>
      </c>
      <c r="J2018" s="143" t="s">
        <v>6425</v>
      </c>
      <c r="K2018" s="33" t="s">
        <v>169</v>
      </c>
      <c r="L2018" s="102" t="str">
        <f>VLOOKUP(Anexo_4[[#This Row],[cod_doc]],TIPODOC,2,FALSE)</f>
        <v>FACTURA</v>
      </c>
      <c r="M2018" s="33" t="s">
        <v>6426</v>
      </c>
      <c r="N2018" s="32" t="s">
        <v>6427</v>
      </c>
      <c r="O2018" s="48">
        <v>20</v>
      </c>
      <c r="P2018" s="49"/>
      <c r="Q2018" s="81">
        <v>3.6</v>
      </c>
      <c r="R2018" s="80"/>
      <c r="S2018" s="48">
        <v>0</v>
      </c>
      <c r="T2018" s="72">
        <v>23.6</v>
      </c>
      <c r="U2018" s="70"/>
      <c r="V2018" s="32"/>
      <c r="W2018" s="70"/>
      <c r="X2018" s="70"/>
      <c r="Y2018" s="70"/>
      <c r="Z2018" s="70" t="s">
        <v>3128</v>
      </c>
      <c r="AA2018" s="71"/>
      <c r="AB2018" s="117" t="str">
        <f>IFERROR(VLOOKUP(Anexo_4[[#This Row],[cuenta]],OP,2,0),"-")</f>
        <v>Transporte parqueo (Cochera)</v>
      </c>
    </row>
    <row r="2019" spans="1:28" ht="27" customHeight="1" x14ac:dyDescent="0.3">
      <c r="A2019" s="34" t="s">
        <v>5921</v>
      </c>
      <c r="B2019" s="36" t="str">
        <f t="shared" si="36"/>
        <v>Setiembre</v>
      </c>
      <c r="C2019" s="33" t="s">
        <v>162</v>
      </c>
      <c r="D2019" s="33" t="s">
        <v>6428</v>
      </c>
      <c r="E2019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019" s="32" t="s">
        <v>5923</v>
      </c>
      <c r="G2019" s="32" t="s">
        <v>5924</v>
      </c>
      <c r="H2019" s="139" t="s">
        <v>6429</v>
      </c>
      <c r="I2019" s="33" t="s">
        <v>3125</v>
      </c>
      <c r="J2019" s="143" t="s">
        <v>6430</v>
      </c>
      <c r="K2019" s="33" t="s">
        <v>169</v>
      </c>
      <c r="L2019" s="102" t="str">
        <f>VLOOKUP(Anexo_4[[#This Row],[cod_doc]],TIPODOC,2,FALSE)</f>
        <v>FACTURA</v>
      </c>
      <c r="M2019" s="33" t="s">
        <v>222</v>
      </c>
      <c r="N2019" s="32" t="s">
        <v>6431</v>
      </c>
      <c r="O2019" s="48">
        <v>10.59</v>
      </c>
      <c r="P2019" s="49"/>
      <c r="Q2019" s="81">
        <v>1.91</v>
      </c>
      <c r="R2019" s="80"/>
      <c r="S2019" s="48">
        <v>0</v>
      </c>
      <c r="T2019" s="72">
        <v>12.5</v>
      </c>
      <c r="U2019" s="70"/>
      <c r="V2019" s="32"/>
      <c r="W2019" s="70"/>
      <c r="X2019" s="70"/>
      <c r="Y2019" s="70"/>
      <c r="Z2019" s="70" t="s">
        <v>3128</v>
      </c>
      <c r="AA2019" s="71"/>
      <c r="AB2019" s="117" t="str">
        <f>IFERROR(VLOOKUP(Anexo_4[[#This Row],[cuenta]],OP,2,0),"-")</f>
        <v>Transporte parqueo (Cochera)</v>
      </c>
    </row>
    <row r="2020" spans="1:28" ht="27" customHeight="1" x14ac:dyDescent="0.3">
      <c r="A2020" s="34" t="s">
        <v>5985</v>
      </c>
      <c r="B2020" s="36" t="str">
        <f t="shared" si="36"/>
        <v>Setiembre</v>
      </c>
      <c r="C2020" s="33" t="s">
        <v>162</v>
      </c>
      <c r="D2020" s="33" t="s">
        <v>6432</v>
      </c>
      <c r="E2020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020" s="32" t="s">
        <v>5923</v>
      </c>
      <c r="G2020" s="32" t="s">
        <v>5924</v>
      </c>
      <c r="H2020" s="139" t="s">
        <v>930</v>
      </c>
      <c r="I2020" s="33" t="s">
        <v>1445</v>
      </c>
      <c r="J2020" s="143" t="s">
        <v>6416</v>
      </c>
      <c r="K2020" s="33" t="s">
        <v>169</v>
      </c>
      <c r="L2020" s="102" t="str">
        <f>VLOOKUP(Anexo_4[[#This Row],[cod_doc]],TIPODOC,2,FALSE)</f>
        <v>FACTURA</v>
      </c>
      <c r="M2020" s="33" t="s">
        <v>222</v>
      </c>
      <c r="N2020" s="32" t="s">
        <v>6433</v>
      </c>
      <c r="O2020" s="48">
        <v>11.02</v>
      </c>
      <c r="P2020" s="49"/>
      <c r="Q2020" s="81">
        <v>1.98</v>
      </c>
      <c r="R2020" s="80"/>
      <c r="S2020" s="48">
        <v>0</v>
      </c>
      <c r="T2020" s="72">
        <v>13</v>
      </c>
      <c r="U2020" s="70"/>
      <c r="V2020" s="32"/>
      <c r="W2020" s="70"/>
      <c r="X2020" s="70"/>
      <c r="Y2020" s="70"/>
      <c r="Z2020" s="70" t="s">
        <v>386</v>
      </c>
      <c r="AA2020" s="71"/>
      <c r="AB2020" s="117" t="str">
        <f>IFERROR(VLOOKUP(Anexo_4[[#This Row],[cuenta]],OP,2,0),"-")</f>
        <v>Balanza - Servicios</v>
      </c>
    </row>
    <row r="2021" spans="1:28" ht="27" customHeight="1" x14ac:dyDescent="0.3">
      <c r="A2021" s="34" t="s">
        <v>5985</v>
      </c>
      <c r="B2021" s="36" t="str">
        <f t="shared" si="36"/>
        <v>Setiembre</v>
      </c>
      <c r="C2021" s="33" t="s">
        <v>162</v>
      </c>
      <c r="D2021" s="33" t="s">
        <v>6434</v>
      </c>
      <c r="E2021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021" s="32" t="s">
        <v>5923</v>
      </c>
      <c r="G2021" s="32" t="s">
        <v>5924</v>
      </c>
      <c r="H2021" s="139" t="s">
        <v>1276</v>
      </c>
      <c r="I2021" s="33" t="s">
        <v>298</v>
      </c>
      <c r="J2021" s="143" t="s">
        <v>5170</v>
      </c>
      <c r="K2021" s="33" t="s">
        <v>169</v>
      </c>
      <c r="L2021" s="102" t="str">
        <f>VLOOKUP(Anexo_4[[#This Row],[cod_doc]],TIPODOC,2,FALSE)</f>
        <v>FACTURA</v>
      </c>
      <c r="M2021" s="33" t="s">
        <v>1113</v>
      </c>
      <c r="N2021" s="32" t="s">
        <v>6435</v>
      </c>
      <c r="O2021" s="48">
        <v>32.880000000000003</v>
      </c>
      <c r="P2021" s="49"/>
      <c r="Q2021" s="81">
        <v>5.92</v>
      </c>
      <c r="R2021" s="80"/>
      <c r="S2021" s="48">
        <v>0</v>
      </c>
      <c r="T2021" s="72">
        <v>38.799999999999997</v>
      </c>
      <c r="U2021" s="70"/>
      <c r="V2021" s="32"/>
      <c r="W2021" s="70"/>
      <c r="X2021" s="70"/>
      <c r="Y2021" s="70"/>
      <c r="Z2021" s="70" t="s">
        <v>302</v>
      </c>
      <c r="AA2021" s="71"/>
      <c r="AB2021" s="117" t="str">
        <f>IFERROR(VLOOKUP(Anexo_4[[#This Row],[cuenta]],OP,2,0),"-")</f>
        <v>Transporte peajes - Servicios</v>
      </c>
    </row>
    <row r="2022" spans="1:28" ht="27" customHeight="1" x14ac:dyDescent="0.3">
      <c r="A2022" s="34" t="s">
        <v>5985</v>
      </c>
      <c r="B2022" s="36" t="str">
        <f t="shared" si="36"/>
        <v>Setiembre</v>
      </c>
      <c r="C2022" s="33" t="s">
        <v>162</v>
      </c>
      <c r="D2022" s="33" t="s">
        <v>6436</v>
      </c>
      <c r="E2022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022" s="32" t="s">
        <v>5923</v>
      </c>
      <c r="G2022" s="32" t="s">
        <v>5924</v>
      </c>
      <c r="H2022" s="139" t="s">
        <v>1276</v>
      </c>
      <c r="I2022" s="33" t="s">
        <v>312</v>
      </c>
      <c r="J2022" s="143" t="s">
        <v>4917</v>
      </c>
      <c r="K2022" s="33" t="s">
        <v>169</v>
      </c>
      <c r="L2022" s="102" t="str">
        <f>VLOOKUP(Anexo_4[[#This Row],[cod_doc]],TIPODOC,2,FALSE)</f>
        <v>FACTURA</v>
      </c>
      <c r="M2022" s="33" t="s">
        <v>314</v>
      </c>
      <c r="N2022" s="32" t="s">
        <v>6437</v>
      </c>
      <c r="O2022" s="48">
        <v>12.71</v>
      </c>
      <c r="P2022" s="49"/>
      <c r="Q2022" s="81">
        <v>2.29</v>
      </c>
      <c r="R2022" s="80"/>
      <c r="S2022" s="48">
        <v>0</v>
      </c>
      <c r="T2022" s="72">
        <v>15</v>
      </c>
      <c r="U2022" s="70"/>
      <c r="V2022" s="32"/>
      <c r="W2022" s="70"/>
      <c r="X2022" s="70"/>
      <c r="Y2022" s="70"/>
      <c r="Z2022" s="70" t="s">
        <v>302</v>
      </c>
      <c r="AA2022" s="71"/>
      <c r="AB2022" s="117" t="str">
        <f>IFERROR(VLOOKUP(Anexo_4[[#This Row],[cuenta]],OP,2,0),"-")</f>
        <v>Transporte peajes - Servicios</v>
      </c>
    </row>
    <row r="2023" spans="1:28" ht="27" customHeight="1" x14ac:dyDescent="0.3">
      <c r="A2023" s="34" t="s">
        <v>5985</v>
      </c>
      <c r="B2023" s="36" t="str">
        <f t="shared" si="36"/>
        <v>Setiembre</v>
      </c>
      <c r="C2023" s="33" t="s">
        <v>162</v>
      </c>
      <c r="D2023" s="33" t="s">
        <v>6438</v>
      </c>
      <c r="E2023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023" s="32" t="s">
        <v>5923</v>
      </c>
      <c r="G2023" s="32" t="s">
        <v>5924</v>
      </c>
      <c r="H2023" s="139" t="s">
        <v>1276</v>
      </c>
      <c r="I2023" s="33" t="s">
        <v>312</v>
      </c>
      <c r="J2023" s="143" t="s">
        <v>4917</v>
      </c>
      <c r="K2023" s="33" t="s">
        <v>169</v>
      </c>
      <c r="L2023" s="102" t="str">
        <f>VLOOKUP(Anexo_4[[#This Row],[cod_doc]],TIPODOC,2,FALSE)</f>
        <v>FACTURA</v>
      </c>
      <c r="M2023" s="33" t="s">
        <v>2506</v>
      </c>
      <c r="N2023" s="32" t="s">
        <v>6439</v>
      </c>
      <c r="O2023" s="48">
        <v>12.71</v>
      </c>
      <c r="P2023" s="49"/>
      <c r="Q2023" s="81">
        <v>2.29</v>
      </c>
      <c r="R2023" s="80"/>
      <c r="S2023" s="48">
        <v>0</v>
      </c>
      <c r="T2023" s="72">
        <v>15</v>
      </c>
      <c r="U2023" s="70"/>
      <c r="V2023" s="32"/>
      <c r="W2023" s="70"/>
      <c r="X2023" s="70"/>
      <c r="Y2023" s="70"/>
      <c r="Z2023" s="70" t="s">
        <v>302</v>
      </c>
      <c r="AA2023" s="71"/>
      <c r="AB2023" s="117" t="str">
        <f>IFERROR(VLOOKUP(Anexo_4[[#This Row],[cuenta]],OP,2,0),"-")</f>
        <v>Transporte peajes - Servicios</v>
      </c>
    </row>
    <row r="2024" spans="1:28" ht="27" customHeight="1" x14ac:dyDescent="0.3">
      <c r="A2024" s="34" t="s">
        <v>5985</v>
      </c>
      <c r="B2024" s="36" t="str">
        <f t="shared" si="36"/>
        <v>Setiembre</v>
      </c>
      <c r="C2024" s="33" t="s">
        <v>162</v>
      </c>
      <c r="D2024" s="33" t="s">
        <v>6440</v>
      </c>
      <c r="E2024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024" s="32" t="s">
        <v>5923</v>
      </c>
      <c r="G2024" s="32" t="s">
        <v>5924</v>
      </c>
      <c r="H2024" s="139" t="s">
        <v>1276</v>
      </c>
      <c r="I2024" s="33" t="s">
        <v>312</v>
      </c>
      <c r="J2024" s="143" t="s">
        <v>4917</v>
      </c>
      <c r="K2024" s="33" t="s">
        <v>169</v>
      </c>
      <c r="L2024" s="102" t="str">
        <f>VLOOKUP(Anexo_4[[#This Row],[cod_doc]],TIPODOC,2,FALSE)</f>
        <v>FACTURA</v>
      </c>
      <c r="M2024" s="33" t="s">
        <v>2071</v>
      </c>
      <c r="N2024" s="32" t="s">
        <v>6441</v>
      </c>
      <c r="O2024" s="48">
        <v>12.71</v>
      </c>
      <c r="P2024" s="49"/>
      <c r="Q2024" s="81">
        <v>2.29</v>
      </c>
      <c r="R2024" s="80"/>
      <c r="S2024" s="48">
        <v>0</v>
      </c>
      <c r="T2024" s="72">
        <v>15</v>
      </c>
      <c r="U2024" s="70"/>
      <c r="V2024" s="32"/>
      <c r="W2024" s="70"/>
      <c r="X2024" s="70"/>
      <c r="Y2024" s="70"/>
      <c r="Z2024" s="70" t="s">
        <v>302</v>
      </c>
      <c r="AA2024" s="71"/>
      <c r="AB2024" s="117" t="str">
        <f>IFERROR(VLOOKUP(Anexo_4[[#This Row],[cuenta]],OP,2,0),"-")</f>
        <v>Transporte peajes - Servicios</v>
      </c>
    </row>
    <row r="2025" spans="1:28" ht="27" customHeight="1" x14ac:dyDescent="0.3">
      <c r="A2025" s="34" t="s">
        <v>5914</v>
      </c>
      <c r="B2025" s="36" t="str">
        <f t="shared" si="36"/>
        <v>Setiembre</v>
      </c>
      <c r="C2025" s="33" t="s">
        <v>162</v>
      </c>
      <c r="D2025" s="33" t="s">
        <v>6442</v>
      </c>
      <c r="E2025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025" s="32" t="s">
        <v>391</v>
      </c>
      <c r="G2025" s="32" t="s">
        <v>5041</v>
      </c>
      <c r="H2025" s="139" t="s">
        <v>6443</v>
      </c>
      <c r="I2025" s="33" t="s">
        <v>264</v>
      </c>
      <c r="J2025" s="143" t="s">
        <v>4644</v>
      </c>
      <c r="K2025" s="33" t="s">
        <v>169</v>
      </c>
      <c r="L2025" s="102" t="str">
        <f>VLOOKUP(Anexo_4[[#This Row],[cod_doc]],TIPODOC,2,FALSE)</f>
        <v>FACTURA</v>
      </c>
      <c r="M2025" s="33" t="s">
        <v>352</v>
      </c>
      <c r="N2025" s="32" t="s">
        <v>6444</v>
      </c>
      <c r="O2025" s="48">
        <v>6.78</v>
      </c>
      <c r="P2025" s="49"/>
      <c r="Q2025" s="81">
        <v>1.22</v>
      </c>
      <c r="R2025" s="80"/>
      <c r="S2025" s="48">
        <v>0</v>
      </c>
      <c r="T2025" s="72">
        <v>8</v>
      </c>
      <c r="U2025" s="70"/>
      <c r="V2025" s="32"/>
      <c r="W2025" s="70"/>
      <c r="X2025" s="70"/>
      <c r="Y2025" s="70"/>
      <c r="Z2025" s="70" t="s">
        <v>268</v>
      </c>
      <c r="AA2025" s="71"/>
      <c r="AB2025" s="117" t="str">
        <f>IFERROR(VLOOKUP(Anexo_4[[#This Row],[cuenta]],OP,2,0),"-")</f>
        <v>Transporte peajes - Ventas</v>
      </c>
    </row>
    <row r="2026" spans="1:28" ht="27" customHeight="1" x14ac:dyDescent="0.3">
      <c r="A2026" s="34" t="s">
        <v>5914</v>
      </c>
      <c r="B2026" s="36" t="str">
        <f t="shared" si="36"/>
        <v>Setiembre</v>
      </c>
      <c r="C2026" s="33" t="s">
        <v>162</v>
      </c>
      <c r="D2026" s="33" t="s">
        <v>6445</v>
      </c>
      <c r="E2026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026" s="32" t="s">
        <v>391</v>
      </c>
      <c r="G2026" s="32" t="s">
        <v>5041</v>
      </c>
      <c r="H2026" s="139" t="s">
        <v>6446</v>
      </c>
      <c r="I2026" s="33" t="s">
        <v>264</v>
      </c>
      <c r="J2026" s="143" t="s">
        <v>4644</v>
      </c>
      <c r="K2026" s="33" t="s">
        <v>169</v>
      </c>
      <c r="L2026" s="102" t="str">
        <f>VLOOKUP(Anexo_4[[#This Row],[cod_doc]],TIPODOC,2,FALSE)</f>
        <v>FACTURA</v>
      </c>
      <c r="M2026" s="33" t="s">
        <v>271</v>
      </c>
      <c r="N2026" s="32" t="s">
        <v>6447</v>
      </c>
      <c r="O2026" s="48">
        <v>6.78</v>
      </c>
      <c r="P2026" s="49"/>
      <c r="Q2026" s="81">
        <v>1.22</v>
      </c>
      <c r="R2026" s="80"/>
      <c r="S2026" s="48">
        <v>0</v>
      </c>
      <c r="T2026" s="72">
        <v>8</v>
      </c>
      <c r="U2026" s="70"/>
      <c r="V2026" s="32"/>
      <c r="W2026" s="70"/>
      <c r="X2026" s="70"/>
      <c r="Y2026" s="70"/>
      <c r="Z2026" s="70" t="s">
        <v>268</v>
      </c>
      <c r="AA2026" s="71"/>
      <c r="AB2026" s="117" t="str">
        <f>IFERROR(VLOOKUP(Anexo_4[[#This Row],[cuenta]],OP,2,0),"-")</f>
        <v>Transporte peajes - Ventas</v>
      </c>
    </row>
    <row r="2027" spans="1:28" ht="27" customHeight="1" x14ac:dyDescent="0.3">
      <c r="A2027" s="34" t="s">
        <v>6380</v>
      </c>
      <c r="B2027" s="36" t="str">
        <f t="shared" si="36"/>
        <v>Setiembre</v>
      </c>
      <c r="C2027" s="33" t="s">
        <v>162</v>
      </c>
      <c r="D2027" s="33" t="s">
        <v>6448</v>
      </c>
      <c r="E2027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027" s="32" t="s">
        <v>391</v>
      </c>
      <c r="G2027" s="32" t="s">
        <v>5041</v>
      </c>
      <c r="H2027" s="139" t="s">
        <v>1276</v>
      </c>
      <c r="I2027" s="33" t="s">
        <v>264</v>
      </c>
      <c r="J2027" s="143" t="s">
        <v>4644</v>
      </c>
      <c r="K2027" s="33" t="s">
        <v>169</v>
      </c>
      <c r="L2027" s="102" t="str">
        <f>VLOOKUP(Anexo_4[[#This Row],[cod_doc]],TIPODOC,2,FALSE)</f>
        <v>FACTURA</v>
      </c>
      <c r="M2027" s="33" t="s">
        <v>1548</v>
      </c>
      <c r="N2027" s="32" t="s">
        <v>6449</v>
      </c>
      <c r="O2027" s="48">
        <v>6.53</v>
      </c>
      <c r="P2027" s="49"/>
      <c r="Q2027" s="81">
        <v>1.17</v>
      </c>
      <c r="R2027" s="80"/>
      <c r="S2027" s="48">
        <v>0</v>
      </c>
      <c r="T2027" s="72">
        <v>7.7</v>
      </c>
      <c r="U2027" s="70"/>
      <c r="V2027" s="32"/>
      <c r="W2027" s="70"/>
      <c r="X2027" s="70"/>
      <c r="Y2027" s="70"/>
      <c r="Z2027" s="70" t="s">
        <v>302</v>
      </c>
      <c r="AA2027" s="71"/>
      <c r="AB2027" s="117" t="str">
        <f>IFERROR(VLOOKUP(Anexo_4[[#This Row],[cuenta]],OP,2,0),"-")</f>
        <v>Transporte peajes - Servicios</v>
      </c>
    </row>
    <row r="2028" spans="1:28" ht="27" customHeight="1" x14ac:dyDescent="0.3">
      <c r="A2028" s="34" t="s">
        <v>6294</v>
      </c>
      <c r="B2028" s="36" t="str">
        <f t="shared" si="36"/>
        <v>Setiembre</v>
      </c>
      <c r="C2028" s="33" t="s">
        <v>162</v>
      </c>
      <c r="D2028" s="33" t="s">
        <v>6450</v>
      </c>
      <c r="E2028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028" s="32" t="s">
        <v>391</v>
      </c>
      <c r="G2028" s="32" t="s">
        <v>5041</v>
      </c>
      <c r="H2028" s="139" t="s">
        <v>6451</v>
      </c>
      <c r="I2028" s="33" t="s">
        <v>1552</v>
      </c>
      <c r="J2028" s="143" t="s">
        <v>6452</v>
      </c>
      <c r="K2028" s="33" t="s">
        <v>169</v>
      </c>
      <c r="L2028" s="102" t="str">
        <f>VLOOKUP(Anexo_4[[#This Row],[cod_doc]],TIPODOC,2,FALSE)</f>
        <v>FACTURA</v>
      </c>
      <c r="M2028" s="33" t="s">
        <v>1554</v>
      </c>
      <c r="N2028" s="32" t="s">
        <v>6453</v>
      </c>
      <c r="O2028" s="48">
        <v>6.53</v>
      </c>
      <c r="P2028" s="49"/>
      <c r="Q2028" s="81">
        <v>1.17</v>
      </c>
      <c r="R2028" s="80"/>
      <c r="S2028" s="48">
        <v>0</v>
      </c>
      <c r="T2028" s="72">
        <v>7.7</v>
      </c>
      <c r="U2028" s="70"/>
      <c r="V2028" s="32"/>
      <c r="W2028" s="70"/>
      <c r="X2028" s="70"/>
      <c r="Y2028" s="70"/>
      <c r="Z2028" s="70" t="s">
        <v>302</v>
      </c>
      <c r="AA2028" s="71"/>
      <c r="AB2028" s="117" t="str">
        <f>IFERROR(VLOOKUP(Anexo_4[[#This Row],[cuenta]],OP,2,0),"-")</f>
        <v>Transporte peajes - Servicios</v>
      </c>
    </row>
    <row r="2029" spans="1:28" ht="27" customHeight="1" x14ac:dyDescent="0.3">
      <c r="A2029" s="34" t="s">
        <v>6302</v>
      </c>
      <c r="B2029" s="36" t="str">
        <f t="shared" ref="B2029:B2059" si="37">PROPER(CHOOSE(LEFT(D2029,2),"enero","febrero","marzo","abril","mayo","junio","julio","agosto","setiembre","octubre","noviembre","diciembre"))</f>
        <v>Setiembre</v>
      </c>
      <c r="C2029" s="33" t="s">
        <v>162</v>
      </c>
      <c r="D2029" s="33" t="s">
        <v>6454</v>
      </c>
      <c r="E2029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029" s="32" t="s">
        <v>391</v>
      </c>
      <c r="G2029" s="32" t="s">
        <v>5041</v>
      </c>
      <c r="H2029" s="139" t="s">
        <v>6455</v>
      </c>
      <c r="I2029" s="33" t="s">
        <v>1552</v>
      </c>
      <c r="J2029" s="143" t="s">
        <v>6452</v>
      </c>
      <c r="K2029" s="33" t="s">
        <v>169</v>
      </c>
      <c r="L2029" s="102" t="str">
        <f>VLOOKUP(Anexo_4[[#This Row],[cod_doc]],TIPODOC,2,FALSE)</f>
        <v>FACTURA</v>
      </c>
      <c r="M2029" s="33" t="s">
        <v>1558</v>
      </c>
      <c r="N2029" s="32" t="s">
        <v>6456</v>
      </c>
      <c r="O2029" s="48">
        <v>6.53</v>
      </c>
      <c r="P2029" s="49"/>
      <c r="Q2029" s="81">
        <v>1.17</v>
      </c>
      <c r="R2029" s="80"/>
      <c r="S2029" s="48">
        <v>0</v>
      </c>
      <c r="T2029" s="72">
        <v>7.7</v>
      </c>
      <c r="U2029" s="70"/>
      <c r="V2029" s="32"/>
      <c r="W2029" s="70"/>
      <c r="X2029" s="70"/>
      <c r="Y2029" s="70"/>
      <c r="Z2029" s="70" t="s">
        <v>302</v>
      </c>
      <c r="AA2029" s="71"/>
      <c r="AB2029" s="117" t="str">
        <f>IFERROR(VLOOKUP(Anexo_4[[#This Row],[cuenta]],OP,2,0),"-")</f>
        <v>Transporte peajes - Servicios</v>
      </c>
    </row>
    <row r="2030" spans="1:28" ht="27" customHeight="1" x14ac:dyDescent="0.3">
      <c r="A2030" s="34" t="s">
        <v>5910</v>
      </c>
      <c r="B2030" s="36" t="str">
        <f t="shared" si="37"/>
        <v>Setiembre</v>
      </c>
      <c r="C2030" s="33" t="s">
        <v>162</v>
      </c>
      <c r="D2030" s="33" t="s">
        <v>6457</v>
      </c>
      <c r="E2030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030" s="32" t="s">
        <v>391</v>
      </c>
      <c r="G2030" s="32" t="s">
        <v>5041</v>
      </c>
      <c r="H2030" s="139" t="s">
        <v>6458</v>
      </c>
      <c r="I2030" s="33" t="s">
        <v>264</v>
      </c>
      <c r="J2030" s="143" t="s">
        <v>4644</v>
      </c>
      <c r="K2030" s="33" t="s">
        <v>169</v>
      </c>
      <c r="L2030" s="102" t="str">
        <f>VLOOKUP(Anexo_4[[#This Row],[cod_doc]],TIPODOC,2,FALSE)</f>
        <v>FACTURA</v>
      </c>
      <c r="M2030" s="33" t="s">
        <v>3023</v>
      </c>
      <c r="N2030" s="32" t="s">
        <v>6459</v>
      </c>
      <c r="O2030" s="48">
        <v>6.53</v>
      </c>
      <c r="P2030" s="49"/>
      <c r="Q2030" s="81">
        <v>1.17</v>
      </c>
      <c r="R2030" s="80"/>
      <c r="S2030" s="48">
        <v>0</v>
      </c>
      <c r="T2030" s="72">
        <v>7.7</v>
      </c>
      <c r="U2030" s="70"/>
      <c r="V2030" s="32"/>
      <c r="W2030" s="70"/>
      <c r="X2030" s="70"/>
      <c r="Y2030" s="70"/>
      <c r="Z2030" s="70" t="s">
        <v>302</v>
      </c>
      <c r="AA2030" s="71"/>
      <c r="AB2030" s="117" t="str">
        <f>IFERROR(VLOOKUP(Anexo_4[[#This Row],[cuenta]],OP,2,0),"-")</f>
        <v>Transporte peajes - Servicios</v>
      </c>
    </row>
    <row r="2031" spans="1:28" ht="27" customHeight="1" x14ac:dyDescent="0.3">
      <c r="A2031" s="34" t="s">
        <v>6294</v>
      </c>
      <c r="B2031" s="36" t="str">
        <f t="shared" si="37"/>
        <v>Setiembre</v>
      </c>
      <c r="C2031" s="33" t="s">
        <v>162</v>
      </c>
      <c r="D2031" s="33" t="s">
        <v>6460</v>
      </c>
      <c r="E2031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031" s="32" t="s">
        <v>391</v>
      </c>
      <c r="G2031" s="32" t="s">
        <v>5041</v>
      </c>
      <c r="H2031" s="139" t="s">
        <v>765</v>
      </c>
      <c r="I2031" s="33" t="s">
        <v>1565</v>
      </c>
      <c r="J2031" s="143" t="s">
        <v>6461</v>
      </c>
      <c r="K2031" s="33" t="s">
        <v>169</v>
      </c>
      <c r="L2031" s="102" t="str">
        <f>VLOOKUP(Anexo_4[[#This Row],[cod_doc]],TIPODOC,2,FALSE)</f>
        <v>FACTURA</v>
      </c>
      <c r="M2031" s="33" t="s">
        <v>222</v>
      </c>
      <c r="N2031" s="32" t="s">
        <v>6462</v>
      </c>
      <c r="O2031" s="48">
        <v>127.12</v>
      </c>
      <c r="P2031" s="49"/>
      <c r="Q2031" s="81">
        <v>22.88</v>
      </c>
      <c r="R2031" s="80"/>
      <c r="S2031" s="48">
        <v>0</v>
      </c>
      <c r="T2031" s="72">
        <v>150</v>
      </c>
      <c r="U2031" s="70"/>
      <c r="V2031" s="32"/>
      <c r="W2031" s="70"/>
      <c r="X2031" s="70"/>
      <c r="Y2031" s="70"/>
      <c r="Z2031" s="70" t="s">
        <v>455</v>
      </c>
      <c r="AA2031" s="71"/>
      <c r="AB2031" s="117" t="str">
        <f>IFERROR(VLOOKUP(Anexo_4[[#This Row],[cuenta]],OP,2,0),"-")</f>
        <v>Combustible (Vehiculos)</v>
      </c>
    </row>
    <row r="2032" spans="1:28" ht="27" customHeight="1" x14ac:dyDescent="0.3">
      <c r="A2032" s="34" t="s">
        <v>6256</v>
      </c>
      <c r="B2032" s="36" t="str">
        <f t="shared" si="37"/>
        <v>Setiembre</v>
      </c>
      <c r="C2032" s="33" t="s">
        <v>162</v>
      </c>
      <c r="D2032" s="33" t="s">
        <v>6463</v>
      </c>
      <c r="E2032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032" s="32" t="s">
        <v>391</v>
      </c>
      <c r="G2032" s="32" t="s">
        <v>5041</v>
      </c>
      <c r="H2032" s="139" t="s">
        <v>6464</v>
      </c>
      <c r="I2032" s="33" t="s">
        <v>504</v>
      </c>
      <c r="J2032" s="143" t="s">
        <v>4717</v>
      </c>
      <c r="K2032" s="33" t="s">
        <v>169</v>
      </c>
      <c r="L2032" s="102" t="str">
        <f>VLOOKUP(Anexo_4[[#This Row],[cod_doc]],TIPODOC,2,FALSE)</f>
        <v>FACTURA</v>
      </c>
      <c r="M2032" s="33" t="s">
        <v>222</v>
      </c>
      <c r="N2032" s="32" t="s">
        <v>6465</v>
      </c>
      <c r="O2032" s="48">
        <v>21.19</v>
      </c>
      <c r="P2032" s="49"/>
      <c r="Q2032" s="81">
        <v>3.81</v>
      </c>
      <c r="R2032" s="80"/>
      <c r="S2032" s="48">
        <v>0</v>
      </c>
      <c r="T2032" s="72">
        <v>25</v>
      </c>
      <c r="U2032" s="70"/>
      <c r="V2032" s="32"/>
      <c r="W2032" s="70"/>
      <c r="X2032" s="70"/>
      <c r="Y2032" s="70"/>
      <c r="Z2032" s="70" t="s">
        <v>507</v>
      </c>
      <c r="AA2032" s="71"/>
      <c r="AB2032" s="117" t="str">
        <f>IFERROR(VLOOKUP(Anexo_4[[#This Row],[cuenta]],OP,2,0),"-")</f>
        <v>Transporte lavado (Higienización)</v>
      </c>
    </row>
    <row r="2033" spans="1:28" ht="27" customHeight="1" x14ac:dyDescent="0.3">
      <c r="A2033" s="34" t="s">
        <v>5667</v>
      </c>
      <c r="B2033" s="36" t="str">
        <f t="shared" si="37"/>
        <v>Setiembre</v>
      </c>
      <c r="C2033" s="33" t="s">
        <v>162</v>
      </c>
      <c r="D2033" s="33" t="s">
        <v>6466</v>
      </c>
      <c r="E2033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033" s="32" t="s">
        <v>823</v>
      </c>
      <c r="G2033" s="32" t="s">
        <v>824</v>
      </c>
      <c r="H2033" s="139" t="s">
        <v>6467</v>
      </c>
      <c r="I2033" s="33" t="s">
        <v>2441</v>
      </c>
      <c r="J2033" s="143" t="s">
        <v>4932</v>
      </c>
      <c r="K2033" s="33" t="s">
        <v>169</v>
      </c>
      <c r="L2033" s="102" t="str">
        <f>VLOOKUP(Anexo_4[[#This Row],[cod_doc]],TIPODOC,2,FALSE)</f>
        <v>FACTURA</v>
      </c>
      <c r="M2033" s="33" t="s">
        <v>102</v>
      </c>
      <c r="N2033" s="32" t="s">
        <v>6468</v>
      </c>
      <c r="O2033" s="48">
        <v>419.49</v>
      </c>
      <c r="P2033" s="49"/>
      <c r="Q2033" s="81">
        <v>75.510000000000005</v>
      </c>
      <c r="R2033" s="80"/>
      <c r="S2033" s="48">
        <v>0</v>
      </c>
      <c r="T2033" s="72">
        <v>495</v>
      </c>
      <c r="U2033" s="70"/>
      <c r="V2033" s="32"/>
      <c r="W2033" s="70"/>
      <c r="X2033" s="70"/>
      <c r="Y2033" s="70"/>
      <c r="Z2033" s="70" t="s">
        <v>5940</v>
      </c>
      <c r="AA2033" s="71"/>
      <c r="AB2033" s="117" t="str">
        <f>IFERROR(VLOOKUP(Anexo_4[[#This Row],[cuenta]],OP,2,0),"-")</f>
        <v>-</v>
      </c>
    </row>
    <row r="2034" spans="1:28" ht="27" customHeight="1" x14ac:dyDescent="0.3">
      <c r="A2034" s="34" t="s">
        <v>6294</v>
      </c>
      <c r="B2034" s="36" t="str">
        <f t="shared" si="37"/>
        <v>Setiembre</v>
      </c>
      <c r="C2034" s="33" t="s">
        <v>162</v>
      </c>
      <c r="D2034" s="33" t="s">
        <v>6469</v>
      </c>
      <c r="E2034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034" s="32" t="s">
        <v>355</v>
      </c>
      <c r="G2034" s="32" t="s">
        <v>356</v>
      </c>
      <c r="H2034" s="139" t="s">
        <v>6470</v>
      </c>
      <c r="I2034" s="33" t="s">
        <v>1225</v>
      </c>
      <c r="J2034" s="143" t="s">
        <v>6471</v>
      </c>
      <c r="K2034" s="33" t="s">
        <v>169</v>
      </c>
      <c r="L2034" s="102" t="str">
        <f>VLOOKUP(Anexo_4[[#This Row],[cod_doc]],TIPODOC,2,FALSE)</f>
        <v>FACTURA</v>
      </c>
      <c r="M2034" s="33" t="s">
        <v>222</v>
      </c>
      <c r="N2034" s="32" t="s">
        <v>6472</v>
      </c>
      <c r="O2034" s="48">
        <v>12456.6</v>
      </c>
      <c r="P2034" s="49"/>
      <c r="Q2034" s="81">
        <v>2242.1880000000001</v>
      </c>
      <c r="R2034" s="80"/>
      <c r="S2034" s="48">
        <v>0</v>
      </c>
      <c r="T2034" s="72">
        <v>14698.788</v>
      </c>
      <c r="U2034" s="70"/>
      <c r="V2034" s="32"/>
      <c r="W2034" s="70"/>
      <c r="X2034" s="70"/>
      <c r="Y2034" s="70"/>
      <c r="Z2034" s="70" t="s">
        <v>854</v>
      </c>
      <c r="AA2034" s="71"/>
      <c r="AB2034" s="117" t="str">
        <f>IFERROR(VLOOKUP(Anexo_4[[#This Row],[cuenta]],OP,2,0),"-")</f>
        <v>Disposición Final de RR.SS - Peligrosos</v>
      </c>
    </row>
    <row r="2035" spans="1:28" ht="27" customHeight="1" x14ac:dyDescent="0.3">
      <c r="A2035" s="34" t="s">
        <v>6294</v>
      </c>
      <c r="B2035" s="36" t="str">
        <f t="shared" si="37"/>
        <v>Setiembre</v>
      </c>
      <c r="C2035" s="33" t="s">
        <v>162</v>
      </c>
      <c r="D2035" s="33" t="s">
        <v>6469</v>
      </c>
      <c r="E2035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035" s="32" t="s">
        <v>355</v>
      </c>
      <c r="G2035" s="32" t="s">
        <v>356</v>
      </c>
      <c r="H2035" s="139" t="s">
        <v>6470</v>
      </c>
      <c r="I2035" s="33" t="s">
        <v>1225</v>
      </c>
      <c r="J2035" s="143" t="s">
        <v>6471</v>
      </c>
      <c r="K2035" s="33" t="s">
        <v>169</v>
      </c>
      <c r="L2035" s="102" t="str">
        <f>VLOOKUP(Anexo_4[[#This Row],[cod_doc]],TIPODOC,2,FALSE)</f>
        <v>FACTURA</v>
      </c>
      <c r="M2035" s="33" t="s">
        <v>222</v>
      </c>
      <c r="N2035" s="32" t="s">
        <v>6472</v>
      </c>
      <c r="O2035" s="48">
        <v>2732.4</v>
      </c>
      <c r="P2035" s="49"/>
      <c r="Q2035" s="81">
        <v>491.83199999999999</v>
      </c>
      <c r="R2035" s="80"/>
      <c r="S2035" s="48">
        <v>0</v>
      </c>
      <c r="T2035" s="72">
        <v>3224.232</v>
      </c>
      <c r="U2035" s="70"/>
      <c r="V2035" s="32"/>
      <c r="W2035" s="70"/>
      <c r="X2035" s="70"/>
      <c r="Y2035" s="70"/>
      <c r="Z2035" s="70" t="s">
        <v>1235</v>
      </c>
      <c r="AA2035" s="71"/>
      <c r="AB2035" s="117" t="str">
        <f>IFERROR(VLOOKUP(Anexo_4[[#This Row],[cuenta]],OP,2,0),"-")</f>
        <v>Disposición Final de RR.SS - No Aprovechables</v>
      </c>
    </row>
    <row r="2036" spans="1:28" ht="27" customHeight="1" x14ac:dyDescent="0.3">
      <c r="A2036" s="34" t="s">
        <v>6302</v>
      </c>
      <c r="B2036" s="36" t="str">
        <f t="shared" si="37"/>
        <v>Setiembre</v>
      </c>
      <c r="C2036" s="33" t="s">
        <v>162</v>
      </c>
      <c r="D2036" s="33" t="s">
        <v>6473</v>
      </c>
      <c r="E2036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036" s="32" t="s">
        <v>235</v>
      </c>
      <c r="G2036" s="32" t="s">
        <v>5051</v>
      </c>
      <c r="H2036" s="139" t="s">
        <v>6474</v>
      </c>
      <c r="I2036" s="33" t="s">
        <v>6475</v>
      </c>
      <c r="J2036" s="143" t="s">
        <v>6476</v>
      </c>
      <c r="K2036" s="33" t="s">
        <v>169</v>
      </c>
      <c r="L2036" s="102" t="str">
        <f>VLOOKUP(Anexo_4[[#This Row],[cod_doc]],TIPODOC,2,FALSE)</f>
        <v>FACTURA</v>
      </c>
      <c r="M2036" s="33" t="s">
        <v>208</v>
      </c>
      <c r="N2036" s="32" t="s">
        <v>6477</v>
      </c>
      <c r="O2036" s="48">
        <v>440.68</v>
      </c>
      <c r="P2036" s="49"/>
      <c r="Q2036" s="81">
        <v>79.319999999999993</v>
      </c>
      <c r="R2036" s="80"/>
      <c r="S2036" s="48">
        <v>0</v>
      </c>
      <c r="T2036" s="72">
        <v>520</v>
      </c>
      <c r="U2036" s="70"/>
      <c r="V2036" s="32"/>
      <c r="W2036" s="70"/>
      <c r="X2036" s="70"/>
      <c r="Y2036" s="70"/>
      <c r="Z2036" s="70" t="s">
        <v>223</v>
      </c>
      <c r="AA2036" s="71"/>
      <c r="AB2036" s="117" t="str">
        <f>IFERROR(VLOOKUP(Anexo_4[[#This Row],[cuenta]],OP,2,0),"-")</f>
        <v>Mantenimiento Vehicular (Preventivo)</v>
      </c>
    </row>
    <row r="2037" spans="1:28" ht="27" customHeight="1" x14ac:dyDescent="0.3">
      <c r="A2037" s="34" t="s">
        <v>5910</v>
      </c>
      <c r="B2037" s="36" t="str">
        <f t="shared" si="37"/>
        <v>Setiembre</v>
      </c>
      <c r="C2037" s="33" t="s">
        <v>162</v>
      </c>
      <c r="D2037" s="33" t="s">
        <v>6478</v>
      </c>
      <c r="E2037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037" s="32" t="s">
        <v>391</v>
      </c>
      <c r="G2037" s="32" t="s">
        <v>5041</v>
      </c>
      <c r="H2037" s="139" t="s">
        <v>6479</v>
      </c>
      <c r="I2037" s="33" t="s">
        <v>600</v>
      </c>
      <c r="J2037" s="143" t="s">
        <v>4611</v>
      </c>
      <c r="K2037" s="33" t="s">
        <v>169</v>
      </c>
      <c r="L2037" s="102" t="str">
        <f>VLOOKUP(Anexo_4[[#This Row],[cod_doc]],TIPODOC,2,FALSE)</f>
        <v>FACTURA</v>
      </c>
      <c r="M2037" s="33" t="s">
        <v>180</v>
      </c>
      <c r="N2037" s="32" t="s">
        <v>6480</v>
      </c>
      <c r="O2037" s="48">
        <v>401.68</v>
      </c>
      <c r="P2037" s="49"/>
      <c r="Q2037" s="81">
        <v>72.319999999999993</v>
      </c>
      <c r="R2037" s="80"/>
      <c r="S2037" s="48">
        <v>0</v>
      </c>
      <c r="T2037" s="72">
        <v>474</v>
      </c>
      <c r="U2037" s="70"/>
      <c r="V2037" s="32"/>
      <c r="W2037" s="70"/>
      <c r="X2037" s="70"/>
      <c r="Y2037" s="70"/>
      <c r="Z2037" s="70" t="s">
        <v>223</v>
      </c>
      <c r="AA2037" s="71"/>
      <c r="AB2037" s="117" t="str">
        <f>IFERROR(VLOOKUP(Anexo_4[[#This Row],[cuenta]],OP,2,0),"-")</f>
        <v>Mantenimiento Vehicular (Preventivo)</v>
      </c>
    </row>
    <row r="2038" spans="1:28" ht="27" customHeight="1" x14ac:dyDescent="0.3">
      <c r="A2038" s="34" t="s">
        <v>6380</v>
      </c>
      <c r="B2038" s="36" t="str">
        <f t="shared" si="37"/>
        <v>Setiembre</v>
      </c>
      <c r="C2038" s="33" t="s">
        <v>162</v>
      </c>
      <c r="D2038" s="33" t="s">
        <v>6481</v>
      </c>
      <c r="E2038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038" s="32" t="s">
        <v>235</v>
      </c>
      <c r="G2038" s="32" t="s">
        <v>5051</v>
      </c>
      <c r="H2038" s="139" t="s">
        <v>6482</v>
      </c>
      <c r="I2038" s="33" t="s">
        <v>600</v>
      </c>
      <c r="J2038" s="143" t="s">
        <v>4611</v>
      </c>
      <c r="K2038" s="33" t="s">
        <v>169</v>
      </c>
      <c r="L2038" s="102" t="str">
        <f>VLOOKUP(Anexo_4[[#This Row],[cod_doc]],TIPODOC,2,FALSE)</f>
        <v>FACTURA</v>
      </c>
      <c r="M2038" s="33" t="s">
        <v>180</v>
      </c>
      <c r="N2038" s="32" t="s">
        <v>6483</v>
      </c>
      <c r="O2038" s="48">
        <v>466.1</v>
      </c>
      <c r="P2038" s="49"/>
      <c r="Q2038" s="81">
        <v>83.9</v>
      </c>
      <c r="R2038" s="80"/>
      <c r="S2038" s="48">
        <v>0</v>
      </c>
      <c r="T2038" s="72">
        <v>550</v>
      </c>
      <c r="U2038" s="70"/>
      <c r="V2038" s="32"/>
      <c r="W2038" s="70"/>
      <c r="X2038" s="70"/>
      <c r="Y2038" s="70"/>
      <c r="Z2038" s="70" t="s">
        <v>223</v>
      </c>
      <c r="AA2038" s="71"/>
      <c r="AB2038" s="117" t="str">
        <f>IFERROR(VLOOKUP(Anexo_4[[#This Row],[cuenta]],OP,2,0),"-")</f>
        <v>Mantenimiento Vehicular (Preventivo)</v>
      </c>
    </row>
    <row r="2039" spans="1:28" ht="27" customHeight="1" x14ac:dyDescent="0.3">
      <c r="A2039" s="34" t="s">
        <v>6294</v>
      </c>
      <c r="B2039" s="36" t="str">
        <f t="shared" si="37"/>
        <v>Setiembre</v>
      </c>
      <c r="C2039" s="33" t="s">
        <v>162</v>
      </c>
      <c r="D2039" s="33" t="s">
        <v>6484</v>
      </c>
      <c r="E2039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039" s="32" t="s">
        <v>5923</v>
      </c>
      <c r="G2039" s="32" t="s">
        <v>5924</v>
      </c>
      <c r="H2039" s="139" t="s">
        <v>6485</v>
      </c>
      <c r="I2039" s="33" t="s">
        <v>708</v>
      </c>
      <c r="J2039" s="143" t="s">
        <v>6486</v>
      </c>
      <c r="K2039" s="33" t="s">
        <v>169</v>
      </c>
      <c r="L2039" s="102" t="str">
        <f>VLOOKUP(Anexo_4[[#This Row],[cod_doc]],TIPODOC,2,FALSE)</f>
        <v>FACTURA</v>
      </c>
      <c r="M2039" s="33" t="s">
        <v>222</v>
      </c>
      <c r="N2039" s="32" t="s">
        <v>6487</v>
      </c>
      <c r="O2039" s="48">
        <v>508.47</v>
      </c>
      <c r="P2039" s="49"/>
      <c r="Q2039" s="81">
        <v>91.53</v>
      </c>
      <c r="R2039" s="80"/>
      <c r="S2039" s="48">
        <v>0</v>
      </c>
      <c r="T2039" s="72">
        <v>600</v>
      </c>
      <c r="U2039" s="70"/>
      <c r="V2039" s="32"/>
      <c r="W2039" s="70"/>
      <c r="X2039" s="70"/>
      <c r="Y2039" s="70"/>
      <c r="Z2039" s="70" t="s">
        <v>710</v>
      </c>
      <c r="AA2039" s="71"/>
      <c r="AB2039" s="117" t="str">
        <f>IFERROR(VLOOKUP(Anexo_4[[#This Row],[cuenta]],OP,2,0),"-")</f>
        <v>Accesorios Vehiculares</v>
      </c>
    </row>
    <row r="2040" spans="1:28" ht="27" customHeight="1" x14ac:dyDescent="0.3">
      <c r="A2040" s="34" t="s">
        <v>6384</v>
      </c>
      <c r="B2040" s="36" t="str">
        <f t="shared" si="37"/>
        <v>Setiembre</v>
      </c>
      <c r="C2040" s="33" t="s">
        <v>162</v>
      </c>
      <c r="D2040" s="33" t="s">
        <v>6488</v>
      </c>
      <c r="E2040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040" s="32" t="s">
        <v>217</v>
      </c>
      <c r="G2040" s="32" t="s">
        <v>4839</v>
      </c>
      <c r="H2040" s="139" t="s">
        <v>6489</v>
      </c>
      <c r="I2040" s="33" t="s">
        <v>6490</v>
      </c>
      <c r="J2040" s="143" t="s">
        <v>6491</v>
      </c>
      <c r="K2040" s="33" t="s">
        <v>169</v>
      </c>
      <c r="L2040" s="102" t="str">
        <f>VLOOKUP(Anexo_4[[#This Row],[cod_doc]],TIPODOC,2,FALSE)</f>
        <v>FACTURA</v>
      </c>
      <c r="M2040" s="33" t="s">
        <v>102</v>
      </c>
      <c r="N2040" s="32" t="s">
        <v>6492</v>
      </c>
      <c r="O2040" s="48">
        <v>173.9</v>
      </c>
      <c r="P2040" s="49"/>
      <c r="Q2040" s="81">
        <v>31.3</v>
      </c>
      <c r="R2040" s="80"/>
      <c r="S2040" s="48">
        <v>0</v>
      </c>
      <c r="T2040" s="72">
        <v>205.2</v>
      </c>
      <c r="U2040" s="70"/>
      <c r="V2040" s="32"/>
      <c r="W2040" s="70"/>
      <c r="X2040" s="70"/>
      <c r="Y2040" s="70"/>
      <c r="Z2040" s="70" t="s">
        <v>710</v>
      </c>
      <c r="AA2040" s="71"/>
      <c r="AB2040" s="117" t="str">
        <f>IFERROR(VLOOKUP(Anexo_4[[#This Row],[cuenta]],OP,2,0),"-")</f>
        <v>Accesorios Vehiculares</v>
      </c>
    </row>
    <row r="2041" spans="1:28" ht="27" customHeight="1" x14ac:dyDescent="0.3">
      <c r="A2041" s="34" t="s">
        <v>5667</v>
      </c>
      <c r="B2041" s="36" t="str">
        <f t="shared" si="37"/>
        <v>Setiembre</v>
      </c>
      <c r="C2041" s="33" t="s">
        <v>162</v>
      </c>
      <c r="D2041" s="33" t="s">
        <v>6493</v>
      </c>
      <c r="E2041" s="37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2041" s="32" t="s">
        <v>198</v>
      </c>
      <c r="G2041" s="32" t="s">
        <v>199</v>
      </c>
      <c r="H2041" s="139" t="s">
        <v>6494</v>
      </c>
      <c r="I2041" s="33" t="s">
        <v>1069</v>
      </c>
      <c r="J2041" s="143" t="s">
        <v>6495</v>
      </c>
      <c r="K2041" s="33" t="s">
        <v>169</v>
      </c>
      <c r="L2041" s="102" t="str">
        <f>VLOOKUP(Anexo_4[[#This Row],[cod_doc]],TIPODOC,2,FALSE)</f>
        <v>FACTURA</v>
      </c>
      <c r="M2041" s="33" t="s">
        <v>102</v>
      </c>
      <c r="N2041" s="32" t="s">
        <v>6496</v>
      </c>
      <c r="O2041" s="48">
        <v>46.61</v>
      </c>
      <c r="P2041" s="49"/>
      <c r="Q2041" s="81">
        <v>8.39</v>
      </c>
      <c r="R2041" s="80"/>
      <c r="S2041" s="48">
        <v>0</v>
      </c>
      <c r="T2041" s="72">
        <v>55</v>
      </c>
      <c r="U2041" s="70"/>
      <c r="V2041" s="32"/>
      <c r="W2041" s="70"/>
      <c r="X2041" s="70"/>
      <c r="Y2041" s="70"/>
      <c r="Z2041" s="70" t="s">
        <v>684</v>
      </c>
      <c r="AA2041" s="71"/>
      <c r="AB2041" s="117" t="str">
        <f>IFERROR(VLOOKUP(Anexo_4[[#This Row],[cuenta]],OP,2,0),"-")</f>
        <v>-</v>
      </c>
    </row>
    <row r="2042" spans="1:28" ht="27" customHeight="1" x14ac:dyDescent="0.3">
      <c r="A2042" s="34" t="s">
        <v>5914</v>
      </c>
      <c r="B2042" s="36" t="str">
        <f t="shared" si="37"/>
        <v>Setiembre</v>
      </c>
      <c r="C2042" s="33" t="s">
        <v>162</v>
      </c>
      <c r="D2042" s="33" t="s">
        <v>6497</v>
      </c>
      <c r="E2042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042" s="32" t="s">
        <v>650</v>
      </c>
      <c r="G2042" s="32" t="s">
        <v>651</v>
      </c>
      <c r="H2042" s="139" t="s">
        <v>6498</v>
      </c>
      <c r="I2042" s="33" t="s">
        <v>4350</v>
      </c>
      <c r="J2042" s="143" t="s">
        <v>6499</v>
      </c>
      <c r="K2042" s="33" t="s">
        <v>169</v>
      </c>
      <c r="L2042" s="102" t="str">
        <f>VLOOKUP(Anexo_4[[#This Row],[cod_doc]],TIPODOC,2,FALSE)</f>
        <v>FACTURA</v>
      </c>
      <c r="M2042" s="33" t="s">
        <v>102</v>
      </c>
      <c r="N2042" s="32" t="s">
        <v>6500</v>
      </c>
      <c r="O2042" s="48">
        <v>1016.95</v>
      </c>
      <c r="P2042" s="49"/>
      <c r="Q2042" s="81">
        <v>183.05</v>
      </c>
      <c r="R2042" s="80"/>
      <c r="S2042" s="48">
        <v>0</v>
      </c>
      <c r="T2042" s="72">
        <v>1200</v>
      </c>
      <c r="U2042" s="70"/>
      <c r="V2042" s="32"/>
      <c r="W2042" s="70"/>
      <c r="X2042" s="70"/>
      <c r="Y2042" s="70"/>
      <c r="Z2042" s="70" t="s">
        <v>2468</v>
      </c>
      <c r="AA2042" s="71"/>
      <c r="AB2042" s="117" t="str">
        <f>IFERROR(VLOOKUP(Anexo_4[[#This Row],[cuenta]],OP,2,0),"-")</f>
        <v>Vigilancia Médica</v>
      </c>
    </row>
    <row r="2043" spans="1:28" ht="27" customHeight="1" x14ac:dyDescent="0.3">
      <c r="A2043" s="34" t="s">
        <v>5985</v>
      </c>
      <c r="B2043" s="36" t="str">
        <f t="shared" si="37"/>
        <v>Setiembre</v>
      </c>
      <c r="C2043" s="33" t="s">
        <v>162</v>
      </c>
      <c r="D2043" s="33" t="s">
        <v>6501</v>
      </c>
      <c r="E2043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043" s="32" t="s">
        <v>190</v>
      </c>
      <c r="G2043" s="32" t="s">
        <v>191</v>
      </c>
      <c r="H2043" s="139" t="s">
        <v>6502</v>
      </c>
      <c r="I2043" s="33" t="s">
        <v>1957</v>
      </c>
      <c r="J2043" s="143" t="s">
        <v>4954</v>
      </c>
      <c r="K2043" s="33" t="s">
        <v>169</v>
      </c>
      <c r="L2043" s="102" t="str">
        <f>VLOOKUP(Anexo_4[[#This Row],[cod_doc]],TIPODOC,2,FALSE)</f>
        <v>FACTURA</v>
      </c>
      <c r="M2043" s="33" t="s">
        <v>1959</v>
      </c>
      <c r="N2043" s="32" t="s">
        <v>6503</v>
      </c>
      <c r="O2043" s="48">
        <v>159.32</v>
      </c>
      <c r="P2043" s="49"/>
      <c r="Q2043" s="81">
        <v>28.68</v>
      </c>
      <c r="R2043" s="80"/>
      <c r="S2043" s="48">
        <v>0</v>
      </c>
      <c r="T2043" s="72">
        <v>188</v>
      </c>
      <c r="U2043" s="70"/>
      <c r="V2043" s="32"/>
      <c r="W2043" s="70"/>
      <c r="X2043" s="70"/>
      <c r="Y2043" s="70"/>
      <c r="Z2043" s="70" t="s">
        <v>4956</v>
      </c>
      <c r="AA2043" s="71"/>
      <c r="AB2043" s="117" t="str">
        <f>IFERROR(VLOOKUP(Anexo_4[[#This Row],[cuenta]],OP,2,0),"-")</f>
        <v>-</v>
      </c>
    </row>
    <row r="2044" spans="1:28" ht="27" customHeight="1" x14ac:dyDescent="0.3">
      <c r="A2044" s="34" t="s">
        <v>6302</v>
      </c>
      <c r="B2044" s="36" t="str">
        <f t="shared" si="37"/>
        <v>Setiembre</v>
      </c>
      <c r="C2044" s="33" t="s">
        <v>162</v>
      </c>
      <c r="D2044" s="33" t="s">
        <v>6504</v>
      </c>
      <c r="E2044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044" s="32" t="s">
        <v>190</v>
      </c>
      <c r="G2044" s="32" t="s">
        <v>191</v>
      </c>
      <c r="H2044" s="139" t="s">
        <v>6505</v>
      </c>
      <c r="I2044" s="33" t="s">
        <v>6506</v>
      </c>
      <c r="J2044" s="143" t="s">
        <v>6507</v>
      </c>
      <c r="K2044" s="33" t="s">
        <v>169</v>
      </c>
      <c r="L2044" s="102" t="str">
        <f>VLOOKUP(Anexo_4[[#This Row],[cod_doc]],TIPODOC,2,FALSE)</f>
        <v>FACTURA</v>
      </c>
      <c r="M2044" s="33" t="s">
        <v>1062</v>
      </c>
      <c r="N2044" s="32" t="s">
        <v>6508</v>
      </c>
      <c r="O2044" s="48">
        <v>84.75</v>
      </c>
      <c r="P2044" s="49"/>
      <c r="Q2044" s="81">
        <v>15.25</v>
      </c>
      <c r="R2044" s="80"/>
      <c r="S2044" s="48">
        <v>0</v>
      </c>
      <c r="T2044" s="72">
        <v>100</v>
      </c>
      <c r="U2044" s="70"/>
      <c r="V2044" s="32"/>
      <c r="W2044" s="70"/>
      <c r="X2044" s="70"/>
      <c r="Y2044" s="70"/>
      <c r="Z2044" s="70" t="s">
        <v>2320</v>
      </c>
      <c r="AA2044" s="71"/>
      <c r="AB2044" s="117" t="str">
        <f>IFERROR(VLOOKUP(Anexo_4[[#This Row],[cuenta]],OP,2,0),"-")</f>
        <v>Otros Gastos de Gestion</v>
      </c>
    </row>
    <row r="2045" spans="1:28" ht="27" customHeight="1" x14ac:dyDescent="0.3">
      <c r="A2045" s="34" t="s">
        <v>6380</v>
      </c>
      <c r="B2045" s="36" t="str">
        <f t="shared" si="37"/>
        <v>Setiembre</v>
      </c>
      <c r="C2045" s="33" t="s">
        <v>162</v>
      </c>
      <c r="D2045" s="33" t="s">
        <v>6509</v>
      </c>
      <c r="E2045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045" s="32" t="s">
        <v>355</v>
      </c>
      <c r="G2045" s="32" t="s">
        <v>356</v>
      </c>
      <c r="H2045" s="139" t="s">
        <v>6510</v>
      </c>
      <c r="I2045" s="33" t="s">
        <v>991</v>
      </c>
      <c r="J2045" s="143" t="s">
        <v>5729</v>
      </c>
      <c r="K2045" s="33" t="s">
        <v>169</v>
      </c>
      <c r="L2045" s="102" t="str">
        <f>VLOOKUP(Anexo_4[[#This Row],[cod_doc]],TIPODOC,2,FALSE)</f>
        <v>FACTURA</v>
      </c>
      <c r="M2045" s="33" t="s">
        <v>222</v>
      </c>
      <c r="N2045" s="32" t="s">
        <v>6511</v>
      </c>
      <c r="O2045" s="48">
        <v>20.25</v>
      </c>
      <c r="P2045" s="49"/>
      <c r="Q2045" s="81">
        <v>3.65</v>
      </c>
      <c r="R2045" s="80"/>
      <c r="S2045" s="48">
        <v>0</v>
      </c>
      <c r="T2045" s="72">
        <v>23.9</v>
      </c>
      <c r="U2045" s="70"/>
      <c r="V2045" s="32"/>
      <c r="W2045" s="70"/>
      <c r="X2045" s="70"/>
      <c r="Y2045" s="70"/>
      <c r="Z2045" s="70" t="s">
        <v>684</v>
      </c>
      <c r="AA2045" s="71"/>
      <c r="AB2045" s="117" t="str">
        <f>IFERROR(VLOOKUP(Anexo_4[[#This Row],[cuenta]],OP,2,0),"-")</f>
        <v>-</v>
      </c>
    </row>
    <row r="2046" spans="1:28" ht="27" customHeight="1" x14ac:dyDescent="0.3">
      <c r="A2046" s="34" t="s">
        <v>5078</v>
      </c>
      <c r="B2046" s="36" t="str">
        <f t="shared" si="37"/>
        <v>Setiembre</v>
      </c>
      <c r="C2046" s="33" t="s">
        <v>162</v>
      </c>
      <c r="D2046" s="33" t="s">
        <v>6512</v>
      </c>
      <c r="E2046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046" s="32" t="s">
        <v>5923</v>
      </c>
      <c r="G2046" s="32" t="s">
        <v>5924</v>
      </c>
      <c r="H2046" s="139" t="s">
        <v>6513</v>
      </c>
      <c r="I2046" s="33" t="s">
        <v>6514</v>
      </c>
      <c r="J2046" s="143" t="s">
        <v>6515</v>
      </c>
      <c r="K2046" s="33" t="s">
        <v>169</v>
      </c>
      <c r="L2046" s="102" t="str">
        <f>VLOOKUP(Anexo_4[[#This Row],[cod_doc]],TIPODOC,2,FALSE)</f>
        <v>FACTURA</v>
      </c>
      <c r="M2046" s="33" t="s">
        <v>102</v>
      </c>
      <c r="N2046" s="32" t="s">
        <v>6516</v>
      </c>
      <c r="O2046" s="48">
        <v>211.86</v>
      </c>
      <c r="P2046" s="49"/>
      <c r="Q2046" s="81">
        <v>38.14</v>
      </c>
      <c r="R2046" s="80"/>
      <c r="S2046" s="48">
        <v>0</v>
      </c>
      <c r="T2046" s="72">
        <v>250</v>
      </c>
      <c r="U2046" s="70"/>
      <c r="V2046" s="32"/>
      <c r="W2046" s="70"/>
      <c r="X2046" s="70"/>
      <c r="Y2046" s="70"/>
      <c r="Z2046" s="70" t="s">
        <v>710</v>
      </c>
      <c r="AA2046" s="71"/>
      <c r="AB2046" s="117" t="str">
        <f>IFERROR(VLOOKUP(Anexo_4[[#This Row],[cuenta]],OP,2,0),"-")</f>
        <v>Accesorios Vehiculares</v>
      </c>
    </row>
    <row r="2047" spans="1:28" ht="27" customHeight="1" x14ac:dyDescent="0.3">
      <c r="A2047" s="34" t="s">
        <v>6384</v>
      </c>
      <c r="B2047" s="36" t="str">
        <f t="shared" si="37"/>
        <v>Setiembre</v>
      </c>
      <c r="C2047" s="33" t="s">
        <v>162</v>
      </c>
      <c r="D2047" s="33" t="s">
        <v>6517</v>
      </c>
      <c r="E2047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047" s="32" t="s">
        <v>458</v>
      </c>
      <c r="G2047" s="32" t="s">
        <v>5366</v>
      </c>
      <c r="H2047" s="139" t="s">
        <v>6518</v>
      </c>
      <c r="I2047" s="33" t="s">
        <v>839</v>
      </c>
      <c r="J2047" s="143" t="s">
        <v>4626</v>
      </c>
      <c r="K2047" s="33" t="s">
        <v>169</v>
      </c>
      <c r="L2047" s="102" t="str">
        <f>VLOOKUP(Anexo_4[[#This Row],[cod_doc]],TIPODOC,2,FALSE)</f>
        <v>FACTURA</v>
      </c>
      <c r="M2047" s="33" t="s">
        <v>102</v>
      </c>
      <c r="N2047" s="32" t="s">
        <v>6519</v>
      </c>
      <c r="O2047" s="48">
        <v>12.71</v>
      </c>
      <c r="P2047" s="49"/>
      <c r="Q2047" s="81">
        <v>2.29</v>
      </c>
      <c r="R2047" s="80"/>
      <c r="S2047" s="48">
        <v>0</v>
      </c>
      <c r="T2047" s="72">
        <v>15</v>
      </c>
      <c r="U2047" s="70"/>
      <c r="V2047" s="32"/>
      <c r="W2047" s="70"/>
      <c r="X2047" s="70"/>
      <c r="Y2047" s="70"/>
      <c r="Z2047" s="70" t="s">
        <v>710</v>
      </c>
      <c r="AA2047" s="71"/>
      <c r="AB2047" s="117" t="str">
        <f>IFERROR(VLOOKUP(Anexo_4[[#This Row],[cuenta]],OP,2,0),"-")</f>
        <v>Accesorios Vehiculares</v>
      </c>
    </row>
    <row r="2048" spans="1:28" ht="27" customHeight="1" x14ac:dyDescent="0.3">
      <c r="A2048" s="34" t="s">
        <v>6384</v>
      </c>
      <c r="B2048" s="36" t="str">
        <f t="shared" si="37"/>
        <v>Setiembre</v>
      </c>
      <c r="C2048" s="33" t="s">
        <v>162</v>
      </c>
      <c r="D2048" s="33" t="s">
        <v>6520</v>
      </c>
      <c r="E2048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048" s="32" t="s">
        <v>235</v>
      </c>
      <c r="G2048" s="32" t="s">
        <v>5051</v>
      </c>
      <c r="H2048" s="139" t="s">
        <v>1276</v>
      </c>
      <c r="I2048" s="33" t="s">
        <v>264</v>
      </c>
      <c r="J2048" s="143" t="s">
        <v>4644</v>
      </c>
      <c r="K2048" s="33" t="s">
        <v>169</v>
      </c>
      <c r="L2048" s="102" t="str">
        <f>VLOOKUP(Anexo_4[[#This Row],[cod_doc]],TIPODOC,2,FALSE)</f>
        <v>FACTURA</v>
      </c>
      <c r="M2048" s="33" t="s">
        <v>271</v>
      </c>
      <c r="N2048" s="32" t="s">
        <v>6521</v>
      </c>
      <c r="O2048" s="48">
        <v>6.78</v>
      </c>
      <c r="P2048" s="49"/>
      <c r="Q2048" s="81">
        <v>1.22</v>
      </c>
      <c r="R2048" s="80"/>
      <c r="S2048" s="48">
        <v>0</v>
      </c>
      <c r="T2048" s="72">
        <v>8</v>
      </c>
      <c r="U2048" s="70"/>
      <c r="V2048" s="32"/>
      <c r="W2048" s="70"/>
      <c r="X2048" s="70"/>
      <c r="Y2048" s="70"/>
      <c r="Z2048" s="70" t="s">
        <v>302</v>
      </c>
      <c r="AA2048" s="71"/>
      <c r="AB2048" s="117" t="str">
        <f>IFERROR(VLOOKUP(Anexo_4[[#This Row],[cuenta]],OP,2,0),"-")</f>
        <v>Transporte peajes - Servicios</v>
      </c>
    </row>
    <row r="2049" spans="1:28" ht="27" customHeight="1" x14ac:dyDescent="0.3">
      <c r="A2049" s="34" t="s">
        <v>6380</v>
      </c>
      <c r="B2049" s="36" t="str">
        <f t="shared" si="37"/>
        <v>Setiembre</v>
      </c>
      <c r="C2049" s="33" t="s">
        <v>162</v>
      </c>
      <c r="D2049" s="33" t="s">
        <v>6522</v>
      </c>
      <c r="E2049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049" s="32" t="s">
        <v>235</v>
      </c>
      <c r="G2049" s="32" t="s">
        <v>5051</v>
      </c>
      <c r="H2049" s="139" t="s">
        <v>608</v>
      </c>
      <c r="I2049" s="33" t="s">
        <v>504</v>
      </c>
      <c r="J2049" s="143" t="s">
        <v>4717</v>
      </c>
      <c r="K2049" s="33" t="s">
        <v>169</v>
      </c>
      <c r="L2049" s="102" t="str">
        <f>VLOOKUP(Anexo_4[[#This Row],[cod_doc]],TIPODOC,2,FALSE)</f>
        <v>FACTURA</v>
      </c>
      <c r="M2049" s="33" t="s">
        <v>222</v>
      </c>
      <c r="N2049" s="32" t="s">
        <v>6523</v>
      </c>
      <c r="O2049" s="48">
        <v>21.19</v>
      </c>
      <c r="P2049" s="49"/>
      <c r="Q2049" s="81">
        <v>3.81</v>
      </c>
      <c r="R2049" s="80"/>
      <c r="S2049" s="48">
        <v>0</v>
      </c>
      <c r="T2049" s="72">
        <v>25</v>
      </c>
      <c r="U2049" s="70"/>
      <c r="V2049" s="32"/>
      <c r="W2049" s="70"/>
      <c r="X2049" s="70"/>
      <c r="Y2049" s="70"/>
      <c r="Z2049" s="70" t="s">
        <v>507</v>
      </c>
      <c r="AA2049" s="71"/>
      <c r="AB2049" s="117" t="str">
        <f>IFERROR(VLOOKUP(Anexo_4[[#This Row],[cuenta]],OP,2,0),"-")</f>
        <v>Transporte lavado (Higienización)</v>
      </c>
    </row>
    <row r="2050" spans="1:28" ht="27" customHeight="1" x14ac:dyDescent="0.3">
      <c r="A2050" s="34" t="s">
        <v>6380</v>
      </c>
      <c r="B2050" s="36" t="str">
        <f t="shared" si="37"/>
        <v>Setiembre</v>
      </c>
      <c r="C2050" s="33" t="s">
        <v>162</v>
      </c>
      <c r="D2050" s="33" t="s">
        <v>6524</v>
      </c>
      <c r="E2050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050" s="32" t="s">
        <v>456</v>
      </c>
      <c r="G2050" s="32" t="s">
        <v>4911</v>
      </c>
      <c r="H2050" s="139" t="s">
        <v>1276</v>
      </c>
      <c r="I2050" s="33" t="s">
        <v>264</v>
      </c>
      <c r="J2050" s="143" t="s">
        <v>4644</v>
      </c>
      <c r="K2050" s="33" t="s">
        <v>169</v>
      </c>
      <c r="L2050" s="102" t="str">
        <f>VLOOKUP(Anexo_4[[#This Row],[cod_doc]],TIPODOC,2,FALSE)</f>
        <v>FACTURA</v>
      </c>
      <c r="M2050" s="33" t="s">
        <v>271</v>
      </c>
      <c r="N2050" s="32" t="s">
        <v>6525</v>
      </c>
      <c r="O2050" s="48">
        <v>4.24</v>
      </c>
      <c r="P2050" s="49"/>
      <c r="Q2050" s="81">
        <v>0.76</v>
      </c>
      <c r="R2050" s="80"/>
      <c r="S2050" s="48">
        <v>0</v>
      </c>
      <c r="T2050" s="72">
        <v>5</v>
      </c>
      <c r="U2050" s="70"/>
      <c r="V2050" s="32"/>
      <c r="W2050" s="70"/>
      <c r="X2050" s="70"/>
      <c r="Y2050" s="70"/>
      <c r="Z2050" s="70" t="s">
        <v>302</v>
      </c>
      <c r="AA2050" s="71"/>
      <c r="AB2050" s="117" t="str">
        <f>IFERROR(VLOOKUP(Anexo_4[[#This Row],[cuenta]],OP,2,0),"-")</f>
        <v>Transporte peajes - Servicios</v>
      </c>
    </row>
    <row r="2051" spans="1:28" ht="27" customHeight="1" x14ac:dyDescent="0.3">
      <c r="A2051" s="34" t="s">
        <v>5449</v>
      </c>
      <c r="B2051" s="36" t="str">
        <f t="shared" si="37"/>
        <v>Setiembre</v>
      </c>
      <c r="C2051" s="33" t="s">
        <v>162</v>
      </c>
      <c r="D2051" s="33" t="s">
        <v>6526</v>
      </c>
      <c r="E2051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051" s="32" t="s">
        <v>235</v>
      </c>
      <c r="G2051" s="32" t="s">
        <v>5051</v>
      </c>
      <c r="H2051" s="139" t="s">
        <v>1276</v>
      </c>
      <c r="I2051" s="33" t="s">
        <v>264</v>
      </c>
      <c r="J2051" s="143" t="s">
        <v>4644</v>
      </c>
      <c r="K2051" s="33" t="s">
        <v>169</v>
      </c>
      <c r="L2051" s="102" t="str">
        <f>VLOOKUP(Anexo_4[[#This Row],[cod_doc]],TIPODOC,2,FALSE)</f>
        <v>FACTURA</v>
      </c>
      <c r="M2051" s="33" t="s">
        <v>271</v>
      </c>
      <c r="N2051" s="32" t="s">
        <v>6527</v>
      </c>
      <c r="O2051" s="48">
        <v>6.78</v>
      </c>
      <c r="P2051" s="49"/>
      <c r="Q2051" s="81">
        <v>1.22</v>
      </c>
      <c r="R2051" s="80"/>
      <c r="S2051" s="48">
        <v>0</v>
      </c>
      <c r="T2051" s="72">
        <v>8</v>
      </c>
      <c r="U2051" s="70"/>
      <c r="V2051" s="32"/>
      <c r="W2051" s="70"/>
      <c r="X2051" s="70"/>
      <c r="Y2051" s="70"/>
      <c r="Z2051" s="70" t="s">
        <v>268</v>
      </c>
      <c r="AA2051" s="71"/>
      <c r="AB2051" s="117" t="str">
        <f>IFERROR(VLOOKUP(Anexo_4[[#This Row],[cuenta]],OP,2,0),"-")</f>
        <v>Transporte peajes - Ventas</v>
      </c>
    </row>
    <row r="2052" spans="1:28" ht="27" customHeight="1" x14ac:dyDescent="0.3">
      <c r="A2052" s="34" t="s">
        <v>5449</v>
      </c>
      <c r="B2052" s="36" t="str">
        <f t="shared" si="37"/>
        <v>Setiembre</v>
      </c>
      <c r="C2052" s="33" t="s">
        <v>162</v>
      </c>
      <c r="D2052" s="33" t="s">
        <v>6528</v>
      </c>
      <c r="E2052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052" s="32" t="s">
        <v>235</v>
      </c>
      <c r="G2052" s="32" t="s">
        <v>5051</v>
      </c>
      <c r="H2052" s="139" t="s">
        <v>1276</v>
      </c>
      <c r="I2052" s="33" t="s">
        <v>264</v>
      </c>
      <c r="J2052" s="143" t="s">
        <v>4644</v>
      </c>
      <c r="K2052" s="33" t="s">
        <v>169</v>
      </c>
      <c r="L2052" s="102" t="str">
        <f>VLOOKUP(Anexo_4[[#This Row],[cod_doc]],TIPODOC,2,FALSE)</f>
        <v>FACTURA</v>
      </c>
      <c r="M2052" s="33" t="s">
        <v>379</v>
      </c>
      <c r="N2052" s="32" t="s">
        <v>6529</v>
      </c>
      <c r="O2052" s="48">
        <v>6.78</v>
      </c>
      <c r="P2052" s="49"/>
      <c r="Q2052" s="81">
        <v>1.22</v>
      </c>
      <c r="R2052" s="80"/>
      <c r="S2052" s="48">
        <v>0</v>
      </c>
      <c r="T2052" s="72">
        <v>8</v>
      </c>
      <c r="U2052" s="70"/>
      <c r="V2052" s="32"/>
      <c r="W2052" s="70"/>
      <c r="X2052" s="70"/>
      <c r="Y2052" s="70"/>
      <c r="Z2052" s="70" t="s">
        <v>302</v>
      </c>
      <c r="AA2052" s="71"/>
      <c r="AB2052" s="117" t="str">
        <f>IFERROR(VLOOKUP(Anexo_4[[#This Row],[cuenta]],OP,2,0),"-")</f>
        <v>Transporte peajes - Servicios</v>
      </c>
    </row>
    <row r="2053" spans="1:28" ht="27" customHeight="1" x14ac:dyDescent="0.3">
      <c r="A2053" s="34" t="s">
        <v>5444</v>
      </c>
      <c r="B2053" s="36" t="str">
        <f t="shared" si="37"/>
        <v>Setiembre</v>
      </c>
      <c r="C2053" s="33" t="s">
        <v>162</v>
      </c>
      <c r="D2053" s="33" t="s">
        <v>6530</v>
      </c>
      <c r="E2053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053" s="32" t="s">
        <v>217</v>
      </c>
      <c r="G2053" s="32" t="s">
        <v>4839</v>
      </c>
      <c r="H2053" s="139" t="s">
        <v>1276</v>
      </c>
      <c r="I2053" s="33" t="s">
        <v>264</v>
      </c>
      <c r="J2053" s="143" t="s">
        <v>4644</v>
      </c>
      <c r="K2053" s="33" t="s">
        <v>169</v>
      </c>
      <c r="L2053" s="102" t="str">
        <f>VLOOKUP(Anexo_4[[#This Row],[cod_doc]],TIPODOC,2,FALSE)</f>
        <v>FACTURA</v>
      </c>
      <c r="M2053" s="33" t="s">
        <v>379</v>
      </c>
      <c r="N2053" s="32" t="s">
        <v>6531</v>
      </c>
      <c r="O2053" s="48">
        <v>6.78</v>
      </c>
      <c r="P2053" s="49"/>
      <c r="Q2053" s="81">
        <v>1.22</v>
      </c>
      <c r="R2053" s="80"/>
      <c r="S2053" s="48">
        <v>0</v>
      </c>
      <c r="T2053" s="72">
        <v>8</v>
      </c>
      <c r="U2053" s="70"/>
      <c r="V2053" s="32"/>
      <c r="W2053" s="70"/>
      <c r="X2053" s="70"/>
      <c r="Y2053" s="70"/>
      <c r="Z2053" s="70" t="s">
        <v>302</v>
      </c>
      <c r="AA2053" s="71"/>
      <c r="AB2053" s="117" t="str">
        <f>IFERROR(VLOOKUP(Anexo_4[[#This Row],[cuenta]],OP,2,0),"-")</f>
        <v>Transporte peajes - Servicios</v>
      </c>
    </row>
    <row r="2054" spans="1:28" ht="27" customHeight="1" x14ac:dyDescent="0.3">
      <c r="A2054" s="34" t="s">
        <v>5328</v>
      </c>
      <c r="B2054" s="36" t="str">
        <f t="shared" si="37"/>
        <v>Setiembre</v>
      </c>
      <c r="C2054" s="33" t="s">
        <v>162</v>
      </c>
      <c r="D2054" s="33" t="s">
        <v>6532</v>
      </c>
      <c r="E2054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054" s="32" t="s">
        <v>217</v>
      </c>
      <c r="G2054" s="32" t="s">
        <v>4839</v>
      </c>
      <c r="H2054" s="139" t="s">
        <v>1276</v>
      </c>
      <c r="I2054" s="33" t="s">
        <v>264</v>
      </c>
      <c r="J2054" s="143" t="s">
        <v>4644</v>
      </c>
      <c r="K2054" s="33" t="s">
        <v>169</v>
      </c>
      <c r="L2054" s="102" t="str">
        <f>VLOOKUP(Anexo_4[[#This Row],[cod_doc]],TIPODOC,2,FALSE)</f>
        <v>FACTURA</v>
      </c>
      <c r="M2054" s="33" t="s">
        <v>279</v>
      </c>
      <c r="N2054" s="32" t="s">
        <v>6533</v>
      </c>
      <c r="O2054" s="48">
        <v>6.78</v>
      </c>
      <c r="P2054" s="49"/>
      <c r="Q2054" s="81">
        <v>1.22</v>
      </c>
      <c r="R2054" s="80"/>
      <c r="S2054" s="48">
        <v>0</v>
      </c>
      <c r="T2054" s="72">
        <v>8</v>
      </c>
      <c r="U2054" s="70"/>
      <c r="V2054" s="32"/>
      <c r="W2054" s="70"/>
      <c r="X2054" s="70"/>
      <c r="Y2054" s="70"/>
      <c r="Z2054" s="70" t="s">
        <v>268</v>
      </c>
      <c r="AA2054" s="71"/>
      <c r="AB2054" s="117" t="str">
        <f>IFERROR(VLOOKUP(Anexo_4[[#This Row],[cuenta]],OP,2,0),"-")</f>
        <v>Transporte peajes - Ventas</v>
      </c>
    </row>
    <row r="2055" spans="1:28" ht="27" customHeight="1" x14ac:dyDescent="0.3">
      <c r="A2055" s="34" t="s">
        <v>5328</v>
      </c>
      <c r="B2055" s="36" t="str">
        <f t="shared" si="37"/>
        <v>Setiembre</v>
      </c>
      <c r="C2055" s="33" t="s">
        <v>162</v>
      </c>
      <c r="D2055" s="33" t="s">
        <v>6534</v>
      </c>
      <c r="E2055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055" s="32" t="s">
        <v>217</v>
      </c>
      <c r="G2055" s="32" t="s">
        <v>4839</v>
      </c>
      <c r="H2055" s="139" t="s">
        <v>1276</v>
      </c>
      <c r="I2055" s="33" t="s">
        <v>264</v>
      </c>
      <c r="J2055" s="143" t="s">
        <v>4644</v>
      </c>
      <c r="K2055" s="33" t="s">
        <v>169</v>
      </c>
      <c r="L2055" s="102" t="str">
        <f>VLOOKUP(Anexo_4[[#This Row],[cod_doc]],TIPODOC,2,FALSE)</f>
        <v>FACTURA</v>
      </c>
      <c r="M2055" s="33" t="s">
        <v>275</v>
      </c>
      <c r="N2055" s="32" t="s">
        <v>6535</v>
      </c>
      <c r="O2055" s="48">
        <v>6.78</v>
      </c>
      <c r="P2055" s="49"/>
      <c r="Q2055" s="81">
        <v>1.22</v>
      </c>
      <c r="R2055" s="80"/>
      <c r="S2055" s="48">
        <v>0</v>
      </c>
      <c r="T2055" s="72">
        <v>8</v>
      </c>
      <c r="U2055" s="70"/>
      <c r="V2055" s="32"/>
      <c r="W2055" s="70"/>
      <c r="X2055" s="70"/>
      <c r="Y2055" s="70"/>
      <c r="Z2055" s="70" t="s">
        <v>302</v>
      </c>
      <c r="AA2055" s="71"/>
      <c r="AB2055" s="117" t="str">
        <f>IFERROR(VLOOKUP(Anexo_4[[#This Row],[cuenta]],OP,2,0),"-")</f>
        <v>Transporte peajes - Servicios</v>
      </c>
    </row>
    <row r="2056" spans="1:28" ht="27" customHeight="1" x14ac:dyDescent="0.3">
      <c r="A2056" s="34" t="s">
        <v>6536</v>
      </c>
      <c r="B2056" s="36" t="str">
        <f t="shared" si="37"/>
        <v>Setiembre</v>
      </c>
      <c r="C2056" s="33" t="s">
        <v>162</v>
      </c>
      <c r="D2056" s="33" t="s">
        <v>6537</v>
      </c>
      <c r="E2056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056" s="32" t="s">
        <v>5923</v>
      </c>
      <c r="G2056" s="32" t="s">
        <v>5924</v>
      </c>
      <c r="H2056" s="139" t="s">
        <v>1276</v>
      </c>
      <c r="I2056" s="33" t="s">
        <v>264</v>
      </c>
      <c r="J2056" s="143" t="s">
        <v>4644</v>
      </c>
      <c r="K2056" s="33" t="s">
        <v>169</v>
      </c>
      <c r="L2056" s="102" t="str">
        <f>VLOOKUP(Anexo_4[[#This Row],[cod_doc]],TIPODOC,2,FALSE)</f>
        <v>FACTURA</v>
      </c>
      <c r="M2056" s="33" t="s">
        <v>352</v>
      </c>
      <c r="N2056" s="32" t="s">
        <v>6538</v>
      </c>
      <c r="O2056" s="48">
        <v>6.78</v>
      </c>
      <c r="P2056" s="49"/>
      <c r="Q2056" s="81">
        <v>1.22</v>
      </c>
      <c r="R2056" s="80"/>
      <c r="S2056" s="48">
        <v>0</v>
      </c>
      <c r="T2056" s="72">
        <v>8</v>
      </c>
      <c r="U2056" s="70"/>
      <c r="V2056" s="32"/>
      <c r="W2056" s="70"/>
      <c r="X2056" s="70"/>
      <c r="Y2056" s="70"/>
      <c r="Z2056" s="70" t="s">
        <v>302</v>
      </c>
      <c r="AA2056" s="71"/>
      <c r="AB2056" s="117" t="str">
        <f>IFERROR(VLOOKUP(Anexo_4[[#This Row],[cuenta]],OP,2,0),"-")</f>
        <v>Transporte peajes - Servicios</v>
      </c>
    </row>
    <row r="2057" spans="1:28" ht="27" customHeight="1" x14ac:dyDescent="0.3">
      <c r="A2057" s="34" t="s">
        <v>5078</v>
      </c>
      <c r="B2057" s="36" t="str">
        <f t="shared" si="37"/>
        <v>Setiembre</v>
      </c>
      <c r="C2057" s="33" t="s">
        <v>162</v>
      </c>
      <c r="D2057" s="33" t="s">
        <v>6539</v>
      </c>
      <c r="E2057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057" s="32" t="s">
        <v>217</v>
      </c>
      <c r="G2057" s="32" t="s">
        <v>4839</v>
      </c>
      <c r="H2057" s="139" t="s">
        <v>930</v>
      </c>
      <c r="I2057" s="33" t="s">
        <v>383</v>
      </c>
      <c r="J2057" s="143" t="s">
        <v>4702</v>
      </c>
      <c r="K2057" s="33" t="s">
        <v>169</v>
      </c>
      <c r="L2057" s="102" t="str">
        <f>VLOOKUP(Anexo_4[[#This Row],[cod_doc]],TIPODOC,2,FALSE)</f>
        <v>FACTURA</v>
      </c>
      <c r="M2057" s="33" t="s">
        <v>103</v>
      </c>
      <c r="N2057" s="32" t="s">
        <v>6540</v>
      </c>
      <c r="O2057" s="48">
        <v>16.95</v>
      </c>
      <c r="P2057" s="49"/>
      <c r="Q2057" s="81">
        <v>3.05</v>
      </c>
      <c r="R2057" s="80"/>
      <c r="S2057" s="48">
        <v>0</v>
      </c>
      <c r="T2057" s="72">
        <v>20</v>
      </c>
      <c r="U2057" s="70"/>
      <c r="V2057" s="32"/>
      <c r="W2057" s="70"/>
      <c r="X2057" s="70"/>
      <c r="Y2057" s="70"/>
      <c r="Z2057" s="70" t="s">
        <v>182</v>
      </c>
      <c r="AA2057" s="71"/>
      <c r="AB2057" s="117" t="str">
        <f>IFERROR(VLOOKUP(Anexo_4[[#This Row],[cuenta]],OP,2,0),"-")</f>
        <v>Balanza - Ventas</v>
      </c>
    </row>
    <row r="2058" spans="1:28" ht="27" customHeight="1" x14ac:dyDescent="0.3">
      <c r="A2058" s="34" t="s">
        <v>5328</v>
      </c>
      <c r="B2058" s="36" t="str">
        <f t="shared" si="37"/>
        <v>Setiembre</v>
      </c>
      <c r="C2058" s="33" t="s">
        <v>162</v>
      </c>
      <c r="D2058" s="33" t="s">
        <v>6541</v>
      </c>
      <c r="E2058" s="37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2058" s="32" t="s">
        <v>198</v>
      </c>
      <c r="G2058" s="32" t="s">
        <v>199</v>
      </c>
      <c r="H2058" s="139" t="s">
        <v>930</v>
      </c>
      <c r="I2058" s="33" t="s">
        <v>286</v>
      </c>
      <c r="J2058" s="143" t="s">
        <v>4762</v>
      </c>
      <c r="K2058" s="33" t="s">
        <v>169</v>
      </c>
      <c r="L2058" s="102" t="str">
        <f>VLOOKUP(Anexo_4[[#This Row],[cod_doc]],TIPODOC,2,FALSE)</f>
        <v>FACTURA</v>
      </c>
      <c r="M2058" s="33" t="s">
        <v>222</v>
      </c>
      <c r="N2058" s="32" t="s">
        <v>6542</v>
      </c>
      <c r="O2058" s="48">
        <v>0</v>
      </c>
      <c r="P2058" s="49"/>
      <c r="Q2058" s="81">
        <v>0</v>
      </c>
      <c r="R2058" s="80"/>
      <c r="S2058" s="48">
        <v>11</v>
      </c>
      <c r="T2058" s="72">
        <v>11</v>
      </c>
      <c r="U2058" s="70"/>
      <c r="V2058" s="32"/>
      <c r="W2058" s="70"/>
      <c r="X2058" s="70"/>
      <c r="Y2058" s="70"/>
      <c r="Z2058" s="70" t="s">
        <v>182</v>
      </c>
      <c r="AA2058" s="71"/>
      <c r="AB2058" s="117" t="str">
        <f>IFERROR(VLOOKUP(Anexo_4[[#This Row],[cuenta]],OP,2,0),"-")</f>
        <v>Balanza - Ventas</v>
      </c>
    </row>
    <row r="2059" spans="1:28" ht="27" customHeight="1" x14ac:dyDescent="0.3">
      <c r="A2059" s="34" t="s">
        <v>5255</v>
      </c>
      <c r="B2059" s="36" t="str">
        <f t="shared" si="37"/>
        <v>Setiembre</v>
      </c>
      <c r="C2059" s="33" t="s">
        <v>162</v>
      </c>
      <c r="D2059" s="33" t="s">
        <v>6543</v>
      </c>
      <c r="E2059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059" s="32" t="s">
        <v>235</v>
      </c>
      <c r="G2059" s="32" t="s">
        <v>5051</v>
      </c>
      <c r="H2059" s="139" t="s">
        <v>930</v>
      </c>
      <c r="I2059" s="33" t="s">
        <v>383</v>
      </c>
      <c r="J2059" s="143" t="s">
        <v>4702</v>
      </c>
      <c r="K2059" s="33" t="s">
        <v>169</v>
      </c>
      <c r="L2059" s="102" t="str">
        <f>VLOOKUP(Anexo_4[[#This Row],[cod_doc]],TIPODOC,2,FALSE)</f>
        <v>FACTURA</v>
      </c>
      <c r="M2059" s="33" t="s">
        <v>103</v>
      </c>
      <c r="N2059" s="32" t="s">
        <v>6544</v>
      </c>
      <c r="O2059" s="48">
        <v>16.95</v>
      </c>
      <c r="P2059" s="49"/>
      <c r="Q2059" s="81">
        <v>3.05</v>
      </c>
      <c r="R2059" s="80"/>
      <c r="S2059" s="48">
        <v>0</v>
      </c>
      <c r="T2059" s="72">
        <v>20</v>
      </c>
      <c r="U2059" s="70"/>
      <c r="V2059" s="32"/>
      <c r="W2059" s="70"/>
      <c r="X2059" s="70"/>
      <c r="Y2059" s="70"/>
      <c r="Z2059" s="70" t="s">
        <v>182</v>
      </c>
      <c r="AA2059" s="71"/>
      <c r="AB2059" s="117" t="str">
        <f>IFERROR(VLOOKUP(Anexo_4[[#This Row],[cuenta]],OP,2,0),"-")</f>
        <v>Balanza - Ventas</v>
      </c>
    </row>
    <row r="2060" spans="1:28" ht="27" customHeight="1" x14ac:dyDescent="0.3">
      <c r="A2060" s="34" t="s">
        <v>5255</v>
      </c>
      <c r="B2060" s="36" t="str">
        <f t="shared" ref="B2060:B2091" si="38">PROPER(CHOOSE(LEFT(D2060,2),"enero","febrero","marzo","abril","mayo","junio","julio","agosto","setiembre","octubre","noviembre","diciembre"))</f>
        <v>Setiembre</v>
      </c>
      <c r="C2060" s="33" t="s">
        <v>162</v>
      </c>
      <c r="D2060" s="33" t="s">
        <v>6545</v>
      </c>
      <c r="E2060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060" s="32" t="s">
        <v>235</v>
      </c>
      <c r="G2060" s="32" t="s">
        <v>5051</v>
      </c>
      <c r="H2060" s="139" t="s">
        <v>930</v>
      </c>
      <c r="I2060" s="33" t="s">
        <v>383</v>
      </c>
      <c r="J2060" s="143" t="s">
        <v>4702</v>
      </c>
      <c r="K2060" s="33" t="s">
        <v>169</v>
      </c>
      <c r="L2060" s="102" t="str">
        <f>VLOOKUP(Anexo_4[[#This Row],[cod_doc]],TIPODOC,2,FALSE)</f>
        <v>FACTURA</v>
      </c>
      <c r="M2060" s="33" t="s">
        <v>103</v>
      </c>
      <c r="N2060" s="32" t="s">
        <v>6546</v>
      </c>
      <c r="O2060" s="48">
        <v>16.95</v>
      </c>
      <c r="P2060" s="49"/>
      <c r="Q2060" s="81">
        <v>3.05</v>
      </c>
      <c r="R2060" s="80"/>
      <c r="S2060" s="48">
        <v>0</v>
      </c>
      <c r="T2060" s="72">
        <v>20</v>
      </c>
      <c r="U2060" s="70"/>
      <c r="V2060" s="32"/>
      <c r="W2060" s="70"/>
      <c r="X2060" s="70"/>
      <c r="Y2060" s="70"/>
      <c r="Z2060" s="70" t="s">
        <v>182</v>
      </c>
      <c r="AA2060" s="71"/>
      <c r="AB2060" s="117" t="str">
        <f>IFERROR(VLOOKUP(Anexo_4[[#This Row],[cuenta]],OP,2,0),"-")</f>
        <v>Balanza - Ventas</v>
      </c>
    </row>
    <row r="2061" spans="1:28" ht="27" customHeight="1" x14ac:dyDescent="0.3">
      <c r="A2061" s="34" t="s">
        <v>5255</v>
      </c>
      <c r="B2061" s="36" t="str">
        <f t="shared" si="38"/>
        <v>Setiembre</v>
      </c>
      <c r="C2061" s="33" t="s">
        <v>162</v>
      </c>
      <c r="D2061" s="33" t="s">
        <v>6547</v>
      </c>
      <c r="E2061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061" s="32" t="s">
        <v>235</v>
      </c>
      <c r="G2061" s="32" t="s">
        <v>5051</v>
      </c>
      <c r="H2061" s="139" t="s">
        <v>1276</v>
      </c>
      <c r="I2061" s="33" t="s">
        <v>264</v>
      </c>
      <c r="J2061" s="143" t="s">
        <v>4644</v>
      </c>
      <c r="K2061" s="33" t="s">
        <v>169</v>
      </c>
      <c r="L2061" s="102" t="str">
        <f>VLOOKUP(Anexo_4[[#This Row],[cod_doc]],TIPODOC,2,FALSE)</f>
        <v>FACTURA</v>
      </c>
      <c r="M2061" s="33" t="s">
        <v>406</v>
      </c>
      <c r="N2061" s="32" t="s">
        <v>6548</v>
      </c>
      <c r="O2061" s="48">
        <v>6.78</v>
      </c>
      <c r="P2061" s="49"/>
      <c r="Q2061" s="81">
        <v>1.22</v>
      </c>
      <c r="R2061" s="80"/>
      <c r="S2061" s="48">
        <v>0</v>
      </c>
      <c r="T2061" s="72">
        <v>8</v>
      </c>
      <c r="U2061" s="70"/>
      <c r="V2061" s="32"/>
      <c r="W2061" s="70"/>
      <c r="X2061" s="70"/>
      <c r="Y2061" s="70"/>
      <c r="Z2061" s="70" t="s">
        <v>302</v>
      </c>
      <c r="AA2061" s="71"/>
      <c r="AB2061" s="117" t="str">
        <f>IFERROR(VLOOKUP(Anexo_4[[#This Row],[cuenta]],OP,2,0),"-")</f>
        <v>Transporte peajes - Servicios</v>
      </c>
    </row>
    <row r="2062" spans="1:28" ht="27" customHeight="1" x14ac:dyDescent="0.3">
      <c r="A2062" s="34" t="s">
        <v>6380</v>
      </c>
      <c r="B2062" s="36" t="str">
        <f t="shared" si="38"/>
        <v>Setiembre</v>
      </c>
      <c r="C2062" s="33" t="s">
        <v>162</v>
      </c>
      <c r="D2062" s="33" t="s">
        <v>6549</v>
      </c>
      <c r="E2062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062" s="32" t="s">
        <v>1366</v>
      </c>
      <c r="G2062" s="32" t="s">
        <v>1367</v>
      </c>
      <c r="H2062" s="139" t="s">
        <v>6550</v>
      </c>
      <c r="I2062" s="33" t="s">
        <v>971</v>
      </c>
      <c r="J2062" s="143" t="s">
        <v>5974</v>
      </c>
      <c r="K2062" s="33" t="s">
        <v>169</v>
      </c>
      <c r="L2062" s="102" t="str">
        <f>VLOOKUP(Anexo_4[[#This Row],[cod_doc]],TIPODOC,2,FALSE)</f>
        <v>FACTURA</v>
      </c>
      <c r="M2062" s="33" t="s">
        <v>6551</v>
      </c>
      <c r="N2062" s="32" t="s">
        <v>6552</v>
      </c>
      <c r="O2062" s="48">
        <v>4.24</v>
      </c>
      <c r="P2062" s="49"/>
      <c r="Q2062" s="81">
        <v>0.76</v>
      </c>
      <c r="R2062" s="80"/>
      <c r="S2062" s="48">
        <v>0</v>
      </c>
      <c r="T2062" s="72">
        <v>5</v>
      </c>
      <c r="U2062" s="70"/>
      <c r="V2062" s="32"/>
      <c r="W2062" s="70"/>
      <c r="X2062" s="70"/>
      <c r="Y2062" s="70"/>
      <c r="Z2062" s="70" t="s">
        <v>1371</v>
      </c>
      <c r="AA2062" s="71"/>
      <c r="AB2062" s="117" t="str">
        <f>IFERROR(VLOOKUP(Anexo_4[[#This Row],[cuenta]],OP,2,0),"-")</f>
        <v>-</v>
      </c>
    </row>
    <row r="2063" spans="1:28" ht="27" customHeight="1" x14ac:dyDescent="0.3">
      <c r="A2063" s="34" t="s">
        <v>6384</v>
      </c>
      <c r="B2063" s="36" t="str">
        <f t="shared" si="38"/>
        <v>Setiembre</v>
      </c>
      <c r="C2063" s="33" t="s">
        <v>162</v>
      </c>
      <c r="D2063" s="33" t="s">
        <v>6553</v>
      </c>
      <c r="E2063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063" s="32" t="s">
        <v>175</v>
      </c>
      <c r="G2063" s="32" t="s">
        <v>5041</v>
      </c>
      <c r="H2063" s="139" t="s">
        <v>765</v>
      </c>
      <c r="I2063" s="33" t="s">
        <v>452</v>
      </c>
      <c r="J2063" s="143" t="s">
        <v>4854</v>
      </c>
      <c r="K2063" s="33" t="s">
        <v>169</v>
      </c>
      <c r="L2063" s="102" t="str">
        <f>VLOOKUP(Anexo_4[[#This Row],[cod_doc]],TIPODOC,2,FALSE)</f>
        <v>FACTURA</v>
      </c>
      <c r="M2063" s="33" t="s">
        <v>454</v>
      </c>
      <c r="N2063" s="32" t="s">
        <v>6554</v>
      </c>
      <c r="O2063" s="48">
        <v>353.87</v>
      </c>
      <c r="P2063" s="49"/>
      <c r="Q2063" s="81">
        <v>63.696599999999997</v>
      </c>
      <c r="R2063" s="80"/>
      <c r="S2063" s="48">
        <v>0</v>
      </c>
      <c r="T2063" s="72">
        <v>417.56659999999999</v>
      </c>
      <c r="U2063" s="70"/>
      <c r="V2063" s="32"/>
      <c r="W2063" s="70"/>
      <c r="X2063" s="70"/>
      <c r="Y2063" s="70"/>
      <c r="Z2063" s="70" t="s">
        <v>455</v>
      </c>
      <c r="AA2063" s="71"/>
      <c r="AB2063" s="117" t="str">
        <f>IFERROR(VLOOKUP(Anexo_4[[#This Row],[cuenta]],OP,2,0),"-")</f>
        <v>Combustible (Vehiculos)</v>
      </c>
    </row>
    <row r="2064" spans="1:28" ht="27" customHeight="1" x14ac:dyDescent="0.3">
      <c r="A2064" s="34" t="s">
        <v>6384</v>
      </c>
      <c r="B2064" s="36" t="str">
        <f t="shared" si="38"/>
        <v>Setiembre</v>
      </c>
      <c r="C2064" s="33" t="s">
        <v>162</v>
      </c>
      <c r="D2064" s="33" t="s">
        <v>6553</v>
      </c>
      <c r="E2064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064" s="32" t="s">
        <v>391</v>
      </c>
      <c r="G2064" s="32" t="s">
        <v>5041</v>
      </c>
      <c r="H2064" s="139" t="s">
        <v>765</v>
      </c>
      <c r="I2064" s="33" t="s">
        <v>452</v>
      </c>
      <c r="J2064" s="143" t="s">
        <v>4854</v>
      </c>
      <c r="K2064" s="33" t="s">
        <v>169</v>
      </c>
      <c r="L2064" s="102" t="str">
        <f>VLOOKUP(Anexo_4[[#This Row],[cod_doc]],TIPODOC,2,FALSE)</f>
        <v>FACTURA</v>
      </c>
      <c r="M2064" s="33" t="s">
        <v>454</v>
      </c>
      <c r="N2064" s="32" t="s">
        <v>6554</v>
      </c>
      <c r="O2064" s="48">
        <v>789.87</v>
      </c>
      <c r="P2064" s="49"/>
      <c r="Q2064" s="81">
        <v>142.17660000000001</v>
      </c>
      <c r="R2064" s="80"/>
      <c r="S2064" s="48">
        <v>0</v>
      </c>
      <c r="T2064" s="72">
        <v>932.04660000000001</v>
      </c>
      <c r="U2064" s="70"/>
      <c r="V2064" s="32"/>
      <c r="W2064" s="70"/>
      <c r="X2064" s="70"/>
      <c r="Y2064" s="70"/>
      <c r="Z2064" s="70" t="s">
        <v>455</v>
      </c>
      <c r="AA2064" s="71"/>
      <c r="AB2064" s="117" t="str">
        <f>IFERROR(VLOOKUP(Anexo_4[[#This Row],[cuenta]],OP,2,0),"-")</f>
        <v>Combustible (Vehiculos)</v>
      </c>
    </row>
    <row r="2065" spans="1:28" ht="27" customHeight="1" x14ac:dyDescent="0.3">
      <c r="A2065" s="34" t="s">
        <v>6384</v>
      </c>
      <c r="B2065" s="36" t="str">
        <f t="shared" si="38"/>
        <v>Setiembre</v>
      </c>
      <c r="C2065" s="33" t="s">
        <v>162</v>
      </c>
      <c r="D2065" s="33" t="s">
        <v>6553</v>
      </c>
      <c r="E2065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065" s="32" t="s">
        <v>217</v>
      </c>
      <c r="G2065" s="32" t="s">
        <v>5041</v>
      </c>
      <c r="H2065" s="139" t="s">
        <v>765</v>
      </c>
      <c r="I2065" s="33" t="s">
        <v>452</v>
      </c>
      <c r="J2065" s="143" t="s">
        <v>4854</v>
      </c>
      <c r="K2065" s="33" t="s">
        <v>169</v>
      </c>
      <c r="L2065" s="102" t="str">
        <f>VLOOKUP(Anexo_4[[#This Row],[cod_doc]],TIPODOC,2,FALSE)</f>
        <v>FACTURA</v>
      </c>
      <c r="M2065" s="33" t="s">
        <v>454</v>
      </c>
      <c r="N2065" s="32" t="s">
        <v>6554</v>
      </c>
      <c r="O2065" s="48">
        <v>330.85</v>
      </c>
      <c r="P2065" s="49"/>
      <c r="Q2065" s="81">
        <v>59.553000000000004</v>
      </c>
      <c r="R2065" s="80"/>
      <c r="S2065" s="48">
        <v>0</v>
      </c>
      <c r="T2065" s="72">
        <v>390.40300000000002</v>
      </c>
      <c r="U2065" s="70"/>
      <c r="V2065" s="32"/>
      <c r="W2065" s="70"/>
      <c r="X2065" s="70"/>
      <c r="Y2065" s="70"/>
      <c r="Z2065" s="70" t="s">
        <v>455</v>
      </c>
      <c r="AA2065" s="71"/>
      <c r="AB2065" s="117" t="str">
        <f>IFERROR(VLOOKUP(Anexo_4[[#This Row],[cuenta]],OP,2,0),"-")</f>
        <v>Combustible (Vehiculos)</v>
      </c>
    </row>
    <row r="2066" spans="1:28" ht="27" customHeight="1" x14ac:dyDescent="0.3">
      <c r="A2066" s="34" t="s">
        <v>6384</v>
      </c>
      <c r="B2066" s="36" t="str">
        <f t="shared" si="38"/>
        <v>Setiembre</v>
      </c>
      <c r="C2066" s="33" t="s">
        <v>162</v>
      </c>
      <c r="D2066" s="33" t="s">
        <v>6555</v>
      </c>
      <c r="E2066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066" s="32" t="s">
        <v>449</v>
      </c>
      <c r="G2066" s="32" t="s">
        <v>4868</v>
      </c>
      <c r="H2066" s="139" t="s">
        <v>765</v>
      </c>
      <c r="I2066" s="33" t="s">
        <v>452</v>
      </c>
      <c r="J2066" s="143" t="s">
        <v>4854</v>
      </c>
      <c r="K2066" s="33" t="s">
        <v>169</v>
      </c>
      <c r="L2066" s="102" t="str">
        <f>VLOOKUP(Anexo_4[[#This Row],[cod_doc]],TIPODOC,2,FALSE)</f>
        <v>FACTURA</v>
      </c>
      <c r="M2066" s="33" t="s">
        <v>1056</v>
      </c>
      <c r="N2066" s="32" t="s">
        <v>6556</v>
      </c>
      <c r="O2066" s="48">
        <v>408.51</v>
      </c>
      <c r="P2066" s="49"/>
      <c r="Q2066" s="81">
        <v>73.53179999999999</v>
      </c>
      <c r="R2066" s="80"/>
      <c r="S2066" s="48">
        <v>0</v>
      </c>
      <c r="T2066" s="72">
        <v>482.04179999999997</v>
      </c>
      <c r="U2066" s="70"/>
      <c r="V2066" s="32"/>
      <c r="W2066" s="70"/>
      <c r="X2066" s="70"/>
      <c r="Y2066" s="70"/>
      <c r="Z2066" s="70" t="s">
        <v>455</v>
      </c>
      <c r="AA2066" s="71"/>
      <c r="AB2066" s="117" t="str">
        <f>IFERROR(VLOOKUP(Anexo_4[[#This Row],[cuenta]],OP,2,0),"-")</f>
        <v>Combustible (Vehiculos)</v>
      </c>
    </row>
    <row r="2067" spans="1:28" ht="27" customHeight="1" x14ac:dyDescent="0.3">
      <c r="A2067" s="34" t="s">
        <v>6384</v>
      </c>
      <c r="B2067" s="36" t="str">
        <f t="shared" si="38"/>
        <v>Setiembre</v>
      </c>
      <c r="C2067" s="33" t="s">
        <v>162</v>
      </c>
      <c r="D2067" s="33" t="s">
        <v>6555</v>
      </c>
      <c r="E2067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067" s="32" t="s">
        <v>456</v>
      </c>
      <c r="G2067" s="32" t="s">
        <v>4868</v>
      </c>
      <c r="H2067" s="139" t="s">
        <v>765</v>
      </c>
      <c r="I2067" s="33" t="s">
        <v>452</v>
      </c>
      <c r="J2067" s="143" t="s">
        <v>4854</v>
      </c>
      <c r="K2067" s="33" t="s">
        <v>169</v>
      </c>
      <c r="L2067" s="102" t="str">
        <f>VLOOKUP(Anexo_4[[#This Row],[cod_doc]],TIPODOC,2,FALSE)</f>
        <v>FACTURA</v>
      </c>
      <c r="M2067" s="33" t="s">
        <v>1056</v>
      </c>
      <c r="N2067" s="32" t="s">
        <v>6556</v>
      </c>
      <c r="O2067" s="48">
        <v>223.97</v>
      </c>
      <c r="P2067" s="49"/>
      <c r="Q2067" s="81">
        <v>40.314599999999999</v>
      </c>
      <c r="R2067" s="80"/>
      <c r="S2067" s="48">
        <v>0</v>
      </c>
      <c r="T2067" s="72">
        <v>264.28460000000001</v>
      </c>
      <c r="U2067" s="70"/>
      <c r="V2067" s="32"/>
      <c r="W2067" s="70"/>
      <c r="X2067" s="70"/>
      <c r="Y2067" s="70"/>
      <c r="Z2067" s="70" t="s">
        <v>455</v>
      </c>
      <c r="AA2067" s="71"/>
      <c r="AB2067" s="117" t="str">
        <f>IFERROR(VLOOKUP(Anexo_4[[#This Row],[cuenta]],OP,2,0),"-")</f>
        <v>Combustible (Vehiculos)</v>
      </c>
    </row>
    <row r="2068" spans="1:28" ht="27" customHeight="1" x14ac:dyDescent="0.3">
      <c r="A2068" s="34" t="s">
        <v>6384</v>
      </c>
      <c r="B2068" s="36" t="str">
        <f t="shared" si="38"/>
        <v>Setiembre</v>
      </c>
      <c r="C2068" s="33" t="s">
        <v>162</v>
      </c>
      <c r="D2068" s="33" t="s">
        <v>6555</v>
      </c>
      <c r="E2068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068" s="32" t="s">
        <v>235</v>
      </c>
      <c r="G2068" s="32" t="s">
        <v>4868</v>
      </c>
      <c r="H2068" s="139" t="s">
        <v>765</v>
      </c>
      <c r="I2068" s="33" t="s">
        <v>452</v>
      </c>
      <c r="J2068" s="143" t="s">
        <v>4854</v>
      </c>
      <c r="K2068" s="33" t="s">
        <v>169</v>
      </c>
      <c r="L2068" s="102" t="str">
        <f>VLOOKUP(Anexo_4[[#This Row],[cod_doc]],TIPODOC,2,FALSE)</f>
        <v>FACTURA</v>
      </c>
      <c r="M2068" s="33" t="s">
        <v>1056</v>
      </c>
      <c r="N2068" s="32" t="s">
        <v>6556</v>
      </c>
      <c r="O2068" s="48">
        <v>193.16</v>
      </c>
      <c r="P2068" s="49"/>
      <c r="Q2068" s="81">
        <v>34.768799999999999</v>
      </c>
      <c r="R2068" s="80"/>
      <c r="S2068" s="48">
        <v>0</v>
      </c>
      <c r="T2068" s="72">
        <v>227.9288</v>
      </c>
      <c r="U2068" s="70"/>
      <c r="V2068" s="32"/>
      <c r="W2068" s="70"/>
      <c r="X2068" s="70"/>
      <c r="Y2068" s="70"/>
      <c r="Z2068" s="70" t="s">
        <v>455</v>
      </c>
      <c r="AA2068" s="71"/>
      <c r="AB2068" s="117" t="str">
        <f>IFERROR(VLOOKUP(Anexo_4[[#This Row],[cuenta]],OP,2,0),"-")</f>
        <v>Combustible (Vehiculos)</v>
      </c>
    </row>
    <row r="2069" spans="1:28" ht="27" customHeight="1" x14ac:dyDescent="0.3">
      <c r="A2069" s="34" t="s">
        <v>6384</v>
      </c>
      <c r="B2069" s="36" t="str">
        <f t="shared" si="38"/>
        <v>Setiembre</v>
      </c>
      <c r="C2069" s="33" t="s">
        <v>162</v>
      </c>
      <c r="D2069" s="33" t="s">
        <v>6555</v>
      </c>
      <c r="E2069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069" s="32" t="s">
        <v>458</v>
      </c>
      <c r="G2069" s="32" t="s">
        <v>4868</v>
      </c>
      <c r="H2069" s="139" t="s">
        <v>765</v>
      </c>
      <c r="I2069" s="33" t="s">
        <v>452</v>
      </c>
      <c r="J2069" s="143" t="s">
        <v>4854</v>
      </c>
      <c r="K2069" s="33" t="s">
        <v>169</v>
      </c>
      <c r="L2069" s="102" t="str">
        <f>VLOOKUP(Anexo_4[[#This Row],[cod_doc]],TIPODOC,2,FALSE)</f>
        <v>FACTURA</v>
      </c>
      <c r="M2069" s="33" t="s">
        <v>1056</v>
      </c>
      <c r="N2069" s="32" t="s">
        <v>6556</v>
      </c>
      <c r="O2069" s="48">
        <v>45.57</v>
      </c>
      <c r="P2069" s="49"/>
      <c r="Q2069" s="81">
        <v>8.2026000000000003</v>
      </c>
      <c r="R2069" s="80"/>
      <c r="S2069" s="48">
        <v>0</v>
      </c>
      <c r="T2069" s="72">
        <v>53.772599999999997</v>
      </c>
      <c r="U2069" s="70"/>
      <c r="V2069" s="32"/>
      <c r="W2069" s="70"/>
      <c r="X2069" s="70"/>
      <c r="Y2069" s="70"/>
      <c r="Z2069" s="70" t="s">
        <v>455</v>
      </c>
      <c r="AA2069" s="71"/>
      <c r="AB2069" s="117" t="str">
        <f>IFERROR(VLOOKUP(Anexo_4[[#This Row],[cuenta]],OP,2,0),"-")</f>
        <v>Combustible (Vehiculos)</v>
      </c>
    </row>
    <row r="2070" spans="1:28" ht="27" customHeight="1" x14ac:dyDescent="0.3">
      <c r="A2070" s="34" t="s">
        <v>6384</v>
      </c>
      <c r="B2070" s="36" t="str">
        <f t="shared" si="38"/>
        <v>Setiembre</v>
      </c>
      <c r="C2070" s="33" t="s">
        <v>162</v>
      </c>
      <c r="D2070" s="33" t="s">
        <v>6555</v>
      </c>
      <c r="E2070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070" s="32" t="s">
        <v>458</v>
      </c>
      <c r="G2070" s="32" t="s">
        <v>4868</v>
      </c>
      <c r="H2070" s="139" t="s">
        <v>765</v>
      </c>
      <c r="I2070" s="33" t="s">
        <v>452</v>
      </c>
      <c r="J2070" s="143" t="s">
        <v>4854</v>
      </c>
      <c r="K2070" s="33" t="s">
        <v>169</v>
      </c>
      <c r="L2070" s="102" t="str">
        <f>VLOOKUP(Anexo_4[[#This Row],[cod_doc]],TIPODOC,2,FALSE)</f>
        <v>FACTURA</v>
      </c>
      <c r="M2070" s="33" t="s">
        <v>1056</v>
      </c>
      <c r="N2070" s="32" t="s">
        <v>6556</v>
      </c>
      <c r="O2070" s="48">
        <v>42.37</v>
      </c>
      <c r="P2070" s="49"/>
      <c r="Q2070" s="81">
        <v>7.6265999999999989</v>
      </c>
      <c r="R2070" s="80"/>
      <c r="S2070" s="48">
        <v>0</v>
      </c>
      <c r="T2070" s="72">
        <v>49.996599999999994</v>
      </c>
      <c r="U2070" s="70"/>
      <c r="V2070" s="32"/>
      <c r="W2070" s="70"/>
      <c r="X2070" s="70"/>
      <c r="Y2070" s="70"/>
      <c r="Z2070" s="70" t="s">
        <v>455</v>
      </c>
      <c r="AA2070" s="71"/>
      <c r="AB2070" s="117" t="str">
        <f>IFERROR(VLOOKUP(Anexo_4[[#This Row],[cuenta]],OP,2,0),"-")</f>
        <v>Combustible (Vehiculos)</v>
      </c>
    </row>
    <row r="2071" spans="1:28" ht="27" customHeight="1" x14ac:dyDescent="0.3">
      <c r="A2071" s="34" t="s">
        <v>6536</v>
      </c>
      <c r="B2071" s="36" t="str">
        <f t="shared" si="38"/>
        <v>Setiembre</v>
      </c>
      <c r="C2071" s="33" t="s">
        <v>162</v>
      </c>
      <c r="D2071" s="33" t="s">
        <v>6557</v>
      </c>
      <c r="E2071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071" s="32" t="s">
        <v>235</v>
      </c>
      <c r="G2071" s="32" t="s">
        <v>5051</v>
      </c>
      <c r="H2071" s="139" t="s">
        <v>765</v>
      </c>
      <c r="I2071" s="33" t="s">
        <v>452</v>
      </c>
      <c r="J2071" s="143" t="s">
        <v>4854</v>
      </c>
      <c r="K2071" s="33" t="s">
        <v>169</v>
      </c>
      <c r="L2071" s="102" t="str">
        <f>VLOOKUP(Anexo_4[[#This Row],[cod_doc]],TIPODOC,2,FALSE)</f>
        <v>FACTURA</v>
      </c>
      <c r="M2071" s="33" t="s">
        <v>454</v>
      </c>
      <c r="N2071" s="32" t="s">
        <v>6558</v>
      </c>
      <c r="O2071" s="48">
        <v>213.17</v>
      </c>
      <c r="P2071" s="49"/>
      <c r="Q2071" s="81">
        <v>38.369999999999997</v>
      </c>
      <c r="R2071" s="80"/>
      <c r="S2071" s="48">
        <v>0</v>
      </c>
      <c r="T2071" s="72">
        <v>251.54</v>
      </c>
      <c r="U2071" s="70"/>
      <c r="V2071" s="32"/>
      <c r="W2071" s="70"/>
      <c r="X2071" s="70"/>
      <c r="Y2071" s="70"/>
      <c r="Z2071" s="70" t="s">
        <v>455</v>
      </c>
      <c r="AA2071" s="71"/>
      <c r="AB2071" s="117" t="str">
        <f>IFERROR(VLOOKUP(Anexo_4[[#This Row],[cuenta]],OP,2,0),"-")</f>
        <v>Combustible (Vehiculos)</v>
      </c>
    </row>
    <row r="2072" spans="1:28" ht="27" customHeight="1" x14ac:dyDescent="0.3">
      <c r="A2072" s="34" t="s">
        <v>6536</v>
      </c>
      <c r="B2072" s="36" t="str">
        <f t="shared" si="38"/>
        <v>Setiembre</v>
      </c>
      <c r="C2072" s="33" t="s">
        <v>162</v>
      </c>
      <c r="D2072" s="33" t="s">
        <v>6559</v>
      </c>
      <c r="E2072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072" s="32" t="s">
        <v>391</v>
      </c>
      <c r="G2072" s="32" t="s">
        <v>4839</v>
      </c>
      <c r="H2072" s="139" t="s">
        <v>765</v>
      </c>
      <c r="I2072" s="33" t="s">
        <v>452</v>
      </c>
      <c r="J2072" s="143" t="s">
        <v>4854</v>
      </c>
      <c r="K2072" s="33" t="s">
        <v>169</v>
      </c>
      <c r="L2072" s="102" t="str">
        <f>VLOOKUP(Anexo_4[[#This Row],[cod_doc]],TIPODOC,2,FALSE)</f>
        <v>FACTURA</v>
      </c>
      <c r="M2072" s="33" t="s">
        <v>454</v>
      </c>
      <c r="N2072" s="32" t="s">
        <v>6560</v>
      </c>
      <c r="O2072" s="48">
        <v>206.79</v>
      </c>
      <c r="P2072" s="49"/>
      <c r="Q2072" s="81">
        <v>37.222199999999994</v>
      </c>
      <c r="R2072" s="80"/>
      <c r="S2072" s="48">
        <v>0</v>
      </c>
      <c r="T2072" s="72">
        <v>244.01219999999998</v>
      </c>
      <c r="U2072" s="70"/>
      <c r="V2072" s="32"/>
      <c r="W2072" s="70"/>
      <c r="X2072" s="70"/>
      <c r="Y2072" s="70"/>
      <c r="Z2072" s="70" t="s">
        <v>455</v>
      </c>
      <c r="AA2072" s="71"/>
      <c r="AB2072" s="117" t="str">
        <f>IFERROR(VLOOKUP(Anexo_4[[#This Row],[cuenta]],OP,2,0),"-")</f>
        <v>Combustible (Vehiculos)</v>
      </c>
    </row>
    <row r="2073" spans="1:28" ht="27" customHeight="1" x14ac:dyDescent="0.3">
      <c r="A2073" s="34" t="s">
        <v>6536</v>
      </c>
      <c r="B2073" s="36" t="str">
        <f t="shared" si="38"/>
        <v>Setiembre</v>
      </c>
      <c r="C2073" s="33" t="s">
        <v>162</v>
      </c>
      <c r="D2073" s="33" t="s">
        <v>6559</v>
      </c>
      <c r="E2073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073" s="32" t="s">
        <v>217</v>
      </c>
      <c r="G2073" s="32" t="s">
        <v>4839</v>
      </c>
      <c r="H2073" s="139" t="s">
        <v>765</v>
      </c>
      <c r="I2073" s="33" t="s">
        <v>452</v>
      </c>
      <c r="J2073" s="143" t="s">
        <v>4854</v>
      </c>
      <c r="K2073" s="33" t="s">
        <v>169</v>
      </c>
      <c r="L2073" s="102" t="str">
        <f>VLOOKUP(Anexo_4[[#This Row],[cod_doc]],TIPODOC,2,FALSE)</f>
        <v>FACTURA</v>
      </c>
      <c r="M2073" s="33" t="s">
        <v>454</v>
      </c>
      <c r="N2073" s="32" t="s">
        <v>6560</v>
      </c>
      <c r="O2073" s="48">
        <v>813.56</v>
      </c>
      <c r="P2073" s="49"/>
      <c r="Q2073" s="81">
        <v>146.4408</v>
      </c>
      <c r="R2073" s="80"/>
      <c r="S2073" s="48">
        <v>0</v>
      </c>
      <c r="T2073" s="72">
        <v>960.00079999999991</v>
      </c>
      <c r="U2073" s="70"/>
      <c r="V2073" s="32"/>
      <c r="W2073" s="70"/>
      <c r="X2073" s="70"/>
      <c r="Y2073" s="70"/>
      <c r="Z2073" s="70" t="s">
        <v>455</v>
      </c>
      <c r="AA2073" s="71"/>
      <c r="AB2073" s="117" t="str">
        <f>IFERROR(VLOOKUP(Anexo_4[[#This Row],[cuenta]],OP,2,0),"-")</f>
        <v>Combustible (Vehiculos)</v>
      </c>
    </row>
    <row r="2074" spans="1:28" ht="27" customHeight="1" x14ac:dyDescent="0.3">
      <c r="A2074" s="34" t="s">
        <v>5985</v>
      </c>
      <c r="B2074" s="36" t="str">
        <f t="shared" si="38"/>
        <v>Setiembre</v>
      </c>
      <c r="C2074" s="33" t="s">
        <v>162</v>
      </c>
      <c r="D2074" s="33" t="s">
        <v>6561</v>
      </c>
      <c r="E2074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074" s="32" t="s">
        <v>164</v>
      </c>
      <c r="G2074" s="32" t="s">
        <v>165</v>
      </c>
      <c r="H2074" s="139" t="s">
        <v>6562</v>
      </c>
      <c r="I2074" s="33" t="s">
        <v>437</v>
      </c>
      <c r="J2074" s="143" t="s">
        <v>6563</v>
      </c>
      <c r="K2074" s="33" t="s">
        <v>439</v>
      </c>
      <c r="L2074" s="102" t="str">
        <f>VLOOKUP(Anexo_4[[#This Row],[cod_doc]],TIPODOC,2,FALSE)</f>
        <v>RECIBO POR SERV. PUBLICOS</v>
      </c>
      <c r="M2074" s="33" t="s">
        <v>1045</v>
      </c>
      <c r="N2074" s="32" t="s">
        <v>6564</v>
      </c>
      <c r="O2074" s="48">
        <v>121.1</v>
      </c>
      <c r="P2074" s="49"/>
      <c r="Q2074" s="81">
        <v>21.8</v>
      </c>
      <c r="R2074" s="80"/>
      <c r="S2074" s="48">
        <v>0</v>
      </c>
      <c r="T2074" s="72">
        <v>142.9</v>
      </c>
      <c r="U2074" s="70"/>
      <c r="V2074" s="32"/>
      <c r="W2074" s="70"/>
      <c r="X2074" s="70"/>
      <c r="Y2074" s="70"/>
      <c r="Z2074" s="70" t="s">
        <v>1046</v>
      </c>
      <c r="AA2074" s="71"/>
      <c r="AB2074" s="117" t="str">
        <f>IFERROR(VLOOKUP(Anexo_4[[#This Row],[cuenta]],OP,2,0),"-")</f>
        <v>-</v>
      </c>
    </row>
    <row r="2075" spans="1:28" ht="27" customHeight="1" x14ac:dyDescent="0.3">
      <c r="A2075" s="34" t="s">
        <v>5667</v>
      </c>
      <c r="B2075" s="36" t="str">
        <f t="shared" si="38"/>
        <v>Setiembre</v>
      </c>
      <c r="C2075" s="33" t="s">
        <v>162</v>
      </c>
      <c r="D2075" s="33" t="s">
        <v>6565</v>
      </c>
      <c r="E2075" s="37" t="str">
        <f>IF(LEFT(Anexo_4[[#This Row],[c_costos]],2)="91","OPERACIONES",IF(LEFT(Anexo_4[[#This Row],[c_costos]],2)="97","G. FINANCIEROS",IF(LEFT(Anexo_4[[#This Row],[c_costos]],2)="95","G. VENTAS","G. ADMINISTRACIÓN")))</f>
        <v>G. FINANCIEROS</v>
      </c>
      <c r="F2075" s="32" t="s">
        <v>474</v>
      </c>
      <c r="G2075" s="32" t="s">
        <v>475</v>
      </c>
      <c r="H2075" s="139" t="s">
        <v>3440</v>
      </c>
      <c r="I2075" s="33" t="s">
        <v>477</v>
      </c>
      <c r="J2075" s="143" t="s">
        <v>4623</v>
      </c>
      <c r="K2075" s="33" t="s">
        <v>169</v>
      </c>
      <c r="L2075" s="102" t="str">
        <f>VLOOKUP(Anexo_4[[#This Row],[cod_doc]],TIPODOC,2,FALSE)</f>
        <v>FACTURA</v>
      </c>
      <c r="M2075" s="33" t="s">
        <v>479</v>
      </c>
      <c r="N2075" s="32" t="s">
        <v>6566</v>
      </c>
      <c r="O2075" s="48">
        <v>0</v>
      </c>
      <c r="P2075" s="49"/>
      <c r="Q2075" s="81">
        <v>0</v>
      </c>
      <c r="R2075" s="80"/>
      <c r="S2075" s="48">
        <v>10</v>
      </c>
      <c r="T2075" s="72">
        <v>10</v>
      </c>
      <c r="U2075" s="70"/>
      <c r="V2075" s="32"/>
      <c r="W2075" s="70"/>
      <c r="X2075" s="70"/>
      <c r="Y2075" s="70"/>
      <c r="Z2075" s="70" t="s">
        <v>4370</v>
      </c>
      <c r="AA2075" s="71"/>
      <c r="AB2075" s="117" t="str">
        <f>IFERROR(VLOOKUP(Anexo_4[[#This Row],[cuenta]],OP,2,0),"-")</f>
        <v>-</v>
      </c>
    </row>
    <row r="2076" spans="1:28" ht="27" customHeight="1" x14ac:dyDescent="0.3">
      <c r="A2076" s="34" t="s">
        <v>6380</v>
      </c>
      <c r="B2076" s="36" t="str">
        <f t="shared" si="38"/>
        <v>Setiembre</v>
      </c>
      <c r="C2076" s="33" t="s">
        <v>162</v>
      </c>
      <c r="D2076" s="33" t="s">
        <v>6567</v>
      </c>
      <c r="E2076" s="37" t="str">
        <f>IF(LEFT(Anexo_4[[#This Row],[c_costos]],2)="91","OPERACIONES",IF(LEFT(Anexo_4[[#This Row],[c_costos]],2)="97","G. FINANCIEROS",IF(LEFT(Anexo_4[[#This Row],[c_costos]],2)="95","G. VENTAS","G. ADMINISTRACIÓN")))</f>
        <v>G. FINANCIEROS</v>
      </c>
      <c r="F2076" s="32" t="s">
        <v>474</v>
      </c>
      <c r="G2076" s="32" t="s">
        <v>475</v>
      </c>
      <c r="H2076" s="139" t="s">
        <v>5382</v>
      </c>
      <c r="I2076" s="33" t="s">
        <v>477</v>
      </c>
      <c r="J2076" s="143" t="s">
        <v>4623</v>
      </c>
      <c r="K2076" s="33" t="s">
        <v>169</v>
      </c>
      <c r="L2076" s="102" t="str">
        <f>VLOOKUP(Anexo_4[[#This Row],[cod_doc]],TIPODOC,2,FALSE)</f>
        <v>FACTURA</v>
      </c>
      <c r="M2076" s="33" t="s">
        <v>479</v>
      </c>
      <c r="N2076" s="32" t="s">
        <v>6568</v>
      </c>
      <c r="O2076" s="48">
        <v>0</v>
      </c>
      <c r="P2076" s="49"/>
      <c r="Q2076" s="81">
        <v>0</v>
      </c>
      <c r="R2076" s="80"/>
      <c r="S2076" s="48">
        <v>10</v>
      </c>
      <c r="T2076" s="72">
        <v>10</v>
      </c>
      <c r="U2076" s="70"/>
      <c r="V2076" s="32"/>
      <c r="W2076" s="70"/>
      <c r="X2076" s="70"/>
      <c r="Y2076" s="70"/>
      <c r="Z2076" s="70" t="s">
        <v>480</v>
      </c>
      <c r="AA2076" s="71"/>
      <c r="AB2076" s="117" t="str">
        <f>IFERROR(VLOOKUP(Anexo_4[[#This Row],[cuenta]],OP,2,0),"-")</f>
        <v>-</v>
      </c>
    </row>
    <row r="2077" spans="1:28" ht="27" customHeight="1" x14ac:dyDescent="0.3">
      <c r="A2077" s="34" t="s">
        <v>5914</v>
      </c>
      <c r="B2077" s="36" t="str">
        <f t="shared" si="38"/>
        <v>Setiembre</v>
      </c>
      <c r="C2077" s="33" t="s">
        <v>162</v>
      </c>
      <c r="D2077" s="33" t="s">
        <v>6569</v>
      </c>
      <c r="E2077" s="37" t="str">
        <f>IF(LEFT(Anexo_4[[#This Row],[c_costos]],2)="91","OPERACIONES",IF(LEFT(Anexo_4[[#This Row],[c_costos]],2)="97","G. FINANCIEROS",IF(LEFT(Anexo_4[[#This Row],[c_costos]],2)="95","G. VENTAS","G. ADMINISTRACIÓN")))</f>
        <v>G. FINANCIEROS</v>
      </c>
      <c r="F2077" s="32" t="s">
        <v>474</v>
      </c>
      <c r="G2077" s="32" t="s">
        <v>475</v>
      </c>
      <c r="H2077" s="139" t="s">
        <v>5382</v>
      </c>
      <c r="I2077" s="33" t="s">
        <v>477</v>
      </c>
      <c r="J2077" s="143" t="s">
        <v>4623</v>
      </c>
      <c r="K2077" s="33" t="s">
        <v>169</v>
      </c>
      <c r="L2077" s="102" t="str">
        <f>VLOOKUP(Anexo_4[[#This Row],[cod_doc]],TIPODOC,2,FALSE)</f>
        <v>FACTURA</v>
      </c>
      <c r="M2077" s="33" t="s">
        <v>479</v>
      </c>
      <c r="N2077" s="32" t="s">
        <v>6570</v>
      </c>
      <c r="O2077" s="48">
        <v>0</v>
      </c>
      <c r="P2077" s="49"/>
      <c r="Q2077" s="81">
        <v>0</v>
      </c>
      <c r="R2077" s="80"/>
      <c r="S2077" s="48">
        <v>10</v>
      </c>
      <c r="T2077" s="72">
        <v>10</v>
      </c>
      <c r="U2077" s="70"/>
      <c r="V2077" s="32"/>
      <c r="W2077" s="70"/>
      <c r="X2077" s="70"/>
      <c r="Y2077" s="70"/>
      <c r="Z2077" s="70" t="s">
        <v>480</v>
      </c>
      <c r="AA2077" s="71"/>
      <c r="AB2077" s="117" t="str">
        <f>IFERROR(VLOOKUP(Anexo_4[[#This Row],[cuenta]],OP,2,0),"-")</f>
        <v>-</v>
      </c>
    </row>
    <row r="2078" spans="1:28" ht="27" customHeight="1" x14ac:dyDescent="0.3">
      <c r="A2078" s="34" t="s">
        <v>5985</v>
      </c>
      <c r="B2078" s="36" t="str">
        <f t="shared" si="38"/>
        <v>Setiembre</v>
      </c>
      <c r="C2078" s="33" t="s">
        <v>162</v>
      </c>
      <c r="D2078" s="33" t="s">
        <v>6571</v>
      </c>
      <c r="E2078" s="37" t="str">
        <f>IF(LEFT(Anexo_4[[#This Row],[c_costos]],2)="91","OPERACIONES",IF(LEFT(Anexo_4[[#This Row],[c_costos]],2)="97","G. FINANCIEROS",IF(LEFT(Anexo_4[[#This Row],[c_costos]],2)="95","G. VENTAS","G. ADMINISTRACIÓN")))</f>
        <v>G. FINANCIEROS</v>
      </c>
      <c r="F2078" s="32" t="s">
        <v>474</v>
      </c>
      <c r="G2078" s="32" t="s">
        <v>475</v>
      </c>
      <c r="H2078" s="139" t="s">
        <v>6572</v>
      </c>
      <c r="I2078" s="33" t="s">
        <v>477</v>
      </c>
      <c r="J2078" s="143" t="s">
        <v>4623</v>
      </c>
      <c r="K2078" s="33" t="s">
        <v>169</v>
      </c>
      <c r="L2078" s="102" t="str">
        <f>VLOOKUP(Anexo_4[[#This Row],[cod_doc]],TIPODOC,2,FALSE)</f>
        <v>FACTURA</v>
      </c>
      <c r="M2078" s="33" t="s">
        <v>421</v>
      </c>
      <c r="N2078" s="32" t="s">
        <v>6573</v>
      </c>
      <c r="O2078" s="48">
        <v>0</v>
      </c>
      <c r="P2078" s="49"/>
      <c r="Q2078" s="81">
        <v>0</v>
      </c>
      <c r="R2078" s="80"/>
      <c r="S2078" s="48">
        <v>41.86</v>
      </c>
      <c r="T2078" s="72">
        <v>41.86</v>
      </c>
      <c r="U2078" s="70"/>
      <c r="V2078" s="32"/>
      <c r="W2078" s="70"/>
      <c r="X2078" s="70"/>
      <c r="Y2078" s="70"/>
      <c r="Z2078" s="70" t="s">
        <v>3481</v>
      </c>
      <c r="AA2078" s="71"/>
      <c r="AB2078" s="117" t="str">
        <f>IFERROR(VLOOKUP(Anexo_4[[#This Row],[cuenta]],OP,2,0),"-")</f>
        <v>-</v>
      </c>
    </row>
    <row r="2079" spans="1:28" ht="27" customHeight="1" x14ac:dyDescent="0.3">
      <c r="A2079" s="34" t="s">
        <v>5914</v>
      </c>
      <c r="B2079" s="36" t="str">
        <f t="shared" si="38"/>
        <v>Setiembre</v>
      </c>
      <c r="C2079" s="33" t="s">
        <v>162</v>
      </c>
      <c r="D2079" s="33" t="s">
        <v>6574</v>
      </c>
      <c r="E2079" s="37" t="str">
        <f>IF(LEFT(Anexo_4[[#This Row],[c_costos]],2)="91","OPERACIONES",IF(LEFT(Anexo_4[[#This Row],[c_costos]],2)="97","G. FINANCIEROS",IF(LEFT(Anexo_4[[#This Row],[c_costos]],2)="95","G. VENTAS","G. ADMINISTRACIÓN")))</f>
        <v>G. FINANCIEROS</v>
      </c>
      <c r="F2079" s="32" t="s">
        <v>474</v>
      </c>
      <c r="G2079" s="32" t="s">
        <v>475</v>
      </c>
      <c r="H2079" s="139" t="s">
        <v>5387</v>
      </c>
      <c r="I2079" s="33" t="s">
        <v>477</v>
      </c>
      <c r="J2079" s="143" t="s">
        <v>4623</v>
      </c>
      <c r="K2079" s="33" t="s">
        <v>169</v>
      </c>
      <c r="L2079" s="102" t="str">
        <f>VLOOKUP(Anexo_4[[#This Row],[cod_doc]],TIPODOC,2,FALSE)</f>
        <v>FACTURA</v>
      </c>
      <c r="M2079" s="33" t="s">
        <v>479</v>
      </c>
      <c r="N2079" s="32" t="s">
        <v>6575</v>
      </c>
      <c r="O2079" s="48">
        <v>0</v>
      </c>
      <c r="P2079" s="49"/>
      <c r="Q2079" s="81">
        <v>0</v>
      </c>
      <c r="R2079" s="80"/>
      <c r="S2079" s="48">
        <v>10.5</v>
      </c>
      <c r="T2079" s="72">
        <v>10.5</v>
      </c>
      <c r="U2079" s="70"/>
      <c r="V2079" s="32"/>
      <c r="W2079" s="70"/>
      <c r="X2079" s="70"/>
      <c r="Y2079" s="70"/>
      <c r="Z2079" s="70" t="s">
        <v>483</v>
      </c>
      <c r="AA2079" s="71"/>
      <c r="AB2079" s="117" t="str">
        <f>IFERROR(VLOOKUP(Anexo_4[[#This Row],[cuenta]],OP,2,0),"-")</f>
        <v>-</v>
      </c>
    </row>
    <row r="2080" spans="1:28" ht="27" customHeight="1" x14ac:dyDescent="0.3">
      <c r="A2080" s="34" t="s">
        <v>5914</v>
      </c>
      <c r="B2080" s="36" t="str">
        <f t="shared" si="38"/>
        <v>Setiembre</v>
      </c>
      <c r="C2080" s="33" t="s">
        <v>162</v>
      </c>
      <c r="D2080" s="33" t="s">
        <v>6576</v>
      </c>
      <c r="E2080" s="37" t="str">
        <f>IF(LEFT(Anexo_4[[#This Row],[c_costos]],2)="91","OPERACIONES",IF(LEFT(Anexo_4[[#This Row],[c_costos]],2)="97","G. FINANCIEROS",IF(LEFT(Anexo_4[[#This Row],[c_costos]],2)="95","G. VENTAS","G. ADMINISTRACIÓN")))</f>
        <v>G. FINANCIEROS</v>
      </c>
      <c r="F2080" s="32" t="s">
        <v>474</v>
      </c>
      <c r="G2080" s="32" t="s">
        <v>475</v>
      </c>
      <c r="H2080" s="139" t="s">
        <v>5387</v>
      </c>
      <c r="I2080" s="33" t="s">
        <v>477</v>
      </c>
      <c r="J2080" s="143" t="s">
        <v>4623</v>
      </c>
      <c r="K2080" s="33" t="s">
        <v>169</v>
      </c>
      <c r="L2080" s="102" t="str">
        <f>VLOOKUP(Anexo_4[[#This Row],[cod_doc]],TIPODOC,2,FALSE)</f>
        <v>FACTURA</v>
      </c>
      <c r="M2080" s="33" t="s">
        <v>479</v>
      </c>
      <c r="N2080" s="32" t="s">
        <v>6577</v>
      </c>
      <c r="O2080" s="48">
        <v>0</v>
      </c>
      <c r="P2080" s="49"/>
      <c r="Q2080" s="81">
        <v>0</v>
      </c>
      <c r="R2080" s="80"/>
      <c r="S2080" s="48">
        <v>32.6</v>
      </c>
      <c r="T2080" s="72">
        <v>32.6</v>
      </c>
      <c r="U2080" s="70"/>
      <c r="V2080" s="32"/>
      <c r="W2080" s="70"/>
      <c r="X2080" s="70"/>
      <c r="Y2080" s="70"/>
      <c r="Z2080" s="70" t="s">
        <v>483</v>
      </c>
      <c r="AA2080" s="71"/>
      <c r="AB2080" s="117" t="str">
        <f>IFERROR(VLOOKUP(Anexo_4[[#This Row],[cuenta]],OP,2,0),"-")</f>
        <v>-</v>
      </c>
    </row>
    <row r="2081" spans="1:28" ht="27" customHeight="1" x14ac:dyDescent="0.3">
      <c r="A2081" s="34" t="s">
        <v>5914</v>
      </c>
      <c r="B2081" s="36" t="str">
        <f t="shared" si="38"/>
        <v>Setiembre</v>
      </c>
      <c r="C2081" s="33" t="s">
        <v>162</v>
      </c>
      <c r="D2081" s="33" t="s">
        <v>6578</v>
      </c>
      <c r="E2081" s="37" t="str">
        <f>IF(LEFT(Anexo_4[[#This Row],[c_costos]],2)="91","OPERACIONES",IF(LEFT(Anexo_4[[#This Row],[c_costos]],2)="97","G. FINANCIEROS",IF(LEFT(Anexo_4[[#This Row],[c_costos]],2)="95","G. VENTAS","G. ADMINISTRACIÓN")))</f>
        <v>G. FINANCIEROS</v>
      </c>
      <c r="F2081" s="32" t="s">
        <v>474</v>
      </c>
      <c r="G2081" s="32" t="s">
        <v>475</v>
      </c>
      <c r="H2081" s="139" t="s">
        <v>5387</v>
      </c>
      <c r="I2081" s="33" t="s">
        <v>477</v>
      </c>
      <c r="J2081" s="143" t="s">
        <v>4623</v>
      </c>
      <c r="K2081" s="33" t="s">
        <v>169</v>
      </c>
      <c r="L2081" s="102" t="str">
        <f>VLOOKUP(Anexo_4[[#This Row],[cod_doc]],TIPODOC,2,FALSE)</f>
        <v>FACTURA</v>
      </c>
      <c r="M2081" s="33" t="s">
        <v>479</v>
      </c>
      <c r="N2081" s="32" t="s">
        <v>6579</v>
      </c>
      <c r="O2081" s="48">
        <v>0</v>
      </c>
      <c r="P2081" s="49"/>
      <c r="Q2081" s="81">
        <v>0</v>
      </c>
      <c r="R2081" s="80"/>
      <c r="S2081" s="48">
        <v>4.3</v>
      </c>
      <c r="T2081" s="72">
        <v>4.3</v>
      </c>
      <c r="U2081" s="70"/>
      <c r="V2081" s="32"/>
      <c r="W2081" s="70"/>
      <c r="X2081" s="70"/>
      <c r="Y2081" s="70"/>
      <c r="Z2081" s="70" t="s">
        <v>483</v>
      </c>
      <c r="AA2081" s="71"/>
      <c r="AB2081" s="117" t="str">
        <f>IFERROR(VLOOKUP(Anexo_4[[#This Row],[cuenta]],OP,2,0),"-")</f>
        <v>-</v>
      </c>
    </row>
    <row r="2082" spans="1:28" ht="27" customHeight="1" x14ac:dyDescent="0.3">
      <c r="A2082" s="34" t="s">
        <v>6294</v>
      </c>
      <c r="B2082" s="36" t="str">
        <f t="shared" si="38"/>
        <v>Setiembre</v>
      </c>
      <c r="C2082" s="33" t="s">
        <v>162</v>
      </c>
      <c r="D2082" s="33" t="s">
        <v>6580</v>
      </c>
      <c r="E2082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082" s="32" t="s">
        <v>355</v>
      </c>
      <c r="G2082" s="32" t="s">
        <v>356</v>
      </c>
      <c r="H2082" s="139" t="s">
        <v>6581</v>
      </c>
      <c r="I2082" s="33" t="s">
        <v>1225</v>
      </c>
      <c r="J2082" s="143" t="s">
        <v>6471</v>
      </c>
      <c r="K2082" s="33" t="s">
        <v>169</v>
      </c>
      <c r="L2082" s="102" t="str">
        <f>VLOOKUP(Anexo_4[[#This Row],[cod_doc]],TIPODOC,2,FALSE)</f>
        <v>FACTURA</v>
      </c>
      <c r="M2082" s="33" t="s">
        <v>222</v>
      </c>
      <c r="N2082" s="32" t="s">
        <v>6582</v>
      </c>
      <c r="O2082" s="48">
        <v>636.87</v>
      </c>
      <c r="P2082" s="49"/>
      <c r="Q2082" s="81">
        <v>114.64</v>
      </c>
      <c r="R2082" s="80"/>
      <c r="S2082" s="48">
        <v>0</v>
      </c>
      <c r="T2082" s="72">
        <v>751.51</v>
      </c>
      <c r="U2082" s="70"/>
      <c r="V2082" s="32"/>
      <c r="W2082" s="70"/>
      <c r="X2082" s="70"/>
      <c r="Y2082" s="70"/>
      <c r="Z2082" s="70" t="s">
        <v>1235</v>
      </c>
      <c r="AA2082" s="71"/>
      <c r="AB2082" s="117" t="str">
        <f>IFERROR(VLOOKUP(Anexo_4[[#This Row],[cuenta]],OP,2,0),"-")</f>
        <v>Disposición Final de RR.SS - No Aprovechables</v>
      </c>
    </row>
    <row r="2083" spans="1:28" ht="27" customHeight="1" x14ac:dyDescent="0.3">
      <c r="A2083" s="34" t="s">
        <v>6536</v>
      </c>
      <c r="B2083" s="36" t="str">
        <f t="shared" si="38"/>
        <v>Setiembre</v>
      </c>
      <c r="C2083" s="33" t="s">
        <v>162</v>
      </c>
      <c r="D2083" s="33" t="s">
        <v>6583</v>
      </c>
      <c r="E2083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083" s="32" t="s">
        <v>953</v>
      </c>
      <c r="G2083" s="32" t="s">
        <v>954</v>
      </c>
      <c r="H2083" s="139" t="s">
        <v>6584</v>
      </c>
      <c r="I2083" s="33" t="s">
        <v>2429</v>
      </c>
      <c r="J2083" s="143" t="s">
        <v>5038</v>
      </c>
      <c r="K2083" s="33" t="s">
        <v>239</v>
      </c>
      <c r="L2083" s="102" t="str">
        <f>VLOOKUP(Anexo_4[[#This Row],[cod_doc]],TIPODOC,2,FALSE)</f>
        <v>BOLETA DE VENTA</v>
      </c>
      <c r="M2083" s="33" t="s">
        <v>5938</v>
      </c>
      <c r="N2083" s="32" t="s">
        <v>6585</v>
      </c>
      <c r="O2083" s="48">
        <v>0</v>
      </c>
      <c r="P2083" s="49"/>
      <c r="Q2083" s="81">
        <v>0</v>
      </c>
      <c r="R2083" s="80"/>
      <c r="S2083" s="48">
        <v>27.4</v>
      </c>
      <c r="T2083" s="72">
        <v>27.4</v>
      </c>
      <c r="U2083" s="70"/>
      <c r="V2083" s="32"/>
      <c r="W2083" s="70"/>
      <c r="X2083" s="70"/>
      <c r="Y2083" s="70"/>
      <c r="Z2083" s="70" t="s">
        <v>684</v>
      </c>
      <c r="AA2083" s="71"/>
      <c r="AB2083" s="117" t="str">
        <f>IFERROR(VLOOKUP(Anexo_4[[#This Row],[cuenta]],OP,2,0),"-")</f>
        <v>-</v>
      </c>
    </row>
    <row r="2084" spans="1:28" ht="27" customHeight="1" x14ac:dyDescent="0.3">
      <c r="A2084" s="34" t="s">
        <v>6536</v>
      </c>
      <c r="B2084" s="36" t="str">
        <f t="shared" si="38"/>
        <v>Setiembre</v>
      </c>
      <c r="C2084" s="33" t="s">
        <v>162</v>
      </c>
      <c r="D2084" s="33" t="s">
        <v>6586</v>
      </c>
      <c r="E2084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084" s="32" t="s">
        <v>248</v>
      </c>
      <c r="G2084" s="32" t="s">
        <v>249</v>
      </c>
      <c r="H2084" s="139" t="s">
        <v>6587</v>
      </c>
      <c r="I2084" s="33" t="s">
        <v>1783</v>
      </c>
      <c r="J2084" s="143" t="s">
        <v>5869</v>
      </c>
      <c r="K2084" s="33" t="s">
        <v>169</v>
      </c>
      <c r="L2084" s="102" t="str">
        <f>VLOOKUP(Anexo_4[[#This Row],[cod_doc]],TIPODOC,2,FALSE)</f>
        <v>FACTURA</v>
      </c>
      <c r="M2084" s="33" t="s">
        <v>102</v>
      </c>
      <c r="N2084" s="32" t="s">
        <v>5283</v>
      </c>
      <c r="O2084" s="48">
        <v>352.54</v>
      </c>
      <c r="P2084" s="49"/>
      <c r="Q2084" s="81">
        <v>63.46</v>
      </c>
      <c r="R2084" s="80"/>
      <c r="S2084" s="48">
        <v>0</v>
      </c>
      <c r="T2084" s="72">
        <v>416</v>
      </c>
      <c r="U2084" s="70"/>
      <c r="V2084" s="32"/>
      <c r="W2084" s="70"/>
      <c r="X2084" s="70"/>
      <c r="Y2084" s="70"/>
      <c r="Z2084" s="70" t="s">
        <v>256</v>
      </c>
      <c r="AA2084" s="71"/>
      <c r="AB2084" s="117" t="str">
        <f>IFERROR(VLOOKUP(Anexo_4[[#This Row],[cuenta]],OP,2,0),"-")</f>
        <v>Materias Primas - RRSS</v>
      </c>
    </row>
    <row r="2085" spans="1:28" ht="27" customHeight="1" x14ac:dyDescent="0.3">
      <c r="A2085" s="34" t="s">
        <v>6536</v>
      </c>
      <c r="B2085" s="36" t="str">
        <f t="shared" si="38"/>
        <v>Setiembre</v>
      </c>
      <c r="C2085" s="33" t="s">
        <v>162</v>
      </c>
      <c r="D2085" s="33" t="s">
        <v>6588</v>
      </c>
      <c r="E2085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085" s="32" t="s">
        <v>248</v>
      </c>
      <c r="G2085" s="32" t="s">
        <v>249</v>
      </c>
      <c r="H2085" s="139" t="s">
        <v>6589</v>
      </c>
      <c r="I2085" s="33" t="s">
        <v>980</v>
      </c>
      <c r="J2085" s="143" t="s">
        <v>5083</v>
      </c>
      <c r="K2085" s="33" t="s">
        <v>169</v>
      </c>
      <c r="L2085" s="102" t="str">
        <f>VLOOKUP(Anexo_4[[#This Row],[cod_doc]],TIPODOC,2,FALSE)</f>
        <v>FACTURA</v>
      </c>
      <c r="M2085" s="33" t="s">
        <v>982</v>
      </c>
      <c r="N2085" s="32" t="s">
        <v>6590</v>
      </c>
      <c r="O2085" s="48">
        <v>151.02000000000001</v>
      </c>
      <c r="P2085" s="49"/>
      <c r="Q2085" s="81">
        <v>27.18</v>
      </c>
      <c r="R2085" s="80"/>
      <c r="S2085" s="48">
        <v>0</v>
      </c>
      <c r="T2085" s="72">
        <v>178.2</v>
      </c>
      <c r="U2085" s="70"/>
      <c r="V2085" s="32"/>
      <c r="W2085" s="70"/>
      <c r="X2085" s="70"/>
      <c r="Y2085" s="70"/>
      <c r="Z2085" s="70" t="s">
        <v>256</v>
      </c>
      <c r="AA2085" s="71"/>
      <c r="AB2085" s="117" t="str">
        <f>IFERROR(VLOOKUP(Anexo_4[[#This Row],[cuenta]],OP,2,0),"-")</f>
        <v>Materias Primas - RRSS</v>
      </c>
    </row>
    <row r="2086" spans="1:28" ht="27" customHeight="1" x14ac:dyDescent="0.3">
      <c r="A2086" s="34" t="s">
        <v>6536</v>
      </c>
      <c r="B2086" s="36" t="str">
        <f t="shared" si="38"/>
        <v>Setiembre</v>
      </c>
      <c r="C2086" s="33" t="s">
        <v>162</v>
      </c>
      <c r="D2086" s="33" t="s">
        <v>6591</v>
      </c>
      <c r="E2086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086" s="32" t="s">
        <v>248</v>
      </c>
      <c r="G2086" s="32" t="s">
        <v>249</v>
      </c>
      <c r="H2086" s="139" t="s">
        <v>6592</v>
      </c>
      <c r="I2086" s="33" t="s">
        <v>980</v>
      </c>
      <c r="J2086" s="143" t="s">
        <v>5083</v>
      </c>
      <c r="K2086" s="33" t="s">
        <v>169</v>
      </c>
      <c r="L2086" s="102" t="str">
        <f>VLOOKUP(Anexo_4[[#This Row],[cod_doc]],TIPODOC,2,FALSE)</f>
        <v>FACTURA</v>
      </c>
      <c r="M2086" s="33" t="s">
        <v>982</v>
      </c>
      <c r="N2086" s="32" t="s">
        <v>6593</v>
      </c>
      <c r="O2086" s="48">
        <v>884.16</v>
      </c>
      <c r="P2086" s="49"/>
      <c r="Q2086" s="81">
        <v>159.15</v>
      </c>
      <c r="R2086" s="80"/>
      <c r="S2086" s="48">
        <v>0</v>
      </c>
      <c r="T2086" s="72">
        <v>1043.31</v>
      </c>
      <c r="U2086" s="70"/>
      <c r="V2086" s="32"/>
      <c r="W2086" s="70"/>
      <c r="X2086" s="70"/>
      <c r="Y2086" s="70"/>
      <c r="Z2086" s="70" t="s">
        <v>256</v>
      </c>
      <c r="AA2086" s="71"/>
      <c r="AB2086" s="117" t="str">
        <f>IFERROR(VLOOKUP(Anexo_4[[#This Row],[cuenta]],OP,2,0),"-")</f>
        <v>Materias Primas - RRSS</v>
      </c>
    </row>
    <row r="2087" spans="1:28" ht="27" customHeight="1" x14ac:dyDescent="0.3">
      <c r="A2087" s="34" t="s">
        <v>6536</v>
      </c>
      <c r="B2087" s="36" t="str">
        <f t="shared" si="38"/>
        <v>Setiembre</v>
      </c>
      <c r="C2087" s="33" t="s">
        <v>162</v>
      </c>
      <c r="D2087" s="33" t="s">
        <v>6594</v>
      </c>
      <c r="E2087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087" s="32" t="s">
        <v>235</v>
      </c>
      <c r="G2087" s="32" t="s">
        <v>5051</v>
      </c>
      <c r="H2087" s="139" t="s">
        <v>6595</v>
      </c>
      <c r="I2087" s="33" t="s">
        <v>264</v>
      </c>
      <c r="J2087" s="143" t="s">
        <v>4644</v>
      </c>
      <c r="K2087" s="33" t="s">
        <v>169</v>
      </c>
      <c r="L2087" s="102" t="str">
        <f>VLOOKUP(Anexo_4[[#This Row],[cod_doc]],TIPODOC,2,FALSE)</f>
        <v>FACTURA</v>
      </c>
      <c r="M2087" s="33" t="s">
        <v>271</v>
      </c>
      <c r="N2087" s="32" t="s">
        <v>6596</v>
      </c>
      <c r="O2087" s="48">
        <v>6.78</v>
      </c>
      <c r="P2087" s="49"/>
      <c r="Q2087" s="81">
        <v>1.22</v>
      </c>
      <c r="R2087" s="80"/>
      <c r="S2087" s="48">
        <v>0</v>
      </c>
      <c r="T2087" s="72">
        <v>8</v>
      </c>
      <c r="U2087" s="70"/>
      <c r="V2087" s="32"/>
      <c r="W2087" s="70"/>
      <c r="X2087" s="70"/>
      <c r="Y2087" s="70"/>
      <c r="Z2087" s="70" t="s">
        <v>302</v>
      </c>
      <c r="AA2087" s="71"/>
      <c r="AB2087" s="117" t="str">
        <f>IFERROR(VLOOKUP(Anexo_4[[#This Row],[cuenta]],OP,2,0),"-")</f>
        <v>Transporte peajes - Servicios</v>
      </c>
    </row>
    <row r="2088" spans="1:28" ht="27" customHeight="1" x14ac:dyDescent="0.3">
      <c r="A2088" s="34" t="s">
        <v>6536</v>
      </c>
      <c r="B2088" s="36" t="str">
        <f t="shared" si="38"/>
        <v>Setiembre</v>
      </c>
      <c r="C2088" s="33" t="s">
        <v>162</v>
      </c>
      <c r="D2088" s="33" t="s">
        <v>6597</v>
      </c>
      <c r="E2088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088" s="32" t="s">
        <v>235</v>
      </c>
      <c r="G2088" s="32" t="s">
        <v>5051</v>
      </c>
      <c r="H2088" s="139" t="s">
        <v>6598</v>
      </c>
      <c r="I2088" s="33" t="s">
        <v>264</v>
      </c>
      <c r="J2088" s="143" t="s">
        <v>4644</v>
      </c>
      <c r="K2088" s="33" t="s">
        <v>169</v>
      </c>
      <c r="L2088" s="102" t="str">
        <f>VLOOKUP(Anexo_4[[#This Row],[cod_doc]],TIPODOC,2,FALSE)</f>
        <v>FACTURA</v>
      </c>
      <c r="M2088" s="33" t="s">
        <v>352</v>
      </c>
      <c r="N2088" s="32" t="s">
        <v>6599</v>
      </c>
      <c r="O2088" s="48">
        <v>6.78</v>
      </c>
      <c r="P2088" s="49"/>
      <c r="Q2088" s="81">
        <v>1.22</v>
      </c>
      <c r="R2088" s="80"/>
      <c r="S2088" s="48">
        <v>0</v>
      </c>
      <c r="T2088" s="72">
        <v>8</v>
      </c>
      <c r="U2088" s="70"/>
      <c r="V2088" s="32"/>
      <c r="W2088" s="70"/>
      <c r="X2088" s="70"/>
      <c r="Y2088" s="70"/>
      <c r="Z2088" s="70" t="s">
        <v>302</v>
      </c>
      <c r="AA2088" s="71"/>
      <c r="AB2088" s="117" t="str">
        <f>IFERROR(VLOOKUP(Anexo_4[[#This Row],[cuenta]],OP,2,0),"-")</f>
        <v>Transporte peajes - Servicios</v>
      </c>
    </row>
    <row r="2089" spans="1:28" ht="27" customHeight="1" x14ac:dyDescent="0.3">
      <c r="A2089" s="34" t="s">
        <v>6536</v>
      </c>
      <c r="B2089" s="36" t="str">
        <f t="shared" si="38"/>
        <v>Setiembre</v>
      </c>
      <c r="C2089" s="33" t="s">
        <v>162</v>
      </c>
      <c r="D2089" s="33" t="s">
        <v>6600</v>
      </c>
      <c r="E2089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089" s="32" t="s">
        <v>235</v>
      </c>
      <c r="G2089" s="32" t="s">
        <v>5051</v>
      </c>
      <c r="H2089" s="139" t="s">
        <v>6601</v>
      </c>
      <c r="I2089" s="33" t="s">
        <v>383</v>
      </c>
      <c r="J2089" s="143" t="s">
        <v>4702</v>
      </c>
      <c r="K2089" s="33" t="s">
        <v>169</v>
      </c>
      <c r="L2089" s="102" t="str">
        <f>VLOOKUP(Anexo_4[[#This Row],[cod_doc]],TIPODOC,2,FALSE)</f>
        <v>FACTURA</v>
      </c>
      <c r="M2089" s="33" t="s">
        <v>103</v>
      </c>
      <c r="N2089" s="32" t="s">
        <v>6602</v>
      </c>
      <c r="O2089" s="48">
        <v>16.95</v>
      </c>
      <c r="P2089" s="49"/>
      <c r="Q2089" s="81">
        <v>3.05</v>
      </c>
      <c r="R2089" s="80"/>
      <c r="S2089" s="48">
        <v>0</v>
      </c>
      <c r="T2089" s="72">
        <v>20</v>
      </c>
      <c r="U2089" s="70"/>
      <c r="V2089" s="32"/>
      <c r="W2089" s="70"/>
      <c r="X2089" s="70"/>
      <c r="Y2089" s="70"/>
      <c r="Z2089" s="70" t="s">
        <v>182</v>
      </c>
      <c r="AA2089" s="71"/>
      <c r="AB2089" s="117" t="str">
        <f>IFERROR(VLOOKUP(Anexo_4[[#This Row],[cuenta]],OP,2,0),"-")</f>
        <v>Balanza - Ventas</v>
      </c>
    </row>
    <row r="2090" spans="1:28" ht="27" customHeight="1" x14ac:dyDescent="0.3">
      <c r="A2090" s="34" t="s">
        <v>6536</v>
      </c>
      <c r="B2090" s="36" t="str">
        <f t="shared" si="38"/>
        <v>Setiembre</v>
      </c>
      <c r="C2090" s="33" t="s">
        <v>162</v>
      </c>
      <c r="D2090" s="33" t="s">
        <v>6603</v>
      </c>
      <c r="E2090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090" s="32" t="s">
        <v>235</v>
      </c>
      <c r="G2090" s="32" t="s">
        <v>5051</v>
      </c>
      <c r="H2090" s="139" t="s">
        <v>6604</v>
      </c>
      <c r="I2090" s="33" t="s">
        <v>383</v>
      </c>
      <c r="J2090" s="143" t="s">
        <v>4702</v>
      </c>
      <c r="K2090" s="33" t="s">
        <v>169</v>
      </c>
      <c r="L2090" s="102" t="str">
        <f>VLOOKUP(Anexo_4[[#This Row],[cod_doc]],TIPODOC,2,FALSE)</f>
        <v>FACTURA</v>
      </c>
      <c r="M2090" s="33" t="s">
        <v>103</v>
      </c>
      <c r="N2090" s="32" t="s">
        <v>6605</v>
      </c>
      <c r="O2090" s="48">
        <v>16.95</v>
      </c>
      <c r="P2090" s="49"/>
      <c r="Q2090" s="81">
        <v>3.05</v>
      </c>
      <c r="R2090" s="80"/>
      <c r="S2090" s="48">
        <v>0</v>
      </c>
      <c r="T2090" s="72">
        <v>20</v>
      </c>
      <c r="U2090" s="70"/>
      <c r="V2090" s="32"/>
      <c r="W2090" s="70"/>
      <c r="X2090" s="70"/>
      <c r="Y2090" s="70"/>
      <c r="Z2090" s="70" t="s">
        <v>182</v>
      </c>
      <c r="AA2090" s="71"/>
      <c r="AB2090" s="117" t="str">
        <f>IFERROR(VLOOKUP(Anexo_4[[#This Row],[cuenta]],OP,2,0),"-")</f>
        <v>Balanza - Ventas</v>
      </c>
    </row>
    <row r="2091" spans="1:28" ht="27" customHeight="1" x14ac:dyDescent="0.3">
      <c r="A2091" s="34" t="s">
        <v>6536</v>
      </c>
      <c r="B2091" s="36" t="str">
        <f t="shared" si="38"/>
        <v>Setiembre</v>
      </c>
      <c r="C2091" s="33" t="s">
        <v>162</v>
      </c>
      <c r="D2091" s="33" t="s">
        <v>6606</v>
      </c>
      <c r="E2091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091" s="32" t="s">
        <v>235</v>
      </c>
      <c r="G2091" s="32" t="s">
        <v>5051</v>
      </c>
      <c r="H2091" s="139" t="s">
        <v>6607</v>
      </c>
      <c r="I2091" s="33" t="s">
        <v>383</v>
      </c>
      <c r="J2091" s="143" t="s">
        <v>4702</v>
      </c>
      <c r="K2091" s="33" t="s">
        <v>169</v>
      </c>
      <c r="L2091" s="102" t="str">
        <f>VLOOKUP(Anexo_4[[#This Row],[cod_doc]],TIPODOC,2,FALSE)</f>
        <v>FACTURA</v>
      </c>
      <c r="M2091" s="33" t="s">
        <v>103</v>
      </c>
      <c r="N2091" s="32" t="s">
        <v>6608</v>
      </c>
      <c r="O2091" s="48">
        <v>16.95</v>
      </c>
      <c r="P2091" s="49"/>
      <c r="Q2091" s="81">
        <v>3.05</v>
      </c>
      <c r="R2091" s="80"/>
      <c r="S2091" s="48">
        <v>0</v>
      </c>
      <c r="T2091" s="72">
        <v>20</v>
      </c>
      <c r="U2091" s="70"/>
      <c r="V2091" s="32"/>
      <c r="W2091" s="70"/>
      <c r="X2091" s="70"/>
      <c r="Y2091" s="70"/>
      <c r="Z2091" s="70" t="s">
        <v>386</v>
      </c>
      <c r="AA2091" s="71"/>
      <c r="AB2091" s="117" t="str">
        <f>IFERROR(VLOOKUP(Anexo_4[[#This Row],[cuenta]],OP,2,0),"-")</f>
        <v>Balanza - Servicios</v>
      </c>
    </row>
    <row r="2092" spans="1:28" ht="27" customHeight="1" x14ac:dyDescent="0.3">
      <c r="A2092" s="34" t="s">
        <v>6609</v>
      </c>
      <c r="B2092" s="36" t="str">
        <f t="shared" ref="B2092:B2122" si="39">PROPER(CHOOSE(LEFT(D2092,2),"enero","febrero","marzo","abril","mayo","junio","julio","agosto","setiembre","octubre","noviembre","diciembre"))</f>
        <v>Setiembre</v>
      </c>
      <c r="C2092" s="33" t="s">
        <v>162</v>
      </c>
      <c r="D2092" s="33" t="s">
        <v>6610</v>
      </c>
      <c r="E2092" s="37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2092" s="32" t="s">
        <v>198</v>
      </c>
      <c r="G2092" s="32" t="s">
        <v>199</v>
      </c>
      <c r="H2092" s="139" t="s">
        <v>6611</v>
      </c>
      <c r="I2092" s="33" t="s">
        <v>5898</v>
      </c>
      <c r="J2092" s="143" t="s">
        <v>6612</v>
      </c>
      <c r="K2092" s="33" t="s">
        <v>169</v>
      </c>
      <c r="L2092" s="102" t="str">
        <f>VLOOKUP(Anexo_4[[#This Row],[cod_doc]],TIPODOC,2,FALSE)</f>
        <v>FACTURA</v>
      </c>
      <c r="M2092" s="33" t="s">
        <v>102</v>
      </c>
      <c r="N2092" s="32" t="s">
        <v>6613</v>
      </c>
      <c r="O2092" s="48">
        <v>237.29</v>
      </c>
      <c r="P2092" s="49"/>
      <c r="Q2092" s="81">
        <v>42.71</v>
      </c>
      <c r="R2092" s="80"/>
      <c r="S2092" s="48">
        <v>0</v>
      </c>
      <c r="T2092" s="72">
        <v>280</v>
      </c>
      <c r="U2092" s="70"/>
      <c r="V2092" s="32"/>
      <c r="W2092" s="70"/>
      <c r="X2092" s="70"/>
      <c r="Y2092" s="70"/>
      <c r="Z2092" s="70" t="s">
        <v>468</v>
      </c>
      <c r="AA2092" s="71"/>
      <c r="AB2092" s="117" t="str">
        <f>IFERROR(VLOOKUP(Anexo_4[[#This Row],[cuenta]],OP,2,0),"-")</f>
        <v>Transporte de Carga  - Ventas</v>
      </c>
    </row>
    <row r="2093" spans="1:28" ht="27" customHeight="1" x14ac:dyDescent="0.3">
      <c r="A2093" s="34" t="s">
        <v>5667</v>
      </c>
      <c r="B2093" s="36" t="str">
        <f t="shared" si="39"/>
        <v>Setiembre</v>
      </c>
      <c r="C2093" s="33" t="s">
        <v>162</v>
      </c>
      <c r="D2093" s="33" t="s">
        <v>6614</v>
      </c>
      <c r="E2093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093" s="32" t="s">
        <v>592</v>
      </c>
      <c r="G2093" s="32" t="s">
        <v>593</v>
      </c>
      <c r="H2093" s="139" t="s">
        <v>6615</v>
      </c>
      <c r="I2093" s="33" t="s">
        <v>1074</v>
      </c>
      <c r="J2093" s="143" t="s">
        <v>4635</v>
      </c>
      <c r="K2093" s="33" t="s">
        <v>169</v>
      </c>
      <c r="L2093" s="102" t="str">
        <f>VLOOKUP(Anexo_4[[#This Row],[cod_doc]],TIPODOC,2,FALSE)</f>
        <v>FACTURA</v>
      </c>
      <c r="M2093" s="33" t="s">
        <v>102</v>
      </c>
      <c r="N2093" s="32" t="s">
        <v>6616</v>
      </c>
      <c r="O2093" s="48">
        <v>60</v>
      </c>
      <c r="P2093" s="49"/>
      <c r="Q2093" s="81">
        <v>10.8</v>
      </c>
      <c r="R2093" s="80"/>
      <c r="S2093" s="48">
        <v>0</v>
      </c>
      <c r="T2093" s="72">
        <v>70.8</v>
      </c>
      <c r="U2093" s="70"/>
      <c r="V2093" s="32"/>
      <c r="W2093" s="70"/>
      <c r="X2093" s="70"/>
      <c r="Y2093" s="70"/>
      <c r="Z2093" s="70" t="s">
        <v>645</v>
      </c>
      <c r="AA2093" s="71"/>
      <c r="AB2093" s="117" t="str">
        <f>IFERROR(VLOOKUP(Anexo_4[[#This Row],[cuenta]],OP,2,0),"-")</f>
        <v>Montacarga - Servicios</v>
      </c>
    </row>
    <row r="2094" spans="1:28" ht="27" customHeight="1" x14ac:dyDescent="0.3">
      <c r="A2094" s="34" t="s">
        <v>5667</v>
      </c>
      <c r="B2094" s="36" t="str">
        <f t="shared" si="39"/>
        <v>Setiembre</v>
      </c>
      <c r="C2094" s="33" t="s">
        <v>162</v>
      </c>
      <c r="D2094" s="33" t="s">
        <v>6617</v>
      </c>
      <c r="E2094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094" s="32" t="s">
        <v>592</v>
      </c>
      <c r="G2094" s="32" t="s">
        <v>593</v>
      </c>
      <c r="H2094" s="139" t="s">
        <v>6618</v>
      </c>
      <c r="I2094" s="33" t="s">
        <v>1074</v>
      </c>
      <c r="J2094" s="143" t="s">
        <v>4635</v>
      </c>
      <c r="K2094" s="33" t="s">
        <v>169</v>
      </c>
      <c r="L2094" s="102" t="str">
        <f>VLOOKUP(Anexo_4[[#This Row],[cod_doc]],TIPODOC,2,FALSE)</f>
        <v>FACTURA</v>
      </c>
      <c r="M2094" s="33" t="s">
        <v>102</v>
      </c>
      <c r="N2094" s="32" t="s">
        <v>6619</v>
      </c>
      <c r="O2094" s="48">
        <v>135</v>
      </c>
      <c r="P2094" s="49"/>
      <c r="Q2094" s="81">
        <v>24.3</v>
      </c>
      <c r="R2094" s="80"/>
      <c r="S2094" s="48">
        <v>0</v>
      </c>
      <c r="T2094" s="72">
        <v>159.30000000000001</v>
      </c>
      <c r="U2094" s="70"/>
      <c r="V2094" s="32"/>
      <c r="W2094" s="70"/>
      <c r="X2094" s="70"/>
      <c r="Y2094" s="70"/>
      <c r="Z2094" s="70" t="s">
        <v>645</v>
      </c>
      <c r="AA2094" s="71"/>
      <c r="AB2094" s="117" t="str">
        <f>IFERROR(VLOOKUP(Anexo_4[[#This Row],[cuenta]],OP,2,0),"-")</f>
        <v>Montacarga - Servicios</v>
      </c>
    </row>
    <row r="2095" spans="1:28" ht="27" customHeight="1" x14ac:dyDescent="0.3">
      <c r="A2095" s="34" t="s">
        <v>5667</v>
      </c>
      <c r="B2095" s="36" t="str">
        <f t="shared" si="39"/>
        <v>Setiembre</v>
      </c>
      <c r="C2095" s="33" t="s">
        <v>162</v>
      </c>
      <c r="D2095" s="33" t="s">
        <v>6620</v>
      </c>
      <c r="E2095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095" s="32" t="s">
        <v>592</v>
      </c>
      <c r="G2095" s="32" t="s">
        <v>593</v>
      </c>
      <c r="H2095" s="139" t="s">
        <v>6621</v>
      </c>
      <c r="I2095" s="33" t="s">
        <v>1074</v>
      </c>
      <c r="J2095" s="143" t="s">
        <v>4635</v>
      </c>
      <c r="K2095" s="33" t="s">
        <v>169</v>
      </c>
      <c r="L2095" s="102" t="str">
        <f>VLOOKUP(Anexo_4[[#This Row],[cod_doc]],TIPODOC,2,FALSE)</f>
        <v>FACTURA</v>
      </c>
      <c r="M2095" s="33" t="s">
        <v>102</v>
      </c>
      <c r="N2095" s="32" t="s">
        <v>6622</v>
      </c>
      <c r="O2095" s="48">
        <v>60</v>
      </c>
      <c r="P2095" s="49"/>
      <c r="Q2095" s="81">
        <v>10.8</v>
      </c>
      <c r="R2095" s="80"/>
      <c r="S2095" s="48">
        <v>0</v>
      </c>
      <c r="T2095" s="72">
        <v>70.8</v>
      </c>
      <c r="U2095" s="70"/>
      <c r="V2095" s="32"/>
      <c r="W2095" s="70"/>
      <c r="X2095" s="70"/>
      <c r="Y2095" s="70"/>
      <c r="Z2095" s="70" t="s">
        <v>645</v>
      </c>
      <c r="AA2095" s="71"/>
      <c r="AB2095" s="117" t="str">
        <f>IFERROR(VLOOKUP(Anexo_4[[#This Row],[cuenta]],OP,2,0),"-")</f>
        <v>Montacarga - Servicios</v>
      </c>
    </row>
    <row r="2096" spans="1:28" ht="27" customHeight="1" x14ac:dyDescent="0.3">
      <c r="A2096" s="34" t="s">
        <v>5444</v>
      </c>
      <c r="B2096" s="36" t="str">
        <f t="shared" si="39"/>
        <v>Setiembre</v>
      </c>
      <c r="C2096" s="33" t="s">
        <v>162</v>
      </c>
      <c r="D2096" s="33" t="s">
        <v>6623</v>
      </c>
      <c r="E2096" s="37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2096" s="32" t="s">
        <v>198</v>
      </c>
      <c r="G2096" s="32" t="s">
        <v>199</v>
      </c>
      <c r="H2096" s="139" t="s">
        <v>6624</v>
      </c>
      <c r="I2096" s="33" t="s">
        <v>6625</v>
      </c>
      <c r="J2096" s="143" t="s">
        <v>6626</v>
      </c>
      <c r="K2096" s="33" t="s">
        <v>169</v>
      </c>
      <c r="L2096" s="102" t="str">
        <f>VLOOKUP(Anexo_4[[#This Row],[cod_doc]],TIPODOC,2,FALSE)</f>
        <v>FACTURA</v>
      </c>
      <c r="M2096" s="33" t="s">
        <v>982</v>
      </c>
      <c r="N2096" s="32" t="s">
        <v>6627</v>
      </c>
      <c r="O2096" s="48">
        <v>144.16999999999999</v>
      </c>
      <c r="P2096" s="49"/>
      <c r="Q2096" s="81">
        <v>25.95</v>
      </c>
      <c r="R2096" s="80"/>
      <c r="S2096" s="48">
        <v>0</v>
      </c>
      <c r="T2096" s="72">
        <v>170.12</v>
      </c>
      <c r="U2096" s="70"/>
      <c r="V2096" s="32"/>
      <c r="W2096" s="70"/>
      <c r="X2096" s="70"/>
      <c r="Y2096" s="70"/>
      <c r="Z2096" s="70" t="s">
        <v>2488</v>
      </c>
      <c r="AA2096" s="71"/>
      <c r="AB2096" s="117" t="str">
        <f>IFERROR(VLOOKUP(Anexo_4[[#This Row],[cuenta]],OP,2,0),"-")</f>
        <v>Fabricación de Contenedores</v>
      </c>
    </row>
    <row r="2097" spans="1:28" ht="27" customHeight="1" x14ac:dyDescent="0.3">
      <c r="A2097" s="34" t="s">
        <v>5667</v>
      </c>
      <c r="B2097" s="36" t="str">
        <f t="shared" si="39"/>
        <v>Setiembre</v>
      </c>
      <c r="C2097" s="33" t="s">
        <v>162</v>
      </c>
      <c r="D2097" s="33" t="s">
        <v>6628</v>
      </c>
      <c r="E2097" s="37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2097" s="32" t="s">
        <v>198</v>
      </c>
      <c r="G2097" s="32" t="s">
        <v>199</v>
      </c>
      <c r="H2097" s="139" t="s">
        <v>6624</v>
      </c>
      <c r="I2097" s="33" t="s">
        <v>6625</v>
      </c>
      <c r="J2097" s="143" t="s">
        <v>6626</v>
      </c>
      <c r="K2097" s="33" t="s">
        <v>169</v>
      </c>
      <c r="L2097" s="102" t="str">
        <f>VLOOKUP(Anexo_4[[#This Row],[cod_doc]],TIPODOC,2,FALSE)</f>
        <v>FACTURA</v>
      </c>
      <c r="M2097" s="33" t="s">
        <v>3485</v>
      </c>
      <c r="N2097" s="32" t="s">
        <v>6629</v>
      </c>
      <c r="O2097" s="48">
        <v>67.59</v>
      </c>
      <c r="P2097" s="49"/>
      <c r="Q2097" s="81">
        <v>12.17</v>
      </c>
      <c r="R2097" s="80"/>
      <c r="S2097" s="48">
        <v>0</v>
      </c>
      <c r="T2097" s="72">
        <v>79.760000000000005</v>
      </c>
      <c r="U2097" s="70"/>
      <c r="V2097" s="32"/>
      <c r="W2097" s="70"/>
      <c r="X2097" s="70"/>
      <c r="Y2097" s="70"/>
      <c r="Z2097" s="70" t="s">
        <v>2488</v>
      </c>
      <c r="AA2097" s="71"/>
      <c r="AB2097" s="117" t="str">
        <f>IFERROR(VLOOKUP(Anexo_4[[#This Row],[cuenta]],OP,2,0),"-")</f>
        <v>Fabricación de Contenedores</v>
      </c>
    </row>
    <row r="2098" spans="1:28" ht="27" customHeight="1" x14ac:dyDescent="0.3">
      <c r="A2098" s="34" t="s">
        <v>5444</v>
      </c>
      <c r="B2098" s="36" t="str">
        <f t="shared" si="39"/>
        <v>Setiembre</v>
      </c>
      <c r="C2098" s="33" t="s">
        <v>162</v>
      </c>
      <c r="D2098" s="33" t="s">
        <v>6630</v>
      </c>
      <c r="E2098" s="37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2098" s="32" t="s">
        <v>198</v>
      </c>
      <c r="G2098" s="32" t="s">
        <v>199</v>
      </c>
      <c r="H2098" s="139" t="s">
        <v>6624</v>
      </c>
      <c r="I2098" s="33" t="s">
        <v>6631</v>
      </c>
      <c r="J2098" s="143" t="s">
        <v>6632</v>
      </c>
      <c r="K2098" s="33" t="s">
        <v>169</v>
      </c>
      <c r="L2098" s="102" t="str">
        <f>VLOOKUP(Anexo_4[[#This Row],[cod_doc]],TIPODOC,2,FALSE)</f>
        <v>FACTURA</v>
      </c>
      <c r="M2098" s="33" t="s">
        <v>222</v>
      </c>
      <c r="N2098" s="32" t="s">
        <v>6633</v>
      </c>
      <c r="O2098" s="48">
        <v>301.69</v>
      </c>
      <c r="P2098" s="49"/>
      <c r="Q2098" s="81">
        <v>54.31</v>
      </c>
      <c r="R2098" s="80"/>
      <c r="S2098" s="48">
        <v>0</v>
      </c>
      <c r="T2098" s="72">
        <v>356</v>
      </c>
      <c r="U2098" s="70"/>
      <c r="V2098" s="32"/>
      <c r="W2098" s="70"/>
      <c r="X2098" s="70"/>
      <c r="Y2098" s="70"/>
      <c r="Z2098" s="70" t="s">
        <v>2488</v>
      </c>
      <c r="AA2098" s="71"/>
      <c r="AB2098" s="117" t="str">
        <f>IFERROR(VLOOKUP(Anexo_4[[#This Row],[cuenta]],OP,2,0),"-")</f>
        <v>Fabricación de Contenedores</v>
      </c>
    </row>
    <row r="2099" spans="1:28" ht="27" customHeight="1" x14ac:dyDescent="0.3">
      <c r="A2099" s="34" t="s">
        <v>5238</v>
      </c>
      <c r="B2099" s="36" t="str">
        <f t="shared" si="39"/>
        <v>Setiembre</v>
      </c>
      <c r="C2099" s="33" t="s">
        <v>162</v>
      </c>
      <c r="D2099" s="33" t="s">
        <v>6634</v>
      </c>
      <c r="E2099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099" s="32" t="s">
        <v>650</v>
      </c>
      <c r="G2099" s="32" t="s">
        <v>651</v>
      </c>
      <c r="H2099" s="139" t="s">
        <v>6635</v>
      </c>
      <c r="I2099" s="33" t="s">
        <v>6636</v>
      </c>
      <c r="J2099" s="143" t="s">
        <v>6637</v>
      </c>
      <c r="K2099" s="33" t="s">
        <v>169</v>
      </c>
      <c r="L2099" s="102" t="str">
        <f>VLOOKUP(Anexo_4[[#This Row],[cod_doc]],TIPODOC,2,FALSE)</f>
        <v>FACTURA</v>
      </c>
      <c r="M2099" s="33" t="s">
        <v>6638</v>
      </c>
      <c r="N2099" s="32" t="s">
        <v>6639</v>
      </c>
      <c r="O2099" s="48">
        <v>15.25</v>
      </c>
      <c r="P2099" s="49"/>
      <c r="Q2099" s="81">
        <v>2.75</v>
      </c>
      <c r="R2099" s="80"/>
      <c r="S2099" s="48">
        <v>0</v>
      </c>
      <c r="T2099" s="72">
        <v>18</v>
      </c>
      <c r="U2099" s="70"/>
      <c r="V2099" s="32"/>
      <c r="W2099" s="70"/>
      <c r="X2099" s="70"/>
      <c r="Y2099" s="70"/>
      <c r="Z2099" s="70" t="s">
        <v>684</v>
      </c>
      <c r="AA2099" s="71"/>
      <c r="AB2099" s="117" t="str">
        <f>IFERROR(VLOOKUP(Anexo_4[[#This Row],[cuenta]],OP,2,0),"-")</f>
        <v>-</v>
      </c>
    </row>
    <row r="2100" spans="1:28" ht="27" customHeight="1" x14ac:dyDescent="0.3">
      <c r="A2100" s="34" t="s">
        <v>5238</v>
      </c>
      <c r="B2100" s="36" t="str">
        <f t="shared" si="39"/>
        <v>Setiembre</v>
      </c>
      <c r="C2100" s="33" t="s">
        <v>162</v>
      </c>
      <c r="D2100" s="33" t="s">
        <v>6640</v>
      </c>
      <c r="E2100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100" s="32" t="s">
        <v>650</v>
      </c>
      <c r="G2100" s="32" t="s">
        <v>651</v>
      </c>
      <c r="H2100" s="139" t="s">
        <v>6641</v>
      </c>
      <c r="I2100" s="33" t="s">
        <v>6642</v>
      </c>
      <c r="J2100" s="143" t="s">
        <v>6643</v>
      </c>
      <c r="K2100" s="33" t="s">
        <v>169</v>
      </c>
      <c r="L2100" s="102" t="str">
        <f>VLOOKUP(Anexo_4[[#This Row],[cod_doc]],TIPODOC,2,FALSE)</f>
        <v>FACTURA</v>
      </c>
      <c r="M2100" s="33" t="s">
        <v>102</v>
      </c>
      <c r="N2100" s="32" t="s">
        <v>6644</v>
      </c>
      <c r="O2100" s="48">
        <v>83.9</v>
      </c>
      <c r="P2100" s="49"/>
      <c r="Q2100" s="81">
        <v>15.1</v>
      </c>
      <c r="R2100" s="80"/>
      <c r="S2100" s="48">
        <v>0</v>
      </c>
      <c r="T2100" s="72">
        <v>99</v>
      </c>
      <c r="U2100" s="70"/>
      <c r="V2100" s="32"/>
      <c r="W2100" s="70"/>
      <c r="X2100" s="70"/>
      <c r="Y2100" s="70"/>
      <c r="Z2100" s="70" t="s">
        <v>684</v>
      </c>
      <c r="AA2100" s="71"/>
      <c r="AB2100" s="117" t="str">
        <f>IFERROR(VLOOKUP(Anexo_4[[#This Row],[cuenta]],OP,2,0),"-")</f>
        <v>-</v>
      </c>
    </row>
    <row r="2101" spans="1:28" ht="27" customHeight="1" x14ac:dyDescent="0.3">
      <c r="A2101" s="34" t="s">
        <v>5095</v>
      </c>
      <c r="B2101" s="36" t="str">
        <f t="shared" si="39"/>
        <v>Setiembre</v>
      </c>
      <c r="C2101" s="33" t="s">
        <v>162</v>
      </c>
      <c r="D2101" s="33" t="s">
        <v>6645</v>
      </c>
      <c r="E2101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101" s="32" t="s">
        <v>355</v>
      </c>
      <c r="G2101" s="32" t="s">
        <v>356</v>
      </c>
      <c r="H2101" s="139" t="s">
        <v>930</v>
      </c>
      <c r="I2101" s="33" t="s">
        <v>5821</v>
      </c>
      <c r="J2101" s="143" t="s">
        <v>5822</v>
      </c>
      <c r="K2101" s="33" t="s">
        <v>169</v>
      </c>
      <c r="L2101" s="102" t="str">
        <f>VLOOKUP(Anexo_4[[#This Row],[cod_doc]],TIPODOC,2,FALSE)</f>
        <v>FACTURA</v>
      </c>
      <c r="M2101" s="33" t="s">
        <v>222</v>
      </c>
      <c r="N2101" s="32" t="s">
        <v>6646</v>
      </c>
      <c r="O2101" s="48">
        <v>11.02</v>
      </c>
      <c r="P2101" s="49"/>
      <c r="Q2101" s="81">
        <v>1.98</v>
      </c>
      <c r="R2101" s="80"/>
      <c r="S2101" s="48">
        <v>0</v>
      </c>
      <c r="T2101" s="72">
        <v>13</v>
      </c>
      <c r="U2101" s="70"/>
      <c r="V2101" s="32"/>
      <c r="W2101" s="70"/>
      <c r="X2101" s="70"/>
      <c r="Y2101" s="70"/>
      <c r="Z2101" s="70" t="s">
        <v>182</v>
      </c>
      <c r="AA2101" s="71"/>
      <c r="AB2101" s="117" t="str">
        <f>IFERROR(VLOOKUP(Anexo_4[[#This Row],[cuenta]],OP,2,0),"-")</f>
        <v>Balanza - Ventas</v>
      </c>
    </row>
    <row r="2102" spans="1:28" ht="27" customHeight="1" x14ac:dyDescent="0.3">
      <c r="A2102" s="34" t="s">
        <v>5095</v>
      </c>
      <c r="B2102" s="36" t="str">
        <f t="shared" si="39"/>
        <v>Setiembre</v>
      </c>
      <c r="C2102" s="33" t="s">
        <v>162</v>
      </c>
      <c r="D2102" s="33" t="s">
        <v>6647</v>
      </c>
      <c r="E2102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102" s="32" t="s">
        <v>355</v>
      </c>
      <c r="G2102" s="32" t="s">
        <v>356</v>
      </c>
      <c r="H2102" s="139" t="s">
        <v>128</v>
      </c>
      <c r="I2102" s="33" t="s">
        <v>4383</v>
      </c>
      <c r="J2102" s="143" t="s">
        <v>6648</v>
      </c>
      <c r="K2102" s="33" t="s">
        <v>169</v>
      </c>
      <c r="L2102" s="102" t="str">
        <f>VLOOKUP(Anexo_4[[#This Row],[cod_doc]],TIPODOC,2,FALSE)</f>
        <v>FACTURA</v>
      </c>
      <c r="M2102" s="33" t="s">
        <v>6649</v>
      </c>
      <c r="N2102" s="32" t="s">
        <v>6650</v>
      </c>
      <c r="O2102" s="48">
        <v>0</v>
      </c>
      <c r="P2102" s="49"/>
      <c r="Q2102" s="81">
        <v>0</v>
      </c>
      <c r="R2102" s="80"/>
      <c r="S2102" s="48">
        <v>25</v>
      </c>
      <c r="T2102" s="72">
        <v>25</v>
      </c>
      <c r="U2102" s="70"/>
      <c r="V2102" s="32"/>
      <c r="W2102" s="70"/>
      <c r="X2102" s="70"/>
      <c r="Y2102" s="70"/>
      <c r="Z2102" s="70" t="s">
        <v>4386</v>
      </c>
      <c r="AA2102" s="71"/>
      <c r="AB2102" s="117" t="str">
        <f>IFERROR(VLOOKUP(Anexo_4[[#This Row],[cuenta]],OP,2,0),"-")</f>
        <v>Transporte de Personal (Viajes)</v>
      </c>
    </row>
    <row r="2103" spans="1:28" ht="27" customHeight="1" x14ac:dyDescent="0.3">
      <c r="A2103" s="34" t="s">
        <v>5095</v>
      </c>
      <c r="B2103" s="36" t="str">
        <f t="shared" si="39"/>
        <v>Setiembre</v>
      </c>
      <c r="C2103" s="33" t="s">
        <v>162</v>
      </c>
      <c r="D2103" s="33" t="s">
        <v>6651</v>
      </c>
      <c r="E2103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103" s="32" t="s">
        <v>355</v>
      </c>
      <c r="G2103" s="32" t="s">
        <v>356</v>
      </c>
      <c r="H2103" s="139" t="s">
        <v>128</v>
      </c>
      <c r="I2103" s="33" t="s">
        <v>4383</v>
      </c>
      <c r="J2103" s="143" t="s">
        <v>6648</v>
      </c>
      <c r="K2103" s="33" t="s">
        <v>169</v>
      </c>
      <c r="L2103" s="102" t="str">
        <f>VLOOKUP(Anexo_4[[#This Row],[cod_doc]],TIPODOC,2,FALSE)</f>
        <v>FACTURA</v>
      </c>
      <c r="M2103" s="33" t="s">
        <v>6649</v>
      </c>
      <c r="N2103" s="32" t="s">
        <v>6652</v>
      </c>
      <c r="O2103" s="48">
        <v>0</v>
      </c>
      <c r="P2103" s="49"/>
      <c r="Q2103" s="81">
        <v>0</v>
      </c>
      <c r="R2103" s="80"/>
      <c r="S2103" s="48">
        <v>25</v>
      </c>
      <c r="T2103" s="72">
        <v>25</v>
      </c>
      <c r="U2103" s="70"/>
      <c r="V2103" s="32"/>
      <c r="W2103" s="70"/>
      <c r="X2103" s="70"/>
      <c r="Y2103" s="70"/>
      <c r="Z2103" s="70" t="s">
        <v>4386</v>
      </c>
      <c r="AA2103" s="71"/>
      <c r="AB2103" s="117" t="str">
        <f>IFERROR(VLOOKUP(Anexo_4[[#This Row],[cuenta]],OP,2,0),"-")</f>
        <v>Transporte de Personal (Viajes)</v>
      </c>
    </row>
    <row r="2104" spans="1:28" ht="27" customHeight="1" x14ac:dyDescent="0.3">
      <c r="A2104" s="34" t="s">
        <v>5071</v>
      </c>
      <c r="B2104" s="36" t="str">
        <f t="shared" si="39"/>
        <v>Setiembre</v>
      </c>
      <c r="C2104" s="33" t="s">
        <v>162</v>
      </c>
      <c r="D2104" s="33" t="s">
        <v>6653</v>
      </c>
      <c r="E2104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104" s="32" t="s">
        <v>175</v>
      </c>
      <c r="G2104" s="32" t="s">
        <v>5168</v>
      </c>
      <c r="H2104" s="139" t="s">
        <v>930</v>
      </c>
      <c r="I2104" s="33" t="s">
        <v>3136</v>
      </c>
      <c r="J2104" s="143" t="s">
        <v>6654</v>
      </c>
      <c r="K2104" s="33" t="s">
        <v>169</v>
      </c>
      <c r="L2104" s="102" t="str">
        <f>VLOOKUP(Anexo_4[[#This Row],[cod_doc]],TIPODOC,2,FALSE)</f>
        <v>FACTURA</v>
      </c>
      <c r="M2104" s="33" t="s">
        <v>222</v>
      </c>
      <c r="N2104" s="32" t="s">
        <v>6655</v>
      </c>
      <c r="O2104" s="48">
        <v>10</v>
      </c>
      <c r="P2104" s="49"/>
      <c r="Q2104" s="81">
        <v>1.8</v>
      </c>
      <c r="R2104" s="80"/>
      <c r="S2104" s="48">
        <v>0</v>
      </c>
      <c r="T2104" s="72">
        <v>11.8</v>
      </c>
      <c r="U2104" s="70"/>
      <c r="V2104" s="32"/>
      <c r="W2104" s="70"/>
      <c r="X2104" s="70"/>
      <c r="Y2104" s="70"/>
      <c r="Z2104" s="70" t="s">
        <v>386</v>
      </c>
      <c r="AA2104" s="71"/>
      <c r="AB2104" s="117" t="str">
        <f>IFERROR(VLOOKUP(Anexo_4[[#This Row],[cuenta]],OP,2,0),"-")</f>
        <v>Balanza - Servicios</v>
      </c>
    </row>
    <row r="2105" spans="1:28" ht="27" customHeight="1" x14ac:dyDescent="0.3">
      <c r="A2105" s="34" t="s">
        <v>5071</v>
      </c>
      <c r="B2105" s="36" t="str">
        <f t="shared" si="39"/>
        <v>Setiembre</v>
      </c>
      <c r="C2105" s="33" t="s">
        <v>162</v>
      </c>
      <c r="D2105" s="33" t="s">
        <v>6656</v>
      </c>
      <c r="E2105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105" s="32" t="s">
        <v>355</v>
      </c>
      <c r="G2105" s="32" t="s">
        <v>356</v>
      </c>
      <c r="H2105" s="139" t="s">
        <v>3775</v>
      </c>
      <c r="I2105" s="33" t="s">
        <v>4379</v>
      </c>
      <c r="J2105" s="143" t="s">
        <v>6657</v>
      </c>
      <c r="K2105" s="33" t="s">
        <v>169</v>
      </c>
      <c r="L2105" s="102" t="str">
        <f>VLOOKUP(Anexo_4[[#This Row],[cod_doc]],TIPODOC,2,FALSE)</f>
        <v>FACTURA</v>
      </c>
      <c r="M2105" s="33" t="s">
        <v>102</v>
      </c>
      <c r="N2105" s="32" t="s">
        <v>6658</v>
      </c>
      <c r="O2105" s="48">
        <v>84.75</v>
      </c>
      <c r="P2105" s="49"/>
      <c r="Q2105" s="81">
        <v>15.25</v>
      </c>
      <c r="R2105" s="80"/>
      <c r="S2105" s="48">
        <v>0</v>
      </c>
      <c r="T2105" s="72">
        <v>100</v>
      </c>
      <c r="U2105" s="70"/>
      <c r="V2105" s="32"/>
      <c r="W2105" s="70"/>
      <c r="X2105" s="70"/>
      <c r="Y2105" s="70"/>
      <c r="Z2105" s="70" t="s">
        <v>376</v>
      </c>
      <c r="AA2105" s="71"/>
      <c r="AB2105" s="117" t="str">
        <f>IFERROR(VLOOKUP(Anexo_4[[#This Row],[cuenta]],OP,2,0),"-")</f>
        <v>Alojamiento (Operativo)</v>
      </c>
    </row>
    <row r="2106" spans="1:28" ht="27" customHeight="1" x14ac:dyDescent="0.3">
      <c r="A2106" s="34" t="s">
        <v>5078</v>
      </c>
      <c r="B2106" s="36" t="str">
        <f t="shared" si="39"/>
        <v>Setiembre</v>
      </c>
      <c r="C2106" s="33" t="s">
        <v>162</v>
      </c>
      <c r="D2106" s="33" t="s">
        <v>6659</v>
      </c>
      <c r="E2106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106" s="32" t="s">
        <v>456</v>
      </c>
      <c r="G2106" s="32" t="s">
        <v>4911</v>
      </c>
      <c r="H2106" s="139" t="s">
        <v>930</v>
      </c>
      <c r="I2106" s="33" t="s">
        <v>6660</v>
      </c>
      <c r="J2106" s="143" t="s">
        <v>6661</v>
      </c>
      <c r="K2106" s="33" t="s">
        <v>169</v>
      </c>
      <c r="L2106" s="102" t="str">
        <f>VLOOKUP(Anexo_4[[#This Row],[cod_doc]],TIPODOC,2,FALSE)</f>
        <v>FACTURA</v>
      </c>
      <c r="M2106" s="33" t="s">
        <v>6662</v>
      </c>
      <c r="N2106" s="32" t="s">
        <v>6663</v>
      </c>
      <c r="O2106" s="48">
        <v>12.71</v>
      </c>
      <c r="P2106" s="49"/>
      <c r="Q2106" s="81">
        <v>2.29</v>
      </c>
      <c r="R2106" s="80"/>
      <c r="S2106" s="48">
        <v>0</v>
      </c>
      <c r="T2106" s="72">
        <v>15</v>
      </c>
      <c r="U2106" s="70"/>
      <c r="V2106" s="32"/>
      <c r="W2106" s="70"/>
      <c r="X2106" s="70"/>
      <c r="Y2106" s="70"/>
      <c r="Z2106" s="70" t="s">
        <v>386</v>
      </c>
      <c r="AA2106" s="71"/>
      <c r="AB2106" s="117" t="str">
        <f>IFERROR(VLOOKUP(Anexo_4[[#This Row],[cuenta]],OP,2,0),"-")</f>
        <v>Balanza - Servicios</v>
      </c>
    </row>
    <row r="2107" spans="1:28" ht="27" customHeight="1" x14ac:dyDescent="0.3">
      <c r="A2107" s="34" t="s">
        <v>5078</v>
      </c>
      <c r="B2107" s="36" t="str">
        <f t="shared" si="39"/>
        <v>Setiembre</v>
      </c>
      <c r="C2107" s="33" t="s">
        <v>162</v>
      </c>
      <c r="D2107" s="33" t="s">
        <v>6664</v>
      </c>
      <c r="E2107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107" s="32" t="s">
        <v>355</v>
      </c>
      <c r="G2107" s="32" t="s">
        <v>356</v>
      </c>
      <c r="H2107" s="139" t="s">
        <v>6665</v>
      </c>
      <c r="I2107" s="33" t="s">
        <v>4393</v>
      </c>
      <c r="J2107" s="143" t="s">
        <v>4936</v>
      </c>
      <c r="K2107" s="33" t="s">
        <v>169</v>
      </c>
      <c r="L2107" s="102" t="str">
        <f>VLOOKUP(Anexo_4[[#This Row],[cod_doc]],TIPODOC,2,FALSE)</f>
        <v>FACTURA</v>
      </c>
      <c r="M2107" s="33" t="s">
        <v>6666</v>
      </c>
      <c r="N2107" s="32" t="s">
        <v>6667</v>
      </c>
      <c r="O2107" s="48">
        <v>0</v>
      </c>
      <c r="P2107" s="49"/>
      <c r="Q2107" s="81">
        <v>0</v>
      </c>
      <c r="R2107" s="80"/>
      <c r="S2107" s="48">
        <v>40</v>
      </c>
      <c r="T2107" s="72">
        <v>40</v>
      </c>
      <c r="U2107" s="70"/>
      <c r="V2107" s="32"/>
      <c r="W2107" s="70"/>
      <c r="X2107" s="70"/>
      <c r="Y2107" s="70"/>
      <c r="Z2107" s="70" t="s">
        <v>4386</v>
      </c>
      <c r="AA2107" s="71"/>
      <c r="AB2107" s="117" t="str">
        <f>IFERROR(VLOOKUP(Anexo_4[[#This Row],[cuenta]],OP,2,0),"-")</f>
        <v>Transporte de Personal (Viajes)</v>
      </c>
    </row>
    <row r="2108" spans="1:28" ht="27" customHeight="1" x14ac:dyDescent="0.3">
      <c r="A2108" s="34" t="s">
        <v>5078</v>
      </c>
      <c r="B2108" s="36" t="str">
        <f t="shared" si="39"/>
        <v>Setiembre</v>
      </c>
      <c r="C2108" s="33" t="s">
        <v>162</v>
      </c>
      <c r="D2108" s="33" t="s">
        <v>6668</v>
      </c>
      <c r="E2108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108" s="32" t="s">
        <v>355</v>
      </c>
      <c r="G2108" s="32" t="s">
        <v>356</v>
      </c>
      <c r="H2108" s="139" t="s">
        <v>4935</v>
      </c>
      <c r="I2108" s="33" t="s">
        <v>4393</v>
      </c>
      <c r="J2108" s="143" t="s">
        <v>4936</v>
      </c>
      <c r="K2108" s="33" t="s">
        <v>169</v>
      </c>
      <c r="L2108" s="102" t="str">
        <f>VLOOKUP(Anexo_4[[#This Row],[cod_doc]],TIPODOC,2,FALSE)</f>
        <v>FACTURA</v>
      </c>
      <c r="M2108" s="33" t="s">
        <v>6666</v>
      </c>
      <c r="N2108" s="32" t="s">
        <v>6669</v>
      </c>
      <c r="O2108" s="48">
        <v>0</v>
      </c>
      <c r="P2108" s="49"/>
      <c r="Q2108" s="81">
        <v>0</v>
      </c>
      <c r="R2108" s="80"/>
      <c r="S2108" s="48">
        <v>40</v>
      </c>
      <c r="T2108" s="72">
        <v>40</v>
      </c>
      <c r="U2108" s="70"/>
      <c r="V2108" s="32"/>
      <c r="W2108" s="70"/>
      <c r="X2108" s="70"/>
      <c r="Y2108" s="70"/>
      <c r="Z2108" s="70" t="s">
        <v>4386</v>
      </c>
      <c r="AA2108" s="71"/>
      <c r="AB2108" s="117" t="str">
        <f>IFERROR(VLOOKUP(Anexo_4[[#This Row],[cuenta]],OP,2,0),"-")</f>
        <v>Transporte de Personal (Viajes)</v>
      </c>
    </row>
    <row r="2109" spans="1:28" ht="27" customHeight="1" x14ac:dyDescent="0.3">
      <c r="A2109" s="34" t="s">
        <v>5328</v>
      </c>
      <c r="B2109" s="36" t="str">
        <f t="shared" si="39"/>
        <v>Setiembre</v>
      </c>
      <c r="C2109" s="33" t="s">
        <v>162</v>
      </c>
      <c r="D2109" s="33" t="s">
        <v>6670</v>
      </c>
      <c r="E2109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109" s="32" t="s">
        <v>355</v>
      </c>
      <c r="G2109" s="32" t="s">
        <v>356</v>
      </c>
      <c r="H2109" s="139" t="s">
        <v>3775</v>
      </c>
      <c r="I2109" s="33" t="s">
        <v>6671</v>
      </c>
      <c r="J2109" s="143" t="s">
        <v>6672</v>
      </c>
      <c r="K2109" s="33" t="s">
        <v>169</v>
      </c>
      <c r="L2109" s="102" t="str">
        <f>VLOOKUP(Anexo_4[[#This Row],[cod_doc]],TIPODOC,2,FALSE)</f>
        <v>FACTURA</v>
      </c>
      <c r="M2109" s="33" t="s">
        <v>631</v>
      </c>
      <c r="N2109" s="32" t="s">
        <v>6673</v>
      </c>
      <c r="O2109" s="48"/>
      <c r="P2109" s="49">
        <v>109.09</v>
      </c>
      <c r="Q2109" s="81"/>
      <c r="R2109" s="80">
        <v>10.91</v>
      </c>
      <c r="S2109" s="48">
        <v>0</v>
      </c>
      <c r="T2109" s="72">
        <v>120</v>
      </c>
      <c r="U2109" s="70"/>
      <c r="V2109" s="32"/>
      <c r="W2109" s="70"/>
      <c r="X2109" s="70"/>
      <c r="Y2109" s="70"/>
      <c r="Z2109" s="70" t="s">
        <v>376</v>
      </c>
      <c r="AA2109" s="71"/>
      <c r="AB2109" s="117" t="str">
        <f>IFERROR(VLOOKUP(Anexo_4[[#This Row],[cuenta]],OP,2,0),"-")</f>
        <v>Alojamiento (Operativo)</v>
      </c>
    </row>
    <row r="2110" spans="1:28" ht="27" customHeight="1" x14ac:dyDescent="0.3">
      <c r="A2110" s="34" t="s">
        <v>5255</v>
      </c>
      <c r="B2110" s="36" t="str">
        <f t="shared" si="39"/>
        <v>Setiembre</v>
      </c>
      <c r="C2110" s="33" t="s">
        <v>162</v>
      </c>
      <c r="D2110" s="33" t="s">
        <v>6674</v>
      </c>
      <c r="E2110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110" s="32" t="s">
        <v>355</v>
      </c>
      <c r="G2110" s="32" t="s">
        <v>356</v>
      </c>
      <c r="H2110" s="139" t="s">
        <v>3775</v>
      </c>
      <c r="I2110" s="33" t="s">
        <v>6675</v>
      </c>
      <c r="J2110" s="143" t="s">
        <v>6676</v>
      </c>
      <c r="K2110" s="33" t="s">
        <v>169</v>
      </c>
      <c r="L2110" s="102" t="str">
        <f>VLOOKUP(Anexo_4[[#This Row],[cod_doc]],TIPODOC,2,FALSE)</f>
        <v>FACTURA</v>
      </c>
      <c r="M2110" s="33" t="s">
        <v>102</v>
      </c>
      <c r="N2110" s="32" t="s">
        <v>6677</v>
      </c>
      <c r="O2110" s="48">
        <v>101.69</v>
      </c>
      <c r="P2110" s="49"/>
      <c r="Q2110" s="81">
        <v>18.309999999999999</v>
      </c>
      <c r="R2110" s="80"/>
      <c r="S2110" s="48"/>
      <c r="T2110" s="72">
        <v>120</v>
      </c>
      <c r="U2110" s="70"/>
      <c r="V2110" s="32"/>
      <c r="W2110" s="70"/>
      <c r="X2110" s="70"/>
      <c r="Y2110" s="70"/>
      <c r="Z2110" s="70" t="s">
        <v>376</v>
      </c>
      <c r="AA2110" s="71"/>
      <c r="AB2110" s="117" t="str">
        <f>IFERROR(VLOOKUP(Anexo_4[[#This Row],[cuenta]],OP,2,0),"-")</f>
        <v>Alojamiento (Operativo)</v>
      </c>
    </row>
    <row r="2111" spans="1:28" ht="27" customHeight="1" x14ac:dyDescent="0.3">
      <c r="A2111" s="34" t="s">
        <v>5255</v>
      </c>
      <c r="B2111" s="36" t="str">
        <f t="shared" si="39"/>
        <v>Setiembre</v>
      </c>
      <c r="C2111" s="33" t="s">
        <v>162</v>
      </c>
      <c r="D2111" s="33" t="s">
        <v>6678</v>
      </c>
      <c r="E2111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111" s="32" t="s">
        <v>355</v>
      </c>
      <c r="G2111" s="32" t="s">
        <v>356</v>
      </c>
      <c r="H2111" s="139" t="s">
        <v>6679</v>
      </c>
      <c r="I2111" s="33" t="s">
        <v>4383</v>
      </c>
      <c r="J2111" s="143" t="s">
        <v>6648</v>
      </c>
      <c r="K2111" s="33" t="s">
        <v>169</v>
      </c>
      <c r="L2111" s="102" t="str">
        <f>VLOOKUP(Anexo_4[[#This Row],[cod_doc]],TIPODOC,2,FALSE)</f>
        <v>FACTURA</v>
      </c>
      <c r="M2111" s="33" t="s">
        <v>6680</v>
      </c>
      <c r="N2111" s="32" t="s">
        <v>6508</v>
      </c>
      <c r="O2111" s="48">
        <v>0</v>
      </c>
      <c r="P2111" s="49"/>
      <c r="Q2111" s="81">
        <v>0</v>
      </c>
      <c r="R2111" s="80"/>
      <c r="S2111" s="48">
        <v>25</v>
      </c>
      <c r="T2111" s="72">
        <v>25</v>
      </c>
      <c r="U2111" s="70"/>
      <c r="V2111" s="32"/>
      <c r="W2111" s="70"/>
      <c r="X2111" s="70"/>
      <c r="Y2111" s="70"/>
      <c r="Z2111" s="70" t="s">
        <v>4386</v>
      </c>
      <c r="AA2111" s="71"/>
      <c r="AB2111" s="117" t="str">
        <f>IFERROR(VLOOKUP(Anexo_4[[#This Row],[cuenta]],OP,2,0),"-")</f>
        <v>Transporte de Personal (Viajes)</v>
      </c>
    </row>
    <row r="2112" spans="1:28" ht="27" customHeight="1" x14ac:dyDescent="0.3">
      <c r="A2112" s="34" t="s">
        <v>5255</v>
      </c>
      <c r="B2112" s="36" t="str">
        <f t="shared" si="39"/>
        <v>Setiembre</v>
      </c>
      <c r="C2112" s="33" t="s">
        <v>162</v>
      </c>
      <c r="D2112" s="33" t="s">
        <v>6681</v>
      </c>
      <c r="E2112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112" s="32" t="s">
        <v>355</v>
      </c>
      <c r="G2112" s="32" t="s">
        <v>356</v>
      </c>
      <c r="H2112" s="139" t="s">
        <v>4940</v>
      </c>
      <c r="I2112" s="33" t="s">
        <v>4383</v>
      </c>
      <c r="J2112" s="143" t="s">
        <v>6648</v>
      </c>
      <c r="K2112" s="33" t="s">
        <v>169</v>
      </c>
      <c r="L2112" s="102" t="str">
        <f>VLOOKUP(Anexo_4[[#This Row],[cod_doc]],TIPODOC,2,FALSE)</f>
        <v>FACTURA</v>
      </c>
      <c r="M2112" s="33" t="s">
        <v>6680</v>
      </c>
      <c r="N2112" s="32" t="s">
        <v>6682</v>
      </c>
      <c r="O2112" s="48">
        <v>0</v>
      </c>
      <c r="P2112" s="49"/>
      <c r="Q2112" s="81">
        <v>0</v>
      </c>
      <c r="R2112" s="80"/>
      <c r="S2112" s="48">
        <v>25</v>
      </c>
      <c r="T2112" s="72">
        <v>25</v>
      </c>
      <c r="U2112" s="70"/>
      <c r="V2112" s="32"/>
      <c r="W2112" s="70"/>
      <c r="X2112" s="70"/>
      <c r="Y2112" s="70"/>
      <c r="Z2112" s="70" t="s">
        <v>4386</v>
      </c>
      <c r="AA2112" s="71"/>
      <c r="AB2112" s="117" t="str">
        <f>IFERROR(VLOOKUP(Anexo_4[[#This Row],[cuenta]],OP,2,0),"-")</f>
        <v>Transporte de Personal (Viajes)</v>
      </c>
    </row>
    <row r="2113" spans="1:28" ht="27" customHeight="1" x14ac:dyDescent="0.3">
      <c r="A2113" s="34" t="s">
        <v>4616</v>
      </c>
      <c r="B2113" s="36" t="str">
        <f t="shared" si="39"/>
        <v>Setiembre</v>
      </c>
      <c r="C2113" s="33" t="s">
        <v>162</v>
      </c>
      <c r="D2113" s="33" t="s">
        <v>6683</v>
      </c>
      <c r="E2113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113" s="32" t="s">
        <v>248</v>
      </c>
      <c r="G2113" s="32" t="s">
        <v>249</v>
      </c>
      <c r="H2113" s="139" t="s">
        <v>6684</v>
      </c>
      <c r="I2113" s="33" t="s">
        <v>6685</v>
      </c>
      <c r="J2113" s="143" t="s">
        <v>6686</v>
      </c>
      <c r="K2113" s="33" t="s">
        <v>169</v>
      </c>
      <c r="L2113" s="102" t="str">
        <f>VLOOKUP(Anexo_4[[#This Row],[cod_doc]],TIPODOC,2,FALSE)</f>
        <v>FACTURA</v>
      </c>
      <c r="M2113" s="33" t="s">
        <v>222</v>
      </c>
      <c r="N2113" s="32" t="s">
        <v>5090</v>
      </c>
      <c r="O2113" s="48">
        <v>2392.37</v>
      </c>
      <c r="P2113" s="49"/>
      <c r="Q2113" s="81">
        <v>430.63</v>
      </c>
      <c r="R2113" s="80"/>
      <c r="S2113" s="48">
        <v>0</v>
      </c>
      <c r="T2113" s="72">
        <v>2823</v>
      </c>
      <c r="U2113" s="70"/>
      <c r="V2113" s="32"/>
      <c r="W2113" s="70"/>
      <c r="X2113" s="70"/>
      <c r="Y2113" s="70"/>
      <c r="Z2113" s="70" t="s">
        <v>256</v>
      </c>
      <c r="AA2113" s="71"/>
      <c r="AB2113" s="117" t="str">
        <f>IFERROR(VLOOKUP(Anexo_4[[#This Row],[cuenta]],OP,2,0),"-")</f>
        <v>Materias Primas - RRSS</v>
      </c>
    </row>
    <row r="2114" spans="1:28" ht="27" customHeight="1" x14ac:dyDescent="0.3">
      <c r="A2114" s="34" t="s">
        <v>4616</v>
      </c>
      <c r="B2114" s="36" t="str">
        <f t="shared" si="39"/>
        <v>Setiembre</v>
      </c>
      <c r="C2114" s="33" t="s">
        <v>162</v>
      </c>
      <c r="D2114" s="33" t="s">
        <v>6687</v>
      </c>
      <c r="E2114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114" s="32" t="s">
        <v>355</v>
      </c>
      <c r="G2114" s="32" t="s">
        <v>356</v>
      </c>
      <c r="H2114" s="139" t="s">
        <v>6688</v>
      </c>
      <c r="I2114" s="33" t="s">
        <v>6685</v>
      </c>
      <c r="J2114" s="143" t="s">
        <v>6686</v>
      </c>
      <c r="K2114" s="33" t="s">
        <v>169</v>
      </c>
      <c r="L2114" s="102" t="str">
        <f>VLOOKUP(Anexo_4[[#This Row],[cod_doc]],TIPODOC,2,FALSE)</f>
        <v>FACTURA</v>
      </c>
      <c r="M2114" s="33" t="s">
        <v>222</v>
      </c>
      <c r="N2114" s="32" t="s">
        <v>6689</v>
      </c>
      <c r="O2114" s="48">
        <v>610.16999999999996</v>
      </c>
      <c r="P2114" s="49"/>
      <c r="Q2114" s="81">
        <v>109.83</v>
      </c>
      <c r="R2114" s="80"/>
      <c r="S2114" s="48">
        <v>0</v>
      </c>
      <c r="T2114" s="72">
        <v>720</v>
      </c>
      <c r="U2114" s="70"/>
      <c r="V2114" s="32"/>
      <c r="W2114" s="70"/>
      <c r="X2114" s="70"/>
      <c r="Y2114" s="70"/>
      <c r="Z2114" s="70" t="s">
        <v>854</v>
      </c>
      <c r="AA2114" s="71"/>
      <c r="AB2114" s="117" t="str">
        <f>IFERROR(VLOOKUP(Anexo_4[[#This Row],[cuenta]],OP,2,0),"-")</f>
        <v>Disposición Final de RR.SS - Peligrosos</v>
      </c>
    </row>
    <row r="2115" spans="1:28" ht="27" customHeight="1" x14ac:dyDescent="0.3">
      <c r="A2115" s="34" t="s">
        <v>4616</v>
      </c>
      <c r="B2115" s="36" t="str">
        <f t="shared" si="39"/>
        <v>Setiembre</v>
      </c>
      <c r="C2115" s="33" t="s">
        <v>162</v>
      </c>
      <c r="D2115" s="33" t="s">
        <v>6690</v>
      </c>
      <c r="E2115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115" s="32" t="s">
        <v>355</v>
      </c>
      <c r="G2115" s="32" t="s">
        <v>356</v>
      </c>
      <c r="H2115" s="139" t="s">
        <v>6691</v>
      </c>
      <c r="I2115" s="33" t="s">
        <v>6685</v>
      </c>
      <c r="J2115" s="143" t="s">
        <v>6686</v>
      </c>
      <c r="K2115" s="33" t="s">
        <v>169</v>
      </c>
      <c r="L2115" s="102" t="str">
        <f>VLOOKUP(Anexo_4[[#This Row],[cod_doc]],TIPODOC,2,FALSE)</f>
        <v>FACTURA</v>
      </c>
      <c r="M2115" s="33" t="s">
        <v>222</v>
      </c>
      <c r="N2115" s="32" t="s">
        <v>6692</v>
      </c>
      <c r="O2115" s="48">
        <v>1089.83</v>
      </c>
      <c r="P2115" s="49"/>
      <c r="Q2115" s="81">
        <v>196.17</v>
      </c>
      <c r="R2115" s="80"/>
      <c r="S2115" s="48">
        <v>0</v>
      </c>
      <c r="T2115" s="72">
        <v>1286</v>
      </c>
      <c r="U2115" s="70"/>
      <c r="V2115" s="32"/>
      <c r="W2115" s="70"/>
      <c r="X2115" s="70"/>
      <c r="Y2115" s="70"/>
      <c r="Z2115" s="70" t="s">
        <v>854</v>
      </c>
      <c r="AA2115" s="71"/>
      <c r="AB2115" s="117" t="str">
        <f>IFERROR(VLOOKUP(Anexo_4[[#This Row],[cuenta]],OP,2,0),"-")</f>
        <v>Disposición Final de RR.SS - Peligrosos</v>
      </c>
    </row>
    <row r="2116" spans="1:28" ht="27" customHeight="1" x14ac:dyDescent="0.3">
      <c r="A2116" s="34" t="s">
        <v>5910</v>
      </c>
      <c r="B2116" s="36" t="str">
        <f t="shared" si="39"/>
        <v>Setiembre</v>
      </c>
      <c r="C2116" s="33" t="s">
        <v>162</v>
      </c>
      <c r="D2116" s="33" t="s">
        <v>6693</v>
      </c>
      <c r="E2116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116" s="32" t="s">
        <v>650</v>
      </c>
      <c r="G2116" s="32" t="s">
        <v>651</v>
      </c>
      <c r="H2116" s="139" t="s">
        <v>6694</v>
      </c>
      <c r="I2116" s="33" t="s">
        <v>1083</v>
      </c>
      <c r="J2116" s="143" t="s">
        <v>6695</v>
      </c>
      <c r="K2116" s="33" t="s">
        <v>239</v>
      </c>
      <c r="L2116" s="102" t="str">
        <f>VLOOKUP(Anexo_4[[#This Row],[cod_doc]],TIPODOC,2,FALSE)</f>
        <v>BOLETA DE VENTA</v>
      </c>
      <c r="M2116" s="33" t="s">
        <v>5938</v>
      </c>
      <c r="N2116" s="32" t="s">
        <v>6696</v>
      </c>
      <c r="O2116" s="48">
        <v>0</v>
      </c>
      <c r="P2116" s="49"/>
      <c r="Q2116" s="81">
        <v>0</v>
      </c>
      <c r="R2116" s="80"/>
      <c r="S2116" s="48">
        <v>114</v>
      </c>
      <c r="T2116" s="72">
        <v>114</v>
      </c>
      <c r="U2116" s="70"/>
      <c r="V2116" s="32"/>
      <c r="W2116" s="70"/>
      <c r="X2116" s="70"/>
      <c r="Y2116" s="70"/>
      <c r="Z2116" s="70" t="s">
        <v>684</v>
      </c>
      <c r="AA2116" s="71"/>
      <c r="AB2116" s="117" t="str">
        <f>IFERROR(VLOOKUP(Anexo_4[[#This Row],[cuenta]],OP,2,0),"-")</f>
        <v>-</v>
      </c>
    </row>
    <row r="2117" spans="1:28" ht="27" customHeight="1" x14ac:dyDescent="0.3">
      <c r="A2117" s="34" t="s">
        <v>5910</v>
      </c>
      <c r="B2117" s="36" t="str">
        <f t="shared" si="39"/>
        <v>Setiembre</v>
      </c>
      <c r="C2117" s="33" t="s">
        <v>162</v>
      </c>
      <c r="D2117" s="33" t="s">
        <v>6697</v>
      </c>
      <c r="E2117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117" s="32" t="s">
        <v>650</v>
      </c>
      <c r="G2117" s="32" t="s">
        <v>651</v>
      </c>
      <c r="H2117" s="139" t="s">
        <v>6698</v>
      </c>
      <c r="I2117" s="33" t="s">
        <v>1089</v>
      </c>
      <c r="J2117" s="143" t="s">
        <v>4705</v>
      </c>
      <c r="K2117" s="33" t="s">
        <v>169</v>
      </c>
      <c r="L2117" s="102" t="str">
        <f>VLOOKUP(Anexo_4[[#This Row],[cod_doc]],TIPODOC,2,FALSE)</f>
        <v>FACTURA</v>
      </c>
      <c r="M2117" s="33" t="s">
        <v>102</v>
      </c>
      <c r="N2117" s="32" t="s">
        <v>6699</v>
      </c>
      <c r="O2117" s="48"/>
      <c r="P2117" s="49">
        <v>116.36</v>
      </c>
      <c r="Q2117" s="81"/>
      <c r="R2117" s="80">
        <v>11.64</v>
      </c>
      <c r="S2117" s="48">
        <v>0</v>
      </c>
      <c r="T2117" s="72">
        <v>128</v>
      </c>
      <c r="U2117" s="70"/>
      <c r="V2117" s="32"/>
      <c r="W2117" s="70"/>
      <c r="X2117" s="70"/>
      <c r="Y2117" s="70"/>
      <c r="Z2117" s="70" t="s">
        <v>684</v>
      </c>
      <c r="AA2117" s="71"/>
      <c r="AB2117" s="117" t="str">
        <f>IFERROR(VLOOKUP(Anexo_4[[#This Row],[cuenta]],OP,2,0),"-")</f>
        <v>-</v>
      </c>
    </row>
    <row r="2118" spans="1:28" ht="27" customHeight="1" x14ac:dyDescent="0.3">
      <c r="A2118" s="34" t="s">
        <v>5238</v>
      </c>
      <c r="B2118" s="36" t="str">
        <f t="shared" si="39"/>
        <v>Setiembre</v>
      </c>
      <c r="C2118" s="33" t="s">
        <v>162</v>
      </c>
      <c r="D2118" s="33" t="s">
        <v>6700</v>
      </c>
      <c r="E2118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118" s="32" t="s">
        <v>650</v>
      </c>
      <c r="G2118" s="32" t="s">
        <v>651</v>
      </c>
      <c r="H2118" s="139" t="s">
        <v>6701</v>
      </c>
      <c r="I2118" s="33" t="s">
        <v>6702</v>
      </c>
      <c r="J2118" s="143" t="s">
        <v>6703</v>
      </c>
      <c r="K2118" s="33" t="s">
        <v>169</v>
      </c>
      <c r="L2118" s="102" t="str">
        <f>VLOOKUP(Anexo_4[[#This Row],[cod_doc]],TIPODOC,2,FALSE)</f>
        <v>FACTURA</v>
      </c>
      <c r="M2118" s="33" t="s">
        <v>222</v>
      </c>
      <c r="N2118" s="32" t="s">
        <v>6704</v>
      </c>
      <c r="O2118" s="48">
        <v>11.19</v>
      </c>
      <c r="P2118" s="49"/>
      <c r="Q2118" s="81">
        <v>2.0099999999999998</v>
      </c>
      <c r="R2118" s="80"/>
      <c r="S2118" s="48">
        <v>0</v>
      </c>
      <c r="T2118" s="72">
        <v>13.2</v>
      </c>
      <c r="U2118" s="70"/>
      <c r="V2118" s="32"/>
      <c r="W2118" s="70"/>
      <c r="X2118" s="70"/>
      <c r="Y2118" s="70"/>
      <c r="Z2118" s="70" t="s">
        <v>684</v>
      </c>
      <c r="AA2118" s="71"/>
      <c r="AB2118" s="117" t="str">
        <f>IFERROR(VLOOKUP(Anexo_4[[#This Row],[cuenta]],OP,2,0),"-")</f>
        <v>-</v>
      </c>
    </row>
    <row r="2119" spans="1:28" ht="27" customHeight="1" x14ac:dyDescent="0.3">
      <c r="A2119" s="34" t="s">
        <v>5238</v>
      </c>
      <c r="B2119" s="36" t="str">
        <f t="shared" si="39"/>
        <v>Setiembre</v>
      </c>
      <c r="C2119" s="33" t="s">
        <v>162</v>
      </c>
      <c r="D2119" s="33" t="s">
        <v>6705</v>
      </c>
      <c r="E2119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119" s="32" t="s">
        <v>650</v>
      </c>
      <c r="G2119" s="32" t="s">
        <v>651</v>
      </c>
      <c r="H2119" s="139" t="s">
        <v>6706</v>
      </c>
      <c r="I2119" s="33" t="s">
        <v>6707</v>
      </c>
      <c r="J2119" s="143" t="s">
        <v>6708</v>
      </c>
      <c r="K2119" s="33" t="s">
        <v>169</v>
      </c>
      <c r="L2119" s="102" t="str">
        <f>VLOOKUP(Anexo_4[[#This Row],[cod_doc]],TIPODOC,2,FALSE)</f>
        <v>FACTURA</v>
      </c>
      <c r="M2119" s="33" t="s">
        <v>6709</v>
      </c>
      <c r="N2119" s="32" t="s">
        <v>6710</v>
      </c>
      <c r="O2119" s="48">
        <v>16.95</v>
      </c>
      <c r="P2119" s="49"/>
      <c r="Q2119" s="81">
        <v>3.05</v>
      </c>
      <c r="R2119" s="80"/>
      <c r="S2119" s="48">
        <v>0</v>
      </c>
      <c r="T2119" s="72">
        <v>20</v>
      </c>
      <c r="U2119" s="70"/>
      <c r="V2119" s="32"/>
      <c r="W2119" s="70"/>
      <c r="X2119" s="70"/>
      <c r="Y2119" s="70"/>
      <c r="Z2119" s="70" t="s">
        <v>684</v>
      </c>
      <c r="AA2119" s="71"/>
      <c r="AB2119" s="117" t="str">
        <f>IFERROR(VLOOKUP(Anexo_4[[#This Row],[cuenta]],OP,2,0),"-")</f>
        <v>-</v>
      </c>
    </row>
    <row r="2120" spans="1:28" ht="27" customHeight="1" x14ac:dyDescent="0.3">
      <c r="A2120" s="34" t="s">
        <v>5238</v>
      </c>
      <c r="B2120" s="36" t="str">
        <f t="shared" si="39"/>
        <v>Setiembre</v>
      </c>
      <c r="C2120" s="33" t="s">
        <v>162</v>
      </c>
      <c r="D2120" s="33" t="s">
        <v>6711</v>
      </c>
      <c r="E2120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120" s="32" t="s">
        <v>650</v>
      </c>
      <c r="G2120" s="32" t="s">
        <v>651</v>
      </c>
      <c r="H2120" s="139" t="s">
        <v>6712</v>
      </c>
      <c r="I2120" s="33" t="s">
        <v>6636</v>
      </c>
      <c r="J2120" s="143" t="s">
        <v>6637</v>
      </c>
      <c r="K2120" s="33" t="s">
        <v>169</v>
      </c>
      <c r="L2120" s="102" t="str">
        <f>VLOOKUP(Anexo_4[[#This Row],[cod_doc]],TIPODOC,2,FALSE)</f>
        <v>FACTURA</v>
      </c>
      <c r="M2120" s="33" t="s">
        <v>6638</v>
      </c>
      <c r="N2120" s="32" t="s">
        <v>6713</v>
      </c>
      <c r="O2120" s="48">
        <v>70.55</v>
      </c>
      <c r="P2120" s="49"/>
      <c r="Q2120" s="81">
        <v>12.7</v>
      </c>
      <c r="R2120" s="80"/>
      <c r="S2120" s="48">
        <v>0</v>
      </c>
      <c r="T2120" s="72">
        <v>83.25</v>
      </c>
      <c r="U2120" s="70"/>
      <c r="V2120" s="32"/>
      <c r="W2120" s="70"/>
      <c r="X2120" s="70"/>
      <c r="Y2120" s="70"/>
      <c r="Z2120" s="70" t="s">
        <v>684</v>
      </c>
      <c r="AA2120" s="71"/>
      <c r="AB2120" s="117" t="str">
        <f>IFERROR(VLOOKUP(Anexo_4[[#This Row],[cuenta]],OP,2,0),"-")</f>
        <v>-</v>
      </c>
    </row>
    <row r="2121" spans="1:28" ht="27" customHeight="1" x14ac:dyDescent="0.3">
      <c r="A2121" s="34" t="s">
        <v>5238</v>
      </c>
      <c r="B2121" s="36" t="str">
        <f t="shared" si="39"/>
        <v>Setiembre</v>
      </c>
      <c r="C2121" s="33" t="s">
        <v>162</v>
      </c>
      <c r="D2121" s="33" t="s">
        <v>6714</v>
      </c>
      <c r="E2121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121" s="32" t="s">
        <v>650</v>
      </c>
      <c r="G2121" s="32" t="s">
        <v>651</v>
      </c>
      <c r="H2121" s="139" t="s">
        <v>6715</v>
      </c>
      <c r="I2121" s="33" t="s">
        <v>6716</v>
      </c>
      <c r="J2121" s="143" t="s">
        <v>6717</v>
      </c>
      <c r="K2121" s="33" t="s">
        <v>239</v>
      </c>
      <c r="L2121" s="102" t="str">
        <f>VLOOKUP(Anexo_4[[#This Row],[cod_doc]],TIPODOC,2,FALSE)</f>
        <v>BOLETA DE VENTA</v>
      </c>
      <c r="M2121" s="33" t="s">
        <v>5938</v>
      </c>
      <c r="N2121" s="32" t="s">
        <v>6718</v>
      </c>
      <c r="O2121" s="48">
        <v>0</v>
      </c>
      <c r="P2121" s="49"/>
      <c r="Q2121" s="81">
        <v>0</v>
      </c>
      <c r="R2121" s="80"/>
      <c r="S2121" s="48">
        <v>18.5</v>
      </c>
      <c r="T2121" s="72">
        <v>18.5</v>
      </c>
      <c r="U2121" s="70"/>
      <c r="V2121" s="32"/>
      <c r="W2121" s="70"/>
      <c r="X2121" s="70"/>
      <c r="Y2121" s="70"/>
      <c r="Z2121" s="70" t="s">
        <v>684</v>
      </c>
      <c r="AA2121" s="71"/>
      <c r="AB2121" s="117" t="str">
        <f>IFERROR(VLOOKUP(Anexo_4[[#This Row],[cuenta]],OP,2,0),"-")</f>
        <v>-</v>
      </c>
    </row>
    <row r="2122" spans="1:28" ht="27" customHeight="1" x14ac:dyDescent="0.3">
      <c r="A2122" s="34" t="s">
        <v>5238</v>
      </c>
      <c r="B2122" s="36" t="str">
        <f t="shared" si="39"/>
        <v>Setiembre</v>
      </c>
      <c r="C2122" s="33" t="s">
        <v>162</v>
      </c>
      <c r="D2122" s="33" t="s">
        <v>6719</v>
      </c>
      <c r="E2122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122" s="32" t="s">
        <v>248</v>
      </c>
      <c r="G2122" s="32" t="s">
        <v>249</v>
      </c>
      <c r="H2122" s="139" t="s">
        <v>6720</v>
      </c>
      <c r="I2122" s="33" t="s">
        <v>6721</v>
      </c>
      <c r="J2122" s="143" t="s">
        <v>6722</v>
      </c>
      <c r="K2122" s="33" t="s">
        <v>169</v>
      </c>
      <c r="L2122" s="102" t="str">
        <f>VLOOKUP(Anexo_4[[#This Row],[cod_doc]],TIPODOC,2,FALSE)</f>
        <v>FACTURA</v>
      </c>
      <c r="M2122" s="33" t="s">
        <v>222</v>
      </c>
      <c r="N2122" s="32" t="s">
        <v>6723</v>
      </c>
      <c r="O2122" s="48">
        <v>134.6</v>
      </c>
      <c r="P2122" s="49"/>
      <c r="Q2122" s="81">
        <v>24.23</v>
      </c>
      <c r="R2122" s="80"/>
      <c r="S2122" s="48">
        <v>0</v>
      </c>
      <c r="T2122" s="72">
        <v>158.83000000000001</v>
      </c>
      <c r="U2122" s="70"/>
      <c r="V2122" s="32"/>
      <c r="W2122" s="70"/>
      <c r="X2122" s="70"/>
      <c r="Y2122" s="70"/>
      <c r="Z2122" s="70" t="s">
        <v>256</v>
      </c>
      <c r="AA2122" s="71"/>
      <c r="AB2122" s="117" t="str">
        <f>IFERROR(VLOOKUP(Anexo_4[[#This Row],[cuenta]],OP,2,0),"-")</f>
        <v>Materias Primas - RRSS</v>
      </c>
    </row>
    <row r="2123" spans="1:28" ht="27" customHeight="1" x14ac:dyDescent="0.3">
      <c r="A2123" s="34" t="s">
        <v>5238</v>
      </c>
      <c r="B2123" s="36" t="str">
        <f t="shared" si="31"/>
        <v>Setiembre</v>
      </c>
      <c r="C2123" s="33" t="s">
        <v>162</v>
      </c>
      <c r="D2123" s="33" t="s">
        <v>6724</v>
      </c>
      <c r="E2123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123" s="32" t="s">
        <v>248</v>
      </c>
      <c r="G2123" s="32" t="s">
        <v>249</v>
      </c>
      <c r="H2123" s="139" t="s">
        <v>6725</v>
      </c>
      <c r="I2123" s="33" t="s">
        <v>6721</v>
      </c>
      <c r="J2123" s="143" t="s">
        <v>6722</v>
      </c>
      <c r="K2123" s="33" t="s">
        <v>169</v>
      </c>
      <c r="L2123" s="102" t="str">
        <f>VLOOKUP(Anexo_4[[#This Row],[cod_doc]],TIPODOC,2,FALSE)</f>
        <v>FACTURA</v>
      </c>
      <c r="M2123" s="33" t="s">
        <v>222</v>
      </c>
      <c r="N2123" s="32" t="s">
        <v>6726</v>
      </c>
      <c r="O2123" s="48">
        <v>486.4</v>
      </c>
      <c r="P2123" s="49"/>
      <c r="Q2123" s="81">
        <v>87.55</v>
      </c>
      <c r="R2123" s="80"/>
      <c r="S2123" s="48">
        <v>0</v>
      </c>
      <c r="T2123" s="72">
        <v>573.95000000000005</v>
      </c>
      <c r="U2123" s="70"/>
      <c r="V2123" s="32"/>
      <c r="W2123" s="70"/>
      <c r="X2123" s="70"/>
      <c r="Y2123" s="70"/>
      <c r="Z2123" s="70" t="s">
        <v>256</v>
      </c>
      <c r="AA2123" s="71"/>
      <c r="AB2123" s="117" t="str">
        <f>IFERROR(VLOOKUP(Anexo_4[[#This Row],[cuenta]],OP,2,0),"-")</f>
        <v>Materias Primas - RRSS</v>
      </c>
    </row>
    <row r="2124" spans="1:28" ht="27" customHeight="1" x14ac:dyDescent="0.3">
      <c r="A2124" s="34" t="s">
        <v>5238</v>
      </c>
      <c r="B2124" s="36" t="str">
        <f t="shared" si="31"/>
        <v>Setiembre</v>
      </c>
      <c r="C2124" s="33" t="s">
        <v>162</v>
      </c>
      <c r="D2124" s="33" t="s">
        <v>6727</v>
      </c>
      <c r="E2124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124" s="32" t="s">
        <v>248</v>
      </c>
      <c r="G2124" s="32" t="s">
        <v>249</v>
      </c>
      <c r="H2124" s="139" t="s">
        <v>6728</v>
      </c>
      <c r="I2124" s="33" t="s">
        <v>6721</v>
      </c>
      <c r="J2124" s="143" t="s">
        <v>6722</v>
      </c>
      <c r="K2124" s="33" t="s">
        <v>169</v>
      </c>
      <c r="L2124" s="102" t="str">
        <f>VLOOKUP(Anexo_4[[#This Row],[cod_doc]],TIPODOC,2,FALSE)</f>
        <v>FACTURA</v>
      </c>
      <c r="M2124" s="33" t="s">
        <v>222</v>
      </c>
      <c r="N2124" s="32" t="s">
        <v>6729</v>
      </c>
      <c r="O2124" s="48">
        <v>770.08</v>
      </c>
      <c r="P2124" s="49"/>
      <c r="Q2124" s="81">
        <v>138.61000000000001</v>
      </c>
      <c r="R2124" s="80"/>
      <c r="S2124" s="48">
        <v>0</v>
      </c>
      <c r="T2124" s="72">
        <v>908.69</v>
      </c>
      <c r="U2124" s="70"/>
      <c r="V2124" s="32"/>
      <c r="W2124" s="70"/>
      <c r="X2124" s="70"/>
      <c r="Y2124" s="70"/>
      <c r="Z2124" s="70" t="s">
        <v>256</v>
      </c>
      <c r="AA2124" s="71"/>
      <c r="AB2124" s="117" t="str">
        <f>IFERROR(VLOOKUP(Anexo_4[[#This Row],[cuenta]],OP,2,0),"-")</f>
        <v>Materias Primas - RRSS</v>
      </c>
    </row>
    <row r="2125" spans="1:28" ht="27" customHeight="1" x14ac:dyDescent="0.3">
      <c r="A2125" s="34" t="s">
        <v>5255</v>
      </c>
      <c r="B2125" s="36" t="str">
        <f t="shared" si="31"/>
        <v>Setiembre</v>
      </c>
      <c r="C2125" s="33" t="s">
        <v>162</v>
      </c>
      <c r="D2125" s="33" t="s">
        <v>6730</v>
      </c>
      <c r="E2125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125" s="32" t="s">
        <v>355</v>
      </c>
      <c r="G2125" s="32" t="s">
        <v>356</v>
      </c>
      <c r="H2125" s="139" t="s">
        <v>633</v>
      </c>
      <c r="I2125" s="33" t="s">
        <v>6731</v>
      </c>
      <c r="J2125" s="143" t="s">
        <v>6732</v>
      </c>
      <c r="K2125" s="33" t="s">
        <v>169</v>
      </c>
      <c r="L2125" s="102" t="str">
        <f>VLOOKUP(Anexo_4[[#This Row],[cod_doc]],TIPODOC,2,FALSE)</f>
        <v>FACTURA</v>
      </c>
      <c r="M2125" s="33" t="s">
        <v>314</v>
      </c>
      <c r="N2125" s="32" t="s">
        <v>6733</v>
      </c>
      <c r="O2125" s="48">
        <v>41.45</v>
      </c>
      <c r="P2125" s="49"/>
      <c r="Q2125" s="81">
        <v>7.4610000000000003</v>
      </c>
      <c r="R2125" s="80"/>
      <c r="S2125" s="48">
        <v>2.48</v>
      </c>
      <c r="T2125" s="72">
        <v>51.390999999999998</v>
      </c>
      <c r="U2125" s="70"/>
      <c r="V2125" s="32"/>
      <c r="W2125" s="70"/>
      <c r="X2125" s="70"/>
      <c r="Y2125" s="70"/>
      <c r="Z2125" s="70" t="s">
        <v>361</v>
      </c>
      <c r="AA2125" s="71"/>
      <c r="AB2125" s="117" t="str">
        <f>IFERROR(VLOOKUP(Anexo_4[[#This Row],[cuenta]],OP,2,0),"-")</f>
        <v>Alimentacion (Operativo)</v>
      </c>
    </row>
    <row r="2126" spans="1:28" ht="27" customHeight="1" x14ac:dyDescent="0.3">
      <c r="A2126" s="34" t="s">
        <v>5255</v>
      </c>
      <c r="B2126" s="36" t="str">
        <f t="shared" si="31"/>
        <v>Setiembre</v>
      </c>
      <c r="C2126" s="33" t="s">
        <v>162</v>
      </c>
      <c r="D2126" s="33" t="s">
        <v>6730</v>
      </c>
      <c r="E2126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126" s="32" t="s">
        <v>355</v>
      </c>
      <c r="G2126" s="32" t="s">
        <v>356</v>
      </c>
      <c r="H2126" s="139" t="s">
        <v>633</v>
      </c>
      <c r="I2126" s="33" t="s">
        <v>6731</v>
      </c>
      <c r="J2126" s="143" t="s">
        <v>6732</v>
      </c>
      <c r="K2126" s="33" t="s">
        <v>169</v>
      </c>
      <c r="L2126" s="102" t="str">
        <f>VLOOKUP(Anexo_4[[#This Row],[cod_doc]],TIPODOC,2,FALSE)</f>
        <v>FACTURA</v>
      </c>
      <c r="M2126" s="33" t="s">
        <v>314</v>
      </c>
      <c r="N2126" s="32" t="s">
        <v>6733</v>
      </c>
      <c r="O2126" s="48"/>
      <c r="P2126" s="49"/>
      <c r="Q2126" s="81"/>
      <c r="R2126" s="80"/>
      <c r="S2126" s="48"/>
      <c r="T2126" s="72"/>
      <c r="U2126" s="70"/>
      <c r="V2126" s="32"/>
      <c r="W2126" s="70"/>
      <c r="X2126" s="70"/>
      <c r="Y2126" s="70"/>
      <c r="Z2126" s="70" t="s">
        <v>361</v>
      </c>
      <c r="AA2126" s="71"/>
      <c r="AB2126" s="117" t="str">
        <f>IFERROR(VLOOKUP(Anexo_4[[#This Row],[cuenta]],OP,2,0),"-")</f>
        <v>Alimentacion (Operativo)</v>
      </c>
    </row>
    <row r="2127" spans="1:28" ht="27" customHeight="1" x14ac:dyDescent="0.3">
      <c r="A2127" s="34" t="s">
        <v>5255</v>
      </c>
      <c r="B2127" s="36" t="str">
        <f t="shared" si="31"/>
        <v>Setiembre</v>
      </c>
      <c r="C2127" s="33" t="s">
        <v>162</v>
      </c>
      <c r="D2127" s="33" t="s">
        <v>6734</v>
      </c>
      <c r="E2127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127" s="32" t="s">
        <v>355</v>
      </c>
      <c r="G2127" s="32" t="s">
        <v>356</v>
      </c>
      <c r="H2127" s="139" t="s">
        <v>3775</v>
      </c>
      <c r="I2127" s="33" t="s">
        <v>6735</v>
      </c>
      <c r="J2127" s="143" t="s">
        <v>6736</v>
      </c>
      <c r="K2127" s="33" t="s">
        <v>169</v>
      </c>
      <c r="L2127" s="102" t="str">
        <f>VLOOKUP(Anexo_4[[#This Row],[cod_doc]],TIPODOC,2,FALSE)</f>
        <v>FACTURA</v>
      </c>
      <c r="M2127" s="33" t="s">
        <v>6737</v>
      </c>
      <c r="N2127" s="32" t="s">
        <v>5044</v>
      </c>
      <c r="O2127" s="48">
        <v>406.78</v>
      </c>
      <c r="P2127" s="49"/>
      <c r="Q2127" s="81">
        <v>73.22</v>
      </c>
      <c r="R2127" s="80"/>
      <c r="S2127" s="48">
        <v>0</v>
      </c>
      <c r="T2127" s="72">
        <v>480</v>
      </c>
      <c r="U2127" s="70"/>
      <c r="V2127" s="32"/>
      <c r="W2127" s="70"/>
      <c r="X2127" s="70"/>
      <c r="Y2127" s="70"/>
      <c r="Z2127" s="70" t="s">
        <v>376</v>
      </c>
      <c r="AA2127" s="71"/>
      <c r="AB2127" s="117" t="str">
        <f>IFERROR(VLOOKUP(Anexo_4[[#This Row],[cuenta]],OP,2,0),"-")</f>
        <v>Alojamiento (Operativo)</v>
      </c>
    </row>
    <row r="2128" spans="1:28" ht="27" customHeight="1" x14ac:dyDescent="0.3">
      <c r="A2128" s="34" t="s">
        <v>5585</v>
      </c>
      <c r="B2128" s="36" t="str">
        <f t="shared" si="31"/>
        <v>Setiembre</v>
      </c>
      <c r="C2128" s="33" t="s">
        <v>162</v>
      </c>
      <c r="D2128" s="33" t="s">
        <v>6738</v>
      </c>
      <c r="E2128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128" s="32" t="s">
        <v>355</v>
      </c>
      <c r="G2128" s="32" t="s">
        <v>356</v>
      </c>
      <c r="H2128" s="139" t="s">
        <v>6739</v>
      </c>
      <c r="I2128" s="33" t="s">
        <v>5994</v>
      </c>
      <c r="J2128" s="143" t="s">
        <v>5995</v>
      </c>
      <c r="K2128" s="33" t="s">
        <v>169</v>
      </c>
      <c r="L2128" s="102" t="str">
        <f>VLOOKUP(Anexo_4[[#This Row],[cod_doc]],TIPODOC,2,FALSE)</f>
        <v>FACTURA</v>
      </c>
      <c r="M2128" s="33" t="s">
        <v>6740</v>
      </c>
      <c r="N2128" s="32" t="s">
        <v>6741</v>
      </c>
      <c r="O2128" s="48">
        <v>38.64</v>
      </c>
      <c r="P2128" s="49"/>
      <c r="Q2128" s="81">
        <v>6.96</v>
      </c>
      <c r="R2128" s="80"/>
      <c r="S2128" s="48">
        <v>0</v>
      </c>
      <c r="T2128" s="72">
        <v>45.6</v>
      </c>
      <c r="U2128" s="70"/>
      <c r="V2128" s="32"/>
      <c r="W2128" s="70"/>
      <c r="X2128" s="70"/>
      <c r="Y2128" s="70"/>
      <c r="Z2128" s="70" t="s">
        <v>361</v>
      </c>
      <c r="AA2128" s="71"/>
      <c r="AB2128" s="117" t="str">
        <f>IFERROR(VLOOKUP(Anexo_4[[#This Row],[cuenta]],OP,2,0),"-")</f>
        <v>Alimentacion (Operativo)</v>
      </c>
    </row>
    <row r="2129" spans="1:28" ht="27" customHeight="1" x14ac:dyDescent="0.3">
      <c r="A2129" s="34" t="s">
        <v>6536</v>
      </c>
      <c r="B2129" s="36" t="str">
        <f t="shared" si="31"/>
        <v>Setiembre</v>
      </c>
      <c r="C2129" s="33" t="s">
        <v>162</v>
      </c>
      <c r="D2129" s="33" t="s">
        <v>6742</v>
      </c>
      <c r="E2129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129" s="32" t="s">
        <v>217</v>
      </c>
      <c r="G2129" s="32" t="s">
        <v>4839</v>
      </c>
      <c r="H2129" s="139" t="s">
        <v>6743</v>
      </c>
      <c r="I2129" s="33" t="s">
        <v>264</v>
      </c>
      <c r="J2129" s="143" t="s">
        <v>4644</v>
      </c>
      <c r="K2129" s="33" t="s">
        <v>169</v>
      </c>
      <c r="L2129" s="102" t="str">
        <f>VLOOKUP(Anexo_4[[#This Row],[cod_doc]],TIPODOC,2,FALSE)</f>
        <v>FACTURA</v>
      </c>
      <c r="M2129" s="33" t="s">
        <v>352</v>
      </c>
      <c r="N2129" s="32" t="s">
        <v>6744</v>
      </c>
      <c r="O2129" s="48">
        <v>6.78</v>
      </c>
      <c r="P2129" s="49"/>
      <c r="Q2129" s="81">
        <v>1.22</v>
      </c>
      <c r="R2129" s="80"/>
      <c r="S2129" s="48">
        <v>0</v>
      </c>
      <c r="T2129" s="72">
        <v>8</v>
      </c>
      <c r="U2129" s="70"/>
      <c r="V2129" s="32"/>
      <c r="W2129" s="70"/>
      <c r="X2129" s="70"/>
      <c r="Y2129" s="70"/>
      <c r="Z2129" s="70" t="s">
        <v>302</v>
      </c>
      <c r="AA2129" s="71"/>
      <c r="AB2129" s="117" t="str">
        <f>IFERROR(VLOOKUP(Anexo_4[[#This Row],[cuenta]],OP,2,0),"-")</f>
        <v>Transporte peajes - Servicios</v>
      </c>
    </row>
    <row r="2130" spans="1:28" ht="27" customHeight="1" x14ac:dyDescent="0.3">
      <c r="A2130" s="34" t="s">
        <v>6536</v>
      </c>
      <c r="B2130" s="36" t="str">
        <f t="shared" si="31"/>
        <v>Setiembre</v>
      </c>
      <c r="C2130" s="33" t="s">
        <v>162</v>
      </c>
      <c r="D2130" s="33" t="s">
        <v>6745</v>
      </c>
      <c r="E2130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130" s="32" t="s">
        <v>217</v>
      </c>
      <c r="G2130" s="32" t="s">
        <v>4839</v>
      </c>
      <c r="H2130" s="139" t="s">
        <v>6746</v>
      </c>
      <c r="I2130" s="33" t="s">
        <v>264</v>
      </c>
      <c r="J2130" s="143" t="s">
        <v>4644</v>
      </c>
      <c r="K2130" s="33" t="s">
        <v>169</v>
      </c>
      <c r="L2130" s="102" t="str">
        <f>VLOOKUP(Anexo_4[[#This Row],[cod_doc]],TIPODOC,2,FALSE)</f>
        <v>FACTURA</v>
      </c>
      <c r="M2130" s="33" t="s">
        <v>271</v>
      </c>
      <c r="N2130" s="32" t="s">
        <v>6747</v>
      </c>
      <c r="O2130" s="48">
        <v>6.78</v>
      </c>
      <c r="P2130" s="49"/>
      <c r="Q2130" s="81">
        <v>1.22</v>
      </c>
      <c r="R2130" s="80"/>
      <c r="S2130" s="48">
        <v>0</v>
      </c>
      <c r="T2130" s="72">
        <v>8</v>
      </c>
      <c r="U2130" s="70"/>
      <c r="V2130" s="32"/>
      <c r="W2130" s="70"/>
      <c r="X2130" s="70"/>
      <c r="Y2130" s="70"/>
      <c r="Z2130" s="70" t="s">
        <v>302</v>
      </c>
      <c r="AA2130" s="71"/>
      <c r="AB2130" s="117" t="str">
        <f>IFERROR(VLOOKUP(Anexo_4[[#This Row],[cuenta]],OP,2,0),"-")</f>
        <v>Transporte peajes - Servicios</v>
      </c>
    </row>
    <row r="2131" spans="1:28" ht="27" customHeight="1" x14ac:dyDescent="0.3">
      <c r="A2131" s="34" t="s">
        <v>6384</v>
      </c>
      <c r="B2131" s="36" t="str">
        <f t="shared" si="31"/>
        <v>Setiembre</v>
      </c>
      <c r="C2131" s="33" t="s">
        <v>162</v>
      </c>
      <c r="D2131" s="33" t="s">
        <v>6748</v>
      </c>
      <c r="E2131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131" s="32" t="s">
        <v>217</v>
      </c>
      <c r="G2131" s="32" t="s">
        <v>4839</v>
      </c>
      <c r="H2131" s="139" t="s">
        <v>6749</v>
      </c>
      <c r="I2131" s="33" t="s">
        <v>264</v>
      </c>
      <c r="J2131" s="143" t="s">
        <v>4644</v>
      </c>
      <c r="K2131" s="33" t="s">
        <v>169</v>
      </c>
      <c r="L2131" s="102" t="str">
        <f>VLOOKUP(Anexo_4[[#This Row],[cod_doc]],TIPODOC,2,FALSE)</f>
        <v>FACTURA</v>
      </c>
      <c r="M2131" s="33" t="s">
        <v>379</v>
      </c>
      <c r="N2131" s="32" t="s">
        <v>6750</v>
      </c>
      <c r="O2131" s="48">
        <v>6.78</v>
      </c>
      <c r="P2131" s="49"/>
      <c r="Q2131" s="81">
        <v>1.22</v>
      </c>
      <c r="R2131" s="80"/>
      <c r="S2131" s="48">
        <v>0</v>
      </c>
      <c r="T2131" s="72">
        <v>8</v>
      </c>
      <c r="U2131" s="70"/>
      <c r="V2131" s="32"/>
      <c r="W2131" s="70"/>
      <c r="X2131" s="70"/>
      <c r="Y2131" s="70"/>
      <c r="Z2131" s="70" t="s">
        <v>302</v>
      </c>
      <c r="AA2131" s="71"/>
      <c r="AB2131" s="117" t="str">
        <f>IFERROR(VLOOKUP(Anexo_4[[#This Row],[cuenta]],OP,2,0),"-")</f>
        <v>Transporte peajes - Servicios</v>
      </c>
    </row>
    <row r="2132" spans="1:28" ht="27" customHeight="1" x14ac:dyDescent="0.3">
      <c r="A2132" s="34" t="s">
        <v>6384</v>
      </c>
      <c r="B2132" s="36" t="str">
        <f t="shared" si="31"/>
        <v>Setiembre</v>
      </c>
      <c r="C2132" s="33" t="s">
        <v>162</v>
      </c>
      <c r="D2132" s="33" t="s">
        <v>6751</v>
      </c>
      <c r="E2132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132" s="32" t="s">
        <v>217</v>
      </c>
      <c r="G2132" s="32" t="s">
        <v>4839</v>
      </c>
      <c r="H2132" s="139" t="s">
        <v>6752</v>
      </c>
      <c r="I2132" s="33" t="s">
        <v>264</v>
      </c>
      <c r="J2132" s="143" t="s">
        <v>4644</v>
      </c>
      <c r="K2132" s="33" t="s">
        <v>169</v>
      </c>
      <c r="L2132" s="102" t="str">
        <f>VLOOKUP(Anexo_4[[#This Row],[cod_doc]],TIPODOC,2,FALSE)</f>
        <v>FACTURA</v>
      </c>
      <c r="M2132" s="33" t="s">
        <v>406</v>
      </c>
      <c r="N2132" s="32" t="s">
        <v>6753</v>
      </c>
      <c r="O2132" s="48">
        <v>6.78</v>
      </c>
      <c r="P2132" s="49"/>
      <c r="Q2132" s="81">
        <v>1.22</v>
      </c>
      <c r="R2132" s="80"/>
      <c r="S2132" s="48">
        <v>0</v>
      </c>
      <c r="T2132" s="72">
        <v>8</v>
      </c>
      <c r="U2132" s="70"/>
      <c r="V2132" s="32"/>
      <c r="W2132" s="70"/>
      <c r="X2132" s="70"/>
      <c r="Y2132" s="70"/>
      <c r="Z2132" s="70" t="s">
        <v>302</v>
      </c>
      <c r="AA2132" s="71"/>
      <c r="AB2132" s="117" t="str">
        <f>IFERROR(VLOOKUP(Anexo_4[[#This Row],[cuenta]],OP,2,0),"-")</f>
        <v>Transporte peajes - Servicios</v>
      </c>
    </row>
    <row r="2133" spans="1:28" ht="27" customHeight="1" x14ac:dyDescent="0.3">
      <c r="A2133" s="34" t="s">
        <v>6380</v>
      </c>
      <c r="B2133" s="36" t="str">
        <f t="shared" si="31"/>
        <v>Setiembre</v>
      </c>
      <c r="C2133" s="33" t="s">
        <v>162</v>
      </c>
      <c r="D2133" s="33" t="s">
        <v>6754</v>
      </c>
      <c r="E2133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133" s="32" t="s">
        <v>217</v>
      </c>
      <c r="G2133" s="32" t="s">
        <v>4839</v>
      </c>
      <c r="H2133" s="139" t="s">
        <v>6755</v>
      </c>
      <c r="I2133" s="33" t="s">
        <v>264</v>
      </c>
      <c r="J2133" s="143" t="s">
        <v>4644</v>
      </c>
      <c r="K2133" s="33" t="s">
        <v>169</v>
      </c>
      <c r="L2133" s="102" t="str">
        <f>VLOOKUP(Anexo_4[[#This Row],[cod_doc]],TIPODOC,2,FALSE)</f>
        <v>FACTURA</v>
      </c>
      <c r="M2133" s="33" t="s">
        <v>406</v>
      </c>
      <c r="N2133" s="32" t="s">
        <v>6756</v>
      </c>
      <c r="O2133" s="48">
        <v>6.78</v>
      </c>
      <c r="P2133" s="49"/>
      <c r="Q2133" s="81">
        <v>1.22</v>
      </c>
      <c r="R2133" s="80"/>
      <c r="S2133" s="48">
        <v>0</v>
      </c>
      <c r="T2133" s="72">
        <v>8</v>
      </c>
      <c r="U2133" s="70"/>
      <c r="V2133" s="32"/>
      <c r="W2133" s="70"/>
      <c r="X2133" s="70"/>
      <c r="Y2133" s="70"/>
      <c r="Z2133" s="70" t="s">
        <v>302</v>
      </c>
      <c r="AA2133" s="71"/>
      <c r="AB2133" s="117" t="str">
        <f>IFERROR(VLOOKUP(Anexo_4[[#This Row],[cuenta]],OP,2,0),"-")</f>
        <v>Transporte peajes - Servicios</v>
      </c>
    </row>
    <row r="2134" spans="1:28" ht="27" customHeight="1" x14ac:dyDescent="0.3">
      <c r="A2134" s="34" t="s">
        <v>6384</v>
      </c>
      <c r="B2134" s="36" t="str">
        <f t="shared" si="31"/>
        <v>Setiembre</v>
      </c>
      <c r="C2134" s="33" t="s">
        <v>162</v>
      </c>
      <c r="D2134" s="33" t="s">
        <v>6757</v>
      </c>
      <c r="E2134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134" s="32" t="s">
        <v>217</v>
      </c>
      <c r="G2134" s="32" t="s">
        <v>4839</v>
      </c>
      <c r="H2134" s="139" t="s">
        <v>6758</v>
      </c>
      <c r="I2134" s="33" t="s">
        <v>383</v>
      </c>
      <c r="J2134" s="143" t="s">
        <v>4702</v>
      </c>
      <c r="K2134" s="33" t="s">
        <v>169</v>
      </c>
      <c r="L2134" s="102" t="str">
        <f>VLOOKUP(Anexo_4[[#This Row],[cod_doc]],TIPODOC,2,FALSE)</f>
        <v>FACTURA</v>
      </c>
      <c r="M2134" s="33" t="s">
        <v>103</v>
      </c>
      <c r="N2134" s="32" t="s">
        <v>6759</v>
      </c>
      <c r="O2134" s="48">
        <v>16.95</v>
      </c>
      <c r="P2134" s="49"/>
      <c r="Q2134" s="81">
        <v>3.05</v>
      </c>
      <c r="R2134" s="80"/>
      <c r="S2134" s="48">
        <v>0</v>
      </c>
      <c r="T2134" s="72">
        <v>20</v>
      </c>
      <c r="U2134" s="70"/>
      <c r="V2134" s="32"/>
      <c r="W2134" s="70"/>
      <c r="X2134" s="70"/>
      <c r="Y2134" s="70"/>
      <c r="Z2134" s="70" t="s">
        <v>386</v>
      </c>
      <c r="AA2134" s="71"/>
      <c r="AB2134" s="117" t="str">
        <f>IFERROR(VLOOKUP(Anexo_4[[#This Row],[cuenta]],OP,2,0),"-")</f>
        <v>Balanza - Servicios</v>
      </c>
    </row>
    <row r="2135" spans="1:28" ht="27" customHeight="1" x14ac:dyDescent="0.3">
      <c r="A2135" s="34" t="s">
        <v>6380</v>
      </c>
      <c r="B2135" s="36" t="str">
        <f t="shared" ref="B2135:B2147" si="40">PROPER(CHOOSE(LEFT(D2135,2),"enero","febrero","marzo","abril","mayo","junio","julio","agosto","setiembre","octubre","noviembre","diciembre"))</f>
        <v>Setiembre</v>
      </c>
      <c r="C2135" s="33" t="s">
        <v>162</v>
      </c>
      <c r="D2135" s="33" t="s">
        <v>6760</v>
      </c>
      <c r="E2135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135" s="32" t="s">
        <v>217</v>
      </c>
      <c r="G2135" s="32" t="s">
        <v>4839</v>
      </c>
      <c r="H2135" s="139" t="s">
        <v>6761</v>
      </c>
      <c r="I2135" s="33" t="s">
        <v>383</v>
      </c>
      <c r="J2135" s="143" t="s">
        <v>4702</v>
      </c>
      <c r="K2135" s="33" t="s">
        <v>169</v>
      </c>
      <c r="L2135" s="102" t="str">
        <f>VLOOKUP(Anexo_4[[#This Row],[cod_doc]],TIPODOC,2,FALSE)</f>
        <v>FACTURA</v>
      </c>
      <c r="M2135" s="33" t="s">
        <v>103</v>
      </c>
      <c r="N2135" s="32" t="s">
        <v>6762</v>
      </c>
      <c r="O2135" s="48">
        <v>16.95</v>
      </c>
      <c r="P2135" s="49"/>
      <c r="Q2135" s="81">
        <v>3.05</v>
      </c>
      <c r="R2135" s="80"/>
      <c r="S2135" s="48">
        <v>0</v>
      </c>
      <c r="T2135" s="72">
        <v>20</v>
      </c>
      <c r="U2135" s="70"/>
      <c r="V2135" s="32"/>
      <c r="W2135" s="70"/>
      <c r="X2135" s="70"/>
      <c r="Y2135" s="70"/>
      <c r="Z2135" s="70" t="s">
        <v>386</v>
      </c>
      <c r="AA2135" s="71"/>
      <c r="AB2135" s="117" t="str">
        <f>IFERROR(VLOOKUP(Anexo_4[[#This Row],[cuenta]],OP,2,0),"-")</f>
        <v>Balanza - Servicios</v>
      </c>
    </row>
    <row r="2136" spans="1:28" ht="27" customHeight="1" x14ac:dyDescent="0.3">
      <c r="A2136" s="34" t="s">
        <v>6536</v>
      </c>
      <c r="B2136" s="36" t="str">
        <f t="shared" si="40"/>
        <v>Setiembre</v>
      </c>
      <c r="C2136" s="33" t="s">
        <v>162</v>
      </c>
      <c r="D2136" s="33" t="s">
        <v>6763</v>
      </c>
      <c r="E2136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136" s="32" t="s">
        <v>217</v>
      </c>
      <c r="G2136" s="32" t="s">
        <v>4839</v>
      </c>
      <c r="H2136" s="139" t="s">
        <v>6764</v>
      </c>
      <c r="I2136" s="33" t="s">
        <v>383</v>
      </c>
      <c r="J2136" s="143" t="s">
        <v>4702</v>
      </c>
      <c r="K2136" s="33" t="s">
        <v>169</v>
      </c>
      <c r="L2136" s="102" t="str">
        <f>VLOOKUP(Anexo_4[[#This Row],[cod_doc]],TIPODOC,2,FALSE)</f>
        <v>FACTURA</v>
      </c>
      <c r="M2136" s="33" t="s">
        <v>103</v>
      </c>
      <c r="N2136" s="32" t="s">
        <v>6765</v>
      </c>
      <c r="O2136" s="48">
        <v>16.95</v>
      </c>
      <c r="P2136" s="49"/>
      <c r="Q2136" s="81">
        <v>3.05</v>
      </c>
      <c r="R2136" s="80"/>
      <c r="S2136" s="48">
        <v>0</v>
      </c>
      <c r="T2136" s="72">
        <v>20</v>
      </c>
      <c r="U2136" s="70"/>
      <c r="V2136" s="32"/>
      <c r="W2136" s="70"/>
      <c r="X2136" s="70"/>
      <c r="Y2136" s="70"/>
      <c r="Z2136" s="70" t="s">
        <v>386</v>
      </c>
      <c r="AA2136" s="71"/>
      <c r="AB2136" s="117" t="str">
        <f>IFERROR(VLOOKUP(Anexo_4[[#This Row],[cuenta]],OP,2,0),"-")</f>
        <v>Balanza - Servicios</v>
      </c>
    </row>
    <row r="2137" spans="1:28" ht="27" customHeight="1" x14ac:dyDescent="0.3">
      <c r="A2137" s="34" t="s">
        <v>6536</v>
      </c>
      <c r="B2137" s="36" t="str">
        <f t="shared" si="40"/>
        <v>Setiembre</v>
      </c>
      <c r="C2137" s="33" t="s">
        <v>162</v>
      </c>
      <c r="D2137" s="33" t="s">
        <v>6766</v>
      </c>
      <c r="E2137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137" s="32" t="s">
        <v>217</v>
      </c>
      <c r="G2137" s="32" t="s">
        <v>4839</v>
      </c>
      <c r="H2137" s="139" t="s">
        <v>6767</v>
      </c>
      <c r="I2137" s="33" t="s">
        <v>383</v>
      </c>
      <c r="J2137" s="143" t="s">
        <v>4702</v>
      </c>
      <c r="K2137" s="33" t="s">
        <v>169</v>
      </c>
      <c r="L2137" s="102" t="str">
        <f>VLOOKUP(Anexo_4[[#This Row],[cod_doc]],TIPODOC,2,FALSE)</f>
        <v>FACTURA</v>
      </c>
      <c r="M2137" s="33" t="s">
        <v>103</v>
      </c>
      <c r="N2137" s="32" t="s">
        <v>6768</v>
      </c>
      <c r="O2137" s="48">
        <v>16.95</v>
      </c>
      <c r="P2137" s="49"/>
      <c r="Q2137" s="81">
        <v>3.05</v>
      </c>
      <c r="R2137" s="80"/>
      <c r="S2137" s="48">
        <v>0</v>
      </c>
      <c r="T2137" s="72">
        <v>20</v>
      </c>
      <c r="U2137" s="70"/>
      <c r="V2137" s="32"/>
      <c r="W2137" s="70"/>
      <c r="X2137" s="70"/>
      <c r="Y2137" s="70"/>
      <c r="Z2137" s="70" t="s">
        <v>386</v>
      </c>
      <c r="AA2137" s="71"/>
      <c r="AB2137" s="117" t="str">
        <f>IFERROR(VLOOKUP(Anexo_4[[#This Row],[cuenta]],OP,2,0),"-")</f>
        <v>Balanza - Servicios</v>
      </c>
    </row>
    <row r="2138" spans="1:28" ht="27" customHeight="1" x14ac:dyDescent="0.3">
      <c r="A2138" s="34" t="s">
        <v>6294</v>
      </c>
      <c r="B2138" s="36" t="str">
        <f t="shared" si="40"/>
        <v>Setiembre</v>
      </c>
      <c r="C2138" s="33" t="s">
        <v>162</v>
      </c>
      <c r="D2138" s="33" t="s">
        <v>6769</v>
      </c>
      <c r="E2138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138" s="32" t="s">
        <v>355</v>
      </c>
      <c r="G2138" s="32" t="s">
        <v>356</v>
      </c>
      <c r="H2138" s="139" t="s">
        <v>6770</v>
      </c>
      <c r="I2138" s="33" t="s">
        <v>4478</v>
      </c>
      <c r="J2138" s="143" t="s">
        <v>6771</v>
      </c>
      <c r="K2138" s="33" t="s">
        <v>239</v>
      </c>
      <c r="L2138" s="102" t="str">
        <f>VLOOKUP(Anexo_4[[#This Row],[cod_doc]],TIPODOC,2,FALSE)</f>
        <v>BOLETA DE VENTA</v>
      </c>
      <c r="M2138" s="33" t="s">
        <v>5938</v>
      </c>
      <c r="N2138" s="32" t="s">
        <v>6772</v>
      </c>
      <c r="O2138" s="48">
        <v>0</v>
      </c>
      <c r="P2138" s="49"/>
      <c r="Q2138" s="81">
        <v>0</v>
      </c>
      <c r="R2138" s="80"/>
      <c r="S2138" s="48">
        <v>100</v>
      </c>
      <c r="T2138" s="72">
        <v>100</v>
      </c>
      <c r="U2138" s="70"/>
      <c r="V2138" s="32"/>
      <c r="W2138" s="70"/>
      <c r="X2138" s="70"/>
      <c r="Y2138" s="70"/>
      <c r="Z2138" s="70" t="s">
        <v>376</v>
      </c>
      <c r="AA2138" s="71"/>
      <c r="AB2138" s="117" t="str">
        <f>IFERROR(VLOOKUP(Anexo_4[[#This Row],[cuenta]],OP,2,0),"-")</f>
        <v>Alojamiento (Operativo)</v>
      </c>
    </row>
    <row r="2139" spans="1:28" ht="27" customHeight="1" x14ac:dyDescent="0.3">
      <c r="A2139" s="34" t="s">
        <v>5910</v>
      </c>
      <c r="B2139" s="36" t="str">
        <f t="shared" si="40"/>
        <v>Setiembre</v>
      </c>
      <c r="C2139" s="33" t="s">
        <v>162</v>
      </c>
      <c r="D2139" s="33" t="s">
        <v>6773</v>
      </c>
      <c r="E2139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139" s="32" t="s">
        <v>355</v>
      </c>
      <c r="G2139" s="32" t="s">
        <v>356</v>
      </c>
      <c r="H2139" s="139" t="s">
        <v>3775</v>
      </c>
      <c r="I2139" s="33" t="s">
        <v>3789</v>
      </c>
      <c r="J2139" s="143" t="s">
        <v>6774</v>
      </c>
      <c r="K2139" s="33" t="s">
        <v>239</v>
      </c>
      <c r="L2139" s="102" t="str">
        <f>VLOOKUP(Anexo_4[[#This Row],[cod_doc]],TIPODOC,2,FALSE)</f>
        <v>BOLETA DE VENTA</v>
      </c>
      <c r="M2139" s="33" t="s">
        <v>5938</v>
      </c>
      <c r="N2139" s="32" t="s">
        <v>6775</v>
      </c>
      <c r="O2139" s="48">
        <v>0</v>
      </c>
      <c r="P2139" s="49"/>
      <c r="Q2139" s="81">
        <v>0</v>
      </c>
      <c r="R2139" s="80"/>
      <c r="S2139" s="48">
        <v>100</v>
      </c>
      <c r="T2139" s="72">
        <v>100</v>
      </c>
      <c r="U2139" s="70"/>
      <c r="V2139" s="32"/>
      <c r="W2139" s="70"/>
      <c r="X2139" s="70"/>
      <c r="Y2139" s="70"/>
      <c r="Z2139" s="70" t="s">
        <v>376</v>
      </c>
      <c r="AA2139" s="71"/>
      <c r="AB2139" s="117" t="str">
        <f>IFERROR(VLOOKUP(Anexo_4[[#This Row],[cuenta]],OP,2,0),"-")</f>
        <v>Alojamiento (Operativo)</v>
      </c>
    </row>
    <row r="2140" spans="1:28" ht="27" customHeight="1" x14ac:dyDescent="0.3">
      <c r="A2140" s="34" t="s">
        <v>6302</v>
      </c>
      <c r="B2140" s="36" t="str">
        <f t="shared" si="40"/>
        <v>Setiembre</v>
      </c>
      <c r="C2140" s="33" t="s">
        <v>162</v>
      </c>
      <c r="D2140" s="33" t="s">
        <v>6776</v>
      </c>
      <c r="E2140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140" s="32" t="s">
        <v>355</v>
      </c>
      <c r="G2140" s="32" t="s">
        <v>356</v>
      </c>
      <c r="H2140" s="139" t="s">
        <v>6777</v>
      </c>
      <c r="I2140" s="33" t="s">
        <v>3002</v>
      </c>
      <c r="J2140" s="143" t="s">
        <v>6778</v>
      </c>
      <c r="K2140" s="33" t="s">
        <v>239</v>
      </c>
      <c r="L2140" s="102" t="str">
        <f>VLOOKUP(Anexo_4[[#This Row],[cod_doc]],TIPODOC,2,FALSE)</f>
        <v>BOLETA DE VENTA</v>
      </c>
      <c r="M2140" s="33" t="s">
        <v>5938</v>
      </c>
      <c r="N2140" s="32" t="s">
        <v>6779</v>
      </c>
      <c r="O2140" s="48">
        <v>0</v>
      </c>
      <c r="P2140" s="49"/>
      <c r="Q2140" s="81">
        <v>0</v>
      </c>
      <c r="R2140" s="80"/>
      <c r="S2140" s="48">
        <v>100</v>
      </c>
      <c r="T2140" s="72">
        <v>100</v>
      </c>
      <c r="U2140" s="70"/>
      <c r="V2140" s="32"/>
      <c r="W2140" s="70"/>
      <c r="X2140" s="70"/>
      <c r="Y2140" s="70"/>
      <c r="Z2140" s="70" t="s">
        <v>376</v>
      </c>
      <c r="AA2140" s="71"/>
      <c r="AB2140" s="117" t="str">
        <f>IFERROR(VLOOKUP(Anexo_4[[#This Row],[cuenta]],OP,2,0),"-")</f>
        <v>Alojamiento (Operativo)</v>
      </c>
    </row>
    <row r="2141" spans="1:28" ht="27" customHeight="1" x14ac:dyDescent="0.3">
      <c r="A2141" s="34" t="s">
        <v>6536</v>
      </c>
      <c r="B2141" s="36" t="str">
        <f t="shared" si="40"/>
        <v>Setiembre</v>
      </c>
      <c r="C2141" s="33" t="s">
        <v>162</v>
      </c>
      <c r="D2141" s="33" t="s">
        <v>6780</v>
      </c>
      <c r="E2141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141" s="32" t="s">
        <v>391</v>
      </c>
      <c r="G2141" s="32" t="s">
        <v>5041</v>
      </c>
      <c r="H2141" s="139" t="s">
        <v>6781</v>
      </c>
      <c r="I2141" s="33" t="s">
        <v>504</v>
      </c>
      <c r="J2141" s="143" t="s">
        <v>4717</v>
      </c>
      <c r="K2141" s="33" t="s">
        <v>169</v>
      </c>
      <c r="L2141" s="102" t="str">
        <f>VLOOKUP(Anexo_4[[#This Row],[cod_doc]],TIPODOC,2,FALSE)</f>
        <v>FACTURA</v>
      </c>
      <c r="M2141" s="33" t="s">
        <v>222</v>
      </c>
      <c r="N2141" s="32" t="s">
        <v>6782</v>
      </c>
      <c r="O2141" s="48">
        <v>21.19</v>
      </c>
      <c r="P2141" s="49"/>
      <c r="Q2141" s="81">
        <v>3.81</v>
      </c>
      <c r="R2141" s="80"/>
      <c r="S2141" s="48">
        <v>0</v>
      </c>
      <c r="T2141" s="72">
        <v>25</v>
      </c>
      <c r="U2141" s="70"/>
      <c r="V2141" s="32"/>
      <c r="W2141" s="70"/>
      <c r="X2141" s="70"/>
      <c r="Y2141" s="70"/>
      <c r="Z2141" s="70" t="s">
        <v>507</v>
      </c>
      <c r="AA2141" s="71"/>
      <c r="AB2141" s="117" t="str">
        <f>IFERROR(VLOOKUP(Anexo_4[[#This Row],[cuenta]],OP,2,0),"-")</f>
        <v>Transporte lavado (Higienización)</v>
      </c>
    </row>
    <row r="2142" spans="1:28" ht="27" customHeight="1" x14ac:dyDescent="0.3">
      <c r="A2142" s="34" t="s">
        <v>6384</v>
      </c>
      <c r="B2142" s="36" t="str">
        <f t="shared" si="40"/>
        <v>Setiembre</v>
      </c>
      <c r="C2142" s="33" t="s">
        <v>162</v>
      </c>
      <c r="D2142" s="33" t="s">
        <v>6783</v>
      </c>
      <c r="E2142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142" s="32" t="s">
        <v>391</v>
      </c>
      <c r="G2142" s="32" t="s">
        <v>5041</v>
      </c>
      <c r="H2142" s="139" t="s">
        <v>6784</v>
      </c>
      <c r="I2142" s="33" t="s">
        <v>264</v>
      </c>
      <c r="J2142" s="143" t="s">
        <v>4644</v>
      </c>
      <c r="K2142" s="33" t="s">
        <v>169</v>
      </c>
      <c r="L2142" s="102" t="str">
        <f>VLOOKUP(Anexo_4[[#This Row],[cod_doc]],TIPODOC,2,FALSE)</f>
        <v>FACTURA</v>
      </c>
      <c r="M2142" s="33" t="s">
        <v>271</v>
      </c>
      <c r="N2142" s="32" t="s">
        <v>6785</v>
      </c>
      <c r="O2142" s="48">
        <v>6.78</v>
      </c>
      <c r="P2142" s="49"/>
      <c r="Q2142" s="81">
        <v>1.22</v>
      </c>
      <c r="R2142" s="80"/>
      <c r="S2142" s="48">
        <v>0</v>
      </c>
      <c r="T2142" s="72">
        <v>8</v>
      </c>
      <c r="U2142" s="70"/>
      <c r="V2142" s="32"/>
      <c r="W2142" s="70"/>
      <c r="X2142" s="70"/>
      <c r="Y2142" s="70"/>
      <c r="Z2142" s="70" t="s">
        <v>302</v>
      </c>
      <c r="AA2142" s="71"/>
      <c r="AB2142" s="117" t="str">
        <f>IFERROR(VLOOKUP(Anexo_4[[#This Row],[cuenta]],OP,2,0),"-")</f>
        <v>Transporte peajes - Servicios</v>
      </c>
    </row>
    <row r="2143" spans="1:28" ht="27" customHeight="1" x14ac:dyDescent="0.3">
      <c r="A2143" s="34" t="s">
        <v>6384</v>
      </c>
      <c r="B2143" s="36" t="str">
        <f t="shared" si="40"/>
        <v>Setiembre</v>
      </c>
      <c r="C2143" s="33" t="s">
        <v>162</v>
      </c>
      <c r="D2143" s="33" t="s">
        <v>6786</v>
      </c>
      <c r="E2143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143" s="32" t="s">
        <v>391</v>
      </c>
      <c r="G2143" s="32" t="s">
        <v>5041</v>
      </c>
      <c r="H2143" s="139" t="s">
        <v>6787</v>
      </c>
      <c r="I2143" s="33" t="s">
        <v>264</v>
      </c>
      <c r="J2143" s="143" t="s">
        <v>4644</v>
      </c>
      <c r="K2143" s="33" t="s">
        <v>169</v>
      </c>
      <c r="L2143" s="102" t="str">
        <f>VLOOKUP(Anexo_4[[#This Row],[cod_doc]],TIPODOC,2,FALSE)</f>
        <v>FACTURA</v>
      </c>
      <c r="M2143" s="33" t="s">
        <v>352</v>
      </c>
      <c r="N2143" s="32" t="s">
        <v>6788</v>
      </c>
      <c r="O2143" s="48">
        <v>6.78</v>
      </c>
      <c r="P2143" s="49"/>
      <c r="Q2143" s="81">
        <v>1.22</v>
      </c>
      <c r="R2143" s="80"/>
      <c r="S2143" s="48">
        <v>0</v>
      </c>
      <c r="T2143" s="72">
        <v>8</v>
      </c>
      <c r="U2143" s="70"/>
      <c r="V2143" s="32"/>
      <c r="W2143" s="70"/>
      <c r="X2143" s="70"/>
      <c r="Y2143" s="70"/>
      <c r="Z2143" s="70" t="s">
        <v>302</v>
      </c>
      <c r="AA2143" s="71"/>
      <c r="AB2143" s="117" t="str">
        <f>IFERROR(VLOOKUP(Anexo_4[[#This Row],[cuenta]],OP,2,0),"-")</f>
        <v>Transporte peajes - Servicios</v>
      </c>
    </row>
    <row r="2144" spans="1:28" ht="27" customHeight="1" x14ac:dyDescent="0.3">
      <c r="A2144" s="34" t="s">
        <v>6380</v>
      </c>
      <c r="B2144" s="36" t="str">
        <f t="shared" si="40"/>
        <v>Setiembre</v>
      </c>
      <c r="C2144" s="33" t="s">
        <v>162</v>
      </c>
      <c r="D2144" s="33" t="s">
        <v>6789</v>
      </c>
      <c r="E2144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144" s="32" t="s">
        <v>175</v>
      </c>
      <c r="G2144" s="32" t="s">
        <v>5168</v>
      </c>
      <c r="H2144" s="139" t="s">
        <v>6790</v>
      </c>
      <c r="I2144" s="33" t="s">
        <v>504</v>
      </c>
      <c r="J2144" s="143" t="s">
        <v>4717</v>
      </c>
      <c r="K2144" s="33" t="s">
        <v>169</v>
      </c>
      <c r="L2144" s="102" t="str">
        <f>VLOOKUP(Anexo_4[[#This Row],[cod_doc]],TIPODOC,2,FALSE)</f>
        <v>FACTURA</v>
      </c>
      <c r="M2144" s="33" t="s">
        <v>222</v>
      </c>
      <c r="N2144" s="32" t="s">
        <v>6791</v>
      </c>
      <c r="O2144" s="48">
        <v>29.66</v>
      </c>
      <c r="P2144" s="49"/>
      <c r="Q2144" s="81">
        <v>5.34</v>
      </c>
      <c r="R2144" s="80"/>
      <c r="S2144" s="48">
        <v>0</v>
      </c>
      <c r="T2144" s="72">
        <v>35</v>
      </c>
      <c r="U2144" s="70"/>
      <c r="V2144" s="32"/>
      <c r="W2144" s="70"/>
      <c r="X2144" s="70"/>
      <c r="Y2144" s="70"/>
      <c r="Z2144" s="70" t="s">
        <v>507</v>
      </c>
      <c r="AA2144" s="71"/>
      <c r="AB2144" s="117" t="str">
        <f>IFERROR(VLOOKUP(Anexo_4[[#This Row],[cuenta]],OP,2,0),"-")</f>
        <v>Transporte lavado (Higienización)</v>
      </c>
    </row>
    <row r="2145" spans="1:28" ht="27" customHeight="1" x14ac:dyDescent="0.3">
      <c r="A2145" s="34" t="s">
        <v>6380</v>
      </c>
      <c r="B2145" s="36" t="str">
        <f t="shared" si="40"/>
        <v>Setiembre</v>
      </c>
      <c r="C2145" s="33" t="s">
        <v>162</v>
      </c>
      <c r="D2145" s="33" t="s">
        <v>6792</v>
      </c>
      <c r="E2145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145" s="32" t="s">
        <v>175</v>
      </c>
      <c r="G2145" s="32" t="s">
        <v>5168</v>
      </c>
      <c r="H2145" s="139" t="s">
        <v>6793</v>
      </c>
      <c r="I2145" s="33" t="s">
        <v>178</v>
      </c>
      <c r="J2145" s="143" t="s">
        <v>4667</v>
      </c>
      <c r="K2145" s="33" t="s">
        <v>169</v>
      </c>
      <c r="L2145" s="102" t="str">
        <f>VLOOKUP(Anexo_4[[#This Row],[cod_doc]],TIPODOC,2,FALSE)</f>
        <v>FACTURA</v>
      </c>
      <c r="M2145" s="33" t="s">
        <v>180</v>
      </c>
      <c r="N2145" s="32" t="s">
        <v>6794</v>
      </c>
      <c r="O2145" s="48">
        <v>8.4700000000000006</v>
      </c>
      <c r="P2145" s="49"/>
      <c r="Q2145" s="81">
        <v>1.53</v>
      </c>
      <c r="R2145" s="80"/>
      <c r="S2145" s="48">
        <v>0</v>
      </c>
      <c r="T2145" s="72">
        <v>10</v>
      </c>
      <c r="U2145" s="70"/>
      <c r="V2145" s="32"/>
      <c r="W2145" s="70"/>
      <c r="X2145" s="70"/>
      <c r="Y2145" s="70"/>
      <c r="Z2145" s="70" t="s">
        <v>182</v>
      </c>
      <c r="AA2145" s="71"/>
      <c r="AB2145" s="117" t="str">
        <f>IFERROR(VLOOKUP(Anexo_4[[#This Row],[cuenta]],OP,2,0),"-")</f>
        <v>Balanza - Ventas</v>
      </c>
    </row>
    <row r="2146" spans="1:28" ht="27" customHeight="1" x14ac:dyDescent="0.3">
      <c r="A2146" s="34" t="s">
        <v>6380</v>
      </c>
      <c r="B2146" s="36" t="str">
        <f t="shared" si="40"/>
        <v>Setiembre</v>
      </c>
      <c r="C2146" s="33" t="s">
        <v>162</v>
      </c>
      <c r="D2146" s="33" t="s">
        <v>6795</v>
      </c>
      <c r="E2146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146" s="32" t="s">
        <v>175</v>
      </c>
      <c r="G2146" s="32" t="s">
        <v>5168</v>
      </c>
      <c r="H2146" s="139" t="s">
        <v>6796</v>
      </c>
      <c r="I2146" s="33" t="s">
        <v>178</v>
      </c>
      <c r="J2146" s="143" t="s">
        <v>4667</v>
      </c>
      <c r="K2146" s="33" t="s">
        <v>169</v>
      </c>
      <c r="L2146" s="102" t="str">
        <f>VLOOKUP(Anexo_4[[#This Row],[cod_doc]],TIPODOC,2,FALSE)</f>
        <v>FACTURA</v>
      </c>
      <c r="M2146" s="33" t="s">
        <v>180</v>
      </c>
      <c r="N2146" s="32" t="s">
        <v>6797</v>
      </c>
      <c r="O2146" s="48">
        <v>8.4700000000000006</v>
      </c>
      <c r="P2146" s="49"/>
      <c r="Q2146" s="81">
        <v>1.53</v>
      </c>
      <c r="R2146" s="80"/>
      <c r="S2146" s="48">
        <v>0</v>
      </c>
      <c r="T2146" s="72">
        <v>10</v>
      </c>
      <c r="U2146" s="70"/>
      <c r="V2146" s="32"/>
      <c r="W2146" s="70"/>
      <c r="X2146" s="70"/>
      <c r="Y2146" s="70"/>
      <c r="Z2146" s="70" t="s">
        <v>182</v>
      </c>
      <c r="AA2146" s="71"/>
      <c r="AB2146" s="117" t="str">
        <f>IFERROR(VLOOKUP(Anexo_4[[#This Row],[cuenta]],OP,2,0),"-")</f>
        <v>Balanza - Ventas</v>
      </c>
    </row>
    <row r="2147" spans="1:28" ht="27" customHeight="1" x14ac:dyDescent="0.3">
      <c r="A2147" s="34" t="s">
        <v>6294</v>
      </c>
      <c r="B2147" s="36" t="str">
        <f t="shared" si="40"/>
        <v>Setiembre</v>
      </c>
      <c r="C2147" s="33" t="s">
        <v>162</v>
      </c>
      <c r="D2147" s="33" t="s">
        <v>6798</v>
      </c>
      <c r="E2147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147" s="32" t="s">
        <v>175</v>
      </c>
      <c r="G2147" s="32" t="s">
        <v>5168</v>
      </c>
      <c r="H2147" s="139" t="s">
        <v>6799</v>
      </c>
      <c r="I2147" s="33" t="s">
        <v>264</v>
      </c>
      <c r="J2147" s="143" t="s">
        <v>4644</v>
      </c>
      <c r="K2147" s="33" t="s">
        <v>169</v>
      </c>
      <c r="L2147" s="102" t="str">
        <f>VLOOKUP(Anexo_4[[#This Row],[cod_doc]],TIPODOC,2,FALSE)</f>
        <v>FACTURA</v>
      </c>
      <c r="M2147" s="33" t="s">
        <v>406</v>
      </c>
      <c r="N2147" s="32" t="s">
        <v>6800</v>
      </c>
      <c r="O2147" s="48">
        <v>10.17</v>
      </c>
      <c r="P2147" s="49"/>
      <c r="Q2147" s="81">
        <v>1.83</v>
      </c>
      <c r="R2147" s="80"/>
      <c r="S2147" s="48">
        <v>0</v>
      </c>
      <c r="T2147" s="72">
        <v>12</v>
      </c>
      <c r="U2147" s="70"/>
      <c r="V2147" s="32"/>
      <c r="W2147" s="70"/>
      <c r="X2147" s="70"/>
      <c r="Y2147" s="70"/>
      <c r="Z2147" s="70" t="s">
        <v>302</v>
      </c>
      <c r="AA2147" s="71"/>
      <c r="AB2147" s="117" t="str">
        <f>IFERROR(VLOOKUP(Anexo_4[[#This Row],[cuenta]],OP,2,0),"-")</f>
        <v>Transporte peajes - Servicios</v>
      </c>
    </row>
    <row r="2148" spans="1:28" ht="27" customHeight="1" x14ac:dyDescent="0.3">
      <c r="A2148" s="34" t="s">
        <v>6294</v>
      </c>
      <c r="B2148" s="36" t="str">
        <f t="shared" ref="B2148:B2156" si="41">PROPER(CHOOSE(LEFT(D2148,2),"enero","febrero","marzo","abril","mayo","junio","julio","agosto","setiembre","octubre","noviembre","diciembre"))</f>
        <v>Setiembre</v>
      </c>
      <c r="C2148" s="33" t="s">
        <v>162</v>
      </c>
      <c r="D2148" s="33" t="s">
        <v>6801</v>
      </c>
      <c r="E2148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148" s="32" t="s">
        <v>175</v>
      </c>
      <c r="G2148" s="32" t="s">
        <v>5168</v>
      </c>
      <c r="H2148" s="139" t="s">
        <v>6802</v>
      </c>
      <c r="I2148" s="33" t="s">
        <v>264</v>
      </c>
      <c r="J2148" s="143" t="s">
        <v>4644</v>
      </c>
      <c r="K2148" s="33" t="s">
        <v>169</v>
      </c>
      <c r="L2148" s="102" t="str">
        <f>VLOOKUP(Anexo_4[[#This Row],[cod_doc]],TIPODOC,2,FALSE)</f>
        <v>FACTURA</v>
      </c>
      <c r="M2148" s="33" t="s">
        <v>352</v>
      </c>
      <c r="N2148" s="32" t="s">
        <v>6803</v>
      </c>
      <c r="O2148" s="48">
        <v>10.17</v>
      </c>
      <c r="P2148" s="49"/>
      <c r="Q2148" s="81">
        <v>1.83</v>
      </c>
      <c r="R2148" s="80"/>
      <c r="S2148" s="48">
        <v>0</v>
      </c>
      <c r="T2148" s="72">
        <v>12</v>
      </c>
      <c r="U2148" s="70"/>
      <c r="V2148" s="32"/>
      <c r="W2148" s="70"/>
      <c r="X2148" s="70"/>
      <c r="Y2148" s="70"/>
      <c r="Z2148" s="70" t="s">
        <v>302</v>
      </c>
      <c r="AA2148" s="71"/>
      <c r="AB2148" s="117" t="str">
        <f>IFERROR(VLOOKUP(Anexo_4[[#This Row],[cuenta]],OP,2,0),"-")</f>
        <v>Transporte peajes - Servicios</v>
      </c>
    </row>
    <row r="2149" spans="1:28" ht="27" customHeight="1" x14ac:dyDescent="0.3">
      <c r="A2149" s="34" t="s">
        <v>5914</v>
      </c>
      <c r="B2149" s="36" t="str">
        <f t="shared" si="41"/>
        <v>Setiembre</v>
      </c>
      <c r="C2149" s="33" t="s">
        <v>162</v>
      </c>
      <c r="D2149" s="33" t="s">
        <v>6804</v>
      </c>
      <c r="E2149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149" s="32" t="s">
        <v>175</v>
      </c>
      <c r="G2149" s="32" t="s">
        <v>5168</v>
      </c>
      <c r="H2149" s="139" t="s">
        <v>6805</v>
      </c>
      <c r="I2149" s="33" t="s">
        <v>264</v>
      </c>
      <c r="J2149" s="143" t="s">
        <v>4644</v>
      </c>
      <c r="K2149" s="33" t="s">
        <v>169</v>
      </c>
      <c r="L2149" s="102" t="str">
        <f>VLOOKUP(Anexo_4[[#This Row],[cod_doc]],TIPODOC,2,FALSE)</f>
        <v>FACTURA</v>
      </c>
      <c r="M2149" s="33" t="s">
        <v>352</v>
      </c>
      <c r="N2149" s="32" t="s">
        <v>6806</v>
      </c>
      <c r="O2149" s="48">
        <v>10.17</v>
      </c>
      <c r="P2149" s="49"/>
      <c r="Q2149" s="81">
        <v>1.83</v>
      </c>
      <c r="R2149" s="80"/>
      <c r="S2149" s="48">
        <v>0</v>
      </c>
      <c r="T2149" s="72">
        <v>12</v>
      </c>
      <c r="U2149" s="70"/>
      <c r="V2149" s="32"/>
      <c r="W2149" s="70"/>
      <c r="X2149" s="70"/>
      <c r="Y2149" s="70"/>
      <c r="Z2149" s="70" t="s">
        <v>268</v>
      </c>
      <c r="AA2149" s="71"/>
      <c r="AB2149" s="117" t="str">
        <f>IFERROR(VLOOKUP(Anexo_4[[#This Row],[cuenta]],OP,2,0),"-")</f>
        <v>Transporte peajes - Ventas</v>
      </c>
    </row>
    <row r="2150" spans="1:28" ht="27" customHeight="1" x14ac:dyDescent="0.3">
      <c r="A2150" s="34" t="s">
        <v>5914</v>
      </c>
      <c r="B2150" s="36" t="str">
        <f t="shared" si="41"/>
        <v>Setiembre</v>
      </c>
      <c r="C2150" s="33" t="s">
        <v>162</v>
      </c>
      <c r="D2150" s="33" t="s">
        <v>6807</v>
      </c>
      <c r="E2150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150" s="32" t="s">
        <v>175</v>
      </c>
      <c r="G2150" s="32" t="s">
        <v>5168</v>
      </c>
      <c r="H2150" s="139" t="s">
        <v>6808</v>
      </c>
      <c r="I2150" s="33" t="s">
        <v>264</v>
      </c>
      <c r="J2150" s="143" t="s">
        <v>4644</v>
      </c>
      <c r="K2150" s="33" t="s">
        <v>169</v>
      </c>
      <c r="L2150" s="102" t="str">
        <f>VLOOKUP(Anexo_4[[#This Row],[cod_doc]],TIPODOC,2,FALSE)</f>
        <v>FACTURA</v>
      </c>
      <c r="M2150" s="33" t="s">
        <v>406</v>
      </c>
      <c r="N2150" s="32" t="s">
        <v>6809</v>
      </c>
      <c r="O2150" s="48">
        <v>10.17</v>
      </c>
      <c r="P2150" s="49"/>
      <c r="Q2150" s="81">
        <v>1.83</v>
      </c>
      <c r="R2150" s="80"/>
      <c r="S2150" s="48">
        <v>0</v>
      </c>
      <c r="T2150" s="72">
        <v>12</v>
      </c>
      <c r="U2150" s="70"/>
      <c r="V2150" s="32"/>
      <c r="W2150" s="70"/>
      <c r="X2150" s="70"/>
      <c r="Y2150" s="70"/>
      <c r="Z2150" s="70" t="s">
        <v>302</v>
      </c>
      <c r="AA2150" s="71"/>
      <c r="AB2150" s="117" t="str">
        <f>IFERROR(VLOOKUP(Anexo_4[[#This Row],[cuenta]],OP,2,0),"-")</f>
        <v>Transporte peajes - Servicios</v>
      </c>
    </row>
    <row r="2151" spans="1:28" ht="27" customHeight="1" x14ac:dyDescent="0.3">
      <c r="A2151" s="34" t="s">
        <v>5914</v>
      </c>
      <c r="B2151" s="36" t="str">
        <f t="shared" si="41"/>
        <v>Setiembre</v>
      </c>
      <c r="C2151" s="33" t="s">
        <v>162</v>
      </c>
      <c r="D2151" s="33" t="s">
        <v>6810</v>
      </c>
      <c r="E2151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151" s="32" t="s">
        <v>235</v>
      </c>
      <c r="G2151" s="32" t="s">
        <v>5051</v>
      </c>
      <c r="H2151" s="139" t="s">
        <v>6811</v>
      </c>
      <c r="I2151" s="33" t="s">
        <v>264</v>
      </c>
      <c r="J2151" s="143" t="s">
        <v>4644</v>
      </c>
      <c r="K2151" s="33" t="s">
        <v>169</v>
      </c>
      <c r="L2151" s="102" t="str">
        <f>VLOOKUP(Anexo_4[[#This Row],[cod_doc]],TIPODOC,2,FALSE)</f>
        <v>FACTURA</v>
      </c>
      <c r="M2151" s="33" t="s">
        <v>352</v>
      </c>
      <c r="N2151" s="32" t="s">
        <v>6812</v>
      </c>
      <c r="O2151" s="48">
        <v>6.78</v>
      </c>
      <c r="P2151" s="49"/>
      <c r="Q2151" s="81">
        <v>1.22</v>
      </c>
      <c r="R2151" s="80"/>
      <c r="S2151" s="48">
        <v>0</v>
      </c>
      <c r="T2151" s="72">
        <v>8</v>
      </c>
      <c r="U2151" s="70"/>
      <c r="V2151" s="32"/>
      <c r="W2151" s="70"/>
      <c r="X2151" s="70"/>
      <c r="Y2151" s="70"/>
      <c r="Z2151" s="70" t="s">
        <v>268</v>
      </c>
      <c r="AA2151" s="71"/>
      <c r="AB2151" s="117" t="str">
        <f>IFERROR(VLOOKUP(Anexo_4[[#This Row],[cuenta]],OP,2,0),"-")</f>
        <v>Transporte peajes - Ventas</v>
      </c>
    </row>
    <row r="2152" spans="1:28" ht="27" customHeight="1" x14ac:dyDescent="0.3">
      <c r="A2152" s="34" t="s">
        <v>5914</v>
      </c>
      <c r="B2152" s="36" t="str">
        <f t="shared" si="41"/>
        <v>Setiembre</v>
      </c>
      <c r="C2152" s="33" t="s">
        <v>162</v>
      </c>
      <c r="D2152" s="33" t="s">
        <v>6813</v>
      </c>
      <c r="E2152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152" s="32" t="s">
        <v>235</v>
      </c>
      <c r="G2152" s="32" t="s">
        <v>5051</v>
      </c>
      <c r="H2152" s="139" t="s">
        <v>6814</v>
      </c>
      <c r="I2152" s="33" t="s">
        <v>264</v>
      </c>
      <c r="J2152" s="143" t="s">
        <v>4644</v>
      </c>
      <c r="K2152" s="33" t="s">
        <v>169</v>
      </c>
      <c r="L2152" s="102" t="str">
        <f>VLOOKUP(Anexo_4[[#This Row],[cod_doc]],TIPODOC,2,FALSE)</f>
        <v>FACTURA</v>
      </c>
      <c r="M2152" s="33" t="s">
        <v>271</v>
      </c>
      <c r="N2152" s="32" t="s">
        <v>6815</v>
      </c>
      <c r="O2152" s="48">
        <v>6.78</v>
      </c>
      <c r="P2152" s="49"/>
      <c r="Q2152" s="81">
        <v>1.22</v>
      </c>
      <c r="R2152" s="80"/>
      <c r="S2152" s="48">
        <v>0</v>
      </c>
      <c r="T2152" s="72">
        <v>8</v>
      </c>
      <c r="U2152" s="70"/>
      <c r="V2152" s="32"/>
      <c r="W2152" s="70"/>
      <c r="X2152" s="70"/>
      <c r="Y2152" s="70"/>
      <c r="Z2152" s="70" t="s">
        <v>268</v>
      </c>
      <c r="AA2152" s="71"/>
      <c r="AB2152" s="117" t="str">
        <f>IFERROR(VLOOKUP(Anexo_4[[#This Row],[cuenta]],OP,2,0),"-")</f>
        <v>Transporte peajes - Ventas</v>
      </c>
    </row>
    <row r="2153" spans="1:28" ht="27" customHeight="1" x14ac:dyDescent="0.3">
      <c r="A2153" s="34" t="s">
        <v>5914</v>
      </c>
      <c r="B2153" s="36" t="str">
        <f t="shared" si="41"/>
        <v>Setiembre</v>
      </c>
      <c r="C2153" s="33" t="s">
        <v>162</v>
      </c>
      <c r="D2153" s="33" t="s">
        <v>6816</v>
      </c>
      <c r="E2153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153" s="32" t="s">
        <v>235</v>
      </c>
      <c r="G2153" s="32" t="s">
        <v>5051</v>
      </c>
      <c r="H2153" s="139" t="s">
        <v>6817</v>
      </c>
      <c r="I2153" s="33" t="s">
        <v>595</v>
      </c>
      <c r="J2153" s="143" t="s">
        <v>6818</v>
      </c>
      <c r="K2153" s="33" t="s">
        <v>169</v>
      </c>
      <c r="L2153" s="102" t="str">
        <f>VLOOKUP(Anexo_4[[#This Row],[cod_doc]],TIPODOC,2,FALSE)</f>
        <v>FACTURA</v>
      </c>
      <c r="M2153" s="33" t="s">
        <v>102</v>
      </c>
      <c r="N2153" s="32" t="s">
        <v>6819</v>
      </c>
      <c r="O2153" s="48">
        <v>25.42</v>
      </c>
      <c r="P2153" s="49"/>
      <c r="Q2153" s="81">
        <v>4.58</v>
      </c>
      <c r="R2153" s="80"/>
      <c r="S2153" s="48">
        <v>0</v>
      </c>
      <c r="T2153" s="72">
        <v>30</v>
      </c>
      <c r="U2153" s="70"/>
      <c r="V2153" s="32"/>
      <c r="W2153" s="70"/>
      <c r="X2153" s="70"/>
      <c r="Y2153" s="70"/>
      <c r="Z2153" s="70" t="s">
        <v>507</v>
      </c>
      <c r="AA2153" s="71"/>
      <c r="AB2153" s="117" t="str">
        <f>IFERROR(VLOOKUP(Anexo_4[[#This Row],[cuenta]],OP,2,0),"-")</f>
        <v>Transporte lavado (Higienización)</v>
      </c>
    </row>
    <row r="2154" spans="1:28" ht="27" customHeight="1" x14ac:dyDescent="0.3">
      <c r="A2154" s="34" t="s">
        <v>6302</v>
      </c>
      <c r="B2154" s="36" t="str">
        <f t="shared" si="41"/>
        <v>Setiembre</v>
      </c>
      <c r="C2154" s="33" t="s">
        <v>162</v>
      </c>
      <c r="D2154" s="33" t="s">
        <v>6820</v>
      </c>
      <c r="E2154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154" s="32" t="s">
        <v>449</v>
      </c>
      <c r="G2154" s="32" t="s">
        <v>4868</v>
      </c>
      <c r="H2154" s="139" t="s">
        <v>6821</v>
      </c>
      <c r="I2154" s="33" t="s">
        <v>312</v>
      </c>
      <c r="J2154" s="143" t="s">
        <v>4917</v>
      </c>
      <c r="K2154" s="33" t="s">
        <v>169</v>
      </c>
      <c r="L2154" s="102" t="str">
        <f>VLOOKUP(Anexo_4[[#This Row],[cod_doc]],TIPODOC,2,FALSE)</f>
        <v>FACTURA</v>
      </c>
      <c r="M2154" s="33" t="s">
        <v>1474</v>
      </c>
      <c r="N2154" s="32" t="s">
        <v>6822</v>
      </c>
      <c r="O2154" s="48">
        <v>12.71</v>
      </c>
      <c r="P2154" s="49"/>
      <c r="Q2154" s="81">
        <v>2.29</v>
      </c>
      <c r="R2154" s="80"/>
      <c r="S2154" s="48">
        <v>0</v>
      </c>
      <c r="T2154" s="72">
        <v>15</v>
      </c>
      <c r="U2154" s="70"/>
      <c r="V2154" s="32"/>
      <c r="W2154" s="70"/>
      <c r="X2154" s="70"/>
      <c r="Y2154" s="70"/>
      <c r="Z2154" s="70" t="s">
        <v>302</v>
      </c>
      <c r="AA2154" s="71"/>
      <c r="AB2154" s="117" t="str">
        <f>IFERROR(VLOOKUP(Anexo_4[[#This Row],[cuenta]],OP,2,0),"-")</f>
        <v>Transporte peajes - Servicios</v>
      </c>
    </row>
    <row r="2155" spans="1:28" ht="27" customHeight="1" x14ac:dyDescent="0.3">
      <c r="A2155" s="34" t="s">
        <v>6294</v>
      </c>
      <c r="B2155" s="36" t="str">
        <f t="shared" si="41"/>
        <v>Setiembre</v>
      </c>
      <c r="C2155" s="33" t="s">
        <v>162</v>
      </c>
      <c r="D2155" s="33" t="s">
        <v>6823</v>
      </c>
      <c r="E2155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155" s="32" t="s">
        <v>449</v>
      </c>
      <c r="G2155" s="32" t="s">
        <v>4868</v>
      </c>
      <c r="H2155" s="139" t="s">
        <v>6824</v>
      </c>
      <c r="I2155" s="33" t="s">
        <v>312</v>
      </c>
      <c r="J2155" s="143" t="s">
        <v>4917</v>
      </c>
      <c r="K2155" s="33" t="s">
        <v>169</v>
      </c>
      <c r="L2155" s="102" t="str">
        <f>VLOOKUP(Anexo_4[[#This Row],[cod_doc]],TIPODOC,2,FALSE)</f>
        <v>FACTURA</v>
      </c>
      <c r="M2155" s="33" t="s">
        <v>4334</v>
      </c>
      <c r="N2155" s="32" t="s">
        <v>6825</v>
      </c>
      <c r="O2155" s="48">
        <v>12.71</v>
      </c>
      <c r="P2155" s="49"/>
      <c r="Q2155" s="81">
        <v>2.29</v>
      </c>
      <c r="R2155" s="80"/>
      <c r="S2155" s="48">
        <v>0</v>
      </c>
      <c r="T2155" s="72">
        <v>15</v>
      </c>
      <c r="U2155" s="70"/>
      <c r="V2155" s="32"/>
      <c r="W2155" s="70"/>
      <c r="X2155" s="70"/>
      <c r="Y2155" s="70"/>
      <c r="Z2155" s="70" t="s">
        <v>302</v>
      </c>
      <c r="AA2155" s="71"/>
      <c r="AB2155" s="117" t="str">
        <f>IFERROR(VLOOKUP(Anexo_4[[#This Row],[cuenta]],OP,2,0),"-")</f>
        <v>Transporte peajes - Servicios</v>
      </c>
    </row>
    <row r="2156" spans="1:28" ht="27" customHeight="1" x14ac:dyDescent="0.3">
      <c r="A2156" s="34" t="s">
        <v>6302</v>
      </c>
      <c r="B2156" s="36" t="str">
        <f t="shared" si="41"/>
        <v>Setiembre</v>
      </c>
      <c r="C2156" s="33" t="s">
        <v>162</v>
      </c>
      <c r="D2156" s="33" t="s">
        <v>6826</v>
      </c>
      <c r="E2156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156" s="32" t="s">
        <v>449</v>
      </c>
      <c r="G2156" s="32" t="s">
        <v>4868</v>
      </c>
      <c r="H2156" s="139" t="s">
        <v>6827</v>
      </c>
      <c r="I2156" s="33" t="s">
        <v>312</v>
      </c>
      <c r="J2156" s="143" t="s">
        <v>4917</v>
      </c>
      <c r="K2156" s="33" t="s">
        <v>169</v>
      </c>
      <c r="L2156" s="102" t="str">
        <f>VLOOKUP(Anexo_4[[#This Row],[cod_doc]],TIPODOC,2,FALSE)</f>
        <v>FACTURA</v>
      </c>
      <c r="M2156" s="33" t="s">
        <v>1470</v>
      </c>
      <c r="N2156" s="32" t="s">
        <v>6828</v>
      </c>
      <c r="O2156" s="48">
        <v>12.71</v>
      </c>
      <c r="P2156" s="49"/>
      <c r="Q2156" s="81">
        <v>2.29</v>
      </c>
      <c r="R2156" s="80"/>
      <c r="S2156" s="48">
        <v>0</v>
      </c>
      <c r="T2156" s="72">
        <v>15</v>
      </c>
      <c r="U2156" s="70"/>
      <c r="V2156" s="32"/>
      <c r="W2156" s="70"/>
      <c r="X2156" s="70"/>
      <c r="Y2156" s="70"/>
      <c r="Z2156" s="70" t="s">
        <v>302</v>
      </c>
      <c r="AA2156" s="71"/>
      <c r="AB2156" s="117" t="str">
        <f>IFERROR(VLOOKUP(Anexo_4[[#This Row],[cuenta]],OP,2,0),"-")</f>
        <v>Transporte peajes - Servicios</v>
      </c>
    </row>
    <row r="2157" spans="1:28" ht="27" customHeight="1" x14ac:dyDescent="0.3">
      <c r="A2157" s="34" t="s">
        <v>6536</v>
      </c>
      <c r="B2157" s="36" t="str">
        <f>PROPER(CHOOSE(LEFT(D2157,2),"enero","febrero","marzo","abril","mayo","junio","julio","agosto","setiembre","octubre","noviembre","diciembre"))</f>
        <v>Setiembre</v>
      </c>
      <c r="C2157" s="33" t="s">
        <v>162</v>
      </c>
      <c r="D2157" s="33" t="s">
        <v>6829</v>
      </c>
      <c r="E2157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157" s="32" t="s">
        <v>248</v>
      </c>
      <c r="G2157" s="32" t="s">
        <v>249</v>
      </c>
      <c r="H2157" s="139" t="s">
        <v>6830</v>
      </c>
      <c r="I2157" s="33" t="s">
        <v>980</v>
      </c>
      <c r="J2157" s="143" t="s">
        <v>5083</v>
      </c>
      <c r="K2157" s="33" t="s">
        <v>169</v>
      </c>
      <c r="L2157" s="102" t="str">
        <f>VLOOKUP(Anexo_4[[#This Row],[cod_doc]],TIPODOC,2,FALSE)</f>
        <v>FACTURA</v>
      </c>
      <c r="M2157" s="33" t="s">
        <v>982</v>
      </c>
      <c r="N2157" s="32" t="s">
        <v>6831</v>
      </c>
      <c r="O2157" s="48">
        <v>192.54</v>
      </c>
      <c r="P2157" s="49"/>
      <c r="Q2157" s="81">
        <v>34.659999999999997</v>
      </c>
      <c r="R2157" s="80"/>
      <c r="S2157" s="48">
        <v>0</v>
      </c>
      <c r="T2157" s="72">
        <v>227.2</v>
      </c>
      <c r="U2157" s="70"/>
      <c r="V2157" s="32"/>
      <c r="W2157" s="70"/>
      <c r="X2157" s="70"/>
      <c r="Y2157" s="70" t="s">
        <v>6832</v>
      </c>
      <c r="Z2157" s="70" t="s">
        <v>256</v>
      </c>
      <c r="AA2157" s="71"/>
      <c r="AB2157" s="117" t="str">
        <f>IFERROR(VLOOKUP(Anexo_4[[#This Row],[cuenta]],OP,2,0),"-")</f>
        <v>Materias Primas - RRSS</v>
      </c>
    </row>
    <row r="2158" spans="1:28" ht="27" customHeight="1" x14ac:dyDescent="0.3">
      <c r="A2158" s="34" t="s">
        <v>5238</v>
      </c>
      <c r="B2158" s="36" t="str">
        <f>PROPER(CHOOSE(LEFT(D2158,2),"enero","febrero","marzo","abril","mayo","junio","julio","agosto","setiembre","octubre","noviembre","diciembre"))</f>
        <v>Setiembre</v>
      </c>
      <c r="C2158" s="33" t="s">
        <v>162</v>
      </c>
      <c r="D2158" s="33" t="s">
        <v>6833</v>
      </c>
      <c r="E2158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158" s="32" t="s">
        <v>190</v>
      </c>
      <c r="G2158" s="32" t="s">
        <v>191</v>
      </c>
      <c r="H2158" s="139" t="s">
        <v>6834</v>
      </c>
      <c r="I2158" s="33" t="s">
        <v>2471</v>
      </c>
      <c r="J2158" s="143" t="s">
        <v>6835</v>
      </c>
      <c r="K2158" s="33" t="s">
        <v>169</v>
      </c>
      <c r="L2158" s="102" t="str">
        <f>VLOOKUP(Anexo_4[[#This Row],[cod_doc]],TIPODOC,2,FALSE)</f>
        <v>FACTURA</v>
      </c>
      <c r="M2158" s="33" t="s">
        <v>102</v>
      </c>
      <c r="N2158" s="32" t="s">
        <v>6836</v>
      </c>
      <c r="O2158" s="48">
        <v>1191.53</v>
      </c>
      <c r="P2158" s="49"/>
      <c r="Q2158" s="81">
        <v>214.48</v>
      </c>
      <c r="R2158" s="80"/>
      <c r="S2158" s="48">
        <v>0</v>
      </c>
      <c r="T2158" s="72">
        <v>1406.01</v>
      </c>
      <c r="U2158" s="70"/>
      <c r="V2158" s="32"/>
      <c r="W2158" s="70"/>
      <c r="X2158" s="70"/>
      <c r="Y2158" s="70"/>
      <c r="Z2158" s="70" t="s">
        <v>4222</v>
      </c>
      <c r="AA2158" s="71"/>
      <c r="AB2158" s="117" t="str">
        <f>IFERROR(VLOOKUP(Anexo_4[[#This Row],[cuenta]],OP,2,0),"-")</f>
        <v>-</v>
      </c>
    </row>
    <row r="2159" spans="1:28" ht="27" customHeight="1" x14ac:dyDescent="0.3">
      <c r="A2159" s="34" t="s">
        <v>6384</v>
      </c>
      <c r="B2159" s="36" t="str">
        <f t="shared" ref="B2159:B2179" si="42">PROPER(CHOOSE(LEFT(D2159,2),"enero","febrero","marzo","abril","mayo","junio","julio","agosto","setiembre","octubre","noviembre","diciembre"))</f>
        <v>Setiembre</v>
      </c>
      <c r="C2159" s="33" t="s">
        <v>162</v>
      </c>
      <c r="D2159" s="33" t="s">
        <v>6837</v>
      </c>
      <c r="E2159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159" s="32" t="s">
        <v>449</v>
      </c>
      <c r="G2159" s="32" t="s">
        <v>4868</v>
      </c>
      <c r="H2159" s="139" t="s">
        <v>6838</v>
      </c>
      <c r="I2159" s="33" t="s">
        <v>6839</v>
      </c>
      <c r="J2159" s="143" t="s">
        <v>6840</v>
      </c>
      <c r="K2159" s="33" t="s">
        <v>169</v>
      </c>
      <c r="L2159" s="102" t="str">
        <f>VLOOKUP(Anexo_4[[#This Row],[cod_doc]],TIPODOC,2,FALSE)</f>
        <v>FACTURA</v>
      </c>
      <c r="M2159" s="33" t="s">
        <v>105</v>
      </c>
      <c r="N2159" s="32" t="s">
        <v>6841</v>
      </c>
      <c r="O2159" s="48">
        <v>588.98</v>
      </c>
      <c r="P2159" s="49"/>
      <c r="Q2159" s="81">
        <v>106.02</v>
      </c>
      <c r="R2159" s="80"/>
      <c r="S2159" s="48">
        <v>0</v>
      </c>
      <c r="T2159" s="72">
        <v>695</v>
      </c>
      <c r="U2159" s="70"/>
      <c r="V2159" s="32"/>
      <c r="W2159" s="70"/>
      <c r="X2159" s="70"/>
      <c r="Y2159" s="70"/>
      <c r="Z2159" s="70" t="s">
        <v>223</v>
      </c>
      <c r="AA2159" s="71"/>
      <c r="AB2159" s="117" t="str">
        <f>IFERROR(VLOOKUP(Anexo_4[[#This Row],[cuenta]],OP,2,0),"-")</f>
        <v>Mantenimiento Vehicular (Preventivo)</v>
      </c>
    </row>
    <row r="2160" spans="1:28" ht="27" customHeight="1" x14ac:dyDescent="0.3">
      <c r="A2160" s="34" t="s">
        <v>6536</v>
      </c>
      <c r="B2160" s="36" t="str">
        <f t="shared" si="42"/>
        <v>Setiembre</v>
      </c>
      <c r="C2160" s="33" t="s">
        <v>162</v>
      </c>
      <c r="D2160" s="33" t="s">
        <v>6842</v>
      </c>
      <c r="E2160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160" s="32" t="s">
        <v>592</v>
      </c>
      <c r="G2160" s="32" t="s">
        <v>593</v>
      </c>
      <c r="H2160" s="139" t="s">
        <v>6843</v>
      </c>
      <c r="I2160" s="33" t="s">
        <v>3264</v>
      </c>
      <c r="J2160" s="143" t="s">
        <v>6844</v>
      </c>
      <c r="K2160" s="33" t="s">
        <v>169</v>
      </c>
      <c r="L2160" s="102" t="str">
        <f>VLOOKUP(Anexo_4[[#This Row],[cod_doc]],TIPODOC,2,FALSE)</f>
        <v>FACTURA</v>
      </c>
      <c r="M2160" s="33" t="s">
        <v>102</v>
      </c>
      <c r="N2160" s="32" t="s">
        <v>6845</v>
      </c>
      <c r="O2160" s="48">
        <v>271.19</v>
      </c>
      <c r="P2160" s="49"/>
      <c r="Q2160" s="81">
        <v>48.81</v>
      </c>
      <c r="R2160" s="80"/>
      <c r="S2160" s="48">
        <v>0</v>
      </c>
      <c r="T2160" s="72">
        <v>320</v>
      </c>
      <c r="U2160" s="70"/>
      <c r="V2160" s="32"/>
      <c r="W2160" s="70"/>
      <c r="X2160" s="70"/>
      <c r="Y2160" s="70"/>
      <c r="Z2160" s="70" t="s">
        <v>597</v>
      </c>
      <c r="AA2160" s="71"/>
      <c r="AB2160" s="117" t="str">
        <f>IFERROR(VLOOKUP(Anexo_4[[#This Row],[cuenta]],OP,2,0),"-")</f>
        <v>Mantenimiento Preventivo (Montacarga)</v>
      </c>
    </row>
    <row r="2161" spans="1:28" ht="27" customHeight="1" x14ac:dyDescent="0.3">
      <c r="A2161" s="34" t="s">
        <v>6536</v>
      </c>
      <c r="B2161" s="36" t="str">
        <f t="shared" si="42"/>
        <v>Setiembre</v>
      </c>
      <c r="C2161" s="33" t="s">
        <v>162</v>
      </c>
      <c r="D2161" s="33" t="s">
        <v>6846</v>
      </c>
      <c r="E2161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161" s="32" t="s">
        <v>1366</v>
      </c>
      <c r="G2161" s="32" t="s">
        <v>1367</v>
      </c>
      <c r="H2161" s="139" t="s">
        <v>6847</v>
      </c>
      <c r="I2161" s="33" t="s">
        <v>6848</v>
      </c>
      <c r="J2161" s="143" t="s">
        <v>6849</v>
      </c>
      <c r="K2161" s="33" t="s">
        <v>239</v>
      </c>
      <c r="L2161" s="102" t="str">
        <f>VLOOKUP(Anexo_4[[#This Row],[cod_doc]],TIPODOC,2,FALSE)</f>
        <v>BOLETA DE VENTA</v>
      </c>
      <c r="M2161" s="33" t="s">
        <v>6850</v>
      </c>
      <c r="N2161" s="32" t="s">
        <v>6851</v>
      </c>
      <c r="O2161" s="48">
        <v>0</v>
      </c>
      <c r="P2161" s="49"/>
      <c r="Q2161" s="81">
        <v>0</v>
      </c>
      <c r="R2161" s="80"/>
      <c r="S2161" s="48">
        <v>70</v>
      </c>
      <c r="T2161" s="72">
        <v>70</v>
      </c>
      <c r="U2161" s="70"/>
      <c r="V2161" s="32"/>
      <c r="W2161" s="70"/>
      <c r="X2161" s="70"/>
      <c r="Y2161" s="70"/>
      <c r="Z2161" s="70" t="s">
        <v>4162</v>
      </c>
      <c r="AA2161" s="71"/>
      <c r="AB2161" s="117" t="str">
        <f>IFERROR(VLOOKUP(Anexo_4[[#This Row],[cuenta]],OP,2,0),"-")</f>
        <v>-</v>
      </c>
    </row>
    <row r="2162" spans="1:28" ht="27" customHeight="1" x14ac:dyDescent="0.3">
      <c r="A2162" s="34" t="s">
        <v>6302</v>
      </c>
      <c r="B2162" s="36" t="str">
        <f t="shared" si="42"/>
        <v>Setiembre</v>
      </c>
      <c r="C2162" s="33" t="s">
        <v>162</v>
      </c>
      <c r="D2162" s="33" t="s">
        <v>6852</v>
      </c>
      <c r="E2162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162" s="32" t="s">
        <v>442</v>
      </c>
      <c r="G2162" s="32" t="s">
        <v>443</v>
      </c>
      <c r="H2162" s="139" t="s">
        <v>6853</v>
      </c>
      <c r="I2162" s="33" t="s">
        <v>2113</v>
      </c>
      <c r="J2162" s="143" t="s">
        <v>6854</v>
      </c>
      <c r="K2162" s="33" t="s">
        <v>169</v>
      </c>
      <c r="L2162" s="102" t="str">
        <f>VLOOKUP(Anexo_4[[#This Row],[cod_doc]],TIPODOC,2,FALSE)</f>
        <v>FACTURA</v>
      </c>
      <c r="M2162" s="33" t="s">
        <v>6855</v>
      </c>
      <c r="N2162" s="32" t="s">
        <v>6856</v>
      </c>
      <c r="O2162" s="48">
        <v>41.25</v>
      </c>
      <c r="P2162" s="49"/>
      <c r="Q2162" s="81">
        <v>7.45</v>
      </c>
      <c r="R2162" s="80"/>
      <c r="S2162" s="48">
        <v>0</v>
      </c>
      <c r="T2162" s="72">
        <v>48.7</v>
      </c>
      <c r="U2162" s="70"/>
      <c r="V2162" s="32"/>
      <c r="W2162" s="70"/>
      <c r="X2162" s="70"/>
      <c r="Y2162" s="70"/>
      <c r="Z2162" s="70" t="s">
        <v>684</v>
      </c>
      <c r="AA2162" s="71"/>
      <c r="AB2162" s="117" t="str">
        <f>IFERROR(VLOOKUP(Anexo_4[[#This Row],[cuenta]],OP,2,0),"-")</f>
        <v>-</v>
      </c>
    </row>
    <row r="2163" spans="1:28" ht="27" customHeight="1" x14ac:dyDescent="0.3">
      <c r="A2163" s="34" t="s">
        <v>6384</v>
      </c>
      <c r="B2163" s="36" t="str">
        <f t="shared" si="42"/>
        <v>Setiembre</v>
      </c>
      <c r="C2163" s="33" t="s">
        <v>162</v>
      </c>
      <c r="D2163" s="33" t="s">
        <v>6857</v>
      </c>
      <c r="E2163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163" s="32" t="s">
        <v>442</v>
      </c>
      <c r="G2163" s="32" t="s">
        <v>443</v>
      </c>
      <c r="H2163" s="139" t="s">
        <v>6858</v>
      </c>
      <c r="I2163" s="33" t="s">
        <v>445</v>
      </c>
      <c r="J2163" s="143" t="s">
        <v>6859</v>
      </c>
      <c r="K2163" s="33" t="s">
        <v>169</v>
      </c>
      <c r="L2163" s="102" t="str">
        <f>VLOOKUP(Anexo_4[[#This Row],[cod_doc]],TIPODOC,2,FALSE)</f>
        <v>FACTURA</v>
      </c>
      <c r="M2163" s="33" t="s">
        <v>102</v>
      </c>
      <c r="N2163" s="32" t="s">
        <v>6860</v>
      </c>
      <c r="O2163" s="48">
        <v>93.22</v>
      </c>
      <c r="P2163" s="49"/>
      <c r="Q2163" s="81">
        <v>16.78</v>
      </c>
      <c r="R2163" s="80"/>
      <c r="S2163" s="48">
        <v>0</v>
      </c>
      <c r="T2163" s="72">
        <v>110</v>
      </c>
      <c r="U2163" s="70"/>
      <c r="V2163" s="32"/>
      <c r="W2163" s="70"/>
      <c r="X2163" s="70"/>
      <c r="Y2163" s="70"/>
      <c r="Z2163" s="70" t="s">
        <v>447</v>
      </c>
      <c r="AA2163" s="71"/>
      <c r="AB2163" s="117" t="str">
        <f>IFERROR(VLOOKUP(Anexo_4[[#This Row],[cuenta]],OP,2,0),"-")</f>
        <v>-</v>
      </c>
    </row>
    <row r="2164" spans="1:28" ht="27" customHeight="1" x14ac:dyDescent="0.3">
      <c r="A2164" s="34" t="s">
        <v>6384</v>
      </c>
      <c r="B2164" s="36" t="str">
        <f t="shared" si="42"/>
        <v>Setiembre</v>
      </c>
      <c r="C2164" s="33" t="s">
        <v>162</v>
      </c>
      <c r="D2164" s="33" t="s">
        <v>6861</v>
      </c>
      <c r="E2164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164" s="32" t="s">
        <v>175</v>
      </c>
      <c r="G2164" s="32" t="s">
        <v>5168</v>
      </c>
      <c r="H2164" s="139" t="s">
        <v>6862</v>
      </c>
      <c r="I2164" s="33" t="s">
        <v>264</v>
      </c>
      <c r="J2164" s="143" t="s">
        <v>4644</v>
      </c>
      <c r="K2164" s="33" t="s">
        <v>169</v>
      </c>
      <c r="L2164" s="102" t="str">
        <f>VLOOKUP(Anexo_4[[#This Row],[cod_doc]],TIPODOC,2,FALSE)</f>
        <v>FACTURA</v>
      </c>
      <c r="M2164" s="33" t="s">
        <v>406</v>
      </c>
      <c r="N2164" s="32" t="s">
        <v>6863</v>
      </c>
      <c r="O2164" s="48">
        <v>10.17</v>
      </c>
      <c r="P2164" s="49"/>
      <c r="Q2164" s="81">
        <v>1.83</v>
      </c>
      <c r="R2164" s="80"/>
      <c r="S2164" s="48">
        <v>0</v>
      </c>
      <c r="T2164" s="72">
        <v>12</v>
      </c>
      <c r="U2164" s="70"/>
      <c r="V2164" s="32"/>
      <c r="W2164" s="70"/>
      <c r="X2164" s="70"/>
      <c r="Y2164" s="70" t="s">
        <v>6864</v>
      </c>
      <c r="Z2164" s="70" t="s">
        <v>302</v>
      </c>
      <c r="AA2164" s="71"/>
      <c r="AB2164" s="117" t="str">
        <f>IFERROR(VLOOKUP(Anexo_4[[#This Row],[cuenta]],OP,2,0),"-")</f>
        <v>Transporte peajes - Servicios</v>
      </c>
    </row>
    <row r="2165" spans="1:28" ht="27" customHeight="1" x14ac:dyDescent="0.3">
      <c r="A2165" s="34" t="s">
        <v>6384</v>
      </c>
      <c r="B2165" s="36" t="str">
        <f t="shared" si="42"/>
        <v>Setiembre</v>
      </c>
      <c r="C2165" s="33" t="s">
        <v>162</v>
      </c>
      <c r="D2165" s="33" t="s">
        <v>6865</v>
      </c>
      <c r="E2165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165" s="32" t="s">
        <v>175</v>
      </c>
      <c r="G2165" s="32" t="s">
        <v>5168</v>
      </c>
      <c r="H2165" s="139" t="s">
        <v>6866</v>
      </c>
      <c r="I2165" s="33" t="s">
        <v>264</v>
      </c>
      <c r="J2165" s="143" t="s">
        <v>4644</v>
      </c>
      <c r="K2165" s="33" t="s">
        <v>169</v>
      </c>
      <c r="L2165" s="102" t="str">
        <f>VLOOKUP(Anexo_4[[#This Row],[cod_doc]],TIPODOC,2,FALSE)</f>
        <v>FACTURA</v>
      </c>
      <c r="M2165" s="33" t="s">
        <v>379</v>
      </c>
      <c r="N2165" s="32" t="s">
        <v>6867</v>
      </c>
      <c r="O2165" s="48">
        <v>10.17</v>
      </c>
      <c r="P2165" s="49"/>
      <c r="Q2165" s="81">
        <v>1.83</v>
      </c>
      <c r="R2165" s="80"/>
      <c r="S2165" s="48">
        <v>0</v>
      </c>
      <c r="T2165" s="72">
        <v>12</v>
      </c>
      <c r="U2165" s="70"/>
      <c r="V2165" s="32"/>
      <c r="W2165" s="70"/>
      <c r="X2165" s="70"/>
      <c r="Y2165" s="70" t="s">
        <v>6868</v>
      </c>
      <c r="Z2165" s="70" t="s">
        <v>268</v>
      </c>
      <c r="AA2165" s="71"/>
      <c r="AB2165" s="117" t="str">
        <f>IFERROR(VLOOKUP(Anexo_4[[#This Row],[cuenta]],OP,2,0),"-")</f>
        <v>Transporte peajes - Ventas</v>
      </c>
    </row>
    <row r="2166" spans="1:28" ht="27" customHeight="1" x14ac:dyDescent="0.3">
      <c r="A2166" s="34" t="s">
        <v>6536</v>
      </c>
      <c r="B2166" s="36" t="str">
        <f t="shared" si="42"/>
        <v>Setiembre</v>
      </c>
      <c r="C2166" s="33" t="s">
        <v>162</v>
      </c>
      <c r="D2166" s="33" t="s">
        <v>6869</v>
      </c>
      <c r="E2166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166" s="32" t="s">
        <v>175</v>
      </c>
      <c r="G2166" s="32" t="s">
        <v>5168</v>
      </c>
      <c r="H2166" s="139" t="s">
        <v>6870</v>
      </c>
      <c r="I2166" s="33" t="s">
        <v>264</v>
      </c>
      <c r="J2166" s="143" t="s">
        <v>4644</v>
      </c>
      <c r="K2166" s="33" t="s">
        <v>169</v>
      </c>
      <c r="L2166" s="102" t="str">
        <f>VLOOKUP(Anexo_4[[#This Row],[cod_doc]],TIPODOC,2,FALSE)</f>
        <v>FACTURA</v>
      </c>
      <c r="M2166" s="33" t="s">
        <v>379</v>
      </c>
      <c r="N2166" s="32" t="s">
        <v>6871</v>
      </c>
      <c r="O2166" s="48">
        <v>10.17</v>
      </c>
      <c r="P2166" s="49"/>
      <c r="Q2166" s="81">
        <v>1.83</v>
      </c>
      <c r="R2166" s="80"/>
      <c r="S2166" s="48">
        <v>0</v>
      </c>
      <c r="T2166" s="72">
        <v>12</v>
      </c>
      <c r="U2166" s="70"/>
      <c r="V2166" s="32"/>
      <c r="W2166" s="70"/>
      <c r="X2166" s="70"/>
      <c r="Y2166" s="70" t="s">
        <v>6872</v>
      </c>
      <c r="Z2166" s="70" t="s">
        <v>302</v>
      </c>
      <c r="AA2166" s="71"/>
      <c r="AB2166" s="117" t="str">
        <f>IFERROR(VLOOKUP(Anexo_4[[#This Row],[cuenta]],OP,2,0),"-")</f>
        <v>Transporte peajes - Servicios</v>
      </c>
    </row>
    <row r="2167" spans="1:28" ht="27" customHeight="1" x14ac:dyDescent="0.3">
      <c r="A2167" s="34" t="s">
        <v>6536</v>
      </c>
      <c r="B2167" s="36" t="str">
        <f t="shared" si="42"/>
        <v>Setiembre</v>
      </c>
      <c r="C2167" s="33" t="s">
        <v>162</v>
      </c>
      <c r="D2167" s="33" t="s">
        <v>6873</v>
      </c>
      <c r="E2167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167" s="32" t="s">
        <v>175</v>
      </c>
      <c r="G2167" s="32" t="s">
        <v>5168</v>
      </c>
      <c r="H2167" s="139" t="s">
        <v>6874</v>
      </c>
      <c r="I2167" s="33" t="s">
        <v>264</v>
      </c>
      <c r="J2167" s="143" t="s">
        <v>4644</v>
      </c>
      <c r="K2167" s="33" t="s">
        <v>169</v>
      </c>
      <c r="L2167" s="102" t="str">
        <f>VLOOKUP(Anexo_4[[#This Row],[cod_doc]],TIPODOC,2,FALSE)</f>
        <v>FACTURA</v>
      </c>
      <c r="M2167" s="33" t="s">
        <v>271</v>
      </c>
      <c r="N2167" s="32" t="s">
        <v>6875</v>
      </c>
      <c r="O2167" s="48">
        <v>10.17</v>
      </c>
      <c r="P2167" s="49"/>
      <c r="Q2167" s="81">
        <v>1.83</v>
      </c>
      <c r="R2167" s="80"/>
      <c r="S2167" s="48">
        <v>0</v>
      </c>
      <c r="T2167" s="72">
        <v>12</v>
      </c>
      <c r="U2167" s="70"/>
      <c r="V2167" s="32"/>
      <c r="W2167" s="70"/>
      <c r="X2167" s="70"/>
      <c r="Y2167" s="70" t="s">
        <v>6876</v>
      </c>
      <c r="Z2167" s="70" t="s">
        <v>302</v>
      </c>
      <c r="AA2167" s="71"/>
      <c r="AB2167" s="117" t="str">
        <f>IFERROR(VLOOKUP(Anexo_4[[#This Row],[cuenta]],OP,2,0),"-")</f>
        <v>Transporte peajes - Servicios</v>
      </c>
    </row>
    <row r="2168" spans="1:28" ht="27" customHeight="1" x14ac:dyDescent="0.3">
      <c r="A2168" s="34" t="s">
        <v>6536</v>
      </c>
      <c r="B2168" s="36" t="str">
        <f t="shared" si="42"/>
        <v>Setiembre</v>
      </c>
      <c r="C2168" s="33" t="s">
        <v>162</v>
      </c>
      <c r="D2168" s="33" t="s">
        <v>6877</v>
      </c>
      <c r="E2168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168" s="32" t="s">
        <v>175</v>
      </c>
      <c r="G2168" s="32" t="s">
        <v>5168</v>
      </c>
      <c r="H2168" s="139" t="s">
        <v>6878</v>
      </c>
      <c r="I2168" s="33" t="s">
        <v>383</v>
      </c>
      <c r="J2168" s="143" t="s">
        <v>4702</v>
      </c>
      <c r="K2168" s="33" t="s">
        <v>169</v>
      </c>
      <c r="L2168" s="102" t="str">
        <f>VLOOKUP(Anexo_4[[#This Row],[cod_doc]],TIPODOC,2,FALSE)</f>
        <v>FACTURA</v>
      </c>
      <c r="M2168" s="33" t="s">
        <v>103</v>
      </c>
      <c r="N2168" s="32" t="s">
        <v>6879</v>
      </c>
      <c r="O2168" s="48">
        <v>16.95</v>
      </c>
      <c r="P2168" s="49"/>
      <c r="Q2168" s="81">
        <v>3.05</v>
      </c>
      <c r="R2168" s="80"/>
      <c r="S2168" s="48">
        <v>0</v>
      </c>
      <c r="T2168" s="72">
        <v>20</v>
      </c>
      <c r="U2168" s="70"/>
      <c r="V2168" s="32"/>
      <c r="W2168" s="70"/>
      <c r="X2168" s="70"/>
      <c r="Y2168" s="70" t="s">
        <v>6880</v>
      </c>
      <c r="Z2168" s="70" t="s">
        <v>386</v>
      </c>
      <c r="AA2168" s="71"/>
      <c r="AB2168" s="117" t="str">
        <f>IFERROR(VLOOKUP(Anexo_4[[#This Row],[cuenta]],OP,2,0),"-")</f>
        <v>Balanza - Servicios</v>
      </c>
    </row>
    <row r="2169" spans="1:28" ht="27" customHeight="1" x14ac:dyDescent="0.3">
      <c r="A2169" s="34" t="s">
        <v>6536</v>
      </c>
      <c r="B2169" s="36" t="str">
        <f t="shared" si="42"/>
        <v>Setiembre</v>
      </c>
      <c r="C2169" s="33" t="s">
        <v>162</v>
      </c>
      <c r="D2169" s="33" t="s">
        <v>6881</v>
      </c>
      <c r="E2169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169" s="32" t="s">
        <v>355</v>
      </c>
      <c r="G2169" s="32" t="s">
        <v>356</v>
      </c>
      <c r="H2169" s="139" t="s">
        <v>6882</v>
      </c>
      <c r="I2169" s="33" t="s">
        <v>991</v>
      </c>
      <c r="J2169" s="143" t="s">
        <v>5729</v>
      </c>
      <c r="K2169" s="33" t="s">
        <v>169</v>
      </c>
      <c r="L2169" s="102" t="str">
        <f>VLOOKUP(Anexo_4[[#This Row],[cod_doc]],TIPODOC,2,FALSE)</f>
        <v>FACTURA</v>
      </c>
      <c r="M2169" s="33" t="s">
        <v>222</v>
      </c>
      <c r="N2169" s="32" t="s">
        <v>6883</v>
      </c>
      <c r="O2169" s="48">
        <v>21.19</v>
      </c>
      <c r="P2169" s="49"/>
      <c r="Q2169" s="81">
        <v>3.81</v>
      </c>
      <c r="R2169" s="80"/>
      <c r="S2169" s="48">
        <v>0</v>
      </c>
      <c r="T2169" s="72">
        <v>25</v>
      </c>
      <c r="U2169" s="70"/>
      <c r="V2169" s="32"/>
      <c r="W2169" s="70"/>
      <c r="X2169" s="70"/>
      <c r="Y2169" s="70"/>
      <c r="Z2169" s="70" t="s">
        <v>684</v>
      </c>
      <c r="AA2169" s="71"/>
      <c r="AB2169" s="117" t="str">
        <f>IFERROR(VLOOKUP(Anexo_4[[#This Row],[cuenta]],OP,2,0),"-")</f>
        <v>-</v>
      </c>
    </row>
    <row r="2170" spans="1:28" ht="27" customHeight="1" x14ac:dyDescent="0.3">
      <c r="A2170" s="34" t="s">
        <v>5914</v>
      </c>
      <c r="B2170" s="36" t="str">
        <f t="shared" si="42"/>
        <v>Setiembre</v>
      </c>
      <c r="C2170" s="33" t="s">
        <v>162</v>
      </c>
      <c r="D2170" s="33" t="s">
        <v>6884</v>
      </c>
      <c r="E2170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170" s="32" t="s">
        <v>355</v>
      </c>
      <c r="G2170" s="32" t="s">
        <v>356</v>
      </c>
      <c r="H2170" s="139" t="s">
        <v>6885</v>
      </c>
      <c r="I2170" s="33" t="s">
        <v>4308</v>
      </c>
      <c r="J2170" s="143" t="s">
        <v>5271</v>
      </c>
      <c r="K2170" s="33" t="s">
        <v>169</v>
      </c>
      <c r="L2170" s="102" t="str">
        <f>VLOOKUP(Anexo_4[[#This Row],[cod_doc]],TIPODOC,2,FALSE)</f>
        <v>FACTURA</v>
      </c>
      <c r="M2170" s="33" t="s">
        <v>102</v>
      </c>
      <c r="N2170" s="32" t="s">
        <v>4829</v>
      </c>
      <c r="O2170" s="48">
        <v>847.46</v>
      </c>
      <c r="P2170" s="49"/>
      <c r="Q2170" s="81">
        <v>152.54</v>
      </c>
      <c r="R2170" s="80"/>
      <c r="S2170" s="48">
        <v>0</v>
      </c>
      <c r="T2170" s="72">
        <v>1000</v>
      </c>
      <c r="U2170" s="70" t="s">
        <v>6886</v>
      </c>
      <c r="V2170" s="32" t="s">
        <v>6887</v>
      </c>
      <c r="W2170" s="70"/>
      <c r="X2170" s="70"/>
      <c r="Y2170" s="70"/>
      <c r="Z2170" s="70" t="s">
        <v>893</v>
      </c>
      <c r="AA2170" s="71"/>
      <c r="AB2170" s="117" t="str">
        <f>IFERROR(VLOOKUP(Anexo_4[[#This Row],[cuenta]],OP,2,0),"-")</f>
        <v>Transporte de Carga - Servicios</v>
      </c>
    </row>
    <row r="2171" spans="1:28" ht="27" customHeight="1" x14ac:dyDescent="0.3">
      <c r="A2171" s="34" t="s">
        <v>6536</v>
      </c>
      <c r="B2171" s="36" t="str">
        <f t="shared" si="42"/>
        <v>Setiembre</v>
      </c>
      <c r="C2171" s="33" t="s">
        <v>162</v>
      </c>
      <c r="D2171" s="33" t="s">
        <v>6888</v>
      </c>
      <c r="E2171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171" s="32" t="s">
        <v>248</v>
      </c>
      <c r="G2171" s="32" t="s">
        <v>249</v>
      </c>
      <c r="H2171" s="139" t="s">
        <v>6889</v>
      </c>
      <c r="I2171" s="33" t="s">
        <v>625</v>
      </c>
      <c r="J2171" s="143" t="s">
        <v>4796</v>
      </c>
      <c r="K2171" s="33" t="s">
        <v>169</v>
      </c>
      <c r="L2171" s="102" t="str">
        <f>VLOOKUP(Anexo_4[[#This Row],[cod_doc]],TIPODOC,2,FALSE)</f>
        <v>FACTURA</v>
      </c>
      <c r="M2171" s="33" t="s">
        <v>180</v>
      </c>
      <c r="N2171" s="32" t="s">
        <v>6890</v>
      </c>
      <c r="O2171" s="48">
        <v>996.43</v>
      </c>
      <c r="P2171" s="49"/>
      <c r="Q2171" s="81">
        <v>179.36</v>
      </c>
      <c r="R2171" s="80"/>
      <c r="S2171" s="48">
        <v>0</v>
      </c>
      <c r="T2171" s="72">
        <v>1175.79</v>
      </c>
      <c r="U2171" s="70"/>
      <c r="V2171" s="32"/>
      <c r="W2171" s="70"/>
      <c r="X2171" s="70"/>
      <c r="Y2171" s="70" t="s">
        <v>6891</v>
      </c>
      <c r="Z2171" s="70" t="s">
        <v>256</v>
      </c>
      <c r="AA2171" s="71"/>
      <c r="AB2171" s="117" t="str">
        <f>IFERROR(VLOOKUP(Anexo_4[[#This Row],[cuenta]],OP,2,0),"-")</f>
        <v>Materias Primas - RRSS</v>
      </c>
    </row>
    <row r="2172" spans="1:28" ht="27" customHeight="1" x14ac:dyDescent="0.3">
      <c r="A2172" s="34" t="s">
        <v>6536</v>
      </c>
      <c r="B2172" s="36" t="str">
        <f t="shared" si="42"/>
        <v>Setiembre</v>
      </c>
      <c r="C2172" s="33" t="s">
        <v>162</v>
      </c>
      <c r="D2172" s="33" t="s">
        <v>6892</v>
      </c>
      <c r="E2172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172" s="32" t="s">
        <v>248</v>
      </c>
      <c r="G2172" s="32" t="s">
        <v>249</v>
      </c>
      <c r="H2172" s="139" t="s">
        <v>6893</v>
      </c>
      <c r="I2172" s="33" t="s">
        <v>625</v>
      </c>
      <c r="J2172" s="143" t="s">
        <v>4796</v>
      </c>
      <c r="K2172" s="33" t="s">
        <v>169</v>
      </c>
      <c r="L2172" s="102" t="str">
        <f>VLOOKUP(Anexo_4[[#This Row],[cod_doc]],TIPODOC,2,FALSE)</f>
        <v>FACTURA</v>
      </c>
      <c r="M2172" s="33" t="s">
        <v>180</v>
      </c>
      <c r="N2172" s="32" t="s">
        <v>6894</v>
      </c>
      <c r="O2172" s="48">
        <v>3399.03</v>
      </c>
      <c r="P2172" s="49"/>
      <c r="Q2172" s="81">
        <v>611.83000000000004</v>
      </c>
      <c r="R2172" s="80"/>
      <c r="S2172" s="48">
        <v>0</v>
      </c>
      <c r="T2172" s="72">
        <v>4010.86</v>
      </c>
      <c r="U2172" s="70"/>
      <c r="V2172" s="32"/>
      <c r="W2172" s="70"/>
      <c r="X2172" s="70"/>
      <c r="Y2172" s="70" t="s">
        <v>6895</v>
      </c>
      <c r="Z2172" s="70" t="s">
        <v>256</v>
      </c>
      <c r="AA2172" s="71"/>
      <c r="AB2172" s="117" t="str">
        <f>IFERROR(VLOOKUP(Anexo_4[[#This Row],[cuenta]],OP,2,0),"-")</f>
        <v>Materias Primas - RRSS</v>
      </c>
    </row>
    <row r="2173" spans="1:28" ht="27" customHeight="1" x14ac:dyDescent="0.3">
      <c r="A2173" s="34" t="s">
        <v>5910</v>
      </c>
      <c r="B2173" s="36" t="str">
        <f t="shared" si="42"/>
        <v>Setiembre</v>
      </c>
      <c r="C2173" s="33" t="s">
        <v>162</v>
      </c>
      <c r="D2173" s="33" t="s">
        <v>6896</v>
      </c>
      <c r="E2173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173" s="32" t="s">
        <v>5923</v>
      </c>
      <c r="G2173" s="32" t="s">
        <v>5924</v>
      </c>
      <c r="H2173" s="139" t="s">
        <v>6897</v>
      </c>
      <c r="I2173" s="33" t="s">
        <v>264</v>
      </c>
      <c r="J2173" s="143" t="s">
        <v>4644</v>
      </c>
      <c r="K2173" s="33" t="s">
        <v>169</v>
      </c>
      <c r="L2173" s="102" t="str">
        <f>VLOOKUP(Anexo_4[[#This Row],[cod_doc]],TIPODOC,2,FALSE)</f>
        <v>FACTURA</v>
      </c>
      <c r="M2173" s="33" t="s">
        <v>271</v>
      </c>
      <c r="N2173" s="32" t="s">
        <v>6898</v>
      </c>
      <c r="O2173" s="48">
        <v>6.78</v>
      </c>
      <c r="P2173" s="49"/>
      <c r="Q2173" s="81">
        <v>1.22</v>
      </c>
      <c r="R2173" s="80"/>
      <c r="S2173" s="48">
        <v>0</v>
      </c>
      <c r="T2173" s="72">
        <v>8</v>
      </c>
      <c r="U2173" s="70"/>
      <c r="V2173" s="32"/>
      <c r="W2173" s="70"/>
      <c r="X2173" s="70"/>
      <c r="Y2173" s="70" t="s">
        <v>6899</v>
      </c>
      <c r="Z2173" s="70" t="s">
        <v>302</v>
      </c>
      <c r="AA2173" s="71"/>
      <c r="AB2173" s="117" t="str">
        <f>IFERROR(VLOOKUP(Anexo_4[[#This Row],[cuenta]],OP,2,0),"-")</f>
        <v>Transporte peajes - Servicios</v>
      </c>
    </row>
    <row r="2174" spans="1:28" ht="27" customHeight="1" x14ac:dyDescent="0.3">
      <c r="A2174" s="34" t="s">
        <v>5910</v>
      </c>
      <c r="B2174" s="36" t="str">
        <f t="shared" si="42"/>
        <v>Setiembre</v>
      </c>
      <c r="C2174" s="33" t="s">
        <v>162</v>
      </c>
      <c r="D2174" s="33" t="s">
        <v>6900</v>
      </c>
      <c r="E2174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174" s="32" t="s">
        <v>5923</v>
      </c>
      <c r="G2174" s="32" t="s">
        <v>5924</v>
      </c>
      <c r="H2174" s="139" t="s">
        <v>6901</v>
      </c>
      <c r="I2174" s="33" t="s">
        <v>264</v>
      </c>
      <c r="J2174" s="143" t="s">
        <v>4644</v>
      </c>
      <c r="K2174" s="33" t="s">
        <v>169</v>
      </c>
      <c r="L2174" s="102" t="str">
        <f>VLOOKUP(Anexo_4[[#This Row],[cod_doc]],TIPODOC,2,FALSE)</f>
        <v>FACTURA</v>
      </c>
      <c r="M2174" s="33" t="s">
        <v>379</v>
      </c>
      <c r="N2174" s="32" t="s">
        <v>6902</v>
      </c>
      <c r="O2174" s="48">
        <v>6.78</v>
      </c>
      <c r="P2174" s="49"/>
      <c r="Q2174" s="81">
        <v>1.22</v>
      </c>
      <c r="R2174" s="80"/>
      <c r="S2174" s="48">
        <v>0</v>
      </c>
      <c r="T2174" s="72">
        <v>8</v>
      </c>
      <c r="U2174" s="70"/>
      <c r="V2174" s="32"/>
      <c r="W2174" s="70"/>
      <c r="X2174" s="70"/>
      <c r="Y2174" s="70" t="s">
        <v>6903</v>
      </c>
      <c r="Z2174" s="70" t="s">
        <v>302</v>
      </c>
      <c r="AA2174" s="71"/>
      <c r="AB2174" s="117" t="str">
        <f>IFERROR(VLOOKUP(Anexo_4[[#This Row],[cuenta]],OP,2,0),"-")</f>
        <v>Transporte peajes - Servicios</v>
      </c>
    </row>
    <row r="2175" spans="1:28" ht="27" customHeight="1" x14ac:dyDescent="0.3">
      <c r="A2175" s="34" t="s">
        <v>6294</v>
      </c>
      <c r="B2175" s="36" t="str">
        <f t="shared" si="42"/>
        <v>Setiembre</v>
      </c>
      <c r="C2175" s="33" t="s">
        <v>162</v>
      </c>
      <c r="D2175" s="33" t="s">
        <v>6904</v>
      </c>
      <c r="E2175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175" s="32" t="s">
        <v>5923</v>
      </c>
      <c r="G2175" s="32" t="s">
        <v>5924</v>
      </c>
      <c r="H2175" s="139" t="s">
        <v>6905</v>
      </c>
      <c r="I2175" s="33" t="s">
        <v>264</v>
      </c>
      <c r="J2175" s="143" t="s">
        <v>4644</v>
      </c>
      <c r="K2175" s="33" t="s">
        <v>169</v>
      </c>
      <c r="L2175" s="102" t="str">
        <f>VLOOKUP(Anexo_4[[#This Row],[cod_doc]],TIPODOC,2,FALSE)</f>
        <v>FACTURA</v>
      </c>
      <c r="M2175" s="33" t="s">
        <v>379</v>
      </c>
      <c r="N2175" s="32" t="s">
        <v>6906</v>
      </c>
      <c r="O2175" s="48">
        <v>6.78</v>
      </c>
      <c r="P2175" s="49"/>
      <c r="Q2175" s="81">
        <v>1.22</v>
      </c>
      <c r="R2175" s="80"/>
      <c r="S2175" s="48">
        <v>0</v>
      </c>
      <c r="T2175" s="72">
        <v>8</v>
      </c>
      <c r="U2175" s="70"/>
      <c r="V2175" s="32"/>
      <c r="W2175" s="70"/>
      <c r="X2175" s="70"/>
      <c r="Y2175" s="70" t="s">
        <v>6907</v>
      </c>
      <c r="Z2175" s="70" t="s">
        <v>302</v>
      </c>
      <c r="AA2175" s="71"/>
      <c r="AB2175" s="117" t="str">
        <f>IFERROR(VLOOKUP(Anexo_4[[#This Row],[cuenta]],OP,2,0),"-")</f>
        <v>Transporte peajes - Servicios</v>
      </c>
    </row>
    <row r="2176" spans="1:28" ht="27" customHeight="1" x14ac:dyDescent="0.3">
      <c r="A2176" s="34" t="s">
        <v>6294</v>
      </c>
      <c r="B2176" s="36" t="str">
        <f t="shared" si="42"/>
        <v>Setiembre</v>
      </c>
      <c r="C2176" s="33" t="s">
        <v>162</v>
      </c>
      <c r="D2176" s="33" t="s">
        <v>6908</v>
      </c>
      <c r="E2176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176" s="32" t="s">
        <v>5923</v>
      </c>
      <c r="G2176" s="32" t="s">
        <v>5924</v>
      </c>
      <c r="H2176" s="139" t="s">
        <v>6909</v>
      </c>
      <c r="I2176" s="33" t="s">
        <v>264</v>
      </c>
      <c r="J2176" s="143" t="s">
        <v>4644</v>
      </c>
      <c r="K2176" s="33" t="s">
        <v>169</v>
      </c>
      <c r="L2176" s="102" t="str">
        <f>VLOOKUP(Anexo_4[[#This Row],[cod_doc]],TIPODOC,2,FALSE)</f>
        <v>FACTURA</v>
      </c>
      <c r="M2176" s="33" t="s">
        <v>271</v>
      </c>
      <c r="N2176" s="32" t="s">
        <v>6910</v>
      </c>
      <c r="O2176" s="48">
        <v>6.78</v>
      </c>
      <c r="P2176" s="49"/>
      <c r="Q2176" s="81">
        <v>1.22</v>
      </c>
      <c r="R2176" s="80"/>
      <c r="S2176" s="48">
        <v>0</v>
      </c>
      <c r="T2176" s="72">
        <v>8</v>
      </c>
      <c r="U2176" s="70"/>
      <c r="V2176" s="32"/>
      <c r="W2176" s="70"/>
      <c r="X2176" s="70"/>
      <c r="Y2176" s="70" t="s">
        <v>6911</v>
      </c>
      <c r="Z2176" s="70" t="s">
        <v>302</v>
      </c>
      <c r="AA2176" s="71"/>
      <c r="AB2176" s="117" t="str">
        <f>IFERROR(VLOOKUP(Anexo_4[[#This Row],[cuenta]],OP,2,0),"-")</f>
        <v>Transporte peajes - Servicios</v>
      </c>
    </row>
    <row r="2177" spans="1:28" ht="27" customHeight="1" x14ac:dyDescent="0.3">
      <c r="A2177" s="34" t="s">
        <v>6384</v>
      </c>
      <c r="B2177" s="36" t="str">
        <f t="shared" si="42"/>
        <v>Setiembre</v>
      </c>
      <c r="C2177" s="33" t="s">
        <v>162</v>
      </c>
      <c r="D2177" s="33" t="s">
        <v>6912</v>
      </c>
      <c r="E2177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177" s="32" t="s">
        <v>5923</v>
      </c>
      <c r="G2177" s="32" t="s">
        <v>5924</v>
      </c>
      <c r="H2177" s="139" t="s">
        <v>6913</v>
      </c>
      <c r="I2177" s="33" t="s">
        <v>264</v>
      </c>
      <c r="J2177" s="143" t="s">
        <v>4644</v>
      </c>
      <c r="K2177" s="33" t="s">
        <v>169</v>
      </c>
      <c r="L2177" s="102" t="str">
        <f>VLOOKUP(Anexo_4[[#This Row],[cod_doc]],TIPODOC,2,FALSE)</f>
        <v>FACTURA</v>
      </c>
      <c r="M2177" s="33" t="s">
        <v>379</v>
      </c>
      <c r="N2177" s="32" t="s">
        <v>6914</v>
      </c>
      <c r="O2177" s="48">
        <v>6.78</v>
      </c>
      <c r="P2177" s="49"/>
      <c r="Q2177" s="81">
        <v>1.22</v>
      </c>
      <c r="R2177" s="80"/>
      <c r="S2177" s="48">
        <v>0</v>
      </c>
      <c r="T2177" s="72">
        <v>8</v>
      </c>
      <c r="U2177" s="70"/>
      <c r="V2177" s="32"/>
      <c r="W2177" s="70"/>
      <c r="X2177" s="70"/>
      <c r="Y2177" s="70" t="s">
        <v>6915</v>
      </c>
      <c r="Z2177" s="70" t="s">
        <v>302</v>
      </c>
      <c r="AA2177" s="71"/>
      <c r="AB2177" s="117" t="str">
        <f>IFERROR(VLOOKUP(Anexo_4[[#This Row],[cuenta]],OP,2,0),"-")</f>
        <v>Transporte peajes - Servicios</v>
      </c>
    </row>
    <row r="2178" spans="1:28" ht="27" customHeight="1" x14ac:dyDescent="0.3">
      <c r="A2178" s="34" t="s">
        <v>6384</v>
      </c>
      <c r="B2178" s="36" t="str">
        <f t="shared" si="42"/>
        <v>Setiembre</v>
      </c>
      <c r="C2178" s="33" t="s">
        <v>162</v>
      </c>
      <c r="D2178" s="33" t="s">
        <v>6916</v>
      </c>
      <c r="E2178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178" s="32" t="s">
        <v>5923</v>
      </c>
      <c r="G2178" s="32" t="s">
        <v>5924</v>
      </c>
      <c r="H2178" s="139" t="s">
        <v>6917</v>
      </c>
      <c r="I2178" s="33" t="s">
        <v>264</v>
      </c>
      <c r="J2178" s="143" t="s">
        <v>4644</v>
      </c>
      <c r="K2178" s="33" t="s">
        <v>169</v>
      </c>
      <c r="L2178" s="102" t="str">
        <f>VLOOKUP(Anexo_4[[#This Row],[cod_doc]],TIPODOC,2,FALSE)</f>
        <v>FACTURA</v>
      </c>
      <c r="M2178" s="33" t="s">
        <v>406</v>
      </c>
      <c r="N2178" s="32" t="s">
        <v>6918</v>
      </c>
      <c r="O2178" s="48">
        <v>6.78</v>
      </c>
      <c r="P2178" s="49"/>
      <c r="Q2178" s="81">
        <v>1.22</v>
      </c>
      <c r="R2178" s="80"/>
      <c r="S2178" s="48">
        <v>0</v>
      </c>
      <c r="T2178" s="72">
        <v>8</v>
      </c>
      <c r="U2178" s="70"/>
      <c r="V2178" s="32"/>
      <c r="W2178" s="70"/>
      <c r="X2178" s="70"/>
      <c r="Y2178" s="70" t="s">
        <v>6919</v>
      </c>
      <c r="Z2178" s="70" t="s">
        <v>302</v>
      </c>
      <c r="AA2178" s="71"/>
      <c r="AB2178" s="117" t="str">
        <f>IFERROR(VLOOKUP(Anexo_4[[#This Row],[cuenta]],OP,2,0),"-")</f>
        <v>Transporte peajes - Servicios</v>
      </c>
    </row>
    <row r="2179" spans="1:28" ht="27" customHeight="1" x14ac:dyDescent="0.3">
      <c r="A2179" s="34" t="s">
        <v>6384</v>
      </c>
      <c r="B2179" s="36" t="str">
        <f t="shared" si="42"/>
        <v>Setiembre</v>
      </c>
      <c r="C2179" s="33" t="s">
        <v>162</v>
      </c>
      <c r="D2179" s="33" t="s">
        <v>6920</v>
      </c>
      <c r="E2179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179" s="32"/>
      <c r="G2179" s="32"/>
      <c r="H2179" s="139" t="s">
        <v>6921</v>
      </c>
      <c r="I2179" s="33" t="s">
        <v>258</v>
      </c>
      <c r="J2179" s="143" t="s">
        <v>4812</v>
      </c>
      <c r="K2179" s="33" t="s">
        <v>169</v>
      </c>
      <c r="L2179" s="102" t="str">
        <f>VLOOKUP(Anexo_4[[#This Row],[cod_doc]],TIPODOC,2,FALSE)</f>
        <v>FACTURA</v>
      </c>
      <c r="M2179" s="33" t="s">
        <v>260</v>
      </c>
      <c r="N2179" s="32" t="s">
        <v>6922</v>
      </c>
      <c r="O2179" s="48">
        <v>1235.4000000000001</v>
      </c>
      <c r="P2179" s="49"/>
      <c r="Q2179" s="81">
        <v>222.38</v>
      </c>
      <c r="R2179" s="80"/>
      <c r="S2179" s="48">
        <v>0</v>
      </c>
      <c r="T2179" s="72">
        <v>1457.78</v>
      </c>
      <c r="U2179" s="70"/>
      <c r="V2179" s="32"/>
      <c r="W2179" s="70"/>
      <c r="X2179" s="70"/>
      <c r="Y2179" s="70"/>
      <c r="Z2179" s="70"/>
      <c r="AA2179" s="71"/>
      <c r="AB2179" s="117" t="str">
        <f>IFERROR(VLOOKUP(Anexo_4[[#This Row],[cuenta]],OP,2,0),"-")</f>
        <v>-</v>
      </c>
    </row>
    <row r="2180" spans="1:28" ht="27" customHeight="1" x14ac:dyDescent="0.3">
      <c r="A2180" s="34" t="s">
        <v>5910</v>
      </c>
      <c r="B2180" s="36" t="str">
        <f t="shared" ref="B2180:B2186" si="43">PROPER(CHOOSE(LEFT(D2180,2),"enero","febrero","marzo","abril","mayo","junio","julio","agosto","setiembre","octubre","noviembre","diciembre"))</f>
        <v>Setiembre</v>
      </c>
      <c r="C2180" s="33" t="s">
        <v>162</v>
      </c>
      <c r="D2180" s="33" t="s">
        <v>6923</v>
      </c>
      <c r="E2180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180" s="32" t="s">
        <v>823</v>
      </c>
      <c r="G2180" s="32" t="s">
        <v>824</v>
      </c>
      <c r="H2180" s="139" t="s">
        <v>6924</v>
      </c>
      <c r="I2180" s="33" t="s">
        <v>6925</v>
      </c>
      <c r="J2180" s="143" t="s">
        <v>6926</v>
      </c>
      <c r="K2180" s="33" t="s">
        <v>169</v>
      </c>
      <c r="L2180" s="102" t="str">
        <f>VLOOKUP(Anexo_4[[#This Row],[cod_doc]],TIPODOC,2,FALSE)</f>
        <v>FACTURA</v>
      </c>
      <c r="M2180" s="33" t="s">
        <v>222</v>
      </c>
      <c r="N2180" s="32" t="s">
        <v>6927</v>
      </c>
      <c r="O2180" s="48">
        <v>186.44</v>
      </c>
      <c r="P2180" s="49"/>
      <c r="Q2180" s="81">
        <v>33.56</v>
      </c>
      <c r="R2180" s="80"/>
      <c r="S2180" s="48">
        <v>0</v>
      </c>
      <c r="T2180" s="72">
        <v>220</v>
      </c>
      <c r="U2180" s="70"/>
      <c r="V2180" s="32"/>
      <c r="W2180" s="70"/>
      <c r="X2180" s="70"/>
      <c r="Y2180" s="70"/>
      <c r="Z2180" s="70" t="s">
        <v>684</v>
      </c>
      <c r="AA2180" s="71"/>
      <c r="AB2180" s="117" t="str">
        <f>IFERROR(VLOOKUP(Anexo_4[[#This Row],[cuenta]],OP,2,0),"-")</f>
        <v>-</v>
      </c>
    </row>
    <row r="2181" spans="1:28" ht="27" customHeight="1" x14ac:dyDescent="0.3">
      <c r="A2181" s="34" t="s">
        <v>5921</v>
      </c>
      <c r="B2181" s="36" t="str">
        <f t="shared" si="43"/>
        <v>Setiembre</v>
      </c>
      <c r="C2181" s="33" t="s">
        <v>162</v>
      </c>
      <c r="D2181" s="33" t="s">
        <v>6928</v>
      </c>
      <c r="E2181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181" s="32" t="s">
        <v>823</v>
      </c>
      <c r="G2181" s="32" t="s">
        <v>824</v>
      </c>
      <c r="H2181" s="139" t="s">
        <v>6929</v>
      </c>
      <c r="I2181" s="33" t="s">
        <v>991</v>
      </c>
      <c r="J2181" s="143" t="s">
        <v>5729</v>
      </c>
      <c r="K2181" s="33" t="s">
        <v>169</v>
      </c>
      <c r="L2181" s="102" t="str">
        <f>VLOOKUP(Anexo_4[[#This Row],[cod_doc]],TIPODOC,2,FALSE)</f>
        <v>FACTURA</v>
      </c>
      <c r="M2181" s="33" t="s">
        <v>222</v>
      </c>
      <c r="N2181" s="32" t="s">
        <v>6930</v>
      </c>
      <c r="O2181" s="48">
        <v>40.93</v>
      </c>
      <c r="P2181" s="49"/>
      <c r="Q2181" s="81">
        <v>7.37</v>
      </c>
      <c r="R2181" s="80"/>
      <c r="S2181" s="48">
        <v>0</v>
      </c>
      <c r="T2181" s="72">
        <v>48.3</v>
      </c>
      <c r="U2181" s="70"/>
      <c r="V2181" s="32"/>
      <c r="W2181" s="70"/>
      <c r="X2181" s="70"/>
      <c r="Y2181" s="70"/>
      <c r="Z2181" s="70" t="s">
        <v>684</v>
      </c>
      <c r="AA2181" s="71"/>
      <c r="AB2181" s="117" t="str">
        <f>IFERROR(VLOOKUP(Anexo_4[[#This Row],[cuenta]],OP,2,0),"-")</f>
        <v>-</v>
      </c>
    </row>
    <row r="2182" spans="1:28" ht="27" customHeight="1" x14ac:dyDescent="0.3">
      <c r="A2182" s="34" t="s">
        <v>5328</v>
      </c>
      <c r="B2182" s="36" t="str">
        <f t="shared" si="43"/>
        <v>Setiembre</v>
      </c>
      <c r="C2182" s="33" t="s">
        <v>162</v>
      </c>
      <c r="D2182" s="33" t="s">
        <v>6931</v>
      </c>
      <c r="E2182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182" s="32" t="s">
        <v>823</v>
      </c>
      <c r="G2182" s="32" t="s">
        <v>824</v>
      </c>
      <c r="H2182" s="139" t="s">
        <v>6932</v>
      </c>
      <c r="I2182" s="33" t="s">
        <v>6933</v>
      </c>
      <c r="J2182" s="143" t="s">
        <v>6934</v>
      </c>
      <c r="K2182" s="33" t="s">
        <v>169</v>
      </c>
      <c r="L2182" s="102" t="str">
        <f>VLOOKUP(Anexo_4[[#This Row],[cod_doc]],TIPODOC,2,FALSE)</f>
        <v>FACTURA</v>
      </c>
      <c r="M2182" s="33" t="s">
        <v>103</v>
      </c>
      <c r="N2182" s="32" t="s">
        <v>6935</v>
      </c>
      <c r="O2182" s="48"/>
      <c r="P2182" s="49">
        <v>164.27</v>
      </c>
      <c r="Q2182" s="81"/>
      <c r="R2182" s="80">
        <v>16.43</v>
      </c>
      <c r="S2182" s="48">
        <v>0</v>
      </c>
      <c r="T2182" s="72">
        <v>180.7</v>
      </c>
      <c r="U2182" s="70"/>
      <c r="V2182" s="32"/>
      <c r="W2182" s="70"/>
      <c r="X2182" s="70"/>
      <c r="Y2182" s="70"/>
      <c r="Z2182" s="70" t="s">
        <v>684</v>
      </c>
      <c r="AA2182" s="71"/>
      <c r="AB2182" s="117" t="str">
        <f>IFERROR(VLOOKUP(Anexo_4[[#This Row],[cuenta]],OP,2,0),"-")</f>
        <v>-</v>
      </c>
    </row>
    <row r="2183" spans="1:28" ht="27" customHeight="1" x14ac:dyDescent="0.3">
      <c r="A2183" s="34" t="s">
        <v>5071</v>
      </c>
      <c r="B2183" s="36" t="str">
        <f t="shared" si="43"/>
        <v>Setiembre</v>
      </c>
      <c r="C2183" s="33" t="s">
        <v>162</v>
      </c>
      <c r="D2183" s="33" t="s">
        <v>6936</v>
      </c>
      <c r="E2183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183" s="32" t="s">
        <v>823</v>
      </c>
      <c r="G2183" s="32" t="s">
        <v>824</v>
      </c>
      <c r="H2183" s="139" t="s">
        <v>6937</v>
      </c>
      <c r="I2183" s="33" t="s">
        <v>991</v>
      </c>
      <c r="J2183" s="143" t="s">
        <v>5729</v>
      </c>
      <c r="K2183" s="33" t="s">
        <v>169</v>
      </c>
      <c r="L2183" s="102" t="str">
        <f>VLOOKUP(Anexo_4[[#This Row],[cod_doc]],TIPODOC,2,FALSE)</f>
        <v>FACTURA</v>
      </c>
      <c r="M2183" s="33" t="s">
        <v>222</v>
      </c>
      <c r="N2183" s="32" t="s">
        <v>6938</v>
      </c>
      <c r="O2183" s="48">
        <v>53.98</v>
      </c>
      <c r="P2183" s="49"/>
      <c r="Q2183" s="81">
        <v>9.7200000000000006</v>
      </c>
      <c r="R2183" s="80"/>
      <c r="S2183" s="48">
        <v>0</v>
      </c>
      <c r="T2183" s="72">
        <v>63.7</v>
      </c>
      <c r="U2183" s="70"/>
      <c r="V2183" s="32"/>
      <c r="W2183" s="70"/>
      <c r="X2183" s="70"/>
      <c r="Y2183" s="70"/>
      <c r="Z2183" s="70" t="s">
        <v>684</v>
      </c>
      <c r="AA2183" s="71"/>
      <c r="AB2183" s="117" t="str">
        <f>IFERROR(VLOOKUP(Anexo_4[[#This Row],[cuenta]],OP,2,0),"-")</f>
        <v>-</v>
      </c>
    </row>
    <row r="2184" spans="1:28" ht="27" customHeight="1" x14ac:dyDescent="0.3">
      <c r="A2184" s="34" t="s">
        <v>2837</v>
      </c>
      <c r="B2184" s="36" t="str">
        <f t="shared" si="43"/>
        <v>Setiembre</v>
      </c>
      <c r="C2184" s="33" t="s">
        <v>162</v>
      </c>
      <c r="D2184" s="33" t="s">
        <v>6939</v>
      </c>
      <c r="E2184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184" s="32" t="s">
        <v>823</v>
      </c>
      <c r="G2184" s="32" t="s">
        <v>824</v>
      </c>
      <c r="H2184" s="139" t="s">
        <v>6940</v>
      </c>
      <c r="I2184" s="33" t="s">
        <v>2113</v>
      </c>
      <c r="J2184" s="143" t="s">
        <v>6854</v>
      </c>
      <c r="K2184" s="33" t="s">
        <v>169</v>
      </c>
      <c r="L2184" s="102" t="str">
        <f>VLOOKUP(Anexo_4[[#This Row],[cod_doc]],TIPODOC,2,FALSE)</f>
        <v>FACTURA</v>
      </c>
      <c r="M2184" s="33" t="s">
        <v>6941</v>
      </c>
      <c r="N2184" s="32" t="s">
        <v>6942</v>
      </c>
      <c r="O2184" s="48">
        <v>89.01</v>
      </c>
      <c r="P2184" s="49"/>
      <c r="Q2184" s="81">
        <v>16.04</v>
      </c>
      <c r="R2184" s="80"/>
      <c r="S2184" s="48">
        <v>0</v>
      </c>
      <c r="T2184" s="72">
        <v>105.05</v>
      </c>
      <c r="U2184" s="70"/>
      <c r="V2184" s="32"/>
      <c r="W2184" s="70"/>
      <c r="X2184" s="70"/>
      <c r="Y2184" s="70"/>
      <c r="Z2184" s="70" t="s">
        <v>684</v>
      </c>
      <c r="AA2184" s="71"/>
      <c r="AB2184" s="117" t="str">
        <f>IFERROR(VLOOKUP(Anexo_4[[#This Row],[cuenta]],OP,2,0),"-")</f>
        <v>-</v>
      </c>
    </row>
    <row r="2185" spans="1:28" ht="27" customHeight="1" x14ac:dyDescent="0.3">
      <c r="A2185" s="34" t="s">
        <v>2780</v>
      </c>
      <c r="B2185" s="36" t="str">
        <f t="shared" si="43"/>
        <v>Setiembre</v>
      </c>
      <c r="C2185" s="33" t="s">
        <v>162</v>
      </c>
      <c r="D2185" s="33" t="s">
        <v>6943</v>
      </c>
      <c r="E2185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185" s="32" t="s">
        <v>823</v>
      </c>
      <c r="G2185" s="32" t="s">
        <v>824</v>
      </c>
      <c r="H2185" s="139" t="s">
        <v>6944</v>
      </c>
      <c r="I2185" s="33" t="s">
        <v>6945</v>
      </c>
      <c r="J2185" s="143" t="s">
        <v>6946</v>
      </c>
      <c r="K2185" s="33" t="s">
        <v>169</v>
      </c>
      <c r="L2185" s="102" t="str">
        <f>VLOOKUP(Anexo_4[[#This Row],[cod_doc]],TIPODOC,2,FALSE)</f>
        <v>FACTURA</v>
      </c>
      <c r="M2185" s="33" t="s">
        <v>222</v>
      </c>
      <c r="N2185" s="32" t="s">
        <v>6947</v>
      </c>
      <c r="O2185" s="48"/>
      <c r="P2185" s="49">
        <v>68</v>
      </c>
      <c r="Q2185" s="81"/>
      <c r="R2185" s="80">
        <v>6.8</v>
      </c>
      <c r="S2185" s="48">
        <v>0</v>
      </c>
      <c r="T2185" s="72">
        <v>74.8</v>
      </c>
      <c r="U2185" s="70"/>
      <c r="V2185" s="32"/>
      <c r="W2185" s="70"/>
      <c r="X2185" s="70"/>
      <c r="Y2185" s="70"/>
      <c r="Z2185" s="70" t="s">
        <v>684</v>
      </c>
      <c r="AA2185" s="71"/>
      <c r="AB2185" s="117" t="str">
        <f>IFERROR(VLOOKUP(Anexo_4[[#This Row],[cuenta]],OP,2,0),"-")</f>
        <v>-</v>
      </c>
    </row>
    <row r="2186" spans="1:28" ht="27" customHeight="1" x14ac:dyDescent="0.3">
      <c r="A2186" s="34" t="s">
        <v>316</v>
      </c>
      <c r="B2186" s="36" t="str">
        <f t="shared" si="43"/>
        <v>Setiembre</v>
      </c>
      <c r="C2186" s="33" t="s">
        <v>162</v>
      </c>
      <c r="D2186" s="33" t="s">
        <v>6948</v>
      </c>
      <c r="E2186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186" s="32" t="s">
        <v>823</v>
      </c>
      <c r="G2186" s="32" t="s">
        <v>824</v>
      </c>
      <c r="H2186" s="139" t="s">
        <v>6949</v>
      </c>
      <c r="I2186" s="33" t="s">
        <v>6950</v>
      </c>
      <c r="J2186" s="143" t="s">
        <v>6951</v>
      </c>
      <c r="K2186" s="33" t="s">
        <v>169</v>
      </c>
      <c r="L2186" s="102" t="str">
        <f>VLOOKUP(Anexo_4[[#This Row],[cod_doc]],TIPODOC,2,FALSE)</f>
        <v>FACTURA</v>
      </c>
      <c r="M2186" s="33" t="s">
        <v>222</v>
      </c>
      <c r="N2186" s="32" t="s">
        <v>6952</v>
      </c>
      <c r="O2186" s="48"/>
      <c r="P2186" s="49">
        <v>78.180000000000007</v>
      </c>
      <c r="Q2186" s="81"/>
      <c r="R2186" s="80">
        <v>7.82</v>
      </c>
      <c r="S2186" s="48">
        <v>0</v>
      </c>
      <c r="T2186" s="72">
        <v>86</v>
      </c>
      <c r="U2186" s="70"/>
      <c r="V2186" s="32"/>
      <c r="W2186" s="70"/>
      <c r="X2186" s="70"/>
      <c r="Y2186" s="70"/>
      <c r="Z2186" s="70" t="s">
        <v>684</v>
      </c>
      <c r="AA2186" s="71"/>
      <c r="AB2186" s="117" t="str">
        <f>IFERROR(VLOOKUP(Anexo_4[[#This Row],[cuenta]],OP,2,0),"-")</f>
        <v>-</v>
      </c>
    </row>
    <row r="2187" spans="1:28" ht="27" customHeight="1" x14ac:dyDescent="0.3">
      <c r="A2187" s="34" t="s">
        <v>6953</v>
      </c>
      <c r="B2187" s="36" t="str">
        <f t="shared" ref="B2187:B2193" si="44">PROPER(CHOOSE(LEFT(D2187,2),"enero","febrero","marzo","abril","mayo","junio","julio","agosto","setiembre","octubre","noviembre","diciembre"))</f>
        <v>Setiembre</v>
      </c>
      <c r="C2187" s="33" t="s">
        <v>162</v>
      </c>
      <c r="D2187" s="33" t="s">
        <v>6954</v>
      </c>
      <c r="E2187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187" s="32" t="s">
        <v>823</v>
      </c>
      <c r="G2187" s="32" t="s">
        <v>824</v>
      </c>
      <c r="H2187" s="139" t="s">
        <v>6955</v>
      </c>
      <c r="I2187" s="33" t="s">
        <v>6956</v>
      </c>
      <c r="J2187" s="143" t="s">
        <v>6957</v>
      </c>
      <c r="K2187" s="33" t="s">
        <v>169</v>
      </c>
      <c r="L2187" s="102" t="str">
        <f>VLOOKUP(Anexo_4[[#This Row],[cod_doc]],TIPODOC,2,FALSE)</f>
        <v>FACTURA</v>
      </c>
      <c r="M2187" s="33" t="s">
        <v>6958</v>
      </c>
      <c r="N2187" s="32" t="s">
        <v>6959</v>
      </c>
      <c r="O2187" s="48">
        <v>301.24</v>
      </c>
      <c r="P2187" s="49"/>
      <c r="Q2187" s="81">
        <v>55.66</v>
      </c>
      <c r="R2187" s="80"/>
      <c r="S2187" s="48">
        <v>8</v>
      </c>
      <c r="T2187" s="72">
        <v>364.9</v>
      </c>
      <c r="U2187" s="70"/>
      <c r="V2187" s="32"/>
      <c r="W2187" s="70"/>
      <c r="X2187" s="70"/>
      <c r="Y2187" s="70"/>
      <c r="Z2187" s="70" t="s">
        <v>684</v>
      </c>
      <c r="AA2187" s="71"/>
      <c r="AB2187" s="117" t="str">
        <f>IFERROR(VLOOKUP(Anexo_4[[#This Row],[cuenta]],OP,2,0),"-")</f>
        <v>-</v>
      </c>
    </row>
    <row r="2188" spans="1:28" ht="27" customHeight="1" x14ac:dyDescent="0.3">
      <c r="A2188" s="34" t="s">
        <v>6960</v>
      </c>
      <c r="B2188" s="36" t="str">
        <f t="shared" si="44"/>
        <v>Setiembre</v>
      </c>
      <c r="C2188" s="33" t="s">
        <v>162</v>
      </c>
      <c r="D2188" s="33" t="s">
        <v>6961</v>
      </c>
      <c r="E2188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188" s="32" t="s">
        <v>823</v>
      </c>
      <c r="G2188" s="32" t="s">
        <v>824</v>
      </c>
      <c r="H2188" s="139" t="s">
        <v>6955</v>
      </c>
      <c r="I2188" s="33" t="s">
        <v>6962</v>
      </c>
      <c r="J2188" s="143" t="s">
        <v>6963</v>
      </c>
      <c r="K2188" s="33" t="s">
        <v>169</v>
      </c>
      <c r="L2188" s="102" t="str">
        <f>VLOOKUP(Anexo_4[[#This Row],[cod_doc]],TIPODOC,2,FALSE)</f>
        <v>FACTURA</v>
      </c>
      <c r="M2188" s="33" t="s">
        <v>180</v>
      </c>
      <c r="N2188" s="32" t="s">
        <v>6964</v>
      </c>
      <c r="O2188" s="48"/>
      <c r="P2188" s="49">
        <v>110.91</v>
      </c>
      <c r="Q2188" s="81"/>
      <c r="R2188" s="80">
        <v>11.09</v>
      </c>
      <c r="S2188" s="48">
        <v>0</v>
      </c>
      <c r="T2188" s="72">
        <v>122</v>
      </c>
      <c r="U2188" s="70"/>
      <c r="V2188" s="32"/>
      <c r="W2188" s="70"/>
      <c r="X2188" s="70"/>
      <c r="Y2188" s="70"/>
      <c r="Z2188" s="70" t="s">
        <v>684</v>
      </c>
      <c r="AA2188" s="71"/>
      <c r="AB2188" s="117" t="str">
        <f>IFERROR(VLOOKUP(Anexo_4[[#This Row],[cuenta]],OP,2,0),"-")</f>
        <v>-</v>
      </c>
    </row>
    <row r="2189" spans="1:28" ht="27" customHeight="1" x14ac:dyDescent="0.3">
      <c r="A2189" s="34" t="s">
        <v>6965</v>
      </c>
      <c r="B2189" s="36" t="str">
        <f t="shared" si="44"/>
        <v>Setiembre</v>
      </c>
      <c r="C2189" s="33" t="s">
        <v>162</v>
      </c>
      <c r="D2189" s="33" t="s">
        <v>6966</v>
      </c>
      <c r="E2189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189" s="32" t="s">
        <v>823</v>
      </c>
      <c r="G2189" s="32" t="s">
        <v>824</v>
      </c>
      <c r="H2189" s="139" t="s">
        <v>6967</v>
      </c>
      <c r="I2189" s="33" t="s">
        <v>904</v>
      </c>
      <c r="J2189" s="143" t="s">
        <v>5559</v>
      </c>
      <c r="K2189" s="33" t="s">
        <v>169</v>
      </c>
      <c r="L2189" s="102" t="str">
        <f>VLOOKUP(Anexo_4[[#This Row],[cod_doc]],TIPODOC,2,FALSE)</f>
        <v>FACTURA</v>
      </c>
      <c r="M2189" s="33" t="s">
        <v>180</v>
      </c>
      <c r="N2189" s="32" t="s">
        <v>6968</v>
      </c>
      <c r="O2189" s="48"/>
      <c r="P2189" s="49">
        <v>64.55</v>
      </c>
      <c r="Q2189" s="81"/>
      <c r="R2189" s="80">
        <v>6.45</v>
      </c>
      <c r="S2189" s="48">
        <v>0</v>
      </c>
      <c r="T2189" s="72">
        <v>71</v>
      </c>
      <c r="U2189" s="70"/>
      <c r="V2189" s="32"/>
      <c r="W2189" s="70"/>
      <c r="X2189" s="70"/>
      <c r="Y2189" s="70"/>
      <c r="Z2189" s="70" t="s">
        <v>684</v>
      </c>
      <c r="AA2189" s="71"/>
      <c r="AB2189" s="117" t="str">
        <f>IFERROR(VLOOKUP(Anexo_4[[#This Row],[cuenta]],OP,2,0),"-")</f>
        <v>-</v>
      </c>
    </row>
    <row r="2190" spans="1:28" ht="27" customHeight="1" x14ac:dyDescent="0.3">
      <c r="A2190" s="34" t="s">
        <v>6969</v>
      </c>
      <c r="B2190" s="36" t="str">
        <f t="shared" si="44"/>
        <v>Setiembre</v>
      </c>
      <c r="C2190" s="33" t="s">
        <v>162</v>
      </c>
      <c r="D2190" s="33" t="s">
        <v>6970</v>
      </c>
      <c r="E2190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190" s="32" t="s">
        <v>823</v>
      </c>
      <c r="G2190" s="32" t="s">
        <v>824</v>
      </c>
      <c r="H2190" s="139" t="s">
        <v>6971</v>
      </c>
      <c r="I2190" s="33" t="s">
        <v>6972</v>
      </c>
      <c r="J2190" s="143" t="s">
        <v>6973</v>
      </c>
      <c r="K2190" s="33" t="s">
        <v>169</v>
      </c>
      <c r="L2190" s="102" t="str">
        <f>VLOOKUP(Anexo_4[[#This Row],[cod_doc]],TIPODOC,2,FALSE)</f>
        <v>FACTURA</v>
      </c>
      <c r="M2190" s="33" t="s">
        <v>6974</v>
      </c>
      <c r="N2190" s="32" t="s">
        <v>6975</v>
      </c>
      <c r="O2190" s="48">
        <v>36.53</v>
      </c>
      <c r="P2190" s="49"/>
      <c r="Q2190" s="81">
        <v>6.57</v>
      </c>
      <c r="R2190" s="80"/>
      <c r="S2190" s="48">
        <v>0</v>
      </c>
      <c r="T2190" s="72">
        <v>43.1</v>
      </c>
      <c r="U2190" s="70"/>
      <c r="V2190" s="32"/>
      <c r="W2190" s="70"/>
      <c r="X2190" s="70"/>
      <c r="Y2190" s="70"/>
      <c r="Z2190" s="70" t="s">
        <v>4222</v>
      </c>
      <c r="AA2190" s="71"/>
      <c r="AB2190" s="117" t="str">
        <f>IFERROR(VLOOKUP(Anexo_4[[#This Row],[cuenta]],OP,2,0),"-")</f>
        <v>-</v>
      </c>
    </row>
    <row r="2191" spans="1:28" ht="27" customHeight="1" x14ac:dyDescent="0.3">
      <c r="A2191" s="34" t="s">
        <v>5328</v>
      </c>
      <c r="B2191" s="36" t="str">
        <f t="shared" si="44"/>
        <v>Setiembre</v>
      </c>
      <c r="C2191" s="33" t="s">
        <v>162</v>
      </c>
      <c r="D2191" s="33" t="s">
        <v>6976</v>
      </c>
      <c r="E2191" s="37" t="str">
        <f>IF(LEFT(Anexo_4[[#This Row],[c_costos]],2)="91","OPERACIONES",IF(LEFT(Anexo_4[[#This Row],[c_costos]],2)="97","G. FINANCIEROS",IF(LEFT(Anexo_4[[#This Row],[c_costos]],2)="95","G. VENTAS","G. ADMINISTRACIÓN")))</f>
        <v>G. FINANCIEROS</v>
      </c>
      <c r="F2191" s="32" t="s">
        <v>474</v>
      </c>
      <c r="G2191" s="32" t="s">
        <v>475</v>
      </c>
      <c r="H2191" s="139" t="s">
        <v>3440</v>
      </c>
      <c r="I2191" s="33" t="s">
        <v>477</v>
      </c>
      <c r="J2191" s="143" t="s">
        <v>4623</v>
      </c>
      <c r="K2191" s="33" t="s">
        <v>169</v>
      </c>
      <c r="L2191" s="102" t="str">
        <f>VLOOKUP(Anexo_4[[#This Row],[cod_doc]],TIPODOC,2,FALSE)</f>
        <v>FACTURA</v>
      </c>
      <c r="M2191" s="33" t="s">
        <v>307</v>
      </c>
      <c r="N2191" s="32" t="s">
        <v>6977</v>
      </c>
      <c r="O2191" s="48">
        <v>0</v>
      </c>
      <c r="P2191" s="49"/>
      <c r="Q2191" s="81">
        <v>0</v>
      </c>
      <c r="R2191" s="80"/>
      <c r="S2191" s="48">
        <v>20.12</v>
      </c>
      <c r="T2191" s="72">
        <v>20.12</v>
      </c>
      <c r="U2191" s="70"/>
      <c r="V2191" s="32"/>
      <c r="W2191" s="70"/>
      <c r="X2191" s="70"/>
      <c r="Y2191" s="70"/>
      <c r="Z2191" s="70" t="s">
        <v>4370</v>
      </c>
      <c r="AA2191" s="71"/>
      <c r="AB2191" s="117" t="str">
        <f>IFERROR(VLOOKUP(Anexo_4[[#This Row],[cuenta]],OP,2,0),"-")</f>
        <v>-</v>
      </c>
    </row>
    <row r="2192" spans="1:28" ht="27" customHeight="1" x14ac:dyDescent="0.3">
      <c r="A2192" s="34" t="s">
        <v>5078</v>
      </c>
      <c r="B2192" s="36" t="str">
        <f t="shared" si="44"/>
        <v>Setiembre</v>
      </c>
      <c r="C2192" s="33" t="s">
        <v>162</v>
      </c>
      <c r="D2192" s="33" t="s">
        <v>6978</v>
      </c>
      <c r="E2192" s="37" t="str">
        <f>IF(LEFT(Anexo_4[[#This Row],[c_costos]],2)="91","OPERACIONES",IF(LEFT(Anexo_4[[#This Row],[c_costos]],2)="97","G. FINANCIEROS",IF(LEFT(Anexo_4[[#This Row],[c_costos]],2)="95","G. VENTAS","G. ADMINISTRACIÓN")))</f>
        <v>G. FINANCIEROS</v>
      </c>
      <c r="F2192" s="32" t="s">
        <v>474</v>
      </c>
      <c r="G2192" s="32" t="s">
        <v>475</v>
      </c>
      <c r="H2192" s="139" t="s">
        <v>5382</v>
      </c>
      <c r="I2192" s="33" t="s">
        <v>477</v>
      </c>
      <c r="J2192" s="143" t="s">
        <v>4623</v>
      </c>
      <c r="K2192" s="33" t="s">
        <v>169</v>
      </c>
      <c r="L2192" s="102" t="str">
        <f>VLOOKUP(Anexo_4[[#This Row],[cod_doc]],TIPODOC,2,FALSE)</f>
        <v>FACTURA</v>
      </c>
      <c r="M2192" s="33" t="s">
        <v>479</v>
      </c>
      <c r="N2192" s="32" t="s">
        <v>6979</v>
      </c>
      <c r="O2192" s="48">
        <v>0</v>
      </c>
      <c r="P2192" s="49"/>
      <c r="Q2192" s="81">
        <v>0</v>
      </c>
      <c r="R2192" s="80"/>
      <c r="S2192" s="48">
        <v>10</v>
      </c>
      <c r="T2192" s="72">
        <v>10</v>
      </c>
      <c r="U2192" s="70"/>
      <c r="V2192" s="32"/>
      <c r="W2192" s="70"/>
      <c r="X2192" s="70"/>
      <c r="Y2192" s="70"/>
      <c r="Z2192" s="70" t="s">
        <v>480</v>
      </c>
      <c r="AA2192" s="71"/>
      <c r="AB2192" s="117" t="str">
        <f>IFERROR(VLOOKUP(Anexo_4[[#This Row],[cuenta]],OP,2,0),"-")</f>
        <v>-</v>
      </c>
    </row>
    <row r="2193" spans="1:28" ht="27" customHeight="1" x14ac:dyDescent="0.3">
      <c r="A2193" s="34" t="s">
        <v>5444</v>
      </c>
      <c r="B2193" s="36" t="str">
        <f t="shared" si="44"/>
        <v>Setiembre</v>
      </c>
      <c r="C2193" s="33" t="s">
        <v>162</v>
      </c>
      <c r="D2193" s="33" t="s">
        <v>6980</v>
      </c>
      <c r="E2193" s="37" t="str">
        <f>IF(LEFT(Anexo_4[[#This Row],[c_costos]],2)="91","OPERACIONES",IF(LEFT(Anexo_4[[#This Row],[c_costos]],2)="97","G. FINANCIEROS",IF(LEFT(Anexo_4[[#This Row],[c_costos]],2)="95","G. VENTAS","G. ADMINISTRACIÓN")))</f>
        <v>G. FINANCIEROS</v>
      </c>
      <c r="F2193" s="32" t="s">
        <v>474</v>
      </c>
      <c r="G2193" s="32" t="s">
        <v>475</v>
      </c>
      <c r="H2193" s="139" t="s">
        <v>5382</v>
      </c>
      <c r="I2193" s="33" t="s">
        <v>477</v>
      </c>
      <c r="J2193" s="143" t="s">
        <v>4623</v>
      </c>
      <c r="K2193" s="33" t="s">
        <v>169</v>
      </c>
      <c r="L2193" s="102" t="str">
        <f>VLOOKUP(Anexo_4[[#This Row],[cod_doc]],TIPODOC,2,FALSE)</f>
        <v>FACTURA</v>
      </c>
      <c r="M2193" s="33" t="s">
        <v>479</v>
      </c>
      <c r="N2193" s="32" t="s">
        <v>6981</v>
      </c>
      <c r="O2193" s="48">
        <v>0</v>
      </c>
      <c r="P2193" s="49"/>
      <c r="Q2193" s="81">
        <v>0</v>
      </c>
      <c r="R2193" s="80"/>
      <c r="S2193" s="48">
        <v>10</v>
      </c>
      <c r="T2193" s="72">
        <v>10</v>
      </c>
      <c r="U2193" s="70"/>
      <c r="V2193" s="32"/>
      <c r="W2193" s="70"/>
      <c r="X2193" s="70"/>
      <c r="Y2193" s="70"/>
      <c r="Z2193" s="70" t="s">
        <v>480</v>
      </c>
      <c r="AA2193" s="71"/>
      <c r="AB2193" s="117" t="str">
        <f>IFERROR(VLOOKUP(Anexo_4[[#This Row],[cuenta]],OP,2,0),"-")</f>
        <v>-</v>
      </c>
    </row>
    <row r="2194" spans="1:28" ht="27" customHeight="1" x14ac:dyDescent="0.3">
      <c r="A2194" s="34" t="s">
        <v>5921</v>
      </c>
      <c r="B2194" s="36" t="str">
        <f t="shared" ref="B2194:B2199" si="45">PROPER(CHOOSE(LEFT(D2194,2),"enero","febrero","marzo","abril","mayo","junio","julio","agosto","setiembre","octubre","noviembre","diciembre"))</f>
        <v>Setiembre</v>
      </c>
      <c r="C2194" s="33" t="s">
        <v>162</v>
      </c>
      <c r="D2194" s="33" t="s">
        <v>6982</v>
      </c>
      <c r="E2194" s="37" t="str">
        <f>IF(LEFT(Anexo_4[[#This Row],[c_costos]],2)="91","OPERACIONES",IF(LEFT(Anexo_4[[#This Row],[c_costos]],2)="97","G. FINANCIEROS",IF(LEFT(Anexo_4[[#This Row],[c_costos]],2)="95","G. VENTAS","G. ADMINISTRACIÓN")))</f>
        <v>G. FINANCIEROS</v>
      </c>
      <c r="F2194" s="32" t="s">
        <v>474</v>
      </c>
      <c r="G2194" s="32" t="s">
        <v>475</v>
      </c>
      <c r="H2194" s="139" t="s">
        <v>5382</v>
      </c>
      <c r="I2194" s="33" t="s">
        <v>477</v>
      </c>
      <c r="J2194" s="143" t="s">
        <v>4623</v>
      </c>
      <c r="K2194" s="33" t="s">
        <v>169</v>
      </c>
      <c r="L2194" s="102" t="str">
        <f>VLOOKUP(Anexo_4[[#This Row],[cod_doc]],TIPODOC,2,FALSE)</f>
        <v>FACTURA</v>
      </c>
      <c r="M2194" s="33" t="s">
        <v>479</v>
      </c>
      <c r="N2194" s="32" t="s">
        <v>6983</v>
      </c>
      <c r="O2194" s="48">
        <v>0</v>
      </c>
      <c r="P2194" s="49"/>
      <c r="Q2194" s="81">
        <v>0</v>
      </c>
      <c r="R2194" s="80"/>
      <c r="S2194" s="48">
        <v>10</v>
      </c>
      <c r="T2194" s="72">
        <v>10</v>
      </c>
      <c r="U2194" s="70"/>
      <c r="V2194" s="32"/>
      <c r="W2194" s="70"/>
      <c r="X2194" s="70"/>
      <c r="Y2194" s="70"/>
      <c r="Z2194" s="70" t="s">
        <v>480</v>
      </c>
      <c r="AA2194" s="71"/>
      <c r="AB2194" s="117" t="str">
        <f>IFERROR(VLOOKUP(Anexo_4[[#This Row],[cuenta]],OP,2,0),"-")</f>
        <v>-</v>
      </c>
    </row>
    <row r="2195" spans="1:28" ht="27" customHeight="1" x14ac:dyDescent="0.3">
      <c r="A2195" s="34" t="s">
        <v>5921</v>
      </c>
      <c r="B2195" s="36" t="str">
        <f t="shared" si="45"/>
        <v>Setiembre</v>
      </c>
      <c r="C2195" s="33" t="s">
        <v>162</v>
      </c>
      <c r="D2195" s="33" t="s">
        <v>6984</v>
      </c>
      <c r="E2195" s="37" t="str">
        <f>IF(LEFT(Anexo_4[[#This Row],[c_costos]],2)="91","OPERACIONES",IF(LEFT(Anexo_4[[#This Row],[c_costos]],2)="97","G. FINANCIEROS",IF(LEFT(Anexo_4[[#This Row],[c_costos]],2)="95","G. VENTAS","G. ADMINISTRACIÓN")))</f>
        <v>G. FINANCIEROS</v>
      </c>
      <c r="F2195" s="32" t="s">
        <v>474</v>
      </c>
      <c r="G2195" s="32" t="s">
        <v>475</v>
      </c>
      <c r="H2195" s="139" t="s">
        <v>5387</v>
      </c>
      <c r="I2195" s="33" t="s">
        <v>477</v>
      </c>
      <c r="J2195" s="143" t="s">
        <v>4623</v>
      </c>
      <c r="K2195" s="33" t="s">
        <v>169</v>
      </c>
      <c r="L2195" s="102" t="str">
        <f>VLOOKUP(Anexo_4[[#This Row],[cod_doc]],TIPODOC,2,FALSE)</f>
        <v>FACTURA</v>
      </c>
      <c r="M2195" s="33" t="s">
        <v>479</v>
      </c>
      <c r="N2195" s="32" t="s">
        <v>6985</v>
      </c>
      <c r="O2195" s="48">
        <v>0</v>
      </c>
      <c r="P2195" s="49"/>
      <c r="Q2195" s="81">
        <v>0</v>
      </c>
      <c r="R2195" s="80"/>
      <c r="S2195" s="48">
        <v>17.5</v>
      </c>
      <c r="T2195" s="72">
        <v>17.5</v>
      </c>
      <c r="U2195" s="70"/>
      <c r="V2195" s="32"/>
      <c r="W2195" s="70"/>
      <c r="X2195" s="70"/>
      <c r="Y2195" s="70"/>
      <c r="Z2195" s="70" t="s">
        <v>483</v>
      </c>
      <c r="AA2195" s="71"/>
      <c r="AB2195" s="117" t="str">
        <f>IFERROR(VLOOKUP(Anexo_4[[#This Row],[cuenta]],OP,2,0),"-")</f>
        <v>-</v>
      </c>
    </row>
    <row r="2196" spans="1:28" ht="27" customHeight="1" x14ac:dyDescent="0.3">
      <c r="A2196" s="34" t="s">
        <v>6380</v>
      </c>
      <c r="B2196" s="36" t="str">
        <f t="shared" si="45"/>
        <v>Setiembre</v>
      </c>
      <c r="C2196" s="33" t="s">
        <v>162</v>
      </c>
      <c r="D2196" s="33" t="s">
        <v>6986</v>
      </c>
      <c r="E2196" s="37" t="str">
        <f>IF(LEFT(Anexo_4[[#This Row],[c_costos]],2)="91","OPERACIONES",IF(LEFT(Anexo_4[[#This Row],[c_costos]],2)="97","G. FINANCIEROS",IF(LEFT(Anexo_4[[#This Row],[c_costos]],2)="95","G. VENTAS","G. ADMINISTRACIÓN")))</f>
        <v>G. FINANCIEROS</v>
      </c>
      <c r="F2196" s="32" t="s">
        <v>474</v>
      </c>
      <c r="G2196" s="32" t="s">
        <v>475</v>
      </c>
      <c r="H2196" s="139" t="s">
        <v>5387</v>
      </c>
      <c r="I2196" s="33" t="s">
        <v>477</v>
      </c>
      <c r="J2196" s="143" t="s">
        <v>4623</v>
      </c>
      <c r="K2196" s="33" t="s">
        <v>169</v>
      </c>
      <c r="L2196" s="102" t="str">
        <f>VLOOKUP(Anexo_4[[#This Row],[cod_doc]],TIPODOC,2,FALSE)</f>
        <v>FACTURA</v>
      </c>
      <c r="M2196" s="33" t="s">
        <v>479</v>
      </c>
      <c r="N2196" s="32" t="s">
        <v>6987</v>
      </c>
      <c r="O2196" s="48">
        <v>0</v>
      </c>
      <c r="P2196" s="49"/>
      <c r="Q2196" s="81">
        <v>0</v>
      </c>
      <c r="R2196" s="80"/>
      <c r="S2196" s="48">
        <v>4.3</v>
      </c>
      <c r="T2196" s="72">
        <v>4.3</v>
      </c>
      <c r="U2196" s="70"/>
      <c r="V2196" s="32"/>
      <c r="W2196" s="70"/>
      <c r="X2196" s="70"/>
      <c r="Y2196" s="70"/>
      <c r="Z2196" s="70" t="s">
        <v>483</v>
      </c>
      <c r="AA2196" s="71"/>
      <c r="AB2196" s="117" t="str">
        <f>IFERROR(VLOOKUP(Anexo_4[[#This Row],[cuenta]],OP,2,0),"-")</f>
        <v>-</v>
      </c>
    </row>
    <row r="2197" spans="1:28" ht="27" customHeight="1" x14ac:dyDescent="0.3">
      <c r="A2197" s="34" t="s">
        <v>6384</v>
      </c>
      <c r="B2197" s="36" t="str">
        <f t="shared" si="45"/>
        <v>Setiembre</v>
      </c>
      <c r="C2197" s="33" t="s">
        <v>162</v>
      </c>
      <c r="D2197" s="33" t="s">
        <v>6988</v>
      </c>
      <c r="E2197" s="37" t="str">
        <f>IF(LEFT(Anexo_4[[#This Row],[c_costos]],2)="91","OPERACIONES",IF(LEFT(Anexo_4[[#This Row],[c_costos]],2)="97","G. FINANCIEROS",IF(LEFT(Anexo_4[[#This Row],[c_costos]],2)="95","G. VENTAS","G. ADMINISTRACIÓN")))</f>
        <v>G. FINANCIEROS</v>
      </c>
      <c r="F2197" s="32" t="s">
        <v>474</v>
      </c>
      <c r="G2197" s="32" t="s">
        <v>475</v>
      </c>
      <c r="H2197" s="139" t="s">
        <v>5387</v>
      </c>
      <c r="I2197" s="33" t="s">
        <v>477</v>
      </c>
      <c r="J2197" s="143" t="s">
        <v>4623</v>
      </c>
      <c r="K2197" s="33" t="s">
        <v>169</v>
      </c>
      <c r="L2197" s="102" t="str">
        <f>VLOOKUP(Anexo_4[[#This Row],[cod_doc]],TIPODOC,2,FALSE)</f>
        <v>FACTURA</v>
      </c>
      <c r="M2197" s="33" t="s">
        <v>479</v>
      </c>
      <c r="N2197" s="32" t="s">
        <v>6989</v>
      </c>
      <c r="O2197" s="48">
        <v>0</v>
      </c>
      <c r="P2197" s="49"/>
      <c r="Q2197" s="81">
        <v>0</v>
      </c>
      <c r="R2197" s="80"/>
      <c r="S2197" s="48">
        <v>23</v>
      </c>
      <c r="T2197" s="72">
        <v>23</v>
      </c>
      <c r="U2197" s="70"/>
      <c r="V2197" s="32"/>
      <c r="W2197" s="70"/>
      <c r="X2197" s="70"/>
      <c r="Y2197" s="70"/>
      <c r="Z2197" s="70" t="s">
        <v>483</v>
      </c>
      <c r="AA2197" s="71"/>
      <c r="AB2197" s="117" t="str">
        <f>IFERROR(VLOOKUP(Anexo_4[[#This Row],[cuenta]],OP,2,0),"-")</f>
        <v>-</v>
      </c>
    </row>
    <row r="2198" spans="1:28" ht="27" customHeight="1" x14ac:dyDescent="0.3">
      <c r="A2198" s="34" t="s">
        <v>6536</v>
      </c>
      <c r="B2198" s="36" t="str">
        <f t="shared" si="45"/>
        <v>Setiembre</v>
      </c>
      <c r="C2198" s="33" t="s">
        <v>162</v>
      </c>
      <c r="D2198" s="33" t="s">
        <v>6990</v>
      </c>
      <c r="E2198" s="37" t="str">
        <f>IF(LEFT(Anexo_4[[#This Row],[c_costos]],2)="91","OPERACIONES",IF(LEFT(Anexo_4[[#This Row],[c_costos]],2)="97","G. FINANCIEROS",IF(LEFT(Anexo_4[[#This Row],[c_costos]],2)="95","G. VENTAS","G. ADMINISTRACIÓN")))</f>
        <v>G. FINANCIEROS</v>
      </c>
      <c r="F2198" s="32" t="s">
        <v>474</v>
      </c>
      <c r="G2198" s="32" t="s">
        <v>475</v>
      </c>
      <c r="H2198" s="139" t="s">
        <v>5387</v>
      </c>
      <c r="I2198" s="33" t="s">
        <v>477</v>
      </c>
      <c r="J2198" s="143" t="s">
        <v>4623</v>
      </c>
      <c r="K2198" s="33" t="s">
        <v>169</v>
      </c>
      <c r="L2198" s="102" t="str">
        <f>VLOOKUP(Anexo_4[[#This Row],[cod_doc]],TIPODOC,2,FALSE)</f>
        <v>FACTURA</v>
      </c>
      <c r="M2198" s="33" t="s">
        <v>479</v>
      </c>
      <c r="N2198" s="32" t="s">
        <v>6991</v>
      </c>
      <c r="O2198" s="48">
        <v>0</v>
      </c>
      <c r="P2198" s="49"/>
      <c r="Q2198" s="81">
        <v>0</v>
      </c>
      <c r="R2198" s="80"/>
      <c r="S2198" s="48">
        <v>22.09</v>
      </c>
      <c r="T2198" s="72">
        <v>22.09</v>
      </c>
      <c r="U2198" s="70"/>
      <c r="V2198" s="32"/>
      <c r="W2198" s="70"/>
      <c r="X2198" s="70"/>
      <c r="Y2198" s="70"/>
      <c r="Z2198" s="70" t="s">
        <v>483</v>
      </c>
      <c r="AA2198" s="71"/>
      <c r="AB2198" s="117" t="str">
        <f>IFERROR(VLOOKUP(Anexo_4[[#This Row],[cuenta]],OP,2,0),"-")</f>
        <v>-</v>
      </c>
    </row>
    <row r="2199" spans="1:28" ht="27" customHeight="1" x14ac:dyDescent="0.3">
      <c r="A2199" s="34" t="s">
        <v>5449</v>
      </c>
      <c r="B2199" s="36" t="str">
        <f t="shared" si="45"/>
        <v>Setiembre</v>
      </c>
      <c r="C2199" s="33" t="s">
        <v>162</v>
      </c>
      <c r="D2199" s="33" t="s">
        <v>6992</v>
      </c>
      <c r="E2199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199" s="32" t="s">
        <v>355</v>
      </c>
      <c r="G2199" s="32" t="s">
        <v>356</v>
      </c>
      <c r="H2199" s="139" t="s">
        <v>6993</v>
      </c>
      <c r="I2199" s="33" t="s">
        <v>2605</v>
      </c>
      <c r="J2199" s="143" t="s">
        <v>6244</v>
      </c>
      <c r="K2199" s="33" t="s">
        <v>169</v>
      </c>
      <c r="L2199" s="102" t="str">
        <f>VLOOKUP(Anexo_4[[#This Row],[cod_doc]],TIPODOC,2,FALSE)</f>
        <v>FACTURA</v>
      </c>
      <c r="M2199" s="33" t="s">
        <v>102</v>
      </c>
      <c r="N2199" s="32" t="s">
        <v>6994</v>
      </c>
      <c r="O2199" s="48">
        <v>338.98</v>
      </c>
      <c r="P2199" s="49"/>
      <c r="Q2199" s="81">
        <v>61.02</v>
      </c>
      <c r="R2199" s="80"/>
      <c r="S2199" s="48">
        <v>0</v>
      </c>
      <c r="T2199" s="72">
        <v>400</v>
      </c>
      <c r="U2199" s="70"/>
      <c r="V2199" s="32"/>
      <c r="W2199" s="70"/>
      <c r="X2199" s="70"/>
      <c r="Y2199" s="70"/>
      <c r="Z2199" s="70" t="s">
        <v>893</v>
      </c>
      <c r="AA2199" s="71"/>
      <c r="AB2199" s="117" t="str">
        <f>IFERROR(VLOOKUP(Anexo_4[[#This Row],[cuenta]],OP,2,0),"-")</f>
        <v>Transporte de Carga - Servicios</v>
      </c>
    </row>
    <row r="2200" spans="1:28" ht="27" customHeight="1" x14ac:dyDescent="0.3">
      <c r="A2200" s="34" t="s">
        <v>5494</v>
      </c>
      <c r="B2200" s="36" t="str">
        <f t="shared" ref="B2200:B2205" si="46">PROPER(CHOOSE(LEFT(D2200,2),"enero","febrero","marzo","abril","mayo","junio","julio","agosto","setiembre","octubre","noviembre","diciembre"))</f>
        <v>Setiembre</v>
      </c>
      <c r="C2200" s="33" t="s">
        <v>162</v>
      </c>
      <c r="D2200" s="33" t="s">
        <v>6995</v>
      </c>
      <c r="E2200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200" s="32" t="s">
        <v>355</v>
      </c>
      <c r="G2200" s="32" t="s">
        <v>356</v>
      </c>
      <c r="H2200" s="139" t="s">
        <v>6996</v>
      </c>
      <c r="I2200" s="33" t="s">
        <v>6735</v>
      </c>
      <c r="J2200" s="143" t="s">
        <v>6997</v>
      </c>
      <c r="K2200" s="33" t="s">
        <v>169</v>
      </c>
      <c r="L2200" s="102" t="str">
        <f>VLOOKUP(Anexo_4[[#This Row],[cod_doc]],TIPODOC,2,FALSE)</f>
        <v>FACTURA</v>
      </c>
      <c r="M2200" s="33" t="s">
        <v>6737</v>
      </c>
      <c r="N2200" s="32" t="s">
        <v>6998</v>
      </c>
      <c r="O2200" s="48">
        <v>203.39</v>
      </c>
      <c r="P2200" s="49"/>
      <c r="Q2200" s="81">
        <v>36.61</v>
      </c>
      <c r="R2200" s="80"/>
      <c r="S2200" s="48"/>
      <c r="T2200" s="72">
        <v>240</v>
      </c>
      <c r="U2200" s="70"/>
      <c r="V2200" s="32"/>
      <c r="W2200" s="70"/>
      <c r="X2200" s="70"/>
      <c r="Y2200" s="70"/>
      <c r="Z2200" s="70"/>
      <c r="AA2200" s="71"/>
      <c r="AB2200" s="117" t="str">
        <f>IFERROR(VLOOKUP(Anexo_4[[#This Row],[cuenta]],OP,2,0),"-")</f>
        <v>-</v>
      </c>
    </row>
    <row r="2201" spans="1:28" ht="27" customHeight="1" x14ac:dyDescent="0.3">
      <c r="A2201" s="34" t="s">
        <v>5255</v>
      </c>
      <c r="B2201" s="36" t="str">
        <f t="shared" si="46"/>
        <v>Setiembre</v>
      </c>
      <c r="C2201" s="33" t="s">
        <v>162</v>
      </c>
      <c r="D2201" s="33" t="s">
        <v>6999</v>
      </c>
      <c r="E2201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201" s="32" t="s">
        <v>355</v>
      </c>
      <c r="G2201" s="32" t="s">
        <v>356</v>
      </c>
      <c r="H2201" s="139" t="s">
        <v>6996</v>
      </c>
      <c r="I2201" s="33" t="s">
        <v>6735</v>
      </c>
      <c r="J2201" s="143" t="s">
        <v>6997</v>
      </c>
      <c r="K2201" s="33" t="s">
        <v>169</v>
      </c>
      <c r="L2201" s="102" t="str">
        <f>VLOOKUP(Anexo_4[[#This Row],[cod_doc]],TIPODOC,2,FALSE)</f>
        <v>FACTURA</v>
      </c>
      <c r="M2201" s="33" t="s">
        <v>6737</v>
      </c>
      <c r="N2201" s="32" t="s">
        <v>7000</v>
      </c>
      <c r="O2201" s="48">
        <v>203.39</v>
      </c>
      <c r="P2201" s="49"/>
      <c r="Q2201" s="81">
        <v>36.61</v>
      </c>
      <c r="R2201" s="80"/>
      <c r="S2201" s="48"/>
      <c r="T2201" s="72">
        <v>240</v>
      </c>
      <c r="U2201" s="70"/>
      <c r="V2201" s="32"/>
      <c r="W2201" s="70"/>
      <c r="X2201" s="70"/>
      <c r="Y2201" s="70"/>
      <c r="Z2201" s="70"/>
      <c r="AA2201" s="71"/>
      <c r="AB2201" s="117" t="str">
        <f>IFERROR(VLOOKUP(Anexo_4[[#This Row],[cuenta]],OP,2,0),"-")</f>
        <v>-</v>
      </c>
    </row>
    <row r="2202" spans="1:28" ht="27" customHeight="1" x14ac:dyDescent="0.3">
      <c r="A2202" s="34" t="s">
        <v>5585</v>
      </c>
      <c r="B2202" s="36" t="str">
        <f t="shared" si="46"/>
        <v>Setiembre</v>
      </c>
      <c r="C2202" s="33" t="s">
        <v>162</v>
      </c>
      <c r="D2202" s="33" t="s">
        <v>7001</v>
      </c>
      <c r="E2202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202" s="32" t="s">
        <v>355</v>
      </c>
      <c r="G2202" s="32" t="s">
        <v>356</v>
      </c>
      <c r="H2202" s="139" t="s">
        <v>7002</v>
      </c>
      <c r="I2202" s="33" t="s">
        <v>6406</v>
      </c>
      <c r="J2202" s="143" t="s">
        <v>7003</v>
      </c>
      <c r="K2202" s="33" t="s">
        <v>169</v>
      </c>
      <c r="L2202" s="102" t="str">
        <f>VLOOKUP(Anexo_4[[#This Row],[cod_doc]],TIPODOC,2,FALSE)</f>
        <v>FACTURA</v>
      </c>
      <c r="M2202" s="33" t="s">
        <v>6408</v>
      </c>
      <c r="N2202" s="32" t="s">
        <v>7004</v>
      </c>
      <c r="O2202" s="48">
        <v>0</v>
      </c>
      <c r="P2202" s="49"/>
      <c r="Q2202" s="81">
        <v>0</v>
      </c>
      <c r="R2202" s="80"/>
      <c r="S2202" s="48">
        <v>110</v>
      </c>
      <c r="T2202" s="72">
        <v>110</v>
      </c>
      <c r="U2202" s="70"/>
      <c r="V2202" s="32"/>
      <c r="W2202" s="70"/>
      <c r="X2202" s="70"/>
      <c r="Y2202" s="70"/>
      <c r="Z2202" s="70"/>
      <c r="AA2202" s="71"/>
      <c r="AB2202" s="117" t="str">
        <f>IFERROR(VLOOKUP(Anexo_4[[#This Row],[cuenta]],OP,2,0),"-")</f>
        <v>-</v>
      </c>
    </row>
    <row r="2203" spans="1:28" ht="27" customHeight="1" x14ac:dyDescent="0.3">
      <c r="A2203" s="34" t="s">
        <v>5238</v>
      </c>
      <c r="B2203" s="36" t="str">
        <f t="shared" si="46"/>
        <v>Setiembre</v>
      </c>
      <c r="C2203" s="33" t="s">
        <v>162</v>
      </c>
      <c r="D2203" s="33" t="s">
        <v>7005</v>
      </c>
      <c r="E2203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203" s="32"/>
      <c r="G2203" s="32"/>
      <c r="H2203" s="139" t="s">
        <v>7006</v>
      </c>
      <c r="I2203" s="33" t="s">
        <v>3250</v>
      </c>
      <c r="J2203" s="143" t="s">
        <v>3251</v>
      </c>
      <c r="K2203" s="33" t="s">
        <v>169</v>
      </c>
      <c r="L2203" s="102" t="str">
        <f>VLOOKUP(Anexo_4[[#This Row],[cod_doc]],TIPODOC,2,FALSE)</f>
        <v>FACTURA</v>
      </c>
      <c r="M2203" s="33" t="s">
        <v>260</v>
      </c>
      <c r="N2203" s="32" t="s">
        <v>7007</v>
      </c>
      <c r="O2203" s="48">
        <v>108.48</v>
      </c>
      <c r="P2203" s="49"/>
      <c r="Q2203" s="81">
        <v>19.53</v>
      </c>
      <c r="R2203" s="80"/>
      <c r="S2203" s="48"/>
      <c r="T2203" s="72">
        <v>128.01</v>
      </c>
      <c r="U2203" s="70"/>
      <c r="V2203" s="32"/>
      <c r="W2203" s="70"/>
      <c r="X2203" s="70"/>
      <c r="Y2203" s="70"/>
      <c r="Z2203" s="70"/>
      <c r="AA2203" s="71"/>
      <c r="AB2203" s="117" t="str">
        <f>IFERROR(VLOOKUP(Anexo_4[[#This Row],[cuenta]],OP,2,0),"-")</f>
        <v>-</v>
      </c>
    </row>
    <row r="2204" spans="1:28" ht="27" customHeight="1" x14ac:dyDescent="0.3">
      <c r="A2204" s="34" t="s">
        <v>5238</v>
      </c>
      <c r="B2204" s="36" t="str">
        <f t="shared" si="46"/>
        <v>Setiembre</v>
      </c>
      <c r="C2204" s="33" t="s">
        <v>162</v>
      </c>
      <c r="D2204" s="33" t="s">
        <v>7008</v>
      </c>
      <c r="E2204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204" s="32"/>
      <c r="G2204" s="32"/>
      <c r="H2204" s="139" t="s">
        <v>7009</v>
      </c>
      <c r="I2204" s="33" t="s">
        <v>3254</v>
      </c>
      <c r="J2204" s="143" t="s">
        <v>3255</v>
      </c>
      <c r="K2204" s="33" t="s">
        <v>169</v>
      </c>
      <c r="L2204" s="102" t="str">
        <f>VLOOKUP(Anexo_4[[#This Row],[cod_doc]],TIPODOC,2,FALSE)</f>
        <v>FACTURA</v>
      </c>
      <c r="M2204" s="33" t="s">
        <v>260</v>
      </c>
      <c r="N2204" s="32" t="s">
        <v>7010</v>
      </c>
      <c r="O2204" s="48">
        <v>59.24</v>
      </c>
      <c r="P2204" s="49"/>
      <c r="Q2204" s="81">
        <v>10.66</v>
      </c>
      <c r="R2204" s="80"/>
      <c r="S2204" s="48"/>
      <c r="T2204" s="72">
        <v>69.900000000000006</v>
      </c>
      <c r="U2204" s="70"/>
      <c r="V2204" s="32"/>
      <c r="W2204" s="70"/>
      <c r="X2204" s="70"/>
      <c r="Y2204" s="70"/>
      <c r="Z2204" s="70"/>
      <c r="AA2204" s="71"/>
      <c r="AB2204" s="117" t="str">
        <f>IFERROR(VLOOKUP(Anexo_4[[#This Row],[cuenta]],OP,2,0),"-")</f>
        <v>-</v>
      </c>
    </row>
    <row r="2205" spans="1:28" ht="27" customHeight="1" x14ac:dyDescent="0.3">
      <c r="A2205" s="34" t="s">
        <v>5914</v>
      </c>
      <c r="B2205" s="36" t="str">
        <f t="shared" si="46"/>
        <v>Setiembre</v>
      </c>
      <c r="C2205" s="33" t="s">
        <v>162</v>
      </c>
      <c r="D2205" s="33" t="s">
        <v>7011</v>
      </c>
      <c r="E2205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205" s="32"/>
      <c r="G2205" s="32"/>
      <c r="H2205" s="139" t="s">
        <v>7012</v>
      </c>
      <c r="I2205" s="33" t="s">
        <v>3250</v>
      </c>
      <c r="J2205" s="143" t="s">
        <v>3251</v>
      </c>
      <c r="K2205" s="33" t="s">
        <v>169</v>
      </c>
      <c r="L2205" s="102" t="str">
        <f>VLOOKUP(Anexo_4[[#This Row],[cod_doc]],TIPODOC,2,FALSE)</f>
        <v>FACTURA</v>
      </c>
      <c r="M2205" s="33" t="s">
        <v>260</v>
      </c>
      <c r="N2205" s="32" t="s">
        <v>7013</v>
      </c>
      <c r="O2205" s="48">
        <v>25</v>
      </c>
      <c r="P2205" s="49"/>
      <c r="Q2205" s="81">
        <v>4.5</v>
      </c>
      <c r="R2205" s="80"/>
      <c r="S2205" s="48"/>
      <c r="T2205" s="72">
        <v>29.5</v>
      </c>
      <c r="U2205" s="70"/>
      <c r="V2205" s="32"/>
      <c r="W2205" s="70"/>
      <c r="X2205" s="70"/>
      <c r="Y2205" s="70"/>
      <c r="Z2205" s="70"/>
      <c r="AA2205" s="71"/>
      <c r="AB2205" s="117" t="str">
        <f>IFERROR(VLOOKUP(Anexo_4[[#This Row],[cuenta]],OP,2,0),"-")</f>
        <v>-</v>
      </c>
    </row>
    <row r="2206" spans="1:28" ht="27" customHeight="1" x14ac:dyDescent="0.3">
      <c r="A2206" s="34" t="s">
        <v>6256</v>
      </c>
      <c r="B2206" s="36" t="str">
        <f t="shared" ref="B2206:B2213" si="47">PROPER(CHOOSE(LEFT(D2206,2),"enero","febrero","marzo","abril","mayo","junio","julio","agosto","setiembre","octubre","noviembre","diciembre"))</f>
        <v>Setiembre</v>
      </c>
      <c r="C2206" s="33" t="s">
        <v>162</v>
      </c>
      <c r="D2206" s="33" t="s">
        <v>7014</v>
      </c>
      <c r="E2206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206" s="32" t="s">
        <v>592</v>
      </c>
      <c r="G2206" s="32" t="s">
        <v>593</v>
      </c>
      <c r="H2206" s="139" t="s">
        <v>7015</v>
      </c>
      <c r="I2206" s="33" t="s">
        <v>1074</v>
      </c>
      <c r="J2206" s="143" t="s">
        <v>1075</v>
      </c>
      <c r="K2206" s="33" t="s">
        <v>169</v>
      </c>
      <c r="L2206" s="102" t="str">
        <f>VLOOKUP(Anexo_4[[#This Row],[cod_doc]],TIPODOC,2,FALSE)</f>
        <v>FACTURA</v>
      </c>
      <c r="M2206" s="33" t="s">
        <v>102</v>
      </c>
      <c r="N2206" s="32" t="s">
        <v>7016</v>
      </c>
      <c r="O2206" s="48">
        <v>80</v>
      </c>
      <c r="P2206" s="49"/>
      <c r="Q2206" s="81">
        <v>14.4</v>
      </c>
      <c r="R2206" s="80"/>
      <c r="S2206" s="48"/>
      <c r="T2206" s="72">
        <v>94.4</v>
      </c>
      <c r="U2206" s="70"/>
      <c r="V2206" s="32"/>
      <c r="W2206" s="70"/>
      <c r="X2206" s="70"/>
      <c r="Y2206" s="70"/>
      <c r="Z2206" s="70"/>
      <c r="AA2206" s="71"/>
      <c r="AB2206" s="117" t="str">
        <f>IFERROR(VLOOKUP(Anexo_4[[#This Row],[cuenta]],OP,2,0),"-")</f>
        <v>-</v>
      </c>
    </row>
    <row r="2207" spans="1:28" ht="27" customHeight="1" x14ac:dyDescent="0.3">
      <c r="A2207" s="34" t="s">
        <v>6294</v>
      </c>
      <c r="B2207" s="36" t="str">
        <f t="shared" si="47"/>
        <v>Setiembre</v>
      </c>
      <c r="C2207" s="33" t="s">
        <v>162</v>
      </c>
      <c r="D2207" s="33" t="s">
        <v>7017</v>
      </c>
      <c r="E2207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207" s="32" t="s">
        <v>449</v>
      </c>
      <c r="G2207" s="32" t="s">
        <v>4868</v>
      </c>
      <c r="H2207" s="139" t="s">
        <v>7018</v>
      </c>
      <c r="I2207" s="33" t="s">
        <v>312</v>
      </c>
      <c r="J2207" s="143" t="s">
        <v>313</v>
      </c>
      <c r="K2207" s="33" t="s">
        <v>169</v>
      </c>
      <c r="L2207" s="102" t="str">
        <f>VLOOKUP(Anexo_4[[#This Row],[cod_doc]],TIPODOC,2,FALSE)</f>
        <v>FACTURA</v>
      </c>
      <c r="M2207" s="33" t="s">
        <v>1490</v>
      </c>
      <c r="N2207" s="32" t="s">
        <v>7019</v>
      </c>
      <c r="O2207" s="48">
        <v>12.71</v>
      </c>
      <c r="P2207" s="49"/>
      <c r="Q2207" s="81">
        <v>2.29</v>
      </c>
      <c r="R2207" s="80"/>
      <c r="S2207" s="48"/>
      <c r="T2207" s="72">
        <v>15</v>
      </c>
      <c r="U2207" s="70"/>
      <c r="V2207" s="32"/>
      <c r="W2207" s="70"/>
      <c r="X2207" s="70"/>
      <c r="Y2207" s="70"/>
      <c r="Z2207" s="70"/>
      <c r="AA2207" s="71"/>
      <c r="AB2207" s="117" t="str">
        <f>IFERROR(VLOOKUP(Anexo_4[[#This Row],[cuenta]],OP,2,0),"-")</f>
        <v>-</v>
      </c>
    </row>
    <row r="2208" spans="1:28" ht="27" customHeight="1" x14ac:dyDescent="0.3">
      <c r="A2208" s="34" t="s">
        <v>5910</v>
      </c>
      <c r="B2208" s="36" t="str">
        <f t="shared" si="47"/>
        <v>Setiembre</v>
      </c>
      <c r="C2208" s="33" t="s">
        <v>162</v>
      </c>
      <c r="D2208" s="33" t="s">
        <v>7020</v>
      </c>
      <c r="E2208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208" s="32" t="s">
        <v>355</v>
      </c>
      <c r="G2208" s="32" t="s">
        <v>356</v>
      </c>
      <c r="H2208" s="139" t="s">
        <v>7021</v>
      </c>
      <c r="I2208" s="33" t="s">
        <v>1270</v>
      </c>
      <c r="J2208" s="143" t="s">
        <v>1271</v>
      </c>
      <c r="K2208" s="33" t="s">
        <v>169</v>
      </c>
      <c r="L2208" s="102" t="str">
        <f>VLOOKUP(Anexo_4[[#This Row],[cod_doc]],TIPODOC,2,FALSE)</f>
        <v>FACTURA</v>
      </c>
      <c r="M2208" s="33" t="s">
        <v>7022</v>
      </c>
      <c r="N2208" s="32" t="s">
        <v>7023</v>
      </c>
      <c r="O2208" s="48">
        <v>96.3</v>
      </c>
      <c r="P2208" s="49"/>
      <c r="Q2208" s="81">
        <v>17.34</v>
      </c>
      <c r="R2208" s="80"/>
      <c r="S2208" s="48"/>
      <c r="T2208" s="72">
        <v>113.64</v>
      </c>
      <c r="U2208" s="70"/>
      <c r="V2208" s="32"/>
      <c r="W2208" s="70"/>
      <c r="X2208" s="70"/>
      <c r="Y2208" s="70"/>
      <c r="Z2208" s="70"/>
      <c r="AA2208" s="71"/>
      <c r="AB2208" s="117" t="str">
        <f>IFERROR(VLOOKUP(Anexo_4[[#This Row],[cuenta]],OP,2,0),"-")</f>
        <v>-</v>
      </c>
    </row>
    <row r="2209" spans="1:28" ht="27" customHeight="1" x14ac:dyDescent="0.3">
      <c r="A2209" s="34" t="s">
        <v>5238</v>
      </c>
      <c r="B2209" s="36" t="str">
        <f t="shared" si="47"/>
        <v>Setiembre</v>
      </c>
      <c r="C2209" s="33" t="s">
        <v>162</v>
      </c>
      <c r="D2209" s="33" t="s">
        <v>7024</v>
      </c>
      <c r="E2209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209" s="32" t="s">
        <v>355</v>
      </c>
      <c r="G2209" s="32" t="s">
        <v>356</v>
      </c>
      <c r="H2209" s="139" t="s">
        <v>7025</v>
      </c>
      <c r="I2209" s="33" t="s">
        <v>1270</v>
      </c>
      <c r="J2209" s="143" t="s">
        <v>1271</v>
      </c>
      <c r="K2209" s="33" t="s">
        <v>169</v>
      </c>
      <c r="L2209" s="102" t="str">
        <f>VLOOKUP(Anexo_4[[#This Row],[cod_doc]],TIPODOC,2,FALSE)</f>
        <v>FACTURA</v>
      </c>
      <c r="M2209" s="33" t="s">
        <v>7022</v>
      </c>
      <c r="N2209" s="32" t="s">
        <v>7026</v>
      </c>
      <c r="O2209" s="48">
        <v>48.05</v>
      </c>
      <c r="P2209" s="49"/>
      <c r="Q2209" s="81">
        <v>8.65</v>
      </c>
      <c r="R2209" s="80"/>
      <c r="S2209" s="48"/>
      <c r="T2209" s="72">
        <v>56.7</v>
      </c>
      <c r="U2209" s="70"/>
      <c r="V2209" s="32"/>
      <c r="W2209" s="70"/>
      <c r="X2209" s="70"/>
      <c r="Y2209" s="70"/>
      <c r="Z2209" s="70"/>
      <c r="AA2209" s="71"/>
      <c r="AB2209" s="117" t="str">
        <f>IFERROR(VLOOKUP(Anexo_4[[#This Row],[cuenta]],OP,2,0),"-")</f>
        <v>-</v>
      </c>
    </row>
    <row r="2210" spans="1:28" ht="27" customHeight="1" x14ac:dyDescent="0.3">
      <c r="A2210" s="34" t="s">
        <v>7027</v>
      </c>
      <c r="B2210" s="36" t="str">
        <f t="shared" si="47"/>
        <v>Setiembre</v>
      </c>
      <c r="C2210" s="33" t="s">
        <v>162</v>
      </c>
      <c r="D2210" s="33" t="s">
        <v>7028</v>
      </c>
      <c r="E2210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210" s="32" t="s">
        <v>355</v>
      </c>
      <c r="G2210" s="32" t="s">
        <v>356</v>
      </c>
      <c r="H2210" s="139" t="s">
        <v>7029</v>
      </c>
      <c r="I2210" s="33" t="s">
        <v>2050</v>
      </c>
      <c r="J2210" s="143" t="s">
        <v>2051</v>
      </c>
      <c r="K2210" s="33" t="s">
        <v>169</v>
      </c>
      <c r="L2210" s="102" t="str">
        <f>VLOOKUP(Anexo_4[[#This Row],[cod_doc]],TIPODOC,2,FALSE)</f>
        <v>FACTURA</v>
      </c>
      <c r="M2210" s="33" t="s">
        <v>2062</v>
      </c>
      <c r="N2210" s="32" t="s">
        <v>7030</v>
      </c>
      <c r="O2210" s="48">
        <v>11.86</v>
      </c>
      <c r="P2210" s="49"/>
      <c r="Q2210" s="81">
        <v>2.14</v>
      </c>
      <c r="R2210" s="80"/>
      <c r="S2210" s="48"/>
      <c r="T2210" s="72">
        <v>14</v>
      </c>
      <c r="U2210" s="70"/>
      <c r="V2210" s="32"/>
      <c r="W2210" s="70"/>
      <c r="X2210" s="70"/>
      <c r="Y2210" s="70"/>
      <c r="Z2210" s="70"/>
      <c r="AA2210" s="71"/>
      <c r="AB2210" s="117" t="str">
        <f>IFERROR(VLOOKUP(Anexo_4[[#This Row],[cuenta]],OP,2,0),"-")</f>
        <v>-</v>
      </c>
    </row>
    <row r="2211" spans="1:28" ht="27" customHeight="1" x14ac:dyDescent="0.3">
      <c r="A2211" s="34" t="s">
        <v>5238</v>
      </c>
      <c r="B2211" s="36" t="str">
        <f t="shared" si="47"/>
        <v>Setiembre</v>
      </c>
      <c r="C2211" s="33" t="s">
        <v>162</v>
      </c>
      <c r="D2211" s="33" t="s">
        <v>7031</v>
      </c>
      <c r="E2211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211" s="32" t="s">
        <v>355</v>
      </c>
      <c r="G2211" s="32" t="s">
        <v>356</v>
      </c>
      <c r="H2211" s="139" t="s">
        <v>7032</v>
      </c>
      <c r="I2211" s="33" t="s">
        <v>2050</v>
      </c>
      <c r="J2211" s="143" t="s">
        <v>2051</v>
      </c>
      <c r="K2211" s="33" t="s">
        <v>169</v>
      </c>
      <c r="L2211" s="102" t="str">
        <f>VLOOKUP(Anexo_4[[#This Row],[cod_doc]],TIPODOC,2,FALSE)</f>
        <v>FACTURA</v>
      </c>
      <c r="M2211" s="33" t="s">
        <v>2062</v>
      </c>
      <c r="N2211" s="32" t="s">
        <v>7033</v>
      </c>
      <c r="O2211" s="48">
        <v>7.63</v>
      </c>
      <c r="P2211" s="49"/>
      <c r="Q2211" s="81">
        <v>1.37</v>
      </c>
      <c r="R2211" s="80"/>
      <c r="S2211" s="48"/>
      <c r="T2211" s="72">
        <v>9</v>
      </c>
      <c r="U2211" s="70"/>
      <c r="V2211" s="32"/>
      <c r="W2211" s="70"/>
      <c r="X2211" s="70"/>
      <c r="Y2211" s="70"/>
      <c r="Z2211" s="70"/>
      <c r="AA2211" s="71"/>
      <c r="AB2211" s="117" t="str">
        <f>IFERROR(VLOOKUP(Anexo_4[[#This Row],[cuenta]],OP,2,0),"-")</f>
        <v>-</v>
      </c>
    </row>
    <row r="2212" spans="1:28" ht="27" customHeight="1" x14ac:dyDescent="0.3">
      <c r="A2212" s="34" t="s">
        <v>5238</v>
      </c>
      <c r="B2212" s="36" t="str">
        <f t="shared" si="47"/>
        <v>Setiembre</v>
      </c>
      <c r="C2212" s="33" t="s">
        <v>162</v>
      </c>
      <c r="D2212" s="33" t="s">
        <v>7034</v>
      </c>
      <c r="E2212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212" s="32" t="s">
        <v>355</v>
      </c>
      <c r="G2212" s="32" t="s">
        <v>356</v>
      </c>
      <c r="H2212" s="139" t="s">
        <v>7035</v>
      </c>
      <c r="I2212" s="33" t="s">
        <v>2050</v>
      </c>
      <c r="J2212" s="143" t="s">
        <v>2051</v>
      </c>
      <c r="K2212" s="33" t="s">
        <v>169</v>
      </c>
      <c r="L2212" s="102" t="str">
        <f>VLOOKUP(Anexo_4[[#This Row],[cod_doc]],TIPODOC,2,FALSE)</f>
        <v>FACTURA</v>
      </c>
      <c r="M2212" s="33" t="s">
        <v>2062</v>
      </c>
      <c r="N2212" s="32" t="s">
        <v>7036</v>
      </c>
      <c r="O2212" s="48">
        <v>11.86</v>
      </c>
      <c r="P2212" s="49"/>
      <c r="Q2212" s="81">
        <v>2.14</v>
      </c>
      <c r="R2212" s="80"/>
      <c r="S2212" s="48"/>
      <c r="T2212" s="72">
        <v>14</v>
      </c>
      <c r="U2212" s="70"/>
      <c r="V2212" s="32"/>
      <c r="W2212" s="70"/>
      <c r="X2212" s="70"/>
      <c r="Y2212" s="70"/>
      <c r="Z2212" s="70"/>
      <c r="AA2212" s="71"/>
      <c r="AB2212" s="117" t="str">
        <f>IFERROR(VLOOKUP(Anexo_4[[#This Row],[cuenta]],OP,2,0),"-")</f>
        <v>-</v>
      </c>
    </row>
    <row r="2213" spans="1:28" ht="27" customHeight="1" x14ac:dyDescent="0.3">
      <c r="A2213" s="34" t="s">
        <v>6536</v>
      </c>
      <c r="B2213" s="36" t="str">
        <f t="shared" si="47"/>
        <v>Setiembre</v>
      </c>
      <c r="C2213" s="33" t="s">
        <v>162</v>
      </c>
      <c r="D2213" s="33" t="s">
        <v>7037</v>
      </c>
      <c r="E2213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213" s="32" t="s">
        <v>355</v>
      </c>
      <c r="G2213" s="32" t="s">
        <v>356</v>
      </c>
      <c r="H2213" s="139" t="s">
        <v>7038</v>
      </c>
      <c r="I2213" s="33" t="s">
        <v>1610</v>
      </c>
      <c r="J2213" s="143" t="s">
        <v>1611</v>
      </c>
      <c r="K2213" s="33" t="s">
        <v>169</v>
      </c>
      <c r="L2213" s="102" t="str">
        <f>VLOOKUP(Anexo_4[[#This Row],[cod_doc]],TIPODOC,2,FALSE)</f>
        <v>FACTURA</v>
      </c>
      <c r="M2213" s="33" t="s">
        <v>222</v>
      </c>
      <c r="N2213" s="32" t="s">
        <v>7039</v>
      </c>
      <c r="O2213" s="48">
        <v>32.630000000000003</v>
      </c>
      <c r="P2213" s="49"/>
      <c r="Q2213" s="81">
        <v>5.87</v>
      </c>
      <c r="R2213" s="80"/>
      <c r="S2213" s="48"/>
      <c r="T2213" s="72">
        <v>38.5</v>
      </c>
      <c r="U2213" s="70"/>
      <c r="V2213" s="32"/>
      <c r="W2213" s="70"/>
      <c r="X2213" s="70"/>
      <c r="Y2213" s="70"/>
      <c r="Z2213" s="70"/>
      <c r="AA2213" s="71"/>
      <c r="AB2213" s="117" t="str">
        <f>IFERROR(VLOOKUP(Anexo_4[[#This Row],[cuenta]],OP,2,0),"-")</f>
        <v>-</v>
      </c>
    </row>
    <row r="2214" spans="1:28" ht="27" customHeight="1" x14ac:dyDescent="0.3">
      <c r="A2214" s="34" t="s">
        <v>7040</v>
      </c>
      <c r="B2214" s="36" t="str">
        <f t="shared" ref="B2214" si="48">PROPER(CHOOSE(LEFT(D2214,2),"enero","febrero","marzo","abril","mayo","junio","julio","agosto","setiembre","octubre","noviembre","diciembre"))</f>
        <v>Octubre</v>
      </c>
      <c r="C2214" s="33" t="s">
        <v>162</v>
      </c>
      <c r="D2214" s="33" t="s">
        <v>7041</v>
      </c>
      <c r="E2214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214" s="32" t="s">
        <v>650</v>
      </c>
      <c r="G2214" s="32" t="s">
        <v>651</v>
      </c>
      <c r="H2214" s="139" t="s">
        <v>7042</v>
      </c>
      <c r="I2214" s="33" t="s">
        <v>2429</v>
      </c>
      <c r="J2214" s="143" t="s">
        <v>5038</v>
      </c>
      <c r="K2214" s="33" t="s">
        <v>239</v>
      </c>
      <c r="L2214" s="102" t="str">
        <f>VLOOKUP(Anexo_4[[#This Row],[cod_doc]],TIPODOC,2,FALSE)</f>
        <v>BOLETA DE VENTA</v>
      </c>
      <c r="M2214" s="33" t="s">
        <v>5938</v>
      </c>
      <c r="N2214" s="32" t="s">
        <v>4816</v>
      </c>
      <c r="O2214" s="48" t="s">
        <v>4341</v>
      </c>
      <c r="P2214" s="49" t="s">
        <v>4341</v>
      </c>
      <c r="Q2214" s="81" t="s">
        <v>4341</v>
      </c>
      <c r="R2214" s="80" t="s">
        <v>4341</v>
      </c>
      <c r="S2214" s="48">
        <v>14.5</v>
      </c>
      <c r="T2214" s="72">
        <v>14.5</v>
      </c>
      <c r="U2214" s="70"/>
      <c r="V2214" s="32"/>
      <c r="W2214" s="70"/>
      <c r="X2214" s="70"/>
      <c r="Y2214" s="70"/>
      <c r="Z2214" s="70"/>
      <c r="AA2214" s="71"/>
      <c r="AB2214" s="117" t="str">
        <f>IFERROR(VLOOKUP(Anexo_4[[#This Row],[cuenta]],OP,2,0),"-")</f>
        <v>-</v>
      </c>
    </row>
    <row r="2215" spans="1:28" ht="27" customHeight="1" x14ac:dyDescent="0.3">
      <c r="A2215" s="34" t="s">
        <v>7040</v>
      </c>
      <c r="B2215" s="36" t="str">
        <f t="shared" ref="B2215:B2246" si="49">PROPER(CHOOSE(LEFT(D2215,2),"enero","febrero","marzo","abril","mayo","junio","julio","agosto","setiembre","octubre","noviembre","diciembre"))</f>
        <v>Octubre</v>
      </c>
      <c r="C2215" s="33" t="s">
        <v>162</v>
      </c>
      <c r="D2215" s="33" t="s">
        <v>7043</v>
      </c>
      <c r="E2215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215" s="32" t="s">
        <v>248</v>
      </c>
      <c r="G2215" s="32" t="s">
        <v>249</v>
      </c>
      <c r="H2215" s="139" t="s">
        <v>7044</v>
      </c>
      <c r="I2215" s="33" t="s">
        <v>536</v>
      </c>
      <c r="J2215" s="143" t="s">
        <v>4997</v>
      </c>
      <c r="K2215" s="33" t="s">
        <v>169</v>
      </c>
      <c r="L2215" s="102" t="str">
        <f>VLOOKUP(Anexo_4[[#This Row],[cod_doc]],TIPODOC,2,FALSE)</f>
        <v>FACTURA</v>
      </c>
      <c r="M2215" s="33" t="s">
        <v>538</v>
      </c>
      <c r="N2215" s="32" t="s">
        <v>7045</v>
      </c>
      <c r="O2215" s="48">
        <v>301</v>
      </c>
      <c r="P2215" s="49" t="s">
        <v>4341</v>
      </c>
      <c r="Q2215" s="81">
        <v>54.18</v>
      </c>
      <c r="R2215" s="80" t="s">
        <v>4341</v>
      </c>
      <c r="S2215" s="48" t="s">
        <v>4341</v>
      </c>
      <c r="T2215" s="72">
        <v>355.18</v>
      </c>
      <c r="U2215" s="70" t="s">
        <v>7046</v>
      </c>
      <c r="V2215" s="32" t="s">
        <v>7047</v>
      </c>
      <c r="W2215" s="70"/>
      <c r="X2215" s="70"/>
      <c r="Y2215" s="70"/>
      <c r="Z2215" s="70"/>
      <c r="AA2215" s="71"/>
      <c r="AB2215" s="117" t="str">
        <f>IFERROR(VLOOKUP(Anexo_4[[#This Row],[cuenta]],OP,2,0),"-")</f>
        <v>-</v>
      </c>
    </row>
    <row r="2216" spans="1:28" ht="27" customHeight="1" x14ac:dyDescent="0.3">
      <c r="A2216" s="34" t="s">
        <v>7040</v>
      </c>
      <c r="B2216" s="36" t="str">
        <f t="shared" si="49"/>
        <v>Octubre</v>
      </c>
      <c r="C2216" s="33" t="s">
        <v>162</v>
      </c>
      <c r="D2216" s="33" t="s">
        <v>7048</v>
      </c>
      <c r="E2216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216" s="32" t="s">
        <v>248</v>
      </c>
      <c r="G2216" s="32" t="s">
        <v>249</v>
      </c>
      <c r="H2216" s="139" t="s">
        <v>7049</v>
      </c>
      <c r="I2216" s="33" t="s">
        <v>536</v>
      </c>
      <c r="J2216" s="143" t="s">
        <v>4997</v>
      </c>
      <c r="K2216" s="33" t="s">
        <v>169</v>
      </c>
      <c r="L2216" s="102" t="str">
        <f>VLOOKUP(Anexo_4[[#This Row],[cod_doc]],TIPODOC,2,FALSE)</f>
        <v>FACTURA</v>
      </c>
      <c r="M2216" s="33" t="s">
        <v>538</v>
      </c>
      <c r="N2216" s="32" t="s">
        <v>7050</v>
      </c>
      <c r="O2216" s="48">
        <v>6.9</v>
      </c>
      <c r="P2216" s="49" t="s">
        <v>4341</v>
      </c>
      <c r="Q2216" s="81">
        <v>1.24</v>
      </c>
      <c r="R2216" s="80" t="s">
        <v>4341</v>
      </c>
      <c r="S2216" s="48" t="s">
        <v>4341</v>
      </c>
      <c r="T2216" s="72">
        <v>8.14</v>
      </c>
      <c r="U2216" s="70" t="s">
        <v>7051</v>
      </c>
      <c r="V2216" s="32" t="s">
        <v>7047</v>
      </c>
      <c r="W2216" s="70"/>
      <c r="X2216" s="70"/>
      <c r="Y2216" s="70" t="s">
        <v>7052</v>
      </c>
      <c r="Z2216" s="70"/>
      <c r="AA2216" s="71"/>
      <c r="AB2216" s="117" t="str">
        <f>IFERROR(VLOOKUP(Anexo_4[[#This Row],[cuenta]],OP,2,0),"-")</f>
        <v>-</v>
      </c>
    </row>
    <row r="2217" spans="1:28" ht="27" customHeight="1" x14ac:dyDescent="0.3">
      <c r="A2217" s="34" t="s">
        <v>7040</v>
      </c>
      <c r="B2217" s="36" t="str">
        <f t="shared" si="49"/>
        <v>Octubre</v>
      </c>
      <c r="C2217" s="33" t="s">
        <v>162</v>
      </c>
      <c r="D2217" s="33" t="s">
        <v>7053</v>
      </c>
      <c r="E2217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217" s="32" t="s">
        <v>248</v>
      </c>
      <c r="G2217" s="32" t="s">
        <v>249</v>
      </c>
      <c r="H2217" s="139" t="s">
        <v>7054</v>
      </c>
      <c r="I2217" s="33" t="s">
        <v>536</v>
      </c>
      <c r="J2217" s="143" t="s">
        <v>4997</v>
      </c>
      <c r="K2217" s="33" t="s">
        <v>169</v>
      </c>
      <c r="L2217" s="102" t="str">
        <f>VLOOKUP(Anexo_4[[#This Row],[cod_doc]],TIPODOC,2,FALSE)</f>
        <v>FACTURA</v>
      </c>
      <c r="M2217" s="33" t="s">
        <v>538</v>
      </c>
      <c r="N2217" s="32" t="s">
        <v>7055</v>
      </c>
      <c r="O2217" s="48">
        <v>90</v>
      </c>
      <c r="P2217" s="49" t="s">
        <v>4341</v>
      </c>
      <c r="Q2217" s="81">
        <v>16.2</v>
      </c>
      <c r="R2217" s="80" t="s">
        <v>4341</v>
      </c>
      <c r="S2217" s="48" t="s">
        <v>4341</v>
      </c>
      <c r="T2217" s="72">
        <v>106.2</v>
      </c>
      <c r="U2217" s="70" t="s">
        <v>7056</v>
      </c>
      <c r="V2217" s="32" t="s">
        <v>7047</v>
      </c>
      <c r="W2217" s="70"/>
      <c r="X2217" s="70"/>
      <c r="Y2217" s="70" t="s">
        <v>7057</v>
      </c>
      <c r="Z2217" s="70"/>
      <c r="AA2217" s="71"/>
      <c r="AB2217" s="117" t="str">
        <f>IFERROR(VLOOKUP(Anexo_4[[#This Row],[cuenta]],OP,2,0),"-")</f>
        <v>-</v>
      </c>
    </row>
    <row r="2218" spans="1:28" ht="27" customHeight="1" x14ac:dyDescent="0.3">
      <c r="A2218" s="34" t="s">
        <v>7040</v>
      </c>
      <c r="B2218" s="36" t="str">
        <f t="shared" si="49"/>
        <v>Octubre</v>
      </c>
      <c r="C2218" s="33" t="s">
        <v>162</v>
      </c>
      <c r="D2218" s="33" t="s">
        <v>7058</v>
      </c>
      <c r="E2218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218" s="32" t="s">
        <v>248</v>
      </c>
      <c r="G2218" s="32" t="s">
        <v>249</v>
      </c>
      <c r="H2218" s="139" t="s">
        <v>7059</v>
      </c>
      <c r="I2218" s="33" t="s">
        <v>536</v>
      </c>
      <c r="J2218" s="143" t="s">
        <v>4997</v>
      </c>
      <c r="K2218" s="33" t="s">
        <v>169</v>
      </c>
      <c r="L2218" s="102" t="str">
        <f>VLOOKUP(Anexo_4[[#This Row],[cod_doc]],TIPODOC,2,FALSE)</f>
        <v>FACTURA</v>
      </c>
      <c r="M2218" s="33" t="s">
        <v>538</v>
      </c>
      <c r="N2218" s="32" t="s">
        <v>7060</v>
      </c>
      <c r="O2218" s="48">
        <v>504</v>
      </c>
      <c r="P2218" s="49" t="s">
        <v>4341</v>
      </c>
      <c r="Q2218" s="81">
        <v>90.72</v>
      </c>
      <c r="R2218" s="80" t="s">
        <v>4341</v>
      </c>
      <c r="S2218" s="48" t="s">
        <v>4341</v>
      </c>
      <c r="T2218" s="72">
        <v>594.72</v>
      </c>
      <c r="U2218" s="70" t="s">
        <v>7061</v>
      </c>
      <c r="V2218" s="32" t="s">
        <v>7047</v>
      </c>
      <c r="W2218" s="70"/>
      <c r="X2218" s="70"/>
      <c r="Y2218" s="70" t="s">
        <v>7062</v>
      </c>
      <c r="Z2218" s="70"/>
      <c r="AA2218" s="71"/>
      <c r="AB2218" s="117" t="str">
        <f>IFERROR(VLOOKUP(Anexo_4[[#This Row],[cuenta]],OP,2,0),"-")</f>
        <v>-</v>
      </c>
    </row>
    <row r="2219" spans="1:28" ht="27" customHeight="1" x14ac:dyDescent="0.3">
      <c r="A2219" s="34" t="s">
        <v>7040</v>
      </c>
      <c r="B2219" s="36" t="str">
        <f t="shared" si="49"/>
        <v>Octubre</v>
      </c>
      <c r="C2219" s="33" t="s">
        <v>162</v>
      </c>
      <c r="D2219" s="33" t="s">
        <v>7063</v>
      </c>
      <c r="E2219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219" s="32" t="s">
        <v>248</v>
      </c>
      <c r="G2219" s="32" t="s">
        <v>249</v>
      </c>
      <c r="H2219" s="139" t="s">
        <v>7064</v>
      </c>
      <c r="I2219" s="33" t="s">
        <v>536</v>
      </c>
      <c r="J2219" s="143" t="s">
        <v>4997</v>
      </c>
      <c r="K2219" s="33" t="s">
        <v>169</v>
      </c>
      <c r="L2219" s="102" t="str">
        <f>VLOOKUP(Anexo_4[[#This Row],[cod_doc]],TIPODOC,2,FALSE)</f>
        <v>FACTURA</v>
      </c>
      <c r="M2219" s="33" t="s">
        <v>538</v>
      </c>
      <c r="N2219" s="32" t="s">
        <v>6723</v>
      </c>
      <c r="O2219" s="48">
        <v>232.2</v>
      </c>
      <c r="P2219" s="49" t="s">
        <v>4341</v>
      </c>
      <c r="Q2219" s="81">
        <v>41.8</v>
      </c>
      <c r="R2219" s="80" t="s">
        <v>4341</v>
      </c>
      <c r="S2219" s="48" t="s">
        <v>4341</v>
      </c>
      <c r="T2219" s="72">
        <v>274</v>
      </c>
      <c r="U2219" s="70" t="s">
        <v>7065</v>
      </c>
      <c r="V2219" s="32" t="s">
        <v>7047</v>
      </c>
      <c r="W2219" s="70"/>
      <c r="X2219" s="70"/>
      <c r="Y2219" s="70"/>
      <c r="Z2219" s="70"/>
      <c r="AA2219" s="71"/>
      <c r="AB2219" s="117" t="str">
        <f>IFERROR(VLOOKUP(Anexo_4[[#This Row],[cuenta]],OP,2,0),"-")</f>
        <v>-</v>
      </c>
    </row>
    <row r="2220" spans="1:28" ht="27" customHeight="1" x14ac:dyDescent="0.3">
      <c r="A2220" s="34" t="s">
        <v>7040</v>
      </c>
      <c r="B2220" s="36" t="str">
        <f t="shared" si="49"/>
        <v>Octubre</v>
      </c>
      <c r="C2220" s="33" t="s">
        <v>162</v>
      </c>
      <c r="D2220" s="33" t="s">
        <v>7066</v>
      </c>
      <c r="E2220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220" s="32" t="s">
        <v>248</v>
      </c>
      <c r="G2220" s="32" t="s">
        <v>249</v>
      </c>
      <c r="H2220" s="139" t="s">
        <v>7067</v>
      </c>
      <c r="I2220" s="33" t="s">
        <v>536</v>
      </c>
      <c r="J2220" s="143" t="s">
        <v>4997</v>
      </c>
      <c r="K2220" s="33" t="s">
        <v>169</v>
      </c>
      <c r="L2220" s="102" t="str">
        <f>VLOOKUP(Anexo_4[[#This Row],[cod_doc]],TIPODOC,2,FALSE)</f>
        <v>FACTURA</v>
      </c>
      <c r="M2220" s="33" t="s">
        <v>538</v>
      </c>
      <c r="N2220" s="32" t="s">
        <v>6726</v>
      </c>
      <c r="O2220" s="48">
        <v>48</v>
      </c>
      <c r="P2220" s="49" t="s">
        <v>4341</v>
      </c>
      <c r="Q2220" s="81">
        <v>8.64</v>
      </c>
      <c r="R2220" s="80" t="s">
        <v>4341</v>
      </c>
      <c r="S2220" s="48" t="s">
        <v>4341</v>
      </c>
      <c r="T2220" s="72">
        <v>56.64</v>
      </c>
      <c r="U2220" s="70" t="s">
        <v>7068</v>
      </c>
      <c r="V2220" s="32" t="s">
        <v>7047</v>
      </c>
      <c r="W2220" s="70"/>
      <c r="X2220" s="70"/>
      <c r="Y2220" s="70" t="s">
        <v>7069</v>
      </c>
      <c r="Z2220" s="70"/>
      <c r="AA2220" s="71"/>
      <c r="AB2220" s="117" t="str">
        <f>IFERROR(VLOOKUP(Anexo_4[[#This Row],[cuenta]],OP,2,0),"-")</f>
        <v>-</v>
      </c>
    </row>
    <row r="2221" spans="1:28" ht="27" customHeight="1" x14ac:dyDescent="0.3">
      <c r="A2221" s="34" t="s">
        <v>7040</v>
      </c>
      <c r="B2221" s="36" t="str">
        <f t="shared" si="49"/>
        <v>Octubre</v>
      </c>
      <c r="C2221" s="33" t="s">
        <v>162</v>
      </c>
      <c r="D2221" s="33" t="s">
        <v>7070</v>
      </c>
      <c r="E2221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221" s="32" t="s">
        <v>248</v>
      </c>
      <c r="G2221" s="32" t="s">
        <v>249</v>
      </c>
      <c r="H2221" s="139" t="s">
        <v>7071</v>
      </c>
      <c r="I2221" s="33" t="s">
        <v>536</v>
      </c>
      <c r="J2221" s="143" t="s">
        <v>4997</v>
      </c>
      <c r="K2221" s="33" t="s">
        <v>169</v>
      </c>
      <c r="L2221" s="102" t="str">
        <f>VLOOKUP(Anexo_4[[#This Row],[cod_doc]],TIPODOC,2,FALSE)</f>
        <v>FACTURA</v>
      </c>
      <c r="M2221" s="33" t="s">
        <v>538</v>
      </c>
      <c r="N2221" s="32" t="s">
        <v>7072</v>
      </c>
      <c r="O2221" s="48">
        <v>1012</v>
      </c>
      <c r="P2221" s="49" t="s">
        <v>4341</v>
      </c>
      <c r="Q2221" s="81">
        <v>182.16</v>
      </c>
      <c r="R2221" s="80" t="s">
        <v>4341</v>
      </c>
      <c r="S2221" s="48" t="s">
        <v>4341</v>
      </c>
      <c r="T2221" s="72">
        <v>1194.1600000000001</v>
      </c>
      <c r="U2221" s="70" t="s">
        <v>7073</v>
      </c>
      <c r="V2221" s="32" t="s">
        <v>7047</v>
      </c>
      <c r="W2221" s="70"/>
      <c r="X2221" s="70"/>
      <c r="Y2221" s="70" t="s">
        <v>7074</v>
      </c>
      <c r="Z2221" s="70"/>
      <c r="AA2221" s="71"/>
      <c r="AB2221" s="117" t="str">
        <f>IFERROR(VLOOKUP(Anexo_4[[#This Row],[cuenta]],OP,2,0),"-")</f>
        <v>-</v>
      </c>
    </row>
    <row r="2222" spans="1:28" ht="27" customHeight="1" x14ac:dyDescent="0.3">
      <c r="A2222" s="34" t="s">
        <v>7040</v>
      </c>
      <c r="B2222" s="36" t="str">
        <f t="shared" si="49"/>
        <v>Octubre</v>
      </c>
      <c r="C2222" s="33" t="s">
        <v>162</v>
      </c>
      <c r="D2222" s="33" t="s">
        <v>7075</v>
      </c>
      <c r="E2222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222" s="32" t="s">
        <v>248</v>
      </c>
      <c r="G2222" s="32" t="s">
        <v>249</v>
      </c>
      <c r="H2222" s="139" t="s">
        <v>7076</v>
      </c>
      <c r="I2222" s="33" t="s">
        <v>536</v>
      </c>
      <c r="J2222" s="143" t="s">
        <v>4997</v>
      </c>
      <c r="K2222" s="33" t="s">
        <v>169</v>
      </c>
      <c r="L2222" s="102" t="str">
        <f>VLOOKUP(Anexo_4[[#This Row],[cod_doc]],TIPODOC,2,FALSE)</f>
        <v>FACTURA</v>
      </c>
      <c r="M2222" s="33" t="s">
        <v>538</v>
      </c>
      <c r="N2222" s="32" t="s">
        <v>6729</v>
      </c>
      <c r="O2222" s="48">
        <v>129</v>
      </c>
      <c r="P2222" s="49" t="s">
        <v>4341</v>
      </c>
      <c r="Q2222" s="81">
        <v>23.22</v>
      </c>
      <c r="R2222" s="80" t="s">
        <v>4341</v>
      </c>
      <c r="S2222" s="48" t="s">
        <v>4341</v>
      </c>
      <c r="T2222" s="72">
        <v>152.22</v>
      </c>
      <c r="U2222" s="70" t="s">
        <v>7077</v>
      </c>
      <c r="V2222" s="32" t="s">
        <v>7047</v>
      </c>
      <c r="W2222" s="70"/>
      <c r="X2222" s="70"/>
      <c r="Y2222" s="70" t="s">
        <v>7078</v>
      </c>
      <c r="Z2222" s="70"/>
      <c r="AA2222" s="71"/>
      <c r="AB2222" s="117" t="str">
        <f>IFERROR(VLOOKUP(Anexo_4[[#This Row],[cuenta]],OP,2,0),"-")</f>
        <v>-</v>
      </c>
    </row>
    <row r="2223" spans="1:28" ht="27" customHeight="1" x14ac:dyDescent="0.3">
      <c r="A2223" s="34" t="s">
        <v>7040</v>
      </c>
      <c r="B2223" s="36" t="str">
        <f t="shared" si="49"/>
        <v>Octubre</v>
      </c>
      <c r="C2223" s="33" t="s">
        <v>162</v>
      </c>
      <c r="D2223" s="33" t="s">
        <v>7079</v>
      </c>
      <c r="E2223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223" s="32" t="s">
        <v>248</v>
      </c>
      <c r="G2223" s="32" t="s">
        <v>249</v>
      </c>
      <c r="H2223" s="139" t="s">
        <v>7080</v>
      </c>
      <c r="I2223" s="33" t="s">
        <v>536</v>
      </c>
      <c r="J2223" s="143" t="s">
        <v>4997</v>
      </c>
      <c r="K2223" s="33" t="s">
        <v>169</v>
      </c>
      <c r="L2223" s="102" t="str">
        <f>VLOOKUP(Anexo_4[[#This Row],[cod_doc]],TIPODOC,2,FALSE)</f>
        <v>FACTURA</v>
      </c>
      <c r="M2223" s="33" t="s">
        <v>538</v>
      </c>
      <c r="N2223" s="32" t="s">
        <v>7081</v>
      </c>
      <c r="O2223" s="48">
        <v>237</v>
      </c>
      <c r="P2223" s="49" t="s">
        <v>4341</v>
      </c>
      <c r="Q2223" s="81">
        <v>42.66</v>
      </c>
      <c r="R2223" s="80" t="s">
        <v>4341</v>
      </c>
      <c r="S2223" s="48" t="s">
        <v>4341</v>
      </c>
      <c r="T2223" s="72">
        <v>279.66000000000003</v>
      </c>
      <c r="U2223" s="70" t="s">
        <v>7082</v>
      </c>
      <c r="V2223" s="32" t="s">
        <v>7047</v>
      </c>
      <c r="W2223" s="70"/>
      <c r="X2223" s="70"/>
      <c r="Y2223" s="70" t="s">
        <v>7083</v>
      </c>
      <c r="Z2223" s="70"/>
      <c r="AA2223" s="71"/>
      <c r="AB2223" s="117" t="str">
        <f>IFERROR(VLOOKUP(Anexo_4[[#This Row],[cuenta]],OP,2,0),"-")</f>
        <v>-</v>
      </c>
    </row>
    <row r="2224" spans="1:28" ht="27" customHeight="1" x14ac:dyDescent="0.3">
      <c r="A2224" s="34" t="s">
        <v>7040</v>
      </c>
      <c r="B2224" s="36" t="str">
        <f t="shared" si="49"/>
        <v>Octubre</v>
      </c>
      <c r="C2224" s="33" t="s">
        <v>162</v>
      </c>
      <c r="D2224" s="33" t="s">
        <v>7084</v>
      </c>
      <c r="E2224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224" s="32" t="s">
        <v>248</v>
      </c>
      <c r="G2224" s="32" t="s">
        <v>249</v>
      </c>
      <c r="H2224" s="139" t="s">
        <v>7085</v>
      </c>
      <c r="I2224" s="33" t="s">
        <v>536</v>
      </c>
      <c r="J2224" s="143" t="s">
        <v>4997</v>
      </c>
      <c r="K2224" s="33" t="s">
        <v>169</v>
      </c>
      <c r="L2224" s="102" t="str">
        <f>VLOOKUP(Anexo_4[[#This Row],[cod_doc]],TIPODOC,2,FALSE)</f>
        <v>FACTURA</v>
      </c>
      <c r="M2224" s="33" t="s">
        <v>538</v>
      </c>
      <c r="N2224" s="32" t="s">
        <v>7086</v>
      </c>
      <c r="O2224" s="48">
        <v>54</v>
      </c>
      <c r="P2224" s="49" t="s">
        <v>4341</v>
      </c>
      <c r="Q2224" s="81">
        <v>9.7200000000000006</v>
      </c>
      <c r="R2224" s="80" t="s">
        <v>4341</v>
      </c>
      <c r="S2224" s="48" t="s">
        <v>4341</v>
      </c>
      <c r="T2224" s="72">
        <v>63.72</v>
      </c>
      <c r="U2224" s="70" t="s">
        <v>7087</v>
      </c>
      <c r="V2224" s="32" t="s">
        <v>7047</v>
      </c>
      <c r="W2224" s="70"/>
      <c r="X2224" s="70"/>
      <c r="Y2224" s="70" t="s">
        <v>7088</v>
      </c>
      <c r="Z2224" s="70"/>
      <c r="AA2224" s="71"/>
      <c r="AB2224" s="117" t="str">
        <f>IFERROR(VLOOKUP(Anexo_4[[#This Row],[cuenta]],OP,2,0),"-")</f>
        <v>-</v>
      </c>
    </row>
    <row r="2225" spans="1:28" ht="27" customHeight="1" x14ac:dyDescent="0.3">
      <c r="A2225" s="34" t="s">
        <v>7040</v>
      </c>
      <c r="B2225" s="36" t="str">
        <f t="shared" si="49"/>
        <v>Octubre</v>
      </c>
      <c r="C2225" s="33" t="s">
        <v>162</v>
      </c>
      <c r="D2225" s="33" t="s">
        <v>7089</v>
      </c>
      <c r="E2225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225" s="32" t="s">
        <v>248</v>
      </c>
      <c r="G2225" s="32" t="s">
        <v>249</v>
      </c>
      <c r="H2225" s="139" t="s">
        <v>7090</v>
      </c>
      <c r="I2225" s="33" t="s">
        <v>536</v>
      </c>
      <c r="J2225" s="143" t="s">
        <v>4997</v>
      </c>
      <c r="K2225" s="33" t="s">
        <v>169</v>
      </c>
      <c r="L2225" s="102" t="str">
        <f>VLOOKUP(Anexo_4[[#This Row],[cod_doc]],TIPODOC,2,FALSE)</f>
        <v>FACTURA</v>
      </c>
      <c r="M2225" s="33" t="s">
        <v>538</v>
      </c>
      <c r="N2225" s="32" t="s">
        <v>7091</v>
      </c>
      <c r="O2225" s="48">
        <v>113.4</v>
      </c>
      <c r="P2225" s="49" t="s">
        <v>4341</v>
      </c>
      <c r="Q2225" s="81">
        <v>20.41</v>
      </c>
      <c r="R2225" s="80" t="s">
        <v>4341</v>
      </c>
      <c r="S2225" s="48" t="s">
        <v>4341</v>
      </c>
      <c r="T2225" s="72">
        <v>133.81</v>
      </c>
      <c r="U2225" s="70" t="s">
        <v>7092</v>
      </c>
      <c r="V2225" s="32" t="s">
        <v>7047</v>
      </c>
      <c r="W2225" s="70"/>
      <c r="X2225" s="70"/>
      <c r="Y2225" s="70" t="s">
        <v>7093</v>
      </c>
      <c r="Z2225" s="70"/>
      <c r="AA2225" s="71"/>
      <c r="AB2225" s="117" t="str">
        <f>IFERROR(VLOOKUP(Anexo_4[[#This Row],[cuenta]],OP,2,0),"-")</f>
        <v>-</v>
      </c>
    </row>
    <row r="2226" spans="1:28" ht="27" customHeight="1" x14ac:dyDescent="0.3">
      <c r="A2226" s="34" t="s">
        <v>7040</v>
      </c>
      <c r="B2226" s="36" t="str">
        <f t="shared" si="49"/>
        <v>Octubre</v>
      </c>
      <c r="C2226" s="33" t="s">
        <v>162</v>
      </c>
      <c r="D2226" s="33" t="s">
        <v>7094</v>
      </c>
      <c r="E2226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226" s="32" t="s">
        <v>248</v>
      </c>
      <c r="G2226" s="32" t="s">
        <v>249</v>
      </c>
      <c r="H2226" s="139" t="s">
        <v>7095</v>
      </c>
      <c r="I2226" s="33" t="s">
        <v>536</v>
      </c>
      <c r="J2226" s="143" t="s">
        <v>4997</v>
      </c>
      <c r="K2226" s="33" t="s">
        <v>169</v>
      </c>
      <c r="L2226" s="102" t="str">
        <f>VLOOKUP(Anexo_4[[#This Row],[cod_doc]],TIPODOC,2,FALSE)</f>
        <v>FACTURA</v>
      </c>
      <c r="M2226" s="33" t="s">
        <v>538</v>
      </c>
      <c r="N2226" s="32" t="s">
        <v>7096</v>
      </c>
      <c r="O2226" s="48">
        <v>112.5</v>
      </c>
      <c r="P2226" s="49" t="s">
        <v>4341</v>
      </c>
      <c r="Q2226" s="81">
        <v>20.25</v>
      </c>
      <c r="R2226" s="80" t="s">
        <v>4341</v>
      </c>
      <c r="S2226" s="48" t="s">
        <v>4341</v>
      </c>
      <c r="T2226" s="72">
        <v>132.75</v>
      </c>
      <c r="U2226" s="70" t="s">
        <v>7097</v>
      </c>
      <c r="V2226" s="32" t="s">
        <v>7047</v>
      </c>
      <c r="W2226" s="70"/>
      <c r="X2226" s="70"/>
      <c r="Y2226" s="70" t="s">
        <v>7098</v>
      </c>
      <c r="Z2226" s="70"/>
      <c r="AA2226" s="71"/>
      <c r="AB2226" s="117" t="str">
        <f>IFERROR(VLOOKUP(Anexo_4[[#This Row],[cuenta]],OP,2,0),"-")</f>
        <v>-</v>
      </c>
    </row>
    <row r="2227" spans="1:28" ht="27" customHeight="1" x14ac:dyDescent="0.3">
      <c r="A2227" s="34" t="s">
        <v>7040</v>
      </c>
      <c r="B2227" s="36" t="str">
        <f t="shared" si="49"/>
        <v>Octubre</v>
      </c>
      <c r="C2227" s="33" t="s">
        <v>162</v>
      </c>
      <c r="D2227" s="33" t="s">
        <v>7099</v>
      </c>
      <c r="E2227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227" s="32" t="s">
        <v>248</v>
      </c>
      <c r="G2227" s="32" t="s">
        <v>249</v>
      </c>
      <c r="H2227" s="139" t="s">
        <v>7100</v>
      </c>
      <c r="I2227" s="33" t="s">
        <v>536</v>
      </c>
      <c r="J2227" s="143" t="s">
        <v>4997</v>
      </c>
      <c r="K2227" s="33" t="s">
        <v>169</v>
      </c>
      <c r="L2227" s="102" t="str">
        <f>VLOOKUP(Anexo_4[[#This Row],[cod_doc]],TIPODOC,2,FALSE)</f>
        <v>FACTURA</v>
      </c>
      <c r="M2227" s="33" t="s">
        <v>538</v>
      </c>
      <c r="N2227" s="32" t="s">
        <v>7101</v>
      </c>
      <c r="O2227" s="48">
        <v>468</v>
      </c>
      <c r="P2227" s="49" t="s">
        <v>4341</v>
      </c>
      <c r="Q2227" s="81">
        <v>84.24</v>
      </c>
      <c r="R2227" s="80" t="s">
        <v>4341</v>
      </c>
      <c r="S2227" s="48" t="s">
        <v>4341</v>
      </c>
      <c r="T2227" s="72">
        <v>552.24</v>
      </c>
      <c r="U2227" s="70" t="s">
        <v>7102</v>
      </c>
      <c r="V2227" s="32" t="s">
        <v>7047</v>
      </c>
      <c r="W2227" s="70"/>
      <c r="X2227" s="70"/>
      <c r="Y2227" s="70" t="s">
        <v>7103</v>
      </c>
      <c r="Z2227" s="70"/>
      <c r="AA2227" s="71"/>
      <c r="AB2227" s="117" t="str">
        <f>IFERROR(VLOOKUP(Anexo_4[[#This Row],[cuenta]],OP,2,0),"-")</f>
        <v>-</v>
      </c>
    </row>
    <row r="2228" spans="1:28" ht="27" customHeight="1" x14ac:dyDescent="0.3">
      <c r="A2228" s="34" t="s">
        <v>7040</v>
      </c>
      <c r="B2228" s="36" t="str">
        <f t="shared" si="49"/>
        <v>Octubre</v>
      </c>
      <c r="C2228" s="33" t="s">
        <v>162</v>
      </c>
      <c r="D2228" s="33" t="s">
        <v>7104</v>
      </c>
      <c r="E2228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228" s="32" t="s">
        <v>248</v>
      </c>
      <c r="G2228" s="32" t="s">
        <v>249</v>
      </c>
      <c r="H2228" s="139" t="s">
        <v>7105</v>
      </c>
      <c r="I2228" s="33" t="s">
        <v>536</v>
      </c>
      <c r="J2228" s="143" t="s">
        <v>4997</v>
      </c>
      <c r="K2228" s="33" t="s">
        <v>169</v>
      </c>
      <c r="L2228" s="102" t="str">
        <f>VLOOKUP(Anexo_4[[#This Row],[cod_doc]],TIPODOC,2,FALSE)</f>
        <v>FACTURA</v>
      </c>
      <c r="M2228" s="33" t="s">
        <v>538</v>
      </c>
      <c r="N2228" s="32" t="s">
        <v>7106</v>
      </c>
      <c r="O2228" s="48">
        <v>210.6</v>
      </c>
      <c r="P2228" s="49" t="s">
        <v>4341</v>
      </c>
      <c r="Q2228" s="81">
        <v>37.909999999999997</v>
      </c>
      <c r="R2228" s="80" t="s">
        <v>4341</v>
      </c>
      <c r="S2228" s="48" t="s">
        <v>4341</v>
      </c>
      <c r="T2228" s="72">
        <v>248.51</v>
      </c>
      <c r="U2228" s="70" t="s">
        <v>7107</v>
      </c>
      <c r="V2228" s="32" t="s">
        <v>7047</v>
      </c>
      <c r="W2228" s="70"/>
      <c r="X2228" s="70"/>
      <c r="Y2228" s="70" t="s">
        <v>7108</v>
      </c>
      <c r="Z2228" s="70"/>
      <c r="AA2228" s="71"/>
      <c r="AB2228" s="117" t="str">
        <f>IFERROR(VLOOKUP(Anexo_4[[#This Row],[cuenta]],OP,2,0),"-")</f>
        <v>-</v>
      </c>
    </row>
    <row r="2229" spans="1:28" ht="27" customHeight="1" x14ac:dyDescent="0.3">
      <c r="A2229" s="34" t="s">
        <v>7040</v>
      </c>
      <c r="B2229" s="36" t="str">
        <f t="shared" si="49"/>
        <v>Octubre</v>
      </c>
      <c r="C2229" s="33" t="s">
        <v>162</v>
      </c>
      <c r="D2229" s="33" t="s">
        <v>7109</v>
      </c>
      <c r="E2229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229" s="32" t="s">
        <v>248</v>
      </c>
      <c r="G2229" s="32" t="s">
        <v>249</v>
      </c>
      <c r="H2229" s="139" t="s">
        <v>7110</v>
      </c>
      <c r="I2229" s="33" t="s">
        <v>536</v>
      </c>
      <c r="J2229" s="143" t="s">
        <v>4997</v>
      </c>
      <c r="K2229" s="33" t="s">
        <v>169</v>
      </c>
      <c r="L2229" s="102" t="str">
        <f>VLOOKUP(Anexo_4[[#This Row],[cod_doc]],TIPODOC,2,FALSE)</f>
        <v>FACTURA</v>
      </c>
      <c r="M2229" s="33" t="s">
        <v>538</v>
      </c>
      <c r="N2229" s="32" t="s">
        <v>7111</v>
      </c>
      <c r="O2229" s="48">
        <v>6.3</v>
      </c>
      <c r="P2229" s="49" t="s">
        <v>4341</v>
      </c>
      <c r="Q2229" s="81">
        <v>1.1299999999999999</v>
      </c>
      <c r="R2229" s="80" t="s">
        <v>4341</v>
      </c>
      <c r="S2229" s="48" t="s">
        <v>4341</v>
      </c>
      <c r="T2229" s="72">
        <v>7.43</v>
      </c>
      <c r="U2229" s="70" t="s">
        <v>7112</v>
      </c>
      <c r="V2229" s="32" t="s">
        <v>7047</v>
      </c>
      <c r="W2229" s="70"/>
      <c r="X2229" s="70"/>
      <c r="Y2229" s="70" t="s">
        <v>7113</v>
      </c>
      <c r="Z2229" s="70"/>
      <c r="AA2229" s="71"/>
      <c r="AB2229" s="117" t="str">
        <f>IFERROR(VLOOKUP(Anexo_4[[#This Row],[cuenta]],OP,2,0),"-")</f>
        <v>-</v>
      </c>
    </row>
    <row r="2230" spans="1:28" ht="27" customHeight="1" x14ac:dyDescent="0.3">
      <c r="A2230" s="34" t="s">
        <v>7040</v>
      </c>
      <c r="B2230" s="36" t="str">
        <f t="shared" si="49"/>
        <v>Octubre</v>
      </c>
      <c r="C2230" s="33" t="s">
        <v>162</v>
      </c>
      <c r="D2230" s="33" t="s">
        <v>7114</v>
      </c>
      <c r="E2230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230" s="32" t="s">
        <v>248</v>
      </c>
      <c r="G2230" s="32" t="s">
        <v>249</v>
      </c>
      <c r="H2230" s="139" t="s">
        <v>7115</v>
      </c>
      <c r="I2230" s="33" t="s">
        <v>536</v>
      </c>
      <c r="J2230" s="143" t="s">
        <v>4997</v>
      </c>
      <c r="K2230" s="33" t="s">
        <v>169</v>
      </c>
      <c r="L2230" s="102" t="str">
        <f>VLOOKUP(Anexo_4[[#This Row],[cod_doc]],TIPODOC,2,FALSE)</f>
        <v>FACTURA</v>
      </c>
      <c r="M2230" s="33" t="s">
        <v>538</v>
      </c>
      <c r="N2230" s="32" t="s">
        <v>7116</v>
      </c>
      <c r="O2230" s="48">
        <v>100</v>
      </c>
      <c r="P2230" s="49" t="s">
        <v>4341</v>
      </c>
      <c r="Q2230" s="81">
        <v>18</v>
      </c>
      <c r="R2230" s="80" t="s">
        <v>4341</v>
      </c>
      <c r="S2230" s="48" t="s">
        <v>4341</v>
      </c>
      <c r="T2230" s="72">
        <v>118</v>
      </c>
      <c r="U2230" s="70" t="s">
        <v>7117</v>
      </c>
      <c r="V2230" s="32" t="s">
        <v>7047</v>
      </c>
      <c r="W2230" s="70"/>
      <c r="X2230" s="70"/>
      <c r="Y2230" s="70" t="s">
        <v>7118</v>
      </c>
      <c r="Z2230" s="70"/>
      <c r="AA2230" s="71"/>
      <c r="AB2230" s="117" t="str">
        <f>IFERROR(VLOOKUP(Anexo_4[[#This Row],[cuenta]],OP,2,0),"-")</f>
        <v>-</v>
      </c>
    </row>
    <row r="2231" spans="1:28" ht="27" customHeight="1" x14ac:dyDescent="0.3">
      <c r="A2231" s="34" t="s">
        <v>7040</v>
      </c>
      <c r="B2231" s="36" t="str">
        <f t="shared" si="49"/>
        <v>Octubre</v>
      </c>
      <c r="C2231" s="33" t="s">
        <v>162</v>
      </c>
      <c r="D2231" s="33" t="s">
        <v>7119</v>
      </c>
      <c r="E2231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231" s="32" t="s">
        <v>248</v>
      </c>
      <c r="G2231" s="32" t="s">
        <v>249</v>
      </c>
      <c r="H2231" s="139" t="s">
        <v>7120</v>
      </c>
      <c r="I2231" s="33" t="s">
        <v>536</v>
      </c>
      <c r="J2231" s="143" t="s">
        <v>4997</v>
      </c>
      <c r="K2231" s="33" t="s">
        <v>169</v>
      </c>
      <c r="L2231" s="102" t="str">
        <f>VLOOKUP(Anexo_4[[#This Row],[cod_doc]],TIPODOC,2,FALSE)</f>
        <v>FACTURA</v>
      </c>
      <c r="M2231" s="33" t="s">
        <v>538</v>
      </c>
      <c r="N2231" s="32" t="s">
        <v>7121</v>
      </c>
      <c r="O2231" s="48">
        <v>387</v>
      </c>
      <c r="P2231" s="49" t="s">
        <v>4341</v>
      </c>
      <c r="Q2231" s="81">
        <v>69.66</v>
      </c>
      <c r="R2231" s="80" t="s">
        <v>4341</v>
      </c>
      <c r="S2231" s="48" t="s">
        <v>4341</v>
      </c>
      <c r="T2231" s="72">
        <v>456.66</v>
      </c>
      <c r="U2231" s="70" t="s">
        <v>7122</v>
      </c>
      <c r="V2231" s="32" t="s">
        <v>7047</v>
      </c>
      <c r="W2231" s="70"/>
      <c r="X2231" s="70"/>
      <c r="Y2231" s="70" t="s">
        <v>7123</v>
      </c>
      <c r="Z2231" s="70"/>
      <c r="AA2231" s="71"/>
      <c r="AB2231" s="117" t="str">
        <f>IFERROR(VLOOKUP(Anexo_4[[#This Row],[cuenta]],OP,2,0),"-")</f>
        <v>-</v>
      </c>
    </row>
    <row r="2232" spans="1:28" ht="27" customHeight="1" x14ac:dyDescent="0.3">
      <c r="A2232" s="34" t="s">
        <v>7040</v>
      </c>
      <c r="B2232" s="36" t="str">
        <f t="shared" si="49"/>
        <v>Octubre</v>
      </c>
      <c r="C2232" s="33" t="s">
        <v>162</v>
      </c>
      <c r="D2232" s="33" t="s">
        <v>7124</v>
      </c>
      <c r="E2232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232" s="32" t="s">
        <v>442</v>
      </c>
      <c r="G2232" s="32" t="s">
        <v>443</v>
      </c>
      <c r="H2232" s="139" t="s">
        <v>7125</v>
      </c>
      <c r="I2232" s="33" t="s">
        <v>7126</v>
      </c>
      <c r="J2232" s="143" t="s">
        <v>7127</v>
      </c>
      <c r="K2232" s="33" t="s">
        <v>169</v>
      </c>
      <c r="L2232" s="102" t="str">
        <f>VLOOKUP(Anexo_4[[#This Row],[cod_doc]],TIPODOC,2,FALSE)</f>
        <v>FACTURA</v>
      </c>
      <c r="M2232" s="33" t="s">
        <v>102</v>
      </c>
      <c r="N2232" s="32" t="s">
        <v>7128</v>
      </c>
      <c r="O2232" s="48">
        <v>183.05</v>
      </c>
      <c r="P2232" s="49" t="s">
        <v>4341</v>
      </c>
      <c r="Q2232" s="81">
        <v>32.950000000000003</v>
      </c>
      <c r="R2232" s="80" t="s">
        <v>4341</v>
      </c>
      <c r="S2232" s="48" t="s">
        <v>4341</v>
      </c>
      <c r="T2232" s="72">
        <v>216</v>
      </c>
      <c r="U2232" s="70"/>
      <c r="V2232" s="32"/>
      <c r="W2232" s="70"/>
      <c r="X2232" s="70"/>
      <c r="Y2232" s="70"/>
      <c r="Z2232" s="70"/>
      <c r="AA2232" s="71"/>
      <c r="AB2232" s="117" t="str">
        <f>IFERROR(VLOOKUP(Anexo_4[[#This Row],[cuenta]],OP,2,0),"-")</f>
        <v>-</v>
      </c>
    </row>
    <row r="2233" spans="1:28" ht="27" customHeight="1" x14ac:dyDescent="0.3">
      <c r="A2233" s="34" t="s">
        <v>7129</v>
      </c>
      <c r="B2233" s="36" t="str">
        <f t="shared" si="49"/>
        <v>Octubre</v>
      </c>
      <c r="C2233" s="33" t="s">
        <v>162</v>
      </c>
      <c r="D2233" s="33" t="s">
        <v>7130</v>
      </c>
      <c r="E2233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233" s="32" t="s">
        <v>248</v>
      </c>
      <c r="G2233" s="32" t="s">
        <v>249</v>
      </c>
      <c r="H2233" s="139" t="s">
        <v>7131</v>
      </c>
      <c r="I2233" s="33" t="s">
        <v>980</v>
      </c>
      <c r="J2233" s="143" t="s">
        <v>5083</v>
      </c>
      <c r="K2233" s="33" t="s">
        <v>169</v>
      </c>
      <c r="L2233" s="102" t="str">
        <f>VLOOKUP(Anexo_4[[#This Row],[cod_doc]],TIPODOC,2,FALSE)</f>
        <v>FACTURA</v>
      </c>
      <c r="M2233" s="33" t="s">
        <v>982</v>
      </c>
      <c r="N2233" s="32" t="s">
        <v>7132</v>
      </c>
      <c r="O2233" s="48">
        <v>555.92999999999995</v>
      </c>
      <c r="P2233" s="49" t="s">
        <v>4341</v>
      </c>
      <c r="Q2233" s="81">
        <v>100.07</v>
      </c>
      <c r="R2233" s="80" t="s">
        <v>4341</v>
      </c>
      <c r="S2233" s="48" t="s">
        <v>4341</v>
      </c>
      <c r="T2233" s="72">
        <v>656</v>
      </c>
      <c r="U2233" s="70" t="s">
        <v>7133</v>
      </c>
      <c r="V2233" s="32" t="s">
        <v>7134</v>
      </c>
      <c r="W2233" s="70"/>
      <c r="X2233" s="70"/>
      <c r="Y2233" s="70" t="s">
        <v>7135</v>
      </c>
      <c r="Z2233" s="70"/>
      <c r="AA2233" s="71"/>
      <c r="AB2233" s="117" t="str">
        <f>IFERROR(VLOOKUP(Anexo_4[[#This Row],[cuenta]],OP,2,0),"-")</f>
        <v>-</v>
      </c>
    </row>
    <row r="2234" spans="1:28" ht="27" customHeight="1" x14ac:dyDescent="0.3">
      <c r="A2234" s="34" t="s">
        <v>7129</v>
      </c>
      <c r="B2234" s="36" t="str">
        <f t="shared" si="49"/>
        <v>Octubre</v>
      </c>
      <c r="C2234" s="33" t="s">
        <v>162</v>
      </c>
      <c r="D2234" s="33" t="s">
        <v>7136</v>
      </c>
      <c r="E2234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234" s="32" t="s">
        <v>190</v>
      </c>
      <c r="G2234" s="32" t="s">
        <v>191</v>
      </c>
      <c r="H2234" s="139" t="s">
        <v>7137</v>
      </c>
      <c r="I2234" s="33" t="s">
        <v>7138</v>
      </c>
      <c r="J2234" s="143" t="s">
        <v>7139</v>
      </c>
      <c r="K2234" s="33" t="s">
        <v>169</v>
      </c>
      <c r="L2234" s="102" t="str">
        <f>VLOOKUP(Anexo_4[[#This Row],[cod_doc]],TIPODOC,2,FALSE)</f>
        <v>FACTURA</v>
      </c>
      <c r="M2234" s="33" t="s">
        <v>102</v>
      </c>
      <c r="N2234" s="32" t="s">
        <v>7140</v>
      </c>
      <c r="O2234" s="48">
        <v>2203.39</v>
      </c>
      <c r="P2234" s="49" t="s">
        <v>4341</v>
      </c>
      <c r="Q2234" s="81">
        <v>396.61</v>
      </c>
      <c r="R2234" s="80" t="s">
        <v>4341</v>
      </c>
      <c r="S2234" s="48" t="s">
        <v>4341</v>
      </c>
      <c r="T2234" s="72">
        <v>2600</v>
      </c>
      <c r="U2234" s="70"/>
      <c r="V2234" s="32"/>
      <c r="W2234" s="70"/>
      <c r="X2234" s="70"/>
      <c r="Y2234" s="70"/>
      <c r="Z2234" s="70"/>
      <c r="AA2234" s="71"/>
      <c r="AB2234" s="117" t="str">
        <f>IFERROR(VLOOKUP(Anexo_4[[#This Row],[cuenta]],OP,2,0),"-")</f>
        <v>-</v>
      </c>
    </row>
    <row r="2235" spans="1:28" ht="27" customHeight="1" x14ac:dyDescent="0.3">
      <c r="A2235" s="34" t="s">
        <v>7141</v>
      </c>
      <c r="B2235" s="36" t="str">
        <f t="shared" si="49"/>
        <v>Octubre</v>
      </c>
      <c r="C2235" s="33" t="s">
        <v>162</v>
      </c>
      <c r="D2235" s="33" t="s">
        <v>7142</v>
      </c>
      <c r="E2235" s="37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2235" s="32" t="s">
        <v>198</v>
      </c>
      <c r="G2235" s="32" t="s">
        <v>199</v>
      </c>
      <c r="H2235" s="139" t="s">
        <v>7143</v>
      </c>
      <c r="I2235" s="33" t="s">
        <v>7144</v>
      </c>
      <c r="J2235" s="143" t="s">
        <v>7145</v>
      </c>
      <c r="K2235" s="33" t="s">
        <v>169</v>
      </c>
      <c r="L2235" s="102" t="str">
        <f>VLOOKUP(Anexo_4[[#This Row],[cod_doc]],TIPODOC,2,FALSE)</f>
        <v>FACTURA</v>
      </c>
      <c r="M2235" s="33" t="s">
        <v>102</v>
      </c>
      <c r="N2235" s="32" t="s">
        <v>7146</v>
      </c>
      <c r="O2235" s="48">
        <v>1186.44</v>
      </c>
      <c r="P2235" s="49" t="s">
        <v>4341</v>
      </c>
      <c r="Q2235" s="81">
        <v>213.56</v>
      </c>
      <c r="R2235" s="80" t="s">
        <v>4341</v>
      </c>
      <c r="S2235" s="48" t="s">
        <v>4341</v>
      </c>
      <c r="T2235" s="72">
        <v>1400</v>
      </c>
      <c r="U2235" s="70"/>
      <c r="V2235" s="32"/>
      <c r="W2235" s="70"/>
      <c r="X2235" s="70"/>
      <c r="Y2235" s="70"/>
      <c r="Z2235" s="70"/>
      <c r="AA2235" s="71"/>
      <c r="AB2235" s="117" t="str">
        <f>IFERROR(VLOOKUP(Anexo_4[[#This Row],[cuenta]],OP,2,0),"-")</f>
        <v>-</v>
      </c>
    </row>
    <row r="2236" spans="1:28" ht="27" customHeight="1" x14ac:dyDescent="0.3">
      <c r="A2236" s="34" t="s">
        <v>7129</v>
      </c>
      <c r="B2236" s="36" t="str">
        <f t="shared" si="49"/>
        <v>Octubre</v>
      </c>
      <c r="C2236" s="33" t="s">
        <v>162</v>
      </c>
      <c r="D2236" s="33" t="s">
        <v>7147</v>
      </c>
      <c r="E2236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236" s="32" t="s">
        <v>190</v>
      </c>
      <c r="G2236" s="32" t="s">
        <v>191</v>
      </c>
      <c r="H2236" s="139" t="s">
        <v>7148</v>
      </c>
      <c r="I2236" s="33" t="s">
        <v>2441</v>
      </c>
      <c r="J2236" s="143" t="s">
        <v>4932</v>
      </c>
      <c r="K2236" s="33" t="s">
        <v>169</v>
      </c>
      <c r="L2236" s="102" t="str">
        <f>VLOOKUP(Anexo_4[[#This Row],[cod_doc]],TIPODOC,2,FALSE)</f>
        <v>FACTURA</v>
      </c>
      <c r="M2236" s="33" t="s">
        <v>102</v>
      </c>
      <c r="N2236" s="32" t="s">
        <v>7149</v>
      </c>
      <c r="O2236" s="48">
        <v>1729.32</v>
      </c>
      <c r="P2236" s="49" t="s">
        <v>4341</v>
      </c>
      <c r="Q2236" s="81">
        <v>311.27999999999997</v>
      </c>
      <c r="R2236" s="80" t="s">
        <v>4341</v>
      </c>
      <c r="S2236" s="48" t="s">
        <v>4341</v>
      </c>
      <c r="T2236" s="72">
        <v>2040.6</v>
      </c>
      <c r="U2236" s="70"/>
      <c r="V2236" s="32"/>
      <c r="W2236" s="70"/>
      <c r="X2236" s="70"/>
      <c r="Y2236" s="70"/>
      <c r="Z2236" s="70"/>
      <c r="AA2236" s="71"/>
      <c r="AB2236" s="117" t="str">
        <f>IFERROR(VLOOKUP(Anexo_4[[#This Row],[cuenta]],OP,2,0),"-")</f>
        <v>-</v>
      </c>
    </row>
    <row r="2237" spans="1:28" ht="27" customHeight="1" x14ac:dyDescent="0.3">
      <c r="A2237" s="34" t="s">
        <v>7129</v>
      </c>
      <c r="B2237" s="36" t="str">
        <f t="shared" si="49"/>
        <v>Octubre</v>
      </c>
      <c r="C2237" s="33" t="s">
        <v>162</v>
      </c>
      <c r="D2237" s="33" t="s">
        <v>7150</v>
      </c>
      <c r="E2237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237" s="32" t="s">
        <v>164</v>
      </c>
      <c r="G2237" s="32" t="s">
        <v>165</v>
      </c>
      <c r="H2237" s="139" t="s">
        <v>6281</v>
      </c>
      <c r="I2237" s="33" t="s">
        <v>213</v>
      </c>
      <c r="J2237" s="143" t="s">
        <v>5110</v>
      </c>
      <c r="K2237" s="33" t="s">
        <v>169</v>
      </c>
      <c r="L2237" s="102" t="str">
        <f>VLOOKUP(Anexo_4[[#This Row],[cod_doc]],TIPODOC,2,FALSE)</f>
        <v>FACTURA</v>
      </c>
      <c r="M2237" s="33" t="s">
        <v>102</v>
      </c>
      <c r="N2237" s="32" t="s">
        <v>7151</v>
      </c>
      <c r="O2237" s="48">
        <v>79.900000000000006</v>
      </c>
      <c r="P2237" s="49" t="s">
        <v>4341</v>
      </c>
      <c r="Q2237" s="81">
        <v>14.38</v>
      </c>
      <c r="R2237" s="80" t="s">
        <v>4341</v>
      </c>
      <c r="S2237" s="48" t="s">
        <v>4341</v>
      </c>
      <c r="T2237" s="72">
        <v>94.28</v>
      </c>
      <c r="U2237" s="70"/>
      <c r="V2237" s="32"/>
      <c r="W2237" s="70"/>
      <c r="X2237" s="70"/>
      <c r="Y2237" s="70"/>
      <c r="Z2237" s="70"/>
      <c r="AA2237" s="71"/>
      <c r="AB2237" s="117" t="str">
        <f>IFERROR(VLOOKUP(Anexo_4[[#This Row],[cuenta]],OP,2,0),"-")</f>
        <v>-</v>
      </c>
    </row>
    <row r="2238" spans="1:28" ht="27" customHeight="1" x14ac:dyDescent="0.3">
      <c r="A2238" s="34" t="s">
        <v>7152</v>
      </c>
      <c r="B2238" s="36" t="str">
        <f t="shared" si="49"/>
        <v>Octubre</v>
      </c>
      <c r="C2238" s="33" t="s">
        <v>162</v>
      </c>
      <c r="D2238" s="33" t="s">
        <v>7153</v>
      </c>
      <c r="E2238" s="37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2238" s="32" t="s">
        <v>198</v>
      </c>
      <c r="G2238" s="32" t="s">
        <v>199</v>
      </c>
      <c r="H2238" s="139" t="s">
        <v>7154</v>
      </c>
      <c r="I2238" s="33" t="s">
        <v>2429</v>
      </c>
      <c r="J2238" s="143" t="s">
        <v>5038</v>
      </c>
      <c r="K2238" s="33" t="s">
        <v>239</v>
      </c>
      <c r="L2238" s="102" t="str">
        <f>VLOOKUP(Anexo_4[[#This Row],[cod_doc]],TIPODOC,2,FALSE)</f>
        <v>BOLETA DE VENTA</v>
      </c>
      <c r="M2238" s="33" t="s">
        <v>5938</v>
      </c>
      <c r="N2238" s="32" t="s">
        <v>7155</v>
      </c>
      <c r="O2238" s="48" t="s">
        <v>4341</v>
      </c>
      <c r="P2238" s="49" t="s">
        <v>4341</v>
      </c>
      <c r="Q2238" s="81" t="s">
        <v>4341</v>
      </c>
      <c r="R2238" s="80" t="s">
        <v>4341</v>
      </c>
      <c r="S2238" s="48">
        <v>26.5</v>
      </c>
      <c r="T2238" s="72">
        <v>26.5</v>
      </c>
      <c r="U2238" s="70"/>
      <c r="V2238" s="32"/>
      <c r="W2238" s="70"/>
      <c r="X2238" s="70"/>
      <c r="Y2238" s="70"/>
      <c r="Z2238" s="70"/>
      <c r="AA2238" s="71"/>
      <c r="AB2238" s="117" t="str">
        <f>IFERROR(VLOOKUP(Anexo_4[[#This Row],[cuenta]],OP,2,0),"-")</f>
        <v>-</v>
      </c>
    </row>
    <row r="2239" spans="1:28" ht="27" customHeight="1" x14ac:dyDescent="0.3">
      <c r="A2239" s="34" t="s">
        <v>7152</v>
      </c>
      <c r="B2239" s="36" t="str">
        <f t="shared" si="49"/>
        <v>Octubre</v>
      </c>
      <c r="C2239" s="33" t="s">
        <v>162</v>
      </c>
      <c r="D2239" s="33" t="s">
        <v>7156</v>
      </c>
      <c r="E2239" s="37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2239" s="32" t="s">
        <v>198</v>
      </c>
      <c r="G2239" s="32" t="s">
        <v>199</v>
      </c>
      <c r="H2239" s="139" t="s">
        <v>7157</v>
      </c>
      <c r="I2239" s="33" t="s">
        <v>2429</v>
      </c>
      <c r="J2239" s="143" t="s">
        <v>5038</v>
      </c>
      <c r="K2239" s="33" t="s">
        <v>239</v>
      </c>
      <c r="L2239" s="102" t="str">
        <f>VLOOKUP(Anexo_4[[#This Row],[cod_doc]],TIPODOC,2,FALSE)</f>
        <v>BOLETA DE VENTA</v>
      </c>
      <c r="M2239" s="33" t="s">
        <v>5938</v>
      </c>
      <c r="N2239" s="32" t="s">
        <v>7158</v>
      </c>
      <c r="O2239" s="48" t="s">
        <v>4341</v>
      </c>
      <c r="P2239" s="49" t="s">
        <v>4341</v>
      </c>
      <c r="Q2239" s="81" t="s">
        <v>4341</v>
      </c>
      <c r="R2239" s="80" t="s">
        <v>4341</v>
      </c>
      <c r="S2239" s="48">
        <v>3.5</v>
      </c>
      <c r="T2239" s="72">
        <v>3.5</v>
      </c>
      <c r="U2239" s="70"/>
      <c r="V2239" s="32"/>
      <c r="W2239" s="70"/>
      <c r="X2239" s="70"/>
      <c r="Y2239" s="70"/>
      <c r="Z2239" s="70"/>
      <c r="AA2239" s="71"/>
      <c r="AB2239" s="117" t="str">
        <f>IFERROR(VLOOKUP(Anexo_4[[#This Row],[cuenta]],OP,2,0),"-")</f>
        <v>-</v>
      </c>
    </row>
    <row r="2240" spans="1:28" ht="27" customHeight="1" x14ac:dyDescent="0.3">
      <c r="A2240" s="34" t="s">
        <v>7159</v>
      </c>
      <c r="B2240" s="36" t="str">
        <f t="shared" si="49"/>
        <v>Octubre</v>
      </c>
      <c r="C2240" s="33" t="s">
        <v>162</v>
      </c>
      <c r="D2240" s="33" t="s">
        <v>7160</v>
      </c>
      <c r="E2240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240" s="32" t="s">
        <v>1366</v>
      </c>
      <c r="G2240" s="32" t="s">
        <v>1367</v>
      </c>
      <c r="H2240" s="139" t="s">
        <v>7161</v>
      </c>
      <c r="I2240" s="33" t="s">
        <v>4354</v>
      </c>
      <c r="J2240" s="143" t="s">
        <v>7162</v>
      </c>
      <c r="K2240" s="33" t="s">
        <v>169</v>
      </c>
      <c r="L2240" s="102" t="str">
        <f>VLOOKUP(Anexo_4[[#This Row],[cod_doc]],TIPODOC,2,FALSE)</f>
        <v>FACTURA</v>
      </c>
      <c r="M2240" s="33" t="s">
        <v>180</v>
      </c>
      <c r="N2240" s="32" t="s">
        <v>7163</v>
      </c>
      <c r="O2240" s="48">
        <v>37.29</v>
      </c>
      <c r="P2240" s="49" t="s">
        <v>4341</v>
      </c>
      <c r="Q2240" s="81">
        <v>6.71</v>
      </c>
      <c r="R2240" s="80" t="s">
        <v>4341</v>
      </c>
      <c r="S2240" s="48" t="s">
        <v>4341</v>
      </c>
      <c r="T2240" s="72">
        <v>44</v>
      </c>
      <c r="U2240" s="70"/>
      <c r="V2240" s="32"/>
      <c r="W2240" s="70"/>
      <c r="X2240" s="70"/>
      <c r="Y2240" s="70"/>
      <c r="Z2240" s="70"/>
      <c r="AA2240" s="71"/>
      <c r="AB2240" s="117" t="str">
        <f>IFERROR(VLOOKUP(Anexo_4[[#This Row],[cuenta]],OP,2,0),"-")</f>
        <v>-</v>
      </c>
    </row>
    <row r="2241" spans="1:28" ht="27" customHeight="1" x14ac:dyDescent="0.3">
      <c r="A2241" s="34" t="s">
        <v>7141</v>
      </c>
      <c r="B2241" s="36" t="str">
        <f t="shared" si="49"/>
        <v>Octubre</v>
      </c>
      <c r="C2241" s="33" t="s">
        <v>162</v>
      </c>
      <c r="D2241" s="33" t="s">
        <v>7164</v>
      </c>
      <c r="E2241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241" s="32" t="s">
        <v>1366</v>
      </c>
      <c r="G2241" s="32" t="s">
        <v>1367</v>
      </c>
      <c r="H2241" s="139" t="s">
        <v>192</v>
      </c>
      <c r="I2241" s="33" t="s">
        <v>638</v>
      </c>
      <c r="J2241" s="143" t="s">
        <v>4618</v>
      </c>
      <c r="K2241" s="33" t="s">
        <v>169</v>
      </c>
      <c r="L2241" s="102" t="str">
        <f>VLOOKUP(Anexo_4[[#This Row],[cod_doc]],TIPODOC,2,FALSE)</f>
        <v>FACTURA</v>
      </c>
      <c r="M2241" s="33" t="s">
        <v>7165</v>
      </c>
      <c r="N2241" s="32" t="s">
        <v>7166</v>
      </c>
      <c r="O2241" s="48">
        <v>48.37</v>
      </c>
      <c r="P2241" s="49" t="s">
        <v>4341</v>
      </c>
      <c r="Q2241" s="81">
        <v>8.7100000000000009</v>
      </c>
      <c r="R2241" s="80" t="s">
        <v>4341</v>
      </c>
      <c r="S2241" s="48" t="s">
        <v>4341</v>
      </c>
      <c r="T2241" s="72">
        <v>57.08</v>
      </c>
      <c r="U2241" s="70"/>
      <c r="V2241" s="32"/>
      <c r="W2241" s="70"/>
      <c r="X2241" s="70"/>
      <c r="Y2241" s="70"/>
      <c r="Z2241" s="70"/>
      <c r="AA2241" s="71"/>
      <c r="AB2241" s="117" t="str">
        <f>IFERROR(VLOOKUP(Anexo_4[[#This Row],[cuenta]],OP,2,0),"-")</f>
        <v>-</v>
      </c>
    </row>
    <row r="2242" spans="1:28" ht="27" customHeight="1" x14ac:dyDescent="0.3">
      <c r="A2242" s="34" t="s">
        <v>7141</v>
      </c>
      <c r="B2242" s="36" t="str">
        <f t="shared" si="49"/>
        <v>Octubre</v>
      </c>
      <c r="C2242" s="33" t="s">
        <v>162</v>
      </c>
      <c r="D2242" s="33" t="s">
        <v>7167</v>
      </c>
      <c r="E2242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242" s="32" t="s">
        <v>217</v>
      </c>
      <c r="G2242" s="32" t="s">
        <v>4839</v>
      </c>
      <c r="H2242" s="139" t="s">
        <v>7168</v>
      </c>
      <c r="I2242" s="33" t="s">
        <v>600</v>
      </c>
      <c r="J2242" s="143" t="s">
        <v>4611</v>
      </c>
      <c r="K2242" s="33" t="s">
        <v>169</v>
      </c>
      <c r="L2242" s="102" t="str">
        <f>VLOOKUP(Anexo_4[[#This Row],[cod_doc]],TIPODOC,2,FALSE)</f>
        <v>FACTURA</v>
      </c>
      <c r="M2242" s="33" t="s">
        <v>180</v>
      </c>
      <c r="N2242" s="32" t="s">
        <v>7169</v>
      </c>
      <c r="O2242" s="48">
        <v>607.62</v>
      </c>
      <c r="P2242" s="49" t="s">
        <v>4341</v>
      </c>
      <c r="Q2242" s="81">
        <v>109.38</v>
      </c>
      <c r="R2242" s="80" t="s">
        <v>4341</v>
      </c>
      <c r="S2242" s="48" t="s">
        <v>4341</v>
      </c>
      <c r="T2242" s="72">
        <v>717</v>
      </c>
      <c r="U2242" s="70"/>
      <c r="V2242" s="32"/>
      <c r="W2242" s="70"/>
      <c r="X2242" s="70"/>
      <c r="Y2242" s="70"/>
      <c r="Z2242" s="70"/>
      <c r="AA2242" s="71"/>
      <c r="AB2242" s="117" t="str">
        <f>IFERROR(VLOOKUP(Anexo_4[[#This Row],[cuenta]],OP,2,0),"-")</f>
        <v>-</v>
      </c>
    </row>
    <row r="2243" spans="1:28" ht="27" customHeight="1" x14ac:dyDescent="0.3">
      <c r="A2243" s="34" t="s">
        <v>7152</v>
      </c>
      <c r="B2243" s="36" t="str">
        <f t="shared" si="49"/>
        <v>Octubre</v>
      </c>
      <c r="C2243" s="33" t="s">
        <v>162</v>
      </c>
      <c r="D2243" s="33" t="s">
        <v>7170</v>
      </c>
      <c r="E2243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243" s="32" t="s">
        <v>650</v>
      </c>
      <c r="G2243" s="32" t="s">
        <v>651</v>
      </c>
      <c r="H2243" s="139" t="s">
        <v>7171</v>
      </c>
      <c r="I2243" s="33" t="s">
        <v>653</v>
      </c>
      <c r="J2243" s="143" t="s">
        <v>4678</v>
      </c>
      <c r="K2243" s="33" t="s">
        <v>169</v>
      </c>
      <c r="L2243" s="102" t="str">
        <f>VLOOKUP(Anexo_4[[#This Row],[cod_doc]],TIPODOC,2,FALSE)</f>
        <v>FACTURA</v>
      </c>
      <c r="M2243" s="33" t="s">
        <v>655</v>
      </c>
      <c r="N2243" s="32" t="s">
        <v>7172</v>
      </c>
      <c r="O2243" s="48">
        <v>362</v>
      </c>
      <c r="P2243" s="49" t="s">
        <v>4341</v>
      </c>
      <c r="Q2243" s="81">
        <v>65.16</v>
      </c>
      <c r="R2243" s="80" t="s">
        <v>4341</v>
      </c>
      <c r="S2243" s="48" t="s">
        <v>4341</v>
      </c>
      <c r="T2243" s="72">
        <v>427.16</v>
      </c>
      <c r="U2243" s="70"/>
      <c r="V2243" s="32"/>
      <c r="W2243" s="70"/>
      <c r="X2243" s="70"/>
      <c r="Y2243" s="70"/>
      <c r="Z2243" s="70"/>
      <c r="AA2243" s="71"/>
      <c r="AB2243" s="117" t="str">
        <f>IFERROR(VLOOKUP(Anexo_4[[#This Row],[cuenta]],OP,2,0),"-")</f>
        <v>-</v>
      </c>
    </row>
    <row r="2244" spans="1:28" ht="27" customHeight="1" x14ac:dyDescent="0.3">
      <c r="A2244" s="34" t="s">
        <v>7159</v>
      </c>
      <c r="B2244" s="36" t="str">
        <f t="shared" si="49"/>
        <v>Octubre</v>
      </c>
      <c r="C2244" s="33" t="s">
        <v>162</v>
      </c>
      <c r="D2244" s="33" t="s">
        <v>7173</v>
      </c>
      <c r="E2244" s="37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2244" s="32" t="s">
        <v>198</v>
      </c>
      <c r="G2244" s="32" t="s">
        <v>199</v>
      </c>
      <c r="H2244" s="139" t="s">
        <v>7174</v>
      </c>
      <c r="I2244" s="33" t="s">
        <v>7175</v>
      </c>
      <c r="J2244" s="143" t="s">
        <v>7176</v>
      </c>
      <c r="K2244" s="33" t="s">
        <v>169</v>
      </c>
      <c r="L2244" s="102" t="str">
        <f>VLOOKUP(Anexo_4[[#This Row],[cod_doc]],TIPODOC,2,FALSE)</f>
        <v>FACTURA</v>
      </c>
      <c r="M2244" s="33" t="s">
        <v>1062</v>
      </c>
      <c r="N2244" s="32" t="s">
        <v>7177</v>
      </c>
      <c r="O2244" s="48">
        <v>282.2</v>
      </c>
      <c r="P2244" s="49" t="s">
        <v>4341</v>
      </c>
      <c r="Q2244" s="81">
        <v>50.8</v>
      </c>
      <c r="R2244" s="80" t="s">
        <v>4341</v>
      </c>
      <c r="S2244" s="48" t="s">
        <v>4341</v>
      </c>
      <c r="T2244" s="72">
        <v>333</v>
      </c>
      <c r="U2244" s="70"/>
      <c r="V2244" s="32"/>
      <c r="W2244" s="70"/>
      <c r="X2244" s="70"/>
      <c r="Y2244" s="70"/>
      <c r="Z2244" s="70"/>
      <c r="AA2244" s="71"/>
      <c r="AB2244" s="117" t="str">
        <f>IFERROR(VLOOKUP(Anexo_4[[#This Row],[cuenta]],OP,2,0),"-")</f>
        <v>-</v>
      </c>
    </row>
    <row r="2245" spans="1:28" ht="27" customHeight="1" x14ac:dyDescent="0.3">
      <c r="A2245" s="34" t="s">
        <v>7152</v>
      </c>
      <c r="B2245" s="36" t="str">
        <f t="shared" si="49"/>
        <v>Octubre</v>
      </c>
      <c r="C2245" s="33" t="s">
        <v>162</v>
      </c>
      <c r="D2245" s="33" t="s">
        <v>7178</v>
      </c>
      <c r="E2245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245" s="32" t="s">
        <v>442</v>
      </c>
      <c r="G2245" s="32" t="s">
        <v>443</v>
      </c>
      <c r="H2245" s="139" t="s">
        <v>7179</v>
      </c>
      <c r="I2245" s="33" t="s">
        <v>3924</v>
      </c>
      <c r="J2245" s="143" t="s">
        <v>5807</v>
      </c>
      <c r="K2245" s="33" t="s">
        <v>169</v>
      </c>
      <c r="L2245" s="102" t="str">
        <f>VLOOKUP(Anexo_4[[#This Row],[cod_doc]],TIPODOC,2,FALSE)</f>
        <v>FACTURA</v>
      </c>
      <c r="M2245" s="33" t="s">
        <v>102</v>
      </c>
      <c r="N2245" s="32" t="s">
        <v>7180</v>
      </c>
      <c r="O2245" s="48" t="s">
        <v>4341</v>
      </c>
      <c r="P2245" s="49" t="s">
        <v>4341</v>
      </c>
      <c r="Q2245" s="81" t="s">
        <v>4341</v>
      </c>
      <c r="R2245" s="80" t="s">
        <v>4341</v>
      </c>
      <c r="S2245" s="48">
        <v>400</v>
      </c>
      <c r="T2245" s="72">
        <v>400</v>
      </c>
      <c r="U2245" s="70"/>
      <c r="V2245" s="32"/>
      <c r="W2245" s="70"/>
      <c r="X2245" s="70"/>
      <c r="Y2245" s="70"/>
      <c r="Z2245" s="70"/>
      <c r="AA2245" s="71"/>
      <c r="AB2245" s="117" t="str">
        <f>IFERROR(VLOOKUP(Anexo_4[[#This Row],[cuenta]],OP,2,0),"-")</f>
        <v>-</v>
      </c>
    </row>
    <row r="2246" spans="1:28" ht="27" customHeight="1" x14ac:dyDescent="0.3">
      <c r="A2246" s="34" t="s">
        <v>7040</v>
      </c>
      <c r="B2246" s="36" t="str">
        <f t="shared" si="49"/>
        <v>Octubre</v>
      </c>
      <c r="C2246" s="33" t="s">
        <v>162</v>
      </c>
      <c r="D2246" s="33" t="s">
        <v>7181</v>
      </c>
      <c r="E2246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246" s="32" t="s">
        <v>217</v>
      </c>
      <c r="G2246" s="32" t="s">
        <v>4839</v>
      </c>
      <c r="H2246" s="139" t="s">
        <v>7182</v>
      </c>
      <c r="I2246" s="33" t="s">
        <v>3483</v>
      </c>
      <c r="J2246" s="143" t="s">
        <v>7183</v>
      </c>
      <c r="K2246" s="33" t="s">
        <v>169</v>
      </c>
      <c r="L2246" s="102" t="str">
        <f>VLOOKUP(Anexo_4[[#This Row],[cod_doc]],TIPODOC,2,FALSE)</f>
        <v>FACTURA</v>
      </c>
      <c r="M2246" s="33" t="s">
        <v>3485</v>
      </c>
      <c r="N2246" s="32" t="s">
        <v>7184</v>
      </c>
      <c r="O2246" s="48">
        <v>33.9</v>
      </c>
      <c r="P2246" s="49" t="s">
        <v>4341</v>
      </c>
      <c r="Q2246" s="81">
        <v>6.1</v>
      </c>
      <c r="R2246" s="80" t="s">
        <v>4341</v>
      </c>
      <c r="S2246" s="48" t="s">
        <v>4341</v>
      </c>
      <c r="T2246" s="72">
        <v>40</v>
      </c>
      <c r="U2246" s="70"/>
      <c r="V2246" s="32"/>
      <c r="W2246" s="70"/>
      <c r="X2246" s="70"/>
      <c r="Y2246" s="70" t="s">
        <v>7185</v>
      </c>
      <c r="Z2246" s="70"/>
      <c r="AA2246" s="71"/>
      <c r="AB2246" s="117" t="str">
        <f>IFERROR(VLOOKUP(Anexo_4[[#This Row],[cuenta]],OP,2,0),"-")</f>
        <v>-</v>
      </c>
    </row>
    <row r="2247" spans="1:28" ht="27" customHeight="1" x14ac:dyDescent="0.3">
      <c r="A2247" s="34" t="s">
        <v>7040</v>
      </c>
      <c r="B2247" s="36" t="str">
        <f t="shared" ref="B2247:B2278" si="50">PROPER(CHOOSE(LEFT(D2247,2),"enero","febrero","marzo","abril","mayo","junio","julio","agosto","setiembre","octubre","noviembre","diciembre"))</f>
        <v>Octubre</v>
      </c>
      <c r="C2247" s="33" t="s">
        <v>162</v>
      </c>
      <c r="D2247" s="33" t="s">
        <v>7186</v>
      </c>
      <c r="E2247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247" s="32" t="s">
        <v>5923</v>
      </c>
      <c r="G2247" s="32" t="s">
        <v>5924</v>
      </c>
      <c r="H2247" s="139" t="s">
        <v>7187</v>
      </c>
      <c r="I2247" s="33" t="s">
        <v>7188</v>
      </c>
      <c r="J2247" s="143" t="s">
        <v>7189</v>
      </c>
      <c r="K2247" s="33" t="s">
        <v>169</v>
      </c>
      <c r="L2247" s="102" t="str">
        <f>VLOOKUP(Anexo_4[[#This Row],[cod_doc]],TIPODOC,2,FALSE)</f>
        <v>FACTURA</v>
      </c>
      <c r="M2247" s="33" t="s">
        <v>108</v>
      </c>
      <c r="N2247" s="32" t="s">
        <v>7190</v>
      </c>
      <c r="O2247" s="48">
        <v>25.45</v>
      </c>
      <c r="P2247" s="49" t="s">
        <v>4341</v>
      </c>
      <c r="Q2247" s="81">
        <v>4.58</v>
      </c>
      <c r="R2247" s="80" t="s">
        <v>4341</v>
      </c>
      <c r="S2247" s="48" t="s">
        <v>4341</v>
      </c>
      <c r="T2247" s="72">
        <v>30.03</v>
      </c>
      <c r="U2247" s="70"/>
      <c r="V2247" s="32"/>
      <c r="W2247" s="70"/>
      <c r="X2247" s="70"/>
      <c r="Y2247" s="70" t="s">
        <v>7191</v>
      </c>
      <c r="Z2247" s="70"/>
      <c r="AA2247" s="71"/>
      <c r="AB2247" s="117" t="str">
        <f>IFERROR(VLOOKUP(Anexo_4[[#This Row],[cuenta]],OP,2,0),"-")</f>
        <v>-</v>
      </c>
    </row>
    <row r="2248" spans="1:28" ht="27" customHeight="1" x14ac:dyDescent="0.3">
      <c r="A2248" s="34" t="s">
        <v>7040</v>
      </c>
      <c r="B2248" s="36" t="str">
        <f t="shared" si="50"/>
        <v>Octubre</v>
      </c>
      <c r="C2248" s="33" t="s">
        <v>162</v>
      </c>
      <c r="D2248" s="33" t="s">
        <v>7192</v>
      </c>
      <c r="E2248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248" s="32" t="s">
        <v>235</v>
      </c>
      <c r="G2248" s="32" t="s">
        <v>5051</v>
      </c>
      <c r="H2248" s="139" t="s">
        <v>7193</v>
      </c>
      <c r="I2248" s="33" t="s">
        <v>3483</v>
      </c>
      <c r="J2248" s="143" t="s">
        <v>7183</v>
      </c>
      <c r="K2248" s="33" t="s">
        <v>169</v>
      </c>
      <c r="L2248" s="102" t="str">
        <f>VLOOKUP(Anexo_4[[#This Row],[cod_doc]],TIPODOC,2,FALSE)</f>
        <v>FACTURA</v>
      </c>
      <c r="M2248" s="33" t="s">
        <v>3485</v>
      </c>
      <c r="N2248" s="32" t="s">
        <v>7194</v>
      </c>
      <c r="O2248" s="48">
        <v>84.84</v>
      </c>
      <c r="P2248" s="49" t="s">
        <v>4341</v>
      </c>
      <c r="Q2248" s="81">
        <v>15.27</v>
      </c>
      <c r="R2248" s="80" t="s">
        <v>4341</v>
      </c>
      <c r="S2248" s="48" t="s">
        <v>4341</v>
      </c>
      <c r="T2248" s="72">
        <v>100.11</v>
      </c>
      <c r="U2248" s="70"/>
      <c r="V2248" s="32"/>
      <c r="W2248" s="70"/>
      <c r="X2248" s="70"/>
      <c r="Y2248" s="70" t="s">
        <v>7195</v>
      </c>
      <c r="Z2248" s="70"/>
      <c r="AA2248" s="71"/>
      <c r="AB2248" s="117" t="str">
        <f>IFERROR(VLOOKUP(Anexo_4[[#This Row],[cuenta]],OP,2,0),"-")</f>
        <v>-</v>
      </c>
    </row>
    <row r="2249" spans="1:28" ht="27" customHeight="1" x14ac:dyDescent="0.3">
      <c r="A2249" s="34" t="s">
        <v>7040</v>
      </c>
      <c r="B2249" s="36" t="str">
        <f t="shared" si="50"/>
        <v>Octubre</v>
      </c>
      <c r="C2249" s="33" t="s">
        <v>162</v>
      </c>
      <c r="D2249" s="33" t="s">
        <v>7196</v>
      </c>
      <c r="E2249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249" s="32" t="s">
        <v>175</v>
      </c>
      <c r="G2249" s="32" t="s">
        <v>5168</v>
      </c>
      <c r="H2249" s="139" t="s">
        <v>7197</v>
      </c>
      <c r="I2249" s="33" t="s">
        <v>7198</v>
      </c>
      <c r="J2249" s="143" t="s">
        <v>7199</v>
      </c>
      <c r="K2249" s="33" t="s">
        <v>169</v>
      </c>
      <c r="L2249" s="102" t="str">
        <f>VLOOKUP(Anexo_4[[#This Row],[cod_doc]],TIPODOC,2,FALSE)</f>
        <v>FACTURA</v>
      </c>
      <c r="M2249" s="33" t="s">
        <v>982</v>
      </c>
      <c r="N2249" s="32" t="s">
        <v>7200</v>
      </c>
      <c r="O2249" s="48">
        <v>10.17</v>
      </c>
      <c r="P2249" s="49" t="s">
        <v>4341</v>
      </c>
      <c r="Q2249" s="81">
        <v>1.83</v>
      </c>
      <c r="R2249" s="80" t="s">
        <v>4341</v>
      </c>
      <c r="S2249" s="48" t="s">
        <v>4341</v>
      </c>
      <c r="T2249" s="72">
        <v>12</v>
      </c>
      <c r="U2249" s="70"/>
      <c r="V2249" s="32"/>
      <c r="W2249" s="70"/>
      <c r="X2249" s="70"/>
      <c r="Y2249" s="70" t="s">
        <v>7201</v>
      </c>
      <c r="Z2249" s="70"/>
      <c r="AA2249" s="71"/>
      <c r="AB2249" s="117" t="str">
        <f>IFERROR(VLOOKUP(Anexo_4[[#This Row],[cuenta]],OP,2,0),"-")</f>
        <v>-</v>
      </c>
    </row>
    <row r="2250" spans="1:28" ht="27" customHeight="1" x14ac:dyDescent="0.3">
      <c r="A2250" s="34" t="s">
        <v>7040</v>
      </c>
      <c r="B2250" s="36" t="str">
        <f t="shared" si="50"/>
        <v>Octubre</v>
      </c>
      <c r="C2250" s="33" t="s">
        <v>162</v>
      </c>
      <c r="D2250" s="33" t="s">
        <v>7202</v>
      </c>
      <c r="E2250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250" s="32" t="s">
        <v>175</v>
      </c>
      <c r="G2250" s="32" t="s">
        <v>5168</v>
      </c>
      <c r="H2250" s="139" t="s">
        <v>7203</v>
      </c>
      <c r="I2250" s="33" t="s">
        <v>7204</v>
      </c>
      <c r="J2250" s="143" t="s">
        <v>7205</v>
      </c>
      <c r="K2250" s="33" t="s">
        <v>169</v>
      </c>
      <c r="L2250" s="102" t="str">
        <f>VLOOKUP(Anexo_4[[#This Row],[cod_doc]],TIPODOC,2,FALSE)</f>
        <v>FACTURA</v>
      </c>
      <c r="M2250" s="33" t="s">
        <v>102</v>
      </c>
      <c r="N2250" s="32" t="s">
        <v>7206</v>
      </c>
      <c r="O2250" s="48">
        <v>15.25</v>
      </c>
      <c r="P2250" s="49" t="s">
        <v>4341</v>
      </c>
      <c r="Q2250" s="81">
        <v>2.75</v>
      </c>
      <c r="R2250" s="80" t="s">
        <v>4341</v>
      </c>
      <c r="S2250" s="48" t="s">
        <v>4341</v>
      </c>
      <c r="T2250" s="72">
        <v>18</v>
      </c>
      <c r="U2250" s="70"/>
      <c r="V2250" s="32"/>
      <c r="W2250" s="70"/>
      <c r="X2250" s="70"/>
      <c r="Y2250" s="70" t="s">
        <v>7207</v>
      </c>
      <c r="Z2250" s="70"/>
      <c r="AA2250" s="71"/>
      <c r="AB2250" s="117" t="str">
        <f>IFERROR(VLOOKUP(Anexo_4[[#This Row],[cuenta]],OP,2,0),"-")</f>
        <v>-</v>
      </c>
    </row>
    <row r="2251" spans="1:28" ht="27" customHeight="1" x14ac:dyDescent="0.3">
      <c r="A2251" s="34" t="s">
        <v>7141</v>
      </c>
      <c r="B2251" s="36" t="str">
        <f t="shared" si="50"/>
        <v>Octubre</v>
      </c>
      <c r="C2251" s="33" t="s">
        <v>162</v>
      </c>
      <c r="D2251" s="33" t="s">
        <v>7208</v>
      </c>
      <c r="E2251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251" s="32" t="s">
        <v>235</v>
      </c>
      <c r="G2251" s="32" t="s">
        <v>5051</v>
      </c>
      <c r="H2251" s="139" t="s">
        <v>7209</v>
      </c>
      <c r="I2251" s="33" t="s">
        <v>178</v>
      </c>
      <c r="J2251" s="143" t="s">
        <v>4667</v>
      </c>
      <c r="K2251" s="33" t="s">
        <v>169</v>
      </c>
      <c r="L2251" s="102" t="str">
        <f>VLOOKUP(Anexo_4[[#This Row],[cod_doc]],TIPODOC,2,FALSE)</f>
        <v>FACTURA</v>
      </c>
      <c r="M2251" s="33" t="s">
        <v>180</v>
      </c>
      <c r="N2251" s="32" t="s">
        <v>7210</v>
      </c>
      <c r="O2251" s="48">
        <v>8.4700000000000006</v>
      </c>
      <c r="P2251" s="49" t="s">
        <v>4341</v>
      </c>
      <c r="Q2251" s="81">
        <v>1.53</v>
      </c>
      <c r="R2251" s="80" t="s">
        <v>4341</v>
      </c>
      <c r="S2251" s="48" t="s">
        <v>4341</v>
      </c>
      <c r="T2251" s="72">
        <v>10</v>
      </c>
      <c r="U2251" s="70"/>
      <c r="V2251" s="32"/>
      <c r="W2251" s="70"/>
      <c r="X2251" s="70"/>
      <c r="Y2251" s="70" t="s">
        <v>7211</v>
      </c>
      <c r="Z2251" s="70"/>
      <c r="AA2251" s="71"/>
      <c r="AB2251" s="117" t="str">
        <f>IFERROR(VLOOKUP(Anexo_4[[#This Row],[cuenta]],OP,2,0),"-")</f>
        <v>-</v>
      </c>
    </row>
    <row r="2252" spans="1:28" ht="27" customHeight="1" x14ac:dyDescent="0.3">
      <c r="A2252" s="34" t="s">
        <v>7141</v>
      </c>
      <c r="B2252" s="36" t="str">
        <f t="shared" si="50"/>
        <v>Octubre</v>
      </c>
      <c r="C2252" s="33" t="s">
        <v>162</v>
      </c>
      <c r="D2252" s="33" t="s">
        <v>7212</v>
      </c>
      <c r="E2252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252" s="32" t="s">
        <v>175</v>
      </c>
      <c r="G2252" s="32" t="s">
        <v>5168</v>
      </c>
      <c r="H2252" s="139" t="s">
        <v>7213</v>
      </c>
      <c r="I2252" s="33" t="s">
        <v>178</v>
      </c>
      <c r="J2252" s="143" t="s">
        <v>4667</v>
      </c>
      <c r="K2252" s="33" t="s">
        <v>169</v>
      </c>
      <c r="L2252" s="102" t="str">
        <f>VLOOKUP(Anexo_4[[#This Row],[cod_doc]],TIPODOC,2,FALSE)</f>
        <v>FACTURA</v>
      </c>
      <c r="M2252" s="33" t="s">
        <v>180</v>
      </c>
      <c r="N2252" s="32" t="s">
        <v>7214</v>
      </c>
      <c r="O2252" s="48">
        <v>8.4700000000000006</v>
      </c>
      <c r="P2252" s="49" t="s">
        <v>4341</v>
      </c>
      <c r="Q2252" s="81">
        <v>1.53</v>
      </c>
      <c r="R2252" s="80" t="s">
        <v>4341</v>
      </c>
      <c r="S2252" s="48" t="s">
        <v>4341</v>
      </c>
      <c r="T2252" s="72">
        <v>10</v>
      </c>
      <c r="U2252" s="70"/>
      <c r="V2252" s="32"/>
      <c r="W2252" s="70"/>
      <c r="X2252" s="70"/>
      <c r="Y2252" s="70" t="s">
        <v>7215</v>
      </c>
      <c r="Z2252" s="70"/>
      <c r="AA2252" s="71"/>
      <c r="AB2252" s="117" t="str">
        <f>IFERROR(VLOOKUP(Anexo_4[[#This Row],[cuenta]],OP,2,0),"-")</f>
        <v>-</v>
      </c>
    </row>
    <row r="2253" spans="1:28" ht="27" customHeight="1" x14ac:dyDescent="0.3">
      <c r="A2253" s="34" t="s">
        <v>7141</v>
      </c>
      <c r="B2253" s="36" t="str">
        <f t="shared" si="50"/>
        <v>Octubre</v>
      </c>
      <c r="C2253" s="33" t="s">
        <v>162</v>
      </c>
      <c r="D2253" s="33" t="s">
        <v>7216</v>
      </c>
      <c r="E2253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253" s="32" t="s">
        <v>175</v>
      </c>
      <c r="G2253" s="32" t="s">
        <v>5168</v>
      </c>
      <c r="H2253" s="139" t="s">
        <v>7217</v>
      </c>
      <c r="I2253" s="33" t="s">
        <v>264</v>
      </c>
      <c r="J2253" s="143" t="s">
        <v>4644</v>
      </c>
      <c r="K2253" s="33" t="s">
        <v>169</v>
      </c>
      <c r="L2253" s="102" t="str">
        <f>VLOOKUP(Anexo_4[[#This Row],[cod_doc]],TIPODOC,2,FALSE)</f>
        <v>FACTURA</v>
      </c>
      <c r="M2253" s="33" t="s">
        <v>352</v>
      </c>
      <c r="N2253" s="32" t="s">
        <v>7218</v>
      </c>
      <c r="O2253" s="48">
        <v>10.17</v>
      </c>
      <c r="P2253" s="49" t="s">
        <v>4341</v>
      </c>
      <c r="Q2253" s="81">
        <v>1.83</v>
      </c>
      <c r="R2253" s="80" t="s">
        <v>4341</v>
      </c>
      <c r="S2253" s="48" t="s">
        <v>4341</v>
      </c>
      <c r="T2253" s="72">
        <v>12</v>
      </c>
      <c r="U2253" s="70"/>
      <c r="V2253" s="32"/>
      <c r="W2253" s="70"/>
      <c r="X2253" s="70"/>
      <c r="Y2253" s="70" t="s">
        <v>7219</v>
      </c>
      <c r="Z2253" s="70"/>
      <c r="AA2253" s="71"/>
      <c r="AB2253" s="117" t="str">
        <f>IFERROR(VLOOKUP(Anexo_4[[#This Row],[cuenta]],OP,2,0),"-")</f>
        <v>-</v>
      </c>
    </row>
    <row r="2254" spans="1:28" ht="27" customHeight="1" x14ac:dyDescent="0.3">
      <c r="A2254" s="34" t="s">
        <v>7141</v>
      </c>
      <c r="B2254" s="36" t="str">
        <f t="shared" si="50"/>
        <v>Octubre</v>
      </c>
      <c r="C2254" s="33" t="s">
        <v>162</v>
      </c>
      <c r="D2254" s="33" t="s">
        <v>7220</v>
      </c>
      <c r="E2254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254" s="32" t="s">
        <v>175</v>
      </c>
      <c r="G2254" s="32" t="s">
        <v>5168</v>
      </c>
      <c r="H2254" s="139" t="s">
        <v>7221</v>
      </c>
      <c r="I2254" s="33" t="s">
        <v>264</v>
      </c>
      <c r="J2254" s="143" t="s">
        <v>4644</v>
      </c>
      <c r="K2254" s="33" t="s">
        <v>169</v>
      </c>
      <c r="L2254" s="102" t="str">
        <f>VLOOKUP(Anexo_4[[#This Row],[cod_doc]],TIPODOC,2,FALSE)</f>
        <v>FACTURA</v>
      </c>
      <c r="M2254" s="33" t="s">
        <v>406</v>
      </c>
      <c r="N2254" s="32" t="s">
        <v>7222</v>
      </c>
      <c r="O2254" s="48">
        <v>10.17</v>
      </c>
      <c r="P2254" s="49" t="s">
        <v>4341</v>
      </c>
      <c r="Q2254" s="81">
        <v>1.83</v>
      </c>
      <c r="R2254" s="80" t="s">
        <v>4341</v>
      </c>
      <c r="S2254" s="48" t="s">
        <v>4341</v>
      </c>
      <c r="T2254" s="72">
        <v>12</v>
      </c>
      <c r="U2254" s="70"/>
      <c r="V2254" s="32"/>
      <c r="W2254" s="70"/>
      <c r="X2254" s="70"/>
      <c r="Y2254" s="70" t="s">
        <v>7223</v>
      </c>
      <c r="Z2254" s="70"/>
      <c r="AA2254" s="71"/>
      <c r="AB2254" s="117" t="str">
        <f>IFERROR(VLOOKUP(Anexo_4[[#This Row],[cuenta]],OP,2,0),"-")</f>
        <v>-</v>
      </c>
    </row>
    <row r="2255" spans="1:28" ht="27" customHeight="1" x14ac:dyDescent="0.3">
      <c r="A2255" s="34" t="s">
        <v>7152</v>
      </c>
      <c r="B2255" s="36" t="str">
        <f t="shared" si="50"/>
        <v>Octubre</v>
      </c>
      <c r="C2255" s="33" t="s">
        <v>162</v>
      </c>
      <c r="D2255" s="33" t="s">
        <v>7224</v>
      </c>
      <c r="E2255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255" s="32" t="s">
        <v>235</v>
      </c>
      <c r="G2255" s="32" t="s">
        <v>5051</v>
      </c>
      <c r="H2255" s="139" t="s">
        <v>7225</v>
      </c>
      <c r="I2255" s="33" t="s">
        <v>264</v>
      </c>
      <c r="J2255" s="143" t="s">
        <v>4644</v>
      </c>
      <c r="K2255" s="33" t="s">
        <v>169</v>
      </c>
      <c r="L2255" s="102" t="str">
        <f>VLOOKUP(Anexo_4[[#This Row],[cod_doc]],TIPODOC,2,FALSE)</f>
        <v>FACTURA</v>
      </c>
      <c r="M2255" s="33" t="s">
        <v>266</v>
      </c>
      <c r="N2255" s="32" t="s">
        <v>7226</v>
      </c>
      <c r="O2255" s="48">
        <v>6.78</v>
      </c>
      <c r="P2255" s="49" t="s">
        <v>4341</v>
      </c>
      <c r="Q2255" s="81">
        <v>1.22</v>
      </c>
      <c r="R2255" s="80" t="s">
        <v>4341</v>
      </c>
      <c r="S2255" s="48" t="s">
        <v>4341</v>
      </c>
      <c r="T2255" s="72">
        <v>8</v>
      </c>
      <c r="U2255" s="70"/>
      <c r="V2255" s="32"/>
      <c r="W2255" s="70"/>
      <c r="X2255" s="70"/>
      <c r="Y2255" s="70" t="s">
        <v>7227</v>
      </c>
      <c r="Z2255" s="70"/>
      <c r="AA2255" s="71"/>
      <c r="AB2255" s="117" t="str">
        <f>IFERROR(VLOOKUP(Anexo_4[[#This Row],[cuenta]],OP,2,0),"-")</f>
        <v>-</v>
      </c>
    </row>
    <row r="2256" spans="1:28" ht="27" customHeight="1" x14ac:dyDescent="0.3">
      <c r="A2256" s="34" t="s">
        <v>7152</v>
      </c>
      <c r="B2256" s="36" t="str">
        <f t="shared" si="50"/>
        <v>Octubre</v>
      </c>
      <c r="C2256" s="33" t="s">
        <v>162</v>
      </c>
      <c r="D2256" s="33" t="s">
        <v>7228</v>
      </c>
      <c r="E2256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256" s="32" t="s">
        <v>235</v>
      </c>
      <c r="G2256" s="32" t="s">
        <v>5051</v>
      </c>
      <c r="H2256" s="139" t="s">
        <v>7229</v>
      </c>
      <c r="I2256" s="33" t="s">
        <v>264</v>
      </c>
      <c r="J2256" s="143" t="s">
        <v>4644</v>
      </c>
      <c r="K2256" s="33" t="s">
        <v>169</v>
      </c>
      <c r="L2256" s="102" t="str">
        <f>VLOOKUP(Anexo_4[[#This Row],[cod_doc]],TIPODOC,2,FALSE)</f>
        <v>FACTURA</v>
      </c>
      <c r="M2256" s="33" t="s">
        <v>519</v>
      </c>
      <c r="N2256" s="32" t="s">
        <v>7230</v>
      </c>
      <c r="O2256" s="48">
        <v>6.78</v>
      </c>
      <c r="P2256" s="49" t="s">
        <v>4341</v>
      </c>
      <c r="Q2256" s="81">
        <v>1.22</v>
      </c>
      <c r="R2256" s="80" t="s">
        <v>4341</v>
      </c>
      <c r="S2256" s="48" t="s">
        <v>4341</v>
      </c>
      <c r="T2256" s="72">
        <v>8</v>
      </c>
      <c r="U2256" s="70"/>
      <c r="V2256" s="32"/>
      <c r="W2256" s="70"/>
      <c r="X2256" s="70"/>
      <c r="Y2256" s="70" t="s">
        <v>7231</v>
      </c>
      <c r="Z2256" s="70"/>
      <c r="AA2256" s="71"/>
      <c r="AB2256" s="117" t="str">
        <f>IFERROR(VLOOKUP(Anexo_4[[#This Row],[cuenta]],OP,2,0),"-")</f>
        <v>-</v>
      </c>
    </row>
    <row r="2257" spans="1:28" ht="27" customHeight="1" x14ac:dyDescent="0.3">
      <c r="A2257" s="34" t="s">
        <v>7152</v>
      </c>
      <c r="B2257" s="36" t="str">
        <f t="shared" si="50"/>
        <v>Octubre</v>
      </c>
      <c r="C2257" s="33" t="s">
        <v>162</v>
      </c>
      <c r="D2257" s="33" t="s">
        <v>7232</v>
      </c>
      <c r="E2257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257" s="32" t="s">
        <v>235</v>
      </c>
      <c r="G2257" s="32" t="s">
        <v>5051</v>
      </c>
      <c r="H2257" s="139" t="s">
        <v>7233</v>
      </c>
      <c r="I2257" s="33" t="s">
        <v>264</v>
      </c>
      <c r="J2257" s="143" t="s">
        <v>4644</v>
      </c>
      <c r="K2257" s="33" t="s">
        <v>169</v>
      </c>
      <c r="L2257" s="102" t="str">
        <f>VLOOKUP(Anexo_4[[#This Row],[cod_doc]],TIPODOC,2,FALSE)</f>
        <v>FACTURA</v>
      </c>
      <c r="M2257" s="33" t="s">
        <v>352</v>
      </c>
      <c r="N2257" s="32" t="s">
        <v>7234</v>
      </c>
      <c r="O2257" s="48">
        <v>6.78</v>
      </c>
      <c r="P2257" s="49" t="s">
        <v>4341</v>
      </c>
      <c r="Q2257" s="81">
        <v>1.22</v>
      </c>
      <c r="R2257" s="80" t="s">
        <v>4341</v>
      </c>
      <c r="S2257" s="48" t="s">
        <v>4341</v>
      </c>
      <c r="T2257" s="72">
        <v>8</v>
      </c>
      <c r="U2257" s="70"/>
      <c r="V2257" s="32"/>
      <c r="W2257" s="70"/>
      <c r="X2257" s="70"/>
      <c r="Y2257" s="70" t="s">
        <v>7235</v>
      </c>
      <c r="Z2257" s="70"/>
      <c r="AA2257" s="71"/>
      <c r="AB2257" s="117" t="str">
        <f>IFERROR(VLOOKUP(Anexo_4[[#This Row],[cuenta]],OP,2,0),"-")</f>
        <v>-</v>
      </c>
    </row>
    <row r="2258" spans="1:28" ht="27" customHeight="1" x14ac:dyDescent="0.3">
      <c r="A2258" s="34" t="s">
        <v>7152</v>
      </c>
      <c r="B2258" s="36" t="str">
        <f t="shared" si="50"/>
        <v>Octubre</v>
      </c>
      <c r="C2258" s="33" t="s">
        <v>162</v>
      </c>
      <c r="D2258" s="33" t="s">
        <v>7236</v>
      </c>
      <c r="E2258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258" s="32" t="s">
        <v>235</v>
      </c>
      <c r="G2258" s="32" t="s">
        <v>5051</v>
      </c>
      <c r="H2258" s="139" t="s">
        <v>7237</v>
      </c>
      <c r="I2258" s="33" t="s">
        <v>383</v>
      </c>
      <c r="J2258" s="143" t="s">
        <v>4702</v>
      </c>
      <c r="K2258" s="33" t="s">
        <v>169</v>
      </c>
      <c r="L2258" s="102" t="str">
        <f>VLOOKUP(Anexo_4[[#This Row],[cod_doc]],TIPODOC,2,FALSE)</f>
        <v>FACTURA</v>
      </c>
      <c r="M2258" s="33" t="s">
        <v>103</v>
      </c>
      <c r="N2258" s="32" t="s">
        <v>7238</v>
      </c>
      <c r="O2258" s="48">
        <v>16.95</v>
      </c>
      <c r="P2258" s="49" t="s">
        <v>4341</v>
      </c>
      <c r="Q2258" s="81">
        <v>3.05</v>
      </c>
      <c r="R2258" s="80" t="s">
        <v>4341</v>
      </c>
      <c r="S2258" s="48" t="s">
        <v>4341</v>
      </c>
      <c r="T2258" s="72">
        <v>20</v>
      </c>
      <c r="U2258" s="70"/>
      <c r="V2258" s="32"/>
      <c r="W2258" s="70"/>
      <c r="X2258" s="70"/>
      <c r="Y2258" s="70" t="s">
        <v>7239</v>
      </c>
      <c r="Z2258" s="70"/>
      <c r="AA2258" s="71"/>
      <c r="AB2258" s="117" t="str">
        <f>IFERROR(VLOOKUP(Anexo_4[[#This Row],[cuenta]],OP,2,0),"-")</f>
        <v>-</v>
      </c>
    </row>
    <row r="2259" spans="1:28" ht="27" customHeight="1" x14ac:dyDescent="0.3">
      <c r="A2259" s="34" t="s">
        <v>7240</v>
      </c>
      <c r="B2259" s="36" t="str">
        <f t="shared" si="50"/>
        <v>Octubre</v>
      </c>
      <c r="C2259" s="33" t="s">
        <v>162</v>
      </c>
      <c r="D2259" s="33" t="s">
        <v>7241</v>
      </c>
      <c r="E2259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259" s="32" t="s">
        <v>650</v>
      </c>
      <c r="G2259" s="32" t="s">
        <v>651</v>
      </c>
      <c r="H2259" s="139" t="s">
        <v>7242</v>
      </c>
      <c r="I2259" s="33" t="s">
        <v>653</v>
      </c>
      <c r="J2259" s="143" t="s">
        <v>4678</v>
      </c>
      <c r="K2259" s="33" t="s">
        <v>169</v>
      </c>
      <c r="L2259" s="102" t="str">
        <f>VLOOKUP(Anexo_4[[#This Row],[cod_doc]],TIPODOC,2,FALSE)</f>
        <v>FACTURA</v>
      </c>
      <c r="M2259" s="33" t="s">
        <v>655</v>
      </c>
      <c r="N2259" s="32" t="s">
        <v>7243</v>
      </c>
      <c r="O2259" s="48">
        <v>403</v>
      </c>
      <c r="P2259" s="49" t="s">
        <v>4341</v>
      </c>
      <c r="Q2259" s="81">
        <v>72.540000000000006</v>
      </c>
      <c r="R2259" s="80" t="s">
        <v>4341</v>
      </c>
      <c r="S2259" s="48" t="s">
        <v>4341</v>
      </c>
      <c r="T2259" s="72">
        <v>475.54</v>
      </c>
      <c r="U2259" s="70"/>
      <c r="V2259" s="32"/>
      <c r="W2259" s="70"/>
      <c r="X2259" s="70"/>
      <c r="Y2259" s="70"/>
      <c r="Z2259" s="70"/>
      <c r="AA2259" s="71"/>
      <c r="AB2259" s="117" t="str">
        <f>IFERROR(VLOOKUP(Anexo_4[[#This Row],[cuenta]],OP,2,0),"-")</f>
        <v>-</v>
      </c>
    </row>
    <row r="2260" spans="1:28" ht="27" customHeight="1" x14ac:dyDescent="0.3">
      <c r="A2260" s="34" t="s">
        <v>7159</v>
      </c>
      <c r="B2260" s="36" t="str">
        <f t="shared" si="50"/>
        <v>Octubre</v>
      </c>
      <c r="C2260" s="33" t="s">
        <v>162</v>
      </c>
      <c r="D2260" s="33" t="s">
        <v>7244</v>
      </c>
      <c r="E2260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260" s="32" t="s">
        <v>650</v>
      </c>
      <c r="G2260" s="32" t="s">
        <v>651</v>
      </c>
      <c r="H2260" s="139" t="s">
        <v>7245</v>
      </c>
      <c r="I2260" s="33" t="s">
        <v>653</v>
      </c>
      <c r="J2260" s="143" t="s">
        <v>4678</v>
      </c>
      <c r="K2260" s="33" t="s">
        <v>169</v>
      </c>
      <c r="L2260" s="102" t="str">
        <f>VLOOKUP(Anexo_4[[#This Row],[cod_doc]],TIPODOC,2,FALSE)</f>
        <v>FACTURA</v>
      </c>
      <c r="M2260" s="33" t="s">
        <v>655</v>
      </c>
      <c r="N2260" s="32" t="s">
        <v>7246</v>
      </c>
      <c r="O2260" s="48">
        <v>184</v>
      </c>
      <c r="P2260" s="49" t="s">
        <v>4341</v>
      </c>
      <c r="Q2260" s="81">
        <v>33.119999999999997</v>
      </c>
      <c r="R2260" s="80" t="s">
        <v>4341</v>
      </c>
      <c r="S2260" s="48" t="s">
        <v>4341</v>
      </c>
      <c r="T2260" s="72">
        <v>217.12</v>
      </c>
      <c r="U2260" s="70"/>
      <c r="V2260" s="32"/>
      <c r="W2260" s="70"/>
      <c r="X2260" s="70"/>
      <c r="Y2260" s="70"/>
      <c r="Z2260" s="70"/>
      <c r="AA2260" s="71"/>
      <c r="AB2260" s="117" t="str">
        <f>IFERROR(VLOOKUP(Anexo_4[[#This Row],[cuenta]],OP,2,0),"-")</f>
        <v>-</v>
      </c>
    </row>
    <row r="2261" spans="1:28" ht="27" customHeight="1" x14ac:dyDescent="0.3">
      <c r="A2261" s="34" t="s">
        <v>7152</v>
      </c>
      <c r="B2261" s="36" t="str">
        <f t="shared" si="50"/>
        <v>Octubre</v>
      </c>
      <c r="C2261" s="33" t="s">
        <v>162</v>
      </c>
      <c r="D2261" s="33" t="s">
        <v>7247</v>
      </c>
      <c r="E2261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261" s="32" t="s">
        <v>1366</v>
      </c>
      <c r="G2261" s="32" t="s">
        <v>1367</v>
      </c>
      <c r="H2261" s="139" t="s">
        <v>7248</v>
      </c>
      <c r="I2261" s="33" t="s">
        <v>4858</v>
      </c>
      <c r="J2261" s="143" t="s">
        <v>5282</v>
      </c>
      <c r="K2261" s="33" t="s">
        <v>239</v>
      </c>
      <c r="L2261" s="102" t="str">
        <f>VLOOKUP(Anexo_4[[#This Row],[cod_doc]],TIPODOC,2,FALSE)</f>
        <v>BOLETA DE VENTA</v>
      </c>
      <c r="M2261" s="33" t="s">
        <v>5938</v>
      </c>
      <c r="N2261" s="32" t="s">
        <v>7249</v>
      </c>
      <c r="O2261" s="48" t="s">
        <v>4341</v>
      </c>
      <c r="P2261" s="49" t="s">
        <v>4341</v>
      </c>
      <c r="Q2261" s="81" t="s">
        <v>4341</v>
      </c>
      <c r="R2261" s="80" t="s">
        <v>4341</v>
      </c>
      <c r="S2261" s="48">
        <v>105</v>
      </c>
      <c r="T2261" s="72">
        <v>105</v>
      </c>
      <c r="U2261" s="70"/>
      <c r="V2261" s="32"/>
      <c r="W2261" s="70"/>
      <c r="X2261" s="70"/>
      <c r="Y2261" s="70"/>
      <c r="Z2261" s="70"/>
      <c r="AA2261" s="71"/>
      <c r="AB2261" s="117" t="str">
        <f>IFERROR(VLOOKUP(Anexo_4[[#This Row],[cuenta]],OP,2,0),"-")</f>
        <v>-</v>
      </c>
    </row>
    <row r="2262" spans="1:28" ht="27" customHeight="1" x14ac:dyDescent="0.3">
      <c r="A2262" s="34" t="s">
        <v>7240</v>
      </c>
      <c r="B2262" s="36" t="str">
        <f t="shared" si="50"/>
        <v>Octubre</v>
      </c>
      <c r="C2262" s="33" t="s">
        <v>162</v>
      </c>
      <c r="D2262" s="33" t="s">
        <v>7250</v>
      </c>
      <c r="E2262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262" s="32" t="s">
        <v>248</v>
      </c>
      <c r="G2262" s="32" t="s">
        <v>249</v>
      </c>
      <c r="H2262" s="139" t="s">
        <v>7251</v>
      </c>
      <c r="I2262" s="33" t="s">
        <v>980</v>
      </c>
      <c r="J2262" s="143" t="s">
        <v>5083</v>
      </c>
      <c r="K2262" s="33" t="s">
        <v>169</v>
      </c>
      <c r="L2262" s="102" t="str">
        <f>VLOOKUP(Anexo_4[[#This Row],[cod_doc]],TIPODOC,2,FALSE)</f>
        <v>FACTURA</v>
      </c>
      <c r="M2262" s="33" t="s">
        <v>982</v>
      </c>
      <c r="N2262" s="32" t="s">
        <v>7252</v>
      </c>
      <c r="O2262" s="48">
        <v>549.49</v>
      </c>
      <c r="P2262" s="49" t="s">
        <v>4341</v>
      </c>
      <c r="Q2262" s="81">
        <v>98.91</v>
      </c>
      <c r="R2262" s="80" t="s">
        <v>4341</v>
      </c>
      <c r="S2262" s="48" t="s">
        <v>4341</v>
      </c>
      <c r="T2262" s="72">
        <v>648.4</v>
      </c>
      <c r="U2262" s="70" t="s">
        <v>7253</v>
      </c>
      <c r="V2262" s="32" t="s">
        <v>7134</v>
      </c>
      <c r="W2262" s="70"/>
      <c r="X2262" s="70"/>
      <c r="Y2262" s="70" t="s">
        <v>7254</v>
      </c>
      <c r="Z2262" s="70"/>
      <c r="AA2262" s="71"/>
      <c r="AB2262" s="117" t="str">
        <f>IFERROR(VLOOKUP(Anexo_4[[#This Row],[cuenta]],OP,2,0),"-")</f>
        <v>-</v>
      </c>
    </row>
    <row r="2263" spans="1:28" ht="27" customHeight="1" x14ac:dyDescent="0.3">
      <c r="A2263" s="34" t="s">
        <v>7240</v>
      </c>
      <c r="B2263" s="36" t="str">
        <f t="shared" si="50"/>
        <v>Octubre</v>
      </c>
      <c r="C2263" s="33" t="s">
        <v>162</v>
      </c>
      <c r="D2263" s="33" t="s">
        <v>7255</v>
      </c>
      <c r="E2263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263" s="32" t="s">
        <v>248</v>
      </c>
      <c r="G2263" s="32" t="s">
        <v>249</v>
      </c>
      <c r="H2263" s="139" t="s">
        <v>7256</v>
      </c>
      <c r="I2263" s="33" t="s">
        <v>980</v>
      </c>
      <c r="J2263" s="143" t="s">
        <v>5083</v>
      </c>
      <c r="K2263" s="33" t="s">
        <v>169</v>
      </c>
      <c r="L2263" s="102" t="str">
        <f>VLOOKUP(Anexo_4[[#This Row],[cod_doc]],TIPODOC,2,FALSE)</f>
        <v>FACTURA</v>
      </c>
      <c r="M2263" s="33" t="s">
        <v>982</v>
      </c>
      <c r="N2263" s="32" t="s">
        <v>7257</v>
      </c>
      <c r="O2263" s="48">
        <v>824.66</v>
      </c>
      <c r="P2263" s="49" t="s">
        <v>4341</v>
      </c>
      <c r="Q2263" s="81">
        <v>148.44</v>
      </c>
      <c r="R2263" s="80" t="s">
        <v>4341</v>
      </c>
      <c r="S2263" s="48" t="s">
        <v>4341</v>
      </c>
      <c r="T2263" s="72">
        <v>973.1</v>
      </c>
      <c r="U2263" s="70" t="s">
        <v>7258</v>
      </c>
      <c r="V2263" s="32" t="s">
        <v>7134</v>
      </c>
      <c r="W2263" s="70"/>
      <c r="X2263" s="70"/>
      <c r="Y2263" s="70" t="s">
        <v>7259</v>
      </c>
      <c r="Z2263" s="70"/>
      <c r="AA2263" s="71"/>
      <c r="AB2263" s="117" t="str">
        <f>IFERROR(VLOOKUP(Anexo_4[[#This Row],[cuenta]],OP,2,0),"-")</f>
        <v>-</v>
      </c>
    </row>
    <row r="2264" spans="1:28" ht="27" customHeight="1" x14ac:dyDescent="0.3">
      <c r="A2264" s="34" t="s">
        <v>7159</v>
      </c>
      <c r="B2264" s="36" t="str">
        <f t="shared" si="50"/>
        <v>Octubre</v>
      </c>
      <c r="C2264" s="33" t="s">
        <v>162</v>
      </c>
      <c r="D2264" s="33" t="s">
        <v>7260</v>
      </c>
      <c r="E2264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264" s="32" t="s">
        <v>248</v>
      </c>
      <c r="G2264" s="32" t="s">
        <v>249</v>
      </c>
      <c r="H2264" s="139" t="s">
        <v>7261</v>
      </c>
      <c r="I2264" s="33" t="s">
        <v>980</v>
      </c>
      <c r="J2264" s="143" t="s">
        <v>5083</v>
      </c>
      <c r="K2264" s="33" t="s">
        <v>169</v>
      </c>
      <c r="L2264" s="102" t="str">
        <f>VLOOKUP(Anexo_4[[#This Row],[cod_doc]],TIPODOC,2,FALSE)</f>
        <v>FACTURA</v>
      </c>
      <c r="M2264" s="33" t="s">
        <v>982</v>
      </c>
      <c r="N2264" s="32" t="s">
        <v>7262</v>
      </c>
      <c r="O2264" s="48">
        <v>540.67999999999995</v>
      </c>
      <c r="P2264" s="49" t="s">
        <v>4341</v>
      </c>
      <c r="Q2264" s="81">
        <v>97.32</v>
      </c>
      <c r="R2264" s="80" t="s">
        <v>4341</v>
      </c>
      <c r="S2264" s="48" t="s">
        <v>4341</v>
      </c>
      <c r="T2264" s="72">
        <v>638</v>
      </c>
      <c r="U2264" s="70" t="s">
        <v>7263</v>
      </c>
      <c r="V2264" s="32" t="s">
        <v>7134</v>
      </c>
      <c r="W2264" s="70"/>
      <c r="X2264" s="70"/>
      <c r="Y2264" s="70" t="s">
        <v>7057</v>
      </c>
      <c r="Z2264" s="70"/>
      <c r="AA2264" s="71"/>
      <c r="AB2264" s="117" t="str">
        <f>IFERROR(VLOOKUP(Anexo_4[[#This Row],[cuenta]],OP,2,0),"-")</f>
        <v>-</v>
      </c>
    </row>
    <row r="2265" spans="1:28" ht="27" customHeight="1" x14ac:dyDescent="0.3">
      <c r="A2265" s="34" t="s">
        <v>7040</v>
      </c>
      <c r="B2265" s="36" t="str">
        <f t="shared" si="50"/>
        <v>Octubre</v>
      </c>
      <c r="C2265" s="33" t="s">
        <v>162</v>
      </c>
      <c r="D2265" s="33" t="s">
        <v>7264</v>
      </c>
      <c r="E2265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265" s="32" t="s">
        <v>235</v>
      </c>
      <c r="G2265" s="32" t="s">
        <v>5051</v>
      </c>
      <c r="H2265" s="139" t="s">
        <v>7265</v>
      </c>
      <c r="I2265" s="33" t="s">
        <v>1604</v>
      </c>
      <c r="J2265" s="143" t="s">
        <v>7266</v>
      </c>
      <c r="K2265" s="33" t="s">
        <v>169</v>
      </c>
      <c r="L2265" s="102" t="str">
        <f>VLOOKUP(Anexo_4[[#This Row],[cod_doc]],TIPODOC,2,FALSE)</f>
        <v>FACTURA</v>
      </c>
      <c r="M2265" s="33" t="s">
        <v>7267</v>
      </c>
      <c r="N2265" s="32" t="s">
        <v>7268</v>
      </c>
      <c r="O2265" s="48">
        <v>278.08</v>
      </c>
      <c r="P2265" s="49" t="s">
        <v>4341</v>
      </c>
      <c r="Q2265" s="81">
        <v>50.05</v>
      </c>
      <c r="R2265" s="80" t="s">
        <v>4341</v>
      </c>
      <c r="S2265" s="48" t="s">
        <v>4341</v>
      </c>
      <c r="T2265" s="72">
        <v>328.13</v>
      </c>
      <c r="U2265" s="70"/>
      <c r="V2265" s="32"/>
      <c r="W2265" s="70"/>
      <c r="X2265" s="70"/>
      <c r="Y2265" s="70"/>
      <c r="Z2265" s="70"/>
      <c r="AA2265" s="71"/>
      <c r="AB2265" s="117" t="str">
        <f>IFERROR(VLOOKUP(Anexo_4[[#This Row],[cuenta]],OP,2,0),"-")</f>
        <v>-</v>
      </c>
    </row>
    <row r="2266" spans="1:28" ht="27" customHeight="1" x14ac:dyDescent="0.3">
      <c r="A2266" s="34" t="s">
        <v>7141</v>
      </c>
      <c r="B2266" s="36" t="str">
        <f t="shared" si="50"/>
        <v>Octubre</v>
      </c>
      <c r="C2266" s="33" t="s">
        <v>162</v>
      </c>
      <c r="D2266" s="33" t="s">
        <v>7269</v>
      </c>
      <c r="E2266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266" s="32" t="s">
        <v>235</v>
      </c>
      <c r="G2266" s="32" t="s">
        <v>5051</v>
      </c>
      <c r="H2266" s="139" t="s">
        <v>1276</v>
      </c>
      <c r="I2266" s="33" t="s">
        <v>264</v>
      </c>
      <c r="J2266" s="143" t="s">
        <v>4644</v>
      </c>
      <c r="K2266" s="33" t="s">
        <v>169</v>
      </c>
      <c r="L2266" s="102" t="str">
        <f>VLOOKUP(Anexo_4[[#This Row],[cod_doc]],TIPODOC,2,FALSE)</f>
        <v>FACTURA</v>
      </c>
      <c r="M2266" s="33" t="s">
        <v>379</v>
      </c>
      <c r="N2266" s="32" t="s">
        <v>7270</v>
      </c>
      <c r="O2266" s="48">
        <v>6.78</v>
      </c>
      <c r="P2266" s="49" t="s">
        <v>4341</v>
      </c>
      <c r="Q2266" s="81">
        <v>1.22</v>
      </c>
      <c r="R2266" s="80" t="s">
        <v>4341</v>
      </c>
      <c r="S2266" s="48" t="s">
        <v>4341</v>
      </c>
      <c r="T2266" s="72">
        <v>8</v>
      </c>
      <c r="U2266" s="70"/>
      <c r="V2266" s="32"/>
      <c r="W2266" s="70"/>
      <c r="X2266" s="70"/>
      <c r="Y2266" s="70"/>
      <c r="Z2266" s="70"/>
      <c r="AA2266" s="71"/>
      <c r="AB2266" s="117" t="str">
        <f>IFERROR(VLOOKUP(Anexo_4[[#This Row],[cuenta]],OP,2,0),"-")</f>
        <v>-</v>
      </c>
    </row>
    <row r="2267" spans="1:28" ht="27" customHeight="1" x14ac:dyDescent="0.3">
      <c r="A2267" s="34" t="s">
        <v>7141</v>
      </c>
      <c r="B2267" s="36" t="str">
        <f t="shared" si="50"/>
        <v>Octubre</v>
      </c>
      <c r="C2267" s="33" t="s">
        <v>162</v>
      </c>
      <c r="D2267" s="33" t="s">
        <v>7271</v>
      </c>
      <c r="E2267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267" s="32" t="s">
        <v>235</v>
      </c>
      <c r="G2267" s="32" t="s">
        <v>5051</v>
      </c>
      <c r="H2267" s="139" t="s">
        <v>1276</v>
      </c>
      <c r="I2267" s="33" t="s">
        <v>264</v>
      </c>
      <c r="J2267" s="143" t="s">
        <v>4644</v>
      </c>
      <c r="K2267" s="33" t="s">
        <v>169</v>
      </c>
      <c r="L2267" s="102" t="str">
        <f>VLOOKUP(Anexo_4[[#This Row],[cod_doc]],TIPODOC,2,FALSE)</f>
        <v>FACTURA</v>
      </c>
      <c r="M2267" s="33" t="s">
        <v>271</v>
      </c>
      <c r="N2267" s="32" t="s">
        <v>7272</v>
      </c>
      <c r="O2267" s="48">
        <v>6.78</v>
      </c>
      <c r="P2267" s="49" t="s">
        <v>4341</v>
      </c>
      <c r="Q2267" s="81">
        <v>1.22</v>
      </c>
      <c r="R2267" s="80" t="s">
        <v>4341</v>
      </c>
      <c r="S2267" s="48" t="s">
        <v>4341</v>
      </c>
      <c r="T2267" s="72">
        <v>8</v>
      </c>
      <c r="U2267" s="70"/>
      <c r="V2267" s="32"/>
      <c r="W2267" s="70"/>
      <c r="X2267" s="70"/>
      <c r="Y2267" s="70"/>
      <c r="Z2267" s="70"/>
      <c r="AA2267" s="71"/>
      <c r="AB2267" s="117" t="str">
        <f>IFERROR(VLOOKUP(Anexo_4[[#This Row],[cuenta]],OP,2,0),"-")</f>
        <v>-</v>
      </c>
    </row>
    <row r="2268" spans="1:28" ht="27" customHeight="1" x14ac:dyDescent="0.3">
      <c r="A2268" s="34" t="s">
        <v>7159</v>
      </c>
      <c r="B2268" s="36" t="str">
        <f t="shared" si="50"/>
        <v>Octubre</v>
      </c>
      <c r="C2268" s="33" t="s">
        <v>162</v>
      </c>
      <c r="D2268" s="33" t="s">
        <v>7273</v>
      </c>
      <c r="E2268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268" s="32" t="s">
        <v>1366</v>
      </c>
      <c r="G2268" s="32" t="s">
        <v>1367</v>
      </c>
      <c r="H2268" s="139" t="s">
        <v>7274</v>
      </c>
      <c r="I2268" s="33" t="s">
        <v>4354</v>
      </c>
      <c r="J2268" s="143" t="s">
        <v>7162</v>
      </c>
      <c r="K2268" s="33" t="s">
        <v>169</v>
      </c>
      <c r="L2268" s="102" t="str">
        <f>VLOOKUP(Anexo_4[[#This Row],[cod_doc]],TIPODOC,2,FALSE)</f>
        <v>FACTURA</v>
      </c>
      <c r="M2268" s="33" t="s">
        <v>180</v>
      </c>
      <c r="N2268" s="32" t="s">
        <v>7275</v>
      </c>
      <c r="O2268" s="48">
        <v>91.1</v>
      </c>
      <c r="P2268" s="49" t="s">
        <v>4341</v>
      </c>
      <c r="Q2268" s="81">
        <v>16.399999999999999</v>
      </c>
      <c r="R2268" s="80" t="s">
        <v>4341</v>
      </c>
      <c r="S2268" s="48" t="s">
        <v>4341</v>
      </c>
      <c r="T2268" s="72">
        <v>107.5</v>
      </c>
      <c r="U2268" s="70"/>
      <c r="V2268" s="32"/>
      <c r="W2268" s="70"/>
      <c r="X2268" s="70"/>
      <c r="Y2268" s="70"/>
      <c r="Z2268" s="70"/>
      <c r="AA2268" s="71"/>
      <c r="AB2268" s="117" t="str">
        <f>IFERROR(VLOOKUP(Anexo_4[[#This Row],[cuenta]],OP,2,0),"-")</f>
        <v>-</v>
      </c>
    </row>
    <row r="2269" spans="1:28" ht="27" customHeight="1" x14ac:dyDescent="0.3">
      <c r="A2269" s="34" t="s">
        <v>7276</v>
      </c>
      <c r="B2269" s="36" t="str">
        <f t="shared" si="50"/>
        <v>Octubre</v>
      </c>
      <c r="C2269" s="33" t="s">
        <v>162</v>
      </c>
      <c r="D2269" s="33" t="s">
        <v>7277</v>
      </c>
      <c r="E2269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269" s="32" t="s">
        <v>248</v>
      </c>
      <c r="G2269" s="32" t="s">
        <v>249</v>
      </c>
      <c r="H2269" s="139" t="s">
        <v>7278</v>
      </c>
      <c r="I2269" s="33" t="s">
        <v>536</v>
      </c>
      <c r="J2269" s="143" t="s">
        <v>4997</v>
      </c>
      <c r="K2269" s="33" t="s">
        <v>169</v>
      </c>
      <c r="L2269" s="102" t="str">
        <f>VLOOKUP(Anexo_4[[#This Row],[cod_doc]],TIPODOC,2,FALSE)</f>
        <v>FACTURA</v>
      </c>
      <c r="M2269" s="33" t="s">
        <v>538</v>
      </c>
      <c r="N2269" s="32" t="s">
        <v>7279</v>
      </c>
      <c r="O2269" s="48">
        <v>1404</v>
      </c>
      <c r="P2269" s="49" t="s">
        <v>4341</v>
      </c>
      <c r="Q2269" s="81">
        <v>252.72</v>
      </c>
      <c r="R2269" s="80" t="s">
        <v>4341</v>
      </c>
      <c r="S2269" s="48" t="s">
        <v>4341</v>
      </c>
      <c r="T2269" s="72">
        <v>1656.72</v>
      </c>
      <c r="U2269" s="70" t="s">
        <v>7280</v>
      </c>
      <c r="V2269" s="32" t="s">
        <v>6887</v>
      </c>
      <c r="W2269" s="70"/>
      <c r="X2269" s="70"/>
      <c r="Y2269" s="70" t="s">
        <v>7281</v>
      </c>
      <c r="Z2269" s="70"/>
      <c r="AA2269" s="71"/>
      <c r="AB2269" s="117" t="str">
        <f>IFERROR(VLOOKUP(Anexo_4[[#This Row],[cuenta]],OP,2,0),"-")</f>
        <v>-</v>
      </c>
    </row>
    <row r="2270" spans="1:28" ht="27" customHeight="1" x14ac:dyDescent="0.3">
      <c r="A2270" s="34" t="s">
        <v>7276</v>
      </c>
      <c r="B2270" s="36" t="str">
        <f t="shared" si="50"/>
        <v>Octubre</v>
      </c>
      <c r="C2270" s="33" t="s">
        <v>162</v>
      </c>
      <c r="D2270" s="33" t="s">
        <v>7282</v>
      </c>
      <c r="E2270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270" s="32" t="s">
        <v>248</v>
      </c>
      <c r="G2270" s="32" t="s">
        <v>249</v>
      </c>
      <c r="H2270" s="139" t="s">
        <v>7283</v>
      </c>
      <c r="I2270" s="33" t="s">
        <v>536</v>
      </c>
      <c r="J2270" s="143" t="s">
        <v>4997</v>
      </c>
      <c r="K2270" s="33" t="s">
        <v>169</v>
      </c>
      <c r="L2270" s="102" t="str">
        <f>VLOOKUP(Anexo_4[[#This Row],[cod_doc]],TIPODOC,2,FALSE)</f>
        <v>FACTURA</v>
      </c>
      <c r="M2270" s="33" t="s">
        <v>538</v>
      </c>
      <c r="N2270" s="32" t="s">
        <v>7284</v>
      </c>
      <c r="O2270" s="48">
        <v>315</v>
      </c>
      <c r="P2270" s="49" t="s">
        <v>4341</v>
      </c>
      <c r="Q2270" s="81">
        <v>56.7</v>
      </c>
      <c r="R2270" s="80" t="s">
        <v>4341</v>
      </c>
      <c r="S2270" s="48" t="s">
        <v>4341</v>
      </c>
      <c r="T2270" s="72">
        <v>371.7</v>
      </c>
      <c r="U2270" s="70" t="s">
        <v>7285</v>
      </c>
      <c r="V2270" s="32" t="s">
        <v>6887</v>
      </c>
      <c r="W2270" s="70"/>
      <c r="X2270" s="70"/>
      <c r="Y2270" s="70" t="s">
        <v>7286</v>
      </c>
      <c r="Z2270" s="70"/>
      <c r="AA2270" s="71"/>
      <c r="AB2270" s="117" t="str">
        <f>IFERROR(VLOOKUP(Anexo_4[[#This Row],[cuenta]],OP,2,0),"-")</f>
        <v>-</v>
      </c>
    </row>
    <row r="2271" spans="1:28" ht="27" customHeight="1" x14ac:dyDescent="0.3">
      <c r="A2271" s="34" t="s">
        <v>7276</v>
      </c>
      <c r="B2271" s="36" t="str">
        <f t="shared" si="50"/>
        <v>Octubre</v>
      </c>
      <c r="C2271" s="33" t="s">
        <v>162</v>
      </c>
      <c r="D2271" s="33" t="s">
        <v>7287</v>
      </c>
      <c r="E2271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271" s="32" t="s">
        <v>248</v>
      </c>
      <c r="G2271" s="32" t="s">
        <v>249</v>
      </c>
      <c r="H2271" s="139" t="s">
        <v>7288</v>
      </c>
      <c r="I2271" s="33" t="s">
        <v>536</v>
      </c>
      <c r="J2271" s="143" t="s">
        <v>4997</v>
      </c>
      <c r="K2271" s="33" t="s">
        <v>169</v>
      </c>
      <c r="L2271" s="102" t="str">
        <f>VLOOKUP(Anexo_4[[#This Row],[cod_doc]],TIPODOC,2,FALSE)</f>
        <v>FACTURA</v>
      </c>
      <c r="M2271" s="33" t="s">
        <v>538</v>
      </c>
      <c r="N2271" s="32" t="s">
        <v>7289</v>
      </c>
      <c r="O2271" s="48">
        <v>216</v>
      </c>
      <c r="P2271" s="49" t="s">
        <v>4341</v>
      </c>
      <c r="Q2271" s="81">
        <v>38.880000000000003</v>
      </c>
      <c r="R2271" s="80" t="s">
        <v>4341</v>
      </c>
      <c r="S2271" s="48" t="s">
        <v>4341</v>
      </c>
      <c r="T2271" s="72">
        <v>254.88</v>
      </c>
      <c r="U2271" s="70" t="s">
        <v>7290</v>
      </c>
      <c r="V2271" s="32" t="s">
        <v>6887</v>
      </c>
      <c r="W2271" s="70"/>
      <c r="X2271" s="70"/>
      <c r="Y2271" s="70" t="s">
        <v>7291</v>
      </c>
      <c r="Z2271" s="70"/>
      <c r="AA2271" s="71"/>
      <c r="AB2271" s="117" t="str">
        <f>IFERROR(VLOOKUP(Anexo_4[[#This Row],[cuenta]],OP,2,0),"-")</f>
        <v>-</v>
      </c>
    </row>
    <row r="2272" spans="1:28" ht="27" customHeight="1" x14ac:dyDescent="0.3">
      <c r="A2272" s="34" t="s">
        <v>7276</v>
      </c>
      <c r="B2272" s="36" t="str">
        <f t="shared" si="50"/>
        <v>Octubre</v>
      </c>
      <c r="C2272" s="33" t="s">
        <v>162</v>
      </c>
      <c r="D2272" s="33" t="s">
        <v>7292</v>
      </c>
      <c r="E2272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272" s="32" t="s">
        <v>248</v>
      </c>
      <c r="G2272" s="32" t="s">
        <v>249</v>
      </c>
      <c r="H2272" s="139" t="s">
        <v>7293</v>
      </c>
      <c r="I2272" s="33" t="s">
        <v>536</v>
      </c>
      <c r="J2272" s="143" t="s">
        <v>4997</v>
      </c>
      <c r="K2272" s="33" t="s">
        <v>169</v>
      </c>
      <c r="L2272" s="102" t="str">
        <f>VLOOKUP(Anexo_4[[#This Row],[cod_doc]],TIPODOC,2,FALSE)</f>
        <v>FACTURA</v>
      </c>
      <c r="M2272" s="33" t="s">
        <v>538</v>
      </c>
      <c r="N2272" s="32" t="s">
        <v>7294</v>
      </c>
      <c r="O2272" s="48">
        <v>6.3</v>
      </c>
      <c r="P2272" s="49" t="s">
        <v>4341</v>
      </c>
      <c r="Q2272" s="81">
        <v>1.1299999999999999</v>
      </c>
      <c r="R2272" s="80" t="s">
        <v>4341</v>
      </c>
      <c r="S2272" s="48" t="s">
        <v>4341</v>
      </c>
      <c r="T2272" s="72">
        <v>7.43</v>
      </c>
      <c r="U2272" s="70" t="s">
        <v>7295</v>
      </c>
      <c r="V2272" s="32" t="s">
        <v>6887</v>
      </c>
      <c r="W2272" s="70"/>
      <c r="X2272" s="70"/>
      <c r="Y2272" s="70" t="s">
        <v>7296</v>
      </c>
      <c r="Z2272" s="70"/>
      <c r="AA2272" s="71"/>
      <c r="AB2272" s="117" t="str">
        <f>IFERROR(VLOOKUP(Anexo_4[[#This Row],[cuenta]],OP,2,0),"-")</f>
        <v>-</v>
      </c>
    </row>
    <row r="2273" spans="1:28" ht="27" customHeight="1" x14ac:dyDescent="0.3">
      <c r="A2273" s="34" t="s">
        <v>7129</v>
      </c>
      <c r="B2273" s="36" t="str">
        <f t="shared" si="50"/>
        <v>Octubre</v>
      </c>
      <c r="C2273" s="33" t="s">
        <v>162</v>
      </c>
      <c r="D2273" s="33" t="s">
        <v>7297</v>
      </c>
      <c r="E2273" s="37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2273" s="32" t="s">
        <v>198</v>
      </c>
      <c r="G2273" s="32" t="s">
        <v>199</v>
      </c>
      <c r="H2273" s="139" t="s">
        <v>7298</v>
      </c>
      <c r="I2273" s="33" t="s">
        <v>1212</v>
      </c>
      <c r="J2273" s="143" t="s">
        <v>4928</v>
      </c>
      <c r="K2273" s="33" t="s">
        <v>169</v>
      </c>
      <c r="L2273" s="102" t="str">
        <f>VLOOKUP(Anexo_4[[#This Row],[cod_doc]],TIPODOC,2,FALSE)</f>
        <v>FACTURA</v>
      </c>
      <c r="M2273" s="33" t="s">
        <v>180</v>
      </c>
      <c r="N2273" s="32" t="s">
        <v>7299</v>
      </c>
      <c r="O2273" s="48">
        <v>1949.15</v>
      </c>
      <c r="P2273" s="49" t="s">
        <v>4341</v>
      </c>
      <c r="Q2273" s="81">
        <v>350.85</v>
      </c>
      <c r="R2273" s="80" t="s">
        <v>4341</v>
      </c>
      <c r="S2273" s="48" t="s">
        <v>4341</v>
      </c>
      <c r="T2273" s="72">
        <v>2300</v>
      </c>
      <c r="U2273" s="70"/>
      <c r="V2273" s="32"/>
      <c r="W2273" s="70"/>
      <c r="X2273" s="70"/>
      <c r="Y2273" s="70"/>
      <c r="Z2273" s="70"/>
      <c r="AA2273" s="71"/>
      <c r="AB2273" s="117" t="str">
        <f>IFERROR(VLOOKUP(Anexo_4[[#This Row],[cuenta]],OP,2,0),"-")</f>
        <v>-</v>
      </c>
    </row>
    <row r="2274" spans="1:28" ht="27" customHeight="1" x14ac:dyDescent="0.3">
      <c r="A2274" s="34" t="s">
        <v>7300</v>
      </c>
      <c r="B2274" s="36" t="str">
        <f t="shared" si="50"/>
        <v>Octubre</v>
      </c>
      <c r="C2274" s="33" t="s">
        <v>162</v>
      </c>
      <c r="D2274" s="33" t="s">
        <v>7301</v>
      </c>
      <c r="E2274" s="37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2274" s="32" t="s">
        <v>198</v>
      </c>
      <c r="G2274" s="32" t="s">
        <v>199</v>
      </c>
      <c r="H2274" s="139" t="s">
        <v>7302</v>
      </c>
      <c r="I2274" s="33" t="s">
        <v>7303</v>
      </c>
      <c r="J2274" s="143" t="s">
        <v>7304</v>
      </c>
      <c r="K2274" s="33" t="s">
        <v>169</v>
      </c>
      <c r="L2274" s="102" t="str">
        <f>VLOOKUP(Anexo_4[[#This Row],[cod_doc]],TIPODOC,2,FALSE)</f>
        <v>FACTURA</v>
      </c>
      <c r="M2274" s="33" t="s">
        <v>102</v>
      </c>
      <c r="N2274" s="32" t="s">
        <v>7305</v>
      </c>
      <c r="O2274" s="48">
        <v>1186.44</v>
      </c>
      <c r="P2274" s="49" t="s">
        <v>4341</v>
      </c>
      <c r="Q2274" s="81">
        <v>213.56</v>
      </c>
      <c r="R2274" s="80" t="s">
        <v>4341</v>
      </c>
      <c r="S2274" s="48" t="s">
        <v>4341</v>
      </c>
      <c r="T2274" s="72">
        <v>1400</v>
      </c>
      <c r="U2274" s="70" t="s">
        <v>7306</v>
      </c>
      <c r="V2274" s="32" t="s">
        <v>7134</v>
      </c>
      <c r="W2274" s="70"/>
      <c r="X2274" s="70"/>
      <c r="Y2274" s="70"/>
      <c r="Z2274" s="70"/>
      <c r="AA2274" s="71"/>
      <c r="AB2274" s="117" t="str">
        <f>IFERROR(VLOOKUP(Anexo_4[[#This Row],[cuenta]],OP,2,0),"-")</f>
        <v>-</v>
      </c>
    </row>
    <row r="2275" spans="1:28" ht="27" customHeight="1" x14ac:dyDescent="0.3">
      <c r="A2275" s="34" t="s">
        <v>7307</v>
      </c>
      <c r="B2275" s="36" t="str">
        <f t="shared" si="50"/>
        <v>Octubre</v>
      </c>
      <c r="C2275" s="33" t="s">
        <v>162</v>
      </c>
      <c r="D2275" s="33" t="s">
        <v>7308</v>
      </c>
      <c r="E2275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275" s="32" t="s">
        <v>190</v>
      </c>
      <c r="G2275" s="32" t="s">
        <v>191</v>
      </c>
      <c r="H2275" s="139" t="s">
        <v>7309</v>
      </c>
      <c r="I2275" s="33" t="s">
        <v>7310</v>
      </c>
      <c r="J2275" s="143" t="s">
        <v>7311</v>
      </c>
      <c r="K2275" s="33" t="s">
        <v>169</v>
      </c>
      <c r="L2275" s="102" t="str">
        <f>VLOOKUP(Anexo_4[[#This Row],[cod_doc]],TIPODOC,2,FALSE)</f>
        <v>FACTURA</v>
      </c>
      <c r="M2275" s="33" t="s">
        <v>102</v>
      </c>
      <c r="N2275" s="32" t="s">
        <v>7312</v>
      </c>
      <c r="O2275" s="48">
        <v>569.91999999999996</v>
      </c>
      <c r="P2275" s="49" t="s">
        <v>4341</v>
      </c>
      <c r="Q2275" s="81">
        <v>102.58</v>
      </c>
      <c r="R2275" s="80" t="s">
        <v>4341</v>
      </c>
      <c r="S2275" s="48" t="s">
        <v>4341</v>
      </c>
      <c r="T2275" s="72">
        <v>672.5</v>
      </c>
      <c r="U2275" s="70"/>
      <c r="V2275" s="32"/>
      <c r="W2275" s="70"/>
      <c r="X2275" s="70"/>
      <c r="Y2275" s="70"/>
      <c r="Z2275" s="70"/>
      <c r="AA2275" s="71"/>
      <c r="AB2275" s="117" t="str">
        <f>IFERROR(VLOOKUP(Anexo_4[[#This Row],[cuenta]],OP,2,0),"-")</f>
        <v>-</v>
      </c>
    </row>
    <row r="2276" spans="1:28" ht="27" customHeight="1" x14ac:dyDescent="0.3">
      <c r="A2276" s="34" t="s">
        <v>7040</v>
      </c>
      <c r="B2276" s="36" t="str">
        <f t="shared" si="50"/>
        <v>Octubre</v>
      </c>
      <c r="C2276" s="33" t="s">
        <v>162</v>
      </c>
      <c r="D2276" s="33" t="s">
        <v>7313</v>
      </c>
      <c r="E2276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276" s="32" t="s">
        <v>164</v>
      </c>
      <c r="G2276" s="32" t="s">
        <v>165</v>
      </c>
      <c r="H2276" s="139" t="s">
        <v>6281</v>
      </c>
      <c r="I2276" s="33" t="s">
        <v>206</v>
      </c>
      <c r="J2276" s="143" t="s">
        <v>5093</v>
      </c>
      <c r="K2276" s="33" t="s">
        <v>169</v>
      </c>
      <c r="L2276" s="102" t="str">
        <f>VLOOKUP(Anexo_4[[#This Row],[cod_doc]],TIPODOC,2,FALSE)</f>
        <v>FACTURA</v>
      </c>
      <c r="M2276" s="33" t="s">
        <v>208</v>
      </c>
      <c r="N2276" s="32" t="s">
        <v>7314</v>
      </c>
      <c r="O2276" s="48">
        <v>152.54</v>
      </c>
      <c r="P2276" s="49" t="s">
        <v>4341</v>
      </c>
      <c r="Q2276" s="81">
        <v>27.46</v>
      </c>
      <c r="R2276" s="80" t="s">
        <v>4341</v>
      </c>
      <c r="S2276" s="48" t="s">
        <v>4341</v>
      </c>
      <c r="T2276" s="72">
        <v>180</v>
      </c>
      <c r="U2276" s="70"/>
      <c r="V2276" s="32"/>
      <c r="W2276" s="70"/>
      <c r="X2276" s="70"/>
      <c r="Y2276" s="70"/>
      <c r="Z2276" s="70"/>
      <c r="AA2276" s="71"/>
      <c r="AB2276" s="117" t="str">
        <f>IFERROR(VLOOKUP(Anexo_4[[#This Row],[cuenta]],OP,2,0),"-")</f>
        <v>-</v>
      </c>
    </row>
    <row r="2277" spans="1:28" ht="27" customHeight="1" x14ac:dyDescent="0.3">
      <c r="A2277" s="34" t="s">
        <v>7141</v>
      </c>
      <c r="B2277" s="36" t="str">
        <f t="shared" si="50"/>
        <v>Octubre</v>
      </c>
      <c r="C2277" s="33" t="s">
        <v>162</v>
      </c>
      <c r="D2277" s="33" t="s">
        <v>7315</v>
      </c>
      <c r="E2277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277" s="32" t="s">
        <v>164</v>
      </c>
      <c r="G2277" s="32" t="s">
        <v>165</v>
      </c>
      <c r="H2277" s="139" t="s">
        <v>7316</v>
      </c>
      <c r="I2277" s="33" t="s">
        <v>5369</v>
      </c>
      <c r="J2277" s="143" t="s">
        <v>5370</v>
      </c>
      <c r="K2277" s="33" t="s">
        <v>439</v>
      </c>
      <c r="L2277" s="102" t="str">
        <f>VLOOKUP(Anexo_4[[#This Row],[cod_doc]],TIPODOC,2,FALSE)</f>
        <v>RECIBO POR SERV. PUBLICOS</v>
      </c>
      <c r="M2277" s="33" t="s">
        <v>5371</v>
      </c>
      <c r="N2277" s="32" t="s">
        <v>7317</v>
      </c>
      <c r="O2277" s="48">
        <v>336.07</v>
      </c>
      <c r="P2277" s="49" t="s">
        <v>4341</v>
      </c>
      <c r="Q2277" s="81">
        <v>60.49</v>
      </c>
      <c r="R2277" s="80" t="s">
        <v>4341</v>
      </c>
      <c r="S2277" s="48">
        <v>4.74</v>
      </c>
      <c r="T2277" s="72">
        <v>401.3</v>
      </c>
      <c r="U2277" s="70"/>
      <c r="V2277" s="32"/>
      <c r="W2277" s="70"/>
      <c r="X2277" s="70"/>
      <c r="Y2277" s="70"/>
      <c r="Z2277" s="70"/>
      <c r="AA2277" s="71"/>
      <c r="AB2277" s="117" t="str">
        <f>IFERROR(VLOOKUP(Anexo_4[[#This Row],[cuenta]],OP,2,0),"-")</f>
        <v>-</v>
      </c>
    </row>
    <row r="2278" spans="1:28" ht="27" customHeight="1" x14ac:dyDescent="0.3">
      <c r="A2278" s="34" t="s">
        <v>7040</v>
      </c>
      <c r="B2278" s="36" t="str">
        <f t="shared" si="50"/>
        <v>Octubre</v>
      </c>
      <c r="C2278" s="33" t="s">
        <v>162</v>
      </c>
      <c r="D2278" s="33" t="s">
        <v>7318</v>
      </c>
      <c r="E2278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278" s="32" t="s">
        <v>164</v>
      </c>
      <c r="G2278" s="32" t="s">
        <v>165</v>
      </c>
      <c r="H2278" s="139" t="s">
        <v>166</v>
      </c>
      <c r="I2278" s="33" t="s">
        <v>167</v>
      </c>
      <c r="J2278" s="143" t="s">
        <v>5534</v>
      </c>
      <c r="K2278" s="33" t="s">
        <v>169</v>
      </c>
      <c r="L2278" s="102" t="str">
        <f>VLOOKUP(Anexo_4[[#This Row],[cod_doc]],TIPODOC,2,FALSE)</f>
        <v>FACTURA</v>
      </c>
      <c r="M2278" s="33" t="s">
        <v>7319</v>
      </c>
      <c r="N2278" s="32" t="s">
        <v>7320</v>
      </c>
      <c r="O2278" s="48">
        <v>166.54</v>
      </c>
      <c r="P2278" s="49" t="s">
        <v>4341</v>
      </c>
      <c r="Q2278" s="81">
        <v>29.98</v>
      </c>
      <c r="R2278" s="80" t="s">
        <v>4341</v>
      </c>
      <c r="S2278" s="48" t="s">
        <v>4341</v>
      </c>
      <c r="T2278" s="72">
        <v>196.52</v>
      </c>
      <c r="U2278" s="70"/>
      <c r="V2278" s="32"/>
      <c r="W2278" s="70"/>
      <c r="X2278" s="70"/>
      <c r="Y2278" s="70"/>
      <c r="Z2278" s="70"/>
      <c r="AA2278" s="71"/>
      <c r="AB2278" s="117" t="str">
        <f>IFERROR(VLOOKUP(Anexo_4[[#This Row],[cuenta]],OP,2,0),"-")</f>
        <v>-</v>
      </c>
    </row>
    <row r="2279" spans="1:28" ht="27" customHeight="1" x14ac:dyDescent="0.3">
      <c r="A2279" s="34" t="s">
        <v>7300</v>
      </c>
      <c r="B2279" s="36" t="str">
        <f t="shared" ref="B2279:B2288" si="51">PROPER(CHOOSE(LEFT(D2279,2),"enero","febrero","marzo","abril","mayo","junio","julio","agosto","setiembre","octubre","noviembre","diciembre"))</f>
        <v>Octubre</v>
      </c>
      <c r="C2279" s="33" t="s">
        <v>162</v>
      </c>
      <c r="D2279" s="33" t="s">
        <v>7321</v>
      </c>
      <c r="E2279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279" s="32" t="s">
        <v>217</v>
      </c>
      <c r="G2279" s="32" t="s">
        <v>4839</v>
      </c>
      <c r="H2279" s="139" t="s">
        <v>765</v>
      </c>
      <c r="I2279" s="33" t="s">
        <v>452</v>
      </c>
      <c r="J2279" s="143" t="s">
        <v>4854</v>
      </c>
      <c r="K2279" s="33" t="s">
        <v>169</v>
      </c>
      <c r="L2279" s="102" t="str">
        <f>VLOOKUP(Anexo_4[[#This Row],[cod_doc]],TIPODOC,2,FALSE)</f>
        <v>FACTURA</v>
      </c>
      <c r="M2279" s="33" t="s">
        <v>1056</v>
      </c>
      <c r="N2279" s="32" t="s">
        <v>7322</v>
      </c>
      <c r="O2279" s="48">
        <v>1387.59</v>
      </c>
      <c r="P2279" s="49" t="s">
        <v>4341</v>
      </c>
      <c r="Q2279" s="81">
        <v>249.77</v>
      </c>
      <c r="R2279" s="80" t="s">
        <v>4341</v>
      </c>
      <c r="S2279" s="48" t="s">
        <v>4341</v>
      </c>
      <c r="T2279" s="72">
        <v>1637.36</v>
      </c>
      <c r="U2279" s="70"/>
      <c r="V2279" s="32"/>
      <c r="W2279" s="70"/>
      <c r="X2279" s="70"/>
      <c r="Y2279" s="70"/>
      <c r="Z2279" s="70"/>
      <c r="AA2279" s="71"/>
      <c r="AB2279" s="117" t="str">
        <f>IFERROR(VLOOKUP(Anexo_4[[#This Row],[cuenta]],OP,2,0),"-")</f>
        <v>-</v>
      </c>
    </row>
    <row r="2280" spans="1:28" ht="27" customHeight="1" x14ac:dyDescent="0.3">
      <c r="A2280" s="34" t="s">
        <v>7300</v>
      </c>
      <c r="B2280" s="36" t="str">
        <f t="shared" si="51"/>
        <v>Octubre</v>
      </c>
      <c r="C2280" s="33" t="s">
        <v>162</v>
      </c>
      <c r="D2280" s="33" t="s">
        <v>7323</v>
      </c>
      <c r="E2280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280" s="32" t="s">
        <v>449</v>
      </c>
      <c r="G2280" s="32" t="s">
        <v>4868</v>
      </c>
      <c r="H2280" s="139" t="s">
        <v>765</v>
      </c>
      <c r="I2280" s="33" t="s">
        <v>452</v>
      </c>
      <c r="J2280" s="143" t="s">
        <v>4854</v>
      </c>
      <c r="K2280" s="33" t="s">
        <v>169</v>
      </c>
      <c r="L2280" s="102" t="str">
        <f>VLOOKUP(Anexo_4[[#This Row],[cod_doc]],TIPODOC,2,FALSE)</f>
        <v>FACTURA</v>
      </c>
      <c r="M2280" s="33" t="s">
        <v>454</v>
      </c>
      <c r="N2280" s="32" t="s">
        <v>7324</v>
      </c>
      <c r="O2280" s="48">
        <v>796.53</v>
      </c>
      <c r="P2280" s="49" t="s">
        <v>4341</v>
      </c>
      <c r="Q2280" s="81">
        <v>143.37</v>
      </c>
      <c r="R2280" s="80" t="s">
        <v>4341</v>
      </c>
      <c r="S2280" s="48" t="s">
        <v>4341</v>
      </c>
      <c r="T2280" s="72">
        <v>939.9</v>
      </c>
      <c r="U2280" s="70"/>
      <c r="V2280" s="32"/>
      <c r="W2280" s="70"/>
      <c r="X2280" s="70"/>
      <c r="Y2280" s="70"/>
      <c r="Z2280" s="70"/>
      <c r="AA2280" s="71"/>
      <c r="AB2280" s="117" t="str">
        <f>IFERROR(VLOOKUP(Anexo_4[[#This Row],[cuenta]],OP,2,0),"-")</f>
        <v>-</v>
      </c>
    </row>
    <row r="2281" spans="1:28" ht="27" customHeight="1" x14ac:dyDescent="0.3">
      <c r="A2281" s="34" t="s">
        <v>7159</v>
      </c>
      <c r="B2281" s="36" t="str">
        <f t="shared" si="51"/>
        <v>Octubre</v>
      </c>
      <c r="C2281" s="33" t="s">
        <v>162</v>
      </c>
      <c r="D2281" s="33" t="s">
        <v>7325</v>
      </c>
      <c r="E2281" s="37" t="str">
        <f>IF(LEFT(Anexo_4[[#This Row],[c_costos]],2)="91","OPERACIONES",IF(LEFT(Anexo_4[[#This Row],[c_costos]],2)="97","G. FINANCIEROS",IF(LEFT(Anexo_4[[#This Row],[c_costos]],2)="95","G. VENTAS","G. ADMINISTRACIÓN")))</f>
        <v>G. FINANCIEROS</v>
      </c>
      <c r="F2281" s="32" t="s">
        <v>474</v>
      </c>
      <c r="G2281" s="32" t="s">
        <v>475</v>
      </c>
      <c r="H2281" s="139" t="s">
        <v>5382</v>
      </c>
      <c r="I2281" s="33" t="s">
        <v>477</v>
      </c>
      <c r="J2281" s="143" t="s">
        <v>4623</v>
      </c>
      <c r="K2281" s="33" t="s">
        <v>169</v>
      </c>
      <c r="L2281" s="102" t="str">
        <f>VLOOKUP(Anexo_4[[#This Row],[cod_doc]],TIPODOC,2,FALSE)</f>
        <v>FACTURA</v>
      </c>
      <c r="M2281" s="33" t="s">
        <v>479</v>
      </c>
      <c r="N2281" s="32" t="s">
        <v>7326</v>
      </c>
      <c r="O2281" s="48" t="s">
        <v>4341</v>
      </c>
      <c r="P2281" s="49" t="s">
        <v>4341</v>
      </c>
      <c r="Q2281" s="81" t="s">
        <v>4341</v>
      </c>
      <c r="R2281" s="80" t="s">
        <v>4341</v>
      </c>
      <c r="S2281" s="48">
        <v>10</v>
      </c>
      <c r="T2281" s="72">
        <v>10</v>
      </c>
      <c r="U2281" s="70"/>
      <c r="V2281" s="32"/>
      <c r="W2281" s="70"/>
      <c r="X2281" s="70"/>
      <c r="Y2281" s="70"/>
      <c r="Z2281" s="70"/>
      <c r="AA2281" s="71"/>
      <c r="AB2281" s="117" t="str">
        <f>IFERROR(VLOOKUP(Anexo_4[[#This Row],[cuenta]],OP,2,0),"-")</f>
        <v>-</v>
      </c>
    </row>
    <row r="2282" spans="1:28" ht="27" customHeight="1" x14ac:dyDescent="0.3">
      <c r="A2282" s="34" t="s">
        <v>7307</v>
      </c>
      <c r="B2282" s="36" t="str">
        <f t="shared" si="51"/>
        <v>Octubre</v>
      </c>
      <c r="C2282" s="33" t="s">
        <v>162</v>
      </c>
      <c r="D2282" s="33" t="s">
        <v>7327</v>
      </c>
      <c r="E2282" s="37" t="str">
        <f>IF(LEFT(Anexo_4[[#This Row],[c_costos]],2)="91","OPERACIONES",IF(LEFT(Anexo_4[[#This Row],[c_costos]],2)="97","G. FINANCIEROS",IF(LEFT(Anexo_4[[#This Row],[c_costos]],2)="95","G. VENTAS","G. ADMINISTRACIÓN")))</f>
        <v>G. FINANCIEROS</v>
      </c>
      <c r="F2282" s="32" t="s">
        <v>474</v>
      </c>
      <c r="G2282" s="32" t="s">
        <v>475</v>
      </c>
      <c r="H2282" s="139" t="s">
        <v>5387</v>
      </c>
      <c r="I2282" s="33" t="s">
        <v>477</v>
      </c>
      <c r="J2282" s="143" t="s">
        <v>4623</v>
      </c>
      <c r="K2282" s="33" t="s">
        <v>169</v>
      </c>
      <c r="L2282" s="102" t="str">
        <f>VLOOKUP(Anexo_4[[#This Row],[cod_doc]],TIPODOC,2,FALSE)</f>
        <v>FACTURA</v>
      </c>
      <c r="M2282" s="33" t="s">
        <v>479</v>
      </c>
      <c r="N2282" s="32" t="s">
        <v>7328</v>
      </c>
      <c r="O2282" s="48" t="s">
        <v>4341</v>
      </c>
      <c r="P2282" s="49" t="s">
        <v>4341</v>
      </c>
      <c r="Q2282" s="81" t="s">
        <v>4341</v>
      </c>
      <c r="R2282" s="80" t="s">
        <v>4341</v>
      </c>
      <c r="S2282" s="48">
        <v>19.100000000000001</v>
      </c>
      <c r="T2282" s="72">
        <v>19.100000000000001</v>
      </c>
      <c r="U2282" s="70"/>
      <c r="V2282" s="32"/>
      <c r="W2282" s="70"/>
      <c r="X2282" s="70"/>
      <c r="Y2282" s="70"/>
      <c r="Z2282" s="70"/>
      <c r="AA2282" s="71"/>
      <c r="AB2282" s="117" t="str">
        <f>IFERROR(VLOOKUP(Anexo_4[[#This Row],[cuenta]],OP,2,0),"-")</f>
        <v>-</v>
      </c>
    </row>
    <row r="2283" spans="1:28" ht="27" customHeight="1" x14ac:dyDescent="0.3">
      <c r="A2283" s="34" t="s">
        <v>7040</v>
      </c>
      <c r="B2283" s="36" t="str">
        <f t="shared" si="51"/>
        <v>Octubre</v>
      </c>
      <c r="C2283" s="33" t="s">
        <v>162</v>
      </c>
      <c r="D2283" s="33" t="s">
        <v>7329</v>
      </c>
      <c r="E2283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283" s="32" t="s">
        <v>5923</v>
      </c>
      <c r="G2283" s="32" t="s">
        <v>5924</v>
      </c>
      <c r="H2283" s="139" t="s">
        <v>7330</v>
      </c>
      <c r="I2283" s="33" t="s">
        <v>264</v>
      </c>
      <c r="J2283" s="143" t="s">
        <v>4644</v>
      </c>
      <c r="K2283" s="33" t="s">
        <v>169</v>
      </c>
      <c r="L2283" s="102" t="str">
        <f>VLOOKUP(Anexo_4[[#This Row],[cod_doc]],TIPODOC,2,FALSE)</f>
        <v>FACTURA</v>
      </c>
      <c r="M2283" s="33" t="s">
        <v>271</v>
      </c>
      <c r="N2283" s="32" t="s">
        <v>7331</v>
      </c>
      <c r="O2283" s="48">
        <v>6.78</v>
      </c>
      <c r="P2283" s="49" t="s">
        <v>4341</v>
      </c>
      <c r="Q2283" s="81">
        <v>1.22</v>
      </c>
      <c r="R2283" s="80" t="s">
        <v>4341</v>
      </c>
      <c r="S2283" s="48" t="s">
        <v>4341</v>
      </c>
      <c r="T2283" s="72">
        <v>8</v>
      </c>
      <c r="U2283" s="70"/>
      <c r="V2283" s="32"/>
      <c r="W2283" s="70"/>
      <c r="X2283" s="70"/>
      <c r="Y2283" s="70" t="s">
        <v>7332</v>
      </c>
      <c r="Z2283" s="70"/>
      <c r="AA2283" s="71"/>
      <c r="AB2283" s="117" t="str">
        <f>IFERROR(VLOOKUP(Anexo_4[[#This Row],[cuenta]],OP,2,0),"-")</f>
        <v>-</v>
      </c>
    </row>
    <row r="2284" spans="1:28" ht="27" customHeight="1" x14ac:dyDescent="0.3">
      <c r="A2284" s="34" t="s">
        <v>7141</v>
      </c>
      <c r="B2284" s="36" t="str">
        <f t="shared" si="51"/>
        <v>Octubre</v>
      </c>
      <c r="C2284" s="33" t="s">
        <v>162</v>
      </c>
      <c r="D2284" s="33" t="s">
        <v>7333</v>
      </c>
      <c r="E2284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284" s="32" t="s">
        <v>5923</v>
      </c>
      <c r="G2284" s="32" t="s">
        <v>5924</v>
      </c>
      <c r="H2284" s="139" t="s">
        <v>7334</v>
      </c>
      <c r="I2284" s="33" t="s">
        <v>264</v>
      </c>
      <c r="J2284" s="143" t="s">
        <v>4644</v>
      </c>
      <c r="K2284" s="33" t="s">
        <v>169</v>
      </c>
      <c r="L2284" s="102" t="str">
        <f>VLOOKUP(Anexo_4[[#This Row],[cod_doc]],TIPODOC,2,FALSE)</f>
        <v>FACTURA</v>
      </c>
      <c r="M2284" s="33" t="s">
        <v>279</v>
      </c>
      <c r="N2284" s="32" t="s">
        <v>7335</v>
      </c>
      <c r="O2284" s="48">
        <v>6.78</v>
      </c>
      <c r="P2284" s="49" t="s">
        <v>4341</v>
      </c>
      <c r="Q2284" s="81">
        <v>1.22</v>
      </c>
      <c r="R2284" s="80" t="s">
        <v>4341</v>
      </c>
      <c r="S2284" s="48" t="s">
        <v>4341</v>
      </c>
      <c r="T2284" s="72">
        <v>8</v>
      </c>
      <c r="U2284" s="70"/>
      <c r="V2284" s="32"/>
      <c r="W2284" s="70"/>
      <c r="X2284" s="70"/>
      <c r="Y2284" s="70" t="s">
        <v>7336</v>
      </c>
      <c r="Z2284" s="70"/>
      <c r="AA2284" s="71"/>
      <c r="AB2284" s="117" t="str">
        <f>IFERROR(VLOOKUP(Anexo_4[[#This Row],[cuenta]],OP,2,0),"-")</f>
        <v>-</v>
      </c>
    </row>
    <row r="2285" spans="1:28" ht="27" customHeight="1" x14ac:dyDescent="0.3">
      <c r="A2285" s="34" t="s">
        <v>7141</v>
      </c>
      <c r="B2285" s="36" t="str">
        <f t="shared" si="51"/>
        <v>Octubre</v>
      </c>
      <c r="C2285" s="33" t="s">
        <v>162</v>
      </c>
      <c r="D2285" s="33" t="s">
        <v>7337</v>
      </c>
      <c r="E2285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285" s="32" t="s">
        <v>5923</v>
      </c>
      <c r="G2285" s="32" t="s">
        <v>5924</v>
      </c>
      <c r="H2285" s="139" t="s">
        <v>7338</v>
      </c>
      <c r="I2285" s="33" t="s">
        <v>264</v>
      </c>
      <c r="J2285" s="143" t="s">
        <v>4644</v>
      </c>
      <c r="K2285" s="33" t="s">
        <v>169</v>
      </c>
      <c r="L2285" s="102" t="str">
        <f>VLOOKUP(Anexo_4[[#This Row],[cod_doc]],TIPODOC,2,FALSE)</f>
        <v>FACTURA</v>
      </c>
      <c r="M2285" s="33" t="s">
        <v>275</v>
      </c>
      <c r="N2285" s="32" t="s">
        <v>7339</v>
      </c>
      <c r="O2285" s="48">
        <v>6.78</v>
      </c>
      <c r="P2285" s="49" t="s">
        <v>4341</v>
      </c>
      <c r="Q2285" s="81">
        <v>1.22</v>
      </c>
      <c r="R2285" s="80" t="s">
        <v>4341</v>
      </c>
      <c r="S2285" s="48" t="s">
        <v>4341</v>
      </c>
      <c r="T2285" s="72">
        <v>8</v>
      </c>
      <c r="U2285" s="70"/>
      <c r="V2285" s="32"/>
      <c r="W2285" s="70"/>
      <c r="X2285" s="70"/>
      <c r="Y2285" s="70" t="s">
        <v>7340</v>
      </c>
      <c r="Z2285" s="70"/>
      <c r="AA2285" s="71"/>
      <c r="AB2285" s="117" t="str">
        <f>IFERROR(VLOOKUP(Anexo_4[[#This Row],[cuenta]],OP,2,0),"-")</f>
        <v>-</v>
      </c>
    </row>
    <row r="2286" spans="1:28" ht="27" customHeight="1" x14ac:dyDescent="0.3">
      <c r="A2286" s="34" t="s">
        <v>7152</v>
      </c>
      <c r="B2286" s="36" t="str">
        <f t="shared" si="51"/>
        <v>Octubre</v>
      </c>
      <c r="C2286" s="33" t="s">
        <v>162</v>
      </c>
      <c r="D2286" s="33" t="s">
        <v>7341</v>
      </c>
      <c r="E2286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286" s="32" t="s">
        <v>5923</v>
      </c>
      <c r="G2286" s="32" t="s">
        <v>5924</v>
      </c>
      <c r="H2286" s="139" t="s">
        <v>7342</v>
      </c>
      <c r="I2286" s="33" t="s">
        <v>383</v>
      </c>
      <c r="J2286" s="143" t="s">
        <v>4702</v>
      </c>
      <c r="K2286" s="33" t="s">
        <v>169</v>
      </c>
      <c r="L2286" s="102" t="str">
        <f>VLOOKUP(Anexo_4[[#This Row],[cod_doc]],TIPODOC,2,FALSE)</f>
        <v>FACTURA</v>
      </c>
      <c r="M2286" s="33" t="s">
        <v>103</v>
      </c>
      <c r="N2286" s="32" t="s">
        <v>7343</v>
      </c>
      <c r="O2286" s="48">
        <v>16.95</v>
      </c>
      <c r="P2286" s="49" t="s">
        <v>4341</v>
      </c>
      <c r="Q2286" s="81">
        <v>3.05</v>
      </c>
      <c r="R2286" s="80" t="s">
        <v>4341</v>
      </c>
      <c r="S2286" s="48" t="s">
        <v>4341</v>
      </c>
      <c r="T2286" s="72">
        <v>20</v>
      </c>
      <c r="U2286" s="70"/>
      <c r="V2286" s="32"/>
      <c r="W2286" s="70"/>
      <c r="X2286" s="70"/>
      <c r="Y2286" s="70" t="s">
        <v>7344</v>
      </c>
      <c r="Z2286" s="70"/>
      <c r="AA2286" s="71"/>
      <c r="AB2286" s="117" t="str">
        <f>IFERROR(VLOOKUP(Anexo_4[[#This Row],[cuenta]],OP,2,0),"-")</f>
        <v>-</v>
      </c>
    </row>
    <row r="2287" spans="1:28" ht="27" customHeight="1" x14ac:dyDescent="0.3">
      <c r="A2287" s="34" t="s">
        <v>7141</v>
      </c>
      <c r="B2287" s="36" t="str">
        <f t="shared" si="51"/>
        <v>Octubre</v>
      </c>
      <c r="C2287" s="33" t="s">
        <v>162</v>
      </c>
      <c r="D2287" s="33" t="s">
        <v>7345</v>
      </c>
      <c r="E2287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287" s="32" t="s">
        <v>418</v>
      </c>
      <c r="G2287" s="32" t="s">
        <v>419</v>
      </c>
      <c r="H2287" s="139" t="s">
        <v>7346</v>
      </c>
      <c r="I2287" s="33" t="s">
        <v>286</v>
      </c>
      <c r="J2287" s="143" t="s">
        <v>4762</v>
      </c>
      <c r="K2287" s="33" t="s">
        <v>169</v>
      </c>
      <c r="L2287" s="102" t="str">
        <f>VLOOKUP(Anexo_4[[#This Row],[cod_doc]],TIPODOC,2,FALSE)</f>
        <v>FACTURA</v>
      </c>
      <c r="M2287" s="33" t="s">
        <v>222</v>
      </c>
      <c r="N2287" s="32" t="s">
        <v>7347</v>
      </c>
      <c r="O2287" s="48" t="s">
        <v>4341</v>
      </c>
      <c r="P2287" s="49" t="s">
        <v>4341</v>
      </c>
      <c r="Q2287" s="81" t="s">
        <v>4341</v>
      </c>
      <c r="R2287" s="80" t="s">
        <v>4341</v>
      </c>
      <c r="S2287" s="48">
        <v>22</v>
      </c>
      <c r="T2287" s="72">
        <v>22</v>
      </c>
      <c r="U2287" s="70"/>
      <c r="V2287" s="32"/>
      <c r="W2287" s="70"/>
      <c r="X2287" s="70"/>
      <c r="Y2287" s="70" t="s">
        <v>7348</v>
      </c>
      <c r="Z2287" s="70"/>
      <c r="AA2287" s="71"/>
      <c r="AB2287" s="117" t="str">
        <f>IFERROR(VLOOKUP(Anexo_4[[#This Row],[cuenta]],OP,2,0),"-")</f>
        <v>-</v>
      </c>
    </row>
    <row r="2288" spans="1:28" ht="27" customHeight="1" x14ac:dyDescent="0.3">
      <c r="A2288" s="34" t="s">
        <v>7307</v>
      </c>
      <c r="B2288" s="36" t="str">
        <f t="shared" si="51"/>
        <v>Octubre</v>
      </c>
      <c r="C2288" s="33" t="s">
        <v>162</v>
      </c>
      <c r="D2288" s="33" t="s">
        <v>7349</v>
      </c>
      <c r="E2288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288" s="32" t="s">
        <v>235</v>
      </c>
      <c r="G2288" s="32" t="s">
        <v>5051</v>
      </c>
      <c r="H2288" s="139" t="s">
        <v>7350</v>
      </c>
      <c r="I2288" s="33" t="s">
        <v>264</v>
      </c>
      <c r="J2288" s="143" t="s">
        <v>4644</v>
      </c>
      <c r="K2288" s="33" t="s">
        <v>169</v>
      </c>
      <c r="L2288" s="102" t="str">
        <f>VLOOKUP(Anexo_4[[#This Row],[cod_doc]],TIPODOC,2,FALSE)</f>
        <v>FACTURA</v>
      </c>
      <c r="M2288" s="33" t="s">
        <v>406</v>
      </c>
      <c r="N2288" s="32" t="s">
        <v>7351</v>
      </c>
      <c r="O2288" s="48">
        <v>6.78</v>
      </c>
      <c r="P2288" s="49" t="s">
        <v>4341</v>
      </c>
      <c r="Q2288" s="81">
        <v>1.22</v>
      </c>
      <c r="R2288" s="80" t="s">
        <v>4341</v>
      </c>
      <c r="S2288" s="48" t="s">
        <v>4341</v>
      </c>
      <c r="T2288" s="72">
        <v>8</v>
      </c>
      <c r="U2288" s="70"/>
      <c r="V2288" s="32"/>
      <c r="W2288" s="70"/>
      <c r="X2288" s="70"/>
      <c r="Y2288" s="70" t="s">
        <v>7352</v>
      </c>
      <c r="Z2288" s="70"/>
      <c r="AA2288" s="71"/>
      <c r="AB2288" s="117" t="str">
        <f>IFERROR(VLOOKUP(Anexo_4[[#This Row],[cuenta]],OP,2,0),"-")</f>
        <v>-</v>
      </c>
    </row>
    <row r="2289" spans="1:28" ht="27" customHeight="1" x14ac:dyDescent="0.3">
      <c r="A2289" s="34" t="s">
        <v>7307</v>
      </c>
      <c r="B2289" s="36" t="str">
        <f t="shared" ref="B2289:B2320" si="52">PROPER(CHOOSE(LEFT(D2289,2),"enero","febrero","marzo","abril","mayo","junio","julio","agosto","setiembre","octubre","noviembre","diciembre"))</f>
        <v>Octubre</v>
      </c>
      <c r="C2289" s="33" t="s">
        <v>162</v>
      </c>
      <c r="D2289" s="33" t="s">
        <v>7353</v>
      </c>
      <c r="E2289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289" s="32" t="s">
        <v>235</v>
      </c>
      <c r="G2289" s="32" t="s">
        <v>5051</v>
      </c>
      <c r="H2289" s="139" t="s">
        <v>7354</v>
      </c>
      <c r="I2289" s="33" t="s">
        <v>264</v>
      </c>
      <c r="J2289" s="143" t="s">
        <v>4644</v>
      </c>
      <c r="K2289" s="33" t="s">
        <v>169</v>
      </c>
      <c r="L2289" s="102" t="str">
        <f>VLOOKUP(Anexo_4[[#This Row],[cod_doc]],TIPODOC,2,FALSE)</f>
        <v>FACTURA</v>
      </c>
      <c r="M2289" s="33" t="s">
        <v>379</v>
      </c>
      <c r="N2289" s="32" t="s">
        <v>7355</v>
      </c>
      <c r="O2289" s="48">
        <v>6.78</v>
      </c>
      <c r="P2289" s="49" t="s">
        <v>4341</v>
      </c>
      <c r="Q2289" s="81">
        <v>1.22</v>
      </c>
      <c r="R2289" s="80" t="s">
        <v>4341</v>
      </c>
      <c r="S2289" s="48" t="s">
        <v>4341</v>
      </c>
      <c r="T2289" s="72">
        <v>8</v>
      </c>
      <c r="U2289" s="70"/>
      <c r="V2289" s="32"/>
      <c r="W2289" s="70"/>
      <c r="X2289" s="70"/>
      <c r="Y2289" s="70" t="s">
        <v>7356</v>
      </c>
      <c r="Z2289" s="70"/>
      <c r="AA2289" s="71"/>
      <c r="AB2289" s="117" t="str">
        <f>IFERROR(VLOOKUP(Anexo_4[[#This Row],[cuenta]],OP,2,0),"-")</f>
        <v>-</v>
      </c>
    </row>
    <row r="2290" spans="1:28" ht="27" customHeight="1" x14ac:dyDescent="0.3">
      <c r="A2290" s="34" t="s">
        <v>7040</v>
      </c>
      <c r="B2290" s="36" t="str">
        <f t="shared" si="52"/>
        <v>Octubre</v>
      </c>
      <c r="C2290" s="33" t="s">
        <v>162</v>
      </c>
      <c r="D2290" s="33" t="s">
        <v>7357</v>
      </c>
      <c r="E2290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290" s="32" t="s">
        <v>217</v>
      </c>
      <c r="G2290" s="32" t="s">
        <v>4839</v>
      </c>
      <c r="H2290" s="139" t="s">
        <v>7358</v>
      </c>
      <c r="I2290" s="33" t="s">
        <v>264</v>
      </c>
      <c r="J2290" s="143" t="s">
        <v>4644</v>
      </c>
      <c r="K2290" s="33" t="s">
        <v>169</v>
      </c>
      <c r="L2290" s="102" t="str">
        <f>VLOOKUP(Anexo_4[[#This Row],[cod_doc]],TIPODOC,2,FALSE)</f>
        <v>FACTURA</v>
      </c>
      <c r="M2290" s="33" t="s">
        <v>271</v>
      </c>
      <c r="N2290" s="32" t="s">
        <v>7359</v>
      </c>
      <c r="O2290" s="48">
        <v>6.78</v>
      </c>
      <c r="P2290" s="49" t="s">
        <v>4341</v>
      </c>
      <c r="Q2290" s="81">
        <v>1.22</v>
      </c>
      <c r="R2290" s="80" t="s">
        <v>4341</v>
      </c>
      <c r="S2290" s="48" t="s">
        <v>4341</v>
      </c>
      <c r="T2290" s="72">
        <v>8</v>
      </c>
      <c r="U2290" s="70"/>
      <c r="V2290" s="32"/>
      <c r="W2290" s="70"/>
      <c r="X2290" s="70"/>
      <c r="Y2290" s="70" t="s">
        <v>7360</v>
      </c>
      <c r="Z2290" s="70"/>
      <c r="AA2290" s="71"/>
      <c r="AB2290" s="117" t="str">
        <f>IFERROR(VLOOKUP(Anexo_4[[#This Row],[cuenta]],OP,2,0),"-")</f>
        <v>-</v>
      </c>
    </row>
    <row r="2291" spans="1:28" ht="27" customHeight="1" x14ac:dyDescent="0.3">
      <c r="A2291" s="34" t="s">
        <v>7040</v>
      </c>
      <c r="B2291" s="36" t="str">
        <f t="shared" si="52"/>
        <v>Octubre</v>
      </c>
      <c r="C2291" s="33" t="s">
        <v>162</v>
      </c>
      <c r="D2291" s="33" t="s">
        <v>7361</v>
      </c>
      <c r="E2291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291" s="32" t="s">
        <v>217</v>
      </c>
      <c r="G2291" s="32" t="s">
        <v>4839</v>
      </c>
      <c r="H2291" s="139" t="s">
        <v>7362</v>
      </c>
      <c r="I2291" s="33" t="s">
        <v>264</v>
      </c>
      <c r="J2291" s="143" t="s">
        <v>4644</v>
      </c>
      <c r="K2291" s="33" t="s">
        <v>169</v>
      </c>
      <c r="L2291" s="102" t="str">
        <f>VLOOKUP(Anexo_4[[#This Row],[cod_doc]],TIPODOC,2,FALSE)</f>
        <v>FACTURA</v>
      </c>
      <c r="M2291" s="33" t="s">
        <v>352</v>
      </c>
      <c r="N2291" s="32" t="s">
        <v>7363</v>
      </c>
      <c r="O2291" s="48">
        <v>6.78</v>
      </c>
      <c r="P2291" s="49" t="s">
        <v>4341</v>
      </c>
      <c r="Q2291" s="81">
        <v>1.22</v>
      </c>
      <c r="R2291" s="80" t="s">
        <v>4341</v>
      </c>
      <c r="S2291" s="48" t="s">
        <v>4341</v>
      </c>
      <c r="T2291" s="72">
        <v>8</v>
      </c>
      <c r="U2291" s="70"/>
      <c r="V2291" s="32"/>
      <c r="W2291" s="70"/>
      <c r="X2291" s="70"/>
      <c r="Y2291" s="70" t="s">
        <v>7364</v>
      </c>
      <c r="Z2291" s="70"/>
      <c r="AA2291" s="71"/>
      <c r="AB2291" s="117" t="str">
        <f>IFERROR(VLOOKUP(Anexo_4[[#This Row],[cuenta]],OP,2,0),"-")</f>
        <v>-</v>
      </c>
    </row>
    <row r="2292" spans="1:28" ht="27" customHeight="1" x14ac:dyDescent="0.3">
      <c r="A2292" s="34" t="s">
        <v>7152</v>
      </c>
      <c r="B2292" s="36" t="str">
        <f t="shared" si="52"/>
        <v>Octubre</v>
      </c>
      <c r="C2292" s="33" t="s">
        <v>162</v>
      </c>
      <c r="D2292" s="33" t="s">
        <v>7365</v>
      </c>
      <c r="E2292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292" s="32" t="s">
        <v>217</v>
      </c>
      <c r="G2292" s="32" t="s">
        <v>4839</v>
      </c>
      <c r="H2292" s="139" t="s">
        <v>7366</v>
      </c>
      <c r="I2292" s="33" t="s">
        <v>264</v>
      </c>
      <c r="J2292" s="143" t="s">
        <v>4644</v>
      </c>
      <c r="K2292" s="33" t="s">
        <v>169</v>
      </c>
      <c r="L2292" s="102" t="str">
        <f>VLOOKUP(Anexo_4[[#This Row],[cod_doc]],TIPODOC,2,FALSE)</f>
        <v>FACTURA</v>
      </c>
      <c r="M2292" s="33" t="s">
        <v>352</v>
      </c>
      <c r="N2292" s="32" t="s">
        <v>7367</v>
      </c>
      <c r="O2292" s="48">
        <v>6.78</v>
      </c>
      <c r="P2292" s="49" t="s">
        <v>4341</v>
      </c>
      <c r="Q2292" s="81">
        <v>1.22</v>
      </c>
      <c r="R2292" s="80" t="s">
        <v>4341</v>
      </c>
      <c r="S2292" s="48" t="s">
        <v>4341</v>
      </c>
      <c r="T2292" s="72">
        <v>8</v>
      </c>
      <c r="U2292" s="70"/>
      <c r="V2292" s="32"/>
      <c r="W2292" s="70"/>
      <c r="X2292" s="70"/>
      <c r="Y2292" s="70" t="s">
        <v>7368</v>
      </c>
      <c r="Z2292" s="70"/>
      <c r="AA2292" s="71"/>
      <c r="AB2292" s="117" t="str">
        <f>IFERROR(VLOOKUP(Anexo_4[[#This Row],[cuenta]],OP,2,0),"-")</f>
        <v>-</v>
      </c>
    </row>
    <row r="2293" spans="1:28" ht="27" customHeight="1" x14ac:dyDescent="0.3">
      <c r="A2293" s="34" t="s">
        <v>7141</v>
      </c>
      <c r="B2293" s="36" t="str">
        <f t="shared" si="52"/>
        <v>Octubre</v>
      </c>
      <c r="C2293" s="33" t="s">
        <v>162</v>
      </c>
      <c r="D2293" s="33" t="s">
        <v>7369</v>
      </c>
      <c r="E2293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293" s="32" t="s">
        <v>217</v>
      </c>
      <c r="G2293" s="32" t="s">
        <v>4839</v>
      </c>
      <c r="H2293" s="139" t="s">
        <v>7370</v>
      </c>
      <c r="I2293" s="33" t="s">
        <v>264</v>
      </c>
      <c r="J2293" s="143" t="s">
        <v>4644</v>
      </c>
      <c r="K2293" s="33" t="s">
        <v>169</v>
      </c>
      <c r="L2293" s="102" t="str">
        <f>VLOOKUP(Anexo_4[[#This Row],[cod_doc]],TIPODOC,2,FALSE)</f>
        <v>FACTURA</v>
      </c>
      <c r="M2293" s="33" t="s">
        <v>379</v>
      </c>
      <c r="N2293" s="32" t="s">
        <v>7371</v>
      </c>
      <c r="O2293" s="48">
        <v>6.78</v>
      </c>
      <c r="P2293" s="49" t="s">
        <v>4341</v>
      </c>
      <c r="Q2293" s="81">
        <v>1.22</v>
      </c>
      <c r="R2293" s="80" t="s">
        <v>4341</v>
      </c>
      <c r="S2293" s="48" t="s">
        <v>4341</v>
      </c>
      <c r="T2293" s="72">
        <v>8</v>
      </c>
      <c r="U2293" s="70"/>
      <c r="V2293" s="32"/>
      <c r="W2293" s="70"/>
      <c r="X2293" s="70"/>
      <c r="Y2293" s="70" t="s">
        <v>7372</v>
      </c>
      <c r="Z2293" s="70"/>
      <c r="AA2293" s="71"/>
      <c r="AB2293" s="117" t="str">
        <f>IFERROR(VLOOKUP(Anexo_4[[#This Row],[cuenta]],OP,2,0),"-")</f>
        <v>-</v>
      </c>
    </row>
    <row r="2294" spans="1:28" ht="27" customHeight="1" x14ac:dyDescent="0.3">
      <c r="A2294" s="34" t="s">
        <v>7159</v>
      </c>
      <c r="B2294" s="36" t="str">
        <f t="shared" si="52"/>
        <v>Octubre</v>
      </c>
      <c r="C2294" s="33" t="s">
        <v>162</v>
      </c>
      <c r="D2294" s="33" t="s">
        <v>7373</v>
      </c>
      <c r="E2294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294" s="32" t="s">
        <v>217</v>
      </c>
      <c r="G2294" s="32" t="s">
        <v>4839</v>
      </c>
      <c r="H2294" s="139" t="s">
        <v>7374</v>
      </c>
      <c r="I2294" s="33" t="s">
        <v>264</v>
      </c>
      <c r="J2294" s="143" t="s">
        <v>4644</v>
      </c>
      <c r="K2294" s="33" t="s">
        <v>169</v>
      </c>
      <c r="L2294" s="102" t="str">
        <f>VLOOKUP(Anexo_4[[#This Row],[cod_doc]],TIPODOC,2,FALSE)</f>
        <v>FACTURA</v>
      </c>
      <c r="M2294" s="33" t="s">
        <v>406</v>
      </c>
      <c r="N2294" s="32" t="s">
        <v>7375</v>
      </c>
      <c r="O2294" s="48">
        <v>6.78</v>
      </c>
      <c r="P2294" s="49" t="s">
        <v>4341</v>
      </c>
      <c r="Q2294" s="81">
        <v>1.22</v>
      </c>
      <c r="R2294" s="80" t="s">
        <v>4341</v>
      </c>
      <c r="S2294" s="48" t="s">
        <v>4341</v>
      </c>
      <c r="T2294" s="72">
        <v>8</v>
      </c>
      <c r="U2294" s="70"/>
      <c r="V2294" s="32"/>
      <c r="W2294" s="70"/>
      <c r="X2294" s="70"/>
      <c r="Y2294" s="70" t="s">
        <v>7376</v>
      </c>
      <c r="Z2294" s="70"/>
      <c r="AA2294" s="71"/>
      <c r="AB2294" s="117" t="str">
        <f>IFERROR(VLOOKUP(Anexo_4[[#This Row],[cuenta]],OP,2,0),"-")</f>
        <v>-</v>
      </c>
    </row>
    <row r="2295" spans="1:28" ht="27" customHeight="1" x14ac:dyDescent="0.3">
      <c r="A2295" s="34" t="s">
        <v>7159</v>
      </c>
      <c r="B2295" s="36" t="str">
        <f t="shared" si="52"/>
        <v>Octubre</v>
      </c>
      <c r="C2295" s="33" t="s">
        <v>162</v>
      </c>
      <c r="D2295" s="33" t="s">
        <v>7377</v>
      </c>
      <c r="E2295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295" s="32" t="s">
        <v>217</v>
      </c>
      <c r="G2295" s="32" t="s">
        <v>4839</v>
      </c>
      <c r="H2295" s="139" t="s">
        <v>7378</v>
      </c>
      <c r="I2295" s="33" t="s">
        <v>264</v>
      </c>
      <c r="J2295" s="143" t="s">
        <v>4644</v>
      </c>
      <c r="K2295" s="33" t="s">
        <v>169</v>
      </c>
      <c r="L2295" s="102" t="str">
        <f>VLOOKUP(Anexo_4[[#This Row],[cod_doc]],TIPODOC,2,FALSE)</f>
        <v>FACTURA</v>
      </c>
      <c r="M2295" s="33" t="s">
        <v>352</v>
      </c>
      <c r="N2295" s="32" t="s">
        <v>7379</v>
      </c>
      <c r="O2295" s="48">
        <v>6.78</v>
      </c>
      <c r="P2295" s="49" t="s">
        <v>4341</v>
      </c>
      <c r="Q2295" s="81">
        <v>1.22</v>
      </c>
      <c r="R2295" s="80" t="s">
        <v>4341</v>
      </c>
      <c r="S2295" s="48" t="s">
        <v>4341</v>
      </c>
      <c r="T2295" s="72">
        <v>8</v>
      </c>
      <c r="U2295" s="70"/>
      <c r="V2295" s="32"/>
      <c r="W2295" s="70"/>
      <c r="X2295" s="70"/>
      <c r="Y2295" s="70" t="s">
        <v>7380</v>
      </c>
      <c r="Z2295" s="70"/>
      <c r="AA2295" s="71"/>
      <c r="AB2295" s="117" t="str">
        <f>IFERROR(VLOOKUP(Anexo_4[[#This Row],[cuenta]],OP,2,0),"-")</f>
        <v>-</v>
      </c>
    </row>
    <row r="2296" spans="1:28" ht="27" customHeight="1" x14ac:dyDescent="0.3">
      <c r="A2296" s="34" t="s">
        <v>7307</v>
      </c>
      <c r="B2296" s="36" t="str">
        <f t="shared" si="52"/>
        <v>Octubre</v>
      </c>
      <c r="C2296" s="33" t="s">
        <v>162</v>
      </c>
      <c r="D2296" s="33" t="s">
        <v>7381</v>
      </c>
      <c r="E2296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296" s="32" t="s">
        <v>235</v>
      </c>
      <c r="G2296" s="32" t="s">
        <v>5051</v>
      </c>
      <c r="H2296" s="139" t="s">
        <v>7382</v>
      </c>
      <c r="I2296" s="33" t="s">
        <v>178</v>
      </c>
      <c r="J2296" s="143" t="s">
        <v>4667</v>
      </c>
      <c r="K2296" s="33" t="s">
        <v>169</v>
      </c>
      <c r="L2296" s="102" t="str">
        <f>VLOOKUP(Anexo_4[[#This Row],[cod_doc]],TIPODOC,2,FALSE)</f>
        <v>FACTURA</v>
      </c>
      <c r="M2296" s="33" t="s">
        <v>180</v>
      </c>
      <c r="N2296" s="32" t="s">
        <v>7383</v>
      </c>
      <c r="O2296" s="48">
        <v>4.24</v>
      </c>
      <c r="P2296" s="49" t="s">
        <v>4341</v>
      </c>
      <c r="Q2296" s="81">
        <v>0.76</v>
      </c>
      <c r="R2296" s="80" t="s">
        <v>4341</v>
      </c>
      <c r="S2296" s="48" t="s">
        <v>4341</v>
      </c>
      <c r="T2296" s="72">
        <v>5</v>
      </c>
      <c r="U2296" s="70"/>
      <c r="V2296" s="32"/>
      <c r="W2296" s="70"/>
      <c r="X2296" s="70"/>
      <c r="Y2296" s="70" t="s">
        <v>7384</v>
      </c>
      <c r="Z2296" s="70"/>
      <c r="AA2296" s="71"/>
      <c r="AB2296" s="117" t="str">
        <f>IFERROR(VLOOKUP(Anexo_4[[#This Row],[cuenta]],OP,2,0),"-")</f>
        <v>-</v>
      </c>
    </row>
    <row r="2297" spans="1:28" ht="27" customHeight="1" x14ac:dyDescent="0.3">
      <c r="A2297" s="34" t="s">
        <v>7152</v>
      </c>
      <c r="B2297" s="36" t="str">
        <f t="shared" si="52"/>
        <v>Octubre</v>
      </c>
      <c r="C2297" s="33" t="s">
        <v>162</v>
      </c>
      <c r="D2297" s="33" t="s">
        <v>7385</v>
      </c>
      <c r="E2297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297" s="32" t="s">
        <v>217</v>
      </c>
      <c r="G2297" s="32" t="s">
        <v>4839</v>
      </c>
      <c r="H2297" s="139" t="s">
        <v>7386</v>
      </c>
      <c r="I2297" s="33" t="s">
        <v>383</v>
      </c>
      <c r="J2297" s="143" t="s">
        <v>4702</v>
      </c>
      <c r="K2297" s="33" t="s">
        <v>169</v>
      </c>
      <c r="L2297" s="102" t="str">
        <f>VLOOKUP(Anexo_4[[#This Row],[cod_doc]],TIPODOC,2,FALSE)</f>
        <v>FACTURA</v>
      </c>
      <c r="M2297" s="33" t="s">
        <v>103</v>
      </c>
      <c r="N2297" s="32" t="s">
        <v>7387</v>
      </c>
      <c r="O2297" s="48">
        <v>16.95</v>
      </c>
      <c r="P2297" s="49" t="s">
        <v>4341</v>
      </c>
      <c r="Q2297" s="81">
        <v>3.05</v>
      </c>
      <c r="R2297" s="80" t="s">
        <v>4341</v>
      </c>
      <c r="S2297" s="48" t="s">
        <v>4341</v>
      </c>
      <c r="T2297" s="72">
        <v>20</v>
      </c>
      <c r="U2297" s="70"/>
      <c r="V2297" s="32"/>
      <c r="W2297" s="70"/>
      <c r="X2297" s="70"/>
      <c r="Y2297" s="70" t="s">
        <v>7388</v>
      </c>
      <c r="Z2297" s="70"/>
      <c r="AA2297" s="71"/>
      <c r="AB2297" s="117" t="str">
        <f>IFERROR(VLOOKUP(Anexo_4[[#This Row],[cuenta]],OP,2,0),"-")</f>
        <v>-</v>
      </c>
    </row>
    <row r="2298" spans="1:28" ht="27" customHeight="1" x14ac:dyDescent="0.3">
      <c r="A2298" s="34" t="s">
        <v>7159</v>
      </c>
      <c r="B2298" s="36" t="str">
        <f t="shared" si="52"/>
        <v>Octubre</v>
      </c>
      <c r="C2298" s="33" t="s">
        <v>162</v>
      </c>
      <c r="D2298" s="33" t="s">
        <v>7389</v>
      </c>
      <c r="E2298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298" s="32" t="s">
        <v>217</v>
      </c>
      <c r="G2298" s="32" t="s">
        <v>4839</v>
      </c>
      <c r="H2298" s="139" t="s">
        <v>7390</v>
      </c>
      <c r="I2298" s="33" t="s">
        <v>383</v>
      </c>
      <c r="J2298" s="143" t="s">
        <v>4702</v>
      </c>
      <c r="K2298" s="33" t="s">
        <v>169</v>
      </c>
      <c r="L2298" s="102" t="str">
        <f>VLOOKUP(Anexo_4[[#This Row],[cod_doc]],TIPODOC,2,FALSE)</f>
        <v>FACTURA</v>
      </c>
      <c r="M2298" s="33" t="s">
        <v>103</v>
      </c>
      <c r="N2298" s="32" t="s">
        <v>7391</v>
      </c>
      <c r="O2298" s="48">
        <v>16.95</v>
      </c>
      <c r="P2298" s="49" t="s">
        <v>4341</v>
      </c>
      <c r="Q2298" s="81">
        <v>3.05</v>
      </c>
      <c r="R2298" s="80" t="s">
        <v>4341</v>
      </c>
      <c r="S2298" s="48" t="s">
        <v>4341</v>
      </c>
      <c r="T2298" s="72">
        <v>20</v>
      </c>
      <c r="U2298" s="70"/>
      <c r="V2298" s="32"/>
      <c r="W2298" s="70"/>
      <c r="X2298" s="70"/>
      <c r="Y2298" s="70" t="s">
        <v>7392</v>
      </c>
      <c r="Z2298" s="70"/>
      <c r="AA2298" s="71"/>
      <c r="AB2298" s="117" t="str">
        <f>IFERROR(VLOOKUP(Anexo_4[[#This Row],[cuenta]],OP,2,0),"-")</f>
        <v>-</v>
      </c>
    </row>
    <row r="2299" spans="1:28" ht="27" customHeight="1" x14ac:dyDescent="0.3">
      <c r="A2299" s="34" t="s">
        <v>7159</v>
      </c>
      <c r="B2299" s="36" t="str">
        <f t="shared" si="52"/>
        <v>Octubre</v>
      </c>
      <c r="C2299" s="33" t="s">
        <v>162</v>
      </c>
      <c r="D2299" s="33" t="s">
        <v>7393</v>
      </c>
      <c r="E2299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299" s="32" t="s">
        <v>217</v>
      </c>
      <c r="G2299" s="32" t="s">
        <v>4839</v>
      </c>
      <c r="H2299" s="139" t="s">
        <v>7394</v>
      </c>
      <c r="I2299" s="33" t="s">
        <v>383</v>
      </c>
      <c r="J2299" s="143" t="s">
        <v>4702</v>
      </c>
      <c r="K2299" s="33" t="s">
        <v>169</v>
      </c>
      <c r="L2299" s="102" t="str">
        <f>VLOOKUP(Anexo_4[[#This Row],[cod_doc]],TIPODOC,2,FALSE)</f>
        <v>FACTURA</v>
      </c>
      <c r="M2299" s="33" t="s">
        <v>103</v>
      </c>
      <c r="N2299" s="32" t="s">
        <v>7395</v>
      </c>
      <c r="O2299" s="48">
        <v>16.95</v>
      </c>
      <c r="P2299" s="49" t="s">
        <v>4341</v>
      </c>
      <c r="Q2299" s="81">
        <v>3.05</v>
      </c>
      <c r="R2299" s="80" t="s">
        <v>4341</v>
      </c>
      <c r="S2299" s="48" t="s">
        <v>4341</v>
      </c>
      <c r="T2299" s="72">
        <v>20</v>
      </c>
      <c r="U2299" s="70"/>
      <c r="V2299" s="32"/>
      <c r="W2299" s="70"/>
      <c r="X2299" s="70"/>
      <c r="Y2299" s="70" t="s">
        <v>7396</v>
      </c>
      <c r="Z2299" s="70"/>
      <c r="AA2299" s="71"/>
      <c r="AB2299" s="117" t="str">
        <f>IFERROR(VLOOKUP(Anexo_4[[#This Row],[cuenta]],OP,2,0),"-")</f>
        <v>-</v>
      </c>
    </row>
    <row r="2300" spans="1:28" ht="27" customHeight="1" x14ac:dyDescent="0.3">
      <c r="A2300" s="34" t="s">
        <v>7240</v>
      </c>
      <c r="B2300" s="36" t="str">
        <f t="shared" si="52"/>
        <v>Octubre</v>
      </c>
      <c r="C2300" s="33" t="s">
        <v>162</v>
      </c>
      <c r="D2300" s="33" t="s">
        <v>7397</v>
      </c>
      <c r="E2300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300" s="32" t="s">
        <v>235</v>
      </c>
      <c r="G2300" s="32" t="s">
        <v>5051</v>
      </c>
      <c r="H2300" s="139" t="s">
        <v>7398</v>
      </c>
      <c r="I2300" s="33" t="s">
        <v>7399</v>
      </c>
      <c r="J2300" s="143" t="s">
        <v>7400</v>
      </c>
      <c r="K2300" s="33" t="s">
        <v>169</v>
      </c>
      <c r="L2300" s="102" t="str">
        <f>VLOOKUP(Anexo_4[[#This Row],[cod_doc]],TIPODOC,2,FALSE)</f>
        <v>FACTURA</v>
      </c>
      <c r="M2300" s="33" t="s">
        <v>102</v>
      </c>
      <c r="N2300" s="32" t="s">
        <v>7401</v>
      </c>
      <c r="O2300" s="48">
        <v>16.95</v>
      </c>
      <c r="P2300" s="49" t="s">
        <v>4341</v>
      </c>
      <c r="Q2300" s="81">
        <v>3.05</v>
      </c>
      <c r="R2300" s="80" t="s">
        <v>4341</v>
      </c>
      <c r="S2300" s="48" t="s">
        <v>4341</v>
      </c>
      <c r="T2300" s="72">
        <v>20</v>
      </c>
      <c r="U2300" s="70"/>
      <c r="V2300" s="32"/>
      <c r="W2300" s="70"/>
      <c r="X2300" s="70"/>
      <c r="Y2300" s="70" t="s">
        <v>7402</v>
      </c>
      <c r="Z2300" s="70"/>
      <c r="AA2300" s="71"/>
      <c r="AB2300" s="117" t="str">
        <f>IFERROR(VLOOKUP(Anexo_4[[#This Row],[cuenta]],OP,2,0),"-")</f>
        <v>-</v>
      </c>
    </row>
    <row r="2301" spans="1:28" ht="27" customHeight="1" x14ac:dyDescent="0.3">
      <c r="A2301" s="34" t="s">
        <v>7276</v>
      </c>
      <c r="B2301" s="36" t="str">
        <f t="shared" si="52"/>
        <v>Octubre</v>
      </c>
      <c r="C2301" s="33" t="s">
        <v>162</v>
      </c>
      <c r="D2301" s="33" t="s">
        <v>7403</v>
      </c>
      <c r="E2301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301" s="32" t="s">
        <v>355</v>
      </c>
      <c r="G2301" s="32" t="s">
        <v>356</v>
      </c>
      <c r="H2301" s="139" t="s">
        <v>7404</v>
      </c>
      <c r="I2301" s="33" t="s">
        <v>7405</v>
      </c>
      <c r="J2301" s="143" t="s">
        <v>7406</v>
      </c>
      <c r="K2301" s="33" t="s">
        <v>169</v>
      </c>
      <c r="L2301" s="102" t="str">
        <f>VLOOKUP(Anexo_4[[#This Row],[cod_doc]],TIPODOC,2,FALSE)</f>
        <v>FACTURA</v>
      </c>
      <c r="M2301" s="33" t="s">
        <v>222</v>
      </c>
      <c r="N2301" s="32" t="s">
        <v>7407</v>
      </c>
      <c r="O2301" s="48">
        <v>150</v>
      </c>
      <c r="P2301" s="49" t="s">
        <v>4341</v>
      </c>
      <c r="Q2301" s="81">
        <v>27</v>
      </c>
      <c r="R2301" s="80" t="s">
        <v>4341</v>
      </c>
      <c r="S2301" s="48" t="s">
        <v>4341</v>
      </c>
      <c r="T2301" s="72">
        <v>177</v>
      </c>
      <c r="U2301" s="70"/>
      <c r="V2301" s="32"/>
      <c r="W2301" s="70"/>
      <c r="X2301" s="70"/>
      <c r="Y2301" s="70"/>
      <c r="Z2301" s="70"/>
      <c r="AA2301" s="71"/>
      <c r="AB2301" s="117" t="str">
        <f>IFERROR(VLOOKUP(Anexo_4[[#This Row],[cuenta]],OP,2,0),"-")</f>
        <v>-</v>
      </c>
    </row>
    <row r="2302" spans="1:28" ht="27" customHeight="1" x14ac:dyDescent="0.3">
      <c r="A2302" s="34" t="s">
        <v>7240</v>
      </c>
      <c r="B2302" s="36" t="str">
        <f t="shared" si="52"/>
        <v>Octubre</v>
      </c>
      <c r="C2302" s="33" t="s">
        <v>162</v>
      </c>
      <c r="D2302" s="33" t="s">
        <v>7408</v>
      </c>
      <c r="E2302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302" s="32"/>
      <c r="G2302" s="32"/>
      <c r="H2302" s="139" t="s">
        <v>7409</v>
      </c>
      <c r="I2302" s="33" t="s">
        <v>258</v>
      </c>
      <c r="J2302" s="143" t="s">
        <v>4812</v>
      </c>
      <c r="K2302" s="33" t="s">
        <v>169</v>
      </c>
      <c r="L2302" s="102" t="str">
        <f>VLOOKUP(Anexo_4[[#This Row],[cod_doc]],TIPODOC,2,FALSE)</f>
        <v>FACTURA</v>
      </c>
      <c r="M2302" s="33" t="s">
        <v>260</v>
      </c>
      <c r="N2302" s="32" t="s">
        <v>7410</v>
      </c>
      <c r="O2302" s="48">
        <v>300.17</v>
      </c>
      <c r="P2302" s="49" t="s">
        <v>4341</v>
      </c>
      <c r="Q2302" s="81">
        <v>54.02</v>
      </c>
      <c r="R2302" s="80" t="s">
        <v>4341</v>
      </c>
      <c r="S2302" s="48" t="s">
        <v>4341</v>
      </c>
      <c r="T2302" s="72">
        <v>354.19</v>
      </c>
      <c r="U2302" s="70"/>
      <c r="V2302" s="32"/>
      <c r="W2302" s="70"/>
      <c r="X2302" s="70"/>
      <c r="Y2302" s="70"/>
      <c r="Z2302" s="70"/>
      <c r="AA2302" s="71"/>
      <c r="AB2302" s="117" t="str">
        <f>IFERROR(VLOOKUP(Anexo_4[[#This Row],[cuenta]],OP,2,0),"-")</f>
        <v>-</v>
      </c>
    </row>
    <row r="2303" spans="1:28" ht="27" customHeight="1" x14ac:dyDescent="0.3">
      <c r="A2303" s="34" t="s">
        <v>7411</v>
      </c>
      <c r="B2303" s="36" t="str">
        <f t="shared" si="52"/>
        <v>Octubre</v>
      </c>
      <c r="C2303" s="33" t="s">
        <v>162</v>
      </c>
      <c r="D2303" s="33" t="s">
        <v>7412</v>
      </c>
      <c r="E2303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303" s="32" t="s">
        <v>953</v>
      </c>
      <c r="G2303" s="32" t="s">
        <v>954</v>
      </c>
      <c r="H2303" s="139" t="s">
        <v>7413</v>
      </c>
      <c r="I2303" s="33" t="s">
        <v>7414</v>
      </c>
      <c r="J2303" s="143" t="s">
        <v>7415</v>
      </c>
      <c r="K2303" s="33" t="s">
        <v>169</v>
      </c>
      <c r="L2303" s="102" t="str">
        <f>VLOOKUP(Anexo_4[[#This Row],[cod_doc]],TIPODOC,2,FALSE)</f>
        <v>FACTURA</v>
      </c>
      <c r="M2303" s="33" t="s">
        <v>102</v>
      </c>
      <c r="N2303" s="32" t="s">
        <v>6293</v>
      </c>
      <c r="O2303" s="48">
        <v>160.16999999999999</v>
      </c>
      <c r="P2303" s="49" t="s">
        <v>4341</v>
      </c>
      <c r="Q2303" s="81">
        <v>28.83</v>
      </c>
      <c r="R2303" s="80" t="s">
        <v>4341</v>
      </c>
      <c r="S2303" s="48" t="s">
        <v>4341</v>
      </c>
      <c r="T2303" s="72">
        <v>189</v>
      </c>
      <c r="U2303" s="70"/>
      <c r="V2303" s="32"/>
      <c r="W2303" s="70"/>
      <c r="X2303" s="70"/>
      <c r="Y2303" s="70"/>
      <c r="Z2303" s="70"/>
      <c r="AA2303" s="71"/>
      <c r="AB2303" s="117" t="str">
        <f>IFERROR(VLOOKUP(Anexo_4[[#This Row],[cuenta]],OP,2,0),"-")</f>
        <v>-</v>
      </c>
    </row>
    <row r="2304" spans="1:28" ht="27" customHeight="1" x14ac:dyDescent="0.3">
      <c r="A2304" s="34" t="s">
        <v>7416</v>
      </c>
      <c r="B2304" s="36" t="str">
        <f t="shared" si="52"/>
        <v>Octubre</v>
      </c>
      <c r="C2304" s="33" t="s">
        <v>162</v>
      </c>
      <c r="D2304" s="33" t="s">
        <v>7417</v>
      </c>
      <c r="E2304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304" s="32" t="s">
        <v>823</v>
      </c>
      <c r="G2304" s="32" t="s">
        <v>824</v>
      </c>
      <c r="H2304" s="139" t="s">
        <v>7418</v>
      </c>
      <c r="I2304" s="33" t="s">
        <v>7414</v>
      </c>
      <c r="J2304" s="143" t="s">
        <v>7415</v>
      </c>
      <c r="K2304" s="33" t="s">
        <v>169</v>
      </c>
      <c r="L2304" s="102" t="str">
        <f>VLOOKUP(Anexo_4[[#This Row],[cod_doc]],TIPODOC,2,FALSE)</f>
        <v>FACTURA</v>
      </c>
      <c r="M2304" s="33" t="s">
        <v>102</v>
      </c>
      <c r="N2304" s="32" t="s">
        <v>7419</v>
      </c>
      <c r="O2304" s="48">
        <v>210.17</v>
      </c>
      <c r="P2304" s="49" t="s">
        <v>4341</v>
      </c>
      <c r="Q2304" s="81">
        <v>37.83</v>
      </c>
      <c r="R2304" s="80" t="s">
        <v>4341</v>
      </c>
      <c r="S2304" s="48" t="s">
        <v>4341</v>
      </c>
      <c r="T2304" s="72">
        <v>248</v>
      </c>
      <c r="U2304" s="70"/>
      <c r="V2304" s="32"/>
      <c r="W2304" s="70"/>
      <c r="X2304" s="70"/>
      <c r="Y2304" s="70"/>
      <c r="Z2304" s="70"/>
      <c r="AA2304" s="71"/>
      <c r="AB2304" s="117" t="str">
        <f>IFERROR(VLOOKUP(Anexo_4[[#This Row],[cuenta]],OP,2,0),"-")</f>
        <v>-</v>
      </c>
    </row>
    <row r="2305" spans="1:28" ht="27" customHeight="1" x14ac:dyDescent="0.3">
      <c r="A2305" s="34" t="s">
        <v>7276</v>
      </c>
      <c r="B2305" s="36" t="str">
        <f t="shared" si="52"/>
        <v>Octubre</v>
      </c>
      <c r="C2305" s="33" t="s">
        <v>162</v>
      </c>
      <c r="D2305" s="33" t="s">
        <v>7420</v>
      </c>
      <c r="E2305" s="37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2305" s="32" t="s">
        <v>198</v>
      </c>
      <c r="G2305" s="32" t="s">
        <v>199</v>
      </c>
      <c r="H2305" s="139" t="s">
        <v>7421</v>
      </c>
      <c r="I2305" s="33" t="s">
        <v>7422</v>
      </c>
      <c r="J2305" s="143" t="s">
        <v>7423</v>
      </c>
      <c r="K2305" s="33" t="s">
        <v>169</v>
      </c>
      <c r="L2305" s="102" t="str">
        <f>VLOOKUP(Anexo_4[[#This Row],[cod_doc]],TIPODOC,2,FALSE)</f>
        <v>FACTURA</v>
      </c>
      <c r="M2305" s="33" t="s">
        <v>7424</v>
      </c>
      <c r="N2305" s="32" t="s">
        <v>7425</v>
      </c>
      <c r="O2305" s="48">
        <v>169.32</v>
      </c>
      <c r="P2305" s="49" t="s">
        <v>4341</v>
      </c>
      <c r="Q2305" s="81">
        <v>30.48</v>
      </c>
      <c r="R2305" s="80" t="s">
        <v>4341</v>
      </c>
      <c r="S2305" s="48" t="s">
        <v>4341</v>
      </c>
      <c r="T2305" s="72">
        <v>199.8</v>
      </c>
      <c r="U2305" s="70"/>
      <c r="V2305" s="32"/>
      <c r="W2305" s="70"/>
      <c r="X2305" s="70"/>
      <c r="Y2305" s="70"/>
      <c r="Z2305" s="70"/>
      <c r="AA2305" s="71"/>
      <c r="AB2305" s="117" t="str">
        <f>IFERROR(VLOOKUP(Anexo_4[[#This Row],[cuenta]],OP,2,0),"-")</f>
        <v>-</v>
      </c>
    </row>
    <row r="2306" spans="1:28" ht="27" customHeight="1" x14ac:dyDescent="0.3">
      <c r="A2306" s="34" t="s">
        <v>7159</v>
      </c>
      <c r="B2306" s="36" t="str">
        <f t="shared" si="52"/>
        <v>Octubre</v>
      </c>
      <c r="C2306" s="33" t="s">
        <v>162</v>
      </c>
      <c r="D2306" s="33" t="s">
        <v>7426</v>
      </c>
      <c r="E2306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306" s="32" t="s">
        <v>823</v>
      </c>
      <c r="G2306" s="32" t="s">
        <v>824</v>
      </c>
      <c r="H2306" s="139" t="s">
        <v>7427</v>
      </c>
      <c r="I2306" s="33" t="s">
        <v>2113</v>
      </c>
      <c r="J2306" s="143" t="s">
        <v>6854</v>
      </c>
      <c r="K2306" s="33" t="s">
        <v>169</v>
      </c>
      <c r="L2306" s="102" t="str">
        <f>VLOOKUP(Anexo_4[[#This Row],[cod_doc]],TIPODOC,2,FALSE)</f>
        <v>FACTURA</v>
      </c>
      <c r="M2306" s="33" t="s">
        <v>6941</v>
      </c>
      <c r="N2306" s="32" t="s">
        <v>7428</v>
      </c>
      <c r="O2306" s="48">
        <v>53.72</v>
      </c>
      <c r="P2306" s="49" t="s">
        <v>4341</v>
      </c>
      <c r="Q2306" s="81">
        <v>9.68</v>
      </c>
      <c r="R2306" s="80" t="s">
        <v>4341</v>
      </c>
      <c r="S2306" s="48" t="s">
        <v>4341</v>
      </c>
      <c r="T2306" s="72">
        <v>63.4</v>
      </c>
      <c r="U2306" s="70"/>
      <c r="V2306" s="32"/>
      <c r="W2306" s="70"/>
      <c r="X2306" s="70"/>
      <c r="Y2306" s="70"/>
      <c r="Z2306" s="70"/>
      <c r="AA2306" s="71"/>
      <c r="AB2306" s="117" t="str">
        <f>IFERROR(VLOOKUP(Anexo_4[[#This Row],[cuenta]],OP,2,0),"-")</f>
        <v>-</v>
      </c>
    </row>
    <row r="2307" spans="1:28" ht="27" customHeight="1" x14ac:dyDescent="0.3">
      <c r="A2307" s="34" t="s">
        <v>7159</v>
      </c>
      <c r="B2307" s="36" t="str">
        <f t="shared" si="52"/>
        <v>Octubre</v>
      </c>
      <c r="C2307" s="33" t="s">
        <v>162</v>
      </c>
      <c r="D2307" s="33" t="s">
        <v>7429</v>
      </c>
      <c r="E2307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307" s="32" t="s">
        <v>823</v>
      </c>
      <c r="G2307" s="32" t="s">
        <v>824</v>
      </c>
      <c r="H2307" s="139" t="s">
        <v>7430</v>
      </c>
      <c r="I2307" s="33" t="s">
        <v>904</v>
      </c>
      <c r="J2307" s="143" t="s">
        <v>5559</v>
      </c>
      <c r="K2307" s="33" t="s">
        <v>169</v>
      </c>
      <c r="L2307" s="102" t="str">
        <f>VLOOKUP(Anexo_4[[#This Row],[cod_doc]],TIPODOC,2,FALSE)</f>
        <v>FACTURA</v>
      </c>
      <c r="M2307" s="33" t="s">
        <v>180</v>
      </c>
      <c r="N2307" s="32" t="s">
        <v>7431</v>
      </c>
      <c r="O2307" s="48"/>
      <c r="P2307" s="49">
        <v>258.18</v>
      </c>
      <c r="Q2307" s="81"/>
      <c r="R2307" s="80">
        <v>25.82</v>
      </c>
      <c r="S2307" s="48" t="s">
        <v>4341</v>
      </c>
      <c r="T2307" s="72">
        <v>284</v>
      </c>
      <c r="U2307" s="70"/>
      <c r="V2307" s="32"/>
      <c r="W2307" s="70"/>
      <c r="X2307" s="70"/>
      <c r="Y2307" s="70"/>
      <c r="Z2307" s="70"/>
      <c r="AA2307" s="71"/>
      <c r="AB2307" s="117" t="str">
        <f>IFERROR(VLOOKUP(Anexo_4[[#This Row],[cuenta]],OP,2,0),"-")</f>
        <v>-</v>
      </c>
    </row>
    <row r="2308" spans="1:28" ht="27" customHeight="1" x14ac:dyDescent="0.3">
      <c r="A2308" s="34" t="s">
        <v>7432</v>
      </c>
      <c r="B2308" s="36" t="str">
        <f t="shared" si="52"/>
        <v>Octubre</v>
      </c>
      <c r="C2308" s="33" t="s">
        <v>162</v>
      </c>
      <c r="D2308" s="33" t="s">
        <v>7433</v>
      </c>
      <c r="E2308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308" s="32" t="s">
        <v>823</v>
      </c>
      <c r="G2308" s="32" t="s">
        <v>824</v>
      </c>
      <c r="H2308" s="139" t="s">
        <v>7434</v>
      </c>
      <c r="I2308" s="33" t="s">
        <v>7422</v>
      </c>
      <c r="J2308" s="143" t="s">
        <v>7423</v>
      </c>
      <c r="K2308" s="33" t="s">
        <v>169</v>
      </c>
      <c r="L2308" s="102" t="str">
        <f>VLOOKUP(Anexo_4[[#This Row],[cod_doc]],TIPODOC,2,FALSE)</f>
        <v>FACTURA</v>
      </c>
      <c r="M2308" s="33" t="s">
        <v>7435</v>
      </c>
      <c r="N2308" s="32" t="s">
        <v>7436</v>
      </c>
      <c r="O2308" s="48">
        <v>651.74</v>
      </c>
      <c r="P2308" s="49" t="s">
        <v>4341</v>
      </c>
      <c r="Q2308" s="81">
        <v>117.3</v>
      </c>
      <c r="R2308" s="80" t="s">
        <v>4341</v>
      </c>
      <c r="S2308" s="48" t="s">
        <v>4341</v>
      </c>
      <c r="T2308" s="72">
        <v>769.04</v>
      </c>
      <c r="U2308" s="70"/>
      <c r="V2308" s="32"/>
      <c r="W2308" s="70"/>
      <c r="X2308" s="70"/>
      <c r="Y2308" s="70"/>
      <c r="Z2308" s="70"/>
      <c r="AA2308" s="71"/>
      <c r="AB2308" s="117" t="str">
        <f>IFERROR(VLOOKUP(Anexo_4[[#This Row],[cuenta]],OP,2,0),"-")</f>
        <v>-</v>
      </c>
    </row>
    <row r="2309" spans="1:28" ht="27" customHeight="1" x14ac:dyDescent="0.3">
      <c r="A2309" s="34" t="s">
        <v>7416</v>
      </c>
      <c r="B2309" s="36" t="str">
        <f t="shared" si="52"/>
        <v>Octubre</v>
      </c>
      <c r="C2309" s="33" t="s">
        <v>162</v>
      </c>
      <c r="D2309" s="33" t="s">
        <v>7437</v>
      </c>
      <c r="E2309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309" s="32" t="s">
        <v>248</v>
      </c>
      <c r="G2309" s="32" t="s">
        <v>249</v>
      </c>
      <c r="H2309" s="139" t="s">
        <v>7438</v>
      </c>
      <c r="I2309" s="33" t="s">
        <v>3717</v>
      </c>
      <c r="J2309" s="143" t="s">
        <v>7439</v>
      </c>
      <c r="K2309" s="33" t="s">
        <v>169</v>
      </c>
      <c r="L2309" s="102" t="str">
        <f>VLOOKUP(Anexo_4[[#This Row],[cod_doc]],TIPODOC,2,FALSE)</f>
        <v>FACTURA</v>
      </c>
      <c r="M2309" s="33" t="s">
        <v>3719</v>
      </c>
      <c r="N2309" s="32" t="s">
        <v>7440</v>
      </c>
      <c r="O2309" s="48">
        <v>2462.37</v>
      </c>
      <c r="P2309" s="49" t="s">
        <v>4341</v>
      </c>
      <c r="Q2309" s="81">
        <v>443.23</v>
      </c>
      <c r="R2309" s="80" t="s">
        <v>4341</v>
      </c>
      <c r="S2309" s="48" t="s">
        <v>4341</v>
      </c>
      <c r="T2309" s="72">
        <v>2905.6</v>
      </c>
      <c r="U2309" s="70"/>
      <c r="V2309" s="32"/>
      <c r="W2309" s="70"/>
      <c r="X2309" s="70"/>
      <c r="Y2309" s="70"/>
      <c r="Z2309" s="70"/>
      <c r="AA2309" s="71"/>
      <c r="AB2309" s="117" t="str">
        <f>IFERROR(VLOOKUP(Anexo_4[[#This Row],[cuenta]],OP,2,0),"-")</f>
        <v>-</v>
      </c>
    </row>
    <row r="2310" spans="1:28" ht="27" customHeight="1" x14ac:dyDescent="0.3">
      <c r="A2310" s="34" t="s">
        <v>7416</v>
      </c>
      <c r="B2310" s="36" t="str">
        <f t="shared" si="52"/>
        <v>Octubre</v>
      </c>
      <c r="C2310" s="33" t="s">
        <v>162</v>
      </c>
      <c r="D2310" s="33" t="s">
        <v>7441</v>
      </c>
      <c r="E2310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310" s="32" t="s">
        <v>248</v>
      </c>
      <c r="G2310" s="32" t="s">
        <v>249</v>
      </c>
      <c r="H2310" s="139" t="s">
        <v>7442</v>
      </c>
      <c r="I2310" s="33" t="s">
        <v>3717</v>
      </c>
      <c r="J2310" s="143" t="s">
        <v>7439</v>
      </c>
      <c r="K2310" s="33" t="s">
        <v>169</v>
      </c>
      <c r="L2310" s="102" t="str">
        <f>VLOOKUP(Anexo_4[[#This Row],[cod_doc]],TIPODOC,2,FALSE)</f>
        <v>FACTURA</v>
      </c>
      <c r="M2310" s="33" t="s">
        <v>3719</v>
      </c>
      <c r="N2310" s="32" t="s">
        <v>7443</v>
      </c>
      <c r="O2310" s="48">
        <v>2377.7399999999998</v>
      </c>
      <c r="P2310" s="49" t="s">
        <v>4341</v>
      </c>
      <c r="Q2310" s="81">
        <v>428</v>
      </c>
      <c r="R2310" s="80" t="s">
        <v>4341</v>
      </c>
      <c r="S2310" s="48" t="s">
        <v>4341</v>
      </c>
      <c r="T2310" s="72">
        <v>2805.74</v>
      </c>
      <c r="U2310" s="70"/>
      <c r="V2310" s="32"/>
      <c r="W2310" s="70"/>
      <c r="X2310" s="70"/>
      <c r="Y2310" s="70" t="s">
        <v>7444</v>
      </c>
      <c r="Z2310" s="70"/>
      <c r="AA2310" s="71"/>
      <c r="AB2310" s="117" t="str">
        <f>IFERROR(VLOOKUP(Anexo_4[[#This Row],[cuenta]],OP,2,0),"-")</f>
        <v>-</v>
      </c>
    </row>
    <row r="2311" spans="1:28" ht="27" customHeight="1" x14ac:dyDescent="0.3">
      <c r="A2311" s="34" t="s">
        <v>7416</v>
      </c>
      <c r="B2311" s="36" t="str">
        <f t="shared" si="52"/>
        <v>Octubre</v>
      </c>
      <c r="C2311" s="33" t="s">
        <v>162</v>
      </c>
      <c r="D2311" s="33" t="s">
        <v>7445</v>
      </c>
      <c r="E2311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311" s="32" t="s">
        <v>248</v>
      </c>
      <c r="G2311" s="32" t="s">
        <v>249</v>
      </c>
      <c r="H2311" s="139" t="s">
        <v>7446</v>
      </c>
      <c r="I2311" s="33" t="s">
        <v>3717</v>
      </c>
      <c r="J2311" s="143" t="s">
        <v>7439</v>
      </c>
      <c r="K2311" s="33" t="s">
        <v>169</v>
      </c>
      <c r="L2311" s="102" t="str">
        <f>VLOOKUP(Anexo_4[[#This Row],[cod_doc]],TIPODOC,2,FALSE)</f>
        <v>FACTURA</v>
      </c>
      <c r="M2311" s="33" t="s">
        <v>3719</v>
      </c>
      <c r="N2311" s="32" t="s">
        <v>7447</v>
      </c>
      <c r="O2311" s="48">
        <v>1982.54</v>
      </c>
      <c r="P2311" s="49" t="s">
        <v>4341</v>
      </c>
      <c r="Q2311" s="81">
        <v>356.86</v>
      </c>
      <c r="R2311" s="80" t="s">
        <v>4341</v>
      </c>
      <c r="S2311" s="48" t="s">
        <v>4341</v>
      </c>
      <c r="T2311" s="72">
        <v>2339.4</v>
      </c>
      <c r="U2311" s="70"/>
      <c r="V2311" s="32"/>
      <c r="W2311" s="70"/>
      <c r="X2311" s="70"/>
      <c r="Y2311" s="70" t="s">
        <v>7448</v>
      </c>
      <c r="Z2311" s="70"/>
      <c r="AA2311" s="71"/>
      <c r="AB2311" s="117" t="str">
        <f>IFERROR(VLOOKUP(Anexo_4[[#This Row],[cuenta]],OP,2,0),"-")</f>
        <v>-</v>
      </c>
    </row>
    <row r="2312" spans="1:28" ht="27" customHeight="1" x14ac:dyDescent="0.3">
      <c r="A2312" s="34" t="s">
        <v>7416</v>
      </c>
      <c r="B2312" s="36" t="str">
        <f t="shared" si="52"/>
        <v>Octubre</v>
      </c>
      <c r="C2312" s="33" t="s">
        <v>162</v>
      </c>
      <c r="D2312" s="33" t="s">
        <v>7449</v>
      </c>
      <c r="E2312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312" s="32" t="s">
        <v>248</v>
      </c>
      <c r="G2312" s="32" t="s">
        <v>249</v>
      </c>
      <c r="H2312" s="139" t="s">
        <v>7450</v>
      </c>
      <c r="I2312" s="33" t="s">
        <v>3717</v>
      </c>
      <c r="J2312" s="143" t="s">
        <v>7439</v>
      </c>
      <c r="K2312" s="33" t="s">
        <v>169</v>
      </c>
      <c r="L2312" s="102" t="str">
        <f>VLOOKUP(Anexo_4[[#This Row],[cod_doc]],TIPODOC,2,FALSE)</f>
        <v>FACTURA</v>
      </c>
      <c r="M2312" s="33" t="s">
        <v>3719</v>
      </c>
      <c r="N2312" s="32" t="s">
        <v>7451</v>
      </c>
      <c r="O2312" s="48">
        <v>3064.49</v>
      </c>
      <c r="P2312" s="49" t="s">
        <v>4341</v>
      </c>
      <c r="Q2312" s="81">
        <v>551.61</v>
      </c>
      <c r="R2312" s="80" t="s">
        <v>4341</v>
      </c>
      <c r="S2312" s="48" t="s">
        <v>4341</v>
      </c>
      <c r="T2312" s="72">
        <v>3616.1</v>
      </c>
      <c r="U2312" s="70"/>
      <c r="V2312" s="32"/>
      <c r="W2312" s="70"/>
      <c r="X2312" s="70"/>
      <c r="Y2312" s="70" t="s">
        <v>7452</v>
      </c>
      <c r="Z2312" s="70"/>
      <c r="AA2312" s="71"/>
      <c r="AB2312" s="117" t="str">
        <f>IFERROR(VLOOKUP(Anexo_4[[#This Row],[cuenta]],OP,2,0),"-")</f>
        <v>-</v>
      </c>
    </row>
    <row r="2313" spans="1:28" ht="27" customHeight="1" x14ac:dyDescent="0.3">
      <c r="A2313" s="34" t="s">
        <v>7307</v>
      </c>
      <c r="B2313" s="36" t="str">
        <f t="shared" si="52"/>
        <v>Octubre</v>
      </c>
      <c r="C2313" s="33" t="s">
        <v>162</v>
      </c>
      <c r="D2313" s="33" t="s">
        <v>7453</v>
      </c>
      <c r="E2313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313" s="32" t="s">
        <v>442</v>
      </c>
      <c r="G2313" s="32" t="s">
        <v>443</v>
      </c>
      <c r="H2313" s="139" t="s">
        <v>7454</v>
      </c>
      <c r="I2313" s="33" t="s">
        <v>1069</v>
      </c>
      <c r="J2313" s="143" t="s">
        <v>6495</v>
      </c>
      <c r="K2313" s="33" t="s">
        <v>169</v>
      </c>
      <c r="L2313" s="102" t="str">
        <f>VLOOKUP(Anexo_4[[#This Row],[cod_doc]],TIPODOC,2,FALSE)</f>
        <v>FACTURA</v>
      </c>
      <c r="M2313" s="33" t="s">
        <v>102</v>
      </c>
      <c r="N2313" s="32" t="s">
        <v>7455</v>
      </c>
      <c r="O2313" s="48">
        <v>125.42</v>
      </c>
      <c r="P2313" s="49" t="s">
        <v>4341</v>
      </c>
      <c r="Q2313" s="81">
        <v>22.58</v>
      </c>
      <c r="R2313" s="80" t="s">
        <v>4341</v>
      </c>
      <c r="S2313" s="48" t="s">
        <v>4341</v>
      </c>
      <c r="T2313" s="72">
        <v>148</v>
      </c>
      <c r="U2313" s="70"/>
      <c r="V2313" s="32"/>
      <c r="W2313" s="70"/>
      <c r="X2313" s="70"/>
      <c r="Y2313" s="70"/>
      <c r="Z2313" s="70"/>
      <c r="AA2313" s="71"/>
      <c r="AB2313" s="117" t="str">
        <f>IFERROR(VLOOKUP(Anexo_4[[#This Row],[cuenta]],OP,2,0),"-")</f>
        <v>-</v>
      </c>
    </row>
    <row r="2314" spans="1:28" ht="27" customHeight="1" x14ac:dyDescent="0.3">
      <c r="A2314" s="34" t="s">
        <v>7307</v>
      </c>
      <c r="B2314" s="36" t="str">
        <f t="shared" si="52"/>
        <v>Octubre</v>
      </c>
      <c r="C2314" s="33" t="s">
        <v>162</v>
      </c>
      <c r="D2314" s="33" t="s">
        <v>7456</v>
      </c>
      <c r="E2314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314" s="32" t="s">
        <v>650</v>
      </c>
      <c r="G2314" s="32" t="s">
        <v>651</v>
      </c>
      <c r="H2314" s="139" t="s">
        <v>7457</v>
      </c>
      <c r="I2314" s="33" t="s">
        <v>653</v>
      </c>
      <c r="J2314" s="143" t="s">
        <v>4678</v>
      </c>
      <c r="K2314" s="33" t="s">
        <v>169</v>
      </c>
      <c r="L2314" s="102" t="str">
        <f>VLOOKUP(Anexo_4[[#This Row],[cod_doc]],TIPODOC,2,FALSE)</f>
        <v>FACTURA</v>
      </c>
      <c r="M2314" s="33" t="s">
        <v>655</v>
      </c>
      <c r="N2314" s="32" t="s">
        <v>7458</v>
      </c>
      <c r="O2314" s="48">
        <v>89</v>
      </c>
      <c r="P2314" s="49" t="s">
        <v>4341</v>
      </c>
      <c r="Q2314" s="81">
        <v>16.02</v>
      </c>
      <c r="R2314" s="80" t="s">
        <v>4341</v>
      </c>
      <c r="S2314" s="48" t="s">
        <v>4341</v>
      </c>
      <c r="T2314" s="72">
        <v>105.02</v>
      </c>
      <c r="U2314" s="70"/>
      <c r="V2314" s="32"/>
      <c r="W2314" s="70"/>
      <c r="X2314" s="70"/>
      <c r="Y2314" s="70"/>
      <c r="Z2314" s="70"/>
      <c r="AA2314" s="71"/>
      <c r="AB2314" s="117" t="str">
        <f>IFERROR(VLOOKUP(Anexo_4[[#This Row],[cuenta]],OP,2,0),"-")</f>
        <v>-</v>
      </c>
    </row>
    <row r="2315" spans="1:28" ht="27" customHeight="1" x14ac:dyDescent="0.3">
      <c r="A2315" s="34" t="s">
        <v>7459</v>
      </c>
      <c r="B2315" s="36" t="str">
        <f t="shared" si="52"/>
        <v>Octubre</v>
      </c>
      <c r="C2315" s="33" t="s">
        <v>162</v>
      </c>
      <c r="D2315" s="33" t="s">
        <v>7460</v>
      </c>
      <c r="E2315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315" s="32" t="s">
        <v>456</v>
      </c>
      <c r="G2315" s="32" t="s">
        <v>4911</v>
      </c>
      <c r="H2315" s="139" t="s">
        <v>608</v>
      </c>
      <c r="I2315" s="33" t="s">
        <v>2130</v>
      </c>
      <c r="J2315" s="143" t="s">
        <v>4680</v>
      </c>
      <c r="K2315" s="33" t="s">
        <v>169</v>
      </c>
      <c r="L2315" s="102" t="str">
        <f>VLOOKUP(Anexo_4[[#This Row],[cod_doc]],TIPODOC,2,FALSE)</f>
        <v>FACTURA</v>
      </c>
      <c r="M2315" s="33" t="s">
        <v>102</v>
      </c>
      <c r="N2315" s="32" t="s">
        <v>7461</v>
      </c>
      <c r="O2315" s="48">
        <v>29.66</v>
      </c>
      <c r="P2315" s="49" t="s">
        <v>4341</v>
      </c>
      <c r="Q2315" s="81">
        <v>5.34</v>
      </c>
      <c r="R2315" s="80" t="s">
        <v>4341</v>
      </c>
      <c r="S2315" s="48" t="s">
        <v>4341</v>
      </c>
      <c r="T2315" s="72">
        <v>35</v>
      </c>
      <c r="U2315" s="70"/>
      <c r="V2315" s="32"/>
      <c r="W2315" s="70"/>
      <c r="X2315" s="70"/>
      <c r="Y2315" s="70"/>
      <c r="Z2315" s="70"/>
      <c r="AA2315" s="71"/>
      <c r="AB2315" s="117" t="str">
        <f>IFERROR(VLOOKUP(Anexo_4[[#This Row],[cuenta]],OP,2,0),"-")</f>
        <v>-</v>
      </c>
    </row>
    <row r="2316" spans="1:28" ht="27" customHeight="1" x14ac:dyDescent="0.3">
      <c r="A2316" s="34" t="s">
        <v>7141</v>
      </c>
      <c r="B2316" s="36" t="str">
        <f t="shared" si="52"/>
        <v>Octubre</v>
      </c>
      <c r="C2316" s="33" t="s">
        <v>162</v>
      </c>
      <c r="D2316" s="33" t="s">
        <v>7462</v>
      </c>
      <c r="E2316" s="37" t="str">
        <f>IF(LEFT(Anexo_4[[#This Row],[c_costos]],2)="91","OPERACIONES",IF(LEFT(Anexo_4[[#This Row],[c_costos]],2)="97","G. FINANCIEROS",IF(LEFT(Anexo_4[[#This Row],[c_costos]],2)="95","G. VENTAS","G. ADMINISTRACIÓN")))</f>
        <v>G. FINANCIEROS</v>
      </c>
      <c r="F2316" s="32" t="s">
        <v>474</v>
      </c>
      <c r="G2316" s="32" t="s">
        <v>475</v>
      </c>
      <c r="H2316" s="139" t="s">
        <v>5387</v>
      </c>
      <c r="I2316" s="33" t="s">
        <v>477</v>
      </c>
      <c r="J2316" s="143" t="s">
        <v>4623</v>
      </c>
      <c r="K2316" s="33" t="s">
        <v>169</v>
      </c>
      <c r="L2316" s="102" t="str">
        <f>VLOOKUP(Anexo_4[[#This Row],[cod_doc]],TIPODOC,2,FALSE)</f>
        <v>FACTURA</v>
      </c>
      <c r="M2316" s="33" t="s">
        <v>479</v>
      </c>
      <c r="N2316" s="32" t="s">
        <v>7463</v>
      </c>
      <c r="O2316" s="48" t="s">
        <v>4341</v>
      </c>
      <c r="P2316" s="49" t="s">
        <v>4341</v>
      </c>
      <c r="Q2316" s="81" t="s">
        <v>4341</v>
      </c>
      <c r="R2316" s="80" t="s">
        <v>4341</v>
      </c>
      <c r="S2316" s="48">
        <v>74.3</v>
      </c>
      <c r="T2316" s="72">
        <v>74.3</v>
      </c>
      <c r="U2316" s="70"/>
      <c r="V2316" s="32"/>
      <c r="W2316" s="70"/>
      <c r="X2316" s="70"/>
      <c r="Y2316" s="70"/>
      <c r="Z2316" s="70"/>
      <c r="AA2316" s="71"/>
      <c r="AB2316" s="117" t="str">
        <f>IFERROR(VLOOKUP(Anexo_4[[#This Row],[cuenta]],OP,2,0),"-")</f>
        <v>-</v>
      </c>
    </row>
    <row r="2317" spans="1:28" ht="27" customHeight="1" x14ac:dyDescent="0.3">
      <c r="A2317" s="34" t="s">
        <v>7276</v>
      </c>
      <c r="B2317" s="36" t="str">
        <f t="shared" si="52"/>
        <v>Octubre</v>
      </c>
      <c r="C2317" s="33" t="s">
        <v>162</v>
      </c>
      <c r="D2317" s="33" t="s">
        <v>7464</v>
      </c>
      <c r="E2317" s="37" t="str">
        <f>IF(LEFT(Anexo_4[[#This Row],[c_costos]],2)="91","OPERACIONES",IF(LEFT(Anexo_4[[#This Row],[c_costos]],2)="97","G. FINANCIEROS",IF(LEFT(Anexo_4[[#This Row],[c_costos]],2)="95","G. VENTAS","G. ADMINISTRACIÓN")))</f>
        <v>G. FINANCIEROS</v>
      </c>
      <c r="F2317" s="32" t="s">
        <v>474</v>
      </c>
      <c r="G2317" s="32" t="s">
        <v>475</v>
      </c>
      <c r="H2317" s="139" t="s">
        <v>5387</v>
      </c>
      <c r="I2317" s="33" t="s">
        <v>477</v>
      </c>
      <c r="J2317" s="143" t="s">
        <v>4623</v>
      </c>
      <c r="K2317" s="33" t="s">
        <v>169</v>
      </c>
      <c r="L2317" s="102" t="str">
        <f>VLOOKUP(Anexo_4[[#This Row],[cod_doc]],TIPODOC,2,FALSE)</f>
        <v>FACTURA</v>
      </c>
      <c r="M2317" s="33" t="s">
        <v>479</v>
      </c>
      <c r="N2317" s="32" t="s">
        <v>7465</v>
      </c>
      <c r="O2317" s="48" t="s">
        <v>4341</v>
      </c>
      <c r="P2317" s="49" t="s">
        <v>4341</v>
      </c>
      <c r="Q2317" s="81" t="s">
        <v>4341</v>
      </c>
      <c r="R2317" s="80" t="s">
        <v>4341</v>
      </c>
      <c r="S2317" s="48">
        <v>4.3</v>
      </c>
      <c r="T2317" s="72">
        <v>4.3</v>
      </c>
      <c r="U2317" s="70"/>
      <c r="V2317" s="32"/>
      <c r="W2317" s="70"/>
      <c r="X2317" s="70"/>
      <c r="Y2317" s="70"/>
      <c r="Z2317" s="70"/>
      <c r="AA2317" s="71"/>
      <c r="AB2317" s="117" t="str">
        <f>IFERROR(VLOOKUP(Anexo_4[[#This Row],[cuenta]],OP,2,0),"-")</f>
        <v>-</v>
      </c>
    </row>
    <row r="2318" spans="1:28" ht="27" customHeight="1" x14ac:dyDescent="0.3">
      <c r="A2318" s="34" t="s">
        <v>7152</v>
      </c>
      <c r="B2318" s="36" t="str">
        <f t="shared" si="52"/>
        <v>Octubre</v>
      </c>
      <c r="C2318" s="33" t="s">
        <v>162</v>
      </c>
      <c r="D2318" s="33" t="s">
        <v>7466</v>
      </c>
      <c r="E2318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318" s="32" t="s">
        <v>592</v>
      </c>
      <c r="G2318" s="32" t="s">
        <v>593</v>
      </c>
      <c r="H2318" s="139" t="s">
        <v>4670</v>
      </c>
      <c r="I2318" s="33" t="s">
        <v>937</v>
      </c>
      <c r="J2318" s="143" t="s">
        <v>4671</v>
      </c>
      <c r="K2318" s="33" t="s">
        <v>169</v>
      </c>
      <c r="L2318" s="102" t="str">
        <f>VLOOKUP(Anexo_4[[#This Row],[cod_doc]],TIPODOC,2,FALSE)</f>
        <v>FACTURA</v>
      </c>
      <c r="M2318" s="33" t="s">
        <v>942</v>
      </c>
      <c r="N2318" s="32" t="s">
        <v>7467</v>
      </c>
      <c r="O2318" s="48">
        <v>63.56</v>
      </c>
      <c r="P2318" s="49" t="s">
        <v>4341</v>
      </c>
      <c r="Q2318" s="81">
        <v>11.44</v>
      </c>
      <c r="R2318" s="80" t="s">
        <v>4341</v>
      </c>
      <c r="S2318" s="48" t="s">
        <v>4341</v>
      </c>
      <c r="T2318" s="72">
        <v>75</v>
      </c>
      <c r="U2318" s="70"/>
      <c r="V2318" s="32"/>
      <c r="W2318" s="70"/>
      <c r="X2318" s="70"/>
      <c r="Y2318" s="70"/>
      <c r="Z2318" s="70"/>
      <c r="AA2318" s="71"/>
      <c r="AB2318" s="117" t="str">
        <f>IFERROR(VLOOKUP(Anexo_4[[#This Row],[cuenta]],OP,2,0),"-")</f>
        <v>-</v>
      </c>
    </row>
    <row r="2319" spans="1:28" ht="27" customHeight="1" x14ac:dyDescent="0.3">
      <c r="A2319" s="34" t="s">
        <v>7141</v>
      </c>
      <c r="B2319" s="36" t="str">
        <f t="shared" si="52"/>
        <v>Octubre</v>
      </c>
      <c r="C2319" s="33" t="s">
        <v>162</v>
      </c>
      <c r="D2319" s="33" t="s">
        <v>7468</v>
      </c>
      <c r="E2319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319" s="32" t="s">
        <v>592</v>
      </c>
      <c r="G2319" s="32" t="s">
        <v>593</v>
      </c>
      <c r="H2319" s="139" t="s">
        <v>4670</v>
      </c>
      <c r="I2319" s="33" t="s">
        <v>937</v>
      </c>
      <c r="J2319" s="143" t="s">
        <v>4671</v>
      </c>
      <c r="K2319" s="33" t="s">
        <v>169</v>
      </c>
      <c r="L2319" s="102" t="str">
        <f>VLOOKUP(Anexo_4[[#This Row],[cod_doc]],TIPODOC,2,FALSE)</f>
        <v>FACTURA</v>
      </c>
      <c r="M2319" s="33" t="s">
        <v>939</v>
      </c>
      <c r="N2319" s="32" t="s">
        <v>7469</v>
      </c>
      <c r="O2319" s="48">
        <v>228.51</v>
      </c>
      <c r="P2319" s="49" t="s">
        <v>4341</v>
      </c>
      <c r="Q2319" s="81">
        <v>41.13</v>
      </c>
      <c r="R2319" s="80" t="s">
        <v>4341</v>
      </c>
      <c r="S2319" s="48" t="s">
        <v>4341</v>
      </c>
      <c r="T2319" s="72">
        <v>269.64</v>
      </c>
      <c r="U2319" s="70"/>
      <c r="V2319" s="32"/>
      <c r="W2319" s="70"/>
      <c r="X2319" s="70"/>
      <c r="Y2319" s="70"/>
      <c r="Z2319" s="70"/>
      <c r="AA2319" s="71"/>
      <c r="AB2319" s="117" t="str">
        <f>IFERROR(VLOOKUP(Anexo_4[[#This Row],[cuenta]],OP,2,0),"-")</f>
        <v>-</v>
      </c>
    </row>
    <row r="2320" spans="1:28" ht="27" customHeight="1" x14ac:dyDescent="0.3">
      <c r="A2320" s="34" t="s">
        <v>7141</v>
      </c>
      <c r="B2320" s="36" t="str">
        <f t="shared" si="52"/>
        <v>Octubre</v>
      </c>
      <c r="C2320" s="33" t="s">
        <v>162</v>
      </c>
      <c r="D2320" s="33" t="s">
        <v>7470</v>
      </c>
      <c r="E2320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320" s="32" t="s">
        <v>592</v>
      </c>
      <c r="G2320" s="32" t="s">
        <v>593</v>
      </c>
      <c r="H2320" s="139" t="s">
        <v>4670</v>
      </c>
      <c r="I2320" s="33" t="s">
        <v>937</v>
      </c>
      <c r="J2320" s="143" t="s">
        <v>4671</v>
      </c>
      <c r="K2320" s="33" t="s">
        <v>169</v>
      </c>
      <c r="L2320" s="102" t="str">
        <f>VLOOKUP(Anexo_4[[#This Row],[cod_doc]],TIPODOC,2,FALSE)</f>
        <v>FACTURA</v>
      </c>
      <c r="M2320" s="33" t="s">
        <v>942</v>
      </c>
      <c r="N2320" s="32" t="s">
        <v>7471</v>
      </c>
      <c r="O2320" s="48">
        <v>183.22</v>
      </c>
      <c r="P2320" s="49" t="s">
        <v>4341</v>
      </c>
      <c r="Q2320" s="81">
        <v>32.979999999999997</v>
      </c>
      <c r="R2320" s="80" t="s">
        <v>4341</v>
      </c>
      <c r="S2320" s="48" t="s">
        <v>4341</v>
      </c>
      <c r="T2320" s="72">
        <v>216.2</v>
      </c>
      <c r="U2320" s="70"/>
      <c r="V2320" s="32"/>
      <c r="W2320" s="70"/>
      <c r="X2320" s="70"/>
      <c r="Y2320" s="70"/>
      <c r="Z2320" s="70"/>
      <c r="AA2320" s="71"/>
      <c r="AB2320" s="117" t="str">
        <f>IFERROR(VLOOKUP(Anexo_4[[#This Row],[cuenta]],OP,2,0),"-")</f>
        <v>-</v>
      </c>
    </row>
    <row r="2321" spans="1:28" ht="27" customHeight="1" x14ac:dyDescent="0.3">
      <c r="A2321" s="34" t="s">
        <v>7276</v>
      </c>
      <c r="B2321" s="36" t="str">
        <f t="shared" ref="B2321:B2352" si="53">PROPER(CHOOSE(LEFT(D2321,2),"enero","febrero","marzo","abril","mayo","junio","julio","agosto","setiembre","octubre","noviembre","diciembre"))</f>
        <v>Octubre</v>
      </c>
      <c r="C2321" s="33" t="s">
        <v>162</v>
      </c>
      <c r="D2321" s="33" t="s">
        <v>7472</v>
      </c>
      <c r="E2321" s="37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2321" s="32" t="s">
        <v>198</v>
      </c>
      <c r="G2321" s="32" t="s">
        <v>199</v>
      </c>
      <c r="H2321" s="139" t="s">
        <v>7473</v>
      </c>
      <c r="I2321" s="33" t="s">
        <v>2120</v>
      </c>
      <c r="J2321" s="143" t="s">
        <v>7474</v>
      </c>
      <c r="K2321" s="33" t="s">
        <v>169</v>
      </c>
      <c r="L2321" s="102" t="str">
        <f>VLOOKUP(Anexo_4[[#This Row],[cod_doc]],TIPODOC,2,FALSE)</f>
        <v>FACTURA</v>
      </c>
      <c r="M2321" s="33" t="s">
        <v>222</v>
      </c>
      <c r="N2321" s="32" t="s">
        <v>7475</v>
      </c>
      <c r="O2321" s="48">
        <v>833.06</v>
      </c>
      <c r="P2321" s="49" t="s">
        <v>4341</v>
      </c>
      <c r="Q2321" s="81">
        <v>149.94999999999999</v>
      </c>
      <c r="R2321" s="80" t="s">
        <v>4341</v>
      </c>
      <c r="S2321" s="48" t="s">
        <v>4341</v>
      </c>
      <c r="T2321" s="72">
        <v>983.01</v>
      </c>
      <c r="U2321" s="70"/>
      <c r="V2321" s="32"/>
      <c r="W2321" s="70"/>
      <c r="X2321" s="70"/>
      <c r="Y2321" s="70"/>
      <c r="Z2321" s="70"/>
      <c r="AA2321" s="71"/>
      <c r="AB2321" s="117" t="str">
        <f>IFERROR(VLOOKUP(Anexo_4[[#This Row],[cuenta]],OP,2,0),"-")</f>
        <v>-</v>
      </c>
    </row>
    <row r="2322" spans="1:28" ht="27" customHeight="1" x14ac:dyDescent="0.3">
      <c r="A2322" s="34" t="s">
        <v>7040</v>
      </c>
      <c r="B2322" s="36" t="str">
        <f t="shared" si="53"/>
        <v>Octubre</v>
      </c>
      <c r="C2322" s="33" t="s">
        <v>162</v>
      </c>
      <c r="D2322" s="33" t="s">
        <v>7476</v>
      </c>
      <c r="E2322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322" s="32" t="s">
        <v>355</v>
      </c>
      <c r="G2322" s="32" t="s">
        <v>356</v>
      </c>
      <c r="H2322" s="139" t="s">
        <v>7477</v>
      </c>
      <c r="I2322" s="33" t="s">
        <v>2605</v>
      </c>
      <c r="J2322" s="143" t="s">
        <v>6244</v>
      </c>
      <c r="K2322" s="33" t="s">
        <v>169</v>
      </c>
      <c r="L2322" s="102" t="str">
        <f>VLOOKUP(Anexo_4[[#This Row],[cod_doc]],TIPODOC,2,FALSE)</f>
        <v>FACTURA</v>
      </c>
      <c r="M2322" s="33" t="s">
        <v>102</v>
      </c>
      <c r="N2322" s="32" t="s">
        <v>7478</v>
      </c>
      <c r="O2322" s="48">
        <v>135.59</v>
      </c>
      <c r="P2322" s="49" t="s">
        <v>4341</v>
      </c>
      <c r="Q2322" s="81">
        <v>24.41</v>
      </c>
      <c r="R2322" s="80" t="s">
        <v>4341</v>
      </c>
      <c r="S2322" s="48" t="s">
        <v>4341</v>
      </c>
      <c r="T2322" s="72">
        <v>160</v>
      </c>
      <c r="U2322" s="70"/>
      <c r="V2322" s="32"/>
      <c r="W2322" s="70"/>
      <c r="X2322" s="70"/>
      <c r="Y2322" s="70"/>
      <c r="Z2322" s="70"/>
      <c r="AA2322" s="71"/>
      <c r="AB2322" s="117" t="str">
        <f>IFERROR(VLOOKUP(Anexo_4[[#This Row],[cuenta]],OP,2,0),"-")</f>
        <v>-</v>
      </c>
    </row>
    <row r="2323" spans="1:28" ht="27" customHeight="1" x14ac:dyDescent="0.3">
      <c r="A2323" s="34" t="s">
        <v>7416</v>
      </c>
      <c r="B2323" s="36" t="str">
        <f t="shared" si="53"/>
        <v>Octubre</v>
      </c>
      <c r="C2323" s="33" t="s">
        <v>162</v>
      </c>
      <c r="D2323" s="33" t="s">
        <v>7479</v>
      </c>
      <c r="E2323" s="37" t="str">
        <f>IF(LEFT(Anexo_4[[#This Row],[c_costos]],2)="91","OPERACIONES",IF(LEFT(Anexo_4[[#This Row],[c_costos]],2)="97","G. FINANCIEROS",IF(LEFT(Anexo_4[[#This Row],[c_costos]],2)="95","G. VENTAS","G. ADMINISTRACIÓN")))</f>
        <v>G. FINANCIEROS</v>
      </c>
      <c r="F2323" s="32" t="s">
        <v>474</v>
      </c>
      <c r="G2323" s="32" t="s">
        <v>475</v>
      </c>
      <c r="H2323" s="139" t="s">
        <v>3440</v>
      </c>
      <c r="I2323" s="33" t="s">
        <v>477</v>
      </c>
      <c r="J2323" s="143" t="s">
        <v>4623</v>
      </c>
      <c r="K2323" s="33" t="s">
        <v>169</v>
      </c>
      <c r="L2323" s="102" t="str">
        <f>VLOOKUP(Anexo_4[[#This Row],[cod_doc]],TIPODOC,2,FALSE)</f>
        <v>FACTURA</v>
      </c>
      <c r="M2323" s="33" t="s">
        <v>307</v>
      </c>
      <c r="N2323" s="32" t="s">
        <v>7480</v>
      </c>
      <c r="O2323" s="48" t="s">
        <v>4341</v>
      </c>
      <c r="P2323" s="49" t="s">
        <v>4341</v>
      </c>
      <c r="Q2323" s="81" t="s">
        <v>4341</v>
      </c>
      <c r="R2323" s="80" t="s">
        <v>4341</v>
      </c>
      <c r="S2323" s="48">
        <v>25.3</v>
      </c>
      <c r="T2323" s="72">
        <v>25.3</v>
      </c>
      <c r="U2323" s="70"/>
      <c r="V2323" s="32"/>
      <c r="W2323" s="70"/>
      <c r="X2323" s="70"/>
      <c r="Y2323" s="70"/>
      <c r="Z2323" s="70"/>
      <c r="AA2323" s="71"/>
      <c r="AB2323" s="117" t="str">
        <f>IFERROR(VLOOKUP(Anexo_4[[#This Row],[cuenta]],OP,2,0),"-")</f>
        <v>-</v>
      </c>
    </row>
    <row r="2324" spans="1:28" ht="27" customHeight="1" x14ac:dyDescent="0.3">
      <c r="A2324" s="34" t="s">
        <v>7416</v>
      </c>
      <c r="B2324" s="36" t="str">
        <f t="shared" si="53"/>
        <v>Octubre</v>
      </c>
      <c r="C2324" s="33" t="s">
        <v>162</v>
      </c>
      <c r="D2324" s="33" t="s">
        <v>7481</v>
      </c>
      <c r="E2324" s="37" t="str">
        <f>IF(LEFT(Anexo_4[[#This Row],[c_costos]],2)="91","OPERACIONES",IF(LEFT(Anexo_4[[#This Row],[c_costos]],2)="97","G. FINANCIEROS",IF(LEFT(Anexo_4[[#This Row],[c_costos]],2)="95","G. VENTAS","G. ADMINISTRACIÓN")))</f>
        <v>G. FINANCIEROS</v>
      </c>
      <c r="F2324" s="32" t="s">
        <v>474</v>
      </c>
      <c r="G2324" s="32" t="s">
        <v>475</v>
      </c>
      <c r="H2324" s="139" t="s">
        <v>5387</v>
      </c>
      <c r="I2324" s="33" t="s">
        <v>477</v>
      </c>
      <c r="J2324" s="143" t="s">
        <v>4623</v>
      </c>
      <c r="K2324" s="33" t="s">
        <v>169</v>
      </c>
      <c r="L2324" s="102" t="str">
        <f>VLOOKUP(Anexo_4[[#This Row],[cod_doc]],TIPODOC,2,FALSE)</f>
        <v>FACTURA</v>
      </c>
      <c r="M2324" s="33" t="s">
        <v>479</v>
      </c>
      <c r="N2324" s="32" t="s">
        <v>7482</v>
      </c>
      <c r="O2324" s="48" t="s">
        <v>4341</v>
      </c>
      <c r="P2324" s="49" t="s">
        <v>4341</v>
      </c>
      <c r="Q2324" s="81" t="s">
        <v>4341</v>
      </c>
      <c r="R2324" s="80" t="s">
        <v>4341</v>
      </c>
      <c r="S2324" s="48">
        <v>19.5</v>
      </c>
      <c r="T2324" s="72">
        <v>19.5</v>
      </c>
      <c r="U2324" s="70"/>
      <c r="V2324" s="32"/>
      <c r="W2324" s="70"/>
      <c r="X2324" s="70"/>
      <c r="Y2324" s="70"/>
      <c r="Z2324" s="70"/>
      <c r="AA2324" s="71"/>
      <c r="AB2324" s="117" t="str">
        <f>IFERROR(VLOOKUP(Anexo_4[[#This Row],[cuenta]],OP,2,0),"-")</f>
        <v>-</v>
      </c>
    </row>
    <row r="2325" spans="1:28" ht="27" customHeight="1" x14ac:dyDescent="0.3">
      <c r="A2325" s="34" t="s">
        <v>7300</v>
      </c>
      <c r="B2325" s="36" t="str">
        <f t="shared" si="53"/>
        <v>Octubre</v>
      </c>
      <c r="C2325" s="33" t="s">
        <v>162</v>
      </c>
      <c r="D2325" s="33" t="s">
        <v>7483</v>
      </c>
      <c r="E2325" s="37" t="str">
        <f>IF(LEFT(Anexo_4[[#This Row],[c_costos]],2)="91","OPERACIONES",IF(LEFT(Anexo_4[[#This Row],[c_costos]],2)="97","G. FINANCIEROS",IF(LEFT(Anexo_4[[#This Row],[c_costos]],2)="95","G. VENTAS","G. ADMINISTRACIÓN")))</f>
        <v>G. FINANCIEROS</v>
      </c>
      <c r="F2325" s="32" t="s">
        <v>474</v>
      </c>
      <c r="G2325" s="32" t="s">
        <v>475</v>
      </c>
      <c r="H2325" s="139" t="s">
        <v>6572</v>
      </c>
      <c r="I2325" s="33" t="s">
        <v>477</v>
      </c>
      <c r="J2325" s="143" t="s">
        <v>4623</v>
      </c>
      <c r="K2325" s="33" t="s">
        <v>169</v>
      </c>
      <c r="L2325" s="102" t="str">
        <f>VLOOKUP(Anexo_4[[#This Row],[cod_doc]],TIPODOC,2,FALSE)</f>
        <v>FACTURA</v>
      </c>
      <c r="M2325" s="33" t="s">
        <v>421</v>
      </c>
      <c r="N2325" s="32" t="s">
        <v>7484</v>
      </c>
      <c r="O2325" s="48" t="s">
        <v>4341</v>
      </c>
      <c r="P2325" s="49" t="s">
        <v>4341</v>
      </c>
      <c r="Q2325" s="81" t="s">
        <v>4341</v>
      </c>
      <c r="R2325" s="80" t="s">
        <v>4341</v>
      </c>
      <c r="S2325" s="48">
        <v>41.42</v>
      </c>
      <c r="T2325" s="72">
        <v>41.42</v>
      </c>
      <c r="U2325" s="70"/>
      <c r="V2325" s="32"/>
      <c r="W2325" s="70"/>
      <c r="X2325" s="70"/>
      <c r="Y2325" s="70"/>
      <c r="Z2325" s="70"/>
      <c r="AA2325" s="71"/>
      <c r="AB2325" s="117" t="str">
        <f>IFERROR(VLOOKUP(Anexo_4[[#This Row],[cuenta]],OP,2,0),"-")</f>
        <v>-</v>
      </c>
    </row>
    <row r="2326" spans="1:28" ht="27" customHeight="1" x14ac:dyDescent="0.3">
      <c r="A2326" s="34" t="s">
        <v>7416</v>
      </c>
      <c r="B2326" s="36" t="str">
        <f t="shared" si="53"/>
        <v>Octubre</v>
      </c>
      <c r="C2326" s="33" t="s">
        <v>162</v>
      </c>
      <c r="D2326" s="33" t="s">
        <v>7485</v>
      </c>
      <c r="E2326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326" s="32" t="s">
        <v>355</v>
      </c>
      <c r="G2326" s="32" t="s">
        <v>356</v>
      </c>
      <c r="H2326" s="139" t="s">
        <v>192</v>
      </c>
      <c r="I2326" s="33" t="s">
        <v>638</v>
      </c>
      <c r="J2326" s="143" t="s">
        <v>4618</v>
      </c>
      <c r="K2326" s="33" t="s">
        <v>169</v>
      </c>
      <c r="L2326" s="102" t="str">
        <f>VLOOKUP(Anexo_4[[#This Row],[cod_doc]],TIPODOC,2,FALSE)</f>
        <v>FACTURA</v>
      </c>
      <c r="M2326" s="33" t="s">
        <v>640</v>
      </c>
      <c r="N2326" s="32" t="s">
        <v>7486</v>
      </c>
      <c r="O2326" s="48">
        <v>16.95</v>
      </c>
      <c r="P2326" s="49" t="s">
        <v>4341</v>
      </c>
      <c r="Q2326" s="81">
        <v>3.05</v>
      </c>
      <c r="R2326" s="80" t="s">
        <v>4341</v>
      </c>
      <c r="S2326" s="48" t="s">
        <v>4341</v>
      </c>
      <c r="T2326" s="72">
        <v>20</v>
      </c>
      <c r="U2326" s="70"/>
      <c r="V2326" s="32"/>
      <c r="W2326" s="70"/>
      <c r="X2326" s="70"/>
      <c r="Y2326" s="70"/>
      <c r="Z2326" s="70"/>
      <c r="AA2326" s="71"/>
      <c r="AB2326" s="117" t="str">
        <f>IFERROR(VLOOKUP(Anexo_4[[#This Row],[cuenta]],OP,2,0),"-")</f>
        <v>-</v>
      </c>
    </row>
    <row r="2327" spans="1:28" ht="27" customHeight="1" x14ac:dyDescent="0.3">
      <c r="A2327" s="34" t="s">
        <v>7240</v>
      </c>
      <c r="B2327" s="36" t="str">
        <f t="shared" si="53"/>
        <v>Octubre</v>
      </c>
      <c r="C2327" s="33" t="s">
        <v>162</v>
      </c>
      <c r="D2327" s="33" t="s">
        <v>7487</v>
      </c>
      <c r="E2327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327" s="32" t="s">
        <v>190</v>
      </c>
      <c r="G2327" s="32" t="s">
        <v>191</v>
      </c>
      <c r="H2327" s="139" t="s">
        <v>7488</v>
      </c>
      <c r="I2327" s="33" t="s">
        <v>2471</v>
      </c>
      <c r="J2327" s="143" t="s">
        <v>6835</v>
      </c>
      <c r="K2327" s="33" t="s">
        <v>169</v>
      </c>
      <c r="L2327" s="102" t="str">
        <f>VLOOKUP(Anexo_4[[#This Row],[cod_doc]],TIPODOC,2,FALSE)</f>
        <v>FACTURA</v>
      </c>
      <c r="M2327" s="33" t="s">
        <v>102</v>
      </c>
      <c r="N2327" s="32" t="s">
        <v>7489</v>
      </c>
      <c r="O2327" s="48">
        <v>1463.09</v>
      </c>
      <c r="P2327" s="49" t="s">
        <v>4341</v>
      </c>
      <c r="Q2327" s="81">
        <v>263.36</v>
      </c>
      <c r="R2327" s="80" t="s">
        <v>4341</v>
      </c>
      <c r="S2327" s="48" t="s">
        <v>4341</v>
      </c>
      <c r="T2327" s="72">
        <v>1726.45</v>
      </c>
      <c r="U2327" s="70"/>
      <c r="V2327" s="32"/>
      <c r="W2327" s="70"/>
      <c r="X2327" s="70"/>
      <c r="Y2327" s="70"/>
      <c r="Z2327" s="70"/>
      <c r="AA2327" s="71"/>
      <c r="AB2327" s="117" t="str">
        <f>IFERROR(VLOOKUP(Anexo_4[[#This Row],[cuenta]],OP,2,0),"-")</f>
        <v>-</v>
      </c>
    </row>
    <row r="2328" spans="1:28" ht="27" customHeight="1" x14ac:dyDescent="0.3">
      <c r="A2328" s="34" t="s">
        <v>7307</v>
      </c>
      <c r="B2328" s="36" t="str">
        <f t="shared" si="53"/>
        <v>Octubre</v>
      </c>
      <c r="C2328" s="33" t="s">
        <v>162</v>
      </c>
      <c r="D2328" s="33" t="s">
        <v>7490</v>
      </c>
      <c r="E2328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328" s="32" t="s">
        <v>190</v>
      </c>
      <c r="G2328" s="32" t="s">
        <v>191</v>
      </c>
      <c r="H2328" s="139" t="s">
        <v>7491</v>
      </c>
      <c r="I2328" s="33" t="s">
        <v>2471</v>
      </c>
      <c r="J2328" s="143" t="s">
        <v>6835</v>
      </c>
      <c r="K2328" s="33" t="s">
        <v>169</v>
      </c>
      <c r="L2328" s="102" t="str">
        <f>VLOOKUP(Anexo_4[[#This Row],[cod_doc]],TIPODOC,2,FALSE)</f>
        <v>FACTURA</v>
      </c>
      <c r="M2328" s="33" t="s">
        <v>102</v>
      </c>
      <c r="N2328" s="32" t="s">
        <v>7492</v>
      </c>
      <c r="O2328" s="48">
        <v>555</v>
      </c>
      <c r="P2328" s="49" t="s">
        <v>4341</v>
      </c>
      <c r="Q2328" s="81">
        <v>99.9</v>
      </c>
      <c r="R2328" s="80" t="s">
        <v>4341</v>
      </c>
      <c r="S2328" s="48" t="s">
        <v>4341</v>
      </c>
      <c r="T2328" s="72">
        <v>654.9</v>
      </c>
      <c r="U2328" s="70"/>
      <c r="V2328" s="32"/>
      <c r="W2328" s="70"/>
      <c r="X2328" s="70"/>
      <c r="Y2328" s="70"/>
      <c r="Z2328" s="70"/>
      <c r="AA2328" s="71"/>
      <c r="AB2328" s="117" t="str">
        <f>IFERROR(VLOOKUP(Anexo_4[[#This Row],[cuenta]],OP,2,0),"-")</f>
        <v>-</v>
      </c>
    </row>
    <row r="2329" spans="1:28" ht="27" customHeight="1" x14ac:dyDescent="0.3">
      <c r="A2329" s="34" t="s">
        <v>7159</v>
      </c>
      <c r="B2329" s="36" t="str">
        <f t="shared" si="53"/>
        <v>Octubre</v>
      </c>
      <c r="C2329" s="33" t="s">
        <v>162</v>
      </c>
      <c r="D2329" s="33" t="s">
        <v>7493</v>
      </c>
      <c r="E2329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329" s="32"/>
      <c r="G2329" s="32"/>
      <c r="H2329" s="139" t="s">
        <v>7494</v>
      </c>
      <c r="I2329" s="33" t="s">
        <v>231</v>
      </c>
      <c r="J2329" s="143" t="s">
        <v>5125</v>
      </c>
      <c r="K2329" s="33" t="s">
        <v>169</v>
      </c>
      <c r="L2329" s="102" t="str">
        <f>VLOOKUP(Anexo_4[[#This Row],[cod_doc]],TIPODOC,2,FALSE)</f>
        <v>FACTURA</v>
      </c>
      <c r="M2329" s="33" t="s">
        <v>102</v>
      </c>
      <c r="N2329" s="32" t="s">
        <v>7495</v>
      </c>
      <c r="O2329" s="48">
        <v>1759.32</v>
      </c>
      <c r="P2329" s="49" t="s">
        <v>4341</v>
      </c>
      <c r="Q2329" s="81">
        <v>316.68</v>
      </c>
      <c r="R2329" s="80" t="s">
        <v>4341</v>
      </c>
      <c r="S2329" s="48" t="s">
        <v>4341</v>
      </c>
      <c r="T2329" s="72">
        <v>2076</v>
      </c>
      <c r="U2329" s="70"/>
      <c r="V2329" s="32"/>
      <c r="W2329" s="70"/>
      <c r="X2329" s="70"/>
      <c r="Y2329" s="70"/>
      <c r="Z2329" s="70"/>
      <c r="AA2329" s="71"/>
      <c r="AB2329" s="117" t="str">
        <f>IFERROR(VLOOKUP(Anexo_4[[#This Row],[cuenta]],OP,2,0),"-")</f>
        <v>-</v>
      </c>
    </row>
    <row r="2330" spans="1:28" ht="27" customHeight="1" x14ac:dyDescent="0.3">
      <c r="A2330" s="34" t="s">
        <v>7411</v>
      </c>
      <c r="B2330" s="36" t="str">
        <f t="shared" si="53"/>
        <v>Octubre</v>
      </c>
      <c r="C2330" s="33" t="s">
        <v>162</v>
      </c>
      <c r="D2330" s="33" t="s">
        <v>7496</v>
      </c>
      <c r="E2330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330" s="32" t="s">
        <v>823</v>
      </c>
      <c r="G2330" s="32" t="s">
        <v>824</v>
      </c>
      <c r="H2330" s="139" t="s">
        <v>7497</v>
      </c>
      <c r="I2330" s="33" t="s">
        <v>2429</v>
      </c>
      <c r="J2330" s="143" t="s">
        <v>5038</v>
      </c>
      <c r="K2330" s="33" t="s">
        <v>239</v>
      </c>
      <c r="L2330" s="102" t="str">
        <f>VLOOKUP(Anexo_4[[#This Row],[cod_doc]],TIPODOC,2,FALSE)</f>
        <v>BOLETA DE VENTA</v>
      </c>
      <c r="M2330" s="33" t="s">
        <v>162</v>
      </c>
      <c r="N2330" s="32" t="s">
        <v>7498</v>
      </c>
      <c r="O2330" s="48" t="s">
        <v>4341</v>
      </c>
      <c r="P2330" s="49" t="s">
        <v>4341</v>
      </c>
      <c r="Q2330" s="81" t="s">
        <v>4341</v>
      </c>
      <c r="R2330" s="80" t="s">
        <v>4341</v>
      </c>
      <c r="S2330" s="48">
        <v>26</v>
      </c>
      <c r="T2330" s="72">
        <v>26</v>
      </c>
      <c r="U2330" s="70"/>
      <c r="V2330" s="32"/>
      <c r="W2330" s="70"/>
      <c r="X2330" s="70"/>
      <c r="Y2330" s="70"/>
      <c r="Z2330" s="70"/>
      <c r="AA2330" s="71"/>
      <c r="AB2330" s="117" t="str">
        <f>IFERROR(VLOOKUP(Anexo_4[[#This Row],[cuenta]],OP,2,0),"-")</f>
        <v>-</v>
      </c>
    </row>
    <row r="2331" spans="1:28" ht="27" customHeight="1" x14ac:dyDescent="0.3">
      <c r="A2331" s="34" t="s">
        <v>7159</v>
      </c>
      <c r="B2331" s="36" t="str">
        <f t="shared" si="53"/>
        <v>Octubre</v>
      </c>
      <c r="C2331" s="33" t="s">
        <v>162</v>
      </c>
      <c r="D2331" s="33" t="s">
        <v>7499</v>
      </c>
      <c r="E2331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331" s="32" t="s">
        <v>5923</v>
      </c>
      <c r="G2331" s="32" t="s">
        <v>5924</v>
      </c>
      <c r="H2331" s="139" t="s">
        <v>7500</v>
      </c>
      <c r="I2331" s="33" t="s">
        <v>264</v>
      </c>
      <c r="J2331" s="143" t="s">
        <v>4644</v>
      </c>
      <c r="K2331" s="33" t="s">
        <v>169</v>
      </c>
      <c r="L2331" s="102" t="str">
        <f>VLOOKUP(Anexo_4[[#This Row],[cod_doc]],TIPODOC,2,FALSE)</f>
        <v>FACTURA</v>
      </c>
      <c r="M2331" s="33" t="s">
        <v>352</v>
      </c>
      <c r="N2331" s="32" t="s">
        <v>7501</v>
      </c>
      <c r="O2331" s="48">
        <v>6.78</v>
      </c>
      <c r="P2331" s="49" t="s">
        <v>4341</v>
      </c>
      <c r="Q2331" s="81">
        <v>1.22</v>
      </c>
      <c r="R2331" s="80" t="s">
        <v>4341</v>
      </c>
      <c r="S2331" s="48" t="s">
        <v>4341</v>
      </c>
      <c r="T2331" s="72">
        <v>8</v>
      </c>
      <c r="U2331" s="70"/>
      <c r="V2331" s="32"/>
      <c r="W2331" s="70"/>
      <c r="X2331" s="70"/>
      <c r="Y2331" s="70" t="s">
        <v>7502</v>
      </c>
      <c r="Z2331" s="70"/>
      <c r="AA2331" s="71"/>
      <c r="AB2331" s="117" t="str">
        <f>IFERROR(VLOOKUP(Anexo_4[[#This Row],[cuenta]],OP,2,0),"-")</f>
        <v>-</v>
      </c>
    </row>
    <row r="2332" spans="1:28" ht="27" customHeight="1" x14ac:dyDescent="0.3">
      <c r="A2332" s="34" t="s">
        <v>7040</v>
      </c>
      <c r="B2332" s="36" t="str">
        <f t="shared" si="53"/>
        <v>Octubre</v>
      </c>
      <c r="C2332" s="33" t="s">
        <v>162</v>
      </c>
      <c r="D2332" s="33" t="s">
        <v>7503</v>
      </c>
      <c r="E2332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332" s="32" t="s">
        <v>391</v>
      </c>
      <c r="G2332" s="32" t="s">
        <v>5041</v>
      </c>
      <c r="H2332" s="139" t="s">
        <v>7504</v>
      </c>
      <c r="I2332" s="33" t="s">
        <v>264</v>
      </c>
      <c r="J2332" s="143" t="s">
        <v>4644</v>
      </c>
      <c r="K2332" s="33" t="s">
        <v>169</v>
      </c>
      <c r="L2332" s="102" t="str">
        <f>VLOOKUP(Anexo_4[[#This Row],[cod_doc]],TIPODOC,2,FALSE)</f>
        <v>FACTURA</v>
      </c>
      <c r="M2332" s="33" t="s">
        <v>271</v>
      </c>
      <c r="N2332" s="32" t="s">
        <v>7505</v>
      </c>
      <c r="O2332" s="48">
        <v>6.78</v>
      </c>
      <c r="P2332" s="49" t="s">
        <v>4341</v>
      </c>
      <c r="Q2332" s="81">
        <v>1.22</v>
      </c>
      <c r="R2332" s="80" t="s">
        <v>4341</v>
      </c>
      <c r="S2332" s="48" t="s">
        <v>4341</v>
      </c>
      <c r="T2332" s="72">
        <v>8</v>
      </c>
      <c r="U2332" s="70"/>
      <c r="V2332" s="32"/>
      <c r="W2332" s="70"/>
      <c r="X2332" s="70"/>
      <c r="Y2332" s="70" t="s">
        <v>7506</v>
      </c>
      <c r="Z2332" s="70"/>
      <c r="AA2332" s="71"/>
      <c r="AB2332" s="117" t="str">
        <f>IFERROR(VLOOKUP(Anexo_4[[#This Row],[cuenta]],OP,2,0),"-")</f>
        <v>-</v>
      </c>
    </row>
    <row r="2333" spans="1:28" ht="27" customHeight="1" x14ac:dyDescent="0.3">
      <c r="A2333" s="34" t="s">
        <v>7307</v>
      </c>
      <c r="B2333" s="36" t="str">
        <f t="shared" si="53"/>
        <v>Octubre</v>
      </c>
      <c r="C2333" s="33" t="s">
        <v>162</v>
      </c>
      <c r="D2333" s="33" t="s">
        <v>7507</v>
      </c>
      <c r="E2333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333" s="32" t="s">
        <v>175</v>
      </c>
      <c r="G2333" s="32" t="s">
        <v>5168</v>
      </c>
      <c r="H2333" s="139" t="s">
        <v>7508</v>
      </c>
      <c r="I2333" s="33" t="s">
        <v>264</v>
      </c>
      <c r="J2333" s="143" t="s">
        <v>4644</v>
      </c>
      <c r="K2333" s="33" t="s">
        <v>169</v>
      </c>
      <c r="L2333" s="102" t="str">
        <f>VLOOKUP(Anexo_4[[#This Row],[cod_doc]],TIPODOC,2,FALSE)</f>
        <v>FACTURA</v>
      </c>
      <c r="M2333" s="33" t="s">
        <v>406</v>
      </c>
      <c r="N2333" s="32" t="s">
        <v>7509</v>
      </c>
      <c r="O2333" s="48">
        <v>10.17</v>
      </c>
      <c r="P2333" s="49" t="s">
        <v>4341</v>
      </c>
      <c r="Q2333" s="81">
        <v>1.83</v>
      </c>
      <c r="R2333" s="80" t="s">
        <v>4341</v>
      </c>
      <c r="S2333" s="48" t="s">
        <v>4341</v>
      </c>
      <c r="T2333" s="72">
        <v>12</v>
      </c>
      <c r="U2333" s="70"/>
      <c r="V2333" s="32"/>
      <c r="W2333" s="70"/>
      <c r="X2333" s="70"/>
      <c r="Y2333" s="70" t="s">
        <v>7510</v>
      </c>
      <c r="Z2333" s="70"/>
      <c r="AA2333" s="71"/>
      <c r="AB2333" s="117" t="str">
        <f>IFERROR(VLOOKUP(Anexo_4[[#This Row],[cuenta]],OP,2,0),"-")</f>
        <v>-</v>
      </c>
    </row>
    <row r="2334" spans="1:28" ht="27" customHeight="1" x14ac:dyDescent="0.3">
      <c r="A2334" s="34" t="s">
        <v>7307</v>
      </c>
      <c r="B2334" s="36" t="str">
        <f t="shared" si="53"/>
        <v>Octubre</v>
      </c>
      <c r="C2334" s="33" t="s">
        <v>162</v>
      </c>
      <c r="D2334" s="33" t="s">
        <v>7511</v>
      </c>
      <c r="E2334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334" s="32" t="s">
        <v>175</v>
      </c>
      <c r="G2334" s="32" t="s">
        <v>5168</v>
      </c>
      <c r="H2334" s="139" t="s">
        <v>7512</v>
      </c>
      <c r="I2334" s="33" t="s">
        <v>264</v>
      </c>
      <c r="J2334" s="143" t="s">
        <v>4644</v>
      </c>
      <c r="K2334" s="33" t="s">
        <v>169</v>
      </c>
      <c r="L2334" s="102" t="str">
        <f>VLOOKUP(Anexo_4[[#This Row],[cod_doc]],TIPODOC,2,FALSE)</f>
        <v>FACTURA</v>
      </c>
      <c r="M2334" s="33" t="s">
        <v>379</v>
      </c>
      <c r="N2334" s="32" t="s">
        <v>7513</v>
      </c>
      <c r="O2334" s="48">
        <v>10.17</v>
      </c>
      <c r="P2334" s="49" t="s">
        <v>4341</v>
      </c>
      <c r="Q2334" s="81">
        <v>1.83</v>
      </c>
      <c r="R2334" s="80" t="s">
        <v>4341</v>
      </c>
      <c r="S2334" s="48" t="s">
        <v>4341</v>
      </c>
      <c r="T2334" s="72">
        <v>12</v>
      </c>
      <c r="U2334" s="70"/>
      <c r="V2334" s="32"/>
      <c r="W2334" s="70"/>
      <c r="X2334" s="70"/>
      <c r="Y2334" s="70" t="s">
        <v>7514</v>
      </c>
      <c r="Z2334" s="70"/>
      <c r="AA2334" s="71"/>
      <c r="AB2334" s="117" t="str">
        <f>IFERROR(VLOOKUP(Anexo_4[[#This Row],[cuenta]],OP,2,0),"-")</f>
        <v>-</v>
      </c>
    </row>
    <row r="2335" spans="1:28" ht="27" customHeight="1" x14ac:dyDescent="0.3">
      <c r="A2335" s="34" t="s">
        <v>7159</v>
      </c>
      <c r="B2335" s="36" t="str">
        <f t="shared" si="53"/>
        <v>Octubre</v>
      </c>
      <c r="C2335" s="33" t="s">
        <v>162</v>
      </c>
      <c r="D2335" s="33" t="s">
        <v>7515</v>
      </c>
      <c r="E2335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335" s="32" t="s">
        <v>235</v>
      </c>
      <c r="G2335" s="32" t="s">
        <v>5051</v>
      </c>
      <c r="H2335" s="139" t="s">
        <v>7516</v>
      </c>
      <c r="I2335" s="33" t="s">
        <v>264</v>
      </c>
      <c r="J2335" s="143" t="s">
        <v>4644</v>
      </c>
      <c r="K2335" s="33" t="s">
        <v>169</v>
      </c>
      <c r="L2335" s="102" t="str">
        <f>VLOOKUP(Anexo_4[[#This Row],[cod_doc]],TIPODOC,2,FALSE)</f>
        <v>FACTURA</v>
      </c>
      <c r="M2335" s="33" t="s">
        <v>406</v>
      </c>
      <c r="N2335" s="32" t="s">
        <v>7517</v>
      </c>
      <c r="O2335" s="48">
        <v>6.78</v>
      </c>
      <c r="P2335" s="49" t="s">
        <v>4341</v>
      </c>
      <c r="Q2335" s="81">
        <v>1.22</v>
      </c>
      <c r="R2335" s="80" t="s">
        <v>4341</v>
      </c>
      <c r="S2335" s="48" t="s">
        <v>4341</v>
      </c>
      <c r="T2335" s="72">
        <v>8</v>
      </c>
      <c r="U2335" s="70"/>
      <c r="V2335" s="32"/>
      <c r="W2335" s="70"/>
      <c r="X2335" s="70"/>
      <c r="Y2335" s="70" t="s">
        <v>7518</v>
      </c>
      <c r="Z2335" s="70"/>
      <c r="AA2335" s="71"/>
      <c r="AB2335" s="117" t="str">
        <f>IFERROR(VLOOKUP(Anexo_4[[#This Row],[cuenta]],OP,2,0),"-")</f>
        <v>-</v>
      </c>
    </row>
    <row r="2336" spans="1:28" ht="27" customHeight="1" x14ac:dyDescent="0.3">
      <c r="A2336" s="34" t="s">
        <v>7276</v>
      </c>
      <c r="B2336" s="36" t="str">
        <f t="shared" si="53"/>
        <v>Octubre</v>
      </c>
      <c r="C2336" s="33" t="s">
        <v>162</v>
      </c>
      <c r="D2336" s="33" t="s">
        <v>7519</v>
      </c>
      <c r="E2336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336" s="32" t="s">
        <v>175</v>
      </c>
      <c r="G2336" s="32" t="s">
        <v>5168</v>
      </c>
      <c r="H2336" s="139" t="s">
        <v>7520</v>
      </c>
      <c r="I2336" s="33" t="s">
        <v>264</v>
      </c>
      <c r="J2336" s="143" t="s">
        <v>4644</v>
      </c>
      <c r="K2336" s="33" t="s">
        <v>169</v>
      </c>
      <c r="L2336" s="102" t="str">
        <f>VLOOKUP(Anexo_4[[#This Row],[cod_doc]],TIPODOC,2,FALSE)</f>
        <v>FACTURA</v>
      </c>
      <c r="M2336" s="33" t="s">
        <v>271</v>
      </c>
      <c r="N2336" s="32" t="s">
        <v>7521</v>
      </c>
      <c r="O2336" s="48">
        <v>10.17</v>
      </c>
      <c r="P2336" s="49" t="s">
        <v>4341</v>
      </c>
      <c r="Q2336" s="81">
        <v>1.83</v>
      </c>
      <c r="R2336" s="80" t="s">
        <v>4341</v>
      </c>
      <c r="S2336" s="48" t="s">
        <v>4341</v>
      </c>
      <c r="T2336" s="72">
        <v>12</v>
      </c>
      <c r="U2336" s="70"/>
      <c r="V2336" s="32"/>
      <c r="W2336" s="70"/>
      <c r="X2336" s="70"/>
      <c r="Y2336" s="70" t="s">
        <v>7522</v>
      </c>
      <c r="Z2336" s="70"/>
      <c r="AA2336" s="71"/>
      <c r="AB2336" s="117" t="str">
        <f>IFERROR(VLOOKUP(Anexo_4[[#This Row],[cuenta]],OP,2,0),"-")</f>
        <v>-</v>
      </c>
    </row>
    <row r="2337" spans="1:28" ht="27" customHeight="1" x14ac:dyDescent="0.3">
      <c r="A2337" s="34" t="s">
        <v>7276</v>
      </c>
      <c r="B2337" s="36" t="str">
        <f t="shared" si="53"/>
        <v>Octubre</v>
      </c>
      <c r="C2337" s="33" t="s">
        <v>162</v>
      </c>
      <c r="D2337" s="33" t="s">
        <v>7523</v>
      </c>
      <c r="E2337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337" s="32" t="s">
        <v>175</v>
      </c>
      <c r="G2337" s="32" t="s">
        <v>5168</v>
      </c>
      <c r="H2337" s="139" t="s">
        <v>7524</v>
      </c>
      <c r="I2337" s="33" t="s">
        <v>264</v>
      </c>
      <c r="J2337" s="143" t="s">
        <v>4644</v>
      </c>
      <c r="K2337" s="33" t="s">
        <v>169</v>
      </c>
      <c r="L2337" s="102" t="str">
        <f>VLOOKUP(Anexo_4[[#This Row],[cod_doc]],TIPODOC,2,FALSE)</f>
        <v>FACTURA</v>
      </c>
      <c r="M2337" s="33" t="s">
        <v>379</v>
      </c>
      <c r="N2337" s="32" t="s">
        <v>7525</v>
      </c>
      <c r="O2337" s="48">
        <v>10.17</v>
      </c>
      <c r="P2337" s="49" t="s">
        <v>4341</v>
      </c>
      <c r="Q2337" s="81">
        <v>1.83</v>
      </c>
      <c r="R2337" s="80" t="s">
        <v>4341</v>
      </c>
      <c r="S2337" s="48" t="s">
        <v>4341</v>
      </c>
      <c r="T2337" s="72">
        <v>12</v>
      </c>
      <c r="U2337" s="70"/>
      <c r="V2337" s="32"/>
      <c r="W2337" s="70"/>
      <c r="X2337" s="70"/>
      <c r="Y2337" s="70" t="s">
        <v>7526</v>
      </c>
      <c r="Z2337" s="70"/>
      <c r="AA2337" s="71"/>
      <c r="AB2337" s="117" t="str">
        <f>IFERROR(VLOOKUP(Anexo_4[[#This Row],[cuenta]],OP,2,0),"-")</f>
        <v>-</v>
      </c>
    </row>
    <row r="2338" spans="1:28" ht="27" customHeight="1" x14ac:dyDescent="0.3">
      <c r="A2338" s="34" t="s">
        <v>7240</v>
      </c>
      <c r="B2338" s="36" t="str">
        <f t="shared" si="53"/>
        <v>Octubre</v>
      </c>
      <c r="C2338" s="33" t="s">
        <v>162</v>
      </c>
      <c r="D2338" s="33" t="s">
        <v>7527</v>
      </c>
      <c r="E2338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338" s="32" t="s">
        <v>391</v>
      </c>
      <c r="G2338" s="32" t="s">
        <v>5041</v>
      </c>
      <c r="H2338" s="139" t="s">
        <v>7528</v>
      </c>
      <c r="I2338" s="33" t="s">
        <v>264</v>
      </c>
      <c r="J2338" s="143" t="s">
        <v>4644</v>
      </c>
      <c r="K2338" s="33" t="s">
        <v>169</v>
      </c>
      <c r="L2338" s="102" t="str">
        <f>VLOOKUP(Anexo_4[[#This Row],[cod_doc]],TIPODOC,2,FALSE)</f>
        <v>FACTURA</v>
      </c>
      <c r="M2338" s="33" t="s">
        <v>352</v>
      </c>
      <c r="N2338" s="32" t="s">
        <v>7529</v>
      </c>
      <c r="O2338" s="48">
        <v>6.78</v>
      </c>
      <c r="P2338" s="49" t="s">
        <v>4341</v>
      </c>
      <c r="Q2338" s="81">
        <v>1.22</v>
      </c>
      <c r="R2338" s="80" t="s">
        <v>4341</v>
      </c>
      <c r="S2338" s="48" t="s">
        <v>4341</v>
      </c>
      <c r="T2338" s="72">
        <v>8</v>
      </c>
      <c r="U2338" s="70"/>
      <c r="V2338" s="32"/>
      <c r="W2338" s="70"/>
      <c r="X2338" s="70"/>
      <c r="Y2338" s="70" t="s">
        <v>7530</v>
      </c>
      <c r="Z2338" s="70"/>
      <c r="AA2338" s="71"/>
      <c r="AB2338" s="117" t="str">
        <f>IFERROR(VLOOKUP(Anexo_4[[#This Row],[cuenta]],OP,2,0),"-")</f>
        <v>-</v>
      </c>
    </row>
    <row r="2339" spans="1:28" ht="27" customHeight="1" x14ac:dyDescent="0.3">
      <c r="A2339" s="34" t="s">
        <v>7240</v>
      </c>
      <c r="B2339" s="36" t="str">
        <f t="shared" si="53"/>
        <v>Octubre</v>
      </c>
      <c r="C2339" s="33" t="s">
        <v>162</v>
      </c>
      <c r="D2339" s="33" t="s">
        <v>7531</v>
      </c>
      <c r="E2339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339" s="32" t="s">
        <v>391</v>
      </c>
      <c r="G2339" s="32" t="s">
        <v>5041</v>
      </c>
      <c r="H2339" s="139" t="s">
        <v>7532</v>
      </c>
      <c r="I2339" s="33" t="s">
        <v>264</v>
      </c>
      <c r="J2339" s="143" t="s">
        <v>4644</v>
      </c>
      <c r="K2339" s="33" t="s">
        <v>169</v>
      </c>
      <c r="L2339" s="102" t="str">
        <f>VLOOKUP(Anexo_4[[#This Row],[cod_doc]],TIPODOC,2,FALSE)</f>
        <v>FACTURA</v>
      </c>
      <c r="M2339" s="33" t="s">
        <v>271</v>
      </c>
      <c r="N2339" s="32" t="s">
        <v>7533</v>
      </c>
      <c r="O2339" s="48">
        <v>6.78</v>
      </c>
      <c r="P2339" s="49" t="s">
        <v>4341</v>
      </c>
      <c r="Q2339" s="81">
        <v>1.22</v>
      </c>
      <c r="R2339" s="80" t="s">
        <v>4341</v>
      </c>
      <c r="S2339" s="48" t="s">
        <v>4341</v>
      </c>
      <c r="T2339" s="72">
        <v>8</v>
      </c>
      <c r="U2339" s="70"/>
      <c r="V2339" s="32"/>
      <c r="W2339" s="70"/>
      <c r="X2339" s="70"/>
      <c r="Y2339" s="70" t="s">
        <v>7534</v>
      </c>
      <c r="Z2339" s="70"/>
      <c r="AA2339" s="71"/>
      <c r="AB2339" s="117" t="str">
        <f>IFERROR(VLOOKUP(Anexo_4[[#This Row],[cuenta]],OP,2,0),"-")</f>
        <v>-</v>
      </c>
    </row>
    <row r="2340" spans="1:28" ht="27" customHeight="1" x14ac:dyDescent="0.3">
      <c r="A2340" s="34" t="s">
        <v>7040</v>
      </c>
      <c r="B2340" s="36" t="str">
        <f t="shared" si="53"/>
        <v>Octubre</v>
      </c>
      <c r="C2340" s="33" t="s">
        <v>162</v>
      </c>
      <c r="D2340" s="33" t="s">
        <v>7535</v>
      </c>
      <c r="E2340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340" s="32" t="s">
        <v>391</v>
      </c>
      <c r="G2340" s="32" t="s">
        <v>5041</v>
      </c>
      <c r="H2340" s="139" t="s">
        <v>7536</v>
      </c>
      <c r="I2340" s="33" t="s">
        <v>264</v>
      </c>
      <c r="J2340" s="143" t="s">
        <v>4644</v>
      </c>
      <c r="K2340" s="33" t="s">
        <v>169</v>
      </c>
      <c r="L2340" s="102" t="str">
        <f>VLOOKUP(Anexo_4[[#This Row],[cod_doc]],TIPODOC,2,FALSE)</f>
        <v>FACTURA</v>
      </c>
      <c r="M2340" s="33" t="s">
        <v>352</v>
      </c>
      <c r="N2340" s="32" t="s">
        <v>7537</v>
      </c>
      <c r="O2340" s="48">
        <v>6.78</v>
      </c>
      <c r="P2340" s="49" t="s">
        <v>4341</v>
      </c>
      <c r="Q2340" s="81">
        <v>1.22</v>
      </c>
      <c r="R2340" s="80" t="s">
        <v>4341</v>
      </c>
      <c r="S2340" s="48" t="s">
        <v>4341</v>
      </c>
      <c r="T2340" s="72">
        <v>8</v>
      </c>
      <c r="U2340" s="70"/>
      <c r="V2340" s="32"/>
      <c r="W2340" s="70"/>
      <c r="X2340" s="70"/>
      <c r="Y2340" s="70" t="s">
        <v>7538</v>
      </c>
      <c r="Z2340" s="70"/>
      <c r="AA2340" s="71"/>
      <c r="AB2340" s="117" t="str">
        <f>IFERROR(VLOOKUP(Anexo_4[[#This Row],[cuenta]],OP,2,0),"-")</f>
        <v>-</v>
      </c>
    </row>
    <row r="2341" spans="1:28" ht="27" customHeight="1" x14ac:dyDescent="0.3">
      <c r="A2341" s="34" t="s">
        <v>7141</v>
      </c>
      <c r="B2341" s="36" t="str">
        <f t="shared" si="53"/>
        <v>Octubre</v>
      </c>
      <c r="C2341" s="33" t="s">
        <v>162</v>
      </c>
      <c r="D2341" s="33" t="s">
        <v>7539</v>
      </c>
      <c r="E2341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341" s="32" t="s">
        <v>391</v>
      </c>
      <c r="G2341" s="32" t="s">
        <v>5041</v>
      </c>
      <c r="H2341" s="139" t="s">
        <v>7540</v>
      </c>
      <c r="I2341" s="33" t="s">
        <v>529</v>
      </c>
      <c r="J2341" s="143" t="s">
        <v>5293</v>
      </c>
      <c r="K2341" s="33" t="s">
        <v>169</v>
      </c>
      <c r="L2341" s="102" t="str">
        <f>VLOOKUP(Anexo_4[[#This Row],[cod_doc]],TIPODOC,2,FALSE)</f>
        <v>FACTURA</v>
      </c>
      <c r="M2341" s="33" t="s">
        <v>531</v>
      </c>
      <c r="N2341" s="32" t="s">
        <v>7541</v>
      </c>
      <c r="O2341" s="48">
        <v>8.4700000000000006</v>
      </c>
      <c r="P2341" s="49" t="s">
        <v>4341</v>
      </c>
      <c r="Q2341" s="81">
        <v>1.53</v>
      </c>
      <c r="R2341" s="80" t="s">
        <v>4341</v>
      </c>
      <c r="S2341" s="48" t="s">
        <v>4341</v>
      </c>
      <c r="T2341" s="72">
        <v>10</v>
      </c>
      <c r="U2341" s="70"/>
      <c r="V2341" s="32"/>
      <c r="W2341" s="70"/>
      <c r="X2341" s="70"/>
      <c r="Y2341" s="70" t="s">
        <v>7542</v>
      </c>
      <c r="Z2341" s="70"/>
      <c r="AA2341" s="71"/>
      <c r="AB2341" s="117" t="str">
        <f>IFERROR(VLOOKUP(Anexo_4[[#This Row],[cuenta]],OP,2,0),"-")</f>
        <v>-</v>
      </c>
    </row>
    <row r="2342" spans="1:28" ht="27" customHeight="1" x14ac:dyDescent="0.3">
      <c r="A2342" s="34" t="s">
        <v>7141</v>
      </c>
      <c r="B2342" s="36" t="str">
        <f t="shared" si="53"/>
        <v>Octubre</v>
      </c>
      <c r="C2342" s="33" t="s">
        <v>162</v>
      </c>
      <c r="D2342" s="33" t="s">
        <v>7543</v>
      </c>
      <c r="E2342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342" s="32" t="s">
        <v>391</v>
      </c>
      <c r="G2342" s="32" t="s">
        <v>5041</v>
      </c>
      <c r="H2342" s="139" t="s">
        <v>7544</v>
      </c>
      <c r="I2342" s="33" t="s">
        <v>529</v>
      </c>
      <c r="J2342" s="143" t="s">
        <v>5293</v>
      </c>
      <c r="K2342" s="33" t="s">
        <v>169</v>
      </c>
      <c r="L2342" s="102" t="str">
        <f>VLOOKUP(Anexo_4[[#This Row],[cod_doc]],TIPODOC,2,FALSE)</f>
        <v>FACTURA</v>
      </c>
      <c r="M2342" s="33" t="s">
        <v>531</v>
      </c>
      <c r="N2342" s="32" t="s">
        <v>7545</v>
      </c>
      <c r="O2342" s="48">
        <v>8.4700000000000006</v>
      </c>
      <c r="P2342" s="49" t="s">
        <v>4341</v>
      </c>
      <c r="Q2342" s="81">
        <v>1.53</v>
      </c>
      <c r="R2342" s="80" t="s">
        <v>4341</v>
      </c>
      <c r="S2342" s="48" t="s">
        <v>4341</v>
      </c>
      <c r="T2342" s="72">
        <v>10</v>
      </c>
      <c r="U2342" s="70"/>
      <c r="V2342" s="32"/>
      <c r="W2342" s="70"/>
      <c r="X2342" s="70"/>
      <c r="Y2342" s="70" t="s">
        <v>7546</v>
      </c>
      <c r="Z2342" s="70"/>
      <c r="AA2342" s="71"/>
      <c r="AB2342" s="117" t="str">
        <f>IFERROR(VLOOKUP(Anexo_4[[#This Row],[cuenta]],OP,2,0),"-")</f>
        <v>-</v>
      </c>
    </row>
    <row r="2343" spans="1:28" ht="27" customHeight="1" x14ac:dyDescent="0.3">
      <c r="A2343" s="34" t="s">
        <v>7307</v>
      </c>
      <c r="B2343" s="36" t="str">
        <f t="shared" si="53"/>
        <v>Octubre</v>
      </c>
      <c r="C2343" s="33" t="s">
        <v>162</v>
      </c>
      <c r="D2343" s="33" t="s">
        <v>7547</v>
      </c>
      <c r="E2343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343" s="32" t="s">
        <v>391</v>
      </c>
      <c r="G2343" s="32" t="s">
        <v>5041</v>
      </c>
      <c r="H2343" s="139" t="s">
        <v>7548</v>
      </c>
      <c r="I2343" s="33" t="s">
        <v>504</v>
      </c>
      <c r="J2343" s="143" t="s">
        <v>4717</v>
      </c>
      <c r="K2343" s="33" t="s">
        <v>169</v>
      </c>
      <c r="L2343" s="102" t="str">
        <f>VLOOKUP(Anexo_4[[#This Row],[cod_doc]],TIPODOC,2,FALSE)</f>
        <v>FACTURA</v>
      </c>
      <c r="M2343" s="33" t="s">
        <v>222</v>
      </c>
      <c r="N2343" s="32" t="s">
        <v>7549</v>
      </c>
      <c r="O2343" s="48">
        <v>21.19</v>
      </c>
      <c r="P2343" s="49" t="s">
        <v>4341</v>
      </c>
      <c r="Q2343" s="81">
        <v>3.81</v>
      </c>
      <c r="R2343" s="80" t="s">
        <v>4341</v>
      </c>
      <c r="S2343" s="48" t="s">
        <v>4341</v>
      </c>
      <c r="T2343" s="72">
        <v>25</v>
      </c>
      <c r="U2343" s="70"/>
      <c r="V2343" s="32"/>
      <c r="W2343" s="70"/>
      <c r="X2343" s="70"/>
      <c r="Y2343" s="70" t="s">
        <v>7550</v>
      </c>
      <c r="Z2343" s="70"/>
      <c r="AA2343" s="71"/>
      <c r="AB2343" s="117" t="str">
        <f>IFERROR(VLOOKUP(Anexo_4[[#This Row],[cuenta]],OP,2,0),"-")</f>
        <v>-</v>
      </c>
    </row>
    <row r="2344" spans="1:28" ht="27" customHeight="1" x14ac:dyDescent="0.3">
      <c r="A2344" s="34" t="s">
        <v>7152</v>
      </c>
      <c r="B2344" s="36" t="str">
        <f t="shared" si="53"/>
        <v>Octubre</v>
      </c>
      <c r="C2344" s="33" t="s">
        <v>162</v>
      </c>
      <c r="D2344" s="33" t="s">
        <v>7551</v>
      </c>
      <c r="E2344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344" s="32" t="s">
        <v>391</v>
      </c>
      <c r="G2344" s="32" t="s">
        <v>5041</v>
      </c>
      <c r="H2344" s="139" t="s">
        <v>7552</v>
      </c>
      <c r="I2344" s="33" t="s">
        <v>504</v>
      </c>
      <c r="J2344" s="143" t="s">
        <v>4717</v>
      </c>
      <c r="K2344" s="33" t="s">
        <v>169</v>
      </c>
      <c r="L2344" s="102" t="str">
        <f>VLOOKUP(Anexo_4[[#This Row],[cod_doc]],TIPODOC,2,FALSE)</f>
        <v>FACTURA</v>
      </c>
      <c r="M2344" s="33" t="s">
        <v>222</v>
      </c>
      <c r="N2344" s="32" t="s">
        <v>7553</v>
      </c>
      <c r="O2344" s="48">
        <v>21.19</v>
      </c>
      <c r="P2344" s="49" t="s">
        <v>4341</v>
      </c>
      <c r="Q2344" s="81">
        <v>3.81</v>
      </c>
      <c r="R2344" s="80" t="s">
        <v>4341</v>
      </c>
      <c r="S2344" s="48" t="s">
        <v>4341</v>
      </c>
      <c r="T2344" s="72">
        <v>25</v>
      </c>
      <c r="U2344" s="70"/>
      <c r="V2344" s="32"/>
      <c r="W2344" s="70"/>
      <c r="X2344" s="70"/>
      <c r="Y2344" s="70" t="s">
        <v>7554</v>
      </c>
      <c r="Z2344" s="70"/>
      <c r="AA2344" s="71"/>
      <c r="AB2344" s="117" t="str">
        <f>IFERROR(VLOOKUP(Anexo_4[[#This Row],[cuenta]],OP,2,0),"-")</f>
        <v>-</v>
      </c>
    </row>
    <row r="2345" spans="1:28" ht="27" customHeight="1" x14ac:dyDescent="0.3">
      <c r="A2345" s="34" t="s">
        <v>7240</v>
      </c>
      <c r="B2345" s="36" t="str">
        <f t="shared" si="53"/>
        <v>Octubre</v>
      </c>
      <c r="C2345" s="33" t="s">
        <v>162</v>
      </c>
      <c r="D2345" s="33" t="s">
        <v>7555</v>
      </c>
      <c r="E2345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345" s="32" t="s">
        <v>175</v>
      </c>
      <c r="G2345" s="32" t="s">
        <v>5168</v>
      </c>
      <c r="H2345" s="139" t="s">
        <v>7556</v>
      </c>
      <c r="I2345" s="33" t="s">
        <v>504</v>
      </c>
      <c r="J2345" s="143" t="s">
        <v>4717</v>
      </c>
      <c r="K2345" s="33" t="s">
        <v>169</v>
      </c>
      <c r="L2345" s="102" t="str">
        <f>VLOOKUP(Anexo_4[[#This Row],[cod_doc]],TIPODOC,2,FALSE)</f>
        <v>FACTURA</v>
      </c>
      <c r="M2345" s="33" t="s">
        <v>222</v>
      </c>
      <c r="N2345" s="32" t="s">
        <v>7557</v>
      </c>
      <c r="O2345" s="48">
        <v>29.66</v>
      </c>
      <c r="P2345" s="49" t="s">
        <v>4341</v>
      </c>
      <c r="Q2345" s="81">
        <v>5.34</v>
      </c>
      <c r="R2345" s="80" t="s">
        <v>4341</v>
      </c>
      <c r="S2345" s="48" t="s">
        <v>4341</v>
      </c>
      <c r="T2345" s="72">
        <v>35</v>
      </c>
      <c r="U2345" s="70"/>
      <c r="V2345" s="32"/>
      <c r="W2345" s="70"/>
      <c r="X2345" s="70"/>
      <c r="Y2345" s="70" t="s">
        <v>7558</v>
      </c>
      <c r="Z2345" s="70"/>
      <c r="AA2345" s="71"/>
      <c r="AB2345" s="117" t="str">
        <f>IFERROR(VLOOKUP(Anexo_4[[#This Row],[cuenta]],OP,2,0),"-")</f>
        <v>-</v>
      </c>
    </row>
    <row r="2346" spans="1:28" ht="27" customHeight="1" x14ac:dyDescent="0.3">
      <c r="A2346" s="34" t="s">
        <v>7276</v>
      </c>
      <c r="B2346" s="36" t="str">
        <f t="shared" si="53"/>
        <v>Octubre</v>
      </c>
      <c r="C2346" s="33" t="s">
        <v>162</v>
      </c>
      <c r="D2346" s="33" t="s">
        <v>7559</v>
      </c>
      <c r="E2346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346" s="32" t="s">
        <v>391</v>
      </c>
      <c r="G2346" s="32" t="s">
        <v>5041</v>
      </c>
      <c r="H2346" s="139" t="s">
        <v>7560</v>
      </c>
      <c r="I2346" s="33" t="s">
        <v>178</v>
      </c>
      <c r="J2346" s="143" t="s">
        <v>4667</v>
      </c>
      <c r="K2346" s="33" t="s">
        <v>169</v>
      </c>
      <c r="L2346" s="102" t="str">
        <f>VLOOKUP(Anexo_4[[#This Row],[cod_doc]],TIPODOC,2,FALSE)</f>
        <v>FACTURA</v>
      </c>
      <c r="M2346" s="33" t="s">
        <v>180</v>
      </c>
      <c r="N2346" s="32" t="s">
        <v>7561</v>
      </c>
      <c r="O2346" s="48">
        <v>8.4700000000000006</v>
      </c>
      <c r="P2346" s="49" t="s">
        <v>4341</v>
      </c>
      <c r="Q2346" s="81">
        <v>1.53</v>
      </c>
      <c r="R2346" s="80" t="s">
        <v>4341</v>
      </c>
      <c r="S2346" s="48" t="s">
        <v>4341</v>
      </c>
      <c r="T2346" s="72">
        <v>10</v>
      </c>
      <c r="U2346" s="70"/>
      <c r="V2346" s="32"/>
      <c r="W2346" s="70"/>
      <c r="X2346" s="70"/>
      <c r="Y2346" s="70" t="s">
        <v>7562</v>
      </c>
      <c r="Z2346" s="70"/>
      <c r="AA2346" s="71"/>
      <c r="AB2346" s="117" t="str">
        <f>IFERROR(VLOOKUP(Anexo_4[[#This Row],[cuenta]],OP,2,0),"-")</f>
        <v>-</v>
      </c>
    </row>
    <row r="2347" spans="1:28" ht="27" customHeight="1" x14ac:dyDescent="0.3">
      <c r="A2347" s="34" t="s">
        <v>7307</v>
      </c>
      <c r="B2347" s="36" t="str">
        <f t="shared" si="53"/>
        <v>Octubre</v>
      </c>
      <c r="C2347" s="33" t="s">
        <v>162</v>
      </c>
      <c r="D2347" s="33" t="s">
        <v>7563</v>
      </c>
      <c r="E2347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347" s="32" t="s">
        <v>175</v>
      </c>
      <c r="G2347" s="32" t="s">
        <v>5168</v>
      </c>
      <c r="H2347" s="139" t="s">
        <v>7564</v>
      </c>
      <c r="I2347" s="33" t="s">
        <v>178</v>
      </c>
      <c r="J2347" s="143" t="s">
        <v>4667</v>
      </c>
      <c r="K2347" s="33" t="s">
        <v>169</v>
      </c>
      <c r="L2347" s="102" t="str">
        <f>VLOOKUP(Anexo_4[[#This Row],[cod_doc]],TIPODOC,2,FALSE)</f>
        <v>FACTURA</v>
      </c>
      <c r="M2347" s="33" t="s">
        <v>180</v>
      </c>
      <c r="N2347" s="32" t="s">
        <v>7565</v>
      </c>
      <c r="O2347" s="48">
        <v>8.4700000000000006</v>
      </c>
      <c r="P2347" s="49" t="s">
        <v>4341</v>
      </c>
      <c r="Q2347" s="81">
        <v>1.53</v>
      </c>
      <c r="R2347" s="80" t="s">
        <v>4341</v>
      </c>
      <c r="S2347" s="48" t="s">
        <v>4341</v>
      </c>
      <c r="T2347" s="72">
        <v>10</v>
      </c>
      <c r="U2347" s="70"/>
      <c r="V2347" s="32"/>
      <c r="W2347" s="70"/>
      <c r="X2347" s="70"/>
      <c r="Y2347" s="70" t="s">
        <v>7566</v>
      </c>
      <c r="Z2347" s="70"/>
      <c r="AA2347" s="71"/>
      <c r="AB2347" s="117" t="str">
        <f>IFERROR(VLOOKUP(Anexo_4[[#This Row],[cuenta]],OP,2,0),"-")</f>
        <v>-</v>
      </c>
    </row>
    <row r="2348" spans="1:28" ht="27" customHeight="1" x14ac:dyDescent="0.3">
      <c r="A2348" s="34" t="s">
        <v>7159</v>
      </c>
      <c r="B2348" s="36" t="str">
        <f t="shared" si="53"/>
        <v>Octubre</v>
      </c>
      <c r="C2348" s="33" t="s">
        <v>162</v>
      </c>
      <c r="D2348" s="33" t="s">
        <v>7567</v>
      </c>
      <c r="E2348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348" s="32" t="s">
        <v>5923</v>
      </c>
      <c r="G2348" s="32" t="s">
        <v>5924</v>
      </c>
      <c r="H2348" s="139" t="s">
        <v>7568</v>
      </c>
      <c r="I2348" s="33" t="s">
        <v>383</v>
      </c>
      <c r="J2348" s="143" t="s">
        <v>4702</v>
      </c>
      <c r="K2348" s="33" t="s">
        <v>169</v>
      </c>
      <c r="L2348" s="102" t="str">
        <f>VLOOKUP(Anexo_4[[#This Row],[cod_doc]],TIPODOC,2,FALSE)</f>
        <v>FACTURA</v>
      </c>
      <c r="M2348" s="33" t="s">
        <v>103</v>
      </c>
      <c r="N2348" s="32" t="s">
        <v>7569</v>
      </c>
      <c r="O2348" s="48">
        <v>16.95</v>
      </c>
      <c r="P2348" s="49" t="s">
        <v>4341</v>
      </c>
      <c r="Q2348" s="81">
        <v>3.05</v>
      </c>
      <c r="R2348" s="80" t="s">
        <v>4341</v>
      </c>
      <c r="S2348" s="48" t="s">
        <v>4341</v>
      </c>
      <c r="T2348" s="72">
        <v>20</v>
      </c>
      <c r="U2348" s="70"/>
      <c r="V2348" s="32"/>
      <c r="W2348" s="70"/>
      <c r="X2348" s="70"/>
      <c r="Y2348" s="70" t="s">
        <v>7570</v>
      </c>
      <c r="Z2348" s="70"/>
      <c r="AA2348" s="71"/>
      <c r="AB2348" s="117" t="str">
        <f>IFERROR(VLOOKUP(Anexo_4[[#This Row],[cuenta]],OP,2,0),"-")</f>
        <v>-</v>
      </c>
    </row>
    <row r="2349" spans="1:28" ht="27" customHeight="1" x14ac:dyDescent="0.3">
      <c r="A2349" s="34" t="s">
        <v>7276</v>
      </c>
      <c r="B2349" s="36" t="str">
        <f t="shared" si="53"/>
        <v>Octubre</v>
      </c>
      <c r="C2349" s="33" t="s">
        <v>162</v>
      </c>
      <c r="D2349" s="33" t="s">
        <v>7571</v>
      </c>
      <c r="E2349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349" s="32" t="s">
        <v>650</v>
      </c>
      <c r="G2349" s="32" t="s">
        <v>651</v>
      </c>
      <c r="H2349" s="139" t="s">
        <v>7572</v>
      </c>
      <c r="I2349" s="33" t="s">
        <v>653</v>
      </c>
      <c r="J2349" s="143" t="s">
        <v>4678</v>
      </c>
      <c r="K2349" s="33" t="s">
        <v>169</v>
      </c>
      <c r="L2349" s="102" t="str">
        <f>VLOOKUP(Anexo_4[[#This Row],[cod_doc]],TIPODOC,2,FALSE)</f>
        <v>FACTURA</v>
      </c>
      <c r="M2349" s="33" t="s">
        <v>655</v>
      </c>
      <c r="N2349" s="32" t="s">
        <v>7573</v>
      </c>
      <c r="O2349" s="48">
        <v>89</v>
      </c>
      <c r="P2349" s="49" t="s">
        <v>4341</v>
      </c>
      <c r="Q2349" s="81">
        <v>16.02</v>
      </c>
      <c r="R2349" s="80" t="s">
        <v>4341</v>
      </c>
      <c r="S2349" s="48" t="s">
        <v>4341</v>
      </c>
      <c r="T2349" s="72">
        <v>105.02</v>
      </c>
      <c r="U2349" s="70"/>
      <c r="V2349" s="32"/>
      <c r="W2349" s="70"/>
      <c r="X2349" s="70"/>
      <c r="Y2349" s="70"/>
      <c r="Z2349" s="70"/>
      <c r="AA2349" s="71"/>
      <c r="AB2349" s="117" t="str">
        <f>IFERROR(VLOOKUP(Anexo_4[[#This Row],[cuenta]],OP,2,0),"-")</f>
        <v>-</v>
      </c>
    </row>
    <row r="2350" spans="1:28" ht="27" customHeight="1" x14ac:dyDescent="0.3">
      <c r="A2350" s="34" t="s">
        <v>7416</v>
      </c>
      <c r="B2350" s="36" t="str">
        <f t="shared" si="53"/>
        <v>Octubre</v>
      </c>
      <c r="C2350" s="33" t="s">
        <v>162</v>
      </c>
      <c r="D2350" s="33" t="s">
        <v>7574</v>
      </c>
      <c r="E2350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350" s="32"/>
      <c r="G2350" s="32"/>
      <c r="H2350" s="139" t="s">
        <v>7575</v>
      </c>
      <c r="I2350" s="33" t="s">
        <v>3254</v>
      </c>
      <c r="J2350" s="143" t="s">
        <v>7576</v>
      </c>
      <c r="K2350" s="33" t="s">
        <v>169</v>
      </c>
      <c r="L2350" s="102" t="str">
        <f>VLOOKUP(Anexo_4[[#This Row],[cod_doc]],TIPODOC,2,FALSE)</f>
        <v>FACTURA</v>
      </c>
      <c r="M2350" s="33" t="s">
        <v>260</v>
      </c>
      <c r="N2350" s="32" t="s">
        <v>7577</v>
      </c>
      <c r="O2350" s="48">
        <v>30</v>
      </c>
      <c r="P2350" s="49" t="s">
        <v>4341</v>
      </c>
      <c r="Q2350" s="81">
        <v>5.4</v>
      </c>
      <c r="R2350" s="80" t="s">
        <v>4341</v>
      </c>
      <c r="S2350" s="48" t="s">
        <v>4341</v>
      </c>
      <c r="T2350" s="72">
        <v>35.4</v>
      </c>
      <c r="U2350" s="70"/>
      <c r="V2350" s="32"/>
      <c r="W2350" s="70"/>
      <c r="X2350" s="70"/>
      <c r="Y2350" s="70"/>
      <c r="Z2350" s="70"/>
      <c r="AA2350" s="71"/>
      <c r="AB2350" s="117" t="str">
        <f>IFERROR(VLOOKUP(Anexo_4[[#This Row],[cuenta]],OP,2,0),"-")</f>
        <v>-</v>
      </c>
    </row>
    <row r="2351" spans="1:28" ht="27" customHeight="1" x14ac:dyDescent="0.3">
      <c r="A2351" s="34" t="s">
        <v>7040</v>
      </c>
      <c r="B2351" s="36" t="str">
        <f t="shared" si="53"/>
        <v>Octubre</v>
      </c>
      <c r="C2351" s="33" t="s">
        <v>162</v>
      </c>
      <c r="D2351" s="33" t="s">
        <v>7578</v>
      </c>
      <c r="E2351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351" s="32" t="s">
        <v>164</v>
      </c>
      <c r="G2351" s="32" t="s">
        <v>165</v>
      </c>
      <c r="H2351" s="139" t="s">
        <v>6281</v>
      </c>
      <c r="I2351" s="33" t="s">
        <v>437</v>
      </c>
      <c r="J2351" s="143" t="s">
        <v>6563</v>
      </c>
      <c r="K2351" s="33" t="s">
        <v>439</v>
      </c>
      <c r="L2351" s="102" t="str">
        <f>VLOOKUP(Anexo_4[[#This Row],[cod_doc]],TIPODOC,2,FALSE)</f>
        <v>RECIBO POR SERV. PUBLICOS</v>
      </c>
      <c r="M2351" s="33" t="s">
        <v>440</v>
      </c>
      <c r="N2351" s="32" t="s">
        <v>7579</v>
      </c>
      <c r="O2351" s="48">
        <v>74.08</v>
      </c>
      <c r="P2351" s="49" t="s">
        <v>4341</v>
      </c>
      <c r="Q2351" s="81">
        <v>13.32</v>
      </c>
      <c r="R2351" s="80" t="s">
        <v>4341</v>
      </c>
      <c r="S2351" s="48" t="s">
        <v>4341</v>
      </c>
      <c r="T2351" s="72">
        <v>87.4</v>
      </c>
      <c r="U2351" s="70"/>
      <c r="V2351" s="32"/>
      <c r="W2351" s="70"/>
      <c r="X2351" s="70"/>
      <c r="Y2351" s="70"/>
      <c r="Z2351" s="70"/>
      <c r="AA2351" s="71"/>
      <c r="AB2351" s="117" t="str">
        <f>IFERROR(VLOOKUP(Anexo_4[[#This Row],[cuenta]],OP,2,0),"-")</f>
        <v>-</v>
      </c>
    </row>
    <row r="2352" spans="1:28" ht="27" customHeight="1" x14ac:dyDescent="0.3">
      <c r="A2352" s="34" t="s">
        <v>7159</v>
      </c>
      <c r="B2352" s="36" t="str">
        <f t="shared" si="53"/>
        <v>Octubre</v>
      </c>
      <c r="C2352" s="33" t="s">
        <v>162</v>
      </c>
      <c r="D2352" s="33" t="s">
        <v>7580</v>
      </c>
      <c r="E2352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352" s="32" t="s">
        <v>164</v>
      </c>
      <c r="G2352" s="32" t="s">
        <v>165</v>
      </c>
      <c r="H2352" s="139" t="s">
        <v>970</v>
      </c>
      <c r="I2352" s="33" t="s">
        <v>971</v>
      </c>
      <c r="J2352" s="143" t="s">
        <v>5974</v>
      </c>
      <c r="K2352" s="33" t="s">
        <v>439</v>
      </c>
      <c r="L2352" s="102" t="str">
        <f>VLOOKUP(Anexo_4[[#This Row],[cod_doc]],TIPODOC,2,FALSE)</f>
        <v>RECIBO POR SERV. PUBLICOS</v>
      </c>
      <c r="M2352" s="33" t="s">
        <v>1048</v>
      </c>
      <c r="N2352" s="32" t="s">
        <v>7581</v>
      </c>
      <c r="O2352" s="48">
        <v>1177.3800000000001</v>
      </c>
      <c r="P2352" s="49" t="s">
        <v>4341</v>
      </c>
      <c r="Q2352" s="81">
        <v>211.93</v>
      </c>
      <c r="R2352" s="80" t="s">
        <v>4341</v>
      </c>
      <c r="S2352" s="48" t="s">
        <v>4341</v>
      </c>
      <c r="T2352" s="72">
        <v>1389.31</v>
      </c>
      <c r="U2352" s="70"/>
      <c r="V2352" s="32"/>
      <c r="W2352" s="70"/>
      <c r="X2352" s="70"/>
      <c r="Y2352" s="70"/>
      <c r="Z2352" s="70"/>
      <c r="AA2352" s="71"/>
      <c r="AB2352" s="117" t="str">
        <f>IFERROR(VLOOKUP(Anexo_4[[#This Row],[cuenta]],OP,2,0),"-")</f>
        <v>-</v>
      </c>
    </row>
    <row r="2353" spans="1:28" ht="27" customHeight="1" x14ac:dyDescent="0.3">
      <c r="A2353" s="34" t="s">
        <v>6887</v>
      </c>
      <c r="B2353" s="36" t="str">
        <f t="shared" ref="B2353:B2362" si="54">PROPER(CHOOSE(LEFT(D2353,2),"enero","febrero","marzo","abril","mayo","junio","julio","agosto","setiembre","octubre","noviembre","diciembre"))</f>
        <v>Octubre</v>
      </c>
      <c r="C2353" s="33" t="s">
        <v>162</v>
      </c>
      <c r="D2353" s="33" t="s">
        <v>7582</v>
      </c>
      <c r="E2353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353" s="32" t="s">
        <v>650</v>
      </c>
      <c r="G2353" s="32" t="s">
        <v>651</v>
      </c>
      <c r="H2353" s="139" t="s">
        <v>7583</v>
      </c>
      <c r="I2353" s="33" t="s">
        <v>653</v>
      </c>
      <c r="J2353" s="143" t="s">
        <v>4678</v>
      </c>
      <c r="K2353" s="33" t="s">
        <v>169</v>
      </c>
      <c r="L2353" s="102" t="str">
        <f>VLOOKUP(Anexo_4[[#This Row],[cod_doc]],TIPODOC,2,FALSE)</f>
        <v>FACTURA</v>
      </c>
      <c r="M2353" s="33" t="s">
        <v>1042</v>
      </c>
      <c r="N2353" s="32" t="s">
        <v>7584</v>
      </c>
      <c r="O2353" s="48">
        <v>219</v>
      </c>
      <c r="P2353" s="49" t="s">
        <v>4341</v>
      </c>
      <c r="Q2353" s="81">
        <v>39.42</v>
      </c>
      <c r="R2353" s="80" t="s">
        <v>4341</v>
      </c>
      <c r="S2353" s="48" t="s">
        <v>4341</v>
      </c>
      <c r="T2353" s="72">
        <v>258.42</v>
      </c>
      <c r="U2353" s="70"/>
      <c r="V2353" s="32"/>
      <c r="W2353" s="70"/>
      <c r="X2353" s="70"/>
      <c r="Y2353" s="70"/>
      <c r="Z2353" s="70"/>
      <c r="AA2353" s="71"/>
      <c r="AB2353" s="117" t="str">
        <f>IFERROR(VLOOKUP(Anexo_4[[#This Row],[cuenta]],OP,2,0),"-")</f>
        <v>-</v>
      </c>
    </row>
    <row r="2354" spans="1:28" ht="27" customHeight="1" x14ac:dyDescent="0.3">
      <c r="A2354" s="34" t="s">
        <v>7276</v>
      </c>
      <c r="B2354" s="36" t="str">
        <f t="shared" si="54"/>
        <v>Octubre</v>
      </c>
      <c r="C2354" s="33" t="s">
        <v>162</v>
      </c>
      <c r="D2354" s="33" t="s">
        <v>7585</v>
      </c>
      <c r="E2354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354" s="32" t="s">
        <v>355</v>
      </c>
      <c r="G2354" s="32" t="s">
        <v>356</v>
      </c>
      <c r="H2354" s="139" t="s">
        <v>7586</v>
      </c>
      <c r="I2354" s="33" t="s">
        <v>1610</v>
      </c>
      <c r="J2354" s="143" t="s">
        <v>6003</v>
      </c>
      <c r="K2354" s="33" t="s">
        <v>169</v>
      </c>
      <c r="L2354" s="102" t="str">
        <f>VLOOKUP(Anexo_4[[#This Row],[cod_doc]],TIPODOC,2,FALSE)</f>
        <v>FACTURA</v>
      </c>
      <c r="M2354" s="33" t="s">
        <v>222</v>
      </c>
      <c r="N2354" s="32" t="s">
        <v>7587</v>
      </c>
      <c r="O2354" s="48">
        <v>15.25</v>
      </c>
      <c r="P2354" s="49" t="s">
        <v>4341</v>
      </c>
      <c r="Q2354" s="81">
        <v>2.75</v>
      </c>
      <c r="R2354" s="80" t="s">
        <v>4341</v>
      </c>
      <c r="S2354" s="48" t="s">
        <v>4341</v>
      </c>
      <c r="T2354" s="72">
        <v>18</v>
      </c>
      <c r="U2354" s="70"/>
      <c r="V2354" s="32"/>
      <c r="W2354" s="70"/>
      <c r="X2354" s="70"/>
      <c r="Y2354" s="70"/>
      <c r="Z2354" s="70"/>
      <c r="AA2354" s="71"/>
      <c r="AB2354" s="117" t="str">
        <f>IFERROR(VLOOKUP(Anexo_4[[#This Row],[cuenta]],OP,2,0),"-")</f>
        <v>-</v>
      </c>
    </row>
    <row r="2355" spans="1:28" ht="27" customHeight="1" x14ac:dyDescent="0.3">
      <c r="A2355" s="34" t="s">
        <v>7276</v>
      </c>
      <c r="B2355" s="36" t="str">
        <f t="shared" si="54"/>
        <v>Octubre</v>
      </c>
      <c r="C2355" s="33" t="s">
        <v>162</v>
      </c>
      <c r="D2355" s="33" t="s">
        <v>7588</v>
      </c>
      <c r="E2355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355" s="32" t="s">
        <v>355</v>
      </c>
      <c r="G2355" s="32" t="s">
        <v>356</v>
      </c>
      <c r="H2355" s="139" t="s">
        <v>7589</v>
      </c>
      <c r="I2355" s="33" t="s">
        <v>1957</v>
      </c>
      <c r="J2355" s="143" t="s">
        <v>4954</v>
      </c>
      <c r="K2355" s="33" t="s">
        <v>169</v>
      </c>
      <c r="L2355" s="102" t="str">
        <f>VLOOKUP(Anexo_4[[#This Row],[cod_doc]],TIPODOC,2,FALSE)</f>
        <v>FACTURA</v>
      </c>
      <c r="M2355" s="33" t="s">
        <v>1959</v>
      </c>
      <c r="N2355" s="32" t="s">
        <v>7590</v>
      </c>
      <c r="O2355" s="48">
        <v>20.55</v>
      </c>
      <c r="P2355" s="49" t="s">
        <v>4341</v>
      </c>
      <c r="Q2355" s="81">
        <v>3.7</v>
      </c>
      <c r="R2355" s="80" t="s">
        <v>4341</v>
      </c>
      <c r="S2355" s="48" t="s">
        <v>4341</v>
      </c>
      <c r="T2355" s="72">
        <v>24.25</v>
      </c>
      <c r="U2355" s="70"/>
      <c r="V2355" s="32"/>
      <c r="W2355" s="70"/>
      <c r="X2355" s="70"/>
      <c r="Y2355" s="70"/>
      <c r="Z2355" s="70"/>
      <c r="AA2355" s="71"/>
      <c r="AB2355" s="117" t="str">
        <f>IFERROR(VLOOKUP(Anexo_4[[#This Row],[cuenta]],OP,2,0),"-")</f>
        <v>-</v>
      </c>
    </row>
    <row r="2356" spans="1:28" ht="27" customHeight="1" x14ac:dyDescent="0.3">
      <c r="A2356" s="34" t="s">
        <v>7276</v>
      </c>
      <c r="B2356" s="36" t="str">
        <f t="shared" si="54"/>
        <v>Octubre</v>
      </c>
      <c r="C2356" s="33" t="s">
        <v>162</v>
      </c>
      <c r="D2356" s="33" t="s">
        <v>7591</v>
      </c>
      <c r="E2356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356" s="32" t="s">
        <v>355</v>
      </c>
      <c r="G2356" s="32" t="s">
        <v>356</v>
      </c>
      <c r="H2356" s="139" t="s">
        <v>7592</v>
      </c>
      <c r="I2356" s="33" t="s">
        <v>1060</v>
      </c>
      <c r="J2356" s="143" t="s">
        <v>4950</v>
      </c>
      <c r="K2356" s="33" t="s">
        <v>169</v>
      </c>
      <c r="L2356" s="102" t="str">
        <f>VLOOKUP(Anexo_4[[#This Row],[cod_doc]],TIPODOC,2,FALSE)</f>
        <v>FACTURA</v>
      </c>
      <c r="M2356" s="33" t="s">
        <v>1062</v>
      </c>
      <c r="N2356" s="32" t="s">
        <v>7593</v>
      </c>
      <c r="O2356" s="48">
        <v>44.49</v>
      </c>
      <c r="P2356" s="49" t="s">
        <v>4341</v>
      </c>
      <c r="Q2356" s="81">
        <v>8.01</v>
      </c>
      <c r="R2356" s="80" t="s">
        <v>4341</v>
      </c>
      <c r="S2356" s="48" t="s">
        <v>4341</v>
      </c>
      <c r="T2356" s="72">
        <v>52.5</v>
      </c>
      <c r="U2356" s="70"/>
      <c r="V2356" s="32"/>
      <c r="W2356" s="70"/>
      <c r="X2356" s="70"/>
      <c r="Y2356" s="70"/>
      <c r="Z2356" s="70"/>
      <c r="AA2356" s="71"/>
      <c r="AB2356" s="117" t="str">
        <f>IFERROR(VLOOKUP(Anexo_4[[#This Row],[cuenta]],OP,2,0),"-")</f>
        <v>-</v>
      </c>
    </row>
    <row r="2357" spans="1:28" ht="27" customHeight="1" x14ac:dyDescent="0.3">
      <c r="A2357" s="34" t="s">
        <v>7411</v>
      </c>
      <c r="B2357" s="36" t="str">
        <f t="shared" si="54"/>
        <v>Octubre</v>
      </c>
      <c r="C2357" s="33" t="s">
        <v>162</v>
      </c>
      <c r="D2357" s="33" t="s">
        <v>7594</v>
      </c>
      <c r="E2357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357" s="32" t="s">
        <v>235</v>
      </c>
      <c r="G2357" s="32" t="s">
        <v>5051</v>
      </c>
      <c r="H2357" s="139" t="s">
        <v>7595</v>
      </c>
      <c r="I2357" s="33" t="s">
        <v>504</v>
      </c>
      <c r="J2357" s="143" t="s">
        <v>4717</v>
      </c>
      <c r="K2357" s="33" t="s">
        <v>169</v>
      </c>
      <c r="L2357" s="102" t="str">
        <f>VLOOKUP(Anexo_4[[#This Row],[cod_doc]],TIPODOC,2,FALSE)</f>
        <v>FACTURA</v>
      </c>
      <c r="M2357" s="33" t="s">
        <v>222</v>
      </c>
      <c r="N2357" s="32" t="s">
        <v>7596</v>
      </c>
      <c r="O2357" s="48">
        <v>21.19</v>
      </c>
      <c r="P2357" s="49" t="s">
        <v>4341</v>
      </c>
      <c r="Q2357" s="81">
        <v>3.81</v>
      </c>
      <c r="R2357" s="80" t="s">
        <v>4341</v>
      </c>
      <c r="S2357" s="48" t="s">
        <v>4341</v>
      </c>
      <c r="T2357" s="72">
        <v>25</v>
      </c>
      <c r="U2357" s="70"/>
      <c r="V2357" s="32"/>
      <c r="W2357" s="70"/>
      <c r="X2357" s="70"/>
      <c r="Y2357" s="70" t="s">
        <v>7597</v>
      </c>
      <c r="Z2357" s="70"/>
      <c r="AA2357" s="71"/>
      <c r="AB2357" s="117" t="str">
        <f>IFERROR(VLOOKUP(Anexo_4[[#This Row],[cuenta]],OP,2,0),"-")</f>
        <v>-</v>
      </c>
    </row>
    <row r="2358" spans="1:28" ht="27" customHeight="1" x14ac:dyDescent="0.3">
      <c r="A2358" s="34" t="s">
        <v>7416</v>
      </c>
      <c r="B2358" s="36" t="str">
        <f t="shared" si="54"/>
        <v>Octubre</v>
      </c>
      <c r="C2358" s="33" t="s">
        <v>162</v>
      </c>
      <c r="D2358" s="33" t="s">
        <v>7598</v>
      </c>
      <c r="E2358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358" s="32" t="s">
        <v>235</v>
      </c>
      <c r="G2358" s="32" t="s">
        <v>5051</v>
      </c>
      <c r="H2358" s="139" t="s">
        <v>7599</v>
      </c>
      <c r="I2358" s="33" t="s">
        <v>178</v>
      </c>
      <c r="J2358" s="143" t="s">
        <v>4667</v>
      </c>
      <c r="K2358" s="33" t="s">
        <v>169</v>
      </c>
      <c r="L2358" s="102" t="str">
        <f>VLOOKUP(Anexo_4[[#This Row],[cod_doc]],TIPODOC,2,FALSE)</f>
        <v>FACTURA</v>
      </c>
      <c r="M2358" s="33" t="s">
        <v>180</v>
      </c>
      <c r="N2358" s="32" t="s">
        <v>7600</v>
      </c>
      <c r="O2358" s="48">
        <v>8.4700000000000006</v>
      </c>
      <c r="P2358" s="49" t="s">
        <v>4341</v>
      </c>
      <c r="Q2358" s="81">
        <v>1.53</v>
      </c>
      <c r="R2358" s="80" t="s">
        <v>4341</v>
      </c>
      <c r="S2358" s="48" t="s">
        <v>4341</v>
      </c>
      <c r="T2358" s="72">
        <v>10</v>
      </c>
      <c r="U2358" s="70"/>
      <c r="V2358" s="32"/>
      <c r="W2358" s="70"/>
      <c r="X2358" s="70"/>
      <c r="Y2358" s="70" t="s">
        <v>7601</v>
      </c>
      <c r="Z2358" s="70"/>
      <c r="AA2358" s="71"/>
      <c r="AB2358" s="117" t="str">
        <f>IFERROR(VLOOKUP(Anexo_4[[#This Row],[cuenta]],OP,2,0),"-")</f>
        <v>-</v>
      </c>
    </row>
    <row r="2359" spans="1:28" ht="27" customHeight="1" x14ac:dyDescent="0.3">
      <c r="A2359" s="34" t="s">
        <v>7276</v>
      </c>
      <c r="B2359" s="36" t="str">
        <f t="shared" si="54"/>
        <v>Octubre</v>
      </c>
      <c r="C2359" s="33" t="s">
        <v>162</v>
      </c>
      <c r="D2359" s="33" t="s">
        <v>7602</v>
      </c>
      <c r="E2359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359" s="32" t="s">
        <v>235</v>
      </c>
      <c r="G2359" s="32" t="s">
        <v>5051</v>
      </c>
      <c r="H2359" s="139" t="s">
        <v>7603</v>
      </c>
      <c r="I2359" s="33" t="s">
        <v>178</v>
      </c>
      <c r="J2359" s="143" t="s">
        <v>4667</v>
      </c>
      <c r="K2359" s="33" t="s">
        <v>169</v>
      </c>
      <c r="L2359" s="102" t="str">
        <f>VLOOKUP(Anexo_4[[#This Row],[cod_doc]],TIPODOC,2,FALSE)</f>
        <v>FACTURA</v>
      </c>
      <c r="M2359" s="33" t="s">
        <v>180</v>
      </c>
      <c r="N2359" s="32" t="s">
        <v>7604</v>
      </c>
      <c r="O2359" s="48">
        <v>8.4700000000000006</v>
      </c>
      <c r="P2359" s="49" t="s">
        <v>4341</v>
      </c>
      <c r="Q2359" s="81">
        <v>1.53</v>
      </c>
      <c r="R2359" s="80" t="s">
        <v>4341</v>
      </c>
      <c r="S2359" s="48" t="s">
        <v>4341</v>
      </c>
      <c r="T2359" s="72">
        <v>10</v>
      </c>
      <c r="U2359" s="70"/>
      <c r="V2359" s="32"/>
      <c r="W2359" s="70"/>
      <c r="X2359" s="70"/>
      <c r="Y2359" s="70" t="s">
        <v>7605</v>
      </c>
      <c r="Z2359" s="70"/>
      <c r="AA2359" s="71"/>
      <c r="AB2359" s="117" t="str">
        <f>IFERROR(VLOOKUP(Anexo_4[[#This Row],[cuenta]],OP,2,0),"-")</f>
        <v>-</v>
      </c>
    </row>
    <row r="2360" spans="1:28" ht="27" customHeight="1" x14ac:dyDescent="0.3">
      <c r="A2360" s="34" t="s">
        <v>7416</v>
      </c>
      <c r="B2360" s="36" t="str">
        <f t="shared" si="54"/>
        <v>Octubre</v>
      </c>
      <c r="C2360" s="33" t="s">
        <v>162</v>
      </c>
      <c r="D2360" s="33" t="s">
        <v>7606</v>
      </c>
      <c r="E2360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360" s="32" t="s">
        <v>235</v>
      </c>
      <c r="G2360" s="32" t="s">
        <v>5051</v>
      </c>
      <c r="H2360" s="139" t="s">
        <v>7607</v>
      </c>
      <c r="I2360" s="33" t="s">
        <v>264</v>
      </c>
      <c r="J2360" s="143" t="s">
        <v>4644</v>
      </c>
      <c r="K2360" s="33" t="s">
        <v>169</v>
      </c>
      <c r="L2360" s="102" t="str">
        <f>VLOOKUP(Anexo_4[[#This Row],[cod_doc]],TIPODOC,2,FALSE)</f>
        <v>FACTURA</v>
      </c>
      <c r="M2360" s="33" t="s">
        <v>352</v>
      </c>
      <c r="N2360" s="32" t="s">
        <v>7608</v>
      </c>
      <c r="O2360" s="48">
        <v>6.78</v>
      </c>
      <c r="P2360" s="49" t="s">
        <v>4341</v>
      </c>
      <c r="Q2360" s="81">
        <v>1.22</v>
      </c>
      <c r="R2360" s="80" t="s">
        <v>4341</v>
      </c>
      <c r="S2360" s="48" t="s">
        <v>4341</v>
      </c>
      <c r="T2360" s="72">
        <v>8</v>
      </c>
      <c r="U2360" s="70"/>
      <c r="V2360" s="32"/>
      <c r="W2360" s="70"/>
      <c r="X2360" s="70"/>
      <c r="Y2360" s="70" t="s">
        <v>7609</v>
      </c>
      <c r="Z2360" s="70"/>
      <c r="AA2360" s="71"/>
      <c r="AB2360" s="117" t="str">
        <f>IFERROR(VLOOKUP(Anexo_4[[#This Row],[cuenta]],OP,2,0),"-")</f>
        <v>-</v>
      </c>
    </row>
    <row r="2361" spans="1:28" ht="27" customHeight="1" x14ac:dyDescent="0.3">
      <c r="A2361" s="34" t="s">
        <v>7411</v>
      </c>
      <c r="B2361" s="36" t="str">
        <f t="shared" si="54"/>
        <v>Octubre</v>
      </c>
      <c r="C2361" s="33" t="s">
        <v>162</v>
      </c>
      <c r="D2361" s="33" t="s">
        <v>7610</v>
      </c>
      <c r="E2361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361" s="32" t="s">
        <v>235</v>
      </c>
      <c r="G2361" s="32" t="s">
        <v>5051</v>
      </c>
      <c r="H2361" s="139" t="s">
        <v>7611</v>
      </c>
      <c r="I2361" s="33" t="s">
        <v>264</v>
      </c>
      <c r="J2361" s="143" t="s">
        <v>4644</v>
      </c>
      <c r="K2361" s="33" t="s">
        <v>169</v>
      </c>
      <c r="L2361" s="102" t="str">
        <f>VLOOKUP(Anexo_4[[#This Row],[cod_doc]],TIPODOC,2,FALSE)</f>
        <v>FACTURA</v>
      </c>
      <c r="M2361" s="33" t="s">
        <v>379</v>
      </c>
      <c r="N2361" s="32" t="s">
        <v>7612</v>
      </c>
      <c r="O2361" s="48">
        <v>6.78</v>
      </c>
      <c r="P2361" s="49" t="s">
        <v>4341</v>
      </c>
      <c r="Q2361" s="81">
        <v>1.22</v>
      </c>
      <c r="R2361" s="80" t="s">
        <v>4341</v>
      </c>
      <c r="S2361" s="48" t="s">
        <v>4341</v>
      </c>
      <c r="T2361" s="72">
        <v>8</v>
      </c>
      <c r="U2361" s="70"/>
      <c r="V2361" s="32"/>
      <c r="W2361" s="70"/>
      <c r="X2361" s="70"/>
      <c r="Y2361" s="70" t="s">
        <v>7613</v>
      </c>
      <c r="Z2361" s="70"/>
      <c r="AA2361" s="71"/>
      <c r="AB2361" s="117" t="str">
        <f>IFERROR(VLOOKUP(Anexo_4[[#This Row],[cuenta]],OP,2,0),"-")</f>
        <v>-</v>
      </c>
    </row>
    <row r="2362" spans="1:28" ht="27" customHeight="1" x14ac:dyDescent="0.3">
      <c r="A2362" s="34" t="s">
        <v>7411</v>
      </c>
      <c r="B2362" s="36" t="str">
        <f t="shared" si="54"/>
        <v>Octubre</v>
      </c>
      <c r="C2362" s="33" t="s">
        <v>162</v>
      </c>
      <c r="D2362" s="33" t="s">
        <v>7614</v>
      </c>
      <c r="E2362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362" s="32" t="s">
        <v>235</v>
      </c>
      <c r="G2362" s="32" t="s">
        <v>5051</v>
      </c>
      <c r="H2362" s="139" t="s">
        <v>7615</v>
      </c>
      <c r="I2362" s="33" t="s">
        <v>264</v>
      </c>
      <c r="J2362" s="143" t="s">
        <v>4644</v>
      </c>
      <c r="K2362" s="33" t="s">
        <v>169</v>
      </c>
      <c r="L2362" s="102" t="str">
        <f>VLOOKUP(Anexo_4[[#This Row],[cod_doc]],TIPODOC,2,FALSE)</f>
        <v>FACTURA</v>
      </c>
      <c r="M2362" s="33" t="s">
        <v>406</v>
      </c>
      <c r="N2362" s="32" t="s">
        <v>7616</v>
      </c>
      <c r="O2362" s="48">
        <v>6.78</v>
      </c>
      <c r="P2362" s="49" t="s">
        <v>4341</v>
      </c>
      <c r="Q2362" s="81">
        <v>1.22</v>
      </c>
      <c r="R2362" s="80" t="s">
        <v>4341</v>
      </c>
      <c r="S2362" s="48" t="s">
        <v>4341</v>
      </c>
      <c r="T2362" s="72">
        <v>8</v>
      </c>
      <c r="U2362" s="70"/>
      <c r="V2362" s="32"/>
      <c r="W2362" s="70"/>
      <c r="X2362" s="70"/>
      <c r="Y2362" s="70" t="s">
        <v>7617</v>
      </c>
      <c r="Z2362" s="70"/>
      <c r="AA2362" s="71"/>
      <c r="AB2362" s="117" t="str">
        <f>IFERROR(VLOOKUP(Anexo_4[[#This Row],[cuenta]],OP,2,0),"-")</f>
        <v>-</v>
      </c>
    </row>
    <row r="2363" spans="1:28" ht="27" customHeight="1" x14ac:dyDescent="0.3">
      <c r="A2363" s="34" t="s">
        <v>7276</v>
      </c>
      <c r="B2363" s="36" t="str">
        <f t="shared" ref="B2363:B2394" si="55">PROPER(CHOOSE(LEFT(D2363,2),"enero","febrero","marzo","abril","mayo","junio","julio","agosto","setiembre","octubre","noviembre","diciembre"))</f>
        <v>Octubre</v>
      </c>
      <c r="C2363" s="33" t="s">
        <v>162</v>
      </c>
      <c r="D2363" s="33" t="s">
        <v>7618</v>
      </c>
      <c r="E2363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363" s="32" t="s">
        <v>235</v>
      </c>
      <c r="G2363" s="32" t="s">
        <v>5051</v>
      </c>
      <c r="H2363" s="139" t="s">
        <v>7619</v>
      </c>
      <c r="I2363" s="33" t="s">
        <v>264</v>
      </c>
      <c r="J2363" s="143" t="s">
        <v>4644</v>
      </c>
      <c r="K2363" s="33" t="s">
        <v>169</v>
      </c>
      <c r="L2363" s="102" t="str">
        <f>VLOOKUP(Anexo_4[[#This Row],[cod_doc]],TIPODOC,2,FALSE)</f>
        <v>FACTURA</v>
      </c>
      <c r="M2363" s="33" t="s">
        <v>275</v>
      </c>
      <c r="N2363" s="32" t="s">
        <v>7620</v>
      </c>
      <c r="O2363" s="48">
        <v>6.78</v>
      </c>
      <c r="P2363" s="49" t="s">
        <v>4341</v>
      </c>
      <c r="Q2363" s="81">
        <v>1.22</v>
      </c>
      <c r="R2363" s="80" t="s">
        <v>4341</v>
      </c>
      <c r="S2363" s="48" t="s">
        <v>4341</v>
      </c>
      <c r="T2363" s="72">
        <v>8</v>
      </c>
      <c r="U2363" s="70"/>
      <c r="V2363" s="32"/>
      <c r="W2363" s="70"/>
      <c r="X2363" s="70"/>
      <c r="Y2363" s="70" t="s">
        <v>7621</v>
      </c>
      <c r="Z2363" s="70"/>
      <c r="AA2363" s="71"/>
      <c r="AB2363" s="117" t="str">
        <f>IFERROR(VLOOKUP(Anexo_4[[#This Row],[cuenta]],OP,2,0),"-")</f>
        <v>-</v>
      </c>
    </row>
    <row r="2364" spans="1:28" ht="27" customHeight="1" x14ac:dyDescent="0.3">
      <c r="A2364" s="34" t="s">
        <v>7276</v>
      </c>
      <c r="B2364" s="36" t="str">
        <f t="shared" si="55"/>
        <v>Octubre</v>
      </c>
      <c r="C2364" s="33" t="s">
        <v>162</v>
      </c>
      <c r="D2364" s="33" t="s">
        <v>7622</v>
      </c>
      <c r="E2364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364" s="32" t="s">
        <v>235</v>
      </c>
      <c r="G2364" s="32" t="s">
        <v>5051</v>
      </c>
      <c r="H2364" s="139" t="s">
        <v>7623</v>
      </c>
      <c r="I2364" s="33" t="s">
        <v>264</v>
      </c>
      <c r="J2364" s="143" t="s">
        <v>4644</v>
      </c>
      <c r="K2364" s="33" t="s">
        <v>169</v>
      </c>
      <c r="L2364" s="102" t="str">
        <f>VLOOKUP(Anexo_4[[#This Row],[cod_doc]],TIPODOC,2,FALSE)</f>
        <v>FACTURA</v>
      </c>
      <c r="M2364" s="33" t="s">
        <v>352</v>
      </c>
      <c r="N2364" s="32" t="s">
        <v>7624</v>
      </c>
      <c r="O2364" s="48">
        <v>6.78</v>
      </c>
      <c r="P2364" s="49" t="s">
        <v>4341</v>
      </c>
      <c r="Q2364" s="81">
        <v>1.22</v>
      </c>
      <c r="R2364" s="80" t="s">
        <v>4341</v>
      </c>
      <c r="S2364" s="48" t="s">
        <v>4341</v>
      </c>
      <c r="T2364" s="72">
        <v>8</v>
      </c>
      <c r="U2364" s="70"/>
      <c r="V2364" s="32"/>
      <c r="W2364" s="70"/>
      <c r="X2364" s="70"/>
      <c r="Y2364" s="70" t="s">
        <v>7625</v>
      </c>
      <c r="Z2364" s="70"/>
      <c r="AA2364" s="71"/>
      <c r="AB2364" s="117" t="str">
        <f>IFERROR(VLOOKUP(Anexo_4[[#This Row],[cuenta]],OP,2,0),"-")</f>
        <v>-</v>
      </c>
    </row>
    <row r="2365" spans="1:28" ht="27" customHeight="1" x14ac:dyDescent="0.3">
      <c r="A2365" s="34" t="s">
        <v>7276</v>
      </c>
      <c r="B2365" s="36" t="str">
        <f t="shared" si="55"/>
        <v>Octubre</v>
      </c>
      <c r="C2365" s="33" t="s">
        <v>162</v>
      </c>
      <c r="D2365" s="33" t="s">
        <v>7626</v>
      </c>
      <c r="E2365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365" s="32" t="s">
        <v>235</v>
      </c>
      <c r="G2365" s="32" t="s">
        <v>5051</v>
      </c>
      <c r="H2365" s="139" t="s">
        <v>7627</v>
      </c>
      <c r="I2365" s="33" t="s">
        <v>264</v>
      </c>
      <c r="J2365" s="143" t="s">
        <v>4644</v>
      </c>
      <c r="K2365" s="33" t="s">
        <v>169</v>
      </c>
      <c r="L2365" s="102" t="str">
        <f>VLOOKUP(Anexo_4[[#This Row],[cod_doc]],TIPODOC,2,FALSE)</f>
        <v>FACTURA</v>
      </c>
      <c r="M2365" s="33" t="s">
        <v>519</v>
      </c>
      <c r="N2365" s="32" t="s">
        <v>7628</v>
      </c>
      <c r="O2365" s="48">
        <v>6.78</v>
      </c>
      <c r="P2365" s="49" t="s">
        <v>4341</v>
      </c>
      <c r="Q2365" s="81">
        <v>1.22</v>
      </c>
      <c r="R2365" s="80" t="s">
        <v>4341</v>
      </c>
      <c r="S2365" s="48" t="s">
        <v>4341</v>
      </c>
      <c r="T2365" s="72">
        <v>8</v>
      </c>
      <c r="U2365" s="70"/>
      <c r="V2365" s="32"/>
      <c r="W2365" s="70"/>
      <c r="X2365" s="70"/>
      <c r="Y2365" s="70" t="s">
        <v>7629</v>
      </c>
      <c r="Z2365" s="70"/>
      <c r="AA2365" s="71"/>
      <c r="AB2365" s="117" t="str">
        <f>IFERROR(VLOOKUP(Anexo_4[[#This Row],[cuenta]],OP,2,0),"-")</f>
        <v>-</v>
      </c>
    </row>
    <row r="2366" spans="1:28" ht="27" customHeight="1" x14ac:dyDescent="0.3">
      <c r="A2366" s="34" t="s">
        <v>7276</v>
      </c>
      <c r="B2366" s="36" t="str">
        <f t="shared" si="55"/>
        <v>Octubre</v>
      </c>
      <c r="C2366" s="33" t="s">
        <v>162</v>
      </c>
      <c r="D2366" s="33" t="s">
        <v>7630</v>
      </c>
      <c r="E2366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366" s="32" t="s">
        <v>235</v>
      </c>
      <c r="G2366" s="32" t="s">
        <v>5051</v>
      </c>
      <c r="H2366" s="139" t="s">
        <v>7631</v>
      </c>
      <c r="I2366" s="33" t="s">
        <v>264</v>
      </c>
      <c r="J2366" s="143" t="s">
        <v>4644</v>
      </c>
      <c r="K2366" s="33" t="s">
        <v>169</v>
      </c>
      <c r="L2366" s="102" t="str">
        <f>VLOOKUP(Anexo_4[[#This Row],[cod_doc]],TIPODOC,2,FALSE)</f>
        <v>FACTURA</v>
      </c>
      <c r="M2366" s="33" t="s">
        <v>406</v>
      </c>
      <c r="N2366" s="32" t="s">
        <v>7632</v>
      </c>
      <c r="O2366" s="48">
        <v>6.78</v>
      </c>
      <c r="P2366" s="49" t="s">
        <v>4341</v>
      </c>
      <c r="Q2366" s="81">
        <v>1.22</v>
      </c>
      <c r="R2366" s="80" t="s">
        <v>4341</v>
      </c>
      <c r="S2366" s="48" t="s">
        <v>4341</v>
      </c>
      <c r="T2366" s="72">
        <v>8</v>
      </c>
      <c r="U2366" s="70"/>
      <c r="V2366" s="32"/>
      <c r="W2366" s="70"/>
      <c r="X2366" s="70"/>
      <c r="Y2366" s="70" t="s">
        <v>7633</v>
      </c>
      <c r="Z2366" s="70"/>
      <c r="AA2366" s="71"/>
      <c r="AB2366" s="117" t="str">
        <f>IFERROR(VLOOKUP(Anexo_4[[#This Row],[cuenta]],OP,2,0),"-")</f>
        <v>-</v>
      </c>
    </row>
    <row r="2367" spans="1:28" ht="27" customHeight="1" x14ac:dyDescent="0.3">
      <c r="A2367" s="34" t="s">
        <v>7416</v>
      </c>
      <c r="B2367" s="36" t="str">
        <f t="shared" si="55"/>
        <v>Octubre</v>
      </c>
      <c r="C2367" s="33" t="s">
        <v>162</v>
      </c>
      <c r="D2367" s="33" t="s">
        <v>7634</v>
      </c>
      <c r="E2367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367" s="32" t="s">
        <v>235</v>
      </c>
      <c r="G2367" s="32" t="s">
        <v>5051</v>
      </c>
      <c r="H2367" s="139" t="s">
        <v>7635</v>
      </c>
      <c r="I2367" s="33" t="s">
        <v>264</v>
      </c>
      <c r="J2367" s="143" t="s">
        <v>4644</v>
      </c>
      <c r="K2367" s="33" t="s">
        <v>169</v>
      </c>
      <c r="L2367" s="102" t="str">
        <f>VLOOKUP(Anexo_4[[#This Row],[cod_doc]],TIPODOC,2,FALSE)</f>
        <v>FACTURA</v>
      </c>
      <c r="M2367" s="33" t="s">
        <v>406</v>
      </c>
      <c r="N2367" s="32" t="s">
        <v>7636</v>
      </c>
      <c r="O2367" s="48">
        <v>6.78</v>
      </c>
      <c r="P2367" s="49" t="s">
        <v>4341</v>
      </c>
      <c r="Q2367" s="81">
        <v>1.22</v>
      </c>
      <c r="R2367" s="80" t="s">
        <v>4341</v>
      </c>
      <c r="S2367" s="48" t="s">
        <v>4341</v>
      </c>
      <c r="T2367" s="72">
        <v>8</v>
      </c>
      <c r="U2367" s="70"/>
      <c r="V2367" s="32"/>
      <c r="W2367" s="70"/>
      <c r="X2367" s="70"/>
      <c r="Y2367" s="70" t="s">
        <v>7637</v>
      </c>
      <c r="Z2367" s="70"/>
      <c r="AA2367" s="71"/>
      <c r="AB2367" s="117" t="str">
        <f>IFERROR(VLOOKUP(Anexo_4[[#This Row],[cuenta]],OP,2,0),"-")</f>
        <v>-</v>
      </c>
    </row>
    <row r="2368" spans="1:28" ht="27" customHeight="1" x14ac:dyDescent="0.3">
      <c r="A2368" s="34" t="s">
        <v>6887</v>
      </c>
      <c r="B2368" s="36" t="str">
        <f t="shared" si="55"/>
        <v>Octubre</v>
      </c>
      <c r="C2368" s="33" t="s">
        <v>162</v>
      </c>
      <c r="D2368" s="33" t="s">
        <v>7638</v>
      </c>
      <c r="E2368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368" s="32" t="s">
        <v>235</v>
      </c>
      <c r="G2368" s="32" t="s">
        <v>5051</v>
      </c>
      <c r="H2368" s="139" t="s">
        <v>7639</v>
      </c>
      <c r="I2368" s="33" t="s">
        <v>264</v>
      </c>
      <c r="J2368" s="143" t="s">
        <v>4644</v>
      </c>
      <c r="K2368" s="33" t="s">
        <v>169</v>
      </c>
      <c r="L2368" s="102" t="str">
        <f>VLOOKUP(Anexo_4[[#This Row],[cod_doc]],TIPODOC,2,FALSE)</f>
        <v>FACTURA</v>
      </c>
      <c r="M2368" s="33" t="s">
        <v>271</v>
      </c>
      <c r="N2368" s="32" t="s">
        <v>7640</v>
      </c>
      <c r="O2368" s="48">
        <v>6.78</v>
      </c>
      <c r="P2368" s="49" t="s">
        <v>4341</v>
      </c>
      <c r="Q2368" s="81">
        <v>1.22</v>
      </c>
      <c r="R2368" s="80" t="s">
        <v>4341</v>
      </c>
      <c r="S2368" s="48" t="s">
        <v>4341</v>
      </c>
      <c r="T2368" s="72">
        <v>8</v>
      </c>
      <c r="U2368" s="70"/>
      <c r="V2368" s="32"/>
      <c r="W2368" s="70"/>
      <c r="X2368" s="70"/>
      <c r="Y2368" s="70" t="s">
        <v>7641</v>
      </c>
      <c r="Z2368" s="70"/>
      <c r="AA2368" s="71"/>
      <c r="AB2368" s="117" t="str">
        <f>IFERROR(VLOOKUP(Anexo_4[[#This Row],[cuenta]],OP,2,0),"-")</f>
        <v>-</v>
      </c>
    </row>
    <row r="2369" spans="1:28" ht="27" customHeight="1" x14ac:dyDescent="0.3">
      <c r="A2369" s="34" t="s">
        <v>6887</v>
      </c>
      <c r="B2369" s="36" t="str">
        <f t="shared" si="55"/>
        <v>Octubre</v>
      </c>
      <c r="C2369" s="33" t="s">
        <v>162</v>
      </c>
      <c r="D2369" s="33" t="s">
        <v>7642</v>
      </c>
      <c r="E2369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369" s="32" t="s">
        <v>391</v>
      </c>
      <c r="G2369" s="32" t="s">
        <v>5041</v>
      </c>
      <c r="H2369" s="139" t="s">
        <v>7643</v>
      </c>
      <c r="I2369" s="33" t="s">
        <v>264</v>
      </c>
      <c r="J2369" s="143" t="s">
        <v>4644</v>
      </c>
      <c r="K2369" s="33" t="s">
        <v>169</v>
      </c>
      <c r="L2369" s="102" t="str">
        <f>VLOOKUP(Anexo_4[[#This Row],[cod_doc]],TIPODOC,2,FALSE)</f>
        <v>FACTURA</v>
      </c>
      <c r="M2369" s="33" t="s">
        <v>379</v>
      </c>
      <c r="N2369" s="32" t="s">
        <v>7644</v>
      </c>
      <c r="O2369" s="48">
        <v>6.78</v>
      </c>
      <c r="P2369" s="49" t="s">
        <v>4341</v>
      </c>
      <c r="Q2369" s="81">
        <v>1.22</v>
      </c>
      <c r="R2369" s="80" t="s">
        <v>4341</v>
      </c>
      <c r="S2369" s="48" t="s">
        <v>4341</v>
      </c>
      <c r="T2369" s="72">
        <v>8</v>
      </c>
      <c r="U2369" s="70"/>
      <c r="V2369" s="32"/>
      <c r="W2369" s="70"/>
      <c r="X2369" s="70"/>
      <c r="Y2369" s="70" t="s">
        <v>7645</v>
      </c>
      <c r="Z2369" s="70"/>
      <c r="AA2369" s="71"/>
      <c r="AB2369" s="117" t="str">
        <f>IFERROR(VLOOKUP(Anexo_4[[#This Row],[cuenta]],OP,2,0),"-")</f>
        <v>-</v>
      </c>
    </row>
    <row r="2370" spans="1:28" ht="27" customHeight="1" x14ac:dyDescent="0.3">
      <c r="A2370" s="34" t="s">
        <v>6887</v>
      </c>
      <c r="B2370" s="36" t="str">
        <f t="shared" si="55"/>
        <v>Octubre</v>
      </c>
      <c r="C2370" s="33" t="s">
        <v>162</v>
      </c>
      <c r="D2370" s="33" t="s">
        <v>7646</v>
      </c>
      <c r="E2370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370" s="32" t="s">
        <v>235</v>
      </c>
      <c r="G2370" s="32" t="s">
        <v>5051</v>
      </c>
      <c r="H2370" s="139" t="s">
        <v>7647</v>
      </c>
      <c r="I2370" s="33" t="s">
        <v>178</v>
      </c>
      <c r="J2370" s="143" t="s">
        <v>4667</v>
      </c>
      <c r="K2370" s="33" t="s">
        <v>169</v>
      </c>
      <c r="L2370" s="102" t="str">
        <f>VLOOKUP(Anexo_4[[#This Row],[cod_doc]],TIPODOC,2,FALSE)</f>
        <v>FACTURA</v>
      </c>
      <c r="M2370" s="33" t="s">
        <v>180</v>
      </c>
      <c r="N2370" s="32" t="s">
        <v>7648</v>
      </c>
      <c r="O2370" s="48">
        <v>8.4700000000000006</v>
      </c>
      <c r="P2370" s="49" t="s">
        <v>4341</v>
      </c>
      <c r="Q2370" s="81">
        <v>1.53</v>
      </c>
      <c r="R2370" s="80" t="s">
        <v>4341</v>
      </c>
      <c r="S2370" s="48" t="s">
        <v>4341</v>
      </c>
      <c r="T2370" s="72">
        <v>10</v>
      </c>
      <c r="U2370" s="70"/>
      <c r="V2370" s="32"/>
      <c r="W2370" s="70"/>
      <c r="X2370" s="70"/>
      <c r="Y2370" s="70" t="s">
        <v>7649</v>
      </c>
      <c r="Z2370" s="70"/>
      <c r="AA2370" s="71"/>
      <c r="AB2370" s="117" t="str">
        <f>IFERROR(VLOOKUP(Anexo_4[[#This Row],[cuenta]],OP,2,0),"-")</f>
        <v>-</v>
      </c>
    </row>
    <row r="2371" spans="1:28" ht="27" customHeight="1" x14ac:dyDescent="0.3">
      <c r="A2371" s="34" t="s">
        <v>7650</v>
      </c>
      <c r="B2371" s="36" t="str">
        <f t="shared" si="55"/>
        <v>Octubre</v>
      </c>
      <c r="C2371" s="33" t="s">
        <v>162</v>
      </c>
      <c r="D2371" s="33" t="s">
        <v>7651</v>
      </c>
      <c r="E2371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371" s="32" t="s">
        <v>248</v>
      </c>
      <c r="G2371" s="32" t="s">
        <v>249</v>
      </c>
      <c r="H2371" s="139" t="s">
        <v>7652</v>
      </c>
      <c r="I2371" s="33" t="s">
        <v>536</v>
      </c>
      <c r="J2371" s="143" t="s">
        <v>4997</v>
      </c>
      <c r="K2371" s="33" t="s">
        <v>169</v>
      </c>
      <c r="L2371" s="102" t="str">
        <f>VLOOKUP(Anexo_4[[#This Row],[cod_doc]],TIPODOC,2,FALSE)</f>
        <v>FACTURA</v>
      </c>
      <c r="M2371" s="33" t="s">
        <v>538</v>
      </c>
      <c r="N2371" s="32" t="s">
        <v>7653</v>
      </c>
      <c r="O2371" s="48">
        <v>1208</v>
      </c>
      <c r="P2371" s="49" t="s">
        <v>4341</v>
      </c>
      <c r="Q2371" s="81">
        <v>217.44</v>
      </c>
      <c r="R2371" s="80" t="s">
        <v>4341</v>
      </c>
      <c r="S2371" s="48" t="s">
        <v>4341</v>
      </c>
      <c r="T2371" s="72">
        <v>1425.44</v>
      </c>
      <c r="U2371" s="70" t="s">
        <v>7654</v>
      </c>
      <c r="V2371" s="32" t="s">
        <v>7134</v>
      </c>
      <c r="W2371" s="70"/>
      <c r="X2371" s="70"/>
      <c r="Y2371" s="70" t="s">
        <v>7655</v>
      </c>
      <c r="Z2371" s="70"/>
      <c r="AA2371" s="71"/>
      <c r="AB2371" s="117" t="str">
        <f>IFERROR(VLOOKUP(Anexo_4[[#This Row],[cuenta]],OP,2,0),"-")</f>
        <v>-</v>
      </c>
    </row>
    <row r="2372" spans="1:28" ht="27" customHeight="1" x14ac:dyDescent="0.3">
      <c r="A2372" s="34" t="s">
        <v>7650</v>
      </c>
      <c r="B2372" s="36" t="str">
        <f t="shared" si="55"/>
        <v>Octubre</v>
      </c>
      <c r="C2372" s="33" t="s">
        <v>162</v>
      </c>
      <c r="D2372" s="33" t="s">
        <v>7656</v>
      </c>
      <c r="E2372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372" s="32" t="s">
        <v>248</v>
      </c>
      <c r="G2372" s="32" t="s">
        <v>249</v>
      </c>
      <c r="H2372" s="139" t="s">
        <v>7657</v>
      </c>
      <c r="I2372" s="33" t="s">
        <v>536</v>
      </c>
      <c r="J2372" s="143" t="s">
        <v>4997</v>
      </c>
      <c r="K2372" s="33" t="s">
        <v>169</v>
      </c>
      <c r="L2372" s="102" t="str">
        <f>VLOOKUP(Anexo_4[[#This Row],[cod_doc]],TIPODOC,2,FALSE)</f>
        <v>FACTURA</v>
      </c>
      <c r="M2372" s="33" t="s">
        <v>538</v>
      </c>
      <c r="N2372" s="32" t="s">
        <v>7658</v>
      </c>
      <c r="O2372" s="48">
        <v>205.2</v>
      </c>
      <c r="P2372" s="49" t="s">
        <v>4341</v>
      </c>
      <c r="Q2372" s="81">
        <v>36.94</v>
      </c>
      <c r="R2372" s="80" t="s">
        <v>4341</v>
      </c>
      <c r="S2372" s="48" t="s">
        <v>4341</v>
      </c>
      <c r="T2372" s="72">
        <v>242.14</v>
      </c>
      <c r="U2372" s="70" t="s">
        <v>7659</v>
      </c>
      <c r="V2372" s="32" t="s">
        <v>7134</v>
      </c>
      <c r="W2372" s="70"/>
      <c r="X2372" s="70"/>
      <c r="Y2372" s="70" t="s">
        <v>7660</v>
      </c>
      <c r="Z2372" s="70"/>
      <c r="AA2372" s="71"/>
      <c r="AB2372" s="117" t="str">
        <f>IFERROR(VLOOKUP(Anexo_4[[#This Row],[cuenta]],OP,2,0),"-")</f>
        <v>-</v>
      </c>
    </row>
    <row r="2373" spans="1:28" ht="27" customHeight="1" x14ac:dyDescent="0.3">
      <c r="A2373" s="34" t="s">
        <v>7650</v>
      </c>
      <c r="B2373" s="36" t="str">
        <f t="shared" si="55"/>
        <v>Octubre</v>
      </c>
      <c r="C2373" s="33" t="s">
        <v>162</v>
      </c>
      <c r="D2373" s="33" t="s">
        <v>7661</v>
      </c>
      <c r="E2373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373" s="32" t="s">
        <v>248</v>
      </c>
      <c r="G2373" s="32" t="s">
        <v>249</v>
      </c>
      <c r="H2373" s="139" t="s">
        <v>7662</v>
      </c>
      <c r="I2373" s="33" t="s">
        <v>536</v>
      </c>
      <c r="J2373" s="143" t="s">
        <v>4997</v>
      </c>
      <c r="K2373" s="33" t="s">
        <v>169</v>
      </c>
      <c r="L2373" s="102" t="str">
        <f>VLOOKUP(Anexo_4[[#This Row],[cod_doc]],TIPODOC,2,FALSE)</f>
        <v>FACTURA</v>
      </c>
      <c r="M2373" s="33" t="s">
        <v>538</v>
      </c>
      <c r="N2373" s="32" t="s">
        <v>7663</v>
      </c>
      <c r="O2373" s="48">
        <v>351</v>
      </c>
      <c r="P2373" s="49" t="s">
        <v>4341</v>
      </c>
      <c r="Q2373" s="81">
        <v>63.18</v>
      </c>
      <c r="R2373" s="80" t="s">
        <v>4341</v>
      </c>
      <c r="S2373" s="48" t="s">
        <v>4341</v>
      </c>
      <c r="T2373" s="72">
        <v>414.18</v>
      </c>
      <c r="U2373" s="70" t="s">
        <v>7664</v>
      </c>
      <c r="V2373" s="32" t="s">
        <v>7134</v>
      </c>
      <c r="W2373" s="70"/>
      <c r="X2373" s="70"/>
      <c r="Y2373" s="70" t="s">
        <v>7665</v>
      </c>
      <c r="Z2373" s="70"/>
      <c r="AA2373" s="71"/>
      <c r="AB2373" s="117" t="str">
        <f>IFERROR(VLOOKUP(Anexo_4[[#This Row],[cuenta]],OP,2,0),"-")</f>
        <v>-</v>
      </c>
    </row>
    <row r="2374" spans="1:28" ht="27" customHeight="1" x14ac:dyDescent="0.3">
      <c r="A2374" s="34" t="s">
        <v>7650</v>
      </c>
      <c r="B2374" s="36" t="str">
        <f t="shared" si="55"/>
        <v>Octubre</v>
      </c>
      <c r="C2374" s="33" t="s">
        <v>162</v>
      </c>
      <c r="D2374" s="33" t="s">
        <v>7666</v>
      </c>
      <c r="E2374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374" s="32" t="s">
        <v>248</v>
      </c>
      <c r="G2374" s="32" t="s">
        <v>249</v>
      </c>
      <c r="H2374" s="139" t="s">
        <v>7667</v>
      </c>
      <c r="I2374" s="33" t="s">
        <v>536</v>
      </c>
      <c r="J2374" s="143" t="s">
        <v>4997</v>
      </c>
      <c r="K2374" s="33" t="s">
        <v>169</v>
      </c>
      <c r="L2374" s="102" t="str">
        <f>VLOOKUP(Anexo_4[[#This Row],[cod_doc]],TIPODOC,2,FALSE)</f>
        <v>FACTURA</v>
      </c>
      <c r="M2374" s="33" t="s">
        <v>538</v>
      </c>
      <c r="N2374" s="32" t="s">
        <v>7668</v>
      </c>
      <c r="O2374" s="48">
        <v>146.25</v>
      </c>
      <c r="P2374" s="49" t="s">
        <v>4341</v>
      </c>
      <c r="Q2374" s="81">
        <v>26.33</v>
      </c>
      <c r="R2374" s="80" t="s">
        <v>4341</v>
      </c>
      <c r="S2374" s="48" t="s">
        <v>4341</v>
      </c>
      <c r="T2374" s="72">
        <v>172.58</v>
      </c>
      <c r="U2374" s="70" t="s">
        <v>7669</v>
      </c>
      <c r="V2374" s="32" t="s">
        <v>7134</v>
      </c>
      <c r="W2374" s="70"/>
      <c r="X2374" s="70"/>
      <c r="Y2374" s="70" t="s">
        <v>7670</v>
      </c>
      <c r="Z2374" s="70"/>
      <c r="AA2374" s="71"/>
      <c r="AB2374" s="117" t="str">
        <f>IFERROR(VLOOKUP(Anexo_4[[#This Row],[cuenta]],OP,2,0),"-")</f>
        <v>-</v>
      </c>
    </row>
    <row r="2375" spans="1:28" ht="27" customHeight="1" x14ac:dyDescent="0.3">
      <c r="A2375" s="34" t="s">
        <v>7650</v>
      </c>
      <c r="B2375" s="36" t="str">
        <f t="shared" si="55"/>
        <v>Octubre</v>
      </c>
      <c r="C2375" s="33" t="s">
        <v>162</v>
      </c>
      <c r="D2375" s="33" t="s">
        <v>7671</v>
      </c>
      <c r="E2375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375" s="32" t="s">
        <v>248</v>
      </c>
      <c r="G2375" s="32" t="s">
        <v>249</v>
      </c>
      <c r="H2375" s="139" t="s">
        <v>7672</v>
      </c>
      <c r="I2375" s="33" t="s">
        <v>536</v>
      </c>
      <c r="J2375" s="143" t="s">
        <v>4997</v>
      </c>
      <c r="K2375" s="33" t="s">
        <v>169</v>
      </c>
      <c r="L2375" s="102" t="str">
        <f>VLOOKUP(Anexo_4[[#This Row],[cod_doc]],TIPODOC,2,FALSE)</f>
        <v>FACTURA</v>
      </c>
      <c r="M2375" s="33" t="s">
        <v>538</v>
      </c>
      <c r="N2375" s="32" t="s">
        <v>7673</v>
      </c>
      <c r="O2375" s="48">
        <v>8.6999999999999993</v>
      </c>
      <c r="P2375" s="49" t="s">
        <v>4341</v>
      </c>
      <c r="Q2375" s="81">
        <v>1.57</v>
      </c>
      <c r="R2375" s="80" t="s">
        <v>4341</v>
      </c>
      <c r="S2375" s="48" t="s">
        <v>4341</v>
      </c>
      <c r="T2375" s="72">
        <v>10.27</v>
      </c>
      <c r="U2375" s="70" t="s">
        <v>7674</v>
      </c>
      <c r="V2375" s="32" t="s">
        <v>7134</v>
      </c>
      <c r="W2375" s="70"/>
      <c r="X2375" s="70"/>
      <c r="Y2375" s="70" t="s">
        <v>7675</v>
      </c>
      <c r="Z2375" s="70"/>
      <c r="AA2375" s="71"/>
      <c r="AB2375" s="117" t="str">
        <f>IFERROR(VLOOKUP(Anexo_4[[#This Row],[cuenta]],OP,2,0),"-")</f>
        <v>-</v>
      </c>
    </row>
    <row r="2376" spans="1:28" ht="27" customHeight="1" x14ac:dyDescent="0.3">
      <c r="A2376" s="34" t="s">
        <v>7650</v>
      </c>
      <c r="B2376" s="36" t="str">
        <f t="shared" si="55"/>
        <v>Octubre</v>
      </c>
      <c r="C2376" s="33" t="s">
        <v>162</v>
      </c>
      <c r="D2376" s="33" t="s">
        <v>7676</v>
      </c>
      <c r="E2376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376" s="32" t="s">
        <v>248</v>
      </c>
      <c r="G2376" s="32" t="s">
        <v>249</v>
      </c>
      <c r="H2376" s="139" t="s">
        <v>7677</v>
      </c>
      <c r="I2376" s="33" t="s">
        <v>536</v>
      </c>
      <c r="J2376" s="143" t="s">
        <v>4997</v>
      </c>
      <c r="K2376" s="33" t="s">
        <v>169</v>
      </c>
      <c r="L2376" s="102" t="str">
        <f>VLOOKUP(Anexo_4[[#This Row],[cod_doc]],TIPODOC,2,FALSE)</f>
        <v>FACTURA</v>
      </c>
      <c r="M2376" s="33" t="s">
        <v>538</v>
      </c>
      <c r="N2376" s="32" t="s">
        <v>7678</v>
      </c>
      <c r="O2376" s="48">
        <v>473</v>
      </c>
      <c r="P2376" s="49" t="s">
        <v>4341</v>
      </c>
      <c r="Q2376" s="81">
        <v>85.14</v>
      </c>
      <c r="R2376" s="80" t="s">
        <v>4341</v>
      </c>
      <c r="S2376" s="48" t="s">
        <v>4341</v>
      </c>
      <c r="T2376" s="72">
        <v>558.14</v>
      </c>
      <c r="U2376" s="70" t="s">
        <v>7679</v>
      </c>
      <c r="V2376" s="32" t="s">
        <v>7134</v>
      </c>
      <c r="W2376" s="70"/>
      <c r="X2376" s="70"/>
      <c r="Y2376" s="70" t="s">
        <v>7680</v>
      </c>
      <c r="Z2376" s="70"/>
      <c r="AA2376" s="71"/>
      <c r="AB2376" s="117" t="str">
        <f>IFERROR(VLOOKUP(Anexo_4[[#This Row],[cuenta]],OP,2,0),"-")</f>
        <v>-</v>
      </c>
    </row>
    <row r="2377" spans="1:28" ht="27" customHeight="1" x14ac:dyDescent="0.3">
      <c r="A2377" s="34" t="s">
        <v>7650</v>
      </c>
      <c r="B2377" s="36" t="str">
        <f t="shared" si="55"/>
        <v>Octubre</v>
      </c>
      <c r="C2377" s="33" t="s">
        <v>162</v>
      </c>
      <c r="D2377" s="33" t="s">
        <v>7681</v>
      </c>
      <c r="E2377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377" s="32" t="s">
        <v>248</v>
      </c>
      <c r="G2377" s="32" t="s">
        <v>249</v>
      </c>
      <c r="H2377" s="139" t="s">
        <v>7682</v>
      </c>
      <c r="I2377" s="33" t="s">
        <v>536</v>
      </c>
      <c r="J2377" s="143" t="s">
        <v>4997</v>
      </c>
      <c r="K2377" s="33" t="s">
        <v>169</v>
      </c>
      <c r="L2377" s="102" t="str">
        <f>VLOOKUP(Anexo_4[[#This Row],[cod_doc]],TIPODOC,2,FALSE)</f>
        <v>FACTURA</v>
      </c>
      <c r="M2377" s="33" t="s">
        <v>538</v>
      </c>
      <c r="N2377" s="32" t="s">
        <v>7683</v>
      </c>
      <c r="O2377" s="48">
        <v>67.5</v>
      </c>
      <c r="P2377" s="49" t="s">
        <v>4341</v>
      </c>
      <c r="Q2377" s="81">
        <v>12.15</v>
      </c>
      <c r="R2377" s="80" t="s">
        <v>4341</v>
      </c>
      <c r="S2377" s="48" t="s">
        <v>4341</v>
      </c>
      <c r="T2377" s="72">
        <v>79.650000000000006</v>
      </c>
      <c r="U2377" s="70" t="s">
        <v>7684</v>
      </c>
      <c r="V2377" s="32" t="s">
        <v>7134</v>
      </c>
      <c r="W2377" s="70"/>
      <c r="X2377" s="70"/>
      <c r="Y2377" s="70" t="s">
        <v>7685</v>
      </c>
      <c r="Z2377" s="70"/>
      <c r="AA2377" s="71"/>
      <c r="AB2377" s="117" t="str">
        <f>IFERROR(VLOOKUP(Anexo_4[[#This Row],[cuenta]],OP,2,0),"-")</f>
        <v>-</v>
      </c>
    </row>
    <row r="2378" spans="1:28" ht="27" customHeight="1" x14ac:dyDescent="0.3">
      <c r="A2378" s="34" t="s">
        <v>7650</v>
      </c>
      <c r="B2378" s="36" t="str">
        <f t="shared" si="55"/>
        <v>Octubre</v>
      </c>
      <c r="C2378" s="33" t="s">
        <v>162</v>
      </c>
      <c r="D2378" s="33" t="s">
        <v>7686</v>
      </c>
      <c r="E2378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378" s="32" t="s">
        <v>248</v>
      </c>
      <c r="G2378" s="32" t="s">
        <v>249</v>
      </c>
      <c r="H2378" s="139" t="s">
        <v>7687</v>
      </c>
      <c r="I2378" s="33" t="s">
        <v>536</v>
      </c>
      <c r="J2378" s="143" t="s">
        <v>4997</v>
      </c>
      <c r="K2378" s="33" t="s">
        <v>169</v>
      </c>
      <c r="L2378" s="102" t="str">
        <f>VLOOKUP(Anexo_4[[#This Row],[cod_doc]],TIPODOC,2,FALSE)</f>
        <v>FACTURA</v>
      </c>
      <c r="M2378" s="33" t="s">
        <v>538</v>
      </c>
      <c r="N2378" s="32" t="s">
        <v>7688</v>
      </c>
      <c r="O2378" s="48">
        <v>99</v>
      </c>
      <c r="P2378" s="49" t="s">
        <v>4341</v>
      </c>
      <c r="Q2378" s="81">
        <v>17.82</v>
      </c>
      <c r="R2378" s="80" t="s">
        <v>4341</v>
      </c>
      <c r="S2378" s="48" t="s">
        <v>4341</v>
      </c>
      <c r="T2378" s="72">
        <v>116.82</v>
      </c>
      <c r="U2378" s="70" t="s">
        <v>7689</v>
      </c>
      <c r="V2378" s="32" t="s">
        <v>7134</v>
      </c>
      <c r="W2378" s="70"/>
      <c r="X2378" s="70"/>
      <c r="Y2378" s="70" t="s">
        <v>7690</v>
      </c>
      <c r="Z2378" s="70"/>
      <c r="AA2378" s="71"/>
      <c r="AB2378" s="117" t="str">
        <f>IFERROR(VLOOKUP(Anexo_4[[#This Row],[cuenta]],OP,2,0),"-")</f>
        <v>-</v>
      </c>
    </row>
    <row r="2379" spans="1:28" ht="27" customHeight="1" x14ac:dyDescent="0.3">
      <c r="A2379" s="34" t="s">
        <v>7650</v>
      </c>
      <c r="B2379" s="36" t="str">
        <f t="shared" si="55"/>
        <v>Octubre</v>
      </c>
      <c r="C2379" s="33" t="s">
        <v>162</v>
      </c>
      <c r="D2379" s="33" t="s">
        <v>7691</v>
      </c>
      <c r="E2379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379" s="32" t="s">
        <v>248</v>
      </c>
      <c r="G2379" s="32" t="s">
        <v>249</v>
      </c>
      <c r="H2379" s="139" t="s">
        <v>7692</v>
      </c>
      <c r="I2379" s="33" t="s">
        <v>536</v>
      </c>
      <c r="J2379" s="143" t="s">
        <v>4997</v>
      </c>
      <c r="K2379" s="33" t="s">
        <v>169</v>
      </c>
      <c r="L2379" s="102" t="str">
        <f>VLOOKUP(Anexo_4[[#This Row],[cod_doc]],TIPODOC,2,FALSE)</f>
        <v>FACTURA</v>
      </c>
      <c r="M2379" s="33" t="s">
        <v>538</v>
      </c>
      <c r="N2379" s="32" t="s">
        <v>7693</v>
      </c>
      <c r="O2379" s="48">
        <v>3.6</v>
      </c>
      <c r="P2379" s="49" t="s">
        <v>4341</v>
      </c>
      <c r="Q2379" s="81">
        <v>0.65</v>
      </c>
      <c r="R2379" s="80" t="s">
        <v>4341</v>
      </c>
      <c r="S2379" s="48" t="s">
        <v>4341</v>
      </c>
      <c r="T2379" s="72">
        <v>4.25</v>
      </c>
      <c r="U2379" s="70"/>
      <c r="V2379" s="32"/>
      <c r="W2379" s="70"/>
      <c r="X2379" s="70"/>
      <c r="Y2379" s="70" t="s">
        <v>7694</v>
      </c>
      <c r="Z2379" s="70"/>
      <c r="AA2379" s="71"/>
      <c r="AB2379" s="117" t="str">
        <f>IFERROR(VLOOKUP(Anexo_4[[#This Row],[cuenta]],OP,2,0),"-")</f>
        <v>-</v>
      </c>
    </row>
    <row r="2380" spans="1:28" ht="27" customHeight="1" x14ac:dyDescent="0.3">
      <c r="A2380" s="34" t="s">
        <v>7650</v>
      </c>
      <c r="B2380" s="36" t="str">
        <f t="shared" si="55"/>
        <v>Octubre</v>
      </c>
      <c r="C2380" s="33" t="s">
        <v>162</v>
      </c>
      <c r="D2380" s="33" t="s">
        <v>7695</v>
      </c>
      <c r="E2380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380" s="32" t="s">
        <v>248</v>
      </c>
      <c r="G2380" s="32" t="s">
        <v>249</v>
      </c>
      <c r="H2380" s="139" t="s">
        <v>7696</v>
      </c>
      <c r="I2380" s="33" t="s">
        <v>536</v>
      </c>
      <c r="J2380" s="143" t="s">
        <v>4997</v>
      </c>
      <c r="K2380" s="33" t="s">
        <v>169</v>
      </c>
      <c r="L2380" s="102" t="str">
        <f>VLOOKUP(Anexo_4[[#This Row],[cod_doc]],TIPODOC,2,FALSE)</f>
        <v>FACTURA</v>
      </c>
      <c r="M2380" s="33" t="s">
        <v>538</v>
      </c>
      <c r="N2380" s="32" t="s">
        <v>7697</v>
      </c>
      <c r="O2380" s="48">
        <v>53.5</v>
      </c>
      <c r="P2380" s="49" t="s">
        <v>4341</v>
      </c>
      <c r="Q2380" s="81">
        <v>9.6300000000000008</v>
      </c>
      <c r="R2380" s="80" t="s">
        <v>4341</v>
      </c>
      <c r="S2380" s="48" t="s">
        <v>4341</v>
      </c>
      <c r="T2380" s="72">
        <v>63.13</v>
      </c>
      <c r="U2380" s="70" t="s">
        <v>7698</v>
      </c>
      <c r="V2380" s="32" t="s">
        <v>7134</v>
      </c>
      <c r="W2380" s="70"/>
      <c r="X2380" s="70"/>
      <c r="Y2380" s="70" t="s">
        <v>7699</v>
      </c>
      <c r="Z2380" s="70"/>
      <c r="AA2380" s="71"/>
      <c r="AB2380" s="117" t="str">
        <f>IFERROR(VLOOKUP(Anexo_4[[#This Row],[cuenta]],OP,2,0),"-")</f>
        <v>-</v>
      </c>
    </row>
    <row r="2381" spans="1:28" ht="27" customHeight="1" x14ac:dyDescent="0.3">
      <c r="A2381" s="34" t="s">
        <v>7650</v>
      </c>
      <c r="B2381" s="36" t="str">
        <f t="shared" si="55"/>
        <v>Octubre</v>
      </c>
      <c r="C2381" s="33" t="s">
        <v>162</v>
      </c>
      <c r="D2381" s="33" t="s">
        <v>7700</v>
      </c>
      <c r="E2381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381" s="32" t="s">
        <v>248</v>
      </c>
      <c r="G2381" s="32" t="s">
        <v>249</v>
      </c>
      <c r="H2381" s="139" t="s">
        <v>7701</v>
      </c>
      <c r="I2381" s="33" t="s">
        <v>536</v>
      </c>
      <c r="J2381" s="143" t="s">
        <v>4997</v>
      </c>
      <c r="K2381" s="33" t="s">
        <v>169</v>
      </c>
      <c r="L2381" s="102" t="str">
        <f>VLOOKUP(Anexo_4[[#This Row],[cod_doc]],TIPODOC,2,FALSE)</f>
        <v>FACTURA</v>
      </c>
      <c r="M2381" s="33" t="s">
        <v>538</v>
      </c>
      <c r="N2381" s="32" t="s">
        <v>7702</v>
      </c>
      <c r="O2381" s="48">
        <v>172</v>
      </c>
      <c r="P2381" s="49" t="s">
        <v>4341</v>
      </c>
      <c r="Q2381" s="81">
        <v>30.96</v>
      </c>
      <c r="R2381" s="80" t="s">
        <v>4341</v>
      </c>
      <c r="S2381" s="48" t="s">
        <v>4341</v>
      </c>
      <c r="T2381" s="72">
        <v>202.96</v>
      </c>
      <c r="U2381" s="70" t="s">
        <v>7703</v>
      </c>
      <c r="V2381" s="32" t="s">
        <v>7134</v>
      </c>
      <c r="W2381" s="70"/>
      <c r="X2381" s="70"/>
      <c r="Y2381" s="70" t="s">
        <v>7704</v>
      </c>
      <c r="Z2381" s="70"/>
      <c r="AA2381" s="71"/>
      <c r="AB2381" s="117" t="str">
        <f>IFERROR(VLOOKUP(Anexo_4[[#This Row],[cuenta]],OP,2,0),"-")</f>
        <v>-</v>
      </c>
    </row>
    <row r="2382" spans="1:28" ht="27" customHeight="1" x14ac:dyDescent="0.3">
      <c r="A2382" s="34" t="s">
        <v>7705</v>
      </c>
      <c r="B2382" s="36" t="str">
        <f t="shared" si="55"/>
        <v>Octubre</v>
      </c>
      <c r="C2382" s="33" t="s">
        <v>162</v>
      </c>
      <c r="D2382" s="33" t="s">
        <v>7706</v>
      </c>
      <c r="E2382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382" s="32" t="s">
        <v>248</v>
      </c>
      <c r="G2382" s="32" t="s">
        <v>249</v>
      </c>
      <c r="H2382" s="139" t="s">
        <v>7707</v>
      </c>
      <c r="I2382" s="33" t="s">
        <v>614</v>
      </c>
      <c r="J2382" s="143" t="s">
        <v>5263</v>
      </c>
      <c r="K2382" s="33" t="s">
        <v>169</v>
      </c>
      <c r="L2382" s="102" t="str">
        <f>VLOOKUP(Anexo_4[[#This Row],[cod_doc]],TIPODOC,2,FALSE)</f>
        <v>FACTURA</v>
      </c>
      <c r="M2382" s="33" t="s">
        <v>102</v>
      </c>
      <c r="N2382" s="32" t="s">
        <v>7708</v>
      </c>
      <c r="O2382" s="48">
        <v>420.76</v>
      </c>
      <c r="P2382" s="49" t="s">
        <v>4341</v>
      </c>
      <c r="Q2382" s="81">
        <v>75.739999999999995</v>
      </c>
      <c r="R2382" s="80" t="s">
        <v>4341</v>
      </c>
      <c r="S2382" s="48" t="s">
        <v>4341</v>
      </c>
      <c r="T2382" s="72">
        <v>496.5</v>
      </c>
      <c r="U2382" s="70" t="s">
        <v>7709</v>
      </c>
      <c r="V2382" s="32" t="s">
        <v>7710</v>
      </c>
      <c r="W2382" s="70"/>
      <c r="X2382" s="70"/>
      <c r="Y2382" s="70" t="s">
        <v>7711</v>
      </c>
      <c r="Z2382" s="70"/>
      <c r="AA2382" s="71"/>
      <c r="AB2382" s="117" t="str">
        <f>IFERROR(VLOOKUP(Anexo_4[[#This Row],[cuenta]],OP,2,0),"-")</f>
        <v>-</v>
      </c>
    </row>
    <row r="2383" spans="1:28" ht="27" customHeight="1" x14ac:dyDescent="0.3">
      <c r="A2383" s="34" t="s">
        <v>6887</v>
      </c>
      <c r="B2383" s="36" t="str">
        <f t="shared" si="55"/>
        <v>Octubre</v>
      </c>
      <c r="C2383" s="33" t="s">
        <v>162</v>
      </c>
      <c r="D2383" s="33" t="s">
        <v>7712</v>
      </c>
      <c r="E2383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383" s="32" t="s">
        <v>164</v>
      </c>
      <c r="G2383" s="32" t="s">
        <v>165</v>
      </c>
      <c r="H2383" s="139" t="s">
        <v>7713</v>
      </c>
      <c r="I2383" s="33" t="s">
        <v>213</v>
      </c>
      <c r="J2383" s="143" t="s">
        <v>5110</v>
      </c>
      <c r="K2383" s="33" t="s">
        <v>169</v>
      </c>
      <c r="L2383" s="102" t="str">
        <f>VLOOKUP(Anexo_4[[#This Row],[cod_doc]],TIPODOC,2,FALSE)</f>
        <v>FACTURA</v>
      </c>
      <c r="M2383" s="33" t="s">
        <v>102</v>
      </c>
      <c r="N2383" s="32" t="s">
        <v>7714</v>
      </c>
      <c r="O2383" s="48">
        <v>59.9</v>
      </c>
      <c r="P2383" s="49" t="s">
        <v>4341</v>
      </c>
      <c r="Q2383" s="81">
        <v>10.78</v>
      </c>
      <c r="R2383" s="80" t="s">
        <v>4341</v>
      </c>
      <c r="S2383" s="48" t="s">
        <v>4341</v>
      </c>
      <c r="T2383" s="72">
        <v>70.680000000000007</v>
      </c>
      <c r="U2383" s="70"/>
      <c r="V2383" s="32"/>
      <c r="W2383" s="70"/>
      <c r="X2383" s="70"/>
      <c r="Y2383" s="70"/>
      <c r="Z2383" s="70"/>
      <c r="AA2383" s="71"/>
      <c r="AB2383" s="117" t="str">
        <f>IFERROR(VLOOKUP(Anexo_4[[#This Row],[cuenta]],OP,2,0),"-")</f>
        <v>-</v>
      </c>
    </row>
    <row r="2384" spans="1:28" ht="27" customHeight="1" x14ac:dyDescent="0.3">
      <c r="A2384" s="34" t="s">
        <v>7159</v>
      </c>
      <c r="B2384" s="36" t="str">
        <f t="shared" si="55"/>
        <v>Octubre</v>
      </c>
      <c r="C2384" s="33" t="s">
        <v>162</v>
      </c>
      <c r="D2384" s="33" t="s">
        <v>7715</v>
      </c>
      <c r="E2384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384" s="32" t="s">
        <v>592</v>
      </c>
      <c r="G2384" s="32" t="s">
        <v>593</v>
      </c>
      <c r="H2384" s="139" t="s">
        <v>7716</v>
      </c>
      <c r="I2384" s="33" t="s">
        <v>5686</v>
      </c>
      <c r="J2384" s="143" t="s">
        <v>5687</v>
      </c>
      <c r="K2384" s="33" t="s">
        <v>169</v>
      </c>
      <c r="L2384" s="102" t="str">
        <f>VLOOKUP(Anexo_4[[#This Row],[cod_doc]],TIPODOC,2,FALSE)</f>
        <v>FACTURA</v>
      </c>
      <c r="M2384" s="33" t="s">
        <v>102</v>
      </c>
      <c r="N2384" s="32" t="s">
        <v>6613</v>
      </c>
      <c r="O2384" s="48">
        <v>400</v>
      </c>
      <c r="P2384" s="49" t="s">
        <v>4341</v>
      </c>
      <c r="Q2384" s="81">
        <v>72</v>
      </c>
      <c r="R2384" s="80" t="s">
        <v>4341</v>
      </c>
      <c r="S2384" s="48" t="s">
        <v>4341</v>
      </c>
      <c r="T2384" s="72">
        <v>472</v>
      </c>
      <c r="U2384" s="70"/>
      <c r="V2384" s="32"/>
      <c r="W2384" s="70"/>
      <c r="X2384" s="70"/>
      <c r="Y2384" s="70"/>
      <c r="Z2384" s="70"/>
      <c r="AA2384" s="71"/>
      <c r="AB2384" s="117" t="str">
        <f>IFERROR(VLOOKUP(Anexo_4[[#This Row],[cuenta]],OP,2,0),"-")</f>
        <v>-</v>
      </c>
    </row>
    <row r="2385" spans="1:28" ht="27" customHeight="1" x14ac:dyDescent="0.3">
      <c r="A2385" s="34" t="s">
        <v>7432</v>
      </c>
      <c r="B2385" s="36" t="str">
        <f t="shared" si="55"/>
        <v>Octubre</v>
      </c>
      <c r="C2385" s="33" t="s">
        <v>162</v>
      </c>
      <c r="D2385" s="33" t="s">
        <v>7717</v>
      </c>
      <c r="E2385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385" s="32" t="s">
        <v>592</v>
      </c>
      <c r="G2385" s="32" t="s">
        <v>593</v>
      </c>
      <c r="H2385" s="139" t="s">
        <v>7718</v>
      </c>
      <c r="I2385" s="33" t="s">
        <v>5686</v>
      </c>
      <c r="J2385" s="143" t="s">
        <v>5687</v>
      </c>
      <c r="K2385" s="33" t="s">
        <v>169</v>
      </c>
      <c r="L2385" s="102" t="str">
        <f>VLOOKUP(Anexo_4[[#This Row],[cod_doc]],TIPODOC,2,FALSE)</f>
        <v>FACTURA</v>
      </c>
      <c r="M2385" s="33" t="s">
        <v>102</v>
      </c>
      <c r="N2385" s="32" t="s">
        <v>7719</v>
      </c>
      <c r="O2385" s="48">
        <v>400</v>
      </c>
      <c r="P2385" s="49" t="s">
        <v>4341</v>
      </c>
      <c r="Q2385" s="81">
        <v>72</v>
      </c>
      <c r="R2385" s="80" t="s">
        <v>4341</v>
      </c>
      <c r="S2385" s="48" t="s">
        <v>4341</v>
      </c>
      <c r="T2385" s="72">
        <v>472</v>
      </c>
      <c r="U2385" s="70"/>
      <c r="V2385" s="32"/>
      <c r="W2385" s="70"/>
      <c r="X2385" s="70"/>
      <c r="Y2385" s="70"/>
      <c r="Z2385" s="70"/>
      <c r="AA2385" s="71"/>
      <c r="AB2385" s="117" t="str">
        <f>IFERROR(VLOOKUP(Anexo_4[[#This Row],[cuenta]],OP,2,0),"-")</f>
        <v>-</v>
      </c>
    </row>
    <row r="2386" spans="1:28" ht="27" customHeight="1" x14ac:dyDescent="0.3">
      <c r="A2386" s="34" t="s">
        <v>7159</v>
      </c>
      <c r="B2386" s="36" t="str">
        <f t="shared" si="55"/>
        <v>Octubre</v>
      </c>
      <c r="C2386" s="33" t="s">
        <v>162</v>
      </c>
      <c r="D2386" s="33" t="s">
        <v>7720</v>
      </c>
      <c r="E2386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386" s="32" t="s">
        <v>823</v>
      </c>
      <c r="G2386" s="32" t="s">
        <v>824</v>
      </c>
      <c r="H2386" s="139" t="s">
        <v>7721</v>
      </c>
      <c r="I2386" s="33" t="s">
        <v>7722</v>
      </c>
      <c r="J2386" s="143" t="s">
        <v>7723</v>
      </c>
      <c r="K2386" s="33" t="s">
        <v>169</v>
      </c>
      <c r="L2386" s="102" t="str">
        <f>VLOOKUP(Anexo_4[[#This Row],[cod_doc]],TIPODOC,2,FALSE)</f>
        <v>FACTURA</v>
      </c>
      <c r="M2386" s="33" t="s">
        <v>102</v>
      </c>
      <c r="N2386" s="32" t="s">
        <v>7724</v>
      </c>
      <c r="O2386" s="48">
        <v>300</v>
      </c>
      <c r="P2386" s="49" t="s">
        <v>4341</v>
      </c>
      <c r="Q2386" s="81">
        <v>54</v>
      </c>
      <c r="R2386" s="80" t="s">
        <v>4341</v>
      </c>
      <c r="S2386" s="48" t="s">
        <v>4341</v>
      </c>
      <c r="T2386" s="72">
        <v>354</v>
      </c>
      <c r="U2386" s="70"/>
      <c r="V2386" s="32"/>
      <c r="W2386" s="70"/>
      <c r="X2386" s="70"/>
      <c r="Y2386" s="70"/>
      <c r="Z2386" s="70"/>
      <c r="AA2386" s="71"/>
      <c r="AB2386" s="117" t="str">
        <f>IFERROR(VLOOKUP(Anexo_4[[#This Row],[cuenta]],OP,2,0),"-")</f>
        <v>-</v>
      </c>
    </row>
    <row r="2387" spans="1:28" ht="27" customHeight="1" x14ac:dyDescent="0.3">
      <c r="A2387" s="34" t="s">
        <v>4798</v>
      </c>
      <c r="B2387" s="36" t="str">
        <f t="shared" si="55"/>
        <v>Octubre</v>
      </c>
      <c r="C2387" s="33" t="s">
        <v>162</v>
      </c>
      <c r="D2387" s="33" t="s">
        <v>7725</v>
      </c>
      <c r="E2387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387" s="32"/>
      <c r="G2387" s="32"/>
      <c r="H2387" s="139" t="s">
        <v>7726</v>
      </c>
      <c r="I2387" s="33" t="s">
        <v>7727</v>
      </c>
      <c r="J2387" s="143" t="s">
        <v>7728</v>
      </c>
      <c r="K2387" s="33" t="s">
        <v>169</v>
      </c>
      <c r="L2387" s="102" t="str">
        <f>VLOOKUP(Anexo_4[[#This Row],[cod_doc]],TIPODOC,2,FALSE)</f>
        <v>FACTURA</v>
      </c>
      <c r="M2387" s="33" t="s">
        <v>222</v>
      </c>
      <c r="N2387" s="32" t="s">
        <v>7729</v>
      </c>
      <c r="O2387" s="48">
        <v>211.86</v>
      </c>
      <c r="P2387" s="49" t="s">
        <v>4341</v>
      </c>
      <c r="Q2387" s="81">
        <v>38.14</v>
      </c>
      <c r="R2387" s="80" t="s">
        <v>4341</v>
      </c>
      <c r="S2387" s="48" t="s">
        <v>4341</v>
      </c>
      <c r="T2387" s="72">
        <v>250</v>
      </c>
      <c r="U2387" s="70"/>
      <c r="V2387" s="32"/>
      <c r="W2387" s="70"/>
      <c r="X2387" s="70"/>
      <c r="Y2387" s="70"/>
      <c r="Z2387" s="70"/>
      <c r="AA2387" s="71"/>
      <c r="AB2387" s="117" t="str">
        <f>IFERROR(VLOOKUP(Anexo_4[[#This Row],[cuenta]],OP,2,0),"-")</f>
        <v>-</v>
      </c>
    </row>
    <row r="2388" spans="1:28" ht="27" customHeight="1" x14ac:dyDescent="0.3">
      <c r="A2388" s="34" t="s">
        <v>5238</v>
      </c>
      <c r="B2388" s="36" t="str">
        <f t="shared" si="55"/>
        <v>Octubre</v>
      </c>
      <c r="C2388" s="33" t="s">
        <v>162</v>
      </c>
      <c r="D2388" s="33" t="s">
        <v>7730</v>
      </c>
      <c r="E2388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388" s="32"/>
      <c r="G2388" s="32"/>
      <c r="H2388" s="139" t="s">
        <v>7731</v>
      </c>
      <c r="I2388" s="33" t="s">
        <v>3250</v>
      </c>
      <c r="J2388" s="143" t="s">
        <v>7732</v>
      </c>
      <c r="K2388" s="33" t="s">
        <v>169</v>
      </c>
      <c r="L2388" s="102" t="str">
        <f>VLOOKUP(Anexo_4[[#This Row],[cod_doc]],TIPODOC,2,FALSE)</f>
        <v>FACTURA</v>
      </c>
      <c r="M2388" s="33" t="s">
        <v>260</v>
      </c>
      <c r="N2388" s="32" t="s">
        <v>7733</v>
      </c>
      <c r="O2388" s="48">
        <v>50</v>
      </c>
      <c r="P2388" s="49" t="s">
        <v>4341</v>
      </c>
      <c r="Q2388" s="81">
        <v>9</v>
      </c>
      <c r="R2388" s="80" t="s">
        <v>4341</v>
      </c>
      <c r="S2388" s="48" t="s">
        <v>4341</v>
      </c>
      <c r="T2388" s="72">
        <v>59</v>
      </c>
      <c r="U2388" s="70"/>
      <c r="V2388" s="32"/>
      <c r="W2388" s="70"/>
      <c r="X2388" s="70"/>
      <c r="Y2388" s="70"/>
      <c r="Z2388" s="70"/>
      <c r="AA2388" s="71"/>
      <c r="AB2388" s="117" t="str">
        <f>IFERROR(VLOOKUP(Anexo_4[[#This Row],[cuenta]],OP,2,0),"-")</f>
        <v>-</v>
      </c>
    </row>
    <row r="2389" spans="1:28" ht="27" customHeight="1" x14ac:dyDescent="0.3">
      <c r="A2389" s="34" t="s">
        <v>5238</v>
      </c>
      <c r="B2389" s="36" t="str">
        <f t="shared" si="55"/>
        <v>Octubre</v>
      </c>
      <c r="C2389" s="33" t="s">
        <v>162</v>
      </c>
      <c r="D2389" s="33" t="s">
        <v>7734</v>
      </c>
      <c r="E2389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389" s="32"/>
      <c r="G2389" s="32"/>
      <c r="H2389" s="139" t="s">
        <v>7735</v>
      </c>
      <c r="I2389" s="33" t="s">
        <v>3254</v>
      </c>
      <c r="J2389" s="143" t="s">
        <v>7576</v>
      </c>
      <c r="K2389" s="33" t="s">
        <v>169</v>
      </c>
      <c r="L2389" s="102" t="str">
        <f>VLOOKUP(Anexo_4[[#This Row],[cod_doc]],TIPODOC,2,FALSE)</f>
        <v>FACTURA</v>
      </c>
      <c r="M2389" s="33" t="s">
        <v>260</v>
      </c>
      <c r="N2389" s="32" t="s">
        <v>7736</v>
      </c>
      <c r="O2389" s="48">
        <v>30</v>
      </c>
      <c r="P2389" s="49" t="s">
        <v>4341</v>
      </c>
      <c r="Q2389" s="81">
        <v>5.4</v>
      </c>
      <c r="R2389" s="80" t="s">
        <v>4341</v>
      </c>
      <c r="S2389" s="48" t="s">
        <v>4341</v>
      </c>
      <c r="T2389" s="72">
        <v>35.4</v>
      </c>
      <c r="U2389" s="70"/>
      <c r="V2389" s="32"/>
      <c r="W2389" s="70"/>
      <c r="X2389" s="70"/>
      <c r="Y2389" s="70"/>
      <c r="Z2389" s="70"/>
      <c r="AA2389" s="71"/>
      <c r="AB2389" s="117" t="str">
        <f>IFERROR(VLOOKUP(Anexo_4[[#This Row],[cuenta]],OP,2,0),"-")</f>
        <v>-</v>
      </c>
    </row>
    <row r="2390" spans="1:28" ht="27" customHeight="1" x14ac:dyDescent="0.3">
      <c r="A2390" s="34" t="s">
        <v>7411</v>
      </c>
      <c r="B2390" s="36" t="str">
        <f t="shared" si="55"/>
        <v>Octubre</v>
      </c>
      <c r="C2390" s="33" t="s">
        <v>162</v>
      </c>
      <c r="D2390" s="33" t="s">
        <v>7737</v>
      </c>
      <c r="E2390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390" s="32"/>
      <c r="G2390" s="32"/>
      <c r="H2390" s="139" t="s">
        <v>7738</v>
      </c>
      <c r="I2390" s="33" t="s">
        <v>3258</v>
      </c>
      <c r="J2390" s="143" t="s">
        <v>7739</v>
      </c>
      <c r="K2390" s="33" t="s">
        <v>169</v>
      </c>
      <c r="L2390" s="102" t="str">
        <f>VLOOKUP(Anexo_4[[#This Row],[cod_doc]],TIPODOC,2,FALSE)</f>
        <v>FACTURA</v>
      </c>
      <c r="M2390" s="33" t="s">
        <v>3260</v>
      </c>
      <c r="N2390" s="32" t="s">
        <v>7740</v>
      </c>
      <c r="O2390" s="48">
        <v>23.42</v>
      </c>
      <c r="P2390" s="49" t="s">
        <v>4341</v>
      </c>
      <c r="Q2390" s="81">
        <v>4.22</v>
      </c>
      <c r="R2390" s="80" t="s">
        <v>4341</v>
      </c>
      <c r="S2390" s="48" t="s">
        <v>4341</v>
      </c>
      <c r="T2390" s="72">
        <v>27.64</v>
      </c>
      <c r="U2390" s="70"/>
      <c r="V2390" s="32"/>
      <c r="W2390" s="70"/>
      <c r="X2390" s="70"/>
      <c r="Y2390" s="70"/>
      <c r="Z2390" s="70"/>
      <c r="AA2390" s="71"/>
      <c r="AB2390" s="117" t="str">
        <f>IFERROR(VLOOKUP(Anexo_4[[#This Row],[cuenta]],OP,2,0),"-")</f>
        <v>-</v>
      </c>
    </row>
    <row r="2391" spans="1:28" ht="27" customHeight="1" x14ac:dyDescent="0.3">
      <c r="A2391" s="34" t="s">
        <v>7741</v>
      </c>
      <c r="B2391" s="36" t="str">
        <f t="shared" si="55"/>
        <v>Octubre</v>
      </c>
      <c r="C2391" s="33" t="s">
        <v>162</v>
      </c>
      <c r="D2391" s="33" t="s">
        <v>7742</v>
      </c>
      <c r="E2391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391" s="32" t="s">
        <v>650</v>
      </c>
      <c r="G2391" s="32" t="s">
        <v>651</v>
      </c>
      <c r="H2391" s="139" t="s">
        <v>7743</v>
      </c>
      <c r="I2391" s="33" t="s">
        <v>653</v>
      </c>
      <c r="J2391" s="143" t="s">
        <v>4678</v>
      </c>
      <c r="K2391" s="33" t="s">
        <v>169</v>
      </c>
      <c r="L2391" s="102" t="str">
        <f>VLOOKUP(Anexo_4[[#This Row],[cod_doc]],TIPODOC,2,FALSE)</f>
        <v>FACTURA</v>
      </c>
      <c r="M2391" s="33" t="s">
        <v>655</v>
      </c>
      <c r="N2391" s="32" t="s">
        <v>7744</v>
      </c>
      <c r="O2391" s="48">
        <v>89</v>
      </c>
      <c r="P2391" s="49" t="s">
        <v>4341</v>
      </c>
      <c r="Q2391" s="81">
        <v>16.02</v>
      </c>
      <c r="R2391" s="80" t="s">
        <v>4341</v>
      </c>
      <c r="S2391" s="48" t="s">
        <v>4341</v>
      </c>
      <c r="T2391" s="72">
        <v>105.02</v>
      </c>
      <c r="U2391" s="70"/>
      <c r="V2391" s="32"/>
      <c r="W2391" s="70"/>
      <c r="X2391" s="70"/>
      <c r="Y2391" s="70"/>
      <c r="Z2391" s="70"/>
      <c r="AA2391" s="71"/>
      <c r="AB2391" s="117" t="str">
        <f>IFERROR(VLOOKUP(Anexo_4[[#This Row],[cuenta]],OP,2,0),"-")</f>
        <v>-</v>
      </c>
    </row>
    <row r="2392" spans="1:28" ht="27" customHeight="1" x14ac:dyDescent="0.3">
      <c r="A2392" s="34" t="s">
        <v>6887</v>
      </c>
      <c r="B2392" s="36" t="str">
        <f t="shared" si="55"/>
        <v>Octubre</v>
      </c>
      <c r="C2392" s="33" t="s">
        <v>162</v>
      </c>
      <c r="D2392" s="33" t="s">
        <v>7745</v>
      </c>
      <c r="E2392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392" s="32" t="s">
        <v>650</v>
      </c>
      <c r="G2392" s="32" t="s">
        <v>651</v>
      </c>
      <c r="H2392" s="139" t="s">
        <v>7746</v>
      </c>
      <c r="I2392" s="33" t="s">
        <v>653</v>
      </c>
      <c r="J2392" s="143" t="s">
        <v>4678</v>
      </c>
      <c r="K2392" s="33" t="s">
        <v>169</v>
      </c>
      <c r="L2392" s="102" t="str">
        <f>VLOOKUP(Anexo_4[[#This Row],[cod_doc]],TIPODOC,2,FALSE)</f>
        <v>FACTURA</v>
      </c>
      <c r="M2392" s="33" t="s">
        <v>655</v>
      </c>
      <c r="N2392" s="32" t="s">
        <v>7747</v>
      </c>
      <c r="O2392" s="48">
        <v>181</v>
      </c>
      <c r="P2392" s="49" t="s">
        <v>4341</v>
      </c>
      <c r="Q2392" s="81">
        <v>32.58</v>
      </c>
      <c r="R2392" s="80" t="s">
        <v>4341</v>
      </c>
      <c r="S2392" s="48" t="s">
        <v>4341</v>
      </c>
      <c r="T2392" s="72">
        <v>213.58</v>
      </c>
      <c r="U2392" s="70"/>
      <c r="V2392" s="32"/>
      <c r="W2392" s="70"/>
      <c r="X2392" s="70"/>
      <c r="Y2392" s="70"/>
      <c r="Z2392" s="70"/>
      <c r="AA2392" s="71"/>
      <c r="AB2392" s="117" t="str">
        <f>IFERROR(VLOOKUP(Anexo_4[[#This Row],[cuenta]],OP,2,0),"-")</f>
        <v>-</v>
      </c>
    </row>
    <row r="2393" spans="1:28" ht="27" customHeight="1" x14ac:dyDescent="0.3">
      <c r="A2393" s="34" t="s">
        <v>7129</v>
      </c>
      <c r="B2393" s="36" t="str">
        <f t="shared" si="55"/>
        <v>Octubre</v>
      </c>
      <c r="C2393" s="33" t="s">
        <v>162</v>
      </c>
      <c r="D2393" s="33" t="s">
        <v>7748</v>
      </c>
      <c r="E2393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393" s="32" t="s">
        <v>592</v>
      </c>
      <c r="G2393" s="32" t="s">
        <v>593</v>
      </c>
      <c r="H2393" s="139" t="s">
        <v>7749</v>
      </c>
      <c r="I2393" s="33" t="s">
        <v>5686</v>
      </c>
      <c r="J2393" s="143" t="s">
        <v>5687</v>
      </c>
      <c r="K2393" s="33" t="s">
        <v>169</v>
      </c>
      <c r="L2393" s="102" t="str">
        <f>VLOOKUP(Anexo_4[[#This Row],[cod_doc]],TIPODOC,2,FALSE)</f>
        <v>FACTURA</v>
      </c>
      <c r="M2393" s="33" t="s">
        <v>102</v>
      </c>
      <c r="N2393" s="32" t="s">
        <v>7750</v>
      </c>
      <c r="O2393" s="48">
        <v>400</v>
      </c>
      <c r="P2393" s="49" t="s">
        <v>4341</v>
      </c>
      <c r="Q2393" s="81">
        <v>72</v>
      </c>
      <c r="R2393" s="80" t="s">
        <v>4341</v>
      </c>
      <c r="S2393" s="48" t="s">
        <v>4341</v>
      </c>
      <c r="T2393" s="72">
        <v>472</v>
      </c>
      <c r="U2393" s="70"/>
      <c r="V2393" s="32"/>
      <c r="W2393" s="70"/>
      <c r="X2393" s="70"/>
      <c r="Y2393" s="70"/>
      <c r="Z2393" s="70"/>
      <c r="AA2393" s="71"/>
      <c r="AB2393" s="117" t="str">
        <f>IFERROR(VLOOKUP(Anexo_4[[#This Row],[cuenta]],OP,2,0),"-")</f>
        <v>-</v>
      </c>
    </row>
    <row r="2394" spans="1:28" ht="27" customHeight="1" x14ac:dyDescent="0.3">
      <c r="A2394" s="34" t="s">
        <v>7307</v>
      </c>
      <c r="B2394" s="36" t="str">
        <f t="shared" si="55"/>
        <v>Octubre</v>
      </c>
      <c r="C2394" s="33" t="s">
        <v>162</v>
      </c>
      <c r="D2394" s="33" t="s">
        <v>7751</v>
      </c>
      <c r="E2394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394" s="32" t="s">
        <v>592</v>
      </c>
      <c r="G2394" s="32" t="s">
        <v>593</v>
      </c>
      <c r="H2394" s="139" t="s">
        <v>7752</v>
      </c>
      <c r="I2394" s="33" t="s">
        <v>1074</v>
      </c>
      <c r="J2394" s="143" t="s">
        <v>4635</v>
      </c>
      <c r="K2394" s="33" t="s">
        <v>169</v>
      </c>
      <c r="L2394" s="102" t="str">
        <f>VLOOKUP(Anexo_4[[#This Row],[cod_doc]],TIPODOC,2,FALSE)</f>
        <v>FACTURA</v>
      </c>
      <c r="M2394" s="33" t="s">
        <v>102</v>
      </c>
      <c r="N2394" s="32" t="s">
        <v>7753</v>
      </c>
      <c r="O2394" s="48">
        <v>60</v>
      </c>
      <c r="P2394" s="49" t="s">
        <v>4341</v>
      </c>
      <c r="Q2394" s="81">
        <v>10.8</v>
      </c>
      <c r="R2394" s="80" t="s">
        <v>4341</v>
      </c>
      <c r="S2394" s="48" t="s">
        <v>4341</v>
      </c>
      <c r="T2394" s="72">
        <v>70.8</v>
      </c>
      <c r="U2394" s="70"/>
      <c r="V2394" s="32"/>
      <c r="W2394" s="70"/>
      <c r="X2394" s="70"/>
      <c r="Y2394" s="70"/>
      <c r="Z2394" s="70"/>
      <c r="AA2394" s="71"/>
      <c r="AB2394" s="117" t="str">
        <f>IFERROR(VLOOKUP(Anexo_4[[#This Row],[cuenta]],OP,2,0),"-")</f>
        <v>-</v>
      </c>
    </row>
    <row r="2395" spans="1:28" ht="27" customHeight="1" x14ac:dyDescent="0.3">
      <c r="A2395" s="34" t="s">
        <v>7411</v>
      </c>
      <c r="B2395" s="36" t="str">
        <f t="shared" ref="B2395:B2426" si="56">PROPER(CHOOSE(LEFT(D2395,2),"enero","febrero","marzo","abril","mayo","junio","julio","agosto","setiembre","octubre","noviembre","diciembre"))</f>
        <v>Octubre</v>
      </c>
      <c r="C2395" s="33" t="s">
        <v>162</v>
      </c>
      <c r="D2395" s="33" t="s">
        <v>7754</v>
      </c>
      <c r="E2395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395" s="32" t="s">
        <v>190</v>
      </c>
      <c r="G2395" s="32" t="s">
        <v>191</v>
      </c>
      <c r="H2395" s="139" t="s">
        <v>7755</v>
      </c>
      <c r="I2395" s="33" t="s">
        <v>7756</v>
      </c>
      <c r="J2395" s="143" t="s">
        <v>7757</v>
      </c>
      <c r="K2395" s="33" t="s">
        <v>169</v>
      </c>
      <c r="L2395" s="102" t="str">
        <f>VLOOKUP(Anexo_4[[#This Row],[cod_doc]],TIPODOC,2,FALSE)</f>
        <v>FACTURA</v>
      </c>
      <c r="M2395" s="33" t="s">
        <v>102</v>
      </c>
      <c r="N2395" s="32" t="s">
        <v>7758</v>
      </c>
      <c r="O2395" s="48">
        <v>133.9</v>
      </c>
      <c r="P2395" s="49" t="s">
        <v>4341</v>
      </c>
      <c r="Q2395" s="81">
        <v>24.1</v>
      </c>
      <c r="R2395" s="80" t="s">
        <v>4341</v>
      </c>
      <c r="S2395" s="48" t="s">
        <v>4341</v>
      </c>
      <c r="T2395" s="72">
        <v>158</v>
      </c>
      <c r="U2395" s="70"/>
      <c r="V2395" s="32"/>
      <c r="W2395" s="70"/>
      <c r="X2395" s="70"/>
      <c r="Y2395" s="70"/>
      <c r="Z2395" s="70"/>
      <c r="AA2395" s="71"/>
      <c r="AB2395" s="117" t="str">
        <f>IFERROR(VLOOKUP(Anexo_4[[#This Row],[cuenta]],OP,2,0),"-")</f>
        <v>-</v>
      </c>
    </row>
    <row r="2396" spans="1:28" ht="27" customHeight="1" x14ac:dyDescent="0.3">
      <c r="A2396" s="34" t="s">
        <v>7705</v>
      </c>
      <c r="B2396" s="36" t="str">
        <f t="shared" si="56"/>
        <v>Octubre</v>
      </c>
      <c r="C2396" s="33" t="s">
        <v>162</v>
      </c>
      <c r="D2396" s="33" t="s">
        <v>7759</v>
      </c>
      <c r="E2396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396" s="32" t="s">
        <v>248</v>
      </c>
      <c r="G2396" s="32" t="s">
        <v>249</v>
      </c>
      <c r="H2396" s="139" t="s">
        <v>7760</v>
      </c>
      <c r="I2396" s="33" t="s">
        <v>980</v>
      </c>
      <c r="J2396" s="143" t="s">
        <v>5083</v>
      </c>
      <c r="K2396" s="33" t="s">
        <v>169</v>
      </c>
      <c r="L2396" s="102" t="str">
        <f>VLOOKUP(Anexo_4[[#This Row],[cod_doc]],TIPODOC,2,FALSE)</f>
        <v>FACTURA</v>
      </c>
      <c r="M2396" s="33" t="s">
        <v>982</v>
      </c>
      <c r="N2396" s="32" t="s">
        <v>7761</v>
      </c>
      <c r="O2396" s="48">
        <v>434.32</v>
      </c>
      <c r="P2396" s="49" t="s">
        <v>4341</v>
      </c>
      <c r="Q2396" s="81">
        <v>78.180000000000007</v>
      </c>
      <c r="R2396" s="80" t="s">
        <v>4341</v>
      </c>
      <c r="S2396" s="48" t="s">
        <v>4341</v>
      </c>
      <c r="T2396" s="72">
        <v>512.5</v>
      </c>
      <c r="U2396" s="70" t="s">
        <v>7762</v>
      </c>
      <c r="V2396" s="32" t="s">
        <v>7134</v>
      </c>
      <c r="W2396" s="70"/>
      <c r="X2396" s="70"/>
      <c r="Y2396" s="70" t="s">
        <v>7763</v>
      </c>
      <c r="Z2396" s="70"/>
      <c r="AA2396" s="71"/>
      <c r="AB2396" s="117" t="str">
        <f>IFERROR(VLOOKUP(Anexo_4[[#This Row],[cuenta]],OP,2,0),"-")</f>
        <v>-</v>
      </c>
    </row>
    <row r="2397" spans="1:28" ht="27" customHeight="1" x14ac:dyDescent="0.3">
      <c r="A2397" s="34" t="s">
        <v>7705</v>
      </c>
      <c r="B2397" s="36" t="str">
        <f t="shared" si="56"/>
        <v>Octubre</v>
      </c>
      <c r="C2397" s="33" t="s">
        <v>162</v>
      </c>
      <c r="D2397" s="33" t="s">
        <v>7764</v>
      </c>
      <c r="E2397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397" s="32" t="s">
        <v>248</v>
      </c>
      <c r="G2397" s="32" t="s">
        <v>249</v>
      </c>
      <c r="H2397" s="139" t="s">
        <v>7765</v>
      </c>
      <c r="I2397" s="33" t="s">
        <v>980</v>
      </c>
      <c r="J2397" s="143" t="s">
        <v>5083</v>
      </c>
      <c r="K2397" s="33" t="s">
        <v>169</v>
      </c>
      <c r="L2397" s="102" t="str">
        <f>VLOOKUP(Anexo_4[[#This Row],[cod_doc]],TIPODOC,2,FALSE)</f>
        <v>FACTURA</v>
      </c>
      <c r="M2397" s="33" t="s">
        <v>982</v>
      </c>
      <c r="N2397" s="32" t="s">
        <v>7766</v>
      </c>
      <c r="O2397" s="48">
        <v>1100.43</v>
      </c>
      <c r="P2397" s="49" t="s">
        <v>4341</v>
      </c>
      <c r="Q2397" s="81">
        <v>198.08</v>
      </c>
      <c r="R2397" s="80" t="s">
        <v>4341</v>
      </c>
      <c r="S2397" s="48" t="s">
        <v>4341</v>
      </c>
      <c r="T2397" s="72">
        <v>1298.51</v>
      </c>
      <c r="U2397" s="70" t="s">
        <v>7767</v>
      </c>
      <c r="V2397" s="32" t="s">
        <v>7134</v>
      </c>
      <c r="W2397" s="70"/>
      <c r="X2397" s="70"/>
      <c r="Y2397" s="70" t="s">
        <v>7768</v>
      </c>
      <c r="Z2397" s="70"/>
      <c r="AA2397" s="71"/>
      <c r="AB2397" s="117" t="str">
        <f>IFERROR(VLOOKUP(Anexo_4[[#This Row],[cuenta]],OP,2,0),"-")</f>
        <v>-</v>
      </c>
    </row>
    <row r="2398" spans="1:28" ht="27" customHeight="1" x14ac:dyDescent="0.3">
      <c r="A2398" s="34" t="s">
        <v>7741</v>
      </c>
      <c r="B2398" s="36" t="str">
        <f t="shared" si="56"/>
        <v>Octubre</v>
      </c>
      <c r="C2398" s="33" t="s">
        <v>162</v>
      </c>
      <c r="D2398" s="33" t="s">
        <v>7769</v>
      </c>
      <c r="E2398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398" s="32" t="s">
        <v>248</v>
      </c>
      <c r="G2398" s="32" t="s">
        <v>249</v>
      </c>
      <c r="H2398" s="139" t="s">
        <v>7770</v>
      </c>
      <c r="I2398" s="33" t="s">
        <v>980</v>
      </c>
      <c r="J2398" s="143" t="s">
        <v>5083</v>
      </c>
      <c r="K2398" s="33" t="s">
        <v>169</v>
      </c>
      <c r="L2398" s="102" t="str">
        <f>VLOOKUP(Anexo_4[[#This Row],[cod_doc]],TIPODOC,2,FALSE)</f>
        <v>FACTURA</v>
      </c>
      <c r="M2398" s="33" t="s">
        <v>982</v>
      </c>
      <c r="N2398" s="32" t="s">
        <v>7771</v>
      </c>
      <c r="O2398" s="48">
        <v>311.86</v>
      </c>
      <c r="P2398" s="49" t="s">
        <v>4341</v>
      </c>
      <c r="Q2398" s="81">
        <v>56.13</v>
      </c>
      <c r="R2398" s="80" t="s">
        <v>4341</v>
      </c>
      <c r="S2398" s="48" t="s">
        <v>4341</v>
      </c>
      <c r="T2398" s="72">
        <v>367.99</v>
      </c>
      <c r="U2398" s="70" t="s">
        <v>7772</v>
      </c>
      <c r="V2398" s="32" t="s">
        <v>7134</v>
      </c>
      <c r="W2398" s="70"/>
      <c r="X2398" s="70"/>
      <c r="Y2398" s="70" t="s">
        <v>7773</v>
      </c>
      <c r="Z2398" s="70"/>
      <c r="AA2398" s="71"/>
      <c r="AB2398" s="117" t="str">
        <f>IFERROR(VLOOKUP(Anexo_4[[#This Row],[cuenta]],OP,2,0),"-")</f>
        <v>-</v>
      </c>
    </row>
    <row r="2399" spans="1:28" ht="27" customHeight="1" x14ac:dyDescent="0.3">
      <c r="A2399" s="34" t="s">
        <v>6380</v>
      </c>
      <c r="B2399" s="36" t="str">
        <f t="shared" si="56"/>
        <v>Octubre</v>
      </c>
      <c r="C2399" s="33" t="s">
        <v>162</v>
      </c>
      <c r="D2399" s="33" t="s">
        <v>7774</v>
      </c>
      <c r="E2399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399" s="32"/>
      <c r="G2399" s="32"/>
      <c r="H2399" s="139" t="s">
        <v>7775</v>
      </c>
      <c r="I2399" s="33" t="s">
        <v>643</v>
      </c>
      <c r="J2399" s="143" t="s">
        <v>4632</v>
      </c>
      <c r="K2399" s="33" t="s">
        <v>169</v>
      </c>
      <c r="L2399" s="102" t="str">
        <f>VLOOKUP(Anexo_4[[#This Row],[cod_doc]],TIPODOC,2,FALSE)</f>
        <v>FACTURA</v>
      </c>
      <c r="M2399" s="33" t="s">
        <v>102</v>
      </c>
      <c r="N2399" s="32" t="s">
        <v>7776</v>
      </c>
      <c r="O2399" s="48">
        <v>255</v>
      </c>
      <c r="P2399" s="49" t="s">
        <v>4341</v>
      </c>
      <c r="Q2399" s="81">
        <v>45.9</v>
      </c>
      <c r="R2399" s="80" t="s">
        <v>4341</v>
      </c>
      <c r="S2399" s="48" t="s">
        <v>4341</v>
      </c>
      <c r="T2399" s="72">
        <v>300.89999999999998</v>
      </c>
      <c r="U2399" s="70"/>
      <c r="V2399" s="32"/>
      <c r="W2399" s="70"/>
      <c r="X2399" s="70"/>
      <c r="Y2399" s="70"/>
      <c r="Z2399" s="70"/>
      <c r="AA2399" s="71"/>
      <c r="AB2399" s="117" t="str">
        <f>IFERROR(VLOOKUP(Anexo_4[[#This Row],[cuenta]],OP,2,0),"-")</f>
        <v>-</v>
      </c>
    </row>
    <row r="2400" spans="1:28" ht="27" customHeight="1" x14ac:dyDescent="0.3">
      <c r="A2400" s="34" t="s">
        <v>7040</v>
      </c>
      <c r="B2400" s="36" t="str">
        <f t="shared" si="56"/>
        <v>Octubre</v>
      </c>
      <c r="C2400" s="33" t="s">
        <v>162</v>
      </c>
      <c r="D2400" s="33" t="s">
        <v>7777</v>
      </c>
      <c r="E2400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400" s="32" t="s">
        <v>592</v>
      </c>
      <c r="G2400" s="32" t="s">
        <v>593</v>
      </c>
      <c r="H2400" s="139" t="s">
        <v>7778</v>
      </c>
      <c r="I2400" s="33" t="s">
        <v>643</v>
      </c>
      <c r="J2400" s="143" t="s">
        <v>4632</v>
      </c>
      <c r="K2400" s="33" t="s">
        <v>169</v>
      </c>
      <c r="L2400" s="102" t="str">
        <f>VLOOKUP(Anexo_4[[#This Row],[cod_doc]],TIPODOC,2,FALSE)</f>
        <v>FACTURA</v>
      </c>
      <c r="M2400" s="33" t="s">
        <v>102</v>
      </c>
      <c r="N2400" s="32" t="s">
        <v>7779</v>
      </c>
      <c r="O2400" s="48">
        <v>127.5</v>
      </c>
      <c r="P2400" s="49" t="s">
        <v>4341</v>
      </c>
      <c r="Q2400" s="81">
        <v>22.95</v>
      </c>
      <c r="R2400" s="80" t="s">
        <v>4341</v>
      </c>
      <c r="S2400" s="48" t="s">
        <v>4341</v>
      </c>
      <c r="T2400" s="72">
        <v>150.44999999999999</v>
      </c>
      <c r="U2400" s="70"/>
      <c r="V2400" s="32"/>
      <c r="W2400" s="70"/>
      <c r="X2400" s="70"/>
      <c r="Y2400" s="70"/>
      <c r="Z2400" s="70"/>
      <c r="AA2400" s="71"/>
      <c r="AB2400" s="117" t="str">
        <f>IFERROR(VLOOKUP(Anexo_4[[#This Row],[cuenta]],OP,2,0),"-")</f>
        <v>-</v>
      </c>
    </row>
    <row r="2401" spans="1:28" ht="27" customHeight="1" x14ac:dyDescent="0.3">
      <c r="A2401" s="34" t="s">
        <v>7040</v>
      </c>
      <c r="B2401" s="36" t="str">
        <f t="shared" si="56"/>
        <v>Octubre</v>
      </c>
      <c r="C2401" s="33" t="s">
        <v>162</v>
      </c>
      <c r="D2401" s="33" t="s">
        <v>7780</v>
      </c>
      <c r="E2401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401" s="32" t="s">
        <v>592</v>
      </c>
      <c r="G2401" s="32" t="s">
        <v>593</v>
      </c>
      <c r="H2401" s="139" t="s">
        <v>7781</v>
      </c>
      <c r="I2401" s="33" t="s">
        <v>643</v>
      </c>
      <c r="J2401" s="143" t="s">
        <v>4632</v>
      </c>
      <c r="K2401" s="33" t="s">
        <v>169</v>
      </c>
      <c r="L2401" s="102" t="str">
        <f>VLOOKUP(Anexo_4[[#This Row],[cod_doc]],TIPODOC,2,FALSE)</f>
        <v>FACTURA</v>
      </c>
      <c r="M2401" s="33" t="s">
        <v>102</v>
      </c>
      <c r="N2401" s="32" t="s">
        <v>7782</v>
      </c>
      <c r="O2401" s="48">
        <v>680</v>
      </c>
      <c r="P2401" s="49" t="s">
        <v>4341</v>
      </c>
      <c r="Q2401" s="81">
        <v>122.4</v>
      </c>
      <c r="R2401" s="80" t="s">
        <v>4341</v>
      </c>
      <c r="S2401" s="48" t="s">
        <v>4341</v>
      </c>
      <c r="T2401" s="72">
        <v>802.4</v>
      </c>
      <c r="U2401" s="70" t="s">
        <v>7783</v>
      </c>
      <c r="V2401" s="32" t="s">
        <v>7134</v>
      </c>
      <c r="W2401" s="70"/>
      <c r="X2401" s="70"/>
      <c r="Y2401" s="70"/>
      <c r="Z2401" s="70"/>
      <c r="AA2401" s="71"/>
      <c r="AB2401" s="117" t="str">
        <f>IFERROR(VLOOKUP(Anexo_4[[#This Row],[cuenta]],OP,2,0),"-")</f>
        <v>-</v>
      </c>
    </row>
    <row r="2402" spans="1:28" ht="27" customHeight="1" x14ac:dyDescent="0.3">
      <c r="A2402" s="34" t="s">
        <v>5914</v>
      </c>
      <c r="B2402" s="36" t="str">
        <f t="shared" si="56"/>
        <v>Octubre</v>
      </c>
      <c r="C2402" s="33" t="s">
        <v>162</v>
      </c>
      <c r="D2402" s="33" t="s">
        <v>7784</v>
      </c>
      <c r="E2402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402" s="32"/>
      <c r="G2402" s="32"/>
      <c r="H2402" s="139" t="s">
        <v>7785</v>
      </c>
      <c r="I2402" s="33" t="s">
        <v>643</v>
      </c>
      <c r="J2402" s="143" t="s">
        <v>4632</v>
      </c>
      <c r="K2402" s="33" t="s">
        <v>169</v>
      </c>
      <c r="L2402" s="102" t="str">
        <f>VLOOKUP(Anexo_4[[#This Row],[cod_doc]],TIPODOC,2,FALSE)</f>
        <v>FACTURA</v>
      </c>
      <c r="M2402" s="33" t="s">
        <v>102</v>
      </c>
      <c r="N2402" s="32" t="s">
        <v>7786</v>
      </c>
      <c r="O2402" s="48">
        <v>212.5</v>
      </c>
      <c r="P2402" s="49" t="s">
        <v>4341</v>
      </c>
      <c r="Q2402" s="81">
        <v>38.25</v>
      </c>
      <c r="R2402" s="80" t="s">
        <v>4341</v>
      </c>
      <c r="S2402" s="48" t="s">
        <v>4341</v>
      </c>
      <c r="T2402" s="72">
        <v>250.75</v>
      </c>
      <c r="U2402" s="70"/>
      <c r="V2402" s="32"/>
      <c r="W2402" s="70"/>
      <c r="X2402" s="70"/>
      <c r="Y2402" s="70"/>
      <c r="Z2402" s="70"/>
      <c r="AA2402" s="71"/>
      <c r="AB2402" s="117" t="str">
        <f>IFERROR(VLOOKUP(Anexo_4[[#This Row],[cuenta]],OP,2,0),"-")</f>
        <v>-</v>
      </c>
    </row>
    <row r="2403" spans="1:28" ht="27" customHeight="1" x14ac:dyDescent="0.3">
      <c r="A2403" s="34" t="s">
        <v>5921</v>
      </c>
      <c r="B2403" s="36" t="str">
        <f t="shared" si="56"/>
        <v>Octubre</v>
      </c>
      <c r="C2403" s="33" t="s">
        <v>162</v>
      </c>
      <c r="D2403" s="33" t="s">
        <v>7787</v>
      </c>
      <c r="E2403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403" s="32" t="s">
        <v>592</v>
      </c>
      <c r="G2403" s="32" t="s">
        <v>593</v>
      </c>
      <c r="H2403" s="139" t="s">
        <v>7788</v>
      </c>
      <c r="I2403" s="33" t="s">
        <v>643</v>
      </c>
      <c r="J2403" s="143" t="s">
        <v>4632</v>
      </c>
      <c r="K2403" s="33" t="s">
        <v>169</v>
      </c>
      <c r="L2403" s="102" t="str">
        <f>VLOOKUP(Anexo_4[[#This Row],[cod_doc]],TIPODOC,2,FALSE)</f>
        <v>FACTURA</v>
      </c>
      <c r="M2403" s="33" t="s">
        <v>102</v>
      </c>
      <c r="N2403" s="32" t="s">
        <v>7789</v>
      </c>
      <c r="O2403" s="48">
        <v>297.5</v>
      </c>
      <c r="P2403" s="49" t="s">
        <v>4341</v>
      </c>
      <c r="Q2403" s="81">
        <v>53.55</v>
      </c>
      <c r="R2403" s="80" t="s">
        <v>4341</v>
      </c>
      <c r="S2403" s="48" t="s">
        <v>4341</v>
      </c>
      <c r="T2403" s="72">
        <v>351.05</v>
      </c>
      <c r="U2403" s="70"/>
      <c r="V2403" s="32"/>
      <c r="W2403" s="70"/>
      <c r="X2403" s="70"/>
      <c r="Y2403" s="70"/>
      <c r="Z2403" s="70"/>
      <c r="AA2403" s="71"/>
      <c r="AB2403" s="117" t="str">
        <f>IFERROR(VLOOKUP(Anexo_4[[#This Row],[cuenta]],OP,2,0),"-")</f>
        <v>-</v>
      </c>
    </row>
    <row r="2404" spans="1:28" ht="27" customHeight="1" x14ac:dyDescent="0.3">
      <c r="A2404" s="34" t="s">
        <v>5921</v>
      </c>
      <c r="B2404" s="36" t="str">
        <f t="shared" si="56"/>
        <v>Octubre</v>
      </c>
      <c r="C2404" s="33" t="s">
        <v>162</v>
      </c>
      <c r="D2404" s="33" t="s">
        <v>7790</v>
      </c>
      <c r="E2404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404" s="32"/>
      <c r="G2404" s="32"/>
      <c r="H2404" s="139" t="s">
        <v>7791</v>
      </c>
      <c r="I2404" s="33" t="s">
        <v>643</v>
      </c>
      <c r="J2404" s="143" t="s">
        <v>4632</v>
      </c>
      <c r="K2404" s="33" t="s">
        <v>169</v>
      </c>
      <c r="L2404" s="102" t="str">
        <f>VLOOKUP(Anexo_4[[#This Row],[cod_doc]],TIPODOC,2,FALSE)</f>
        <v>FACTURA</v>
      </c>
      <c r="M2404" s="33" t="s">
        <v>102</v>
      </c>
      <c r="N2404" s="32" t="s">
        <v>7792</v>
      </c>
      <c r="O2404" s="48">
        <v>340</v>
      </c>
      <c r="P2404" s="49" t="s">
        <v>4341</v>
      </c>
      <c r="Q2404" s="81">
        <v>61.2</v>
      </c>
      <c r="R2404" s="80" t="s">
        <v>4341</v>
      </c>
      <c r="S2404" s="48" t="s">
        <v>4341</v>
      </c>
      <c r="T2404" s="72">
        <v>401.2</v>
      </c>
      <c r="U2404" s="70"/>
      <c r="V2404" s="32"/>
      <c r="W2404" s="70"/>
      <c r="X2404" s="70"/>
      <c r="Y2404" s="70"/>
      <c r="Z2404" s="70"/>
      <c r="AA2404" s="71"/>
      <c r="AB2404" s="117" t="str">
        <f>IFERROR(VLOOKUP(Anexo_4[[#This Row],[cuenta]],OP,2,0),"-")</f>
        <v>-</v>
      </c>
    </row>
    <row r="2405" spans="1:28" ht="27" customHeight="1" x14ac:dyDescent="0.3">
      <c r="A2405" s="34" t="s">
        <v>5238</v>
      </c>
      <c r="B2405" s="36" t="str">
        <f t="shared" si="56"/>
        <v>Octubre</v>
      </c>
      <c r="C2405" s="33" t="s">
        <v>162</v>
      </c>
      <c r="D2405" s="33" t="s">
        <v>7793</v>
      </c>
      <c r="E2405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405" s="32"/>
      <c r="G2405" s="32"/>
      <c r="H2405" s="139" t="s">
        <v>7794</v>
      </c>
      <c r="I2405" s="33" t="s">
        <v>643</v>
      </c>
      <c r="J2405" s="143" t="s">
        <v>4632</v>
      </c>
      <c r="K2405" s="33" t="s">
        <v>169</v>
      </c>
      <c r="L2405" s="102" t="str">
        <f>VLOOKUP(Anexo_4[[#This Row],[cod_doc]],TIPODOC,2,FALSE)</f>
        <v>FACTURA</v>
      </c>
      <c r="M2405" s="33" t="s">
        <v>102</v>
      </c>
      <c r="N2405" s="32" t="s">
        <v>7795</v>
      </c>
      <c r="O2405" s="48">
        <v>382.5</v>
      </c>
      <c r="P2405" s="49" t="s">
        <v>4341</v>
      </c>
      <c r="Q2405" s="81">
        <v>68.849999999999994</v>
      </c>
      <c r="R2405" s="80" t="s">
        <v>4341</v>
      </c>
      <c r="S2405" s="48" t="s">
        <v>4341</v>
      </c>
      <c r="T2405" s="72">
        <v>451.35</v>
      </c>
      <c r="U2405" s="70"/>
      <c r="V2405" s="32"/>
      <c r="W2405" s="70"/>
      <c r="X2405" s="70"/>
      <c r="Y2405" s="70"/>
      <c r="Z2405" s="70"/>
      <c r="AA2405" s="71"/>
      <c r="AB2405" s="117" t="str">
        <f>IFERROR(VLOOKUP(Anexo_4[[#This Row],[cuenta]],OP,2,0),"-")</f>
        <v>-</v>
      </c>
    </row>
    <row r="2406" spans="1:28" ht="27" customHeight="1" x14ac:dyDescent="0.3">
      <c r="A2406" s="34" t="s">
        <v>5238</v>
      </c>
      <c r="B2406" s="36" t="str">
        <f t="shared" si="56"/>
        <v>Octubre</v>
      </c>
      <c r="C2406" s="33" t="s">
        <v>162</v>
      </c>
      <c r="D2406" s="33" t="s">
        <v>7796</v>
      </c>
      <c r="E2406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406" s="32"/>
      <c r="G2406" s="32"/>
      <c r="H2406" s="139" t="s">
        <v>7797</v>
      </c>
      <c r="I2406" s="33" t="s">
        <v>643</v>
      </c>
      <c r="J2406" s="143" t="s">
        <v>4632</v>
      </c>
      <c r="K2406" s="33" t="s">
        <v>169</v>
      </c>
      <c r="L2406" s="102" t="str">
        <f>VLOOKUP(Anexo_4[[#This Row],[cod_doc]],TIPODOC,2,FALSE)</f>
        <v>FACTURA</v>
      </c>
      <c r="M2406" s="33" t="s">
        <v>102</v>
      </c>
      <c r="N2406" s="32" t="s">
        <v>7798</v>
      </c>
      <c r="O2406" s="48">
        <v>552.5</v>
      </c>
      <c r="P2406" s="49" t="s">
        <v>4341</v>
      </c>
      <c r="Q2406" s="81">
        <v>99.45</v>
      </c>
      <c r="R2406" s="80" t="s">
        <v>4341</v>
      </c>
      <c r="S2406" s="48" t="s">
        <v>4341</v>
      </c>
      <c r="T2406" s="72">
        <v>651.95000000000005</v>
      </c>
      <c r="U2406" s="70"/>
      <c r="V2406" s="32"/>
      <c r="W2406" s="70"/>
      <c r="X2406" s="70"/>
      <c r="Y2406" s="70"/>
      <c r="Z2406" s="70"/>
      <c r="AA2406" s="71"/>
      <c r="AB2406" s="117" t="str">
        <f>IFERROR(VLOOKUP(Anexo_4[[#This Row],[cuenta]],OP,2,0),"-")</f>
        <v>-</v>
      </c>
    </row>
    <row r="2407" spans="1:28" ht="27" customHeight="1" x14ac:dyDescent="0.3">
      <c r="A2407" s="34" t="s">
        <v>7416</v>
      </c>
      <c r="B2407" s="36" t="str">
        <f t="shared" si="56"/>
        <v>Octubre</v>
      </c>
      <c r="C2407" s="33" t="s">
        <v>162</v>
      </c>
      <c r="D2407" s="33" t="s">
        <v>7799</v>
      </c>
      <c r="E2407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407" s="32" t="s">
        <v>190</v>
      </c>
      <c r="G2407" s="32" t="s">
        <v>191</v>
      </c>
      <c r="H2407" s="139" t="s">
        <v>7800</v>
      </c>
      <c r="I2407" s="33" t="s">
        <v>899</v>
      </c>
      <c r="J2407" s="143" t="s">
        <v>4693</v>
      </c>
      <c r="K2407" s="33" t="s">
        <v>169</v>
      </c>
      <c r="L2407" s="102" t="str">
        <f>VLOOKUP(Anexo_4[[#This Row],[cod_doc]],TIPODOC,2,FALSE)</f>
        <v>FACTURA</v>
      </c>
      <c r="M2407" s="33" t="s">
        <v>102</v>
      </c>
      <c r="N2407" s="32" t="s">
        <v>7801</v>
      </c>
      <c r="O2407" s="48">
        <v>127.12</v>
      </c>
      <c r="P2407" s="49" t="s">
        <v>4341</v>
      </c>
      <c r="Q2407" s="81">
        <v>22.88</v>
      </c>
      <c r="R2407" s="80" t="s">
        <v>4341</v>
      </c>
      <c r="S2407" s="48" t="s">
        <v>4341</v>
      </c>
      <c r="T2407" s="72">
        <v>150</v>
      </c>
      <c r="U2407" s="70"/>
      <c r="V2407" s="32"/>
      <c r="W2407" s="70"/>
      <c r="X2407" s="70"/>
      <c r="Y2407" s="70"/>
      <c r="Z2407" s="70"/>
      <c r="AA2407" s="71"/>
      <c r="AB2407" s="117" t="str">
        <f>IFERROR(VLOOKUP(Anexo_4[[#This Row],[cuenta]],OP,2,0),"-")</f>
        <v>-</v>
      </c>
    </row>
    <row r="2408" spans="1:28" ht="27" customHeight="1" x14ac:dyDescent="0.3">
      <c r="A2408" s="34" t="s">
        <v>6887</v>
      </c>
      <c r="B2408" s="36" t="str">
        <f t="shared" si="56"/>
        <v>Octubre</v>
      </c>
      <c r="C2408" s="33" t="s">
        <v>162</v>
      </c>
      <c r="D2408" s="33" t="s">
        <v>7802</v>
      </c>
      <c r="E2408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408" s="32" t="s">
        <v>1366</v>
      </c>
      <c r="G2408" s="32" t="s">
        <v>1367</v>
      </c>
      <c r="H2408" s="139" t="s">
        <v>7803</v>
      </c>
      <c r="I2408" s="33" t="s">
        <v>4858</v>
      </c>
      <c r="J2408" s="143" t="s">
        <v>5282</v>
      </c>
      <c r="K2408" s="33" t="s">
        <v>239</v>
      </c>
      <c r="L2408" s="102" t="str">
        <f>VLOOKUP(Anexo_4[[#This Row],[cod_doc]],TIPODOC,2,FALSE)</f>
        <v>BOLETA DE VENTA</v>
      </c>
      <c r="M2408" s="33" t="s">
        <v>5938</v>
      </c>
      <c r="N2408" s="32" t="s">
        <v>7804</v>
      </c>
      <c r="O2408" s="48" t="s">
        <v>4341</v>
      </c>
      <c r="P2408" s="49" t="s">
        <v>4341</v>
      </c>
      <c r="Q2408" s="81" t="s">
        <v>4341</v>
      </c>
      <c r="R2408" s="80" t="s">
        <v>4341</v>
      </c>
      <c r="S2408" s="48">
        <v>135</v>
      </c>
      <c r="T2408" s="72">
        <v>135</v>
      </c>
      <c r="U2408" s="70"/>
      <c r="V2408" s="32"/>
      <c r="W2408" s="70"/>
      <c r="X2408" s="70"/>
      <c r="Y2408" s="70"/>
      <c r="Z2408" s="70"/>
      <c r="AA2408" s="71"/>
      <c r="AB2408" s="117" t="str">
        <f>IFERROR(VLOOKUP(Anexo_4[[#This Row],[cuenta]],OP,2,0),"-")</f>
        <v>-</v>
      </c>
    </row>
    <row r="2409" spans="1:28" ht="27" customHeight="1" x14ac:dyDescent="0.3">
      <c r="A2409" s="34" t="s">
        <v>7411</v>
      </c>
      <c r="B2409" s="36" t="str">
        <f t="shared" si="56"/>
        <v>Octubre</v>
      </c>
      <c r="C2409" s="33" t="s">
        <v>162</v>
      </c>
      <c r="D2409" s="33" t="s">
        <v>7805</v>
      </c>
      <c r="E2409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409" s="32" t="s">
        <v>1366</v>
      </c>
      <c r="G2409" s="32" t="s">
        <v>1367</v>
      </c>
      <c r="H2409" s="139" t="s">
        <v>7806</v>
      </c>
      <c r="I2409" s="33" t="s">
        <v>7807</v>
      </c>
      <c r="J2409" s="143" t="s">
        <v>7808</v>
      </c>
      <c r="K2409" s="33" t="s">
        <v>169</v>
      </c>
      <c r="L2409" s="102" t="str">
        <f>VLOOKUP(Anexo_4[[#This Row],[cod_doc]],TIPODOC,2,FALSE)</f>
        <v>FACTURA</v>
      </c>
      <c r="M2409" s="33" t="s">
        <v>102</v>
      </c>
      <c r="N2409" s="32" t="s">
        <v>7809</v>
      </c>
      <c r="O2409" s="48">
        <v>59.32</v>
      </c>
      <c r="P2409" s="49" t="s">
        <v>4341</v>
      </c>
      <c r="Q2409" s="81">
        <v>10.68</v>
      </c>
      <c r="R2409" s="80" t="s">
        <v>4341</v>
      </c>
      <c r="S2409" s="48" t="s">
        <v>4341</v>
      </c>
      <c r="T2409" s="72">
        <v>70</v>
      </c>
      <c r="U2409" s="70"/>
      <c r="V2409" s="32"/>
      <c r="W2409" s="70"/>
      <c r="X2409" s="70"/>
      <c r="Y2409" s="70"/>
      <c r="Z2409" s="70"/>
      <c r="AA2409" s="71"/>
      <c r="AB2409" s="117" t="str">
        <f>IFERROR(VLOOKUP(Anexo_4[[#This Row],[cuenta]],OP,2,0),"-")</f>
        <v>-</v>
      </c>
    </row>
    <row r="2410" spans="1:28" ht="27" customHeight="1" x14ac:dyDescent="0.3">
      <c r="A2410" s="34" t="s">
        <v>7741</v>
      </c>
      <c r="B2410" s="36" t="str">
        <f t="shared" si="56"/>
        <v>Octubre</v>
      </c>
      <c r="C2410" s="33" t="s">
        <v>162</v>
      </c>
      <c r="D2410" s="33" t="s">
        <v>7810</v>
      </c>
      <c r="E2410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410" s="32" t="s">
        <v>650</v>
      </c>
      <c r="G2410" s="32" t="s">
        <v>651</v>
      </c>
      <c r="H2410" s="139" t="s">
        <v>7811</v>
      </c>
      <c r="I2410" s="33" t="s">
        <v>7812</v>
      </c>
      <c r="J2410" s="143" t="s">
        <v>7813</v>
      </c>
      <c r="K2410" s="33" t="s">
        <v>239</v>
      </c>
      <c r="L2410" s="102" t="str">
        <f>VLOOKUP(Anexo_4[[#This Row],[cod_doc]],TIPODOC,2,FALSE)</f>
        <v>BOLETA DE VENTA</v>
      </c>
      <c r="M2410" s="33" t="s">
        <v>5938</v>
      </c>
      <c r="N2410" s="32" t="s">
        <v>7814</v>
      </c>
      <c r="O2410" s="48" t="s">
        <v>4341</v>
      </c>
      <c r="P2410" s="49" t="s">
        <v>4341</v>
      </c>
      <c r="Q2410" s="81" t="s">
        <v>4341</v>
      </c>
      <c r="R2410" s="80" t="s">
        <v>4341</v>
      </c>
      <c r="S2410" s="48">
        <v>21.3</v>
      </c>
      <c r="T2410" s="72">
        <v>21.3</v>
      </c>
      <c r="U2410" s="70"/>
      <c r="V2410" s="32"/>
      <c r="W2410" s="70"/>
      <c r="X2410" s="70"/>
      <c r="Y2410" s="70"/>
      <c r="Z2410" s="70"/>
      <c r="AA2410" s="71"/>
      <c r="AB2410" s="117" t="str">
        <f>IFERROR(VLOOKUP(Anexo_4[[#This Row],[cuenta]],OP,2,0),"-")</f>
        <v>-</v>
      </c>
    </row>
    <row r="2411" spans="1:28" ht="27" customHeight="1" x14ac:dyDescent="0.3">
      <c r="A2411" s="34" t="s">
        <v>6887</v>
      </c>
      <c r="B2411" s="36" t="str">
        <f t="shared" si="56"/>
        <v>Octubre</v>
      </c>
      <c r="C2411" s="33" t="s">
        <v>162</v>
      </c>
      <c r="D2411" s="33" t="s">
        <v>7815</v>
      </c>
      <c r="E2411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411" s="32" t="s">
        <v>391</v>
      </c>
      <c r="G2411" s="32" t="s">
        <v>5041</v>
      </c>
      <c r="H2411" s="139" t="s">
        <v>4556</v>
      </c>
      <c r="I2411" s="33" t="s">
        <v>452</v>
      </c>
      <c r="J2411" s="143" t="s">
        <v>4854</v>
      </c>
      <c r="K2411" s="33" t="s">
        <v>169</v>
      </c>
      <c r="L2411" s="102" t="str">
        <f>VLOOKUP(Anexo_4[[#This Row],[cod_doc]],TIPODOC,2,FALSE)</f>
        <v>FACTURA</v>
      </c>
      <c r="M2411" s="33" t="s">
        <v>7816</v>
      </c>
      <c r="N2411" s="32" t="s">
        <v>7817</v>
      </c>
      <c r="O2411" s="48">
        <v>84.75</v>
      </c>
      <c r="P2411" s="49" t="s">
        <v>4341</v>
      </c>
      <c r="Q2411" s="81">
        <v>15.25</v>
      </c>
      <c r="R2411" s="80" t="s">
        <v>4341</v>
      </c>
      <c r="S2411" s="48" t="s">
        <v>4341</v>
      </c>
      <c r="T2411" s="72">
        <v>100</v>
      </c>
      <c r="U2411" s="70"/>
      <c r="V2411" s="32"/>
      <c r="W2411" s="70"/>
      <c r="X2411" s="70"/>
      <c r="Y2411" s="70"/>
      <c r="Z2411" s="70"/>
      <c r="AA2411" s="71"/>
      <c r="AB2411" s="117" t="str">
        <f>IFERROR(VLOOKUP(Anexo_4[[#This Row],[cuenta]],OP,2,0),"-")</f>
        <v>-</v>
      </c>
    </row>
    <row r="2412" spans="1:28" ht="27" customHeight="1" x14ac:dyDescent="0.3">
      <c r="A2412" s="34" t="s">
        <v>7411</v>
      </c>
      <c r="B2412" s="36" t="str">
        <f t="shared" si="56"/>
        <v>Octubre</v>
      </c>
      <c r="C2412" s="33" t="s">
        <v>162</v>
      </c>
      <c r="D2412" s="33" t="s">
        <v>7818</v>
      </c>
      <c r="E2412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412" s="32" t="s">
        <v>391</v>
      </c>
      <c r="G2412" s="32" t="s">
        <v>5041</v>
      </c>
      <c r="H2412" s="139" t="s">
        <v>7819</v>
      </c>
      <c r="I2412" s="33" t="s">
        <v>178</v>
      </c>
      <c r="J2412" s="143" t="s">
        <v>4667</v>
      </c>
      <c r="K2412" s="33" t="s">
        <v>169</v>
      </c>
      <c r="L2412" s="102" t="str">
        <f>VLOOKUP(Anexo_4[[#This Row],[cod_doc]],TIPODOC,2,FALSE)</f>
        <v>FACTURA</v>
      </c>
      <c r="M2412" s="33" t="s">
        <v>180</v>
      </c>
      <c r="N2412" s="32" t="s">
        <v>7820</v>
      </c>
      <c r="O2412" s="48">
        <v>8.4700000000000006</v>
      </c>
      <c r="P2412" s="49" t="s">
        <v>4341</v>
      </c>
      <c r="Q2412" s="81">
        <v>1.53</v>
      </c>
      <c r="R2412" s="80" t="s">
        <v>4341</v>
      </c>
      <c r="S2412" s="48" t="s">
        <v>4341</v>
      </c>
      <c r="T2412" s="72">
        <v>10</v>
      </c>
      <c r="U2412" s="70"/>
      <c r="V2412" s="32"/>
      <c r="W2412" s="70"/>
      <c r="X2412" s="70"/>
      <c r="Y2412" s="70" t="s">
        <v>7821</v>
      </c>
      <c r="Z2412" s="70"/>
      <c r="AA2412" s="71"/>
      <c r="AB2412" s="117" t="str">
        <f>IFERROR(VLOOKUP(Anexo_4[[#This Row],[cuenta]],OP,2,0),"-")</f>
        <v>-</v>
      </c>
    </row>
    <row r="2413" spans="1:28" ht="27" customHeight="1" x14ac:dyDescent="0.3">
      <c r="A2413" s="34" t="s">
        <v>7411</v>
      </c>
      <c r="B2413" s="36" t="str">
        <f t="shared" si="56"/>
        <v>Octubre</v>
      </c>
      <c r="C2413" s="33" t="s">
        <v>162</v>
      </c>
      <c r="D2413" s="33" t="s">
        <v>7822</v>
      </c>
      <c r="E2413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413" s="32" t="s">
        <v>391</v>
      </c>
      <c r="G2413" s="32" t="s">
        <v>5041</v>
      </c>
      <c r="H2413" s="139" t="s">
        <v>7823</v>
      </c>
      <c r="I2413" s="33" t="s">
        <v>178</v>
      </c>
      <c r="J2413" s="143" t="s">
        <v>4667</v>
      </c>
      <c r="K2413" s="33" t="s">
        <v>169</v>
      </c>
      <c r="L2413" s="102" t="str">
        <f>VLOOKUP(Anexo_4[[#This Row],[cod_doc]],TIPODOC,2,FALSE)</f>
        <v>FACTURA</v>
      </c>
      <c r="M2413" s="33" t="s">
        <v>180</v>
      </c>
      <c r="N2413" s="32" t="s">
        <v>7824</v>
      </c>
      <c r="O2413" s="48">
        <v>8.4700000000000006</v>
      </c>
      <c r="P2413" s="49" t="s">
        <v>4341</v>
      </c>
      <c r="Q2413" s="81">
        <v>1.53</v>
      </c>
      <c r="R2413" s="80" t="s">
        <v>4341</v>
      </c>
      <c r="S2413" s="48" t="s">
        <v>4341</v>
      </c>
      <c r="T2413" s="72">
        <v>10</v>
      </c>
      <c r="U2413" s="70"/>
      <c r="V2413" s="32"/>
      <c r="W2413" s="70"/>
      <c r="X2413" s="70"/>
      <c r="Y2413" s="70" t="s">
        <v>7825</v>
      </c>
      <c r="Z2413" s="70"/>
      <c r="AA2413" s="71"/>
      <c r="AB2413" s="117" t="str">
        <f>IFERROR(VLOOKUP(Anexo_4[[#This Row],[cuenta]],OP,2,0),"-")</f>
        <v>-</v>
      </c>
    </row>
    <row r="2414" spans="1:28" ht="27" customHeight="1" x14ac:dyDescent="0.3">
      <c r="A2414" s="34" t="s">
        <v>7741</v>
      </c>
      <c r="B2414" s="36" t="str">
        <f t="shared" si="56"/>
        <v>Octubre</v>
      </c>
      <c r="C2414" s="33" t="s">
        <v>162</v>
      </c>
      <c r="D2414" s="33" t="s">
        <v>7826</v>
      </c>
      <c r="E2414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414" s="32" t="s">
        <v>235</v>
      </c>
      <c r="G2414" s="32" t="s">
        <v>5051</v>
      </c>
      <c r="H2414" s="139" t="s">
        <v>7827</v>
      </c>
      <c r="I2414" s="33" t="s">
        <v>178</v>
      </c>
      <c r="J2414" s="143" t="s">
        <v>4667</v>
      </c>
      <c r="K2414" s="33" t="s">
        <v>169</v>
      </c>
      <c r="L2414" s="102" t="str">
        <f>VLOOKUP(Anexo_4[[#This Row],[cod_doc]],TIPODOC,2,FALSE)</f>
        <v>FACTURA</v>
      </c>
      <c r="M2414" s="33" t="s">
        <v>180</v>
      </c>
      <c r="N2414" s="32" t="s">
        <v>7828</v>
      </c>
      <c r="O2414" s="48">
        <v>8.4700000000000006</v>
      </c>
      <c r="P2414" s="49" t="s">
        <v>4341</v>
      </c>
      <c r="Q2414" s="81">
        <v>1.53</v>
      </c>
      <c r="R2414" s="80" t="s">
        <v>4341</v>
      </c>
      <c r="S2414" s="48" t="s">
        <v>4341</v>
      </c>
      <c r="T2414" s="72">
        <v>10</v>
      </c>
      <c r="U2414" s="70"/>
      <c r="V2414" s="32"/>
      <c r="W2414" s="70"/>
      <c r="X2414" s="70"/>
      <c r="Y2414" s="70" t="s">
        <v>7829</v>
      </c>
      <c r="Z2414" s="70"/>
      <c r="AA2414" s="71"/>
      <c r="AB2414" s="117" t="str">
        <f>IFERROR(VLOOKUP(Anexo_4[[#This Row],[cuenta]],OP,2,0),"-")</f>
        <v>-</v>
      </c>
    </row>
    <row r="2415" spans="1:28" ht="27" customHeight="1" x14ac:dyDescent="0.3">
      <c r="A2415" s="34" t="s">
        <v>7741</v>
      </c>
      <c r="B2415" s="36" t="str">
        <f t="shared" si="56"/>
        <v>Octubre</v>
      </c>
      <c r="C2415" s="33" t="s">
        <v>162</v>
      </c>
      <c r="D2415" s="33" t="s">
        <v>7830</v>
      </c>
      <c r="E2415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415" s="32" t="s">
        <v>235</v>
      </c>
      <c r="G2415" s="32" t="s">
        <v>5051</v>
      </c>
      <c r="H2415" s="139" t="s">
        <v>7831</v>
      </c>
      <c r="I2415" s="33" t="s">
        <v>178</v>
      </c>
      <c r="J2415" s="143" t="s">
        <v>4667</v>
      </c>
      <c r="K2415" s="33" t="s">
        <v>169</v>
      </c>
      <c r="L2415" s="102" t="str">
        <f>VLOOKUP(Anexo_4[[#This Row],[cod_doc]],TIPODOC,2,FALSE)</f>
        <v>FACTURA</v>
      </c>
      <c r="M2415" s="33" t="s">
        <v>180</v>
      </c>
      <c r="N2415" s="32" t="s">
        <v>7832</v>
      </c>
      <c r="O2415" s="48">
        <v>8.4700000000000006</v>
      </c>
      <c r="P2415" s="49" t="s">
        <v>4341</v>
      </c>
      <c r="Q2415" s="81">
        <v>1.53</v>
      </c>
      <c r="R2415" s="80" t="s">
        <v>4341</v>
      </c>
      <c r="S2415" s="48" t="s">
        <v>4341</v>
      </c>
      <c r="T2415" s="72">
        <v>10</v>
      </c>
      <c r="U2415" s="70"/>
      <c r="V2415" s="32"/>
      <c r="W2415" s="70"/>
      <c r="X2415" s="70"/>
      <c r="Y2415" s="70" t="s">
        <v>7833</v>
      </c>
      <c r="Z2415" s="70"/>
      <c r="AA2415" s="71"/>
      <c r="AB2415" s="117" t="str">
        <f>IFERROR(VLOOKUP(Anexo_4[[#This Row],[cuenta]],OP,2,0),"-")</f>
        <v>-</v>
      </c>
    </row>
    <row r="2416" spans="1:28" ht="27" customHeight="1" x14ac:dyDescent="0.3">
      <c r="A2416" s="34" t="s">
        <v>7411</v>
      </c>
      <c r="B2416" s="36" t="str">
        <f t="shared" si="56"/>
        <v>Octubre</v>
      </c>
      <c r="C2416" s="33" t="s">
        <v>162</v>
      </c>
      <c r="D2416" s="33" t="s">
        <v>7834</v>
      </c>
      <c r="E2416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416" s="32" t="s">
        <v>391</v>
      </c>
      <c r="G2416" s="32" t="s">
        <v>5041</v>
      </c>
      <c r="H2416" s="139" t="s">
        <v>7835</v>
      </c>
      <c r="I2416" s="33" t="s">
        <v>383</v>
      </c>
      <c r="J2416" s="143" t="s">
        <v>4702</v>
      </c>
      <c r="K2416" s="33" t="s">
        <v>169</v>
      </c>
      <c r="L2416" s="102" t="str">
        <f>VLOOKUP(Anexo_4[[#This Row],[cod_doc]],TIPODOC,2,FALSE)</f>
        <v>FACTURA</v>
      </c>
      <c r="M2416" s="33" t="s">
        <v>103</v>
      </c>
      <c r="N2416" s="32" t="s">
        <v>7836</v>
      </c>
      <c r="O2416" s="48">
        <v>16.95</v>
      </c>
      <c r="P2416" s="49" t="s">
        <v>4341</v>
      </c>
      <c r="Q2416" s="81">
        <v>3.05</v>
      </c>
      <c r="R2416" s="80" t="s">
        <v>4341</v>
      </c>
      <c r="S2416" s="48" t="s">
        <v>4341</v>
      </c>
      <c r="T2416" s="72">
        <v>20</v>
      </c>
      <c r="U2416" s="70"/>
      <c r="V2416" s="32"/>
      <c r="W2416" s="70"/>
      <c r="X2416" s="70"/>
      <c r="Y2416" s="70" t="s">
        <v>7837</v>
      </c>
      <c r="Z2416" s="70"/>
      <c r="AA2416" s="71"/>
      <c r="AB2416" s="117" t="str">
        <f>IFERROR(VLOOKUP(Anexo_4[[#This Row],[cuenta]],OP,2,0),"-")</f>
        <v>-</v>
      </c>
    </row>
    <row r="2417" spans="1:28" ht="27" customHeight="1" x14ac:dyDescent="0.3">
      <c r="A2417" s="34" t="s">
        <v>6887</v>
      </c>
      <c r="B2417" s="36" t="str">
        <f t="shared" si="56"/>
        <v>Octubre</v>
      </c>
      <c r="C2417" s="33" t="s">
        <v>162</v>
      </c>
      <c r="D2417" s="33" t="s">
        <v>7838</v>
      </c>
      <c r="E2417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417" s="32" t="s">
        <v>235</v>
      </c>
      <c r="G2417" s="32" t="s">
        <v>5051</v>
      </c>
      <c r="H2417" s="139" t="s">
        <v>7839</v>
      </c>
      <c r="I2417" s="33" t="s">
        <v>264</v>
      </c>
      <c r="J2417" s="143" t="s">
        <v>4644</v>
      </c>
      <c r="K2417" s="33" t="s">
        <v>169</v>
      </c>
      <c r="L2417" s="102" t="str">
        <f>VLOOKUP(Anexo_4[[#This Row],[cod_doc]],TIPODOC,2,FALSE)</f>
        <v>FACTURA</v>
      </c>
      <c r="M2417" s="33" t="s">
        <v>352</v>
      </c>
      <c r="N2417" s="32" t="s">
        <v>7840</v>
      </c>
      <c r="O2417" s="48">
        <v>6.78</v>
      </c>
      <c r="P2417" s="49" t="s">
        <v>4341</v>
      </c>
      <c r="Q2417" s="81">
        <v>1.22</v>
      </c>
      <c r="R2417" s="80" t="s">
        <v>4341</v>
      </c>
      <c r="S2417" s="48" t="s">
        <v>4341</v>
      </c>
      <c r="T2417" s="72">
        <v>8</v>
      </c>
      <c r="U2417" s="70"/>
      <c r="V2417" s="32"/>
      <c r="W2417" s="70"/>
      <c r="X2417" s="70"/>
      <c r="Y2417" s="70" t="s">
        <v>7841</v>
      </c>
      <c r="Z2417" s="70"/>
      <c r="AA2417" s="71"/>
      <c r="AB2417" s="117" t="str">
        <f>IFERROR(VLOOKUP(Anexo_4[[#This Row],[cuenta]],OP,2,0),"-")</f>
        <v>-</v>
      </c>
    </row>
    <row r="2418" spans="1:28" ht="27" customHeight="1" x14ac:dyDescent="0.3">
      <c r="A2418" s="34" t="s">
        <v>6887</v>
      </c>
      <c r="B2418" s="36" t="str">
        <f t="shared" si="56"/>
        <v>Octubre</v>
      </c>
      <c r="C2418" s="33" t="s">
        <v>162</v>
      </c>
      <c r="D2418" s="33" t="s">
        <v>7842</v>
      </c>
      <c r="E2418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418" s="32" t="s">
        <v>391</v>
      </c>
      <c r="G2418" s="32" t="s">
        <v>5041</v>
      </c>
      <c r="H2418" s="139" t="s">
        <v>7843</v>
      </c>
      <c r="I2418" s="33" t="s">
        <v>264</v>
      </c>
      <c r="J2418" s="143" t="s">
        <v>4644</v>
      </c>
      <c r="K2418" s="33" t="s">
        <v>169</v>
      </c>
      <c r="L2418" s="102" t="str">
        <f>VLOOKUP(Anexo_4[[#This Row],[cod_doc]],TIPODOC,2,FALSE)</f>
        <v>FACTURA</v>
      </c>
      <c r="M2418" s="33" t="s">
        <v>406</v>
      </c>
      <c r="N2418" s="32" t="s">
        <v>7844</v>
      </c>
      <c r="O2418" s="48">
        <v>6.78</v>
      </c>
      <c r="P2418" s="49" t="s">
        <v>4341</v>
      </c>
      <c r="Q2418" s="81">
        <v>1.22</v>
      </c>
      <c r="R2418" s="80" t="s">
        <v>4341</v>
      </c>
      <c r="S2418" s="48" t="s">
        <v>4341</v>
      </c>
      <c r="T2418" s="72">
        <v>8</v>
      </c>
      <c r="U2418" s="70"/>
      <c r="V2418" s="32"/>
      <c r="W2418" s="70"/>
      <c r="X2418" s="70"/>
      <c r="Y2418" s="70" t="s">
        <v>7845</v>
      </c>
      <c r="Z2418" s="70"/>
      <c r="AA2418" s="71"/>
      <c r="AB2418" s="117" t="str">
        <f>IFERROR(VLOOKUP(Anexo_4[[#This Row],[cuenta]],OP,2,0),"-")</f>
        <v>-</v>
      </c>
    </row>
    <row r="2419" spans="1:28" ht="27" customHeight="1" x14ac:dyDescent="0.3">
      <c r="A2419" s="34" t="s">
        <v>7411</v>
      </c>
      <c r="B2419" s="36" t="str">
        <f t="shared" si="56"/>
        <v>Octubre</v>
      </c>
      <c r="C2419" s="33" t="s">
        <v>162</v>
      </c>
      <c r="D2419" s="33" t="s">
        <v>7846</v>
      </c>
      <c r="E2419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419" s="32" t="s">
        <v>391</v>
      </c>
      <c r="G2419" s="32" t="s">
        <v>5041</v>
      </c>
      <c r="H2419" s="139" t="s">
        <v>7847</v>
      </c>
      <c r="I2419" s="33" t="s">
        <v>264</v>
      </c>
      <c r="J2419" s="143" t="s">
        <v>4644</v>
      </c>
      <c r="K2419" s="33" t="s">
        <v>169</v>
      </c>
      <c r="L2419" s="102" t="str">
        <f>VLOOKUP(Anexo_4[[#This Row],[cod_doc]],TIPODOC,2,FALSE)</f>
        <v>FACTURA</v>
      </c>
      <c r="M2419" s="33" t="s">
        <v>406</v>
      </c>
      <c r="N2419" s="32" t="s">
        <v>7848</v>
      </c>
      <c r="O2419" s="48">
        <v>6.78</v>
      </c>
      <c r="P2419" s="49" t="s">
        <v>4341</v>
      </c>
      <c r="Q2419" s="81">
        <v>1.22</v>
      </c>
      <c r="R2419" s="80" t="s">
        <v>4341</v>
      </c>
      <c r="S2419" s="48" t="s">
        <v>4341</v>
      </c>
      <c r="T2419" s="72">
        <v>8</v>
      </c>
      <c r="U2419" s="70"/>
      <c r="V2419" s="32"/>
      <c r="W2419" s="70"/>
      <c r="X2419" s="70"/>
      <c r="Y2419" s="70" t="s">
        <v>7849</v>
      </c>
      <c r="Z2419" s="70"/>
      <c r="AA2419" s="71"/>
      <c r="AB2419" s="117" t="str">
        <f>IFERROR(VLOOKUP(Anexo_4[[#This Row],[cuenta]],OP,2,0),"-")</f>
        <v>-</v>
      </c>
    </row>
    <row r="2420" spans="1:28" ht="27" customHeight="1" x14ac:dyDescent="0.3">
      <c r="A2420" s="34" t="s">
        <v>7276</v>
      </c>
      <c r="B2420" s="36" t="str">
        <f t="shared" si="56"/>
        <v>Octubre</v>
      </c>
      <c r="C2420" s="33" t="s">
        <v>162</v>
      </c>
      <c r="D2420" s="33" t="s">
        <v>7850</v>
      </c>
      <c r="E2420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420" s="32" t="s">
        <v>391</v>
      </c>
      <c r="G2420" s="32" t="s">
        <v>5041</v>
      </c>
      <c r="H2420" s="139" t="s">
        <v>7851</v>
      </c>
      <c r="I2420" s="33" t="s">
        <v>264</v>
      </c>
      <c r="J2420" s="143" t="s">
        <v>4644</v>
      </c>
      <c r="K2420" s="33" t="s">
        <v>169</v>
      </c>
      <c r="L2420" s="102" t="str">
        <f>VLOOKUP(Anexo_4[[#This Row],[cod_doc]],TIPODOC,2,FALSE)</f>
        <v>FACTURA</v>
      </c>
      <c r="M2420" s="33" t="s">
        <v>352</v>
      </c>
      <c r="N2420" s="32" t="s">
        <v>7852</v>
      </c>
      <c r="O2420" s="48">
        <v>6.78</v>
      </c>
      <c r="P2420" s="49" t="s">
        <v>4341</v>
      </c>
      <c r="Q2420" s="81">
        <v>1.22</v>
      </c>
      <c r="R2420" s="80" t="s">
        <v>4341</v>
      </c>
      <c r="S2420" s="48" t="s">
        <v>4341</v>
      </c>
      <c r="T2420" s="72">
        <v>8</v>
      </c>
      <c r="U2420" s="70"/>
      <c r="V2420" s="32"/>
      <c r="W2420" s="70"/>
      <c r="X2420" s="70"/>
      <c r="Y2420" s="70" t="s">
        <v>7853</v>
      </c>
      <c r="Z2420" s="70"/>
      <c r="AA2420" s="71"/>
      <c r="AB2420" s="117" t="str">
        <f>IFERROR(VLOOKUP(Anexo_4[[#This Row],[cuenta]],OP,2,0),"-")</f>
        <v>-</v>
      </c>
    </row>
    <row r="2421" spans="1:28" ht="27" customHeight="1" x14ac:dyDescent="0.3">
      <c r="A2421" s="34" t="s">
        <v>7276</v>
      </c>
      <c r="B2421" s="36" t="str">
        <f t="shared" si="56"/>
        <v>Octubre</v>
      </c>
      <c r="C2421" s="33" t="s">
        <v>162</v>
      </c>
      <c r="D2421" s="33" t="s">
        <v>7854</v>
      </c>
      <c r="E2421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421" s="32" t="s">
        <v>391</v>
      </c>
      <c r="G2421" s="32" t="s">
        <v>5041</v>
      </c>
      <c r="H2421" s="139" t="s">
        <v>7855</v>
      </c>
      <c r="I2421" s="33" t="s">
        <v>264</v>
      </c>
      <c r="J2421" s="143" t="s">
        <v>4644</v>
      </c>
      <c r="K2421" s="33" t="s">
        <v>169</v>
      </c>
      <c r="L2421" s="102" t="str">
        <f>VLOOKUP(Anexo_4[[#This Row],[cod_doc]],TIPODOC,2,FALSE)</f>
        <v>FACTURA</v>
      </c>
      <c r="M2421" s="33" t="s">
        <v>406</v>
      </c>
      <c r="N2421" s="32" t="s">
        <v>7856</v>
      </c>
      <c r="O2421" s="48">
        <v>6.78</v>
      </c>
      <c r="P2421" s="49" t="s">
        <v>4341</v>
      </c>
      <c r="Q2421" s="81">
        <v>1.22</v>
      </c>
      <c r="R2421" s="80" t="s">
        <v>4341</v>
      </c>
      <c r="S2421" s="48" t="s">
        <v>4341</v>
      </c>
      <c r="T2421" s="72">
        <v>8</v>
      </c>
      <c r="U2421" s="70"/>
      <c r="V2421" s="32"/>
      <c r="W2421" s="70"/>
      <c r="X2421" s="70"/>
      <c r="Y2421" s="70" t="s">
        <v>7857</v>
      </c>
      <c r="Z2421" s="70"/>
      <c r="AA2421" s="71"/>
      <c r="AB2421" s="117" t="str">
        <f>IFERROR(VLOOKUP(Anexo_4[[#This Row],[cuenta]],OP,2,0),"-")</f>
        <v>-</v>
      </c>
    </row>
    <row r="2422" spans="1:28" ht="27" customHeight="1" x14ac:dyDescent="0.3">
      <c r="A2422" s="34" t="s">
        <v>7416</v>
      </c>
      <c r="B2422" s="36" t="str">
        <f t="shared" si="56"/>
        <v>Octubre</v>
      </c>
      <c r="C2422" s="33" t="s">
        <v>162</v>
      </c>
      <c r="D2422" s="33" t="s">
        <v>7858</v>
      </c>
      <c r="E2422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422" s="32" t="s">
        <v>391</v>
      </c>
      <c r="G2422" s="32" t="s">
        <v>5041</v>
      </c>
      <c r="H2422" s="139" t="s">
        <v>7859</v>
      </c>
      <c r="I2422" s="33" t="s">
        <v>264</v>
      </c>
      <c r="J2422" s="143" t="s">
        <v>4644</v>
      </c>
      <c r="K2422" s="33" t="s">
        <v>169</v>
      </c>
      <c r="L2422" s="102" t="str">
        <f>VLOOKUP(Anexo_4[[#This Row],[cod_doc]],TIPODOC,2,FALSE)</f>
        <v>FACTURA</v>
      </c>
      <c r="M2422" s="33" t="s">
        <v>406</v>
      </c>
      <c r="N2422" s="32" t="s">
        <v>7860</v>
      </c>
      <c r="O2422" s="48">
        <v>6.78</v>
      </c>
      <c r="P2422" s="49" t="s">
        <v>4341</v>
      </c>
      <c r="Q2422" s="81">
        <v>1.22</v>
      </c>
      <c r="R2422" s="80" t="s">
        <v>4341</v>
      </c>
      <c r="S2422" s="48" t="s">
        <v>4341</v>
      </c>
      <c r="T2422" s="72">
        <v>8</v>
      </c>
      <c r="U2422" s="70"/>
      <c r="V2422" s="32"/>
      <c r="W2422" s="70"/>
      <c r="X2422" s="70"/>
      <c r="Y2422" s="70" t="s">
        <v>7861</v>
      </c>
      <c r="Z2422" s="70"/>
      <c r="AA2422" s="71"/>
      <c r="AB2422" s="117" t="str">
        <f>IFERROR(VLOOKUP(Anexo_4[[#This Row],[cuenta]],OP,2,0),"-")</f>
        <v>-</v>
      </c>
    </row>
    <row r="2423" spans="1:28" ht="27" customHeight="1" x14ac:dyDescent="0.3">
      <c r="A2423" s="34" t="s">
        <v>7416</v>
      </c>
      <c r="B2423" s="36" t="str">
        <f t="shared" si="56"/>
        <v>Octubre</v>
      </c>
      <c r="C2423" s="33" t="s">
        <v>162</v>
      </c>
      <c r="D2423" s="33" t="s">
        <v>7862</v>
      </c>
      <c r="E2423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423" s="32" t="s">
        <v>391</v>
      </c>
      <c r="G2423" s="32" t="s">
        <v>5041</v>
      </c>
      <c r="H2423" s="139" t="s">
        <v>7863</v>
      </c>
      <c r="I2423" s="33" t="s">
        <v>264</v>
      </c>
      <c r="J2423" s="143" t="s">
        <v>4644</v>
      </c>
      <c r="K2423" s="33" t="s">
        <v>169</v>
      </c>
      <c r="L2423" s="102" t="str">
        <f>VLOOKUP(Anexo_4[[#This Row],[cod_doc]],TIPODOC,2,FALSE)</f>
        <v>FACTURA</v>
      </c>
      <c r="M2423" s="33" t="s">
        <v>352</v>
      </c>
      <c r="N2423" s="32" t="s">
        <v>7864</v>
      </c>
      <c r="O2423" s="48">
        <v>6.78</v>
      </c>
      <c r="P2423" s="49" t="s">
        <v>4341</v>
      </c>
      <c r="Q2423" s="81">
        <v>1.22</v>
      </c>
      <c r="R2423" s="80" t="s">
        <v>4341</v>
      </c>
      <c r="S2423" s="48" t="s">
        <v>4341</v>
      </c>
      <c r="T2423" s="72">
        <v>8</v>
      </c>
      <c r="U2423" s="70"/>
      <c r="V2423" s="32"/>
      <c r="W2423" s="70"/>
      <c r="X2423" s="70"/>
      <c r="Y2423" s="70" t="s">
        <v>7865</v>
      </c>
      <c r="Z2423" s="70"/>
      <c r="AA2423" s="71"/>
      <c r="AB2423" s="117" t="str">
        <f>IFERROR(VLOOKUP(Anexo_4[[#This Row],[cuenta]],OP,2,0),"-")</f>
        <v>-</v>
      </c>
    </row>
    <row r="2424" spans="1:28" ht="27" customHeight="1" x14ac:dyDescent="0.3">
      <c r="A2424" s="34" t="s">
        <v>7141</v>
      </c>
      <c r="B2424" s="36" t="str">
        <f t="shared" si="56"/>
        <v>Octubre</v>
      </c>
      <c r="C2424" s="33" t="s">
        <v>162</v>
      </c>
      <c r="D2424" s="33" t="s">
        <v>7866</v>
      </c>
      <c r="E2424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424" s="32" t="s">
        <v>592</v>
      </c>
      <c r="G2424" s="32" t="s">
        <v>593</v>
      </c>
      <c r="H2424" s="139" t="s">
        <v>7867</v>
      </c>
      <c r="I2424" s="33" t="s">
        <v>1074</v>
      </c>
      <c r="J2424" s="143" t="s">
        <v>4635</v>
      </c>
      <c r="K2424" s="33" t="s">
        <v>169</v>
      </c>
      <c r="L2424" s="102" t="str">
        <f>VLOOKUP(Anexo_4[[#This Row],[cod_doc]],TIPODOC,2,FALSE)</f>
        <v>FACTURA</v>
      </c>
      <c r="M2424" s="33" t="s">
        <v>102</v>
      </c>
      <c r="N2424" s="32" t="s">
        <v>7868</v>
      </c>
      <c r="O2424" s="48">
        <v>60</v>
      </c>
      <c r="P2424" s="49" t="s">
        <v>4341</v>
      </c>
      <c r="Q2424" s="81">
        <v>10.8</v>
      </c>
      <c r="R2424" s="80" t="s">
        <v>4341</v>
      </c>
      <c r="S2424" s="48" t="s">
        <v>4341</v>
      </c>
      <c r="T2424" s="72">
        <v>70.8</v>
      </c>
      <c r="U2424" s="70"/>
      <c r="V2424" s="32"/>
      <c r="W2424" s="70"/>
      <c r="X2424" s="70"/>
      <c r="Y2424" s="70"/>
      <c r="Z2424" s="70"/>
      <c r="AA2424" s="71"/>
      <c r="AB2424" s="117" t="str">
        <f>IFERROR(VLOOKUP(Anexo_4[[#This Row],[cuenta]],OP,2,0),"-")</f>
        <v>-</v>
      </c>
    </row>
    <row r="2425" spans="1:28" ht="27" customHeight="1" x14ac:dyDescent="0.3">
      <c r="A2425" s="34" t="s">
        <v>7141</v>
      </c>
      <c r="B2425" s="36" t="str">
        <f t="shared" si="56"/>
        <v>Octubre</v>
      </c>
      <c r="C2425" s="33" t="s">
        <v>162</v>
      </c>
      <c r="D2425" s="33" t="s">
        <v>7869</v>
      </c>
      <c r="E2425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425" s="32" t="s">
        <v>592</v>
      </c>
      <c r="G2425" s="32" t="s">
        <v>593</v>
      </c>
      <c r="H2425" s="139" t="s">
        <v>7870</v>
      </c>
      <c r="I2425" s="33" t="s">
        <v>1074</v>
      </c>
      <c r="J2425" s="143" t="s">
        <v>4635</v>
      </c>
      <c r="K2425" s="33" t="s">
        <v>169</v>
      </c>
      <c r="L2425" s="102" t="str">
        <f>VLOOKUP(Anexo_4[[#This Row],[cod_doc]],TIPODOC,2,FALSE)</f>
        <v>FACTURA</v>
      </c>
      <c r="M2425" s="33" t="s">
        <v>102</v>
      </c>
      <c r="N2425" s="32" t="s">
        <v>7871</v>
      </c>
      <c r="O2425" s="48">
        <v>60</v>
      </c>
      <c r="P2425" s="49" t="s">
        <v>4341</v>
      </c>
      <c r="Q2425" s="81">
        <v>10.8</v>
      </c>
      <c r="R2425" s="80" t="s">
        <v>4341</v>
      </c>
      <c r="S2425" s="48" t="s">
        <v>4341</v>
      </c>
      <c r="T2425" s="72">
        <v>70.8</v>
      </c>
      <c r="U2425" s="70"/>
      <c r="V2425" s="32"/>
      <c r="W2425" s="70"/>
      <c r="X2425" s="70"/>
      <c r="Y2425" s="70"/>
      <c r="Z2425" s="70"/>
      <c r="AA2425" s="71"/>
      <c r="AB2425" s="117" t="str">
        <f>IFERROR(VLOOKUP(Anexo_4[[#This Row],[cuenta]],OP,2,0),"-")</f>
        <v>-</v>
      </c>
    </row>
    <row r="2426" spans="1:28" ht="27" customHeight="1" x14ac:dyDescent="0.3">
      <c r="A2426" s="34" t="s">
        <v>7141</v>
      </c>
      <c r="B2426" s="36" t="str">
        <f t="shared" si="56"/>
        <v>Octubre</v>
      </c>
      <c r="C2426" s="33" t="s">
        <v>162</v>
      </c>
      <c r="D2426" s="33" t="s">
        <v>7872</v>
      </c>
      <c r="E2426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426" s="32" t="s">
        <v>592</v>
      </c>
      <c r="G2426" s="32" t="s">
        <v>593</v>
      </c>
      <c r="H2426" s="139" t="s">
        <v>7873</v>
      </c>
      <c r="I2426" s="33" t="s">
        <v>1074</v>
      </c>
      <c r="J2426" s="143" t="s">
        <v>4635</v>
      </c>
      <c r="K2426" s="33" t="s">
        <v>169</v>
      </c>
      <c r="L2426" s="102" t="str">
        <f>VLOOKUP(Anexo_4[[#This Row],[cod_doc]],TIPODOC,2,FALSE)</f>
        <v>FACTURA</v>
      </c>
      <c r="M2426" s="33" t="s">
        <v>102</v>
      </c>
      <c r="N2426" s="32" t="s">
        <v>7874</v>
      </c>
      <c r="O2426" s="48">
        <v>60</v>
      </c>
      <c r="P2426" s="49" t="s">
        <v>4341</v>
      </c>
      <c r="Q2426" s="81">
        <v>10.8</v>
      </c>
      <c r="R2426" s="80" t="s">
        <v>4341</v>
      </c>
      <c r="S2426" s="48" t="s">
        <v>4341</v>
      </c>
      <c r="T2426" s="72">
        <v>70.8</v>
      </c>
      <c r="U2426" s="70"/>
      <c r="V2426" s="32"/>
      <c r="W2426" s="70"/>
      <c r="X2426" s="70"/>
      <c r="Y2426" s="70"/>
      <c r="Z2426" s="70"/>
      <c r="AA2426" s="71"/>
      <c r="AB2426" s="117" t="str">
        <f>IFERROR(VLOOKUP(Anexo_4[[#This Row],[cuenta]],OP,2,0),"-")</f>
        <v>-</v>
      </c>
    </row>
    <row r="2427" spans="1:28" ht="27" customHeight="1" x14ac:dyDescent="0.3">
      <c r="A2427" s="34" t="s">
        <v>6536</v>
      </c>
      <c r="B2427" s="36" t="str">
        <f t="shared" ref="B2427:B2436" si="57">PROPER(CHOOSE(LEFT(D2427,2),"enero","febrero","marzo","abril","mayo","junio","julio","agosto","setiembre","octubre","noviembre","diciembre"))</f>
        <v>Octubre</v>
      </c>
      <c r="C2427" s="33" t="s">
        <v>162</v>
      </c>
      <c r="D2427" s="33" t="s">
        <v>7875</v>
      </c>
      <c r="E2427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427" s="32"/>
      <c r="G2427" s="32"/>
      <c r="H2427" s="139" t="s">
        <v>7876</v>
      </c>
      <c r="I2427" s="33" t="s">
        <v>4822</v>
      </c>
      <c r="J2427" s="143" t="s">
        <v>4823</v>
      </c>
      <c r="K2427" s="33" t="s">
        <v>169</v>
      </c>
      <c r="L2427" s="102" t="str">
        <f>VLOOKUP(Anexo_4[[#This Row],[cod_doc]],TIPODOC,2,FALSE)</f>
        <v>FACTURA</v>
      </c>
      <c r="M2427" s="33" t="s">
        <v>102</v>
      </c>
      <c r="N2427" s="32" t="s">
        <v>5159</v>
      </c>
      <c r="O2427" s="48">
        <v>1281.26</v>
      </c>
      <c r="P2427" s="49" t="s">
        <v>4341</v>
      </c>
      <c r="Q2427" s="81">
        <v>230.63</v>
      </c>
      <c r="R2427" s="80" t="s">
        <v>4341</v>
      </c>
      <c r="S2427" s="48" t="s">
        <v>4341</v>
      </c>
      <c r="T2427" s="72">
        <v>1511.89</v>
      </c>
      <c r="U2427" s="70"/>
      <c r="V2427" s="32"/>
      <c r="W2427" s="70"/>
      <c r="X2427" s="70"/>
      <c r="Y2427" s="70"/>
      <c r="Z2427" s="70"/>
      <c r="AA2427" s="71"/>
      <c r="AB2427" s="117" t="str">
        <f>IFERROR(VLOOKUP(Anexo_4[[#This Row],[cuenta]],OP,2,0),"-")</f>
        <v>-</v>
      </c>
    </row>
    <row r="2428" spans="1:28" ht="27" customHeight="1" x14ac:dyDescent="0.3">
      <c r="A2428" s="34" t="s">
        <v>7300</v>
      </c>
      <c r="B2428" s="36" t="str">
        <f t="shared" si="57"/>
        <v>Octubre</v>
      </c>
      <c r="C2428" s="33" t="s">
        <v>162</v>
      </c>
      <c r="D2428" s="33" t="s">
        <v>7877</v>
      </c>
      <c r="E2428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428" s="32" t="s">
        <v>190</v>
      </c>
      <c r="G2428" s="32" t="s">
        <v>191</v>
      </c>
      <c r="H2428" s="139" t="s">
        <v>7878</v>
      </c>
      <c r="I2428" s="33" t="s">
        <v>2471</v>
      </c>
      <c r="J2428" s="143" t="s">
        <v>6835</v>
      </c>
      <c r="K2428" s="33" t="s">
        <v>169</v>
      </c>
      <c r="L2428" s="102" t="str">
        <f>VLOOKUP(Anexo_4[[#This Row],[cod_doc]],TIPODOC,2,FALSE)</f>
        <v>FACTURA</v>
      </c>
      <c r="M2428" s="33" t="s">
        <v>102</v>
      </c>
      <c r="N2428" s="32" t="s">
        <v>7879</v>
      </c>
      <c r="O2428" s="48">
        <v>2923</v>
      </c>
      <c r="P2428" s="49" t="s">
        <v>4341</v>
      </c>
      <c r="Q2428" s="81">
        <v>526.14</v>
      </c>
      <c r="R2428" s="80" t="s">
        <v>4341</v>
      </c>
      <c r="S2428" s="48" t="s">
        <v>4341</v>
      </c>
      <c r="T2428" s="72">
        <v>3449.14</v>
      </c>
      <c r="U2428" s="70"/>
      <c r="V2428" s="32"/>
      <c r="W2428" s="70"/>
      <c r="X2428" s="70"/>
      <c r="Y2428" s="70"/>
      <c r="Z2428" s="70"/>
      <c r="AA2428" s="71"/>
      <c r="AB2428" s="117" t="str">
        <f>IFERROR(VLOOKUP(Anexo_4[[#This Row],[cuenta]],OP,2,0),"-")</f>
        <v>-</v>
      </c>
    </row>
    <row r="2429" spans="1:28" ht="27" customHeight="1" x14ac:dyDescent="0.3">
      <c r="A2429" s="34" t="s">
        <v>7307</v>
      </c>
      <c r="B2429" s="36" t="str">
        <f t="shared" si="57"/>
        <v>Octubre</v>
      </c>
      <c r="C2429" s="33" t="s">
        <v>162</v>
      </c>
      <c r="D2429" s="33" t="s">
        <v>7880</v>
      </c>
      <c r="E2429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429" s="32" t="s">
        <v>592</v>
      </c>
      <c r="G2429" s="32" t="s">
        <v>593</v>
      </c>
      <c r="H2429" s="139" t="s">
        <v>7881</v>
      </c>
      <c r="I2429" s="33" t="s">
        <v>1074</v>
      </c>
      <c r="J2429" s="143" t="s">
        <v>4635</v>
      </c>
      <c r="K2429" s="33" t="s">
        <v>169</v>
      </c>
      <c r="L2429" s="102" t="str">
        <f>VLOOKUP(Anexo_4[[#This Row],[cod_doc]],TIPODOC,2,FALSE)</f>
        <v>FACTURA</v>
      </c>
      <c r="M2429" s="33" t="s">
        <v>102</v>
      </c>
      <c r="N2429" s="32" t="s">
        <v>7882</v>
      </c>
      <c r="O2429" s="48">
        <v>60</v>
      </c>
      <c r="P2429" s="49" t="s">
        <v>4341</v>
      </c>
      <c r="Q2429" s="81">
        <v>10.8</v>
      </c>
      <c r="R2429" s="80" t="s">
        <v>4341</v>
      </c>
      <c r="S2429" s="48" t="s">
        <v>4341</v>
      </c>
      <c r="T2429" s="72">
        <v>70.8</v>
      </c>
      <c r="U2429" s="70"/>
      <c r="V2429" s="32"/>
      <c r="W2429" s="70"/>
      <c r="X2429" s="70"/>
      <c r="Y2429" s="70"/>
      <c r="Z2429" s="70"/>
      <c r="AA2429" s="71"/>
      <c r="AB2429" s="117" t="str">
        <f>IFERROR(VLOOKUP(Anexo_4[[#This Row],[cuenta]],OP,2,0),"-")</f>
        <v>-</v>
      </c>
    </row>
    <row r="2430" spans="1:28" ht="27" customHeight="1" x14ac:dyDescent="0.3">
      <c r="A2430" s="34" t="s">
        <v>5078</v>
      </c>
      <c r="B2430" s="36" t="str">
        <f t="shared" si="57"/>
        <v>Octubre</v>
      </c>
      <c r="C2430" s="33" t="s">
        <v>162</v>
      </c>
      <c r="D2430" s="33" t="s">
        <v>7883</v>
      </c>
      <c r="E2430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430" s="32"/>
      <c r="G2430" s="32"/>
      <c r="H2430" s="139" t="s">
        <v>7884</v>
      </c>
      <c r="I2430" s="33" t="s">
        <v>643</v>
      </c>
      <c r="J2430" s="143" t="s">
        <v>4632</v>
      </c>
      <c r="K2430" s="33" t="s">
        <v>169</v>
      </c>
      <c r="L2430" s="102" t="str">
        <f>VLOOKUP(Anexo_4[[#This Row],[cod_doc]],TIPODOC,2,FALSE)</f>
        <v>FACTURA</v>
      </c>
      <c r="M2430" s="33" t="s">
        <v>102</v>
      </c>
      <c r="N2430" s="32" t="s">
        <v>7885</v>
      </c>
      <c r="O2430" s="48">
        <v>297.5</v>
      </c>
      <c r="P2430" s="49" t="s">
        <v>4341</v>
      </c>
      <c r="Q2430" s="81">
        <v>53.55</v>
      </c>
      <c r="R2430" s="80" t="s">
        <v>4341</v>
      </c>
      <c r="S2430" s="48" t="s">
        <v>4341</v>
      </c>
      <c r="T2430" s="72">
        <v>351.05</v>
      </c>
      <c r="U2430" s="70"/>
      <c r="V2430" s="32"/>
      <c r="W2430" s="70"/>
      <c r="X2430" s="70"/>
      <c r="Y2430" s="70"/>
      <c r="Z2430" s="70"/>
      <c r="AA2430" s="71"/>
      <c r="AB2430" s="117" t="str">
        <f>IFERROR(VLOOKUP(Anexo_4[[#This Row],[cuenta]],OP,2,0),"-")</f>
        <v>-</v>
      </c>
    </row>
    <row r="2431" spans="1:28" ht="27" customHeight="1" x14ac:dyDescent="0.3">
      <c r="A2431" s="34" t="s">
        <v>5095</v>
      </c>
      <c r="B2431" s="36" t="str">
        <f t="shared" si="57"/>
        <v>Octubre</v>
      </c>
      <c r="C2431" s="33" t="s">
        <v>162</v>
      </c>
      <c r="D2431" s="33" t="s">
        <v>7886</v>
      </c>
      <c r="E2431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431" s="32"/>
      <c r="G2431" s="32"/>
      <c r="H2431" s="139" t="s">
        <v>7887</v>
      </c>
      <c r="I2431" s="33" t="s">
        <v>1074</v>
      </c>
      <c r="J2431" s="143" t="s">
        <v>4635</v>
      </c>
      <c r="K2431" s="33" t="s">
        <v>169</v>
      </c>
      <c r="L2431" s="102" t="str">
        <f>VLOOKUP(Anexo_4[[#This Row],[cod_doc]],TIPODOC,2,FALSE)</f>
        <v>FACTURA</v>
      </c>
      <c r="M2431" s="33" t="s">
        <v>102</v>
      </c>
      <c r="N2431" s="32" t="s">
        <v>7888</v>
      </c>
      <c r="O2431" s="48">
        <v>60</v>
      </c>
      <c r="P2431" s="49" t="s">
        <v>4341</v>
      </c>
      <c r="Q2431" s="81">
        <v>10.8</v>
      </c>
      <c r="R2431" s="80" t="s">
        <v>4341</v>
      </c>
      <c r="S2431" s="48" t="s">
        <v>4341</v>
      </c>
      <c r="T2431" s="72">
        <v>70.8</v>
      </c>
      <c r="U2431" s="70"/>
      <c r="V2431" s="32"/>
      <c r="W2431" s="70"/>
      <c r="X2431" s="70"/>
      <c r="Y2431" s="70"/>
      <c r="Z2431" s="70"/>
      <c r="AA2431" s="71"/>
      <c r="AB2431" s="117" t="str">
        <f>IFERROR(VLOOKUP(Anexo_4[[#This Row],[cuenta]],OP,2,0),"-")</f>
        <v>-</v>
      </c>
    </row>
    <row r="2432" spans="1:28" ht="27" customHeight="1" x14ac:dyDescent="0.3">
      <c r="A2432" s="34" t="s">
        <v>5910</v>
      </c>
      <c r="B2432" s="36" t="str">
        <f t="shared" si="57"/>
        <v>Octubre</v>
      </c>
      <c r="C2432" s="33" t="s">
        <v>162</v>
      </c>
      <c r="D2432" s="33" t="s">
        <v>7889</v>
      </c>
      <c r="E2432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432" s="32"/>
      <c r="G2432" s="32"/>
      <c r="H2432" s="139" t="s">
        <v>7890</v>
      </c>
      <c r="I2432" s="33" t="s">
        <v>643</v>
      </c>
      <c r="J2432" s="143" t="s">
        <v>4632</v>
      </c>
      <c r="K2432" s="33" t="s">
        <v>169</v>
      </c>
      <c r="L2432" s="102" t="str">
        <f>VLOOKUP(Anexo_4[[#This Row],[cod_doc]],TIPODOC,2,FALSE)</f>
        <v>FACTURA</v>
      </c>
      <c r="M2432" s="33" t="s">
        <v>102</v>
      </c>
      <c r="N2432" s="32" t="s">
        <v>7891</v>
      </c>
      <c r="O2432" s="48">
        <v>340</v>
      </c>
      <c r="P2432" s="49" t="s">
        <v>4341</v>
      </c>
      <c r="Q2432" s="81">
        <v>61.2</v>
      </c>
      <c r="R2432" s="80" t="s">
        <v>4341</v>
      </c>
      <c r="S2432" s="48" t="s">
        <v>4341</v>
      </c>
      <c r="T2432" s="72">
        <v>401.2</v>
      </c>
      <c r="U2432" s="70"/>
      <c r="V2432" s="32"/>
      <c r="W2432" s="70"/>
      <c r="X2432" s="70"/>
      <c r="Y2432" s="70"/>
      <c r="Z2432" s="70"/>
      <c r="AA2432" s="71"/>
      <c r="AB2432" s="117" t="str">
        <f>IFERROR(VLOOKUP(Anexo_4[[#This Row],[cuenta]],OP,2,0),"-")</f>
        <v>-</v>
      </c>
    </row>
    <row r="2433" spans="1:28" ht="27" customHeight="1" x14ac:dyDescent="0.3">
      <c r="A2433" s="34" t="s">
        <v>5921</v>
      </c>
      <c r="B2433" s="36" t="str">
        <f t="shared" si="57"/>
        <v>Octubre</v>
      </c>
      <c r="C2433" s="33" t="s">
        <v>162</v>
      </c>
      <c r="D2433" s="33" t="s">
        <v>7892</v>
      </c>
      <c r="E2433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433" s="32"/>
      <c r="G2433" s="32"/>
      <c r="H2433" s="139" t="s">
        <v>7893</v>
      </c>
      <c r="I2433" s="33" t="s">
        <v>2598</v>
      </c>
      <c r="J2433" s="143" t="s">
        <v>4629</v>
      </c>
      <c r="K2433" s="33" t="s">
        <v>169</v>
      </c>
      <c r="L2433" s="102" t="str">
        <f>VLOOKUP(Anexo_4[[#This Row],[cod_doc]],TIPODOC,2,FALSE)</f>
        <v>FACTURA</v>
      </c>
      <c r="M2433" s="33" t="s">
        <v>102</v>
      </c>
      <c r="N2433" s="32" t="s">
        <v>7894</v>
      </c>
      <c r="O2433" s="48">
        <v>50</v>
      </c>
      <c r="P2433" s="49" t="s">
        <v>4341</v>
      </c>
      <c r="Q2433" s="81">
        <v>9</v>
      </c>
      <c r="R2433" s="80" t="s">
        <v>4341</v>
      </c>
      <c r="S2433" s="48" t="s">
        <v>4341</v>
      </c>
      <c r="T2433" s="72">
        <v>59</v>
      </c>
      <c r="U2433" s="70"/>
      <c r="V2433" s="32"/>
      <c r="W2433" s="70"/>
      <c r="X2433" s="70"/>
      <c r="Y2433" s="70"/>
      <c r="Z2433" s="70"/>
      <c r="AA2433" s="71"/>
      <c r="AB2433" s="117" t="str">
        <f>IFERROR(VLOOKUP(Anexo_4[[#This Row],[cuenta]],OP,2,0),"-")</f>
        <v>-</v>
      </c>
    </row>
    <row r="2434" spans="1:28" ht="27" customHeight="1" x14ac:dyDescent="0.3">
      <c r="A2434" s="34" t="s">
        <v>6384</v>
      </c>
      <c r="B2434" s="36" t="str">
        <f t="shared" si="57"/>
        <v>Octubre</v>
      </c>
      <c r="C2434" s="33" t="s">
        <v>162</v>
      </c>
      <c r="D2434" s="33" t="s">
        <v>7895</v>
      </c>
      <c r="E2434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434" s="32"/>
      <c r="G2434" s="32"/>
      <c r="H2434" s="139" t="s">
        <v>7896</v>
      </c>
      <c r="I2434" s="33" t="s">
        <v>2598</v>
      </c>
      <c r="J2434" s="143" t="s">
        <v>4629</v>
      </c>
      <c r="K2434" s="33" t="s">
        <v>169</v>
      </c>
      <c r="L2434" s="102" t="str">
        <f>VLOOKUP(Anexo_4[[#This Row],[cod_doc]],TIPODOC,2,FALSE)</f>
        <v>FACTURA</v>
      </c>
      <c r="M2434" s="33" t="s">
        <v>102</v>
      </c>
      <c r="N2434" s="32" t="s">
        <v>7897</v>
      </c>
      <c r="O2434" s="48">
        <v>60</v>
      </c>
      <c r="P2434" s="49" t="s">
        <v>4341</v>
      </c>
      <c r="Q2434" s="81">
        <v>10.8</v>
      </c>
      <c r="R2434" s="80" t="s">
        <v>4341</v>
      </c>
      <c r="S2434" s="48" t="s">
        <v>4341</v>
      </c>
      <c r="T2434" s="72">
        <v>70.8</v>
      </c>
      <c r="U2434" s="70"/>
      <c r="V2434" s="32"/>
      <c r="W2434" s="70"/>
      <c r="X2434" s="70"/>
      <c r="Y2434" s="70"/>
      <c r="Z2434" s="70"/>
      <c r="AA2434" s="71"/>
      <c r="AB2434" s="117" t="str">
        <f>IFERROR(VLOOKUP(Anexo_4[[#This Row],[cuenta]],OP,2,0),"-")</f>
        <v>-</v>
      </c>
    </row>
    <row r="2435" spans="1:28" ht="27" customHeight="1" x14ac:dyDescent="0.3">
      <c r="A2435" s="34" t="s">
        <v>6380</v>
      </c>
      <c r="B2435" s="36" t="str">
        <f t="shared" si="57"/>
        <v>Octubre</v>
      </c>
      <c r="C2435" s="33" t="s">
        <v>162</v>
      </c>
      <c r="D2435" s="33" t="s">
        <v>7898</v>
      </c>
      <c r="E2435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435" s="32"/>
      <c r="G2435" s="32"/>
      <c r="H2435" s="139" t="s">
        <v>7899</v>
      </c>
      <c r="I2435" s="33" t="s">
        <v>2598</v>
      </c>
      <c r="J2435" s="143" t="s">
        <v>4629</v>
      </c>
      <c r="K2435" s="33" t="s">
        <v>169</v>
      </c>
      <c r="L2435" s="102" t="str">
        <f>VLOOKUP(Anexo_4[[#This Row],[cod_doc]],TIPODOC,2,FALSE)</f>
        <v>FACTURA</v>
      </c>
      <c r="M2435" s="33" t="s">
        <v>102</v>
      </c>
      <c r="N2435" s="32" t="s">
        <v>7900</v>
      </c>
      <c r="O2435" s="48">
        <v>50</v>
      </c>
      <c r="P2435" s="49" t="s">
        <v>4341</v>
      </c>
      <c r="Q2435" s="81">
        <v>9</v>
      </c>
      <c r="R2435" s="80" t="s">
        <v>4341</v>
      </c>
      <c r="S2435" s="48" t="s">
        <v>4341</v>
      </c>
      <c r="T2435" s="72">
        <v>59</v>
      </c>
      <c r="U2435" s="70"/>
      <c r="V2435" s="32"/>
      <c r="W2435" s="70"/>
      <c r="X2435" s="70"/>
      <c r="Y2435" s="70"/>
      <c r="Z2435" s="70"/>
      <c r="AA2435" s="71"/>
      <c r="AB2435" s="117" t="str">
        <f>IFERROR(VLOOKUP(Anexo_4[[#This Row],[cuenta]],OP,2,0),"-")</f>
        <v>-</v>
      </c>
    </row>
    <row r="2436" spans="1:28" ht="27" customHeight="1" x14ac:dyDescent="0.3">
      <c r="A2436" s="34" t="s">
        <v>7901</v>
      </c>
      <c r="B2436" s="36" t="str">
        <f t="shared" si="57"/>
        <v>Octubre</v>
      </c>
      <c r="C2436" s="33" t="s">
        <v>162</v>
      </c>
      <c r="D2436" s="33" t="s">
        <v>7902</v>
      </c>
      <c r="E2436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436" s="32" t="s">
        <v>953</v>
      </c>
      <c r="G2436" s="32" t="s">
        <v>954</v>
      </c>
      <c r="H2436" s="139" t="s">
        <v>7903</v>
      </c>
      <c r="I2436" s="33" t="s">
        <v>956</v>
      </c>
      <c r="J2436" s="143" t="s">
        <v>5539</v>
      </c>
      <c r="K2436" s="33" t="s">
        <v>169</v>
      </c>
      <c r="L2436" s="102" t="str">
        <f>VLOOKUP(Anexo_4[[#This Row],[cod_doc]],TIPODOC,2,FALSE)</f>
        <v>FACTURA</v>
      </c>
      <c r="M2436" s="33" t="s">
        <v>102</v>
      </c>
      <c r="N2436" s="32" t="s">
        <v>7904</v>
      </c>
      <c r="O2436" s="48">
        <v>300</v>
      </c>
      <c r="P2436" s="49" t="s">
        <v>4341</v>
      </c>
      <c r="Q2436" s="81">
        <v>54</v>
      </c>
      <c r="R2436" s="80" t="s">
        <v>4341</v>
      </c>
      <c r="S2436" s="48" t="s">
        <v>4341</v>
      </c>
      <c r="T2436" s="72">
        <v>354</v>
      </c>
      <c r="U2436" s="70"/>
      <c r="V2436" s="32"/>
      <c r="W2436" s="70"/>
      <c r="X2436" s="70"/>
      <c r="Y2436" s="70"/>
      <c r="Z2436" s="70"/>
      <c r="AA2436" s="71"/>
      <c r="AB2436" s="117" t="str">
        <f>IFERROR(VLOOKUP(Anexo_4[[#This Row],[cuenta]],OP,2,0),"-")</f>
        <v>-</v>
      </c>
    </row>
    <row r="2437" spans="1:28" ht="27" customHeight="1" x14ac:dyDescent="0.3">
      <c r="A2437" s="34" t="s">
        <v>7705</v>
      </c>
      <c r="B2437" s="36" t="str">
        <f t="shared" ref="B2437:B2468" si="58">PROPER(CHOOSE(LEFT(D2437,2),"enero","febrero","marzo","abril","mayo","junio","julio","agosto","setiembre","octubre","noviembre","diciembre"))</f>
        <v>Octubre</v>
      </c>
      <c r="C2437" s="33" t="s">
        <v>162</v>
      </c>
      <c r="D2437" s="33" t="s">
        <v>7905</v>
      </c>
      <c r="E2437" s="37" t="str">
        <f>IF(LEFT(Anexo_4[[#This Row],[c_costos]],2)="91","OPERACIONES",IF(LEFT(Anexo_4[[#This Row],[c_costos]],2)="97","G. FINANCIEROS",IF(LEFT(Anexo_4[[#This Row],[c_costos]],2)="95","G. VENTAS","G. ADMINISTRACIÓN")))</f>
        <v>G. FINANCIEROS</v>
      </c>
      <c r="F2437" s="32" t="s">
        <v>474</v>
      </c>
      <c r="G2437" s="32" t="s">
        <v>475</v>
      </c>
      <c r="H2437" s="139" t="s">
        <v>7906</v>
      </c>
      <c r="I2437" s="33" t="s">
        <v>1735</v>
      </c>
      <c r="J2437" s="143" t="s">
        <v>7907</v>
      </c>
      <c r="K2437" s="33" t="s">
        <v>169</v>
      </c>
      <c r="L2437" s="102" t="str">
        <f>VLOOKUP(Anexo_4[[#This Row],[cod_doc]],TIPODOC,2,FALSE)</f>
        <v>FACTURA</v>
      </c>
      <c r="M2437" s="33" t="s">
        <v>631</v>
      </c>
      <c r="N2437" s="32" t="s">
        <v>7908</v>
      </c>
      <c r="O2437" s="48" t="s">
        <v>4341</v>
      </c>
      <c r="P2437" s="49" t="s">
        <v>4341</v>
      </c>
      <c r="Q2437" s="81" t="s">
        <v>4341</v>
      </c>
      <c r="R2437" s="80" t="s">
        <v>4341</v>
      </c>
      <c r="S2437" s="48">
        <v>45.45</v>
      </c>
      <c r="T2437" s="72">
        <v>45.45</v>
      </c>
      <c r="U2437" s="70"/>
      <c r="V2437" s="32"/>
      <c r="W2437" s="70"/>
      <c r="X2437" s="70"/>
      <c r="Y2437" s="70"/>
      <c r="Z2437" s="70"/>
      <c r="AA2437" s="71"/>
      <c r="AB2437" s="117" t="str">
        <f>IFERROR(VLOOKUP(Anexo_4[[#This Row],[cuenta]],OP,2,0),"-")</f>
        <v>-</v>
      </c>
    </row>
    <row r="2438" spans="1:28" ht="27" customHeight="1" x14ac:dyDescent="0.3">
      <c r="A2438" s="34" t="s">
        <v>7741</v>
      </c>
      <c r="B2438" s="36" t="str">
        <f t="shared" si="58"/>
        <v>Octubre</v>
      </c>
      <c r="C2438" s="33" t="s">
        <v>162</v>
      </c>
      <c r="D2438" s="33" t="s">
        <v>7909</v>
      </c>
      <c r="E2438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438" s="32" t="s">
        <v>1028</v>
      </c>
      <c r="G2438" s="32" t="s">
        <v>1029</v>
      </c>
      <c r="H2438" s="139" t="s">
        <v>7910</v>
      </c>
      <c r="I2438" s="33" t="s">
        <v>1031</v>
      </c>
      <c r="J2438" s="143" t="s">
        <v>4904</v>
      </c>
      <c r="K2438" s="33" t="s">
        <v>169</v>
      </c>
      <c r="L2438" s="102" t="str">
        <f>VLOOKUP(Anexo_4[[#This Row],[cod_doc]],TIPODOC,2,FALSE)</f>
        <v>FACTURA</v>
      </c>
      <c r="M2438" s="33" t="s">
        <v>222</v>
      </c>
      <c r="N2438" s="32" t="s">
        <v>7911</v>
      </c>
      <c r="O2438" s="48">
        <v>975</v>
      </c>
      <c r="P2438" s="49" t="s">
        <v>4341</v>
      </c>
      <c r="Q2438" s="81">
        <v>175.5</v>
      </c>
      <c r="R2438" s="80" t="s">
        <v>4341</v>
      </c>
      <c r="S2438" s="48" t="s">
        <v>4341</v>
      </c>
      <c r="T2438" s="72">
        <v>1150.5</v>
      </c>
      <c r="U2438" s="70"/>
      <c r="V2438" s="32"/>
      <c r="W2438" s="70"/>
      <c r="X2438" s="70"/>
      <c r="Y2438" s="70"/>
      <c r="Z2438" s="70"/>
      <c r="AA2438" s="71"/>
      <c r="AB2438" s="117" t="str">
        <f>IFERROR(VLOOKUP(Anexo_4[[#This Row],[cuenta]],OP,2,0),"-")</f>
        <v>-</v>
      </c>
    </row>
    <row r="2439" spans="1:28" ht="27" customHeight="1" x14ac:dyDescent="0.3">
      <c r="A2439" s="34" t="s">
        <v>7912</v>
      </c>
      <c r="B2439" s="36" t="str">
        <f t="shared" si="58"/>
        <v>Octubre</v>
      </c>
      <c r="C2439" s="33" t="s">
        <v>162</v>
      </c>
      <c r="D2439" s="33" t="s">
        <v>7913</v>
      </c>
      <c r="E2439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439" s="32"/>
      <c r="G2439" s="32"/>
      <c r="H2439" s="139" t="s">
        <v>7914</v>
      </c>
      <c r="I2439" s="33" t="s">
        <v>1111</v>
      </c>
      <c r="J2439" s="143" t="s">
        <v>7915</v>
      </c>
      <c r="K2439" s="33" t="s">
        <v>169</v>
      </c>
      <c r="L2439" s="102" t="str">
        <f>VLOOKUP(Anexo_4[[#This Row],[cod_doc]],TIPODOC,2,FALSE)</f>
        <v>FACTURA</v>
      </c>
      <c r="M2439" s="33" t="s">
        <v>1113</v>
      </c>
      <c r="N2439" s="32" t="s">
        <v>7916</v>
      </c>
      <c r="O2439" s="48">
        <v>420.38</v>
      </c>
      <c r="P2439" s="49" t="s">
        <v>4341</v>
      </c>
      <c r="Q2439" s="81">
        <v>75.67</v>
      </c>
      <c r="R2439" s="80" t="s">
        <v>4341</v>
      </c>
      <c r="S2439" s="48" t="s">
        <v>4341</v>
      </c>
      <c r="T2439" s="72">
        <v>496.05</v>
      </c>
      <c r="U2439" s="70" t="s">
        <v>7917</v>
      </c>
      <c r="V2439" s="32" t="s">
        <v>7710</v>
      </c>
      <c r="W2439" s="70"/>
      <c r="X2439" s="70"/>
      <c r="Y2439" s="70"/>
      <c r="Z2439" s="70"/>
      <c r="AA2439" s="71"/>
      <c r="AB2439" s="117" t="str">
        <f>IFERROR(VLOOKUP(Anexo_4[[#This Row],[cuenta]],OP,2,0),"-")</f>
        <v>-</v>
      </c>
    </row>
    <row r="2440" spans="1:28" ht="27" customHeight="1" x14ac:dyDescent="0.3">
      <c r="A2440" s="34" t="s">
        <v>7134</v>
      </c>
      <c r="B2440" s="36" t="str">
        <f t="shared" si="58"/>
        <v>Octubre</v>
      </c>
      <c r="C2440" s="33" t="s">
        <v>162</v>
      </c>
      <c r="D2440" s="33" t="s">
        <v>7918</v>
      </c>
      <c r="E2440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440" s="32" t="s">
        <v>248</v>
      </c>
      <c r="G2440" s="32" t="s">
        <v>249</v>
      </c>
      <c r="H2440" s="139" t="s">
        <v>7919</v>
      </c>
      <c r="I2440" s="33" t="s">
        <v>619</v>
      </c>
      <c r="J2440" s="143" t="s">
        <v>5874</v>
      </c>
      <c r="K2440" s="33" t="s">
        <v>169</v>
      </c>
      <c r="L2440" s="102" t="str">
        <f>VLOOKUP(Anexo_4[[#This Row],[cod_doc]],TIPODOC,2,FALSE)</f>
        <v>FACTURA</v>
      </c>
      <c r="M2440" s="33" t="s">
        <v>621</v>
      </c>
      <c r="N2440" s="32" t="s">
        <v>1607</v>
      </c>
      <c r="O2440" s="48">
        <v>67.66</v>
      </c>
      <c r="P2440" s="49" t="s">
        <v>4341</v>
      </c>
      <c r="Q2440" s="81">
        <v>12.18</v>
      </c>
      <c r="R2440" s="80" t="s">
        <v>4341</v>
      </c>
      <c r="S2440" s="48" t="s">
        <v>4341</v>
      </c>
      <c r="T2440" s="72">
        <v>79.84</v>
      </c>
      <c r="U2440" s="70" t="s">
        <v>7920</v>
      </c>
      <c r="V2440" s="32" t="s">
        <v>7710</v>
      </c>
      <c r="W2440" s="70"/>
      <c r="X2440" s="70"/>
      <c r="Y2440" s="70"/>
      <c r="Z2440" s="70"/>
      <c r="AA2440" s="71"/>
      <c r="AB2440" s="117" t="str">
        <f>IFERROR(VLOOKUP(Anexo_4[[#This Row],[cuenta]],OP,2,0),"-")</f>
        <v>-</v>
      </c>
    </row>
    <row r="2441" spans="1:28" ht="27" customHeight="1" x14ac:dyDescent="0.3">
      <c r="A2441" s="34" t="s">
        <v>7741</v>
      </c>
      <c r="B2441" s="36" t="str">
        <f t="shared" si="58"/>
        <v>Octubre</v>
      </c>
      <c r="C2441" s="33" t="s">
        <v>162</v>
      </c>
      <c r="D2441" s="33" t="s">
        <v>7921</v>
      </c>
      <c r="E2441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441" s="32" t="s">
        <v>248</v>
      </c>
      <c r="G2441" s="32" t="s">
        <v>249</v>
      </c>
      <c r="H2441" s="139" t="s">
        <v>7922</v>
      </c>
      <c r="I2441" s="33" t="s">
        <v>7923</v>
      </c>
      <c r="J2441" s="143" t="s">
        <v>7924</v>
      </c>
      <c r="K2441" s="33" t="s">
        <v>169</v>
      </c>
      <c r="L2441" s="102" t="str">
        <f>VLOOKUP(Anexo_4[[#This Row],[cod_doc]],TIPODOC,2,FALSE)</f>
        <v>FACTURA</v>
      </c>
      <c r="M2441" s="33" t="s">
        <v>102</v>
      </c>
      <c r="N2441" s="32" t="s">
        <v>7925</v>
      </c>
      <c r="O2441" s="48">
        <v>1684.07</v>
      </c>
      <c r="P2441" s="49" t="s">
        <v>4341</v>
      </c>
      <c r="Q2441" s="81">
        <v>303.13</v>
      </c>
      <c r="R2441" s="80" t="s">
        <v>4341</v>
      </c>
      <c r="S2441" s="48" t="s">
        <v>4341</v>
      </c>
      <c r="T2441" s="72">
        <v>1987.2</v>
      </c>
      <c r="U2441" s="70"/>
      <c r="V2441" s="32"/>
      <c r="W2441" s="70"/>
      <c r="X2441" s="70"/>
      <c r="Y2441" s="70" t="s">
        <v>7926</v>
      </c>
      <c r="Z2441" s="70"/>
      <c r="AA2441" s="71"/>
      <c r="AB2441" s="117" t="str">
        <f>IFERROR(VLOOKUP(Anexo_4[[#This Row],[cuenta]],OP,2,0),"-")</f>
        <v>-</v>
      </c>
    </row>
    <row r="2442" spans="1:28" ht="27" customHeight="1" x14ac:dyDescent="0.3">
      <c r="A2442" s="34" t="s">
        <v>3578</v>
      </c>
      <c r="B2442" s="36" t="str">
        <f t="shared" si="58"/>
        <v>Octubre</v>
      </c>
      <c r="C2442" s="33" t="s">
        <v>162</v>
      </c>
      <c r="D2442" s="33" t="s">
        <v>7927</v>
      </c>
      <c r="E2442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442" s="32"/>
      <c r="G2442" s="32"/>
      <c r="H2442" s="139" t="s">
        <v>7928</v>
      </c>
      <c r="I2442" s="33" t="s">
        <v>844</v>
      </c>
      <c r="J2442" s="143" t="s">
        <v>7929</v>
      </c>
      <c r="K2442" s="33" t="s">
        <v>169</v>
      </c>
      <c r="L2442" s="102" t="str">
        <f>VLOOKUP(Anexo_4[[#This Row],[cod_doc]],TIPODOC,2,FALSE)</f>
        <v>FACTURA</v>
      </c>
      <c r="M2442" s="33" t="s">
        <v>222</v>
      </c>
      <c r="N2442" s="32" t="s">
        <v>7930</v>
      </c>
      <c r="O2442" s="48">
        <v>3612.38</v>
      </c>
      <c r="P2442" s="49" t="s">
        <v>4341</v>
      </c>
      <c r="Q2442" s="81">
        <v>650.23</v>
      </c>
      <c r="R2442" s="80" t="s">
        <v>4341</v>
      </c>
      <c r="S2442" s="48" t="s">
        <v>4341</v>
      </c>
      <c r="T2442" s="72">
        <v>4262.6099999999997</v>
      </c>
      <c r="U2442" s="70"/>
      <c r="V2442" s="32"/>
      <c r="W2442" s="70"/>
      <c r="X2442" s="70"/>
      <c r="Y2442" s="70"/>
      <c r="Z2442" s="70"/>
      <c r="AA2442" s="71"/>
      <c r="AB2442" s="117" t="str">
        <f>IFERROR(VLOOKUP(Anexo_4[[#This Row],[cuenta]],OP,2,0),"-")</f>
        <v>-</v>
      </c>
    </row>
    <row r="2443" spans="1:28" ht="27" customHeight="1" x14ac:dyDescent="0.3">
      <c r="A2443" s="34" t="s">
        <v>4206</v>
      </c>
      <c r="B2443" s="36" t="str">
        <f t="shared" si="58"/>
        <v>Octubre</v>
      </c>
      <c r="C2443" s="33" t="s">
        <v>162</v>
      </c>
      <c r="D2443" s="33" t="s">
        <v>7931</v>
      </c>
      <c r="E2443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443" s="32"/>
      <c r="G2443" s="32"/>
      <c r="H2443" s="139" t="s">
        <v>7932</v>
      </c>
      <c r="I2443" s="33" t="s">
        <v>844</v>
      </c>
      <c r="J2443" s="143" t="s">
        <v>7929</v>
      </c>
      <c r="K2443" s="33" t="s">
        <v>169</v>
      </c>
      <c r="L2443" s="102" t="str">
        <f>VLOOKUP(Anexo_4[[#This Row],[cod_doc]],TIPODOC,2,FALSE)</f>
        <v>FACTURA</v>
      </c>
      <c r="M2443" s="33" t="s">
        <v>222</v>
      </c>
      <c r="N2443" s="32" t="s">
        <v>7933</v>
      </c>
      <c r="O2443" s="48">
        <v>179.94</v>
      </c>
      <c r="P2443" s="49" t="s">
        <v>4341</v>
      </c>
      <c r="Q2443" s="81">
        <v>32.39</v>
      </c>
      <c r="R2443" s="80" t="s">
        <v>4341</v>
      </c>
      <c r="S2443" s="48" t="s">
        <v>4341</v>
      </c>
      <c r="T2443" s="72">
        <v>212.33</v>
      </c>
      <c r="U2443" s="70"/>
      <c r="V2443" s="32"/>
      <c r="W2443" s="70"/>
      <c r="X2443" s="70"/>
      <c r="Y2443" s="70"/>
      <c r="Z2443" s="70"/>
      <c r="AA2443" s="71"/>
      <c r="AB2443" s="117" t="str">
        <f>IFERROR(VLOOKUP(Anexo_4[[#This Row],[cuenta]],OP,2,0),"-")</f>
        <v>-</v>
      </c>
    </row>
    <row r="2444" spans="1:28" ht="27" customHeight="1" x14ac:dyDescent="0.3">
      <c r="A2444" s="34" t="s">
        <v>7240</v>
      </c>
      <c r="B2444" s="36" t="str">
        <f t="shared" si="58"/>
        <v>Octubre</v>
      </c>
      <c r="C2444" s="33" t="s">
        <v>162</v>
      </c>
      <c r="D2444" s="33" t="s">
        <v>7934</v>
      </c>
      <c r="E2444" s="37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2444" s="32" t="s">
        <v>198</v>
      </c>
      <c r="G2444" s="32" t="s">
        <v>199</v>
      </c>
      <c r="H2444" s="139" t="s">
        <v>7935</v>
      </c>
      <c r="I2444" s="33" t="s">
        <v>1687</v>
      </c>
      <c r="J2444" s="143" t="s">
        <v>4700</v>
      </c>
      <c r="K2444" s="33" t="s">
        <v>169</v>
      </c>
      <c r="L2444" s="102" t="str">
        <f>VLOOKUP(Anexo_4[[#This Row],[cod_doc]],TIPODOC,2,FALSE)</f>
        <v>FACTURA</v>
      </c>
      <c r="M2444" s="33" t="s">
        <v>102</v>
      </c>
      <c r="N2444" s="32" t="s">
        <v>7936</v>
      </c>
      <c r="O2444" s="48">
        <v>139.83000000000001</v>
      </c>
      <c r="P2444" s="49" t="s">
        <v>4341</v>
      </c>
      <c r="Q2444" s="81">
        <v>25.17</v>
      </c>
      <c r="R2444" s="80" t="s">
        <v>4341</v>
      </c>
      <c r="S2444" s="48" t="s">
        <v>4341</v>
      </c>
      <c r="T2444" s="72">
        <v>165</v>
      </c>
      <c r="U2444" s="70"/>
      <c r="V2444" s="32"/>
      <c r="W2444" s="70"/>
      <c r="X2444" s="70"/>
      <c r="Y2444" s="70"/>
      <c r="Z2444" s="70"/>
      <c r="AA2444" s="71"/>
      <c r="AB2444" s="117" t="str">
        <f>IFERROR(VLOOKUP(Anexo_4[[#This Row],[cuenta]],OP,2,0),"-")</f>
        <v>-</v>
      </c>
    </row>
    <row r="2445" spans="1:28" ht="27" customHeight="1" x14ac:dyDescent="0.3">
      <c r="A2445" s="34" t="s">
        <v>7411</v>
      </c>
      <c r="B2445" s="36" t="str">
        <f t="shared" si="58"/>
        <v>Octubre</v>
      </c>
      <c r="C2445" s="33" t="s">
        <v>162</v>
      </c>
      <c r="D2445" s="33" t="s">
        <v>7937</v>
      </c>
      <c r="E2445" s="37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2445" s="32" t="s">
        <v>198</v>
      </c>
      <c r="G2445" s="32" t="s">
        <v>199</v>
      </c>
      <c r="H2445" s="139" t="s">
        <v>7938</v>
      </c>
      <c r="I2445" s="33" t="s">
        <v>6396</v>
      </c>
      <c r="J2445" s="143" t="s">
        <v>6397</v>
      </c>
      <c r="K2445" s="33" t="s">
        <v>169</v>
      </c>
      <c r="L2445" s="102" t="str">
        <f>VLOOKUP(Anexo_4[[#This Row],[cod_doc]],TIPODOC,2,FALSE)</f>
        <v>FACTURA</v>
      </c>
      <c r="M2445" s="33" t="s">
        <v>102</v>
      </c>
      <c r="N2445" s="32" t="s">
        <v>7939</v>
      </c>
      <c r="O2445" s="48">
        <v>2288.14</v>
      </c>
      <c r="P2445" s="49" t="s">
        <v>4341</v>
      </c>
      <c r="Q2445" s="81">
        <v>411.86</v>
      </c>
      <c r="R2445" s="80" t="s">
        <v>4341</v>
      </c>
      <c r="S2445" s="48" t="s">
        <v>4341</v>
      </c>
      <c r="T2445" s="72">
        <v>2700</v>
      </c>
      <c r="U2445" s="70"/>
      <c r="V2445" s="32"/>
      <c r="W2445" s="70"/>
      <c r="X2445" s="70"/>
      <c r="Y2445" s="70"/>
      <c r="Z2445" s="70"/>
      <c r="AA2445" s="71"/>
      <c r="AB2445" s="117" t="str">
        <f>IFERROR(VLOOKUP(Anexo_4[[#This Row],[cuenta]],OP,2,0),"-")</f>
        <v>-</v>
      </c>
    </row>
    <row r="2446" spans="1:28" ht="27" customHeight="1" x14ac:dyDescent="0.3">
      <c r="A2446" s="34" t="s">
        <v>7411</v>
      </c>
      <c r="B2446" s="36" t="str">
        <f t="shared" si="58"/>
        <v>Octubre</v>
      </c>
      <c r="C2446" s="33" t="s">
        <v>162</v>
      </c>
      <c r="D2446" s="33" t="s">
        <v>7940</v>
      </c>
      <c r="E2446" s="37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2446" s="32" t="s">
        <v>198</v>
      </c>
      <c r="G2446" s="32" t="s">
        <v>199</v>
      </c>
      <c r="H2446" s="139" t="s">
        <v>7941</v>
      </c>
      <c r="I2446" s="33" t="s">
        <v>6396</v>
      </c>
      <c r="J2446" s="143" t="s">
        <v>6397</v>
      </c>
      <c r="K2446" s="33" t="s">
        <v>1896</v>
      </c>
      <c r="L2446" s="102" t="str">
        <f>VLOOKUP(Anexo_4[[#This Row],[cod_doc]],TIPODOC,2,FALSE)</f>
        <v>NOTA DE CREDITO</v>
      </c>
      <c r="M2446" s="33" t="s">
        <v>102</v>
      </c>
      <c r="N2446" s="32" t="s">
        <v>7942</v>
      </c>
      <c r="O2446" s="48">
        <v>-1144.07</v>
      </c>
      <c r="P2446" s="49" t="s">
        <v>4341</v>
      </c>
      <c r="Q2446" s="81">
        <v>-205.93</v>
      </c>
      <c r="R2446" s="80" t="s">
        <v>4341</v>
      </c>
      <c r="S2446" s="48" t="s">
        <v>4341</v>
      </c>
      <c r="T2446" s="72">
        <v>-1350</v>
      </c>
      <c r="U2446" s="70"/>
      <c r="V2446" s="32"/>
      <c r="W2446" s="70" t="s">
        <v>162</v>
      </c>
      <c r="X2446" s="70" t="s">
        <v>222</v>
      </c>
      <c r="Y2446" s="70" t="s">
        <v>6398</v>
      </c>
      <c r="Z2446" s="70"/>
      <c r="AA2446" s="71"/>
      <c r="AB2446" s="117" t="str">
        <f>IFERROR(VLOOKUP(Anexo_4[[#This Row],[cuenta]],OP,2,0),"-")</f>
        <v>-</v>
      </c>
    </row>
    <row r="2447" spans="1:28" ht="27" customHeight="1" x14ac:dyDescent="0.3">
      <c r="A2447" s="34" t="s">
        <v>6887</v>
      </c>
      <c r="B2447" s="36" t="str">
        <f t="shared" si="58"/>
        <v>Octubre</v>
      </c>
      <c r="C2447" s="33" t="s">
        <v>162</v>
      </c>
      <c r="D2447" s="33" t="s">
        <v>7943</v>
      </c>
      <c r="E2447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447" s="32" t="s">
        <v>953</v>
      </c>
      <c r="G2447" s="32" t="s">
        <v>954</v>
      </c>
      <c r="H2447" s="139" t="s">
        <v>7944</v>
      </c>
      <c r="I2447" s="33" t="s">
        <v>264</v>
      </c>
      <c r="J2447" s="143" t="s">
        <v>4644</v>
      </c>
      <c r="K2447" s="33" t="s">
        <v>169</v>
      </c>
      <c r="L2447" s="102" t="str">
        <f>VLOOKUP(Anexo_4[[#This Row],[cod_doc]],TIPODOC,2,FALSE)</f>
        <v>FACTURA</v>
      </c>
      <c r="M2447" s="33" t="s">
        <v>379</v>
      </c>
      <c r="N2447" s="32" t="s">
        <v>7945</v>
      </c>
      <c r="O2447" s="48">
        <v>4.24</v>
      </c>
      <c r="P2447" s="49" t="s">
        <v>4341</v>
      </c>
      <c r="Q2447" s="81">
        <v>0.76</v>
      </c>
      <c r="R2447" s="80" t="s">
        <v>4341</v>
      </c>
      <c r="S2447" s="48" t="s">
        <v>4341</v>
      </c>
      <c r="T2447" s="72">
        <v>5</v>
      </c>
      <c r="U2447" s="70"/>
      <c r="V2447" s="32"/>
      <c r="W2447" s="70"/>
      <c r="X2447" s="70"/>
      <c r="Y2447" s="70"/>
      <c r="Z2447" s="70"/>
      <c r="AA2447" s="71"/>
      <c r="AB2447" s="117" t="str">
        <f>IFERROR(VLOOKUP(Anexo_4[[#This Row],[cuenta]],OP,2,0),"-")</f>
        <v>-</v>
      </c>
    </row>
    <row r="2448" spans="1:28" ht="27" customHeight="1" x14ac:dyDescent="0.3">
      <c r="A2448" s="34" t="s">
        <v>6887</v>
      </c>
      <c r="B2448" s="36" t="str">
        <f t="shared" si="58"/>
        <v>Octubre</v>
      </c>
      <c r="C2448" s="33" t="s">
        <v>162</v>
      </c>
      <c r="D2448" s="33" t="s">
        <v>7946</v>
      </c>
      <c r="E2448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448" s="32" t="s">
        <v>953</v>
      </c>
      <c r="G2448" s="32" t="s">
        <v>954</v>
      </c>
      <c r="H2448" s="139" t="s">
        <v>7947</v>
      </c>
      <c r="I2448" s="33" t="s">
        <v>264</v>
      </c>
      <c r="J2448" s="143" t="s">
        <v>4644</v>
      </c>
      <c r="K2448" s="33" t="s">
        <v>169</v>
      </c>
      <c r="L2448" s="102" t="str">
        <f>VLOOKUP(Anexo_4[[#This Row],[cod_doc]],TIPODOC,2,FALSE)</f>
        <v>FACTURA</v>
      </c>
      <c r="M2448" s="33" t="s">
        <v>271</v>
      </c>
      <c r="N2448" s="32" t="s">
        <v>7948</v>
      </c>
      <c r="O2448" s="48">
        <v>4.24</v>
      </c>
      <c r="P2448" s="49" t="s">
        <v>4341</v>
      </c>
      <c r="Q2448" s="81">
        <v>0.76</v>
      </c>
      <c r="R2448" s="80" t="s">
        <v>4341</v>
      </c>
      <c r="S2448" s="48" t="s">
        <v>4341</v>
      </c>
      <c r="T2448" s="72">
        <v>5</v>
      </c>
      <c r="U2448" s="70"/>
      <c r="V2448" s="32"/>
      <c r="W2448" s="70"/>
      <c r="X2448" s="70"/>
      <c r="Y2448" s="70"/>
      <c r="Z2448" s="70"/>
      <c r="AA2448" s="71"/>
      <c r="AB2448" s="117" t="str">
        <f>IFERROR(VLOOKUP(Anexo_4[[#This Row],[cuenta]],OP,2,0),"-")</f>
        <v>-</v>
      </c>
    </row>
    <row r="2449" spans="1:28" ht="27" customHeight="1" x14ac:dyDescent="0.3">
      <c r="A2449" s="34" t="s">
        <v>6887</v>
      </c>
      <c r="B2449" s="36" t="str">
        <f t="shared" si="58"/>
        <v>Octubre</v>
      </c>
      <c r="C2449" s="33" t="s">
        <v>162</v>
      </c>
      <c r="D2449" s="33" t="s">
        <v>7949</v>
      </c>
      <c r="E2449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449" s="32" t="s">
        <v>953</v>
      </c>
      <c r="G2449" s="32" t="s">
        <v>954</v>
      </c>
      <c r="H2449" s="139" t="s">
        <v>7950</v>
      </c>
      <c r="I2449" s="33" t="s">
        <v>904</v>
      </c>
      <c r="J2449" s="143" t="s">
        <v>5559</v>
      </c>
      <c r="K2449" s="33" t="s">
        <v>169</v>
      </c>
      <c r="L2449" s="102" t="str">
        <f>VLOOKUP(Anexo_4[[#This Row],[cod_doc]],TIPODOC,2,FALSE)</f>
        <v>FACTURA</v>
      </c>
      <c r="M2449" s="33" t="s">
        <v>180</v>
      </c>
      <c r="N2449" s="32" t="s">
        <v>7951</v>
      </c>
      <c r="O2449" s="48"/>
      <c r="P2449" s="49">
        <v>90.9</v>
      </c>
      <c r="Q2449" s="81"/>
      <c r="R2449" s="80">
        <v>9.1</v>
      </c>
      <c r="S2449" s="48" t="s">
        <v>4341</v>
      </c>
      <c r="T2449" s="72">
        <v>100</v>
      </c>
      <c r="U2449" s="70"/>
      <c r="V2449" s="32"/>
      <c r="W2449" s="70"/>
      <c r="X2449" s="70"/>
      <c r="Y2449" s="70"/>
      <c r="Z2449" s="70"/>
      <c r="AA2449" s="71"/>
      <c r="AB2449" s="117" t="str">
        <f>IFERROR(VLOOKUP(Anexo_4[[#This Row],[cuenta]],OP,2,0),"-")</f>
        <v>-</v>
      </c>
    </row>
    <row r="2450" spans="1:28" ht="27" customHeight="1" x14ac:dyDescent="0.3">
      <c r="A2450" s="34" t="s">
        <v>6887</v>
      </c>
      <c r="B2450" s="36" t="str">
        <f t="shared" si="58"/>
        <v>Octubre</v>
      </c>
      <c r="C2450" s="33" t="s">
        <v>162</v>
      </c>
      <c r="D2450" s="33" t="s">
        <v>7952</v>
      </c>
      <c r="E2450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450" s="32" t="s">
        <v>953</v>
      </c>
      <c r="G2450" s="32" t="s">
        <v>954</v>
      </c>
      <c r="H2450" s="139" t="s">
        <v>7953</v>
      </c>
      <c r="I2450" s="33" t="s">
        <v>6945</v>
      </c>
      <c r="J2450" s="143" t="s">
        <v>6946</v>
      </c>
      <c r="K2450" s="33" t="s">
        <v>169</v>
      </c>
      <c r="L2450" s="102" t="str">
        <f>VLOOKUP(Anexo_4[[#This Row],[cod_doc]],TIPODOC,2,FALSE)</f>
        <v>FACTURA</v>
      </c>
      <c r="M2450" s="33" t="s">
        <v>222</v>
      </c>
      <c r="N2450" s="32" t="s">
        <v>7954</v>
      </c>
      <c r="O2450" s="48"/>
      <c r="P2450" s="49">
        <v>86.55</v>
      </c>
      <c r="Q2450" s="81"/>
      <c r="R2450" s="80">
        <v>8.65</v>
      </c>
      <c r="S2450" s="48" t="s">
        <v>4341</v>
      </c>
      <c r="T2450" s="72">
        <v>95.2</v>
      </c>
      <c r="U2450" s="70"/>
      <c r="V2450" s="32"/>
      <c r="W2450" s="70"/>
      <c r="X2450" s="70"/>
      <c r="Y2450" s="70"/>
      <c r="Z2450" s="70"/>
      <c r="AA2450" s="71"/>
      <c r="AB2450" s="117" t="str">
        <f>IFERROR(VLOOKUP(Anexo_4[[#This Row],[cuenta]],OP,2,0),"-")</f>
        <v>-</v>
      </c>
    </row>
    <row r="2451" spans="1:28" ht="27" customHeight="1" x14ac:dyDescent="0.3">
      <c r="A2451" s="34" t="s">
        <v>6887</v>
      </c>
      <c r="B2451" s="36" t="str">
        <f t="shared" si="58"/>
        <v>Octubre</v>
      </c>
      <c r="C2451" s="33" t="s">
        <v>162</v>
      </c>
      <c r="D2451" s="33" t="s">
        <v>7955</v>
      </c>
      <c r="E2451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451" s="32" t="s">
        <v>953</v>
      </c>
      <c r="G2451" s="32" t="s">
        <v>954</v>
      </c>
      <c r="H2451" s="139" t="s">
        <v>7956</v>
      </c>
      <c r="I2451" s="33" t="s">
        <v>1089</v>
      </c>
      <c r="J2451" s="143" t="s">
        <v>4705</v>
      </c>
      <c r="K2451" s="33" t="s">
        <v>169</v>
      </c>
      <c r="L2451" s="102" t="str">
        <f>VLOOKUP(Anexo_4[[#This Row],[cod_doc]],TIPODOC,2,FALSE)</f>
        <v>FACTURA</v>
      </c>
      <c r="M2451" s="33" t="s">
        <v>102</v>
      </c>
      <c r="N2451" s="32" t="s">
        <v>7957</v>
      </c>
      <c r="O2451" s="48"/>
      <c r="P2451" s="49">
        <v>194.55</v>
      </c>
      <c r="Q2451" s="81"/>
      <c r="R2451" s="80">
        <v>19.45</v>
      </c>
      <c r="S2451" s="48" t="s">
        <v>4341</v>
      </c>
      <c r="T2451" s="72">
        <v>214</v>
      </c>
      <c r="U2451" s="70"/>
      <c r="V2451" s="32"/>
      <c r="W2451" s="70"/>
      <c r="X2451" s="70"/>
      <c r="Y2451" s="70"/>
      <c r="Z2451" s="70"/>
      <c r="AA2451" s="71"/>
      <c r="AB2451" s="117" t="str">
        <f>IFERROR(VLOOKUP(Anexo_4[[#This Row],[cuenta]],OP,2,0),"-")</f>
        <v>-</v>
      </c>
    </row>
    <row r="2452" spans="1:28" ht="27" customHeight="1" x14ac:dyDescent="0.3">
      <c r="A2452" s="34" t="s">
        <v>7416</v>
      </c>
      <c r="B2452" s="36" t="str">
        <f t="shared" si="58"/>
        <v>Octubre</v>
      </c>
      <c r="C2452" s="33" t="s">
        <v>162</v>
      </c>
      <c r="D2452" s="33" t="s">
        <v>7958</v>
      </c>
      <c r="E2452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452" s="32" t="s">
        <v>953</v>
      </c>
      <c r="G2452" s="32" t="s">
        <v>954</v>
      </c>
      <c r="H2452" s="139" t="s">
        <v>7959</v>
      </c>
      <c r="I2452" s="33" t="s">
        <v>2429</v>
      </c>
      <c r="J2452" s="143" t="s">
        <v>5038</v>
      </c>
      <c r="K2452" s="33" t="s">
        <v>239</v>
      </c>
      <c r="L2452" s="102" t="str">
        <f>VLOOKUP(Anexo_4[[#This Row],[cod_doc]],TIPODOC,2,FALSE)</f>
        <v>BOLETA DE VENTA</v>
      </c>
      <c r="M2452" s="33" t="s">
        <v>5938</v>
      </c>
      <c r="N2452" s="32" t="s">
        <v>7960</v>
      </c>
      <c r="O2452" s="48" t="s">
        <v>4341</v>
      </c>
      <c r="P2452" s="49" t="s">
        <v>4341</v>
      </c>
      <c r="Q2452" s="81" t="s">
        <v>4341</v>
      </c>
      <c r="R2452" s="80" t="s">
        <v>4341</v>
      </c>
      <c r="S2452" s="48">
        <v>59</v>
      </c>
      <c r="T2452" s="72">
        <v>59</v>
      </c>
      <c r="U2452" s="70"/>
      <c r="V2452" s="32"/>
      <c r="W2452" s="70"/>
      <c r="X2452" s="70"/>
      <c r="Y2452" s="70"/>
      <c r="Z2452" s="70"/>
      <c r="AA2452" s="71"/>
      <c r="AB2452" s="117" t="str">
        <f>IFERROR(VLOOKUP(Anexo_4[[#This Row],[cuenta]],OP,2,0),"-")</f>
        <v>-</v>
      </c>
    </row>
    <row r="2453" spans="1:28" ht="27" customHeight="1" x14ac:dyDescent="0.3">
      <c r="A2453" s="34" t="s">
        <v>6380</v>
      </c>
      <c r="B2453" s="36" t="str">
        <f t="shared" si="58"/>
        <v>Octubre</v>
      </c>
      <c r="C2453" s="33" t="s">
        <v>162</v>
      </c>
      <c r="D2453" s="33" t="s">
        <v>7961</v>
      </c>
      <c r="E2453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453" s="32"/>
      <c r="G2453" s="32"/>
      <c r="H2453" s="139" t="s">
        <v>7962</v>
      </c>
      <c r="I2453" s="33" t="s">
        <v>7963</v>
      </c>
      <c r="J2453" s="143" t="s">
        <v>7964</v>
      </c>
      <c r="K2453" s="33" t="s">
        <v>239</v>
      </c>
      <c r="L2453" s="102" t="str">
        <f>VLOOKUP(Anexo_4[[#This Row],[cod_doc]],TIPODOC,2,FALSE)</f>
        <v>BOLETA DE VENTA</v>
      </c>
      <c r="M2453" s="33" t="s">
        <v>5938</v>
      </c>
      <c r="N2453" s="32" t="s">
        <v>7965</v>
      </c>
      <c r="O2453" s="48" t="s">
        <v>4341</v>
      </c>
      <c r="P2453" s="49" t="s">
        <v>4341</v>
      </c>
      <c r="Q2453" s="81" t="s">
        <v>4341</v>
      </c>
      <c r="R2453" s="80" t="s">
        <v>4341</v>
      </c>
      <c r="S2453" s="48">
        <v>31</v>
      </c>
      <c r="T2453" s="72">
        <v>31</v>
      </c>
      <c r="U2453" s="70"/>
      <c r="V2453" s="32"/>
      <c r="W2453" s="70"/>
      <c r="X2453" s="70"/>
      <c r="Y2453" s="70" t="s">
        <v>7966</v>
      </c>
      <c r="Z2453" s="70"/>
      <c r="AA2453" s="71"/>
      <c r="AB2453" s="117" t="str">
        <f>IFERROR(VLOOKUP(Anexo_4[[#This Row],[cuenta]],OP,2,0),"-")</f>
        <v>-</v>
      </c>
    </row>
    <row r="2454" spans="1:28" ht="27" customHeight="1" x14ac:dyDescent="0.3">
      <c r="A2454" s="34" t="s">
        <v>6536</v>
      </c>
      <c r="B2454" s="36" t="str">
        <f t="shared" si="58"/>
        <v>Octubre</v>
      </c>
      <c r="C2454" s="33" t="s">
        <v>162</v>
      </c>
      <c r="D2454" s="33" t="s">
        <v>7967</v>
      </c>
      <c r="E2454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454" s="32"/>
      <c r="G2454" s="32"/>
      <c r="H2454" s="139" t="s">
        <v>7968</v>
      </c>
      <c r="I2454" s="33" t="s">
        <v>6319</v>
      </c>
      <c r="J2454" s="143" t="s">
        <v>6320</v>
      </c>
      <c r="K2454" s="33" t="s">
        <v>239</v>
      </c>
      <c r="L2454" s="102" t="str">
        <f>VLOOKUP(Anexo_4[[#This Row],[cod_doc]],TIPODOC,2,FALSE)</f>
        <v>BOLETA DE VENTA</v>
      </c>
      <c r="M2454" s="33" t="s">
        <v>5938</v>
      </c>
      <c r="N2454" s="32" t="s">
        <v>7969</v>
      </c>
      <c r="O2454" s="48" t="s">
        <v>4341</v>
      </c>
      <c r="P2454" s="49" t="s">
        <v>4341</v>
      </c>
      <c r="Q2454" s="81" t="s">
        <v>4341</v>
      </c>
      <c r="R2454" s="80" t="s">
        <v>4341</v>
      </c>
      <c r="S2454" s="48">
        <v>80</v>
      </c>
      <c r="T2454" s="72">
        <v>80</v>
      </c>
      <c r="U2454" s="70"/>
      <c r="V2454" s="32"/>
      <c r="W2454" s="70"/>
      <c r="X2454" s="70"/>
      <c r="Y2454" s="70" t="s">
        <v>7970</v>
      </c>
      <c r="Z2454" s="70"/>
      <c r="AA2454" s="71"/>
      <c r="AB2454" s="117" t="str">
        <f>IFERROR(VLOOKUP(Anexo_4[[#This Row],[cuenta]],OP,2,0),"-")</f>
        <v>-</v>
      </c>
    </row>
    <row r="2455" spans="1:28" ht="27" customHeight="1" x14ac:dyDescent="0.3">
      <c r="A2455" s="34" t="s">
        <v>7152</v>
      </c>
      <c r="B2455" s="36" t="str">
        <f t="shared" si="58"/>
        <v>Octubre</v>
      </c>
      <c r="C2455" s="33" t="s">
        <v>162</v>
      </c>
      <c r="D2455" s="33" t="s">
        <v>7971</v>
      </c>
      <c r="E2455" s="37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2455" s="32" t="s">
        <v>198</v>
      </c>
      <c r="G2455" s="32" t="s">
        <v>199</v>
      </c>
      <c r="H2455" s="139" t="s">
        <v>7972</v>
      </c>
      <c r="I2455" s="33" t="s">
        <v>3371</v>
      </c>
      <c r="J2455" s="143" t="s">
        <v>5277</v>
      </c>
      <c r="K2455" s="33" t="s">
        <v>169</v>
      </c>
      <c r="L2455" s="102" t="str">
        <f>VLOOKUP(Anexo_4[[#This Row],[cod_doc]],TIPODOC,2,FALSE)</f>
        <v>FACTURA</v>
      </c>
      <c r="M2455" s="33" t="s">
        <v>102</v>
      </c>
      <c r="N2455" s="32" t="s">
        <v>7973</v>
      </c>
      <c r="O2455" s="48">
        <v>677.97</v>
      </c>
      <c r="P2455" s="49" t="s">
        <v>4341</v>
      </c>
      <c r="Q2455" s="81">
        <v>122.03</v>
      </c>
      <c r="R2455" s="80" t="s">
        <v>4341</v>
      </c>
      <c r="S2455" s="48" t="s">
        <v>4341</v>
      </c>
      <c r="T2455" s="72">
        <v>800</v>
      </c>
      <c r="U2455" s="70" t="s">
        <v>7974</v>
      </c>
      <c r="V2455" s="32" t="s">
        <v>7710</v>
      </c>
      <c r="W2455" s="70"/>
      <c r="X2455" s="70"/>
      <c r="Y2455" s="70"/>
      <c r="Z2455" s="70"/>
      <c r="AA2455" s="71"/>
      <c r="AB2455" s="117" t="str">
        <f>IFERROR(VLOOKUP(Anexo_4[[#This Row],[cuenta]],OP,2,0),"-")</f>
        <v>-</v>
      </c>
    </row>
    <row r="2456" spans="1:28" ht="27" customHeight="1" x14ac:dyDescent="0.3">
      <c r="A2456" s="34" t="s">
        <v>6302</v>
      </c>
      <c r="B2456" s="36" t="str">
        <f t="shared" si="58"/>
        <v>Octubre</v>
      </c>
      <c r="C2456" s="33" t="s">
        <v>162</v>
      </c>
      <c r="D2456" s="33" t="s">
        <v>7975</v>
      </c>
      <c r="E2456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456" s="32"/>
      <c r="G2456" s="32"/>
      <c r="H2456" s="139" t="s">
        <v>7976</v>
      </c>
      <c r="I2456" s="33" t="s">
        <v>3371</v>
      </c>
      <c r="J2456" s="143" t="s">
        <v>5277</v>
      </c>
      <c r="K2456" s="33" t="s">
        <v>169</v>
      </c>
      <c r="L2456" s="102" t="str">
        <f>VLOOKUP(Anexo_4[[#This Row],[cod_doc]],TIPODOC,2,FALSE)</f>
        <v>FACTURA</v>
      </c>
      <c r="M2456" s="33" t="s">
        <v>102</v>
      </c>
      <c r="N2456" s="32" t="s">
        <v>7977</v>
      </c>
      <c r="O2456" s="48">
        <v>650</v>
      </c>
      <c r="P2456" s="49" t="s">
        <v>4341</v>
      </c>
      <c r="Q2456" s="81">
        <v>117</v>
      </c>
      <c r="R2456" s="80" t="s">
        <v>4341</v>
      </c>
      <c r="S2456" s="48" t="s">
        <v>4341</v>
      </c>
      <c r="T2456" s="72">
        <v>767</v>
      </c>
      <c r="U2456" s="70" t="s">
        <v>7978</v>
      </c>
      <c r="V2456" s="32" t="s">
        <v>7710</v>
      </c>
      <c r="W2456" s="70"/>
      <c r="X2456" s="70"/>
      <c r="Y2456" s="70"/>
      <c r="Z2456" s="70"/>
      <c r="AA2456" s="71"/>
      <c r="AB2456" s="117" t="str">
        <f>IFERROR(VLOOKUP(Anexo_4[[#This Row],[cuenta]],OP,2,0),"-")</f>
        <v>-</v>
      </c>
    </row>
    <row r="2457" spans="1:28" ht="27" customHeight="1" x14ac:dyDescent="0.3">
      <c r="A2457" s="34" t="s">
        <v>6887</v>
      </c>
      <c r="B2457" s="36" t="str">
        <f t="shared" si="58"/>
        <v>Octubre</v>
      </c>
      <c r="C2457" s="33" t="s">
        <v>162</v>
      </c>
      <c r="D2457" s="33" t="s">
        <v>7979</v>
      </c>
      <c r="E2457" s="37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2457" s="32" t="s">
        <v>198</v>
      </c>
      <c r="G2457" s="32" t="s">
        <v>199</v>
      </c>
      <c r="H2457" s="139" t="s">
        <v>7980</v>
      </c>
      <c r="I2457" s="33" t="s">
        <v>769</v>
      </c>
      <c r="J2457" s="143" t="s">
        <v>5776</v>
      </c>
      <c r="K2457" s="33" t="s">
        <v>169</v>
      </c>
      <c r="L2457" s="102" t="str">
        <f>VLOOKUP(Anexo_4[[#This Row],[cod_doc]],TIPODOC,2,FALSE)</f>
        <v>FACTURA</v>
      </c>
      <c r="M2457" s="33" t="s">
        <v>102</v>
      </c>
      <c r="N2457" s="32" t="s">
        <v>7981</v>
      </c>
      <c r="O2457" s="48">
        <v>450</v>
      </c>
      <c r="P2457" s="49" t="s">
        <v>4341</v>
      </c>
      <c r="Q2457" s="81">
        <v>81</v>
      </c>
      <c r="R2457" s="80" t="s">
        <v>4341</v>
      </c>
      <c r="S2457" s="48" t="s">
        <v>4341</v>
      </c>
      <c r="T2457" s="72">
        <v>531</v>
      </c>
      <c r="U2457" s="70" t="s">
        <v>7982</v>
      </c>
      <c r="V2457" s="32" t="s">
        <v>7710</v>
      </c>
      <c r="W2457" s="70"/>
      <c r="X2457" s="70"/>
      <c r="Y2457" s="70"/>
      <c r="Z2457" s="70"/>
      <c r="AA2457" s="71"/>
      <c r="AB2457" s="117" t="str">
        <f>IFERROR(VLOOKUP(Anexo_4[[#This Row],[cuenta]],OP,2,0),"-")</f>
        <v>-</v>
      </c>
    </row>
    <row r="2458" spans="1:28" ht="27" customHeight="1" x14ac:dyDescent="0.3">
      <c r="A2458" s="34" t="s">
        <v>7705</v>
      </c>
      <c r="B2458" s="36" t="str">
        <f t="shared" si="58"/>
        <v>Octubre</v>
      </c>
      <c r="C2458" s="33" t="s">
        <v>162</v>
      </c>
      <c r="D2458" s="33" t="s">
        <v>7983</v>
      </c>
      <c r="E2458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458" s="32" t="s">
        <v>217</v>
      </c>
      <c r="G2458" s="32" t="s">
        <v>4839</v>
      </c>
      <c r="H2458" s="139" t="s">
        <v>1276</v>
      </c>
      <c r="I2458" s="33" t="s">
        <v>264</v>
      </c>
      <c r="J2458" s="143" t="s">
        <v>4644</v>
      </c>
      <c r="K2458" s="33" t="s">
        <v>169</v>
      </c>
      <c r="L2458" s="102" t="str">
        <f>VLOOKUP(Anexo_4[[#This Row],[cod_doc]],TIPODOC,2,FALSE)</f>
        <v>FACTURA</v>
      </c>
      <c r="M2458" s="33" t="s">
        <v>352</v>
      </c>
      <c r="N2458" s="32" t="s">
        <v>7984</v>
      </c>
      <c r="O2458" s="48">
        <v>6.78</v>
      </c>
      <c r="P2458" s="49" t="s">
        <v>4341</v>
      </c>
      <c r="Q2458" s="81">
        <v>1.22</v>
      </c>
      <c r="R2458" s="80" t="s">
        <v>4341</v>
      </c>
      <c r="S2458" s="48" t="s">
        <v>4341</v>
      </c>
      <c r="T2458" s="72">
        <v>8</v>
      </c>
      <c r="U2458" s="70"/>
      <c r="V2458" s="32"/>
      <c r="W2458" s="70"/>
      <c r="X2458" s="70"/>
      <c r="Y2458" s="70"/>
      <c r="Z2458" s="70"/>
      <c r="AA2458" s="71"/>
      <c r="AB2458" s="117" t="str">
        <f>IFERROR(VLOOKUP(Anexo_4[[#This Row],[cuenta]],OP,2,0),"-")</f>
        <v>-</v>
      </c>
    </row>
    <row r="2459" spans="1:28" ht="27" customHeight="1" x14ac:dyDescent="0.3">
      <c r="A2459" s="34" t="s">
        <v>7705</v>
      </c>
      <c r="B2459" s="36" t="str">
        <f t="shared" si="58"/>
        <v>Octubre</v>
      </c>
      <c r="C2459" s="33" t="s">
        <v>162</v>
      </c>
      <c r="D2459" s="33" t="s">
        <v>7985</v>
      </c>
      <c r="E2459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459" s="32" t="s">
        <v>217</v>
      </c>
      <c r="G2459" s="32" t="s">
        <v>4839</v>
      </c>
      <c r="H2459" s="139" t="s">
        <v>930</v>
      </c>
      <c r="I2459" s="33" t="s">
        <v>7986</v>
      </c>
      <c r="J2459" s="143" t="s">
        <v>7987</v>
      </c>
      <c r="K2459" s="33" t="s">
        <v>169</v>
      </c>
      <c r="L2459" s="102" t="str">
        <f>VLOOKUP(Anexo_4[[#This Row],[cod_doc]],TIPODOC,2,FALSE)</f>
        <v>FACTURA</v>
      </c>
      <c r="M2459" s="33" t="s">
        <v>531</v>
      </c>
      <c r="N2459" s="32" t="s">
        <v>7988</v>
      </c>
      <c r="O2459" s="48">
        <v>8.4700000000000006</v>
      </c>
      <c r="P2459" s="49" t="s">
        <v>4341</v>
      </c>
      <c r="Q2459" s="81">
        <v>1.53</v>
      </c>
      <c r="R2459" s="80" t="s">
        <v>4341</v>
      </c>
      <c r="S2459" s="48" t="s">
        <v>4341</v>
      </c>
      <c r="T2459" s="72">
        <v>10</v>
      </c>
      <c r="U2459" s="70"/>
      <c r="V2459" s="32"/>
      <c r="W2459" s="70"/>
      <c r="X2459" s="70"/>
      <c r="Y2459" s="70"/>
      <c r="Z2459" s="70"/>
      <c r="AA2459" s="71"/>
      <c r="AB2459" s="117" t="str">
        <f>IFERROR(VLOOKUP(Anexo_4[[#This Row],[cuenta]],OP,2,0),"-")</f>
        <v>-</v>
      </c>
    </row>
    <row r="2460" spans="1:28" ht="27" customHeight="1" x14ac:dyDescent="0.3">
      <c r="A2460" s="34" t="s">
        <v>7901</v>
      </c>
      <c r="B2460" s="36" t="str">
        <f t="shared" si="58"/>
        <v>Octubre</v>
      </c>
      <c r="C2460" s="33" t="s">
        <v>162</v>
      </c>
      <c r="D2460" s="33" t="s">
        <v>7989</v>
      </c>
      <c r="E2460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460" s="32" t="s">
        <v>235</v>
      </c>
      <c r="G2460" s="32" t="s">
        <v>5051</v>
      </c>
      <c r="H2460" s="139" t="s">
        <v>1276</v>
      </c>
      <c r="I2460" s="33" t="s">
        <v>264</v>
      </c>
      <c r="J2460" s="143" t="s">
        <v>4644</v>
      </c>
      <c r="K2460" s="33" t="s">
        <v>169</v>
      </c>
      <c r="L2460" s="102" t="str">
        <f>VLOOKUP(Anexo_4[[#This Row],[cod_doc]],TIPODOC,2,FALSE)</f>
        <v>FACTURA</v>
      </c>
      <c r="M2460" s="33" t="s">
        <v>271</v>
      </c>
      <c r="N2460" s="32" t="s">
        <v>7990</v>
      </c>
      <c r="O2460" s="48">
        <v>6.78</v>
      </c>
      <c r="P2460" s="49" t="s">
        <v>4341</v>
      </c>
      <c r="Q2460" s="81">
        <v>1.22</v>
      </c>
      <c r="R2460" s="80" t="s">
        <v>4341</v>
      </c>
      <c r="S2460" s="48" t="s">
        <v>4341</v>
      </c>
      <c r="T2460" s="72">
        <v>8</v>
      </c>
      <c r="U2460" s="70"/>
      <c r="V2460" s="32"/>
      <c r="W2460" s="70"/>
      <c r="X2460" s="70"/>
      <c r="Y2460" s="70"/>
      <c r="Z2460" s="70"/>
      <c r="AA2460" s="71"/>
      <c r="AB2460" s="117" t="str">
        <f>IFERROR(VLOOKUP(Anexo_4[[#This Row],[cuenta]],OP,2,0),"-")</f>
        <v>-</v>
      </c>
    </row>
    <row r="2461" spans="1:28" ht="27" customHeight="1" x14ac:dyDescent="0.3">
      <c r="A2461" s="34" t="s">
        <v>7901</v>
      </c>
      <c r="B2461" s="36" t="str">
        <f t="shared" si="58"/>
        <v>Octubre</v>
      </c>
      <c r="C2461" s="33" t="s">
        <v>162</v>
      </c>
      <c r="D2461" s="33" t="s">
        <v>7991</v>
      </c>
      <c r="E2461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461" s="32" t="s">
        <v>235</v>
      </c>
      <c r="G2461" s="32" t="s">
        <v>5051</v>
      </c>
      <c r="H2461" s="139" t="s">
        <v>930</v>
      </c>
      <c r="I2461" s="33" t="s">
        <v>7986</v>
      </c>
      <c r="J2461" s="143" t="s">
        <v>7987</v>
      </c>
      <c r="K2461" s="33" t="s">
        <v>169</v>
      </c>
      <c r="L2461" s="102" t="str">
        <f>VLOOKUP(Anexo_4[[#This Row],[cod_doc]],TIPODOC,2,FALSE)</f>
        <v>FACTURA</v>
      </c>
      <c r="M2461" s="33" t="s">
        <v>531</v>
      </c>
      <c r="N2461" s="32" t="s">
        <v>7992</v>
      </c>
      <c r="O2461" s="48">
        <v>8.4700000000000006</v>
      </c>
      <c r="P2461" s="49" t="s">
        <v>4341</v>
      </c>
      <c r="Q2461" s="81">
        <v>1.53</v>
      </c>
      <c r="R2461" s="80" t="s">
        <v>4341</v>
      </c>
      <c r="S2461" s="48" t="s">
        <v>4341</v>
      </c>
      <c r="T2461" s="72">
        <v>10</v>
      </c>
      <c r="U2461" s="70"/>
      <c r="V2461" s="32"/>
      <c r="W2461" s="70"/>
      <c r="X2461" s="70"/>
      <c r="Y2461" s="70"/>
      <c r="Z2461" s="70"/>
      <c r="AA2461" s="71"/>
      <c r="AB2461" s="117" t="str">
        <f>IFERROR(VLOOKUP(Anexo_4[[#This Row],[cuenta]],OP,2,0),"-")</f>
        <v>-</v>
      </c>
    </row>
    <row r="2462" spans="1:28" ht="27" customHeight="1" x14ac:dyDescent="0.3">
      <c r="A2462" s="34" t="s">
        <v>7134</v>
      </c>
      <c r="B2462" s="36" t="str">
        <f t="shared" si="58"/>
        <v>Octubre</v>
      </c>
      <c r="C2462" s="33" t="s">
        <v>162</v>
      </c>
      <c r="D2462" s="33" t="s">
        <v>7993</v>
      </c>
      <c r="E2462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462" s="32" t="s">
        <v>235</v>
      </c>
      <c r="G2462" s="32" t="s">
        <v>5051</v>
      </c>
      <c r="H2462" s="139" t="s">
        <v>1276</v>
      </c>
      <c r="I2462" s="33" t="s">
        <v>264</v>
      </c>
      <c r="J2462" s="143" t="s">
        <v>4644</v>
      </c>
      <c r="K2462" s="33" t="s">
        <v>169</v>
      </c>
      <c r="L2462" s="102" t="str">
        <f>VLOOKUP(Anexo_4[[#This Row],[cod_doc]],TIPODOC,2,FALSE)</f>
        <v>FACTURA</v>
      </c>
      <c r="M2462" s="33" t="s">
        <v>406</v>
      </c>
      <c r="N2462" s="32" t="s">
        <v>7994</v>
      </c>
      <c r="O2462" s="48">
        <v>6.78</v>
      </c>
      <c r="P2462" s="49" t="s">
        <v>4341</v>
      </c>
      <c r="Q2462" s="81">
        <v>1.22</v>
      </c>
      <c r="R2462" s="80" t="s">
        <v>4341</v>
      </c>
      <c r="S2462" s="48" t="s">
        <v>4341</v>
      </c>
      <c r="T2462" s="72">
        <v>8</v>
      </c>
      <c r="U2462" s="70"/>
      <c r="V2462" s="32"/>
      <c r="W2462" s="70"/>
      <c r="X2462" s="70"/>
      <c r="Y2462" s="70"/>
      <c r="Z2462" s="70"/>
      <c r="AA2462" s="71"/>
      <c r="AB2462" s="117" t="str">
        <f>IFERROR(VLOOKUP(Anexo_4[[#This Row],[cuenta]],OP,2,0),"-")</f>
        <v>-</v>
      </c>
    </row>
    <row r="2463" spans="1:28" ht="27" customHeight="1" x14ac:dyDescent="0.3">
      <c r="A2463" s="34" t="s">
        <v>7134</v>
      </c>
      <c r="B2463" s="36" t="str">
        <f t="shared" si="58"/>
        <v>Octubre</v>
      </c>
      <c r="C2463" s="33" t="s">
        <v>162</v>
      </c>
      <c r="D2463" s="33" t="s">
        <v>7995</v>
      </c>
      <c r="E2463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463" s="32" t="s">
        <v>235</v>
      </c>
      <c r="G2463" s="32" t="s">
        <v>5051</v>
      </c>
      <c r="H2463" s="139" t="s">
        <v>1276</v>
      </c>
      <c r="I2463" s="33" t="s">
        <v>264</v>
      </c>
      <c r="J2463" s="143" t="s">
        <v>4644</v>
      </c>
      <c r="K2463" s="33" t="s">
        <v>169</v>
      </c>
      <c r="L2463" s="102" t="str">
        <f>VLOOKUP(Anexo_4[[#This Row],[cod_doc]],TIPODOC,2,FALSE)</f>
        <v>FACTURA</v>
      </c>
      <c r="M2463" s="33" t="s">
        <v>266</v>
      </c>
      <c r="N2463" s="32" t="s">
        <v>7996</v>
      </c>
      <c r="O2463" s="48">
        <v>6.78</v>
      </c>
      <c r="P2463" s="49" t="s">
        <v>4341</v>
      </c>
      <c r="Q2463" s="81">
        <v>1.22</v>
      </c>
      <c r="R2463" s="80" t="s">
        <v>4341</v>
      </c>
      <c r="S2463" s="48" t="s">
        <v>4341</v>
      </c>
      <c r="T2463" s="72">
        <v>8</v>
      </c>
      <c r="U2463" s="70"/>
      <c r="V2463" s="32"/>
      <c r="W2463" s="70"/>
      <c r="X2463" s="70"/>
      <c r="Y2463" s="70"/>
      <c r="Z2463" s="70"/>
      <c r="AA2463" s="71"/>
      <c r="AB2463" s="117" t="str">
        <f>IFERROR(VLOOKUP(Anexo_4[[#This Row],[cuenta]],OP,2,0),"-")</f>
        <v>-</v>
      </c>
    </row>
    <row r="2464" spans="1:28" ht="27" customHeight="1" x14ac:dyDescent="0.3">
      <c r="A2464" s="34" t="s">
        <v>7134</v>
      </c>
      <c r="B2464" s="36" t="str">
        <f t="shared" si="58"/>
        <v>Octubre</v>
      </c>
      <c r="C2464" s="33" t="s">
        <v>162</v>
      </c>
      <c r="D2464" s="33" t="s">
        <v>7997</v>
      </c>
      <c r="E2464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464" s="32" t="s">
        <v>235</v>
      </c>
      <c r="G2464" s="32" t="s">
        <v>5051</v>
      </c>
      <c r="H2464" s="139" t="s">
        <v>1276</v>
      </c>
      <c r="I2464" s="33" t="s">
        <v>264</v>
      </c>
      <c r="J2464" s="143" t="s">
        <v>4644</v>
      </c>
      <c r="K2464" s="33" t="s">
        <v>169</v>
      </c>
      <c r="L2464" s="102" t="str">
        <f>VLOOKUP(Anexo_4[[#This Row],[cod_doc]],TIPODOC,2,FALSE)</f>
        <v>FACTURA</v>
      </c>
      <c r="M2464" s="33" t="s">
        <v>519</v>
      </c>
      <c r="N2464" s="32" t="s">
        <v>7998</v>
      </c>
      <c r="O2464" s="48">
        <v>6.78</v>
      </c>
      <c r="P2464" s="49" t="s">
        <v>4341</v>
      </c>
      <c r="Q2464" s="81">
        <v>1.22</v>
      </c>
      <c r="R2464" s="80" t="s">
        <v>4341</v>
      </c>
      <c r="S2464" s="48" t="s">
        <v>4341</v>
      </c>
      <c r="T2464" s="72">
        <v>8</v>
      </c>
      <c r="U2464" s="70"/>
      <c r="V2464" s="32"/>
      <c r="W2464" s="70"/>
      <c r="X2464" s="70"/>
      <c r="Y2464" s="70"/>
      <c r="Z2464" s="70"/>
      <c r="AA2464" s="71"/>
      <c r="AB2464" s="117" t="str">
        <f>IFERROR(VLOOKUP(Anexo_4[[#This Row],[cuenta]],OP,2,0),"-")</f>
        <v>-</v>
      </c>
    </row>
    <row r="2465" spans="1:28" ht="27" customHeight="1" x14ac:dyDescent="0.3">
      <c r="A2465" s="34" t="s">
        <v>6887</v>
      </c>
      <c r="B2465" s="36" t="str">
        <f t="shared" si="58"/>
        <v>Octubre</v>
      </c>
      <c r="C2465" s="33" t="s">
        <v>162</v>
      </c>
      <c r="D2465" s="33" t="s">
        <v>7999</v>
      </c>
      <c r="E2465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465" s="32" t="s">
        <v>175</v>
      </c>
      <c r="G2465" s="32" t="s">
        <v>5168</v>
      </c>
      <c r="H2465" s="139" t="s">
        <v>765</v>
      </c>
      <c r="I2465" s="33" t="s">
        <v>452</v>
      </c>
      <c r="J2465" s="143" t="s">
        <v>4854</v>
      </c>
      <c r="K2465" s="33" t="s">
        <v>169</v>
      </c>
      <c r="L2465" s="102" t="str">
        <f>VLOOKUP(Anexo_4[[#This Row],[cod_doc]],TIPODOC,2,FALSE)</f>
        <v>FACTURA</v>
      </c>
      <c r="M2465" s="33" t="s">
        <v>1056</v>
      </c>
      <c r="N2465" s="32" t="s">
        <v>8000</v>
      </c>
      <c r="O2465" s="48">
        <v>948.05</v>
      </c>
      <c r="P2465" s="49" t="s">
        <v>4341</v>
      </c>
      <c r="Q2465" s="81">
        <v>170.65</v>
      </c>
      <c r="R2465" s="80" t="s">
        <v>4341</v>
      </c>
      <c r="S2465" s="48" t="s">
        <v>4341</v>
      </c>
      <c r="T2465" s="72">
        <v>1118.7</v>
      </c>
      <c r="U2465" s="70"/>
      <c r="V2465" s="32"/>
      <c r="W2465" s="70"/>
      <c r="X2465" s="70"/>
      <c r="Y2465" s="70"/>
      <c r="Z2465" s="70"/>
      <c r="AA2465" s="71"/>
      <c r="AB2465" s="117" t="str">
        <f>IFERROR(VLOOKUP(Anexo_4[[#This Row],[cuenta]],OP,2,0),"-")</f>
        <v>-</v>
      </c>
    </row>
    <row r="2466" spans="1:28" ht="27" customHeight="1" x14ac:dyDescent="0.3">
      <c r="A2466" s="34" t="s">
        <v>6887</v>
      </c>
      <c r="B2466" s="36" t="str">
        <f t="shared" si="58"/>
        <v>Octubre</v>
      </c>
      <c r="C2466" s="33" t="s">
        <v>162</v>
      </c>
      <c r="D2466" s="33" t="s">
        <v>8001</v>
      </c>
      <c r="E2466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466" s="32" t="s">
        <v>235</v>
      </c>
      <c r="G2466" s="32" t="s">
        <v>5051</v>
      </c>
      <c r="H2466" s="139" t="s">
        <v>765</v>
      </c>
      <c r="I2466" s="33" t="s">
        <v>452</v>
      </c>
      <c r="J2466" s="143" t="s">
        <v>4854</v>
      </c>
      <c r="K2466" s="33" t="s">
        <v>169</v>
      </c>
      <c r="L2466" s="102" t="str">
        <f>VLOOKUP(Anexo_4[[#This Row],[cod_doc]],TIPODOC,2,FALSE)</f>
        <v>FACTURA</v>
      </c>
      <c r="M2466" s="33" t="s">
        <v>454</v>
      </c>
      <c r="N2466" s="32" t="s">
        <v>8002</v>
      </c>
      <c r="O2466" s="48">
        <v>969.97</v>
      </c>
      <c r="P2466" s="49" t="s">
        <v>4341</v>
      </c>
      <c r="Q2466" s="81">
        <v>174.6</v>
      </c>
      <c r="R2466" s="80" t="s">
        <v>4341</v>
      </c>
      <c r="S2466" s="48" t="s">
        <v>4341</v>
      </c>
      <c r="T2466" s="72">
        <v>1144.57</v>
      </c>
      <c r="U2466" s="70"/>
      <c r="V2466" s="32"/>
      <c r="W2466" s="70"/>
      <c r="X2466" s="70"/>
      <c r="Y2466" s="70"/>
      <c r="Z2466" s="70"/>
      <c r="AA2466" s="71"/>
      <c r="AB2466" s="117" t="str">
        <f>IFERROR(VLOOKUP(Anexo_4[[#This Row],[cuenta]],OP,2,0),"-")</f>
        <v>-</v>
      </c>
    </row>
    <row r="2467" spans="1:28" ht="27" customHeight="1" x14ac:dyDescent="0.3">
      <c r="A2467" s="34" t="s">
        <v>7741</v>
      </c>
      <c r="B2467" s="36" t="str">
        <f t="shared" si="58"/>
        <v>Octubre</v>
      </c>
      <c r="C2467" s="33" t="s">
        <v>162</v>
      </c>
      <c r="D2467" s="33" t="s">
        <v>8003</v>
      </c>
      <c r="E2467" s="37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2467" s="32" t="s">
        <v>198</v>
      </c>
      <c r="G2467" s="32" t="s">
        <v>199</v>
      </c>
      <c r="H2467" s="139" t="s">
        <v>8004</v>
      </c>
      <c r="I2467" s="33" t="s">
        <v>8005</v>
      </c>
      <c r="J2467" s="143" t="s">
        <v>8006</v>
      </c>
      <c r="K2467" s="33" t="s">
        <v>169</v>
      </c>
      <c r="L2467" s="102" t="str">
        <f>VLOOKUP(Anexo_4[[#This Row],[cod_doc]],TIPODOC,2,FALSE)</f>
        <v>FACTURA</v>
      </c>
      <c r="M2467" s="33" t="s">
        <v>222</v>
      </c>
      <c r="N2467" s="32" t="s">
        <v>8007</v>
      </c>
      <c r="O2467" s="48">
        <v>77.12</v>
      </c>
      <c r="P2467" s="49" t="s">
        <v>4341</v>
      </c>
      <c r="Q2467" s="81">
        <v>13.88</v>
      </c>
      <c r="R2467" s="80" t="s">
        <v>4341</v>
      </c>
      <c r="S2467" s="48" t="s">
        <v>4341</v>
      </c>
      <c r="T2467" s="72">
        <v>91</v>
      </c>
      <c r="U2467" s="70"/>
      <c r="V2467" s="32"/>
      <c r="W2467" s="70"/>
      <c r="X2467" s="70"/>
      <c r="Y2467" s="70"/>
      <c r="Z2467" s="70"/>
      <c r="AA2467" s="71"/>
      <c r="AB2467" s="117" t="str">
        <f>IFERROR(VLOOKUP(Anexo_4[[#This Row],[cuenta]],OP,2,0),"-")</f>
        <v>-</v>
      </c>
    </row>
    <row r="2468" spans="1:28" ht="27" customHeight="1" x14ac:dyDescent="0.3">
      <c r="A2468" s="34" t="s">
        <v>6609</v>
      </c>
      <c r="B2468" s="36" t="str">
        <f t="shared" si="58"/>
        <v>Octubre</v>
      </c>
      <c r="C2468" s="33" t="s">
        <v>162</v>
      </c>
      <c r="D2468" s="33" t="s">
        <v>8008</v>
      </c>
      <c r="E2468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468" s="32"/>
      <c r="G2468" s="32"/>
      <c r="H2468" s="139" t="s">
        <v>8009</v>
      </c>
      <c r="I2468" s="33" t="s">
        <v>1884</v>
      </c>
      <c r="J2468" s="143" t="s">
        <v>8010</v>
      </c>
      <c r="K2468" s="33" t="s">
        <v>169</v>
      </c>
      <c r="L2468" s="102" t="str">
        <f>VLOOKUP(Anexo_4[[#This Row],[cod_doc]],TIPODOC,2,FALSE)</f>
        <v>FACTURA</v>
      </c>
      <c r="M2468" s="33" t="s">
        <v>102</v>
      </c>
      <c r="N2468" s="32" t="s">
        <v>8011</v>
      </c>
      <c r="O2468" s="48">
        <v>12.71</v>
      </c>
      <c r="P2468" s="49" t="s">
        <v>4341</v>
      </c>
      <c r="Q2468" s="81">
        <v>2.29</v>
      </c>
      <c r="R2468" s="80" t="s">
        <v>4341</v>
      </c>
      <c r="S2468" s="48" t="s">
        <v>4341</v>
      </c>
      <c r="T2468" s="72">
        <v>15</v>
      </c>
      <c r="U2468" s="70"/>
      <c r="V2468" s="32"/>
      <c r="W2468" s="70"/>
      <c r="X2468" s="70"/>
      <c r="Y2468" s="70"/>
      <c r="Z2468" s="70"/>
      <c r="AA2468" s="71"/>
      <c r="AB2468" s="117" t="str">
        <f>IFERROR(VLOOKUP(Anexo_4[[#This Row],[cuenta]],OP,2,0),"-")</f>
        <v>-</v>
      </c>
    </row>
    <row r="2469" spans="1:28" ht="27" customHeight="1" x14ac:dyDescent="0.3">
      <c r="A2469" s="34" t="s">
        <v>7141</v>
      </c>
      <c r="B2469" s="36" t="str">
        <f t="shared" ref="B2469:B2500" si="59">PROPER(CHOOSE(LEFT(D2469,2),"enero","febrero","marzo","abril","mayo","junio","julio","agosto","setiembre","octubre","noviembre","diciembre"))</f>
        <v>Octubre</v>
      </c>
      <c r="C2469" s="33" t="s">
        <v>162</v>
      </c>
      <c r="D2469" s="33" t="s">
        <v>8012</v>
      </c>
      <c r="E2469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469" s="32" t="s">
        <v>1366</v>
      </c>
      <c r="G2469" s="32" t="s">
        <v>1367</v>
      </c>
      <c r="H2469" s="139" t="s">
        <v>8013</v>
      </c>
      <c r="I2469" s="33" t="s">
        <v>971</v>
      </c>
      <c r="J2469" s="143" t="s">
        <v>5974</v>
      </c>
      <c r="K2469" s="33" t="s">
        <v>169</v>
      </c>
      <c r="L2469" s="102" t="str">
        <f>VLOOKUP(Anexo_4[[#This Row],[cod_doc]],TIPODOC,2,FALSE)</f>
        <v>FACTURA</v>
      </c>
      <c r="M2469" s="33" t="s">
        <v>6551</v>
      </c>
      <c r="N2469" s="32" t="s">
        <v>8014</v>
      </c>
      <c r="O2469" s="48">
        <v>0.85</v>
      </c>
      <c r="P2469" s="49" t="s">
        <v>4341</v>
      </c>
      <c r="Q2469" s="81">
        <v>0.15</v>
      </c>
      <c r="R2469" s="80" t="s">
        <v>4341</v>
      </c>
      <c r="S2469" s="48" t="s">
        <v>4341</v>
      </c>
      <c r="T2469" s="72">
        <v>1</v>
      </c>
      <c r="U2469" s="70"/>
      <c r="V2469" s="32"/>
      <c r="W2469" s="70"/>
      <c r="X2469" s="70"/>
      <c r="Y2469" s="70"/>
      <c r="Z2469" s="70"/>
      <c r="AA2469" s="71"/>
      <c r="AB2469" s="117" t="str">
        <f>IFERROR(VLOOKUP(Anexo_4[[#This Row],[cuenta]],OP,2,0),"-")</f>
        <v>-</v>
      </c>
    </row>
    <row r="2470" spans="1:28" ht="27" customHeight="1" x14ac:dyDescent="0.3">
      <c r="A2470" s="34" t="s">
        <v>7141</v>
      </c>
      <c r="B2470" s="36" t="str">
        <f t="shared" si="59"/>
        <v>Octubre</v>
      </c>
      <c r="C2470" s="33" t="s">
        <v>162</v>
      </c>
      <c r="D2470" s="33" t="s">
        <v>8015</v>
      </c>
      <c r="E2470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470" s="32" t="s">
        <v>1366</v>
      </c>
      <c r="G2470" s="32" t="s">
        <v>1367</v>
      </c>
      <c r="H2470" s="139" t="s">
        <v>8013</v>
      </c>
      <c r="I2470" s="33" t="s">
        <v>971</v>
      </c>
      <c r="J2470" s="143" t="s">
        <v>5974</v>
      </c>
      <c r="K2470" s="33" t="s">
        <v>169</v>
      </c>
      <c r="L2470" s="102" t="str">
        <f>VLOOKUP(Anexo_4[[#This Row],[cod_doc]],TIPODOC,2,FALSE)</f>
        <v>FACTURA</v>
      </c>
      <c r="M2470" s="33" t="s">
        <v>6551</v>
      </c>
      <c r="N2470" s="32" t="s">
        <v>8016</v>
      </c>
      <c r="O2470" s="48">
        <v>0.85</v>
      </c>
      <c r="P2470" s="49" t="s">
        <v>4341</v>
      </c>
      <c r="Q2470" s="81">
        <v>0.15</v>
      </c>
      <c r="R2470" s="80" t="s">
        <v>4341</v>
      </c>
      <c r="S2470" s="48" t="s">
        <v>4341</v>
      </c>
      <c r="T2470" s="72">
        <v>1</v>
      </c>
      <c r="U2470" s="70"/>
      <c r="V2470" s="32"/>
      <c r="W2470" s="70"/>
      <c r="X2470" s="70"/>
      <c r="Y2470" s="70"/>
      <c r="Z2470" s="70"/>
      <c r="AA2470" s="71"/>
      <c r="AB2470" s="117" t="str">
        <f>IFERROR(VLOOKUP(Anexo_4[[#This Row],[cuenta]],OP,2,0),"-")</f>
        <v>-</v>
      </c>
    </row>
    <row r="2471" spans="1:28" ht="27" customHeight="1" x14ac:dyDescent="0.3">
      <c r="A2471" s="34" t="s">
        <v>7141</v>
      </c>
      <c r="B2471" s="36" t="str">
        <f t="shared" si="59"/>
        <v>Octubre</v>
      </c>
      <c r="C2471" s="33" t="s">
        <v>162</v>
      </c>
      <c r="D2471" s="33" t="s">
        <v>8017</v>
      </c>
      <c r="E2471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471" s="32" t="s">
        <v>1366</v>
      </c>
      <c r="G2471" s="32" t="s">
        <v>1367</v>
      </c>
      <c r="H2471" s="139" t="s">
        <v>8013</v>
      </c>
      <c r="I2471" s="33" t="s">
        <v>971</v>
      </c>
      <c r="J2471" s="143" t="s">
        <v>5974</v>
      </c>
      <c r="K2471" s="33" t="s">
        <v>169</v>
      </c>
      <c r="L2471" s="102" t="str">
        <f>VLOOKUP(Anexo_4[[#This Row],[cod_doc]],TIPODOC,2,FALSE)</f>
        <v>FACTURA</v>
      </c>
      <c r="M2471" s="33" t="s">
        <v>6551</v>
      </c>
      <c r="N2471" s="32" t="s">
        <v>8018</v>
      </c>
      <c r="O2471" s="48">
        <v>0.85</v>
      </c>
      <c r="P2471" s="49" t="s">
        <v>4341</v>
      </c>
      <c r="Q2471" s="81">
        <v>0.15</v>
      </c>
      <c r="R2471" s="80" t="s">
        <v>4341</v>
      </c>
      <c r="S2471" s="48" t="s">
        <v>4341</v>
      </c>
      <c r="T2471" s="72">
        <v>1</v>
      </c>
      <c r="U2471" s="70"/>
      <c r="V2471" s="32"/>
      <c r="W2471" s="70"/>
      <c r="X2471" s="70"/>
      <c r="Y2471" s="70"/>
      <c r="Z2471" s="70"/>
      <c r="AA2471" s="71"/>
      <c r="AB2471" s="117" t="str">
        <f>IFERROR(VLOOKUP(Anexo_4[[#This Row],[cuenta]],OP,2,0),"-")</f>
        <v>-</v>
      </c>
    </row>
    <row r="2472" spans="1:28" ht="27" customHeight="1" x14ac:dyDescent="0.3">
      <c r="A2472" s="34" t="s">
        <v>7141</v>
      </c>
      <c r="B2472" s="36" t="str">
        <f t="shared" si="59"/>
        <v>Octubre</v>
      </c>
      <c r="C2472" s="33" t="s">
        <v>162</v>
      </c>
      <c r="D2472" s="33" t="s">
        <v>8019</v>
      </c>
      <c r="E2472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472" s="32" t="s">
        <v>1366</v>
      </c>
      <c r="G2472" s="32" t="s">
        <v>1367</v>
      </c>
      <c r="H2472" s="139" t="s">
        <v>8020</v>
      </c>
      <c r="I2472" s="33" t="s">
        <v>971</v>
      </c>
      <c r="J2472" s="143" t="s">
        <v>5974</v>
      </c>
      <c r="K2472" s="33" t="s">
        <v>169</v>
      </c>
      <c r="L2472" s="102" t="str">
        <f>VLOOKUP(Anexo_4[[#This Row],[cod_doc]],TIPODOC,2,FALSE)</f>
        <v>FACTURA</v>
      </c>
      <c r="M2472" s="33" t="s">
        <v>6551</v>
      </c>
      <c r="N2472" s="32" t="s">
        <v>8021</v>
      </c>
      <c r="O2472" s="48">
        <v>0.85</v>
      </c>
      <c r="P2472" s="49" t="s">
        <v>4341</v>
      </c>
      <c r="Q2472" s="81">
        <v>0.15</v>
      </c>
      <c r="R2472" s="80" t="s">
        <v>4341</v>
      </c>
      <c r="S2472" s="48" t="s">
        <v>4341</v>
      </c>
      <c r="T2472" s="72">
        <v>1</v>
      </c>
      <c r="U2472" s="70"/>
      <c r="V2472" s="32"/>
      <c r="W2472" s="70"/>
      <c r="X2472" s="70"/>
      <c r="Y2472" s="70"/>
      <c r="Z2472" s="70"/>
      <c r="AA2472" s="71"/>
      <c r="AB2472" s="117" t="str">
        <f>IFERROR(VLOOKUP(Anexo_4[[#This Row],[cuenta]],OP,2,0),"-")</f>
        <v>-</v>
      </c>
    </row>
    <row r="2473" spans="1:28" ht="27" customHeight="1" x14ac:dyDescent="0.3">
      <c r="A2473" s="34" t="s">
        <v>5667</v>
      </c>
      <c r="B2473" s="36" t="str">
        <f t="shared" si="59"/>
        <v>Octubre</v>
      </c>
      <c r="C2473" s="33" t="s">
        <v>162</v>
      </c>
      <c r="D2473" s="33" t="s">
        <v>8022</v>
      </c>
      <c r="E2473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473" s="32"/>
      <c r="G2473" s="32"/>
      <c r="H2473" s="139" t="s">
        <v>8023</v>
      </c>
      <c r="I2473" s="33" t="s">
        <v>971</v>
      </c>
      <c r="J2473" s="143" t="s">
        <v>5974</v>
      </c>
      <c r="K2473" s="33" t="s">
        <v>169</v>
      </c>
      <c r="L2473" s="102" t="str">
        <f>VLOOKUP(Anexo_4[[#This Row],[cod_doc]],TIPODOC,2,FALSE)</f>
        <v>FACTURA</v>
      </c>
      <c r="M2473" s="33" t="s">
        <v>3414</v>
      </c>
      <c r="N2473" s="32" t="s">
        <v>8024</v>
      </c>
      <c r="O2473" s="48">
        <v>8.4700000000000006</v>
      </c>
      <c r="P2473" s="49" t="s">
        <v>4341</v>
      </c>
      <c r="Q2473" s="81">
        <v>1.53</v>
      </c>
      <c r="R2473" s="80" t="s">
        <v>4341</v>
      </c>
      <c r="S2473" s="48" t="s">
        <v>4341</v>
      </c>
      <c r="T2473" s="72">
        <v>10</v>
      </c>
      <c r="U2473" s="70"/>
      <c r="V2473" s="32"/>
      <c r="W2473" s="70"/>
      <c r="X2473" s="70"/>
      <c r="Y2473" s="70"/>
      <c r="Z2473" s="70"/>
      <c r="AA2473" s="71"/>
      <c r="AB2473" s="117" t="str">
        <f>IFERROR(VLOOKUP(Anexo_4[[#This Row],[cuenta]],OP,2,0),"-")</f>
        <v>-</v>
      </c>
    </row>
    <row r="2474" spans="1:28" ht="27" customHeight="1" x14ac:dyDescent="0.3">
      <c r="A2474" s="34" t="s">
        <v>7040</v>
      </c>
      <c r="B2474" s="36" t="str">
        <f t="shared" si="59"/>
        <v>Octubre</v>
      </c>
      <c r="C2474" s="33" t="s">
        <v>162</v>
      </c>
      <c r="D2474" s="33" t="s">
        <v>8025</v>
      </c>
      <c r="E2474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474" s="32" t="s">
        <v>190</v>
      </c>
      <c r="G2474" s="32" t="s">
        <v>191</v>
      </c>
      <c r="H2474" s="139" t="s">
        <v>2316</v>
      </c>
      <c r="I2474" s="33" t="s">
        <v>1836</v>
      </c>
      <c r="J2474" s="143" t="s">
        <v>8026</v>
      </c>
      <c r="K2474" s="33" t="s">
        <v>169</v>
      </c>
      <c r="L2474" s="102" t="str">
        <f>VLOOKUP(Anexo_4[[#This Row],[cod_doc]],TIPODOC,2,FALSE)</f>
        <v>FACTURA</v>
      </c>
      <c r="M2474" s="33" t="s">
        <v>1906</v>
      </c>
      <c r="N2474" s="32" t="s">
        <v>8027</v>
      </c>
      <c r="O2474" s="48">
        <v>2354.41</v>
      </c>
      <c r="P2474" s="49" t="s">
        <v>4341</v>
      </c>
      <c r="Q2474" s="81">
        <v>423.79</v>
      </c>
      <c r="R2474" s="80" t="s">
        <v>4341</v>
      </c>
      <c r="S2474" s="48" t="s">
        <v>4341</v>
      </c>
      <c r="T2474" s="72">
        <v>2778.2</v>
      </c>
      <c r="U2474" s="70"/>
      <c r="V2474" s="32"/>
      <c r="W2474" s="70"/>
      <c r="X2474" s="70"/>
      <c r="Y2474" s="70"/>
      <c r="Z2474" s="70"/>
      <c r="AA2474" s="71"/>
      <c r="AB2474" s="117" t="str">
        <f>IFERROR(VLOOKUP(Anexo_4[[#This Row],[cuenta]],OP,2,0),"-")</f>
        <v>-</v>
      </c>
    </row>
    <row r="2475" spans="1:28" ht="27" customHeight="1" x14ac:dyDescent="0.3">
      <c r="A2475" s="34" t="s">
        <v>7741</v>
      </c>
      <c r="B2475" s="36" t="str">
        <f t="shared" si="59"/>
        <v>Octubre</v>
      </c>
      <c r="C2475" s="33" t="s">
        <v>162</v>
      </c>
      <c r="D2475" s="33" t="s">
        <v>8028</v>
      </c>
      <c r="E2475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475" s="32" t="s">
        <v>164</v>
      </c>
      <c r="G2475" s="32" t="s">
        <v>165</v>
      </c>
      <c r="H2475" s="139" t="s">
        <v>976</v>
      </c>
      <c r="I2475" s="33" t="s">
        <v>971</v>
      </c>
      <c r="J2475" s="143" t="s">
        <v>5974</v>
      </c>
      <c r="K2475" s="33" t="s">
        <v>169</v>
      </c>
      <c r="L2475" s="102" t="str">
        <f>VLOOKUP(Anexo_4[[#This Row],[cod_doc]],TIPODOC,2,FALSE)</f>
        <v>FACTURA</v>
      </c>
      <c r="M2475" s="33" t="s">
        <v>973</v>
      </c>
      <c r="N2475" s="32" t="s">
        <v>8029</v>
      </c>
      <c r="O2475" s="48">
        <v>96.8</v>
      </c>
      <c r="P2475" s="49" t="s">
        <v>4341</v>
      </c>
      <c r="Q2475" s="81">
        <v>17.420000000000002</v>
      </c>
      <c r="R2475" s="80" t="s">
        <v>4341</v>
      </c>
      <c r="S2475" s="48" t="s">
        <v>4341</v>
      </c>
      <c r="T2475" s="72">
        <v>114.22</v>
      </c>
      <c r="U2475" s="70"/>
      <c r="V2475" s="32"/>
      <c r="W2475" s="70"/>
      <c r="X2475" s="70"/>
      <c r="Y2475" s="70"/>
      <c r="Z2475" s="70"/>
      <c r="AA2475" s="71"/>
      <c r="AB2475" s="117" t="str">
        <f>IFERROR(VLOOKUP(Anexo_4[[#This Row],[cuenta]],OP,2,0),"-")</f>
        <v>-</v>
      </c>
    </row>
    <row r="2476" spans="1:28" ht="27" customHeight="1" x14ac:dyDescent="0.3">
      <c r="A2476" s="34" t="s">
        <v>7741</v>
      </c>
      <c r="B2476" s="36" t="str">
        <f t="shared" si="59"/>
        <v>Octubre</v>
      </c>
      <c r="C2476" s="33" t="s">
        <v>162</v>
      </c>
      <c r="D2476" s="33" t="s">
        <v>8030</v>
      </c>
      <c r="E2476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476" s="32" t="s">
        <v>164</v>
      </c>
      <c r="G2476" s="32" t="s">
        <v>165</v>
      </c>
      <c r="H2476" s="139" t="s">
        <v>976</v>
      </c>
      <c r="I2476" s="33" t="s">
        <v>971</v>
      </c>
      <c r="J2476" s="143" t="s">
        <v>5974</v>
      </c>
      <c r="K2476" s="33" t="s">
        <v>169</v>
      </c>
      <c r="L2476" s="102" t="str">
        <f>VLOOKUP(Anexo_4[[#This Row],[cod_doc]],TIPODOC,2,FALSE)</f>
        <v>FACTURA</v>
      </c>
      <c r="M2476" s="33" t="s">
        <v>973</v>
      </c>
      <c r="N2476" s="32" t="s">
        <v>8031</v>
      </c>
      <c r="O2476" s="48">
        <v>32.799999999999997</v>
      </c>
      <c r="P2476" s="49" t="s">
        <v>4341</v>
      </c>
      <c r="Q2476" s="81">
        <v>5.9</v>
      </c>
      <c r="R2476" s="80" t="s">
        <v>4341</v>
      </c>
      <c r="S2476" s="48" t="s">
        <v>4341</v>
      </c>
      <c r="T2476" s="72">
        <v>38.700000000000003</v>
      </c>
      <c r="U2476" s="70"/>
      <c r="V2476" s="32"/>
      <c r="W2476" s="70"/>
      <c r="X2476" s="70"/>
      <c r="Y2476" s="70"/>
      <c r="Z2476" s="70"/>
      <c r="AA2476" s="71"/>
      <c r="AB2476" s="117" t="str">
        <f>IFERROR(VLOOKUP(Anexo_4[[#This Row],[cuenta]],OP,2,0),"-")</f>
        <v>-</v>
      </c>
    </row>
    <row r="2477" spans="1:28" ht="27" customHeight="1" x14ac:dyDescent="0.3">
      <c r="A2477" s="34" t="s">
        <v>7741</v>
      </c>
      <c r="B2477" s="36" t="str">
        <f t="shared" si="59"/>
        <v>Octubre</v>
      </c>
      <c r="C2477" s="33" t="s">
        <v>162</v>
      </c>
      <c r="D2477" s="33" t="s">
        <v>8032</v>
      </c>
      <c r="E2477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477" s="32" t="s">
        <v>164</v>
      </c>
      <c r="G2477" s="32" t="s">
        <v>165</v>
      </c>
      <c r="H2477" s="139" t="s">
        <v>976</v>
      </c>
      <c r="I2477" s="33" t="s">
        <v>971</v>
      </c>
      <c r="J2477" s="143" t="s">
        <v>5974</v>
      </c>
      <c r="K2477" s="33" t="s">
        <v>169</v>
      </c>
      <c r="L2477" s="102" t="str">
        <f>VLOOKUP(Anexo_4[[#This Row],[cod_doc]],TIPODOC,2,FALSE)</f>
        <v>FACTURA</v>
      </c>
      <c r="M2477" s="33" t="s">
        <v>973</v>
      </c>
      <c r="N2477" s="32" t="s">
        <v>8033</v>
      </c>
      <c r="O2477" s="48">
        <v>528</v>
      </c>
      <c r="P2477" s="49" t="s">
        <v>4341</v>
      </c>
      <c r="Q2477" s="81">
        <v>95.04</v>
      </c>
      <c r="R2477" s="80" t="s">
        <v>4341</v>
      </c>
      <c r="S2477" s="48" t="s">
        <v>4341</v>
      </c>
      <c r="T2477" s="72">
        <v>623.04</v>
      </c>
      <c r="U2477" s="70"/>
      <c r="V2477" s="32"/>
      <c r="W2477" s="70"/>
      <c r="X2477" s="70"/>
      <c r="Y2477" s="70"/>
      <c r="Z2477" s="70"/>
      <c r="AA2477" s="71"/>
      <c r="AB2477" s="117" t="str">
        <f>IFERROR(VLOOKUP(Anexo_4[[#This Row],[cuenta]],OP,2,0),"-")</f>
        <v>-</v>
      </c>
    </row>
    <row r="2478" spans="1:28" ht="27" customHeight="1" x14ac:dyDescent="0.3">
      <c r="A2478" s="34" t="s">
        <v>7650</v>
      </c>
      <c r="B2478" s="36" t="str">
        <f t="shared" si="59"/>
        <v>Octubre</v>
      </c>
      <c r="C2478" s="33" t="s">
        <v>162</v>
      </c>
      <c r="D2478" s="33" t="s">
        <v>8034</v>
      </c>
      <c r="E2478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478" s="32" t="s">
        <v>164</v>
      </c>
      <c r="G2478" s="32" t="s">
        <v>165</v>
      </c>
      <c r="H2478" s="139" t="s">
        <v>6562</v>
      </c>
      <c r="I2478" s="33" t="s">
        <v>437</v>
      </c>
      <c r="J2478" s="143" t="s">
        <v>6563</v>
      </c>
      <c r="K2478" s="33" t="s">
        <v>439</v>
      </c>
      <c r="L2478" s="102" t="str">
        <f>VLOOKUP(Anexo_4[[#This Row],[cod_doc]],TIPODOC,2,FALSE)</f>
        <v>RECIBO POR SERV. PUBLICOS</v>
      </c>
      <c r="M2478" s="33" t="s">
        <v>1045</v>
      </c>
      <c r="N2478" s="32" t="s">
        <v>8035</v>
      </c>
      <c r="O2478" s="48">
        <v>121.1</v>
      </c>
      <c r="P2478" s="49" t="s">
        <v>4341</v>
      </c>
      <c r="Q2478" s="81">
        <v>21.8</v>
      </c>
      <c r="R2478" s="80" t="s">
        <v>4341</v>
      </c>
      <c r="S2478" s="48" t="s">
        <v>4341</v>
      </c>
      <c r="T2478" s="72">
        <v>142.9</v>
      </c>
      <c r="U2478" s="70"/>
      <c r="V2478" s="32"/>
      <c r="W2478" s="70"/>
      <c r="X2478" s="70"/>
      <c r="Y2478" s="70"/>
      <c r="Z2478" s="70"/>
      <c r="AA2478" s="71"/>
      <c r="AB2478" s="117" t="str">
        <f>IFERROR(VLOOKUP(Anexo_4[[#This Row],[cuenta]],OP,2,0),"-")</f>
        <v>-</v>
      </c>
    </row>
    <row r="2479" spans="1:28" ht="27" customHeight="1" x14ac:dyDescent="0.3">
      <c r="A2479" s="34" t="s">
        <v>7741</v>
      </c>
      <c r="B2479" s="36" t="str">
        <f t="shared" si="59"/>
        <v>Octubre</v>
      </c>
      <c r="C2479" s="33" t="s">
        <v>162</v>
      </c>
      <c r="D2479" s="33" t="s">
        <v>8036</v>
      </c>
      <c r="E2479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479" s="32" t="s">
        <v>442</v>
      </c>
      <c r="G2479" s="32" t="s">
        <v>443</v>
      </c>
      <c r="H2479" s="139" t="s">
        <v>8037</v>
      </c>
      <c r="I2479" s="33" t="s">
        <v>8038</v>
      </c>
      <c r="J2479" s="143" t="s">
        <v>8039</v>
      </c>
      <c r="K2479" s="33" t="s">
        <v>169</v>
      </c>
      <c r="L2479" s="102" t="str">
        <f>VLOOKUP(Anexo_4[[#This Row],[cod_doc]],TIPODOC,2,FALSE)</f>
        <v>FACTURA</v>
      </c>
      <c r="M2479" s="33" t="s">
        <v>8040</v>
      </c>
      <c r="N2479" s="32" t="s">
        <v>8041</v>
      </c>
      <c r="O2479" s="48">
        <v>125.25</v>
      </c>
      <c r="P2479" s="49" t="s">
        <v>4341</v>
      </c>
      <c r="Q2479" s="81">
        <v>22.55</v>
      </c>
      <c r="R2479" s="80" t="s">
        <v>4341</v>
      </c>
      <c r="S2479" s="48" t="s">
        <v>4341</v>
      </c>
      <c r="T2479" s="72">
        <v>147.80000000000001</v>
      </c>
      <c r="U2479" s="70"/>
      <c r="V2479" s="32"/>
      <c r="W2479" s="70"/>
      <c r="X2479" s="70"/>
      <c r="Y2479" s="70"/>
      <c r="Z2479" s="70"/>
      <c r="AA2479" s="71"/>
      <c r="AB2479" s="117" t="str">
        <f>IFERROR(VLOOKUP(Anexo_4[[#This Row],[cuenta]],OP,2,0),"-")</f>
        <v>-</v>
      </c>
    </row>
    <row r="2480" spans="1:28" ht="27" customHeight="1" x14ac:dyDescent="0.3">
      <c r="A2480" s="34" t="s">
        <v>7741</v>
      </c>
      <c r="B2480" s="36" t="str">
        <f t="shared" si="59"/>
        <v>Octubre</v>
      </c>
      <c r="C2480" s="33" t="s">
        <v>162</v>
      </c>
      <c r="D2480" s="33" t="s">
        <v>8042</v>
      </c>
      <c r="E2480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480" s="32" t="s">
        <v>442</v>
      </c>
      <c r="G2480" s="32" t="s">
        <v>443</v>
      </c>
      <c r="H2480" s="139" t="s">
        <v>8043</v>
      </c>
      <c r="I2480" s="33" t="s">
        <v>8038</v>
      </c>
      <c r="J2480" s="143" t="s">
        <v>8039</v>
      </c>
      <c r="K2480" s="33" t="s">
        <v>169</v>
      </c>
      <c r="L2480" s="102" t="str">
        <f>VLOOKUP(Anexo_4[[#This Row],[cod_doc]],TIPODOC,2,FALSE)</f>
        <v>FACTURA</v>
      </c>
      <c r="M2480" s="33" t="s">
        <v>8044</v>
      </c>
      <c r="N2480" s="32" t="s">
        <v>8045</v>
      </c>
      <c r="O2480" s="48">
        <v>2.37</v>
      </c>
      <c r="P2480" s="49" t="s">
        <v>4341</v>
      </c>
      <c r="Q2480" s="81">
        <v>0.43</v>
      </c>
      <c r="R2480" s="80" t="s">
        <v>4341</v>
      </c>
      <c r="S2480" s="48" t="s">
        <v>4341</v>
      </c>
      <c r="T2480" s="72">
        <v>2.8</v>
      </c>
      <c r="U2480" s="70"/>
      <c r="V2480" s="32"/>
      <c r="W2480" s="70"/>
      <c r="X2480" s="70"/>
      <c r="Y2480" s="70"/>
      <c r="Z2480" s="70"/>
      <c r="AA2480" s="71"/>
      <c r="AB2480" s="117" t="str">
        <f>IFERROR(VLOOKUP(Anexo_4[[#This Row],[cuenta]],OP,2,0),"-")</f>
        <v>-</v>
      </c>
    </row>
    <row r="2481" spans="1:28" ht="27" customHeight="1" x14ac:dyDescent="0.3">
      <c r="A2481" s="34" t="s">
        <v>7741</v>
      </c>
      <c r="B2481" s="36" t="str">
        <f t="shared" si="59"/>
        <v>Octubre</v>
      </c>
      <c r="C2481" s="33" t="s">
        <v>162</v>
      </c>
      <c r="D2481" s="33" t="s">
        <v>8046</v>
      </c>
      <c r="E2481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481" s="32" t="s">
        <v>442</v>
      </c>
      <c r="G2481" s="32" t="s">
        <v>443</v>
      </c>
      <c r="H2481" s="139" t="s">
        <v>8047</v>
      </c>
      <c r="I2481" s="33" t="s">
        <v>8048</v>
      </c>
      <c r="J2481" s="143" t="s">
        <v>8049</v>
      </c>
      <c r="K2481" s="33" t="s">
        <v>169</v>
      </c>
      <c r="L2481" s="102" t="str">
        <f>VLOOKUP(Anexo_4[[#This Row],[cod_doc]],TIPODOC,2,FALSE)</f>
        <v>FACTURA</v>
      </c>
      <c r="M2481" s="33" t="s">
        <v>180</v>
      </c>
      <c r="N2481" s="32" t="s">
        <v>8050</v>
      </c>
      <c r="O2481" s="48">
        <v>25.42</v>
      </c>
      <c r="P2481" s="49" t="s">
        <v>4341</v>
      </c>
      <c r="Q2481" s="81">
        <v>4.58</v>
      </c>
      <c r="R2481" s="80" t="s">
        <v>4341</v>
      </c>
      <c r="S2481" s="48" t="s">
        <v>4341</v>
      </c>
      <c r="T2481" s="72">
        <v>30</v>
      </c>
      <c r="U2481" s="70"/>
      <c r="V2481" s="32"/>
      <c r="W2481" s="70"/>
      <c r="X2481" s="70"/>
      <c r="Y2481" s="70"/>
      <c r="Z2481" s="70"/>
      <c r="AA2481" s="71"/>
      <c r="AB2481" s="117" t="str">
        <f>IFERROR(VLOOKUP(Anexo_4[[#This Row],[cuenta]],OP,2,0),"-")</f>
        <v>-</v>
      </c>
    </row>
    <row r="2482" spans="1:28" ht="27" customHeight="1" x14ac:dyDescent="0.3">
      <c r="A2482" s="34" t="s">
        <v>7741</v>
      </c>
      <c r="B2482" s="36" t="str">
        <f t="shared" si="59"/>
        <v>Octubre</v>
      </c>
      <c r="C2482" s="33" t="s">
        <v>162</v>
      </c>
      <c r="D2482" s="33" t="s">
        <v>8051</v>
      </c>
      <c r="E2482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482" s="32" t="s">
        <v>442</v>
      </c>
      <c r="G2482" s="32" t="s">
        <v>443</v>
      </c>
      <c r="H2482" s="139" t="s">
        <v>8052</v>
      </c>
      <c r="I2482" s="33" t="s">
        <v>8048</v>
      </c>
      <c r="J2482" s="143" t="s">
        <v>8049</v>
      </c>
      <c r="K2482" s="33" t="s">
        <v>169</v>
      </c>
      <c r="L2482" s="102" t="str">
        <f>VLOOKUP(Anexo_4[[#This Row],[cod_doc]],TIPODOC,2,FALSE)</f>
        <v>FACTURA</v>
      </c>
      <c r="M2482" s="33" t="s">
        <v>180</v>
      </c>
      <c r="N2482" s="32" t="s">
        <v>8053</v>
      </c>
      <c r="O2482" s="48">
        <v>10.17</v>
      </c>
      <c r="P2482" s="49" t="s">
        <v>4341</v>
      </c>
      <c r="Q2482" s="81">
        <v>1.83</v>
      </c>
      <c r="R2482" s="80" t="s">
        <v>4341</v>
      </c>
      <c r="S2482" s="48" t="s">
        <v>4341</v>
      </c>
      <c r="T2482" s="72">
        <v>12</v>
      </c>
      <c r="U2482" s="70"/>
      <c r="V2482" s="32"/>
      <c r="W2482" s="70"/>
      <c r="X2482" s="70"/>
      <c r="Y2482" s="70"/>
      <c r="Z2482" s="70"/>
      <c r="AA2482" s="71"/>
      <c r="AB2482" s="117" t="str">
        <f>IFERROR(VLOOKUP(Anexo_4[[#This Row],[cuenta]],OP,2,0),"-")</f>
        <v>-</v>
      </c>
    </row>
    <row r="2483" spans="1:28" ht="27" customHeight="1" x14ac:dyDescent="0.3">
      <c r="A2483" s="34" t="s">
        <v>7741</v>
      </c>
      <c r="B2483" s="36" t="str">
        <f t="shared" si="59"/>
        <v>Octubre</v>
      </c>
      <c r="C2483" s="33" t="s">
        <v>162</v>
      </c>
      <c r="D2483" s="33" t="s">
        <v>8054</v>
      </c>
      <c r="E2483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483" s="32" t="s">
        <v>442</v>
      </c>
      <c r="G2483" s="32" t="s">
        <v>443</v>
      </c>
      <c r="H2483" s="139" t="s">
        <v>8055</v>
      </c>
      <c r="I2483" s="33" t="s">
        <v>8056</v>
      </c>
      <c r="J2483" s="143" t="s">
        <v>8057</v>
      </c>
      <c r="K2483" s="33" t="s">
        <v>169</v>
      </c>
      <c r="L2483" s="102" t="str">
        <f>VLOOKUP(Anexo_4[[#This Row],[cod_doc]],TIPODOC,2,FALSE)</f>
        <v>FACTURA</v>
      </c>
      <c r="M2483" s="33" t="s">
        <v>222</v>
      </c>
      <c r="N2483" s="32" t="s">
        <v>8058</v>
      </c>
      <c r="O2483" s="48">
        <v>52.54</v>
      </c>
      <c r="P2483" s="49" t="s">
        <v>4341</v>
      </c>
      <c r="Q2483" s="81">
        <v>9.4600000000000009</v>
      </c>
      <c r="R2483" s="80" t="s">
        <v>4341</v>
      </c>
      <c r="S2483" s="48" t="s">
        <v>4341</v>
      </c>
      <c r="T2483" s="72">
        <v>62</v>
      </c>
      <c r="U2483" s="70"/>
      <c r="V2483" s="32"/>
      <c r="W2483" s="70"/>
      <c r="X2483" s="70"/>
      <c r="Y2483" s="70"/>
      <c r="Z2483" s="70"/>
      <c r="AA2483" s="71"/>
      <c r="AB2483" s="117" t="str">
        <f>IFERROR(VLOOKUP(Anexo_4[[#This Row],[cuenta]],OP,2,0),"-")</f>
        <v>-</v>
      </c>
    </row>
    <row r="2484" spans="1:28" ht="27" customHeight="1" x14ac:dyDescent="0.3">
      <c r="A2484" s="34" t="s">
        <v>6384</v>
      </c>
      <c r="B2484" s="36" t="str">
        <f t="shared" si="59"/>
        <v>Octubre</v>
      </c>
      <c r="C2484" s="33" t="s">
        <v>162</v>
      </c>
      <c r="D2484" s="33" t="s">
        <v>8059</v>
      </c>
      <c r="E2484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484" s="32"/>
      <c r="G2484" s="32"/>
      <c r="H2484" s="139" t="s">
        <v>8060</v>
      </c>
      <c r="I2484" s="33" t="s">
        <v>6839</v>
      </c>
      <c r="J2484" s="143" t="s">
        <v>6840</v>
      </c>
      <c r="K2484" s="33" t="s">
        <v>169</v>
      </c>
      <c r="L2484" s="102" t="str">
        <f>VLOOKUP(Anexo_4[[#This Row],[cod_doc]],TIPODOC,2,FALSE)</f>
        <v>FACTURA</v>
      </c>
      <c r="M2484" s="33" t="s">
        <v>105</v>
      </c>
      <c r="N2484" s="32" t="s">
        <v>8061</v>
      </c>
      <c r="O2484" s="48">
        <v>52.54</v>
      </c>
      <c r="P2484" s="49" t="s">
        <v>4341</v>
      </c>
      <c r="Q2484" s="81">
        <v>9.4600000000000009</v>
      </c>
      <c r="R2484" s="80" t="s">
        <v>4341</v>
      </c>
      <c r="S2484" s="48" t="s">
        <v>4341</v>
      </c>
      <c r="T2484" s="72">
        <v>62</v>
      </c>
      <c r="U2484" s="70"/>
      <c r="V2484" s="32"/>
      <c r="W2484" s="70"/>
      <c r="X2484" s="70"/>
      <c r="Y2484" s="70" t="s">
        <v>8062</v>
      </c>
      <c r="Z2484" s="70"/>
      <c r="AA2484" s="71"/>
      <c r="AB2484" s="117" t="str">
        <f>IFERROR(VLOOKUP(Anexo_4[[#This Row],[cuenta]],OP,2,0),"-")</f>
        <v>-</v>
      </c>
    </row>
    <row r="2485" spans="1:28" ht="27" customHeight="1" x14ac:dyDescent="0.3">
      <c r="A2485" s="34" t="s">
        <v>7300</v>
      </c>
      <c r="B2485" s="36" t="str">
        <f t="shared" si="59"/>
        <v>Octubre</v>
      </c>
      <c r="C2485" s="33" t="s">
        <v>162</v>
      </c>
      <c r="D2485" s="33" t="s">
        <v>8063</v>
      </c>
      <c r="E2485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485" s="32" t="s">
        <v>175</v>
      </c>
      <c r="G2485" s="32" t="s">
        <v>5168</v>
      </c>
      <c r="H2485" s="139" t="s">
        <v>8064</v>
      </c>
      <c r="I2485" s="33" t="s">
        <v>220</v>
      </c>
      <c r="J2485" s="143" t="s">
        <v>5043</v>
      </c>
      <c r="K2485" s="33" t="s">
        <v>169</v>
      </c>
      <c r="L2485" s="102" t="str">
        <f>VLOOKUP(Anexo_4[[#This Row],[cod_doc]],TIPODOC,2,FALSE)</f>
        <v>FACTURA</v>
      </c>
      <c r="M2485" s="33" t="s">
        <v>222</v>
      </c>
      <c r="N2485" s="32" t="s">
        <v>8065</v>
      </c>
      <c r="O2485" s="48">
        <v>100</v>
      </c>
      <c r="P2485" s="49" t="s">
        <v>4341</v>
      </c>
      <c r="Q2485" s="81">
        <v>18</v>
      </c>
      <c r="R2485" s="80" t="s">
        <v>4341</v>
      </c>
      <c r="S2485" s="48" t="s">
        <v>4341</v>
      </c>
      <c r="T2485" s="72">
        <v>118</v>
      </c>
      <c r="U2485" s="70"/>
      <c r="V2485" s="32"/>
      <c r="W2485" s="70"/>
      <c r="X2485" s="70"/>
      <c r="Y2485" s="70" t="s">
        <v>8066</v>
      </c>
      <c r="Z2485" s="70"/>
      <c r="AA2485" s="71"/>
      <c r="AB2485" s="117" t="str">
        <f>IFERROR(VLOOKUP(Anexo_4[[#This Row],[cuenta]],OP,2,0),"-")</f>
        <v>-</v>
      </c>
    </row>
    <row r="2486" spans="1:28" ht="27" customHeight="1" x14ac:dyDescent="0.3">
      <c r="A2486" s="34" t="s">
        <v>7741</v>
      </c>
      <c r="B2486" s="36" t="str">
        <f t="shared" si="59"/>
        <v>Octubre</v>
      </c>
      <c r="C2486" s="33" t="s">
        <v>162</v>
      </c>
      <c r="D2486" s="33" t="s">
        <v>8067</v>
      </c>
      <c r="E2486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486" s="32" t="s">
        <v>217</v>
      </c>
      <c r="G2486" s="32" t="s">
        <v>4839</v>
      </c>
      <c r="H2486" s="139" t="s">
        <v>8068</v>
      </c>
      <c r="I2486" s="33" t="s">
        <v>3483</v>
      </c>
      <c r="J2486" s="143" t="s">
        <v>7183</v>
      </c>
      <c r="K2486" s="33" t="s">
        <v>169</v>
      </c>
      <c r="L2486" s="102" t="str">
        <f>VLOOKUP(Anexo_4[[#This Row],[cod_doc]],TIPODOC,2,FALSE)</f>
        <v>FACTURA</v>
      </c>
      <c r="M2486" s="33" t="s">
        <v>3485</v>
      </c>
      <c r="N2486" s="32" t="s">
        <v>8069</v>
      </c>
      <c r="O2486" s="48">
        <v>29.66</v>
      </c>
      <c r="P2486" s="49" t="s">
        <v>4341</v>
      </c>
      <c r="Q2486" s="81">
        <v>5.34</v>
      </c>
      <c r="R2486" s="80" t="s">
        <v>4341</v>
      </c>
      <c r="S2486" s="48" t="s">
        <v>4341</v>
      </c>
      <c r="T2486" s="72">
        <v>35</v>
      </c>
      <c r="U2486" s="70"/>
      <c r="V2486" s="32"/>
      <c r="W2486" s="70"/>
      <c r="X2486" s="70"/>
      <c r="Y2486" s="70" t="s">
        <v>8070</v>
      </c>
      <c r="Z2486" s="70"/>
      <c r="AA2486" s="71"/>
      <c r="AB2486" s="117" t="str">
        <f>IFERROR(VLOOKUP(Anexo_4[[#This Row],[cuenta]],OP,2,0),"-")</f>
        <v>-</v>
      </c>
    </row>
    <row r="2487" spans="1:28" ht="27" customHeight="1" x14ac:dyDescent="0.3">
      <c r="A2487" s="34" t="s">
        <v>7741</v>
      </c>
      <c r="B2487" s="36" t="str">
        <f t="shared" si="59"/>
        <v>Octubre</v>
      </c>
      <c r="C2487" s="33" t="s">
        <v>162</v>
      </c>
      <c r="D2487" s="33" t="s">
        <v>8071</v>
      </c>
      <c r="E2487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487" s="32" t="s">
        <v>5923</v>
      </c>
      <c r="G2487" s="32" t="s">
        <v>5924</v>
      </c>
      <c r="H2487" s="139" t="s">
        <v>8072</v>
      </c>
      <c r="I2487" s="33" t="s">
        <v>3483</v>
      </c>
      <c r="J2487" s="143" t="s">
        <v>7183</v>
      </c>
      <c r="K2487" s="33" t="s">
        <v>169</v>
      </c>
      <c r="L2487" s="102" t="str">
        <f>VLOOKUP(Anexo_4[[#This Row],[cod_doc]],TIPODOC,2,FALSE)</f>
        <v>FACTURA</v>
      </c>
      <c r="M2487" s="33" t="s">
        <v>3485</v>
      </c>
      <c r="N2487" s="32" t="s">
        <v>8073</v>
      </c>
      <c r="O2487" s="48">
        <v>29.66</v>
      </c>
      <c r="P2487" s="49" t="s">
        <v>4341</v>
      </c>
      <c r="Q2487" s="81">
        <v>5.34</v>
      </c>
      <c r="R2487" s="80" t="s">
        <v>4341</v>
      </c>
      <c r="S2487" s="48" t="s">
        <v>4341</v>
      </c>
      <c r="T2487" s="72">
        <v>35</v>
      </c>
      <c r="U2487" s="70"/>
      <c r="V2487" s="32"/>
      <c r="W2487" s="70"/>
      <c r="X2487" s="70"/>
      <c r="Y2487" s="70" t="s">
        <v>8074</v>
      </c>
      <c r="Z2487" s="70"/>
      <c r="AA2487" s="71"/>
      <c r="AB2487" s="117" t="str">
        <f>IFERROR(VLOOKUP(Anexo_4[[#This Row],[cuenta]],OP,2,0),"-")</f>
        <v>-</v>
      </c>
    </row>
    <row r="2488" spans="1:28" ht="27" customHeight="1" x14ac:dyDescent="0.3">
      <c r="A2488" s="34" t="s">
        <v>7741</v>
      </c>
      <c r="B2488" s="36" t="str">
        <f t="shared" si="59"/>
        <v>Octubre</v>
      </c>
      <c r="C2488" s="33" t="s">
        <v>162</v>
      </c>
      <c r="D2488" s="33" t="s">
        <v>8075</v>
      </c>
      <c r="E2488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488" s="32" t="s">
        <v>235</v>
      </c>
      <c r="G2488" s="32" t="s">
        <v>5051</v>
      </c>
      <c r="H2488" s="139" t="s">
        <v>8076</v>
      </c>
      <c r="I2488" s="33" t="s">
        <v>3483</v>
      </c>
      <c r="J2488" s="143" t="s">
        <v>7183</v>
      </c>
      <c r="K2488" s="33" t="s">
        <v>169</v>
      </c>
      <c r="L2488" s="102" t="str">
        <f>VLOOKUP(Anexo_4[[#This Row],[cod_doc]],TIPODOC,2,FALSE)</f>
        <v>FACTURA</v>
      </c>
      <c r="M2488" s="33" t="s">
        <v>3485</v>
      </c>
      <c r="N2488" s="32" t="s">
        <v>8077</v>
      </c>
      <c r="O2488" s="48">
        <v>29.66</v>
      </c>
      <c r="P2488" s="49" t="s">
        <v>4341</v>
      </c>
      <c r="Q2488" s="81">
        <v>5.34</v>
      </c>
      <c r="R2488" s="80" t="s">
        <v>4341</v>
      </c>
      <c r="S2488" s="48" t="s">
        <v>4341</v>
      </c>
      <c r="T2488" s="72">
        <v>35</v>
      </c>
      <c r="U2488" s="70"/>
      <c r="V2488" s="32"/>
      <c r="W2488" s="70"/>
      <c r="X2488" s="70"/>
      <c r="Y2488" s="70" t="s">
        <v>8078</v>
      </c>
      <c r="Z2488" s="70"/>
      <c r="AA2488" s="71"/>
      <c r="AB2488" s="117" t="str">
        <f>IFERROR(VLOOKUP(Anexo_4[[#This Row],[cuenta]],OP,2,0),"-")</f>
        <v>-</v>
      </c>
    </row>
    <row r="2489" spans="1:28" ht="27" customHeight="1" x14ac:dyDescent="0.3">
      <c r="A2489" s="34" t="s">
        <v>6887</v>
      </c>
      <c r="B2489" s="36" t="str">
        <f t="shared" si="59"/>
        <v>Octubre</v>
      </c>
      <c r="C2489" s="33" t="s">
        <v>162</v>
      </c>
      <c r="D2489" s="33" t="s">
        <v>8079</v>
      </c>
      <c r="E2489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489" s="32" t="s">
        <v>217</v>
      </c>
      <c r="G2489" s="32" t="s">
        <v>4839</v>
      </c>
      <c r="H2489" s="139" t="s">
        <v>8080</v>
      </c>
      <c r="I2489" s="33" t="s">
        <v>8081</v>
      </c>
      <c r="J2489" s="143" t="s">
        <v>8082</v>
      </c>
      <c r="K2489" s="33" t="s">
        <v>169</v>
      </c>
      <c r="L2489" s="102" t="str">
        <f>VLOOKUP(Anexo_4[[#This Row],[cod_doc]],TIPODOC,2,FALSE)</f>
        <v>FACTURA</v>
      </c>
      <c r="M2489" s="33" t="s">
        <v>222</v>
      </c>
      <c r="N2489" s="32" t="s">
        <v>8083</v>
      </c>
      <c r="O2489" s="48">
        <v>42.37</v>
      </c>
      <c r="P2489" s="49" t="s">
        <v>4341</v>
      </c>
      <c r="Q2489" s="81">
        <v>7.63</v>
      </c>
      <c r="R2489" s="80" t="s">
        <v>4341</v>
      </c>
      <c r="S2489" s="48" t="s">
        <v>4341</v>
      </c>
      <c r="T2489" s="72">
        <v>50</v>
      </c>
      <c r="U2489" s="70"/>
      <c r="V2489" s="32"/>
      <c r="W2489" s="70"/>
      <c r="X2489" s="70"/>
      <c r="Y2489" s="70" t="s">
        <v>8084</v>
      </c>
      <c r="Z2489" s="70"/>
      <c r="AA2489" s="71"/>
      <c r="AB2489" s="117" t="str">
        <f>IFERROR(VLOOKUP(Anexo_4[[#This Row],[cuenta]],OP,2,0),"-")</f>
        <v>-</v>
      </c>
    </row>
    <row r="2490" spans="1:28" ht="27" customHeight="1" x14ac:dyDescent="0.3">
      <c r="A2490" s="34" t="s">
        <v>6887</v>
      </c>
      <c r="B2490" s="36" t="str">
        <f t="shared" si="59"/>
        <v>Octubre</v>
      </c>
      <c r="C2490" s="33" t="s">
        <v>162</v>
      </c>
      <c r="D2490" s="33" t="s">
        <v>8085</v>
      </c>
      <c r="E2490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490" s="32" t="s">
        <v>217</v>
      </c>
      <c r="G2490" s="32" t="s">
        <v>4839</v>
      </c>
      <c r="H2490" s="139" t="s">
        <v>8086</v>
      </c>
      <c r="I2490" s="33" t="s">
        <v>8081</v>
      </c>
      <c r="J2490" s="143" t="s">
        <v>8082</v>
      </c>
      <c r="K2490" s="33" t="s">
        <v>169</v>
      </c>
      <c r="L2490" s="102" t="str">
        <f>VLOOKUP(Anexo_4[[#This Row],[cod_doc]],TIPODOC,2,FALSE)</f>
        <v>FACTURA</v>
      </c>
      <c r="M2490" s="33" t="s">
        <v>222</v>
      </c>
      <c r="N2490" s="32" t="s">
        <v>8087</v>
      </c>
      <c r="O2490" s="48">
        <v>16.95</v>
      </c>
      <c r="P2490" s="49" t="s">
        <v>4341</v>
      </c>
      <c r="Q2490" s="81">
        <v>3.05</v>
      </c>
      <c r="R2490" s="80" t="s">
        <v>4341</v>
      </c>
      <c r="S2490" s="48" t="s">
        <v>4341</v>
      </c>
      <c r="T2490" s="72">
        <v>20</v>
      </c>
      <c r="U2490" s="70"/>
      <c r="V2490" s="32"/>
      <c r="W2490" s="70"/>
      <c r="X2490" s="70"/>
      <c r="Y2490" s="70" t="s">
        <v>8088</v>
      </c>
      <c r="Z2490" s="70"/>
      <c r="AA2490" s="71"/>
      <c r="AB2490" s="117" t="str">
        <f>IFERROR(VLOOKUP(Anexo_4[[#This Row],[cuenta]],OP,2,0),"-")</f>
        <v>-</v>
      </c>
    </row>
    <row r="2491" spans="1:28" ht="27" customHeight="1" x14ac:dyDescent="0.3">
      <c r="A2491" s="34" t="s">
        <v>7901</v>
      </c>
      <c r="B2491" s="36" t="str">
        <f t="shared" si="59"/>
        <v>Octubre</v>
      </c>
      <c r="C2491" s="33" t="s">
        <v>162</v>
      </c>
      <c r="D2491" s="33" t="s">
        <v>8089</v>
      </c>
      <c r="E2491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491" s="32" t="s">
        <v>235</v>
      </c>
      <c r="G2491" s="32" t="s">
        <v>5051</v>
      </c>
      <c r="H2491" s="139" t="s">
        <v>8090</v>
      </c>
      <c r="I2491" s="33" t="s">
        <v>1604</v>
      </c>
      <c r="J2491" s="143" t="s">
        <v>7266</v>
      </c>
      <c r="K2491" s="33" t="s">
        <v>169</v>
      </c>
      <c r="L2491" s="102" t="str">
        <f>VLOOKUP(Anexo_4[[#This Row],[cod_doc]],TIPODOC,2,FALSE)</f>
        <v>FACTURA</v>
      </c>
      <c r="M2491" s="33" t="s">
        <v>8091</v>
      </c>
      <c r="N2491" s="32" t="s">
        <v>8092</v>
      </c>
      <c r="O2491" s="48">
        <v>17.62</v>
      </c>
      <c r="P2491" s="49" t="s">
        <v>4341</v>
      </c>
      <c r="Q2491" s="81">
        <v>3.19</v>
      </c>
      <c r="R2491" s="80" t="s">
        <v>4341</v>
      </c>
      <c r="S2491" s="48" t="s">
        <v>4341</v>
      </c>
      <c r="T2491" s="72">
        <v>20.81</v>
      </c>
      <c r="U2491" s="70"/>
      <c r="V2491" s="32"/>
      <c r="W2491" s="70"/>
      <c r="X2491" s="70"/>
      <c r="Y2491" s="70" t="s">
        <v>8093</v>
      </c>
      <c r="Z2491" s="70"/>
      <c r="AA2491" s="71"/>
      <c r="AB2491" s="117" t="str">
        <f>IFERROR(VLOOKUP(Anexo_4[[#This Row],[cuenta]],OP,2,0),"-")</f>
        <v>-</v>
      </c>
    </row>
    <row r="2492" spans="1:28" ht="27" customHeight="1" x14ac:dyDescent="0.3">
      <c r="A2492" s="34" t="s">
        <v>7901</v>
      </c>
      <c r="B2492" s="36" t="str">
        <f t="shared" si="59"/>
        <v>Octubre</v>
      </c>
      <c r="C2492" s="33" t="s">
        <v>162</v>
      </c>
      <c r="D2492" s="33" t="s">
        <v>8094</v>
      </c>
      <c r="E2492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492" s="32" t="s">
        <v>5923</v>
      </c>
      <c r="G2492" s="32" t="s">
        <v>5924</v>
      </c>
      <c r="H2492" s="139" t="s">
        <v>8095</v>
      </c>
      <c r="I2492" s="33" t="s">
        <v>264</v>
      </c>
      <c r="J2492" s="143" t="s">
        <v>4644</v>
      </c>
      <c r="K2492" s="33" t="s">
        <v>169</v>
      </c>
      <c r="L2492" s="102" t="str">
        <f>VLOOKUP(Anexo_4[[#This Row],[cod_doc]],TIPODOC,2,FALSE)</f>
        <v>FACTURA</v>
      </c>
      <c r="M2492" s="33" t="s">
        <v>406</v>
      </c>
      <c r="N2492" s="32" t="s">
        <v>8096</v>
      </c>
      <c r="O2492" s="48">
        <v>6.78</v>
      </c>
      <c r="P2492" s="49" t="s">
        <v>4341</v>
      </c>
      <c r="Q2492" s="81">
        <v>1.22</v>
      </c>
      <c r="R2492" s="80" t="s">
        <v>4341</v>
      </c>
      <c r="S2492" s="48" t="s">
        <v>4341</v>
      </c>
      <c r="T2492" s="72">
        <v>8</v>
      </c>
      <c r="U2492" s="70"/>
      <c r="V2492" s="32"/>
      <c r="W2492" s="70"/>
      <c r="X2492" s="70"/>
      <c r="Y2492" s="70" t="s">
        <v>8097</v>
      </c>
      <c r="Z2492" s="70"/>
      <c r="AA2492" s="71"/>
      <c r="AB2492" s="117" t="str">
        <f>IFERROR(VLOOKUP(Anexo_4[[#This Row],[cuenta]],OP,2,0),"-")</f>
        <v>-</v>
      </c>
    </row>
    <row r="2493" spans="1:28" ht="27" customHeight="1" x14ac:dyDescent="0.3">
      <c r="A2493" s="34" t="s">
        <v>7134</v>
      </c>
      <c r="B2493" s="36" t="str">
        <f t="shared" si="59"/>
        <v>Octubre</v>
      </c>
      <c r="C2493" s="33" t="s">
        <v>162</v>
      </c>
      <c r="D2493" s="33" t="s">
        <v>8098</v>
      </c>
      <c r="E2493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493" s="32" t="s">
        <v>5923</v>
      </c>
      <c r="G2493" s="32" t="s">
        <v>5924</v>
      </c>
      <c r="H2493" s="139" t="s">
        <v>8099</v>
      </c>
      <c r="I2493" s="33" t="s">
        <v>264</v>
      </c>
      <c r="J2493" s="143" t="s">
        <v>4644</v>
      </c>
      <c r="K2493" s="33" t="s">
        <v>169</v>
      </c>
      <c r="L2493" s="102" t="str">
        <f>VLOOKUP(Anexo_4[[#This Row],[cod_doc]],TIPODOC,2,FALSE)</f>
        <v>FACTURA</v>
      </c>
      <c r="M2493" s="33" t="s">
        <v>379</v>
      </c>
      <c r="N2493" s="32" t="s">
        <v>8100</v>
      </c>
      <c r="O2493" s="48">
        <v>6.78</v>
      </c>
      <c r="P2493" s="49" t="s">
        <v>4341</v>
      </c>
      <c r="Q2493" s="81">
        <v>1.22</v>
      </c>
      <c r="R2493" s="80" t="s">
        <v>4341</v>
      </c>
      <c r="S2493" s="48" t="s">
        <v>4341</v>
      </c>
      <c r="T2493" s="72">
        <v>8</v>
      </c>
      <c r="U2493" s="70"/>
      <c r="V2493" s="32"/>
      <c r="W2493" s="70"/>
      <c r="X2493" s="70"/>
      <c r="Y2493" s="70" t="s">
        <v>8101</v>
      </c>
      <c r="Z2493" s="70"/>
      <c r="AA2493" s="71"/>
      <c r="AB2493" s="117" t="str">
        <f>IFERROR(VLOOKUP(Anexo_4[[#This Row],[cuenta]],OP,2,0),"-")</f>
        <v>-</v>
      </c>
    </row>
    <row r="2494" spans="1:28" ht="27" customHeight="1" x14ac:dyDescent="0.3">
      <c r="A2494" s="34" t="s">
        <v>7134</v>
      </c>
      <c r="B2494" s="36" t="str">
        <f t="shared" si="59"/>
        <v>Octubre</v>
      </c>
      <c r="C2494" s="33" t="s">
        <v>162</v>
      </c>
      <c r="D2494" s="33" t="s">
        <v>8102</v>
      </c>
      <c r="E2494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494" s="32" t="s">
        <v>5923</v>
      </c>
      <c r="G2494" s="32" t="s">
        <v>5924</v>
      </c>
      <c r="H2494" s="139" t="s">
        <v>8103</v>
      </c>
      <c r="I2494" s="33" t="s">
        <v>264</v>
      </c>
      <c r="J2494" s="143" t="s">
        <v>4644</v>
      </c>
      <c r="K2494" s="33" t="s">
        <v>169</v>
      </c>
      <c r="L2494" s="102" t="str">
        <f>VLOOKUP(Anexo_4[[#This Row],[cod_doc]],TIPODOC,2,FALSE)</f>
        <v>FACTURA</v>
      </c>
      <c r="M2494" s="33" t="s">
        <v>406</v>
      </c>
      <c r="N2494" s="32" t="s">
        <v>8104</v>
      </c>
      <c r="O2494" s="48">
        <v>6.78</v>
      </c>
      <c r="P2494" s="49" t="s">
        <v>4341</v>
      </c>
      <c r="Q2494" s="81">
        <v>1.22</v>
      </c>
      <c r="R2494" s="80" t="s">
        <v>4341</v>
      </c>
      <c r="S2494" s="48" t="s">
        <v>4341</v>
      </c>
      <c r="T2494" s="72">
        <v>8</v>
      </c>
      <c r="U2494" s="70"/>
      <c r="V2494" s="32"/>
      <c r="W2494" s="70"/>
      <c r="X2494" s="70"/>
      <c r="Y2494" s="70" t="s">
        <v>8105</v>
      </c>
      <c r="Z2494" s="70"/>
      <c r="AA2494" s="71"/>
      <c r="AB2494" s="117" t="str">
        <f>IFERROR(VLOOKUP(Anexo_4[[#This Row],[cuenta]],OP,2,0),"-")</f>
        <v>-</v>
      </c>
    </row>
    <row r="2495" spans="1:28" ht="27" customHeight="1" x14ac:dyDescent="0.3">
      <c r="A2495" s="34" t="s">
        <v>7901</v>
      </c>
      <c r="B2495" s="36" t="str">
        <f t="shared" si="59"/>
        <v>Octubre</v>
      </c>
      <c r="C2495" s="33" t="s">
        <v>162</v>
      </c>
      <c r="D2495" s="33" t="s">
        <v>8106</v>
      </c>
      <c r="E2495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495" s="32" t="s">
        <v>5923</v>
      </c>
      <c r="G2495" s="32" t="s">
        <v>5924</v>
      </c>
      <c r="H2495" s="139" t="s">
        <v>8107</v>
      </c>
      <c r="I2495" s="33" t="s">
        <v>264</v>
      </c>
      <c r="J2495" s="143" t="s">
        <v>4644</v>
      </c>
      <c r="K2495" s="33" t="s">
        <v>169</v>
      </c>
      <c r="L2495" s="102" t="str">
        <f>VLOOKUP(Anexo_4[[#This Row],[cod_doc]],TIPODOC,2,FALSE)</f>
        <v>FACTURA</v>
      </c>
      <c r="M2495" s="33" t="s">
        <v>352</v>
      </c>
      <c r="N2495" s="32" t="s">
        <v>8108</v>
      </c>
      <c r="O2495" s="48">
        <v>6.78</v>
      </c>
      <c r="P2495" s="49" t="s">
        <v>4341</v>
      </c>
      <c r="Q2495" s="81">
        <v>1.22</v>
      </c>
      <c r="R2495" s="80" t="s">
        <v>4341</v>
      </c>
      <c r="S2495" s="48" t="s">
        <v>4341</v>
      </c>
      <c r="T2495" s="72">
        <v>8</v>
      </c>
      <c r="U2495" s="70"/>
      <c r="V2495" s="32"/>
      <c r="W2495" s="70"/>
      <c r="X2495" s="70"/>
      <c r="Y2495" s="70" t="s">
        <v>8109</v>
      </c>
      <c r="Z2495" s="70"/>
      <c r="AA2495" s="71"/>
      <c r="AB2495" s="117" t="str">
        <f>IFERROR(VLOOKUP(Anexo_4[[#This Row],[cuenta]],OP,2,0),"-")</f>
        <v>-</v>
      </c>
    </row>
    <row r="2496" spans="1:28" ht="27" customHeight="1" x14ac:dyDescent="0.3">
      <c r="A2496" s="34" t="s">
        <v>7240</v>
      </c>
      <c r="B2496" s="36" t="str">
        <f t="shared" si="59"/>
        <v>Octubre</v>
      </c>
      <c r="C2496" s="33" t="s">
        <v>162</v>
      </c>
      <c r="D2496" s="33" t="s">
        <v>8110</v>
      </c>
      <c r="E2496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496" s="32" t="s">
        <v>217</v>
      </c>
      <c r="G2496" s="32" t="s">
        <v>4839</v>
      </c>
      <c r="H2496" s="139" t="s">
        <v>8111</v>
      </c>
      <c r="I2496" s="33" t="s">
        <v>383</v>
      </c>
      <c r="J2496" s="143" t="s">
        <v>4702</v>
      </c>
      <c r="K2496" s="33" t="s">
        <v>169</v>
      </c>
      <c r="L2496" s="102" t="str">
        <f>VLOOKUP(Anexo_4[[#This Row],[cod_doc]],TIPODOC,2,FALSE)</f>
        <v>FACTURA</v>
      </c>
      <c r="M2496" s="33" t="s">
        <v>103</v>
      </c>
      <c r="N2496" s="32" t="s">
        <v>8112</v>
      </c>
      <c r="O2496" s="48">
        <v>16.95</v>
      </c>
      <c r="P2496" s="49" t="s">
        <v>4341</v>
      </c>
      <c r="Q2496" s="81">
        <v>3.05</v>
      </c>
      <c r="R2496" s="80" t="s">
        <v>4341</v>
      </c>
      <c r="S2496" s="48" t="s">
        <v>4341</v>
      </c>
      <c r="T2496" s="72">
        <v>20</v>
      </c>
      <c r="U2496" s="70"/>
      <c r="V2496" s="32"/>
      <c r="W2496" s="70"/>
      <c r="X2496" s="70"/>
      <c r="Y2496" s="70" t="s">
        <v>8113</v>
      </c>
      <c r="Z2496" s="70"/>
      <c r="AA2496" s="71"/>
      <c r="AB2496" s="117" t="str">
        <f>IFERROR(VLOOKUP(Anexo_4[[#This Row],[cuenta]],OP,2,0),"-")</f>
        <v>-</v>
      </c>
    </row>
    <row r="2497" spans="1:28" ht="27" customHeight="1" x14ac:dyDescent="0.3">
      <c r="A2497" s="34" t="s">
        <v>7705</v>
      </c>
      <c r="B2497" s="36" t="str">
        <f t="shared" si="59"/>
        <v>Octubre</v>
      </c>
      <c r="C2497" s="33" t="s">
        <v>162</v>
      </c>
      <c r="D2497" s="33" t="s">
        <v>8114</v>
      </c>
      <c r="E2497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497" s="32" t="s">
        <v>175</v>
      </c>
      <c r="G2497" s="32" t="s">
        <v>5168</v>
      </c>
      <c r="H2497" s="139" t="s">
        <v>8115</v>
      </c>
      <c r="I2497" s="33" t="s">
        <v>504</v>
      </c>
      <c r="J2497" s="143" t="s">
        <v>4717</v>
      </c>
      <c r="K2497" s="33" t="s">
        <v>169</v>
      </c>
      <c r="L2497" s="102" t="str">
        <f>VLOOKUP(Anexo_4[[#This Row],[cod_doc]],TIPODOC,2,FALSE)</f>
        <v>FACTURA</v>
      </c>
      <c r="M2497" s="33" t="s">
        <v>222</v>
      </c>
      <c r="N2497" s="32" t="s">
        <v>8116</v>
      </c>
      <c r="O2497" s="48">
        <v>29.66</v>
      </c>
      <c r="P2497" s="49" t="s">
        <v>4341</v>
      </c>
      <c r="Q2497" s="81">
        <v>5.34</v>
      </c>
      <c r="R2497" s="80" t="s">
        <v>4341</v>
      </c>
      <c r="S2497" s="48" t="s">
        <v>4341</v>
      </c>
      <c r="T2497" s="72">
        <v>35</v>
      </c>
      <c r="U2497" s="70"/>
      <c r="V2497" s="32"/>
      <c r="W2497" s="70"/>
      <c r="X2497" s="70"/>
      <c r="Y2497" s="70" t="s">
        <v>8117</v>
      </c>
      <c r="Z2497" s="70"/>
      <c r="AA2497" s="71"/>
      <c r="AB2497" s="117" t="str">
        <f>IFERROR(VLOOKUP(Anexo_4[[#This Row],[cuenta]],OP,2,0),"-")</f>
        <v>-</v>
      </c>
    </row>
    <row r="2498" spans="1:28" ht="27" customHeight="1" x14ac:dyDescent="0.3">
      <c r="A2498" s="34" t="s">
        <v>7741</v>
      </c>
      <c r="B2498" s="36" t="str">
        <f t="shared" si="59"/>
        <v>Octubre</v>
      </c>
      <c r="C2498" s="33" t="s">
        <v>162</v>
      </c>
      <c r="D2498" s="33" t="s">
        <v>8118</v>
      </c>
      <c r="E2498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498" s="32" t="s">
        <v>175</v>
      </c>
      <c r="G2498" s="32" t="s">
        <v>5168</v>
      </c>
      <c r="H2498" s="139" t="s">
        <v>8119</v>
      </c>
      <c r="I2498" s="33" t="s">
        <v>178</v>
      </c>
      <c r="J2498" s="143" t="s">
        <v>4667</v>
      </c>
      <c r="K2498" s="33" t="s">
        <v>169</v>
      </c>
      <c r="L2498" s="102" t="str">
        <f>VLOOKUP(Anexo_4[[#This Row],[cod_doc]],TIPODOC,2,FALSE)</f>
        <v>FACTURA</v>
      </c>
      <c r="M2498" s="33" t="s">
        <v>180</v>
      </c>
      <c r="N2498" s="32" t="s">
        <v>8120</v>
      </c>
      <c r="O2498" s="48">
        <v>8.4700000000000006</v>
      </c>
      <c r="P2498" s="49" t="s">
        <v>4341</v>
      </c>
      <c r="Q2498" s="81">
        <v>1.53</v>
      </c>
      <c r="R2498" s="80" t="s">
        <v>4341</v>
      </c>
      <c r="S2498" s="48" t="s">
        <v>4341</v>
      </c>
      <c r="T2498" s="72">
        <v>10</v>
      </c>
      <c r="U2498" s="70"/>
      <c r="V2498" s="32"/>
      <c r="W2498" s="70"/>
      <c r="X2498" s="70"/>
      <c r="Y2498" s="70" t="s">
        <v>8121</v>
      </c>
      <c r="Z2498" s="70"/>
      <c r="AA2498" s="71"/>
      <c r="AB2498" s="117" t="str">
        <f>IFERROR(VLOOKUP(Anexo_4[[#This Row],[cuenta]],OP,2,0),"-")</f>
        <v>-</v>
      </c>
    </row>
    <row r="2499" spans="1:28" ht="27" customHeight="1" x14ac:dyDescent="0.3">
      <c r="A2499" s="34" t="s">
        <v>7741</v>
      </c>
      <c r="B2499" s="36" t="str">
        <f t="shared" si="59"/>
        <v>Octubre</v>
      </c>
      <c r="C2499" s="33" t="s">
        <v>162</v>
      </c>
      <c r="D2499" s="33" t="s">
        <v>8122</v>
      </c>
      <c r="E2499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499" s="32" t="s">
        <v>175</v>
      </c>
      <c r="G2499" s="32" t="s">
        <v>5168</v>
      </c>
      <c r="H2499" s="139" t="s">
        <v>8123</v>
      </c>
      <c r="I2499" s="33" t="s">
        <v>178</v>
      </c>
      <c r="J2499" s="143" t="s">
        <v>4667</v>
      </c>
      <c r="K2499" s="33" t="s">
        <v>169</v>
      </c>
      <c r="L2499" s="102" t="str">
        <f>VLOOKUP(Anexo_4[[#This Row],[cod_doc]],TIPODOC,2,FALSE)</f>
        <v>FACTURA</v>
      </c>
      <c r="M2499" s="33" t="s">
        <v>180</v>
      </c>
      <c r="N2499" s="32" t="s">
        <v>8124</v>
      </c>
      <c r="O2499" s="48">
        <v>8.4700000000000006</v>
      </c>
      <c r="P2499" s="49" t="s">
        <v>4341</v>
      </c>
      <c r="Q2499" s="81">
        <v>1.53</v>
      </c>
      <c r="R2499" s="80" t="s">
        <v>4341</v>
      </c>
      <c r="S2499" s="48" t="s">
        <v>4341</v>
      </c>
      <c r="T2499" s="72">
        <v>10</v>
      </c>
      <c r="U2499" s="70"/>
      <c r="V2499" s="32"/>
      <c r="W2499" s="70"/>
      <c r="X2499" s="70"/>
      <c r="Y2499" s="70" t="s">
        <v>8125</v>
      </c>
      <c r="Z2499" s="70"/>
      <c r="AA2499" s="71"/>
      <c r="AB2499" s="117" t="str">
        <f>IFERROR(VLOOKUP(Anexo_4[[#This Row],[cuenta]],OP,2,0),"-")</f>
        <v>-</v>
      </c>
    </row>
    <row r="2500" spans="1:28" ht="27" customHeight="1" x14ac:dyDescent="0.3">
      <c r="A2500" s="34" t="s">
        <v>7741</v>
      </c>
      <c r="B2500" s="36" t="str">
        <f t="shared" si="59"/>
        <v>Octubre</v>
      </c>
      <c r="C2500" s="33" t="s">
        <v>162</v>
      </c>
      <c r="D2500" s="33" t="s">
        <v>8126</v>
      </c>
      <c r="E2500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500" s="32" t="s">
        <v>175</v>
      </c>
      <c r="G2500" s="32" t="s">
        <v>5168</v>
      </c>
      <c r="H2500" s="139" t="s">
        <v>8127</v>
      </c>
      <c r="I2500" s="33" t="s">
        <v>264</v>
      </c>
      <c r="J2500" s="143" t="s">
        <v>4644</v>
      </c>
      <c r="K2500" s="33" t="s">
        <v>169</v>
      </c>
      <c r="L2500" s="102" t="str">
        <f>VLOOKUP(Anexo_4[[#This Row],[cod_doc]],TIPODOC,2,FALSE)</f>
        <v>FACTURA</v>
      </c>
      <c r="M2500" s="33" t="s">
        <v>271</v>
      </c>
      <c r="N2500" s="32" t="s">
        <v>8128</v>
      </c>
      <c r="O2500" s="48">
        <v>10.17</v>
      </c>
      <c r="P2500" s="49" t="s">
        <v>4341</v>
      </c>
      <c r="Q2500" s="81">
        <v>1.83</v>
      </c>
      <c r="R2500" s="80" t="s">
        <v>4341</v>
      </c>
      <c r="S2500" s="48" t="s">
        <v>4341</v>
      </c>
      <c r="T2500" s="72">
        <v>12</v>
      </c>
      <c r="U2500" s="70"/>
      <c r="V2500" s="32"/>
      <c r="W2500" s="70"/>
      <c r="X2500" s="70"/>
      <c r="Y2500" s="70" t="s">
        <v>8129</v>
      </c>
      <c r="Z2500" s="70"/>
      <c r="AA2500" s="71"/>
      <c r="AB2500" s="117" t="str">
        <f>IFERROR(VLOOKUP(Anexo_4[[#This Row],[cuenta]],OP,2,0),"-")</f>
        <v>-</v>
      </c>
    </row>
    <row r="2501" spans="1:28" ht="27" customHeight="1" x14ac:dyDescent="0.3">
      <c r="A2501" s="34" t="s">
        <v>7416</v>
      </c>
      <c r="B2501" s="36" t="str">
        <f t="shared" ref="B2501:B2507" si="60">PROPER(CHOOSE(LEFT(D2501,2),"enero","febrero","marzo","abril","mayo","junio","julio","agosto","setiembre","octubre","noviembre","diciembre"))</f>
        <v>Octubre</v>
      </c>
      <c r="C2501" s="33" t="s">
        <v>162</v>
      </c>
      <c r="D2501" s="33" t="s">
        <v>8130</v>
      </c>
      <c r="E2501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501" s="32" t="s">
        <v>5923</v>
      </c>
      <c r="G2501" s="32" t="s">
        <v>5924</v>
      </c>
      <c r="H2501" s="139" t="s">
        <v>8131</v>
      </c>
      <c r="I2501" s="33" t="s">
        <v>264</v>
      </c>
      <c r="J2501" s="143" t="s">
        <v>4644</v>
      </c>
      <c r="K2501" s="33" t="s">
        <v>169</v>
      </c>
      <c r="L2501" s="102" t="str">
        <f>VLOOKUP(Anexo_4[[#This Row],[cod_doc]],TIPODOC,2,FALSE)</f>
        <v>FACTURA</v>
      </c>
      <c r="M2501" s="33" t="s">
        <v>406</v>
      </c>
      <c r="N2501" s="32" t="s">
        <v>8132</v>
      </c>
      <c r="O2501" s="48">
        <v>6.78</v>
      </c>
      <c r="P2501" s="49" t="s">
        <v>4341</v>
      </c>
      <c r="Q2501" s="81">
        <v>1.22</v>
      </c>
      <c r="R2501" s="80" t="s">
        <v>4341</v>
      </c>
      <c r="S2501" s="48" t="s">
        <v>4341</v>
      </c>
      <c r="T2501" s="72">
        <v>8</v>
      </c>
      <c r="U2501" s="70"/>
      <c r="V2501" s="32"/>
      <c r="W2501" s="70"/>
      <c r="X2501" s="70"/>
      <c r="Y2501" s="70" t="s">
        <v>8133</v>
      </c>
      <c r="Z2501" s="70"/>
      <c r="AA2501" s="71"/>
      <c r="AB2501" s="117" t="str">
        <f>IFERROR(VLOOKUP(Anexo_4[[#This Row],[cuenta]],OP,2,0),"-")</f>
        <v>-</v>
      </c>
    </row>
    <row r="2502" spans="1:28" ht="27" customHeight="1" x14ac:dyDescent="0.3">
      <c r="A2502" s="34" t="s">
        <v>7741</v>
      </c>
      <c r="B2502" s="36" t="str">
        <f t="shared" si="60"/>
        <v>Octubre</v>
      </c>
      <c r="C2502" s="33" t="s">
        <v>162</v>
      </c>
      <c r="D2502" s="33" t="s">
        <v>8134</v>
      </c>
      <c r="E2502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502" s="32" t="s">
        <v>175</v>
      </c>
      <c r="G2502" s="32" t="s">
        <v>5168</v>
      </c>
      <c r="H2502" s="139" t="s">
        <v>8135</v>
      </c>
      <c r="I2502" s="33" t="s">
        <v>264</v>
      </c>
      <c r="J2502" s="143" t="s">
        <v>4644</v>
      </c>
      <c r="K2502" s="33" t="s">
        <v>169</v>
      </c>
      <c r="L2502" s="102" t="str">
        <f>VLOOKUP(Anexo_4[[#This Row],[cod_doc]],TIPODOC,2,FALSE)</f>
        <v>FACTURA</v>
      </c>
      <c r="M2502" s="33" t="s">
        <v>352</v>
      </c>
      <c r="N2502" s="32" t="s">
        <v>8136</v>
      </c>
      <c r="O2502" s="48">
        <v>10.17</v>
      </c>
      <c r="P2502" s="49" t="s">
        <v>4341</v>
      </c>
      <c r="Q2502" s="81">
        <v>1.83</v>
      </c>
      <c r="R2502" s="80" t="s">
        <v>4341</v>
      </c>
      <c r="S2502" s="48" t="s">
        <v>4341</v>
      </c>
      <c r="T2502" s="72">
        <v>12</v>
      </c>
      <c r="U2502" s="70"/>
      <c r="V2502" s="32"/>
      <c r="W2502" s="70"/>
      <c r="X2502" s="70"/>
      <c r="Y2502" s="70" t="s">
        <v>8137</v>
      </c>
      <c r="Z2502" s="70"/>
      <c r="AA2502" s="71"/>
      <c r="AB2502" s="117" t="str">
        <f>IFERROR(VLOOKUP(Anexo_4[[#This Row],[cuenta]],OP,2,0),"-")</f>
        <v>-</v>
      </c>
    </row>
    <row r="2503" spans="1:28" ht="27" customHeight="1" x14ac:dyDescent="0.3">
      <c r="A2503" s="34" t="s">
        <v>7416</v>
      </c>
      <c r="B2503" s="36" t="str">
        <f t="shared" si="60"/>
        <v>Octubre</v>
      </c>
      <c r="C2503" s="33" t="s">
        <v>162</v>
      </c>
      <c r="D2503" s="33" t="s">
        <v>8138</v>
      </c>
      <c r="E2503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503" s="32" t="s">
        <v>5923</v>
      </c>
      <c r="G2503" s="32" t="s">
        <v>5924</v>
      </c>
      <c r="H2503" s="139" t="s">
        <v>8139</v>
      </c>
      <c r="I2503" s="33" t="s">
        <v>264</v>
      </c>
      <c r="J2503" s="143" t="s">
        <v>4644</v>
      </c>
      <c r="K2503" s="33" t="s">
        <v>169</v>
      </c>
      <c r="L2503" s="102" t="str">
        <f>VLOOKUP(Anexo_4[[#This Row],[cod_doc]],TIPODOC,2,FALSE)</f>
        <v>FACTURA</v>
      </c>
      <c r="M2503" s="33" t="s">
        <v>379</v>
      </c>
      <c r="N2503" s="32" t="s">
        <v>8140</v>
      </c>
      <c r="O2503" s="48">
        <v>6.78</v>
      </c>
      <c r="P2503" s="49" t="s">
        <v>4341</v>
      </c>
      <c r="Q2503" s="81">
        <v>1.22</v>
      </c>
      <c r="R2503" s="80" t="s">
        <v>4341</v>
      </c>
      <c r="S2503" s="48" t="s">
        <v>4341</v>
      </c>
      <c r="T2503" s="72">
        <v>8</v>
      </c>
      <c r="U2503" s="70"/>
      <c r="V2503" s="32"/>
      <c r="W2503" s="70"/>
      <c r="X2503" s="70"/>
      <c r="Y2503" s="70" t="s">
        <v>8141</v>
      </c>
      <c r="Z2503" s="70"/>
      <c r="AA2503" s="71"/>
      <c r="AB2503" s="117" t="str">
        <f>IFERROR(VLOOKUP(Anexo_4[[#This Row],[cuenta]],OP,2,0),"-")</f>
        <v>-</v>
      </c>
    </row>
    <row r="2504" spans="1:28" ht="27" customHeight="1" x14ac:dyDescent="0.3">
      <c r="A2504" s="34" t="s">
        <v>7705</v>
      </c>
      <c r="B2504" s="36" t="str">
        <f t="shared" si="60"/>
        <v>Octubre</v>
      </c>
      <c r="C2504" s="33" t="s">
        <v>162</v>
      </c>
      <c r="D2504" s="33" t="s">
        <v>8142</v>
      </c>
      <c r="E2504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504" s="32" t="s">
        <v>5923</v>
      </c>
      <c r="G2504" s="32" t="s">
        <v>5924</v>
      </c>
      <c r="H2504" s="139" t="s">
        <v>8143</v>
      </c>
      <c r="I2504" s="33" t="s">
        <v>264</v>
      </c>
      <c r="J2504" s="143" t="s">
        <v>4644</v>
      </c>
      <c r="K2504" s="33" t="s">
        <v>169</v>
      </c>
      <c r="L2504" s="102" t="str">
        <f>VLOOKUP(Anexo_4[[#This Row],[cod_doc]],TIPODOC,2,FALSE)</f>
        <v>FACTURA</v>
      </c>
      <c r="M2504" s="33" t="s">
        <v>352</v>
      </c>
      <c r="N2504" s="32" t="s">
        <v>8144</v>
      </c>
      <c r="O2504" s="48">
        <v>6.78</v>
      </c>
      <c r="P2504" s="49" t="s">
        <v>4341</v>
      </c>
      <c r="Q2504" s="81">
        <v>1.22</v>
      </c>
      <c r="R2504" s="80" t="s">
        <v>4341</v>
      </c>
      <c r="S2504" s="48" t="s">
        <v>4341</v>
      </c>
      <c r="T2504" s="72">
        <v>8</v>
      </c>
      <c r="U2504" s="70"/>
      <c r="V2504" s="32"/>
      <c r="W2504" s="70"/>
      <c r="X2504" s="70"/>
      <c r="Y2504" s="70" t="s">
        <v>8145</v>
      </c>
      <c r="Z2504" s="70"/>
      <c r="AA2504" s="71"/>
      <c r="AB2504" s="117" t="str">
        <f>IFERROR(VLOOKUP(Anexo_4[[#This Row],[cuenta]],OP,2,0),"-")</f>
        <v>-</v>
      </c>
    </row>
    <row r="2505" spans="1:28" ht="27" customHeight="1" x14ac:dyDescent="0.3">
      <c r="A2505" s="34" t="s">
        <v>7705</v>
      </c>
      <c r="B2505" s="36" t="str">
        <f t="shared" si="60"/>
        <v>Octubre</v>
      </c>
      <c r="C2505" s="33" t="s">
        <v>162</v>
      </c>
      <c r="D2505" s="33" t="s">
        <v>8146</v>
      </c>
      <c r="E2505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505" s="32" t="s">
        <v>5923</v>
      </c>
      <c r="G2505" s="32" t="s">
        <v>5924</v>
      </c>
      <c r="H2505" s="139" t="s">
        <v>8147</v>
      </c>
      <c r="I2505" s="33" t="s">
        <v>264</v>
      </c>
      <c r="J2505" s="143" t="s">
        <v>4644</v>
      </c>
      <c r="K2505" s="33" t="s">
        <v>169</v>
      </c>
      <c r="L2505" s="102" t="str">
        <f>VLOOKUP(Anexo_4[[#This Row],[cod_doc]],TIPODOC,2,FALSE)</f>
        <v>FACTURA</v>
      </c>
      <c r="M2505" s="33" t="s">
        <v>406</v>
      </c>
      <c r="N2505" s="32" t="s">
        <v>8148</v>
      </c>
      <c r="O2505" s="48">
        <v>6.78</v>
      </c>
      <c r="P2505" s="49" t="s">
        <v>4341</v>
      </c>
      <c r="Q2505" s="81">
        <v>1.22</v>
      </c>
      <c r="R2505" s="80" t="s">
        <v>4341</v>
      </c>
      <c r="S2505" s="48" t="s">
        <v>4341</v>
      </c>
      <c r="T2505" s="72">
        <v>8</v>
      </c>
      <c r="U2505" s="70"/>
      <c r="V2505" s="32"/>
      <c r="W2505" s="70"/>
      <c r="X2505" s="70"/>
      <c r="Y2505" s="70" t="s">
        <v>8149</v>
      </c>
      <c r="Z2505" s="70"/>
      <c r="AA2505" s="71"/>
      <c r="AB2505" s="117" t="str">
        <f>IFERROR(VLOOKUP(Anexo_4[[#This Row],[cuenta]],OP,2,0),"-")</f>
        <v>-</v>
      </c>
    </row>
    <row r="2506" spans="1:28" ht="27" customHeight="1" x14ac:dyDescent="0.3">
      <c r="A2506" s="34" t="s">
        <v>7741</v>
      </c>
      <c r="B2506" s="36" t="str">
        <f t="shared" si="60"/>
        <v>Octubre</v>
      </c>
      <c r="C2506" s="33" t="s">
        <v>162</v>
      </c>
      <c r="D2506" s="33" t="s">
        <v>8150</v>
      </c>
      <c r="E2506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506" s="32" t="s">
        <v>235</v>
      </c>
      <c r="G2506" s="32" t="s">
        <v>5051</v>
      </c>
      <c r="H2506" s="139" t="s">
        <v>8151</v>
      </c>
      <c r="I2506" s="33" t="s">
        <v>264</v>
      </c>
      <c r="J2506" s="143" t="s">
        <v>4644</v>
      </c>
      <c r="K2506" s="33" t="s">
        <v>169</v>
      </c>
      <c r="L2506" s="102" t="str">
        <f>VLOOKUP(Anexo_4[[#This Row],[cod_doc]],TIPODOC,2,FALSE)</f>
        <v>FACTURA</v>
      </c>
      <c r="M2506" s="33" t="s">
        <v>406</v>
      </c>
      <c r="N2506" s="32" t="s">
        <v>8152</v>
      </c>
      <c r="O2506" s="48">
        <v>6.78</v>
      </c>
      <c r="P2506" s="49" t="s">
        <v>4341</v>
      </c>
      <c r="Q2506" s="81">
        <v>1.22</v>
      </c>
      <c r="R2506" s="80" t="s">
        <v>4341</v>
      </c>
      <c r="S2506" s="48" t="s">
        <v>4341</v>
      </c>
      <c r="T2506" s="72">
        <v>8</v>
      </c>
      <c r="U2506" s="70"/>
      <c r="V2506" s="32"/>
      <c r="W2506" s="70"/>
      <c r="X2506" s="70"/>
      <c r="Y2506" s="70" t="s">
        <v>8153</v>
      </c>
      <c r="Z2506" s="70"/>
      <c r="AA2506" s="71"/>
      <c r="AB2506" s="117" t="str">
        <f>IFERROR(VLOOKUP(Anexo_4[[#This Row],[cuenta]],OP,2,0),"-")</f>
        <v>-</v>
      </c>
    </row>
    <row r="2507" spans="1:28" ht="27" customHeight="1" x14ac:dyDescent="0.3">
      <c r="A2507" s="34" t="s">
        <v>7741</v>
      </c>
      <c r="B2507" s="36" t="str">
        <f t="shared" si="60"/>
        <v>Octubre</v>
      </c>
      <c r="C2507" s="33" t="s">
        <v>162</v>
      </c>
      <c r="D2507" s="33" t="s">
        <v>8154</v>
      </c>
      <c r="E2507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507" s="32" t="s">
        <v>235</v>
      </c>
      <c r="G2507" s="32" t="s">
        <v>5051</v>
      </c>
      <c r="H2507" s="139" t="s">
        <v>8155</v>
      </c>
      <c r="I2507" s="33" t="s">
        <v>264</v>
      </c>
      <c r="J2507" s="143" t="s">
        <v>4644</v>
      </c>
      <c r="K2507" s="33" t="s">
        <v>169</v>
      </c>
      <c r="L2507" s="102" t="str">
        <f>VLOOKUP(Anexo_4[[#This Row],[cod_doc]],TIPODOC,2,FALSE)</f>
        <v>FACTURA</v>
      </c>
      <c r="M2507" s="33" t="s">
        <v>352</v>
      </c>
      <c r="N2507" s="32" t="s">
        <v>8156</v>
      </c>
      <c r="O2507" s="48">
        <v>6.78</v>
      </c>
      <c r="P2507" s="49" t="s">
        <v>4341</v>
      </c>
      <c r="Q2507" s="81">
        <v>1.22</v>
      </c>
      <c r="R2507" s="80" t="s">
        <v>4341</v>
      </c>
      <c r="S2507" s="48" t="s">
        <v>4341</v>
      </c>
      <c r="T2507" s="72">
        <v>8</v>
      </c>
      <c r="U2507" s="70"/>
      <c r="V2507" s="32"/>
      <c r="W2507" s="70"/>
      <c r="X2507" s="70"/>
      <c r="Y2507" s="70" t="s">
        <v>8157</v>
      </c>
      <c r="Z2507" s="70"/>
      <c r="AA2507" s="71"/>
      <c r="AB2507" s="117" t="str">
        <f>IFERROR(VLOOKUP(Anexo_4[[#This Row],[cuenta]],OP,2,0),"-")</f>
        <v>-</v>
      </c>
    </row>
    <row r="2508" spans="1:28" ht="27" customHeight="1" x14ac:dyDescent="0.3">
      <c r="A2508" s="34" t="s">
        <v>8158</v>
      </c>
      <c r="B2508" s="36" t="str">
        <f t="shared" ref="B2508:B2519" si="61">PROPER(CHOOSE(LEFT(D2508,2),"enero","febrero","marzo","abril","mayo","junio","julio","agosto","setiembre","octubre","noviembre","diciembre"))</f>
        <v>Octubre</v>
      </c>
      <c r="C2508" s="33" t="s">
        <v>162</v>
      </c>
      <c r="D2508" s="33" t="s">
        <v>8159</v>
      </c>
      <c r="E2508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508" s="32" t="s">
        <v>248</v>
      </c>
      <c r="G2508" s="32" t="s">
        <v>249</v>
      </c>
      <c r="H2508" s="139" t="s">
        <v>8160</v>
      </c>
      <c r="I2508" s="33" t="s">
        <v>536</v>
      </c>
      <c r="J2508" s="143" t="s">
        <v>4997</v>
      </c>
      <c r="K2508" s="33" t="s">
        <v>169</v>
      </c>
      <c r="L2508" s="102" t="str">
        <f>VLOOKUP(Anexo_4[[#This Row],[cod_doc]],TIPODOC,2,FALSE)</f>
        <v>FACTURA</v>
      </c>
      <c r="M2508" s="33" t="s">
        <v>538</v>
      </c>
      <c r="N2508" s="32" t="s">
        <v>8161</v>
      </c>
      <c r="O2508" s="48">
        <v>172</v>
      </c>
      <c r="P2508" s="49" t="s">
        <v>4341</v>
      </c>
      <c r="Q2508" s="81">
        <v>30.96</v>
      </c>
      <c r="R2508" s="80" t="s">
        <v>4341</v>
      </c>
      <c r="S2508" s="48" t="s">
        <v>4341</v>
      </c>
      <c r="T2508" s="72">
        <v>202.96</v>
      </c>
      <c r="U2508" s="70" t="s">
        <v>8162</v>
      </c>
      <c r="V2508" s="32" t="s">
        <v>7710</v>
      </c>
      <c r="W2508" s="70"/>
      <c r="X2508" s="70"/>
      <c r="Y2508" s="70" t="s">
        <v>8163</v>
      </c>
      <c r="Z2508" s="70"/>
      <c r="AA2508" s="71"/>
      <c r="AB2508" s="117" t="str">
        <f>IFERROR(VLOOKUP(Anexo_4[[#This Row],[cuenta]],OP,2,0),"-")</f>
        <v>-</v>
      </c>
    </row>
    <row r="2509" spans="1:28" ht="27" customHeight="1" x14ac:dyDescent="0.3">
      <c r="A2509" s="34" t="s">
        <v>8158</v>
      </c>
      <c r="B2509" s="36" t="str">
        <f t="shared" si="61"/>
        <v>Octubre</v>
      </c>
      <c r="C2509" s="33" t="s">
        <v>162</v>
      </c>
      <c r="D2509" s="33" t="s">
        <v>8164</v>
      </c>
      <c r="E2509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509" s="32" t="s">
        <v>248</v>
      </c>
      <c r="G2509" s="32" t="s">
        <v>249</v>
      </c>
      <c r="H2509" s="139" t="s">
        <v>8165</v>
      </c>
      <c r="I2509" s="33" t="s">
        <v>536</v>
      </c>
      <c r="J2509" s="143" t="s">
        <v>4997</v>
      </c>
      <c r="K2509" s="33" t="s">
        <v>169</v>
      </c>
      <c r="L2509" s="102" t="str">
        <f>VLOOKUP(Anexo_4[[#This Row],[cod_doc]],TIPODOC,2,FALSE)</f>
        <v>FACTURA</v>
      </c>
      <c r="M2509" s="33" t="s">
        <v>538</v>
      </c>
      <c r="N2509" s="32" t="s">
        <v>8166</v>
      </c>
      <c r="O2509" s="48">
        <v>325</v>
      </c>
      <c r="P2509" s="49" t="s">
        <v>4341</v>
      </c>
      <c r="Q2509" s="81">
        <v>58.5</v>
      </c>
      <c r="R2509" s="80" t="s">
        <v>4341</v>
      </c>
      <c r="S2509" s="48" t="s">
        <v>4341</v>
      </c>
      <c r="T2509" s="72">
        <v>383.5</v>
      </c>
      <c r="U2509" s="70" t="s">
        <v>8167</v>
      </c>
      <c r="V2509" s="32" t="s">
        <v>7710</v>
      </c>
      <c r="W2509" s="70"/>
      <c r="X2509" s="70"/>
      <c r="Y2509" s="70" t="s">
        <v>8168</v>
      </c>
      <c r="Z2509" s="70"/>
      <c r="AA2509" s="71"/>
      <c r="AB2509" s="117" t="str">
        <f>IFERROR(VLOOKUP(Anexo_4[[#This Row],[cuenta]],OP,2,0),"-")</f>
        <v>-</v>
      </c>
    </row>
    <row r="2510" spans="1:28" ht="27" customHeight="1" x14ac:dyDescent="0.3">
      <c r="A2510" s="34" t="s">
        <v>8158</v>
      </c>
      <c r="B2510" s="36" t="str">
        <f t="shared" si="61"/>
        <v>Octubre</v>
      </c>
      <c r="C2510" s="33" t="s">
        <v>162</v>
      </c>
      <c r="D2510" s="33" t="s">
        <v>8169</v>
      </c>
      <c r="E2510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510" s="32" t="s">
        <v>248</v>
      </c>
      <c r="G2510" s="32" t="s">
        <v>249</v>
      </c>
      <c r="H2510" s="139" t="s">
        <v>8170</v>
      </c>
      <c r="I2510" s="33" t="s">
        <v>536</v>
      </c>
      <c r="J2510" s="143" t="s">
        <v>4997</v>
      </c>
      <c r="K2510" s="33" t="s">
        <v>169</v>
      </c>
      <c r="L2510" s="102" t="str">
        <f>VLOOKUP(Anexo_4[[#This Row],[cod_doc]],TIPODOC,2,FALSE)</f>
        <v>FACTURA</v>
      </c>
      <c r="M2510" s="33" t="s">
        <v>538</v>
      </c>
      <c r="N2510" s="32" t="s">
        <v>8171</v>
      </c>
      <c r="O2510" s="48">
        <v>3.6</v>
      </c>
      <c r="P2510" s="49" t="s">
        <v>4341</v>
      </c>
      <c r="Q2510" s="81">
        <v>0.65</v>
      </c>
      <c r="R2510" s="80" t="s">
        <v>4341</v>
      </c>
      <c r="S2510" s="48" t="s">
        <v>4341</v>
      </c>
      <c r="T2510" s="72">
        <v>4.25</v>
      </c>
      <c r="U2510" s="70" t="s">
        <v>8172</v>
      </c>
      <c r="V2510" s="32" t="s">
        <v>7710</v>
      </c>
      <c r="W2510" s="70"/>
      <c r="X2510" s="70"/>
      <c r="Y2510" s="70" t="s">
        <v>8173</v>
      </c>
      <c r="Z2510" s="70"/>
      <c r="AA2510" s="71"/>
      <c r="AB2510" s="117" t="str">
        <f>IFERROR(VLOOKUP(Anexo_4[[#This Row],[cuenta]],OP,2,0),"-")</f>
        <v>-</v>
      </c>
    </row>
    <row r="2511" spans="1:28" ht="27" customHeight="1" x14ac:dyDescent="0.3">
      <c r="A2511" s="34" t="s">
        <v>8158</v>
      </c>
      <c r="B2511" s="36" t="str">
        <f t="shared" si="61"/>
        <v>Octubre</v>
      </c>
      <c r="C2511" s="33" t="s">
        <v>162</v>
      </c>
      <c r="D2511" s="33" t="s">
        <v>8174</v>
      </c>
      <c r="E2511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511" s="32" t="s">
        <v>248</v>
      </c>
      <c r="G2511" s="32" t="s">
        <v>249</v>
      </c>
      <c r="H2511" s="139" t="s">
        <v>8175</v>
      </c>
      <c r="I2511" s="33" t="s">
        <v>536</v>
      </c>
      <c r="J2511" s="143" t="s">
        <v>4997</v>
      </c>
      <c r="K2511" s="33" t="s">
        <v>169</v>
      </c>
      <c r="L2511" s="102" t="str">
        <f>VLOOKUP(Anexo_4[[#This Row],[cod_doc]],TIPODOC,2,FALSE)</f>
        <v>FACTURA</v>
      </c>
      <c r="M2511" s="33" t="s">
        <v>538</v>
      </c>
      <c r="N2511" s="32" t="s">
        <v>8176</v>
      </c>
      <c r="O2511" s="48">
        <v>315</v>
      </c>
      <c r="P2511" s="49" t="s">
        <v>4341</v>
      </c>
      <c r="Q2511" s="81">
        <v>56.7</v>
      </c>
      <c r="R2511" s="80" t="s">
        <v>4341</v>
      </c>
      <c r="S2511" s="48" t="s">
        <v>4341</v>
      </c>
      <c r="T2511" s="72">
        <v>371.7</v>
      </c>
      <c r="U2511" s="70" t="s">
        <v>8177</v>
      </c>
      <c r="V2511" s="32" t="s">
        <v>7710</v>
      </c>
      <c r="W2511" s="70"/>
      <c r="X2511" s="70"/>
      <c r="Y2511" s="70" t="s">
        <v>8178</v>
      </c>
      <c r="Z2511" s="70"/>
      <c r="AA2511" s="71"/>
      <c r="AB2511" s="117" t="str">
        <f>IFERROR(VLOOKUP(Anexo_4[[#This Row],[cuenta]],OP,2,0),"-")</f>
        <v>-</v>
      </c>
    </row>
    <row r="2512" spans="1:28" ht="27" customHeight="1" x14ac:dyDescent="0.3">
      <c r="A2512" s="34" t="s">
        <v>8158</v>
      </c>
      <c r="B2512" s="36" t="str">
        <f t="shared" si="61"/>
        <v>Octubre</v>
      </c>
      <c r="C2512" s="33" t="s">
        <v>162</v>
      </c>
      <c r="D2512" s="33" t="s">
        <v>8179</v>
      </c>
      <c r="E2512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512" s="32" t="s">
        <v>248</v>
      </c>
      <c r="G2512" s="32" t="s">
        <v>249</v>
      </c>
      <c r="H2512" s="139" t="s">
        <v>8180</v>
      </c>
      <c r="I2512" s="33" t="s">
        <v>536</v>
      </c>
      <c r="J2512" s="143" t="s">
        <v>4997</v>
      </c>
      <c r="K2512" s="33" t="s">
        <v>169</v>
      </c>
      <c r="L2512" s="102" t="str">
        <f>VLOOKUP(Anexo_4[[#This Row],[cod_doc]],TIPODOC,2,FALSE)</f>
        <v>FACTURA</v>
      </c>
      <c r="M2512" s="33" t="s">
        <v>538</v>
      </c>
      <c r="N2512" s="32" t="s">
        <v>8181</v>
      </c>
      <c r="O2512" s="48">
        <v>108</v>
      </c>
      <c r="P2512" s="49" t="s">
        <v>4341</v>
      </c>
      <c r="Q2512" s="81">
        <v>19.440000000000001</v>
      </c>
      <c r="R2512" s="80" t="s">
        <v>4341</v>
      </c>
      <c r="S2512" s="48" t="s">
        <v>4341</v>
      </c>
      <c r="T2512" s="72">
        <v>127.44</v>
      </c>
      <c r="U2512" s="70" t="s">
        <v>8182</v>
      </c>
      <c r="V2512" s="32" t="s">
        <v>7710</v>
      </c>
      <c r="W2512" s="70"/>
      <c r="X2512" s="70"/>
      <c r="Y2512" s="70"/>
      <c r="Z2512" s="70"/>
      <c r="AA2512" s="71"/>
      <c r="AB2512" s="117" t="str">
        <f>IFERROR(VLOOKUP(Anexo_4[[#This Row],[cuenta]],OP,2,0),"-")</f>
        <v>-</v>
      </c>
    </row>
    <row r="2513" spans="1:28" ht="27" customHeight="1" x14ac:dyDescent="0.3">
      <c r="A2513" s="34" t="s">
        <v>8158</v>
      </c>
      <c r="B2513" s="36" t="str">
        <f t="shared" si="61"/>
        <v>Octubre</v>
      </c>
      <c r="C2513" s="33" t="s">
        <v>162</v>
      </c>
      <c r="D2513" s="33" t="s">
        <v>8183</v>
      </c>
      <c r="E2513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513" s="32" t="s">
        <v>248</v>
      </c>
      <c r="G2513" s="32" t="s">
        <v>249</v>
      </c>
      <c r="H2513" s="139" t="s">
        <v>8184</v>
      </c>
      <c r="I2513" s="33" t="s">
        <v>536</v>
      </c>
      <c r="J2513" s="143" t="s">
        <v>4997</v>
      </c>
      <c r="K2513" s="33" t="s">
        <v>169</v>
      </c>
      <c r="L2513" s="102" t="str">
        <f>VLOOKUP(Anexo_4[[#This Row],[cod_doc]],TIPODOC,2,FALSE)</f>
        <v>FACTURA</v>
      </c>
      <c r="M2513" s="33" t="s">
        <v>538</v>
      </c>
      <c r="N2513" s="32" t="s">
        <v>8185</v>
      </c>
      <c r="O2513" s="48">
        <v>676</v>
      </c>
      <c r="P2513" s="49" t="s">
        <v>4341</v>
      </c>
      <c r="Q2513" s="81">
        <v>121.68</v>
      </c>
      <c r="R2513" s="80" t="s">
        <v>4341</v>
      </c>
      <c r="S2513" s="48" t="s">
        <v>4341</v>
      </c>
      <c r="T2513" s="72">
        <v>797.68</v>
      </c>
      <c r="U2513" s="70" t="s">
        <v>8186</v>
      </c>
      <c r="V2513" s="32" t="s">
        <v>7710</v>
      </c>
      <c r="W2513" s="70"/>
      <c r="X2513" s="70"/>
      <c r="Y2513" s="70" t="s">
        <v>8187</v>
      </c>
      <c r="Z2513" s="70"/>
      <c r="AA2513" s="71"/>
      <c r="AB2513" s="117" t="str">
        <f>IFERROR(VLOOKUP(Anexo_4[[#This Row],[cuenta]],OP,2,0),"-")</f>
        <v>-</v>
      </c>
    </row>
    <row r="2514" spans="1:28" ht="27" customHeight="1" x14ac:dyDescent="0.3">
      <c r="A2514" s="34" t="s">
        <v>8158</v>
      </c>
      <c r="B2514" s="36" t="str">
        <f t="shared" si="61"/>
        <v>Octubre</v>
      </c>
      <c r="C2514" s="33" t="s">
        <v>162</v>
      </c>
      <c r="D2514" s="33" t="s">
        <v>8188</v>
      </c>
      <c r="E2514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514" s="32" t="s">
        <v>248</v>
      </c>
      <c r="G2514" s="32" t="s">
        <v>249</v>
      </c>
      <c r="H2514" s="139" t="s">
        <v>8189</v>
      </c>
      <c r="I2514" s="33" t="s">
        <v>536</v>
      </c>
      <c r="J2514" s="143" t="s">
        <v>4997</v>
      </c>
      <c r="K2514" s="33" t="s">
        <v>169</v>
      </c>
      <c r="L2514" s="102" t="str">
        <f>VLOOKUP(Anexo_4[[#This Row],[cod_doc]],TIPODOC,2,FALSE)</f>
        <v>FACTURA</v>
      </c>
      <c r="M2514" s="33" t="s">
        <v>538</v>
      </c>
      <c r="N2514" s="32" t="s">
        <v>8190</v>
      </c>
      <c r="O2514" s="48">
        <v>132.5</v>
      </c>
      <c r="P2514" s="49" t="s">
        <v>4341</v>
      </c>
      <c r="Q2514" s="81">
        <v>23.85</v>
      </c>
      <c r="R2514" s="80" t="s">
        <v>4341</v>
      </c>
      <c r="S2514" s="48" t="s">
        <v>4341</v>
      </c>
      <c r="T2514" s="72">
        <v>156.35</v>
      </c>
      <c r="U2514" s="70" t="s">
        <v>8191</v>
      </c>
      <c r="V2514" s="32" t="s">
        <v>7710</v>
      </c>
      <c r="W2514" s="70"/>
      <c r="X2514" s="70"/>
      <c r="Y2514" s="70" t="s">
        <v>8192</v>
      </c>
      <c r="Z2514" s="70"/>
      <c r="AA2514" s="71"/>
      <c r="AB2514" s="117" t="str">
        <f>IFERROR(VLOOKUP(Anexo_4[[#This Row],[cuenta]],OP,2,0),"-")</f>
        <v>-</v>
      </c>
    </row>
    <row r="2515" spans="1:28" ht="27" customHeight="1" x14ac:dyDescent="0.3">
      <c r="A2515" s="34" t="s">
        <v>8158</v>
      </c>
      <c r="B2515" s="36" t="str">
        <f t="shared" si="61"/>
        <v>Octubre</v>
      </c>
      <c r="C2515" s="33" t="s">
        <v>162</v>
      </c>
      <c r="D2515" s="33" t="s">
        <v>8193</v>
      </c>
      <c r="E2515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515" s="32" t="s">
        <v>248</v>
      </c>
      <c r="G2515" s="32" t="s">
        <v>249</v>
      </c>
      <c r="H2515" s="139" t="s">
        <v>8194</v>
      </c>
      <c r="I2515" s="33" t="s">
        <v>536</v>
      </c>
      <c r="J2515" s="143" t="s">
        <v>4997</v>
      </c>
      <c r="K2515" s="33" t="s">
        <v>169</v>
      </c>
      <c r="L2515" s="102" t="str">
        <f>VLOOKUP(Anexo_4[[#This Row],[cod_doc]],TIPODOC,2,FALSE)</f>
        <v>FACTURA</v>
      </c>
      <c r="M2515" s="33" t="s">
        <v>538</v>
      </c>
      <c r="N2515" s="32" t="s">
        <v>8195</v>
      </c>
      <c r="O2515" s="48">
        <v>34</v>
      </c>
      <c r="P2515" s="49" t="s">
        <v>4341</v>
      </c>
      <c r="Q2515" s="81">
        <v>6.12</v>
      </c>
      <c r="R2515" s="80" t="s">
        <v>4341</v>
      </c>
      <c r="S2515" s="48" t="s">
        <v>4341</v>
      </c>
      <c r="T2515" s="72">
        <v>40.119999999999997</v>
      </c>
      <c r="U2515" s="70" t="s">
        <v>8196</v>
      </c>
      <c r="V2515" s="32" t="s">
        <v>7710</v>
      </c>
      <c r="W2515" s="70"/>
      <c r="X2515" s="70"/>
      <c r="Y2515" s="70" t="s">
        <v>8197</v>
      </c>
      <c r="Z2515" s="70"/>
      <c r="AA2515" s="71"/>
      <c r="AB2515" s="117" t="str">
        <f>IFERROR(VLOOKUP(Anexo_4[[#This Row],[cuenta]],OP,2,0),"-")</f>
        <v>-</v>
      </c>
    </row>
    <row r="2516" spans="1:28" ht="27" customHeight="1" x14ac:dyDescent="0.3">
      <c r="A2516" s="34" t="s">
        <v>8158</v>
      </c>
      <c r="B2516" s="36" t="str">
        <f t="shared" si="61"/>
        <v>Octubre</v>
      </c>
      <c r="C2516" s="33" t="s">
        <v>162</v>
      </c>
      <c r="D2516" s="33" t="s">
        <v>8198</v>
      </c>
      <c r="E2516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516" s="32" t="s">
        <v>248</v>
      </c>
      <c r="G2516" s="32" t="s">
        <v>249</v>
      </c>
      <c r="H2516" s="139" t="s">
        <v>8199</v>
      </c>
      <c r="I2516" s="33" t="s">
        <v>536</v>
      </c>
      <c r="J2516" s="143" t="s">
        <v>4997</v>
      </c>
      <c r="K2516" s="33" t="s">
        <v>169</v>
      </c>
      <c r="L2516" s="102" t="str">
        <f>VLOOKUP(Anexo_4[[#This Row],[cod_doc]],TIPODOC,2,FALSE)</f>
        <v>FACTURA</v>
      </c>
      <c r="M2516" s="33" t="s">
        <v>538</v>
      </c>
      <c r="N2516" s="32" t="s">
        <v>8200</v>
      </c>
      <c r="O2516" s="48">
        <v>54</v>
      </c>
      <c r="P2516" s="49" t="s">
        <v>4341</v>
      </c>
      <c r="Q2516" s="81">
        <v>9.7200000000000006</v>
      </c>
      <c r="R2516" s="80" t="s">
        <v>4341</v>
      </c>
      <c r="S2516" s="48" t="s">
        <v>4341</v>
      </c>
      <c r="T2516" s="72">
        <v>63.72</v>
      </c>
      <c r="U2516" s="70" t="s">
        <v>8201</v>
      </c>
      <c r="V2516" s="32" t="s">
        <v>7710</v>
      </c>
      <c r="W2516" s="70"/>
      <c r="X2516" s="70"/>
      <c r="Y2516" s="70" t="s">
        <v>8202</v>
      </c>
      <c r="Z2516" s="70"/>
      <c r="AA2516" s="71"/>
      <c r="AB2516" s="117" t="str">
        <f>IFERROR(VLOOKUP(Anexo_4[[#This Row],[cuenta]],OP,2,0),"-")</f>
        <v>-</v>
      </c>
    </row>
    <row r="2517" spans="1:28" ht="27" customHeight="1" x14ac:dyDescent="0.3">
      <c r="A2517" s="34" t="s">
        <v>8158</v>
      </c>
      <c r="B2517" s="36" t="str">
        <f t="shared" si="61"/>
        <v>Octubre</v>
      </c>
      <c r="C2517" s="33" t="s">
        <v>162</v>
      </c>
      <c r="D2517" s="33" t="s">
        <v>8203</v>
      </c>
      <c r="E2517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517" s="32" t="s">
        <v>248</v>
      </c>
      <c r="G2517" s="32" t="s">
        <v>249</v>
      </c>
      <c r="H2517" s="139" t="s">
        <v>8204</v>
      </c>
      <c r="I2517" s="33" t="s">
        <v>536</v>
      </c>
      <c r="J2517" s="143" t="s">
        <v>4997</v>
      </c>
      <c r="K2517" s="33" t="s">
        <v>169</v>
      </c>
      <c r="L2517" s="102" t="str">
        <f>VLOOKUP(Anexo_4[[#This Row],[cod_doc]],TIPODOC,2,FALSE)</f>
        <v>FACTURA</v>
      </c>
      <c r="M2517" s="33" t="s">
        <v>538</v>
      </c>
      <c r="N2517" s="32" t="s">
        <v>8205</v>
      </c>
      <c r="O2517" s="48">
        <v>91.8</v>
      </c>
      <c r="P2517" s="49" t="s">
        <v>4341</v>
      </c>
      <c r="Q2517" s="81">
        <v>16.52</v>
      </c>
      <c r="R2517" s="80" t="s">
        <v>4341</v>
      </c>
      <c r="S2517" s="48" t="s">
        <v>4341</v>
      </c>
      <c r="T2517" s="72">
        <v>108.32</v>
      </c>
      <c r="U2517" s="70" t="s">
        <v>8206</v>
      </c>
      <c r="V2517" s="32" t="s">
        <v>7710</v>
      </c>
      <c r="W2517" s="70"/>
      <c r="X2517" s="70"/>
      <c r="Y2517" s="70" t="s">
        <v>8207</v>
      </c>
      <c r="Z2517" s="70"/>
      <c r="AA2517" s="71"/>
      <c r="AB2517" s="117" t="str">
        <f>IFERROR(VLOOKUP(Anexo_4[[#This Row],[cuenta]],OP,2,0),"-")</f>
        <v>-</v>
      </c>
    </row>
    <row r="2518" spans="1:28" ht="27" customHeight="1" x14ac:dyDescent="0.3">
      <c r="A2518" s="34" t="s">
        <v>7416</v>
      </c>
      <c r="B2518" s="36" t="str">
        <f t="shared" si="61"/>
        <v>Octubre</v>
      </c>
      <c r="C2518" s="33" t="s">
        <v>162</v>
      </c>
      <c r="D2518" s="33" t="s">
        <v>8208</v>
      </c>
      <c r="E2518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518" s="32" t="s">
        <v>5923</v>
      </c>
      <c r="G2518" s="32" t="s">
        <v>5924</v>
      </c>
      <c r="H2518" s="139" t="s">
        <v>8209</v>
      </c>
      <c r="I2518" s="33" t="s">
        <v>886</v>
      </c>
      <c r="J2518" s="143" t="s">
        <v>6271</v>
      </c>
      <c r="K2518" s="33" t="s">
        <v>169</v>
      </c>
      <c r="L2518" s="102" t="str">
        <f>VLOOKUP(Anexo_4[[#This Row],[cod_doc]],TIPODOC,2,FALSE)</f>
        <v>FACTURA</v>
      </c>
      <c r="M2518" s="33" t="s">
        <v>343</v>
      </c>
      <c r="N2518" s="32" t="s">
        <v>8210</v>
      </c>
      <c r="O2518" s="48">
        <v>186.7</v>
      </c>
      <c r="P2518" s="49" t="s">
        <v>4341</v>
      </c>
      <c r="Q2518" s="81">
        <v>33.61</v>
      </c>
      <c r="R2518" s="80" t="s">
        <v>4341</v>
      </c>
      <c r="S2518" s="48" t="s">
        <v>4341</v>
      </c>
      <c r="T2518" s="72">
        <v>220.31</v>
      </c>
      <c r="U2518" s="70"/>
      <c r="V2518" s="32"/>
      <c r="W2518" s="70"/>
      <c r="X2518" s="70"/>
      <c r="Y2518" s="70"/>
      <c r="Z2518" s="70"/>
      <c r="AA2518" s="71"/>
      <c r="AB2518" s="117" t="str">
        <f>IFERROR(VLOOKUP(Anexo_4[[#This Row],[cuenta]],OP,2,0),"-")</f>
        <v>-</v>
      </c>
    </row>
    <row r="2519" spans="1:28" ht="27" customHeight="1" x14ac:dyDescent="0.3">
      <c r="A2519" s="34" t="s">
        <v>7416</v>
      </c>
      <c r="B2519" s="36" t="str">
        <f t="shared" si="61"/>
        <v>Octubre</v>
      </c>
      <c r="C2519" s="33" t="s">
        <v>162</v>
      </c>
      <c r="D2519" s="33" t="s">
        <v>8211</v>
      </c>
      <c r="E2519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519" s="32" t="s">
        <v>235</v>
      </c>
      <c r="G2519" s="32" t="s">
        <v>5051</v>
      </c>
      <c r="H2519" s="139" t="s">
        <v>8212</v>
      </c>
      <c r="I2519" s="33" t="s">
        <v>886</v>
      </c>
      <c r="J2519" s="143" t="s">
        <v>6271</v>
      </c>
      <c r="K2519" s="33" t="s">
        <v>169</v>
      </c>
      <c r="L2519" s="102" t="str">
        <f>VLOOKUP(Anexo_4[[#This Row],[cod_doc]],TIPODOC,2,FALSE)</f>
        <v>FACTURA</v>
      </c>
      <c r="M2519" s="33" t="s">
        <v>343</v>
      </c>
      <c r="N2519" s="32" t="s">
        <v>8213</v>
      </c>
      <c r="O2519" s="48">
        <v>376.88</v>
      </c>
      <c r="P2519" s="49" t="s">
        <v>4341</v>
      </c>
      <c r="Q2519" s="81">
        <v>67.84</v>
      </c>
      <c r="R2519" s="80" t="s">
        <v>4341</v>
      </c>
      <c r="S2519" s="48" t="s">
        <v>4341</v>
      </c>
      <c r="T2519" s="72">
        <v>444.72</v>
      </c>
      <c r="U2519" s="70"/>
      <c r="V2519" s="32"/>
      <c r="W2519" s="70"/>
      <c r="X2519" s="70"/>
      <c r="Y2519" s="70"/>
      <c r="Z2519" s="70"/>
      <c r="AA2519" s="71"/>
      <c r="AB2519" s="117" t="str">
        <f>IFERROR(VLOOKUP(Anexo_4[[#This Row],[cuenta]],OP,2,0),"-")</f>
        <v>-</v>
      </c>
    </row>
    <row r="2520" spans="1:28" ht="27" customHeight="1" x14ac:dyDescent="0.3">
      <c r="A2520" s="34" t="s">
        <v>7276</v>
      </c>
      <c r="B2520" s="36" t="str">
        <f t="shared" ref="B2520:B2531" si="62">PROPER(CHOOSE(LEFT(D2520,2),"enero","febrero","marzo","abril","mayo","junio","julio","agosto","setiembre","octubre","noviembre","diciembre"))</f>
        <v>Octubre</v>
      </c>
      <c r="C2520" s="33" t="s">
        <v>162</v>
      </c>
      <c r="D2520" s="33" t="s">
        <v>8214</v>
      </c>
      <c r="E2520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520" s="32" t="s">
        <v>175</v>
      </c>
      <c r="G2520" s="32" t="s">
        <v>5168</v>
      </c>
      <c r="H2520" s="139" t="s">
        <v>8215</v>
      </c>
      <c r="I2520" s="33" t="s">
        <v>886</v>
      </c>
      <c r="J2520" s="143" t="s">
        <v>6271</v>
      </c>
      <c r="K2520" s="33" t="s">
        <v>169</v>
      </c>
      <c r="L2520" s="102" t="str">
        <f>VLOOKUP(Anexo_4[[#This Row],[cod_doc]],TIPODOC,2,FALSE)</f>
        <v>FACTURA</v>
      </c>
      <c r="M2520" s="33" t="s">
        <v>343</v>
      </c>
      <c r="N2520" s="32" t="s">
        <v>8216</v>
      </c>
      <c r="O2520" s="48">
        <v>211.87</v>
      </c>
      <c r="P2520" s="49" t="s">
        <v>4341</v>
      </c>
      <c r="Q2520" s="81">
        <v>38.14</v>
      </c>
      <c r="R2520" s="80" t="s">
        <v>4341</v>
      </c>
      <c r="S2520" s="48" t="s">
        <v>4341</v>
      </c>
      <c r="T2520" s="72">
        <v>250.01</v>
      </c>
      <c r="U2520" s="70"/>
      <c r="V2520" s="32"/>
      <c r="W2520" s="70"/>
      <c r="X2520" s="70"/>
      <c r="Y2520" s="70"/>
      <c r="Z2520" s="70"/>
      <c r="AA2520" s="71"/>
      <c r="AB2520" s="117" t="str">
        <f>IFERROR(VLOOKUP(Anexo_4[[#This Row],[cuenta]],OP,2,0),"-")</f>
        <v>-</v>
      </c>
    </row>
    <row r="2521" spans="1:28" ht="27" customHeight="1" x14ac:dyDescent="0.3">
      <c r="A2521" s="34" t="s">
        <v>7276</v>
      </c>
      <c r="B2521" s="36" t="str">
        <f t="shared" si="62"/>
        <v>Octubre</v>
      </c>
      <c r="C2521" s="33" t="s">
        <v>162</v>
      </c>
      <c r="D2521" s="33" t="s">
        <v>8217</v>
      </c>
      <c r="E2521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521" s="32" t="s">
        <v>5923</v>
      </c>
      <c r="G2521" s="32" t="s">
        <v>5924</v>
      </c>
      <c r="H2521" s="139" t="s">
        <v>8218</v>
      </c>
      <c r="I2521" s="33" t="s">
        <v>886</v>
      </c>
      <c r="J2521" s="143" t="s">
        <v>6271</v>
      </c>
      <c r="K2521" s="33" t="s">
        <v>169</v>
      </c>
      <c r="L2521" s="102" t="str">
        <f>VLOOKUP(Anexo_4[[#This Row],[cod_doc]],TIPODOC,2,FALSE)</f>
        <v>FACTURA</v>
      </c>
      <c r="M2521" s="33" t="s">
        <v>343</v>
      </c>
      <c r="N2521" s="32" t="s">
        <v>8219</v>
      </c>
      <c r="O2521" s="48">
        <v>377.01</v>
      </c>
      <c r="P2521" s="49" t="s">
        <v>4341</v>
      </c>
      <c r="Q2521" s="81">
        <v>67.86</v>
      </c>
      <c r="R2521" s="80" t="s">
        <v>4341</v>
      </c>
      <c r="S2521" s="48" t="s">
        <v>4341</v>
      </c>
      <c r="T2521" s="72">
        <v>444.87</v>
      </c>
      <c r="U2521" s="70"/>
      <c r="V2521" s="32"/>
      <c r="W2521" s="70"/>
      <c r="X2521" s="70"/>
      <c r="Y2521" s="70"/>
      <c r="Z2521" s="70"/>
      <c r="AA2521" s="71"/>
      <c r="AB2521" s="117" t="str">
        <f>IFERROR(VLOOKUP(Anexo_4[[#This Row],[cuenta]],OP,2,0),"-")</f>
        <v>-</v>
      </c>
    </row>
    <row r="2522" spans="1:28" ht="27" customHeight="1" x14ac:dyDescent="0.3">
      <c r="A2522" s="34" t="s">
        <v>7276</v>
      </c>
      <c r="B2522" s="36" t="str">
        <f t="shared" si="62"/>
        <v>Octubre</v>
      </c>
      <c r="C2522" s="33" t="s">
        <v>162</v>
      </c>
      <c r="D2522" s="33" t="s">
        <v>8220</v>
      </c>
      <c r="E2522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522" s="32" t="s">
        <v>5923</v>
      </c>
      <c r="G2522" s="32" t="s">
        <v>5924</v>
      </c>
      <c r="H2522" s="139" t="s">
        <v>8221</v>
      </c>
      <c r="I2522" s="33" t="s">
        <v>886</v>
      </c>
      <c r="J2522" s="143" t="s">
        <v>6271</v>
      </c>
      <c r="K2522" s="33" t="s">
        <v>169</v>
      </c>
      <c r="L2522" s="102" t="str">
        <f>VLOOKUP(Anexo_4[[#This Row],[cod_doc]],TIPODOC,2,FALSE)</f>
        <v>FACTURA</v>
      </c>
      <c r="M2522" s="33" t="s">
        <v>343</v>
      </c>
      <c r="N2522" s="32" t="s">
        <v>8222</v>
      </c>
      <c r="O2522" s="48">
        <v>389.5</v>
      </c>
      <c r="P2522" s="49" t="s">
        <v>4341</v>
      </c>
      <c r="Q2522" s="81">
        <v>70.11</v>
      </c>
      <c r="R2522" s="80" t="s">
        <v>4341</v>
      </c>
      <c r="S2522" s="48" t="s">
        <v>4341</v>
      </c>
      <c r="T2522" s="72">
        <v>459.61</v>
      </c>
      <c r="U2522" s="70"/>
      <c r="V2522" s="32"/>
      <c r="W2522" s="70"/>
      <c r="X2522" s="70"/>
      <c r="Y2522" s="70"/>
      <c r="Z2522" s="70"/>
      <c r="AA2522" s="71"/>
      <c r="AB2522" s="117" t="str">
        <f>IFERROR(VLOOKUP(Anexo_4[[#This Row],[cuenta]],OP,2,0),"-")</f>
        <v>-</v>
      </c>
    </row>
    <row r="2523" spans="1:28" ht="27" customHeight="1" x14ac:dyDescent="0.3">
      <c r="A2523" s="34" t="s">
        <v>5444</v>
      </c>
      <c r="B2523" s="36" t="str">
        <f t="shared" si="62"/>
        <v>Octubre</v>
      </c>
      <c r="C2523" s="33" t="s">
        <v>162</v>
      </c>
      <c r="D2523" s="33" t="s">
        <v>8223</v>
      </c>
      <c r="E2523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523" s="32"/>
      <c r="G2523" s="32"/>
      <c r="H2523" s="139" t="s">
        <v>8224</v>
      </c>
      <c r="I2523" s="33" t="s">
        <v>2598</v>
      </c>
      <c r="J2523" s="143" t="s">
        <v>4629</v>
      </c>
      <c r="K2523" s="33" t="s">
        <v>169</v>
      </c>
      <c r="L2523" s="102" t="str">
        <f>VLOOKUP(Anexo_4[[#This Row],[cod_doc]],TIPODOC,2,FALSE)</f>
        <v>FACTURA</v>
      </c>
      <c r="M2523" s="33" t="s">
        <v>102</v>
      </c>
      <c r="N2523" s="32" t="s">
        <v>8225</v>
      </c>
      <c r="O2523" s="48">
        <v>150</v>
      </c>
      <c r="P2523" s="49" t="s">
        <v>4341</v>
      </c>
      <c r="Q2523" s="81">
        <v>27</v>
      </c>
      <c r="R2523" s="80" t="s">
        <v>4341</v>
      </c>
      <c r="S2523" s="48" t="s">
        <v>4341</v>
      </c>
      <c r="T2523" s="72">
        <v>177</v>
      </c>
      <c r="U2523" s="70"/>
      <c r="V2523" s="32"/>
      <c r="W2523" s="70"/>
      <c r="X2523" s="70"/>
      <c r="Y2523" s="70"/>
      <c r="Z2523" s="70"/>
      <c r="AA2523" s="71"/>
      <c r="AB2523" s="117" t="str">
        <f>IFERROR(VLOOKUP(Anexo_4[[#This Row],[cuenta]],OP,2,0),"-")</f>
        <v>-</v>
      </c>
    </row>
    <row r="2524" spans="1:28" ht="27" customHeight="1" x14ac:dyDescent="0.3">
      <c r="A2524" s="34" t="s">
        <v>7129</v>
      </c>
      <c r="B2524" s="36" t="str">
        <f t="shared" si="62"/>
        <v>Octubre</v>
      </c>
      <c r="C2524" s="33" t="s">
        <v>162</v>
      </c>
      <c r="D2524" s="33" t="s">
        <v>8226</v>
      </c>
      <c r="E2524" s="37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2524" s="32" t="s">
        <v>198</v>
      </c>
      <c r="G2524" s="32" t="s">
        <v>199</v>
      </c>
      <c r="H2524" s="139" t="s">
        <v>8227</v>
      </c>
      <c r="I2524" s="33" t="s">
        <v>1212</v>
      </c>
      <c r="J2524" s="143" t="s">
        <v>4928</v>
      </c>
      <c r="K2524" s="33" t="s">
        <v>169</v>
      </c>
      <c r="L2524" s="102" t="str">
        <f>VLOOKUP(Anexo_4[[#This Row],[cod_doc]],TIPODOC,2,FALSE)</f>
        <v>FACTURA</v>
      </c>
      <c r="M2524" s="33" t="s">
        <v>180</v>
      </c>
      <c r="N2524" s="32" t="s">
        <v>8228</v>
      </c>
      <c r="O2524" s="48">
        <v>1016.95</v>
      </c>
      <c r="P2524" s="49" t="s">
        <v>4341</v>
      </c>
      <c r="Q2524" s="81">
        <v>183.05</v>
      </c>
      <c r="R2524" s="80" t="s">
        <v>4341</v>
      </c>
      <c r="S2524" s="48" t="s">
        <v>4341</v>
      </c>
      <c r="T2524" s="72">
        <v>1200</v>
      </c>
      <c r="U2524" s="70" t="s">
        <v>8229</v>
      </c>
      <c r="V2524" s="32" t="s">
        <v>7710</v>
      </c>
      <c r="W2524" s="70"/>
      <c r="X2524" s="70"/>
      <c r="Y2524" s="70"/>
      <c r="Z2524" s="70"/>
      <c r="AA2524" s="71"/>
      <c r="AB2524" s="117" t="str">
        <f>IFERROR(VLOOKUP(Anexo_4[[#This Row],[cuenta]],OP,2,0),"-")</f>
        <v>-</v>
      </c>
    </row>
    <row r="2525" spans="1:28" ht="27" customHeight="1" x14ac:dyDescent="0.3">
      <c r="A2525" s="34" t="s">
        <v>7141</v>
      </c>
      <c r="B2525" s="36" t="str">
        <f t="shared" si="62"/>
        <v>Octubre</v>
      </c>
      <c r="C2525" s="33" t="s">
        <v>162</v>
      </c>
      <c r="D2525" s="33" t="s">
        <v>8230</v>
      </c>
      <c r="E2525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525" s="32" t="s">
        <v>355</v>
      </c>
      <c r="G2525" s="32" t="s">
        <v>356</v>
      </c>
      <c r="H2525" s="139" t="s">
        <v>8231</v>
      </c>
      <c r="I2525" s="33" t="s">
        <v>1263</v>
      </c>
      <c r="J2525" s="143" t="s">
        <v>8232</v>
      </c>
      <c r="K2525" s="33" t="s">
        <v>169</v>
      </c>
      <c r="L2525" s="102" t="str">
        <f>VLOOKUP(Anexo_4[[#This Row],[cod_doc]],TIPODOC,2,FALSE)</f>
        <v>FACTURA</v>
      </c>
      <c r="M2525" s="33" t="s">
        <v>102</v>
      </c>
      <c r="N2525" s="32" t="s">
        <v>8233</v>
      </c>
      <c r="O2525" s="48">
        <v>1271.19</v>
      </c>
      <c r="P2525" s="49" t="s">
        <v>4341</v>
      </c>
      <c r="Q2525" s="81">
        <v>228.81</v>
      </c>
      <c r="R2525" s="80" t="s">
        <v>4341</v>
      </c>
      <c r="S2525" s="48" t="s">
        <v>4341</v>
      </c>
      <c r="T2525" s="72">
        <v>1500</v>
      </c>
      <c r="U2525" s="70"/>
      <c r="V2525" s="32"/>
      <c r="W2525" s="70"/>
      <c r="X2525" s="70"/>
      <c r="Y2525" s="70"/>
      <c r="Z2525" s="70"/>
      <c r="AA2525" s="71"/>
      <c r="AB2525" s="117" t="str">
        <f>IFERROR(VLOOKUP(Anexo_4[[#This Row],[cuenta]],OP,2,0),"-")</f>
        <v>-</v>
      </c>
    </row>
    <row r="2526" spans="1:28" ht="27" customHeight="1" x14ac:dyDescent="0.3">
      <c r="A2526" s="34" t="s">
        <v>8234</v>
      </c>
      <c r="B2526" s="36" t="str">
        <f t="shared" si="62"/>
        <v>Octubre</v>
      </c>
      <c r="C2526" s="33" t="s">
        <v>162</v>
      </c>
      <c r="D2526" s="33" t="s">
        <v>8235</v>
      </c>
      <c r="E2526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526" s="32" t="s">
        <v>449</v>
      </c>
      <c r="G2526" s="32" t="s">
        <v>4868</v>
      </c>
      <c r="H2526" s="139" t="s">
        <v>8236</v>
      </c>
      <c r="I2526" s="33" t="s">
        <v>8237</v>
      </c>
      <c r="J2526" s="143" t="s">
        <v>8238</v>
      </c>
      <c r="K2526" s="33" t="s">
        <v>169</v>
      </c>
      <c r="L2526" s="102" t="str">
        <f>VLOOKUP(Anexo_4[[#This Row],[cod_doc]],TIPODOC,2,FALSE)</f>
        <v>FACTURA</v>
      </c>
      <c r="M2526" s="33" t="s">
        <v>8239</v>
      </c>
      <c r="N2526" s="32" t="s">
        <v>8240</v>
      </c>
      <c r="O2526" s="48">
        <v>127.12</v>
      </c>
      <c r="P2526" s="49" t="s">
        <v>4341</v>
      </c>
      <c r="Q2526" s="81">
        <v>22.88</v>
      </c>
      <c r="R2526" s="80" t="s">
        <v>4341</v>
      </c>
      <c r="S2526" s="48" t="s">
        <v>4341</v>
      </c>
      <c r="T2526" s="72">
        <v>150</v>
      </c>
      <c r="U2526" s="70"/>
      <c r="V2526" s="32"/>
      <c r="W2526" s="70"/>
      <c r="X2526" s="70"/>
      <c r="Y2526" s="70"/>
      <c r="Z2526" s="70"/>
      <c r="AA2526" s="71"/>
      <c r="AB2526" s="117" t="str">
        <f>IFERROR(VLOOKUP(Anexo_4[[#This Row],[cuenta]],OP,2,0),"-")</f>
        <v>-</v>
      </c>
    </row>
    <row r="2527" spans="1:28" ht="27" customHeight="1" x14ac:dyDescent="0.3">
      <c r="A2527" s="34" t="s">
        <v>8234</v>
      </c>
      <c r="B2527" s="36" t="str">
        <f t="shared" si="62"/>
        <v>Octubre</v>
      </c>
      <c r="C2527" s="33" t="s">
        <v>162</v>
      </c>
      <c r="D2527" s="33" t="s">
        <v>8241</v>
      </c>
      <c r="E2527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527" s="32" t="s">
        <v>650</v>
      </c>
      <c r="G2527" s="32" t="s">
        <v>651</v>
      </c>
      <c r="H2527" s="139" t="s">
        <v>8242</v>
      </c>
      <c r="I2527" s="33" t="s">
        <v>653</v>
      </c>
      <c r="J2527" s="143" t="s">
        <v>4678</v>
      </c>
      <c r="K2527" s="33" t="s">
        <v>169</v>
      </c>
      <c r="L2527" s="102" t="str">
        <f>VLOOKUP(Anexo_4[[#This Row],[cod_doc]],TIPODOC,2,FALSE)</f>
        <v>FACTURA</v>
      </c>
      <c r="M2527" s="33" t="s">
        <v>1042</v>
      </c>
      <c r="N2527" s="32" t="s">
        <v>8243</v>
      </c>
      <c r="O2527" s="48">
        <v>219</v>
      </c>
      <c r="P2527" s="49" t="s">
        <v>4341</v>
      </c>
      <c r="Q2527" s="81">
        <v>39.42</v>
      </c>
      <c r="R2527" s="80" t="s">
        <v>4341</v>
      </c>
      <c r="S2527" s="48" t="s">
        <v>4341</v>
      </c>
      <c r="T2527" s="72">
        <v>258.42</v>
      </c>
      <c r="U2527" s="70"/>
      <c r="V2527" s="32"/>
      <c r="W2527" s="70"/>
      <c r="X2527" s="70"/>
      <c r="Y2527" s="70"/>
      <c r="Z2527" s="70"/>
      <c r="AA2527" s="71"/>
      <c r="AB2527" s="117" t="str">
        <f>IFERROR(VLOOKUP(Anexo_4[[#This Row],[cuenta]],OP,2,0),"-")</f>
        <v>-</v>
      </c>
    </row>
    <row r="2528" spans="1:28" ht="27" customHeight="1" x14ac:dyDescent="0.3">
      <c r="A2528" s="34" t="s">
        <v>6887</v>
      </c>
      <c r="B2528" s="36" t="str">
        <f t="shared" si="62"/>
        <v>Octubre</v>
      </c>
      <c r="C2528" s="33" t="s">
        <v>162</v>
      </c>
      <c r="D2528" s="33" t="s">
        <v>8244</v>
      </c>
      <c r="E2528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528" s="32" t="s">
        <v>953</v>
      </c>
      <c r="G2528" s="32" t="s">
        <v>954</v>
      </c>
      <c r="H2528" s="139" t="s">
        <v>8245</v>
      </c>
      <c r="I2528" s="33" t="s">
        <v>8246</v>
      </c>
      <c r="J2528" s="143" t="s">
        <v>8247</v>
      </c>
      <c r="K2528" s="33" t="s">
        <v>169</v>
      </c>
      <c r="L2528" s="102" t="str">
        <f>VLOOKUP(Anexo_4[[#This Row],[cod_doc]],TIPODOC,2,FALSE)</f>
        <v>FACTURA</v>
      </c>
      <c r="M2528" s="33" t="s">
        <v>8248</v>
      </c>
      <c r="N2528" s="32" t="s">
        <v>8249</v>
      </c>
      <c r="O2528" s="48">
        <v>14000</v>
      </c>
      <c r="P2528" s="49" t="s">
        <v>4341</v>
      </c>
      <c r="Q2528" s="81">
        <v>2520</v>
      </c>
      <c r="R2528" s="80" t="s">
        <v>4341</v>
      </c>
      <c r="S2528" s="48" t="s">
        <v>4341</v>
      </c>
      <c r="T2528" s="72">
        <v>16520</v>
      </c>
      <c r="U2528" s="70"/>
      <c r="V2528" s="32"/>
      <c r="W2528" s="70"/>
      <c r="X2528" s="70"/>
      <c r="Y2528" s="70"/>
      <c r="Z2528" s="70"/>
      <c r="AA2528" s="71"/>
      <c r="AB2528" s="117" t="str">
        <f>IFERROR(VLOOKUP(Anexo_4[[#This Row],[cuenta]],OP,2,0),"-")</f>
        <v>-</v>
      </c>
    </row>
    <row r="2529" spans="1:28" ht="27" customHeight="1" x14ac:dyDescent="0.3">
      <c r="A2529" s="34" t="s">
        <v>7134</v>
      </c>
      <c r="B2529" s="36" t="str">
        <f t="shared" si="62"/>
        <v>Octubre</v>
      </c>
      <c r="C2529" s="33" t="s">
        <v>162</v>
      </c>
      <c r="D2529" s="33" t="s">
        <v>8250</v>
      </c>
      <c r="E2529" s="37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2529" s="32" t="s">
        <v>198</v>
      </c>
      <c r="G2529" s="32" t="s">
        <v>199</v>
      </c>
      <c r="H2529" s="139" t="s">
        <v>8251</v>
      </c>
      <c r="I2529" s="33" t="s">
        <v>2113</v>
      </c>
      <c r="J2529" s="143" t="s">
        <v>6854</v>
      </c>
      <c r="K2529" s="33" t="s">
        <v>169</v>
      </c>
      <c r="L2529" s="102" t="str">
        <f>VLOOKUP(Anexo_4[[#This Row],[cod_doc]],TIPODOC,2,FALSE)</f>
        <v>FACTURA</v>
      </c>
      <c r="M2529" s="33" t="s">
        <v>8252</v>
      </c>
      <c r="N2529" s="32" t="s">
        <v>8253</v>
      </c>
      <c r="O2529" s="48">
        <v>11.78</v>
      </c>
      <c r="P2529" s="49" t="s">
        <v>4341</v>
      </c>
      <c r="Q2529" s="81">
        <v>2.12</v>
      </c>
      <c r="R2529" s="80" t="s">
        <v>4341</v>
      </c>
      <c r="S2529" s="48" t="s">
        <v>4341</v>
      </c>
      <c r="T2529" s="72">
        <v>13.9</v>
      </c>
      <c r="U2529" s="70"/>
      <c r="V2529" s="32"/>
      <c r="W2529" s="70"/>
      <c r="X2529" s="70"/>
      <c r="Y2529" s="70"/>
      <c r="Z2529" s="70"/>
      <c r="AA2529" s="71"/>
      <c r="AB2529" s="117" t="str">
        <f>IFERROR(VLOOKUP(Anexo_4[[#This Row],[cuenta]],OP,2,0),"-")</f>
        <v>-</v>
      </c>
    </row>
    <row r="2530" spans="1:28" ht="27" customHeight="1" x14ac:dyDescent="0.3">
      <c r="A2530" s="34" t="s">
        <v>8254</v>
      </c>
      <c r="B2530" s="36" t="str">
        <f t="shared" si="62"/>
        <v>Octubre</v>
      </c>
      <c r="C2530" s="33" t="s">
        <v>162</v>
      </c>
      <c r="D2530" s="33" t="s">
        <v>8255</v>
      </c>
      <c r="E2530" s="37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2530" s="32" t="s">
        <v>198</v>
      </c>
      <c r="G2530" s="32" t="s">
        <v>199</v>
      </c>
      <c r="H2530" s="139" t="s">
        <v>8256</v>
      </c>
      <c r="I2530" s="33" t="s">
        <v>193</v>
      </c>
      <c r="J2530" s="143" t="s">
        <v>8257</v>
      </c>
      <c r="K2530" s="33" t="s">
        <v>169</v>
      </c>
      <c r="L2530" s="102" t="str">
        <f>VLOOKUP(Anexo_4[[#This Row],[cod_doc]],TIPODOC,2,FALSE)</f>
        <v>FACTURA</v>
      </c>
      <c r="M2530" s="33" t="s">
        <v>195</v>
      </c>
      <c r="N2530" s="32" t="s">
        <v>8258</v>
      </c>
      <c r="O2530" s="48">
        <v>12.71</v>
      </c>
      <c r="P2530" s="49" t="s">
        <v>4341</v>
      </c>
      <c r="Q2530" s="81">
        <v>2.29</v>
      </c>
      <c r="R2530" s="80" t="s">
        <v>4341</v>
      </c>
      <c r="S2530" s="48" t="s">
        <v>4341</v>
      </c>
      <c r="T2530" s="72">
        <v>15</v>
      </c>
      <c r="U2530" s="70"/>
      <c r="V2530" s="32"/>
      <c r="W2530" s="70"/>
      <c r="X2530" s="70"/>
      <c r="Y2530" s="70"/>
      <c r="Z2530" s="70"/>
      <c r="AA2530" s="71"/>
      <c r="AB2530" s="117" t="str">
        <f>IFERROR(VLOOKUP(Anexo_4[[#This Row],[cuenta]],OP,2,0),"-")</f>
        <v>-</v>
      </c>
    </row>
    <row r="2531" spans="1:28" ht="27" customHeight="1" x14ac:dyDescent="0.3">
      <c r="A2531" s="34" t="s">
        <v>8254</v>
      </c>
      <c r="B2531" s="36" t="str">
        <f t="shared" si="62"/>
        <v>Octubre</v>
      </c>
      <c r="C2531" s="33" t="s">
        <v>162</v>
      </c>
      <c r="D2531" s="33" t="s">
        <v>8259</v>
      </c>
      <c r="E2531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531" s="32" t="s">
        <v>823</v>
      </c>
      <c r="G2531" s="32" t="s">
        <v>824</v>
      </c>
      <c r="H2531" s="139" t="s">
        <v>6291</v>
      </c>
      <c r="I2531" s="33" t="s">
        <v>2461</v>
      </c>
      <c r="J2531" s="143" t="s">
        <v>6292</v>
      </c>
      <c r="K2531" s="33" t="s">
        <v>169</v>
      </c>
      <c r="L2531" s="102" t="str">
        <f>VLOOKUP(Anexo_4[[#This Row],[cod_doc]],TIPODOC,2,FALSE)</f>
        <v>FACTURA</v>
      </c>
      <c r="M2531" s="33" t="s">
        <v>102</v>
      </c>
      <c r="N2531" s="32" t="s">
        <v>8260</v>
      </c>
      <c r="O2531" s="48">
        <v>450</v>
      </c>
      <c r="P2531" s="49" t="s">
        <v>4341</v>
      </c>
      <c r="Q2531" s="81">
        <v>81</v>
      </c>
      <c r="R2531" s="80" t="s">
        <v>4341</v>
      </c>
      <c r="S2531" s="48" t="s">
        <v>4341</v>
      </c>
      <c r="T2531" s="72">
        <v>531</v>
      </c>
      <c r="U2531" s="70"/>
      <c r="V2531" s="32"/>
      <c r="W2531" s="70"/>
      <c r="X2531" s="70"/>
      <c r="Y2531" s="70"/>
      <c r="Z2531" s="70"/>
      <c r="AA2531" s="71"/>
      <c r="AB2531" s="117" t="str">
        <f>IFERROR(VLOOKUP(Anexo_4[[#This Row],[cuenta]],OP,2,0),"-")</f>
        <v>-</v>
      </c>
    </row>
    <row r="2532" spans="1:28" ht="27" customHeight="1" x14ac:dyDescent="0.3">
      <c r="A2532" s="34" t="s">
        <v>7416</v>
      </c>
      <c r="B2532" s="36" t="str">
        <f t="shared" ref="B2532:B2543" si="63">PROPER(CHOOSE(LEFT(D2532,2),"enero","febrero","marzo","abril","mayo","junio","julio","agosto","setiembre","octubre","noviembre","diciembre"))</f>
        <v>Octubre</v>
      </c>
      <c r="C2532" s="33" t="s">
        <v>162</v>
      </c>
      <c r="D2532" s="33" t="s">
        <v>8261</v>
      </c>
      <c r="E2532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532" s="32" t="s">
        <v>823</v>
      </c>
      <c r="G2532" s="32" t="s">
        <v>824</v>
      </c>
      <c r="H2532" s="139" t="s">
        <v>8262</v>
      </c>
      <c r="I2532" s="33" t="s">
        <v>2461</v>
      </c>
      <c r="J2532" s="143" t="s">
        <v>6292</v>
      </c>
      <c r="K2532" s="33" t="s">
        <v>1896</v>
      </c>
      <c r="L2532" s="102" t="str">
        <f>VLOOKUP(Anexo_4[[#This Row],[cod_doc]],TIPODOC,2,FALSE)</f>
        <v>NOTA DE CREDITO</v>
      </c>
      <c r="M2532" s="33" t="s">
        <v>102</v>
      </c>
      <c r="N2532" s="32" t="s">
        <v>7419</v>
      </c>
      <c r="O2532" s="48">
        <v>-650</v>
      </c>
      <c r="P2532" s="49" t="s">
        <v>4341</v>
      </c>
      <c r="Q2532" s="81">
        <v>-117</v>
      </c>
      <c r="R2532" s="80" t="s">
        <v>4341</v>
      </c>
      <c r="S2532" s="48" t="s">
        <v>4341</v>
      </c>
      <c r="T2532" s="72">
        <v>-767</v>
      </c>
      <c r="U2532" s="70"/>
      <c r="V2532" s="32"/>
      <c r="W2532" s="70" t="s">
        <v>162</v>
      </c>
      <c r="X2532" s="70" t="s">
        <v>102</v>
      </c>
      <c r="Y2532" s="70" t="s">
        <v>6293</v>
      </c>
      <c r="Z2532" s="70"/>
      <c r="AA2532" s="71"/>
      <c r="AB2532" s="117" t="str">
        <f>IFERROR(VLOOKUP(Anexo_4[[#This Row],[cuenta]],OP,2,0),"-")</f>
        <v>-</v>
      </c>
    </row>
    <row r="2533" spans="1:28" ht="27" customHeight="1" x14ac:dyDescent="0.3">
      <c r="A2533" s="34" t="s">
        <v>8254</v>
      </c>
      <c r="B2533" s="36" t="str">
        <f t="shared" si="63"/>
        <v>Octubre</v>
      </c>
      <c r="C2533" s="33" t="s">
        <v>162</v>
      </c>
      <c r="D2533" s="33" t="s">
        <v>8263</v>
      </c>
      <c r="E2533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533" s="32" t="s">
        <v>235</v>
      </c>
      <c r="G2533" s="32" t="s">
        <v>5051</v>
      </c>
      <c r="H2533" s="139" t="s">
        <v>1276</v>
      </c>
      <c r="I2533" s="33" t="s">
        <v>264</v>
      </c>
      <c r="J2533" s="143" t="s">
        <v>4644</v>
      </c>
      <c r="K2533" s="33" t="s">
        <v>169</v>
      </c>
      <c r="L2533" s="102" t="str">
        <f>VLOOKUP(Anexo_4[[#This Row],[cod_doc]],TIPODOC,2,FALSE)</f>
        <v>FACTURA</v>
      </c>
      <c r="M2533" s="33" t="s">
        <v>271</v>
      </c>
      <c r="N2533" s="32" t="s">
        <v>8264</v>
      </c>
      <c r="O2533" s="48">
        <v>6.78</v>
      </c>
      <c r="P2533" s="49" t="s">
        <v>4341</v>
      </c>
      <c r="Q2533" s="81">
        <v>1.22</v>
      </c>
      <c r="R2533" s="80" t="s">
        <v>4341</v>
      </c>
      <c r="S2533" s="48" t="s">
        <v>4341</v>
      </c>
      <c r="T2533" s="72">
        <v>8</v>
      </c>
      <c r="U2533" s="70"/>
      <c r="V2533" s="32"/>
      <c r="W2533" s="70"/>
      <c r="X2533" s="70"/>
      <c r="Y2533" s="70"/>
      <c r="Z2533" s="70"/>
      <c r="AA2533" s="71"/>
      <c r="AB2533" s="117" t="str">
        <f>IFERROR(VLOOKUP(Anexo_4[[#This Row],[cuenta]],OP,2,0),"-")</f>
        <v>-</v>
      </c>
    </row>
    <row r="2534" spans="1:28" ht="27" customHeight="1" x14ac:dyDescent="0.3">
      <c r="A2534" s="34" t="s">
        <v>6536</v>
      </c>
      <c r="B2534" s="36" t="str">
        <f t="shared" si="63"/>
        <v>Octubre</v>
      </c>
      <c r="C2534" s="33" t="s">
        <v>162</v>
      </c>
      <c r="D2534" s="33" t="s">
        <v>8265</v>
      </c>
      <c r="E2534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534" s="32"/>
      <c r="G2534" s="32"/>
      <c r="H2534" s="139" t="s">
        <v>6284</v>
      </c>
      <c r="I2534" s="33" t="s">
        <v>899</v>
      </c>
      <c r="J2534" s="143" t="s">
        <v>4693</v>
      </c>
      <c r="K2534" s="33" t="s">
        <v>169</v>
      </c>
      <c r="L2534" s="102" t="str">
        <f>VLOOKUP(Anexo_4[[#This Row],[cod_doc]],TIPODOC,2,FALSE)</f>
        <v>FACTURA</v>
      </c>
      <c r="M2534" s="33" t="s">
        <v>102</v>
      </c>
      <c r="N2534" s="32" t="s">
        <v>8266</v>
      </c>
      <c r="O2534" s="48">
        <v>144.07</v>
      </c>
      <c r="P2534" s="49" t="s">
        <v>4341</v>
      </c>
      <c r="Q2534" s="81">
        <v>25.93</v>
      </c>
      <c r="R2534" s="80" t="s">
        <v>4341</v>
      </c>
      <c r="S2534" s="48" t="s">
        <v>4341</v>
      </c>
      <c r="T2534" s="72">
        <v>170</v>
      </c>
      <c r="U2534" s="70"/>
      <c r="V2534" s="32"/>
      <c r="W2534" s="70"/>
      <c r="X2534" s="70"/>
      <c r="Y2534" s="70"/>
      <c r="Z2534" s="70"/>
      <c r="AA2534" s="71"/>
      <c r="AB2534" s="117" t="str">
        <f>IFERROR(VLOOKUP(Anexo_4[[#This Row],[cuenta]],OP,2,0),"-")</f>
        <v>-</v>
      </c>
    </row>
    <row r="2535" spans="1:28" ht="27" customHeight="1" x14ac:dyDescent="0.3">
      <c r="A2535" s="34" t="s">
        <v>8254</v>
      </c>
      <c r="B2535" s="36" t="str">
        <f t="shared" si="63"/>
        <v>Octubre</v>
      </c>
      <c r="C2535" s="33" t="s">
        <v>162</v>
      </c>
      <c r="D2535" s="33" t="s">
        <v>8267</v>
      </c>
      <c r="E2535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535" s="32" t="s">
        <v>248</v>
      </c>
      <c r="G2535" s="32" t="s">
        <v>249</v>
      </c>
      <c r="H2535" s="139" t="s">
        <v>8268</v>
      </c>
      <c r="I2535" s="33" t="s">
        <v>980</v>
      </c>
      <c r="J2535" s="143" t="s">
        <v>5083</v>
      </c>
      <c r="K2535" s="33" t="s">
        <v>169</v>
      </c>
      <c r="L2535" s="102" t="str">
        <f>VLOOKUP(Anexo_4[[#This Row],[cod_doc]],TIPODOC,2,FALSE)</f>
        <v>FACTURA</v>
      </c>
      <c r="M2535" s="33" t="s">
        <v>982</v>
      </c>
      <c r="N2535" s="32" t="s">
        <v>8269</v>
      </c>
      <c r="O2535" s="48">
        <v>266.10000000000002</v>
      </c>
      <c r="P2535" s="49" t="s">
        <v>4341</v>
      </c>
      <c r="Q2535" s="81">
        <v>47.9</v>
      </c>
      <c r="R2535" s="80" t="s">
        <v>4341</v>
      </c>
      <c r="S2535" s="48" t="s">
        <v>4341</v>
      </c>
      <c r="T2535" s="72">
        <v>314</v>
      </c>
      <c r="U2535" s="70"/>
      <c r="V2535" s="32"/>
      <c r="W2535" s="70"/>
      <c r="X2535" s="70"/>
      <c r="Y2535" s="70" t="s">
        <v>8270</v>
      </c>
      <c r="Z2535" s="70"/>
      <c r="AA2535" s="71"/>
      <c r="AB2535" s="117" t="str">
        <f>IFERROR(VLOOKUP(Anexo_4[[#This Row],[cuenta]],OP,2,0),"-")</f>
        <v>-</v>
      </c>
    </row>
    <row r="2536" spans="1:28" ht="27" customHeight="1" x14ac:dyDescent="0.3">
      <c r="A2536" s="34" t="s">
        <v>8254</v>
      </c>
      <c r="B2536" s="36" t="str">
        <f t="shared" si="63"/>
        <v>Octubre</v>
      </c>
      <c r="C2536" s="33" t="s">
        <v>162</v>
      </c>
      <c r="D2536" s="33" t="s">
        <v>8271</v>
      </c>
      <c r="E2536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536" s="32" t="s">
        <v>1366</v>
      </c>
      <c r="G2536" s="32" t="s">
        <v>1367</v>
      </c>
      <c r="H2536" s="139" t="s">
        <v>8272</v>
      </c>
      <c r="I2536" s="33" t="s">
        <v>231</v>
      </c>
      <c r="J2536" s="143" t="s">
        <v>5125</v>
      </c>
      <c r="K2536" s="33" t="s">
        <v>169</v>
      </c>
      <c r="L2536" s="102" t="str">
        <f>VLOOKUP(Anexo_4[[#This Row],[cod_doc]],TIPODOC,2,FALSE)</f>
        <v>FACTURA</v>
      </c>
      <c r="M2536" s="33" t="s">
        <v>102</v>
      </c>
      <c r="N2536" s="32" t="s">
        <v>8273</v>
      </c>
      <c r="O2536" s="48">
        <v>661.02</v>
      </c>
      <c r="P2536" s="49" t="s">
        <v>4341</v>
      </c>
      <c r="Q2536" s="81">
        <v>118.98</v>
      </c>
      <c r="R2536" s="80" t="s">
        <v>4341</v>
      </c>
      <c r="S2536" s="48" t="s">
        <v>4341</v>
      </c>
      <c r="T2536" s="72">
        <v>780</v>
      </c>
      <c r="U2536" s="70"/>
      <c r="V2536" s="32"/>
      <c r="W2536" s="70"/>
      <c r="X2536" s="70"/>
      <c r="Y2536" s="70"/>
      <c r="Z2536" s="70"/>
      <c r="AA2536" s="71"/>
      <c r="AB2536" s="117" t="str">
        <f>IFERROR(VLOOKUP(Anexo_4[[#This Row],[cuenta]],OP,2,0),"-")</f>
        <v>-</v>
      </c>
    </row>
    <row r="2537" spans="1:28" ht="27" customHeight="1" x14ac:dyDescent="0.3">
      <c r="A2537" s="34" t="s">
        <v>8254</v>
      </c>
      <c r="B2537" s="36" t="str">
        <f t="shared" si="63"/>
        <v>Octubre</v>
      </c>
      <c r="C2537" s="33" t="s">
        <v>162</v>
      </c>
      <c r="D2537" s="33" t="s">
        <v>8274</v>
      </c>
      <c r="E2537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537" s="32" t="s">
        <v>1366</v>
      </c>
      <c r="G2537" s="32" t="s">
        <v>1367</v>
      </c>
      <c r="H2537" s="139" t="s">
        <v>8275</v>
      </c>
      <c r="I2537" s="33" t="s">
        <v>699</v>
      </c>
      <c r="J2537" s="143" t="s">
        <v>5122</v>
      </c>
      <c r="K2537" s="33" t="s">
        <v>169</v>
      </c>
      <c r="L2537" s="102" t="str">
        <f>VLOOKUP(Anexo_4[[#This Row],[cod_doc]],TIPODOC,2,FALSE)</f>
        <v>FACTURA</v>
      </c>
      <c r="M2537" s="33" t="s">
        <v>102</v>
      </c>
      <c r="N2537" s="32" t="s">
        <v>8276</v>
      </c>
      <c r="O2537" s="48">
        <v>159.32</v>
      </c>
      <c r="P2537" s="49" t="s">
        <v>4341</v>
      </c>
      <c r="Q2537" s="81">
        <v>28.68</v>
      </c>
      <c r="R2537" s="80" t="s">
        <v>4341</v>
      </c>
      <c r="S2537" s="48" t="s">
        <v>4341</v>
      </c>
      <c r="T2537" s="72">
        <v>188</v>
      </c>
      <c r="U2537" s="70"/>
      <c r="V2537" s="32"/>
      <c r="W2537" s="70"/>
      <c r="X2537" s="70"/>
      <c r="Y2537" s="70"/>
      <c r="Z2537" s="70"/>
      <c r="AA2537" s="71"/>
      <c r="AB2537" s="117" t="str">
        <f>IFERROR(VLOOKUP(Anexo_4[[#This Row],[cuenta]],OP,2,0),"-")</f>
        <v>-</v>
      </c>
    </row>
    <row r="2538" spans="1:28" ht="27" customHeight="1" x14ac:dyDescent="0.3">
      <c r="A2538" s="34" t="s">
        <v>8234</v>
      </c>
      <c r="B2538" s="36" t="str">
        <f t="shared" si="63"/>
        <v>Octubre</v>
      </c>
      <c r="C2538" s="33" t="s">
        <v>162</v>
      </c>
      <c r="D2538" s="33" t="s">
        <v>8277</v>
      </c>
      <c r="E2538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538" s="32" t="s">
        <v>235</v>
      </c>
      <c r="G2538" s="32" t="s">
        <v>5051</v>
      </c>
      <c r="H2538" s="139" t="s">
        <v>5521</v>
      </c>
      <c r="I2538" s="33" t="s">
        <v>504</v>
      </c>
      <c r="J2538" s="143" t="s">
        <v>4717</v>
      </c>
      <c r="K2538" s="33" t="s">
        <v>169</v>
      </c>
      <c r="L2538" s="102" t="str">
        <f>VLOOKUP(Anexo_4[[#This Row],[cod_doc]],TIPODOC,2,FALSE)</f>
        <v>FACTURA</v>
      </c>
      <c r="M2538" s="33" t="s">
        <v>222</v>
      </c>
      <c r="N2538" s="32" t="s">
        <v>8278</v>
      </c>
      <c r="O2538" s="48">
        <v>21.19</v>
      </c>
      <c r="P2538" s="49" t="s">
        <v>4341</v>
      </c>
      <c r="Q2538" s="81">
        <v>3.81</v>
      </c>
      <c r="R2538" s="80" t="s">
        <v>4341</v>
      </c>
      <c r="S2538" s="48" t="s">
        <v>4341</v>
      </c>
      <c r="T2538" s="72">
        <v>25</v>
      </c>
      <c r="U2538" s="70"/>
      <c r="V2538" s="32"/>
      <c r="W2538" s="70"/>
      <c r="X2538" s="70"/>
      <c r="Y2538" s="70"/>
      <c r="Z2538" s="70"/>
      <c r="AA2538" s="71"/>
      <c r="AB2538" s="117" t="str">
        <f>IFERROR(VLOOKUP(Anexo_4[[#This Row],[cuenta]],OP,2,0),"-")</f>
        <v>-</v>
      </c>
    </row>
    <row r="2539" spans="1:28" ht="27" customHeight="1" x14ac:dyDescent="0.3">
      <c r="A2539" s="34" t="s">
        <v>8254</v>
      </c>
      <c r="B2539" s="36" t="str">
        <f t="shared" si="63"/>
        <v>Octubre</v>
      </c>
      <c r="C2539" s="33" t="s">
        <v>162</v>
      </c>
      <c r="D2539" s="33" t="s">
        <v>8279</v>
      </c>
      <c r="E2539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539" s="32" t="s">
        <v>391</v>
      </c>
      <c r="G2539" s="32" t="s">
        <v>5041</v>
      </c>
      <c r="H2539" s="139" t="s">
        <v>1276</v>
      </c>
      <c r="I2539" s="33" t="s">
        <v>264</v>
      </c>
      <c r="J2539" s="143" t="s">
        <v>4644</v>
      </c>
      <c r="K2539" s="33" t="s">
        <v>169</v>
      </c>
      <c r="L2539" s="102" t="str">
        <f>VLOOKUP(Anexo_4[[#This Row],[cod_doc]],TIPODOC,2,FALSE)</f>
        <v>FACTURA</v>
      </c>
      <c r="M2539" s="33" t="s">
        <v>352</v>
      </c>
      <c r="N2539" s="32" t="s">
        <v>8280</v>
      </c>
      <c r="O2539" s="48">
        <v>6.78</v>
      </c>
      <c r="P2539" s="49" t="s">
        <v>4341</v>
      </c>
      <c r="Q2539" s="81">
        <v>1.22</v>
      </c>
      <c r="R2539" s="80" t="s">
        <v>4341</v>
      </c>
      <c r="S2539" s="48" t="s">
        <v>4341</v>
      </c>
      <c r="T2539" s="72">
        <v>8</v>
      </c>
      <c r="U2539" s="70"/>
      <c r="V2539" s="32"/>
      <c r="W2539" s="70"/>
      <c r="X2539" s="70"/>
      <c r="Y2539" s="70"/>
      <c r="Z2539" s="70"/>
      <c r="AA2539" s="71"/>
      <c r="AB2539" s="117" t="str">
        <f>IFERROR(VLOOKUP(Anexo_4[[#This Row],[cuenta]],OP,2,0),"-")</f>
        <v>-</v>
      </c>
    </row>
    <row r="2540" spans="1:28" ht="27" customHeight="1" x14ac:dyDescent="0.3">
      <c r="A2540" s="34" t="s">
        <v>7650</v>
      </c>
      <c r="B2540" s="36" t="str">
        <f t="shared" si="63"/>
        <v>Octubre</v>
      </c>
      <c r="C2540" s="33" t="s">
        <v>162</v>
      </c>
      <c r="D2540" s="33" t="s">
        <v>8281</v>
      </c>
      <c r="E2540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540" s="32" t="s">
        <v>592</v>
      </c>
      <c r="G2540" s="32" t="s">
        <v>593</v>
      </c>
      <c r="H2540" s="139" t="s">
        <v>8282</v>
      </c>
      <c r="I2540" s="33" t="s">
        <v>5686</v>
      </c>
      <c r="J2540" s="143" t="s">
        <v>5687</v>
      </c>
      <c r="K2540" s="33" t="s">
        <v>169</v>
      </c>
      <c r="L2540" s="102" t="str">
        <f>VLOOKUP(Anexo_4[[#This Row],[cod_doc]],TIPODOC,2,FALSE)</f>
        <v>FACTURA</v>
      </c>
      <c r="M2540" s="33" t="s">
        <v>102</v>
      </c>
      <c r="N2540" s="32" t="s">
        <v>8283</v>
      </c>
      <c r="O2540" s="48">
        <v>480</v>
      </c>
      <c r="P2540" s="49" t="s">
        <v>4341</v>
      </c>
      <c r="Q2540" s="81">
        <v>86.4</v>
      </c>
      <c r="R2540" s="80" t="s">
        <v>4341</v>
      </c>
      <c r="S2540" s="48" t="s">
        <v>4341</v>
      </c>
      <c r="T2540" s="72">
        <v>566.4</v>
      </c>
      <c r="U2540" s="70"/>
      <c r="V2540" s="32"/>
      <c r="W2540" s="70"/>
      <c r="X2540" s="70"/>
      <c r="Y2540" s="70"/>
      <c r="Z2540" s="70"/>
      <c r="AA2540" s="71"/>
      <c r="AB2540" s="117" t="str">
        <f>IFERROR(VLOOKUP(Anexo_4[[#This Row],[cuenta]],OP,2,0),"-")</f>
        <v>-</v>
      </c>
    </row>
    <row r="2541" spans="1:28" ht="27" customHeight="1" x14ac:dyDescent="0.3">
      <c r="A2541" s="34" t="s">
        <v>7901</v>
      </c>
      <c r="B2541" s="36" t="str">
        <f t="shared" si="63"/>
        <v>Octubre</v>
      </c>
      <c r="C2541" s="33" t="s">
        <v>162</v>
      </c>
      <c r="D2541" s="33" t="s">
        <v>8284</v>
      </c>
      <c r="E2541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541" s="32" t="s">
        <v>592</v>
      </c>
      <c r="G2541" s="32" t="s">
        <v>593</v>
      </c>
      <c r="H2541" s="139" t="s">
        <v>8285</v>
      </c>
      <c r="I2541" s="33" t="s">
        <v>5686</v>
      </c>
      <c r="J2541" s="143" t="s">
        <v>5687</v>
      </c>
      <c r="K2541" s="33" t="s">
        <v>169</v>
      </c>
      <c r="L2541" s="102" t="str">
        <f>VLOOKUP(Anexo_4[[#This Row],[cod_doc]],TIPODOC,2,FALSE)</f>
        <v>FACTURA</v>
      </c>
      <c r="M2541" s="33" t="s">
        <v>102</v>
      </c>
      <c r="N2541" s="32" t="s">
        <v>8286</v>
      </c>
      <c r="O2541" s="48">
        <v>560</v>
      </c>
      <c r="P2541" s="49" t="s">
        <v>4341</v>
      </c>
      <c r="Q2541" s="81">
        <v>100.8</v>
      </c>
      <c r="R2541" s="80" t="s">
        <v>4341</v>
      </c>
      <c r="S2541" s="48" t="s">
        <v>4341</v>
      </c>
      <c r="T2541" s="72">
        <v>660.8</v>
      </c>
      <c r="U2541" s="70"/>
      <c r="V2541" s="32"/>
      <c r="W2541" s="70"/>
      <c r="X2541" s="70"/>
      <c r="Y2541" s="70"/>
      <c r="Z2541" s="70"/>
      <c r="AA2541" s="71"/>
      <c r="AB2541" s="117" t="str">
        <f>IFERROR(VLOOKUP(Anexo_4[[#This Row],[cuenta]],OP,2,0),"-")</f>
        <v>-</v>
      </c>
    </row>
    <row r="2542" spans="1:28" ht="27" customHeight="1" x14ac:dyDescent="0.3">
      <c r="A2542" s="34" t="s">
        <v>7901</v>
      </c>
      <c r="B2542" s="36" t="str">
        <f t="shared" si="63"/>
        <v>Octubre</v>
      </c>
      <c r="C2542" s="33" t="s">
        <v>162</v>
      </c>
      <c r="D2542" s="33" t="s">
        <v>8287</v>
      </c>
      <c r="E2542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542" s="32" t="s">
        <v>355</v>
      </c>
      <c r="G2542" s="32" t="s">
        <v>356</v>
      </c>
      <c r="H2542" s="139" t="s">
        <v>8288</v>
      </c>
      <c r="I2542" s="33" t="s">
        <v>6685</v>
      </c>
      <c r="J2542" s="143" t="s">
        <v>6686</v>
      </c>
      <c r="K2542" s="33" t="s">
        <v>169</v>
      </c>
      <c r="L2542" s="102" t="str">
        <f>VLOOKUP(Anexo_4[[#This Row],[cod_doc]],TIPODOC,2,FALSE)</f>
        <v>FACTURA</v>
      </c>
      <c r="M2542" s="33" t="s">
        <v>222</v>
      </c>
      <c r="N2542" s="32" t="s">
        <v>8289</v>
      </c>
      <c r="O2542" s="48">
        <v>711.86</v>
      </c>
      <c r="P2542" s="49" t="s">
        <v>4341</v>
      </c>
      <c r="Q2542" s="81">
        <v>128.13999999999999</v>
      </c>
      <c r="R2542" s="80" t="s">
        <v>4341</v>
      </c>
      <c r="S2542" s="48" t="s">
        <v>4341</v>
      </c>
      <c r="T2542" s="72">
        <v>840</v>
      </c>
      <c r="U2542" s="70"/>
      <c r="V2542" s="32"/>
      <c r="W2542" s="70"/>
      <c r="X2542" s="70"/>
      <c r="Y2542" s="70"/>
      <c r="Z2542" s="70"/>
      <c r="AA2542" s="71"/>
      <c r="AB2542" s="117" t="str">
        <f>IFERROR(VLOOKUP(Anexo_4[[#This Row],[cuenta]],OP,2,0),"-")</f>
        <v>-</v>
      </c>
    </row>
    <row r="2543" spans="1:28" ht="27" customHeight="1" x14ac:dyDescent="0.3">
      <c r="A2543" s="34" t="s">
        <v>5071</v>
      </c>
      <c r="B2543" s="36" t="str">
        <f t="shared" si="63"/>
        <v>Octubre</v>
      </c>
      <c r="C2543" s="33" t="s">
        <v>162</v>
      </c>
      <c r="D2543" s="33" t="s">
        <v>8290</v>
      </c>
      <c r="E2543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543" s="32"/>
      <c r="G2543" s="32"/>
      <c r="H2543" s="139" t="s">
        <v>8291</v>
      </c>
      <c r="I2543" s="33" t="s">
        <v>2598</v>
      </c>
      <c r="J2543" s="143" t="s">
        <v>4629</v>
      </c>
      <c r="K2543" s="33" t="s">
        <v>169</v>
      </c>
      <c r="L2543" s="102" t="str">
        <f>VLOOKUP(Anexo_4[[#This Row],[cod_doc]],TIPODOC,2,FALSE)</f>
        <v>FACTURA</v>
      </c>
      <c r="M2543" s="33" t="s">
        <v>102</v>
      </c>
      <c r="N2543" s="32" t="s">
        <v>8292</v>
      </c>
      <c r="O2543" s="48">
        <v>130</v>
      </c>
      <c r="P2543" s="49" t="s">
        <v>4341</v>
      </c>
      <c r="Q2543" s="81">
        <v>23.4</v>
      </c>
      <c r="R2543" s="80" t="s">
        <v>4341</v>
      </c>
      <c r="S2543" s="48" t="s">
        <v>4341</v>
      </c>
      <c r="T2543" s="72">
        <v>153.4</v>
      </c>
      <c r="U2543" s="70"/>
      <c r="V2543" s="32"/>
      <c r="W2543" s="70"/>
      <c r="X2543" s="70"/>
      <c r="Y2543" s="70"/>
      <c r="Z2543" s="70"/>
      <c r="AA2543" s="71"/>
      <c r="AB2543" s="117" t="str">
        <f>IFERROR(VLOOKUP(Anexo_4[[#This Row],[cuenta]],OP,2,0),"-")</f>
        <v>-</v>
      </c>
    </row>
    <row r="2544" spans="1:28" ht="27" customHeight="1" x14ac:dyDescent="0.3">
      <c r="A2544" s="34" t="s">
        <v>6302</v>
      </c>
      <c r="B2544" s="36" t="str">
        <f t="shared" ref="B2544:B2555" si="64">PROPER(CHOOSE(LEFT(D2544,2),"enero","febrero","marzo","abril","mayo","junio","julio","agosto","setiembre","octubre","noviembre","diciembre"))</f>
        <v>Octubre</v>
      </c>
      <c r="C2544" s="33" t="s">
        <v>162</v>
      </c>
      <c r="D2544" s="33" t="s">
        <v>8293</v>
      </c>
      <c r="E2544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544" s="32"/>
      <c r="G2544" s="32"/>
      <c r="H2544" s="139" t="s">
        <v>8294</v>
      </c>
      <c r="I2544" s="33" t="s">
        <v>2605</v>
      </c>
      <c r="J2544" s="143" t="s">
        <v>6244</v>
      </c>
      <c r="K2544" s="33" t="s">
        <v>169</v>
      </c>
      <c r="L2544" s="102" t="str">
        <f>VLOOKUP(Anexo_4[[#This Row],[cod_doc]],TIPODOC,2,FALSE)</f>
        <v>FACTURA</v>
      </c>
      <c r="M2544" s="33" t="s">
        <v>102</v>
      </c>
      <c r="N2544" s="32" t="s">
        <v>8295</v>
      </c>
      <c r="O2544" s="48">
        <v>338.98</v>
      </c>
      <c r="P2544" s="49" t="s">
        <v>4341</v>
      </c>
      <c r="Q2544" s="81">
        <v>61.02</v>
      </c>
      <c r="R2544" s="80" t="s">
        <v>4341</v>
      </c>
      <c r="S2544" s="48" t="s">
        <v>4341</v>
      </c>
      <c r="T2544" s="72">
        <v>400</v>
      </c>
      <c r="U2544" s="70" t="s">
        <v>8296</v>
      </c>
      <c r="V2544" s="32" t="s">
        <v>7710</v>
      </c>
      <c r="W2544" s="70"/>
      <c r="X2544" s="70"/>
      <c r="Y2544" s="70"/>
      <c r="Z2544" s="70"/>
      <c r="AA2544" s="71"/>
      <c r="AB2544" s="117" t="str">
        <f>IFERROR(VLOOKUP(Anexo_4[[#This Row],[cuenta]],OP,2,0),"-")</f>
        <v>-</v>
      </c>
    </row>
    <row r="2545" spans="1:28" ht="27" customHeight="1" x14ac:dyDescent="0.3">
      <c r="A2545" s="34" t="s">
        <v>8158</v>
      </c>
      <c r="B2545" s="36" t="str">
        <f t="shared" si="64"/>
        <v>Octubre</v>
      </c>
      <c r="C2545" s="33" t="s">
        <v>162</v>
      </c>
      <c r="D2545" s="33" t="s">
        <v>8297</v>
      </c>
      <c r="E2545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545" s="32" t="s">
        <v>248</v>
      </c>
      <c r="G2545" s="32" t="s">
        <v>249</v>
      </c>
      <c r="H2545" s="139" t="s">
        <v>8298</v>
      </c>
      <c r="I2545" s="33" t="s">
        <v>536</v>
      </c>
      <c r="J2545" s="143" t="s">
        <v>4997</v>
      </c>
      <c r="K2545" s="33" t="s">
        <v>169</v>
      </c>
      <c r="L2545" s="102" t="str">
        <f>VLOOKUP(Anexo_4[[#This Row],[cod_doc]],TIPODOC,2,FALSE)</f>
        <v>FACTURA</v>
      </c>
      <c r="M2545" s="33" t="s">
        <v>538</v>
      </c>
      <c r="N2545" s="32" t="s">
        <v>8299</v>
      </c>
      <c r="O2545" s="48">
        <v>336</v>
      </c>
      <c r="P2545" s="49" t="s">
        <v>4341</v>
      </c>
      <c r="Q2545" s="81">
        <v>60.48</v>
      </c>
      <c r="R2545" s="80" t="s">
        <v>4341</v>
      </c>
      <c r="S2545" s="48" t="s">
        <v>4341</v>
      </c>
      <c r="T2545" s="72">
        <v>396.48</v>
      </c>
      <c r="U2545" s="70" t="s">
        <v>8300</v>
      </c>
      <c r="V2545" s="32" t="s">
        <v>8301</v>
      </c>
      <c r="W2545" s="70"/>
      <c r="X2545" s="70"/>
      <c r="Y2545" s="70" t="s">
        <v>8302</v>
      </c>
      <c r="Z2545" s="70"/>
      <c r="AA2545" s="71"/>
      <c r="AB2545" s="117" t="str">
        <f>IFERROR(VLOOKUP(Anexo_4[[#This Row],[cuenta]],OP,2,0),"-")</f>
        <v>-</v>
      </c>
    </row>
    <row r="2546" spans="1:28" ht="27" customHeight="1" x14ac:dyDescent="0.3">
      <c r="A2546" s="34" t="s">
        <v>8254</v>
      </c>
      <c r="B2546" s="36" t="str">
        <f t="shared" si="64"/>
        <v>Octubre</v>
      </c>
      <c r="C2546" s="33" t="s">
        <v>162</v>
      </c>
      <c r="D2546" s="33" t="s">
        <v>8303</v>
      </c>
      <c r="E2546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546" s="32" t="s">
        <v>1366</v>
      </c>
      <c r="G2546" s="32" t="s">
        <v>1367</v>
      </c>
      <c r="H2546" s="139" t="s">
        <v>8304</v>
      </c>
      <c r="I2546" s="33" t="s">
        <v>8305</v>
      </c>
      <c r="J2546" s="143" t="s">
        <v>8306</v>
      </c>
      <c r="K2546" s="33" t="s">
        <v>169</v>
      </c>
      <c r="L2546" s="102" t="str">
        <f>VLOOKUP(Anexo_4[[#This Row],[cod_doc]],TIPODOC,2,FALSE)</f>
        <v>FACTURA</v>
      </c>
      <c r="M2546" s="33" t="s">
        <v>222</v>
      </c>
      <c r="N2546" s="32" t="s">
        <v>8307</v>
      </c>
      <c r="O2546" s="48">
        <v>8.4700000000000006</v>
      </c>
      <c r="P2546" s="49" t="s">
        <v>4341</v>
      </c>
      <c r="Q2546" s="81">
        <v>1.53</v>
      </c>
      <c r="R2546" s="80" t="s">
        <v>4341</v>
      </c>
      <c r="S2546" s="48" t="s">
        <v>4341</v>
      </c>
      <c r="T2546" s="72">
        <v>10</v>
      </c>
      <c r="U2546" s="70"/>
      <c r="V2546" s="32"/>
      <c r="W2546" s="70"/>
      <c r="X2546" s="70"/>
      <c r="Y2546" s="70"/>
      <c r="Z2546" s="70"/>
      <c r="AA2546" s="71"/>
      <c r="AB2546" s="117" t="str">
        <f>IFERROR(VLOOKUP(Anexo_4[[#This Row],[cuenta]],OP,2,0),"-")</f>
        <v>-</v>
      </c>
    </row>
    <row r="2547" spans="1:28" ht="27" customHeight="1" x14ac:dyDescent="0.3">
      <c r="A2547" s="34" t="s">
        <v>8254</v>
      </c>
      <c r="B2547" s="36" t="str">
        <f t="shared" si="64"/>
        <v>Octubre</v>
      </c>
      <c r="C2547" s="33" t="s">
        <v>162</v>
      </c>
      <c r="D2547" s="33" t="s">
        <v>8308</v>
      </c>
      <c r="E2547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547" s="32" t="s">
        <v>1366</v>
      </c>
      <c r="G2547" s="32" t="s">
        <v>1367</v>
      </c>
      <c r="H2547" s="139" t="s">
        <v>8309</v>
      </c>
      <c r="I2547" s="33" t="s">
        <v>4858</v>
      </c>
      <c r="J2547" s="143" t="s">
        <v>5282</v>
      </c>
      <c r="K2547" s="33" t="s">
        <v>239</v>
      </c>
      <c r="L2547" s="102" t="str">
        <f>VLOOKUP(Anexo_4[[#This Row],[cod_doc]],TIPODOC,2,FALSE)</f>
        <v>BOLETA DE VENTA</v>
      </c>
      <c r="M2547" s="33" t="s">
        <v>5938</v>
      </c>
      <c r="N2547" s="32" t="s">
        <v>8310</v>
      </c>
      <c r="O2547" s="48" t="s">
        <v>4341</v>
      </c>
      <c r="P2547" s="49" t="s">
        <v>4341</v>
      </c>
      <c r="Q2547" s="81" t="s">
        <v>4341</v>
      </c>
      <c r="R2547" s="80" t="s">
        <v>4341</v>
      </c>
      <c r="S2547" s="48">
        <v>66</v>
      </c>
      <c r="T2547" s="72">
        <v>66</v>
      </c>
      <c r="U2547" s="70"/>
      <c r="V2547" s="32"/>
      <c r="W2547" s="70"/>
      <c r="X2547" s="70"/>
      <c r="Y2547" s="70"/>
      <c r="Z2547" s="70"/>
      <c r="AA2547" s="71"/>
      <c r="AB2547" s="117" t="str">
        <f>IFERROR(VLOOKUP(Anexo_4[[#This Row],[cuenta]],OP,2,0),"-")</f>
        <v>-</v>
      </c>
    </row>
    <row r="2548" spans="1:28" ht="27" customHeight="1" x14ac:dyDescent="0.3">
      <c r="A2548" s="34" t="s">
        <v>8234</v>
      </c>
      <c r="B2548" s="36" t="str">
        <f t="shared" si="64"/>
        <v>Octubre</v>
      </c>
      <c r="C2548" s="33" t="s">
        <v>162</v>
      </c>
      <c r="D2548" s="33" t="s">
        <v>8311</v>
      </c>
      <c r="E2548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548" s="32" t="s">
        <v>235</v>
      </c>
      <c r="G2548" s="32" t="s">
        <v>5051</v>
      </c>
      <c r="H2548" s="139" t="s">
        <v>930</v>
      </c>
      <c r="I2548" s="33" t="s">
        <v>383</v>
      </c>
      <c r="J2548" s="143" t="s">
        <v>4702</v>
      </c>
      <c r="K2548" s="33" t="s">
        <v>169</v>
      </c>
      <c r="L2548" s="102" t="str">
        <f>VLOOKUP(Anexo_4[[#This Row],[cod_doc]],TIPODOC,2,FALSE)</f>
        <v>FACTURA</v>
      </c>
      <c r="M2548" s="33" t="s">
        <v>103</v>
      </c>
      <c r="N2548" s="32" t="s">
        <v>8312</v>
      </c>
      <c r="O2548" s="48">
        <v>16.95</v>
      </c>
      <c r="P2548" s="49" t="s">
        <v>4341</v>
      </c>
      <c r="Q2548" s="81">
        <v>3.05</v>
      </c>
      <c r="R2548" s="80" t="s">
        <v>4341</v>
      </c>
      <c r="S2548" s="48" t="s">
        <v>4341</v>
      </c>
      <c r="T2548" s="72">
        <v>20</v>
      </c>
      <c r="U2548" s="70"/>
      <c r="V2548" s="32"/>
      <c r="W2548" s="70"/>
      <c r="X2548" s="70"/>
      <c r="Y2548" s="70"/>
      <c r="Z2548" s="70"/>
      <c r="AA2548" s="71"/>
      <c r="AB2548" s="117" t="str">
        <f>IFERROR(VLOOKUP(Anexo_4[[#This Row],[cuenta]],OP,2,0),"-")</f>
        <v>-</v>
      </c>
    </row>
    <row r="2549" spans="1:28" ht="27" customHeight="1" x14ac:dyDescent="0.3">
      <c r="A2549" s="34" t="s">
        <v>8234</v>
      </c>
      <c r="B2549" s="36" t="str">
        <f t="shared" si="64"/>
        <v>Octubre</v>
      </c>
      <c r="C2549" s="33" t="s">
        <v>162</v>
      </c>
      <c r="D2549" s="33" t="s">
        <v>8313</v>
      </c>
      <c r="E2549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549" s="32" t="s">
        <v>235</v>
      </c>
      <c r="G2549" s="32" t="s">
        <v>5051</v>
      </c>
      <c r="H2549" s="139" t="s">
        <v>930</v>
      </c>
      <c r="I2549" s="33" t="s">
        <v>383</v>
      </c>
      <c r="J2549" s="143" t="s">
        <v>4702</v>
      </c>
      <c r="K2549" s="33" t="s">
        <v>169</v>
      </c>
      <c r="L2549" s="102" t="str">
        <f>VLOOKUP(Anexo_4[[#This Row],[cod_doc]],TIPODOC,2,FALSE)</f>
        <v>FACTURA</v>
      </c>
      <c r="M2549" s="33" t="s">
        <v>103</v>
      </c>
      <c r="N2549" s="32" t="s">
        <v>8314</v>
      </c>
      <c r="O2549" s="48">
        <v>16.95</v>
      </c>
      <c r="P2549" s="49" t="s">
        <v>4341</v>
      </c>
      <c r="Q2549" s="81">
        <v>3.05</v>
      </c>
      <c r="R2549" s="80" t="s">
        <v>4341</v>
      </c>
      <c r="S2549" s="48" t="s">
        <v>4341</v>
      </c>
      <c r="T2549" s="72">
        <v>20</v>
      </c>
      <c r="U2549" s="70"/>
      <c r="V2549" s="32"/>
      <c r="W2549" s="70"/>
      <c r="X2549" s="70"/>
      <c r="Y2549" s="70"/>
      <c r="Z2549" s="70"/>
      <c r="AA2549" s="71"/>
      <c r="AB2549" s="117" t="str">
        <f>IFERROR(VLOOKUP(Anexo_4[[#This Row],[cuenta]],OP,2,0),"-")</f>
        <v>-</v>
      </c>
    </row>
    <row r="2550" spans="1:28" ht="27" customHeight="1" x14ac:dyDescent="0.3">
      <c r="A2550" s="34" t="s">
        <v>7710</v>
      </c>
      <c r="B2550" s="36" t="str">
        <f t="shared" si="64"/>
        <v>Octubre</v>
      </c>
      <c r="C2550" s="33" t="s">
        <v>162</v>
      </c>
      <c r="D2550" s="33" t="s">
        <v>8315</v>
      </c>
      <c r="E2550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550" s="32" t="s">
        <v>391</v>
      </c>
      <c r="G2550" s="32" t="s">
        <v>5041</v>
      </c>
      <c r="H2550" s="139" t="s">
        <v>4556</v>
      </c>
      <c r="I2550" s="33" t="s">
        <v>777</v>
      </c>
      <c r="J2550" s="143" t="s">
        <v>8316</v>
      </c>
      <c r="K2550" s="33" t="s">
        <v>169</v>
      </c>
      <c r="L2550" s="102" t="str">
        <f>VLOOKUP(Anexo_4[[#This Row],[cod_doc]],TIPODOC,2,FALSE)</f>
        <v>FACTURA</v>
      </c>
      <c r="M2550" s="33" t="s">
        <v>180</v>
      </c>
      <c r="N2550" s="32" t="s">
        <v>8317</v>
      </c>
      <c r="O2550" s="48">
        <v>16.95</v>
      </c>
      <c r="P2550" s="49" t="s">
        <v>4341</v>
      </c>
      <c r="Q2550" s="81">
        <v>3.05</v>
      </c>
      <c r="R2550" s="80" t="s">
        <v>4341</v>
      </c>
      <c r="S2550" s="48" t="s">
        <v>4341</v>
      </c>
      <c r="T2550" s="72">
        <v>20</v>
      </c>
      <c r="U2550" s="70"/>
      <c r="V2550" s="32"/>
      <c r="W2550" s="70"/>
      <c r="X2550" s="70"/>
      <c r="Y2550" s="70"/>
      <c r="Z2550" s="70"/>
      <c r="AA2550" s="71"/>
      <c r="AB2550" s="117" t="str">
        <f>IFERROR(VLOOKUP(Anexo_4[[#This Row],[cuenta]],OP,2,0),"-")</f>
        <v>-</v>
      </c>
    </row>
    <row r="2551" spans="1:28" ht="27" customHeight="1" x14ac:dyDescent="0.3">
      <c r="A2551" s="34" t="s">
        <v>6294</v>
      </c>
      <c r="B2551" s="36" t="str">
        <f t="shared" si="64"/>
        <v>Octubre</v>
      </c>
      <c r="C2551" s="33" t="s">
        <v>162</v>
      </c>
      <c r="D2551" s="33" t="s">
        <v>8318</v>
      </c>
      <c r="E2551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551" s="32"/>
      <c r="G2551" s="32"/>
      <c r="H2551" s="139" t="s">
        <v>930</v>
      </c>
      <c r="I2551" s="33" t="s">
        <v>383</v>
      </c>
      <c r="J2551" s="143" t="s">
        <v>4702</v>
      </c>
      <c r="K2551" s="33" t="s">
        <v>169</v>
      </c>
      <c r="L2551" s="102" t="str">
        <f>VLOOKUP(Anexo_4[[#This Row],[cod_doc]],TIPODOC,2,FALSE)</f>
        <v>FACTURA</v>
      </c>
      <c r="M2551" s="33" t="s">
        <v>103</v>
      </c>
      <c r="N2551" s="32" t="s">
        <v>8319</v>
      </c>
      <c r="O2551" s="48">
        <v>16.95</v>
      </c>
      <c r="P2551" s="49" t="s">
        <v>4341</v>
      </c>
      <c r="Q2551" s="81">
        <v>3.05</v>
      </c>
      <c r="R2551" s="80" t="s">
        <v>4341</v>
      </c>
      <c r="S2551" s="48" t="s">
        <v>4341</v>
      </c>
      <c r="T2551" s="72">
        <v>20</v>
      </c>
      <c r="U2551" s="70"/>
      <c r="V2551" s="32"/>
      <c r="W2551" s="70"/>
      <c r="X2551" s="70"/>
      <c r="Y2551" s="70"/>
      <c r="Z2551" s="70"/>
      <c r="AA2551" s="71"/>
      <c r="AB2551" s="117" t="str">
        <f>IFERROR(VLOOKUP(Anexo_4[[#This Row],[cuenta]],OP,2,0),"-")</f>
        <v>-</v>
      </c>
    </row>
    <row r="2552" spans="1:28" ht="27" customHeight="1" x14ac:dyDescent="0.3">
      <c r="A2552" s="34" t="s">
        <v>6536</v>
      </c>
      <c r="B2552" s="36" t="str">
        <f t="shared" si="64"/>
        <v>Octubre</v>
      </c>
      <c r="C2552" s="33" t="s">
        <v>162</v>
      </c>
      <c r="D2552" s="33" t="s">
        <v>8320</v>
      </c>
      <c r="E2552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552" s="32"/>
      <c r="G2552" s="32"/>
      <c r="H2552" s="139" t="s">
        <v>930</v>
      </c>
      <c r="I2552" s="33" t="s">
        <v>383</v>
      </c>
      <c r="J2552" s="143" t="s">
        <v>4702</v>
      </c>
      <c r="K2552" s="33" t="s">
        <v>169</v>
      </c>
      <c r="L2552" s="102" t="str">
        <f>VLOOKUP(Anexo_4[[#This Row],[cod_doc]],TIPODOC,2,FALSE)</f>
        <v>FACTURA</v>
      </c>
      <c r="M2552" s="33" t="s">
        <v>103</v>
      </c>
      <c r="N2552" s="32" t="s">
        <v>8321</v>
      </c>
      <c r="O2552" s="48">
        <v>16.95</v>
      </c>
      <c r="P2552" s="49" t="s">
        <v>4341</v>
      </c>
      <c r="Q2552" s="81">
        <v>3.05</v>
      </c>
      <c r="R2552" s="80" t="s">
        <v>4341</v>
      </c>
      <c r="S2552" s="48" t="s">
        <v>4341</v>
      </c>
      <c r="T2552" s="72">
        <v>20</v>
      </c>
      <c r="U2552" s="70"/>
      <c r="V2552" s="32"/>
      <c r="W2552" s="70"/>
      <c r="X2552" s="70"/>
      <c r="Y2552" s="70"/>
      <c r="Z2552" s="70"/>
      <c r="AA2552" s="71"/>
      <c r="AB2552" s="117" t="str">
        <f>IFERROR(VLOOKUP(Anexo_4[[#This Row],[cuenta]],OP,2,0),"-")</f>
        <v>-</v>
      </c>
    </row>
    <row r="2553" spans="1:28" ht="27" customHeight="1" x14ac:dyDescent="0.3">
      <c r="A2553" s="34" t="s">
        <v>7710</v>
      </c>
      <c r="B2553" s="36" t="str">
        <f t="shared" si="64"/>
        <v>Octubre</v>
      </c>
      <c r="C2553" s="33" t="s">
        <v>162</v>
      </c>
      <c r="D2553" s="33" t="s">
        <v>8322</v>
      </c>
      <c r="E2553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553" s="32" t="s">
        <v>164</v>
      </c>
      <c r="G2553" s="32" t="s">
        <v>165</v>
      </c>
      <c r="H2553" s="139" t="s">
        <v>8323</v>
      </c>
      <c r="I2553" s="33" t="s">
        <v>2429</v>
      </c>
      <c r="J2553" s="143" t="s">
        <v>5038</v>
      </c>
      <c r="K2553" s="33" t="s">
        <v>239</v>
      </c>
      <c r="L2553" s="102" t="str">
        <f>VLOOKUP(Anexo_4[[#This Row],[cod_doc]],TIPODOC,2,FALSE)</f>
        <v>BOLETA DE VENTA</v>
      </c>
      <c r="M2553" s="33" t="s">
        <v>5938</v>
      </c>
      <c r="N2553" s="32" t="s">
        <v>8324</v>
      </c>
      <c r="O2553" s="48" t="s">
        <v>4341</v>
      </c>
      <c r="P2553" s="49" t="s">
        <v>4341</v>
      </c>
      <c r="Q2553" s="81" t="s">
        <v>4341</v>
      </c>
      <c r="R2553" s="80" t="s">
        <v>4341</v>
      </c>
      <c r="S2553" s="48">
        <v>5</v>
      </c>
      <c r="T2553" s="72">
        <v>5</v>
      </c>
      <c r="U2553" s="70"/>
      <c r="V2553" s="32"/>
      <c r="W2553" s="70"/>
      <c r="X2553" s="70"/>
      <c r="Y2553" s="70"/>
      <c r="Z2553" s="70"/>
      <c r="AA2553" s="71"/>
      <c r="AB2553" s="117" t="str">
        <f>IFERROR(VLOOKUP(Anexo_4[[#This Row],[cuenta]],OP,2,0),"-")</f>
        <v>-</v>
      </c>
    </row>
    <row r="2554" spans="1:28" ht="27" customHeight="1" x14ac:dyDescent="0.3">
      <c r="A2554" s="34" t="s">
        <v>8158</v>
      </c>
      <c r="B2554" s="36" t="str">
        <f t="shared" si="64"/>
        <v>Octubre</v>
      </c>
      <c r="C2554" s="33" t="s">
        <v>162</v>
      </c>
      <c r="D2554" s="33" t="s">
        <v>8325</v>
      </c>
      <c r="E2554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554" s="32" t="s">
        <v>391</v>
      </c>
      <c r="G2554" s="32" t="s">
        <v>5041</v>
      </c>
      <c r="H2554" s="139" t="s">
        <v>608</v>
      </c>
      <c r="I2554" s="33" t="s">
        <v>504</v>
      </c>
      <c r="J2554" s="143" t="s">
        <v>4717</v>
      </c>
      <c r="K2554" s="33" t="s">
        <v>169</v>
      </c>
      <c r="L2554" s="102" t="str">
        <f>VLOOKUP(Anexo_4[[#This Row],[cod_doc]],TIPODOC,2,FALSE)</f>
        <v>FACTURA</v>
      </c>
      <c r="M2554" s="33" t="s">
        <v>222</v>
      </c>
      <c r="N2554" s="32" t="s">
        <v>8326</v>
      </c>
      <c r="O2554" s="48">
        <v>21.19</v>
      </c>
      <c r="P2554" s="49" t="s">
        <v>4341</v>
      </c>
      <c r="Q2554" s="81">
        <v>3.81</v>
      </c>
      <c r="R2554" s="80" t="s">
        <v>4341</v>
      </c>
      <c r="S2554" s="48" t="s">
        <v>4341</v>
      </c>
      <c r="T2554" s="72">
        <v>25</v>
      </c>
      <c r="U2554" s="70"/>
      <c r="V2554" s="32"/>
      <c r="W2554" s="70"/>
      <c r="X2554" s="70"/>
      <c r="Y2554" s="70"/>
      <c r="Z2554" s="70"/>
      <c r="AA2554" s="71"/>
      <c r="AB2554" s="117" t="str">
        <f>IFERROR(VLOOKUP(Anexo_4[[#This Row],[cuenta]],OP,2,0),"-")</f>
        <v>-</v>
      </c>
    </row>
    <row r="2555" spans="1:28" ht="27" customHeight="1" x14ac:dyDescent="0.3">
      <c r="A2555" s="34" t="s">
        <v>6887</v>
      </c>
      <c r="B2555" s="36" t="str">
        <f t="shared" si="64"/>
        <v>Octubre</v>
      </c>
      <c r="C2555" s="33" t="s">
        <v>162</v>
      </c>
      <c r="D2555" s="33" t="s">
        <v>8327</v>
      </c>
      <c r="E2555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555" s="32" t="s">
        <v>355</v>
      </c>
      <c r="G2555" s="32" t="s">
        <v>356</v>
      </c>
      <c r="H2555" s="139" t="s">
        <v>8328</v>
      </c>
      <c r="I2555" s="33" t="s">
        <v>991</v>
      </c>
      <c r="J2555" s="143" t="s">
        <v>5729</v>
      </c>
      <c r="K2555" s="33" t="s">
        <v>169</v>
      </c>
      <c r="L2555" s="102" t="str">
        <f>VLOOKUP(Anexo_4[[#This Row],[cod_doc]],TIPODOC,2,FALSE)</f>
        <v>FACTURA</v>
      </c>
      <c r="M2555" s="33" t="s">
        <v>222</v>
      </c>
      <c r="N2555" s="32" t="s">
        <v>8329</v>
      </c>
      <c r="O2555" s="48">
        <v>21.19</v>
      </c>
      <c r="P2555" s="49" t="s">
        <v>4341</v>
      </c>
      <c r="Q2555" s="81">
        <v>3.81</v>
      </c>
      <c r="R2555" s="80" t="s">
        <v>4341</v>
      </c>
      <c r="S2555" s="48" t="s">
        <v>4341</v>
      </c>
      <c r="T2555" s="72">
        <v>25</v>
      </c>
      <c r="U2555" s="70"/>
      <c r="V2555" s="32"/>
      <c r="W2555" s="70"/>
      <c r="X2555" s="70"/>
      <c r="Y2555" s="70"/>
      <c r="Z2555" s="70"/>
      <c r="AA2555" s="71"/>
      <c r="AB2555" s="117" t="str">
        <f>IFERROR(VLOOKUP(Anexo_4[[#This Row],[cuenta]],OP,2,0),"-")</f>
        <v>-</v>
      </c>
    </row>
    <row r="2556" spans="1:28" ht="27" customHeight="1" x14ac:dyDescent="0.3">
      <c r="A2556" s="34" t="s">
        <v>5921</v>
      </c>
      <c r="B2556" s="36" t="str">
        <f t="shared" ref="B2556:B2567" si="65">PROPER(CHOOSE(LEFT(D2556,2),"enero","febrero","marzo","abril","mayo","junio","julio","agosto","setiembre","octubre","noviembre","diciembre"))</f>
        <v>Octubre</v>
      </c>
      <c r="C2556" s="33" t="s">
        <v>162</v>
      </c>
      <c r="D2556" s="33" t="s">
        <v>8330</v>
      </c>
      <c r="E2556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556" s="32"/>
      <c r="G2556" s="32"/>
      <c r="H2556" s="139" t="s">
        <v>8331</v>
      </c>
      <c r="I2556" s="33" t="s">
        <v>5898</v>
      </c>
      <c r="J2556" s="143" t="s">
        <v>6612</v>
      </c>
      <c r="K2556" s="33" t="s">
        <v>169</v>
      </c>
      <c r="L2556" s="102" t="str">
        <f>VLOOKUP(Anexo_4[[#This Row],[cod_doc]],TIPODOC,2,FALSE)</f>
        <v>FACTURA</v>
      </c>
      <c r="M2556" s="33" t="s">
        <v>102</v>
      </c>
      <c r="N2556" s="32" t="s">
        <v>7719</v>
      </c>
      <c r="O2556" s="48">
        <v>550</v>
      </c>
      <c r="P2556" s="49" t="s">
        <v>4341</v>
      </c>
      <c r="Q2556" s="81">
        <v>99</v>
      </c>
      <c r="R2556" s="80" t="s">
        <v>4341</v>
      </c>
      <c r="S2556" s="48" t="s">
        <v>4341</v>
      </c>
      <c r="T2556" s="72">
        <v>649</v>
      </c>
      <c r="U2556" s="70"/>
      <c r="V2556" s="32"/>
      <c r="W2556" s="70"/>
      <c r="X2556" s="70"/>
      <c r="Y2556" s="70"/>
      <c r="Z2556" s="70"/>
      <c r="AA2556" s="71"/>
      <c r="AB2556" s="117" t="str">
        <f>IFERROR(VLOOKUP(Anexo_4[[#This Row],[cuenta]],OP,2,0),"-")</f>
        <v>-</v>
      </c>
    </row>
    <row r="2557" spans="1:28" ht="27" customHeight="1" x14ac:dyDescent="0.3">
      <c r="A2557" s="34" t="s">
        <v>7901</v>
      </c>
      <c r="B2557" s="36" t="str">
        <f t="shared" si="65"/>
        <v>Octubre</v>
      </c>
      <c r="C2557" s="33" t="s">
        <v>162</v>
      </c>
      <c r="D2557" s="33" t="s">
        <v>8332</v>
      </c>
      <c r="E2557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557" s="32" t="s">
        <v>355</v>
      </c>
      <c r="G2557" s="32" t="s">
        <v>356</v>
      </c>
      <c r="H2557" s="139" t="s">
        <v>8333</v>
      </c>
      <c r="I2557" s="33" t="s">
        <v>8334</v>
      </c>
      <c r="J2557" s="143" t="s">
        <v>8335</v>
      </c>
      <c r="K2557" s="33" t="s">
        <v>169</v>
      </c>
      <c r="L2557" s="102" t="str">
        <f>VLOOKUP(Anexo_4[[#This Row],[cod_doc]],TIPODOC,2,FALSE)</f>
        <v>FACTURA</v>
      </c>
      <c r="M2557" s="33" t="s">
        <v>102</v>
      </c>
      <c r="N2557" s="32" t="s">
        <v>8336</v>
      </c>
      <c r="O2557" s="48">
        <v>6761.05</v>
      </c>
      <c r="P2557" s="49" t="s">
        <v>4341</v>
      </c>
      <c r="Q2557" s="81">
        <v>1216.99</v>
      </c>
      <c r="R2557" s="80" t="s">
        <v>4341</v>
      </c>
      <c r="S2557" s="48" t="s">
        <v>4341</v>
      </c>
      <c r="T2557" s="72">
        <v>7978.04</v>
      </c>
      <c r="U2557" s="70"/>
      <c r="V2557" s="32"/>
      <c r="W2557" s="70"/>
      <c r="X2557" s="70"/>
      <c r="Y2557" s="70"/>
      <c r="Z2557" s="70"/>
      <c r="AA2557" s="71"/>
      <c r="AB2557" s="117" t="str">
        <f>IFERROR(VLOOKUP(Anexo_4[[#This Row],[cuenta]],OP,2,0),"-")</f>
        <v>-</v>
      </c>
    </row>
    <row r="2558" spans="1:28" ht="27" customHeight="1" x14ac:dyDescent="0.3">
      <c r="A2558" s="34" t="s">
        <v>8158</v>
      </c>
      <c r="B2558" s="36" t="str">
        <f t="shared" si="65"/>
        <v>Octubre</v>
      </c>
      <c r="C2558" s="33" t="s">
        <v>162</v>
      </c>
      <c r="D2558" s="33" t="s">
        <v>8337</v>
      </c>
      <c r="E2558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558" s="32" t="s">
        <v>217</v>
      </c>
      <c r="G2558" s="32" t="s">
        <v>4839</v>
      </c>
      <c r="H2558" s="139" t="s">
        <v>8338</v>
      </c>
      <c r="I2558" s="33" t="s">
        <v>4132</v>
      </c>
      <c r="J2558" s="143" t="s">
        <v>8339</v>
      </c>
      <c r="K2558" s="33" t="s">
        <v>239</v>
      </c>
      <c r="L2558" s="102" t="str">
        <f>VLOOKUP(Anexo_4[[#This Row],[cod_doc]],TIPODOC,2,FALSE)</f>
        <v>BOLETA DE VENTA</v>
      </c>
      <c r="M2558" s="33" t="s">
        <v>5938</v>
      </c>
      <c r="N2558" s="32" t="s">
        <v>8340</v>
      </c>
      <c r="O2558" s="48" t="s">
        <v>4341</v>
      </c>
      <c r="P2558" s="49" t="s">
        <v>4341</v>
      </c>
      <c r="Q2558" s="81" t="s">
        <v>4341</v>
      </c>
      <c r="R2558" s="80" t="s">
        <v>4341</v>
      </c>
      <c r="S2558" s="48">
        <v>66</v>
      </c>
      <c r="T2558" s="72">
        <v>66</v>
      </c>
      <c r="U2558" s="70"/>
      <c r="V2558" s="32"/>
      <c r="W2558" s="70"/>
      <c r="X2558" s="70"/>
      <c r="Y2558" s="70" t="s">
        <v>8341</v>
      </c>
      <c r="Z2558" s="70"/>
      <c r="AA2558" s="71"/>
      <c r="AB2558" s="117" t="str">
        <f>IFERROR(VLOOKUP(Anexo_4[[#This Row],[cuenta]],OP,2,0),"-")</f>
        <v>-</v>
      </c>
    </row>
    <row r="2559" spans="1:28" ht="27" customHeight="1" x14ac:dyDescent="0.3">
      <c r="A2559" s="34" t="s">
        <v>7710</v>
      </c>
      <c r="B2559" s="36" t="str">
        <f t="shared" si="65"/>
        <v>Octubre</v>
      </c>
      <c r="C2559" s="33" t="s">
        <v>162</v>
      </c>
      <c r="D2559" s="33" t="s">
        <v>8342</v>
      </c>
      <c r="E2559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559" s="32" t="s">
        <v>175</v>
      </c>
      <c r="G2559" s="32" t="s">
        <v>5168</v>
      </c>
      <c r="H2559" s="139" t="s">
        <v>8343</v>
      </c>
      <c r="I2559" s="33" t="s">
        <v>8344</v>
      </c>
      <c r="J2559" s="143" t="s">
        <v>8345</v>
      </c>
      <c r="K2559" s="33" t="s">
        <v>239</v>
      </c>
      <c r="L2559" s="102" t="str">
        <f>VLOOKUP(Anexo_4[[#This Row],[cod_doc]],TIPODOC,2,FALSE)</f>
        <v>BOLETA DE VENTA</v>
      </c>
      <c r="M2559" s="33" t="s">
        <v>6850</v>
      </c>
      <c r="N2559" s="32" t="s">
        <v>8346</v>
      </c>
      <c r="O2559" s="48" t="s">
        <v>4341</v>
      </c>
      <c r="P2559" s="49" t="s">
        <v>4341</v>
      </c>
      <c r="Q2559" s="81" t="s">
        <v>4341</v>
      </c>
      <c r="R2559" s="80" t="s">
        <v>4341</v>
      </c>
      <c r="S2559" s="48">
        <v>60</v>
      </c>
      <c r="T2559" s="72">
        <v>60</v>
      </c>
      <c r="U2559" s="70"/>
      <c r="V2559" s="32"/>
      <c r="W2559" s="70"/>
      <c r="X2559" s="70"/>
      <c r="Y2559" s="70" t="s">
        <v>8347</v>
      </c>
      <c r="Z2559" s="70"/>
      <c r="AA2559" s="71"/>
      <c r="AB2559" s="117" t="str">
        <f>IFERROR(VLOOKUP(Anexo_4[[#This Row],[cuenta]],OP,2,0),"-")</f>
        <v>-</v>
      </c>
    </row>
    <row r="2560" spans="1:28" ht="27" customHeight="1" x14ac:dyDescent="0.3">
      <c r="A2560" s="34" t="s">
        <v>8234</v>
      </c>
      <c r="B2560" s="36" t="str">
        <f t="shared" si="65"/>
        <v>Octubre</v>
      </c>
      <c r="C2560" s="33" t="s">
        <v>162</v>
      </c>
      <c r="D2560" s="33" t="s">
        <v>8348</v>
      </c>
      <c r="E2560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560" s="32" t="s">
        <v>650</v>
      </c>
      <c r="G2560" s="32" t="s">
        <v>651</v>
      </c>
      <c r="H2560" s="139" t="s">
        <v>8349</v>
      </c>
      <c r="I2560" s="33" t="s">
        <v>4350</v>
      </c>
      <c r="J2560" s="143" t="s">
        <v>6499</v>
      </c>
      <c r="K2560" s="33" t="s">
        <v>169</v>
      </c>
      <c r="L2560" s="102" t="str">
        <f>VLOOKUP(Anexo_4[[#This Row],[cod_doc]],TIPODOC,2,FALSE)</f>
        <v>FACTURA</v>
      </c>
      <c r="M2560" s="33" t="s">
        <v>102</v>
      </c>
      <c r="N2560" s="32" t="s">
        <v>8050</v>
      </c>
      <c r="O2560" s="48">
        <v>1016.95</v>
      </c>
      <c r="P2560" s="49" t="s">
        <v>4341</v>
      </c>
      <c r="Q2560" s="81">
        <v>183.05</v>
      </c>
      <c r="R2560" s="80" t="s">
        <v>4341</v>
      </c>
      <c r="S2560" s="48" t="s">
        <v>4341</v>
      </c>
      <c r="T2560" s="72">
        <v>1200</v>
      </c>
      <c r="U2560" s="70"/>
      <c r="V2560" s="32"/>
      <c r="W2560" s="70"/>
      <c r="X2560" s="70"/>
      <c r="Y2560" s="70"/>
      <c r="Z2560" s="70"/>
      <c r="AA2560" s="71"/>
      <c r="AB2560" s="117" t="str">
        <f>IFERROR(VLOOKUP(Anexo_4[[#This Row],[cuenta]],OP,2,0),"-")</f>
        <v>-</v>
      </c>
    </row>
    <row r="2561" spans="1:28" ht="27" customHeight="1" x14ac:dyDescent="0.3">
      <c r="A2561" s="34" t="s">
        <v>8158</v>
      </c>
      <c r="B2561" s="36" t="str">
        <f t="shared" si="65"/>
        <v>Octubre</v>
      </c>
      <c r="C2561" s="33" t="s">
        <v>162</v>
      </c>
      <c r="D2561" s="33" t="s">
        <v>8350</v>
      </c>
      <c r="E2561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561" s="32" t="s">
        <v>391</v>
      </c>
      <c r="G2561" s="32" t="s">
        <v>5041</v>
      </c>
      <c r="H2561" s="139" t="s">
        <v>8351</v>
      </c>
      <c r="I2561" s="33" t="s">
        <v>504</v>
      </c>
      <c r="J2561" s="143" t="s">
        <v>4717</v>
      </c>
      <c r="K2561" s="33" t="s">
        <v>169</v>
      </c>
      <c r="L2561" s="102" t="str">
        <f>VLOOKUP(Anexo_4[[#This Row],[cod_doc]],TIPODOC,2,FALSE)</f>
        <v>FACTURA</v>
      </c>
      <c r="M2561" s="33" t="s">
        <v>222</v>
      </c>
      <c r="N2561" s="32" t="s">
        <v>8352</v>
      </c>
      <c r="O2561" s="48">
        <v>33.9</v>
      </c>
      <c r="P2561" s="49" t="s">
        <v>4341</v>
      </c>
      <c r="Q2561" s="81">
        <v>6.1</v>
      </c>
      <c r="R2561" s="80" t="s">
        <v>4341</v>
      </c>
      <c r="S2561" s="48" t="s">
        <v>4341</v>
      </c>
      <c r="T2561" s="72">
        <v>40</v>
      </c>
      <c r="U2561" s="70"/>
      <c r="V2561" s="32"/>
      <c r="W2561" s="70"/>
      <c r="X2561" s="70"/>
      <c r="Y2561" s="70" t="s">
        <v>8353</v>
      </c>
      <c r="Z2561" s="70"/>
      <c r="AA2561" s="71"/>
      <c r="AB2561" s="117" t="str">
        <f>IFERROR(VLOOKUP(Anexo_4[[#This Row],[cuenta]],OP,2,0),"-")</f>
        <v>-</v>
      </c>
    </row>
    <row r="2562" spans="1:28" ht="27" customHeight="1" x14ac:dyDescent="0.3">
      <c r="A2562" s="34" t="s">
        <v>7416</v>
      </c>
      <c r="B2562" s="36" t="str">
        <f t="shared" si="65"/>
        <v>Octubre</v>
      </c>
      <c r="C2562" s="33" t="s">
        <v>162</v>
      </c>
      <c r="D2562" s="33" t="s">
        <v>8354</v>
      </c>
      <c r="E2562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562" s="32" t="s">
        <v>5923</v>
      </c>
      <c r="G2562" s="32" t="s">
        <v>5924</v>
      </c>
      <c r="H2562" s="139" t="s">
        <v>8355</v>
      </c>
      <c r="I2562" s="33" t="s">
        <v>886</v>
      </c>
      <c r="J2562" s="143" t="s">
        <v>6271</v>
      </c>
      <c r="K2562" s="33" t="s">
        <v>169</v>
      </c>
      <c r="L2562" s="102" t="str">
        <f>VLOOKUP(Anexo_4[[#This Row],[cod_doc]],TIPODOC,2,FALSE)</f>
        <v>FACTURA</v>
      </c>
      <c r="M2562" s="33" t="s">
        <v>343</v>
      </c>
      <c r="N2562" s="32" t="s">
        <v>8356</v>
      </c>
      <c r="O2562" s="48">
        <v>101.69</v>
      </c>
      <c r="P2562" s="49" t="s">
        <v>4341</v>
      </c>
      <c r="Q2562" s="81">
        <v>18.309999999999999</v>
      </c>
      <c r="R2562" s="80" t="s">
        <v>4341</v>
      </c>
      <c r="S2562" s="48" t="s">
        <v>4341</v>
      </c>
      <c r="T2562" s="72">
        <v>120</v>
      </c>
      <c r="U2562" s="70"/>
      <c r="V2562" s="32"/>
      <c r="W2562" s="70"/>
      <c r="X2562" s="70"/>
      <c r="Y2562" s="70" t="s">
        <v>8357</v>
      </c>
      <c r="Z2562" s="70"/>
      <c r="AA2562" s="71"/>
      <c r="AB2562" s="117" t="str">
        <f>IFERROR(VLOOKUP(Anexo_4[[#This Row],[cuenta]],OP,2,0),"-")</f>
        <v>-</v>
      </c>
    </row>
    <row r="2563" spans="1:28" ht="27" customHeight="1" x14ac:dyDescent="0.3">
      <c r="A2563" s="34" t="s">
        <v>7705</v>
      </c>
      <c r="B2563" s="36" t="str">
        <f t="shared" si="65"/>
        <v>Octubre</v>
      </c>
      <c r="C2563" s="33" t="s">
        <v>162</v>
      </c>
      <c r="D2563" s="33" t="s">
        <v>8358</v>
      </c>
      <c r="E2563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563" s="32" t="s">
        <v>235</v>
      </c>
      <c r="G2563" s="32" t="s">
        <v>5051</v>
      </c>
      <c r="H2563" s="139" t="s">
        <v>8359</v>
      </c>
      <c r="I2563" s="33" t="s">
        <v>886</v>
      </c>
      <c r="J2563" s="143" t="s">
        <v>6271</v>
      </c>
      <c r="K2563" s="33" t="s">
        <v>169</v>
      </c>
      <c r="L2563" s="102" t="str">
        <f>VLOOKUP(Anexo_4[[#This Row],[cod_doc]],TIPODOC,2,FALSE)</f>
        <v>FACTURA</v>
      </c>
      <c r="M2563" s="33" t="s">
        <v>343</v>
      </c>
      <c r="N2563" s="32" t="s">
        <v>8360</v>
      </c>
      <c r="O2563" s="48">
        <v>15.46</v>
      </c>
      <c r="P2563" s="49" t="s">
        <v>4341</v>
      </c>
      <c r="Q2563" s="81">
        <v>2.78</v>
      </c>
      <c r="R2563" s="80" t="s">
        <v>4341</v>
      </c>
      <c r="S2563" s="48" t="s">
        <v>4341</v>
      </c>
      <c r="T2563" s="72">
        <v>18.239999999999998</v>
      </c>
      <c r="U2563" s="70"/>
      <c r="V2563" s="32"/>
      <c r="W2563" s="70"/>
      <c r="X2563" s="70"/>
      <c r="Y2563" s="70" t="s">
        <v>8361</v>
      </c>
      <c r="Z2563" s="70"/>
      <c r="AA2563" s="71"/>
      <c r="AB2563" s="117" t="str">
        <f>IFERROR(VLOOKUP(Anexo_4[[#This Row],[cuenta]],OP,2,0),"-")</f>
        <v>-</v>
      </c>
    </row>
    <row r="2564" spans="1:28" ht="27" customHeight="1" x14ac:dyDescent="0.3">
      <c r="A2564" s="34" t="s">
        <v>7705</v>
      </c>
      <c r="B2564" s="36" t="str">
        <f t="shared" si="65"/>
        <v>Octubre</v>
      </c>
      <c r="C2564" s="33" t="s">
        <v>162</v>
      </c>
      <c r="D2564" s="33" t="s">
        <v>8362</v>
      </c>
      <c r="E2564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564" s="32" t="s">
        <v>5923</v>
      </c>
      <c r="G2564" s="32" t="s">
        <v>5924</v>
      </c>
      <c r="H2564" s="139" t="s">
        <v>8363</v>
      </c>
      <c r="I2564" s="33" t="s">
        <v>886</v>
      </c>
      <c r="J2564" s="143" t="s">
        <v>6271</v>
      </c>
      <c r="K2564" s="33" t="s">
        <v>169</v>
      </c>
      <c r="L2564" s="102" t="str">
        <f>VLOOKUP(Anexo_4[[#This Row],[cod_doc]],TIPODOC,2,FALSE)</f>
        <v>FACTURA</v>
      </c>
      <c r="M2564" s="33" t="s">
        <v>343</v>
      </c>
      <c r="N2564" s="32" t="s">
        <v>8364</v>
      </c>
      <c r="O2564" s="48">
        <v>60</v>
      </c>
      <c r="P2564" s="49" t="s">
        <v>4341</v>
      </c>
      <c r="Q2564" s="81">
        <v>10.8</v>
      </c>
      <c r="R2564" s="80" t="s">
        <v>4341</v>
      </c>
      <c r="S2564" s="48" t="s">
        <v>4341</v>
      </c>
      <c r="T2564" s="72">
        <v>70.8</v>
      </c>
      <c r="U2564" s="70"/>
      <c r="V2564" s="32"/>
      <c r="W2564" s="70"/>
      <c r="X2564" s="70"/>
      <c r="Y2564" s="70" t="s">
        <v>8365</v>
      </c>
      <c r="Z2564" s="70"/>
      <c r="AA2564" s="71"/>
      <c r="AB2564" s="117" t="str">
        <f>IFERROR(VLOOKUP(Anexo_4[[#This Row],[cuenta]],OP,2,0),"-")</f>
        <v>-</v>
      </c>
    </row>
    <row r="2565" spans="1:28" ht="27" customHeight="1" x14ac:dyDescent="0.3">
      <c r="A2565" s="34" t="s">
        <v>7901</v>
      </c>
      <c r="B2565" s="36" t="str">
        <f t="shared" si="65"/>
        <v>Octubre</v>
      </c>
      <c r="C2565" s="33" t="s">
        <v>162</v>
      </c>
      <c r="D2565" s="33" t="s">
        <v>8366</v>
      </c>
      <c r="E2565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565" s="32" t="s">
        <v>5923</v>
      </c>
      <c r="G2565" s="32" t="s">
        <v>5924</v>
      </c>
      <c r="H2565" s="139" t="s">
        <v>8367</v>
      </c>
      <c r="I2565" s="33" t="s">
        <v>886</v>
      </c>
      <c r="J2565" s="143" t="s">
        <v>6271</v>
      </c>
      <c r="K2565" s="33" t="s">
        <v>169</v>
      </c>
      <c r="L2565" s="102" t="str">
        <f>VLOOKUP(Anexo_4[[#This Row],[cod_doc]],TIPODOC,2,FALSE)</f>
        <v>FACTURA</v>
      </c>
      <c r="M2565" s="33" t="s">
        <v>343</v>
      </c>
      <c r="N2565" s="32" t="s">
        <v>8368</v>
      </c>
      <c r="O2565" s="48">
        <v>8.65</v>
      </c>
      <c r="P2565" s="49" t="s">
        <v>4341</v>
      </c>
      <c r="Q2565" s="81">
        <v>1.56</v>
      </c>
      <c r="R2565" s="80" t="s">
        <v>4341</v>
      </c>
      <c r="S2565" s="48" t="s">
        <v>4341</v>
      </c>
      <c r="T2565" s="72">
        <v>10.210000000000001</v>
      </c>
      <c r="U2565" s="70"/>
      <c r="V2565" s="32"/>
      <c r="W2565" s="70"/>
      <c r="X2565" s="70"/>
      <c r="Y2565" s="70" t="s">
        <v>8369</v>
      </c>
      <c r="Z2565" s="70"/>
      <c r="AA2565" s="71"/>
      <c r="AB2565" s="117" t="str">
        <f>IFERROR(VLOOKUP(Anexo_4[[#This Row],[cuenta]],OP,2,0),"-")</f>
        <v>-</v>
      </c>
    </row>
    <row r="2566" spans="1:28" ht="27" customHeight="1" x14ac:dyDescent="0.3">
      <c r="A2566" s="34" t="s">
        <v>7901</v>
      </c>
      <c r="B2566" s="36" t="str">
        <f t="shared" si="65"/>
        <v>Octubre</v>
      </c>
      <c r="C2566" s="33" t="s">
        <v>162</v>
      </c>
      <c r="D2566" s="33" t="s">
        <v>8370</v>
      </c>
      <c r="E2566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566" s="32" t="s">
        <v>235</v>
      </c>
      <c r="G2566" s="32" t="s">
        <v>5051</v>
      </c>
      <c r="H2566" s="139" t="s">
        <v>8371</v>
      </c>
      <c r="I2566" s="33" t="s">
        <v>3075</v>
      </c>
      <c r="J2566" s="143" t="s">
        <v>4621</v>
      </c>
      <c r="K2566" s="33" t="s">
        <v>169</v>
      </c>
      <c r="L2566" s="102" t="str">
        <f>VLOOKUP(Anexo_4[[#This Row],[cod_doc]],TIPODOC,2,FALSE)</f>
        <v>FACTURA</v>
      </c>
      <c r="M2566" s="33" t="s">
        <v>1062</v>
      </c>
      <c r="N2566" s="32" t="s">
        <v>8372</v>
      </c>
      <c r="O2566" s="48">
        <v>50.86</v>
      </c>
      <c r="P2566" s="49" t="s">
        <v>4341</v>
      </c>
      <c r="Q2566" s="81">
        <v>9.15</v>
      </c>
      <c r="R2566" s="80" t="s">
        <v>4341</v>
      </c>
      <c r="S2566" s="48" t="s">
        <v>4341</v>
      </c>
      <c r="T2566" s="72">
        <v>60.01</v>
      </c>
      <c r="U2566" s="70"/>
      <c r="V2566" s="32"/>
      <c r="W2566" s="70"/>
      <c r="X2566" s="70"/>
      <c r="Y2566" s="70" t="s">
        <v>8373</v>
      </c>
      <c r="Z2566" s="70"/>
      <c r="AA2566" s="71"/>
      <c r="AB2566" s="117" t="str">
        <f>IFERROR(VLOOKUP(Anexo_4[[#This Row],[cuenta]],OP,2,0),"-")</f>
        <v>-</v>
      </c>
    </row>
    <row r="2567" spans="1:28" ht="27" customHeight="1" x14ac:dyDescent="0.3">
      <c r="A2567" s="34" t="s">
        <v>8234</v>
      </c>
      <c r="B2567" s="36" t="str">
        <f t="shared" si="65"/>
        <v>Octubre</v>
      </c>
      <c r="C2567" s="33" t="s">
        <v>162</v>
      </c>
      <c r="D2567" s="33" t="s">
        <v>8374</v>
      </c>
      <c r="E2567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567" s="32" t="s">
        <v>449</v>
      </c>
      <c r="G2567" s="32" t="s">
        <v>4868</v>
      </c>
      <c r="H2567" s="139" t="s">
        <v>8375</v>
      </c>
      <c r="I2567" s="33" t="s">
        <v>8376</v>
      </c>
      <c r="J2567" s="143" t="s">
        <v>8377</v>
      </c>
      <c r="K2567" s="33" t="s">
        <v>169</v>
      </c>
      <c r="L2567" s="102" t="str">
        <f>VLOOKUP(Anexo_4[[#This Row],[cod_doc]],TIPODOC,2,FALSE)</f>
        <v>FACTURA</v>
      </c>
      <c r="M2567" s="33" t="s">
        <v>3719</v>
      </c>
      <c r="N2567" s="32" t="s">
        <v>8378</v>
      </c>
      <c r="O2567" s="48">
        <v>42.37</v>
      </c>
      <c r="P2567" s="49" t="s">
        <v>4341</v>
      </c>
      <c r="Q2567" s="81">
        <v>7.63</v>
      </c>
      <c r="R2567" s="80" t="s">
        <v>4341</v>
      </c>
      <c r="S2567" s="48" t="s">
        <v>4341</v>
      </c>
      <c r="T2567" s="72">
        <v>50</v>
      </c>
      <c r="U2567" s="70"/>
      <c r="V2567" s="32"/>
      <c r="W2567" s="70"/>
      <c r="X2567" s="70"/>
      <c r="Y2567" s="70" t="s">
        <v>8379</v>
      </c>
      <c r="Z2567" s="70"/>
      <c r="AA2567" s="71"/>
      <c r="AB2567" s="117" t="str">
        <f>IFERROR(VLOOKUP(Anexo_4[[#This Row],[cuenta]],OP,2,0),"-")</f>
        <v>-</v>
      </c>
    </row>
    <row r="2568" spans="1:28" ht="27" customHeight="1" x14ac:dyDescent="0.3">
      <c r="A2568" s="34" t="s">
        <v>7141</v>
      </c>
      <c r="B2568" s="36" t="str">
        <f t="shared" ref="B2568:B2579" si="66">PROPER(CHOOSE(LEFT(D2568,2),"enero","febrero","marzo","abril","mayo","junio","julio","agosto","setiembre","octubre","noviembre","diciembre"))</f>
        <v>Octubre</v>
      </c>
      <c r="C2568" s="33" t="s">
        <v>162</v>
      </c>
      <c r="D2568" s="33" t="s">
        <v>8380</v>
      </c>
      <c r="E2568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568" s="32" t="s">
        <v>355</v>
      </c>
      <c r="G2568" s="32" t="s">
        <v>356</v>
      </c>
      <c r="H2568" s="139" t="s">
        <v>8381</v>
      </c>
      <c r="I2568" s="33" t="s">
        <v>8382</v>
      </c>
      <c r="J2568" s="143" t="s">
        <v>8383</v>
      </c>
      <c r="K2568" s="33" t="s">
        <v>169</v>
      </c>
      <c r="L2568" s="102" t="str">
        <f>VLOOKUP(Anexo_4[[#This Row],[cod_doc]],TIPODOC,2,FALSE)</f>
        <v>FACTURA</v>
      </c>
      <c r="M2568" s="33" t="s">
        <v>8384</v>
      </c>
      <c r="N2568" s="32" t="s">
        <v>8385</v>
      </c>
      <c r="O2568" s="48" t="s">
        <v>4341</v>
      </c>
      <c r="P2568" s="49" t="s">
        <v>4341</v>
      </c>
      <c r="Q2568" s="81" t="s">
        <v>4341</v>
      </c>
      <c r="R2568" s="80" t="s">
        <v>4341</v>
      </c>
      <c r="S2568" s="48">
        <v>110</v>
      </c>
      <c r="T2568" s="72">
        <v>110</v>
      </c>
      <c r="U2568" s="70"/>
      <c r="V2568" s="32"/>
      <c r="W2568" s="70"/>
      <c r="X2568" s="70"/>
      <c r="Y2568" s="70" t="s">
        <v>8386</v>
      </c>
      <c r="Z2568" s="70"/>
      <c r="AA2568" s="71"/>
      <c r="AB2568" s="117" t="str">
        <f>IFERROR(VLOOKUP(Anexo_4[[#This Row],[cuenta]],OP,2,0),"-")</f>
        <v>-</v>
      </c>
    </row>
    <row r="2569" spans="1:28" ht="27" customHeight="1" x14ac:dyDescent="0.3">
      <c r="A2569" s="34" t="s">
        <v>7741</v>
      </c>
      <c r="B2569" s="36" t="str">
        <f t="shared" si="66"/>
        <v>Octubre</v>
      </c>
      <c r="C2569" s="33" t="s">
        <v>162</v>
      </c>
      <c r="D2569" s="33" t="s">
        <v>8387</v>
      </c>
      <c r="E2569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569" s="32" t="s">
        <v>449</v>
      </c>
      <c r="G2569" s="32" t="s">
        <v>4868</v>
      </c>
      <c r="H2569" s="139" t="s">
        <v>8388</v>
      </c>
      <c r="I2569" s="33" t="s">
        <v>8389</v>
      </c>
      <c r="J2569" s="143" t="s">
        <v>8390</v>
      </c>
      <c r="K2569" s="33" t="s">
        <v>169</v>
      </c>
      <c r="L2569" s="102" t="str">
        <f>VLOOKUP(Anexo_4[[#This Row],[cod_doc]],TIPODOC,2,FALSE)</f>
        <v>FACTURA</v>
      </c>
      <c r="M2569" s="33" t="s">
        <v>3477</v>
      </c>
      <c r="N2569" s="32" t="s">
        <v>8391</v>
      </c>
      <c r="O2569" s="48">
        <v>12.71</v>
      </c>
      <c r="P2569" s="49" t="s">
        <v>4341</v>
      </c>
      <c r="Q2569" s="81">
        <v>2.29</v>
      </c>
      <c r="R2569" s="80" t="s">
        <v>4341</v>
      </c>
      <c r="S2569" s="48" t="s">
        <v>4341</v>
      </c>
      <c r="T2569" s="72">
        <v>15</v>
      </c>
      <c r="U2569" s="70"/>
      <c r="V2569" s="32"/>
      <c r="W2569" s="70"/>
      <c r="X2569" s="70"/>
      <c r="Y2569" s="70" t="s">
        <v>8392</v>
      </c>
      <c r="Z2569" s="70"/>
      <c r="AA2569" s="71"/>
      <c r="AB2569" s="117" t="str">
        <f>IFERROR(VLOOKUP(Anexo_4[[#This Row],[cuenta]],OP,2,0),"-")</f>
        <v>-</v>
      </c>
    </row>
    <row r="2570" spans="1:28" ht="27" customHeight="1" x14ac:dyDescent="0.3">
      <c r="A2570" s="34" t="s">
        <v>7741</v>
      </c>
      <c r="B2570" s="36" t="str">
        <f t="shared" si="66"/>
        <v>Octubre</v>
      </c>
      <c r="C2570" s="33" t="s">
        <v>162</v>
      </c>
      <c r="D2570" s="33" t="s">
        <v>8393</v>
      </c>
      <c r="E2570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570" s="32" t="s">
        <v>449</v>
      </c>
      <c r="G2570" s="32" t="s">
        <v>4868</v>
      </c>
      <c r="H2570" s="139" t="s">
        <v>8394</v>
      </c>
      <c r="I2570" s="33" t="s">
        <v>8389</v>
      </c>
      <c r="J2570" s="143" t="s">
        <v>8390</v>
      </c>
      <c r="K2570" s="33" t="s">
        <v>169</v>
      </c>
      <c r="L2570" s="102" t="str">
        <f>VLOOKUP(Anexo_4[[#This Row],[cod_doc]],TIPODOC,2,FALSE)</f>
        <v>FACTURA</v>
      </c>
      <c r="M2570" s="33" t="s">
        <v>3477</v>
      </c>
      <c r="N2570" s="32" t="s">
        <v>8395</v>
      </c>
      <c r="O2570" s="48">
        <v>12.71</v>
      </c>
      <c r="P2570" s="49" t="s">
        <v>4341</v>
      </c>
      <c r="Q2570" s="81">
        <v>2.29</v>
      </c>
      <c r="R2570" s="80" t="s">
        <v>4341</v>
      </c>
      <c r="S2570" s="48" t="s">
        <v>4341</v>
      </c>
      <c r="T2570" s="72">
        <v>15</v>
      </c>
      <c r="U2570" s="70"/>
      <c r="V2570" s="32"/>
      <c r="W2570" s="70"/>
      <c r="X2570" s="70"/>
      <c r="Y2570" s="70" t="s">
        <v>8396</v>
      </c>
      <c r="Z2570" s="70"/>
      <c r="AA2570" s="71"/>
      <c r="AB2570" s="117" t="str">
        <f>IFERROR(VLOOKUP(Anexo_4[[#This Row],[cuenta]],OP,2,0),"-")</f>
        <v>-</v>
      </c>
    </row>
    <row r="2571" spans="1:28" ht="27" customHeight="1" x14ac:dyDescent="0.3">
      <c r="A2571" s="34" t="s">
        <v>7741</v>
      </c>
      <c r="B2571" s="36" t="str">
        <f t="shared" si="66"/>
        <v>Octubre</v>
      </c>
      <c r="C2571" s="33" t="s">
        <v>162</v>
      </c>
      <c r="D2571" s="33" t="s">
        <v>8397</v>
      </c>
      <c r="E2571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571" s="32" t="s">
        <v>449</v>
      </c>
      <c r="G2571" s="32" t="s">
        <v>4868</v>
      </c>
      <c r="H2571" s="139" t="s">
        <v>8398</v>
      </c>
      <c r="I2571" s="33" t="s">
        <v>8389</v>
      </c>
      <c r="J2571" s="143" t="s">
        <v>8390</v>
      </c>
      <c r="K2571" s="33" t="s">
        <v>169</v>
      </c>
      <c r="L2571" s="102" t="str">
        <f>VLOOKUP(Anexo_4[[#This Row],[cod_doc]],TIPODOC,2,FALSE)</f>
        <v>FACTURA</v>
      </c>
      <c r="M2571" s="33" t="s">
        <v>3477</v>
      </c>
      <c r="N2571" s="32" t="s">
        <v>8399</v>
      </c>
      <c r="O2571" s="48">
        <v>12.71</v>
      </c>
      <c r="P2571" s="49" t="s">
        <v>4341</v>
      </c>
      <c r="Q2571" s="81">
        <v>2.29</v>
      </c>
      <c r="R2571" s="80" t="s">
        <v>4341</v>
      </c>
      <c r="S2571" s="48" t="s">
        <v>4341</v>
      </c>
      <c r="T2571" s="72">
        <v>15</v>
      </c>
      <c r="U2571" s="70"/>
      <c r="V2571" s="32"/>
      <c r="W2571" s="70"/>
      <c r="X2571" s="70"/>
      <c r="Y2571" s="70" t="s">
        <v>8400</v>
      </c>
      <c r="Z2571" s="70"/>
      <c r="AA2571" s="71"/>
      <c r="AB2571" s="117" t="str">
        <f>IFERROR(VLOOKUP(Anexo_4[[#This Row],[cuenta]],OP,2,0),"-")</f>
        <v>-</v>
      </c>
    </row>
    <row r="2572" spans="1:28" ht="27" customHeight="1" x14ac:dyDescent="0.3">
      <c r="A2572" s="34" t="s">
        <v>7416</v>
      </c>
      <c r="B2572" s="36" t="str">
        <f t="shared" si="66"/>
        <v>Octubre</v>
      </c>
      <c r="C2572" s="33" t="s">
        <v>162</v>
      </c>
      <c r="D2572" s="33" t="s">
        <v>8401</v>
      </c>
      <c r="E2572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572" s="32" t="s">
        <v>449</v>
      </c>
      <c r="G2572" s="32" t="s">
        <v>4868</v>
      </c>
      <c r="H2572" s="139" t="s">
        <v>8402</v>
      </c>
      <c r="I2572" s="33" t="s">
        <v>312</v>
      </c>
      <c r="J2572" s="143" t="s">
        <v>4917</v>
      </c>
      <c r="K2572" s="33" t="s">
        <v>169</v>
      </c>
      <c r="L2572" s="102" t="str">
        <f>VLOOKUP(Anexo_4[[#This Row],[cod_doc]],TIPODOC,2,FALSE)</f>
        <v>FACTURA</v>
      </c>
      <c r="M2572" s="33" t="s">
        <v>271</v>
      </c>
      <c r="N2572" s="32" t="s">
        <v>8403</v>
      </c>
      <c r="O2572" s="48">
        <v>12.71</v>
      </c>
      <c r="P2572" s="49" t="s">
        <v>4341</v>
      </c>
      <c r="Q2572" s="81">
        <v>2.29</v>
      </c>
      <c r="R2572" s="80" t="s">
        <v>4341</v>
      </c>
      <c r="S2572" s="48" t="s">
        <v>4341</v>
      </c>
      <c r="T2572" s="72">
        <v>15</v>
      </c>
      <c r="U2572" s="70"/>
      <c r="V2572" s="32"/>
      <c r="W2572" s="70"/>
      <c r="X2572" s="70"/>
      <c r="Y2572" s="70" t="s">
        <v>8404</v>
      </c>
      <c r="Z2572" s="70"/>
      <c r="AA2572" s="71"/>
      <c r="AB2572" s="117" t="str">
        <f>IFERROR(VLOOKUP(Anexo_4[[#This Row],[cuenta]],OP,2,0),"-")</f>
        <v>-</v>
      </c>
    </row>
    <row r="2573" spans="1:28" ht="27" customHeight="1" x14ac:dyDescent="0.3">
      <c r="A2573" s="34" t="s">
        <v>7416</v>
      </c>
      <c r="B2573" s="36" t="str">
        <f t="shared" si="66"/>
        <v>Octubre</v>
      </c>
      <c r="C2573" s="33" t="s">
        <v>162</v>
      </c>
      <c r="D2573" s="33" t="s">
        <v>8405</v>
      </c>
      <c r="E2573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573" s="32" t="s">
        <v>449</v>
      </c>
      <c r="G2573" s="32" t="s">
        <v>4868</v>
      </c>
      <c r="H2573" s="139" t="s">
        <v>8406</v>
      </c>
      <c r="I2573" s="33" t="s">
        <v>312</v>
      </c>
      <c r="J2573" s="143" t="s">
        <v>4917</v>
      </c>
      <c r="K2573" s="33" t="s">
        <v>169</v>
      </c>
      <c r="L2573" s="102" t="str">
        <f>VLOOKUP(Anexo_4[[#This Row],[cod_doc]],TIPODOC,2,FALSE)</f>
        <v>FACTURA</v>
      </c>
      <c r="M2573" s="33" t="s">
        <v>1490</v>
      </c>
      <c r="N2573" s="32" t="s">
        <v>8407</v>
      </c>
      <c r="O2573" s="48">
        <v>12.71</v>
      </c>
      <c r="P2573" s="49" t="s">
        <v>4341</v>
      </c>
      <c r="Q2573" s="81">
        <v>2.29</v>
      </c>
      <c r="R2573" s="80" t="s">
        <v>4341</v>
      </c>
      <c r="S2573" s="48" t="s">
        <v>4341</v>
      </c>
      <c r="T2573" s="72">
        <v>15</v>
      </c>
      <c r="U2573" s="70"/>
      <c r="V2573" s="32"/>
      <c r="W2573" s="70"/>
      <c r="X2573" s="70"/>
      <c r="Y2573" s="70" t="s">
        <v>8408</v>
      </c>
      <c r="Z2573" s="70"/>
      <c r="AA2573" s="71"/>
      <c r="AB2573" s="117" t="str">
        <f>IFERROR(VLOOKUP(Anexo_4[[#This Row],[cuenta]],OP,2,0),"-")</f>
        <v>-</v>
      </c>
    </row>
    <row r="2574" spans="1:28" ht="27" customHeight="1" x14ac:dyDescent="0.3">
      <c r="A2574" s="34" t="s">
        <v>6887</v>
      </c>
      <c r="B2574" s="36" t="str">
        <f t="shared" si="66"/>
        <v>Octubre</v>
      </c>
      <c r="C2574" s="33" t="s">
        <v>162</v>
      </c>
      <c r="D2574" s="33" t="s">
        <v>8409</v>
      </c>
      <c r="E2574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574" s="32" t="s">
        <v>449</v>
      </c>
      <c r="G2574" s="32" t="s">
        <v>4868</v>
      </c>
      <c r="H2574" s="139" t="s">
        <v>8410</v>
      </c>
      <c r="I2574" s="33" t="s">
        <v>312</v>
      </c>
      <c r="J2574" s="143" t="s">
        <v>4917</v>
      </c>
      <c r="K2574" s="33" t="s">
        <v>169</v>
      </c>
      <c r="L2574" s="102" t="str">
        <f>VLOOKUP(Anexo_4[[#This Row],[cod_doc]],TIPODOC,2,FALSE)</f>
        <v>FACTURA</v>
      </c>
      <c r="M2574" s="33" t="s">
        <v>2506</v>
      </c>
      <c r="N2574" s="32" t="s">
        <v>8411</v>
      </c>
      <c r="O2574" s="48">
        <v>12.71</v>
      </c>
      <c r="P2574" s="49" t="s">
        <v>4341</v>
      </c>
      <c r="Q2574" s="81">
        <v>2.29</v>
      </c>
      <c r="R2574" s="80" t="s">
        <v>4341</v>
      </c>
      <c r="S2574" s="48" t="s">
        <v>4341</v>
      </c>
      <c r="T2574" s="72">
        <v>15</v>
      </c>
      <c r="U2574" s="70"/>
      <c r="V2574" s="32"/>
      <c r="W2574" s="70"/>
      <c r="X2574" s="70"/>
      <c r="Y2574" s="70" t="s">
        <v>8412</v>
      </c>
      <c r="Z2574" s="70"/>
      <c r="AA2574" s="71"/>
      <c r="AB2574" s="117" t="str">
        <f>IFERROR(VLOOKUP(Anexo_4[[#This Row],[cuenta]],OP,2,0),"-")</f>
        <v>-</v>
      </c>
    </row>
    <row r="2575" spans="1:28" ht="27" customHeight="1" x14ac:dyDescent="0.3">
      <c r="A2575" s="34" t="s">
        <v>7240</v>
      </c>
      <c r="B2575" s="36" t="str">
        <f t="shared" si="66"/>
        <v>Octubre</v>
      </c>
      <c r="C2575" s="33" t="s">
        <v>162</v>
      </c>
      <c r="D2575" s="33" t="s">
        <v>8413</v>
      </c>
      <c r="E2575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575" s="32" t="s">
        <v>449</v>
      </c>
      <c r="G2575" s="32" t="s">
        <v>4868</v>
      </c>
      <c r="H2575" s="139" t="s">
        <v>8414</v>
      </c>
      <c r="I2575" s="33" t="s">
        <v>312</v>
      </c>
      <c r="J2575" s="143" t="s">
        <v>4917</v>
      </c>
      <c r="K2575" s="33" t="s">
        <v>169</v>
      </c>
      <c r="L2575" s="102" t="str">
        <f>VLOOKUP(Anexo_4[[#This Row],[cod_doc]],TIPODOC,2,FALSE)</f>
        <v>FACTURA</v>
      </c>
      <c r="M2575" s="33" t="s">
        <v>1474</v>
      </c>
      <c r="N2575" s="32" t="s">
        <v>8415</v>
      </c>
      <c r="O2575" s="48">
        <v>12.71</v>
      </c>
      <c r="P2575" s="49" t="s">
        <v>4341</v>
      </c>
      <c r="Q2575" s="81">
        <v>2.29</v>
      </c>
      <c r="R2575" s="80" t="s">
        <v>4341</v>
      </c>
      <c r="S2575" s="48" t="s">
        <v>4341</v>
      </c>
      <c r="T2575" s="72">
        <v>15</v>
      </c>
      <c r="U2575" s="70"/>
      <c r="V2575" s="32"/>
      <c r="W2575" s="70"/>
      <c r="X2575" s="70"/>
      <c r="Y2575" s="70" t="s">
        <v>8416</v>
      </c>
      <c r="Z2575" s="70"/>
      <c r="AA2575" s="71"/>
      <c r="AB2575" s="117" t="str">
        <f>IFERROR(VLOOKUP(Anexo_4[[#This Row],[cuenta]],OP,2,0),"-")</f>
        <v>-</v>
      </c>
    </row>
    <row r="2576" spans="1:28" ht="27" customHeight="1" x14ac:dyDescent="0.3">
      <c r="A2576" s="34" t="s">
        <v>6887</v>
      </c>
      <c r="B2576" s="36" t="str">
        <f t="shared" si="66"/>
        <v>Octubre</v>
      </c>
      <c r="C2576" s="33" t="s">
        <v>162</v>
      </c>
      <c r="D2576" s="33" t="s">
        <v>8417</v>
      </c>
      <c r="E2576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576" s="32" t="s">
        <v>449</v>
      </c>
      <c r="G2576" s="32" t="s">
        <v>4868</v>
      </c>
      <c r="H2576" s="139" t="s">
        <v>8418</v>
      </c>
      <c r="I2576" s="33" t="s">
        <v>312</v>
      </c>
      <c r="J2576" s="143" t="s">
        <v>4917</v>
      </c>
      <c r="K2576" s="33" t="s">
        <v>169</v>
      </c>
      <c r="L2576" s="102" t="str">
        <f>VLOOKUP(Anexo_4[[#This Row],[cod_doc]],TIPODOC,2,FALSE)</f>
        <v>FACTURA</v>
      </c>
      <c r="M2576" s="33" t="s">
        <v>1463</v>
      </c>
      <c r="N2576" s="32" t="s">
        <v>8419</v>
      </c>
      <c r="O2576" s="48">
        <v>12.71</v>
      </c>
      <c r="P2576" s="49" t="s">
        <v>4341</v>
      </c>
      <c r="Q2576" s="81">
        <v>2.29</v>
      </c>
      <c r="R2576" s="80" t="s">
        <v>4341</v>
      </c>
      <c r="S2576" s="48" t="s">
        <v>4341</v>
      </c>
      <c r="T2576" s="72">
        <v>15</v>
      </c>
      <c r="U2576" s="70"/>
      <c r="V2576" s="32"/>
      <c r="W2576" s="70"/>
      <c r="X2576" s="70"/>
      <c r="Y2576" s="70" t="s">
        <v>8420</v>
      </c>
      <c r="Z2576" s="70"/>
      <c r="AA2576" s="71"/>
      <c r="AB2576" s="117" t="str">
        <f>IFERROR(VLOOKUP(Anexo_4[[#This Row],[cuenta]],OP,2,0),"-")</f>
        <v>-</v>
      </c>
    </row>
    <row r="2577" spans="1:28" ht="27" customHeight="1" x14ac:dyDescent="0.3">
      <c r="A2577" s="34" t="s">
        <v>7741</v>
      </c>
      <c r="B2577" s="36" t="str">
        <f t="shared" si="66"/>
        <v>Octubre</v>
      </c>
      <c r="C2577" s="33" t="s">
        <v>162</v>
      </c>
      <c r="D2577" s="33" t="s">
        <v>8421</v>
      </c>
      <c r="E2577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577" s="32" t="s">
        <v>449</v>
      </c>
      <c r="G2577" s="32" t="s">
        <v>4868</v>
      </c>
      <c r="H2577" s="139" t="s">
        <v>8422</v>
      </c>
      <c r="I2577" s="33" t="s">
        <v>312</v>
      </c>
      <c r="J2577" s="143" t="s">
        <v>4917</v>
      </c>
      <c r="K2577" s="33" t="s">
        <v>169</v>
      </c>
      <c r="L2577" s="102" t="str">
        <f>VLOOKUP(Anexo_4[[#This Row],[cod_doc]],TIPODOC,2,FALSE)</f>
        <v>FACTURA</v>
      </c>
      <c r="M2577" s="33" t="s">
        <v>1474</v>
      </c>
      <c r="N2577" s="32" t="s">
        <v>8423</v>
      </c>
      <c r="O2577" s="48">
        <v>12.71</v>
      </c>
      <c r="P2577" s="49" t="s">
        <v>4341</v>
      </c>
      <c r="Q2577" s="81">
        <v>2.29</v>
      </c>
      <c r="R2577" s="80" t="s">
        <v>4341</v>
      </c>
      <c r="S2577" s="48" t="s">
        <v>4341</v>
      </c>
      <c r="T2577" s="72">
        <v>15</v>
      </c>
      <c r="U2577" s="70"/>
      <c r="V2577" s="32"/>
      <c r="W2577" s="70"/>
      <c r="X2577" s="70"/>
      <c r="Y2577" s="70" t="s">
        <v>8424</v>
      </c>
      <c r="Z2577" s="70"/>
      <c r="AA2577" s="71"/>
      <c r="AB2577" s="117" t="str">
        <f>IFERROR(VLOOKUP(Anexo_4[[#This Row],[cuenta]],OP,2,0),"-")</f>
        <v>-</v>
      </c>
    </row>
    <row r="2578" spans="1:28" ht="27" customHeight="1" x14ac:dyDescent="0.3">
      <c r="A2578" s="34" t="s">
        <v>7741</v>
      </c>
      <c r="B2578" s="36" t="str">
        <f t="shared" si="66"/>
        <v>Octubre</v>
      </c>
      <c r="C2578" s="33" t="s">
        <v>162</v>
      </c>
      <c r="D2578" s="33" t="s">
        <v>8425</v>
      </c>
      <c r="E2578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578" s="32" t="s">
        <v>449</v>
      </c>
      <c r="G2578" s="32" t="s">
        <v>4868</v>
      </c>
      <c r="H2578" s="139" t="s">
        <v>8426</v>
      </c>
      <c r="I2578" s="33" t="s">
        <v>312</v>
      </c>
      <c r="J2578" s="143" t="s">
        <v>4917</v>
      </c>
      <c r="K2578" s="33" t="s">
        <v>169</v>
      </c>
      <c r="L2578" s="102" t="str">
        <f>VLOOKUP(Anexo_4[[#This Row],[cod_doc]],TIPODOC,2,FALSE)</f>
        <v>FACTURA</v>
      </c>
      <c r="M2578" s="33" t="s">
        <v>4334</v>
      </c>
      <c r="N2578" s="32" t="s">
        <v>8427</v>
      </c>
      <c r="O2578" s="48">
        <v>12.71</v>
      </c>
      <c r="P2578" s="49" t="s">
        <v>4341</v>
      </c>
      <c r="Q2578" s="81">
        <v>2.29</v>
      </c>
      <c r="R2578" s="80" t="s">
        <v>4341</v>
      </c>
      <c r="S2578" s="48" t="s">
        <v>4341</v>
      </c>
      <c r="T2578" s="72">
        <v>15</v>
      </c>
      <c r="U2578" s="70"/>
      <c r="V2578" s="32"/>
      <c r="W2578" s="70"/>
      <c r="X2578" s="70"/>
      <c r="Y2578" s="70" t="s">
        <v>8428</v>
      </c>
      <c r="Z2578" s="70"/>
      <c r="AA2578" s="71"/>
      <c r="AB2578" s="117" t="str">
        <f>IFERROR(VLOOKUP(Anexo_4[[#This Row],[cuenta]],OP,2,0),"-")</f>
        <v>-</v>
      </c>
    </row>
    <row r="2579" spans="1:28" ht="27" customHeight="1" x14ac:dyDescent="0.3">
      <c r="A2579" s="34" t="s">
        <v>7240</v>
      </c>
      <c r="B2579" s="36" t="str">
        <f t="shared" si="66"/>
        <v>Octubre</v>
      </c>
      <c r="C2579" s="33" t="s">
        <v>162</v>
      </c>
      <c r="D2579" s="33" t="s">
        <v>8429</v>
      </c>
      <c r="E2579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579" s="32" t="s">
        <v>449</v>
      </c>
      <c r="G2579" s="32" t="s">
        <v>4868</v>
      </c>
      <c r="H2579" s="139" t="s">
        <v>8430</v>
      </c>
      <c r="I2579" s="33" t="s">
        <v>312</v>
      </c>
      <c r="J2579" s="143" t="s">
        <v>4917</v>
      </c>
      <c r="K2579" s="33" t="s">
        <v>169</v>
      </c>
      <c r="L2579" s="102" t="str">
        <f>VLOOKUP(Anexo_4[[#This Row],[cod_doc]],TIPODOC,2,FALSE)</f>
        <v>FACTURA</v>
      </c>
      <c r="M2579" s="33" t="s">
        <v>1470</v>
      </c>
      <c r="N2579" s="32" t="s">
        <v>8431</v>
      </c>
      <c r="O2579" s="48">
        <v>12.71</v>
      </c>
      <c r="P2579" s="49" t="s">
        <v>4341</v>
      </c>
      <c r="Q2579" s="81">
        <v>2.29</v>
      </c>
      <c r="R2579" s="80" t="s">
        <v>4341</v>
      </c>
      <c r="S2579" s="48" t="s">
        <v>4341</v>
      </c>
      <c r="T2579" s="72">
        <v>15</v>
      </c>
      <c r="U2579" s="70"/>
      <c r="V2579" s="32"/>
      <c r="W2579" s="70"/>
      <c r="X2579" s="70"/>
      <c r="Y2579" s="70" t="s">
        <v>8432</v>
      </c>
      <c r="Z2579" s="70"/>
      <c r="AA2579" s="71"/>
      <c r="AB2579" s="117" t="str">
        <f>IFERROR(VLOOKUP(Anexo_4[[#This Row],[cuenta]],OP,2,0),"-")</f>
        <v>-</v>
      </c>
    </row>
    <row r="2580" spans="1:28" ht="27" customHeight="1" x14ac:dyDescent="0.3">
      <c r="A2580" s="34" t="s">
        <v>8158</v>
      </c>
      <c r="B2580" s="36" t="str">
        <f t="shared" ref="B2580:B2591" si="67">PROPER(CHOOSE(LEFT(D2580,2),"enero","febrero","marzo","abril","mayo","junio","julio","agosto","setiembre","octubre","noviembre","diciembre"))</f>
        <v>Octubre</v>
      </c>
      <c r="C2580" s="33" t="s">
        <v>162</v>
      </c>
      <c r="D2580" s="33" t="s">
        <v>8433</v>
      </c>
      <c r="E2580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580" s="32" t="s">
        <v>217</v>
      </c>
      <c r="G2580" s="32" t="s">
        <v>4839</v>
      </c>
      <c r="H2580" s="139" t="s">
        <v>8434</v>
      </c>
      <c r="I2580" s="33" t="s">
        <v>4132</v>
      </c>
      <c r="J2580" s="143" t="s">
        <v>8339</v>
      </c>
      <c r="K2580" s="33" t="s">
        <v>239</v>
      </c>
      <c r="L2580" s="102" t="str">
        <f>VLOOKUP(Anexo_4[[#This Row],[cod_doc]],TIPODOC,2,FALSE)</f>
        <v>BOLETA DE VENTA</v>
      </c>
      <c r="M2580" s="33" t="s">
        <v>5938</v>
      </c>
      <c r="N2580" s="32" t="s">
        <v>8435</v>
      </c>
      <c r="O2580" s="48" t="s">
        <v>4341</v>
      </c>
      <c r="P2580" s="49" t="s">
        <v>4341</v>
      </c>
      <c r="Q2580" s="81" t="s">
        <v>4341</v>
      </c>
      <c r="R2580" s="80" t="s">
        <v>4341</v>
      </c>
      <c r="S2580" s="48">
        <v>30</v>
      </c>
      <c r="T2580" s="72">
        <v>30</v>
      </c>
      <c r="U2580" s="70"/>
      <c r="V2580" s="32"/>
      <c r="W2580" s="70"/>
      <c r="X2580" s="70"/>
      <c r="Y2580" s="70" t="s">
        <v>8436</v>
      </c>
      <c r="Z2580" s="70"/>
      <c r="AA2580" s="71"/>
      <c r="AB2580" s="117" t="str">
        <f>IFERROR(VLOOKUP(Anexo_4[[#This Row],[cuenta]],OP,2,0),"-")</f>
        <v>-</v>
      </c>
    </row>
    <row r="2581" spans="1:28" ht="27" customHeight="1" x14ac:dyDescent="0.3">
      <c r="A2581" s="34" t="s">
        <v>7276</v>
      </c>
      <c r="B2581" s="36" t="str">
        <f t="shared" si="67"/>
        <v>Octubre</v>
      </c>
      <c r="C2581" s="33" t="s">
        <v>162</v>
      </c>
      <c r="D2581" s="33" t="s">
        <v>8437</v>
      </c>
      <c r="E2581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581" s="32" t="s">
        <v>449</v>
      </c>
      <c r="G2581" s="32" t="s">
        <v>4868</v>
      </c>
      <c r="H2581" s="139" t="s">
        <v>8438</v>
      </c>
      <c r="I2581" s="33" t="s">
        <v>2085</v>
      </c>
      <c r="J2581" s="143" t="s">
        <v>5397</v>
      </c>
      <c r="K2581" s="33" t="s">
        <v>169</v>
      </c>
      <c r="L2581" s="102" t="str">
        <f>VLOOKUP(Anexo_4[[#This Row],[cod_doc]],TIPODOC,2,FALSE)</f>
        <v>FACTURA</v>
      </c>
      <c r="M2581" s="33" t="s">
        <v>631</v>
      </c>
      <c r="N2581" s="32" t="s">
        <v>8439</v>
      </c>
      <c r="O2581" s="48">
        <v>46.61</v>
      </c>
      <c r="P2581" s="49" t="s">
        <v>4341</v>
      </c>
      <c r="Q2581" s="81">
        <v>8.39</v>
      </c>
      <c r="R2581" s="80" t="s">
        <v>4341</v>
      </c>
      <c r="S2581" s="48" t="s">
        <v>4341</v>
      </c>
      <c r="T2581" s="72">
        <v>55</v>
      </c>
      <c r="U2581" s="70"/>
      <c r="V2581" s="32"/>
      <c r="W2581" s="70"/>
      <c r="X2581" s="70"/>
      <c r="Y2581" s="70" t="s">
        <v>8440</v>
      </c>
      <c r="Z2581" s="70"/>
      <c r="AA2581" s="71"/>
      <c r="AB2581" s="117" t="str">
        <f>IFERROR(VLOOKUP(Anexo_4[[#This Row],[cuenta]],OP,2,0),"-")</f>
        <v>-</v>
      </c>
    </row>
    <row r="2582" spans="1:28" ht="27" customHeight="1" x14ac:dyDescent="0.3">
      <c r="A2582" s="34" t="s">
        <v>7705</v>
      </c>
      <c r="B2582" s="36" t="str">
        <f t="shared" si="67"/>
        <v>Octubre</v>
      </c>
      <c r="C2582" s="33" t="s">
        <v>162</v>
      </c>
      <c r="D2582" s="33" t="s">
        <v>8441</v>
      </c>
      <c r="E2582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582" s="32" t="s">
        <v>449</v>
      </c>
      <c r="G2582" s="32" t="s">
        <v>4868</v>
      </c>
      <c r="H2582" s="139" t="s">
        <v>8442</v>
      </c>
      <c r="I2582" s="33" t="s">
        <v>2085</v>
      </c>
      <c r="J2582" s="143" t="s">
        <v>5397</v>
      </c>
      <c r="K2582" s="33" t="s">
        <v>169</v>
      </c>
      <c r="L2582" s="102" t="str">
        <f>VLOOKUP(Anexo_4[[#This Row],[cod_doc]],TIPODOC,2,FALSE)</f>
        <v>FACTURA</v>
      </c>
      <c r="M2582" s="33" t="s">
        <v>631</v>
      </c>
      <c r="N2582" s="32" t="s">
        <v>8443</v>
      </c>
      <c r="O2582" s="48">
        <v>46.61</v>
      </c>
      <c r="P2582" s="49" t="s">
        <v>4341</v>
      </c>
      <c r="Q2582" s="81">
        <v>8.39</v>
      </c>
      <c r="R2582" s="80" t="s">
        <v>4341</v>
      </c>
      <c r="S2582" s="48" t="s">
        <v>4341</v>
      </c>
      <c r="T2582" s="72">
        <v>55</v>
      </c>
      <c r="U2582" s="70"/>
      <c r="V2582" s="32"/>
      <c r="W2582" s="70"/>
      <c r="X2582" s="70"/>
      <c r="Y2582" s="70" t="s">
        <v>8444</v>
      </c>
      <c r="Z2582" s="70"/>
      <c r="AA2582" s="71"/>
      <c r="AB2582" s="117" t="str">
        <f>IFERROR(VLOOKUP(Anexo_4[[#This Row],[cuenta]],OP,2,0),"-")</f>
        <v>-</v>
      </c>
    </row>
    <row r="2583" spans="1:28" ht="27" customHeight="1" x14ac:dyDescent="0.3">
      <c r="A2583" s="34" t="s">
        <v>8254</v>
      </c>
      <c r="B2583" s="36" t="str">
        <f t="shared" si="67"/>
        <v>Octubre</v>
      </c>
      <c r="C2583" s="33" t="s">
        <v>162</v>
      </c>
      <c r="D2583" s="33" t="s">
        <v>8445</v>
      </c>
      <c r="E2583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583" s="32" t="s">
        <v>391</v>
      </c>
      <c r="G2583" s="32" t="s">
        <v>5041</v>
      </c>
      <c r="H2583" s="139" t="s">
        <v>8446</v>
      </c>
      <c r="I2583" s="33" t="s">
        <v>264</v>
      </c>
      <c r="J2583" s="143" t="s">
        <v>4644</v>
      </c>
      <c r="K2583" s="33" t="s">
        <v>169</v>
      </c>
      <c r="L2583" s="102" t="str">
        <f>VLOOKUP(Anexo_4[[#This Row],[cod_doc]],TIPODOC,2,FALSE)</f>
        <v>FACTURA</v>
      </c>
      <c r="M2583" s="33" t="s">
        <v>271</v>
      </c>
      <c r="N2583" s="32" t="s">
        <v>8447</v>
      </c>
      <c r="O2583" s="48">
        <v>4.24</v>
      </c>
      <c r="P2583" s="49" t="s">
        <v>4341</v>
      </c>
      <c r="Q2583" s="81">
        <v>0.76</v>
      </c>
      <c r="R2583" s="80" t="s">
        <v>4341</v>
      </c>
      <c r="S2583" s="48" t="s">
        <v>4341</v>
      </c>
      <c r="T2583" s="72">
        <v>5</v>
      </c>
      <c r="U2583" s="70"/>
      <c r="V2583" s="32"/>
      <c r="W2583" s="70"/>
      <c r="X2583" s="70"/>
      <c r="Y2583" s="70" t="s">
        <v>8448</v>
      </c>
      <c r="Z2583" s="70"/>
      <c r="AA2583" s="71"/>
      <c r="AB2583" s="117" t="str">
        <f>IFERROR(VLOOKUP(Anexo_4[[#This Row],[cuenta]],OP,2,0),"-")</f>
        <v>-</v>
      </c>
    </row>
    <row r="2584" spans="1:28" ht="27" customHeight="1" x14ac:dyDescent="0.3">
      <c r="A2584" s="34" t="s">
        <v>7134</v>
      </c>
      <c r="B2584" s="36" t="str">
        <f t="shared" si="67"/>
        <v>Octubre</v>
      </c>
      <c r="C2584" s="33" t="s">
        <v>162</v>
      </c>
      <c r="D2584" s="33" t="s">
        <v>8449</v>
      </c>
      <c r="E2584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584" s="32" t="s">
        <v>391</v>
      </c>
      <c r="G2584" s="32" t="s">
        <v>5041</v>
      </c>
      <c r="H2584" s="139" t="s">
        <v>8450</v>
      </c>
      <c r="I2584" s="33" t="s">
        <v>264</v>
      </c>
      <c r="J2584" s="143" t="s">
        <v>4644</v>
      </c>
      <c r="K2584" s="33" t="s">
        <v>169</v>
      </c>
      <c r="L2584" s="102" t="str">
        <f>VLOOKUP(Anexo_4[[#This Row],[cod_doc]],TIPODOC,2,FALSE)</f>
        <v>FACTURA</v>
      </c>
      <c r="M2584" s="33" t="s">
        <v>271</v>
      </c>
      <c r="N2584" s="32" t="s">
        <v>8451</v>
      </c>
      <c r="O2584" s="48">
        <v>6.78</v>
      </c>
      <c r="P2584" s="49" t="s">
        <v>4341</v>
      </c>
      <c r="Q2584" s="81">
        <v>1.22</v>
      </c>
      <c r="R2584" s="80" t="s">
        <v>4341</v>
      </c>
      <c r="S2584" s="48" t="s">
        <v>4341</v>
      </c>
      <c r="T2584" s="72">
        <v>8</v>
      </c>
      <c r="U2584" s="70"/>
      <c r="V2584" s="32"/>
      <c r="W2584" s="70"/>
      <c r="X2584" s="70"/>
      <c r="Y2584" s="70" t="s">
        <v>8452</v>
      </c>
      <c r="Z2584" s="70"/>
      <c r="AA2584" s="71"/>
      <c r="AB2584" s="117" t="str">
        <f>IFERROR(VLOOKUP(Anexo_4[[#This Row],[cuenta]],OP,2,0),"-")</f>
        <v>-</v>
      </c>
    </row>
    <row r="2585" spans="1:28" ht="27" customHeight="1" x14ac:dyDescent="0.3">
      <c r="A2585" s="34" t="s">
        <v>7710</v>
      </c>
      <c r="B2585" s="36" t="str">
        <f t="shared" si="67"/>
        <v>Octubre</v>
      </c>
      <c r="C2585" s="33" t="s">
        <v>162</v>
      </c>
      <c r="D2585" s="33" t="s">
        <v>8453</v>
      </c>
      <c r="E2585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585" s="32" t="s">
        <v>5923</v>
      </c>
      <c r="G2585" s="32" t="s">
        <v>5924</v>
      </c>
      <c r="H2585" s="139" t="s">
        <v>8454</v>
      </c>
      <c r="I2585" s="33" t="s">
        <v>264</v>
      </c>
      <c r="J2585" s="143" t="s">
        <v>4644</v>
      </c>
      <c r="K2585" s="33" t="s">
        <v>169</v>
      </c>
      <c r="L2585" s="102" t="str">
        <f>VLOOKUP(Anexo_4[[#This Row],[cod_doc]],TIPODOC,2,FALSE)</f>
        <v>FACTURA</v>
      </c>
      <c r="M2585" s="33" t="s">
        <v>406</v>
      </c>
      <c r="N2585" s="32" t="s">
        <v>8455</v>
      </c>
      <c r="O2585" s="48">
        <v>6.78</v>
      </c>
      <c r="P2585" s="49" t="s">
        <v>4341</v>
      </c>
      <c r="Q2585" s="81">
        <v>1.22</v>
      </c>
      <c r="R2585" s="80" t="s">
        <v>4341</v>
      </c>
      <c r="S2585" s="48" t="s">
        <v>4341</v>
      </c>
      <c r="T2585" s="72">
        <v>8</v>
      </c>
      <c r="U2585" s="70"/>
      <c r="V2585" s="32"/>
      <c r="W2585" s="70"/>
      <c r="X2585" s="70"/>
      <c r="Y2585" s="70" t="s">
        <v>8456</v>
      </c>
      <c r="Z2585" s="70"/>
      <c r="AA2585" s="71"/>
      <c r="AB2585" s="117" t="str">
        <f>IFERROR(VLOOKUP(Anexo_4[[#This Row],[cuenta]],OP,2,0),"-")</f>
        <v>-</v>
      </c>
    </row>
    <row r="2586" spans="1:28" ht="27" customHeight="1" x14ac:dyDescent="0.3">
      <c r="A2586" s="34" t="s">
        <v>5238</v>
      </c>
      <c r="B2586" s="36" t="str">
        <f t="shared" si="67"/>
        <v>Octubre</v>
      </c>
      <c r="C2586" s="33" t="s">
        <v>162</v>
      </c>
      <c r="D2586" s="33" t="s">
        <v>8457</v>
      </c>
      <c r="E2586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586" s="32"/>
      <c r="G2586" s="32"/>
      <c r="H2586" s="139" t="s">
        <v>8458</v>
      </c>
      <c r="I2586" s="33" t="s">
        <v>529</v>
      </c>
      <c r="J2586" s="143" t="s">
        <v>5293</v>
      </c>
      <c r="K2586" s="33" t="s">
        <v>169</v>
      </c>
      <c r="L2586" s="102" t="str">
        <f>VLOOKUP(Anexo_4[[#This Row],[cod_doc]],TIPODOC,2,FALSE)</f>
        <v>FACTURA</v>
      </c>
      <c r="M2586" s="33" t="s">
        <v>531</v>
      </c>
      <c r="N2586" s="32" t="s">
        <v>8459</v>
      </c>
      <c r="O2586" s="48">
        <v>16.95</v>
      </c>
      <c r="P2586" s="49" t="s">
        <v>4341</v>
      </c>
      <c r="Q2586" s="81">
        <v>3.05</v>
      </c>
      <c r="R2586" s="80" t="s">
        <v>4341</v>
      </c>
      <c r="S2586" s="48" t="s">
        <v>4341</v>
      </c>
      <c r="T2586" s="72">
        <v>20</v>
      </c>
      <c r="U2586" s="70"/>
      <c r="V2586" s="32"/>
      <c r="W2586" s="70"/>
      <c r="X2586" s="70"/>
      <c r="Y2586" s="70" t="s">
        <v>8460</v>
      </c>
      <c r="Z2586" s="70"/>
      <c r="AA2586" s="71"/>
      <c r="AB2586" s="117" t="str">
        <f>IFERROR(VLOOKUP(Anexo_4[[#This Row],[cuenta]],OP,2,0),"-")</f>
        <v>-</v>
      </c>
    </row>
    <row r="2587" spans="1:28" ht="27" customHeight="1" x14ac:dyDescent="0.3">
      <c r="A2587" s="34" t="s">
        <v>6384</v>
      </c>
      <c r="B2587" s="36" t="str">
        <f t="shared" si="67"/>
        <v>Octubre</v>
      </c>
      <c r="C2587" s="33" t="s">
        <v>162</v>
      </c>
      <c r="D2587" s="33" t="s">
        <v>8461</v>
      </c>
      <c r="E2587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587" s="32"/>
      <c r="G2587" s="32"/>
      <c r="H2587" s="139" t="s">
        <v>8462</v>
      </c>
      <c r="I2587" s="33" t="s">
        <v>178</v>
      </c>
      <c r="J2587" s="143" t="s">
        <v>4667</v>
      </c>
      <c r="K2587" s="33" t="s">
        <v>169</v>
      </c>
      <c r="L2587" s="102" t="str">
        <f>VLOOKUP(Anexo_4[[#This Row],[cod_doc]],TIPODOC,2,FALSE)</f>
        <v>FACTURA</v>
      </c>
      <c r="M2587" s="33" t="s">
        <v>180</v>
      </c>
      <c r="N2587" s="32" t="s">
        <v>8463</v>
      </c>
      <c r="O2587" s="48">
        <v>8.4700000000000006</v>
      </c>
      <c r="P2587" s="49" t="s">
        <v>4341</v>
      </c>
      <c r="Q2587" s="81">
        <v>1.53</v>
      </c>
      <c r="R2587" s="80" t="s">
        <v>4341</v>
      </c>
      <c r="S2587" s="48" t="s">
        <v>4341</v>
      </c>
      <c r="T2587" s="72">
        <v>10</v>
      </c>
      <c r="U2587" s="70"/>
      <c r="V2587" s="32"/>
      <c r="W2587" s="70"/>
      <c r="X2587" s="70"/>
      <c r="Y2587" s="70" t="s">
        <v>8464</v>
      </c>
      <c r="Z2587" s="70"/>
      <c r="AA2587" s="71"/>
      <c r="AB2587" s="117" t="str">
        <f>IFERROR(VLOOKUP(Anexo_4[[#This Row],[cuenta]],OP,2,0),"-")</f>
        <v>-</v>
      </c>
    </row>
    <row r="2588" spans="1:28" ht="27" customHeight="1" x14ac:dyDescent="0.3">
      <c r="A2588" s="34" t="s">
        <v>6536</v>
      </c>
      <c r="B2588" s="36" t="str">
        <f t="shared" si="67"/>
        <v>Octubre</v>
      </c>
      <c r="C2588" s="33" t="s">
        <v>162</v>
      </c>
      <c r="D2588" s="33" t="s">
        <v>8465</v>
      </c>
      <c r="E2588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588" s="32"/>
      <c r="G2588" s="32"/>
      <c r="H2588" s="139" t="s">
        <v>8466</v>
      </c>
      <c r="I2588" s="33" t="s">
        <v>178</v>
      </c>
      <c r="J2588" s="143" t="s">
        <v>4667</v>
      </c>
      <c r="K2588" s="33" t="s">
        <v>169</v>
      </c>
      <c r="L2588" s="102" t="str">
        <f>VLOOKUP(Anexo_4[[#This Row],[cod_doc]],TIPODOC,2,FALSE)</f>
        <v>FACTURA</v>
      </c>
      <c r="M2588" s="33" t="s">
        <v>180</v>
      </c>
      <c r="N2588" s="32" t="s">
        <v>8467</v>
      </c>
      <c r="O2588" s="48">
        <v>8.4700000000000006</v>
      </c>
      <c r="P2588" s="49" t="s">
        <v>4341</v>
      </c>
      <c r="Q2588" s="81">
        <v>1.53</v>
      </c>
      <c r="R2588" s="80" t="s">
        <v>4341</v>
      </c>
      <c r="S2588" s="48" t="s">
        <v>4341</v>
      </c>
      <c r="T2588" s="72">
        <v>10</v>
      </c>
      <c r="U2588" s="70"/>
      <c r="V2588" s="32"/>
      <c r="W2588" s="70"/>
      <c r="X2588" s="70"/>
      <c r="Y2588" s="70" t="s">
        <v>8468</v>
      </c>
      <c r="Z2588" s="70"/>
      <c r="AA2588" s="71"/>
      <c r="AB2588" s="117" t="str">
        <f>IFERROR(VLOOKUP(Anexo_4[[#This Row],[cuenta]],OP,2,0),"-")</f>
        <v>-</v>
      </c>
    </row>
    <row r="2589" spans="1:28" ht="27" customHeight="1" x14ac:dyDescent="0.3">
      <c r="A2589" s="34" t="s">
        <v>6380</v>
      </c>
      <c r="B2589" s="36" t="str">
        <f t="shared" si="67"/>
        <v>Octubre</v>
      </c>
      <c r="C2589" s="33" t="s">
        <v>162</v>
      </c>
      <c r="D2589" s="33" t="s">
        <v>8469</v>
      </c>
      <c r="E2589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589" s="32"/>
      <c r="G2589" s="32"/>
      <c r="H2589" s="139" t="s">
        <v>8470</v>
      </c>
      <c r="I2589" s="33" t="s">
        <v>178</v>
      </c>
      <c r="J2589" s="143" t="s">
        <v>4667</v>
      </c>
      <c r="K2589" s="33" t="s">
        <v>169</v>
      </c>
      <c r="L2589" s="102" t="str">
        <f>VLOOKUP(Anexo_4[[#This Row],[cod_doc]],TIPODOC,2,FALSE)</f>
        <v>FACTURA</v>
      </c>
      <c r="M2589" s="33" t="s">
        <v>180</v>
      </c>
      <c r="N2589" s="32" t="s">
        <v>8471</v>
      </c>
      <c r="O2589" s="48">
        <v>8.4700000000000006</v>
      </c>
      <c r="P2589" s="49" t="s">
        <v>4341</v>
      </c>
      <c r="Q2589" s="81">
        <v>1.53</v>
      </c>
      <c r="R2589" s="80" t="s">
        <v>4341</v>
      </c>
      <c r="S2589" s="48" t="s">
        <v>4341</v>
      </c>
      <c r="T2589" s="72">
        <v>10</v>
      </c>
      <c r="U2589" s="70"/>
      <c r="V2589" s="32"/>
      <c r="W2589" s="70"/>
      <c r="X2589" s="70"/>
      <c r="Y2589" s="70" t="s">
        <v>8472</v>
      </c>
      <c r="Z2589" s="70"/>
      <c r="AA2589" s="71"/>
      <c r="AB2589" s="117" t="str">
        <f>IFERROR(VLOOKUP(Anexo_4[[#This Row],[cuenta]],OP,2,0),"-")</f>
        <v>-</v>
      </c>
    </row>
    <row r="2590" spans="1:28" ht="27" customHeight="1" x14ac:dyDescent="0.3">
      <c r="A2590" s="34" t="s">
        <v>6302</v>
      </c>
      <c r="B2590" s="36" t="str">
        <f t="shared" si="67"/>
        <v>Octubre</v>
      </c>
      <c r="C2590" s="33" t="s">
        <v>162</v>
      </c>
      <c r="D2590" s="33" t="s">
        <v>8473</v>
      </c>
      <c r="E2590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590" s="32"/>
      <c r="G2590" s="32"/>
      <c r="H2590" s="139" t="s">
        <v>8474</v>
      </c>
      <c r="I2590" s="33" t="s">
        <v>178</v>
      </c>
      <c r="J2590" s="143" t="s">
        <v>4667</v>
      </c>
      <c r="K2590" s="33" t="s">
        <v>169</v>
      </c>
      <c r="L2590" s="102" t="str">
        <f>VLOOKUP(Anexo_4[[#This Row],[cod_doc]],TIPODOC,2,FALSE)</f>
        <v>FACTURA</v>
      </c>
      <c r="M2590" s="33" t="s">
        <v>180</v>
      </c>
      <c r="N2590" s="32" t="s">
        <v>8475</v>
      </c>
      <c r="O2590" s="48">
        <v>8.4700000000000006</v>
      </c>
      <c r="P2590" s="49" t="s">
        <v>4341</v>
      </c>
      <c r="Q2590" s="81">
        <v>1.53</v>
      </c>
      <c r="R2590" s="80" t="s">
        <v>4341</v>
      </c>
      <c r="S2590" s="48" t="s">
        <v>4341</v>
      </c>
      <c r="T2590" s="72">
        <v>10</v>
      </c>
      <c r="U2590" s="70"/>
      <c r="V2590" s="32"/>
      <c r="W2590" s="70"/>
      <c r="X2590" s="70"/>
      <c r="Y2590" s="70" t="s">
        <v>8476</v>
      </c>
      <c r="Z2590" s="70"/>
      <c r="AA2590" s="71"/>
      <c r="AB2590" s="117" t="str">
        <f>IFERROR(VLOOKUP(Anexo_4[[#This Row],[cuenta]],OP,2,0),"-")</f>
        <v>-</v>
      </c>
    </row>
    <row r="2591" spans="1:28" ht="27" customHeight="1" x14ac:dyDescent="0.3">
      <c r="A2591" s="34" t="s">
        <v>7705</v>
      </c>
      <c r="B2591" s="36" t="str">
        <f t="shared" si="67"/>
        <v>Octubre</v>
      </c>
      <c r="C2591" s="33" t="s">
        <v>162</v>
      </c>
      <c r="D2591" s="33" t="s">
        <v>8477</v>
      </c>
      <c r="E2591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591" s="32" t="s">
        <v>456</v>
      </c>
      <c r="G2591" s="32" t="s">
        <v>4911</v>
      </c>
      <c r="H2591" s="139" t="s">
        <v>8478</v>
      </c>
      <c r="I2591" s="33" t="s">
        <v>178</v>
      </c>
      <c r="J2591" s="143" t="s">
        <v>4667</v>
      </c>
      <c r="K2591" s="33" t="s">
        <v>169</v>
      </c>
      <c r="L2591" s="102" t="str">
        <f>VLOOKUP(Anexo_4[[#This Row],[cod_doc]],TIPODOC,2,FALSE)</f>
        <v>FACTURA</v>
      </c>
      <c r="M2591" s="33" t="s">
        <v>180</v>
      </c>
      <c r="N2591" s="32" t="s">
        <v>8479</v>
      </c>
      <c r="O2591" s="48">
        <v>4.24</v>
      </c>
      <c r="P2591" s="49" t="s">
        <v>4341</v>
      </c>
      <c r="Q2591" s="81">
        <v>0.76</v>
      </c>
      <c r="R2591" s="80" t="s">
        <v>4341</v>
      </c>
      <c r="S2591" s="48" t="s">
        <v>4341</v>
      </c>
      <c r="T2591" s="72">
        <v>5</v>
      </c>
      <c r="U2591" s="70"/>
      <c r="V2591" s="32"/>
      <c r="W2591" s="70"/>
      <c r="X2591" s="70"/>
      <c r="Y2591" s="70" t="s">
        <v>8480</v>
      </c>
      <c r="Z2591" s="70"/>
      <c r="AA2591" s="71"/>
      <c r="AB2591" s="117" t="str">
        <f>IFERROR(VLOOKUP(Anexo_4[[#This Row],[cuenta]],OP,2,0),"-")</f>
        <v>-</v>
      </c>
    </row>
    <row r="2592" spans="1:28" ht="27" customHeight="1" x14ac:dyDescent="0.3">
      <c r="A2592" s="34" t="s">
        <v>7705</v>
      </c>
      <c r="B2592" s="36" t="str">
        <f t="shared" ref="B2592:B2603" si="68">PROPER(CHOOSE(LEFT(D2592,2),"enero","febrero","marzo","abril","mayo","junio","julio","agosto","setiembre","octubre","noviembre","diciembre"))</f>
        <v>Octubre</v>
      </c>
      <c r="C2592" s="33" t="s">
        <v>162</v>
      </c>
      <c r="D2592" s="33" t="s">
        <v>8481</v>
      </c>
      <c r="E2592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592" s="32" t="s">
        <v>456</v>
      </c>
      <c r="G2592" s="32" t="s">
        <v>4911</v>
      </c>
      <c r="H2592" s="139" t="s">
        <v>8482</v>
      </c>
      <c r="I2592" s="33" t="s">
        <v>178</v>
      </c>
      <c r="J2592" s="143" t="s">
        <v>4667</v>
      </c>
      <c r="K2592" s="33" t="s">
        <v>169</v>
      </c>
      <c r="L2592" s="102" t="str">
        <f>VLOOKUP(Anexo_4[[#This Row],[cod_doc]],TIPODOC,2,FALSE)</f>
        <v>FACTURA</v>
      </c>
      <c r="M2592" s="33" t="s">
        <v>180</v>
      </c>
      <c r="N2592" s="32" t="s">
        <v>8483</v>
      </c>
      <c r="O2592" s="48">
        <v>4.24</v>
      </c>
      <c r="P2592" s="49" t="s">
        <v>4341</v>
      </c>
      <c r="Q2592" s="81">
        <v>0.76</v>
      </c>
      <c r="R2592" s="80" t="s">
        <v>4341</v>
      </c>
      <c r="S2592" s="48" t="s">
        <v>4341</v>
      </c>
      <c r="T2592" s="72">
        <v>5</v>
      </c>
      <c r="U2592" s="70"/>
      <c r="V2592" s="32"/>
      <c r="W2592" s="70"/>
      <c r="X2592" s="70"/>
      <c r="Y2592" s="70" t="s">
        <v>8484</v>
      </c>
      <c r="Z2592" s="70"/>
      <c r="AA2592" s="71"/>
      <c r="AB2592" s="117" t="str">
        <f>IFERROR(VLOOKUP(Anexo_4[[#This Row],[cuenta]],OP,2,0),"-")</f>
        <v>-</v>
      </c>
    </row>
    <row r="2593" spans="1:28" ht="27" customHeight="1" x14ac:dyDescent="0.3">
      <c r="A2593" s="34" t="s">
        <v>7901</v>
      </c>
      <c r="B2593" s="36" t="str">
        <f t="shared" si="68"/>
        <v>Octubre</v>
      </c>
      <c r="C2593" s="33" t="s">
        <v>162</v>
      </c>
      <c r="D2593" s="33" t="s">
        <v>8485</v>
      </c>
      <c r="E2593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593" s="32" t="s">
        <v>235</v>
      </c>
      <c r="G2593" s="32" t="s">
        <v>5051</v>
      </c>
      <c r="H2593" s="139" t="s">
        <v>8486</v>
      </c>
      <c r="I2593" s="33" t="s">
        <v>178</v>
      </c>
      <c r="J2593" s="143" t="s">
        <v>4667</v>
      </c>
      <c r="K2593" s="33" t="s">
        <v>169</v>
      </c>
      <c r="L2593" s="102" t="str">
        <f>VLOOKUP(Anexo_4[[#This Row],[cod_doc]],TIPODOC,2,FALSE)</f>
        <v>FACTURA</v>
      </c>
      <c r="M2593" s="33" t="s">
        <v>180</v>
      </c>
      <c r="N2593" s="32" t="s">
        <v>8487</v>
      </c>
      <c r="O2593" s="48">
        <v>8.4700000000000006</v>
      </c>
      <c r="P2593" s="49" t="s">
        <v>4341</v>
      </c>
      <c r="Q2593" s="81">
        <v>1.53</v>
      </c>
      <c r="R2593" s="80" t="s">
        <v>4341</v>
      </c>
      <c r="S2593" s="48" t="s">
        <v>4341</v>
      </c>
      <c r="T2593" s="72">
        <v>10</v>
      </c>
      <c r="U2593" s="70"/>
      <c r="V2593" s="32"/>
      <c r="W2593" s="70"/>
      <c r="X2593" s="70"/>
      <c r="Y2593" s="70" t="s">
        <v>8488</v>
      </c>
      <c r="Z2593" s="70"/>
      <c r="AA2593" s="71"/>
      <c r="AB2593" s="117" t="str">
        <f>IFERROR(VLOOKUP(Anexo_4[[#This Row],[cuenta]],OP,2,0),"-")</f>
        <v>-</v>
      </c>
    </row>
    <row r="2594" spans="1:28" ht="27" customHeight="1" x14ac:dyDescent="0.3">
      <c r="A2594" s="34" t="s">
        <v>7134</v>
      </c>
      <c r="B2594" s="36" t="str">
        <f t="shared" si="68"/>
        <v>Octubre</v>
      </c>
      <c r="C2594" s="33" t="s">
        <v>162</v>
      </c>
      <c r="D2594" s="33" t="s">
        <v>8489</v>
      </c>
      <c r="E2594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594" s="32" t="s">
        <v>418</v>
      </c>
      <c r="G2594" s="32" t="s">
        <v>419</v>
      </c>
      <c r="H2594" s="139" t="s">
        <v>8490</v>
      </c>
      <c r="I2594" s="33" t="s">
        <v>178</v>
      </c>
      <c r="J2594" s="143" t="s">
        <v>4667</v>
      </c>
      <c r="K2594" s="33" t="s">
        <v>169</v>
      </c>
      <c r="L2594" s="102" t="str">
        <f>VLOOKUP(Anexo_4[[#This Row],[cod_doc]],TIPODOC,2,FALSE)</f>
        <v>FACTURA</v>
      </c>
      <c r="M2594" s="33" t="s">
        <v>180</v>
      </c>
      <c r="N2594" s="32" t="s">
        <v>8491</v>
      </c>
      <c r="O2594" s="48">
        <v>8.4700000000000006</v>
      </c>
      <c r="P2594" s="49" t="s">
        <v>4341</v>
      </c>
      <c r="Q2594" s="81">
        <v>1.53</v>
      </c>
      <c r="R2594" s="80" t="s">
        <v>4341</v>
      </c>
      <c r="S2594" s="48" t="s">
        <v>4341</v>
      </c>
      <c r="T2594" s="72">
        <v>10</v>
      </c>
      <c r="U2594" s="70"/>
      <c r="V2594" s="32"/>
      <c r="W2594" s="70"/>
      <c r="X2594" s="70"/>
      <c r="Y2594" s="70" t="s">
        <v>8492</v>
      </c>
      <c r="Z2594" s="70"/>
      <c r="AA2594" s="71"/>
      <c r="AB2594" s="117" t="str">
        <f>IFERROR(VLOOKUP(Anexo_4[[#This Row],[cuenta]],OP,2,0),"-")</f>
        <v>-</v>
      </c>
    </row>
    <row r="2595" spans="1:28" ht="27" customHeight="1" x14ac:dyDescent="0.3">
      <c r="A2595" s="34" t="s">
        <v>7159</v>
      </c>
      <c r="B2595" s="36" t="str">
        <f t="shared" si="68"/>
        <v>Octubre</v>
      </c>
      <c r="C2595" s="33" t="s">
        <v>162</v>
      </c>
      <c r="D2595" s="33" t="s">
        <v>8493</v>
      </c>
      <c r="E2595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595" s="32" t="s">
        <v>235</v>
      </c>
      <c r="G2595" s="32" t="s">
        <v>5051</v>
      </c>
      <c r="H2595" s="139" t="s">
        <v>8494</v>
      </c>
      <c r="I2595" s="33" t="s">
        <v>178</v>
      </c>
      <c r="J2595" s="143" t="s">
        <v>4667</v>
      </c>
      <c r="K2595" s="33" t="s">
        <v>169</v>
      </c>
      <c r="L2595" s="102" t="str">
        <f>VLOOKUP(Anexo_4[[#This Row],[cod_doc]],TIPODOC,2,FALSE)</f>
        <v>FACTURA</v>
      </c>
      <c r="M2595" s="33" t="s">
        <v>180</v>
      </c>
      <c r="N2595" s="32" t="s">
        <v>8495</v>
      </c>
      <c r="O2595" s="48">
        <v>8.4700000000000006</v>
      </c>
      <c r="P2595" s="49" t="s">
        <v>4341</v>
      </c>
      <c r="Q2595" s="81">
        <v>1.53</v>
      </c>
      <c r="R2595" s="80" t="s">
        <v>4341</v>
      </c>
      <c r="S2595" s="48" t="s">
        <v>4341</v>
      </c>
      <c r="T2595" s="72">
        <v>10</v>
      </c>
      <c r="U2595" s="70"/>
      <c r="V2595" s="32"/>
      <c r="W2595" s="70"/>
      <c r="X2595" s="70"/>
      <c r="Y2595" s="70" t="s">
        <v>8496</v>
      </c>
      <c r="Z2595" s="70"/>
      <c r="AA2595" s="71"/>
      <c r="AB2595" s="117" t="str">
        <f>IFERROR(VLOOKUP(Anexo_4[[#This Row],[cuenta]],OP,2,0),"-")</f>
        <v>-</v>
      </c>
    </row>
    <row r="2596" spans="1:28" ht="27" customHeight="1" x14ac:dyDescent="0.3">
      <c r="A2596" s="34" t="s">
        <v>8254</v>
      </c>
      <c r="B2596" s="36" t="str">
        <f t="shared" si="68"/>
        <v>Octubre</v>
      </c>
      <c r="C2596" s="33" t="s">
        <v>162</v>
      </c>
      <c r="D2596" s="33" t="s">
        <v>8497</v>
      </c>
      <c r="E2596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596" s="32" t="s">
        <v>235</v>
      </c>
      <c r="G2596" s="32" t="s">
        <v>5051</v>
      </c>
      <c r="H2596" s="139" t="s">
        <v>8498</v>
      </c>
      <c r="I2596" s="33" t="s">
        <v>178</v>
      </c>
      <c r="J2596" s="143" t="s">
        <v>4667</v>
      </c>
      <c r="K2596" s="33" t="s">
        <v>169</v>
      </c>
      <c r="L2596" s="102" t="str">
        <f>VLOOKUP(Anexo_4[[#This Row],[cod_doc]],TIPODOC,2,FALSE)</f>
        <v>FACTURA</v>
      </c>
      <c r="M2596" s="33" t="s">
        <v>180</v>
      </c>
      <c r="N2596" s="32" t="s">
        <v>8499</v>
      </c>
      <c r="O2596" s="48">
        <v>8.4700000000000006</v>
      </c>
      <c r="P2596" s="49" t="s">
        <v>4341</v>
      </c>
      <c r="Q2596" s="81">
        <v>1.53</v>
      </c>
      <c r="R2596" s="80" t="s">
        <v>4341</v>
      </c>
      <c r="S2596" s="48" t="s">
        <v>4341</v>
      </c>
      <c r="T2596" s="72">
        <v>10</v>
      </c>
      <c r="U2596" s="70"/>
      <c r="V2596" s="32"/>
      <c r="W2596" s="70"/>
      <c r="X2596" s="70"/>
      <c r="Y2596" s="70" t="s">
        <v>8500</v>
      </c>
      <c r="Z2596" s="70"/>
      <c r="AA2596" s="71"/>
      <c r="AB2596" s="117" t="str">
        <f>IFERROR(VLOOKUP(Anexo_4[[#This Row],[cuenta]],OP,2,0),"-")</f>
        <v>-</v>
      </c>
    </row>
    <row r="2597" spans="1:28" ht="27" customHeight="1" x14ac:dyDescent="0.3">
      <c r="A2597" s="34" t="s">
        <v>7901</v>
      </c>
      <c r="B2597" s="36" t="str">
        <f t="shared" si="68"/>
        <v>Octubre</v>
      </c>
      <c r="C2597" s="33" t="s">
        <v>162</v>
      </c>
      <c r="D2597" s="33" t="s">
        <v>8501</v>
      </c>
      <c r="E2597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597" s="32" t="s">
        <v>391</v>
      </c>
      <c r="G2597" s="32" t="s">
        <v>5041</v>
      </c>
      <c r="H2597" s="139" t="s">
        <v>8502</v>
      </c>
      <c r="I2597" s="33" t="s">
        <v>178</v>
      </c>
      <c r="J2597" s="143" t="s">
        <v>4667</v>
      </c>
      <c r="K2597" s="33" t="s">
        <v>169</v>
      </c>
      <c r="L2597" s="102" t="str">
        <f>VLOOKUP(Anexo_4[[#This Row],[cod_doc]],TIPODOC,2,FALSE)</f>
        <v>FACTURA</v>
      </c>
      <c r="M2597" s="33" t="s">
        <v>180</v>
      </c>
      <c r="N2597" s="32" t="s">
        <v>8503</v>
      </c>
      <c r="O2597" s="48">
        <v>8.4700000000000006</v>
      </c>
      <c r="P2597" s="49" t="s">
        <v>4341</v>
      </c>
      <c r="Q2597" s="81">
        <v>1.53</v>
      </c>
      <c r="R2597" s="80" t="s">
        <v>4341</v>
      </c>
      <c r="S2597" s="48" t="s">
        <v>4341</v>
      </c>
      <c r="T2597" s="72">
        <v>10</v>
      </c>
      <c r="U2597" s="70"/>
      <c r="V2597" s="32"/>
      <c r="W2597" s="70"/>
      <c r="X2597" s="70"/>
      <c r="Y2597" s="70" t="s">
        <v>8504</v>
      </c>
      <c r="Z2597" s="70"/>
      <c r="AA2597" s="71"/>
      <c r="AB2597" s="117" t="str">
        <f>IFERROR(VLOOKUP(Anexo_4[[#This Row],[cuenta]],OP,2,0),"-")</f>
        <v>-</v>
      </c>
    </row>
    <row r="2598" spans="1:28" ht="27" customHeight="1" x14ac:dyDescent="0.3">
      <c r="A2598" s="34" t="s">
        <v>8505</v>
      </c>
      <c r="B2598" s="36" t="str">
        <f t="shared" si="68"/>
        <v>Octubre</v>
      </c>
      <c r="C2598" s="33" t="s">
        <v>162</v>
      </c>
      <c r="D2598" s="33" t="s">
        <v>8506</v>
      </c>
      <c r="E2598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598" s="32" t="s">
        <v>5923</v>
      </c>
      <c r="G2598" s="32" t="s">
        <v>5924</v>
      </c>
      <c r="H2598" s="139" t="s">
        <v>8507</v>
      </c>
      <c r="I2598" s="33" t="s">
        <v>178</v>
      </c>
      <c r="J2598" s="143" t="s">
        <v>4667</v>
      </c>
      <c r="K2598" s="33" t="s">
        <v>169</v>
      </c>
      <c r="L2598" s="102" t="str">
        <f>VLOOKUP(Anexo_4[[#This Row],[cod_doc]],TIPODOC,2,FALSE)</f>
        <v>FACTURA</v>
      </c>
      <c r="M2598" s="33" t="s">
        <v>180</v>
      </c>
      <c r="N2598" s="32" t="s">
        <v>8508</v>
      </c>
      <c r="O2598" s="48">
        <v>8.4700000000000006</v>
      </c>
      <c r="P2598" s="49" t="s">
        <v>4341</v>
      </c>
      <c r="Q2598" s="81">
        <v>1.53</v>
      </c>
      <c r="R2598" s="80" t="s">
        <v>4341</v>
      </c>
      <c r="S2598" s="48" t="s">
        <v>4341</v>
      </c>
      <c r="T2598" s="72">
        <v>10</v>
      </c>
      <c r="U2598" s="70"/>
      <c r="V2598" s="32"/>
      <c r="W2598" s="70"/>
      <c r="X2598" s="70"/>
      <c r="Y2598" s="70" t="s">
        <v>8509</v>
      </c>
      <c r="Z2598" s="70"/>
      <c r="AA2598" s="71"/>
      <c r="AB2598" s="117" t="str">
        <f>IFERROR(VLOOKUP(Anexo_4[[#This Row],[cuenta]],OP,2,0),"-")</f>
        <v>-</v>
      </c>
    </row>
    <row r="2599" spans="1:28" ht="27" customHeight="1" x14ac:dyDescent="0.3">
      <c r="A2599" s="34" t="s">
        <v>7040</v>
      </c>
      <c r="B2599" s="36" t="str">
        <f t="shared" si="68"/>
        <v>Octubre</v>
      </c>
      <c r="C2599" s="33" t="s">
        <v>162</v>
      </c>
      <c r="D2599" s="33" t="s">
        <v>8510</v>
      </c>
      <c r="E2599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599" s="32" t="s">
        <v>418</v>
      </c>
      <c r="G2599" s="32" t="s">
        <v>419</v>
      </c>
      <c r="H2599" s="139" t="s">
        <v>8511</v>
      </c>
      <c r="I2599" s="33" t="s">
        <v>286</v>
      </c>
      <c r="J2599" s="143" t="s">
        <v>4762</v>
      </c>
      <c r="K2599" s="33" t="s">
        <v>169</v>
      </c>
      <c r="L2599" s="102" t="str">
        <f>VLOOKUP(Anexo_4[[#This Row],[cod_doc]],TIPODOC,2,FALSE)</f>
        <v>FACTURA</v>
      </c>
      <c r="M2599" s="33" t="s">
        <v>222</v>
      </c>
      <c r="N2599" s="32" t="s">
        <v>8512</v>
      </c>
      <c r="O2599" s="48" t="s">
        <v>4341</v>
      </c>
      <c r="P2599" s="49" t="s">
        <v>4341</v>
      </c>
      <c r="Q2599" s="81" t="s">
        <v>4341</v>
      </c>
      <c r="R2599" s="80" t="s">
        <v>4341</v>
      </c>
      <c r="S2599" s="48">
        <v>11</v>
      </c>
      <c r="T2599" s="72">
        <v>11</v>
      </c>
      <c r="U2599" s="70"/>
      <c r="V2599" s="32"/>
      <c r="W2599" s="70"/>
      <c r="X2599" s="70"/>
      <c r="Y2599" s="70" t="s">
        <v>8513</v>
      </c>
      <c r="Z2599" s="70"/>
      <c r="AA2599" s="71"/>
      <c r="AB2599" s="117" t="str">
        <f>IFERROR(VLOOKUP(Anexo_4[[#This Row],[cuenta]],OP,2,0),"-")</f>
        <v>-</v>
      </c>
    </row>
    <row r="2600" spans="1:28" ht="27" customHeight="1" x14ac:dyDescent="0.3">
      <c r="A2600" s="34" t="s">
        <v>6302</v>
      </c>
      <c r="B2600" s="36" t="str">
        <f t="shared" si="68"/>
        <v>Octubre</v>
      </c>
      <c r="C2600" s="33" t="s">
        <v>162</v>
      </c>
      <c r="D2600" s="33" t="s">
        <v>8514</v>
      </c>
      <c r="E2600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600" s="32"/>
      <c r="G2600" s="32"/>
      <c r="H2600" s="139" t="s">
        <v>8515</v>
      </c>
      <c r="I2600" s="33" t="s">
        <v>286</v>
      </c>
      <c r="J2600" s="143" t="s">
        <v>4762</v>
      </c>
      <c r="K2600" s="33" t="s">
        <v>169</v>
      </c>
      <c r="L2600" s="102" t="str">
        <f>VLOOKUP(Anexo_4[[#This Row],[cod_doc]],TIPODOC,2,FALSE)</f>
        <v>FACTURA</v>
      </c>
      <c r="M2600" s="33" t="s">
        <v>222</v>
      </c>
      <c r="N2600" s="32" t="s">
        <v>8516</v>
      </c>
      <c r="O2600" s="48" t="s">
        <v>4341</v>
      </c>
      <c r="P2600" s="49" t="s">
        <v>4341</v>
      </c>
      <c r="Q2600" s="81" t="s">
        <v>4341</v>
      </c>
      <c r="R2600" s="80" t="s">
        <v>4341</v>
      </c>
      <c r="S2600" s="48">
        <v>11</v>
      </c>
      <c r="T2600" s="72">
        <v>11</v>
      </c>
      <c r="U2600" s="70"/>
      <c r="V2600" s="32"/>
      <c r="W2600" s="70"/>
      <c r="X2600" s="70"/>
      <c r="Y2600" s="70" t="s">
        <v>8517</v>
      </c>
      <c r="Z2600" s="70"/>
      <c r="AA2600" s="71"/>
      <c r="AB2600" s="117" t="str">
        <f>IFERROR(VLOOKUP(Anexo_4[[#This Row],[cuenta]],OP,2,0),"-")</f>
        <v>-</v>
      </c>
    </row>
    <row r="2601" spans="1:28" ht="27" customHeight="1" x14ac:dyDescent="0.3">
      <c r="A2601" s="34" t="s">
        <v>7705</v>
      </c>
      <c r="B2601" s="36" t="str">
        <f t="shared" si="68"/>
        <v>Octubre</v>
      </c>
      <c r="C2601" s="33" t="s">
        <v>162</v>
      </c>
      <c r="D2601" s="33" t="s">
        <v>8518</v>
      </c>
      <c r="E2601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601" s="32" t="s">
        <v>235</v>
      </c>
      <c r="G2601" s="32" t="s">
        <v>5051</v>
      </c>
      <c r="H2601" s="139" t="s">
        <v>8519</v>
      </c>
      <c r="I2601" s="33" t="s">
        <v>178</v>
      </c>
      <c r="J2601" s="143" t="s">
        <v>4667</v>
      </c>
      <c r="K2601" s="33" t="s">
        <v>169</v>
      </c>
      <c r="L2601" s="102" t="str">
        <f>VLOOKUP(Anexo_4[[#This Row],[cod_doc]],TIPODOC,2,FALSE)</f>
        <v>FACTURA</v>
      </c>
      <c r="M2601" s="33" t="s">
        <v>180</v>
      </c>
      <c r="N2601" s="32" t="s">
        <v>8520</v>
      </c>
      <c r="O2601" s="48">
        <v>8.4700000000000006</v>
      </c>
      <c r="P2601" s="49" t="s">
        <v>4341</v>
      </c>
      <c r="Q2601" s="81">
        <v>1.53</v>
      </c>
      <c r="R2601" s="80" t="s">
        <v>4341</v>
      </c>
      <c r="S2601" s="48" t="s">
        <v>4341</v>
      </c>
      <c r="T2601" s="72">
        <v>10</v>
      </c>
      <c r="U2601" s="70"/>
      <c r="V2601" s="32"/>
      <c r="W2601" s="70"/>
      <c r="X2601" s="70"/>
      <c r="Y2601" s="70" t="s">
        <v>8521</v>
      </c>
      <c r="Z2601" s="70"/>
      <c r="AA2601" s="71"/>
      <c r="AB2601" s="117" t="str">
        <f>IFERROR(VLOOKUP(Anexo_4[[#This Row],[cuenta]],OP,2,0),"-")</f>
        <v>-</v>
      </c>
    </row>
    <row r="2602" spans="1:28" ht="27" customHeight="1" x14ac:dyDescent="0.3">
      <c r="A2602" s="34" t="s">
        <v>8158</v>
      </c>
      <c r="B2602" s="36" t="str">
        <f t="shared" si="68"/>
        <v>Octubre</v>
      </c>
      <c r="C2602" s="33" t="s">
        <v>162</v>
      </c>
      <c r="D2602" s="33" t="s">
        <v>8522</v>
      </c>
      <c r="E2602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602" s="32" t="s">
        <v>235</v>
      </c>
      <c r="G2602" s="32" t="s">
        <v>5051</v>
      </c>
      <c r="H2602" s="139" t="s">
        <v>8523</v>
      </c>
      <c r="I2602" s="33" t="s">
        <v>178</v>
      </c>
      <c r="J2602" s="143" t="s">
        <v>4667</v>
      </c>
      <c r="K2602" s="33" t="s">
        <v>169</v>
      </c>
      <c r="L2602" s="102" t="str">
        <f>VLOOKUP(Anexo_4[[#This Row],[cod_doc]],TIPODOC,2,FALSE)</f>
        <v>FACTURA</v>
      </c>
      <c r="M2602" s="33" t="s">
        <v>180</v>
      </c>
      <c r="N2602" s="32" t="s">
        <v>8524</v>
      </c>
      <c r="O2602" s="48">
        <v>8.4700000000000006</v>
      </c>
      <c r="P2602" s="49" t="s">
        <v>4341</v>
      </c>
      <c r="Q2602" s="81">
        <v>1.53</v>
      </c>
      <c r="R2602" s="80" t="s">
        <v>4341</v>
      </c>
      <c r="S2602" s="48" t="s">
        <v>4341</v>
      </c>
      <c r="T2602" s="72">
        <v>10</v>
      </c>
      <c r="U2602" s="70"/>
      <c r="V2602" s="32"/>
      <c r="W2602" s="70"/>
      <c r="X2602" s="70"/>
      <c r="Y2602" s="70" t="s">
        <v>8525</v>
      </c>
      <c r="Z2602" s="70"/>
      <c r="AA2602" s="71"/>
      <c r="AB2602" s="117" t="str">
        <f>IFERROR(VLOOKUP(Anexo_4[[#This Row],[cuenta]],OP,2,0),"-")</f>
        <v>-</v>
      </c>
    </row>
    <row r="2603" spans="1:28" ht="27" customHeight="1" x14ac:dyDescent="0.3">
      <c r="A2603" s="34" t="s">
        <v>7710</v>
      </c>
      <c r="B2603" s="36" t="str">
        <f t="shared" si="68"/>
        <v>Octubre</v>
      </c>
      <c r="C2603" s="33" t="s">
        <v>162</v>
      </c>
      <c r="D2603" s="33" t="s">
        <v>8526</v>
      </c>
      <c r="E2603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603" s="32" t="s">
        <v>235</v>
      </c>
      <c r="G2603" s="32" t="s">
        <v>5051</v>
      </c>
      <c r="H2603" s="139" t="s">
        <v>8527</v>
      </c>
      <c r="I2603" s="33" t="s">
        <v>178</v>
      </c>
      <c r="J2603" s="143" t="s">
        <v>4667</v>
      </c>
      <c r="K2603" s="33" t="s">
        <v>169</v>
      </c>
      <c r="L2603" s="102" t="str">
        <f>VLOOKUP(Anexo_4[[#This Row],[cod_doc]],TIPODOC,2,FALSE)</f>
        <v>FACTURA</v>
      </c>
      <c r="M2603" s="33" t="s">
        <v>180</v>
      </c>
      <c r="N2603" s="32" t="s">
        <v>8528</v>
      </c>
      <c r="O2603" s="48">
        <v>8.4700000000000006</v>
      </c>
      <c r="P2603" s="49" t="s">
        <v>4341</v>
      </c>
      <c r="Q2603" s="81">
        <v>1.53</v>
      </c>
      <c r="R2603" s="80" t="s">
        <v>4341</v>
      </c>
      <c r="S2603" s="48" t="s">
        <v>4341</v>
      </c>
      <c r="T2603" s="72">
        <v>10</v>
      </c>
      <c r="U2603" s="70"/>
      <c r="V2603" s="32"/>
      <c r="W2603" s="70"/>
      <c r="X2603" s="70"/>
      <c r="Y2603" s="70" t="s">
        <v>8529</v>
      </c>
      <c r="Z2603" s="70"/>
      <c r="AA2603" s="71"/>
      <c r="AB2603" s="117" t="str">
        <f>IFERROR(VLOOKUP(Anexo_4[[#This Row],[cuenta]],OP,2,0),"-")</f>
        <v>-</v>
      </c>
    </row>
    <row r="2604" spans="1:28" ht="27" customHeight="1" x14ac:dyDescent="0.3">
      <c r="A2604" s="34" t="s">
        <v>7741</v>
      </c>
      <c r="B2604" s="36" t="str">
        <f t="shared" ref="B2604:B2615" si="69">PROPER(CHOOSE(LEFT(D2604,2),"enero","febrero","marzo","abril","mayo","junio","julio","agosto","setiembre","octubre","noviembre","diciembre"))</f>
        <v>Octubre</v>
      </c>
      <c r="C2604" s="33" t="s">
        <v>162</v>
      </c>
      <c r="D2604" s="33" t="s">
        <v>8530</v>
      </c>
      <c r="E2604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604" s="32" t="s">
        <v>391</v>
      </c>
      <c r="G2604" s="32" t="s">
        <v>5041</v>
      </c>
      <c r="H2604" s="139" t="s">
        <v>8531</v>
      </c>
      <c r="I2604" s="33" t="s">
        <v>178</v>
      </c>
      <c r="J2604" s="143" t="s">
        <v>4667</v>
      </c>
      <c r="K2604" s="33" t="s">
        <v>169</v>
      </c>
      <c r="L2604" s="102" t="str">
        <f>VLOOKUP(Anexo_4[[#This Row],[cod_doc]],TIPODOC,2,FALSE)</f>
        <v>FACTURA</v>
      </c>
      <c r="M2604" s="33" t="s">
        <v>180</v>
      </c>
      <c r="N2604" s="32" t="s">
        <v>8532</v>
      </c>
      <c r="O2604" s="48">
        <v>8.4700000000000006</v>
      </c>
      <c r="P2604" s="49" t="s">
        <v>4341</v>
      </c>
      <c r="Q2604" s="81">
        <v>1.53</v>
      </c>
      <c r="R2604" s="80" t="s">
        <v>4341</v>
      </c>
      <c r="S2604" s="48" t="s">
        <v>4341</v>
      </c>
      <c r="T2604" s="72">
        <v>10</v>
      </c>
      <c r="U2604" s="70"/>
      <c r="V2604" s="32"/>
      <c r="W2604" s="70"/>
      <c r="X2604" s="70"/>
      <c r="Y2604" s="70" t="s">
        <v>8533</v>
      </c>
      <c r="Z2604" s="70"/>
      <c r="AA2604" s="71"/>
      <c r="AB2604" s="117" t="str">
        <f>IFERROR(VLOOKUP(Anexo_4[[#This Row],[cuenta]],OP,2,0),"-")</f>
        <v>-</v>
      </c>
    </row>
    <row r="2605" spans="1:28" ht="27" customHeight="1" x14ac:dyDescent="0.3">
      <c r="A2605" s="34" t="s">
        <v>8158</v>
      </c>
      <c r="B2605" s="36" t="str">
        <f t="shared" si="69"/>
        <v>Octubre</v>
      </c>
      <c r="C2605" s="33" t="s">
        <v>162</v>
      </c>
      <c r="D2605" s="33" t="s">
        <v>8534</v>
      </c>
      <c r="E2605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605" s="32" t="s">
        <v>175</v>
      </c>
      <c r="G2605" s="32" t="s">
        <v>5168</v>
      </c>
      <c r="H2605" s="139" t="s">
        <v>8535</v>
      </c>
      <c r="I2605" s="33" t="s">
        <v>178</v>
      </c>
      <c r="J2605" s="143" t="s">
        <v>4667</v>
      </c>
      <c r="K2605" s="33" t="s">
        <v>169</v>
      </c>
      <c r="L2605" s="102" t="str">
        <f>VLOOKUP(Anexo_4[[#This Row],[cod_doc]],TIPODOC,2,FALSE)</f>
        <v>FACTURA</v>
      </c>
      <c r="M2605" s="33" t="s">
        <v>180</v>
      </c>
      <c r="N2605" s="32" t="s">
        <v>8536</v>
      </c>
      <c r="O2605" s="48">
        <v>8.4700000000000006</v>
      </c>
      <c r="P2605" s="49" t="s">
        <v>4341</v>
      </c>
      <c r="Q2605" s="81">
        <v>1.53</v>
      </c>
      <c r="R2605" s="80" t="s">
        <v>4341</v>
      </c>
      <c r="S2605" s="48" t="s">
        <v>4341</v>
      </c>
      <c r="T2605" s="72">
        <v>10</v>
      </c>
      <c r="U2605" s="70"/>
      <c r="V2605" s="32"/>
      <c r="W2605" s="70"/>
      <c r="X2605" s="70"/>
      <c r="Y2605" s="70" t="s">
        <v>8537</v>
      </c>
      <c r="Z2605" s="70"/>
      <c r="AA2605" s="71"/>
      <c r="AB2605" s="117" t="str">
        <f>IFERROR(VLOOKUP(Anexo_4[[#This Row],[cuenta]],OP,2,0),"-")</f>
        <v>-</v>
      </c>
    </row>
    <row r="2606" spans="1:28" ht="27" customHeight="1" x14ac:dyDescent="0.3">
      <c r="A2606" s="34" t="s">
        <v>8234</v>
      </c>
      <c r="B2606" s="36" t="str">
        <f t="shared" si="69"/>
        <v>Octubre</v>
      </c>
      <c r="C2606" s="33" t="s">
        <v>162</v>
      </c>
      <c r="D2606" s="33" t="s">
        <v>8538</v>
      </c>
      <c r="E2606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606" s="32" t="s">
        <v>5923</v>
      </c>
      <c r="G2606" s="32" t="s">
        <v>5924</v>
      </c>
      <c r="H2606" s="139" t="s">
        <v>8539</v>
      </c>
      <c r="I2606" s="33" t="s">
        <v>264</v>
      </c>
      <c r="J2606" s="143" t="s">
        <v>4644</v>
      </c>
      <c r="K2606" s="33" t="s">
        <v>169</v>
      </c>
      <c r="L2606" s="102" t="str">
        <f>VLOOKUP(Anexo_4[[#This Row],[cod_doc]],TIPODOC,2,FALSE)</f>
        <v>FACTURA</v>
      </c>
      <c r="M2606" s="33" t="s">
        <v>406</v>
      </c>
      <c r="N2606" s="32" t="s">
        <v>8540</v>
      </c>
      <c r="O2606" s="48">
        <v>6.78</v>
      </c>
      <c r="P2606" s="49" t="s">
        <v>4341</v>
      </c>
      <c r="Q2606" s="81">
        <v>1.22</v>
      </c>
      <c r="R2606" s="80" t="s">
        <v>4341</v>
      </c>
      <c r="S2606" s="48" t="s">
        <v>4341</v>
      </c>
      <c r="T2606" s="72">
        <v>8</v>
      </c>
      <c r="U2606" s="70"/>
      <c r="V2606" s="32"/>
      <c r="W2606" s="70"/>
      <c r="X2606" s="70"/>
      <c r="Y2606" s="70" t="s">
        <v>8541</v>
      </c>
      <c r="Z2606" s="70"/>
      <c r="AA2606" s="71"/>
      <c r="AB2606" s="117" t="str">
        <f>IFERROR(VLOOKUP(Anexo_4[[#This Row],[cuenta]],OP,2,0),"-")</f>
        <v>-</v>
      </c>
    </row>
    <row r="2607" spans="1:28" ht="27" customHeight="1" x14ac:dyDescent="0.3">
      <c r="A2607" s="34" t="s">
        <v>8234</v>
      </c>
      <c r="B2607" s="36" t="str">
        <f t="shared" si="69"/>
        <v>Octubre</v>
      </c>
      <c r="C2607" s="33" t="s">
        <v>162</v>
      </c>
      <c r="D2607" s="33" t="s">
        <v>8542</v>
      </c>
      <c r="E2607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607" s="32" t="s">
        <v>5923</v>
      </c>
      <c r="G2607" s="32" t="s">
        <v>5924</v>
      </c>
      <c r="H2607" s="139" t="s">
        <v>8543</v>
      </c>
      <c r="I2607" s="33" t="s">
        <v>264</v>
      </c>
      <c r="J2607" s="143" t="s">
        <v>4644</v>
      </c>
      <c r="K2607" s="33" t="s">
        <v>169</v>
      </c>
      <c r="L2607" s="102" t="str">
        <f>VLOOKUP(Anexo_4[[#This Row],[cod_doc]],TIPODOC,2,FALSE)</f>
        <v>FACTURA</v>
      </c>
      <c r="M2607" s="33" t="s">
        <v>352</v>
      </c>
      <c r="N2607" s="32" t="s">
        <v>8544</v>
      </c>
      <c r="O2607" s="48">
        <v>6.78</v>
      </c>
      <c r="P2607" s="49" t="s">
        <v>4341</v>
      </c>
      <c r="Q2607" s="81">
        <v>1.22</v>
      </c>
      <c r="R2607" s="80" t="s">
        <v>4341</v>
      </c>
      <c r="S2607" s="48" t="s">
        <v>4341</v>
      </c>
      <c r="T2607" s="72">
        <v>8</v>
      </c>
      <c r="U2607" s="70"/>
      <c r="V2607" s="32"/>
      <c r="W2607" s="70"/>
      <c r="X2607" s="70"/>
      <c r="Y2607" s="70" t="s">
        <v>8545</v>
      </c>
      <c r="Z2607" s="70"/>
      <c r="AA2607" s="71"/>
      <c r="AB2607" s="117" t="str">
        <f>IFERROR(VLOOKUP(Anexo_4[[#This Row],[cuenta]],OP,2,0),"-")</f>
        <v>-</v>
      </c>
    </row>
    <row r="2608" spans="1:28" ht="27" customHeight="1" x14ac:dyDescent="0.3">
      <c r="A2608" s="34" t="s">
        <v>8254</v>
      </c>
      <c r="B2608" s="36" t="str">
        <f t="shared" si="69"/>
        <v>Octubre</v>
      </c>
      <c r="C2608" s="33" t="s">
        <v>162</v>
      </c>
      <c r="D2608" s="33" t="s">
        <v>8546</v>
      </c>
      <c r="E2608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608" s="32" t="s">
        <v>5923</v>
      </c>
      <c r="G2608" s="32" t="s">
        <v>5924</v>
      </c>
      <c r="H2608" s="139" t="s">
        <v>8547</v>
      </c>
      <c r="I2608" s="33" t="s">
        <v>264</v>
      </c>
      <c r="J2608" s="143" t="s">
        <v>4644</v>
      </c>
      <c r="K2608" s="33" t="s">
        <v>169</v>
      </c>
      <c r="L2608" s="102" t="str">
        <f>VLOOKUP(Anexo_4[[#This Row],[cod_doc]],TIPODOC,2,FALSE)</f>
        <v>FACTURA</v>
      </c>
      <c r="M2608" s="33" t="s">
        <v>379</v>
      </c>
      <c r="N2608" s="32" t="s">
        <v>8548</v>
      </c>
      <c r="O2608" s="48">
        <v>6.78</v>
      </c>
      <c r="P2608" s="49" t="s">
        <v>4341</v>
      </c>
      <c r="Q2608" s="81">
        <v>1.22</v>
      </c>
      <c r="R2608" s="80" t="s">
        <v>4341</v>
      </c>
      <c r="S2608" s="48" t="s">
        <v>4341</v>
      </c>
      <c r="T2608" s="72">
        <v>8</v>
      </c>
      <c r="U2608" s="70"/>
      <c r="V2608" s="32"/>
      <c r="W2608" s="70"/>
      <c r="X2608" s="70"/>
      <c r="Y2608" s="70" t="s">
        <v>8549</v>
      </c>
      <c r="Z2608" s="70"/>
      <c r="AA2608" s="71"/>
      <c r="AB2608" s="117" t="str">
        <f>IFERROR(VLOOKUP(Anexo_4[[#This Row],[cuenta]],OP,2,0),"-")</f>
        <v>-</v>
      </c>
    </row>
    <row r="2609" spans="1:28" ht="27" customHeight="1" x14ac:dyDescent="0.3">
      <c r="A2609" s="34" t="s">
        <v>8254</v>
      </c>
      <c r="B2609" s="36" t="str">
        <f t="shared" si="69"/>
        <v>Octubre</v>
      </c>
      <c r="C2609" s="33" t="s">
        <v>162</v>
      </c>
      <c r="D2609" s="33" t="s">
        <v>8550</v>
      </c>
      <c r="E2609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609" s="32" t="s">
        <v>5923</v>
      </c>
      <c r="G2609" s="32" t="s">
        <v>5924</v>
      </c>
      <c r="H2609" s="139" t="s">
        <v>8551</v>
      </c>
      <c r="I2609" s="33" t="s">
        <v>264</v>
      </c>
      <c r="J2609" s="143" t="s">
        <v>4644</v>
      </c>
      <c r="K2609" s="33" t="s">
        <v>169</v>
      </c>
      <c r="L2609" s="102" t="str">
        <f>VLOOKUP(Anexo_4[[#This Row],[cod_doc]],TIPODOC,2,FALSE)</f>
        <v>FACTURA</v>
      </c>
      <c r="M2609" s="33" t="s">
        <v>406</v>
      </c>
      <c r="N2609" s="32" t="s">
        <v>8552</v>
      </c>
      <c r="O2609" s="48">
        <v>6.78</v>
      </c>
      <c r="P2609" s="49" t="s">
        <v>4341</v>
      </c>
      <c r="Q2609" s="81">
        <v>1.22</v>
      </c>
      <c r="R2609" s="80" t="s">
        <v>4341</v>
      </c>
      <c r="S2609" s="48" t="s">
        <v>4341</v>
      </c>
      <c r="T2609" s="72">
        <v>8</v>
      </c>
      <c r="U2609" s="70"/>
      <c r="V2609" s="32"/>
      <c r="W2609" s="70"/>
      <c r="X2609" s="70"/>
      <c r="Y2609" s="70" t="s">
        <v>8553</v>
      </c>
      <c r="Z2609" s="70"/>
      <c r="AA2609" s="71"/>
      <c r="AB2609" s="117" t="str">
        <f>IFERROR(VLOOKUP(Anexo_4[[#This Row],[cuenta]],OP,2,0),"-")</f>
        <v>-</v>
      </c>
    </row>
    <row r="2610" spans="1:28" ht="27" customHeight="1" x14ac:dyDescent="0.3">
      <c r="A2610" s="34" t="s">
        <v>8234</v>
      </c>
      <c r="B2610" s="36" t="str">
        <f t="shared" si="69"/>
        <v>Octubre</v>
      </c>
      <c r="C2610" s="33" t="s">
        <v>162</v>
      </c>
      <c r="D2610" s="33" t="s">
        <v>8554</v>
      </c>
      <c r="E2610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610" s="32" t="s">
        <v>175</v>
      </c>
      <c r="G2610" s="32" t="s">
        <v>5168</v>
      </c>
      <c r="H2610" s="139" t="s">
        <v>8555</v>
      </c>
      <c r="I2610" s="33" t="s">
        <v>264</v>
      </c>
      <c r="J2610" s="143" t="s">
        <v>4644</v>
      </c>
      <c r="K2610" s="33" t="s">
        <v>169</v>
      </c>
      <c r="L2610" s="102" t="str">
        <f>VLOOKUP(Anexo_4[[#This Row],[cod_doc]],TIPODOC,2,FALSE)</f>
        <v>FACTURA</v>
      </c>
      <c r="M2610" s="33" t="s">
        <v>352</v>
      </c>
      <c r="N2610" s="32" t="s">
        <v>8556</v>
      </c>
      <c r="O2610" s="48">
        <v>10.17</v>
      </c>
      <c r="P2610" s="49" t="s">
        <v>4341</v>
      </c>
      <c r="Q2610" s="81">
        <v>1.83</v>
      </c>
      <c r="R2610" s="80" t="s">
        <v>4341</v>
      </c>
      <c r="S2610" s="48" t="s">
        <v>4341</v>
      </c>
      <c r="T2610" s="72">
        <v>12</v>
      </c>
      <c r="U2610" s="70"/>
      <c r="V2610" s="32"/>
      <c r="W2610" s="70"/>
      <c r="X2610" s="70"/>
      <c r="Y2610" s="70" t="s">
        <v>8557</v>
      </c>
      <c r="Z2610" s="70"/>
      <c r="AA2610" s="71"/>
      <c r="AB2610" s="117" t="str">
        <f>IFERROR(VLOOKUP(Anexo_4[[#This Row],[cuenta]],OP,2,0),"-")</f>
        <v>-</v>
      </c>
    </row>
    <row r="2611" spans="1:28" ht="27" customHeight="1" x14ac:dyDescent="0.3">
      <c r="A2611" s="34" t="s">
        <v>8158</v>
      </c>
      <c r="B2611" s="36" t="str">
        <f t="shared" si="69"/>
        <v>Octubre</v>
      </c>
      <c r="C2611" s="33" t="s">
        <v>162</v>
      </c>
      <c r="D2611" s="33" t="s">
        <v>8558</v>
      </c>
      <c r="E2611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611" s="32" t="s">
        <v>175</v>
      </c>
      <c r="G2611" s="32" t="s">
        <v>5168</v>
      </c>
      <c r="H2611" s="139" t="s">
        <v>8559</v>
      </c>
      <c r="I2611" s="33" t="s">
        <v>264</v>
      </c>
      <c r="J2611" s="143" t="s">
        <v>4644</v>
      </c>
      <c r="K2611" s="33" t="s">
        <v>169</v>
      </c>
      <c r="L2611" s="102" t="str">
        <f>VLOOKUP(Anexo_4[[#This Row],[cod_doc]],TIPODOC,2,FALSE)</f>
        <v>FACTURA</v>
      </c>
      <c r="M2611" s="33" t="s">
        <v>406</v>
      </c>
      <c r="N2611" s="32" t="s">
        <v>8560</v>
      </c>
      <c r="O2611" s="48">
        <v>10.17</v>
      </c>
      <c r="P2611" s="49" t="s">
        <v>4341</v>
      </c>
      <c r="Q2611" s="81">
        <v>1.83</v>
      </c>
      <c r="R2611" s="80" t="s">
        <v>4341</v>
      </c>
      <c r="S2611" s="48" t="s">
        <v>4341</v>
      </c>
      <c r="T2611" s="72">
        <v>12</v>
      </c>
      <c r="U2611" s="70"/>
      <c r="V2611" s="32"/>
      <c r="W2611" s="70"/>
      <c r="X2611" s="70"/>
      <c r="Y2611" s="70" t="s">
        <v>8561</v>
      </c>
      <c r="Z2611" s="70"/>
      <c r="AA2611" s="71"/>
      <c r="AB2611" s="117" t="str">
        <f>IFERROR(VLOOKUP(Anexo_4[[#This Row],[cuenta]],OP,2,0),"-")</f>
        <v>-</v>
      </c>
    </row>
    <row r="2612" spans="1:28" ht="27" customHeight="1" x14ac:dyDescent="0.3">
      <c r="A2612" s="34" t="s">
        <v>8158</v>
      </c>
      <c r="B2612" s="36" t="str">
        <f t="shared" si="69"/>
        <v>Octubre</v>
      </c>
      <c r="C2612" s="33" t="s">
        <v>162</v>
      </c>
      <c r="D2612" s="33" t="s">
        <v>8562</v>
      </c>
      <c r="E2612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612" s="32" t="s">
        <v>175</v>
      </c>
      <c r="G2612" s="32" t="s">
        <v>5168</v>
      </c>
      <c r="H2612" s="139" t="s">
        <v>8563</v>
      </c>
      <c r="I2612" s="33" t="s">
        <v>264</v>
      </c>
      <c r="J2612" s="143" t="s">
        <v>4644</v>
      </c>
      <c r="K2612" s="33" t="s">
        <v>169</v>
      </c>
      <c r="L2612" s="102" t="str">
        <f>VLOOKUP(Anexo_4[[#This Row],[cod_doc]],TIPODOC,2,FALSE)</f>
        <v>FACTURA</v>
      </c>
      <c r="M2612" s="33" t="s">
        <v>352</v>
      </c>
      <c r="N2612" s="32" t="s">
        <v>8564</v>
      </c>
      <c r="O2612" s="48">
        <v>10.17</v>
      </c>
      <c r="P2612" s="49" t="s">
        <v>4341</v>
      </c>
      <c r="Q2612" s="81">
        <v>1.83</v>
      </c>
      <c r="R2612" s="80" t="s">
        <v>4341</v>
      </c>
      <c r="S2612" s="48" t="s">
        <v>4341</v>
      </c>
      <c r="T2612" s="72">
        <v>12</v>
      </c>
      <c r="U2612" s="70"/>
      <c r="V2612" s="32"/>
      <c r="W2612" s="70"/>
      <c r="X2612" s="70"/>
      <c r="Y2612" s="70" t="s">
        <v>8565</v>
      </c>
      <c r="Z2612" s="70"/>
      <c r="AA2612" s="71"/>
      <c r="AB2612" s="117" t="str">
        <f>IFERROR(VLOOKUP(Anexo_4[[#This Row],[cuenta]],OP,2,0),"-")</f>
        <v>-</v>
      </c>
    </row>
    <row r="2613" spans="1:28" ht="27" customHeight="1" x14ac:dyDescent="0.3">
      <c r="A2613" s="34" t="s">
        <v>8234</v>
      </c>
      <c r="B2613" s="36" t="str">
        <f t="shared" si="69"/>
        <v>Octubre</v>
      </c>
      <c r="C2613" s="33" t="s">
        <v>162</v>
      </c>
      <c r="D2613" s="33" t="s">
        <v>8566</v>
      </c>
      <c r="E2613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613" s="32" t="s">
        <v>175</v>
      </c>
      <c r="G2613" s="32" t="s">
        <v>5168</v>
      </c>
      <c r="H2613" s="139" t="s">
        <v>8567</v>
      </c>
      <c r="I2613" s="33" t="s">
        <v>264</v>
      </c>
      <c r="J2613" s="143" t="s">
        <v>4644</v>
      </c>
      <c r="K2613" s="33" t="s">
        <v>169</v>
      </c>
      <c r="L2613" s="102" t="str">
        <f>VLOOKUP(Anexo_4[[#This Row],[cod_doc]],TIPODOC,2,FALSE)</f>
        <v>FACTURA</v>
      </c>
      <c r="M2613" s="33" t="s">
        <v>271</v>
      </c>
      <c r="N2613" s="32" t="s">
        <v>6599</v>
      </c>
      <c r="O2613" s="48">
        <v>10.17</v>
      </c>
      <c r="P2613" s="49" t="s">
        <v>4341</v>
      </c>
      <c r="Q2613" s="81">
        <v>1.83</v>
      </c>
      <c r="R2613" s="80" t="s">
        <v>4341</v>
      </c>
      <c r="S2613" s="48" t="s">
        <v>4341</v>
      </c>
      <c r="T2613" s="72">
        <v>12</v>
      </c>
      <c r="U2613" s="70"/>
      <c r="V2613" s="32"/>
      <c r="W2613" s="70"/>
      <c r="X2613" s="70"/>
      <c r="Y2613" s="70" t="s">
        <v>8568</v>
      </c>
      <c r="Z2613" s="70"/>
      <c r="AA2613" s="71"/>
      <c r="AB2613" s="117" t="str">
        <f>IFERROR(VLOOKUP(Anexo_4[[#This Row],[cuenta]],OP,2,0),"-")</f>
        <v>-</v>
      </c>
    </row>
    <row r="2614" spans="1:28" ht="27" customHeight="1" x14ac:dyDescent="0.3">
      <c r="A2614" s="34" t="s">
        <v>7901</v>
      </c>
      <c r="B2614" s="36" t="str">
        <f t="shared" si="69"/>
        <v>Octubre</v>
      </c>
      <c r="C2614" s="33" t="s">
        <v>162</v>
      </c>
      <c r="D2614" s="33" t="s">
        <v>8569</v>
      </c>
      <c r="E2614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614" s="32" t="s">
        <v>175</v>
      </c>
      <c r="G2614" s="32" t="s">
        <v>5168</v>
      </c>
      <c r="H2614" s="139" t="s">
        <v>8570</v>
      </c>
      <c r="I2614" s="33" t="s">
        <v>264</v>
      </c>
      <c r="J2614" s="143" t="s">
        <v>4644</v>
      </c>
      <c r="K2614" s="33" t="s">
        <v>169</v>
      </c>
      <c r="L2614" s="102" t="str">
        <f>VLOOKUP(Anexo_4[[#This Row],[cod_doc]],TIPODOC,2,FALSE)</f>
        <v>FACTURA</v>
      </c>
      <c r="M2614" s="33" t="s">
        <v>379</v>
      </c>
      <c r="N2614" s="32" t="s">
        <v>8571</v>
      </c>
      <c r="O2614" s="48">
        <v>10.17</v>
      </c>
      <c r="P2614" s="49" t="s">
        <v>4341</v>
      </c>
      <c r="Q2614" s="81">
        <v>1.83</v>
      </c>
      <c r="R2614" s="80" t="s">
        <v>4341</v>
      </c>
      <c r="S2614" s="48" t="s">
        <v>4341</v>
      </c>
      <c r="T2614" s="72">
        <v>12</v>
      </c>
      <c r="U2614" s="70"/>
      <c r="V2614" s="32"/>
      <c r="W2614" s="70"/>
      <c r="X2614" s="70"/>
      <c r="Y2614" s="70" t="s">
        <v>8572</v>
      </c>
      <c r="Z2614" s="70"/>
      <c r="AA2614" s="71"/>
      <c r="AB2614" s="117" t="str">
        <f>IFERROR(VLOOKUP(Anexo_4[[#This Row],[cuenta]],OP,2,0),"-")</f>
        <v>-</v>
      </c>
    </row>
    <row r="2615" spans="1:28" ht="27" customHeight="1" x14ac:dyDescent="0.3">
      <c r="A2615" s="34" t="s">
        <v>7901</v>
      </c>
      <c r="B2615" s="36" t="str">
        <f t="shared" si="69"/>
        <v>Octubre</v>
      </c>
      <c r="C2615" s="33" t="s">
        <v>162</v>
      </c>
      <c r="D2615" s="33" t="s">
        <v>8573</v>
      </c>
      <c r="E2615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615" s="32" t="s">
        <v>175</v>
      </c>
      <c r="G2615" s="32" t="s">
        <v>5168</v>
      </c>
      <c r="H2615" s="139" t="s">
        <v>8574</v>
      </c>
      <c r="I2615" s="33" t="s">
        <v>264</v>
      </c>
      <c r="J2615" s="143" t="s">
        <v>4644</v>
      </c>
      <c r="K2615" s="33" t="s">
        <v>169</v>
      </c>
      <c r="L2615" s="102" t="str">
        <f>VLOOKUP(Anexo_4[[#This Row],[cod_doc]],TIPODOC,2,FALSE)</f>
        <v>FACTURA</v>
      </c>
      <c r="M2615" s="33" t="s">
        <v>271</v>
      </c>
      <c r="N2615" s="32" t="s">
        <v>8575</v>
      </c>
      <c r="O2615" s="48">
        <v>10.17</v>
      </c>
      <c r="P2615" s="49" t="s">
        <v>4341</v>
      </c>
      <c r="Q2615" s="81">
        <v>1.83</v>
      </c>
      <c r="R2615" s="80" t="s">
        <v>4341</v>
      </c>
      <c r="S2615" s="48" t="s">
        <v>4341</v>
      </c>
      <c r="T2615" s="72">
        <v>12</v>
      </c>
      <c r="U2615" s="70"/>
      <c r="V2615" s="32"/>
      <c r="W2615" s="70"/>
      <c r="X2615" s="70"/>
      <c r="Y2615" s="70" t="s">
        <v>8576</v>
      </c>
      <c r="Z2615" s="70"/>
      <c r="AA2615" s="71"/>
      <c r="AB2615" s="117" t="str">
        <f>IFERROR(VLOOKUP(Anexo_4[[#This Row],[cuenta]],OP,2,0),"-")</f>
        <v>-</v>
      </c>
    </row>
    <row r="2616" spans="1:28" ht="27" customHeight="1" x14ac:dyDescent="0.3">
      <c r="A2616" s="34" t="s">
        <v>8234</v>
      </c>
      <c r="B2616" s="36" t="str">
        <f t="shared" ref="B2616:B2625" si="70">PROPER(CHOOSE(LEFT(D2616,2),"enero","febrero","marzo","abril","mayo","junio","julio","agosto","setiembre","octubre","noviembre","diciembre"))</f>
        <v>Octubre</v>
      </c>
      <c r="C2616" s="33" t="s">
        <v>162</v>
      </c>
      <c r="D2616" s="33" t="s">
        <v>8577</v>
      </c>
      <c r="E2616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616" s="32" t="s">
        <v>217</v>
      </c>
      <c r="G2616" s="32" t="s">
        <v>4839</v>
      </c>
      <c r="H2616" s="139" t="s">
        <v>8578</v>
      </c>
      <c r="I2616" s="33" t="s">
        <v>264</v>
      </c>
      <c r="J2616" s="143" t="s">
        <v>4644</v>
      </c>
      <c r="K2616" s="33" t="s">
        <v>169</v>
      </c>
      <c r="L2616" s="102" t="str">
        <f>VLOOKUP(Anexo_4[[#This Row],[cod_doc]],TIPODOC,2,FALSE)</f>
        <v>FACTURA</v>
      </c>
      <c r="M2616" s="33" t="s">
        <v>266</v>
      </c>
      <c r="N2616" s="32" t="s">
        <v>8579</v>
      </c>
      <c r="O2616" s="48">
        <v>6.78</v>
      </c>
      <c r="P2616" s="49" t="s">
        <v>4341</v>
      </c>
      <c r="Q2616" s="81">
        <v>1.22</v>
      </c>
      <c r="R2616" s="80" t="s">
        <v>4341</v>
      </c>
      <c r="S2616" s="48" t="s">
        <v>4341</v>
      </c>
      <c r="T2616" s="72">
        <v>8</v>
      </c>
      <c r="U2616" s="70"/>
      <c r="V2616" s="32"/>
      <c r="W2616" s="70"/>
      <c r="X2616" s="70"/>
      <c r="Y2616" s="70" t="s">
        <v>8580</v>
      </c>
      <c r="Z2616" s="70"/>
      <c r="AA2616" s="71"/>
      <c r="AB2616" s="117" t="str">
        <f>IFERROR(VLOOKUP(Anexo_4[[#This Row],[cuenta]],OP,2,0),"-")</f>
        <v>-</v>
      </c>
    </row>
    <row r="2617" spans="1:28" ht="27" customHeight="1" x14ac:dyDescent="0.3">
      <c r="A2617" s="34" t="s">
        <v>8234</v>
      </c>
      <c r="B2617" s="36" t="str">
        <f t="shared" si="70"/>
        <v>Octubre</v>
      </c>
      <c r="C2617" s="33" t="s">
        <v>162</v>
      </c>
      <c r="D2617" s="33" t="s">
        <v>8581</v>
      </c>
      <c r="E2617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617" s="32" t="s">
        <v>217</v>
      </c>
      <c r="G2617" s="32" t="s">
        <v>4839</v>
      </c>
      <c r="H2617" s="139" t="s">
        <v>8582</v>
      </c>
      <c r="I2617" s="33" t="s">
        <v>264</v>
      </c>
      <c r="J2617" s="143" t="s">
        <v>4644</v>
      </c>
      <c r="K2617" s="33" t="s">
        <v>169</v>
      </c>
      <c r="L2617" s="102" t="str">
        <f>VLOOKUP(Anexo_4[[#This Row],[cod_doc]],TIPODOC,2,FALSE)</f>
        <v>FACTURA</v>
      </c>
      <c r="M2617" s="33" t="s">
        <v>279</v>
      </c>
      <c r="N2617" s="32" t="s">
        <v>8583</v>
      </c>
      <c r="O2617" s="48">
        <v>6.78</v>
      </c>
      <c r="P2617" s="49" t="s">
        <v>4341</v>
      </c>
      <c r="Q2617" s="81">
        <v>1.22</v>
      </c>
      <c r="R2617" s="80" t="s">
        <v>4341</v>
      </c>
      <c r="S2617" s="48" t="s">
        <v>4341</v>
      </c>
      <c r="T2617" s="72">
        <v>8</v>
      </c>
      <c r="U2617" s="70"/>
      <c r="V2617" s="32"/>
      <c r="W2617" s="70"/>
      <c r="X2617" s="70"/>
      <c r="Y2617" s="70" t="s">
        <v>8584</v>
      </c>
      <c r="Z2617" s="70"/>
      <c r="AA2617" s="71"/>
      <c r="AB2617" s="117" t="str">
        <f>IFERROR(VLOOKUP(Anexo_4[[#This Row],[cuenta]],OP,2,0),"-")</f>
        <v>-</v>
      </c>
    </row>
    <row r="2618" spans="1:28" ht="27" customHeight="1" x14ac:dyDescent="0.3">
      <c r="A2618" s="34" t="s">
        <v>8158</v>
      </c>
      <c r="B2618" s="36" t="str">
        <f t="shared" si="70"/>
        <v>Octubre</v>
      </c>
      <c r="C2618" s="33" t="s">
        <v>162</v>
      </c>
      <c r="D2618" s="33" t="s">
        <v>8585</v>
      </c>
      <c r="E2618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618" s="32" t="s">
        <v>235</v>
      </c>
      <c r="G2618" s="32" t="s">
        <v>5051</v>
      </c>
      <c r="H2618" s="139" t="s">
        <v>8586</v>
      </c>
      <c r="I2618" s="33" t="s">
        <v>264</v>
      </c>
      <c r="J2618" s="143" t="s">
        <v>4644</v>
      </c>
      <c r="K2618" s="33" t="s">
        <v>169</v>
      </c>
      <c r="L2618" s="102" t="str">
        <f>VLOOKUP(Anexo_4[[#This Row],[cod_doc]],TIPODOC,2,FALSE)</f>
        <v>FACTURA</v>
      </c>
      <c r="M2618" s="33" t="s">
        <v>271</v>
      </c>
      <c r="N2618" s="32" t="s">
        <v>8587</v>
      </c>
      <c r="O2618" s="48">
        <v>6.78</v>
      </c>
      <c r="P2618" s="49" t="s">
        <v>4341</v>
      </c>
      <c r="Q2618" s="81">
        <v>1.22</v>
      </c>
      <c r="R2618" s="80" t="s">
        <v>4341</v>
      </c>
      <c r="S2618" s="48" t="s">
        <v>4341</v>
      </c>
      <c r="T2618" s="72">
        <v>8</v>
      </c>
      <c r="U2618" s="70"/>
      <c r="V2618" s="32"/>
      <c r="W2618" s="70"/>
      <c r="X2618" s="70"/>
      <c r="Y2618" s="70" t="s">
        <v>8588</v>
      </c>
      <c r="Z2618" s="70"/>
      <c r="AA2618" s="71"/>
      <c r="AB2618" s="117" t="str">
        <f>IFERROR(VLOOKUP(Anexo_4[[#This Row],[cuenta]],OP,2,0),"-")</f>
        <v>-</v>
      </c>
    </row>
    <row r="2619" spans="1:28" ht="27" customHeight="1" x14ac:dyDescent="0.3">
      <c r="A2619" s="34" t="s">
        <v>7710</v>
      </c>
      <c r="B2619" s="36" t="str">
        <f t="shared" si="70"/>
        <v>Octubre</v>
      </c>
      <c r="C2619" s="33" t="s">
        <v>162</v>
      </c>
      <c r="D2619" s="33" t="s">
        <v>8589</v>
      </c>
      <c r="E2619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619" s="32" t="s">
        <v>235</v>
      </c>
      <c r="G2619" s="32" t="s">
        <v>5051</v>
      </c>
      <c r="H2619" s="139" t="s">
        <v>8590</v>
      </c>
      <c r="I2619" s="33" t="s">
        <v>264</v>
      </c>
      <c r="J2619" s="143" t="s">
        <v>4644</v>
      </c>
      <c r="K2619" s="33" t="s">
        <v>169</v>
      </c>
      <c r="L2619" s="102" t="str">
        <f>VLOOKUP(Anexo_4[[#This Row],[cod_doc]],TIPODOC,2,FALSE)</f>
        <v>FACTURA</v>
      </c>
      <c r="M2619" s="33" t="s">
        <v>271</v>
      </c>
      <c r="N2619" s="32" t="s">
        <v>8591</v>
      </c>
      <c r="O2619" s="48">
        <v>6.78</v>
      </c>
      <c r="P2619" s="49" t="s">
        <v>4341</v>
      </c>
      <c r="Q2619" s="81">
        <v>1.22</v>
      </c>
      <c r="R2619" s="80" t="s">
        <v>4341</v>
      </c>
      <c r="S2619" s="48" t="s">
        <v>4341</v>
      </c>
      <c r="T2619" s="72">
        <v>8</v>
      </c>
      <c r="U2619" s="70"/>
      <c r="V2619" s="32"/>
      <c r="W2619" s="70"/>
      <c r="X2619" s="70"/>
      <c r="Y2619" s="70" t="s">
        <v>8592</v>
      </c>
      <c r="Z2619" s="70"/>
      <c r="AA2619" s="71"/>
      <c r="AB2619" s="117" t="str">
        <f>IFERROR(VLOOKUP(Anexo_4[[#This Row],[cuenta]],OP,2,0),"-")</f>
        <v>-</v>
      </c>
    </row>
    <row r="2620" spans="1:28" ht="27" customHeight="1" x14ac:dyDescent="0.3">
      <c r="A2620" s="34" t="s">
        <v>7710</v>
      </c>
      <c r="B2620" s="36" t="str">
        <f t="shared" si="70"/>
        <v>Octubre</v>
      </c>
      <c r="C2620" s="33" t="s">
        <v>162</v>
      </c>
      <c r="D2620" s="33" t="s">
        <v>8593</v>
      </c>
      <c r="E2620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620" s="32" t="s">
        <v>235</v>
      </c>
      <c r="G2620" s="32" t="s">
        <v>5051</v>
      </c>
      <c r="H2620" s="139" t="s">
        <v>8594</v>
      </c>
      <c r="I2620" s="33" t="s">
        <v>264</v>
      </c>
      <c r="J2620" s="143" t="s">
        <v>4644</v>
      </c>
      <c r="K2620" s="33" t="s">
        <v>169</v>
      </c>
      <c r="L2620" s="102" t="str">
        <f>VLOOKUP(Anexo_4[[#This Row],[cod_doc]],TIPODOC,2,FALSE)</f>
        <v>FACTURA</v>
      </c>
      <c r="M2620" s="33" t="s">
        <v>352</v>
      </c>
      <c r="N2620" s="32" t="s">
        <v>8595</v>
      </c>
      <c r="O2620" s="48">
        <v>6.78</v>
      </c>
      <c r="P2620" s="49" t="s">
        <v>4341</v>
      </c>
      <c r="Q2620" s="81">
        <v>1.22</v>
      </c>
      <c r="R2620" s="80" t="s">
        <v>4341</v>
      </c>
      <c r="S2620" s="48" t="s">
        <v>4341</v>
      </c>
      <c r="T2620" s="72">
        <v>8</v>
      </c>
      <c r="U2620" s="70"/>
      <c r="V2620" s="32"/>
      <c r="W2620" s="70"/>
      <c r="X2620" s="70"/>
      <c r="Y2620" s="70" t="s">
        <v>8596</v>
      </c>
      <c r="Z2620" s="70"/>
      <c r="AA2620" s="71"/>
      <c r="AB2620" s="117" t="str">
        <f>IFERROR(VLOOKUP(Anexo_4[[#This Row],[cuenta]],OP,2,0),"-")</f>
        <v>-</v>
      </c>
    </row>
    <row r="2621" spans="1:28" ht="27" customHeight="1" x14ac:dyDescent="0.3">
      <c r="A2621" s="34" t="s">
        <v>8234</v>
      </c>
      <c r="B2621" s="36" t="str">
        <f t="shared" si="70"/>
        <v>Octubre</v>
      </c>
      <c r="C2621" s="33" t="s">
        <v>162</v>
      </c>
      <c r="D2621" s="33" t="s">
        <v>8597</v>
      </c>
      <c r="E2621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621" s="32" t="s">
        <v>418</v>
      </c>
      <c r="G2621" s="32" t="s">
        <v>419</v>
      </c>
      <c r="H2621" s="139" t="s">
        <v>8598</v>
      </c>
      <c r="I2621" s="33" t="s">
        <v>286</v>
      </c>
      <c r="J2621" s="143" t="s">
        <v>4762</v>
      </c>
      <c r="K2621" s="33" t="s">
        <v>169</v>
      </c>
      <c r="L2621" s="102" t="str">
        <f>VLOOKUP(Anexo_4[[#This Row],[cod_doc]],TIPODOC,2,FALSE)</f>
        <v>FACTURA</v>
      </c>
      <c r="M2621" s="33" t="s">
        <v>222</v>
      </c>
      <c r="N2621" s="32" t="s">
        <v>8599</v>
      </c>
      <c r="O2621" s="48" t="s">
        <v>4341</v>
      </c>
      <c r="P2621" s="49" t="s">
        <v>4341</v>
      </c>
      <c r="Q2621" s="81" t="s">
        <v>4341</v>
      </c>
      <c r="R2621" s="80" t="s">
        <v>4341</v>
      </c>
      <c r="S2621" s="48">
        <v>22</v>
      </c>
      <c r="T2621" s="72">
        <v>22</v>
      </c>
      <c r="U2621" s="70"/>
      <c r="V2621" s="32"/>
      <c r="W2621" s="70"/>
      <c r="X2621" s="70"/>
      <c r="Y2621" s="70" t="s">
        <v>8600</v>
      </c>
      <c r="Z2621" s="70"/>
      <c r="AA2621" s="71"/>
      <c r="AB2621" s="117" t="str">
        <f>IFERROR(VLOOKUP(Anexo_4[[#This Row],[cuenta]],OP,2,0),"-")</f>
        <v>-</v>
      </c>
    </row>
    <row r="2622" spans="1:28" ht="27" customHeight="1" x14ac:dyDescent="0.3">
      <c r="A2622" s="34" t="s">
        <v>7705</v>
      </c>
      <c r="B2622" s="36" t="str">
        <f t="shared" si="70"/>
        <v>Octubre</v>
      </c>
      <c r="C2622" s="33" t="s">
        <v>162</v>
      </c>
      <c r="D2622" s="33" t="s">
        <v>8601</v>
      </c>
      <c r="E2622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622" s="32" t="s">
        <v>235</v>
      </c>
      <c r="G2622" s="32" t="s">
        <v>5051</v>
      </c>
      <c r="H2622" s="139" t="s">
        <v>8602</v>
      </c>
      <c r="I2622" s="33" t="s">
        <v>264</v>
      </c>
      <c r="J2622" s="143" t="s">
        <v>4644</v>
      </c>
      <c r="K2622" s="33" t="s">
        <v>169</v>
      </c>
      <c r="L2622" s="102" t="str">
        <f>VLOOKUP(Anexo_4[[#This Row],[cod_doc]],TIPODOC,2,FALSE)</f>
        <v>FACTURA</v>
      </c>
      <c r="M2622" s="33" t="s">
        <v>352</v>
      </c>
      <c r="N2622" s="32" t="s">
        <v>8603</v>
      </c>
      <c r="O2622" s="48">
        <v>6.78</v>
      </c>
      <c r="P2622" s="49" t="s">
        <v>4341</v>
      </c>
      <c r="Q2622" s="81">
        <v>1.22</v>
      </c>
      <c r="R2622" s="80" t="s">
        <v>4341</v>
      </c>
      <c r="S2622" s="48" t="s">
        <v>4341</v>
      </c>
      <c r="T2622" s="72">
        <v>8</v>
      </c>
      <c r="U2622" s="70"/>
      <c r="V2622" s="32"/>
      <c r="W2622" s="70"/>
      <c r="X2622" s="70"/>
      <c r="Y2622" s="70" t="s">
        <v>8604</v>
      </c>
      <c r="Z2622" s="70"/>
      <c r="AA2622" s="71"/>
      <c r="AB2622" s="117" t="str">
        <f>IFERROR(VLOOKUP(Anexo_4[[#This Row],[cuenta]],OP,2,0),"-")</f>
        <v>-</v>
      </c>
    </row>
    <row r="2623" spans="1:28" ht="27" customHeight="1" x14ac:dyDescent="0.3">
      <c r="A2623" s="34" t="s">
        <v>7705</v>
      </c>
      <c r="B2623" s="36" t="str">
        <f t="shared" si="70"/>
        <v>Octubre</v>
      </c>
      <c r="C2623" s="33" t="s">
        <v>162</v>
      </c>
      <c r="D2623" s="33" t="s">
        <v>8605</v>
      </c>
      <c r="E2623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623" s="32" t="s">
        <v>235</v>
      </c>
      <c r="G2623" s="32" t="s">
        <v>5051</v>
      </c>
      <c r="H2623" s="139" t="s">
        <v>8606</v>
      </c>
      <c r="I2623" s="33" t="s">
        <v>264</v>
      </c>
      <c r="J2623" s="143" t="s">
        <v>4644</v>
      </c>
      <c r="K2623" s="33" t="s">
        <v>169</v>
      </c>
      <c r="L2623" s="102" t="str">
        <f>VLOOKUP(Anexo_4[[#This Row],[cod_doc]],TIPODOC,2,FALSE)</f>
        <v>FACTURA</v>
      </c>
      <c r="M2623" s="33" t="s">
        <v>406</v>
      </c>
      <c r="N2623" s="32" t="s">
        <v>8607</v>
      </c>
      <c r="O2623" s="48">
        <v>6.78</v>
      </c>
      <c r="P2623" s="49" t="s">
        <v>4341</v>
      </c>
      <c r="Q2623" s="81">
        <v>1.22</v>
      </c>
      <c r="R2623" s="80" t="s">
        <v>4341</v>
      </c>
      <c r="S2623" s="48" t="s">
        <v>4341</v>
      </c>
      <c r="T2623" s="72">
        <v>8</v>
      </c>
      <c r="U2623" s="70"/>
      <c r="V2623" s="32"/>
      <c r="W2623" s="70"/>
      <c r="X2623" s="70"/>
      <c r="Y2623" s="70" t="s">
        <v>8608</v>
      </c>
      <c r="Z2623" s="70"/>
      <c r="AA2623" s="71"/>
      <c r="AB2623" s="117" t="str">
        <f>IFERROR(VLOOKUP(Anexo_4[[#This Row],[cuenta]],OP,2,0),"-")</f>
        <v>-</v>
      </c>
    </row>
    <row r="2624" spans="1:28" ht="27" customHeight="1" x14ac:dyDescent="0.3">
      <c r="A2624" s="34" t="s">
        <v>8254</v>
      </c>
      <c r="B2624" s="36" t="str">
        <f t="shared" si="70"/>
        <v>Octubre</v>
      </c>
      <c r="C2624" s="33" t="s">
        <v>162</v>
      </c>
      <c r="D2624" s="33" t="s">
        <v>8609</v>
      </c>
      <c r="E2624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624" s="32" t="s">
        <v>5923</v>
      </c>
      <c r="G2624" s="32" t="s">
        <v>5924</v>
      </c>
      <c r="H2624" s="139" t="s">
        <v>8610</v>
      </c>
      <c r="I2624" s="33" t="s">
        <v>7399</v>
      </c>
      <c r="J2624" s="143" t="s">
        <v>7400</v>
      </c>
      <c r="K2624" s="33" t="s">
        <v>169</v>
      </c>
      <c r="L2624" s="102" t="str">
        <f>VLOOKUP(Anexo_4[[#This Row],[cod_doc]],TIPODOC,2,FALSE)</f>
        <v>FACTURA</v>
      </c>
      <c r="M2624" s="33" t="s">
        <v>102</v>
      </c>
      <c r="N2624" s="32" t="s">
        <v>8611</v>
      </c>
      <c r="O2624" s="48">
        <v>16.95</v>
      </c>
      <c r="P2624" s="49" t="s">
        <v>4341</v>
      </c>
      <c r="Q2624" s="81">
        <v>3.05</v>
      </c>
      <c r="R2624" s="80" t="s">
        <v>4341</v>
      </c>
      <c r="S2624" s="48" t="s">
        <v>4341</v>
      </c>
      <c r="T2624" s="72">
        <v>20</v>
      </c>
      <c r="U2624" s="70"/>
      <c r="V2624" s="32"/>
      <c r="W2624" s="70"/>
      <c r="X2624" s="70"/>
      <c r="Y2624" s="70" t="s">
        <v>8612</v>
      </c>
      <c r="Z2624" s="70"/>
      <c r="AA2624" s="71"/>
      <c r="AB2624" s="117" t="str">
        <f>IFERROR(VLOOKUP(Anexo_4[[#This Row],[cuenta]],OP,2,0),"-")</f>
        <v>-</v>
      </c>
    </row>
    <row r="2625" spans="1:28" ht="27" customHeight="1" x14ac:dyDescent="0.3">
      <c r="A2625" s="34" t="s">
        <v>8234</v>
      </c>
      <c r="B2625" s="36" t="str">
        <f t="shared" si="70"/>
        <v>Octubre</v>
      </c>
      <c r="C2625" s="33" t="s">
        <v>162</v>
      </c>
      <c r="D2625" s="33" t="s">
        <v>8613</v>
      </c>
      <c r="E2625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625" s="32" t="s">
        <v>5923</v>
      </c>
      <c r="G2625" s="32" t="s">
        <v>5924</v>
      </c>
      <c r="H2625" s="139" t="s">
        <v>8614</v>
      </c>
      <c r="I2625" s="33" t="s">
        <v>383</v>
      </c>
      <c r="J2625" s="143" t="s">
        <v>4702</v>
      </c>
      <c r="K2625" s="33" t="s">
        <v>169</v>
      </c>
      <c r="L2625" s="102" t="str">
        <f>VLOOKUP(Anexo_4[[#This Row],[cod_doc]],TIPODOC,2,FALSE)</f>
        <v>FACTURA</v>
      </c>
      <c r="M2625" s="33" t="s">
        <v>103</v>
      </c>
      <c r="N2625" s="32" t="s">
        <v>8615</v>
      </c>
      <c r="O2625" s="48">
        <v>16.95</v>
      </c>
      <c r="P2625" s="49" t="s">
        <v>4341</v>
      </c>
      <c r="Q2625" s="81">
        <v>3.05</v>
      </c>
      <c r="R2625" s="80" t="s">
        <v>4341</v>
      </c>
      <c r="S2625" s="48" t="s">
        <v>4341</v>
      </c>
      <c r="T2625" s="72">
        <v>20</v>
      </c>
      <c r="U2625" s="70"/>
      <c r="V2625" s="32"/>
      <c r="W2625" s="70"/>
      <c r="X2625" s="70"/>
      <c r="Y2625" s="70" t="s">
        <v>8616</v>
      </c>
      <c r="Z2625" s="70"/>
      <c r="AA2625" s="71"/>
      <c r="AB2625" s="117" t="str">
        <f>IFERROR(VLOOKUP(Anexo_4[[#This Row],[cuenta]],OP,2,0),"-")</f>
        <v>-</v>
      </c>
    </row>
    <row r="2626" spans="1:28" ht="27" customHeight="1" x14ac:dyDescent="0.3">
      <c r="A2626" s="34" t="s">
        <v>8234</v>
      </c>
      <c r="B2626" s="36" t="str">
        <f t="shared" ref="B2626:B2628" si="71">PROPER(CHOOSE(LEFT(D2626,2),"enero","febrero","marzo","abril","mayo","junio","julio","agosto","setiembre","octubre","noviembre","diciembre"))</f>
        <v>Octubre</v>
      </c>
      <c r="C2626" s="33" t="s">
        <v>162</v>
      </c>
      <c r="D2626" s="33" t="s">
        <v>8617</v>
      </c>
      <c r="E2626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626" s="32" t="s">
        <v>5923</v>
      </c>
      <c r="G2626" s="32" t="s">
        <v>5924</v>
      </c>
      <c r="H2626" s="139" t="s">
        <v>8618</v>
      </c>
      <c r="I2626" s="33" t="s">
        <v>383</v>
      </c>
      <c r="J2626" s="143" t="s">
        <v>4702</v>
      </c>
      <c r="K2626" s="33" t="s">
        <v>169</v>
      </c>
      <c r="L2626" s="102" t="str">
        <f>VLOOKUP(Anexo_4[[#This Row],[cod_doc]],TIPODOC,2,FALSE)</f>
        <v>FACTURA</v>
      </c>
      <c r="M2626" s="33" t="s">
        <v>103</v>
      </c>
      <c r="N2626" s="32" t="s">
        <v>8619</v>
      </c>
      <c r="O2626" s="48">
        <v>16.95</v>
      </c>
      <c r="P2626" s="49" t="s">
        <v>4341</v>
      </c>
      <c r="Q2626" s="81">
        <v>3.05</v>
      </c>
      <c r="R2626" s="80" t="s">
        <v>4341</v>
      </c>
      <c r="S2626" s="48" t="s">
        <v>4341</v>
      </c>
      <c r="T2626" s="72">
        <v>20</v>
      </c>
      <c r="U2626" s="70"/>
      <c r="V2626" s="32"/>
      <c r="W2626" s="70"/>
      <c r="X2626" s="70"/>
      <c r="Y2626" s="70" t="s">
        <v>8620</v>
      </c>
      <c r="Z2626" s="70"/>
      <c r="AA2626" s="71"/>
      <c r="AB2626" s="117" t="str">
        <f>IFERROR(VLOOKUP(Anexo_4[[#This Row],[cuenta]],OP,2,0),"-")</f>
        <v>-</v>
      </c>
    </row>
    <row r="2627" spans="1:28" ht="27" customHeight="1" x14ac:dyDescent="0.3">
      <c r="A2627" s="34" t="s">
        <v>7901</v>
      </c>
      <c r="B2627" s="36" t="str">
        <f t="shared" si="71"/>
        <v>Octubre</v>
      </c>
      <c r="C2627" s="33" t="s">
        <v>162</v>
      </c>
      <c r="D2627" s="33" t="s">
        <v>8621</v>
      </c>
      <c r="E2627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627" s="32" t="s">
        <v>175</v>
      </c>
      <c r="G2627" s="32" t="s">
        <v>5168</v>
      </c>
      <c r="H2627" s="139" t="s">
        <v>8622</v>
      </c>
      <c r="I2627" s="33" t="s">
        <v>383</v>
      </c>
      <c r="J2627" s="143" t="s">
        <v>4702</v>
      </c>
      <c r="K2627" s="33" t="s">
        <v>169</v>
      </c>
      <c r="L2627" s="102" t="str">
        <f>VLOOKUP(Anexo_4[[#This Row],[cod_doc]],TIPODOC,2,FALSE)</f>
        <v>FACTURA</v>
      </c>
      <c r="M2627" s="33" t="s">
        <v>103</v>
      </c>
      <c r="N2627" s="32" t="s">
        <v>8623</v>
      </c>
      <c r="O2627" s="48">
        <v>16.95</v>
      </c>
      <c r="P2627" s="49" t="s">
        <v>4341</v>
      </c>
      <c r="Q2627" s="81">
        <v>3.05</v>
      </c>
      <c r="R2627" s="80" t="s">
        <v>4341</v>
      </c>
      <c r="S2627" s="48" t="s">
        <v>4341</v>
      </c>
      <c r="T2627" s="72">
        <v>20</v>
      </c>
      <c r="U2627" s="70"/>
      <c r="V2627" s="32"/>
      <c r="W2627" s="70"/>
      <c r="X2627" s="70"/>
      <c r="Y2627" s="70" t="s">
        <v>8624</v>
      </c>
      <c r="Z2627" s="70"/>
      <c r="AA2627" s="71"/>
      <c r="AB2627" s="117" t="str">
        <f>IFERROR(VLOOKUP(Anexo_4[[#This Row],[cuenta]],OP,2,0),"-")</f>
        <v>-</v>
      </c>
    </row>
    <row r="2628" spans="1:28" ht="27" customHeight="1" x14ac:dyDescent="0.3">
      <c r="A2628" s="34" t="s">
        <v>8234</v>
      </c>
      <c r="B2628" s="36" t="str">
        <f t="shared" si="71"/>
        <v>Octubre</v>
      </c>
      <c r="C2628" s="33" t="s">
        <v>162</v>
      </c>
      <c r="D2628" s="33" t="s">
        <v>8625</v>
      </c>
      <c r="E2628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628" s="32" t="s">
        <v>217</v>
      </c>
      <c r="G2628" s="32" t="s">
        <v>4839</v>
      </c>
      <c r="H2628" s="139" t="s">
        <v>8626</v>
      </c>
      <c r="I2628" s="33" t="s">
        <v>383</v>
      </c>
      <c r="J2628" s="143" t="s">
        <v>4702</v>
      </c>
      <c r="K2628" s="33" t="s">
        <v>169</v>
      </c>
      <c r="L2628" s="102" t="str">
        <f>VLOOKUP(Anexo_4[[#This Row],[cod_doc]],TIPODOC,2,FALSE)</f>
        <v>FACTURA</v>
      </c>
      <c r="M2628" s="33" t="s">
        <v>103</v>
      </c>
      <c r="N2628" s="32" t="s">
        <v>8627</v>
      </c>
      <c r="O2628" s="48">
        <v>16.95</v>
      </c>
      <c r="P2628" s="49" t="s">
        <v>4341</v>
      </c>
      <c r="Q2628" s="81">
        <v>3.05</v>
      </c>
      <c r="R2628" s="80" t="s">
        <v>4341</v>
      </c>
      <c r="S2628" s="48" t="s">
        <v>4341</v>
      </c>
      <c r="T2628" s="72">
        <v>20</v>
      </c>
      <c r="U2628" s="70"/>
      <c r="V2628" s="32"/>
      <c r="W2628" s="70"/>
      <c r="X2628" s="70"/>
      <c r="Y2628" s="70" t="s">
        <v>8628</v>
      </c>
      <c r="Z2628" s="70"/>
      <c r="AA2628" s="71"/>
      <c r="AB2628" s="117" t="str">
        <f>IFERROR(VLOOKUP(Anexo_4[[#This Row],[cuenta]],OP,2,0),"-")</f>
        <v>-</v>
      </c>
    </row>
    <row r="2629" spans="1:28" ht="27" customHeight="1" x14ac:dyDescent="0.3">
      <c r="A2629" s="34" t="s">
        <v>8234</v>
      </c>
      <c r="B2629" s="36" t="str">
        <f>PROPER(CHOOSE(LEFT(D2629,2),"enero","febrero","marzo","abril","mayo","junio","julio","agosto","setiembre","octubre","noviembre","diciembre"))</f>
        <v>Octubre</v>
      </c>
      <c r="C2629" s="33" t="s">
        <v>162</v>
      </c>
      <c r="D2629" s="33" t="s">
        <v>8629</v>
      </c>
      <c r="E2629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629" s="32" t="s">
        <v>217</v>
      </c>
      <c r="G2629" s="32" t="s">
        <v>4839</v>
      </c>
      <c r="H2629" s="139" t="s">
        <v>8630</v>
      </c>
      <c r="I2629" s="33" t="s">
        <v>383</v>
      </c>
      <c r="J2629" s="143" t="s">
        <v>4702</v>
      </c>
      <c r="K2629" s="33" t="s">
        <v>169</v>
      </c>
      <c r="L2629" s="102" t="str">
        <f>VLOOKUP(Anexo_4[[#This Row],[cod_doc]],TIPODOC,2,FALSE)</f>
        <v>FACTURA</v>
      </c>
      <c r="M2629" s="33" t="s">
        <v>103</v>
      </c>
      <c r="N2629" s="32" t="s">
        <v>8631</v>
      </c>
      <c r="O2629" s="48">
        <v>16.95</v>
      </c>
      <c r="P2629" s="49" t="s">
        <v>4341</v>
      </c>
      <c r="Q2629" s="81">
        <v>3.05</v>
      </c>
      <c r="R2629" s="80" t="s">
        <v>4341</v>
      </c>
      <c r="S2629" s="48" t="s">
        <v>4341</v>
      </c>
      <c r="T2629" s="72">
        <v>20</v>
      </c>
      <c r="U2629" s="70"/>
      <c r="V2629" s="32"/>
      <c r="W2629" s="70"/>
      <c r="X2629" s="70"/>
      <c r="Y2629" s="70" t="s">
        <v>8632</v>
      </c>
      <c r="Z2629" s="70"/>
      <c r="AA2629" s="71"/>
      <c r="AB2629" s="117" t="str">
        <f>IFERROR(VLOOKUP(Anexo_4[[#This Row],[cuenta]],OP,2,0),"-")</f>
        <v>-</v>
      </c>
    </row>
    <row r="2630" spans="1:28" ht="27" customHeight="1" x14ac:dyDescent="0.3">
      <c r="A2630" s="34" t="s">
        <v>7710</v>
      </c>
      <c r="B2630" s="36" t="str">
        <f>PROPER(CHOOSE(LEFT(D2630,2),"enero","febrero","marzo","abril","mayo","junio","julio","agosto","setiembre","octubre","noviembre","diciembre"))</f>
        <v>Octubre</v>
      </c>
      <c r="C2630" s="33" t="s">
        <v>162</v>
      </c>
      <c r="D2630" s="33" t="s">
        <v>8633</v>
      </c>
      <c r="E2630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630" s="32" t="s">
        <v>5923</v>
      </c>
      <c r="G2630" s="32" t="s">
        <v>5924</v>
      </c>
      <c r="H2630" s="139" t="s">
        <v>8634</v>
      </c>
      <c r="I2630" s="33" t="s">
        <v>383</v>
      </c>
      <c r="J2630" s="143" t="s">
        <v>4702</v>
      </c>
      <c r="K2630" s="33" t="s">
        <v>169</v>
      </c>
      <c r="L2630" s="102" t="str">
        <f>VLOOKUP(Anexo_4[[#This Row],[cod_doc]],TIPODOC,2,FALSE)</f>
        <v>FACTURA</v>
      </c>
      <c r="M2630" s="33" t="s">
        <v>103</v>
      </c>
      <c r="N2630" s="32" t="s">
        <v>8635</v>
      </c>
      <c r="O2630" s="48">
        <v>16.95</v>
      </c>
      <c r="P2630" s="49" t="s">
        <v>4341</v>
      </c>
      <c r="Q2630" s="81">
        <v>3.05</v>
      </c>
      <c r="R2630" s="80" t="s">
        <v>4341</v>
      </c>
      <c r="S2630" s="48" t="s">
        <v>4341</v>
      </c>
      <c r="T2630" s="72">
        <v>20</v>
      </c>
      <c r="U2630" s="70"/>
      <c r="V2630" s="32"/>
      <c r="W2630" s="70"/>
      <c r="X2630" s="70"/>
      <c r="Y2630" s="70" t="s">
        <v>8636</v>
      </c>
      <c r="Z2630" s="70"/>
      <c r="AA2630" s="71"/>
      <c r="AB2630" s="117" t="str">
        <f>IFERROR(VLOOKUP(Anexo_4[[#This Row],[cuenta]],OP,2,0),"-")</f>
        <v>-</v>
      </c>
    </row>
    <row r="2631" spans="1:28" ht="27" customHeight="1" x14ac:dyDescent="0.3">
      <c r="A2631" s="34" t="s">
        <v>6384</v>
      </c>
      <c r="B2631" s="36" t="str">
        <f>PROPER(CHOOSE(LEFT(D2631,2),"enero","febrero","marzo","abril","mayo","junio","julio","agosto","setiembre","octubre","noviembre","diciembre"))</f>
        <v>Octubre</v>
      </c>
      <c r="C2631" s="33" t="s">
        <v>162</v>
      </c>
      <c r="D2631" s="33" t="s">
        <v>8637</v>
      </c>
      <c r="E2631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631" s="32"/>
      <c r="G2631" s="32"/>
      <c r="H2631" s="139" t="s">
        <v>8638</v>
      </c>
      <c r="I2631" s="33" t="s">
        <v>383</v>
      </c>
      <c r="J2631" s="143" t="s">
        <v>4702</v>
      </c>
      <c r="K2631" s="33" t="s">
        <v>169</v>
      </c>
      <c r="L2631" s="102" t="str">
        <f>VLOOKUP(Anexo_4[[#This Row],[cod_doc]],TIPODOC,2,FALSE)</f>
        <v>FACTURA</v>
      </c>
      <c r="M2631" s="33" t="s">
        <v>421</v>
      </c>
      <c r="N2631" s="32" t="s">
        <v>8639</v>
      </c>
      <c r="O2631" s="48">
        <v>8.4700000000000006</v>
      </c>
      <c r="P2631" s="49" t="s">
        <v>4341</v>
      </c>
      <c r="Q2631" s="81">
        <v>1.53</v>
      </c>
      <c r="R2631" s="80" t="s">
        <v>4341</v>
      </c>
      <c r="S2631" s="48" t="s">
        <v>4341</v>
      </c>
      <c r="T2631" s="72">
        <v>10</v>
      </c>
      <c r="U2631" s="70"/>
      <c r="V2631" s="32"/>
      <c r="W2631" s="70"/>
      <c r="X2631" s="70"/>
      <c r="Y2631" s="70" t="s">
        <v>8640</v>
      </c>
      <c r="Z2631" s="70"/>
      <c r="AA2631" s="71"/>
      <c r="AB2631" s="117" t="str">
        <f>IFERROR(VLOOKUP(Anexo_4[[#This Row],[cuenta]],OP,2,0),"-")</f>
        <v>-</v>
      </c>
    </row>
    <row r="2632" spans="1:28" ht="27" customHeight="1" x14ac:dyDescent="0.3">
      <c r="A2632" s="34" t="s">
        <v>8641</v>
      </c>
      <c r="B2632" s="36" t="str">
        <f>PROPER(CHOOSE(LEFT(D2632,2),"enero","febrero","marzo","abril","mayo","junio","julio","agosto","setiembre","octubre","noviembre","diciembre"))</f>
        <v>Octubre</v>
      </c>
      <c r="C2632" s="33" t="s">
        <v>162</v>
      </c>
      <c r="D2632" s="33" t="s">
        <v>8642</v>
      </c>
      <c r="E2632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632" s="32" t="s">
        <v>248</v>
      </c>
      <c r="G2632" s="32" t="s">
        <v>249</v>
      </c>
      <c r="H2632" s="139" t="s">
        <v>8643</v>
      </c>
      <c r="I2632" s="33" t="s">
        <v>980</v>
      </c>
      <c r="J2632" s="143" t="s">
        <v>5083</v>
      </c>
      <c r="K2632" s="33" t="s">
        <v>169</v>
      </c>
      <c r="L2632" s="102" t="str">
        <f>VLOOKUP(Anexo_4[[#This Row],[cod_doc]],TIPODOC,2,FALSE)</f>
        <v>FACTURA</v>
      </c>
      <c r="M2632" s="33" t="s">
        <v>982</v>
      </c>
      <c r="N2632" s="32" t="s">
        <v>8644</v>
      </c>
      <c r="O2632" s="48">
        <v>915.33</v>
      </c>
      <c r="P2632" s="49" t="s">
        <v>4341</v>
      </c>
      <c r="Q2632" s="81">
        <v>164.76</v>
      </c>
      <c r="R2632" s="80" t="s">
        <v>4341</v>
      </c>
      <c r="S2632" s="48" t="s">
        <v>4341</v>
      </c>
      <c r="T2632" s="72">
        <v>1080.0899999999999</v>
      </c>
      <c r="U2632" s="70"/>
      <c r="V2632" s="32"/>
      <c r="W2632" s="70"/>
      <c r="X2632" s="70"/>
      <c r="Y2632" s="70" t="s">
        <v>8645</v>
      </c>
      <c r="Z2632" s="70"/>
      <c r="AA2632" s="71"/>
      <c r="AB2632" s="117" t="str">
        <f>IFERROR(VLOOKUP(Anexo_4[[#This Row],[cuenta]],OP,2,0),"-")</f>
        <v>-</v>
      </c>
    </row>
    <row r="2633" spans="1:28" ht="27" customHeight="1" x14ac:dyDescent="0.3">
      <c r="A2633" s="34" t="s">
        <v>8505</v>
      </c>
      <c r="B2633" s="36" t="str">
        <f t="shared" ref="B2633:B2640" si="72">PROPER(CHOOSE(LEFT(D2633,2),"enero","febrero","marzo","abril","mayo","junio","julio","agosto","setiembre","octubre","noviembre","diciembre"))</f>
        <v>Octubre</v>
      </c>
      <c r="C2633" s="33" t="s">
        <v>162</v>
      </c>
      <c r="D2633" s="33" t="s">
        <v>8646</v>
      </c>
      <c r="E2633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633" s="32" t="s">
        <v>953</v>
      </c>
      <c r="G2633" s="32" t="s">
        <v>954</v>
      </c>
      <c r="H2633" s="139" t="s">
        <v>8647</v>
      </c>
      <c r="I2633" s="33" t="s">
        <v>2429</v>
      </c>
      <c r="J2633" s="143" t="s">
        <v>5038</v>
      </c>
      <c r="K2633" s="33" t="s">
        <v>239</v>
      </c>
      <c r="L2633" s="102" t="str">
        <f>VLOOKUP(Anexo_4[[#This Row],[cod_doc]],TIPODOC,2,FALSE)</f>
        <v>BOLETA DE VENTA</v>
      </c>
      <c r="M2633" s="33" t="s">
        <v>5938</v>
      </c>
      <c r="N2633" s="32" t="s">
        <v>8648</v>
      </c>
      <c r="O2633" s="48" t="s">
        <v>4341</v>
      </c>
      <c r="P2633" s="49" t="s">
        <v>4341</v>
      </c>
      <c r="Q2633" s="81" t="s">
        <v>4341</v>
      </c>
      <c r="R2633" s="80" t="s">
        <v>4341</v>
      </c>
      <c r="S2633" s="48">
        <v>6</v>
      </c>
      <c r="T2633" s="72">
        <v>6</v>
      </c>
      <c r="U2633" s="70"/>
      <c r="V2633" s="32"/>
      <c r="W2633" s="70"/>
      <c r="X2633" s="70"/>
      <c r="Y2633" s="70"/>
      <c r="Z2633" s="70"/>
      <c r="AA2633" s="71"/>
      <c r="AB2633" s="117" t="str">
        <f>IFERROR(VLOOKUP(Anexo_4[[#This Row],[cuenta]],OP,2,0),"-")</f>
        <v>-</v>
      </c>
    </row>
    <row r="2634" spans="1:28" ht="27" customHeight="1" x14ac:dyDescent="0.3">
      <c r="A2634" s="34" t="s">
        <v>8505</v>
      </c>
      <c r="B2634" s="36" t="str">
        <f t="shared" si="72"/>
        <v>Octubre</v>
      </c>
      <c r="C2634" s="33" t="s">
        <v>162</v>
      </c>
      <c r="D2634" s="33" t="s">
        <v>8649</v>
      </c>
      <c r="E2634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634" s="32" t="s">
        <v>953</v>
      </c>
      <c r="G2634" s="32" t="s">
        <v>954</v>
      </c>
      <c r="H2634" s="139" t="s">
        <v>8650</v>
      </c>
      <c r="I2634" s="33" t="s">
        <v>8651</v>
      </c>
      <c r="J2634" s="143" t="s">
        <v>8652</v>
      </c>
      <c r="K2634" s="33" t="s">
        <v>169</v>
      </c>
      <c r="L2634" s="102" t="str">
        <f>VLOOKUP(Anexo_4[[#This Row],[cod_doc]],TIPODOC,2,FALSE)</f>
        <v>FACTURA</v>
      </c>
      <c r="M2634" s="33" t="s">
        <v>8653</v>
      </c>
      <c r="N2634" s="32" t="s">
        <v>8654</v>
      </c>
      <c r="O2634" s="48">
        <v>9.32</v>
      </c>
      <c r="P2634" s="49" t="s">
        <v>4341</v>
      </c>
      <c r="Q2634" s="81">
        <v>1.68</v>
      </c>
      <c r="R2634" s="80" t="s">
        <v>4341</v>
      </c>
      <c r="S2634" s="48" t="s">
        <v>4341</v>
      </c>
      <c r="T2634" s="72">
        <v>11</v>
      </c>
      <c r="U2634" s="70"/>
      <c r="V2634" s="32"/>
      <c r="W2634" s="70"/>
      <c r="X2634" s="70"/>
      <c r="Y2634" s="70"/>
      <c r="Z2634" s="70"/>
      <c r="AA2634" s="71"/>
      <c r="AB2634" s="117" t="str">
        <f>IFERROR(VLOOKUP(Anexo_4[[#This Row],[cuenta]],OP,2,0),"-")</f>
        <v>-</v>
      </c>
    </row>
    <row r="2635" spans="1:28" ht="27" customHeight="1" x14ac:dyDescent="0.3">
      <c r="A2635" s="34" t="s">
        <v>8505</v>
      </c>
      <c r="B2635" s="36" t="str">
        <f t="shared" si="72"/>
        <v>Octubre</v>
      </c>
      <c r="C2635" s="33" t="s">
        <v>162</v>
      </c>
      <c r="D2635" s="33" t="s">
        <v>8655</v>
      </c>
      <c r="E2635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635" s="32" t="s">
        <v>953</v>
      </c>
      <c r="G2635" s="32" t="s">
        <v>954</v>
      </c>
      <c r="H2635" s="139" t="s">
        <v>8656</v>
      </c>
      <c r="I2635" s="33" t="s">
        <v>2113</v>
      </c>
      <c r="J2635" s="143" t="s">
        <v>6854</v>
      </c>
      <c r="K2635" s="33" t="s">
        <v>169</v>
      </c>
      <c r="L2635" s="102" t="str">
        <f>VLOOKUP(Anexo_4[[#This Row],[cod_doc]],TIPODOC,2,FALSE)</f>
        <v>FACTURA</v>
      </c>
      <c r="M2635" s="33" t="s">
        <v>2153</v>
      </c>
      <c r="N2635" s="32" t="s">
        <v>8657</v>
      </c>
      <c r="O2635" s="48">
        <v>5.07</v>
      </c>
      <c r="P2635" s="49" t="s">
        <v>4341</v>
      </c>
      <c r="Q2635" s="81">
        <v>0.93</v>
      </c>
      <c r="R2635" s="80" t="s">
        <v>4341</v>
      </c>
      <c r="S2635" s="48" t="s">
        <v>4341</v>
      </c>
      <c r="T2635" s="72">
        <v>6</v>
      </c>
      <c r="U2635" s="70"/>
      <c r="V2635" s="32"/>
      <c r="W2635" s="70"/>
      <c r="X2635" s="70"/>
      <c r="Y2635" s="70"/>
      <c r="Z2635" s="70"/>
      <c r="AA2635" s="71"/>
      <c r="AB2635" s="117" t="str">
        <f>IFERROR(VLOOKUP(Anexo_4[[#This Row],[cuenta]],OP,2,0),"-")</f>
        <v>-</v>
      </c>
    </row>
    <row r="2636" spans="1:28" ht="27" customHeight="1" x14ac:dyDescent="0.3">
      <c r="A2636" s="34" t="s">
        <v>8641</v>
      </c>
      <c r="B2636" s="36" t="str">
        <f t="shared" si="72"/>
        <v>Octubre</v>
      </c>
      <c r="C2636" s="33" t="s">
        <v>162</v>
      </c>
      <c r="D2636" s="33" t="s">
        <v>8658</v>
      </c>
      <c r="E2636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636" s="32" t="s">
        <v>164</v>
      </c>
      <c r="G2636" s="32" t="s">
        <v>165</v>
      </c>
      <c r="H2636" s="139" t="s">
        <v>8659</v>
      </c>
      <c r="I2636" s="33" t="s">
        <v>2429</v>
      </c>
      <c r="J2636" s="143" t="s">
        <v>5038</v>
      </c>
      <c r="K2636" s="33" t="s">
        <v>239</v>
      </c>
      <c r="L2636" s="102" t="str">
        <f>VLOOKUP(Anexo_4[[#This Row],[cod_doc]],TIPODOC,2,FALSE)</f>
        <v>BOLETA DE VENTA</v>
      </c>
      <c r="M2636" s="33" t="s">
        <v>5938</v>
      </c>
      <c r="N2636" s="32" t="s">
        <v>5278</v>
      </c>
      <c r="O2636" s="48" t="s">
        <v>4341</v>
      </c>
      <c r="P2636" s="49" t="s">
        <v>4341</v>
      </c>
      <c r="Q2636" s="81" t="s">
        <v>4341</v>
      </c>
      <c r="R2636" s="80" t="s">
        <v>4341</v>
      </c>
      <c r="S2636" s="48">
        <v>7</v>
      </c>
      <c r="T2636" s="72">
        <v>7</v>
      </c>
      <c r="U2636" s="70"/>
      <c r="V2636" s="32"/>
      <c r="W2636" s="70"/>
      <c r="X2636" s="70"/>
      <c r="Y2636" s="70"/>
      <c r="Z2636" s="70"/>
      <c r="AA2636" s="71"/>
      <c r="AB2636" s="117" t="str">
        <f>IFERROR(VLOOKUP(Anexo_4[[#This Row],[cuenta]],OP,2,0),"-")</f>
        <v>-</v>
      </c>
    </row>
    <row r="2637" spans="1:28" ht="27" customHeight="1" x14ac:dyDescent="0.3">
      <c r="A2637" s="34" t="s">
        <v>7741</v>
      </c>
      <c r="B2637" s="36" t="str">
        <f t="shared" si="72"/>
        <v>Octubre</v>
      </c>
      <c r="C2637" s="33" t="s">
        <v>162</v>
      </c>
      <c r="D2637" s="33" t="s">
        <v>8660</v>
      </c>
      <c r="E2637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637" s="32" t="s">
        <v>164</v>
      </c>
      <c r="G2637" s="32" t="s">
        <v>165</v>
      </c>
      <c r="H2637" s="139" t="s">
        <v>976</v>
      </c>
      <c r="I2637" s="33" t="s">
        <v>971</v>
      </c>
      <c r="J2637" s="143" t="s">
        <v>5974</v>
      </c>
      <c r="K2637" s="33" t="s">
        <v>169</v>
      </c>
      <c r="L2637" s="102" t="str">
        <f>VLOOKUP(Anexo_4[[#This Row],[cod_doc]],TIPODOC,2,FALSE)</f>
        <v>FACTURA</v>
      </c>
      <c r="M2637" s="33" t="s">
        <v>973</v>
      </c>
      <c r="N2637" s="32" t="s">
        <v>8661</v>
      </c>
      <c r="O2637" s="48">
        <v>33</v>
      </c>
      <c r="P2637" s="49" t="s">
        <v>4341</v>
      </c>
      <c r="Q2637" s="81">
        <v>5.94</v>
      </c>
      <c r="R2637" s="80" t="s">
        <v>4341</v>
      </c>
      <c r="S2637" s="48" t="s">
        <v>4341</v>
      </c>
      <c r="T2637" s="72">
        <v>38.94</v>
      </c>
      <c r="U2637" s="70"/>
      <c r="V2637" s="32"/>
      <c r="W2637" s="70"/>
      <c r="X2637" s="70"/>
      <c r="Y2637" s="70"/>
      <c r="Z2637" s="70"/>
      <c r="AA2637" s="71"/>
      <c r="AB2637" s="117" t="str">
        <f>IFERROR(VLOOKUP(Anexo_4[[#This Row],[cuenta]],OP,2,0),"-")</f>
        <v>-</v>
      </c>
    </row>
    <row r="2638" spans="1:28" ht="27" customHeight="1" x14ac:dyDescent="0.3">
      <c r="A2638" s="34" t="s">
        <v>7416</v>
      </c>
      <c r="B2638" s="36" t="str">
        <f t="shared" si="72"/>
        <v>Octubre</v>
      </c>
      <c r="C2638" s="33" t="s">
        <v>162</v>
      </c>
      <c r="D2638" s="33" t="s">
        <v>8662</v>
      </c>
      <c r="E2638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638" s="32" t="s">
        <v>5923</v>
      </c>
      <c r="G2638" s="32" t="s">
        <v>5924</v>
      </c>
      <c r="H2638" s="139" t="s">
        <v>8663</v>
      </c>
      <c r="I2638" s="33" t="s">
        <v>3483</v>
      </c>
      <c r="J2638" s="143" t="s">
        <v>7183</v>
      </c>
      <c r="K2638" s="33" t="s">
        <v>169</v>
      </c>
      <c r="L2638" s="102" t="str">
        <f>VLOOKUP(Anexo_4[[#This Row],[cod_doc]],TIPODOC,2,FALSE)</f>
        <v>FACTURA</v>
      </c>
      <c r="M2638" s="33" t="s">
        <v>3485</v>
      </c>
      <c r="N2638" s="32" t="s">
        <v>8664</v>
      </c>
      <c r="O2638" s="48">
        <v>1859.88</v>
      </c>
      <c r="P2638" s="49" t="s">
        <v>4341</v>
      </c>
      <c r="Q2638" s="81">
        <v>334.78</v>
      </c>
      <c r="R2638" s="80" t="s">
        <v>4341</v>
      </c>
      <c r="S2638" s="48" t="s">
        <v>4341</v>
      </c>
      <c r="T2638" s="72">
        <v>2194.66</v>
      </c>
      <c r="U2638" s="70"/>
      <c r="V2638" s="32"/>
      <c r="W2638" s="70"/>
      <c r="X2638" s="70"/>
      <c r="Y2638" s="70"/>
      <c r="Z2638" s="70"/>
      <c r="AA2638" s="71"/>
      <c r="AB2638" s="117" t="str">
        <f>IFERROR(VLOOKUP(Anexo_4[[#This Row],[cuenta]],OP,2,0),"-")</f>
        <v>-</v>
      </c>
    </row>
    <row r="2639" spans="1:28" ht="27" customHeight="1" x14ac:dyDescent="0.3">
      <c r="A2639" s="34" t="s">
        <v>7411</v>
      </c>
      <c r="B2639" s="36" t="str">
        <f t="shared" si="72"/>
        <v>Octubre</v>
      </c>
      <c r="C2639" s="33" t="s">
        <v>162</v>
      </c>
      <c r="D2639" s="33" t="s">
        <v>8665</v>
      </c>
      <c r="E2639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639" s="32" t="s">
        <v>175</v>
      </c>
      <c r="G2639" s="32" t="s">
        <v>5168</v>
      </c>
      <c r="H2639" s="139" t="s">
        <v>8666</v>
      </c>
      <c r="I2639" s="33" t="s">
        <v>604</v>
      </c>
      <c r="J2639" s="143" t="s">
        <v>8667</v>
      </c>
      <c r="K2639" s="33" t="s">
        <v>169</v>
      </c>
      <c r="L2639" s="102" t="str">
        <f>VLOOKUP(Anexo_4[[#This Row],[cod_doc]],TIPODOC,2,FALSE)</f>
        <v>FACTURA</v>
      </c>
      <c r="M2639" s="33" t="s">
        <v>606</v>
      </c>
      <c r="N2639" s="32" t="s">
        <v>8668</v>
      </c>
      <c r="O2639" s="48">
        <v>1190.8699999999999</v>
      </c>
      <c r="P2639" s="49" t="s">
        <v>4341</v>
      </c>
      <c r="Q2639" s="81">
        <v>214.36</v>
      </c>
      <c r="R2639" s="80" t="s">
        <v>4341</v>
      </c>
      <c r="S2639" s="48" t="s">
        <v>4341</v>
      </c>
      <c r="T2639" s="72">
        <v>1405.23</v>
      </c>
      <c r="U2639" s="70"/>
      <c r="V2639" s="32"/>
      <c r="W2639" s="70"/>
      <c r="X2639" s="70"/>
      <c r="Y2639" s="70"/>
      <c r="Z2639" s="70"/>
      <c r="AA2639" s="71"/>
      <c r="AB2639" s="117" t="str">
        <f>IFERROR(VLOOKUP(Anexo_4[[#This Row],[cuenta]],OP,2,0),"-")</f>
        <v>-</v>
      </c>
    </row>
    <row r="2640" spans="1:28" ht="27" customHeight="1" x14ac:dyDescent="0.3">
      <c r="A2640" s="34" t="s">
        <v>6887</v>
      </c>
      <c r="B2640" s="36" t="str">
        <f t="shared" si="72"/>
        <v>Octubre</v>
      </c>
      <c r="C2640" s="33" t="s">
        <v>162</v>
      </c>
      <c r="D2640" s="33" t="s">
        <v>8669</v>
      </c>
      <c r="E2640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640" s="32" t="s">
        <v>217</v>
      </c>
      <c r="G2640" s="32" t="s">
        <v>4839</v>
      </c>
      <c r="H2640" s="139" t="s">
        <v>8670</v>
      </c>
      <c r="I2640" s="33" t="s">
        <v>4255</v>
      </c>
      <c r="J2640" s="143" t="s">
        <v>8671</v>
      </c>
      <c r="K2640" s="33" t="s">
        <v>169</v>
      </c>
      <c r="L2640" s="102" t="str">
        <f>VLOOKUP(Anexo_4[[#This Row],[cod_doc]],TIPODOC,2,FALSE)</f>
        <v>FACTURA</v>
      </c>
      <c r="M2640" s="33" t="s">
        <v>222</v>
      </c>
      <c r="N2640" s="32" t="s">
        <v>8672</v>
      </c>
      <c r="O2640" s="48">
        <v>762.71</v>
      </c>
      <c r="P2640" s="49" t="s">
        <v>4341</v>
      </c>
      <c r="Q2640" s="81">
        <v>137.29</v>
      </c>
      <c r="R2640" s="80" t="s">
        <v>4341</v>
      </c>
      <c r="S2640" s="48" t="s">
        <v>4341</v>
      </c>
      <c r="T2640" s="72">
        <v>900</v>
      </c>
      <c r="U2640" s="70"/>
      <c r="V2640" s="32"/>
      <c r="W2640" s="70"/>
      <c r="X2640" s="70"/>
      <c r="Y2640" s="70"/>
      <c r="Z2640" s="70"/>
      <c r="AA2640" s="71"/>
      <c r="AB2640" s="117" t="str">
        <f>IFERROR(VLOOKUP(Anexo_4[[#This Row],[cuenta]],OP,2,0),"-")</f>
        <v>-</v>
      </c>
    </row>
    <row r="2641" spans="1:28" ht="27" customHeight="1" x14ac:dyDescent="0.3">
      <c r="A2641" s="34" t="s">
        <v>4661</v>
      </c>
      <c r="B2641" s="36" t="str">
        <f t="shared" ref="B2641:B2648" si="73">PROPER(CHOOSE(LEFT(D2641,2),"enero","febrero","marzo","abril","mayo","junio","julio","agosto","setiembre","octubre","noviembre","diciembre"))</f>
        <v>Octubre</v>
      </c>
      <c r="C2641" s="33" t="s">
        <v>162</v>
      </c>
      <c r="D2641" s="33" t="s">
        <v>8673</v>
      </c>
      <c r="E2641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641" s="32"/>
      <c r="G2641" s="32"/>
      <c r="H2641" s="139" t="s">
        <v>8674</v>
      </c>
      <c r="I2641" s="33" t="s">
        <v>3500</v>
      </c>
      <c r="J2641" s="143" t="s">
        <v>8675</v>
      </c>
      <c r="K2641" s="33" t="s">
        <v>169</v>
      </c>
      <c r="L2641" s="102" t="str">
        <f>VLOOKUP(Anexo_4[[#This Row],[cod_doc]],TIPODOC,2,FALSE)</f>
        <v>FACTURA</v>
      </c>
      <c r="M2641" s="33" t="s">
        <v>102</v>
      </c>
      <c r="N2641" s="32" t="s">
        <v>8676</v>
      </c>
      <c r="O2641" s="48">
        <v>50.85</v>
      </c>
      <c r="P2641" s="49" t="s">
        <v>4341</v>
      </c>
      <c r="Q2641" s="81">
        <v>9.15</v>
      </c>
      <c r="R2641" s="80" t="s">
        <v>4341</v>
      </c>
      <c r="S2641" s="48" t="s">
        <v>4341</v>
      </c>
      <c r="T2641" s="72">
        <v>60</v>
      </c>
      <c r="U2641" s="70"/>
      <c r="V2641" s="32"/>
      <c r="W2641" s="70"/>
      <c r="X2641" s="70"/>
      <c r="Y2641" s="70"/>
      <c r="Z2641" s="70"/>
      <c r="AA2641" s="71"/>
      <c r="AB2641" s="117" t="str">
        <f>IFERROR(VLOOKUP(Anexo_4[[#This Row],[cuenta]],OP,2,0),"-")</f>
        <v>-</v>
      </c>
    </row>
    <row r="2642" spans="1:28" ht="27" customHeight="1" x14ac:dyDescent="0.3">
      <c r="A2642" s="34" t="s">
        <v>5910</v>
      </c>
      <c r="B2642" s="36" t="str">
        <f t="shared" si="73"/>
        <v>Octubre</v>
      </c>
      <c r="C2642" s="33" t="s">
        <v>162</v>
      </c>
      <c r="D2642" s="33" t="s">
        <v>8677</v>
      </c>
      <c r="E2642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642" s="32"/>
      <c r="G2642" s="32"/>
      <c r="H2642" s="139" t="s">
        <v>8678</v>
      </c>
      <c r="I2642" s="33" t="s">
        <v>3500</v>
      </c>
      <c r="J2642" s="143" t="s">
        <v>8675</v>
      </c>
      <c r="K2642" s="33" t="s">
        <v>169</v>
      </c>
      <c r="L2642" s="102" t="str">
        <f>VLOOKUP(Anexo_4[[#This Row],[cod_doc]],TIPODOC,2,FALSE)</f>
        <v>FACTURA</v>
      </c>
      <c r="M2642" s="33" t="s">
        <v>102</v>
      </c>
      <c r="N2642" s="32" t="s">
        <v>8679</v>
      </c>
      <c r="O2642" s="48">
        <v>101.7</v>
      </c>
      <c r="P2642" s="49" t="s">
        <v>4341</v>
      </c>
      <c r="Q2642" s="81">
        <v>18.3</v>
      </c>
      <c r="R2642" s="80" t="s">
        <v>4341</v>
      </c>
      <c r="S2642" s="48" t="s">
        <v>4341</v>
      </c>
      <c r="T2642" s="72">
        <v>120</v>
      </c>
      <c r="U2642" s="70"/>
      <c r="V2642" s="32"/>
      <c r="W2642" s="70"/>
      <c r="X2642" s="70"/>
      <c r="Y2642" s="70"/>
      <c r="Z2642" s="70"/>
      <c r="AA2642" s="71"/>
      <c r="AB2642" s="117" t="str">
        <f>IFERROR(VLOOKUP(Anexo_4[[#This Row],[cuenta]],OP,2,0),"-")</f>
        <v>-</v>
      </c>
    </row>
    <row r="2643" spans="1:28" ht="27" customHeight="1" x14ac:dyDescent="0.3">
      <c r="A2643" s="34" t="s">
        <v>7134</v>
      </c>
      <c r="B2643" s="36" t="str">
        <f t="shared" si="73"/>
        <v>Octubre</v>
      </c>
      <c r="C2643" s="33" t="s">
        <v>162</v>
      </c>
      <c r="D2643" s="33" t="s">
        <v>8680</v>
      </c>
      <c r="E2643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643" s="32" t="s">
        <v>175</v>
      </c>
      <c r="G2643" s="32" t="s">
        <v>5168</v>
      </c>
      <c r="H2643" s="139" t="s">
        <v>8681</v>
      </c>
      <c r="I2643" s="33" t="s">
        <v>227</v>
      </c>
      <c r="J2643" s="143" t="s">
        <v>6304</v>
      </c>
      <c r="K2643" s="33" t="s">
        <v>169</v>
      </c>
      <c r="L2643" s="102" t="str">
        <f>VLOOKUP(Anexo_4[[#This Row],[cod_doc]],TIPODOC,2,FALSE)</f>
        <v>FACTURA</v>
      </c>
      <c r="M2643" s="33" t="s">
        <v>222</v>
      </c>
      <c r="N2643" s="32" t="s">
        <v>8682</v>
      </c>
      <c r="O2643" s="48">
        <v>84.75</v>
      </c>
      <c r="P2643" s="49" t="s">
        <v>4341</v>
      </c>
      <c r="Q2643" s="81">
        <v>15.25</v>
      </c>
      <c r="R2643" s="80" t="s">
        <v>4341</v>
      </c>
      <c r="S2643" s="48" t="s">
        <v>4341</v>
      </c>
      <c r="T2643" s="72">
        <v>100</v>
      </c>
      <c r="U2643" s="70"/>
      <c r="V2643" s="32"/>
      <c r="W2643" s="70"/>
      <c r="X2643" s="70"/>
      <c r="Y2643" s="70"/>
      <c r="Z2643" s="70"/>
      <c r="AA2643" s="71"/>
      <c r="AB2643" s="117" t="str">
        <f>IFERROR(VLOOKUP(Anexo_4[[#This Row],[cuenta]],OP,2,0),"-")</f>
        <v>-</v>
      </c>
    </row>
    <row r="2644" spans="1:28" ht="27" customHeight="1" x14ac:dyDescent="0.3">
      <c r="A2644" s="34" t="s">
        <v>7710</v>
      </c>
      <c r="B2644" s="36" t="str">
        <f t="shared" si="73"/>
        <v>Octubre</v>
      </c>
      <c r="C2644" s="33" t="s">
        <v>162</v>
      </c>
      <c r="D2644" s="33" t="s">
        <v>8683</v>
      </c>
      <c r="E2644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644" s="32"/>
      <c r="G2644" s="32"/>
      <c r="H2644" s="139" t="s">
        <v>8684</v>
      </c>
      <c r="I2644" s="33" t="s">
        <v>258</v>
      </c>
      <c r="J2644" s="143" t="s">
        <v>4812</v>
      </c>
      <c r="K2644" s="33" t="s">
        <v>169</v>
      </c>
      <c r="L2644" s="102" t="str">
        <f>VLOOKUP(Anexo_4[[#This Row],[cod_doc]],TIPODOC,2,FALSE)</f>
        <v>FACTURA</v>
      </c>
      <c r="M2644" s="33" t="s">
        <v>1050</v>
      </c>
      <c r="N2644" s="32" t="s">
        <v>8685</v>
      </c>
      <c r="O2644" s="48">
        <v>134.74</v>
      </c>
      <c r="P2644" s="49" t="s">
        <v>4341</v>
      </c>
      <c r="Q2644" s="81">
        <v>24.26</v>
      </c>
      <c r="R2644" s="80" t="s">
        <v>4341</v>
      </c>
      <c r="S2644" s="48" t="s">
        <v>4341</v>
      </c>
      <c r="T2644" s="72">
        <v>159</v>
      </c>
      <c r="U2644" s="70"/>
      <c r="V2644" s="32"/>
      <c r="W2644" s="70"/>
      <c r="X2644" s="70"/>
      <c r="Y2644" s="70"/>
      <c r="Z2644" s="70"/>
      <c r="AA2644" s="71"/>
      <c r="AB2644" s="117" t="str">
        <f>IFERROR(VLOOKUP(Anexo_4[[#This Row],[cuenta]],OP,2,0),"-")</f>
        <v>-</v>
      </c>
    </row>
    <row r="2645" spans="1:28" ht="27" customHeight="1" x14ac:dyDescent="0.3">
      <c r="A2645" s="34" t="s">
        <v>8505</v>
      </c>
      <c r="B2645" s="36" t="str">
        <f t="shared" si="73"/>
        <v>Octubre</v>
      </c>
      <c r="C2645" s="33" t="s">
        <v>162</v>
      </c>
      <c r="D2645" s="33" t="s">
        <v>8686</v>
      </c>
      <c r="E2645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645" s="32" t="s">
        <v>355</v>
      </c>
      <c r="G2645" s="32" t="s">
        <v>356</v>
      </c>
      <c r="H2645" s="139" t="s">
        <v>8687</v>
      </c>
      <c r="I2645" s="33" t="s">
        <v>8688</v>
      </c>
      <c r="J2645" s="143" t="s">
        <v>8689</v>
      </c>
      <c r="K2645" s="33" t="s">
        <v>169</v>
      </c>
      <c r="L2645" s="102" t="str">
        <f>VLOOKUP(Anexo_4[[#This Row],[cod_doc]],TIPODOC,2,FALSE)</f>
        <v>FACTURA</v>
      </c>
      <c r="M2645" s="33" t="s">
        <v>222</v>
      </c>
      <c r="N2645" s="32" t="s">
        <v>8690</v>
      </c>
      <c r="O2645" s="48">
        <v>118.64</v>
      </c>
      <c r="P2645" s="49" t="s">
        <v>4341</v>
      </c>
      <c r="Q2645" s="81">
        <v>21.36</v>
      </c>
      <c r="R2645" s="80" t="s">
        <v>4341</v>
      </c>
      <c r="S2645" s="48" t="s">
        <v>4341</v>
      </c>
      <c r="T2645" s="72">
        <v>140</v>
      </c>
      <c r="U2645" s="70"/>
      <c r="V2645" s="32"/>
      <c r="W2645" s="70"/>
      <c r="X2645" s="70"/>
      <c r="Y2645" s="70"/>
      <c r="Z2645" s="70"/>
      <c r="AA2645" s="71"/>
      <c r="AB2645" s="117" t="str">
        <f>IFERROR(VLOOKUP(Anexo_4[[#This Row],[cuenta]],OP,2,0),"-")</f>
        <v>-</v>
      </c>
    </row>
    <row r="2646" spans="1:28" ht="27" customHeight="1" x14ac:dyDescent="0.3">
      <c r="A2646" s="34" t="s">
        <v>8505</v>
      </c>
      <c r="B2646" s="36" t="str">
        <f t="shared" si="73"/>
        <v>Octubre</v>
      </c>
      <c r="C2646" s="33" t="s">
        <v>162</v>
      </c>
      <c r="D2646" s="33" t="s">
        <v>8691</v>
      </c>
      <c r="E2646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646" s="32" t="s">
        <v>650</v>
      </c>
      <c r="G2646" s="32" t="s">
        <v>651</v>
      </c>
      <c r="H2646" s="139" t="s">
        <v>8692</v>
      </c>
      <c r="I2646" s="33" t="s">
        <v>653</v>
      </c>
      <c r="J2646" s="143" t="s">
        <v>4678</v>
      </c>
      <c r="K2646" s="33" t="s">
        <v>169</v>
      </c>
      <c r="L2646" s="102" t="str">
        <f>VLOOKUP(Anexo_4[[#This Row],[cod_doc]],TIPODOC,2,FALSE)</f>
        <v>FACTURA</v>
      </c>
      <c r="M2646" s="33" t="s">
        <v>655</v>
      </c>
      <c r="N2646" s="32" t="s">
        <v>8693</v>
      </c>
      <c r="O2646" s="48">
        <v>219</v>
      </c>
      <c r="P2646" s="49" t="s">
        <v>4341</v>
      </c>
      <c r="Q2646" s="81">
        <v>39.42</v>
      </c>
      <c r="R2646" s="80" t="s">
        <v>4341</v>
      </c>
      <c r="S2646" s="48" t="s">
        <v>4341</v>
      </c>
      <c r="T2646" s="72">
        <v>258.42</v>
      </c>
      <c r="U2646" s="70"/>
      <c r="V2646" s="32"/>
      <c r="W2646" s="70"/>
      <c r="X2646" s="70"/>
      <c r="Y2646" s="70"/>
      <c r="Z2646" s="70"/>
      <c r="AA2646" s="71"/>
      <c r="AB2646" s="117" t="str">
        <f>IFERROR(VLOOKUP(Anexo_4[[#This Row],[cuenta]],OP,2,0),"-")</f>
        <v>-</v>
      </c>
    </row>
    <row r="2647" spans="1:28" ht="27" customHeight="1" x14ac:dyDescent="0.3">
      <c r="A2647" s="34" t="s">
        <v>7710</v>
      </c>
      <c r="B2647" s="36" t="str">
        <f t="shared" si="73"/>
        <v>Octubre</v>
      </c>
      <c r="C2647" s="33" t="s">
        <v>162</v>
      </c>
      <c r="D2647" s="33" t="s">
        <v>8694</v>
      </c>
      <c r="E2647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647" s="32" t="s">
        <v>355</v>
      </c>
      <c r="G2647" s="32" t="s">
        <v>356</v>
      </c>
      <c r="H2647" s="139" t="s">
        <v>8695</v>
      </c>
      <c r="I2647" s="33" t="s">
        <v>1225</v>
      </c>
      <c r="J2647" s="143" t="s">
        <v>6471</v>
      </c>
      <c r="K2647" s="33" t="s">
        <v>169</v>
      </c>
      <c r="L2647" s="102" t="str">
        <f>VLOOKUP(Anexo_4[[#This Row],[cod_doc]],TIPODOC,2,FALSE)</f>
        <v>FACTURA</v>
      </c>
      <c r="M2647" s="33" t="s">
        <v>222</v>
      </c>
      <c r="N2647" s="32" t="s">
        <v>8696</v>
      </c>
      <c r="O2647" s="48">
        <v>474.38</v>
      </c>
      <c r="P2647" s="49" t="s">
        <v>4341</v>
      </c>
      <c r="Q2647" s="81">
        <v>85.39</v>
      </c>
      <c r="R2647" s="80" t="s">
        <v>4341</v>
      </c>
      <c r="S2647" s="48" t="s">
        <v>4341</v>
      </c>
      <c r="T2647" s="72">
        <v>559.77</v>
      </c>
      <c r="U2647" s="70"/>
      <c r="V2647" s="32"/>
      <c r="W2647" s="70"/>
      <c r="X2647" s="70"/>
      <c r="Y2647" s="70"/>
      <c r="Z2647" s="70"/>
      <c r="AA2647" s="71"/>
      <c r="AB2647" s="117" t="str">
        <f>IFERROR(VLOOKUP(Anexo_4[[#This Row],[cuenta]],OP,2,0),"-")</f>
        <v>-</v>
      </c>
    </row>
    <row r="2648" spans="1:28" ht="27" customHeight="1" x14ac:dyDescent="0.3">
      <c r="A2648" s="34" t="s">
        <v>7710</v>
      </c>
      <c r="B2648" s="36" t="str">
        <f t="shared" si="73"/>
        <v>Octubre</v>
      </c>
      <c r="C2648" s="33" t="s">
        <v>162</v>
      </c>
      <c r="D2648" s="33" t="s">
        <v>8697</v>
      </c>
      <c r="E2648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648" s="32" t="s">
        <v>355</v>
      </c>
      <c r="G2648" s="32" t="s">
        <v>356</v>
      </c>
      <c r="H2648" s="139" t="s">
        <v>8698</v>
      </c>
      <c r="I2648" s="33" t="s">
        <v>1225</v>
      </c>
      <c r="J2648" s="143" t="s">
        <v>6471</v>
      </c>
      <c r="K2648" s="33" t="s">
        <v>169</v>
      </c>
      <c r="L2648" s="102" t="str">
        <f>VLOOKUP(Anexo_4[[#This Row],[cod_doc]],TIPODOC,2,FALSE)</f>
        <v>FACTURA</v>
      </c>
      <c r="M2648" s="33" t="s">
        <v>222</v>
      </c>
      <c r="N2648" s="32" t="s">
        <v>8699</v>
      </c>
      <c r="O2648" s="48">
        <v>11642.4</v>
      </c>
      <c r="P2648" s="49" t="s">
        <v>4341</v>
      </c>
      <c r="Q2648" s="81">
        <v>2095.63</v>
      </c>
      <c r="R2648" s="80" t="s">
        <v>4341</v>
      </c>
      <c r="S2648" s="48" t="s">
        <v>4341</v>
      </c>
      <c r="T2648" s="72">
        <v>13738.03</v>
      </c>
      <c r="U2648" s="70"/>
      <c r="V2648" s="32"/>
      <c r="W2648" s="70"/>
      <c r="X2648" s="70"/>
      <c r="Y2648" s="70"/>
      <c r="Z2648" s="70"/>
      <c r="AA2648" s="71"/>
      <c r="AB2648" s="117" t="str">
        <f>IFERROR(VLOOKUP(Anexo_4[[#This Row],[cuenta]],OP,2,0),"-")</f>
        <v>-</v>
      </c>
    </row>
    <row r="2649" spans="1:28" ht="27" customHeight="1" x14ac:dyDescent="0.3">
      <c r="A2649" s="34" t="s">
        <v>7710</v>
      </c>
      <c r="B2649" s="36" t="str">
        <f t="shared" ref="B2649:B2660" si="74">PROPER(CHOOSE(LEFT(D2649,2),"enero","febrero","marzo","abril","mayo","junio","julio","agosto","setiembre","octubre","noviembre","diciembre"))</f>
        <v>Octubre</v>
      </c>
      <c r="C2649" s="33" t="s">
        <v>162</v>
      </c>
      <c r="D2649" s="33" t="s">
        <v>8700</v>
      </c>
      <c r="E2649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649" s="32" t="s">
        <v>592</v>
      </c>
      <c r="G2649" s="32" t="s">
        <v>593</v>
      </c>
      <c r="H2649" s="139" t="s">
        <v>2624</v>
      </c>
      <c r="I2649" s="33" t="s">
        <v>937</v>
      </c>
      <c r="J2649" s="143" t="s">
        <v>4671</v>
      </c>
      <c r="K2649" s="33" t="s">
        <v>169</v>
      </c>
      <c r="L2649" s="102" t="str">
        <f>VLOOKUP(Anexo_4[[#This Row],[cod_doc]],TIPODOC,2,FALSE)</f>
        <v>FACTURA</v>
      </c>
      <c r="M2649" s="33" t="s">
        <v>939</v>
      </c>
      <c r="N2649" s="32" t="s">
        <v>8701</v>
      </c>
      <c r="O2649" s="48">
        <v>182.22</v>
      </c>
      <c r="P2649" s="49" t="s">
        <v>4341</v>
      </c>
      <c r="Q2649" s="81">
        <v>32.799999999999997</v>
      </c>
      <c r="R2649" s="80" t="s">
        <v>4341</v>
      </c>
      <c r="S2649" s="48" t="s">
        <v>4341</v>
      </c>
      <c r="T2649" s="72">
        <v>215.02</v>
      </c>
      <c r="U2649" s="70"/>
      <c r="V2649" s="32"/>
      <c r="W2649" s="70"/>
      <c r="X2649" s="70"/>
      <c r="Y2649" s="70"/>
      <c r="Z2649" s="70"/>
      <c r="AA2649" s="71"/>
      <c r="AB2649" s="117" t="str">
        <f>IFERROR(VLOOKUP(Anexo_4[[#This Row],[cuenta]],OP,2,0),"-")</f>
        <v>-</v>
      </c>
    </row>
    <row r="2650" spans="1:28" ht="27" customHeight="1" x14ac:dyDescent="0.3">
      <c r="A2650" s="34" t="s">
        <v>7710</v>
      </c>
      <c r="B2650" s="36" t="str">
        <f t="shared" si="74"/>
        <v>Octubre</v>
      </c>
      <c r="C2650" s="33" t="s">
        <v>162</v>
      </c>
      <c r="D2650" s="33" t="s">
        <v>8702</v>
      </c>
      <c r="E2650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650" s="32" t="s">
        <v>592</v>
      </c>
      <c r="G2650" s="32" t="s">
        <v>593</v>
      </c>
      <c r="H2650" s="139" t="s">
        <v>4670</v>
      </c>
      <c r="I2650" s="33" t="s">
        <v>937</v>
      </c>
      <c r="J2650" s="143" t="s">
        <v>4671</v>
      </c>
      <c r="K2650" s="33" t="s">
        <v>169</v>
      </c>
      <c r="L2650" s="102" t="str">
        <f>VLOOKUP(Anexo_4[[#This Row],[cod_doc]],TIPODOC,2,FALSE)</f>
        <v>FACTURA</v>
      </c>
      <c r="M2650" s="33" t="s">
        <v>942</v>
      </c>
      <c r="N2650" s="32" t="s">
        <v>8703</v>
      </c>
      <c r="O2650" s="48">
        <v>207.11</v>
      </c>
      <c r="P2650" s="49" t="s">
        <v>4341</v>
      </c>
      <c r="Q2650" s="81">
        <v>37.28</v>
      </c>
      <c r="R2650" s="80" t="s">
        <v>4341</v>
      </c>
      <c r="S2650" s="48" t="s">
        <v>4341</v>
      </c>
      <c r="T2650" s="72">
        <v>244.39</v>
      </c>
      <c r="U2650" s="70"/>
      <c r="V2650" s="32"/>
      <c r="W2650" s="70"/>
      <c r="X2650" s="70"/>
      <c r="Y2650" s="70"/>
      <c r="Z2650" s="70"/>
      <c r="AA2650" s="71"/>
      <c r="AB2650" s="117" t="str">
        <f>IFERROR(VLOOKUP(Anexo_4[[#This Row],[cuenta]],OP,2,0),"-")</f>
        <v>-</v>
      </c>
    </row>
    <row r="2651" spans="1:28" ht="27" customHeight="1" x14ac:dyDescent="0.3">
      <c r="A2651" s="34" t="s">
        <v>8254</v>
      </c>
      <c r="B2651" s="36" t="str">
        <f t="shared" si="74"/>
        <v>Octubre</v>
      </c>
      <c r="C2651" s="33" t="s">
        <v>162</v>
      </c>
      <c r="D2651" s="33" t="s">
        <v>8704</v>
      </c>
      <c r="E2651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651" s="32" t="s">
        <v>217</v>
      </c>
      <c r="G2651" s="32" t="s">
        <v>4839</v>
      </c>
      <c r="H2651" s="139" t="s">
        <v>765</v>
      </c>
      <c r="I2651" s="33" t="s">
        <v>452</v>
      </c>
      <c r="J2651" s="143" t="s">
        <v>4854</v>
      </c>
      <c r="K2651" s="33" t="s">
        <v>169</v>
      </c>
      <c r="L2651" s="102" t="str">
        <f>VLOOKUP(Anexo_4[[#This Row],[cod_doc]],TIPODOC,2,FALSE)</f>
        <v>FACTURA</v>
      </c>
      <c r="M2651" s="33" t="s">
        <v>1056</v>
      </c>
      <c r="N2651" s="32" t="s">
        <v>8705</v>
      </c>
      <c r="O2651" s="48">
        <v>733.78</v>
      </c>
      <c r="P2651" s="49" t="s">
        <v>4341</v>
      </c>
      <c r="Q2651" s="81">
        <v>132.08000000000001</v>
      </c>
      <c r="R2651" s="80" t="s">
        <v>4341</v>
      </c>
      <c r="S2651" s="48" t="s">
        <v>4341</v>
      </c>
      <c r="T2651" s="72">
        <v>865.86</v>
      </c>
      <c r="U2651" s="70"/>
      <c r="V2651" s="32"/>
      <c r="W2651" s="70"/>
      <c r="X2651" s="70"/>
      <c r="Y2651" s="70"/>
      <c r="Z2651" s="70"/>
      <c r="AA2651" s="71"/>
      <c r="AB2651" s="117" t="str">
        <f>IFERROR(VLOOKUP(Anexo_4[[#This Row],[cuenta]],OP,2,0),"-")</f>
        <v>-</v>
      </c>
    </row>
    <row r="2652" spans="1:28" ht="27" customHeight="1" x14ac:dyDescent="0.3">
      <c r="A2652" s="34" t="s">
        <v>8254</v>
      </c>
      <c r="B2652" s="36" t="str">
        <f t="shared" si="74"/>
        <v>Octubre</v>
      </c>
      <c r="C2652" s="33" t="s">
        <v>162</v>
      </c>
      <c r="D2652" s="33" t="s">
        <v>8706</v>
      </c>
      <c r="E2652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652" s="32" t="s">
        <v>449</v>
      </c>
      <c r="G2652" s="32" t="s">
        <v>4868</v>
      </c>
      <c r="H2652" s="139" t="s">
        <v>765</v>
      </c>
      <c r="I2652" s="33" t="s">
        <v>452</v>
      </c>
      <c r="J2652" s="143" t="s">
        <v>4854</v>
      </c>
      <c r="K2652" s="33" t="s">
        <v>169</v>
      </c>
      <c r="L2652" s="102" t="str">
        <f>VLOOKUP(Anexo_4[[#This Row],[cod_doc]],TIPODOC,2,FALSE)</f>
        <v>FACTURA</v>
      </c>
      <c r="M2652" s="33" t="s">
        <v>1056</v>
      </c>
      <c r="N2652" s="32" t="s">
        <v>8707</v>
      </c>
      <c r="O2652" s="48">
        <v>772.35</v>
      </c>
      <c r="P2652" s="49" t="s">
        <v>4341</v>
      </c>
      <c r="Q2652" s="81">
        <v>139.02000000000001</v>
      </c>
      <c r="R2652" s="80" t="s">
        <v>4341</v>
      </c>
      <c r="S2652" s="48" t="s">
        <v>4341</v>
      </c>
      <c r="T2652" s="72">
        <v>911.37</v>
      </c>
      <c r="U2652" s="70"/>
      <c r="V2652" s="32"/>
      <c r="W2652" s="70"/>
      <c r="X2652" s="70"/>
      <c r="Y2652" s="70"/>
      <c r="Z2652" s="70"/>
      <c r="AA2652" s="71"/>
      <c r="AB2652" s="117" t="str">
        <f>IFERROR(VLOOKUP(Anexo_4[[#This Row],[cuenta]],OP,2,0),"-")</f>
        <v>-</v>
      </c>
    </row>
    <row r="2653" spans="1:28" ht="27" customHeight="1" x14ac:dyDescent="0.3">
      <c r="A2653" s="34" t="s">
        <v>7741</v>
      </c>
      <c r="B2653" s="36" t="str">
        <f t="shared" si="74"/>
        <v>Octubre</v>
      </c>
      <c r="C2653" s="33" t="s">
        <v>162</v>
      </c>
      <c r="D2653" s="33" t="s">
        <v>8708</v>
      </c>
      <c r="E2653" s="37" t="str">
        <f>IF(LEFT(Anexo_4[[#This Row],[c_costos]],2)="91","OPERACIONES",IF(LEFT(Anexo_4[[#This Row],[c_costos]],2)="97","G. FINANCIEROS",IF(LEFT(Anexo_4[[#This Row],[c_costos]],2)="95","G. VENTAS","G. ADMINISTRACIÓN")))</f>
        <v>G. FINANCIEROS</v>
      </c>
      <c r="F2653" s="32" t="s">
        <v>474</v>
      </c>
      <c r="G2653" s="32" t="s">
        <v>475</v>
      </c>
      <c r="H2653" s="139" t="s">
        <v>3440</v>
      </c>
      <c r="I2653" s="33" t="s">
        <v>477</v>
      </c>
      <c r="J2653" s="143" t="s">
        <v>4623</v>
      </c>
      <c r="K2653" s="33" t="s">
        <v>169</v>
      </c>
      <c r="L2653" s="102" t="str">
        <f>VLOOKUP(Anexo_4[[#This Row],[cod_doc]],TIPODOC,2,FALSE)</f>
        <v>FACTURA</v>
      </c>
      <c r="M2653" s="33" t="s">
        <v>479</v>
      </c>
      <c r="N2653" s="32" t="s">
        <v>8709</v>
      </c>
      <c r="O2653" s="48" t="s">
        <v>4341</v>
      </c>
      <c r="P2653" s="49" t="s">
        <v>4341</v>
      </c>
      <c r="Q2653" s="81" t="s">
        <v>4341</v>
      </c>
      <c r="R2653" s="80" t="s">
        <v>4341</v>
      </c>
      <c r="S2653" s="48">
        <v>10</v>
      </c>
      <c r="T2653" s="72">
        <v>10</v>
      </c>
      <c r="U2653" s="70"/>
      <c r="V2653" s="32"/>
      <c r="W2653" s="70"/>
      <c r="X2653" s="70"/>
      <c r="Y2653" s="70"/>
      <c r="Z2653" s="70"/>
      <c r="AA2653" s="71"/>
      <c r="AB2653" s="117" t="str">
        <f>IFERROR(VLOOKUP(Anexo_4[[#This Row],[cuenta]],OP,2,0),"-")</f>
        <v>-</v>
      </c>
    </row>
    <row r="2654" spans="1:28" ht="27" customHeight="1" x14ac:dyDescent="0.3">
      <c r="A2654" s="34" t="s">
        <v>7741</v>
      </c>
      <c r="B2654" s="36" t="str">
        <f t="shared" si="74"/>
        <v>Octubre</v>
      </c>
      <c r="C2654" s="33" t="s">
        <v>162</v>
      </c>
      <c r="D2654" s="33" t="s">
        <v>8710</v>
      </c>
      <c r="E2654" s="37" t="str">
        <f>IF(LEFT(Anexo_4[[#This Row],[c_costos]],2)="91","OPERACIONES",IF(LEFT(Anexo_4[[#This Row],[c_costos]],2)="97","G. FINANCIEROS",IF(LEFT(Anexo_4[[#This Row],[c_costos]],2)="95","G. VENTAS","G. ADMINISTRACIÓN")))</f>
        <v>G. FINANCIEROS</v>
      </c>
      <c r="F2654" s="32" t="s">
        <v>474</v>
      </c>
      <c r="G2654" s="32" t="s">
        <v>475</v>
      </c>
      <c r="H2654" s="139" t="s">
        <v>3440</v>
      </c>
      <c r="I2654" s="33" t="s">
        <v>477</v>
      </c>
      <c r="J2654" s="143" t="s">
        <v>4623</v>
      </c>
      <c r="K2654" s="33" t="s">
        <v>169</v>
      </c>
      <c r="L2654" s="102" t="str">
        <f>VLOOKUP(Anexo_4[[#This Row],[cod_doc]],TIPODOC,2,FALSE)</f>
        <v>FACTURA</v>
      </c>
      <c r="M2654" s="33" t="s">
        <v>479</v>
      </c>
      <c r="N2654" s="32" t="s">
        <v>8711</v>
      </c>
      <c r="O2654" s="48" t="s">
        <v>4341</v>
      </c>
      <c r="P2654" s="49" t="s">
        <v>4341</v>
      </c>
      <c r="Q2654" s="81" t="s">
        <v>4341</v>
      </c>
      <c r="R2654" s="80" t="s">
        <v>4341</v>
      </c>
      <c r="S2654" s="48">
        <v>10</v>
      </c>
      <c r="T2654" s="72">
        <v>10</v>
      </c>
      <c r="U2654" s="70"/>
      <c r="V2654" s="32"/>
      <c r="W2654" s="70"/>
      <c r="X2654" s="70"/>
      <c r="Y2654" s="70"/>
      <c r="Z2654" s="70"/>
      <c r="AA2654" s="71"/>
      <c r="AB2654" s="117" t="str">
        <f>IFERROR(VLOOKUP(Anexo_4[[#This Row],[cuenta]],OP,2,0),"-")</f>
        <v>-</v>
      </c>
    </row>
    <row r="2655" spans="1:28" ht="27" customHeight="1" x14ac:dyDescent="0.3">
      <c r="A2655" s="34" t="s">
        <v>7459</v>
      </c>
      <c r="B2655" s="36" t="str">
        <f t="shared" si="74"/>
        <v>Octubre</v>
      </c>
      <c r="C2655" s="33" t="s">
        <v>162</v>
      </c>
      <c r="D2655" s="33" t="s">
        <v>8712</v>
      </c>
      <c r="E2655" s="37" t="str">
        <f>IF(LEFT(Anexo_4[[#This Row],[c_costos]],2)="91","OPERACIONES",IF(LEFT(Anexo_4[[#This Row],[c_costos]],2)="97","G. FINANCIEROS",IF(LEFT(Anexo_4[[#This Row],[c_costos]],2)="95","G. VENTAS","G. ADMINISTRACIÓN")))</f>
        <v>G. FINANCIEROS</v>
      </c>
      <c r="F2655" s="32" t="s">
        <v>474</v>
      </c>
      <c r="G2655" s="32" t="s">
        <v>475</v>
      </c>
      <c r="H2655" s="139" t="s">
        <v>3440</v>
      </c>
      <c r="I2655" s="33" t="s">
        <v>477</v>
      </c>
      <c r="J2655" s="143" t="s">
        <v>4623</v>
      </c>
      <c r="K2655" s="33" t="s">
        <v>169</v>
      </c>
      <c r="L2655" s="102" t="str">
        <f>VLOOKUP(Anexo_4[[#This Row],[cod_doc]],TIPODOC,2,FALSE)</f>
        <v>FACTURA</v>
      </c>
      <c r="M2655" s="33" t="s">
        <v>3477</v>
      </c>
      <c r="N2655" s="32" t="s">
        <v>8713</v>
      </c>
      <c r="O2655" s="48" t="s">
        <v>4341</v>
      </c>
      <c r="P2655" s="49" t="s">
        <v>4341</v>
      </c>
      <c r="Q2655" s="81" t="s">
        <v>4341</v>
      </c>
      <c r="R2655" s="80" t="s">
        <v>4341</v>
      </c>
      <c r="S2655" s="48">
        <v>40.5</v>
      </c>
      <c r="T2655" s="72">
        <v>40.5</v>
      </c>
      <c r="U2655" s="70"/>
      <c r="V2655" s="32"/>
      <c r="W2655" s="70"/>
      <c r="X2655" s="70"/>
      <c r="Y2655" s="70"/>
      <c r="Z2655" s="70"/>
      <c r="AA2655" s="71"/>
      <c r="AB2655" s="117" t="str">
        <f>IFERROR(VLOOKUP(Anexo_4[[#This Row],[cuenta]],OP,2,0),"-")</f>
        <v>-</v>
      </c>
    </row>
    <row r="2656" spans="1:28" ht="27" customHeight="1" x14ac:dyDescent="0.3">
      <c r="A2656" s="34" t="s">
        <v>7459</v>
      </c>
      <c r="B2656" s="36" t="str">
        <f t="shared" si="74"/>
        <v>Octubre</v>
      </c>
      <c r="C2656" s="33" t="s">
        <v>162</v>
      </c>
      <c r="D2656" s="33" t="s">
        <v>8714</v>
      </c>
      <c r="E2656" s="37" t="str">
        <f>IF(LEFT(Anexo_4[[#This Row],[c_costos]],2)="91","OPERACIONES",IF(LEFT(Anexo_4[[#This Row],[c_costos]],2)="97","G. FINANCIEROS",IF(LEFT(Anexo_4[[#This Row],[c_costos]],2)="95","G. VENTAS","G. ADMINISTRACIÓN")))</f>
        <v>G. FINANCIEROS</v>
      </c>
      <c r="F2656" s="32" t="s">
        <v>474</v>
      </c>
      <c r="G2656" s="32" t="s">
        <v>475</v>
      </c>
      <c r="H2656" s="139" t="s">
        <v>3440</v>
      </c>
      <c r="I2656" s="33" t="s">
        <v>477</v>
      </c>
      <c r="J2656" s="143" t="s">
        <v>4623</v>
      </c>
      <c r="K2656" s="33" t="s">
        <v>169</v>
      </c>
      <c r="L2656" s="102" t="str">
        <f>VLOOKUP(Anexo_4[[#This Row],[cod_doc]],TIPODOC,2,FALSE)</f>
        <v>FACTURA</v>
      </c>
      <c r="M2656" s="33" t="s">
        <v>3477</v>
      </c>
      <c r="N2656" s="32" t="s">
        <v>8715</v>
      </c>
      <c r="O2656" s="48" t="s">
        <v>4341</v>
      </c>
      <c r="P2656" s="49" t="s">
        <v>4341</v>
      </c>
      <c r="Q2656" s="81" t="s">
        <v>4341</v>
      </c>
      <c r="R2656" s="80" t="s">
        <v>4341</v>
      </c>
      <c r="S2656" s="48">
        <v>51.63</v>
      </c>
      <c r="T2656" s="72">
        <v>51.63</v>
      </c>
      <c r="U2656" s="70"/>
      <c r="V2656" s="32"/>
      <c r="W2656" s="70"/>
      <c r="X2656" s="70"/>
      <c r="Y2656" s="70"/>
      <c r="Z2656" s="70"/>
      <c r="AA2656" s="71"/>
      <c r="AB2656" s="117" t="str">
        <f>IFERROR(VLOOKUP(Anexo_4[[#This Row],[cuenta]],OP,2,0),"-")</f>
        <v>-</v>
      </c>
    </row>
    <row r="2657" spans="1:28" ht="27" customHeight="1" x14ac:dyDescent="0.3">
      <c r="A2657" s="34" t="s">
        <v>7276</v>
      </c>
      <c r="B2657" s="36" t="str">
        <f t="shared" si="74"/>
        <v>Octubre</v>
      </c>
      <c r="C2657" s="33" t="s">
        <v>162</v>
      </c>
      <c r="D2657" s="33" t="s">
        <v>8716</v>
      </c>
      <c r="E2657" s="37" t="str">
        <f>IF(LEFT(Anexo_4[[#This Row],[c_costos]],2)="91","OPERACIONES",IF(LEFT(Anexo_4[[#This Row],[c_costos]],2)="97","G. FINANCIEROS",IF(LEFT(Anexo_4[[#This Row],[c_costos]],2)="95","G. VENTAS","G. ADMINISTRACIÓN")))</f>
        <v>G. FINANCIEROS</v>
      </c>
      <c r="F2657" s="32" t="s">
        <v>474</v>
      </c>
      <c r="G2657" s="32" t="s">
        <v>475</v>
      </c>
      <c r="H2657" s="139" t="s">
        <v>3440</v>
      </c>
      <c r="I2657" s="33" t="s">
        <v>477</v>
      </c>
      <c r="J2657" s="143" t="s">
        <v>4623</v>
      </c>
      <c r="K2657" s="33" t="s">
        <v>169</v>
      </c>
      <c r="L2657" s="102" t="str">
        <f>VLOOKUP(Anexo_4[[#This Row],[cod_doc]],TIPODOC,2,FALSE)</f>
        <v>FACTURA</v>
      </c>
      <c r="M2657" s="33" t="s">
        <v>8717</v>
      </c>
      <c r="N2657" s="32" t="s">
        <v>8718</v>
      </c>
      <c r="O2657" s="48" t="s">
        <v>4341</v>
      </c>
      <c r="P2657" s="49" t="s">
        <v>4341</v>
      </c>
      <c r="Q2657" s="81" t="s">
        <v>4341</v>
      </c>
      <c r="R2657" s="80" t="s">
        <v>4341</v>
      </c>
      <c r="S2657" s="48">
        <v>18</v>
      </c>
      <c r="T2657" s="72">
        <v>18</v>
      </c>
      <c r="U2657" s="70"/>
      <c r="V2657" s="32"/>
      <c r="W2657" s="70"/>
      <c r="X2657" s="70"/>
      <c r="Y2657" s="70"/>
      <c r="Z2657" s="70"/>
      <c r="AA2657" s="71"/>
      <c r="AB2657" s="117" t="str">
        <f>IFERROR(VLOOKUP(Anexo_4[[#This Row],[cuenta]],OP,2,0),"-")</f>
        <v>-</v>
      </c>
    </row>
    <row r="2658" spans="1:28" ht="27" customHeight="1" x14ac:dyDescent="0.3">
      <c r="A2658" s="34" t="s">
        <v>7705</v>
      </c>
      <c r="B2658" s="36" t="str">
        <f t="shared" si="74"/>
        <v>Octubre</v>
      </c>
      <c r="C2658" s="33" t="s">
        <v>162</v>
      </c>
      <c r="D2658" s="33" t="s">
        <v>8719</v>
      </c>
      <c r="E2658" s="37" t="str">
        <f>IF(LEFT(Anexo_4[[#This Row],[c_costos]],2)="91","OPERACIONES",IF(LEFT(Anexo_4[[#This Row],[c_costos]],2)="97","G. FINANCIEROS",IF(LEFT(Anexo_4[[#This Row],[c_costos]],2)="95","G. VENTAS","G. ADMINISTRACIÓN")))</f>
        <v>G. FINANCIEROS</v>
      </c>
      <c r="F2658" s="32" t="s">
        <v>474</v>
      </c>
      <c r="G2658" s="32" t="s">
        <v>475</v>
      </c>
      <c r="H2658" s="139" t="s">
        <v>5382</v>
      </c>
      <c r="I2658" s="33" t="s">
        <v>477</v>
      </c>
      <c r="J2658" s="143" t="s">
        <v>4623</v>
      </c>
      <c r="K2658" s="33" t="s">
        <v>169</v>
      </c>
      <c r="L2658" s="102" t="str">
        <f>VLOOKUP(Anexo_4[[#This Row],[cod_doc]],TIPODOC,2,FALSE)</f>
        <v>FACTURA</v>
      </c>
      <c r="M2658" s="33" t="s">
        <v>479</v>
      </c>
      <c r="N2658" s="32" t="s">
        <v>8720</v>
      </c>
      <c r="O2658" s="48" t="s">
        <v>4341</v>
      </c>
      <c r="P2658" s="49" t="s">
        <v>4341</v>
      </c>
      <c r="Q2658" s="81" t="s">
        <v>4341</v>
      </c>
      <c r="R2658" s="80" t="s">
        <v>4341</v>
      </c>
      <c r="S2658" s="48">
        <v>10</v>
      </c>
      <c r="T2658" s="72">
        <v>10</v>
      </c>
      <c r="U2658" s="70"/>
      <c r="V2658" s="32"/>
      <c r="W2658" s="70"/>
      <c r="X2658" s="70"/>
      <c r="Y2658" s="70"/>
      <c r="Z2658" s="70"/>
      <c r="AA2658" s="71"/>
      <c r="AB2658" s="117" t="str">
        <f>IFERROR(VLOOKUP(Anexo_4[[#This Row],[cuenta]],OP,2,0),"-")</f>
        <v>-</v>
      </c>
    </row>
    <row r="2659" spans="1:28" ht="27" customHeight="1" x14ac:dyDescent="0.3">
      <c r="A2659" s="34" t="s">
        <v>7134</v>
      </c>
      <c r="B2659" s="36" t="str">
        <f t="shared" si="74"/>
        <v>Octubre</v>
      </c>
      <c r="C2659" s="33" t="s">
        <v>162</v>
      </c>
      <c r="D2659" s="33" t="s">
        <v>8721</v>
      </c>
      <c r="E2659" s="37" t="str">
        <f>IF(LEFT(Anexo_4[[#This Row],[c_costos]],2)="91","OPERACIONES",IF(LEFT(Anexo_4[[#This Row],[c_costos]],2)="97","G. FINANCIEROS",IF(LEFT(Anexo_4[[#This Row],[c_costos]],2)="95","G. VENTAS","G. ADMINISTRACIÓN")))</f>
        <v>G. FINANCIEROS</v>
      </c>
      <c r="F2659" s="32" t="s">
        <v>474</v>
      </c>
      <c r="G2659" s="32" t="s">
        <v>475</v>
      </c>
      <c r="H2659" s="139" t="s">
        <v>5387</v>
      </c>
      <c r="I2659" s="33" t="s">
        <v>477</v>
      </c>
      <c r="J2659" s="143" t="s">
        <v>4623</v>
      </c>
      <c r="K2659" s="33" t="s">
        <v>169</v>
      </c>
      <c r="L2659" s="102" t="str">
        <f>VLOOKUP(Anexo_4[[#This Row],[cod_doc]],TIPODOC,2,FALSE)</f>
        <v>FACTURA</v>
      </c>
      <c r="M2659" s="33" t="s">
        <v>479</v>
      </c>
      <c r="N2659" s="32" t="s">
        <v>8722</v>
      </c>
      <c r="O2659" s="48" t="s">
        <v>4341</v>
      </c>
      <c r="P2659" s="49" t="s">
        <v>4341</v>
      </c>
      <c r="Q2659" s="81" t="s">
        <v>4341</v>
      </c>
      <c r="R2659" s="80" t="s">
        <v>4341</v>
      </c>
      <c r="S2659" s="48">
        <v>17.5</v>
      </c>
      <c r="T2659" s="72">
        <v>17.5</v>
      </c>
      <c r="U2659" s="70"/>
      <c r="V2659" s="32"/>
      <c r="W2659" s="70"/>
      <c r="X2659" s="70"/>
      <c r="Y2659" s="70"/>
      <c r="Z2659" s="70"/>
      <c r="AA2659" s="71"/>
      <c r="AB2659" s="117" t="str">
        <f>IFERROR(VLOOKUP(Anexo_4[[#This Row],[cuenta]],OP,2,0),"-")</f>
        <v>-</v>
      </c>
    </row>
    <row r="2660" spans="1:28" ht="27" customHeight="1" x14ac:dyDescent="0.3">
      <c r="A2660" s="34" t="s">
        <v>7901</v>
      </c>
      <c r="B2660" s="36" t="str">
        <f t="shared" si="74"/>
        <v>Octubre</v>
      </c>
      <c r="C2660" s="33" t="s">
        <v>162</v>
      </c>
      <c r="D2660" s="33" t="s">
        <v>8723</v>
      </c>
      <c r="E2660" s="37" t="str">
        <f>IF(LEFT(Anexo_4[[#This Row],[c_costos]],2)="91","OPERACIONES",IF(LEFT(Anexo_4[[#This Row],[c_costos]],2)="97","G. FINANCIEROS",IF(LEFT(Anexo_4[[#This Row],[c_costos]],2)="95","G. VENTAS","G. ADMINISTRACIÓN")))</f>
        <v>G. FINANCIEROS</v>
      </c>
      <c r="F2660" s="32" t="s">
        <v>474</v>
      </c>
      <c r="G2660" s="32" t="s">
        <v>475</v>
      </c>
      <c r="H2660" s="139" t="s">
        <v>5387</v>
      </c>
      <c r="I2660" s="33" t="s">
        <v>477</v>
      </c>
      <c r="J2660" s="143" t="s">
        <v>4623</v>
      </c>
      <c r="K2660" s="33" t="s">
        <v>169</v>
      </c>
      <c r="L2660" s="102" t="str">
        <f>VLOOKUP(Anexo_4[[#This Row],[cod_doc]],TIPODOC,2,FALSE)</f>
        <v>FACTURA</v>
      </c>
      <c r="M2660" s="33" t="s">
        <v>479</v>
      </c>
      <c r="N2660" s="32" t="s">
        <v>8724</v>
      </c>
      <c r="O2660" s="48" t="s">
        <v>4341</v>
      </c>
      <c r="P2660" s="49" t="s">
        <v>4341</v>
      </c>
      <c r="Q2660" s="81" t="s">
        <v>4341</v>
      </c>
      <c r="R2660" s="80" t="s">
        <v>4341</v>
      </c>
      <c r="S2660" s="48">
        <v>17.5</v>
      </c>
      <c r="T2660" s="72">
        <v>17.5</v>
      </c>
      <c r="U2660" s="70"/>
      <c r="V2660" s="32"/>
      <c r="W2660" s="70"/>
      <c r="X2660" s="70"/>
      <c r="Y2660" s="70"/>
      <c r="Z2660" s="70"/>
      <c r="AA2660" s="71"/>
      <c r="AB2660" s="117" t="str">
        <f>IFERROR(VLOOKUP(Anexo_4[[#This Row],[cuenta]],OP,2,0),"-")</f>
        <v>-</v>
      </c>
    </row>
    <row r="2661" spans="1:28" ht="27" customHeight="1" x14ac:dyDescent="0.3">
      <c r="A2661" s="34" t="s">
        <v>8254</v>
      </c>
      <c r="B2661" s="36" t="str">
        <f t="shared" ref="B2661:B2679" si="75">PROPER(CHOOSE(LEFT(D2661,2),"enero","febrero","marzo","abril","mayo","junio","julio","agosto","setiembre","octubre","noviembre","diciembre"))</f>
        <v>Octubre</v>
      </c>
      <c r="C2661" s="33" t="s">
        <v>162</v>
      </c>
      <c r="D2661" s="33" t="s">
        <v>8725</v>
      </c>
      <c r="E2661" s="37" t="str">
        <f>IF(LEFT(Anexo_4[[#This Row],[c_costos]],2)="91","OPERACIONES",IF(LEFT(Anexo_4[[#This Row],[c_costos]],2)="97","G. FINANCIEROS",IF(LEFT(Anexo_4[[#This Row],[c_costos]],2)="95","G. VENTAS","G. ADMINISTRACIÓN")))</f>
        <v>G. FINANCIEROS</v>
      </c>
      <c r="F2661" s="32" t="s">
        <v>474</v>
      </c>
      <c r="G2661" s="32" t="s">
        <v>475</v>
      </c>
      <c r="H2661" s="139" t="s">
        <v>5387</v>
      </c>
      <c r="I2661" s="33" t="s">
        <v>477</v>
      </c>
      <c r="J2661" s="143" t="s">
        <v>4623</v>
      </c>
      <c r="K2661" s="33" t="s">
        <v>169</v>
      </c>
      <c r="L2661" s="102" t="str">
        <f>VLOOKUP(Anexo_4[[#This Row],[cod_doc]],TIPODOC,2,FALSE)</f>
        <v>FACTURA</v>
      </c>
      <c r="M2661" s="33" t="s">
        <v>479</v>
      </c>
      <c r="N2661" s="32" t="s">
        <v>8726</v>
      </c>
      <c r="O2661" s="48" t="s">
        <v>4341</v>
      </c>
      <c r="P2661" s="49" t="s">
        <v>4341</v>
      </c>
      <c r="Q2661" s="81" t="s">
        <v>4341</v>
      </c>
      <c r="R2661" s="80" t="s">
        <v>4341</v>
      </c>
      <c r="S2661" s="48">
        <v>2.5</v>
      </c>
      <c r="T2661" s="72">
        <v>2.5</v>
      </c>
      <c r="U2661" s="70"/>
      <c r="V2661" s="32"/>
      <c r="W2661" s="70"/>
      <c r="X2661" s="70"/>
      <c r="Y2661" s="70"/>
      <c r="Z2661" s="70"/>
      <c r="AA2661" s="71"/>
      <c r="AB2661" s="117" t="str">
        <f>IFERROR(VLOOKUP(Anexo_4[[#This Row],[cuenta]],OP,2,0),"-")</f>
        <v>-</v>
      </c>
    </row>
    <row r="2662" spans="1:28" ht="27" customHeight="1" x14ac:dyDescent="0.3">
      <c r="A2662" s="34" t="s">
        <v>7710</v>
      </c>
      <c r="B2662" s="36" t="str">
        <f t="shared" si="75"/>
        <v>Octubre</v>
      </c>
      <c r="C2662" s="33" t="s">
        <v>162</v>
      </c>
      <c r="D2662" s="33" t="s">
        <v>8727</v>
      </c>
      <c r="E2662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662" s="32" t="s">
        <v>391</v>
      </c>
      <c r="G2662" s="32" t="s">
        <v>5041</v>
      </c>
      <c r="H2662" s="139" t="s">
        <v>1276</v>
      </c>
      <c r="I2662" s="33" t="s">
        <v>264</v>
      </c>
      <c r="J2662" s="143" t="s">
        <v>4644</v>
      </c>
      <c r="K2662" s="33" t="s">
        <v>169</v>
      </c>
      <c r="L2662" s="102" t="str">
        <f>VLOOKUP(Anexo_4[[#This Row],[cod_doc]],TIPODOC,2,FALSE)</f>
        <v>FACTURA</v>
      </c>
      <c r="M2662" s="33" t="s">
        <v>519</v>
      </c>
      <c r="N2662" s="32" t="s">
        <v>8728</v>
      </c>
      <c r="O2662" s="48">
        <v>6.78</v>
      </c>
      <c r="P2662" s="49" t="s">
        <v>4341</v>
      </c>
      <c r="Q2662" s="81">
        <v>1.22</v>
      </c>
      <c r="R2662" s="80" t="s">
        <v>4341</v>
      </c>
      <c r="S2662" s="48" t="s">
        <v>4341</v>
      </c>
      <c r="T2662" s="72">
        <v>8</v>
      </c>
      <c r="U2662" s="70"/>
      <c r="V2662" s="32"/>
      <c r="W2662" s="70"/>
      <c r="X2662" s="70"/>
      <c r="Y2662" s="70"/>
      <c r="Z2662" s="70"/>
      <c r="AA2662" s="71"/>
      <c r="AB2662" s="117" t="str">
        <f>IFERROR(VLOOKUP(Anexo_4[[#This Row],[cuenta]],OP,2,0),"-")</f>
        <v>-</v>
      </c>
    </row>
    <row r="2663" spans="1:28" ht="27" customHeight="1" x14ac:dyDescent="0.3">
      <c r="A2663" s="34" t="s">
        <v>7710</v>
      </c>
      <c r="B2663" s="36" t="str">
        <f t="shared" si="75"/>
        <v>Octubre</v>
      </c>
      <c r="C2663" s="33" t="s">
        <v>162</v>
      </c>
      <c r="D2663" s="33" t="s">
        <v>8729</v>
      </c>
      <c r="E2663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663" s="32" t="s">
        <v>391</v>
      </c>
      <c r="G2663" s="32" t="s">
        <v>5041</v>
      </c>
      <c r="H2663" s="139" t="s">
        <v>1276</v>
      </c>
      <c r="I2663" s="33" t="s">
        <v>264</v>
      </c>
      <c r="J2663" s="143" t="s">
        <v>4644</v>
      </c>
      <c r="K2663" s="33" t="s">
        <v>169</v>
      </c>
      <c r="L2663" s="102" t="str">
        <f>VLOOKUP(Anexo_4[[#This Row],[cod_doc]],TIPODOC,2,FALSE)</f>
        <v>FACTURA</v>
      </c>
      <c r="M2663" s="33" t="s">
        <v>266</v>
      </c>
      <c r="N2663" s="32" t="s">
        <v>8730</v>
      </c>
      <c r="O2663" s="48">
        <v>6.78</v>
      </c>
      <c r="P2663" s="49" t="s">
        <v>4341</v>
      </c>
      <c r="Q2663" s="81">
        <v>1.22</v>
      </c>
      <c r="R2663" s="80" t="s">
        <v>4341</v>
      </c>
      <c r="S2663" s="48" t="s">
        <v>4341</v>
      </c>
      <c r="T2663" s="72">
        <v>8</v>
      </c>
      <c r="U2663" s="70"/>
      <c r="V2663" s="32"/>
      <c r="W2663" s="70"/>
      <c r="X2663" s="70"/>
      <c r="Y2663" s="70"/>
      <c r="Z2663" s="70"/>
      <c r="AA2663" s="71"/>
      <c r="AB2663" s="117" t="str">
        <f>IFERROR(VLOOKUP(Anexo_4[[#This Row],[cuenta]],OP,2,0),"-")</f>
        <v>-</v>
      </c>
    </row>
    <row r="2664" spans="1:28" ht="27" customHeight="1" x14ac:dyDescent="0.3">
      <c r="A2664" s="34" t="s">
        <v>8505</v>
      </c>
      <c r="B2664" s="36" t="str">
        <f t="shared" si="75"/>
        <v>Octubre</v>
      </c>
      <c r="C2664" s="33" t="s">
        <v>162</v>
      </c>
      <c r="D2664" s="33" t="s">
        <v>8731</v>
      </c>
      <c r="E2664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664" s="32" t="s">
        <v>235</v>
      </c>
      <c r="G2664" s="32" t="s">
        <v>5051</v>
      </c>
      <c r="H2664" s="139" t="s">
        <v>1276</v>
      </c>
      <c r="I2664" s="33" t="s">
        <v>264</v>
      </c>
      <c r="J2664" s="143" t="s">
        <v>4644</v>
      </c>
      <c r="K2664" s="33" t="s">
        <v>169</v>
      </c>
      <c r="L2664" s="102" t="str">
        <f>VLOOKUP(Anexo_4[[#This Row],[cod_doc]],TIPODOC,2,FALSE)</f>
        <v>FACTURA</v>
      </c>
      <c r="M2664" s="33" t="s">
        <v>266</v>
      </c>
      <c r="N2664" s="32" t="s">
        <v>8732</v>
      </c>
      <c r="O2664" s="48">
        <v>6.78</v>
      </c>
      <c r="P2664" s="49" t="s">
        <v>4341</v>
      </c>
      <c r="Q2664" s="81">
        <v>1.22</v>
      </c>
      <c r="R2664" s="80" t="s">
        <v>4341</v>
      </c>
      <c r="S2664" s="48" t="s">
        <v>4341</v>
      </c>
      <c r="T2664" s="72">
        <v>8</v>
      </c>
      <c r="U2664" s="70"/>
      <c r="V2664" s="32"/>
      <c r="W2664" s="70"/>
      <c r="X2664" s="70"/>
      <c r="Y2664" s="70"/>
      <c r="Z2664" s="70"/>
      <c r="AA2664" s="71"/>
      <c r="AB2664" s="117" t="str">
        <f>IFERROR(VLOOKUP(Anexo_4[[#This Row],[cuenta]],OP,2,0),"-")</f>
        <v>-</v>
      </c>
    </row>
    <row r="2665" spans="1:28" ht="27" customHeight="1" x14ac:dyDescent="0.3">
      <c r="A2665" s="34" t="s">
        <v>8505</v>
      </c>
      <c r="B2665" s="36" t="str">
        <f t="shared" si="75"/>
        <v>Octubre</v>
      </c>
      <c r="C2665" s="33" t="s">
        <v>162</v>
      </c>
      <c r="D2665" s="33" t="s">
        <v>8733</v>
      </c>
      <c r="E2665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665" s="32" t="s">
        <v>235</v>
      </c>
      <c r="G2665" s="32" t="s">
        <v>5051</v>
      </c>
      <c r="H2665" s="139" t="s">
        <v>1276</v>
      </c>
      <c r="I2665" s="33" t="s">
        <v>264</v>
      </c>
      <c r="J2665" s="143" t="s">
        <v>4644</v>
      </c>
      <c r="K2665" s="33" t="s">
        <v>169</v>
      </c>
      <c r="L2665" s="102" t="str">
        <f>VLOOKUP(Anexo_4[[#This Row],[cod_doc]],TIPODOC,2,FALSE)</f>
        <v>FACTURA</v>
      </c>
      <c r="M2665" s="33" t="s">
        <v>406</v>
      </c>
      <c r="N2665" s="32" t="s">
        <v>8734</v>
      </c>
      <c r="O2665" s="48">
        <v>6.78</v>
      </c>
      <c r="P2665" s="49" t="s">
        <v>4341</v>
      </c>
      <c r="Q2665" s="81">
        <v>1.22</v>
      </c>
      <c r="R2665" s="80" t="s">
        <v>4341</v>
      </c>
      <c r="S2665" s="48" t="s">
        <v>4341</v>
      </c>
      <c r="T2665" s="72">
        <v>8</v>
      </c>
      <c r="U2665" s="70"/>
      <c r="V2665" s="32"/>
      <c r="W2665" s="70"/>
      <c r="X2665" s="70"/>
      <c r="Y2665" s="70"/>
      <c r="Z2665" s="70"/>
      <c r="AA2665" s="71"/>
      <c r="AB2665" s="117" t="str">
        <f>IFERROR(VLOOKUP(Anexo_4[[#This Row],[cuenta]],OP,2,0),"-")</f>
        <v>-</v>
      </c>
    </row>
    <row r="2666" spans="1:28" ht="27" customHeight="1" x14ac:dyDescent="0.3">
      <c r="A2666" s="34" t="s">
        <v>8505</v>
      </c>
      <c r="B2666" s="36" t="str">
        <f t="shared" si="75"/>
        <v>Octubre</v>
      </c>
      <c r="C2666" s="33" t="s">
        <v>162</v>
      </c>
      <c r="D2666" s="33" t="s">
        <v>8735</v>
      </c>
      <c r="E2666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666" s="32" t="s">
        <v>235</v>
      </c>
      <c r="G2666" s="32" t="s">
        <v>5051</v>
      </c>
      <c r="H2666" s="139" t="s">
        <v>1276</v>
      </c>
      <c r="I2666" s="33" t="s">
        <v>264</v>
      </c>
      <c r="J2666" s="143" t="s">
        <v>4644</v>
      </c>
      <c r="K2666" s="33" t="s">
        <v>169</v>
      </c>
      <c r="L2666" s="102" t="str">
        <f>VLOOKUP(Anexo_4[[#This Row],[cod_doc]],TIPODOC,2,FALSE)</f>
        <v>FACTURA</v>
      </c>
      <c r="M2666" s="33" t="s">
        <v>519</v>
      </c>
      <c r="N2666" s="32" t="s">
        <v>8736</v>
      </c>
      <c r="O2666" s="48">
        <v>6.78</v>
      </c>
      <c r="P2666" s="49" t="s">
        <v>4341</v>
      </c>
      <c r="Q2666" s="81">
        <v>1.22</v>
      </c>
      <c r="R2666" s="80" t="s">
        <v>4341</v>
      </c>
      <c r="S2666" s="48" t="s">
        <v>4341</v>
      </c>
      <c r="T2666" s="72">
        <v>8</v>
      </c>
      <c r="U2666" s="70"/>
      <c r="V2666" s="32"/>
      <c r="W2666" s="70"/>
      <c r="X2666" s="70"/>
      <c r="Y2666" s="70"/>
      <c r="Z2666" s="70"/>
      <c r="AA2666" s="71"/>
      <c r="AB2666" s="117" t="str">
        <f>IFERROR(VLOOKUP(Anexo_4[[#This Row],[cuenta]],OP,2,0),"-")</f>
        <v>-</v>
      </c>
    </row>
    <row r="2667" spans="1:28" ht="27" customHeight="1" x14ac:dyDescent="0.3">
      <c r="A2667" s="34" t="s">
        <v>8641</v>
      </c>
      <c r="B2667" s="36" t="str">
        <f t="shared" si="75"/>
        <v>Octubre</v>
      </c>
      <c r="C2667" s="33" t="s">
        <v>162</v>
      </c>
      <c r="D2667" s="33" t="s">
        <v>8737</v>
      </c>
      <c r="E2667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667" s="32" t="s">
        <v>391</v>
      </c>
      <c r="G2667" s="32" t="s">
        <v>5041</v>
      </c>
      <c r="H2667" s="139" t="s">
        <v>1276</v>
      </c>
      <c r="I2667" s="33" t="s">
        <v>264</v>
      </c>
      <c r="J2667" s="143" t="s">
        <v>4644</v>
      </c>
      <c r="K2667" s="33" t="s">
        <v>169</v>
      </c>
      <c r="L2667" s="102" t="str">
        <f>VLOOKUP(Anexo_4[[#This Row],[cod_doc]],TIPODOC,2,FALSE)</f>
        <v>FACTURA</v>
      </c>
      <c r="M2667" s="33" t="s">
        <v>406</v>
      </c>
      <c r="N2667" s="32" t="s">
        <v>8738</v>
      </c>
      <c r="O2667" s="48">
        <v>6.78</v>
      </c>
      <c r="P2667" s="49" t="s">
        <v>4341</v>
      </c>
      <c r="Q2667" s="81">
        <v>1.22</v>
      </c>
      <c r="R2667" s="80" t="s">
        <v>4341</v>
      </c>
      <c r="S2667" s="48" t="s">
        <v>4341</v>
      </c>
      <c r="T2667" s="72">
        <v>8</v>
      </c>
      <c r="U2667" s="70"/>
      <c r="V2667" s="32"/>
      <c r="W2667" s="70"/>
      <c r="X2667" s="70"/>
      <c r="Y2667" s="70"/>
      <c r="Z2667" s="70"/>
      <c r="AA2667" s="71"/>
      <c r="AB2667" s="117" t="str">
        <f>IFERROR(VLOOKUP(Anexo_4[[#This Row],[cuenta]],OP,2,0),"-")</f>
        <v>-</v>
      </c>
    </row>
    <row r="2668" spans="1:28" ht="27" customHeight="1" x14ac:dyDescent="0.3">
      <c r="A2668" s="34" t="s">
        <v>7276</v>
      </c>
      <c r="B2668" s="36" t="str">
        <f t="shared" si="75"/>
        <v>Octubre</v>
      </c>
      <c r="C2668" s="33" t="s">
        <v>162</v>
      </c>
      <c r="D2668" s="33" t="s">
        <v>8739</v>
      </c>
      <c r="E2668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668" s="32" t="s">
        <v>217</v>
      </c>
      <c r="G2668" s="32" t="s">
        <v>4839</v>
      </c>
      <c r="H2668" s="139" t="s">
        <v>1276</v>
      </c>
      <c r="I2668" s="33" t="s">
        <v>264</v>
      </c>
      <c r="J2668" s="143" t="s">
        <v>4644</v>
      </c>
      <c r="K2668" s="33" t="s">
        <v>169</v>
      </c>
      <c r="L2668" s="102" t="str">
        <f>VLOOKUP(Anexo_4[[#This Row],[cod_doc]],TIPODOC,2,FALSE)</f>
        <v>FACTURA</v>
      </c>
      <c r="M2668" s="33" t="s">
        <v>271</v>
      </c>
      <c r="N2668" s="32" t="s">
        <v>8740</v>
      </c>
      <c r="O2668" s="48">
        <v>6.78</v>
      </c>
      <c r="P2668" s="49" t="s">
        <v>4341</v>
      </c>
      <c r="Q2668" s="81">
        <v>1.22</v>
      </c>
      <c r="R2668" s="80" t="s">
        <v>4341</v>
      </c>
      <c r="S2668" s="48" t="s">
        <v>4341</v>
      </c>
      <c r="T2668" s="72">
        <v>8</v>
      </c>
      <c r="U2668" s="70"/>
      <c r="V2668" s="32"/>
      <c r="W2668" s="70"/>
      <c r="X2668" s="70"/>
      <c r="Y2668" s="70"/>
      <c r="Z2668" s="70"/>
      <c r="AA2668" s="71"/>
      <c r="AB2668" s="117" t="str">
        <f>IFERROR(VLOOKUP(Anexo_4[[#This Row],[cuenta]],OP,2,0),"-")</f>
        <v>-</v>
      </c>
    </row>
    <row r="2669" spans="1:28" ht="27" customHeight="1" x14ac:dyDescent="0.3">
      <c r="A2669" s="34" t="s">
        <v>7416</v>
      </c>
      <c r="B2669" s="36" t="str">
        <f t="shared" si="75"/>
        <v>Octubre</v>
      </c>
      <c r="C2669" s="33" t="s">
        <v>162</v>
      </c>
      <c r="D2669" s="33" t="s">
        <v>8741</v>
      </c>
      <c r="E2669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669" s="32" t="s">
        <v>217</v>
      </c>
      <c r="G2669" s="32" t="s">
        <v>4839</v>
      </c>
      <c r="H2669" s="139" t="s">
        <v>1276</v>
      </c>
      <c r="I2669" s="33" t="s">
        <v>264</v>
      </c>
      <c r="J2669" s="143" t="s">
        <v>4644</v>
      </c>
      <c r="K2669" s="33" t="s">
        <v>169</v>
      </c>
      <c r="L2669" s="102" t="str">
        <f>VLOOKUP(Anexo_4[[#This Row],[cod_doc]],TIPODOC,2,FALSE)</f>
        <v>FACTURA</v>
      </c>
      <c r="M2669" s="33" t="s">
        <v>519</v>
      </c>
      <c r="N2669" s="32" t="s">
        <v>8742</v>
      </c>
      <c r="O2669" s="48">
        <v>6.78</v>
      </c>
      <c r="P2669" s="49" t="s">
        <v>4341</v>
      </c>
      <c r="Q2669" s="81">
        <v>1.22</v>
      </c>
      <c r="R2669" s="80" t="s">
        <v>4341</v>
      </c>
      <c r="S2669" s="48" t="s">
        <v>4341</v>
      </c>
      <c r="T2669" s="72">
        <v>8</v>
      </c>
      <c r="U2669" s="70"/>
      <c r="V2669" s="32"/>
      <c r="W2669" s="70"/>
      <c r="X2669" s="70"/>
      <c r="Y2669" s="70"/>
      <c r="Z2669" s="70"/>
      <c r="AA2669" s="71"/>
      <c r="AB2669" s="117" t="str">
        <f>IFERROR(VLOOKUP(Anexo_4[[#This Row],[cuenta]],OP,2,0),"-")</f>
        <v>-</v>
      </c>
    </row>
    <row r="2670" spans="1:28" ht="27" customHeight="1" x14ac:dyDescent="0.3">
      <c r="A2670" s="34" t="s">
        <v>7416</v>
      </c>
      <c r="B2670" s="36" t="str">
        <f t="shared" si="75"/>
        <v>Octubre</v>
      </c>
      <c r="C2670" s="33" t="s">
        <v>162</v>
      </c>
      <c r="D2670" s="33" t="s">
        <v>8743</v>
      </c>
      <c r="E2670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670" s="32" t="s">
        <v>217</v>
      </c>
      <c r="G2670" s="32" t="s">
        <v>4839</v>
      </c>
      <c r="H2670" s="139" t="s">
        <v>1276</v>
      </c>
      <c r="I2670" s="33" t="s">
        <v>264</v>
      </c>
      <c r="J2670" s="143" t="s">
        <v>4644</v>
      </c>
      <c r="K2670" s="33" t="s">
        <v>169</v>
      </c>
      <c r="L2670" s="102" t="str">
        <f>VLOOKUP(Anexo_4[[#This Row],[cod_doc]],TIPODOC,2,FALSE)</f>
        <v>FACTURA</v>
      </c>
      <c r="M2670" s="33" t="s">
        <v>266</v>
      </c>
      <c r="N2670" s="32" t="s">
        <v>8744</v>
      </c>
      <c r="O2670" s="48">
        <v>6.78</v>
      </c>
      <c r="P2670" s="49" t="s">
        <v>4341</v>
      </c>
      <c r="Q2670" s="81">
        <v>1.22</v>
      </c>
      <c r="R2670" s="80" t="s">
        <v>4341</v>
      </c>
      <c r="S2670" s="48" t="s">
        <v>4341</v>
      </c>
      <c r="T2670" s="72">
        <v>8</v>
      </c>
      <c r="U2670" s="70"/>
      <c r="V2670" s="32"/>
      <c r="W2670" s="70"/>
      <c r="X2670" s="70"/>
      <c r="Y2670" s="70"/>
      <c r="Z2670" s="70"/>
      <c r="AA2670" s="71"/>
      <c r="AB2670" s="117" t="str">
        <f>IFERROR(VLOOKUP(Anexo_4[[#This Row],[cuenta]],OP,2,0),"-")</f>
        <v>-</v>
      </c>
    </row>
    <row r="2671" spans="1:28" ht="27" customHeight="1" x14ac:dyDescent="0.3">
      <c r="A2671" s="34" t="s">
        <v>7276</v>
      </c>
      <c r="B2671" s="36" t="str">
        <f t="shared" si="75"/>
        <v>Octubre</v>
      </c>
      <c r="C2671" s="33" t="s">
        <v>162</v>
      </c>
      <c r="D2671" s="33" t="s">
        <v>8745</v>
      </c>
      <c r="E2671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671" s="32" t="s">
        <v>217</v>
      </c>
      <c r="G2671" s="32" t="s">
        <v>4839</v>
      </c>
      <c r="H2671" s="139" t="s">
        <v>1276</v>
      </c>
      <c r="I2671" s="33" t="s">
        <v>264</v>
      </c>
      <c r="J2671" s="143" t="s">
        <v>4644</v>
      </c>
      <c r="K2671" s="33" t="s">
        <v>169</v>
      </c>
      <c r="L2671" s="102" t="str">
        <f>VLOOKUP(Anexo_4[[#This Row],[cod_doc]],TIPODOC,2,FALSE)</f>
        <v>FACTURA</v>
      </c>
      <c r="M2671" s="33" t="s">
        <v>379</v>
      </c>
      <c r="N2671" s="32" t="s">
        <v>8746</v>
      </c>
      <c r="O2671" s="48">
        <v>6.78</v>
      </c>
      <c r="P2671" s="49" t="s">
        <v>4341</v>
      </c>
      <c r="Q2671" s="81">
        <v>1.22</v>
      </c>
      <c r="R2671" s="80" t="s">
        <v>4341</v>
      </c>
      <c r="S2671" s="48" t="s">
        <v>4341</v>
      </c>
      <c r="T2671" s="72">
        <v>8</v>
      </c>
      <c r="U2671" s="70"/>
      <c r="V2671" s="32"/>
      <c r="W2671" s="70"/>
      <c r="X2671" s="70"/>
      <c r="Y2671" s="70"/>
      <c r="Z2671" s="70"/>
      <c r="AA2671" s="71"/>
      <c r="AB2671" s="117" t="str">
        <f>IFERROR(VLOOKUP(Anexo_4[[#This Row],[cuenta]],OP,2,0),"-")</f>
        <v>-</v>
      </c>
    </row>
    <row r="2672" spans="1:28" ht="27" customHeight="1" x14ac:dyDescent="0.3">
      <c r="A2672" s="34" t="s">
        <v>7276</v>
      </c>
      <c r="B2672" s="36" t="str">
        <f t="shared" si="75"/>
        <v>Octubre</v>
      </c>
      <c r="C2672" s="33" t="s">
        <v>162</v>
      </c>
      <c r="D2672" s="33" t="s">
        <v>8747</v>
      </c>
      <c r="E2672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672" s="32" t="s">
        <v>217</v>
      </c>
      <c r="G2672" s="32" t="s">
        <v>4839</v>
      </c>
      <c r="H2672" s="139" t="s">
        <v>930</v>
      </c>
      <c r="I2672" s="33" t="s">
        <v>383</v>
      </c>
      <c r="J2672" s="143" t="s">
        <v>4702</v>
      </c>
      <c r="K2672" s="33" t="s">
        <v>169</v>
      </c>
      <c r="L2672" s="102" t="str">
        <f>VLOOKUP(Anexo_4[[#This Row],[cod_doc]],TIPODOC,2,FALSE)</f>
        <v>FACTURA</v>
      </c>
      <c r="M2672" s="33" t="s">
        <v>421</v>
      </c>
      <c r="N2672" s="32" t="s">
        <v>8748</v>
      </c>
      <c r="O2672" s="48">
        <v>8.4700000000000006</v>
      </c>
      <c r="P2672" s="49" t="s">
        <v>4341</v>
      </c>
      <c r="Q2672" s="81">
        <v>1.53</v>
      </c>
      <c r="R2672" s="80" t="s">
        <v>4341</v>
      </c>
      <c r="S2672" s="48" t="s">
        <v>4341</v>
      </c>
      <c r="T2672" s="72">
        <v>10</v>
      </c>
      <c r="U2672" s="70"/>
      <c r="V2672" s="32"/>
      <c r="W2672" s="70"/>
      <c r="X2672" s="70"/>
      <c r="Y2672" s="70"/>
      <c r="Z2672" s="70"/>
      <c r="AA2672" s="71"/>
      <c r="AB2672" s="117" t="str">
        <f>IFERROR(VLOOKUP(Anexo_4[[#This Row],[cuenta]],OP,2,0),"-")</f>
        <v>-</v>
      </c>
    </row>
    <row r="2673" spans="1:28" ht="27" customHeight="1" x14ac:dyDescent="0.3">
      <c r="A2673" s="34" t="s">
        <v>7240</v>
      </c>
      <c r="B2673" s="36" t="str">
        <f t="shared" si="75"/>
        <v>Octubre</v>
      </c>
      <c r="C2673" s="33" t="s">
        <v>162</v>
      </c>
      <c r="D2673" s="33" t="s">
        <v>8749</v>
      </c>
      <c r="E2673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673" s="32" t="s">
        <v>217</v>
      </c>
      <c r="G2673" s="32" t="s">
        <v>4839</v>
      </c>
      <c r="H2673" s="139" t="s">
        <v>930</v>
      </c>
      <c r="I2673" s="33" t="s">
        <v>383</v>
      </c>
      <c r="J2673" s="143" t="s">
        <v>4702</v>
      </c>
      <c r="K2673" s="33" t="s">
        <v>169</v>
      </c>
      <c r="L2673" s="102" t="str">
        <f>VLOOKUP(Anexo_4[[#This Row],[cod_doc]],TIPODOC,2,FALSE)</f>
        <v>FACTURA</v>
      </c>
      <c r="M2673" s="33" t="s">
        <v>103</v>
      </c>
      <c r="N2673" s="32" t="s">
        <v>8750</v>
      </c>
      <c r="O2673" s="48">
        <v>16.95</v>
      </c>
      <c r="P2673" s="49" t="s">
        <v>4341</v>
      </c>
      <c r="Q2673" s="81">
        <v>3.05</v>
      </c>
      <c r="R2673" s="80" t="s">
        <v>4341</v>
      </c>
      <c r="S2673" s="48" t="s">
        <v>4341</v>
      </c>
      <c r="T2673" s="72">
        <v>20</v>
      </c>
      <c r="U2673" s="70"/>
      <c r="V2673" s="32"/>
      <c r="W2673" s="70"/>
      <c r="X2673" s="70"/>
      <c r="Y2673" s="70"/>
      <c r="Z2673" s="70"/>
      <c r="AA2673" s="71"/>
      <c r="AB2673" s="117" t="str">
        <f>IFERROR(VLOOKUP(Anexo_4[[#This Row],[cuenta]],OP,2,0),"-")</f>
        <v>-</v>
      </c>
    </row>
    <row r="2674" spans="1:28" ht="27" customHeight="1" x14ac:dyDescent="0.3">
      <c r="A2674" s="34" t="s">
        <v>7416</v>
      </c>
      <c r="B2674" s="36" t="str">
        <f t="shared" si="75"/>
        <v>Octubre</v>
      </c>
      <c r="C2674" s="33" t="s">
        <v>162</v>
      </c>
      <c r="D2674" s="33" t="s">
        <v>8751</v>
      </c>
      <c r="E2674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674" s="32" t="s">
        <v>217</v>
      </c>
      <c r="G2674" s="32" t="s">
        <v>4839</v>
      </c>
      <c r="H2674" s="139" t="s">
        <v>930</v>
      </c>
      <c r="I2674" s="33" t="s">
        <v>383</v>
      </c>
      <c r="J2674" s="143" t="s">
        <v>4702</v>
      </c>
      <c r="K2674" s="33" t="s">
        <v>169</v>
      </c>
      <c r="L2674" s="102" t="str">
        <f>VLOOKUP(Anexo_4[[#This Row],[cod_doc]],TIPODOC,2,FALSE)</f>
        <v>FACTURA</v>
      </c>
      <c r="M2674" s="33" t="s">
        <v>103</v>
      </c>
      <c r="N2674" s="32" t="s">
        <v>8752</v>
      </c>
      <c r="O2674" s="48">
        <v>16.95</v>
      </c>
      <c r="P2674" s="49" t="s">
        <v>4341</v>
      </c>
      <c r="Q2674" s="81">
        <v>3.05</v>
      </c>
      <c r="R2674" s="80" t="s">
        <v>4341</v>
      </c>
      <c r="S2674" s="48" t="s">
        <v>4341</v>
      </c>
      <c r="T2674" s="72">
        <v>20</v>
      </c>
      <c r="U2674" s="70"/>
      <c r="V2674" s="32"/>
      <c r="W2674" s="70"/>
      <c r="X2674" s="70"/>
      <c r="Y2674" s="70"/>
      <c r="Z2674" s="70"/>
      <c r="AA2674" s="71"/>
      <c r="AB2674" s="117" t="str">
        <f>IFERROR(VLOOKUP(Anexo_4[[#This Row],[cuenta]],OP,2,0),"-")</f>
        <v>-</v>
      </c>
    </row>
    <row r="2675" spans="1:28" ht="27" customHeight="1" x14ac:dyDescent="0.3">
      <c r="A2675" s="34" t="s">
        <v>7276</v>
      </c>
      <c r="B2675" s="36" t="str">
        <f t="shared" si="75"/>
        <v>Octubre</v>
      </c>
      <c r="C2675" s="33" t="s">
        <v>162</v>
      </c>
      <c r="D2675" s="33" t="s">
        <v>8753</v>
      </c>
      <c r="E2675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675" s="32" t="s">
        <v>217</v>
      </c>
      <c r="G2675" s="32" t="s">
        <v>4839</v>
      </c>
      <c r="H2675" s="139" t="s">
        <v>930</v>
      </c>
      <c r="I2675" s="33" t="s">
        <v>383</v>
      </c>
      <c r="J2675" s="143" t="s">
        <v>4702</v>
      </c>
      <c r="K2675" s="33" t="s">
        <v>169</v>
      </c>
      <c r="L2675" s="102" t="str">
        <f>VLOOKUP(Anexo_4[[#This Row],[cod_doc]],TIPODOC,2,FALSE)</f>
        <v>FACTURA</v>
      </c>
      <c r="M2675" s="33" t="s">
        <v>421</v>
      </c>
      <c r="N2675" s="32" t="s">
        <v>8754</v>
      </c>
      <c r="O2675" s="48">
        <v>8.4700000000000006</v>
      </c>
      <c r="P2675" s="49" t="s">
        <v>4341</v>
      </c>
      <c r="Q2675" s="81">
        <v>1.53</v>
      </c>
      <c r="R2675" s="80" t="s">
        <v>4341</v>
      </c>
      <c r="S2675" s="48" t="s">
        <v>4341</v>
      </c>
      <c r="T2675" s="72">
        <v>10</v>
      </c>
      <c r="U2675" s="70"/>
      <c r="V2675" s="32"/>
      <c r="W2675" s="70"/>
      <c r="X2675" s="70"/>
      <c r="Y2675" s="70"/>
      <c r="Z2675" s="70"/>
      <c r="AA2675" s="71"/>
      <c r="AB2675" s="117" t="str">
        <f>IFERROR(VLOOKUP(Anexo_4[[#This Row],[cuenta]],OP,2,0),"-")</f>
        <v>-</v>
      </c>
    </row>
    <row r="2676" spans="1:28" ht="27" customHeight="1" x14ac:dyDescent="0.3">
      <c r="A2676" s="34" t="s">
        <v>7240</v>
      </c>
      <c r="B2676" s="36" t="str">
        <f t="shared" si="75"/>
        <v>Octubre</v>
      </c>
      <c r="C2676" s="33" t="s">
        <v>162</v>
      </c>
      <c r="D2676" s="33" t="s">
        <v>8755</v>
      </c>
      <c r="E2676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676" s="32" t="s">
        <v>217</v>
      </c>
      <c r="G2676" s="32" t="s">
        <v>4839</v>
      </c>
      <c r="H2676" s="139" t="s">
        <v>930</v>
      </c>
      <c r="I2676" s="33" t="s">
        <v>383</v>
      </c>
      <c r="J2676" s="143" t="s">
        <v>4702</v>
      </c>
      <c r="K2676" s="33" t="s">
        <v>169</v>
      </c>
      <c r="L2676" s="102" t="str">
        <f>VLOOKUP(Anexo_4[[#This Row],[cod_doc]],TIPODOC,2,FALSE)</f>
        <v>FACTURA</v>
      </c>
      <c r="M2676" s="33" t="s">
        <v>103</v>
      </c>
      <c r="N2676" s="32" t="s">
        <v>8756</v>
      </c>
      <c r="O2676" s="48">
        <v>16.95</v>
      </c>
      <c r="P2676" s="49" t="s">
        <v>4341</v>
      </c>
      <c r="Q2676" s="81">
        <v>3.05</v>
      </c>
      <c r="R2676" s="80" t="s">
        <v>4341</v>
      </c>
      <c r="S2676" s="48" t="s">
        <v>4341</v>
      </c>
      <c r="T2676" s="72">
        <v>20</v>
      </c>
      <c r="U2676" s="70"/>
      <c r="V2676" s="32"/>
      <c r="W2676" s="70"/>
      <c r="X2676" s="70"/>
      <c r="Y2676" s="70"/>
      <c r="Z2676" s="70"/>
      <c r="AA2676" s="71"/>
      <c r="AB2676" s="117" t="str">
        <f>IFERROR(VLOOKUP(Anexo_4[[#This Row],[cuenta]],OP,2,0),"-")</f>
        <v>-</v>
      </c>
    </row>
    <row r="2677" spans="1:28" ht="27" customHeight="1" x14ac:dyDescent="0.3">
      <c r="A2677" s="34" t="s">
        <v>7416</v>
      </c>
      <c r="B2677" s="36" t="str">
        <f t="shared" si="75"/>
        <v>Octubre</v>
      </c>
      <c r="C2677" s="33" t="s">
        <v>162</v>
      </c>
      <c r="D2677" s="33" t="s">
        <v>8757</v>
      </c>
      <c r="E2677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677" s="32" t="s">
        <v>418</v>
      </c>
      <c r="G2677" s="32" t="s">
        <v>419</v>
      </c>
      <c r="H2677" s="139" t="s">
        <v>930</v>
      </c>
      <c r="I2677" s="33" t="s">
        <v>286</v>
      </c>
      <c r="J2677" s="143" t="s">
        <v>4762</v>
      </c>
      <c r="K2677" s="33" t="s">
        <v>169</v>
      </c>
      <c r="L2677" s="102" t="str">
        <f>VLOOKUP(Anexo_4[[#This Row],[cod_doc]],TIPODOC,2,FALSE)</f>
        <v>FACTURA</v>
      </c>
      <c r="M2677" s="33" t="s">
        <v>222</v>
      </c>
      <c r="N2677" s="32" t="s">
        <v>8758</v>
      </c>
      <c r="O2677" s="48" t="s">
        <v>4341</v>
      </c>
      <c r="P2677" s="49" t="s">
        <v>4341</v>
      </c>
      <c r="Q2677" s="81" t="s">
        <v>4341</v>
      </c>
      <c r="R2677" s="80" t="s">
        <v>4341</v>
      </c>
      <c r="S2677" s="48">
        <v>11</v>
      </c>
      <c r="T2677" s="72">
        <v>11</v>
      </c>
      <c r="U2677" s="70"/>
      <c r="V2677" s="32"/>
      <c r="W2677" s="70"/>
      <c r="X2677" s="70"/>
      <c r="Y2677" s="70"/>
      <c r="Z2677" s="70"/>
      <c r="AA2677" s="71"/>
      <c r="AB2677" s="117" t="str">
        <f>IFERROR(VLOOKUP(Anexo_4[[#This Row],[cuenta]],OP,2,0),"-")</f>
        <v>-</v>
      </c>
    </row>
    <row r="2678" spans="1:28" ht="27" customHeight="1" x14ac:dyDescent="0.3">
      <c r="A2678" s="34" t="s">
        <v>8759</v>
      </c>
      <c r="B2678" s="36" t="str">
        <f t="shared" si="75"/>
        <v>Octubre</v>
      </c>
      <c r="C2678" s="33" t="s">
        <v>162</v>
      </c>
      <c r="D2678" s="33" t="s">
        <v>8760</v>
      </c>
      <c r="E2678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678" s="32"/>
      <c r="G2678" s="32"/>
      <c r="H2678" s="139" t="s">
        <v>8761</v>
      </c>
      <c r="I2678" s="33" t="s">
        <v>2867</v>
      </c>
      <c r="J2678" s="143" t="s">
        <v>8762</v>
      </c>
      <c r="K2678" s="33" t="s">
        <v>169</v>
      </c>
      <c r="L2678" s="102" t="str">
        <f>VLOOKUP(Anexo_4[[#This Row],[cod_doc]],TIPODOC,2,FALSE)</f>
        <v>FACTURA</v>
      </c>
      <c r="M2678" s="33" t="s">
        <v>222</v>
      </c>
      <c r="N2678" s="32" t="s">
        <v>8763</v>
      </c>
      <c r="O2678" s="48">
        <v>593.22</v>
      </c>
      <c r="P2678" s="49" t="s">
        <v>4341</v>
      </c>
      <c r="Q2678" s="81">
        <v>106.78</v>
      </c>
      <c r="R2678" s="80" t="s">
        <v>4341</v>
      </c>
      <c r="S2678" s="48" t="s">
        <v>4341</v>
      </c>
      <c r="T2678" s="72">
        <v>700</v>
      </c>
      <c r="U2678" s="70"/>
      <c r="V2678" s="32"/>
      <c r="W2678" s="70"/>
      <c r="X2678" s="70"/>
      <c r="Y2678" s="70"/>
      <c r="Z2678" s="70"/>
      <c r="AA2678" s="71"/>
      <c r="AB2678" s="117" t="str">
        <f>IFERROR(VLOOKUP(Anexo_4[[#This Row],[cuenta]],OP,2,0),"-")</f>
        <v>-</v>
      </c>
    </row>
    <row r="2679" spans="1:28" ht="27" customHeight="1" x14ac:dyDescent="0.3">
      <c r="A2679" s="34" t="s">
        <v>8764</v>
      </c>
      <c r="B2679" s="36" t="str">
        <f t="shared" si="75"/>
        <v>Octubre</v>
      </c>
      <c r="C2679" s="33" t="s">
        <v>162</v>
      </c>
      <c r="D2679" s="33" t="s">
        <v>8765</v>
      </c>
      <c r="E2679" s="37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2679" s="32" t="s">
        <v>198</v>
      </c>
      <c r="G2679" s="32" t="s">
        <v>199</v>
      </c>
      <c r="H2679" s="139" t="s">
        <v>8766</v>
      </c>
      <c r="I2679" s="33" t="s">
        <v>2867</v>
      </c>
      <c r="J2679" s="143" t="s">
        <v>8762</v>
      </c>
      <c r="K2679" s="33" t="s">
        <v>169</v>
      </c>
      <c r="L2679" s="102" t="str">
        <f>VLOOKUP(Anexo_4[[#This Row],[cod_doc]],TIPODOC,2,FALSE)</f>
        <v>FACTURA</v>
      </c>
      <c r="M2679" s="33" t="s">
        <v>222</v>
      </c>
      <c r="N2679" s="32" t="s">
        <v>8767</v>
      </c>
      <c r="O2679" s="48">
        <v>2033.88</v>
      </c>
      <c r="P2679" s="49" t="s">
        <v>4341</v>
      </c>
      <c r="Q2679" s="81">
        <v>366.12</v>
      </c>
      <c r="R2679" s="80" t="s">
        <v>4341</v>
      </c>
      <c r="S2679" s="48" t="s">
        <v>4341</v>
      </c>
      <c r="T2679" s="72">
        <v>2400</v>
      </c>
      <c r="U2679" s="70"/>
      <c r="V2679" s="32"/>
      <c r="W2679" s="70"/>
      <c r="X2679" s="70"/>
      <c r="Y2679" s="70"/>
      <c r="Z2679" s="70"/>
      <c r="AA2679" s="71"/>
      <c r="AB2679" s="117" t="str">
        <f>IFERROR(VLOOKUP(Anexo_4[[#This Row],[cuenta]],OP,2,0),"-")</f>
        <v>-</v>
      </c>
    </row>
    <row r="2680" spans="1:28" ht="27" customHeight="1" x14ac:dyDescent="0.3">
      <c r="A2680" s="34" t="s">
        <v>8301</v>
      </c>
      <c r="B2680" s="36" t="str">
        <f t="shared" ref="B2680:B2694" si="76">PROPER(CHOOSE(LEFT(D2680,2),"enero","febrero","marzo","abril","mayo","junio","julio","agosto","setiembre","octubre","noviembre","diciembre"))</f>
        <v>Octubre</v>
      </c>
      <c r="C2680" s="33" t="s">
        <v>162</v>
      </c>
      <c r="D2680" s="33" t="s">
        <v>8768</v>
      </c>
      <c r="E2680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680" s="32" t="s">
        <v>355</v>
      </c>
      <c r="G2680" s="32" t="s">
        <v>356</v>
      </c>
      <c r="H2680" s="139" t="s">
        <v>192</v>
      </c>
      <c r="I2680" s="33" t="s">
        <v>638</v>
      </c>
      <c r="J2680" s="143" t="s">
        <v>4618</v>
      </c>
      <c r="K2680" s="33" t="s">
        <v>169</v>
      </c>
      <c r="L2680" s="102" t="str">
        <f>VLOOKUP(Anexo_4[[#This Row],[cod_doc]],TIPODOC,2,FALSE)</f>
        <v>FACTURA</v>
      </c>
      <c r="M2680" s="33" t="s">
        <v>995</v>
      </c>
      <c r="N2680" s="32" t="s">
        <v>8769</v>
      </c>
      <c r="O2680" s="48">
        <v>28.81</v>
      </c>
      <c r="P2680" s="49" t="s">
        <v>4341</v>
      </c>
      <c r="Q2680" s="81">
        <v>5.19</v>
      </c>
      <c r="R2680" s="80" t="s">
        <v>4341</v>
      </c>
      <c r="S2680" s="48" t="s">
        <v>4341</v>
      </c>
      <c r="T2680" s="72">
        <v>34</v>
      </c>
      <c r="U2680" s="70"/>
      <c r="V2680" s="32"/>
      <c r="W2680" s="70"/>
      <c r="X2680" s="70"/>
      <c r="Y2680" s="70"/>
      <c r="Z2680" s="70"/>
      <c r="AA2680" s="71"/>
      <c r="AB2680" s="117" t="str">
        <f>IFERROR(VLOOKUP(Anexo_4[[#This Row],[cuenta]],OP,2,0),"-")</f>
        <v>-</v>
      </c>
    </row>
    <row r="2681" spans="1:28" ht="27" customHeight="1" x14ac:dyDescent="0.3">
      <c r="A2681" s="34" t="s">
        <v>8301</v>
      </c>
      <c r="B2681" s="36" t="str">
        <f t="shared" si="76"/>
        <v>Octubre</v>
      </c>
      <c r="C2681" s="33" t="s">
        <v>162</v>
      </c>
      <c r="D2681" s="33" t="s">
        <v>8770</v>
      </c>
      <c r="E2681" s="37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2681" s="32" t="s">
        <v>198</v>
      </c>
      <c r="G2681" s="32" t="s">
        <v>199</v>
      </c>
      <c r="H2681" s="139" t="s">
        <v>8771</v>
      </c>
      <c r="I2681" s="33" t="s">
        <v>8772</v>
      </c>
      <c r="J2681" s="143" t="s">
        <v>8773</v>
      </c>
      <c r="K2681" s="33" t="s">
        <v>169</v>
      </c>
      <c r="L2681" s="102" t="str">
        <f>VLOOKUP(Anexo_4[[#This Row],[cod_doc]],TIPODOC,2,FALSE)</f>
        <v>FACTURA</v>
      </c>
      <c r="M2681" s="33" t="s">
        <v>8774</v>
      </c>
      <c r="N2681" s="32" t="s">
        <v>6245</v>
      </c>
      <c r="O2681" s="48">
        <v>2.12</v>
      </c>
      <c r="P2681" s="49" t="s">
        <v>4341</v>
      </c>
      <c r="Q2681" s="81">
        <v>0.38</v>
      </c>
      <c r="R2681" s="80" t="s">
        <v>4341</v>
      </c>
      <c r="S2681" s="48" t="s">
        <v>4341</v>
      </c>
      <c r="T2681" s="72">
        <v>2.5</v>
      </c>
      <c r="U2681" s="70"/>
      <c r="V2681" s="32"/>
      <c r="W2681" s="70"/>
      <c r="X2681" s="70"/>
      <c r="Y2681" s="70"/>
      <c r="Z2681" s="70"/>
      <c r="AA2681" s="71"/>
      <c r="AB2681" s="117" t="str">
        <f>IFERROR(VLOOKUP(Anexo_4[[#This Row],[cuenta]],OP,2,0),"-")</f>
        <v>-</v>
      </c>
    </row>
    <row r="2682" spans="1:28" ht="27" customHeight="1" x14ac:dyDescent="0.3">
      <c r="A2682" s="34" t="s">
        <v>8301</v>
      </c>
      <c r="B2682" s="36" t="str">
        <f t="shared" si="76"/>
        <v>Octubre</v>
      </c>
      <c r="C2682" s="33" t="s">
        <v>162</v>
      </c>
      <c r="D2682" s="33" t="s">
        <v>8775</v>
      </c>
      <c r="E2682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682" s="32" t="s">
        <v>355</v>
      </c>
      <c r="G2682" s="32" t="s">
        <v>356</v>
      </c>
      <c r="H2682" s="139" t="s">
        <v>8776</v>
      </c>
      <c r="I2682" s="33" t="s">
        <v>991</v>
      </c>
      <c r="J2682" s="143" t="s">
        <v>5729</v>
      </c>
      <c r="K2682" s="33" t="s">
        <v>169</v>
      </c>
      <c r="L2682" s="102" t="str">
        <f>VLOOKUP(Anexo_4[[#This Row],[cod_doc]],TIPODOC,2,FALSE)</f>
        <v>FACTURA</v>
      </c>
      <c r="M2682" s="33" t="s">
        <v>222</v>
      </c>
      <c r="N2682" s="32" t="s">
        <v>8777</v>
      </c>
      <c r="O2682" s="48">
        <v>15.25</v>
      </c>
      <c r="P2682" s="49" t="s">
        <v>4341</v>
      </c>
      <c r="Q2682" s="81">
        <v>2.75</v>
      </c>
      <c r="R2682" s="80" t="s">
        <v>4341</v>
      </c>
      <c r="S2682" s="48" t="s">
        <v>4341</v>
      </c>
      <c r="T2682" s="72">
        <v>18</v>
      </c>
      <c r="U2682" s="70"/>
      <c r="V2682" s="32"/>
      <c r="W2682" s="70"/>
      <c r="X2682" s="70"/>
      <c r="Y2682" s="70"/>
      <c r="Z2682" s="70"/>
      <c r="AA2682" s="71"/>
      <c r="AB2682" s="117" t="str">
        <f>IFERROR(VLOOKUP(Anexo_4[[#This Row],[cuenta]],OP,2,0),"-")</f>
        <v>-</v>
      </c>
    </row>
    <row r="2683" spans="1:28" ht="27" customHeight="1" x14ac:dyDescent="0.3">
      <c r="A2683" s="34" t="s">
        <v>8764</v>
      </c>
      <c r="B2683" s="36" t="str">
        <f t="shared" si="76"/>
        <v>Octubre</v>
      </c>
      <c r="C2683" s="33" t="s">
        <v>162</v>
      </c>
      <c r="D2683" s="33" t="s">
        <v>8778</v>
      </c>
      <c r="E2683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683" s="32" t="s">
        <v>235</v>
      </c>
      <c r="G2683" s="32" t="s">
        <v>5051</v>
      </c>
      <c r="H2683" s="139" t="s">
        <v>930</v>
      </c>
      <c r="I2683" s="33" t="s">
        <v>178</v>
      </c>
      <c r="J2683" s="143" t="s">
        <v>4667</v>
      </c>
      <c r="K2683" s="33" t="s">
        <v>169</v>
      </c>
      <c r="L2683" s="102" t="str">
        <f>VLOOKUP(Anexo_4[[#This Row],[cod_doc]],TIPODOC,2,FALSE)</f>
        <v>FACTURA</v>
      </c>
      <c r="M2683" s="33" t="s">
        <v>180</v>
      </c>
      <c r="N2683" s="32" t="s">
        <v>8779</v>
      </c>
      <c r="O2683" s="48">
        <v>8.4700000000000006</v>
      </c>
      <c r="P2683" s="49" t="s">
        <v>4341</v>
      </c>
      <c r="Q2683" s="81">
        <v>1.53</v>
      </c>
      <c r="R2683" s="80" t="s">
        <v>4341</v>
      </c>
      <c r="S2683" s="48" t="s">
        <v>4341</v>
      </c>
      <c r="T2683" s="72">
        <v>10</v>
      </c>
      <c r="U2683" s="70"/>
      <c r="V2683" s="32"/>
      <c r="W2683" s="70"/>
      <c r="X2683" s="70"/>
      <c r="Y2683" s="70"/>
      <c r="Z2683" s="70"/>
      <c r="AA2683" s="71"/>
      <c r="AB2683" s="117" t="str">
        <f>IFERROR(VLOOKUP(Anexo_4[[#This Row],[cuenta]],OP,2,0),"-")</f>
        <v>-</v>
      </c>
    </row>
    <row r="2684" spans="1:28" ht="27" customHeight="1" x14ac:dyDescent="0.3">
      <c r="A2684" s="34" t="s">
        <v>8764</v>
      </c>
      <c r="B2684" s="36" t="str">
        <f t="shared" si="76"/>
        <v>Octubre</v>
      </c>
      <c r="C2684" s="33" t="s">
        <v>162</v>
      </c>
      <c r="D2684" s="33" t="s">
        <v>8780</v>
      </c>
      <c r="E2684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684" s="32" t="s">
        <v>235</v>
      </c>
      <c r="G2684" s="32" t="s">
        <v>5051</v>
      </c>
      <c r="H2684" s="139" t="s">
        <v>1276</v>
      </c>
      <c r="I2684" s="33" t="s">
        <v>264</v>
      </c>
      <c r="J2684" s="143" t="s">
        <v>4644</v>
      </c>
      <c r="K2684" s="33" t="s">
        <v>169</v>
      </c>
      <c r="L2684" s="102" t="str">
        <f>VLOOKUP(Anexo_4[[#This Row],[cod_doc]],TIPODOC,2,FALSE)</f>
        <v>FACTURA</v>
      </c>
      <c r="M2684" s="33" t="s">
        <v>271</v>
      </c>
      <c r="N2684" s="32" t="s">
        <v>8781</v>
      </c>
      <c r="O2684" s="48">
        <v>6.78</v>
      </c>
      <c r="P2684" s="49" t="s">
        <v>4341</v>
      </c>
      <c r="Q2684" s="81">
        <v>1.22</v>
      </c>
      <c r="R2684" s="80" t="s">
        <v>4341</v>
      </c>
      <c r="S2684" s="48" t="s">
        <v>4341</v>
      </c>
      <c r="T2684" s="72">
        <v>8</v>
      </c>
      <c r="U2684" s="70"/>
      <c r="V2684" s="32"/>
      <c r="W2684" s="70"/>
      <c r="X2684" s="70"/>
      <c r="Y2684" s="70"/>
      <c r="Z2684" s="70"/>
      <c r="AA2684" s="71"/>
      <c r="AB2684" s="117" t="str">
        <f>IFERROR(VLOOKUP(Anexo_4[[#This Row],[cuenta]],OP,2,0),"-")</f>
        <v>-</v>
      </c>
    </row>
    <row r="2685" spans="1:28" ht="27" customHeight="1" x14ac:dyDescent="0.3">
      <c r="A2685" s="34" t="s">
        <v>8764</v>
      </c>
      <c r="B2685" s="36" t="str">
        <f t="shared" si="76"/>
        <v>Octubre</v>
      </c>
      <c r="C2685" s="33" t="s">
        <v>162</v>
      </c>
      <c r="D2685" s="33" t="s">
        <v>8782</v>
      </c>
      <c r="E2685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685" s="32" t="s">
        <v>235</v>
      </c>
      <c r="G2685" s="32" t="s">
        <v>5051</v>
      </c>
      <c r="H2685" s="139" t="s">
        <v>5521</v>
      </c>
      <c r="I2685" s="33" t="s">
        <v>504</v>
      </c>
      <c r="J2685" s="143" t="s">
        <v>4717</v>
      </c>
      <c r="K2685" s="33" t="s">
        <v>169</v>
      </c>
      <c r="L2685" s="102" t="str">
        <f>VLOOKUP(Anexo_4[[#This Row],[cod_doc]],TIPODOC,2,FALSE)</f>
        <v>FACTURA</v>
      </c>
      <c r="M2685" s="33" t="s">
        <v>222</v>
      </c>
      <c r="N2685" s="32" t="s">
        <v>8783</v>
      </c>
      <c r="O2685" s="48">
        <v>21.19</v>
      </c>
      <c r="P2685" s="49" t="s">
        <v>4341</v>
      </c>
      <c r="Q2685" s="81">
        <v>3.81</v>
      </c>
      <c r="R2685" s="80" t="s">
        <v>4341</v>
      </c>
      <c r="S2685" s="48" t="s">
        <v>4341</v>
      </c>
      <c r="T2685" s="72">
        <v>25</v>
      </c>
      <c r="U2685" s="70"/>
      <c r="V2685" s="32"/>
      <c r="W2685" s="70"/>
      <c r="X2685" s="70"/>
      <c r="Y2685" s="70"/>
      <c r="Z2685" s="70"/>
      <c r="AA2685" s="71"/>
      <c r="AB2685" s="117" t="str">
        <f>IFERROR(VLOOKUP(Anexo_4[[#This Row],[cuenta]],OP,2,0),"-")</f>
        <v>-</v>
      </c>
    </row>
    <row r="2686" spans="1:28" ht="27" customHeight="1" x14ac:dyDescent="0.3">
      <c r="A2686" s="34" t="s">
        <v>8641</v>
      </c>
      <c r="B2686" s="36" t="str">
        <f t="shared" si="76"/>
        <v>Octubre</v>
      </c>
      <c r="C2686" s="33" t="s">
        <v>162</v>
      </c>
      <c r="D2686" s="33" t="s">
        <v>8784</v>
      </c>
      <c r="E2686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686" s="32" t="s">
        <v>442</v>
      </c>
      <c r="G2686" s="32" t="s">
        <v>443</v>
      </c>
      <c r="H2686" s="139" t="s">
        <v>8785</v>
      </c>
      <c r="I2686" s="33" t="s">
        <v>1884</v>
      </c>
      <c r="J2686" s="143" t="s">
        <v>8010</v>
      </c>
      <c r="K2686" s="33" t="s">
        <v>169</v>
      </c>
      <c r="L2686" s="102" t="str">
        <f>VLOOKUP(Anexo_4[[#This Row],[cod_doc]],TIPODOC,2,FALSE)</f>
        <v>FACTURA</v>
      </c>
      <c r="M2686" s="33" t="s">
        <v>102</v>
      </c>
      <c r="N2686" s="32" t="s">
        <v>8786</v>
      </c>
      <c r="O2686" s="48">
        <v>25.42</v>
      </c>
      <c r="P2686" s="49" t="s">
        <v>4341</v>
      </c>
      <c r="Q2686" s="81">
        <v>4.58</v>
      </c>
      <c r="R2686" s="80" t="s">
        <v>4341</v>
      </c>
      <c r="S2686" s="48" t="s">
        <v>4341</v>
      </c>
      <c r="T2686" s="72">
        <v>30</v>
      </c>
      <c r="U2686" s="70"/>
      <c r="V2686" s="32"/>
      <c r="W2686" s="70"/>
      <c r="X2686" s="70"/>
      <c r="Y2686" s="70"/>
      <c r="Z2686" s="70"/>
      <c r="AA2686" s="71"/>
      <c r="AB2686" s="117" t="str">
        <f>IFERROR(VLOOKUP(Anexo_4[[#This Row],[cuenta]],OP,2,0),"-")</f>
        <v>-</v>
      </c>
    </row>
    <row r="2687" spans="1:28" ht="27" customHeight="1" x14ac:dyDescent="0.3">
      <c r="A2687" s="34" t="s">
        <v>5080</v>
      </c>
      <c r="B2687" s="36" t="str">
        <f t="shared" si="76"/>
        <v>Octubre</v>
      </c>
      <c r="C2687" s="33" t="s">
        <v>162</v>
      </c>
      <c r="D2687" s="33" t="s">
        <v>8787</v>
      </c>
      <c r="E2687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687" s="32"/>
      <c r="G2687" s="32"/>
      <c r="H2687" s="139" t="s">
        <v>8788</v>
      </c>
      <c r="I2687" s="33" t="s">
        <v>1884</v>
      </c>
      <c r="J2687" s="143" t="s">
        <v>8010</v>
      </c>
      <c r="K2687" s="33" t="s">
        <v>169</v>
      </c>
      <c r="L2687" s="102" t="str">
        <f>VLOOKUP(Anexo_4[[#This Row],[cod_doc]],TIPODOC,2,FALSE)</f>
        <v>FACTURA</v>
      </c>
      <c r="M2687" s="33" t="s">
        <v>102</v>
      </c>
      <c r="N2687" s="32" t="s">
        <v>8789</v>
      </c>
      <c r="O2687" s="48">
        <v>12.71</v>
      </c>
      <c r="P2687" s="49" t="s">
        <v>4341</v>
      </c>
      <c r="Q2687" s="81">
        <v>2.29</v>
      </c>
      <c r="R2687" s="80" t="s">
        <v>4341</v>
      </c>
      <c r="S2687" s="48" t="s">
        <v>4341</v>
      </c>
      <c r="T2687" s="72">
        <v>15</v>
      </c>
      <c r="U2687" s="70"/>
      <c r="V2687" s="32"/>
      <c r="W2687" s="70"/>
      <c r="X2687" s="70"/>
      <c r="Y2687" s="70"/>
      <c r="Z2687" s="70"/>
      <c r="AA2687" s="71"/>
      <c r="AB2687" s="117" t="str">
        <f>IFERROR(VLOOKUP(Anexo_4[[#This Row],[cuenta]],OP,2,0),"-")</f>
        <v>-</v>
      </c>
    </row>
    <row r="2688" spans="1:28" ht="27" customHeight="1" x14ac:dyDescent="0.3">
      <c r="A2688" s="34" t="s">
        <v>8301</v>
      </c>
      <c r="B2688" s="36" t="str">
        <f t="shared" si="76"/>
        <v>Octubre</v>
      </c>
      <c r="C2688" s="33" t="s">
        <v>162</v>
      </c>
      <c r="D2688" s="33" t="s">
        <v>8790</v>
      </c>
      <c r="E2688" s="37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2688" s="32" t="s">
        <v>198</v>
      </c>
      <c r="G2688" s="32" t="s">
        <v>199</v>
      </c>
      <c r="H2688" s="139" t="s">
        <v>8791</v>
      </c>
      <c r="I2688" s="33" t="s">
        <v>8792</v>
      </c>
      <c r="J2688" s="143" t="s">
        <v>8793</v>
      </c>
      <c r="K2688" s="33" t="s">
        <v>169</v>
      </c>
      <c r="L2688" s="102" t="str">
        <f>VLOOKUP(Anexo_4[[#This Row],[cod_doc]],TIPODOC,2,FALSE)</f>
        <v>FACTURA</v>
      </c>
      <c r="M2688" s="33" t="s">
        <v>102</v>
      </c>
      <c r="N2688" s="32" t="s">
        <v>8794</v>
      </c>
      <c r="O2688" s="48">
        <v>1186.45</v>
      </c>
      <c r="P2688" s="49" t="s">
        <v>4341</v>
      </c>
      <c r="Q2688" s="81">
        <v>213.56</v>
      </c>
      <c r="R2688" s="80" t="s">
        <v>4341</v>
      </c>
      <c r="S2688" s="48" t="s">
        <v>4341</v>
      </c>
      <c r="T2688" s="72">
        <v>1400.01</v>
      </c>
      <c r="U2688" s="70"/>
      <c r="V2688" s="32"/>
      <c r="W2688" s="70"/>
      <c r="X2688" s="70"/>
      <c r="Y2688" s="70"/>
      <c r="Z2688" s="70"/>
      <c r="AA2688" s="71"/>
      <c r="AB2688" s="117" t="str">
        <f>IFERROR(VLOOKUP(Anexo_4[[#This Row],[cuenta]],OP,2,0),"-")</f>
        <v>-</v>
      </c>
    </row>
    <row r="2689" spans="1:28" ht="27" customHeight="1" x14ac:dyDescent="0.3">
      <c r="A2689" s="34" t="s">
        <v>7134</v>
      </c>
      <c r="B2689" s="36" t="str">
        <f t="shared" si="76"/>
        <v>Octubre</v>
      </c>
      <c r="C2689" s="33" t="s">
        <v>162</v>
      </c>
      <c r="D2689" s="33" t="s">
        <v>8795</v>
      </c>
      <c r="E2689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689" s="32" t="s">
        <v>355</v>
      </c>
      <c r="G2689" s="32" t="s">
        <v>356</v>
      </c>
      <c r="H2689" s="139" t="s">
        <v>8796</v>
      </c>
      <c r="I2689" s="33" t="s">
        <v>8797</v>
      </c>
      <c r="J2689" s="143" t="s">
        <v>8798</v>
      </c>
      <c r="K2689" s="33" t="s">
        <v>169</v>
      </c>
      <c r="L2689" s="102" t="str">
        <f>VLOOKUP(Anexo_4[[#This Row],[cod_doc]],TIPODOC,2,FALSE)</f>
        <v>FACTURA</v>
      </c>
      <c r="M2689" s="33" t="s">
        <v>7022</v>
      </c>
      <c r="N2689" s="32" t="s">
        <v>8799</v>
      </c>
      <c r="O2689" s="48" t="s">
        <v>4341</v>
      </c>
      <c r="P2689" s="49" t="s">
        <v>4341</v>
      </c>
      <c r="Q2689" s="81" t="s">
        <v>4341</v>
      </c>
      <c r="R2689" s="80" t="s">
        <v>4341</v>
      </c>
      <c r="S2689" s="48">
        <v>100</v>
      </c>
      <c r="T2689" s="72">
        <v>100</v>
      </c>
      <c r="U2689" s="70"/>
      <c r="V2689" s="32"/>
      <c r="W2689" s="70"/>
      <c r="X2689" s="70"/>
      <c r="Y2689" s="70" t="s">
        <v>8800</v>
      </c>
      <c r="Z2689" s="70"/>
      <c r="AA2689" s="71"/>
      <c r="AB2689" s="117" t="str">
        <f>IFERROR(VLOOKUP(Anexo_4[[#This Row],[cuenta]],OP,2,0),"-")</f>
        <v>-</v>
      </c>
    </row>
    <row r="2690" spans="1:28" ht="27" customHeight="1" x14ac:dyDescent="0.3">
      <c r="A2690" s="34" t="s">
        <v>7134</v>
      </c>
      <c r="B2690" s="36" t="str">
        <f t="shared" si="76"/>
        <v>Octubre</v>
      </c>
      <c r="C2690" s="33" t="s">
        <v>162</v>
      </c>
      <c r="D2690" s="33" t="s">
        <v>8801</v>
      </c>
      <c r="E2690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690" s="32" t="s">
        <v>355</v>
      </c>
      <c r="G2690" s="32" t="s">
        <v>356</v>
      </c>
      <c r="H2690" s="139" t="s">
        <v>8802</v>
      </c>
      <c r="I2690" s="33" t="s">
        <v>8797</v>
      </c>
      <c r="J2690" s="143" t="s">
        <v>8798</v>
      </c>
      <c r="K2690" s="33" t="s">
        <v>169</v>
      </c>
      <c r="L2690" s="102" t="str">
        <f>VLOOKUP(Anexo_4[[#This Row],[cod_doc]],TIPODOC,2,FALSE)</f>
        <v>FACTURA</v>
      </c>
      <c r="M2690" s="33" t="s">
        <v>8803</v>
      </c>
      <c r="N2690" s="32" t="s">
        <v>8372</v>
      </c>
      <c r="O2690" s="48" t="s">
        <v>4341</v>
      </c>
      <c r="P2690" s="49" t="s">
        <v>4341</v>
      </c>
      <c r="Q2690" s="81" t="s">
        <v>4341</v>
      </c>
      <c r="R2690" s="80" t="s">
        <v>4341</v>
      </c>
      <c r="S2690" s="48">
        <v>50</v>
      </c>
      <c r="T2690" s="72">
        <v>50</v>
      </c>
      <c r="U2690" s="70"/>
      <c r="V2690" s="32"/>
      <c r="W2690" s="70"/>
      <c r="X2690" s="70"/>
      <c r="Y2690" s="70" t="s">
        <v>8804</v>
      </c>
      <c r="Z2690" s="70"/>
      <c r="AA2690" s="71"/>
      <c r="AB2690" s="117" t="str">
        <f>IFERROR(VLOOKUP(Anexo_4[[#This Row],[cuenta]],OP,2,0),"-")</f>
        <v>-</v>
      </c>
    </row>
    <row r="2691" spans="1:28" ht="27" customHeight="1" x14ac:dyDescent="0.3">
      <c r="A2691" s="34" t="s">
        <v>8301</v>
      </c>
      <c r="B2691" s="36" t="str">
        <f t="shared" si="76"/>
        <v>Octubre</v>
      </c>
      <c r="C2691" s="33" t="s">
        <v>162</v>
      </c>
      <c r="D2691" s="33" t="s">
        <v>8805</v>
      </c>
      <c r="E2691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691" s="32" t="s">
        <v>217</v>
      </c>
      <c r="G2691" s="32" t="s">
        <v>4839</v>
      </c>
      <c r="H2691" s="139" t="s">
        <v>8806</v>
      </c>
      <c r="I2691" s="33" t="s">
        <v>264</v>
      </c>
      <c r="J2691" s="143" t="s">
        <v>4644</v>
      </c>
      <c r="K2691" s="33" t="s">
        <v>169</v>
      </c>
      <c r="L2691" s="102" t="str">
        <f>VLOOKUP(Anexo_4[[#This Row],[cod_doc]],TIPODOC,2,FALSE)</f>
        <v>FACTURA</v>
      </c>
      <c r="M2691" s="33" t="s">
        <v>352</v>
      </c>
      <c r="N2691" s="32" t="s">
        <v>8807</v>
      </c>
      <c r="O2691" s="48">
        <v>6.78</v>
      </c>
      <c r="P2691" s="49" t="s">
        <v>4341</v>
      </c>
      <c r="Q2691" s="81">
        <v>1.22</v>
      </c>
      <c r="R2691" s="80" t="s">
        <v>4341</v>
      </c>
      <c r="S2691" s="48" t="s">
        <v>4341</v>
      </c>
      <c r="T2691" s="72">
        <v>8</v>
      </c>
      <c r="U2691" s="70"/>
      <c r="V2691" s="32"/>
      <c r="W2691" s="70"/>
      <c r="X2691" s="70"/>
      <c r="Y2691" s="70" t="s">
        <v>8808</v>
      </c>
      <c r="Z2691" s="70"/>
      <c r="AA2691" s="71"/>
      <c r="AB2691" s="117" t="str">
        <f>IFERROR(VLOOKUP(Anexo_4[[#This Row],[cuenta]],OP,2,0),"-")</f>
        <v>-</v>
      </c>
    </row>
    <row r="2692" spans="1:28" ht="27" customHeight="1" x14ac:dyDescent="0.3">
      <c r="A2692" s="34" t="s">
        <v>8505</v>
      </c>
      <c r="B2692" s="36" t="str">
        <f t="shared" si="76"/>
        <v>Octubre</v>
      </c>
      <c r="C2692" s="33" t="s">
        <v>162</v>
      </c>
      <c r="D2692" s="33" t="s">
        <v>8809</v>
      </c>
      <c r="E2692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692" s="32" t="s">
        <v>217</v>
      </c>
      <c r="G2692" s="32" t="s">
        <v>4839</v>
      </c>
      <c r="H2692" s="139" t="s">
        <v>8810</v>
      </c>
      <c r="I2692" s="33" t="s">
        <v>264</v>
      </c>
      <c r="J2692" s="143" t="s">
        <v>4644</v>
      </c>
      <c r="K2692" s="33" t="s">
        <v>169</v>
      </c>
      <c r="L2692" s="102" t="str">
        <f>VLOOKUP(Anexo_4[[#This Row],[cod_doc]],TIPODOC,2,FALSE)</f>
        <v>FACTURA</v>
      </c>
      <c r="M2692" s="33" t="s">
        <v>519</v>
      </c>
      <c r="N2692" s="32" t="s">
        <v>8811</v>
      </c>
      <c r="O2692" s="48">
        <v>6.78</v>
      </c>
      <c r="P2692" s="49" t="s">
        <v>4341</v>
      </c>
      <c r="Q2692" s="81">
        <v>1.22</v>
      </c>
      <c r="R2692" s="80" t="s">
        <v>4341</v>
      </c>
      <c r="S2692" s="48" t="s">
        <v>4341</v>
      </c>
      <c r="T2692" s="72">
        <v>8</v>
      </c>
      <c r="U2692" s="70"/>
      <c r="V2692" s="32"/>
      <c r="W2692" s="70"/>
      <c r="X2692" s="70"/>
      <c r="Y2692" s="70" t="s">
        <v>8812</v>
      </c>
      <c r="Z2692" s="70"/>
      <c r="AA2692" s="71"/>
      <c r="AB2692" s="117" t="str">
        <f>IFERROR(VLOOKUP(Anexo_4[[#This Row],[cuenta]],OP,2,0),"-")</f>
        <v>-</v>
      </c>
    </row>
    <row r="2693" spans="1:28" ht="27" customHeight="1" x14ac:dyDescent="0.3">
      <c r="A2693" s="34" t="s">
        <v>8505</v>
      </c>
      <c r="B2693" s="36" t="str">
        <f t="shared" si="76"/>
        <v>Octubre</v>
      </c>
      <c r="C2693" s="33" t="s">
        <v>162</v>
      </c>
      <c r="D2693" s="33" t="s">
        <v>8813</v>
      </c>
      <c r="E2693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693" s="32" t="s">
        <v>217</v>
      </c>
      <c r="G2693" s="32" t="s">
        <v>4839</v>
      </c>
      <c r="H2693" s="139" t="s">
        <v>8814</v>
      </c>
      <c r="I2693" s="33" t="s">
        <v>264</v>
      </c>
      <c r="J2693" s="143" t="s">
        <v>4644</v>
      </c>
      <c r="K2693" s="33" t="s">
        <v>169</v>
      </c>
      <c r="L2693" s="102" t="str">
        <f>VLOOKUP(Anexo_4[[#This Row],[cod_doc]],TIPODOC,2,FALSE)</f>
        <v>FACTURA</v>
      </c>
      <c r="M2693" s="33" t="s">
        <v>266</v>
      </c>
      <c r="N2693" s="32" t="s">
        <v>8815</v>
      </c>
      <c r="O2693" s="48">
        <v>6.78</v>
      </c>
      <c r="P2693" s="49" t="s">
        <v>4341</v>
      </c>
      <c r="Q2693" s="81">
        <v>1.22</v>
      </c>
      <c r="R2693" s="80" t="s">
        <v>4341</v>
      </c>
      <c r="S2693" s="48" t="s">
        <v>4341</v>
      </c>
      <c r="T2693" s="72">
        <v>8</v>
      </c>
      <c r="U2693" s="70"/>
      <c r="V2693" s="32"/>
      <c r="W2693" s="70"/>
      <c r="X2693" s="70"/>
      <c r="Y2693" s="70" t="s">
        <v>8816</v>
      </c>
      <c r="Z2693" s="70"/>
      <c r="AA2693" s="71"/>
      <c r="AB2693" s="117" t="str">
        <f>IFERROR(VLOOKUP(Anexo_4[[#This Row],[cuenta]],OP,2,0),"-")</f>
        <v>-</v>
      </c>
    </row>
    <row r="2694" spans="1:28" ht="27" customHeight="1" x14ac:dyDescent="0.3">
      <c r="A2694" s="34" t="s">
        <v>8764</v>
      </c>
      <c r="B2694" s="36" t="str">
        <f t="shared" si="76"/>
        <v>Octubre</v>
      </c>
      <c r="C2694" s="33" t="s">
        <v>162</v>
      </c>
      <c r="D2694" s="33" t="s">
        <v>8817</v>
      </c>
      <c r="E2694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694" s="32" t="s">
        <v>5923</v>
      </c>
      <c r="G2694" s="32" t="s">
        <v>5924</v>
      </c>
      <c r="H2694" s="139" t="s">
        <v>8818</v>
      </c>
      <c r="I2694" s="33" t="s">
        <v>7986</v>
      </c>
      <c r="J2694" s="143" t="s">
        <v>7987</v>
      </c>
      <c r="K2694" s="33" t="s">
        <v>169</v>
      </c>
      <c r="L2694" s="102" t="str">
        <f>VLOOKUP(Anexo_4[[#This Row],[cod_doc]],TIPODOC,2,FALSE)</f>
        <v>FACTURA</v>
      </c>
      <c r="M2694" s="33" t="s">
        <v>531</v>
      </c>
      <c r="N2694" s="32" t="s">
        <v>8819</v>
      </c>
      <c r="O2694" s="48">
        <v>4.24</v>
      </c>
      <c r="P2694" s="49" t="s">
        <v>4341</v>
      </c>
      <c r="Q2694" s="81">
        <v>0.76</v>
      </c>
      <c r="R2694" s="80" t="s">
        <v>4341</v>
      </c>
      <c r="S2694" s="48" t="s">
        <v>4341</v>
      </c>
      <c r="T2694" s="72">
        <v>5</v>
      </c>
      <c r="U2694" s="70"/>
      <c r="V2694" s="32"/>
      <c r="W2694" s="70"/>
      <c r="X2694" s="70"/>
      <c r="Y2694" s="70" t="s">
        <v>8820</v>
      </c>
      <c r="Z2694" s="70"/>
      <c r="AA2694" s="71"/>
      <c r="AB2694" s="117" t="str">
        <f>IFERROR(VLOOKUP(Anexo_4[[#This Row],[cuenta]],OP,2,0),"-")</f>
        <v>-</v>
      </c>
    </row>
    <row r="2695" spans="1:28" ht="27" customHeight="1" x14ac:dyDescent="0.3">
      <c r="A2695" s="34" t="s">
        <v>8301</v>
      </c>
      <c r="B2695" s="36" t="str">
        <f t="shared" ref="B2695:B2709" si="77">PROPER(CHOOSE(LEFT(D2695,2),"enero","febrero","marzo","abril","mayo","junio","julio","agosto","setiembre","octubre","noviembre","diciembre"))</f>
        <v>Octubre</v>
      </c>
      <c r="C2695" s="33" t="s">
        <v>162</v>
      </c>
      <c r="D2695" s="33" t="s">
        <v>8821</v>
      </c>
      <c r="E2695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695" s="32" t="s">
        <v>5923</v>
      </c>
      <c r="G2695" s="32" t="s">
        <v>5924</v>
      </c>
      <c r="H2695" s="139" t="s">
        <v>8822</v>
      </c>
      <c r="I2695" s="33" t="s">
        <v>264</v>
      </c>
      <c r="J2695" s="143" t="s">
        <v>4644</v>
      </c>
      <c r="K2695" s="33" t="s">
        <v>169</v>
      </c>
      <c r="L2695" s="102" t="str">
        <f>VLOOKUP(Anexo_4[[#This Row],[cod_doc]],TIPODOC,2,FALSE)</f>
        <v>FACTURA</v>
      </c>
      <c r="M2695" s="33" t="s">
        <v>406</v>
      </c>
      <c r="N2695" s="32" t="s">
        <v>8823</v>
      </c>
      <c r="O2695" s="48">
        <v>6.78</v>
      </c>
      <c r="P2695" s="49" t="s">
        <v>4341</v>
      </c>
      <c r="Q2695" s="81">
        <v>1.22</v>
      </c>
      <c r="R2695" s="80" t="s">
        <v>4341</v>
      </c>
      <c r="S2695" s="48" t="s">
        <v>4341</v>
      </c>
      <c r="T2695" s="72">
        <v>8</v>
      </c>
      <c r="U2695" s="70"/>
      <c r="V2695" s="32"/>
      <c r="W2695" s="70"/>
      <c r="X2695" s="70"/>
      <c r="Y2695" s="70" t="s">
        <v>8824</v>
      </c>
      <c r="Z2695" s="70"/>
      <c r="AA2695" s="71"/>
      <c r="AB2695" s="117" t="str">
        <f>IFERROR(VLOOKUP(Anexo_4[[#This Row],[cuenta]],OP,2,0),"-")</f>
        <v>-</v>
      </c>
    </row>
    <row r="2696" spans="1:28" ht="27" customHeight="1" x14ac:dyDescent="0.3">
      <c r="A2696" s="34" t="s">
        <v>8301</v>
      </c>
      <c r="B2696" s="36" t="str">
        <f t="shared" si="77"/>
        <v>Octubre</v>
      </c>
      <c r="C2696" s="33" t="s">
        <v>162</v>
      </c>
      <c r="D2696" s="33" t="s">
        <v>8825</v>
      </c>
      <c r="E2696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696" s="32" t="s">
        <v>5923</v>
      </c>
      <c r="G2696" s="32" t="s">
        <v>5924</v>
      </c>
      <c r="H2696" s="139" t="s">
        <v>8826</v>
      </c>
      <c r="I2696" s="33" t="s">
        <v>264</v>
      </c>
      <c r="J2696" s="143" t="s">
        <v>4644</v>
      </c>
      <c r="K2696" s="33" t="s">
        <v>169</v>
      </c>
      <c r="L2696" s="102" t="str">
        <f>VLOOKUP(Anexo_4[[#This Row],[cod_doc]],TIPODOC,2,FALSE)</f>
        <v>FACTURA</v>
      </c>
      <c r="M2696" s="33" t="s">
        <v>379</v>
      </c>
      <c r="N2696" s="32" t="s">
        <v>8827</v>
      </c>
      <c r="O2696" s="48">
        <v>6.78</v>
      </c>
      <c r="P2696" s="49" t="s">
        <v>4341</v>
      </c>
      <c r="Q2696" s="81">
        <v>1.22</v>
      </c>
      <c r="R2696" s="80" t="s">
        <v>4341</v>
      </c>
      <c r="S2696" s="48" t="s">
        <v>4341</v>
      </c>
      <c r="T2696" s="72">
        <v>8</v>
      </c>
      <c r="U2696" s="70"/>
      <c r="V2696" s="32"/>
      <c r="W2696" s="70"/>
      <c r="X2696" s="70"/>
      <c r="Y2696" s="70" t="s">
        <v>8828</v>
      </c>
      <c r="Z2696" s="70"/>
      <c r="AA2696" s="71"/>
      <c r="AB2696" s="117" t="str">
        <f>IFERROR(VLOOKUP(Anexo_4[[#This Row],[cuenta]],OP,2,0),"-")</f>
        <v>-</v>
      </c>
    </row>
    <row r="2697" spans="1:28" ht="27" customHeight="1" x14ac:dyDescent="0.3">
      <c r="A2697" s="34" t="s">
        <v>8505</v>
      </c>
      <c r="B2697" s="36" t="str">
        <f t="shared" si="77"/>
        <v>Octubre</v>
      </c>
      <c r="C2697" s="33" t="s">
        <v>162</v>
      </c>
      <c r="D2697" s="33" t="s">
        <v>8829</v>
      </c>
      <c r="E2697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697" s="32" t="s">
        <v>5923</v>
      </c>
      <c r="G2697" s="32" t="s">
        <v>5924</v>
      </c>
      <c r="H2697" s="139" t="s">
        <v>8830</v>
      </c>
      <c r="I2697" s="33" t="s">
        <v>264</v>
      </c>
      <c r="J2697" s="143" t="s">
        <v>4644</v>
      </c>
      <c r="K2697" s="33" t="s">
        <v>169</v>
      </c>
      <c r="L2697" s="102" t="str">
        <f>VLOOKUP(Anexo_4[[#This Row],[cod_doc]],TIPODOC,2,FALSE)</f>
        <v>FACTURA</v>
      </c>
      <c r="M2697" s="33" t="s">
        <v>352</v>
      </c>
      <c r="N2697" s="32" t="s">
        <v>8831</v>
      </c>
      <c r="O2697" s="48">
        <v>6.78</v>
      </c>
      <c r="P2697" s="49" t="s">
        <v>4341</v>
      </c>
      <c r="Q2697" s="81">
        <v>1.22</v>
      </c>
      <c r="R2697" s="80" t="s">
        <v>4341</v>
      </c>
      <c r="S2697" s="48" t="s">
        <v>4341</v>
      </c>
      <c r="T2697" s="72">
        <v>8</v>
      </c>
      <c r="U2697" s="70"/>
      <c r="V2697" s="32"/>
      <c r="W2697" s="70"/>
      <c r="X2697" s="70"/>
      <c r="Y2697" s="70" t="s">
        <v>8832</v>
      </c>
      <c r="Z2697" s="70"/>
      <c r="AA2697" s="71"/>
      <c r="AB2697" s="117" t="str">
        <f>IFERROR(VLOOKUP(Anexo_4[[#This Row],[cuenta]],OP,2,0),"-")</f>
        <v>-</v>
      </c>
    </row>
    <row r="2698" spans="1:28" ht="27" customHeight="1" x14ac:dyDescent="0.3">
      <c r="A2698" s="34" t="s">
        <v>8505</v>
      </c>
      <c r="B2698" s="36" t="str">
        <f t="shared" si="77"/>
        <v>Octubre</v>
      </c>
      <c r="C2698" s="33" t="s">
        <v>162</v>
      </c>
      <c r="D2698" s="33" t="s">
        <v>8833</v>
      </c>
      <c r="E2698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698" s="32" t="s">
        <v>5923</v>
      </c>
      <c r="G2698" s="32" t="s">
        <v>5924</v>
      </c>
      <c r="H2698" s="139" t="s">
        <v>8834</v>
      </c>
      <c r="I2698" s="33" t="s">
        <v>264</v>
      </c>
      <c r="J2698" s="143" t="s">
        <v>4644</v>
      </c>
      <c r="K2698" s="33" t="s">
        <v>169</v>
      </c>
      <c r="L2698" s="102" t="str">
        <f>VLOOKUP(Anexo_4[[#This Row],[cod_doc]],TIPODOC,2,FALSE)</f>
        <v>FACTURA</v>
      </c>
      <c r="M2698" s="33" t="s">
        <v>406</v>
      </c>
      <c r="N2698" s="32" t="s">
        <v>8835</v>
      </c>
      <c r="O2698" s="48">
        <v>6.78</v>
      </c>
      <c r="P2698" s="49" t="s">
        <v>4341</v>
      </c>
      <c r="Q2698" s="81">
        <v>1.22</v>
      </c>
      <c r="R2698" s="80" t="s">
        <v>4341</v>
      </c>
      <c r="S2698" s="48" t="s">
        <v>4341</v>
      </c>
      <c r="T2698" s="72">
        <v>8</v>
      </c>
      <c r="U2698" s="70"/>
      <c r="V2698" s="32"/>
      <c r="W2698" s="70"/>
      <c r="X2698" s="70"/>
      <c r="Y2698" s="70" t="s">
        <v>8836</v>
      </c>
      <c r="Z2698" s="70"/>
      <c r="AA2698" s="71"/>
      <c r="AB2698" s="117" t="str">
        <f>IFERROR(VLOOKUP(Anexo_4[[#This Row],[cuenta]],OP,2,0),"-")</f>
        <v>-</v>
      </c>
    </row>
    <row r="2699" spans="1:28" ht="27" customHeight="1" x14ac:dyDescent="0.3">
      <c r="A2699" s="34" t="s">
        <v>8158</v>
      </c>
      <c r="B2699" s="36" t="str">
        <f t="shared" si="77"/>
        <v>Octubre</v>
      </c>
      <c r="C2699" s="33" t="s">
        <v>162</v>
      </c>
      <c r="D2699" s="33" t="s">
        <v>8837</v>
      </c>
      <c r="E2699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699" s="32" t="s">
        <v>235</v>
      </c>
      <c r="G2699" s="32" t="s">
        <v>5051</v>
      </c>
      <c r="H2699" s="139" t="s">
        <v>8838</v>
      </c>
      <c r="I2699" s="33" t="s">
        <v>264</v>
      </c>
      <c r="J2699" s="143" t="s">
        <v>4644</v>
      </c>
      <c r="K2699" s="33" t="s">
        <v>169</v>
      </c>
      <c r="L2699" s="102" t="str">
        <f>VLOOKUP(Anexo_4[[#This Row],[cod_doc]],TIPODOC,2,FALSE)</f>
        <v>FACTURA</v>
      </c>
      <c r="M2699" s="33" t="s">
        <v>352</v>
      </c>
      <c r="N2699" s="32" t="s">
        <v>8839</v>
      </c>
      <c r="O2699" s="48">
        <v>6.78</v>
      </c>
      <c r="P2699" s="49" t="s">
        <v>4341</v>
      </c>
      <c r="Q2699" s="81">
        <v>1.22</v>
      </c>
      <c r="R2699" s="80" t="s">
        <v>4341</v>
      </c>
      <c r="S2699" s="48" t="s">
        <v>4341</v>
      </c>
      <c r="T2699" s="72">
        <v>8</v>
      </c>
      <c r="U2699" s="70"/>
      <c r="V2699" s="32"/>
      <c r="W2699" s="70"/>
      <c r="X2699" s="70"/>
      <c r="Y2699" s="70" t="s">
        <v>8840</v>
      </c>
      <c r="Z2699" s="70"/>
      <c r="AA2699" s="71"/>
      <c r="AB2699" s="117" t="str">
        <f>IFERROR(VLOOKUP(Anexo_4[[#This Row],[cuenta]],OP,2,0),"-")</f>
        <v>-</v>
      </c>
    </row>
    <row r="2700" spans="1:28" ht="27" customHeight="1" x14ac:dyDescent="0.3">
      <c r="A2700" s="34" t="s">
        <v>6384</v>
      </c>
      <c r="B2700" s="36" t="str">
        <f t="shared" si="77"/>
        <v>Octubre</v>
      </c>
      <c r="C2700" s="33" t="s">
        <v>162</v>
      </c>
      <c r="D2700" s="33" t="s">
        <v>8841</v>
      </c>
      <c r="E2700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700" s="32"/>
      <c r="G2700" s="32"/>
      <c r="H2700" s="139" t="s">
        <v>8842</v>
      </c>
      <c r="I2700" s="33" t="s">
        <v>769</v>
      </c>
      <c r="J2700" s="143" t="s">
        <v>5776</v>
      </c>
      <c r="K2700" s="33" t="s">
        <v>169</v>
      </c>
      <c r="L2700" s="102" t="str">
        <f>VLOOKUP(Anexo_4[[#This Row],[cod_doc]],TIPODOC,2,FALSE)</f>
        <v>FACTURA</v>
      </c>
      <c r="M2700" s="33" t="s">
        <v>102</v>
      </c>
      <c r="N2700" s="32" t="s">
        <v>5339</v>
      </c>
      <c r="O2700" s="48">
        <v>500</v>
      </c>
      <c r="P2700" s="49" t="s">
        <v>4341</v>
      </c>
      <c r="Q2700" s="81">
        <v>90</v>
      </c>
      <c r="R2700" s="80" t="s">
        <v>4341</v>
      </c>
      <c r="S2700" s="48" t="s">
        <v>4341</v>
      </c>
      <c r="T2700" s="72">
        <v>590</v>
      </c>
      <c r="U2700" s="70"/>
      <c r="V2700" s="32"/>
      <c r="W2700" s="70"/>
      <c r="X2700" s="70"/>
      <c r="Y2700" s="70"/>
      <c r="Z2700" s="70"/>
      <c r="AA2700" s="71"/>
      <c r="AB2700" s="117" t="str">
        <f>IFERROR(VLOOKUP(Anexo_4[[#This Row],[cuenta]],OP,2,0),"-")</f>
        <v>-</v>
      </c>
    </row>
    <row r="2701" spans="1:28" ht="27" customHeight="1" x14ac:dyDescent="0.3">
      <c r="A2701" s="34" t="s">
        <v>8641</v>
      </c>
      <c r="B2701" s="36" t="str">
        <f t="shared" si="77"/>
        <v>Octubre</v>
      </c>
      <c r="C2701" s="33" t="s">
        <v>162</v>
      </c>
      <c r="D2701" s="33" t="s">
        <v>8843</v>
      </c>
      <c r="E2701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701" s="32" t="s">
        <v>355</v>
      </c>
      <c r="G2701" s="32" t="s">
        <v>356</v>
      </c>
      <c r="H2701" s="139" t="s">
        <v>8844</v>
      </c>
      <c r="I2701" s="33" t="s">
        <v>1246</v>
      </c>
      <c r="J2701" s="143" t="s">
        <v>5677</v>
      </c>
      <c r="K2701" s="33" t="s">
        <v>169</v>
      </c>
      <c r="L2701" s="102" t="str">
        <f>VLOOKUP(Anexo_4[[#This Row],[cod_doc]],TIPODOC,2,FALSE)</f>
        <v>FACTURA</v>
      </c>
      <c r="M2701" s="33" t="s">
        <v>102</v>
      </c>
      <c r="N2701" s="32" t="s">
        <v>8845</v>
      </c>
      <c r="O2701" s="48">
        <v>2118.64</v>
      </c>
      <c r="P2701" s="49" t="s">
        <v>4341</v>
      </c>
      <c r="Q2701" s="81">
        <v>381.36</v>
      </c>
      <c r="R2701" s="80" t="s">
        <v>4341</v>
      </c>
      <c r="S2701" s="48" t="s">
        <v>4341</v>
      </c>
      <c r="T2701" s="72">
        <v>2500</v>
      </c>
      <c r="U2701" s="70"/>
      <c r="V2701" s="32"/>
      <c r="W2701" s="70"/>
      <c r="X2701" s="70"/>
      <c r="Y2701" s="70"/>
      <c r="Z2701" s="70"/>
      <c r="AA2701" s="71"/>
      <c r="AB2701" s="117" t="str">
        <f>IFERROR(VLOOKUP(Anexo_4[[#This Row],[cuenta]],OP,2,0),"-")</f>
        <v>-</v>
      </c>
    </row>
    <row r="2702" spans="1:28" ht="27" customHeight="1" x14ac:dyDescent="0.3">
      <c r="A2702" s="34" t="s">
        <v>4616</v>
      </c>
      <c r="B2702" s="36" t="str">
        <f t="shared" si="77"/>
        <v>Octubre</v>
      </c>
      <c r="C2702" s="33" t="s">
        <v>162</v>
      </c>
      <c r="D2702" s="33" t="s">
        <v>8846</v>
      </c>
      <c r="E2702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702" s="32"/>
      <c r="G2702" s="32"/>
      <c r="H2702" s="139" t="s">
        <v>8847</v>
      </c>
      <c r="I2702" s="33" t="s">
        <v>1884</v>
      </c>
      <c r="J2702" s="143" t="s">
        <v>8010</v>
      </c>
      <c r="K2702" s="33" t="s">
        <v>169</v>
      </c>
      <c r="L2702" s="102" t="str">
        <f>VLOOKUP(Anexo_4[[#This Row],[cod_doc]],TIPODOC,2,FALSE)</f>
        <v>FACTURA</v>
      </c>
      <c r="M2702" s="33" t="s">
        <v>102</v>
      </c>
      <c r="N2702" s="32" t="s">
        <v>8848</v>
      </c>
      <c r="O2702" s="48">
        <v>88.98</v>
      </c>
      <c r="P2702" s="49" t="s">
        <v>4341</v>
      </c>
      <c r="Q2702" s="81">
        <v>16.02</v>
      </c>
      <c r="R2702" s="80" t="s">
        <v>4341</v>
      </c>
      <c r="S2702" s="48" t="s">
        <v>4341</v>
      </c>
      <c r="T2702" s="72">
        <v>105</v>
      </c>
      <c r="U2702" s="70"/>
      <c r="V2702" s="32"/>
      <c r="W2702" s="70"/>
      <c r="X2702" s="70"/>
      <c r="Y2702" s="70"/>
      <c r="Z2702" s="70"/>
      <c r="AA2702" s="71"/>
      <c r="AB2702" s="117" t="str">
        <f>IFERROR(VLOOKUP(Anexo_4[[#This Row],[cuenta]],OP,2,0),"-")</f>
        <v>-</v>
      </c>
    </row>
    <row r="2703" spans="1:28" ht="27" customHeight="1" x14ac:dyDescent="0.3">
      <c r="A2703" s="34" t="s">
        <v>8764</v>
      </c>
      <c r="B2703" s="36" t="str">
        <f t="shared" si="77"/>
        <v>Octubre</v>
      </c>
      <c r="C2703" s="33" t="s">
        <v>162</v>
      </c>
      <c r="D2703" s="33" t="s">
        <v>8849</v>
      </c>
      <c r="E2703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703" s="32" t="s">
        <v>248</v>
      </c>
      <c r="G2703" s="32" t="s">
        <v>249</v>
      </c>
      <c r="H2703" s="139" t="s">
        <v>8850</v>
      </c>
      <c r="I2703" s="33" t="s">
        <v>625</v>
      </c>
      <c r="J2703" s="143" t="s">
        <v>4796</v>
      </c>
      <c r="K2703" s="33" t="s">
        <v>169</v>
      </c>
      <c r="L2703" s="102" t="str">
        <f>VLOOKUP(Anexo_4[[#This Row],[cod_doc]],TIPODOC,2,FALSE)</f>
        <v>FACTURA</v>
      </c>
      <c r="M2703" s="33" t="s">
        <v>180</v>
      </c>
      <c r="N2703" s="32" t="s">
        <v>8851</v>
      </c>
      <c r="O2703" s="48">
        <v>2700.05</v>
      </c>
      <c r="P2703" s="49" t="s">
        <v>4341</v>
      </c>
      <c r="Q2703" s="81">
        <v>486.02</v>
      </c>
      <c r="R2703" s="80" t="s">
        <v>4341</v>
      </c>
      <c r="S2703" s="48" t="s">
        <v>4341</v>
      </c>
      <c r="T2703" s="72">
        <v>3186.07</v>
      </c>
      <c r="U2703" s="70"/>
      <c r="V2703" s="32"/>
      <c r="W2703" s="70"/>
      <c r="X2703" s="70"/>
      <c r="Y2703" s="70" t="s">
        <v>8852</v>
      </c>
      <c r="Z2703" s="70"/>
      <c r="AA2703" s="71"/>
      <c r="AB2703" s="117" t="str">
        <f>IFERROR(VLOOKUP(Anexo_4[[#This Row],[cuenta]],OP,2,0),"-")</f>
        <v>-</v>
      </c>
    </row>
    <row r="2704" spans="1:28" ht="27" customHeight="1" x14ac:dyDescent="0.3">
      <c r="A2704" s="34" t="s">
        <v>8764</v>
      </c>
      <c r="B2704" s="36" t="str">
        <f t="shared" si="77"/>
        <v>Octubre</v>
      </c>
      <c r="C2704" s="33" t="s">
        <v>162</v>
      </c>
      <c r="D2704" s="33" t="s">
        <v>8853</v>
      </c>
      <c r="E2704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704" s="32" t="s">
        <v>248</v>
      </c>
      <c r="G2704" s="32" t="s">
        <v>249</v>
      </c>
      <c r="H2704" s="139" t="s">
        <v>8854</v>
      </c>
      <c r="I2704" s="33" t="s">
        <v>625</v>
      </c>
      <c r="J2704" s="143" t="s">
        <v>4796</v>
      </c>
      <c r="K2704" s="33" t="s">
        <v>169</v>
      </c>
      <c r="L2704" s="102" t="str">
        <f>VLOOKUP(Anexo_4[[#This Row],[cod_doc]],TIPODOC,2,FALSE)</f>
        <v>FACTURA</v>
      </c>
      <c r="M2704" s="33" t="s">
        <v>180</v>
      </c>
      <c r="N2704" s="32" t="s">
        <v>8855</v>
      </c>
      <c r="O2704" s="48">
        <v>5579.92</v>
      </c>
      <c r="P2704" s="49" t="s">
        <v>4341</v>
      </c>
      <c r="Q2704" s="81">
        <v>1004.38</v>
      </c>
      <c r="R2704" s="80" t="s">
        <v>4341</v>
      </c>
      <c r="S2704" s="48" t="s">
        <v>4341</v>
      </c>
      <c r="T2704" s="72">
        <v>6584.3</v>
      </c>
      <c r="U2704" s="70"/>
      <c r="V2704" s="32"/>
      <c r="W2704" s="70"/>
      <c r="X2704" s="70"/>
      <c r="Y2704" s="70" t="s">
        <v>8856</v>
      </c>
      <c r="Z2704" s="70"/>
      <c r="AA2704" s="71"/>
      <c r="AB2704" s="117" t="str">
        <f>IFERROR(VLOOKUP(Anexo_4[[#This Row],[cuenta]],OP,2,0),"-")</f>
        <v>-</v>
      </c>
    </row>
    <row r="2705" spans="1:28" ht="27" customHeight="1" x14ac:dyDescent="0.3">
      <c r="A2705" s="34" t="s">
        <v>8301</v>
      </c>
      <c r="B2705" s="36" t="str">
        <f t="shared" si="77"/>
        <v>Octubre</v>
      </c>
      <c r="C2705" s="33" t="s">
        <v>162</v>
      </c>
      <c r="D2705" s="33" t="s">
        <v>8857</v>
      </c>
      <c r="E2705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705" s="32" t="s">
        <v>248</v>
      </c>
      <c r="G2705" s="32" t="s">
        <v>249</v>
      </c>
      <c r="H2705" s="139" t="s">
        <v>8858</v>
      </c>
      <c r="I2705" s="33" t="s">
        <v>1783</v>
      </c>
      <c r="J2705" s="143" t="s">
        <v>5869</v>
      </c>
      <c r="K2705" s="33" t="s">
        <v>169</v>
      </c>
      <c r="L2705" s="102" t="str">
        <f>VLOOKUP(Anexo_4[[#This Row],[cod_doc]],TIPODOC,2,FALSE)</f>
        <v>FACTURA</v>
      </c>
      <c r="M2705" s="33" t="s">
        <v>102</v>
      </c>
      <c r="N2705" s="32" t="s">
        <v>8859</v>
      </c>
      <c r="O2705" s="48">
        <v>577.97</v>
      </c>
      <c r="P2705" s="49" t="s">
        <v>4341</v>
      </c>
      <c r="Q2705" s="81">
        <v>104.03</v>
      </c>
      <c r="R2705" s="80" t="s">
        <v>4341</v>
      </c>
      <c r="S2705" s="48" t="s">
        <v>4341</v>
      </c>
      <c r="T2705" s="72">
        <v>682</v>
      </c>
      <c r="U2705" s="70"/>
      <c r="V2705" s="32"/>
      <c r="W2705" s="70"/>
      <c r="X2705" s="70"/>
      <c r="Y2705" s="70" t="s">
        <v>8860</v>
      </c>
      <c r="Z2705" s="70"/>
      <c r="AA2705" s="71"/>
      <c r="AB2705" s="117" t="str">
        <f>IFERROR(VLOOKUP(Anexo_4[[#This Row],[cuenta]],OP,2,0),"-")</f>
        <v>-</v>
      </c>
    </row>
    <row r="2706" spans="1:28" ht="27" customHeight="1" x14ac:dyDescent="0.3">
      <c r="A2706" s="34" t="s">
        <v>8764</v>
      </c>
      <c r="B2706" s="36" t="str">
        <f t="shared" si="77"/>
        <v>Octubre</v>
      </c>
      <c r="C2706" s="33" t="s">
        <v>162</v>
      </c>
      <c r="D2706" s="33" t="s">
        <v>8861</v>
      </c>
      <c r="E2706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706" s="32" t="s">
        <v>248</v>
      </c>
      <c r="G2706" s="32" t="s">
        <v>249</v>
      </c>
      <c r="H2706" s="139" t="s">
        <v>8862</v>
      </c>
      <c r="I2706" s="33" t="s">
        <v>1111</v>
      </c>
      <c r="J2706" s="143" t="s">
        <v>7915</v>
      </c>
      <c r="K2706" s="33" t="s">
        <v>169</v>
      </c>
      <c r="L2706" s="102" t="str">
        <f>VLOOKUP(Anexo_4[[#This Row],[cod_doc]],TIPODOC,2,FALSE)</f>
        <v>FACTURA</v>
      </c>
      <c r="M2706" s="33" t="s">
        <v>1113</v>
      </c>
      <c r="N2706" s="32" t="s">
        <v>7096</v>
      </c>
      <c r="O2706" s="48">
        <v>759.1</v>
      </c>
      <c r="P2706" s="49" t="s">
        <v>4341</v>
      </c>
      <c r="Q2706" s="81">
        <v>136.65</v>
      </c>
      <c r="R2706" s="80" t="s">
        <v>4341</v>
      </c>
      <c r="S2706" s="48" t="s">
        <v>4341</v>
      </c>
      <c r="T2706" s="72">
        <v>895.75</v>
      </c>
      <c r="U2706" s="70"/>
      <c r="V2706" s="32"/>
      <c r="W2706" s="70"/>
      <c r="X2706" s="70"/>
      <c r="Y2706" s="70" t="s">
        <v>8863</v>
      </c>
      <c r="Z2706" s="70"/>
      <c r="AA2706" s="71"/>
      <c r="AB2706" s="117" t="str">
        <f>IFERROR(VLOOKUP(Anexo_4[[#This Row],[cuenta]],OP,2,0),"-")</f>
        <v>-</v>
      </c>
    </row>
    <row r="2707" spans="1:28" ht="27" customHeight="1" x14ac:dyDescent="0.3">
      <c r="A2707" s="34" t="s">
        <v>8764</v>
      </c>
      <c r="B2707" s="36" t="str">
        <f t="shared" si="77"/>
        <v>Octubre</v>
      </c>
      <c r="C2707" s="33" t="s">
        <v>162</v>
      </c>
      <c r="D2707" s="33" t="s">
        <v>8864</v>
      </c>
      <c r="E2707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707" s="32" t="s">
        <v>248</v>
      </c>
      <c r="G2707" s="32" t="s">
        <v>249</v>
      </c>
      <c r="H2707" s="139" t="s">
        <v>8865</v>
      </c>
      <c r="I2707" s="33" t="s">
        <v>1111</v>
      </c>
      <c r="J2707" s="143" t="s">
        <v>7915</v>
      </c>
      <c r="K2707" s="33" t="s">
        <v>169</v>
      </c>
      <c r="L2707" s="102" t="str">
        <f>VLOOKUP(Anexo_4[[#This Row],[cod_doc]],TIPODOC,2,FALSE)</f>
        <v>FACTURA</v>
      </c>
      <c r="M2707" s="33" t="s">
        <v>1113</v>
      </c>
      <c r="N2707" s="32" t="s">
        <v>7091</v>
      </c>
      <c r="O2707" s="48">
        <v>387.03</v>
      </c>
      <c r="P2707" s="49" t="s">
        <v>4341</v>
      </c>
      <c r="Q2707" s="81">
        <v>69.67</v>
      </c>
      <c r="R2707" s="80" t="s">
        <v>4341</v>
      </c>
      <c r="S2707" s="48" t="s">
        <v>4341</v>
      </c>
      <c r="T2707" s="72">
        <v>456.7</v>
      </c>
      <c r="U2707" s="70"/>
      <c r="V2707" s="32"/>
      <c r="W2707" s="70"/>
      <c r="X2707" s="70"/>
      <c r="Y2707" s="70" t="s">
        <v>8866</v>
      </c>
      <c r="Z2707" s="70"/>
      <c r="AA2707" s="71"/>
      <c r="AB2707" s="117" t="str">
        <f>IFERROR(VLOOKUP(Anexo_4[[#This Row],[cuenta]],OP,2,0),"-")</f>
        <v>-</v>
      </c>
    </row>
    <row r="2708" spans="1:28" ht="27" customHeight="1" x14ac:dyDescent="0.3">
      <c r="A2708" s="34" t="s">
        <v>8764</v>
      </c>
      <c r="B2708" s="36" t="str">
        <f t="shared" si="77"/>
        <v>Octubre</v>
      </c>
      <c r="C2708" s="33" t="s">
        <v>162</v>
      </c>
      <c r="D2708" s="33" t="s">
        <v>8867</v>
      </c>
      <c r="E2708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708" s="32" t="s">
        <v>248</v>
      </c>
      <c r="G2708" s="32" t="s">
        <v>249</v>
      </c>
      <c r="H2708" s="139" t="s">
        <v>8868</v>
      </c>
      <c r="I2708" s="33" t="s">
        <v>1111</v>
      </c>
      <c r="J2708" s="143" t="s">
        <v>7915</v>
      </c>
      <c r="K2708" s="33" t="s">
        <v>169</v>
      </c>
      <c r="L2708" s="102" t="str">
        <f>VLOOKUP(Anexo_4[[#This Row],[cod_doc]],TIPODOC,2,FALSE)</f>
        <v>FACTURA</v>
      </c>
      <c r="M2708" s="33" t="s">
        <v>1113</v>
      </c>
      <c r="N2708" s="32" t="s">
        <v>7086</v>
      </c>
      <c r="O2708" s="48">
        <v>664.28</v>
      </c>
      <c r="P2708" s="49" t="s">
        <v>4341</v>
      </c>
      <c r="Q2708" s="81">
        <v>119.57</v>
      </c>
      <c r="R2708" s="80" t="s">
        <v>4341</v>
      </c>
      <c r="S2708" s="48" t="s">
        <v>4341</v>
      </c>
      <c r="T2708" s="72">
        <v>783.85</v>
      </c>
      <c r="U2708" s="70"/>
      <c r="V2708" s="32"/>
      <c r="W2708" s="70"/>
      <c r="X2708" s="70"/>
      <c r="Y2708" s="70" t="s">
        <v>8869</v>
      </c>
      <c r="Z2708" s="70"/>
      <c r="AA2708" s="71"/>
      <c r="AB2708" s="117" t="str">
        <f>IFERROR(VLOOKUP(Anexo_4[[#This Row],[cuenta]],OP,2,0),"-")</f>
        <v>-</v>
      </c>
    </row>
    <row r="2709" spans="1:28" ht="27" customHeight="1" x14ac:dyDescent="0.3">
      <c r="A2709" s="34" t="s">
        <v>8764</v>
      </c>
      <c r="B2709" s="36" t="str">
        <f t="shared" si="77"/>
        <v>Octubre</v>
      </c>
      <c r="C2709" s="33" t="s">
        <v>162</v>
      </c>
      <c r="D2709" s="33" t="s">
        <v>8870</v>
      </c>
      <c r="E2709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709" s="32" t="s">
        <v>248</v>
      </c>
      <c r="G2709" s="32" t="s">
        <v>249</v>
      </c>
      <c r="H2709" s="139" t="s">
        <v>8871</v>
      </c>
      <c r="I2709" s="33" t="s">
        <v>1111</v>
      </c>
      <c r="J2709" s="143" t="s">
        <v>7915</v>
      </c>
      <c r="K2709" s="33" t="s">
        <v>169</v>
      </c>
      <c r="L2709" s="102" t="str">
        <f>VLOOKUP(Anexo_4[[#This Row],[cod_doc]],TIPODOC,2,FALSE)</f>
        <v>FACTURA</v>
      </c>
      <c r="M2709" s="33" t="s">
        <v>1113</v>
      </c>
      <c r="N2709" s="32" t="s">
        <v>8872</v>
      </c>
      <c r="O2709" s="48">
        <v>150.38</v>
      </c>
      <c r="P2709" s="49" t="s">
        <v>4341</v>
      </c>
      <c r="Q2709" s="81">
        <v>27.07</v>
      </c>
      <c r="R2709" s="80" t="s">
        <v>4341</v>
      </c>
      <c r="S2709" s="48" t="s">
        <v>4341</v>
      </c>
      <c r="T2709" s="72">
        <v>177.45</v>
      </c>
      <c r="U2709" s="70"/>
      <c r="V2709" s="32"/>
      <c r="W2709" s="70"/>
      <c r="X2709" s="70"/>
      <c r="Y2709" s="70" t="s">
        <v>8873</v>
      </c>
      <c r="Z2709" s="70"/>
      <c r="AA2709" s="71"/>
      <c r="AB2709" s="117" t="str">
        <f>IFERROR(VLOOKUP(Anexo_4[[#This Row],[cuenta]],OP,2,0),"-")</f>
        <v>-</v>
      </c>
    </row>
    <row r="2710" spans="1:28" ht="27" customHeight="1" x14ac:dyDescent="0.3">
      <c r="A2710" s="34" t="s">
        <v>8764</v>
      </c>
      <c r="B2710" s="36" t="str">
        <f t="shared" ref="B2710:B2724" si="78">PROPER(CHOOSE(LEFT(D2710,2),"enero","febrero","marzo","abril","mayo","junio","julio","agosto","setiembre","octubre","noviembre","diciembre"))</f>
        <v>Octubre</v>
      </c>
      <c r="C2710" s="33" t="s">
        <v>162</v>
      </c>
      <c r="D2710" s="33" t="s">
        <v>8874</v>
      </c>
      <c r="E2710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710" s="32" t="s">
        <v>248</v>
      </c>
      <c r="G2710" s="32" t="s">
        <v>249</v>
      </c>
      <c r="H2710" s="139" t="s">
        <v>8875</v>
      </c>
      <c r="I2710" s="33" t="s">
        <v>1111</v>
      </c>
      <c r="J2710" s="143" t="s">
        <v>7915</v>
      </c>
      <c r="K2710" s="33" t="s">
        <v>169</v>
      </c>
      <c r="L2710" s="102" t="str">
        <f>VLOOKUP(Anexo_4[[#This Row],[cod_doc]],TIPODOC,2,FALSE)</f>
        <v>FACTURA</v>
      </c>
      <c r="M2710" s="33" t="s">
        <v>1113</v>
      </c>
      <c r="N2710" s="32" t="s">
        <v>8876</v>
      </c>
      <c r="O2710" s="48">
        <v>483.89</v>
      </c>
      <c r="P2710" s="49" t="s">
        <v>4341</v>
      </c>
      <c r="Q2710" s="81">
        <v>87.11</v>
      </c>
      <c r="R2710" s="80" t="s">
        <v>4341</v>
      </c>
      <c r="S2710" s="48" t="s">
        <v>4341</v>
      </c>
      <c r="T2710" s="72">
        <v>571</v>
      </c>
      <c r="U2710" s="70"/>
      <c r="V2710" s="32"/>
      <c r="W2710" s="70"/>
      <c r="X2710" s="70"/>
      <c r="Y2710" s="70" t="s">
        <v>8877</v>
      </c>
      <c r="Z2710" s="70"/>
      <c r="AA2710" s="71"/>
      <c r="AB2710" s="117" t="str">
        <f>IFERROR(VLOOKUP(Anexo_4[[#This Row],[cuenta]],OP,2,0),"-")</f>
        <v>-</v>
      </c>
    </row>
    <row r="2711" spans="1:28" ht="27" customHeight="1" x14ac:dyDescent="0.3">
      <c r="A2711" s="34" t="s">
        <v>8301</v>
      </c>
      <c r="B2711" s="36" t="str">
        <f t="shared" si="78"/>
        <v>Octubre</v>
      </c>
      <c r="C2711" s="33" t="s">
        <v>162</v>
      </c>
      <c r="D2711" s="33" t="s">
        <v>8878</v>
      </c>
      <c r="E2711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711" s="32" t="s">
        <v>355</v>
      </c>
      <c r="G2711" s="32" t="s">
        <v>356</v>
      </c>
      <c r="H2711" s="139" t="s">
        <v>8879</v>
      </c>
      <c r="I2711" s="33" t="s">
        <v>1233</v>
      </c>
      <c r="J2711" s="143" t="s">
        <v>4684</v>
      </c>
      <c r="K2711" s="33" t="s">
        <v>169</v>
      </c>
      <c r="L2711" s="102" t="str">
        <f>VLOOKUP(Anexo_4[[#This Row],[cod_doc]],TIPODOC,2,FALSE)</f>
        <v>FACTURA</v>
      </c>
      <c r="M2711" s="33" t="s">
        <v>102</v>
      </c>
      <c r="N2711" s="32" t="s">
        <v>8880</v>
      </c>
      <c r="O2711" s="48">
        <v>519.6</v>
      </c>
      <c r="P2711" s="49" t="s">
        <v>4341</v>
      </c>
      <c r="Q2711" s="81">
        <v>93.53</v>
      </c>
      <c r="R2711" s="80" t="s">
        <v>4341</v>
      </c>
      <c r="S2711" s="48" t="s">
        <v>4341</v>
      </c>
      <c r="T2711" s="72">
        <v>613.13</v>
      </c>
      <c r="U2711" s="70"/>
      <c r="V2711" s="32"/>
      <c r="W2711" s="70"/>
      <c r="X2711" s="70"/>
      <c r="Y2711" s="70"/>
      <c r="Z2711" s="70"/>
      <c r="AA2711" s="71"/>
      <c r="AB2711" s="117" t="str">
        <f>IFERROR(VLOOKUP(Anexo_4[[#This Row],[cuenta]],OP,2,0),"-")</f>
        <v>-</v>
      </c>
    </row>
    <row r="2712" spans="1:28" ht="27" customHeight="1" x14ac:dyDescent="0.3">
      <c r="A2712" s="34" t="s">
        <v>8301</v>
      </c>
      <c r="B2712" s="36" t="str">
        <f t="shared" si="78"/>
        <v>Octubre</v>
      </c>
      <c r="C2712" s="33" t="s">
        <v>162</v>
      </c>
      <c r="D2712" s="33" t="s">
        <v>8881</v>
      </c>
      <c r="E2712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712" s="32" t="s">
        <v>355</v>
      </c>
      <c r="G2712" s="32" t="s">
        <v>356</v>
      </c>
      <c r="H2712" s="139" t="s">
        <v>8882</v>
      </c>
      <c r="I2712" s="33" t="s">
        <v>1233</v>
      </c>
      <c r="J2712" s="143" t="s">
        <v>4684</v>
      </c>
      <c r="K2712" s="33" t="s">
        <v>169</v>
      </c>
      <c r="L2712" s="102" t="str">
        <f>VLOOKUP(Anexo_4[[#This Row],[cod_doc]],TIPODOC,2,FALSE)</f>
        <v>FACTURA</v>
      </c>
      <c r="M2712" s="33" t="s">
        <v>102</v>
      </c>
      <c r="N2712" s="32" t="s">
        <v>8883</v>
      </c>
      <c r="O2712" s="48">
        <v>1235.7</v>
      </c>
      <c r="P2712" s="49" t="s">
        <v>4341</v>
      </c>
      <c r="Q2712" s="81">
        <v>222.43</v>
      </c>
      <c r="R2712" s="80" t="s">
        <v>4341</v>
      </c>
      <c r="S2712" s="48" t="s">
        <v>4341</v>
      </c>
      <c r="T2712" s="72">
        <v>1458.13</v>
      </c>
      <c r="U2712" s="70"/>
      <c r="V2712" s="32"/>
      <c r="W2712" s="70"/>
      <c r="X2712" s="70"/>
      <c r="Y2712" s="70"/>
      <c r="Z2712" s="70"/>
      <c r="AA2712" s="71"/>
      <c r="AB2712" s="117" t="str">
        <f>IFERROR(VLOOKUP(Anexo_4[[#This Row],[cuenta]],OP,2,0),"-")</f>
        <v>-</v>
      </c>
    </row>
    <row r="2713" spans="1:28" ht="27" customHeight="1" x14ac:dyDescent="0.3">
      <c r="A2713" s="34" t="s">
        <v>8301</v>
      </c>
      <c r="B2713" s="36" t="str">
        <f t="shared" si="78"/>
        <v>Octubre</v>
      </c>
      <c r="C2713" s="33" t="s">
        <v>162</v>
      </c>
      <c r="D2713" s="33" t="s">
        <v>8884</v>
      </c>
      <c r="E2713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713" s="32" t="s">
        <v>355</v>
      </c>
      <c r="G2713" s="32" t="s">
        <v>356</v>
      </c>
      <c r="H2713" s="139" t="s">
        <v>8885</v>
      </c>
      <c r="I2713" s="33" t="s">
        <v>1233</v>
      </c>
      <c r="J2713" s="143" t="s">
        <v>4684</v>
      </c>
      <c r="K2713" s="33" t="s">
        <v>169</v>
      </c>
      <c r="L2713" s="102" t="str">
        <f>VLOOKUP(Anexo_4[[#This Row],[cod_doc]],TIPODOC,2,FALSE)</f>
        <v>FACTURA</v>
      </c>
      <c r="M2713" s="33" t="s">
        <v>102</v>
      </c>
      <c r="N2713" s="32" t="s">
        <v>8886</v>
      </c>
      <c r="O2713" s="48">
        <v>639.29999999999995</v>
      </c>
      <c r="P2713" s="49" t="s">
        <v>4341</v>
      </c>
      <c r="Q2713" s="81">
        <v>115.07</v>
      </c>
      <c r="R2713" s="80" t="s">
        <v>4341</v>
      </c>
      <c r="S2713" s="48" t="s">
        <v>4341</v>
      </c>
      <c r="T2713" s="72">
        <v>754.37</v>
      </c>
      <c r="U2713" s="70"/>
      <c r="V2713" s="32"/>
      <c r="W2713" s="70"/>
      <c r="X2713" s="70"/>
      <c r="Y2713" s="70"/>
      <c r="Z2713" s="70"/>
      <c r="AA2713" s="71"/>
      <c r="AB2713" s="117" t="str">
        <f>IFERROR(VLOOKUP(Anexo_4[[#This Row],[cuenta]],OP,2,0),"-")</f>
        <v>-</v>
      </c>
    </row>
    <row r="2714" spans="1:28" ht="27" customHeight="1" x14ac:dyDescent="0.3">
      <c r="A2714" s="34" t="s">
        <v>8764</v>
      </c>
      <c r="B2714" s="36" t="str">
        <f t="shared" si="78"/>
        <v>Octubre</v>
      </c>
      <c r="C2714" s="33" t="s">
        <v>162</v>
      </c>
      <c r="D2714" s="33" t="s">
        <v>8887</v>
      </c>
      <c r="E2714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714" s="32" t="s">
        <v>449</v>
      </c>
      <c r="G2714" s="32" t="s">
        <v>4868</v>
      </c>
      <c r="H2714" s="139" t="s">
        <v>765</v>
      </c>
      <c r="I2714" s="33" t="s">
        <v>452</v>
      </c>
      <c r="J2714" s="143" t="s">
        <v>4854</v>
      </c>
      <c r="K2714" s="33" t="s">
        <v>169</v>
      </c>
      <c r="L2714" s="102" t="str">
        <f>VLOOKUP(Anexo_4[[#This Row],[cod_doc]],TIPODOC,2,FALSE)</f>
        <v>FACTURA</v>
      </c>
      <c r="M2714" s="33" t="s">
        <v>1056</v>
      </c>
      <c r="N2714" s="32" t="s">
        <v>8888</v>
      </c>
      <c r="O2714" s="48">
        <v>641.20000000000005</v>
      </c>
      <c r="P2714" s="49" t="s">
        <v>4341</v>
      </c>
      <c r="Q2714" s="81">
        <v>115.42</v>
      </c>
      <c r="R2714" s="80" t="s">
        <v>4341</v>
      </c>
      <c r="S2714" s="48" t="s">
        <v>4341</v>
      </c>
      <c r="T2714" s="72">
        <v>756.62</v>
      </c>
      <c r="U2714" s="70"/>
      <c r="V2714" s="32"/>
      <c r="W2714" s="70"/>
      <c r="X2714" s="70"/>
      <c r="Y2714" s="70"/>
      <c r="Z2714" s="70"/>
      <c r="AA2714" s="71"/>
      <c r="AB2714" s="117" t="str">
        <f>IFERROR(VLOOKUP(Anexo_4[[#This Row],[cuenta]],OP,2,0),"-")</f>
        <v>-</v>
      </c>
    </row>
    <row r="2715" spans="1:28" ht="27" customHeight="1" x14ac:dyDescent="0.3">
      <c r="A2715" s="34" t="s">
        <v>8764</v>
      </c>
      <c r="B2715" s="36" t="str">
        <f t="shared" si="78"/>
        <v>Octubre</v>
      </c>
      <c r="C2715" s="33" t="s">
        <v>162</v>
      </c>
      <c r="D2715" s="33" t="s">
        <v>8889</v>
      </c>
      <c r="E2715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715" s="32" t="s">
        <v>217</v>
      </c>
      <c r="G2715" s="32" t="s">
        <v>4839</v>
      </c>
      <c r="H2715" s="139" t="s">
        <v>765</v>
      </c>
      <c r="I2715" s="33" t="s">
        <v>452</v>
      </c>
      <c r="J2715" s="143" t="s">
        <v>4854</v>
      </c>
      <c r="K2715" s="33" t="s">
        <v>169</v>
      </c>
      <c r="L2715" s="102" t="str">
        <f>VLOOKUP(Anexo_4[[#This Row],[cod_doc]],TIPODOC,2,FALSE)</f>
        <v>FACTURA</v>
      </c>
      <c r="M2715" s="33" t="s">
        <v>461</v>
      </c>
      <c r="N2715" s="32" t="s">
        <v>8890</v>
      </c>
      <c r="O2715" s="48">
        <v>1085.57</v>
      </c>
      <c r="P2715" s="49" t="s">
        <v>4341</v>
      </c>
      <c r="Q2715" s="81">
        <v>195.4</v>
      </c>
      <c r="R2715" s="80" t="s">
        <v>4341</v>
      </c>
      <c r="S2715" s="48" t="s">
        <v>4341</v>
      </c>
      <c r="T2715" s="72">
        <v>1280.97</v>
      </c>
      <c r="U2715" s="70"/>
      <c r="V2715" s="32"/>
      <c r="W2715" s="70"/>
      <c r="X2715" s="70"/>
      <c r="Y2715" s="70"/>
      <c r="Z2715" s="70"/>
      <c r="AA2715" s="71"/>
      <c r="AB2715" s="117" t="str">
        <f>IFERROR(VLOOKUP(Anexo_4[[#This Row],[cuenta]],OP,2,0),"-")</f>
        <v>-</v>
      </c>
    </row>
    <row r="2716" spans="1:28" ht="27" customHeight="1" x14ac:dyDescent="0.3">
      <c r="A2716" s="34" t="s">
        <v>6256</v>
      </c>
      <c r="B2716" s="36" t="str">
        <f t="shared" si="78"/>
        <v>Octubre</v>
      </c>
      <c r="C2716" s="33" t="s">
        <v>162</v>
      </c>
      <c r="D2716" s="33" t="s">
        <v>8891</v>
      </c>
      <c r="E2716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716" s="32"/>
      <c r="G2716" s="32"/>
      <c r="H2716" s="139" t="s">
        <v>8892</v>
      </c>
      <c r="I2716" s="33" t="s">
        <v>1074</v>
      </c>
      <c r="J2716" s="143" t="s">
        <v>4635</v>
      </c>
      <c r="K2716" s="33" t="s">
        <v>169</v>
      </c>
      <c r="L2716" s="102" t="str">
        <f>VLOOKUP(Anexo_4[[#This Row],[cod_doc]],TIPODOC,2,FALSE)</f>
        <v>FACTURA</v>
      </c>
      <c r="M2716" s="33" t="s">
        <v>102</v>
      </c>
      <c r="N2716" s="32" t="s">
        <v>8893</v>
      </c>
      <c r="O2716" s="48">
        <v>60</v>
      </c>
      <c r="P2716" s="49" t="s">
        <v>4341</v>
      </c>
      <c r="Q2716" s="81">
        <v>10.8</v>
      </c>
      <c r="R2716" s="80" t="s">
        <v>4341</v>
      </c>
      <c r="S2716" s="48" t="s">
        <v>4341</v>
      </c>
      <c r="T2716" s="72">
        <v>70.8</v>
      </c>
      <c r="U2716" s="70"/>
      <c r="V2716" s="32"/>
      <c r="W2716" s="70"/>
      <c r="X2716" s="70"/>
      <c r="Y2716" s="70"/>
      <c r="Z2716" s="70"/>
      <c r="AA2716" s="71"/>
      <c r="AB2716" s="117" t="str">
        <f>IFERROR(VLOOKUP(Anexo_4[[#This Row],[cuenta]],OP,2,0),"-")</f>
        <v>-</v>
      </c>
    </row>
    <row r="2717" spans="1:28" ht="27" customHeight="1" x14ac:dyDescent="0.3">
      <c r="A2717" s="34" t="s">
        <v>8641</v>
      </c>
      <c r="B2717" s="36" t="str">
        <f t="shared" si="78"/>
        <v>Octubre</v>
      </c>
      <c r="C2717" s="33" t="s">
        <v>162</v>
      </c>
      <c r="D2717" s="33" t="s">
        <v>8894</v>
      </c>
      <c r="E2717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717" s="32" t="s">
        <v>355</v>
      </c>
      <c r="G2717" s="32" t="s">
        <v>356</v>
      </c>
      <c r="H2717" s="139" t="s">
        <v>8895</v>
      </c>
      <c r="I2717" s="33" t="s">
        <v>991</v>
      </c>
      <c r="J2717" s="143" t="s">
        <v>5729</v>
      </c>
      <c r="K2717" s="33" t="s">
        <v>169</v>
      </c>
      <c r="L2717" s="102" t="str">
        <f>VLOOKUP(Anexo_4[[#This Row],[cod_doc]],TIPODOC,2,FALSE)</f>
        <v>FACTURA</v>
      </c>
      <c r="M2717" s="33" t="s">
        <v>222</v>
      </c>
      <c r="N2717" s="32" t="s">
        <v>8896</v>
      </c>
      <c r="O2717" s="48">
        <v>21.19</v>
      </c>
      <c r="P2717" s="49" t="s">
        <v>4341</v>
      </c>
      <c r="Q2717" s="81">
        <v>3.81</v>
      </c>
      <c r="R2717" s="80" t="s">
        <v>4341</v>
      </c>
      <c r="S2717" s="48" t="s">
        <v>4341</v>
      </c>
      <c r="T2717" s="72">
        <v>25</v>
      </c>
      <c r="U2717" s="70"/>
      <c r="V2717" s="32"/>
      <c r="W2717" s="70"/>
      <c r="X2717" s="70"/>
      <c r="Y2717" s="70"/>
      <c r="Z2717" s="70"/>
      <c r="AA2717" s="71"/>
      <c r="AB2717" s="117" t="str">
        <f>IFERROR(VLOOKUP(Anexo_4[[#This Row],[cuenta]],OP,2,0),"-")</f>
        <v>-</v>
      </c>
    </row>
    <row r="2718" spans="1:28" ht="27" customHeight="1" x14ac:dyDescent="0.3">
      <c r="A2718" s="34" t="s">
        <v>8641</v>
      </c>
      <c r="B2718" s="36" t="str">
        <f t="shared" si="78"/>
        <v>Octubre</v>
      </c>
      <c r="C2718" s="33" t="s">
        <v>162</v>
      </c>
      <c r="D2718" s="33" t="s">
        <v>8897</v>
      </c>
      <c r="E2718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718" s="32" t="s">
        <v>1028</v>
      </c>
      <c r="G2718" s="32" t="s">
        <v>1029</v>
      </c>
      <c r="H2718" s="139" t="s">
        <v>8898</v>
      </c>
      <c r="I2718" s="33" t="s">
        <v>2429</v>
      </c>
      <c r="J2718" s="143" t="s">
        <v>5038</v>
      </c>
      <c r="K2718" s="33" t="s">
        <v>239</v>
      </c>
      <c r="L2718" s="102" t="str">
        <f>VLOOKUP(Anexo_4[[#This Row],[cod_doc]],TIPODOC,2,FALSE)</f>
        <v>BOLETA DE VENTA</v>
      </c>
      <c r="M2718" s="33" t="s">
        <v>5938</v>
      </c>
      <c r="N2718" s="32" t="s">
        <v>8899</v>
      </c>
      <c r="O2718" s="48" t="s">
        <v>4341</v>
      </c>
      <c r="P2718" s="49" t="s">
        <v>4341</v>
      </c>
      <c r="Q2718" s="81" t="s">
        <v>4341</v>
      </c>
      <c r="R2718" s="80" t="s">
        <v>4341</v>
      </c>
      <c r="S2718" s="48">
        <v>15</v>
      </c>
      <c r="T2718" s="72">
        <v>15</v>
      </c>
      <c r="U2718" s="70"/>
      <c r="V2718" s="32"/>
      <c r="W2718" s="70"/>
      <c r="X2718" s="70"/>
      <c r="Y2718" s="70"/>
      <c r="Z2718" s="70"/>
      <c r="AA2718" s="71"/>
      <c r="AB2718" s="117" t="str">
        <f>IFERROR(VLOOKUP(Anexo_4[[#This Row],[cuenta]],OP,2,0),"-")</f>
        <v>-</v>
      </c>
    </row>
    <row r="2719" spans="1:28" ht="27" customHeight="1" x14ac:dyDescent="0.3">
      <c r="A2719" s="34" t="s">
        <v>6536</v>
      </c>
      <c r="B2719" s="36" t="str">
        <f t="shared" si="78"/>
        <v>Octubre</v>
      </c>
      <c r="C2719" s="33" t="s">
        <v>162</v>
      </c>
      <c r="D2719" s="33" t="s">
        <v>8900</v>
      </c>
      <c r="E2719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719" s="32"/>
      <c r="G2719" s="32"/>
      <c r="H2719" s="139" t="s">
        <v>3417</v>
      </c>
      <c r="I2719" s="33" t="s">
        <v>949</v>
      </c>
      <c r="J2719" s="143" t="s">
        <v>8901</v>
      </c>
      <c r="K2719" s="33" t="s">
        <v>169</v>
      </c>
      <c r="L2719" s="102" t="str">
        <f>VLOOKUP(Anexo_4[[#This Row],[cod_doc]],TIPODOC,2,FALSE)</f>
        <v>FACTURA</v>
      </c>
      <c r="M2719" s="33" t="s">
        <v>222</v>
      </c>
      <c r="N2719" s="32" t="s">
        <v>8902</v>
      </c>
      <c r="O2719" s="48">
        <v>102</v>
      </c>
      <c r="P2719" s="49" t="s">
        <v>4341</v>
      </c>
      <c r="Q2719" s="81">
        <v>18.36</v>
      </c>
      <c r="R2719" s="80" t="s">
        <v>4341</v>
      </c>
      <c r="S2719" s="48" t="s">
        <v>4341</v>
      </c>
      <c r="T2719" s="72">
        <v>120.36</v>
      </c>
      <c r="U2719" s="70"/>
      <c r="V2719" s="32"/>
      <c r="W2719" s="70"/>
      <c r="X2719" s="70"/>
      <c r="Y2719" s="70"/>
      <c r="Z2719" s="70"/>
      <c r="AA2719" s="71"/>
      <c r="AB2719" s="117" t="str">
        <f>IFERROR(VLOOKUP(Anexo_4[[#This Row],[cuenta]],OP,2,0),"-")</f>
        <v>-</v>
      </c>
    </row>
    <row r="2720" spans="1:28" ht="27" customHeight="1" x14ac:dyDescent="0.3">
      <c r="A2720" s="34" t="s">
        <v>5095</v>
      </c>
      <c r="B2720" s="36" t="str">
        <f t="shared" si="78"/>
        <v>Octubre</v>
      </c>
      <c r="C2720" s="33" t="s">
        <v>162</v>
      </c>
      <c r="D2720" s="33" t="s">
        <v>8903</v>
      </c>
      <c r="E2720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720" s="32"/>
      <c r="G2720" s="32"/>
      <c r="H2720" s="139" t="s">
        <v>8904</v>
      </c>
      <c r="I2720" s="33" t="s">
        <v>643</v>
      </c>
      <c r="J2720" s="143" t="s">
        <v>4632</v>
      </c>
      <c r="K2720" s="33" t="s">
        <v>169</v>
      </c>
      <c r="L2720" s="102" t="str">
        <f>VLOOKUP(Anexo_4[[#This Row],[cod_doc]],TIPODOC,2,FALSE)</f>
        <v>FACTURA</v>
      </c>
      <c r="M2720" s="33" t="s">
        <v>102</v>
      </c>
      <c r="N2720" s="32" t="s">
        <v>8905</v>
      </c>
      <c r="O2720" s="48">
        <v>170</v>
      </c>
      <c r="P2720" s="49" t="s">
        <v>4341</v>
      </c>
      <c r="Q2720" s="81">
        <v>30.6</v>
      </c>
      <c r="R2720" s="80" t="s">
        <v>4341</v>
      </c>
      <c r="S2720" s="48" t="s">
        <v>4341</v>
      </c>
      <c r="T2720" s="72">
        <v>200.6</v>
      </c>
      <c r="U2720" s="70"/>
      <c r="V2720" s="32"/>
      <c r="W2720" s="70"/>
      <c r="X2720" s="70"/>
      <c r="Y2720" s="70"/>
      <c r="Z2720" s="70"/>
      <c r="AA2720" s="71"/>
      <c r="AB2720" s="117" t="str">
        <f>IFERROR(VLOOKUP(Anexo_4[[#This Row],[cuenta]],OP,2,0),"-")</f>
        <v>-</v>
      </c>
    </row>
    <row r="2721" spans="1:28" ht="27" customHeight="1" x14ac:dyDescent="0.3">
      <c r="A2721" s="34" t="s">
        <v>3610</v>
      </c>
      <c r="B2721" s="36" t="str">
        <f t="shared" si="78"/>
        <v>Octubre</v>
      </c>
      <c r="C2721" s="33" t="s">
        <v>162</v>
      </c>
      <c r="D2721" s="33" t="s">
        <v>8906</v>
      </c>
      <c r="E2721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721" s="32"/>
      <c r="G2721" s="32"/>
      <c r="H2721" s="139" t="s">
        <v>8907</v>
      </c>
      <c r="I2721" s="33" t="s">
        <v>643</v>
      </c>
      <c r="J2721" s="143" t="s">
        <v>4632</v>
      </c>
      <c r="K2721" s="33" t="s">
        <v>169</v>
      </c>
      <c r="L2721" s="102" t="str">
        <f>VLOOKUP(Anexo_4[[#This Row],[cod_doc]],TIPODOC,2,FALSE)</f>
        <v>FACTURA</v>
      </c>
      <c r="M2721" s="33" t="s">
        <v>102</v>
      </c>
      <c r="N2721" s="32" t="s">
        <v>8908</v>
      </c>
      <c r="O2721" s="48">
        <v>340</v>
      </c>
      <c r="P2721" s="49" t="s">
        <v>4341</v>
      </c>
      <c r="Q2721" s="81">
        <v>61.2</v>
      </c>
      <c r="R2721" s="80" t="s">
        <v>4341</v>
      </c>
      <c r="S2721" s="48" t="s">
        <v>4341</v>
      </c>
      <c r="T2721" s="72">
        <v>401.2</v>
      </c>
      <c r="U2721" s="70"/>
      <c r="V2721" s="32"/>
      <c r="W2721" s="70"/>
      <c r="X2721" s="70"/>
      <c r="Y2721" s="70"/>
      <c r="Z2721" s="70"/>
      <c r="AA2721" s="71"/>
      <c r="AB2721" s="117" t="str">
        <f>IFERROR(VLOOKUP(Anexo_4[[#This Row],[cuenta]],OP,2,0),"-")</f>
        <v>-</v>
      </c>
    </row>
    <row r="2722" spans="1:28" ht="27" customHeight="1" x14ac:dyDescent="0.3">
      <c r="A2722" s="34" t="s">
        <v>7141</v>
      </c>
      <c r="B2722" s="36" t="str">
        <f t="shared" si="78"/>
        <v>Octubre</v>
      </c>
      <c r="C2722" s="33" t="s">
        <v>162</v>
      </c>
      <c r="D2722" s="33" t="s">
        <v>8909</v>
      </c>
      <c r="E2722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722" s="32" t="s">
        <v>592</v>
      </c>
      <c r="G2722" s="32" t="s">
        <v>593</v>
      </c>
      <c r="H2722" s="139" t="s">
        <v>8910</v>
      </c>
      <c r="I2722" s="33" t="s">
        <v>1074</v>
      </c>
      <c r="J2722" s="143" t="s">
        <v>4635</v>
      </c>
      <c r="K2722" s="33" t="s">
        <v>169</v>
      </c>
      <c r="L2722" s="102" t="str">
        <f>VLOOKUP(Anexo_4[[#This Row],[cod_doc]],TIPODOC,2,FALSE)</f>
        <v>FACTURA</v>
      </c>
      <c r="M2722" s="33" t="s">
        <v>102</v>
      </c>
      <c r="N2722" s="32" t="s">
        <v>8911</v>
      </c>
      <c r="O2722" s="48">
        <v>90</v>
      </c>
      <c r="P2722" s="49" t="s">
        <v>4341</v>
      </c>
      <c r="Q2722" s="81">
        <v>16.2</v>
      </c>
      <c r="R2722" s="80" t="s">
        <v>4341</v>
      </c>
      <c r="S2722" s="48" t="s">
        <v>4341</v>
      </c>
      <c r="T2722" s="72">
        <v>106.2</v>
      </c>
      <c r="U2722" s="70"/>
      <c r="V2722" s="32"/>
      <c r="W2722" s="70"/>
      <c r="X2722" s="70"/>
      <c r="Y2722" s="70"/>
      <c r="Z2722" s="70"/>
      <c r="AA2722" s="71"/>
      <c r="AB2722" s="117" t="str">
        <f>IFERROR(VLOOKUP(Anexo_4[[#This Row],[cuenta]],OP,2,0),"-")</f>
        <v>-</v>
      </c>
    </row>
    <row r="2723" spans="1:28" ht="27" customHeight="1" x14ac:dyDescent="0.3">
      <c r="A2723" s="34" t="s">
        <v>8301</v>
      </c>
      <c r="B2723" s="36" t="str">
        <f t="shared" si="78"/>
        <v>Octubre</v>
      </c>
      <c r="C2723" s="33" t="s">
        <v>162</v>
      </c>
      <c r="D2723" s="33" t="s">
        <v>8912</v>
      </c>
      <c r="E2723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723" s="32" t="s">
        <v>953</v>
      </c>
      <c r="G2723" s="32" t="s">
        <v>954</v>
      </c>
      <c r="H2723" s="139" t="s">
        <v>8913</v>
      </c>
      <c r="I2723" s="33" t="s">
        <v>956</v>
      </c>
      <c r="J2723" s="143" t="s">
        <v>5539</v>
      </c>
      <c r="K2723" s="33" t="s">
        <v>169</v>
      </c>
      <c r="L2723" s="102" t="str">
        <f>VLOOKUP(Anexo_4[[#This Row],[cod_doc]],TIPODOC,2,FALSE)</f>
        <v>FACTURA</v>
      </c>
      <c r="M2723" s="33" t="s">
        <v>102</v>
      </c>
      <c r="N2723" s="32" t="s">
        <v>5165</v>
      </c>
      <c r="O2723" s="48">
        <v>500</v>
      </c>
      <c r="P2723" s="49" t="s">
        <v>4341</v>
      </c>
      <c r="Q2723" s="81">
        <v>90</v>
      </c>
      <c r="R2723" s="80" t="s">
        <v>4341</v>
      </c>
      <c r="S2723" s="48" t="s">
        <v>4341</v>
      </c>
      <c r="T2723" s="72">
        <v>590</v>
      </c>
      <c r="U2723" s="70"/>
      <c r="V2723" s="32"/>
      <c r="W2723" s="70"/>
      <c r="X2723" s="70"/>
      <c r="Y2723" s="70"/>
      <c r="Z2723" s="70"/>
      <c r="AA2723" s="71"/>
      <c r="AB2723" s="117" t="str">
        <f>IFERROR(VLOOKUP(Anexo_4[[#This Row],[cuenta]],OP,2,0),"-")</f>
        <v>-</v>
      </c>
    </row>
    <row r="2724" spans="1:28" ht="27" customHeight="1" x14ac:dyDescent="0.3">
      <c r="A2724" s="34" t="s">
        <v>8641</v>
      </c>
      <c r="B2724" s="36" t="str">
        <f t="shared" si="78"/>
        <v>Octubre</v>
      </c>
      <c r="C2724" s="33" t="s">
        <v>162</v>
      </c>
      <c r="D2724" s="33" t="s">
        <v>8914</v>
      </c>
      <c r="E2724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724" s="32" t="s">
        <v>235</v>
      </c>
      <c r="G2724" s="32" t="s">
        <v>5051</v>
      </c>
      <c r="H2724" s="139" t="s">
        <v>8915</v>
      </c>
      <c r="I2724" s="33" t="s">
        <v>3483</v>
      </c>
      <c r="J2724" s="143" t="s">
        <v>7183</v>
      </c>
      <c r="K2724" s="33" t="s">
        <v>169</v>
      </c>
      <c r="L2724" s="102" t="str">
        <f>VLOOKUP(Anexo_4[[#This Row],[cod_doc]],TIPODOC,2,FALSE)</f>
        <v>FACTURA</v>
      </c>
      <c r="M2724" s="33" t="s">
        <v>3485</v>
      </c>
      <c r="N2724" s="32" t="s">
        <v>8916</v>
      </c>
      <c r="O2724" s="48">
        <v>84.84</v>
      </c>
      <c r="P2724" s="49" t="s">
        <v>4341</v>
      </c>
      <c r="Q2724" s="81">
        <v>15.27</v>
      </c>
      <c r="R2724" s="80" t="s">
        <v>4341</v>
      </c>
      <c r="S2724" s="48" t="s">
        <v>4341</v>
      </c>
      <c r="T2724" s="72">
        <v>100.11</v>
      </c>
      <c r="U2724" s="70"/>
      <c r="V2724" s="32"/>
      <c r="W2724" s="70"/>
      <c r="X2724" s="70"/>
      <c r="Y2724" s="70" t="s">
        <v>8917</v>
      </c>
      <c r="Z2724" s="70"/>
      <c r="AA2724" s="71"/>
      <c r="AB2724" s="117" t="str">
        <f>IFERROR(VLOOKUP(Anexo_4[[#This Row],[cuenta]],OP,2,0),"-")</f>
        <v>-</v>
      </c>
    </row>
    <row r="2725" spans="1:28" ht="27" customHeight="1" x14ac:dyDescent="0.3">
      <c r="A2725" s="34" t="s">
        <v>8505</v>
      </c>
      <c r="B2725" s="36" t="str">
        <f>PROPER(CHOOSE(LEFT(D2725,2),"enero","febrero","marzo","abril","mayo","junio","julio","agosto","setiembre","octubre","noviembre","diciembre"))</f>
        <v>Octubre</v>
      </c>
      <c r="C2725" s="33" t="s">
        <v>162</v>
      </c>
      <c r="D2725" s="33" t="s">
        <v>8918</v>
      </c>
      <c r="E2725" s="37" t="str">
        <f>IF(LEFT(Anexo_4[[#This Row],[c_costos]],2)="91","OPERACIONES",IF(LEFT(Anexo_4[[#This Row],[c_costos]],2)="97","G. FINANCIEROS",IF(LEFT(Anexo_4[[#This Row],[c_costos]],2)="95","G. VENTAS","G. ADMINISTRACIÓN")))</f>
        <v>G. FINANCIEROS</v>
      </c>
      <c r="F2725" s="32" t="s">
        <v>474</v>
      </c>
      <c r="G2725" s="32" t="s">
        <v>475</v>
      </c>
      <c r="H2725" s="139" t="s">
        <v>3440</v>
      </c>
      <c r="I2725" s="33" t="s">
        <v>477</v>
      </c>
      <c r="J2725" s="143" t="s">
        <v>4623</v>
      </c>
      <c r="K2725" s="33" t="s">
        <v>169</v>
      </c>
      <c r="L2725" s="102" t="str">
        <f>VLOOKUP(Anexo_4[[#This Row],[cod_doc]],TIPODOC,2,FALSE)</f>
        <v>FACTURA</v>
      </c>
      <c r="M2725" s="33" t="s">
        <v>479</v>
      </c>
      <c r="N2725" s="32" t="s">
        <v>8919</v>
      </c>
      <c r="O2725" s="48" t="s">
        <v>4341</v>
      </c>
      <c r="P2725" s="49" t="s">
        <v>4341</v>
      </c>
      <c r="Q2725" s="81" t="s">
        <v>4341</v>
      </c>
      <c r="R2725" s="80" t="s">
        <v>4341</v>
      </c>
      <c r="S2725" s="48">
        <v>10</v>
      </c>
      <c r="T2725" s="72">
        <v>10</v>
      </c>
      <c r="U2725" s="70"/>
      <c r="V2725" s="32"/>
      <c r="W2725" s="70"/>
      <c r="X2725" s="70"/>
      <c r="Y2725" s="70"/>
      <c r="Z2725" s="70"/>
      <c r="AA2725" s="71"/>
      <c r="AB2725" s="117" t="str">
        <f>IFERROR(VLOOKUP(Anexo_4[[#This Row],[cuenta]],OP,2,0),"-")</f>
        <v>-</v>
      </c>
    </row>
    <row r="2726" spans="1:28" ht="27" customHeight="1" x14ac:dyDescent="0.3">
      <c r="A2726" s="34" t="s">
        <v>7710</v>
      </c>
      <c r="B2726" s="36" t="str">
        <f>PROPER(CHOOSE(LEFT(D2726,2),"enero","febrero","marzo","abril","mayo","junio","julio","agosto","setiembre","octubre","noviembre","diciembre"))</f>
        <v>Octubre</v>
      </c>
      <c r="C2726" s="33" t="s">
        <v>162</v>
      </c>
      <c r="D2726" s="33" t="s">
        <v>8920</v>
      </c>
      <c r="E2726" s="37" t="str">
        <f>IF(LEFT(Anexo_4[[#This Row],[c_costos]],2)="91","OPERACIONES",IF(LEFT(Anexo_4[[#This Row],[c_costos]],2)="97","G. FINANCIEROS",IF(LEFT(Anexo_4[[#This Row],[c_costos]],2)="95","G. VENTAS","G. ADMINISTRACIÓN")))</f>
        <v>G. FINANCIEROS</v>
      </c>
      <c r="F2726" s="32" t="s">
        <v>474</v>
      </c>
      <c r="G2726" s="32" t="s">
        <v>475</v>
      </c>
      <c r="H2726" s="139" t="s">
        <v>3440</v>
      </c>
      <c r="I2726" s="33" t="s">
        <v>477</v>
      </c>
      <c r="J2726" s="143" t="s">
        <v>4623</v>
      </c>
      <c r="K2726" s="33" t="s">
        <v>169</v>
      </c>
      <c r="L2726" s="102" t="str">
        <f>VLOOKUP(Anexo_4[[#This Row],[cod_doc]],TIPODOC,2,FALSE)</f>
        <v>FACTURA</v>
      </c>
      <c r="M2726" s="33" t="s">
        <v>479</v>
      </c>
      <c r="N2726" s="32" t="s">
        <v>8921</v>
      </c>
      <c r="O2726" s="48" t="s">
        <v>4341</v>
      </c>
      <c r="P2726" s="49" t="s">
        <v>4341</v>
      </c>
      <c r="Q2726" s="81" t="s">
        <v>4341</v>
      </c>
      <c r="R2726" s="80" t="s">
        <v>4341</v>
      </c>
      <c r="S2726" s="48">
        <v>32.5</v>
      </c>
      <c r="T2726" s="72">
        <v>32.5</v>
      </c>
      <c r="U2726" s="70"/>
      <c r="V2726" s="32"/>
      <c r="W2726" s="70"/>
      <c r="X2726" s="70"/>
      <c r="Y2726" s="70"/>
      <c r="Z2726" s="70"/>
      <c r="AA2726" s="71"/>
      <c r="AB2726" s="117" t="str">
        <f>IFERROR(VLOOKUP(Anexo_4[[#This Row],[cuenta]],OP,2,0),"-")</f>
        <v>-</v>
      </c>
    </row>
    <row r="2727" spans="1:28" ht="27" customHeight="1" x14ac:dyDescent="0.3">
      <c r="A2727" s="34" t="s">
        <v>8641</v>
      </c>
      <c r="B2727" s="36" t="str">
        <f>PROPER(CHOOSE(LEFT(D2727,2),"enero","febrero","marzo","abril","mayo","junio","julio","agosto","setiembre","octubre","noviembre","diciembre"))</f>
        <v>Octubre</v>
      </c>
      <c r="C2727" s="33" t="s">
        <v>162</v>
      </c>
      <c r="D2727" s="33" t="s">
        <v>8922</v>
      </c>
      <c r="E2727" s="37" t="str">
        <f>IF(LEFT(Anexo_4[[#This Row],[c_costos]],2)="91","OPERACIONES",IF(LEFT(Anexo_4[[#This Row],[c_costos]],2)="97","G. FINANCIEROS",IF(LEFT(Anexo_4[[#This Row],[c_costos]],2)="95","G. VENTAS","G. ADMINISTRACIÓN")))</f>
        <v>G. FINANCIEROS</v>
      </c>
      <c r="F2727" s="32" t="s">
        <v>474</v>
      </c>
      <c r="G2727" s="32" t="s">
        <v>475</v>
      </c>
      <c r="H2727" s="139" t="s">
        <v>3440</v>
      </c>
      <c r="I2727" s="33" t="s">
        <v>477</v>
      </c>
      <c r="J2727" s="143" t="s">
        <v>4623</v>
      </c>
      <c r="K2727" s="33" t="s">
        <v>169</v>
      </c>
      <c r="L2727" s="102" t="str">
        <f>VLOOKUP(Anexo_4[[#This Row],[cod_doc]],TIPODOC,2,FALSE)</f>
        <v>FACTURA</v>
      </c>
      <c r="M2727" s="33" t="s">
        <v>479</v>
      </c>
      <c r="N2727" s="32" t="s">
        <v>8923</v>
      </c>
      <c r="O2727" s="48" t="s">
        <v>4341</v>
      </c>
      <c r="P2727" s="49" t="s">
        <v>4341</v>
      </c>
      <c r="Q2727" s="81" t="s">
        <v>4341</v>
      </c>
      <c r="R2727" s="80" t="s">
        <v>4341</v>
      </c>
      <c r="S2727" s="48">
        <v>6.8</v>
      </c>
      <c r="T2727" s="72">
        <v>6.8</v>
      </c>
      <c r="U2727" s="70"/>
      <c r="V2727" s="32"/>
      <c r="W2727" s="70"/>
      <c r="X2727" s="70"/>
      <c r="Y2727" s="70"/>
      <c r="Z2727" s="70"/>
      <c r="AA2727" s="71"/>
      <c r="AB2727" s="117" t="str">
        <f>IFERROR(VLOOKUP(Anexo_4[[#This Row],[cuenta]],OP,2,0),"-")</f>
        <v>-</v>
      </c>
    </row>
    <row r="2728" spans="1:28" ht="27" customHeight="1" x14ac:dyDescent="0.3">
      <c r="A2728" s="34" t="s">
        <v>8764</v>
      </c>
      <c r="B2728" s="36" t="str">
        <f>PROPER(CHOOSE(LEFT(D2728,2),"enero","febrero","marzo","abril","mayo","junio","julio","agosto","setiembre","octubre","noviembre","diciembre"))</f>
        <v>Octubre</v>
      </c>
      <c r="C2728" s="33" t="s">
        <v>162</v>
      </c>
      <c r="D2728" s="33" t="s">
        <v>8924</v>
      </c>
      <c r="E2728" s="37" t="str">
        <f>IF(LEFT(Anexo_4[[#This Row],[c_costos]],2)="91","OPERACIONES",IF(LEFT(Anexo_4[[#This Row],[c_costos]],2)="97","G. FINANCIEROS",IF(LEFT(Anexo_4[[#This Row],[c_costos]],2)="95","G. VENTAS","G. ADMINISTRACIÓN")))</f>
        <v>G. FINANCIEROS</v>
      </c>
      <c r="F2728" s="32" t="s">
        <v>474</v>
      </c>
      <c r="G2728" s="32" t="s">
        <v>475</v>
      </c>
      <c r="H2728" s="139" t="s">
        <v>3440</v>
      </c>
      <c r="I2728" s="33" t="s">
        <v>477</v>
      </c>
      <c r="J2728" s="143" t="s">
        <v>4623</v>
      </c>
      <c r="K2728" s="33" t="s">
        <v>169</v>
      </c>
      <c r="L2728" s="102" t="str">
        <f>VLOOKUP(Anexo_4[[#This Row],[cod_doc]],TIPODOC,2,FALSE)</f>
        <v>FACTURA</v>
      </c>
      <c r="M2728" s="33" t="s">
        <v>479</v>
      </c>
      <c r="N2728" s="32" t="s">
        <v>8925</v>
      </c>
      <c r="O2728" s="48" t="s">
        <v>4341</v>
      </c>
      <c r="P2728" s="49" t="s">
        <v>4341</v>
      </c>
      <c r="Q2728" s="81" t="s">
        <v>4341</v>
      </c>
      <c r="R2728" s="80" t="s">
        <v>4341</v>
      </c>
      <c r="S2728" s="48">
        <v>3.5</v>
      </c>
      <c r="T2728" s="72">
        <v>3.5</v>
      </c>
      <c r="U2728" s="70"/>
      <c r="V2728" s="32"/>
      <c r="W2728" s="70"/>
      <c r="X2728" s="70"/>
      <c r="Y2728" s="70"/>
      <c r="Z2728" s="70"/>
      <c r="AA2728" s="71"/>
      <c r="AB2728" s="117" t="str">
        <f>IFERROR(VLOOKUP(Anexo_4[[#This Row],[cuenta]],OP,2,0),"-")</f>
        <v>-</v>
      </c>
    </row>
    <row r="2729" spans="1:28" ht="27" customHeight="1" x14ac:dyDescent="0.3">
      <c r="A2729" s="34" t="s">
        <v>8254</v>
      </c>
      <c r="B2729" s="36" t="str">
        <f t="shared" ref="B2729:B2736" si="79">PROPER(CHOOSE(LEFT(D2729,2),"enero","febrero","marzo","abril","mayo","junio","julio","agosto","setiembre","octubre","noviembre","diciembre"))</f>
        <v>Octubre</v>
      </c>
      <c r="C2729" s="33" t="s">
        <v>162</v>
      </c>
      <c r="D2729" s="33" t="s">
        <v>8926</v>
      </c>
      <c r="E2729" s="37" t="str">
        <f>IF(LEFT(Anexo_4[[#This Row],[c_costos]],2)="91","OPERACIONES",IF(LEFT(Anexo_4[[#This Row],[c_costos]],2)="97","G. FINANCIEROS",IF(LEFT(Anexo_4[[#This Row],[c_costos]],2)="95","G. VENTAS","G. ADMINISTRACIÓN")))</f>
        <v>G. FINANCIEROS</v>
      </c>
      <c r="F2729" s="32" t="s">
        <v>474</v>
      </c>
      <c r="G2729" s="32" t="s">
        <v>475</v>
      </c>
      <c r="H2729" s="139" t="s">
        <v>3440</v>
      </c>
      <c r="I2729" s="33" t="s">
        <v>477</v>
      </c>
      <c r="J2729" s="143" t="s">
        <v>4623</v>
      </c>
      <c r="K2729" s="33" t="s">
        <v>169</v>
      </c>
      <c r="L2729" s="102" t="str">
        <f>VLOOKUP(Anexo_4[[#This Row],[cod_doc]],TIPODOC,2,FALSE)</f>
        <v>FACTURA</v>
      </c>
      <c r="M2729" s="33" t="s">
        <v>479</v>
      </c>
      <c r="N2729" s="32" t="s">
        <v>8927</v>
      </c>
      <c r="O2729" s="48" t="s">
        <v>4341</v>
      </c>
      <c r="P2729" s="49" t="s">
        <v>4341</v>
      </c>
      <c r="Q2729" s="81" t="s">
        <v>4341</v>
      </c>
      <c r="R2729" s="80" t="s">
        <v>4341</v>
      </c>
      <c r="S2729" s="48">
        <v>20</v>
      </c>
      <c r="T2729" s="72">
        <v>20</v>
      </c>
      <c r="U2729" s="70"/>
      <c r="V2729" s="32"/>
      <c r="W2729" s="70"/>
      <c r="X2729" s="70"/>
      <c r="Y2729" s="70"/>
      <c r="Z2729" s="70"/>
      <c r="AA2729" s="71"/>
      <c r="AB2729" s="117" t="str">
        <f>IFERROR(VLOOKUP(Anexo_4[[#This Row],[cuenta]],OP,2,0),"-")</f>
        <v>-</v>
      </c>
    </row>
    <row r="2730" spans="1:28" ht="27" customHeight="1" x14ac:dyDescent="0.3">
      <c r="A2730" s="34" t="s">
        <v>7134</v>
      </c>
      <c r="B2730" s="36" t="str">
        <f t="shared" si="79"/>
        <v>Octubre</v>
      </c>
      <c r="C2730" s="33" t="s">
        <v>162</v>
      </c>
      <c r="D2730" s="33" t="s">
        <v>8928</v>
      </c>
      <c r="E2730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730" s="32" t="s">
        <v>449</v>
      </c>
      <c r="G2730" s="32" t="s">
        <v>4868</v>
      </c>
      <c r="H2730" s="139" t="s">
        <v>8929</v>
      </c>
      <c r="I2730" s="33" t="s">
        <v>5180</v>
      </c>
      <c r="J2730" s="143" t="s">
        <v>5181</v>
      </c>
      <c r="K2730" s="33" t="s">
        <v>169</v>
      </c>
      <c r="L2730" s="102" t="str">
        <f>VLOOKUP(Anexo_4[[#This Row],[cod_doc]],TIPODOC,2,FALSE)</f>
        <v>FACTURA</v>
      </c>
      <c r="M2730" s="33" t="s">
        <v>8930</v>
      </c>
      <c r="N2730" s="32" t="s">
        <v>8931</v>
      </c>
      <c r="O2730" s="48">
        <v>11.19</v>
      </c>
      <c r="P2730" s="49" t="s">
        <v>4341</v>
      </c>
      <c r="Q2730" s="81">
        <v>2.0099999999999998</v>
      </c>
      <c r="R2730" s="80" t="s">
        <v>4341</v>
      </c>
      <c r="S2730" s="48" t="s">
        <v>4341</v>
      </c>
      <c r="T2730" s="72">
        <v>13.2</v>
      </c>
      <c r="U2730" s="70"/>
      <c r="V2730" s="32"/>
      <c r="W2730" s="70"/>
      <c r="X2730" s="70"/>
      <c r="Y2730" s="70" t="s">
        <v>8932</v>
      </c>
      <c r="Z2730" s="70"/>
      <c r="AA2730" s="71"/>
      <c r="AB2730" s="117" t="str">
        <f>IFERROR(VLOOKUP(Anexo_4[[#This Row],[cuenta]],OP,2,0),"-")</f>
        <v>-</v>
      </c>
    </row>
    <row r="2731" spans="1:28" ht="27" customHeight="1" x14ac:dyDescent="0.3">
      <c r="A2731" s="34" t="s">
        <v>7134</v>
      </c>
      <c r="B2731" s="36" t="str">
        <f t="shared" si="79"/>
        <v>Octubre</v>
      </c>
      <c r="C2731" s="33" t="s">
        <v>162</v>
      </c>
      <c r="D2731" s="33" t="s">
        <v>8933</v>
      </c>
      <c r="E2731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731" s="32" t="s">
        <v>449</v>
      </c>
      <c r="G2731" s="32" t="s">
        <v>4868</v>
      </c>
      <c r="H2731" s="139" t="s">
        <v>8934</v>
      </c>
      <c r="I2731" s="33" t="s">
        <v>312</v>
      </c>
      <c r="J2731" s="143" t="s">
        <v>4917</v>
      </c>
      <c r="K2731" s="33" t="s">
        <v>169</v>
      </c>
      <c r="L2731" s="102" t="str">
        <f>VLOOKUP(Anexo_4[[#This Row],[cod_doc]],TIPODOC,2,FALSE)</f>
        <v>FACTURA</v>
      </c>
      <c r="M2731" s="33" t="s">
        <v>1490</v>
      </c>
      <c r="N2731" s="32" t="s">
        <v>8935</v>
      </c>
      <c r="O2731" s="48">
        <v>12.71</v>
      </c>
      <c r="P2731" s="49" t="s">
        <v>4341</v>
      </c>
      <c r="Q2731" s="81">
        <v>2.29</v>
      </c>
      <c r="R2731" s="80" t="s">
        <v>4341</v>
      </c>
      <c r="S2731" s="48" t="s">
        <v>4341</v>
      </c>
      <c r="T2731" s="72">
        <v>15</v>
      </c>
      <c r="U2731" s="70"/>
      <c r="V2731" s="32"/>
      <c r="W2731" s="70"/>
      <c r="X2731" s="70"/>
      <c r="Y2731" s="70" t="s">
        <v>8936</v>
      </c>
      <c r="Z2731" s="70"/>
      <c r="AA2731" s="71"/>
      <c r="AB2731" s="117" t="str">
        <f>IFERROR(VLOOKUP(Anexo_4[[#This Row],[cuenta]],OP,2,0),"-")</f>
        <v>-</v>
      </c>
    </row>
    <row r="2732" spans="1:28" ht="27" customHeight="1" x14ac:dyDescent="0.3">
      <c r="A2732" s="34" t="s">
        <v>7134</v>
      </c>
      <c r="B2732" s="36" t="str">
        <f t="shared" si="79"/>
        <v>Octubre</v>
      </c>
      <c r="C2732" s="33" t="s">
        <v>162</v>
      </c>
      <c r="D2732" s="33" t="s">
        <v>8937</v>
      </c>
      <c r="E2732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732" s="32" t="s">
        <v>449</v>
      </c>
      <c r="G2732" s="32" t="s">
        <v>4868</v>
      </c>
      <c r="H2732" s="139" t="s">
        <v>8938</v>
      </c>
      <c r="I2732" s="33" t="s">
        <v>312</v>
      </c>
      <c r="J2732" s="143" t="s">
        <v>4917</v>
      </c>
      <c r="K2732" s="33" t="s">
        <v>169</v>
      </c>
      <c r="L2732" s="102" t="str">
        <f>VLOOKUP(Anexo_4[[#This Row],[cod_doc]],TIPODOC,2,FALSE)</f>
        <v>FACTURA</v>
      </c>
      <c r="M2732" s="33" t="s">
        <v>1470</v>
      </c>
      <c r="N2732" s="32" t="s">
        <v>8939</v>
      </c>
      <c r="O2732" s="48">
        <v>12.71</v>
      </c>
      <c r="P2732" s="49" t="s">
        <v>4341</v>
      </c>
      <c r="Q2732" s="81">
        <v>2.29</v>
      </c>
      <c r="R2732" s="80" t="s">
        <v>4341</v>
      </c>
      <c r="S2732" s="48" t="s">
        <v>4341</v>
      </c>
      <c r="T2732" s="72">
        <v>15</v>
      </c>
      <c r="U2732" s="70"/>
      <c r="V2732" s="32"/>
      <c r="W2732" s="70"/>
      <c r="X2732" s="70"/>
      <c r="Y2732" s="70" t="s">
        <v>8940</v>
      </c>
      <c r="Z2732" s="70"/>
      <c r="AA2732" s="71"/>
      <c r="AB2732" s="117" t="str">
        <f>IFERROR(VLOOKUP(Anexo_4[[#This Row],[cuenta]],OP,2,0),"-")</f>
        <v>-</v>
      </c>
    </row>
    <row r="2733" spans="1:28" ht="27" customHeight="1" x14ac:dyDescent="0.3">
      <c r="A2733" s="34" t="s">
        <v>7141</v>
      </c>
      <c r="B2733" s="36" t="str">
        <f t="shared" si="79"/>
        <v>Octubre</v>
      </c>
      <c r="C2733" s="33" t="s">
        <v>162</v>
      </c>
      <c r="D2733" s="33" t="s">
        <v>8941</v>
      </c>
      <c r="E2733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733" s="32" t="s">
        <v>449</v>
      </c>
      <c r="G2733" s="32" t="s">
        <v>4868</v>
      </c>
      <c r="H2733" s="139" t="s">
        <v>8942</v>
      </c>
      <c r="I2733" s="33" t="s">
        <v>312</v>
      </c>
      <c r="J2733" s="143" t="s">
        <v>4917</v>
      </c>
      <c r="K2733" s="33" t="s">
        <v>169</v>
      </c>
      <c r="L2733" s="102" t="str">
        <f>VLOOKUP(Anexo_4[[#This Row],[cod_doc]],TIPODOC,2,FALSE)</f>
        <v>FACTURA</v>
      </c>
      <c r="M2733" s="33" t="s">
        <v>1470</v>
      </c>
      <c r="N2733" s="32" t="s">
        <v>8943</v>
      </c>
      <c r="O2733" s="48">
        <v>12.71</v>
      </c>
      <c r="P2733" s="49" t="s">
        <v>4341</v>
      </c>
      <c r="Q2733" s="81">
        <v>2.29</v>
      </c>
      <c r="R2733" s="80" t="s">
        <v>4341</v>
      </c>
      <c r="S2733" s="48" t="s">
        <v>4341</v>
      </c>
      <c r="T2733" s="72">
        <v>15</v>
      </c>
      <c r="U2733" s="70"/>
      <c r="V2733" s="32"/>
      <c r="W2733" s="70"/>
      <c r="X2733" s="70"/>
      <c r="Y2733" s="70" t="s">
        <v>8944</v>
      </c>
      <c r="Z2733" s="70"/>
      <c r="AA2733" s="71"/>
      <c r="AB2733" s="117" t="str">
        <f>IFERROR(VLOOKUP(Anexo_4[[#This Row],[cuenta]],OP,2,0),"-")</f>
        <v>-</v>
      </c>
    </row>
    <row r="2734" spans="1:28" ht="27" customHeight="1" x14ac:dyDescent="0.3">
      <c r="A2734" s="34" t="s">
        <v>7141</v>
      </c>
      <c r="B2734" s="36" t="str">
        <f t="shared" si="79"/>
        <v>Octubre</v>
      </c>
      <c r="C2734" s="33" t="s">
        <v>162</v>
      </c>
      <c r="D2734" s="33" t="s">
        <v>8945</v>
      </c>
      <c r="E2734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734" s="32" t="s">
        <v>449</v>
      </c>
      <c r="G2734" s="32" t="s">
        <v>4868</v>
      </c>
      <c r="H2734" s="139" t="s">
        <v>8946</v>
      </c>
      <c r="I2734" s="33" t="s">
        <v>312</v>
      </c>
      <c r="J2734" s="143" t="s">
        <v>4917</v>
      </c>
      <c r="K2734" s="33" t="s">
        <v>169</v>
      </c>
      <c r="L2734" s="102" t="str">
        <f>VLOOKUP(Anexo_4[[#This Row],[cod_doc]],TIPODOC,2,FALSE)</f>
        <v>FACTURA</v>
      </c>
      <c r="M2734" s="33" t="s">
        <v>1482</v>
      </c>
      <c r="N2734" s="32" t="s">
        <v>8947</v>
      </c>
      <c r="O2734" s="48">
        <v>12.71</v>
      </c>
      <c r="P2734" s="49" t="s">
        <v>4341</v>
      </c>
      <c r="Q2734" s="81">
        <v>2.29</v>
      </c>
      <c r="R2734" s="80" t="s">
        <v>4341</v>
      </c>
      <c r="S2734" s="48" t="s">
        <v>4341</v>
      </c>
      <c r="T2734" s="72">
        <v>15</v>
      </c>
      <c r="U2734" s="70"/>
      <c r="V2734" s="32"/>
      <c r="W2734" s="70"/>
      <c r="X2734" s="70"/>
      <c r="Y2734" s="70" t="s">
        <v>8948</v>
      </c>
      <c r="Z2734" s="70"/>
      <c r="AA2734" s="71"/>
      <c r="AB2734" s="117" t="str">
        <f>IFERROR(VLOOKUP(Anexo_4[[#This Row],[cuenta]],OP,2,0),"-")</f>
        <v>-</v>
      </c>
    </row>
    <row r="2735" spans="1:28" ht="27" customHeight="1" x14ac:dyDescent="0.3">
      <c r="A2735" s="34" t="s">
        <v>8158</v>
      </c>
      <c r="B2735" s="36" t="str">
        <f t="shared" si="79"/>
        <v>Octubre</v>
      </c>
      <c r="C2735" s="33" t="s">
        <v>162</v>
      </c>
      <c r="D2735" s="33" t="s">
        <v>8949</v>
      </c>
      <c r="E2735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735" s="32" t="s">
        <v>449</v>
      </c>
      <c r="G2735" s="32" t="s">
        <v>4868</v>
      </c>
      <c r="H2735" s="139" t="s">
        <v>8950</v>
      </c>
      <c r="I2735" s="33" t="s">
        <v>312</v>
      </c>
      <c r="J2735" s="143" t="s">
        <v>4917</v>
      </c>
      <c r="K2735" s="33" t="s">
        <v>169</v>
      </c>
      <c r="L2735" s="102" t="str">
        <f>VLOOKUP(Anexo_4[[#This Row],[cod_doc]],TIPODOC,2,FALSE)</f>
        <v>FACTURA</v>
      </c>
      <c r="M2735" s="33" t="s">
        <v>319</v>
      </c>
      <c r="N2735" s="32" t="s">
        <v>8951</v>
      </c>
      <c r="O2735" s="48">
        <v>12.71</v>
      </c>
      <c r="P2735" s="49" t="s">
        <v>4341</v>
      </c>
      <c r="Q2735" s="81">
        <v>2.29</v>
      </c>
      <c r="R2735" s="80" t="s">
        <v>4341</v>
      </c>
      <c r="S2735" s="48" t="s">
        <v>4341</v>
      </c>
      <c r="T2735" s="72">
        <v>15</v>
      </c>
      <c r="U2735" s="70"/>
      <c r="V2735" s="32"/>
      <c r="W2735" s="70"/>
      <c r="X2735" s="70"/>
      <c r="Y2735" s="70" t="s">
        <v>8952</v>
      </c>
      <c r="Z2735" s="70"/>
      <c r="AA2735" s="71"/>
      <c r="AB2735" s="117" t="str">
        <f>IFERROR(VLOOKUP(Anexo_4[[#This Row],[cuenta]],OP,2,0),"-")</f>
        <v>-</v>
      </c>
    </row>
    <row r="2736" spans="1:28" ht="27" customHeight="1" x14ac:dyDescent="0.3">
      <c r="A2736" s="34" t="s">
        <v>8158</v>
      </c>
      <c r="B2736" s="36" t="str">
        <f t="shared" si="79"/>
        <v>Octubre</v>
      </c>
      <c r="C2736" s="33" t="s">
        <v>162</v>
      </c>
      <c r="D2736" s="33" t="s">
        <v>8953</v>
      </c>
      <c r="E2736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736" s="32" t="s">
        <v>449</v>
      </c>
      <c r="G2736" s="32" t="s">
        <v>4868</v>
      </c>
      <c r="H2736" s="139" t="s">
        <v>8954</v>
      </c>
      <c r="I2736" s="33" t="s">
        <v>312</v>
      </c>
      <c r="J2736" s="143" t="s">
        <v>4917</v>
      </c>
      <c r="K2736" s="33" t="s">
        <v>169</v>
      </c>
      <c r="L2736" s="102" t="str">
        <f>VLOOKUP(Anexo_4[[#This Row],[cod_doc]],TIPODOC,2,FALSE)</f>
        <v>FACTURA</v>
      </c>
      <c r="M2736" s="33" t="s">
        <v>1470</v>
      </c>
      <c r="N2736" s="32" t="s">
        <v>8955</v>
      </c>
      <c r="O2736" s="48">
        <v>12.71</v>
      </c>
      <c r="P2736" s="49" t="s">
        <v>4341</v>
      </c>
      <c r="Q2736" s="81">
        <v>2.29</v>
      </c>
      <c r="R2736" s="80" t="s">
        <v>4341</v>
      </c>
      <c r="S2736" s="48" t="s">
        <v>4341</v>
      </c>
      <c r="T2736" s="72">
        <v>15</v>
      </c>
      <c r="U2736" s="70"/>
      <c r="V2736" s="32"/>
      <c r="W2736" s="70"/>
      <c r="X2736" s="70"/>
      <c r="Y2736" s="70" t="s">
        <v>8956</v>
      </c>
      <c r="Z2736" s="70"/>
      <c r="AA2736" s="71"/>
      <c r="AB2736" s="117" t="str">
        <f>IFERROR(VLOOKUP(Anexo_4[[#This Row],[cuenta]],OP,2,0),"-")</f>
        <v>-</v>
      </c>
    </row>
    <row r="2737" spans="1:28" ht="27" customHeight="1" x14ac:dyDescent="0.3">
      <c r="A2737" s="34" t="s">
        <v>8764</v>
      </c>
      <c r="B2737" s="36" t="str">
        <f t="shared" ref="B2737:B2764" si="80">PROPER(CHOOSE(LEFT(D2737,2),"enero","febrero","marzo","abril","mayo","junio","julio","agosto","setiembre","octubre","noviembre","diciembre"))</f>
        <v>Octubre</v>
      </c>
      <c r="C2737" s="33"/>
      <c r="D2737" s="33" t="s">
        <v>8957</v>
      </c>
      <c r="E2737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737" s="32" t="s">
        <v>248</v>
      </c>
      <c r="G2737" s="32" t="s">
        <v>249</v>
      </c>
      <c r="H2737" s="139" t="s">
        <v>8958</v>
      </c>
      <c r="I2737" s="33" t="s">
        <v>251</v>
      </c>
      <c r="J2737" s="143" t="s">
        <v>8959</v>
      </c>
      <c r="K2737" s="33" t="s">
        <v>169</v>
      </c>
      <c r="L2737" s="102" t="str">
        <f>VLOOKUP(Anexo_4[[#This Row],[cod_doc]],TIPODOC,2,FALSE)</f>
        <v>FACTURA</v>
      </c>
      <c r="M2737" s="33" t="s">
        <v>253</v>
      </c>
      <c r="N2737" s="32" t="s">
        <v>8960</v>
      </c>
      <c r="O2737" s="48">
        <v>1100.42</v>
      </c>
      <c r="P2737" s="49" t="s">
        <v>4341</v>
      </c>
      <c r="Q2737" s="81">
        <v>198.08</v>
      </c>
      <c r="R2737" s="80" t="s">
        <v>4341</v>
      </c>
      <c r="S2737" s="48" t="s">
        <v>4341</v>
      </c>
      <c r="T2737" s="72">
        <v>1298.5</v>
      </c>
      <c r="U2737" s="70"/>
      <c r="V2737" s="32"/>
      <c r="W2737" s="70"/>
      <c r="X2737" s="70"/>
      <c r="Y2737" s="70" t="s">
        <v>8961</v>
      </c>
      <c r="Z2737" s="70"/>
      <c r="AA2737" s="71"/>
      <c r="AB2737" s="117" t="str">
        <f>IFERROR(VLOOKUP(Anexo_4[[#This Row],[cuenta]],OP,2,0),"-")</f>
        <v>-</v>
      </c>
    </row>
    <row r="2738" spans="1:28" ht="27" customHeight="1" x14ac:dyDescent="0.3">
      <c r="A2738" s="34" t="s">
        <v>6256</v>
      </c>
      <c r="B2738" s="36" t="str">
        <f t="shared" si="80"/>
        <v>Octubre</v>
      </c>
      <c r="C2738" s="33"/>
      <c r="D2738" s="33" t="s">
        <v>8962</v>
      </c>
      <c r="E2738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738" s="32"/>
      <c r="G2738" s="32"/>
      <c r="H2738" s="139" t="s">
        <v>8963</v>
      </c>
      <c r="I2738" s="33" t="s">
        <v>1074</v>
      </c>
      <c r="J2738" s="143" t="s">
        <v>4635</v>
      </c>
      <c r="K2738" s="33" t="s">
        <v>169</v>
      </c>
      <c r="L2738" s="102" t="str">
        <f>VLOOKUP(Anexo_4[[#This Row],[cod_doc]],TIPODOC,2,FALSE)</f>
        <v>FACTURA</v>
      </c>
      <c r="M2738" s="33" t="s">
        <v>102</v>
      </c>
      <c r="N2738" s="32" t="s">
        <v>8964</v>
      </c>
      <c r="O2738" s="48">
        <v>80</v>
      </c>
      <c r="P2738" s="49" t="s">
        <v>4341</v>
      </c>
      <c r="Q2738" s="81">
        <v>14.4</v>
      </c>
      <c r="R2738" s="80" t="s">
        <v>4341</v>
      </c>
      <c r="S2738" s="48" t="s">
        <v>4341</v>
      </c>
      <c r="T2738" s="72">
        <v>94.4</v>
      </c>
      <c r="U2738" s="70"/>
      <c r="V2738" s="32"/>
      <c r="W2738" s="70"/>
      <c r="X2738" s="70"/>
      <c r="Y2738" s="70"/>
      <c r="Z2738" s="70"/>
      <c r="AA2738" s="71"/>
      <c r="AB2738" s="117" t="str">
        <f>IFERROR(VLOOKUP(Anexo_4[[#This Row],[cuenta]],OP,2,0),"-")</f>
        <v>-</v>
      </c>
    </row>
    <row r="2739" spans="1:28" ht="27" customHeight="1" x14ac:dyDescent="0.3">
      <c r="A2739" s="34" t="s">
        <v>5238</v>
      </c>
      <c r="B2739" s="36" t="str">
        <f t="shared" si="80"/>
        <v>Octubre</v>
      </c>
      <c r="C2739" s="33"/>
      <c r="D2739" s="33" t="s">
        <v>8965</v>
      </c>
      <c r="E2739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739" s="32"/>
      <c r="G2739" s="32"/>
      <c r="H2739" s="139" t="s">
        <v>930</v>
      </c>
      <c r="I2739" s="33" t="s">
        <v>3136</v>
      </c>
      <c r="J2739" s="143" t="s">
        <v>6654</v>
      </c>
      <c r="K2739" s="33" t="s">
        <v>169</v>
      </c>
      <c r="L2739" s="102" t="str">
        <f>VLOOKUP(Anexo_4[[#This Row],[cod_doc]],TIPODOC,2,FALSE)</f>
        <v>FACTURA</v>
      </c>
      <c r="M2739" s="33" t="s">
        <v>222</v>
      </c>
      <c r="N2739" s="32" t="s">
        <v>8966</v>
      </c>
      <c r="O2739" s="48">
        <v>10</v>
      </c>
      <c r="P2739" s="49" t="s">
        <v>4341</v>
      </c>
      <c r="Q2739" s="81">
        <v>1.8</v>
      </c>
      <c r="R2739" s="80" t="s">
        <v>4341</v>
      </c>
      <c r="S2739" s="48" t="s">
        <v>4341</v>
      </c>
      <c r="T2739" s="72">
        <v>11.8</v>
      </c>
      <c r="U2739" s="70"/>
      <c r="V2739" s="32"/>
      <c r="W2739" s="70"/>
      <c r="X2739" s="70"/>
      <c r="Y2739" s="70"/>
      <c r="Z2739" s="70"/>
      <c r="AA2739" s="71"/>
      <c r="AB2739" s="117" t="str">
        <f>IFERROR(VLOOKUP(Anexo_4[[#This Row],[cuenta]],OP,2,0),"-")</f>
        <v>-</v>
      </c>
    </row>
    <row r="2740" spans="1:28" ht="27" customHeight="1" x14ac:dyDescent="0.3">
      <c r="A2740" s="34" t="s">
        <v>5985</v>
      </c>
      <c r="B2740" s="36" t="str">
        <f t="shared" si="80"/>
        <v>Octubre</v>
      </c>
      <c r="C2740" s="33"/>
      <c r="D2740" s="33" t="s">
        <v>8967</v>
      </c>
      <c r="E2740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740" s="32"/>
      <c r="G2740" s="32"/>
      <c r="H2740" s="139" t="s">
        <v>8968</v>
      </c>
      <c r="I2740" s="33" t="s">
        <v>8969</v>
      </c>
      <c r="J2740" s="143" t="s">
        <v>8970</v>
      </c>
      <c r="K2740" s="33" t="s">
        <v>169</v>
      </c>
      <c r="L2740" s="102" t="str">
        <f>VLOOKUP(Anexo_4[[#This Row],[cod_doc]],TIPODOC,2,FALSE)</f>
        <v>FACTURA</v>
      </c>
      <c r="M2740" s="33" t="s">
        <v>8971</v>
      </c>
      <c r="N2740" s="32" t="s">
        <v>8972</v>
      </c>
      <c r="O2740" s="48" t="s">
        <v>4341</v>
      </c>
      <c r="P2740" s="49" t="s">
        <v>4341</v>
      </c>
      <c r="Q2740" s="81" t="s">
        <v>4341</v>
      </c>
      <c r="R2740" s="80" t="s">
        <v>4341</v>
      </c>
      <c r="S2740" s="48">
        <v>20</v>
      </c>
      <c r="T2740" s="72">
        <v>20</v>
      </c>
      <c r="U2740" s="70"/>
      <c r="V2740" s="32"/>
      <c r="W2740" s="70"/>
      <c r="X2740" s="70"/>
      <c r="Y2740" s="70"/>
      <c r="Z2740" s="70"/>
      <c r="AA2740" s="71"/>
      <c r="AB2740" s="117" t="str">
        <f>IFERROR(VLOOKUP(Anexo_4[[#This Row],[cuenta]],OP,2,0),"-")</f>
        <v>-</v>
      </c>
    </row>
    <row r="2741" spans="1:28" ht="27" customHeight="1" x14ac:dyDescent="0.3">
      <c r="A2741" s="34" t="s">
        <v>5985</v>
      </c>
      <c r="B2741" s="36" t="str">
        <f t="shared" si="80"/>
        <v>Octubre</v>
      </c>
      <c r="C2741" s="33"/>
      <c r="D2741" s="33" t="s">
        <v>8973</v>
      </c>
      <c r="E2741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741" s="32"/>
      <c r="G2741" s="32"/>
      <c r="H2741" s="139" t="s">
        <v>8974</v>
      </c>
      <c r="I2741" s="33" t="s">
        <v>8969</v>
      </c>
      <c r="J2741" s="143" t="s">
        <v>8970</v>
      </c>
      <c r="K2741" s="33" t="s">
        <v>169</v>
      </c>
      <c r="L2741" s="102" t="str">
        <f>VLOOKUP(Anexo_4[[#This Row],[cod_doc]],TIPODOC,2,FALSE)</f>
        <v>FACTURA</v>
      </c>
      <c r="M2741" s="33" t="s">
        <v>8971</v>
      </c>
      <c r="N2741" s="32" t="s">
        <v>8975</v>
      </c>
      <c r="O2741" s="48" t="s">
        <v>4341</v>
      </c>
      <c r="P2741" s="49" t="s">
        <v>4341</v>
      </c>
      <c r="Q2741" s="81" t="s">
        <v>4341</v>
      </c>
      <c r="R2741" s="80" t="s">
        <v>4341</v>
      </c>
      <c r="S2741" s="48">
        <v>20</v>
      </c>
      <c r="T2741" s="72">
        <v>20</v>
      </c>
      <c r="U2741" s="70"/>
      <c r="V2741" s="32"/>
      <c r="W2741" s="70"/>
      <c r="X2741" s="70"/>
      <c r="Y2741" s="70"/>
      <c r="Z2741" s="70"/>
      <c r="AA2741" s="71"/>
      <c r="AB2741" s="117" t="str">
        <f>IFERROR(VLOOKUP(Anexo_4[[#This Row],[cuenta]],OP,2,0),"-")</f>
        <v>-</v>
      </c>
    </row>
    <row r="2742" spans="1:28" ht="27" customHeight="1" x14ac:dyDescent="0.3">
      <c r="A2742" s="34" t="s">
        <v>5985</v>
      </c>
      <c r="B2742" s="36" t="str">
        <f t="shared" si="80"/>
        <v>Octubre</v>
      </c>
      <c r="C2742" s="33"/>
      <c r="D2742" s="33" t="s">
        <v>8976</v>
      </c>
      <c r="E2742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742" s="32"/>
      <c r="G2742" s="32"/>
      <c r="H2742" s="139" t="s">
        <v>3775</v>
      </c>
      <c r="I2742" s="33" t="s">
        <v>4379</v>
      </c>
      <c r="J2742" s="143" t="s">
        <v>6657</v>
      </c>
      <c r="K2742" s="33" t="s">
        <v>169</v>
      </c>
      <c r="L2742" s="102" t="str">
        <f>VLOOKUP(Anexo_4[[#This Row],[cod_doc]],TIPODOC,2,FALSE)</f>
        <v>FACTURA</v>
      </c>
      <c r="M2742" s="33" t="s">
        <v>102</v>
      </c>
      <c r="N2742" s="32" t="s">
        <v>8977</v>
      </c>
      <c r="O2742" s="48">
        <v>84.75</v>
      </c>
      <c r="P2742" s="49" t="s">
        <v>4341</v>
      </c>
      <c r="Q2742" s="81">
        <v>15.25</v>
      </c>
      <c r="R2742" s="80" t="s">
        <v>4341</v>
      </c>
      <c r="S2742" s="48" t="s">
        <v>4341</v>
      </c>
      <c r="T2742" s="72">
        <v>100</v>
      </c>
      <c r="U2742" s="70"/>
      <c r="V2742" s="32"/>
      <c r="W2742" s="70"/>
      <c r="X2742" s="70"/>
      <c r="Y2742" s="70"/>
      <c r="Z2742" s="70"/>
      <c r="AA2742" s="71"/>
      <c r="AB2742" s="117" t="str">
        <f>IFERROR(VLOOKUP(Anexo_4[[#This Row],[cuenta]],OP,2,0),"-")</f>
        <v>-</v>
      </c>
    </row>
    <row r="2743" spans="1:28" ht="27" customHeight="1" x14ac:dyDescent="0.3">
      <c r="A2743" s="34" t="s">
        <v>7416</v>
      </c>
      <c r="B2743" s="36" t="str">
        <f t="shared" si="80"/>
        <v>Octubre</v>
      </c>
      <c r="C2743" s="33"/>
      <c r="D2743" s="33" t="s">
        <v>8978</v>
      </c>
      <c r="E2743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743" s="32" t="s">
        <v>418</v>
      </c>
      <c r="G2743" s="32" t="s">
        <v>419</v>
      </c>
      <c r="H2743" s="139" t="s">
        <v>8979</v>
      </c>
      <c r="I2743" s="33" t="s">
        <v>6660</v>
      </c>
      <c r="J2743" s="143" t="s">
        <v>6661</v>
      </c>
      <c r="K2743" s="33" t="s">
        <v>169</v>
      </c>
      <c r="L2743" s="102" t="str">
        <f>VLOOKUP(Anexo_4[[#This Row],[cod_doc]],TIPODOC,2,FALSE)</f>
        <v>FACTURA</v>
      </c>
      <c r="M2743" s="33" t="s">
        <v>6662</v>
      </c>
      <c r="N2743" s="32" t="s">
        <v>8980</v>
      </c>
      <c r="O2743" s="48">
        <v>12.71</v>
      </c>
      <c r="P2743" s="49" t="s">
        <v>4341</v>
      </c>
      <c r="Q2743" s="81">
        <v>2.29</v>
      </c>
      <c r="R2743" s="80" t="s">
        <v>4341</v>
      </c>
      <c r="S2743" s="48" t="s">
        <v>4341</v>
      </c>
      <c r="T2743" s="72">
        <v>15</v>
      </c>
      <c r="U2743" s="70"/>
      <c r="V2743" s="32"/>
      <c r="W2743" s="70"/>
      <c r="X2743" s="70"/>
      <c r="Y2743" s="70"/>
      <c r="Z2743" s="70"/>
      <c r="AA2743" s="71"/>
      <c r="AB2743" s="117" t="str">
        <f>IFERROR(VLOOKUP(Anexo_4[[#This Row],[cuenta]],OP,2,0),"-")</f>
        <v>-</v>
      </c>
    </row>
    <row r="2744" spans="1:28" ht="27" customHeight="1" x14ac:dyDescent="0.3">
      <c r="A2744" s="34" t="s">
        <v>7416</v>
      </c>
      <c r="B2744" s="36" t="str">
        <f t="shared" si="80"/>
        <v>Octubre</v>
      </c>
      <c r="C2744" s="33"/>
      <c r="D2744" s="33" t="s">
        <v>8981</v>
      </c>
      <c r="E2744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744" s="32" t="s">
        <v>355</v>
      </c>
      <c r="G2744" s="32" t="s">
        <v>356</v>
      </c>
      <c r="H2744" s="139" t="s">
        <v>8982</v>
      </c>
      <c r="I2744" s="33" t="s">
        <v>4393</v>
      </c>
      <c r="J2744" s="143" t="s">
        <v>4936</v>
      </c>
      <c r="K2744" s="33" t="s">
        <v>169</v>
      </c>
      <c r="L2744" s="102" t="str">
        <f>VLOOKUP(Anexo_4[[#This Row],[cod_doc]],TIPODOC,2,FALSE)</f>
        <v>FACTURA</v>
      </c>
      <c r="M2744" s="33" t="s">
        <v>8983</v>
      </c>
      <c r="N2744" s="32" t="s">
        <v>8984</v>
      </c>
      <c r="O2744" s="48" t="s">
        <v>4341</v>
      </c>
      <c r="P2744" s="49" t="s">
        <v>4341</v>
      </c>
      <c r="Q2744" s="81" t="s">
        <v>4341</v>
      </c>
      <c r="R2744" s="80" t="s">
        <v>4341</v>
      </c>
      <c r="S2744" s="48">
        <v>40</v>
      </c>
      <c r="T2744" s="72">
        <v>40</v>
      </c>
      <c r="U2744" s="70"/>
      <c r="V2744" s="32"/>
      <c r="W2744" s="70"/>
      <c r="X2744" s="70"/>
      <c r="Y2744" s="70"/>
      <c r="Z2744" s="70"/>
      <c r="AA2744" s="71"/>
      <c r="AB2744" s="117" t="str">
        <f>IFERROR(VLOOKUP(Anexo_4[[#This Row],[cuenta]],OP,2,0),"-")</f>
        <v>-</v>
      </c>
    </row>
    <row r="2745" spans="1:28" ht="27" customHeight="1" x14ac:dyDescent="0.3">
      <c r="A2745" s="34" t="s">
        <v>8985</v>
      </c>
      <c r="B2745" s="36" t="str">
        <f t="shared" si="80"/>
        <v>Octubre</v>
      </c>
      <c r="C2745" s="33"/>
      <c r="D2745" s="33" t="s">
        <v>8986</v>
      </c>
      <c r="E2745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745" s="32" t="s">
        <v>355</v>
      </c>
      <c r="G2745" s="32" t="s">
        <v>356</v>
      </c>
      <c r="H2745" s="139" t="s">
        <v>8982</v>
      </c>
      <c r="I2745" s="33" t="s">
        <v>4393</v>
      </c>
      <c r="J2745" s="143" t="s">
        <v>4936</v>
      </c>
      <c r="K2745" s="33" t="s">
        <v>169</v>
      </c>
      <c r="L2745" s="102" t="str">
        <f>VLOOKUP(Anexo_4[[#This Row],[cod_doc]],TIPODOC,2,FALSE)</f>
        <v>FACTURA</v>
      </c>
      <c r="M2745" s="33" t="s">
        <v>8987</v>
      </c>
      <c r="N2745" s="32" t="s">
        <v>8988</v>
      </c>
      <c r="O2745" s="48" t="s">
        <v>4341</v>
      </c>
      <c r="P2745" s="49" t="s">
        <v>4341</v>
      </c>
      <c r="Q2745" s="81" t="s">
        <v>4341</v>
      </c>
      <c r="R2745" s="80" t="s">
        <v>4341</v>
      </c>
      <c r="S2745" s="48">
        <v>28</v>
      </c>
      <c r="T2745" s="72">
        <v>28</v>
      </c>
      <c r="U2745" s="70"/>
      <c r="V2745" s="32"/>
      <c r="W2745" s="70"/>
      <c r="X2745" s="70"/>
      <c r="Y2745" s="70"/>
      <c r="Z2745" s="70"/>
      <c r="AA2745" s="71"/>
      <c r="AB2745" s="117" t="str">
        <f>IFERROR(VLOOKUP(Anexo_4[[#This Row],[cuenta]],OP,2,0),"-")</f>
        <v>-</v>
      </c>
    </row>
    <row r="2746" spans="1:28" ht="27" customHeight="1" x14ac:dyDescent="0.3">
      <c r="A2746" s="34" t="s">
        <v>8985</v>
      </c>
      <c r="B2746" s="36" t="str">
        <f t="shared" si="80"/>
        <v>Octubre</v>
      </c>
      <c r="C2746" s="33"/>
      <c r="D2746" s="33" t="s">
        <v>8989</v>
      </c>
      <c r="E2746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746" s="32" t="s">
        <v>355</v>
      </c>
      <c r="G2746" s="32" t="s">
        <v>356</v>
      </c>
      <c r="H2746" s="139" t="s">
        <v>3775</v>
      </c>
      <c r="I2746" s="33" t="s">
        <v>8990</v>
      </c>
      <c r="J2746" s="143" t="s">
        <v>8991</v>
      </c>
      <c r="K2746" s="33" t="s">
        <v>239</v>
      </c>
      <c r="L2746" s="102" t="str">
        <f>VLOOKUP(Anexo_4[[#This Row],[cod_doc]],TIPODOC,2,FALSE)</f>
        <v>BOLETA DE VENTA</v>
      </c>
      <c r="M2746" s="33" t="s">
        <v>5938</v>
      </c>
      <c r="N2746" s="32" t="s">
        <v>8992</v>
      </c>
      <c r="O2746" s="48" t="s">
        <v>4341</v>
      </c>
      <c r="P2746" s="49" t="s">
        <v>4341</v>
      </c>
      <c r="Q2746" s="81" t="s">
        <v>4341</v>
      </c>
      <c r="R2746" s="80" t="s">
        <v>4341</v>
      </c>
      <c r="S2746" s="48">
        <v>50</v>
      </c>
      <c r="T2746" s="72">
        <v>50</v>
      </c>
      <c r="U2746" s="70"/>
      <c r="V2746" s="32"/>
      <c r="W2746" s="70"/>
      <c r="X2746" s="70"/>
      <c r="Y2746" s="70"/>
      <c r="Z2746" s="70"/>
      <c r="AA2746" s="71"/>
      <c r="AB2746" s="117" t="str">
        <f>IFERROR(VLOOKUP(Anexo_4[[#This Row],[cuenta]],OP,2,0),"-")</f>
        <v>-</v>
      </c>
    </row>
    <row r="2747" spans="1:28" ht="27" customHeight="1" x14ac:dyDescent="0.3">
      <c r="A2747" s="34" t="s">
        <v>8505</v>
      </c>
      <c r="B2747" s="36" t="str">
        <f t="shared" si="80"/>
        <v>Octubre</v>
      </c>
      <c r="C2747" s="33"/>
      <c r="D2747" s="33" t="s">
        <v>8993</v>
      </c>
      <c r="E2747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747" s="32" t="s">
        <v>449</v>
      </c>
      <c r="G2747" s="32" t="s">
        <v>4868</v>
      </c>
      <c r="H2747" s="139" t="s">
        <v>8994</v>
      </c>
      <c r="I2747" s="33" t="s">
        <v>312</v>
      </c>
      <c r="J2747" s="143" t="s">
        <v>4917</v>
      </c>
      <c r="K2747" s="33" t="s">
        <v>169</v>
      </c>
      <c r="L2747" s="102" t="str">
        <f>VLOOKUP(Anexo_4[[#This Row],[cod_doc]],TIPODOC,2,FALSE)</f>
        <v>FACTURA</v>
      </c>
      <c r="M2747" s="33" t="s">
        <v>1490</v>
      </c>
      <c r="N2747" s="32" t="s">
        <v>8995</v>
      </c>
      <c r="O2747" s="48">
        <v>12.71</v>
      </c>
      <c r="P2747" s="49" t="s">
        <v>4341</v>
      </c>
      <c r="Q2747" s="81">
        <v>2.29</v>
      </c>
      <c r="R2747" s="80" t="s">
        <v>4341</v>
      </c>
      <c r="S2747" s="48" t="s">
        <v>4341</v>
      </c>
      <c r="T2747" s="72">
        <v>15</v>
      </c>
      <c r="U2747" s="70"/>
      <c r="V2747" s="32"/>
      <c r="W2747" s="70"/>
      <c r="X2747" s="70"/>
      <c r="Y2747" s="70" t="s">
        <v>8996</v>
      </c>
      <c r="Z2747" s="70"/>
      <c r="AA2747" s="71"/>
      <c r="AB2747" s="117" t="str">
        <f>IFERROR(VLOOKUP(Anexo_4[[#This Row],[cuenta]],OP,2,0),"-")</f>
        <v>-</v>
      </c>
    </row>
    <row r="2748" spans="1:28" ht="27" customHeight="1" x14ac:dyDescent="0.3">
      <c r="A2748" s="34" t="s">
        <v>8505</v>
      </c>
      <c r="B2748" s="36" t="str">
        <f t="shared" si="80"/>
        <v>Octubre</v>
      </c>
      <c r="C2748" s="33"/>
      <c r="D2748" s="33" t="s">
        <v>8997</v>
      </c>
      <c r="E2748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748" s="32" t="s">
        <v>449</v>
      </c>
      <c r="G2748" s="32" t="s">
        <v>4868</v>
      </c>
      <c r="H2748" s="139" t="s">
        <v>8998</v>
      </c>
      <c r="I2748" s="33" t="s">
        <v>312</v>
      </c>
      <c r="J2748" s="143" t="s">
        <v>4917</v>
      </c>
      <c r="K2748" s="33" t="s">
        <v>169</v>
      </c>
      <c r="L2748" s="102" t="str">
        <f>VLOOKUP(Anexo_4[[#This Row],[cod_doc]],TIPODOC,2,FALSE)</f>
        <v>FACTURA</v>
      </c>
      <c r="M2748" s="33" t="s">
        <v>271</v>
      </c>
      <c r="N2748" s="32" t="s">
        <v>8999</v>
      </c>
      <c r="O2748" s="48">
        <v>12.71</v>
      </c>
      <c r="P2748" s="49" t="s">
        <v>4341</v>
      </c>
      <c r="Q2748" s="81">
        <v>2.29</v>
      </c>
      <c r="R2748" s="80" t="s">
        <v>4341</v>
      </c>
      <c r="S2748" s="48" t="s">
        <v>4341</v>
      </c>
      <c r="T2748" s="72">
        <v>15</v>
      </c>
      <c r="U2748" s="70"/>
      <c r="V2748" s="32"/>
      <c r="W2748" s="70"/>
      <c r="X2748" s="70"/>
      <c r="Y2748" s="70" t="s">
        <v>9000</v>
      </c>
      <c r="Z2748" s="70"/>
      <c r="AA2748" s="71"/>
      <c r="AB2748" s="117" t="str">
        <f>IFERROR(VLOOKUP(Anexo_4[[#This Row],[cuenta]],OP,2,0),"-")</f>
        <v>-</v>
      </c>
    </row>
    <row r="2749" spans="1:28" ht="27" customHeight="1" x14ac:dyDescent="0.3">
      <c r="A2749" s="34" t="s">
        <v>8641</v>
      </c>
      <c r="B2749" s="36" t="str">
        <f t="shared" si="80"/>
        <v>Octubre</v>
      </c>
      <c r="C2749" s="33"/>
      <c r="D2749" s="33" t="s">
        <v>9001</v>
      </c>
      <c r="E2749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749" s="32" t="s">
        <v>235</v>
      </c>
      <c r="G2749" s="32" t="s">
        <v>5051</v>
      </c>
      <c r="H2749" s="139" t="s">
        <v>9002</v>
      </c>
      <c r="I2749" s="33" t="s">
        <v>264</v>
      </c>
      <c r="J2749" s="143" t="s">
        <v>4644</v>
      </c>
      <c r="K2749" s="33" t="s">
        <v>169</v>
      </c>
      <c r="L2749" s="102" t="str">
        <f>VLOOKUP(Anexo_4[[#This Row],[cod_doc]],TIPODOC,2,FALSE)</f>
        <v>FACTURA</v>
      </c>
      <c r="M2749" s="33" t="s">
        <v>406</v>
      </c>
      <c r="N2749" s="32" t="s">
        <v>9003</v>
      </c>
      <c r="O2749" s="48">
        <v>6.78</v>
      </c>
      <c r="P2749" s="49" t="s">
        <v>4341</v>
      </c>
      <c r="Q2749" s="81">
        <v>1.22</v>
      </c>
      <c r="R2749" s="80" t="s">
        <v>4341</v>
      </c>
      <c r="S2749" s="48" t="s">
        <v>4341</v>
      </c>
      <c r="T2749" s="72">
        <v>8</v>
      </c>
      <c r="U2749" s="70"/>
      <c r="V2749" s="32"/>
      <c r="W2749" s="70"/>
      <c r="X2749" s="70"/>
      <c r="Y2749" s="70" t="s">
        <v>9004</v>
      </c>
      <c r="Z2749" s="70"/>
      <c r="AA2749" s="71"/>
      <c r="AB2749" s="117" t="str">
        <f>IFERROR(VLOOKUP(Anexo_4[[#This Row],[cuenta]],OP,2,0),"-")</f>
        <v>-</v>
      </c>
    </row>
    <row r="2750" spans="1:28" ht="27" customHeight="1" x14ac:dyDescent="0.3">
      <c r="A2750" s="34" t="s">
        <v>8641</v>
      </c>
      <c r="B2750" s="36" t="str">
        <f t="shared" si="80"/>
        <v>Octubre</v>
      </c>
      <c r="C2750" s="33"/>
      <c r="D2750" s="33" t="s">
        <v>9005</v>
      </c>
      <c r="E2750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750" s="32" t="s">
        <v>235</v>
      </c>
      <c r="G2750" s="32" t="s">
        <v>5051</v>
      </c>
      <c r="H2750" s="139" t="s">
        <v>9006</v>
      </c>
      <c r="I2750" s="33" t="s">
        <v>264</v>
      </c>
      <c r="J2750" s="143" t="s">
        <v>4644</v>
      </c>
      <c r="K2750" s="33" t="s">
        <v>169</v>
      </c>
      <c r="L2750" s="102" t="str">
        <f>VLOOKUP(Anexo_4[[#This Row],[cod_doc]],TIPODOC,2,FALSE)</f>
        <v>FACTURA</v>
      </c>
      <c r="M2750" s="33" t="s">
        <v>352</v>
      </c>
      <c r="N2750" s="32" t="s">
        <v>9007</v>
      </c>
      <c r="O2750" s="48">
        <v>6.78</v>
      </c>
      <c r="P2750" s="49" t="s">
        <v>4341</v>
      </c>
      <c r="Q2750" s="81">
        <v>1.22</v>
      </c>
      <c r="R2750" s="80" t="s">
        <v>4341</v>
      </c>
      <c r="S2750" s="48" t="s">
        <v>4341</v>
      </c>
      <c r="T2750" s="72">
        <v>8</v>
      </c>
      <c r="U2750" s="70"/>
      <c r="V2750" s="32"/>
      <c r="W2750" s="70"/>
      <c r="X2750" s="70"/>
      <c r="Y2750" s="70" t="s">
        <v>9008</v>
      </c>
      <c r="Z2750" s="70"/>
      <c r="AA2750" s="71"/>
      <c r="AB2750" s="117" t="str">
        <f>IFERROR(VLOOKUP(Anexo_4[[#This Row],[cuenta]],OP,2,0),"-")</f>
        <v>-</v>
      </c>
    </row>
    <row r="2751" spans="1:28" ht="27" customHeight="1" x14ac:dyDescent="0.3">
      <c r="A2751" s="34" t="s">
        <v>8641</v>
      </c>
      <c r="B2751" s="36" t="str">
        <f t="shared" si="80"/>
        <v>Octubre</v>
      </c>
      <c r="C2751" s="33"/>
      <c r="D2751" s="33" t="s">
        <v>9009</v>
      </c>
      <c r="E2751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751" s="32" t="s">
        <v>235</v>
      </c>
      <c r="G2751" s="32" t="s">
        <v>5051</v>
      </c>
      <c r="H2751" s="139" t="s">
        <v>9010</v>
      </c>
      <c r="I2751" s="33" t="s">
        <v>178</v>
      </c>
      <c r="J2751" s="143" t="s">
        <v>4667</v>
      </c>
      <c r="K2751" s="33" t="s">
        <v>169</v>
      </c>
      <c r="L2751" s="102" t="str">
        <f>VLOOKUP(Anexo_4[[#This Row],[cod_doc]],TIPODOC,2,FALSE)</f>
        <v>FACTURA</v>
      </c>
      <c r="M2751" s="33" t="s">
        <v>180</v>
      </c>
      <c r="N2751" s="32" t="s">
        <v>9011</v>
      </c>
      <c r="O2751" s="48">
        <v>8.4700000000000006</v>
      </c>
      <c r="P2751" s="49" t="s">
        <v>4341</v>
      </c>
      <c r="Q2751" s="81">
        <v>1.53</v>
      </c>
      <c r="R2751" s="80" t="s">
        <v>4341</v>
      </c>
      <c r="S2751" s="48" t="s">
        <v>4341</v>
      </c>
      <c r="T2751" s="72">
        <v>10</v>
      </c>
      <c r="U2751" s="70"/>
      <c r="V2751" s="32"/>
      <c r="W2751" s="70"/>
      <c r="X2751" s="70"/>
      <c r="Y2751" s="70" t="s">
        <v>9012</v>
      </c>
      <c r="Z2751" s="70"/>
      <c r="AA2751" s="71"/>
      <c r="AB2751" s="117" t="str">
        <f>IFERROR(VLOOKUP(Anexo_4[[#This Row],[cuenta]],OP,2,0),"-")</f>
        <v>-</v>
      </c>
    </row>
    <row r="2752" spans="1:28" ht="27" customHeight="1" x14ac:dyDescent="0.3">
      <c r="A2752" s="34" t="s">
        <v>7152</v>
      </c>
      <c r="B2752" s="36" t="str">
        <f t="shared" si="80"/>
        <v>Octubre</v>
      </c>
      <c r="C2752" s="33"/>
      <c r="D2752" s="33" t="s">
        <v>9013</v>
      </c>
      <c r="E2752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752" s="32" t="s">
        <v>190</v>
      </c>
      <c r="G2752" s="32" t="s">
        <v>191</v>
      </c>
      <c r="H2752" s="139" t="s">
        <v>9014</v>
      </c>
      <c r="I2752" s="33" t="s">
        <v>3420</v>
      </c>
      <c r="J2752" s="143" t="s">
        <v>9015</v>
      </c>
      <c r="K2752" s="33" t="s">
        <v>169</v>
      </c>
      <c r="L2752" s="102" t="str">
        <f>VLOOKUP(Anexo_4[[#This Row],[cod_doc]],TIPODOC,2,FALSE)</f>
        <v>FACTURA</v>
      </c>
      <c r="M2752" s="33" t="s">
        <v>102</v>
      </c>
      <c r="N2752" s="32" t="s">
        <v>9016</v>
      </c>
      <c r="O2752" s="48">
        <v>3855.93</v>
      </c>
      <c r="P2752" s="49" t="s">
        <v>4341</v>
      </c>
      <c r="Q2752" s="81">
        <v>694.07</v>
      </c>
      <c r="R2752" s="80" t="s">
        <v>4341</v>
      </c>
      <c r="S2752" s="48" t="s">
        <v>4341</v>
      </c>
      <c r="T2752" s="72">
        <v>4550</v>
      </c>
      <c r="U2752" s="70"/>
      <c r="V2752" s="32"/>
      <c r="W2752" s="70"/>
      <c r="X2752" s="70"/>
      <c r="Y2752" s="70"/>
      <c r="Z2752" s="70"/>
      <c r="AA2752" s="71"/>
      <c r="AB2752" s="117" t="str">
        <f>IFERROR(VLOOKUP(Anexo_4[[#This Row],[cuenta]],OP,2,0),"-")</f>
        <v>-</v>
      </c>
    </row>
    <row r="2753" spans="1:28" ht="27" customHeight="1" x14ac:dyDescent="0.3">
      <c r="A2753" s="34" t="s">
        <v>8764</v>
      </c>
      <c r="B2753" s="36" t="str">
        <f t="shared" si="80"/>
        <v>Octubre</v>
      </c>
      <c r="C2753" s="33"/>
      <c r="D2753" s="33" t="s">
        <v>9017</v>
      </c>
      <c r="E2753" s="37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2753" s="32" t="s">
        <v>198</v>
      </c>
      <c r="G2753" s="32" t="s">
        <v>199</v>
      </c>
      <c r="H2753" s="139" t="s">
        <v>9018</v>
      </c>
      <c r="I2753" s="33" t="s">
        <v>4308</v>
      </c>
      <c r="J2753" s="143" t="s">
        <v>5271</v>
      </c>
      <c r="K2753" s="33" t="s">
        <v>169</v>
      </c>
      <c r="L2753" s="102" t="str">
        <f>VLOOKUP(Anexo_4[[#This Row],[cod_doc]],TIPODOC,2,FALSE)</f>
        <v>FACTURA</v>
      </c>
      <c r="M2753" s="33" t="s">
        <v>102</v>
      </c>
      <c r="N2753" s="32" t="s">
        <v>9019</v>
      </c>
      <c r="O2753" s="48">
        <v>2457.63</v>
      </c>
      <c r="P2753" s="49" t="s">
        <v>4341</v>
      </c>
      <c r="Q2753" s="81">
        <v>442.37</v>
      </c>
      <c r="R2753" s="80" t="s">
        <v>4341</v>
      </c>
      <c r="S2753" s="48" t="s">
        <v>4341</v>
      </c>
      <c r="T2753" s="72">
        <v>2900</v>
      </c>
      <c r="U2753" s="70"/>
      <c r="V2753" s="32"/>
      <c r="W2753" s="70"/>
      <c r="X2753" s="70"/>
      <c r="Y2753" s="70"/>
      <c r="Z2753" s="70"/>
      <c r="AA2753" s="71"/>
      <c r="AB2753" s="117" t="str">
        <f>IFERROR(VLOOKUP(Anexo_4[[#This Row],[cuenta]],OP,2,0),"-")</f>
        <v>-</v>
      </c>
    </row>
    <row r="2754" spans="1:28" ht="27" customHeight="1" x14ac:dyDescent="0.3">
      <c r="A2754" s="34" t="s">
        <v>7307</v>
      </c>
      <c r="B2754" s="36" t="str">
        <f t="shared" si="80"/>
        <v>Octubre</v>
      </c>
      <c r="C2754" s="33"/>
      <c r="D2754" s="33" t="s">
        <v>9020</v>
      </c>
      <c r="E2754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754" s="32" t="s">
        <v>355</v>
      </c>
      <c r="G2754" s="32" t="s">
        <v>356</v>
      </c>
      <c r="H2754" s="139" t="s">
        <v>9021</v>
      </c>
      <c r="I2754" s="33" t="s">
        <v>851</v>
      </c>
      <c r="J2754" s="143" t="s">
        <v>9022</v>
      </c>
      <c r="K2754" s="33" t="s">
        <v>169</v>
      </c>
      <c r="L2754" s="102" t="str">
        <f>VLOOKUP(Anexo_4[[#This Row],[cod_doc]],TIPODOC,2,FALSE)</f>
        <v>FACTURA</v>
      </c>
      <c r="M2754" s="33" t="s">
        <v>222</v>
      </c>
      <c r="N2754" s="32" t="s">
        <v>9023</v>
      </c>
      <c r="O2754" s="48">
        <v>6218</v>
      </c>
      <c r="P2754" s="49" t="s">
        <v>4341</v>
      </c>
      <c r="Q2754" s="81">
        <v>1119.24</v>
      </c>
      <c r="R2754" s="80" t="s">
        <v>4341</v>
      </c>
      <c r="S2754" s="48" t="s">
        <v>4341</v>
      </c>
      <c r="T2754" s="72">
        <v>7337.24</v>
      </c>
      <c r="U2754" s="70"/>
      <c r="V2754" s="32"/>
      <c r="W2754" s="70"/>
      <c r="X2754" s="70"/>
      <c r="Y2754" s="70"/>
      <c r="Z2754" s="70"/>
      <c r="AA2754" s="71"/>
      <c r="AB2754" s="117" t="str">
        <f>IFERROR(VLOOKUP(Anexo_4[[#This Row],[cuenta]],OP,2,0),"-")</f>
        <v>-</v>
      </c>
    </row>
    <row r="2755" spans="1:28" ht="27" customHeight="1" x14ac:dyDescent="0.3">
      <c r="A2755" s="34" t="s">
        <v>8234</v>
      </c>
      <c r="B2755" s="36" t="str">
        <f t="shared" si="80"/>
        <v>Octubre</v>
      </c>
      <c r="C2755" s="33"/>
      <c r="D2755" s="33" t="s">
        <v>9024</v>
      </c>
      <c r="E2755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755" s="32" t="s">
        <v>190</v>
      </c>
      <c r="G2755" s="32" t="s">
        <v>191</v>
      </c>
      <c r="H2755" s="139" t="s">
        <v>9025</v>
      </c>
      <c r="I2755" s="33" t="s">
        <v>1687</v>
      </c>
      <c r="J2755" s="143" t="s">
        <v>4700</v>
      </c>
      <c r="K2755" s="33" t="s">
        <v>169</v>
      </c>
      <c r="L2755" s="102" t="str">
        <f>VLOOKUP(Anexo_4[[#This Row],[cod_doc]],TIPODOC,2,FALSE)</f>
        <v>FACTURA</v>
      </c>
      <c r="M2755" s="33" t="s">
        <v>102</v>
      </c>
      <c r="N2755" s="32" t="s">
        <v>9026</v>
      </c>
      <c r="O2755" s="48">
        <v>80.510000000000005</v>
      </c>
      <c r="P2755" s="49" t="s">
        <v>4341</v>
      </c>
      <c r="Q2755" s="81">
        <v>14.49</v>
      </c>
      <c r="R2755" s="80" t="s">
        <v>4341</v>
      </c>
      <c r="S2755" s="48" t="s">
        <v>4341</v>
      </c>
      <c r="T2755" s="72">
        <v>95</v>
      </c>
      <c r="U2755" s="70"/>
      <c r="V2755" s="32"/>
      <c r="W2755" s="70"/>
      <c r="X2755" s="70"/>
      <c r="Y2755" s="70"/>
      <c r="Z2755" s="70"/>
      <c r="AA2755" s="71"/>
      <c r="AB2755" s="117" t="str">
        <f>IFERROR(VLOOKUP(Anexo_4[[#This Row],[cuenta]],OP,2,0),"-")</f>
        <v>-</v>
      </c>
    </row>
    <row r="2756" spans="1:28" ht="27" customHeight="1" x14ac:dyDescent="0.3">
      <c r="A2756" s="34" t="s">
        <v>8764</v>
      </c>
      <c r="B2756" s="36" t="str">
        <f t="shared" si="80"/>
        <v>Octubre</v>
      </c>
      <c r="C2756" s="33"/>
      <c r="D2756" s="33" t="s">
        <v>9027</v>
      </c>
      <c r="E2756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756" s="32" t="s">
        <v>592</v>
      </c>
      <c r="G2756" s="32" t="s">
        <v>593</v>
      </c>
      <c r="H2756" s="139" t="s">
        <v>9028</v>
      </c>
      <c r="I2756" s="33" t="s">
        <v>643</v>
      </c>
      <c r="J2756" s="143" t="s">
        <v>4632</v>
      </c>
      <c r="K2756" s="33" t="s">
        <v>169</v>
      </c>
      <c r="L2756" s="102" t="str">
        <f>VLOOKUP(Anexo_4[[#This Row],[cod_doc]],TIPODOC,2,FALSE)</f>
        <v>FACTURA</v>
      </c>
      <c r="M2756" s="33" t="s">
        <v>102</v>
      </c>
      <c r="N2756" s="32" t="s">
        <v>9029</v>
      </c>
      <c r="O2756" s="48">
        <v>170</v>
      </c>
      <c r="P2756" s="49" t="s">
        <v>4341</v>
      </c>
      <c r="Q2756" s="81">
        <v>30.6</v>
      </c>
      <c r="R2756" s="80" t="s">
        <v>4341</v>
      </c>
      <c r="S2756" s="48" t="s">
        <v>4341</v>
      </c>
      <c r="T2756" s="72">
        <v>200.6</v>
      </c>
      <c r="U2756" s="70"/>
      <c r="V2756" s="32"/>
      <c r="W2756" s="70"/>
      <c r="X2756" s="70"/>
      <c r="Y2756" s="70"/>
      <c r="Z2756" s="70"/>
      <c r="AA2756" s="71"/>
      <c r="AB2756" s="117" t="str">
        <f>IFERROR(VLOOKUP(Anexo_4[[#This Row],[cuenta]],OP,2,0),"-")</f>
        <v>-</v>
      </c>
    </row>
    <row r="2757" spans="1:28" ht="27" customHeight="1" x14ac:dyDescent="0.3">
      <c r="A2757" s="34" t="s">
        <v>7710</v>
      </c>
      <c r="B2757" s="36" t="str">
        <f t="shared" si="80"/>
        <v>Octubre</v>
      </c>
      <c r="C2757" s="33"/>
      <c r="D2757" s="33" t="s">
        <v>9030</v>
      </c>
      <c r="E2757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757" s="32" t="s">
        <v>592</v>
      </c>
      <c r="G2757" s="32" t="s">
        <v>593</v>
      </c>
      <c r="H2757" s="139" t="s">
        <v>9031</v>
      </c>
      <c r="I2757" s="33" t="s">
        <v>1074</v>
      </c>
      <c r="J2757" s="143" t="s">
        <v>4635</v>
      </c>
      <c r="K2757" s="33" t="s">
        <v>169</v>
      </c>
      <c r="L2757" s="102" t="str">
        <f>VLOOKUP(Anexo_4[[#This Row],[cod_doc]],TIPODOC,2,FALSE)</f>
        <v>FACTURA</v>
      </c>
      <c r="M2757" s="33" t="s">
        <v>102</v>
      </c>
      <c r="N2757" s="32" t="s">
        <v>9032</v>
      </c>
      <c r="O2757" s="48">
        <v>60</v>
      </c>
      <c r="P2757" s="49" t="s">
        <v>4341</v>
      </c>
      <c r="Q2757" s="81">
        <v>10.8</v>
      </c>
      <c r="R2757" s="80" t="s">
        <v>4341</v>
      </c>
      <c r="S2757" s="48" t="s">
        <v>4341</v>
      </c>
      <c r="T2757" s="72">
        <v>70.8</v>
      </c>
      <c r="U2757" s="70"/>
      <c r="V2757" s="32"/>
      <c r="W2757" s="70"/>
      <c r="X2757" s="70"/>
      <c r="Y2757" s="70"/>
      <c r="Z2757" s="70"/>
      <c r="AA2757" s="71"/>
      <c r="AB2757" s="117" t="str">
        <f>IFERROR(VLOOKUP(Anexo_4[[#This Row],[cuenta]],OP,2,0),"-")</f>
        <v>-</v>
      </c>
    </row>
    <row r="2758" spans="1:28" ht="27" customHeight="1" x14ac:dyDescent="0.3">
      <c r="A2758" s="34" t="s">
        <v>7710</v>
      </c>
      <c r="B2758" s="36" t="str">
        <f t="shared" si="80"/>
        <v>Octubre</v>
      </c>
      <c r="C2758" s="33"/>
      <c r="D2758" s="33" t="s">
        <v>9033</v>
      </c>
      <c r="E2758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758" s="32" t="s">
        <v>592</v>
      </c>
      <c r="G2758" s="32" t="s">
        <v>593</v>
      </c>
      <c r="H2758" s="139" t="s">
        <v>9034</v>
      </c>
      <c r="I2758" s="33" t="s">
        <v>1074</v>
      </c>
      <c r="J2758" s="143" t="s">
        <v>4635</v>
      </c>
      <c r="K2758" s="33" t="s">
        <v>169</v>
      </c>
      <c r="L2758" s="102" t="str">
        <f>VLOOKUP(Anexo_4[[#This Row],[cod_doc]],TIPODOC,2,FALSE)</f>
        <v>FACTURA</v>
      </c>
      <c r="M2758" s="33" t="s">
        <v>102</v>
      </c>
      <c r="N2758" s="32" t="s">
        <v>9035</v>
      </c>
      <c r="O2758" s="48">
        <v>60</v>
      </c>
      <c r="P2758" s="49" t="s">
        <v>4341</v>
      </c>
      <c r="Q2758" s="81">
        <v>10.8</v>
      </c>
      <c r="R2758" s="80" t="s">
        <v>4341</v>
      </c>
      <c r="S2758" s="48" t="s">
        <v>4341</v>
      </c>
      <c r="T2758" s="72">
        <v>70.8</v>
      </c>
      <c r="U2758" s="70"/>
      <c r="V2758" s="32"/>
      <c r="W2758" s="70"/>
      <c r="X2758" s="70"/>
      <c r="Y2758" s="70"/>
      <c r="Z2758" s="70"/>
      <c r="AA2758" s="71"/>
      <c r="AB2758" s="117" t="str">
        <f>IFERROR(VLOOKUP(Anexo_4[[#This Row],[cuenta]],OP,2,0),"-")</f>
        <v>-</v>
      </c>
    </row>
    <row r="2759" spans="1:28" ht="27" customHeight="1" x14ac:dyDescent="0.3">
      <c r="A2759" s="34" t="s">
        <v>8641</v>
      </c>
      <c r="B2759" s="36" t="str">
        <f t="shared" si="80"/>
        <v>Octubre</v>
      </c>
      <c r="C2759" s="33"/>
      <c r="D2759" s="33" t="s">
        <v>9036</v>
      </c>
      <c r="E2759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759" s="32" t="s">
        <v>449</v>
      </c>
      <c r="G2759" s="32" t="s">
        <v>4868</v>
      </c>
      <c r="H2759" s="139" t="s">
        <v>765</v>
      </c>
      <c r="I2759" s="33" t="s">
        <v>452</v>
      </c>
      <c r="J2759" s="143" t="s">
        <v>4854</v>
      </c>
      <c r="K2759" s="33" t="s">
        <v>169</v>
      </c>
      <c r="L2759" s="102" t="str">
        <f>VLOOKUP(Anexo_4[[#This Row],[cod_doc]],TIPODOC,2,FALSE)</f>
        <v>FACTURA</v>
      </c>
      <c r="M2759" s="33" t="s">
        <v>461</v>
      </c>
      <c r="N2759" s="32" t="s">
        <v>9037</v>
      </c>
      <c r="O2759" s="48">
        <v>1096.72</v>
      </c>
      <c r="P2759" s="49" t="s">
        <v>4341</v>
      </c>
      <c r="Q2759" s="81">
        <v>197.41</v>
      </c>
      <c r="R2759" s="80" t="s">
        <v>4341</v>
      </c>
      <c r="S2759" s="48" t="s">
        <v>4341</v>
      </c>
      <c r="T2759" s="72">
        <v>1294.1300000000001</v>
      </c>
      <c r="U2759" s="70"/>
      <c r="V2759" s="32"/>
      <c r="W2759" s="70"/>
      <c r="X2759" s="70"/>
      <c r="Y2759" s="70"/>
      <c r="Z2759" s="70"/>
      <c r="AA2759" s="71"/>
      <c r="AB2759" s="117" t="str">
        <f>IFERROR(VLOOKUP(Anexo_4[[#This Row],[cuenta]],OP,2,0),"-")</f>
        <v>-</v>
      </c>
    </row>
    <row r="2760" spans="1:28" ht="27" customHeight="1" x14ac:dyDescent="0.3">
      <c r="A2760" s="34" t="s">
        <v>8641</v>
      </c>
      <c r="B2760" s="36" t="str">
        <f t="shared" si="80"/>
        <v>Octubre</v>
      </c>
      <c r="C2760" s="33"/>
      <c r="D2760" s="33" t="s">
        <v>9038</v>
      </c>
      <c r="E2760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760" s="32" t="s">
        <v>5923</v>
      </c>
      <c r="G2760" s="32" t="s">
        <v>5924</v>
      </c>
      <c r="H2760" s="139" t="s">
        <v>765</v>
      </c>
      <c r="I2760" s="33" t="s">
        <v>452</v>
      </c>
      <c r="J2760" s="143" t="s">
        <v>4854</v>
      </c>
      <c r="K2760" s="33" t="s">
        <v>169</v>
      </c>
      <c r="L2760" s="102" t="str">
        <f>VLOOKUP(Anexo_4[[#This Row],[cod_doc]],TIPODOC,2,FALSE)</f>
        <v>FACTURA</v>
      </c>
      <c r="M2760" s="33" t="s">
        <v>461</v>
      </c>
      <c r="N2760" s="32" t="s">
        <v>9039</v>
      </c>
      <c r="O2760" s="48">
        <v>1086.08</v>
      </c>
      <c r="P2760" s="49" t="s">
        <v>4341</v>
      </c>
      <c r="Q2760" s="81">
        <v>195.49</v>
      </c>
      <c r="R2760" s="80" t="s">
        <v>4341</v>
      </c>
      <c r="S2760" s="48" t="s">
        <v>4341</v>
      </c>
      <c r="T2760" s="72">
        <v>1281.57</v>
      </c>
      <c r="U2760" s="70"/>
      <c r="V2760" s="32"/>
      <c r="W2760" s="70"/>
      <c r="X2760" s="70"/>
      <c r="Y2760" s="70"/>
      <c r="Z2760" s="70"/>
      <c r="AA2760" s="71"/>
      <c r="AB2760" s="117" t="str">
        <f>IFERROR(VLOOKUP(Anexo_4[[#This Row],[cuenta]],OP,2,0),"-")</f>
        <v>-</v>
      </c>
    </row>
    <row r="2761" spans="1:28" ht="27" customHeight="1" x14ac:dyDescent="0.3">
      <c r="A2761" s="34" t="s">
        <v>8505</v>
      </c>
      <c r="B2761" s="36" t="str">
        <f t="shared" si="80"/>
        <v>Octubre</v>
      </c>
      <c r="C2761" s="33"/>
      <c r="D2761" s="33" t="s">
        <v>9040</v>
      </c>
      <c r="E2761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761" s="32" t="s">
        <v>355</v>
      </c>
      <c r="G2761" s="32" t="s">
        <v>356</v>
      </c>
      <c r="H2761" s="139" t="s">
        <v>9041</v>
      </c>
      <c r="I2761" s="33" t="s">
        <v>1714</v>
      </c>
      <c r="J2761" s="143" t="s">
        <v>9042</v>
      </c>
      <c r="K2761" s="33" t="s">
        <v>169</v>
      </c>
      <c r="L2761" s="102" t="str">
        <f>VLOOKUP(Anexo_4[[#This Row],[cod_doc]],TIPODOC,2,FALSE)</f>
        <v>FACTURA</v>
      </c>
      <c r="M2761" s="33" t="s">
        <v>102</v>
      </c>
      <c r="N2761" s="32" t="s">
        <v>9043</v>
      </c>
      <c r="O2761" s="48">
        <v>847.46</v>
      </c>
      <c r="P2761" s="49" t="s">
        <v>4341</v>
      </c>
      <c r="Q2761" s="81">
        <v>152.54</v>
      </c>
      <c r="R2761" s="80" t="s">
        <v>4341</v>
      </c>
      <c r="S2761" s="48" t="s">
        <v>4341</v>
      </c>
      <c r="T2761" s="72">
        <v>1000</v>
      </c>
      <c r="U2761" s="70"/>
      <c r="V2761" s="32"/>
      <c r="W2761" s="70"/>
      <c r="X2761" s="70"/>
      <c r="Y2761" s="70"/>
      <c r="Z2761" s="70"/>
      <c r="AA2761" s="71"/>
      <c r="AB2761" s="117" t="str">
        <f>IFERROR(VLOOKUP(Anexo_4[[#This Row],[cuenta]],OP,2,0),"-")</f>
        <v>-</v>
      </c>
    </row>
    <row r="2762" spans="1:28" ht="27" customHeight="1" x14ac:dyDescent="0.3">
      <c r="A2762" s="34" t="s">
        <v>8641</v>
      </c>
      <c r="B2762" s="36" t="str">
        <f t="shared" si="80"/>
        <v>Octubre</v>
      </c>
      <c r="C2762" s="33"/>
      <c r="D2762" s="33" t="s">
        <v>9044</v>
      </c>
      <c r="E2762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762" s="32" t="s">
        <v>190</v>
      </c>
      <c r="G2762" s="32" t="s">
        <v>191</v>
      </c>
      <c r="H2762" s="139" t="s">
        <v>9045</v>
      </c>
      <c r="I2762" s="33" t="s">
        <v>899</v>
      </c>
      <c r="J2762" s="143" t="s">
        <v>4693</v>
      </c>
      <c r="K2762" s="33" t="s">
        <v>169</v>
      </c>
      <c r="L2762" s="102" t="str">
        <f>VLOOKUP(Anexo_4[[#This Row],[cod_doc]],TIPODOC,2,FALSE)</f>
        <v>FACTURA</v>
      </c>
      <c r="M2762" s="33" t="s">
        <v>102</v>
      </c>
      <c r="N2762" s="32" t="s">
        <v>9046</v>
      </c>
      <c r="O2762" s="48">
        <v>93.22</v>
      </c>
      <c r="P2762" s="49" t="s">
        <v>4341</v>
      </c>
      <c r="Q2762" s="81">
        <v>16.78</v>
      </c>
      <c r="R2762" s="80" t="s">
        <v>4341</v>
      </c>
      <c r="S2762" s="48" t="s">
        <v>4341</v>
      </c>
      <c r="T2762" s="72">
        <v>110</v>
      </c>
      <c r="U2762" s="70"/>
      <c r="V2762" s="32"/>
      <c r="W2762" s="70"/>
      <c r="X2762" s="70"/>
      <c r="Y2762" s="70"/>
      <c r="Z2762" s="70"/>
      <c r="AA2762" s="71"/>
      <c r="AB2762" s="117" t="str">
        <f>IFERROR(VLOOKUP(Anexo_4[[#This Row],[cuenta]],OP,2,0),"-")</f>
        <v>-</v>
      </c>
    </row>
    <row r="2763" spans="1:28" ht="27" customHeight="1" x14ac:dyDescent="0.3">
      <c r="A2763" s="34" t="s">
        <v>7901</v>
      </c>
      <c r="B2763" s="36" t="str">
        <f t="shared" si="80"/>
        <v>Octubre</v>
      </c>
      <c r="C2763" s="33"/>
      <c r="D2763" s="33" t="s">
        <v>9047</v>
      </c>
      <c r="E2763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763" s="32" t="s">
        <v>823</v>
      </c>
      <c r="G2763" s="32" t="s">
        <v>824</v>
      </c>
      <c r="H2763" s="139" t="s">
        <v>9048</v>
      </c>
      <c r="I2763" s="33" t="s">
        <v>9049</v>
      </c>
      <c r="J2763" s="143" t="s">
        <v>9050</v>
      </c>
      <c r="K2763" s="33" t="s">
        <v>169</v>
      </c>
      <c r="L2763" s="102" t="str">
        <f>VLOOKUP(Anexo_4[[#This Row],[cod_doc]],TIPODOC,2,FALSE)</f>
        <v>FACTURA</v>
      </c>
      <c r="M2763" s="33" t="s">
        <v>102</v>
      </c>
      <c r="N2763" s="32" t="s">
        <v>9051</v>
      </c>
      <c r="O2763" s="48">
        <v>152.54</v>
      </c>
      <c r="P2763" s="49" t="s">
        <v>4341</v>
      </c>
      <c r="Q2763" s="81">
        <v>27.46</v>
      </c>
      <c r="R2763" s="80" t="s">
        <v>4341</v>
      </c>
      <c r="S2763" s="48" t="s">
        <v>4341</v>
      </c>
      <c r="T2763" s="72">
        <v>180</v>
      </c>
      <c r="U2763" s="70"/>
      <c r="V2763" s="32"/>
      <c r="W2763" s="70"/>
      <c r="X2763" s="70"/>
      <c r="Y2763" s="70"/>
      <c r="Z2763" s="70"/>
      <c r="AA2763" s="71"/>
      <c r="AB2763" s="117" t="str">
        <f>IFERROR(VLOOKUP(Anexo_4[[#This Row],[cuenta]],OP,2,0),"-")</f>
        <v>-</v>
      </c>
    </row>
    <row r="2764" spans="1:28" ht="27" customHeight="1" x14ac:dyDescent="0.3">
      <c r="A2764" s="34" t="s">
        <v>8641</v>
      </c>
      <c r="B2764" s="36" t="str">
        <f t="shared" si="80"/>
        <v>Octubre</v>
      </c>
      <c r="C2764" s="33"/>
      <c r="D2764" s="33" t="s">
        <v>9052</v>
      </c>
      <c r="E2764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764" s="32" t="s">
        <v>823</v>
      </c>
      <c r="G2764" s="32" t="s">
        <v>824</v>
      </c>
      <c r="H2764" s="139" t="s">
        <v>9053</v>
      </c>
      <c r="I2764" s="33" t="s">
        <v>6962</v>
      </c>
      <c r="J2764" s="143" t="s">
        <v>6963</v>
      </c>
      <c r="K2764" s="33" t="s">
        <v>169</v>
      </c>
      <c r="L2764" s="102" t="str">
        <f>VLOOKUP(Anexo_4[[#This Row],[cod_doc]],TIPODOC,2,FALSE)</f>
        <v>FACTURA</v>
      </c>
      <c r="M2764" s="33" t="s">
        <v>180</v>
      </c>
      <c r="N2764" s="32" t="s">
        <v>9054</v>
      </c>
      <c r="O2764" s="48"/>
      <c r="P2764" s="49">
        <v>155.44999999999999</v>
      </c>
      <c r="Q2764" s="81"/>
      <c r="R2764" s="80">
        <v>15.55</v>
      </c>
      <c r="S2764" s="48" t="s">
        <v>4341</v>
      </c>
      <c r="T2764" s="72">
        <v>171</v>
      </c>
      <c r="U2764" s="70"/>
      <c r="V2764" s="32"/>
      <c r="W2764" s="70"/>
      <c r="X2764" s="70"/>
      <c r="Y2764" s="70"/>
      <c r="Z2764" s="70"/>
      <c r="AA2764" s="71"/>
      <c r="AB2764" s="117" t="str">
        <f>IFERROR(VLOOKUP(Anexo_4[[#This Row],[cuenta]],OP,2,0),"-")</f>
        <v>-</v>
      </c>
    </row>
    <row r="2765" spans="1:28" ht="27" customHeight="1" x14ac:dyDescent="0.3">
      <c r="A2765" s="34" t="s">
        <v>9055</v>
      </c>
      <c r="B2765" s="36" t="str">
        <f t="shared" ref="B2765:B2788" si="81">PROPER(CHOOSE(LEFT(D2765,2),"enero","febrero","marzo","abril","mayo","junio","julio","agosto","setiembre","octubre","noviembre","diciembre"))</f>
        <v>Octubre</v>
      </c>
      <c r="C2765" s="33"/>
      <c r="D2765" s="33" t="s">
        <v>9056</v>
      </c>
      <c r="E2765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765" s="32" t="s">
        <v>823</v>
      </c>
      <c r="G2765" s="32" t="s">
        <v>824</v>
      </c>
      <c r="H2765" s="139" t="s">
        <v>9057</v>
      </c>
      <c r="I2765" s="33" t="s">
        <v>3444</v>
      </c>
      <c r="J2765" s="143" t="s">
        <v>9058</v>
      </c>
      <c r="K2765" s="33" t="s">
        <v>169</v>
      </c>
      <c r="L2765" s="102" t="str">
        <f>VLOOKUP(Anexo_4[[#This Row],[cod_doc]],TIPODOC,2,FALSE)</f>
        <v>FACTURA</v>
      </c>
      <c r="M2765" s="33" t="s">
        <v>9059</v>
      </c>
      <c r="N2765" s="32" t="s">
        <v>9060</v>
      </c>
      <c r="O2765" s="48">
        <v>33.72</v>
      </c>
      <c r="P2765" s="49" t="s">
        <v>4341</v>
      </c>
      <c r="Q2765" s="81">
        <v>6.08</v>
      </c>
      <c r="R2765" s="80" t="s">
        <v>4341</v>
      </c>
      <c r="S2765" s="48">
        <v>10.3</v>
      </c>
      <c r="T2765" s="72">
        <v>50.1</v>
      </c>
      <c r="U2765" s="70"/>
      <c r="V2765" s="32"/>
      <c r="W2765" s="70"/>
      <c r="X2765" s="70"/>
      <c r="Y2765" s="70"/>
      <c r="Z2765" s="70"/>
      <c r="AA2765" s="71"/>
      <c r="AB2765" s="117" t="str">
        <f>IFERROR(VLOOKUP(Anexo_4[[#This Row],[cuenta]],OP,2,0),"-")</f>
        <v>-</v>
      </c>
    </row>
    <row r="2766" spans="1:28" ht="27" customHeight="1" x14ac:dyDescent="0.3">
      <c r="A2766" s="34" t="s">
        <v>7741</v>
      </c>
      <c r="B2766" s="36" t="str">
        <f t="shared" si="81"/>
        <v>Octubre</v>
      </c>
      <c r="C2766" s="33"/>
      <c r="D2766" s="33" t="s">
        <v>9061</v>
      </c>
      <c r="E2766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766" s="32" t="s">
        <v>823</v>
      </c>
      <c r="G2766" s="32" t="s">
        <v>824</v>
      </c>
      <c r="H2766" s="139" t="s">
        <v>9062</v>
      </c>
      <c r="I2766" s="33" t="s">
        <v>2113</v>
      </c>
      <c r="J2766" s="143" t="s">
        <v>6854</v>
      </c>
      <c r="K2766" s="33" t="s">
        <v>169</v>
      </c>
      <c r="L2766" s="102" t="str">
        <f>VLOOKUP(Anexo_4[[#This Row],[cod_doc]],TIPODOC,2,FALSE)</f>
        <v>FACTURA</v>
      </c>
      <c r="M2766" s="33" t="s">
        <v>9063</v>
      </c>
      <c r="N2766" s="32" t="s">
        <v>9064</v>
      </c>
      <c r="O2766" s="48">
        <v>48.93</v>
      </c>
      <c r="P2766" s="49" t="s">
        <v>4341</v>
      </c>
      <c r="Q2766" s="81">
        <v>8.7899999999999991</v>
      </c>
      <c r="R2766" s="80" t="s">
        <v>4341</v>
      </c>
      <c r="S2766" s="48">
        <v>2.39</v>
      </c>
      <c r="T2766" s="72">
        <v>60.11</v>
      </c>
      <c r="U2766" s="70"/>
      <c r="V2766" s="32"/>
      <c r="W2766" s="70"/>
      <c r="X2766" s="70"/>
      <c r="Y2766" s="70"/>
      <c r="Z2766" s="70"/>
      <c r="AA2766" s="71"/>
      <c r="AB2766" s="117" t="str">
        <f>IFERROR(VLOOKUP(Anexo_4[[#This Row],[cuenta]],OP,2,0),"-")</f>
        <v>-</v>
      </c>
    </row>
    <row r="2767" spans="1:28" ht="27" customHeight="1" x14ac:dyDescent="0.3">
      <c r="A2767" s="34" t="s">
        <v>7411</v>
      </c>
      <c r="B2767" s="36" t="str">
        <f t="shared" si="81"/>
        <v>Octubre</v>
      </c>
      <c r="C2767" s="33"/>
      <c r="D2767" s="33" t="s">
        <v>9065</v>
      </c>
      <c r="E2767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767" s="32" t="s">
        <v>823</v>
      </c>
      <c r="G2767" s="32" t="s">
        <v>824</v>
      </c>
      <c r="H2767" s="139" t="s">
        <v>9066</v>
      </c>
      <c r="I2767" s="33" t="s">
        <v>9067</v>
      </c>
      <c r="J2767" s="143" t="s">
        <v>9068</v>
      </c>
      <c r="K2767" s="33" t="s">
        <v>169</v>
      </c>
      <c r="L2767" s="102" t="str">
        <f>VLOOKUP(Anexo_4[[#This Row],[cod_doc]],TIPODOC,2,FALSE)</f>
        <v>FACTURA</v>
      </c>
      <c r="M2767" s="33" t="s">
        <v>9069</v>
      </c>
      <c r="N2767" s="32" t="s">
        <v>9070</v>
      </c>
      <c r="O2767" s="48">
        <v>110.59</v>
      </c>
      <c r="P2767" s="49" t="s">
        <v>4341</v>
      </c>
      <c r="Q2767" s="81">
        <v>19.91</v>
      </c>
      <c r="R2767" s="80" t="s">
        <v>4341</v>
      </c>
      <c r="S2767" s="48" t="s">
        <v>4341</v>
      </c>
      <c r="T2767" s="72">
        <v>130.5</v>
      </c>
      <c r="U2767" s="70"/>
      <c r="V2767" s="32"/>
      <c r="W2767" s="70"/>
      <c r="X2767" s="70"/>
      <c r="Y2767" s="70"/>
      <c r="Z2767" s="70"/>
      <c r="AA2767" s="71"/>
      <c r="AB2767" s="117" t="str">
        <f>IFERROR(VLOOKUP(Anexo_4[[#This Row],[cuenta]],OP,2,0),"-")</f>
        <v>-</v>
      </c>
    </row>
    <row r="2768" spans="1:28" ht="27" customHeight="1" x14ac:dyDescent="0.3">
      <c r="A2768" s="34" t="s">
        <v>7307</v>
      </c>
      <c r="B2768" s="36" t="str">
        <f t="shared" si="81"/>
        <v>Octubre</v>
      </c>
      <c r="C2768" s="33"/>
      <c r="D2768" s="33" t="s">
        <v>9071</v>
      </c>
      <c r="E2768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768" s="32" t="s">
        <v>456</v>
      </c>
      <c r="G2768" s="32" t="s">
        <v>4911</v>
      </c>
      <c r="H2768" s="139" t="s">
        <v>9072</v>
      </c>
      <c r="I2768" s="33" t="s">
        <v>9073</v>
      </c>
      <c r="J2768" s="143" t="s">
        <v>9074</v>
      </c>
      <c r="K2768" s="33" t="s">
        <v>169</v>
      </c>
      <c r="L2768" s="102" t="str">
        <f>VLOOKUP(Anexo_4[[#This Row],[cod_doc]],TIPODOC,2,FALSE)</f>
        <v>FACTURA</v>
      </c>
      <c r="M2768" s="33" t="s">
        <v>180</v>
      </c>
      <c r="N2768" s="32" t="s">
        <v>9075</v>
      </c>
      <c r="O2768" s="48">
        <v>39.83</v>
      </c>
      <c r="P2768" s="49" t="s">
        <v>4341</v>
      </c>
      <c r="Q2768" s="81">
        <v>7.17</v>
      </c>
      <c r="R2768" s="80" t="s">
        <v>4341</v>
      </c>
      <c r="S2768" s="48" t="s">
        <v>4341</v>
      </c>
      <c r="T2768" s="72">
        <v>47</v>
      </c>
      <c r="U2768" s="70"/>
      <c r="V2768" s="32"/>
      <c r="W2768" s="70"/>
      <c r="X2768" s="70"/>
      <c r="Y2768" s="70"/>
      <c r="Z2768" s="70"/>
      <c r="AA2768" s="71"/>
      <c r="AB2768" s="117" t="str">
        <f>IFERROR(VLOOKUP(Anexo_4[[#This Row],[cuenta]],OP,2,0),"-")</f>
        <v>-</v>
      </c>
    </row>
    <row r="2769" spans="1:28" ht="27" customHeight="1" x14ac:dyDescent="0.3">
      <c r="A2769" s="34" t="s">
        <v>7710</v>
      </c>
      <c r="B2769" s="36" t="str">
        <f t="shared" si="81"/>
        <v>Octubre</v>
      </c>
      <c r="C2769" s="33"/>
      <c r="D2769" s="33" t="s">
        <v>9076</v>
      </c>
      <c r="E2769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769" s="32" t="s">
        <v>355</v>
      </c>
      <c r="G2769" s="32" t="s">
        <v>356</v>
      </c>
      <c r="H2769" s="139" t="s">
        <v>9077</v>
      </c>
      <c r="I2769" s="33" t="s">
        <v>4614</v>
      </c>
      <c r="J2769" s="143" t="s">
        <v>4615</v>
      </c>
      <c r="K2769" s="33" t="s">
        <v>169</v>
      </c>
      <c r="L2769" s="102" t="str">
        <f>VLOOKUP(Anexo_4[[#This Row],[cod_doc]],TIPODOC,2,FALSE)</f>
        <v>FACTURA</v>
      </c>
      <c r="M2769" s="33" t="s">
        <v>102</v>
      </c>
      <c r="N2769" s="32" t="s">
        <v>9078</v>
      </c>
      <c r="O2769" s="48">
        <v>12.71</v>
      </c>
      <c r="P2769" s="49" t="s">
        <v>4341</v>
      </c>
      <c r="Q2769" s="81">
        <v>2.29</v>
      </c>
      <c r="R2769" s="80" t="s">
        <v>4341</v>
      </c>
      <c r="S2769" s="48" t="s">
        <v>4341</v>
      </c>
      <c r="T2769" s="72">
        <v>15</v>
      </c>
      <c r="U2769" s="70"/>
      <c r="V2769" s="32"/>
      <c r="W2769" s="70"/>
      <c r="X2769" s="70"/>
      <c r="Y2769" s="70"/>
      <c r="Z2769" s="70"/>
      <c r="AA2769" s="71"/>
      <c r="AB2769" s="117" t="str">
        <f>IFERROR(VLOOKUP(Anexo_4[[#This Row],[cuenta]],OP,2,0),"-")</f>
        <v>-</v>
      </c>
    </row>
    <row r="2770" spans="1:28" ht="27" customHeight="1" x14ac:dyDescent="0.3">
      <c r="A2770" s="34" t="s">
        <v>8234</v>
      </c>
      <c r="B2770" s="36" t="str">
        <f t="shared" si="81"/>
        <v>Octubre</v>
      </c>
      <c r="C2770" s="33"/>
      <c r="D2770" s="33" t="s">
        <v>9079</v>
      </c>
      <c r="E2770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770" s="32" t="s">
        <v>355</v>
      </c>
      <c r="G2770" s="32" t="s">
        <v>356</v>
      </c>
      <c r="H2770" s="139" t="s">
        <v>9080</v>
      </c>
      <c r="I2770" s="33" t="s">
        <v>5994</v>
      </c>
      <c r="J2770" s="143" t="s">
        <v>5995</v>
      </c>
      <c r="K2770" s="33" t="s">
        <v>169</v>
      </c>
      <c r="L2770" s="102" t="str">
        <f>VLOOKUP(Anexo_4[[#This Row],[cod_doc]],TIPODOC,2,FALSE)</f>
        <v>FACTURA</v>
      </c>
      <c r="M2770" s="33" t="s">
        <v>5996</v>
      </c>
      <c r="N2770" s="32" t="s">
        <v>9081</v>
      </c>
      <c r="O2770" s="48">
        <v>31.78</v>
      </c>
      <c r="P2770" s="49" t="s">
        <v>4341</v>
      </c>
      <c r="Q2770" s="81">
        <v>5.72</v>
      </c>
      <c r="R2770" s="80" t="s">
        <v>4341</v>
      </c>
      <c r="S2770" s="48" t="s">
        <v>4341</v>
      </c>
      <c r="T2770" s="72">
        <v>37.5</v>
      </c>
      <c r="U2770" s="70"/>
      <c r="V2770" s="32"/>
      <c r="W2770" s="70"/>
      <c r="X2770" s="70"/>
      <c r="Y2770" s="70"/>
      <c r="Z2770" s="70"/>
      <c r="AA2770" s="71"/>
      <c r="AB2770" s="117" t="str">
        <f>IFERROR(VLOOKUP(Anexo_4[[#This Row],[cuenta]],OP,2,0),"-")</f>
        <v>-</v>
      </c>
    </row>
    <row r="2771" spans="1:28" ht="27" customHeight="1" x14ac:dyDescent="0.3">
      <c r="A2771" s="34" t="s">
        <v>7134</v>
      </c>
      <c r="B2771" s="36" t="str">
        <f t="shared" si="81"/>
        <v>Octubre</v>
      </c>
      <c r="C2771" s="33"/>
      <c r="D2771" s="33" t="s">
        <v>9082</v>
      </c>
      <c r="E2771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771" s="32" t="s">
        <v>355</v>
      </c>
      <c r="G2771" s="32" t="s">
        <v>356</v>
      </c>
      <c r="H2771" s="139" t="s">
        <v>9083</v>
      </c>
      <c r="I2771" s="33" t="s">
        <v>9084</v>
      </c>
      <c r="J2771" s="143" t="s">
        <v>9085</v>
      </c>
      <c r="K2771" s="33" t="s">
        <v>169</v>
      </c>
      <c r="L2771" s="102" t="str">
        <f>VLOOKUP(Anexo_4[[#This Row],[cod_doc]],TIPODOC,2,FALSE)</f>
        <v>FACTURA</v>
      </c>
      <c r="M2771" s="33" t="s">
        <v>222</v>
      </c>
      <c r="N2771" s="32" t="s">
        <v>9086</v>
      </c>
      <c r="O2771" s="48">
        <v>5.08</v>
      </c>
      <c r="P2771" s="49" t="s">
        <v>4341</v>
      </c>
      <c r="Q2771" s="81">
        <v>0.92</v>
      </c>
      <c r="R2771" s="80" t="s">
        <v>4341</v>
      </c>
      <c r="S2771" s="48" t="s">
        <v>4341</v>
      </c>
      <c r="T2771" s="72">
        <v>6</v>
      </c>
      <c r="U2771" s="70"/>
      <c r="V2771" s="32"/>
      <c r="W2771" s="70"/>
      <c r="X2771" s="70"/>
      <c r="Y2771" s="70"/>
      <c r="Z2771" s="70"/>
      <c r="AA2771" s="71"/>
      <c r="AB2771" s="117" t="str">
        <f>IFERROR(VLOOKUP(Anexo_4[[#This Row],[cuenta]],OP,2,0),"-")</f>
        <v>-</v>
      </c>
    </row>
    <row r="2772" spans="1:28" ht="27" customHeight="1" x14ac:dyDescent="0.3">
      <c r="A2772" s="34" t="s">
        <v>8158</v>
      </c>
      <c r="B2772" s="36" t="str">
        <f t="shared" si="81"/>
        <v>Octubre</v>
      </c>
      <c r="C2772" s="33"/>
      <c r="D2772" s="33" t="s">
        <v>9087</v>
      </c>
      <c r="E2772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772" s="32" t="s">
        <v>355</v>
      </c>
      <c r="G2772" s="32" t="s">
        <v>356</v>
      </c>
      <c r="H2772" s="139" t="s">
        <v>9088</v>
      </c>
      <c r="I2772" s="33" t="s">
        <v>1957</v>
      </c>
      <c r="J2772" s="143" t="s">
        <v>4954</v>
      </c>
      <c r="K2772" s="33" t="s">
        <v>169</v>
      </c>
      <c r="L2772" s="102" t="str">
        <f>VLOOKUP(Anexo_4[[#This Row],[cod_doc]],TIPODOC,2,FALSE)</f>
        <v>FACTURA</v>
      </c>
      <c r="M2772" s="33" t="s">
        <v>1959</v>
      </c>
      <c r="N2772" s="32" t="s">
        <v>9089</v>
      </c>
      <c r="O2772" s="48">
        <v>49.12</v>
      </c>
      <c r="P2772" s="49" t="s">
        <v>4341</v>
      </c>
      <c r="Q2772" s="81">
        <v>8.86</v>
      </c>
      <c r="R2772" s="80" t="s">
        <v>4341</v>
      </c>
      <c r="S2772" s="48" t="s">
        <v>4341</v>
      </c>
      <c r="T2772" s="72">
        <v>57.98</v>
      </c>
      <c r="U2772" s="70"/>
      <c r="V2772" s="32"/>
      <c r="W2772" s="70"/>
      <c r="X2772" s="70"/>
      <c r="Y2772" s="70"/>
      <c r="Z2772" s="70"/>
      <c r="AA2772" s="71"/>
      <c r="AB2772" s="117" t="str">
        <f>IFERROR(VLOOKUP(Anexo_4[[#This Row],[cuenta]],OP,2,0),"-")</f>
        <v>-</v>
      </c>
    </row>
    <row r="2773" spans="1:28" ht="27" customHeight="1" x14ac:dyDescent="0.3">
      <c r="A2773" s="34" t="s">
        <v>7276</v>
      </c>
      <c r="B2773" s="36" t="str">
        <f t="shared" si="81"/>
        <v>Octubre</v>
      </c>
      <c r="C2773" s="33"/>
      <c r="D2773" s="33" t="s">
        <v>9090</v>
      </c>
      <c r="E2773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773" s="32" t="s">
        <v>355</v>
      </c>
      <c r="G2773" s="32" t="s">
        <v>356</v>
      </c>
      <c r="H2773" s="139" t="s">
        <v>9091</v>
      </c>
      <c r="I2773" s="33" t="s">
        <v>2050</v>
      </c>
      <c r="J2773" s="143" t="s">
        <v>5818</v>
      </c>
      <c r="K2773" s="33" t="s">
        <v>169</v>
      </c>
      <c r="L2773" s="102" t="str">
        <f>VLOOKUP(Anexo_4[[#This Row],[cod_doc]],TIPODOC,2,FALSE)</f>
        <v>FACTURA</v>
      </c>
      <c r="M2773" s="33" t="s">
        <v>2062</v>
      </c>
      <c r="N2773" s="32" t="s">
        <v>9092</v>
      </c>
      <c r="O2773" s="48">
        <v>11.86</v>
      </c>
      <c r="P2773" s="49" t="s">
        <v>4341</v>
      </c>
      <c r="Q2773" s="81">
        <v>2.14</v>
      </c>
      <c r="R2773" s="80" t="s">
        <v>4341</v>
      </c>
      <c r="S2773" s="48" t="s">
        <v>4341</v>
      </c>
      <c r="T2773" s="72">
        <v>14</v>
      </c>
      <c r="U2773" s="70"/>
      <c r="V2773" s="32"/>
      <c r="W2773" s="70"/>
      <c r="X2773" s="70"/>
      <c r="Y2773" s="70"/>
      <c r="Z2773" s="70"/>
      <c r="AA2773" s="71"/>
      <c r="AB2773" s="117" t="str">
        <f>IFERROR(VLOOKUP(Anexo_4[[#This Row],[cuenta]],OP,2,0),"-")</f>
        <v>-</v>
      </c>
    </row>
    <row r="2774" spans="1:28" ht="27" customHeight="1" x14ac:dyDescent="0.3">
      <c r="A2774" s="34" t="s">
        <v>8158</v>
      </c>
      <c r="B2774" s="36" t="str">
        <f t="shared" si="81"/>
        <v>Octubre</v>
      </c>
      <c r="C2774" s="33"/>
      <c r="D2774" s="33" t="s">
        <v>9093</v>
      </c>
      <c r="E2774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774" s="32" t="s">
        <v>355</v>
      </c>
      <c r="G2774" s="32" t="s">
        <v>356</v>
      </c>
      <c r="H2774" s="139" t="s">
        <v>9094</v>
      </c>
      <c r="I2774" s="33" t="s">
        <v>9095</v>
      </c>
      <c r="J2774" s="143" t="s">
        <v>9096</v>
      </c>
      <c r="K2774" s="33" t="s">
        <v>169</v>
      </c>
      <c r="L2774" s="102" t="str">
        <f>VLOOKUP(Anexo_4[[#This Row],[cod_doc]],TIPODOC,2,FALSE)</f>
        <v>FACTURA</v>
      </c>
      <c r="M2774" s="33" t="s">
        <v>222</v>
      </c>
      <c r="N2774" s="32" t="s">
        <v>9097</v>
      </c>
      <c r="O2774" s="48">
        <v>72.03</v>
      </c>
      <c r="P2774" s="49" t="s">
        <v>4341</v>
      </c>
      <c r="Q2774" s="81">
        <v>12.97</v>
      </c>
      <c r="R2774" s="80" t="s">
        <v>4341</v>
      </c>
      <c r="S2774" s="48" t="s">
        <v>4341</v>
      </c>
      <c r="T2774" s="72">
        <v>85</v>
      </c>
      <c r="U2774" s="70"/>
      <c r="V2774" s="32"/>
      <c r="W2774" s="70"/>
      <c r="X2774" s="70"/>
      <c r="Y2774" s="70"/>
      <c r="Z2774" s="70"/>
      <c r="AA2774" s="71"/>
      <c r="AB2774" s="117" t="str">
        <f>IFERROR(VLOOKUP(Anexo_4[[#This Row],[cuenta]],OP,2,0),"-")</f>
        <v>-</v>
      </c>
    </row>
    <row r="2775" spans="1:28" ht="27" customHeight="1" x14ac:dyDescent="0.3">
      <c r="A2775" s="34" t="s">
        <v>7705</v>
      </c>
      <c r="B2775" s="36" t="str">
        <f t="shared" si="81"/>
        <v>Octubre</v>
      </c>
      <c r="C2775" s="33"/>
      <c r="D2775" s="33" t="s">
        <v>9098</v>
      </c>
      <c r="E2775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775" s="32" t="s">
        <v>355</v>
      </c>
      <c r="G2775" s="32" t="s">
        <v>356</v>
      </c>
      <c r="H2775" s="139" t="s">
        <v>9099</v>
      </c>
      <c r="I2775" s="33" t="s">
        <v>2050</v>
      </c>
      <c r="J2775" s="143" t="s">
        <v>5818</v>
      </c>
      <c r="K2775" s="33" t="s">
        <v>169</v>
      </c>
      <c r="L2775" s="102" t="str">
        <f>VLOOKUP(Anexo_4[[#This Row],[cod_doc]],TIPODOC,2,FALSE)</f>
        <v>FACTURA</v>
      </c>
      <c r="M2775" s="33" t="s">
        <v>2062</v>
      </c>
      <c r="N2775" s="32" t="s">
        <v>9100</v>
      </c>
      <c r="O2775" s="48">
        <v>11.86</v>
      </c>
      <c r="P2775" s="49" t="s">
        <v>4341</v>
      </c>
      <c r="Q2775" s="81">
        <v>2.14</v>
      </c>
      <c r="R2775" s="80" t="s">
        <v>4341</v>
      </c>
      <c r="S2775" s="48" t="s">
        <v>4341</v>
      </c>
      <c r="T2775" s="72">
        <v>14</v>
      </c>
      <c r="U2775" s="70"/>
      <c r="V2775" s="32"/>
      <c r="W2775" s="70"/>
      <c r="X2775" s="70"/>
      <c r="Y2775" s="70"/>
      <c r="Z2775" s="70"/>
      <c r="AA2775" s="71"/>
      <c r="AB2775" s="117" t="str">
        <f>IFERROR(VLOOKUP(Anexo_4[[#This Row],[cuenta]],OP,2,0),"-")</f>
        <v>-</v>
      </c>
    </row>
    <row r="2776" spans="1:28" ht="27" customHeight="1" x14ac:dyDescent="0.3">
      <c r="A2776" s="34" t="s">
        <v>7901</v>
      </c>
      <c r="B2776" s="36" t="str">
        <f t="shared" si="81"/>
        <v>Octubre</v>
      </c>
      <c r="C2776" s="33"/>
      <c r="D2776" s="33" t="s">
        <v>9101</v>
      </c>
      <c r="E2776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776" s="32" t="s">
        <v>355</v>
      </c>
      <c r="G2776" s="32" t="s">
        <v>356</v>
      </c>
      <c r="H2776" s="139" t="s">
        <v>9102</v>
      </c>
      <c r="I2776" s="33" t="s">
        <v>5994</v>
      </c>
      <c r="J2776" s="143" t="s">
        <v>5995</v>
      </c>
      <c r="K2776" s="33" t="s">
        <v>169</v>
      </c>
      <c r="L2776" s="102" t="str">
        <f>VLOOKUP(Anexo_4[[#This Row],[cod_doc]],TIPODOC,2,FALSE)</f>
        <v>FACTURA</v>
      </c>
      <c r="M2776" s="33" t="s">
        <v>5996</v>
      </c>
      <c r="N2776" s="32" t="s">
        <v>9103</v>
      </c>
      <c r="O2776" s="48">
        <v>15.01</v>
      </c>
      <c r="P2776" s="49" t="s">
        <v>4341</v>
      </c>
      <c r="Q2776" s="81">
        <v>2.69</v>
      </c>
      <c r="R2776" s="80" t="s">
        <v>4341</v>
      </c>
      <c r="S2776" s="48" t="s">
        <v>4341</v>
      </c>
      <c r="T2776" s="72">
        <v>17.7</v>
      </c>
      <c r="U2776" s="70"/>
      <c r="V2776" s="32"/>
      <c r="W2776" s="70"/>
      <c r="X2776" s="70"/>
      <c r="Y2776" s="70"/>
      <c r="Z2776" s="70"/>
      <c r="AA2776" s="71"/>
      <c r="AB2776" s="117" t="str">
        <f>IFERROR(VLOOKUP(Anexo_4[[#This Row],[cuenta]],OP,2,0),"-")</f>
        <v>-</v>
      </c>
    </row>
    <row r="2777" spans="1:28" ht="27" customHeight="1" x14ac:dyDescent="0.3">
      <c r="A2777" s="34" t="s">
        <v>8254</v>
      </c>
      <c r="B2777" s="36" t="str">
        <f t="shared" si="81"/>
        <v>Octubre</v>
      </c>
      <c r="C2777" s="33"/>
      <c r="D2777" s="33" t="s">
        <v>9104</v>
      </c>
      <c r="E2777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777" s="32" t="s">
        <v>355</v>
      </c>
      <c r="G2777" s="32" t="s">
        <v>356</v>
      </c>
      <c r="H2777" s="139" t="s">
        <v>9105</v>
      </c>
      <c r="I2777" s="33" t="s">
        <v>5994</v>
      </c>
      <c r="J2777" s="143" t="s">
        <v>5995</v>
      </c>
      <c r="K2777" s="33" t="s">
        <v>169</v>
      </c>
      <c r="L2777" s="102" t="str">
        <f>VLOOKUP(Anexo_4[[#This Row],[cod_doc]],TIPODOC,2,FALSE)</f>
        <v>FACTURA</v>
      </c>
      <c r="M2777" s="33" t="s">
        <v>5996</v>
      </c>
      <c r="N2777" s="32" t="s">
        <v>9106</v>
      </c>
      <c r="O2777" s="48">
        <v>34.659999999999997</v>
      </c>
      <c r="P2777" s="49" t="s">
        <v>4341</v>
      </c>
      <c r="Q2777" s="81">
        <v>6.24</v>
      </c>
      <c r="R2777" s="80" t="s">
        <v>4341</v>
      </c>
      <c r="S2777" s="48" t="s">
        <v>4341</v>
      </c>
      <c r="T2777" s="72">
        <v>40.9</v>
      </c>
      <c r="U2777" s="70"/>
      <c r="V2777" s="32"/>
      <c r="W2777" s="70"/>
      <c r="X2777" s="70"/>
      <c r="Y2777" s="70"/>
      <c r="Z2777" s="70"/>
      <c r="AA2777" s="71"/>
      <c r="AB2777" s="117" t="str">
        <f>IFERROR(VLOOKUP(Anexo_4[[#This Row],[cuenta]],OP,2,0),"-")</f>
        <v>-</v>
      </c>
    </row>
    <row r="2778" spans="1:28" ht="27" customHeight="1" x14ac:dyDescent="0.3">
      <c r="A2778" s="34" t="s">
        <v>7134</v>
      </c>
      <c r="B2778" s="36" t="str">
        <f t="shared" si="81"/>
        <v>Octubre</v>
      </c>
      <c r="C2778" s="33"/>
      <c r="D2778" s="33" t="s">
        <v>9107</v>
      </c>
      <c r="E2778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778" s="32" t="s">
        <v>355</v>
      </c>
      <c r="G2778" s="32" t="s">
        <v>356</v>
      </c>
      <c r="H2778" s="139" t="s">
        <v>9108</v>
      </c>
      <c r="I2778" s="33" t="s">
        <v>5994</v>
      </c>
      <c r="J2778" s="143" t="s">
        <v>5995</v>
      </c>
      <c r="K2778" s="33" t="s">
        <v>169</v>
      </c>
      <c r="L2778" s="102" t="str">
        <f>VLOOKUP(Anexo_4[[#This Row],[cod_doc]],TIPODOC,2,FALSE)</f>
        <v>FACTURA</v>
      </c>
      <c r="M2778" s="33" t="s">
        <v>5996</v>
      </c>
      <c r="N2778" s="32" t="s">
        <v>6689</v>
      </c>
      <c r="O2778" s="48">
        <v>33.14</v>
      </c>
      <c r="P2778" s="49" t="s">
        <v>4341</v>
      </c>
      <c r="Q2778" s="81">
        <v>5.96</v>
      </c>
      <c r="R2778" s="80" t="s">
        <v>4341</v>
      </c>
      <c r="S2778" s="48" t="s">
        <v>4341</v>
      </c>
      <c r="T2778" s="72">
        <v>39.1</v>
      </c>
      <c r="U2778" s="70"/>
      <c r="V2778" s="32"/>
      <c r="W2778" s="70"/>
      <c r="X2778" s="70"/>
      <c r="Y2778" s="70"/>
      <c r="Z2778" s="70"/>
      <c r="AA2778" s="71"/>
      <c r="AB2778" s="117" t="str">
        <f>IFERROR(VLOOKUP(Anexo_4[[#This Row],[cuenta]],OP,2,0),"-")</f>
        <v>-</v>
      </c>
    </row>
    <row r="2779" spans="1:28" ht="27" customHeight="1" x14ac:dyDescent="0.3">
      <c r="A2779" s="34" t="s">
        <v>7710</v>
      </c>
      <c r="B2779" s="36" t="str">
        <f t="shared" si="81"/>
        <v>Octubre</v>
      </c>
      <c r="C2779" s="33"/>
      <c r="D2779" s="33" t="s">
        <v>9109</v>
      </c>
      <c r="E2779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779" s="32" t="s">
        <v>355</v>
      </c>
      <c r="G2779" s="32" t="s">
        <v>356</v>
      </c>
      <c r="H2779" s="139" t="s">
        <v>9110</v>
      </c>
      <c r="I2779" s="33" t="s">
        <v>9111</v>
      </c>
      <c r="J2779" s="143" t="s">
        <v>9112</v>
      </c>
      <c r="K2779" s="33" t="s">
        <v>169</v>
      </c>
      <c r="L2779" s="102" t="str">
        <f>VLOOKUP(Anexo_4[[#This Row],[cod_doc]],TIPODOC,2,FALSE)</f>
        <v>FACTURA</v>
      </c>
      <c r="M2779" s="33" t="s">
        <v>982</v>
      </c>
      <c r="N2779" s="32" t="s">
        <v>9113</v>
      </c>
      <c r="O2779" s="48">
        <v>118.64</v>
      </c>
      <c r="P2779" s="49" t="s">
        <v>4341</v>
      </c>
      <c r="Q2779" s="81">
        <v>21.36</v>
      </c>
      <c r="R2779" s="80" t="s">
        <v>4341</v>
      </c>
      <c r="S2779" s="48" t="s">
        <v>4341</v>
      </c>
      <c r="T2779" s="72">
        <v>140</v>
      </c>
      <c r="U2779" s="70"/>
      <c r="V2779" s="32"/>
      <c r="W2779" s="70"/>
      <c r="X2779" s="70"/>
      <c r="Y2779" s="70"/>
      <c r="Z2779" s="70"/>
      <c r="AA2779" s="71"/>
      <c r="AB2779" s="117" t="str">
        <f>IFERROR(VLOOKUP(Anexo_4[[#This Row],[cuenta]],OP,2,0),"-")</f>
        <v>-</v>
      </c>
    </row>
    <row r="2780" spans="1:28" ht="27" customHeight="1" x14ac:dyDescent="0.3">
      <c r="A2780" s="34" t="s">
        <v>8158</v>
      </c>
      <c r="B2780" s="36" t="str">
        <f t="shared" si="81"/>
        <v>Octubre</v>
      </c>
      <c r="C2780" s="33"/>
      <c r="D2780" s="33" t="s">
        <v>9114</v>
      </c>
      <c r="E2780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780" s="32" t="s">
        <v>355</v>
      </c>
      <c r="G2780" s="32" t="s">
        <v>356</v>
      </c>
      <c r="H2780" s="139" t="s">
        <v>9115</v>
      </c>
      <c r="I2780" s="33" t="s">
        <v>2050</v>
      </c>
      <c r="J2780" s="143" t="s">
        <v>5818</v>
      </c>
      <c r="K2780" s="33" t="s">
        <v>169</v>
      </c>
      <c r="L2780" s="102" t="str">
        <f>VLOOKUP(Anexo_4[[#This Row],[cod_doc]],TIPODOC,2,FALSE)</f>
        <v>FACTURA</v>
      </c>
      <c r="M2780" s="33" t="s">
        <v>2052</v>
      </c>
      <c r="N2780" s="32" t="s">
        <v>9116</v>
      </c>
      <c r="O2780" s="48">
        <v>11.86</v>
      </c>
      <c r="P2780" s="49" t="s">
        <v>4341</v>
      </c>
      <c r="Q2780" s="81">
        <v>2.14</v>
      </c>
      <c r="R2780" s="80" t="s">
        <v>4341</v>
      </c>
      <c r="S2780" s="48" t="s">
        <v>4341</v>
      </c>
      <c r="T2780" s="72">
        <v>14</v>
      </c>
      <c r="U2780" s="70"/>
      <c r="V2780" s="32"/>
      <c r="W2780" s="70"/>
      <c r="X2780" s="70"/>
      <c r="Y2780" s="70"/>
      <c r="Z2780" s="70"/>
      <c r="AA2780" s="71"/>
      <c r="AB2780" s="117" t="str">
        <f>IFERROR(VLOOKUP(Anexo_4[[#This Row],[cuenta]],OP,2,0),"-")</f>
        <v>-</v>
      </c>
    </row>
    <row r="2781" spans="1:28" ht="27" customHeight="1" x14ac:dyDescent="0.3">
      <c r="A2781" s="34" t="s">
        <v>8641</v>
      </c>
      <c r="B2781" s="36" t="str">
        <f t="shared" si="81"/>
        <v>Octubre</v>
      </c>
      <c r="C2781" s="33"/>
      <c r="D2781" s="33" t="s">
        <v>9117</v>
      </c>
      <c r="E2781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781" s="32" t="s">
        <v>355</v>
      </c>
      <c r="G2781" s="32" t="s">
        <v>356</v>
      </c>
      <c r="H2781" s="139" t="s">
        <v>9118</v>
      </c>
      <c r="I2781" s="33" t="s">
        <v>1610</v>
      </c>
      <c r="J2781" s="143" t="s">
        <v>6003</v>
      </c>
      <c r="K2781" s="33" t="s">
        <v>169</v>
      </c>
      <c r="L2781" s="102" t="str">
        <f>VLOOKUP(Anexo_4[[#This Row],[cod_doc]],TIPODOC,2,FALSE)</f>
        <v>FACTURA</v>
      </c>
      <c r="M2781" s="33" t="s">
        <v>222</v>
      </c>
      <c r="N2781" s="32" t="s">
        <v>9119</v>
      </c>
      <c r="O2781" s="48">
        <v>82.2</v>
      </c>
      <c r="P2781" s="49" t="s">
        <v>4341</v>
      </c>
      <c r="Q2781" s="81">
        <v>14.8</v>
      </c>
      <c r="R2781" s="80" t="s">
        <v>4341</v>
      </c>
      <c r="S2781" s="48" t="s">
        <v>4341</v>
      </c>
      <c r="T2781" s="72">
        <v>97</v>
      </c>
      <c r="U2781" s="70"/>
      <c r="V2781" s="32"/>
      <c r="W2781" s="70"/>
      <c r="X2781" s="70"/>
      <c r="Y2781" s="70"/>
      <c r="Z2781" s="70"/>
      <c r="AA2781" s="71"/>
      <c r="AB2781" s="117" t="str">
        <f>IFERROR(VLOOKUP(Anexo_4[[#This Row],[cuenta]],OP,2,0),"-")</f>
        <v>-</v>
      </c>
    </row>
    <row r="2782" spans="1:28" ht="27" customHeight="1" x14ac:dyDescent="0.3">
      <c r="A2782" s="34" t="s">
        <v>8641</v>
      </c>
      <c r="B2782" s="36" t="str">
        <f t="shared" si="81"/>
        <v>Octubre</v>
      </c>
      <c r="C2782" s="33"/>
      <c r="D2782" s="33" t="s">
        <v>9120</v>
      </c>
      <c r="E2782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782" s="32" t="s">
        <v>355</v>
      </c>
      <c r="G2782" s="32" t="s">
        <v>356</v>
      </c>
      <c r="H2782" s="139" t="s">
        <v>9121</v>
      </c>
      <c r="I2782" s="33" t="s">
        <v>1610</v>
      </c>
      <c r="J2782" s="143" t="s">
        <v>6003</v>
      </c>
      <c r="K2782" s="33" t="s">
        <v>169</v>
      </c>
      <c r="L2782" s="102" t="str">
        <f>VLOOKUP(Anexo_4[[#This Row],[cod_doc]],TIPODOC,2,FALSE)</f>
        <v>FACTURA</v>
      </c>
      <c r="M2782" s="33" t="s">
        <v>222</v>
      </c>
      <c r="N2782" s="32" t="s">
        <v>9122</v>
      </c>
      <c r="O2782" s="48">
        <v>42.37</v>
      </c>
      <c r="P2782" s="49" t="s">
        <v>4341</v>
      </c>
      <c r="Q2782" s="81">
        <v>7.63</v>
      </c>
      <c r="R2782" s="80" t="s">
        <v>4341</v>
      </c>
      <c r="S2782" s="48" t="s">
        <v>4341</v>
      </c>
      <c r="T2782" s="72">
        <v>50</v>
      </c>
      <c r="U2782" s="70"/>
      <c r="V2782" s="32"/>
      <c r="W2782" s="70"/>
      <c r="X2782" s="70"/>
      <c r="Y2782" s="70"/>
      <c r="Z2782" s="70"/>
      <c r="AA2782" s="71"/>
      <c r="AB2782" s="117" t="str">
        <f>IFERROR(VLOOKUP(Anexo_4[[#This Row],[cuenta]],OP,2,0),"-")</f>
        <v>-</v>
      </c>
    </row>
    <row r="2783" spans="1:28" ht="27" customHeight="1" x14ac:dyDescent="0.3">
      <c r="A2783" s="34" t="s">
        <v>7710</v>
      </c>
      <c r="B2783" s="36" t="str">
        <f t="shared" si="81"/>
        <v>Octubre</v>
      </c>
      <c r="C2783" s="33"/>
      <c r="D2783" s="33" t="s">
        <v>9123</v>
      </c>
      <c r="E2783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783" s="32" t="s">
        <v>355</v>
      </c>
      <c r="G2783" s="32" t="s">
        <v>356</v>
      </c>
      <c r="H2783" s="139" t="s">
        <v>9124</v>
      </c>
      <c r="I2783" s="33" t="s">
        <v>1610</v>
      </c>
      <c r="J2783" s="143" t="s">
        <v>6003</v>
      </c>
      <c r="K2783" s="33" t="s">
        <v>169</v>
      </c>
      <c r="L2783" s="102" t="str">
        <f>VLOOKUP(Anexo_4[[#This Row],[cod_doc]],TIPODOC,2,FALSE)</f>
        <v>FACTURA</v>
      </c>
      <c r="M2783" s="33" t="s">
        <v>222</v>
      </c>
      <c r="N2783" s="32" t="s">
        <v>9125</v>
      </c>
      <c r="O2783" s="48">
        <v>15.25</v>
      </c>
      <c r="P2783" s="49" t="s">
        <v>4341</v>
      </c>
      <c r="Q2783" s="81">
        <v>2.75</v>
      </c>
      <c r="R2783" s="80" t="s">
        <v>4341</v>
      </c>
      <c r="S2783" s="48" t="s">
        <v>4341</v>
      </c>
      <c r="T2783" s="72">
        <v>18</v>
      </c>
      <c r="U2783" s="70"/>
      <c r="V2783" s="32"/>
      <c r="W2783" s="70"/>
      <c r="X2783" s="70"/>
      <c r="Y2783" s="70"/>
      <c r="Z2783" s="70"/>
      <c r="AA2783" s="71"/>
      <c r="AB2783" s="117" t="str">
        <f>IFERROR(VLOOKUP(Anexo_4[[#This Row],[cuenta]],OP,2,0),"-")</f>
        <v>-</v>
      </c>
    </row>
    <row r="2784" spans="1:28" ht="27" customHeight="1" x14ac:dyDescent="0.3">
      <c r="A2784" s="34" t="s">
        <v>7710</v>
      </c>
      <c r="B2784" s="36" t="str">
        <f t="shared" si="81"/>
        <v>Octubre</v>
      </c>
      <c r="C2784" s="33"/>
      <c r="D2784" s="33" t="s">
        <v>9126</v>
      </c>
      <c r="E2784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784" s="32" t="s">
        <v>355</v>
      </c>
      <c r="G2784" s="32" t="s">
        <v>356</v>
      </c>
      <c r="H2784" s="139" t="s">
        <v>9127</v>
      </c>
      <c r="I2784" s="33" t="s">
        <v>1610</v>
      </c>
      <c r="J2784" s="143" t="s">
        <v>6003</v>
      </c>
      <c r="K2784" s="33" t="s">
        <v>169</v>
      </c>
      <c r="L2784" s="102" t="str">
        <f>VLOOKUP(Anexo_4[[#This Row],[cod_doc]],TIPODOC,2,FALSE)</f>
        <v>FACTURA</v>
      </c>
      <c r="M2784" s="33" t="s">
        <v>222</v>
      </c>
      <c r="N2784" s="32" t="s">
        <v>9128</v>
      </c>
      <c r="O2784" s="48">
        <v>77.97</v>
      </c>
      <c r="P2784" s="49" t="s">
        <v>4341</v>
      </c>
      <c r="Q2784" s="81">
        <v>14.03</v>
      </c>
      <c r="R2784" s="80" t="s">
        <v>4341</v>
      </c>
      <c r="S2784" s="48" t="s">
        <v>4341</v>
      </c>
      <c r="T2784" s="72">
        <v>92</v>
      </c>
      <c r="U2784" s="70"/>
      <c r="V2784" s="32"/>
      <c r="W2784" s="70"/>
      <c r="X2784" s="70"/>
      <c r="Y2784" s="70"/>
      <c r="Z2784" s="70"/>
      <c r="AA2784" s="71"/>
      <c r="AB2784" s="117" t="str">
        <f>IFERROR(VLOOKUP(Anexo_4[[#This Row],[cuenta]],OP,2,0),"-")</f>
        <v>-</v>
      </c>
    </row>
    <row r="2785" spans="1:28" ht="27" customHeight="1" x14ac:dyDescent="0.3">
      <c r="A2785" s="34" t="s">
        <v>7710</v>
      </c>
      <c r="B2785" s="36" t="str">
        <f t="shared" si="81"/>
        <v>Octubre</v>
      </c>
      <c r="C2785" s="33"/>
      <c r="D2785" s="33" t="s">
        <v>9129</v>
      </c>
      <c r="E2785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785" s="32" t="s">
        <v>355</v>
      </c>
      <c r="G2785" s="32" t="s">
        <v>356</v>
      </c>
      <c r="H2785" s="139" t="s">
        <v>9130</v>
      </c>
      <c r="I2785" s="33" t="s">
        <v>9131</v>
      </c>
      <c r="J2785" s="143" t="s">
        <v>9132</v>
      </c>
      <c r="K2785" s="33" t="s">
        <v>169</v>
      </c>
      <c r="L2785" s="102" t="str">
        <f>VLOOKUP(Anexo_4[[#This Row],[cod_doc]],TIPODOC,2,FALSE)</f>
        <v>FACTURA</v>
      </c>
      <c r="M2785" s="33" t="s">
        <v>102</v>
      </c>
      <c r="N2785" s="32" t="s">
        <v>6682</v>
      </c>
      <c r="O2785" s="48">
        <v>46.61</v>
      </c>
      <c r="P2785" s="49" t="s">
        <v>4341</v>
      </c>
      <c r="Q2785" s="81">
        <v>8.39</v>
      </c>
      <c r="R2785" s="80" t="s">
        <v>4341</v>
      </c>
      <c r="S2785" s="48" t="s">
        <v>4341</v>
      </c>
      <c r="T2785" s="72">
        <v>55</v>
      </c>
      <c r="U2785" s="70"/>
      <c r="V2785" s="32"/>
      <c r="W2785" s="70"/>
      <c r="X2785" s="70"/>
      <c r="Y2785" s="70"/>
      <c r="Z2785" s="70"/>
      <c r="AA2785" s="71"/>
      <c r="AB2785" s="117" t="str">
        <f>IFERROR(VLOOKUP(Anexo_4[[#This Row],[cuenta]],OP,2,0),"-")</f>
        <v>-</v>
      </c>
    </row>
    <row r="2786" spans="1:28" ht="27" customHeight="1" x14ac:dyDescent="0.3">
      <c r="A2786" s="34" t="s">
        <v>8301</v>
      </c>
      <c r="B2786" s="36" t="str">
        <f t="shared" si="81"/>
        <v>Octubre</v>
      </c>
      <c r="C2786" s="33"/>
      <c r="D2786" s="33" t="s">
        <v>9133</v>
      </c>
      <c r="E2786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786" s="32" t="s">
        <v>217</v>
      </c>
      <c r="G2786" s="32" t="s">
        <v>4839</v>
      </c>
      <c r="H2786" s="139" t="s">
        <v>9134</v>
      </c>
      <c r="I2786" s="33" t="s">
        <v>264</v>
      </c>
      <c r="J2786" s="143" t="s">
        <v>4644</v>
      </c>
      <c r="K2786" s="33" t="s">
        <v>169</v>
      </c>
      <c r="L2786" s="102" t="str">
        <f>VLOOKUP(Anexo_4[[#This Row],[cod_doc]],TIPODOC,2,FALSE)</f>
        <v>FACTURA</v>
      </c>
      <c r="M2786" s="33" t="s">
        <v>271</v>
      </c>
      <c r="N2786" s="32" t="s">
        <v>9135</v>
      </c>
      <c r="O2786" s="48">
        <v>6.78</v>
      </c>
      <c r="P2786" s="49" t="s">
        <v>4341</v>
      </c>
      <c r="Q2786" s="81">
        <v>1.22</v>
      </c>
      <c r="R2786" s="80" t="s">
        <v>4341</v>
      </c>
      <c r="S2786" s="48" t="s">
        <v>4341</v>
      </c>
      <c r="T2786" s="72">
        <v>8</v>
      </c>
      <c r="U2786" s="70"/>
      <c r="V2786" s="32"/>
      <c r="W2786" s="70"/>
      <c r="X2786" s="70"/>
      <c r="Y2786" s="70" t="s">
        <v>9136</v>
      </c>
      <c r="Z2786" s="70"/>
      <c r="AA2786" s="71"/>
      <c r="AB2786" s="117" t="str">
        <f>IFERROR(VLOOKUP(Anexo_4[[#This Row],[cuenta]],OP,2,0),"-")</f>
        <v>-</v>
      </c>
    </row>
    <row r="2787" spans="1:28" ht="27" customHeight="1" x14ac:dyDescent="0.3">
      <c r="A2787" s="34" t="s">
        <v>7710</v>
      </c>
      <c r="B2787" s="36" t="str">
        <f t="shared" si="81"/>
        <v>Octubre</v>
      </c>
      <c r="C2787" s="33"/>
      <c r="D2787" s="33" t="s">
        <v>9137</v>
      </c>
      <c r="E2787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787" s="32" t="s">
        <v>175</v>
      </c>
      <c r="G2787" s="32" t="s">
        <v>5168</v>
      </c>
      <c r="H2787" s="139" t="s">
        <v>9138</v>
      </c>
      <c r="I2787" s="33" t="s">
        <v>178</v>
      </c>
      <c r="J2787" s="143" t="s">
        <v>4667</v>
      </c>
      <c r="K2787" s="33" t="s">
        <v>169</v>
      </c>
      <c r="L2787" s="102" t="str">
        <f>VLOOKUP(Anexo_4[[#This Row],[cod_doc]],TIPODOC,2,FALSE)</f>
        <v>FACTURA</v>
      </c>
      <c r="M2787" s="33" t="s">
        <v>180</v>
      </c>
      <c r="N2787" s="32" t="s">
        <v>9139</v>
      </c>
      <c r="O2787" s="48">
        <v>8.4700000000000006</v>
      </c>
      <c r="P2787" s="49" t="s">
        <v>4341</v>
      </c>
      <c r="Q2787" s="81">
        <v>1.53</v>
      </c>
      <c r="R2787" s="80" t="s">
        <v>4341</v>
      </c>
      <c r="S2787" s="48" t="s">
        <v>4341</v>
      </c>
      <c r="T2787" s="72">
        <v>10</v>
      </c>
      <c r="U2787" s="70"/>
      <c r="V2787" s="32"/>
      <c r="W2787" s="70"/>
      <c r="X2787" s="70"/>
      <c r="Y2787" s="70" t="s">
        <v>9140</v>
      </c>
      <c r="Z2787" s="70"/>
      <c r="AA2787" s="71"/>
      <c r="AB2787" s="117" t="str">
        <f>IFERROR(VLOOKUP(Anexo_4[[#This Row],[cuenta]],OP,2,0),"-")</f>
        <v>-</v>
      </c>
    </row>
    <row r="2788" spans="1:28" ht="27" customHeight="1" x14ac:dyDescent="0.3">
      <c r="A2788" s="34" t="s">
        <v>7710</v>
      </c>
      <c r="B2788" s="36" t="str">
        <f t="shared" si="81"/>
        <v>Octubre</v>
      </c>
      <c r="C2788" s="33"/>
      <c r="D2788" s="33" t="s">
        <v>9141</v>
      </c>
      <c r="E2788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788" s="32" t="s">
        <v>175</v>
      </c>
      <c r="G2788" s="32" t="s">
        <v>5168</v>
      </c>
      <c r="H2788" s="139" t="s">
        <v>9142</v>
      </c>
      <c r="I2788" s="33" t="s">
        <v>178</v>
      </c>
      <c r="J2788" s="143" t="s">
        <v>4667</v>
      </c>
      <c r="K2788" s="33" t="s">
        <v>169</v>
      </c>
      <c r="L2788" s="102" t="str">
        <f>VLOOKUP(Anexo_4[[#This Row],[cod_doc]],TIPODOC,2,FALSE)</f>
        <v>FACTURA</v>
      </c>
      <c r="M2788" s="33" t="s">
        <v>180</v>
      </c>
      <c r="N2788" s="32" t="s">
        <v>9143</v>
      </c>
      <c r="O2788" s="48">
        <v>8.4700000000000006</v>
      </c>
      <c r="P2788" s="49" t="s">
        <v>4341</v>
      </c>
      <c r="Q2788" s="81">
        <v>1.53</v>
      </c>
      <c r="R2788" s="80" t="s">
        <v>4341</v>
      </c>
      <c r="S2788" s="48" t="s">
        <v>4341</v>
      </c>
      <c r="T2788" s="72">
        <v>10</v>
      </c>
      <c r="U2788" s="70"/>
      <c r="V2788" s="32"/>
      <c r="W2788" s="70"/>
      <c r="X2788" s="70"/>
      <c r="Y2788" s="70" t="s">
        <v>9144</v>
      </c>
      <c r="Z2788" s="70"/>
      <c r="AA2788" s="71"/>
      <c r="AB2788" s="117" t="str">
        <f>IFERROR(VLOOKUP(Anexo_4[[#This Row],[cuenta]],OP,2,0),"-")</f>
        <v>-</v>
      </c>
    </row>
    <row r="2789" spans="1:28" ht="27" customHeight="1" x14ac:dyDescent="0.3">
      <c r="A2789" s="34" t="s">
        <v>8764</v>
      </c>
      <c r="B2789" s="36" t="str">
        <f t="shared" ref="B2789:B2794" si="82">PROPER(CHOOSE(LEFT(D2789,2),"enero","febrero","marzo","abril","mayo","junio","julio","agosto","setiembre","octubre","noviembre","diciembre"))</f>
        <v>Octubre</v>
      </c>
      <c r="C2789" s="33"/>
      <c r="D2789" s="33" t="s">
        <v>9145</v>
      </c>
      <c r="E2789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789" s="32" t="s">
        <v>391</v>
      </c>
      <c r="G2789" s="32" t="s">
        <v>5041</v>
      </c>
      <c r="H2789" s="139" t="s">
        <v>9146</v>
      </c>
      <c r="I2789" s="33" t="s">
        <v>7986</v>
      </c>
      <c r="J2789" s="143" t="s">
        <v>7987</v>
      </c>
      <c r="K2789" s="33" t="s">
        <v>169</v>
      </c>
      <c r="L2789" s="102" t="str">
        <f>VLOOKUP(Anexo_4[[#This Row],[cod_doc]],TIPODOC,2,FALSE)</f>
        <v>FACTURA</v>
      </c>
      <c r="M2789" s="33" t="s">
        <v>531</v>
      </c>
      <c r="N2789" s="32" t="s">
        <v>9147</v>
      </c>
      <c r="O2789" s="48">
        <v>8.4700000000000006</v>
      </c>
      <c r="P2789" s="49" t="s">
        <v>4341</v>
      </c>
      <c r="Q2789" s="81">
        <v>1.53</v>
      </c>
      <c r="R2789" s="80" t="s">
        <v>4341</v>
      </c>
      <c r="S2789" s="48" t="s">
        <v>4341</v>
      </c>
      <c r="T2789" s="72">
        <v>10</v>
      </c>
      <c r="U2789" s="70"/>
      <c r="V2789" s="32"/>
      <c r="W2789" s="70"/>
      <c r="X2789" s="70"/>
      <c r="Y2789" s="70" t="s">
        <v>9148</v>
      </c>
      <c r="Z2789" s="70"/>
      <c r="AA2789" s="71"/>
      <c r="AB2789" s="117" t="str">
        <f>IFERROR(VLOOKUP(Anexo_4[[#This Row],[cuenta]],OP,2,0),"-")</f>
        <v>-</v>
      </c>
    </row>
    <row r="2790" spans="1:28" ht="27" customHeight="1" x14ac:dyDescent="0.3">
      <c r="A2790" s="34" t="s">
        <v>8301</v>
      </c>
      <c r="B2790" s="36" t="str">
        <f t="shared" si="82"/>
        <v>Octubre</v>
      </c>
      <c r="C2790" s="33"/>
      <c r="D2790" s="33" t="s">
        <v>9149</v>
      </c>
      <c r="E2790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790" s="32" t="s">
        <v>175</v>
      </c>
      <c r="G2790" s="32" t="s">
        <v>5168</v>
      </c>
      <c r="H2790" s="139" t="s">
        <v>9150</v>
      </c>
      <c r="I2790" s="33" t="s">
        <v>264</v>
      </c>
      <c r="J2790" s="143" t="s">
        <v>4644</v>
      </c>
      <c r="K2790" s="33" t="s">
        <v>169</v>
      </c>
      <c r="L2790" s="102" t="str">
        <f>VLOOKUP(Anexo_4[[#This Row],[cod_doc]],TIPODOC,2,FALSE)</f>
        <v>FACTURA</v>
      </c>
      <c r="M2790" s="33" t="s">
        <v>271</v>
      </c>
      <c r="N2790" s="32" t="s">
        <v>9151</v>
      </c>
      <c r="O2790" s="48">
        <v>10.17</v>
      </c>
      <c r="P2790" s="49" t="s">
        <v>4341</v>
      </c>
      <c r="Q2790" s="81">
        <v>1.83</v>
      </c>
      <c r="R2790" s="80" t="s">
        <v>4341</v>
      </c>
      <c r="S2790" s="48" t="s">
        <v>4341</v>
      </c>
      <c r="T2790" s="72">
        <v>12</v>
      </c>
      <c r="U2790" s="70"/>
      <c r="V2790" s="32"/>
      <c r="W2790" s="70"/>
      <c r="X2790" s="70"/>
      <c r="Y2790" s="70" t="s">
        <v>9152</v>
      </c>
      <c r="Z2790" s="70"/>
      <c r="AA2790" s="71"/>
      <c r="AB2790" s="117" t="str">
        <f>IFERROR(VLOOKUP(Anexo_4[[#This Row],[cuenta]],OP,2,0),"-")</f>
        <v>-</v>
      </c>
    </row>
    <row r="2791" spans="1:28" ht="27" customHeight="1" x14ac:dyDescent="0.3">
      <c r="A2791" s="34" t="s">
        <v>8301</v>
      </c>
      <c r="B2791" s="36" t="str">
        <f t="shared" si="82"/>
        <v>Octubre</v>
      </c>
      <c r="C2791" s="33"/>
      <c r="D2791" s="33" t="s">
        <v>9153</v>
      </c>
      <c r="E2791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791" s="32" t="s">
        <v>175</v>
      </c>
      <c r="G2791" s="32" t="s">
        <v>5168</v>
      </c>
      <c r="H2791" s="139" t="s">
        <v>9154</v>
      </c>
      <c r="I2791" s="33" t="s">
        <v>264</v>
      </c>
      <c r="J2791" s="143" t="s">
        <v>4644</v>
      </c>
      <c r="K2791" s="33" t="s">
        <v>169</v>
      </c>
      <c r="L2791" s="102" t="str">
        <f>VLOOKUP(Anexo_4[[#This Row],[cod_doc]],TIPODOC,2,FALSE)</f>
        <v>FACTURA</v>
      </c>
      <c r="M2791" s="33" t="s">
        <v>352</v>
      </c>
      <c r="N2791" s="32" t="s">
        <v>9155</v>
      </c>
      <c r="O2791" s="48">
        <v>10.17</v>
      </c>
      <c r="P2791" s="49" t="s">
        <v>4341</v>
      </c>
      <c r="Q2791" s="81">
        <v>1.83</v>
      </c>
      <c r="R2791" s="80" t="s">
        <v>4341</v>
      </c>
      <c r="S2791" s="48" t="s">
        <v>4341</v>
      </c>
      <c r="T2791" s="72">
        <v>12</v>
      </c>
      <c r="U2791" s="70"/>
      <c r="V2791" s="32"/>
      <c r="W2791" s="70"/>
      <c r="X2791" s="70"/>
      <c r="Y2791" s="70" t="s">
        <v>9156</v>
      </c>
      <c r="Z2791" s="70"/>
      <c r="AA2791" s="71"/>
      <c r="AB2791" s="117" t="str">
        <f>IFERROR(VLOOKUP(Anexo_4[[#This Row],[cuenta]],OP,2,0),"-")</f>
        <v>-</v>
      </c>
    </row>
    <row r="2792" spans="1:28" ht="27" customHeight="1" x14ac:dyDescent="0.3">
      <c r="A2792" s="34" t="s">
        <v>8641</v>
      </c>
      <c r="B2792" s="36" t="str">
        <f t="shared" si="82"/>
        <v>Octubre</v>
      </c>
      <c r="C2792" s="33"/>
      <c r="D2792" s="33" t="s">
        <v>9157</v>
      </c>
      <c r="E2792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792" s="32" t="s">
        <v>175</v>
      </c>
      <c r="G2792" s="32" t="s">
        <v>5168</v>
      </c>
      <c r="H2792" s="139" t="s">
        <v>9158</v>
      </c>
      <c r="I2792" s="33" t="s">
        <v>264</v>
      </c>
      <c r="J2792" s="143" t="s">
        <v>4644</v>
      </c>
      <c r="K2792" s="33" t="s">
        <v>169</v>
      </c>
      <c r="L2792" s="102" t="str">
        <f>VLOOKUP(Anexo_4[[#This Row],[cod_doc]],TIPODOC,2,FALSE)</f>
        <v>FACTURA</v>
      </c>
      <c r="M2792" s="33" t="s">
        <v>352</v>
      </c>
      <c r="N2792" s="32" t="s">
        <v>9159</v>
      </c>
      <c r="O2792" s="48">
        <v>10.17</v>
      </c>
      <c r="P2792" s="49" t="s">
        <v>4341</v>
      </c>
      <c r="Q2792" s="81">
        <v>1.83</v>
      </c>
      <c r="R2792" s="80" t="s">
        <v>4341</v>
      </c>
      <c r="S2792" s="48" t="s">
        <v>4341</v>
      </c>
      <c r="T2792" s="72">
        <v>12</v>
      </c>
      <c r="U2792" s="70"/>
      <c r="V2792" s="32"/>
      <c r="W2792" s="70"/>
      <c r="X2792" s="70"/>
      <c r="Y2792" s="70" t="s">
        <v>9160</v>
      </c>
      <c r="Z2792" s="70"/>
      <c r="AA2792" s="71"/>
      <c r="AB2792" s="117" t="str">
        <f>IFERROR(VLOOKUP(Anexo_4[[#This Row],[cuenta]],OP,2,0),"-")</f>
        <v>-</v>
      </c>
    </row>
    <row r="2793" spans="1:28" ht="27" customHeight="1" x14ac:dyDescent="0.3">
      <c r="A2793" s="34" t="s">
        <v>8641</v>
      </c>
      <c r="B2793" s="36" t="str">
        <f t="shared" si="82"/>
        <v>Octubre</v>
      </c>
      <c r="C2793" s="33"/>
      <c r="D2793" s="33" t="s">
        <v>9161</v>
      </c>
      <c r="E2793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793" s="32" t="s">
        <v>175</v>
      </c>
      <c r="G2793" s="32" t="s">
        <v>5168</v>
      </c>
      <c r="H2793" s="139" t="s">
        <v>9162</v>
      </c>
      <c r="I2793" s="33" t="s">
        <v>264</v>
      </c>
      <c r="J2793" s="143" t="s">
        <v>4644</v>
      </c>
      <c r="K2793" s="33" t="s">
        <v>169</v>
      </c>
      <c r="L2793" s="102" t="str">
        <f>VLOOKUP(Anexo_4[[#This Row],[cod_doc]],TIPODOC,2,FALSE)</f>
        <v>FACTURA</v>
      </c>
      <c r="M2793" s="33" t="s">
        <v>271</v>
      </c>
      <c r="N2793" s="32" t="s">
        <v>9163</v>
      </c>
      <c r="O2793" s="48">
        <v>10.17</v>
      </c>
      <c r="P2793" s="49" t="s">
        <v>4341</v>
      </c>
      <c r="Q2793" s="81">
        <v>1.83</v>
      </c>
      <c r="R2793" s="80" t="s">
        <v>4341</v>
      </c>
      <c r="S2793" s="48" t="s">
        <v>4341</v>
      </c>
      <c r="T2793" s="72">
        <v>12</v>
      </c>
      <c r="U2793" s="70"/>
      <c r="V2793" s="32"/>
      <c r="W2793" s="70"/>
      <c r="X2793" s="70"/>
      <c r="Y2793" s="70" t="s">
        <v>9164</v>
      </c>
      <c r="Z2793" s="70"/>
      <c r="AA2793" s="71"/>
      <c r="AB2793" s="117" t="str">
        <f>IFERROR(VLOOKUP(Anexo_4[[#This Row],[cuenta]],OP,2,0),"-")</f>
        <v>-</v>
      </c>
    </row>
    <row r="2794" spans="1:28" ht="27" customHeight="1" x14ac:dyDescent="0.3">
      <c r="A2794" s="34" t="s">
        <v>8641</v>
      </c>
      <c r="B2794" s="36" t="str">
        <f t="shared" si="82"/>
        <v>Octubre</v>
      </c>
      <c r="C2794" s="33"/>
      <c r="D2794" s="33" t="s">
        <v>9165</v>
      </c>
      <c r="E2794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794" s="32" t="s">
        <v>175</v>
      </c>
      <c r="G2794" s="32" t="s">
        <v>5168</v>
      </c>
      <c r="H2794" s="139" t="s">
        <v>9166</v>
      </c>
      <c r="I2794" s="33" t="s">
        <v>383</v>
      </c>
      <c r="J2794" s="143" t="s">
        <v>4702</v>
      </c>
      <c r="K2794" s="33" t="s">
        <v>169</v>
      </c>
      <c r="L2794" s="102" t="str">
        <f>VLOOKUP(Anexo_4[[#This Row],[cod_doc]],TIPODOC,2,FALSE)</f>
        <v>FACTURA</v>
      </c>
      <c r="M2794" s="33" t="s">
        <v>103</v>
      </c>
      <c r="N2794" s="32" t="s">
        <v>9167</v>
      </c>
      <c r="O2794" s="48">
        <v>16.95</v>
      </c>
      <c r="P2794" s="49" t="s">
        <v>4341</v>
      </c>
      <c r="Q2794" s="81">
        <v>3.05</v>
      </c>
      <c r="R2794" s="80" t="s">
        <v>4341</v>
      </c>
      <c r="S2794" s="48" t="s">
        <v>4341</v>
      </c>
      <c r="T2794" s="72">
        <v>20</v>
      </c>
      <c r="U2794" s="70"/>
      <c r="V2794" s="32"/>
      <c r="W2794" s="70"/>
      <c r="X2794" s="70"/>
      <c r="Y2794" s="70" t="s">
        <v>9168</v>
      </c>
      <c r="Z2794" s="70"/>
      <c r="AA2794" s="71"/>
      <c r="AB2794" s="117" t="str">
        <f>IFERROR(VLOOKUP(Anexo_4[[#This Row],[cuenta]],OP,2,0),"-")</f>
        <v>-</v>
      </c>
    </row>
    <row r="2795" spans="1:28" ht="27" customHeight="1" x14ac:dyDescent="0.3">
      <c r="A2795" s="34" t="s">
        <v>8641</v>
      </c>
      <c r="B2795" s="36" t="str">
        <f t="shared" ref="B2795:B2826" si="83">PROPER(CHOOSE(LEFT(D2795,2),"enero","febrero","marzo","abril","mayo","junio","julio","agosto","setiembre","octubre","noviembre","diciembre"))</f>
        <v>Octubre</v>
      </c>
      <c r="C2795" s="33"/>
      <c r="D2795" s="33" t="s">
        <v>9169</v>
      </c>
      <c r="E2795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795" s="32" t="s">
        <v>175</v>
      </c>
      <c r="G2795" s="32" t="s">
        <v>5168</v>
      </c>
      <c r="H2795" s="139" t="s">
        <v>9170</v>
      </c>
      <c r="I2795" s="33" t="s">
        <v>383</v>
      </c>
      <c r="J2795" s="143" t="s">
        <v>4702</v>
      </c>
      <c r="K2795" s="33" t="s">
        <v>169</v>
      </c>
      <c r="L2795" s="102" t="str">
        <f>VLOOKUP(Anexo_4[[#This Row],[cod_doc]],TIPODOC,2,FALSE)</f>
        <v>FACTURA</v>
      </c>
      <c r="M2795" s="33" t="s">
        <v>103</v>
      </c>
      <c r="N2795" s="32" t="s">
        <v>9171</v>
      </c>
      <c r="O2795" s="48">
        <v>16.95</v>
      </c>
      <c r="P2795" s="49" t="s">
        <v>4341</v>
      </c>
      <c r="Q2795" s="81">
        <v>3.05</v>
      </c>
      <c r="R2795" s="80" t="s">
        <v>4341</v>
      </c>
      <c r="S2795" s="48" t="s">
        <v>4341</v>
      </c>
      <c r="T2795" s="72">
        <v>20</v>
      </c>
      <c r="U2795" s="70"/>
      <c r="V2795" s="32"/>
      <c r="W2795" s="70"/>
      <c r="X2795" s="70"/>
      <c r="Y2795" s="70" t="s">
        <v>9172</v>
      </c>
      <c r="Z2795" s="70"/>
      <c r="AA2795" s="71"/>
      <c r="AB2795" s="117" t="str">
        <f>IFERROR(VLOOKUP(Anexo_4[[#This Row],[cuenta]],OP,2,0),"-")</f>
        <v>-</v>
      </c>
    </row>
    <row r="2796" spans="1:28" ht="27" customHeight="1" x14ac:dyDescent="0.3">
      <c r="A2796" s="34" t="s">
        <v>8641</v>
      </c>
      <c r="B2796" s="36" t="str">
        <f t="shared" si="83"/>
        <v>Octubre</v>
      </c>
      <c r="C2796" s="33"/>
      <c r="D2796" s="33" t="s">
        <v>9173</v>
      </c>
      <c r="E2796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796" s="32" t="s">
        <v>355</v>
      </c>
      <c r="G2796" s="32" t="s">
        <v>356</v>
      </c>
      <c r="H2796" s="139" t="s">
        <v>4958</v>
      </c>
      <c r="I2796" s="33" t="s">
        <v>4393</v>
      </c>
      <c r="J2796" s="143" t="s">
        <v>4936</v>
      </c>
      <c r="K2796" s="33" t="s">
        <v>169</v>
      </c>
      <c r="L2796" s="102" t="str">
        <f>VLOOKUP(Anexo_4[[#This Row],[cod_doc]],TIPODOC,2,FALSE)</f>
        <v>FACTURA</v>
      </c>
      <c r="M2796" s="33" t="s">
        <v>9174</v>
      </c>
      <c r="N2796" s="32" t="s">
        <v>9175</v>
      </c>
      <c r="O2796" s="48" t="s">
        <v>4341</v>
      </c>
      <c r="P2796" s="49" t="s">
        <v>4341</v>
      </c>
      <c r="Q2796" s="81" t="s">
        <v>4341</v>
      </c>
      <c r="R2796" s="80" t="s">
        <v>4341</v>
      </c>
      <c r="S2796" s="48">
        <v>20</v>
      </c>
      <c r="T2796" s="72">
        <v>20</v>
      </c>
      <c r="U2796" s="70"/>
      <c r="V2796" s="32"/>
      <c r="W2796" s="70"/>
      <c r="X2796" s="70"/>
      <c r="Y2796" s="70"/>
      <c r="Z2796" s="70"/>
      <c r="AA2796" s="71"/>
      <c r="AB2796" s="117" t="str">
        <f>IFERROR(VLOOKUP(Anexo_4[[#This Row],[cuenta]],OP,2,0),"-")</f>
        <v>-</v>
      </c>
    </row>
    <row r="2797" spans="1:28" ht="27" customHeight="1" x14ac:dyDescent="0.3">
      <c r="A2797" s="34" t="s">
        <v>8641</v>
      </c>
      <c r="B2797" s="36" t="str">
        <f t="shared" si="83"/>
        <v>Octubre</v>
      </c>
      <c r="C2797" s="33"/>
      <c r="D2797" s="33" t="s">
        <v>9176</v>
      </c>
      <c r="E2797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797" s="32" t="s">
        <v>355</v>
      </c>
      <c r="G2797" s="32" t="s">
        <v>356</v>
      </c>
      <c r="H2797" s="139" t="s">
        <v>4958</v>
      </c>
      <c r="I2797" s="33" t="s">
        <v>4393</v>
      </c>
      <c r="J2797" s="143" t="s">
        <v>4936</v>
      </c>
      <c r="K2797" s="33" t="s">
        <v>169</v>
      </c>
      <c r="L2797" s="102" t="str">
        <f>VLOOKUP(Anexo_4[[#This Row],[cod_doc]],TIPODOC,2,FALSE)</f>
        <v>FACTURA</v>
      </c>
      <c r="M2797" s="33" t="s">
        <v>9174</v>
      </c>
      <c r="N2797" s="32" t="s">
        <v>9177</v>
      </c>
      <c r="O2797" s="48" t="s">
        <v>4341</v>
      </c>
      <c r="P2797" s="49" t="s">
        <v>4341</v>
      </c>
      <c r="Q2797" s="81" t="s">
        <v>4341</v>
      </c>
      <c r="R2797" s="80" t="s">
        <v>4341</v>
      </c>
      <c r="S2797" s="48">
        <v>20</v>
      </c>
      <c r="T2797" s="72">
        <v>20</v>
      </c>
      <c r="U2797" s="70"/>
      <c r="V2797" s="32"/>
      <c r="W2797" s="70"/>
      <c r="X2797" s="70"/>
      <c r="Y2797" s="70"/>
      <c r="Z2797" s="70"/>
      <c r="AA2797" s="71"/>
      <c r="AB2797" s="117" t="str">
        <f>IFERROR(VLOOKUP(Anexo_4[[#This Row],[cuenta]],OP,2,0),"-")</f>
        <v>-</v>
      </c>
    </row>
    <row r="2798" spans="1:28" ht="27" customHeight="1" x14ac:dyDescent="0.3">
      <c r="A2798" s="34" t="s">
        <v>8641</v>
      </c>
      <c r="B2798" s="36" t="str">
        <f t="shared" si="83"/>
        <v>Octubre</v>
      </c>
      <c r="C2798" s="33"/>
      <c r="D2798" s="33" t="s">
        <v>9178</v>
      </c>
      <c r="E2798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798" s="32" t="s">
        <v>418</v>
      </c>
      <c r="G2798" s="32" t="s">
        <v>419</v>
      </c>
      <c r="H2798" s="139" t="s">
        <v>9179</v>
      </c>
      <c r="I2798" s="33" t="s">
        <v>3136</v>
      </c>
      <c r="J2798" s="143" t="s">
        <v>6654</v>
      </c>
      <c r="K2798" s="33" t="s">
        <v>169</v>
      </c>
      <c r="L2798" s="102" t="str">
        <f>VLOOKUP(Anexo_4[[#This Row],[cod_doc]],TIPODOC,2,FALSE)</f>
        <v>FACTURA</v>
      </c>
      <c r="M2798" s="33" t="s">
        <v>222</v>
      </c>
      <c r="N2798" s="32" t="s">
        <v>9180</v>
      </c>
      <c r="O2798" s="48">
        <v>10</v>
      </c>
      <c r="P2798" s="49" t="s">
        <v>4341</v>
      </c>
      <c r="Q2798" s="81">
        <v>1.8</v>
      </c>
      <c r="R2798" s="80" t="s">
        <v>4341</v>
      </c>
      <c r="S2798" s="48" t="s">
        <v>4341</v>
      </c>
      <c r="T2798" s="72">
        <v>11.8</v>
      </c>
      <c r="U2798" s="70"/>
      <c r="V2798" s="32"/>
      <c r="W2798" s="70"/>
      <c r="X2798" s="70"/>
      <c r="Y2798" s="70"/>
      <c r="Z2798" s="70"/>
      <c r="AA2798" s="71"/>
      <c r="AB2798" s="117" t="str">
        <f>IFERROR(VLOOKUP(Anexo_4[[#This Row],[cuenta]],OP,2,0),"-")</f>
        <v>-</v>
      </c>
    </row>
    <row r="2799" spans="1:28" ht="27" customHeight="1" x14ac:dyDescent="0.3">
      <c r="A2799" s="34" t="s">
        <v>8641</v>
      </c>
      <c r="B2799" s="36" t="str">
        <f t="shared" si="83"/>
        <v>Octubre</v>
      </c>
      <c r="C2799" s="33"/>
      <c r="D2799" s="33" t="s">
        <v>9181</v>
      </c>
      <c r="E2799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799" s="32" t="s">
        <v>418</v>
      </c>
      <c r="G2799" s="32" t="s">
        <v>419</v>
      </c>
      <c r="H2799" s="139" t="s">
        <v>9179</v>
      </c>
      <c r="I2799" s="33" t="s">
        <v>3136</v>
      </c>
      <c r="J2799" s="143" t="s">
        <v>6654</v>
      </c>
      <c r="K2799" s="33" t="s">
        <v>169</v>
      </c>
      <c r="L2799" s="102" t="str">
        <f>VLOOKUP(Anexo_4[[#This Row],[cod_doc]],TIPODOC,2,FALSE)</f>
        <v>FACTURA</v>
      </c>
      <c r="M2799" s="33" t="s">
        <v>222</v>
      </c>
      <c r="N2799" s="32" t="s">
        <v>9182</v>
      </c>
      <c r="O2799" s="48">
        <v>10</v>
      </c>
      <c r="P2799" s="49" t="s">
        <v>4341</v>
      </c>
      <c r="Q2799" s="81">
        <v>1.8</v>
      </c>
      <c r="R2799" s="80" t="s">
        <v>4341</v>
      </c>
      <c r="S2799" s="48" t="s">
        <v>4341</v>
      </c>
      <c r="T2799" s="72">
        <v>11.8</v>
      </c>
      <c r="U2799" s="70"/>
      <c r="V2799" s="32"/>
      <c r="W2799" s="70"/>
      <c r="X2799" s="70"/>
      <c r="Y2799" s="70"/>
      <c r="Z2799" s="70"/>
      <c r="AA2799" s="71"/>
      <c r="AB2799" s="117" t="str">
        <f>IFERROR(VLOOKUP(Anexo_4[[#This Row],[cuenta]],OP,2,0),"-")</f>
        <v>-</v>
      </c>
    </row>
    <row r="2800" spans="1:28" ht="27" customHeight="1" x14ac:dyDescent="0.3">
      <c r="A2800" s="34" t="s">
        <v>8641</v>
      </c>
      <c r="B2800" s="36" t="str">
        <f t="shared" ref="B2800:B2812" si="84">PROPER(CHOOSE(LEFT(D2800,2),"enero","febrero","marzo","abril","mayo","junio","julio","agosto","setiembre","octubre","noviembre","diciembre"))</f>
        <v>Octubre</v>
      </c>
      <c r="C2800" s="33"/>
      <c r="D2800" s="33" t="s">
        <v>9183</v>
      </c>
      <c r="E2800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800" s="32" t="s">
        <v>418</v>
      </c>
      <c r="G2800" s="32" t="s">
        <v>419</v>
      </c>
      <c r="H2800" s="139" t="s">
        <v>9179</v>
      </c>
      <c r="I2800" s="33" t="s">
        <v>3136</v>
      </c>
      <c r="J2800" s="143" t="s">
        <v>6654</v>
      </c>
      <c r="K2800" s="33" t="s">
        <v>169</v>
      </c>
      <c r="L2800" s="102" t="str">
        <f>VLOOKUP(Anexo_4[[#This Row],[cod_doc]],TIPODOC,2,FALSE)</f>
        <v>FACTURA</v>
      </c>
      <c r="M2800" s="33" t="s">
        <v>222</v>
      </c>
      <c r="N2800" s="32" t="s">
        <v>9184</v>
      </c>
      <c r="O2800" s="48">
        <v>10</v>
      </c>
      <c r="P2800" s="49" t="s">
        <v>4341</v>
      </c>
      <c r="Q2800" s="81">
        <v>1.8</v>
      </c>
      <c r="R2800" s="80" t="s">
        <v>4341</v>
      </c>
      <c r="S2800" s="48" t="s">
        <v>4341</v>
      </c>
      <c r="T2800" s="72">
        <v>11.8</v>
      </c>
      <c r="U2800" s="70"/>
      <c r="V2800" s="32"/>
      <c r="W2800" s="70"/>
      <c r="X2800" s="70"/>
      <c r="Y2800" s="70"/>
      <c r="Z2800" s="70"/>
      <c r="AA2800" s="71"/>
      <c r="AB2800" s="117" t="str">
        <f>IFERROR(VLOOKUP(Anexo_4[[#This Row],[cuenta]],OP,2,0),"-")</f>
        <v>-</v>
      </c>
    </row>
    <row r="2801" spans="1:28" ht="27" customHeight="1" x14ac:dyDescent="0.3">
      <c r="A2801" s="34" t="s">
        <v>8505</v>
      </c>
      <c r="B2801" s="36" t="str">
        <f t="shared" si="84"/>
        <v>Octubre</v>
      </c>
      <c r="C2801" s="33"/>
      <c r="D2801" s="33" t="s">
        <v>9185</v>
      </c>
      <c r="E2801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801" s="32" t="s">
        <v>355</v>
      </c>
      <c r="G2801" s="32" t="s">
        <v>356</v>
      </c>
      <c r="H2801" s="139" t="s">
        <v>9186</v>
      </c>
      <c r="I2801" s="33" t="s">
        <v>4393</v>
      </c>
      <c r="J2801" s="143" t="s">
        <v>4936</v>
      </c>
      <c r="K2801" s="33" t="s">
        <v>169</v>
      </c>
      <c r="L2801" s="102" t="str">
        <f>VLOOKUP(Anexo_4[[#This Row],[cod_doc]],TIPODOC,2,FALSE)</f>
        <v>FACTURA</v>
      </c>
      <c r="M2801" s="33" t="s">
        <v>9187</v>
      </c>
      <c r="N2801" s="32" t="s">
        <v>4697</v>
      </c>
      <c r="O2801" s="48" t="s">
        <v>4341</v>
      </c>
      <c r="P2801" s="49" t="s">
        <v>4341</v>
      </c>
      <c r="Q2801" s="81" t="s">
        <v>4341</v>
      </c>
      <c r="R2801" s="80" t="s">
        <v>4341</v>
      </c>
      <c r="S2801" s="48">
        <v>18</v>
      </c>
      <c r="T2801" s="72">
        <v>18</v>
      </c>
      <c r="U2801" s="70"/>
      <c r="V2801" s="32"/>
      <c r="W2801" s="70"/>
      <c r="X2801" s="70"/>
      <c r="Y2801" s="70"/>
      <c r="Z2801" s="70"/>
      <c r="AA2801" s="71"/>
      <c r="AB2801" s="117" t="str">
        <f>IFERROR(VLOOKUP(Anexo_4[[#This Row],[cuenta]],OP,2,0),"-")</f>
        <v>-</v>
      </c>
    </row>
    <row r="2802" spans="1:28" ht="27" customHeight="1" x14ac:dyDescent="0.3">
      <c r="A2802" s="34" t="s">
        <v>8505</v>
      </c>
      <c r="B2802" s="36" t="str">
        <f t="shared" si="84"/>
        <v>Octubre</v>
      </c>
      <c r="C2802" s="33"/>
      <c r="D2802" s="33" t="s">
        <v>9188</v>
      </c>
      <c r="E2802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802" s="32" t="s">
        <v>355</v>
      </c>
      <c r="G2802" s="32" t="s">
        <v>356</v>
      </c>
      <c r="H2802" s="139" t="s">
        <v>9189</v>
      </c>
      <c r="I2802" s="33" t="s">
        <v>4393</v>
      </c>
      <c r="J2802" s="143" t="s">
        <v>4936</v>
      </c>
      <c r="K2802" s="33" t="s">
        <v>169</v>
      </c>
      <c r="L2802" s="102" t="str">
        <f>VLOOKUP(Anexo_4[[#This Row],[cod_doc]],TIPODOC,2,FALSE)</f>
        <v>FACTURA</v>
      </c>
      <c r="M2802" s="33" t="s">
        <v>9187</v>
      </c>
      <c r="N2802" s="32" t="s">
        <v>9190</v>
      </c>
      <c r="O2802" s="48" t="s">
        <v>4341</v>
      </c>
      <c r="P2802" s="49" t="s">
        <v>4341</v>
      </c>
      <c r="Q2802" s="81" t="s">
        <v>4341</v>
      </c>
      <c r="R2802" s="80" t="s">
        <v>4341</v>
      </c>
      <c r="S2802" s="48">
        <v>18</v>
      </c>
      <c r="T2802" s="72">
        <v>18</v>
      </c>
      <c r="U2802" s="70"/>
      <c r="V2802" s="32"/>
      <c r="W2802" s="70"/>
      <c r="X2802" s="70"/>
      <c r="Y2802" s="70"/>
      <c r="Z2802" s="70"/>
      <c r="AA2802" s="71"/>
      <c r="AB2802" s="117" t="str">
        <f>IFERROR(VLOOKUP(Anexo_4[[#This Row],[cuenta]],OP,2,0),"-")</f>
        <v>-</v>
      </c>
    </row>
    <row r="2803" spans="1:28" ht="27" customHeight="1" x14ac:dyDescent="0.3">
      <c r="A2803" s="34" t="s">
        <v>8641</v>
      </c>
      <c r="B2803" s="36" t="str">
        <f t="shared" si="84"/>
        <v>Octubre</v>
      </c>
      <c r="C2803" s="33"/>
      <c r="D2803" s="33" t="s">
        <v>9191</v>
      </c>
      <c r="E2803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803" s="32" t="s">
        <v>355</v>
      </c>
      <c r="G2803" s="32" t="s">
        <v>356</v>
      </c>
      <c r="H2803" s="139" t="s">
        <v>9192</v>
      </c>
      <c r="I2803" s="33" t="s">
        <v>4379</v>
      </c>
      <c r="J2803" s="143" t="s">
        <v>6657</v>
      </c>
      <c r="K2803" s="33" t="s">
        <v>169</v>
      </c>
      <c r="L2803" s="102" t="str">
        <f>VLOOKUP(Anexo_4[[#This Row],[cod_doc]],TIPODOC,2,FALSE)</f>
        <v>FACTURA</v>
      </c>
      <c r="M2803" s="33" t="s">
        <v>102</v>
      </c>
      <c r="N2803" s="32" t="s">
        <v>9193</v>
      </c>
      <c r="O2803" s="48">
        <v>93.22</v>
      </c>
      <c r="P2803" s="49" t="s">
        <v>4341</v>
      </c>
      <c r="Q2803" s="81">
        <v>16.78</v>
      </c>
      <c r="R2803" s="80" t="s">
        <v>4341</v>
      </c>
      <c r="S2803" s="48" t="s">
        <v>4341</v>
      </c>
      <c r="T2803" s="72">
        <v>110</v>
      </c>
      <c r="U2803" s="70"/>
      <c r="V2803" s="32"/>
      <c r="W2803" s="70"/>
      <c r="X2803" s="70"/>
      <c r="Y2803" s="70"/>
      <c r="Z2803" s="70"/>
      <c r="AA2803" s="71"/>
      <c r="AB2803" s="117" t="str">
        <f>IFERROR(VLOOKUP(Anexo_4[[#This Row],[cuenta]],OP,2,0),"-")</f>
        <v>-</v>
      </c>
    </row>
    <row r="2804" spans="1:28" ht="27" customHeight="1" x14ac:dyDescent="0.3">
      <c r="A2804" s="34" t="s">
        <v>7134</v>
      </c>
      <c r="B2804" s="36" t="str">
        <f t="shared" si="84"/>
        <v>Octubre</v>
      </c>
      <c r="C2804" s="33"/>
      <c r="D2804" s="33" t="s">
        <v>9194</v>
      </c>
      <c r="E2804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804" s="32" t="s">
        <v>592</v>
      </c>
      <c r="G2804" s="32" t="s">
        <v>593</v>
      </c>
      <c r="H2804" s="139" t="s">
        <v>9195</v>
      </c>
      <c r="I2804" s="33" t="s">
        <v>643</v>
      </c>
      <c r="J2804" s="143" t="s">
        <v>4632</v>
      </c>
      <c r="K2804" s="33" t="s">
        <v>169</v>
      </c>
      <c r="L2804" s="102" t="str">
        <f>VLOOKUP(Anexo_4[[#This Row],[cod_doc]],TIPODOC,2,FALSE)</f>
        <v>FACTURA</v>
      </c>
      <c r="M2804" s="33" t="s">
        <v>102</v>
      </c>
      <c r="N2804" s="32" t="s">
        <v>9196</v>
      </c>
      <c r="O2804" s="48">
        <v>255</v>
      </c>
      <c r="P2804" s="49" t="s">
        <v>4341</v>
      </c>
      <c r="Q2804" s="81">
        <v>45.9</v>
      </c>
      <c r="R2804" s="80" t="s">
        <v>4341</v>
      </c>
      <c r="S2804" s="48" t="s">
        <v>4341</v>
      </c>
      <c r="T2804" s="72">
        <v>300.89999999999998</v>
      </c>
      <c r="U2804" s="70"/>
      <c r="V2804" s="32"/>
      <c r="W2804" s="70"/>
      <c r="X2804" s="70"/>
      <c r="Y2804" s="70"/>
      <c r="Z2804" s="70"/>
      <c r="AA2804" s="71"/>
      <c r="AB2804" s="117" t="str">
        <f>IFERROR(VLOOKUP(Anexo_4[[#This Row],[cuenta]],OP,2,0),"-")</f>
        <v>-</v>
      </c>
    </row>
    <row r="2805" spans="1:28" ht="27" customHeight="1" x14ac:dyDescent="0.3">
      <c r="A2805" s="34" t="s">
        <v>8764</v>
      </c>
      <c r="B2805" s="36" t="str">
        <f t="shared" si="84"/>
        <v>Octubre</v>
      </c>
      <c r="C2805" s="33"/>
      <c r="D2805" s="33" t="s">
        <v>9197</v>
      </c>
      <c r="E2805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805" s="32" t="s">
        <v>592</v>
      </c>
      <c r="G2805" s="32" t="s">
        <v>593</v>
      </c>
      <c r="H2805" s="139" t="s">
        <v>9198</v>
      </c>
      <c r="I2805" s="33" t="s">
        <v>643</v>
      </c>
      <c r="J2805" s="143" t="s">
        <v>4632</v>
      </c>
      <c r="K2805" s="33" t="s">
        <v>169</v>
      </c>
      <c r="L2805" s="102" t="str">
        <f>VLOOKUP(Anexo_4[[#This Row],[cod_doc]],TIPODOC,2,FALSE)</f>
        <v>FACTURA</v>
      </c>
      <c r="M2805" s="33" t="s">
        <v>102</v>
      </c>
      <c r="N2805" s="32" t="s">
        <v>9199</v>
      </c>
      <c r="O2805" s="48">
        <v>170</v>
      </c>
      <c r="P2805" s="49" t="s">
        <v>4341</v>
      </c>
      <c r="Q2805" s="81">
        <v>30.6</v>
      </c>
      <c r="R2805" s="80" t="s">
        <v>4341</v>
      </c>
      <c r="S2805" s="48" t="s">
        <v>4341</v>
      </c>
      <c r="T2805" s="72">
        <v>200.6</v>
      </c>
      <c r="U2805" s="70"/>
      <c r="V2805" s="32"/>
      <c r="W2805" s="70"/>
      <c r="X2805" s="70"/>
      <c r="Y2805" s="70"/>
      <c r="Z2805" s="70"/>
      <c r="AA2805" s="71"/>
      <c r="AB2805" s="117" t="str">
        <f>IFERROR(VLOOKUP(Anexo_4[[#This Row],[cuenta]],OP,2,0),"-")</f>
        <v>-</v>
      </c>
    </row>
    <row r="2806" spans="1:28" ht="27" customHeight="1" x14ac:dyDescent="0.3">
      <c r="A2806" s="34" t="s">
        <v>6887</v>
      </c>
      <c r="B2806" s="36" t="str">
        <f t="shared" si="84"/>
        <v>Octubre</v>
      </c>
      <c r="C2806" s="33"/>
      <c r="D2806" s="33" t="s">
        <v>9200</v>
      </c>
      <c r="E2806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806" s="32" t="s">
        <v>592</v>
      </c>
      <c r="G2806" s="32" t="s">
        <v>593</v>
      </c>
      <c r="H2806" s="139" t="s">
        <v>9201</v>
      </c>
      <c r="I2806" s="33" t="s">
        <v>643</v>
      </c>
      <c r="J2806" s="143" t="s">
        <v>4632</v>
      </c>
      <c r="K2806" s="33" t="s">
        <v>169</v>
      </c>
      <c r="L2806" s="102" t="str">
        <f>VLOOKUP(Anexo_4[[#This Row],[cod_doc]],TIPODOC,2,FALSE)</f>
        <v>FACTURA</v>
      </c>
      <c r="M2806" s="33" t="s">
        <v>102</v>
      </c>
      <c r="N2806" s="32" t="s">
        <v>9202</v>
      </c>
      <c r="O2806" s="48">
        <v>510</v>
      </c>
      <c r="P2806" s="49" t="s">
        <v>4341</v>
      </c>
      <c r="Q2806" s="81">
        <v>91.8</v>
      </c>
      <c r="R2806" s="80" t="s">
        <v>4341</v>
      </c>
      <c r="S2806" s="48" t="s">
        <v>4341</v>
      </c>
      <c r="T2806" s="72">
        <v>601.79999999999995</v>
      </c>
      <c r="U2806" s="70"/>
      <c r="V2806" s="32"/>
      <c r="W2806" s="70"/>
      <c r="X2806" s="70"/>
      <c r="Y2806" s="70"/>
      <c r="Z2806" s="70"/>
      <c r="AA2806" s="71"/>
      <c r="AB2806" s="117" t="str">
        <f>IFERROR(VLOOKUP(Anexo_4[[#This Row],[cuenta]],OP,2,0),"-")</f>
        <v>-</v>
      </c>
    </row>
    <row r="2807" spans="1:28" ht="27" customHeight="1" x14ac:dyDescent="0.3">
      <c r="A2807" s="34" t="s">
        <v>6256</v>
      </c>
      <c r="B2807" s="36" t="str">
        <f t="shared" si="84"/>
        <v>Octubre</v>
      </c>
      <c r="C2807" s="33"/>
      <c r="D2807" s="33" t="s">
        <v>9203</v>
      </c>
      <c r="E2807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807" s="32"/>
      <c r="G2807" s="32"/>
      <c r="H2807" s="139" t="s">
        <v>9204</v>
      </c>
      <c r="I2807" s="33" t="s">
        <v>1074</v>
      </c>
      <c r="J2807" s="143" t="s">
        <v>4635</v>
      </c>
      <c r="K2807" s="33" t="s">
        <v>169</v>
      </c>
      <c r="L2807" s="102" t="str">
        <f>VLOOKUP(Anexo_4[[#This Row],[cod_doc]],TIPODOC,2,FALSE)</f>
        <v>FACTURA</v>
      </c>
      <c r="M2807" s="33" t="s">
        <v>102</v>
      </c>
      <c r="N2807" s="32" t="s">
        <v>9205</v>
      </c>
      <c r="O2807" s="48">
        <v>60</v>
      </c>
      <c r="P2807" s="49" t="s">
        <v>4341</v>
      </c>
      <c r="Q2807" s="81">
        <v>10.8</v>
      </c>
      <c r="R2807" s="80" t="s">
        <v>4341</v>
      </c>
      <c r="S2807" s="48" t="s">
        <v>4341</v>
      </c>
      <c r="T2807" s="72">
        <v>70.8</v>
      </c>
      <c r="U2807" s="70"/>
      <c r="V2807" s="32"/>
      <c r="W2807" s="70"/>
      <c r="X2807" s="70"/>
      <c r="Y2807" s="70"/>
      <c r="Z2807" s="70"/>
      <c r="AA2807" s="71"/>
      <c r="AB2807" s="117" t="str">
        <f>IFERROR(VLOOKUP(Anexo_4[[#This Row],[cuenta]],OP,2,0),"-")</f>
        <v>-</v>
      </c>
    </row>
    <row r="2808" spans="1:28" ht="27" customHeight="1" x14ac:dyDescent="0.3">
      <c r="A2808" s="34" t="s">
        <v>7710</v>
      </c>
      <c r="B2808" s="36" t="str">
        <f t="shared" si="84"/>
        <v>Octubre</v>
      </c>
      <c r="C2808" s="33"/>
      <c r="D2808" s="33" t="s">
        <v>9206</v>
      </c>
      <c r="E2808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808" s="32" t="s">
        <v>442</v>
      </c>
      <c r="G2808" s="32" t="s">
        <v>443</v>
      </c>
      <c r="H2808" s="139" t="s">
        <v>9207</v>
      </c>
      <c r="I2808" s="33" t="s">
        <v>3483</v>
      </c>
      <c r="J2808" s="143" t="s">
        <v>7183</v>
      </c>
      <c r="K2808" s="33" t="s">
        <v>169</v>
      </c>
      <c r="L2808" s="102" t="str">
        <f>VLOOKUP(Anexo_4[[#This Row],[cod_doc]],TIPODOC,2,FALSE)</f>
        <v>FACTURA</v>
      </c>
      <c r="M2808" s="33" t="s">
        <v>3485</v>
      </c>
      <c r="N2808" s="32" t="s">
        <v>9208</v>
      </c>
      <c r="O2808" s="48">
        <v>184</v>
      </c>
      <c r="P2808" s="49" t="s">
        <v>4341</v>
      </c>
      <c r="Q2808" s="81">
        <v>33.119999999999997</v>
      </c>
      <c r="R2808" s="80" t="s">
        <v>4341</v>
      </c>
      <c r="S2808" s="48" t="s">
        <v>4341</v>
      </c>
      <c r="T2808" s="72">
        <v>217.12</v>
      </c>
      <c r="U2808" s="70"/>
      <c r="V2808" s="32"/>
      <c r="W2808" s="70"/>
      <c r="X2808" s="70"/>
      <c r="Y2808" s="70"/>
      <c r="Z2808" s="70"/>
      <c r="AA2808" s="71"/>
      <c r="AB2808" s="117" t="str">
        <f>IFERROR(VLOOKUP(Anexo_4[[#This Row],[cuenta]],OP,2,0),"-")</f>
        <v>-</v>
      </c>
    </row>
    <row r="2809" spans="1:28" ht="27" customHeight="1" x14ac:dyDescent="0.3">
      <c r="A2809" s="34" t="s">
        <v>7710</v>
      </c>
      <c r="B2809" s="36" t="str">
        <f t="shared" si="84"/>
        <v>Octubre</v>
      </c>
      <c r="C2809" s="33"/>
      <c r="D2809" s="33" t="s">
        <v>9209</v>
      </c>
      <c r="E2809" s="37" t="str">
        <f>IF(LEFT(Anexo_4[[#This Row],[c_costos]],2)="91","OPERACIONES",IF(LEFT(Anexo_4[[#This Row],[c_costos]],2)="97","G. FINANCIEROS",IF(LEFT(Anexo_4[[#This Row],[c_costos]],2)="95","G. VENTAS","G. ADMINISTRACIÓN")))</f>
        <v>G. VENTAS</v>
      </c>
      <c r="F2809" s="32" t="s">
        <v>198</v>
      </c>
      <c r="G2809" s="32" t="s">
        <v>199</v>
      </c>
      <c r="H2809" s="139" t="s">
        <v>9210</v>
      </c>
      <c r="I2809" s="33" t="s">
        <v>2486</v>
      </c>
      <c r="J2809" s="143" t="s">
        <v>9211</v>
      </c>
      <c r="K2809" s="33" t="s">
        <v>169</v>
      </c>
      <c r="L2809" s="102" t="str">
        <f>VLOOKUP(Anexo_4[[#This Row],[cod_doc]],TIPODOC,2,FALSE)</f>
        <v>FACTURA</v>
      </c>
      <c r="M2809" s="33" t="s">
        <v>102</v>
      </c>
      <c r="N2809" s="32" t="s">
        <v>9212</v>
      </c>
      <c r="O2809" s="48">
        <v>677.97</v>
      </c>
      <c r="P2809" s="49" t="s">
        <v>4341</v>
      </c>
      <c r="Q2809" s="81">
        <v>122.03</v>
      </c>
      <c r="R2809" s="80" t="s">
        <v>4341</v>
      </c>
      <c r="S2809" s="48" t="s">
        <v>4341</v>
      </c>
      <c r="T2809" s="72">
        <v>800</v>
      </c>
      <c r="U2809" s="70"/>
      <c r="V2809" s="32"/>
      <c r="W2809" s="70"/>
      <c r="X2809" s="70"/>
      <c r="Y2809" s="70"/>
      <c r="Z2809" s="70"/>
      <c r="AA2809" s="71"/>
      <c r="AB2809" s="117" t="str">
        <f>IFERROR(VLOOKUP(Anexo_4[[#This Row],[cuenta]],OP,2,0),"-")</f>
        <v>-</v>
      </c>
    </row>
    <row r="2810" spans="1:28" ht="27" customHeight="1" x14ac:dyDescent="0.3">
      <c r="A2810" s="34" t="s">
        <v>8764</v>
      </c>
      <c r="B2810" s="36" t="str">
        <f t="shared" si="84"/>
        <v>Octubre</v>
      </c>
      <c r="C2810" s="33"/>
      <c r="D2810" s="33" t="s">
        <v>9213</v>
      </c>
      <c r="E2810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810" s="32" t="s">
        <v>248</v>
      </c>
      <c r="G2810" s="32" t="s">
        <v>249</v>
      </c>
      <c r="H2810" s="139" t="s">
        <v>9214</v>
      </c>
      <c r="I2810" s="33" t="s">
        <v>980</v>
      </c>
      <c r="J2810" s="143" t="s">
        <v>5083</v>
      </c>
      <c r="K2810" s="33" t="s">
        <v>169</v>
      </c>
      <c r="L2810" s="102" t="str">
        <f>VLOOKUP(Anexo_4[[#This Row],[cod_doc]],TIPODOC,2,FALSE)</f>
        <v>FACTURA</v>
      </c>
      <c r="M2810" s="33" t="s">
        <v>982</v>
      </c>
      <c r="N2810" s="32" t="s">
        <v>9215</v>
      </c>
      <c r="O2810" s="48">
        <v>372.88</v>
      </c>
      <c r="P2810" s="49" t="s">
        <v>4341</v>
      </c>
      <c r="Q2810" s="81">
        <v>67.12</v>
      </c>
      <c r="R2810" s="80" t="s">
        <v>4341</v>
      </c>
      <c r="S2810" s="48" t="s">
        <v>4341</v>
      </c>
      <c r="T2810" s="72">
        <v>440</v>
      </c>
      <c r="U2810" s="70"/>
      <c r="V2810" s="32"/>
      <c r="W2810" s="70"/>
      <c r="X2810" s="70"/>
      <c r="Y2810" s="70" t="s">
        <v>9216</v>
      </c>
      <c r="Z2810" s="70"/>
      <c r="AA2810" s="71"/>
      <c r="AB2810" s="117" t="str">
        <f>IFERROR(VLOOKUP(Anexo_4[[#This Row],[cuenta]],OP,2,0),"-")</f>
        <v>-</v>
      </c>
    </row>
    <row r="2811" spans="1:28" ht="27" customHeight="1" x14ac:dyDescent="0.3">
      <c r="A2811" s="34" t="s">
        <v>7307</v>
      </c>
      <c r="B2811" s="36" t="str">
        <f t="shared" si="84"/>
        <v>Octubre</v>
      </c>
      <c r="C2811" s="33"/>
      <c r="D2811" s="33" t="s">
        <v>9217</v>
      </c>
      <c r="E2811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811" s="32" t="s">
        <v>355</v>
      </c>
      <c r="G2811" s="32" t="s">
        <v>356</v>
      </c>
      <c r="H2811" s="139" t="s">
        <v>9218</v>
      </c>
      <c r="I2811" s="33" t="s">
        <v>2465</v>
      </c>
      <c r="J2811" s="143" t="s">
        <v>4896</v>
      </c>
      <c r="K2811" s="33" t="s">
        <v>169</v>
      </c>
      <c r="L2811" s="102" t="str">
        <f>VLOOKUP(Anexo_4[[#This Row],[cod_doc]],TIPODOC,2,FALSE)</f>
        <v>FACTURA</v>
      </c>
      <c r="M2811" s="33" t="s">
        <v>2288</v>
      </c>
      <c r="N2811" s="32" t="s">
        <v>9219</v>
      </c>
      <c r="O2811" s="48">
        <v>311</v>
      </c>
      <c r="P2811" s="49" t="s">
        <v>4341</v>
      </c>
      <c r="Q2811" s="81">
        <v>55.98</v>
      </c>
      <c r="R2811" s="80" t="s">
        <v>4341</v>
      </c>
      <c r="S2811" s="48" t="s">
        <v>4341</v>
      </c>
      <c r="T2811" s="72">
        <v>366.98</v>
      </c>
      <c r="U2811" s="70"/>
      <c r="V2811" s="32"/>
      <c r="W2811" s="70"/>
      <c r="X2811" s="70"/>
      <c r="Y2811" s="70"/>
      <c r="Z2811" s="70"/>
      <c r="AA2811" s="71"/>
      <c r="AB2811" s="117" t="str">
        <f>IFERROR(VLOOKUP(Anexo_4[[#This Row],[cuenta]],OP,2,0),"-")</f>
        <v>-</v>
      </c>
    </row>
    <row r="2812" spans="1:28" ht="27" customHeight="1" x14ac:dyDescent="0.3">
      <c r="A2812" s="34" t="s">
        <v>7240</v>
      </c>
      <c r="B2812" s="36" t="str">
        <f t="shared" si="84"/>
        <v>Octubre</v>
      </c>
      <c r="C2812" s="33"/>
      <c r="D2812" s="33" t="s">
        <v>9220</v>
      </c>
      <c r="E2812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812" s="32" t="s">
        <v>355</v>
      </c>
      <c r="G2812" s="32" t="s">
        <v>356</v>
      </c>
      <c r="H2812" s="139" t="s">
        <v>9218</v>
      </c>
      <c r="I2812" s="33" t="s">
        <v>2465</v>
      </c>
      <c r="J2812" s="143" t="s">
        <v>4896</v>
      </c>
      <c r="K2812" s="33" t="s">
        <v>169</v>
      </c>
      <c r="L2812" s="102" t="str">
        <f>VLOOKUP(Anexo_4[[#This Row],[cod_doc]],TIPODOC,2,FALSE)</f>
        <v>FACTURA</v>
      </c>
      <c r="M2812" s="33" t="s">
        <v>2288</v>
      </c>
      <c r="N2812" s="32" t="s">
        <v>9221</v>
      </c>
      <c r="O2812" s="48">
        <v>311</v>
      </c>
      <c r="P2812" s="49" t="s">
        <v>4341</v>
      </c>
      <c r="Q2812" s="81">
        <v>55.98</v>
      </c>
      <c r="R2812" s="80" t="s">
        <v>4341</v>
      </c>
      <c r="S2812" s="48" t="s">
        <v>4341</v>
      </c>
      <c r="T2812" s="72">
        <v>366.98</v>
      </c>
      <c r="U2812" s="70"/>
      <c r="V2812" s="32"/>
      <c r="W2812" s="70"/>
      <c r="X2812" s="70"/>
      <c r="Y2812" s="70"/>
      <c r="Z2812" s="70"/>
      <c r="AA2812" s="71"/>
      <c r="AB2812" s="117" t="str">
        <f>IFERROR(VLOOKUP(Anexo_4[[#This Row],[cuenta]],OP,2,0),"-")</f>
        <v>-</v>
      </c>
    </row>
    <row r="2813" spans="1:28" ht="27" customHeight="1" x14ac:dyDescent="0.3">
      <c r="A2813" s="34" t="s">
        <v>1430</v>
      </c>
      <c r="B2813" s="36" t="str">
        <f t="shared" ref="B2813:B2825" si="85">PROPER(CHOOSE(LEFT(D2813,2),"enero","febrero","marzo","abril","mayo","junio","julio","agosto","setiembre","octubre","noviembre","diciembre"))</f>
        <v>Octubre</v>
      </c>
      <c r="C2813" s="33"/>
      <c r="D2813" s="33" t="s">
        <v>9222</v>
      </c>
      <c r="E2813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813" s="32"/>
      <c r="G2813" s="32"/>
      <c r="H2813" s="139" t="s">
        <v>3440</v>
      </c>
      <c r="I2813" s="33" t="s">
        <v>477</v>
      </c>
      <c r="J2813" s="143" t="s">
        <v>4623</v>
      </c>
      <c r="K2813" s="33" t="s">
        <v>169</v>
      </c>
      <c r="L2813" s="102" t="str">
        <f>VLOOKUP(Anexo_4[[#This Row],[cod_doc]],TIPODOC,2,FALSE)</f>
        <v>FACTURA</v>
      </c>
      <c r="M2813" s="33" t="s">
        <v>479</v>
      </c>
      <c r="N2813" s="32" t="s">
        <v>9223</v>
      </c>
      <c r="O2813" s="48" t="s">
        <v>4341</v>
      </c>
      <c r="P2813" s="49" t="s">
        <v>4341</v>
      </c>
      <c r="Q2813" s="81" t="s">
        <v>4341</v>
      </c>
      <c r="R2813" s="80" t="s">
        <v>4341</v>
      </c>
      <c r="S2813" s="48">
        <v>10</v>
      </c>
      <c r="T2813" s="72">
        <v>10</v>
      </c>
      <c r="U2813" s="70"/>
      <c r="V2813" s="32"/>
      <c r="W2813" s="70"/>
      <c r="X2813" s="70"/>
      <c r="Y2813" s="70"/>
      <c r="Z2813" s="70"/>
      <c r="AA2813" s="71"/>
      <c r="AB2813" s="117" t="str">
        <f>IFERROR(VLOOKUP(Anexo_4[[#This Row],[cuenta]],OP,2,0),"-")</f>
        <v>-</v>
      </c>
    </row>
    <row r="2814" spans="1:28" ht="27" customHeight="1" x14ac:dyDescent="0.3">
      <c r="A2814" s="34" t="s">
        <v>1378</v>
      </c>
      <c r="B2814" s="36" t="str">
        <f t="shared" si="85"/>
        <v>Octubre</v>
      </c>
      <c r="C2814" s="33"/>
      <c r="D2814" s="33" t="s">
        <v>9224</v>
      </c>
      <c r="E2814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814" s="32"/>
      <c r="G2814" s="32"/>
      <c r="H2814" s="139" t="s">
        <v>3440</v>
      </c>
      <c r="I2814" s="33" t="s">
        <v>477</v>
      </c>
      <c r="J2814" s="143" t="s">
        <v>4623</v>
      </c>
      <c r="K2814" s="33" t="s">
        <v>169</v>
      </c>
      <c r="L2814" s="102" t="str">
        <f>VLOOKUP(Anexo_4[[#This Row],[cod_doc]],TIPODOC,2,FALSE)</f>
        <v>FACTURA</v>
      </c>
      <c r="M2814" s="33" t="s">
        <v>479</v>
      </c>
      <c r="N2814" s="32" t="s">
        <v>9225</v>
      </c>
      <c r="O2814" s="48" t="s">
        <v>4341</v>
      </c>
      <c r="P2814" s="49" t="s">
        <v>4341</v>
      </c>
      <c r="Q2814" s="81" t="s">
        <v>4341</v>
      </c>
      <c r="R2814" s="80" t="s">
        <v>4341</v>
      </c>
      <c r="S2814" s="48">
        <v>2.5</v>
      </c>
      <c r="T2814" s="72">
        <v>2.5</v>
      </c>
      <c r="U2814" s="70"/>
      <c r="V2814" s="32"/>
      <c r="W2814" s="70"/>
      <c r="X2814" s="70"/>
      <c r="Y2814" s="70"/>
      <c r="Z2814" s="70"/>
      <c r="AA2814" s="71"/>
      <c r="AB2814" s="117" t="str">
        <f>IFERROR(VLOOKUP(Anexo_4[[#This Row],[cuenta]],OP,2,0),"-")</f>
        <v>-</v>
      </c>
    </row>
    <row r="2815" spans="1:28" ht="27" customHeight="1" x14ac:dyDescent="0.3">
      <c r="A2815" s="34" t="s">
        <v>996</v>
      </c>
      <c r="B2815" s="36" t="str">
        <f t="shared" si="85"/>
        <v>Octubre</v>
      </c>
      <c r="C2815" s="33"/>
      <c r="D2815" s="33" t="s">
        <v>9226</v>
      </c>
      <c r="E2815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815" s="32"/>
      <c r="G2815" s="32"/>
      <c r="H2815" s="139" t="s">
        <v>3440</v>
      </c>
      <c r="I2815" s="33" t="s">
        <v>477</v>
      </c>
      <c r="J2815" s="143" t="s">
        <v>4623</v>
      </c>
      <c r="K2815" s="33" t="s">
        <v>169</v>
      </c>
      <c r="L2815" s="102" t="str">
        <f>VLOOKUP(Anexo_4[[#This Row],[cod_doc]],TIPODOC,2,FALSE)</f>
        <v>FACTURA</v>
      </c>
      <c r="M2815" s="33" t="s">
        <v>479</v>
      </c>
      <c r="N2815" s="32" t="s">
        <v>9227</v>
      </c>
      <c r="O2815" s="48" t="s">
        <v>4341</v>
      </c>
      <c r="P2815" s="49" t="s">
        <v>4341</v>
      </c>
      <c r="Q2815" s="81" t="s">
        <v>4341</v>
      </c>
      <c r="R2815" s="80" t="s">
        <v>4341</v>
      </c>
      <c r="S2815" s="48">
        <v>10</v>
      </c>
      <c r="T2815" s="72">
        <v>10</v>
      </c>
      <c r="U2815" s="70"/>
      <c r="V2815" s="32"/>
      <c r="W2815" s="70"/>
      <c r="X2815" s="70"/>
      <c r="Y2815" s="70"/>
      <c r="Z2815" s="70"/>
      <c r="AA2815" s="71"/>
      <c r="AB2815" s="117" t="str">
        <f>IFERROR(VLOOKUP(Anexo_4[[#This Row],[cuenta]],OP,2,0),"-")</f>
        <v>-</v>
      </c>
    </row>
    <row r="2816" spans="1:28" ht="27" customHeight="1" x14ac:dyDescent="0.3">
      <c r="A2816" s="34" t="s">
        <v>685</v>
      </c>
      <c r="B2816" s="36" t="str">
        <f t="shared" si="85"/>
        <v>Octubre</v>
      </c>
      <c r="C2816" s="33"/>
      <c r="D2816" s="33" t="s">
        <v>9228</v>
      </c>
      <c r="E2816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816" s="32"/>
      <c r="G2816" s="32"/>
      <c r="H2816" s="139" t="s">
        <v>3440</v>
      </c>
      <c r="I2816" s="33" t="s">
        <v>477</v>
      </c>
      <c r="J2816" s="143" t="s">
        <v>4623</v>
      </c>
      <c r="K2816" s="33" t="s">
        <v>169</v>
      </c>
      <c r="L2816" s="102" t="str">
        <f>VLOOKUP(Anexo_4[[#This Row],[cod_doc]],TIPODOC,2,FALSE)</f>
        <v>FACTURA</v>
      </c>
      <c r="M2816" s="33" t="s">
        <v>479</v>
      </c>
      <c r="N2816" s="32" t="s">
        <v>9229</v>
      </c>
      <c r="O2816" s="48" t="s">
        <v>4341</v>
      </c>
      <c r="P2816" s="49" t="s">
        <v>4341</v>
      </c>
      <c r="Q2816" s="81" t="s">
        <v>4341</v>
      </c>
      <c r="R2816" s="80" t="s">
        <v>4341</v>
      </c>
      <c r="S2816" s="48">
        <v>10</v>
      </c>
      <c r="T2816" s="72">
        <v>10</v>
      </c>
      <c r="U2816" s="70"/>
      <c r="V2816" s="32"/>
      <c r="W2816" s="70"/>
      <c r="X2816" s="70"/>
      <c r="Y2816" s="70"/>
      <c r="Z2816" s="70"/>
      <c r="AA2816" s="71"/>
      <c r="AB2816" s="117" t="str">
        <f>IFERROR(VLOOKUP(Anexo_4[[#This Row],[cuenta]],OP,2,0),"-")</f>
        <v>-</v>
      </c>
    </row>
    <row r="2817" spans="1:28" ht="27" customHeight="1" x14ac:dyDescent="0.3">
      <c r="A2817" s="34" t="s">
        <v>316</v>
      </c>
      <c r="B2817" s="36" t="str">
        <f t="shared" si="85"/>
        <v>Octubre</v>
      </c>
      <c r="C2817" s="33"/>
      <c r="D2817" s="33" t="s">
        <v>9230</v>
      </c>
      <c r="E2817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817" s="32"/>
      <c r="G2817" s="32"/>
      <c r="H2817" s="139" t="s">
        <v>3440</v>
      </c>
      <c r="I2817" s="33" t="s">
        <v>477</v>
      </c>
      <c r="J2817" s="143" t="s">
        <v>4623</v>
      </c>
      <c r="K2817" s="33" t="s">
        <v>169</v>
      </c>
      <c r="L2817" s="102" t="str">
        <f>VLOOKUP(Anexo_4[[#This Row],[cod_doc]],TIPODOC,2,FALSE)</f>
        <v>FACTURA</v>
      </c>
      <c r="M2817" s="33" t="s">
        <v>479</v>
      </c>
      <c r="N2817" s="32" t="s">
        <v>9231</v>
      </c>
      <c r="O2817" s="48" t="s">
        <v>4341</v>
      </c>
      <c r="P2817" s="49" t="s">
        <v>4341</v>
      </c>
      <c r="Q2817" s="81" t="s">
        <v>4341</v>
      </c>
      <c r="R2817" s="80" t="s">
        <v>4341</v>
      </c>
      <c r="S2817" s="48">
        <v>19.5</v>
      </c>
      <c r="T2817" s="72">
        <v>19.5</v>
      </c>
      <c r="U2817" s="70"/>
      <c r="V2817" s="32"/>
      <c r="W2817" s="70"/>
      <c r="X2817" s="70"/>
      <c r="Y2817" s="70"/>
      <c r="Z2817" s="70"/>
      <c r="AA2817" s="71"/>
      <c r="AB2817" s="117" t="str">
        <f>IFERROR(VLOOKUP(Anexo_4[[#This Row],[cuenta]],OP,2,0),"-")</f>
        <v>-</v>
      </c>
    </row>
    <row r="2818" spans="1:28" ht="27" customHeight="1" x14ac:dyDescent="0.3">
      <c r="A2818" s="34" t="s">
        <v>210</v>
      </c>
      <c r="B2818" s="36" t="str">
        <f t="shared" si="85"/>
        <v>Octubre</v>
      </c>
      <c r="C2818" s="33"/>
      <c r="D2818" s="33" t="s">
        <v>9232</v>
      </c>
      <c r="E2818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818" s="32"/>
      <c r="G2818" s="32"/>
      <c r="H2818" s="139" t="s">
        <v>3440</v>
      </c>
      <c r="I2818" s="33" t="s">
        <v>477</v>
      </c>
      <c r="J2818" s="143" t="s">
        <v>4623</v>
      </c>
      <c r="K2818" s="33" t="s">
        <v>169</v>
      </c>
      <c r="L2818" s="102" t="str">
        <f>VLOOKUP(Anexo_4[[#This Row],[cod_doc]],TIPODOC,2,FALSE)</f>
        <v>FACTURA</v>
      </c>
      <c r="M2818" s="33" t="s">
        <v>479</v>
      </c>
      <c r="N2818" s="32" t="s">
        <v>9233</v>
      </c>
      <c r="O2818" s="48" t="s">
        <v>4341</v>
      </c>
      <c r="P2818" s="49" t="s">
        <v>4341</v>
      </c>
      <c r="Q2818" s="81" t="s">
        <v>4341</v>
      </c>
      <c r="R2818" s="80" t="s">
        <v>4341</v>
      </c>
      <c r="S2818" s="48">
        <v>5</v>
      </c>
      <c r="T2818" s="72">
        <v>5</v>
      </c>
      <c r="U2818" s="70"/>
      <c r="V2818" s="32"/>
      <c r="W2818" s="70"/>
      <c r="X2818" s="70"/>
      <c r="Y2818" s="70"/>
      <c r="Z2818" s="70"/>
      <c r="AA2818" s="71"/>
      <c r="AB2818" s="117" t="str">
        <f>IFERROR(VLOOKUP(Anexo_4[[#This Row],[cuenta]],OP,2,0),"-")</f>
        <v>-</v>
      </c>
    </row>
    <row r="2819" spans="1:28" ht="27" customHeight="1" x14ac:dyDescent="0.3">
      <c r="A2819" s="34" t="s">
        <v>316</v>
      </c>
      <c r="B2819" s="36" t="str">
        <f t="shared" si="85"/>
        <v>Octubre</v>
      </c>
      <c r="C2819" s="33"/>
      <c r="D2819" s="33" t="s">
        <v>9234</v>
      </c>
      <c r="E2819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819" s="32"/>
      <c r="G2819" s="32"/>
      <c r="H2819" s="139" t="s">
        <v>3440</v>
      </c>
      <c r="I2819" s="33" t="s">
        <v>477</v>
      </c>
      <c r="J2819" s="143" t="s">
        <v>4623</v>
      </c>
      <c r="K2819" s="33" t="s">
        <v>169</v>
      </c>
      <c r="L2819" s="102" t="str">
        <f>VLOOKUP(Anexo_4[[#This Row],[cod_doc]],TIPODOC,2,FALSE)</f>
        <v>FACTURA</v>
      </c>
      <c r="M2819" s="33" t="s">
        <v>9235</v>
      </c>
      <c r="N2819" s="32" t="s">
        <v>9236</v>
      </c>
      <c r="O2819" s="48" t="s">
        <v>4341</v>
      </c>
      <c r="P2819" s="49" t="s">
        <v>4341</v>
      </c>
      <c r="Q2819" s="81" t="s">
        <v>4341</v>
      </c>
      <c r="R2819" s="80" t="s">
        <v>4341</v>
      </c>
      <c r="S2819" s="48">
        <v>10</v>
      </c>
      <c r="T2819" s="72">
        <v>10</v>
      </c>
      <c r="U2819" s="70"/>
      <c r="V2819" s="32"/>
      <c r="W2819" s="70"/>
      <c r="X2819" s="70"/>
      <c r="Y2819" s="70"/>
      <c r="Z2819" s="70"/>
      <c r="AA2819" s="71"/>
      <c r="AB2819" s="117" t="str">
        <f>IFERROR(VLOOKUP(Anexo_4[[#This Row],[cuenta]],OP,2,0),"-")</f>
        <v>-</v>
      </c>
    </row>
    <row r="2820" spans="1:28" ht="27" customHeight="1" x14ac:dyDescent="0.3">
      <c r="A2820" s="34" t="s">
        <v>4616</v>
      </c>
      <c r="B2820" s="36" t="str">
        <f t="shared" si="85"/>
        <v>Octubre</v>
      </c>
      <c r="C2820" s="33"/>
      <c r="D2820" s="33" t="s">
        <v>9237</v>
      </c>
      <c r="E2820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820" s="32"/>
      <c r="G2820" s="32"/>
      <c r="H2820" s="139" t="s">
        <v>3440</v>
      </c>
      <c r="I2820" s="33" t="s">
        <v>1747</v>
      </c>
      <c r="J2820" s="143" t="s">
        <v>6277</v>
      </c>
      <c r="K2820" s="33" t="s">
        <v>169</v>
      </c>
      <c r="L2820" s="102" t="str">
        <f>VLOOKUP(Anexo_4[[#This Row],[cod_doc]],TIPODOC,2,FALSE)</f>
        <v>FACTURA</v>
      </c>
      <c r="M2820" s="33" t="s">
        <v>9238</v>
      </c>
      <c r="N2820" s="32" t="s">
        <v>9239</v>
      </c>
      <c r="O2820" s="48" t="s">
        <v>4341</v>
      </c>
      <c r="P2820" s="49" t="s">
        <v>4341</v>
      </c>
      <c r="Q2820" s="81" t="s">
        <v>4341</v>
      </c>
      <c r="R2820" s="80" t="s">
        <v>4341</v>
      </c>
      <c r="S2820" s="48">
        <v>30</v>
      </c>
      <c r="T2820" s="72">
        <v>30</v>
      </c>
      <c r="U2820" s="70"/>
      <c r="V2820" s="32"/>
      <c r="W2820" s="70"/>
      <c r="X2820" s="70"/>
      <c r="Y2820" s="70"/>
      <c r="Z2820" s="70"/>
      <c r="AA2820" s="71"/>
      <c r="AB2820" s="117" t="str">
        <f>IFERROR(VLOOKUP(Anexo_4[[#This Row],[cuenta]],OP,2,0),"-")</f>
        <v>-</v>
      </c>
    </row>
    <row r="2821" spans="1:28" ht="27" customHeight="1" x14ac:dyDescent="0.3">
      <c r="A2821" s="34" t="s">
        <v>6536</v>
      </c>
      <c r="B2821" s="36" t="str">
        <f t="shared" si="85"/>
        <v>Octubre</v>
      </c>
      <c r="C2821" s="33"/>
      <c r="D2821" s="33" t="s">
        <v>9240</v>
      </c>
      <c r="E2821" s="37" t="str">
        <f>IF(LEFT(Anexo_4[[#This Row],[c_costos]],2)="91","OPERACIONES",IF(LEFT(Anexo_4[[#This Row],[c_costos]],2)="97","G. FINANCIEROS",IF(LEFT(Anexo_4[[#This Row],[c_costos]],2)="95","G. VENTAS","G. ADMINISTRACIÓN")))</f>
        <v>G. ADMINISTRACIÓN</v>
      </c>
      <c r="F2821" s="32"/>
      <c r="G2821" s="32"/>
      <c r="H2821" s="139" t="s">
        <v>3440</v>
      </c>
      <c r="I2821" s="33" t="s">
        <v>1747</v>
      </c>
      <c r="J2821" s="143" t="s">
        <v>6277</v>
      </c>
      <c r="K2821" s="33" t="s">
        <v>169</v>
      </c>
      <c r="L2821" s="102" t="str">
        <f>VLOOKUP(Anexo_4[[#This Row],[cod_doc]],TIPODOC,2,FALSE)</f>
        <v>FACTURA</v>
      </c>
      <c r="M2821" s="33" t="s">
        <v>9238</v>
      </c>
      <c r="N2821" s="32" t="s">
        <v>9241</v>
      </c>
      <c r="O2821" s="48" t="s">
        <v>4341</v>
      </c>
      <c r="P2821" s="49" t="s">
        <v>4341</v>
      </c>
      <c r="Q2821" s="81" t="s">
        <v>4341</v>
      </c>
      <c r="R2821" s="80" t="s">
        <v>4341</v>
      </c>
      <c r="S2821" s="48">
        <v>30</v>
      </c>
      <c r="T2821" s="72">
        <v>30</v>
      </c>
      <c r="U2821" s="70"/>
      <c r="V2821" s="32"/>
      <c r="W2821" s="70"/>
      <c r="X2821" s="70"/>
      <c r="Y2821" s="70"/>
      <c r="Z2821" s="70"/>
      <c r="AA2821" s="71"/>
      <c r="AB2821" s="117" t="str">
        <f>IFERROR(VLOOKUP(Anexo_4[[#This Row],[cuenta]],OP,2,0),"-")</f>
        <v>-</v>
      </c>
    </row>
    <row r="2822" spans="1:28" ht="27" customHeight="1" x14ac:dyDescent="0.3">
      <c r="A2822" s="34" t="s">
        <v>7134</v>
      </c>
      <c r="B2822" s="36" t="str">
        <f t="shared" si="85"/>
        <v>Octubre</v>
      </c>
      <c r="C2822" s="33"/>
      <c r="D2822" s="33" t="s">
        <v>9242</v>
      </c>
      <c r="E2822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822" s="32" t="s">
        <v>217</v>
      </c>
      <c r="G2822" s="32" t="s">
        <v>4839</v>
      </c>
      <c r="H2822" s="139" t="s">
        <v>930</v>
      </c>
      <c r="I2822" s="33" t="s">
        <v>178</v>
      </c>
      <c r="J2822" s="143" t="s">
        <v>4667</v>
      </c>
      <c r="K2822" s="33" t="s">
        <v>169</v>
      </c>
      <c r="L2822" s="102" t="str">
        <f>VLOOKUP(Anexo_4[[#This Row],[cod_doc]],TIPODOC,2,FALSE)</f>
        <v>FACTURA</v>
      </c>
      <c r="M2822" s="33" t="s">
        <v>180</v>
      </c>
      <c r="N2822" s="32" t="s">
        <v>9243</v>
      </c>
      <c r="O2822" s="48">
        <v>8.4700000000000006</v>
      </c>
      <c r="P2822" s="49" t="s">
        <v>4341</v>
      </c>
      <c r="Q2822" s="81">
        <v>1.53</v>
      </c>
      <c r="R2822" s="80" t="s">
        <v>4341</v>
      </c>
      <c r="S2822" s="48" t="s">
        <v>4341</v>
      </c>
      <c r="T2822" s="72">
        <v>10</v>
      </c>
      <c r="U2822" s="70"/>
      <c r="V2822" s="32"/>
      <c r="W2822" s="70"/>
      <c r="X2822" s="70"/>
      <c r="Y2822" s="70"/>
      <c r="Z2822" s="70"/>
      <c r="AA2822" s="71"/>
      <c r="AB2822" s="117" t="str">
        <f>IFERROR(VLOOKUP(Anexo_4[[#This Row],[cuenta]],OP,2,0),"-")</f>
        <v>-</v>
      </c>
    </row>
    <row r="2823" spans="1:28" ht="27" customHeight="1" x14ac:dyDescent="0.3">
      <c r="A2823" s="34" t="s">
        <v>7134</v>
      </c>
      <c r="B2823" s="36" t="str">
        <f t="shared" si="85"/>
        <v>Octubre</v>
      </c>
      <c r="C2823" s="33"/>
      <c r="D2823" s="33" t="s">
        <v>9244</v>
      </c>
      <c r="E2823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823" s="32" t="s">
        <v>391</v>
      </c>
      <c r="G2823" s="32" t="s">
        <v>5041</v>
      </c>
      <c r="H2823" s="139" t="s">
        <v>930</v>
      </c>
      <c r="I2823" s="33" t="s">
        <v>178</v>
      </c>
      <c r="J2823" s="143" t="s">
        <v>4667</v>
      </c>
      <c r="K2823" s="33" t="s">
        <v>169</v>
      </c>
      <c r="L2823" s="102" t="str">
        <f>VLOOKUP(Anexo_4[[#This Row],[cod_doc]],TIPODOC,2,FALSE)</f>
        <v>FACTURA</v>
      </c>
      <c r="M2823" s="33" t="s">
        <v>180</v>
      </c>
      <c r="N2823" s="32" t="s">
        <v>9245</v>
      </c>
      <c r="O2823" s="48">
        <v>8.4700000000000006</v>
      </c>
      <c r="P2823" s="49" t="s">
        <v>4341</v>
      </c>
      <c r="Q2823" s="81">
        <v>1.53</v>
      </c>
      <c r="R2823" s="80" t="s">
        <v>4341</v>
      </c>
      <c r="S2823" s="48" t="s">
        <v>4341</v>
      </c>
      <c r="T2823" s="72">
        <v>10</v>
      </c>
      <c r="U2823" s="70"/>
      <c r="V2823" s="32"/>
      <c r="W2823" s="70"/>
      <c r="X2823" s="70"/>
      <c r="Y2823" s="70"/>
      <c r="Z2823" s="70"/>
      <c r="AA2823" s="71"/>
      <c r="AB2823" s="117" t="str">
        <f>IFERROR(VLOOKUP(Anexo_4[[#This Row],[cuenta]],OP,2,0),"-")</f>
        <v>-</v>
      </c>
    </row>
    <row r="2824" spans="1:28" ht="27" customHeight="1" x14ac:dyDescent="0.3">
      <c r="A2824" s="34" t="s">
        <v>7705</v>
      </c>
      <c r="B2824" s="36" t="str">
        <f t="shared" si="85"/>
        <v>Octubre</v>
      </c>
      <c r="C2824" s="33"/>
      <c r="D2824" s="33" t="s">
        <v>9246</v>
      </c>
      <c r="E2824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824" s="32" t="s">
        <v>217</v>
      </c>
      <c r="G2824" s="32" t="s">
        <v>4839</v>
      </c>
      <c r="H2824" s="139" t="s">
        <v>1276</v>
      </c>
      <c r="I2824" s="33" t="s">
        <v>264</v>
      </c>
      <c r="J2824" s="143" t="s">
        <v>4644</v>
      </c>
      <c r="K2824" s="33" t="s">
        <v>169</v>
      </c>
      <c r="L2824" s="102" t="str">
        <f>VLOOKUP(Anexo_4[[#This Row],[cod_doc]],TIPODOC,2,FALSE)</f>
        <v>FACTURA</v>
      </c>
      <c r="M2824" s="33" t="s">
        <v>271</v>
      </c>
      <c r="N2824" s="32" t="s">
        <v>9247</v>
      </c>
      <c r="O2824" s="48">
        <v>6.78</v>
      </c>
      <c r="P2824" s="49" t="s">
        <v>4341</v>
      </c>
      <c r="Q2824" s="81">
        <v>1.22</v>
      </c>
      <c r="R2824" s="80" t="s">
        <v>4341</v>
      </c>
      <c r="S2824" s="48" t="s">
        <v>4341</v>
      </c>
      <c r="T2824" s="72">
        <v>8</v>
      </c>
      <c r="U2824" s="70"/>
      <c r="V2824" s="32"/>
      <c r="W2824" s="70"/>
      <c r="X2824" s="70"/>
      <c r="Y2824" s="70"/>
      <c r="Z2824" s="70"/>
      <c r="AA2824" s="71"/>
      <c r="AB2824" s="117" t="str">
        <f>IFERROR(VLOOKUP(Anexo_4[[#This Row],[cuenta]],OP,2,0),"-")</f>
        <v>-</v>
      </c>
    </row>
    <row r="2825" spans="1:28" ht="27" customHeight="1" x14ac:dyDescent="0.3">
      <c r="A2825" s="34" t="s">
        <v>7705</v>
      </c>
      <c r="B2825" s="36" t="str">
        <f t="shared" si="85"/>
        <v>Octubre</v>
      </c>
      <c r="C2825" s="33"/>
      <c r="D2825" s="33" t="s">
        <v>9248</v>
      </c>
      <c r="E2825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825" s="32" t="s">
        <v>391</v>
      </c>
      <c r="G2825" s="32" t="s">
        <v>5041</v>
      </c>
      <c r="H2825" s="139" t="s">
        <v>1276</v>
      </c>
      <c r="I2825" s="33" t="s">
        <v>264</v>
      </c>
      <c r="J2825" s="143" t="s">
        <v>4644</v>
      </c>
      <c r="K2825" s="33" t="s">
        <v>169</v>
      </c>
      <c r="L2825" s="102" t="str">
        <f>VLOOKUP(Anexo_4[[#This Row],[cod_doc]],TIPODOC,2,FALSE)</f>
        <v>FACTURA</v>
      </c>
      <c r="M2825" s="33" t="s">
        <v>379</v>
      </c>
      <c r="N2825" s="32" t="s">
        <v>9249</v>
      </c>
      <c r="O2825" s="48">
        <v>6.78</v>
      </c>
      <c r="P2825" s="49" t="s">
        <v>4341</v>
      </c>
      <c r="Q2825" s="81">
        <v>1.22</v>
      </c>
      <c r="R2825" s="80" t="s">
        <v>4341</v>
      </c>
      <c r="S2825" s="48" t="s">
        <v>4341</v>
      </c>
      <c r="T2825" s="72">
        <v>8</v>
      </c>
      <c r="U2825" s="70"/>
      <c r="V2825" s="32"/>
      <c r="W2825" s="70"/>
      <c r="X2825" s="70"/>
      <c r="Y2825" s="70"/>
      <c r="Z2825" s="70"/>
      <c r="AA2825" s="71"/>
      <c r="AB2825" s="117" t="str">
        <f>IFERROR(VLOOKUP(Anexo_4[[#This Row],[cuenta]],OP,2,0),"-")</f>
        <v>-</v>
      </c>
    </row>
    <row r="2826" spans="1:28" ht="27" customHeight="1" x14ac:dyDescent="0.3">
      <c r="A2826" s="34" t="s">
        <v>7134</v>
      </c>
      <c r="B2826" s="36" t="str">
        <f t="shared" si="83"/>
        <v>Octubre</v>
      </c>
      <c r="C2826" s="33"/>
      <c r="D2826" s="33" t="s">
        <v>9250</v>
      </c>
      <c r="E2826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826" s="32" t="s">
        <v>217</v>
      </c>
      <c r="G2826" s="32" t="s">
        <v>4839</v>
      </c>
      <c r="H2826" s="139" t="s">
        <v>1276</v>
      </c>
      <c r="I2826" s="33" t="s">
        <v>264</v>
      </c>
      <c r="J2826" s="143" t="s">
        <v>4644</v>
      </c>
      <c r="K2826" s="33" t="s">
        <v>169</v>
      </c>
      <c r="L2826" s="102" t="str">
        <f>VLOOKUP(Anexo_4[[#This Row],[cod_doc]],TIPODOC,2,FALSE)</f>
        <v>FACTURA</v>
      </c>
      <c r="M2826" s="33" t="s">
        <v>271</v>
      </c>
      <c r="N2826" s="32" t="s">
        <v>9251</v>
      </c>
      <c r="O2826" s="48">
        <v>6.78</v>
      </c>
      <c r="P2826" s="49" t="s">
        <v>4341</v>
      </c>
      <c r="Q2826" s="81">
        <v>1.22</v>
      </c>
      <c r="R2826" s="80" t="s">
        <v>4341</v>
      </c>
      <c r="S2826" s="48" t="s">
        <v>4341</v>
      </c>
      <c r="T2826" s="72">
        <v>8</v>
      </c>
      <c r="U2826" s="70"/>
      <c r="V2826" s="32"/>
      <c r="W2826" s="70"/>
      <c r="X2826" s="70"/>
      <c r="Y2826" s="70"/>
      <c r="Z2826" s="70"/>
      <c r="AA2826" s="71"/>
      <c r="AB2826" s="117" t="str">
        <f>IFERROR(VLOOKUP(Anexo_4[[#This Row],[cuenta]],OP,2,0),"-")</f>
        <v>-</v>
      </c>
    </row>
    <row r="2827" spans="1:28" ht="27" customHeight="1" x14ac:dyDescent="0.3">
      <c r="A2827" s="34" t="s">
        <v>7134</v>
      </c>
      <c r="B2827" s="36" t="str">
        <f t="shared" ref="B2827" si="86">PROPER(CHOOSE(LEFT(D2827,2),"enero","febrero","marzo","abril","mayo","junio","julio","agosto","setiembre","octubre","noviembre","diciembre"))</f>
        <v>Octubre</v>
      </c>
      <c r="C2827" s="33"/>
      <c r="D2827" s="33" t="s">
        <v>9252</v>
      </c>
      <c r="E2827" s="37" t="str">
        <f>IF(LEFT(Anexo_4[[#This Row],[c_costos]],2)="91","OPERACIONES",IF(LEFT(Anexo_4[[#This Row],[c_costos]],2)="97","G. FINANCIEROS",IF(LEFT(Anexo_4[[#This Row],[c_costos]],2)="95","G. VENTAS","G. ADMINISTRACIÓN")))</f>
        <v>OPERACIONES</v>
      </c>
      <c r="F2827" s="32" t="s">
        <v>217</v>
      </c>
      <c r="G2827" s="32" t="s">
        <v>4839</v>
      </c>
      <c r="H2827" s="139" t="s">
        <v>1276</v>
      </c>
      <c r="I2827" s="33" t="s">
        <v>264</v>
      </c>
      <c r="J2827" s="143" t="s">
        <v>4644</v>
      </c>
      <c r="K2827" s="33" t="s">
        <v>169</v>
      </c>
      <c r="L2827" s="102" t="str">
        <f>VLOOKUP(Anexo_4[[#This Row],[cod_doc]],TIPODOC,2,FALSE)</f>
        <v>FACTURA</v>
      </c>
      <c r="M2827" s="33" t="s">
        <v>352</v>
      </c>
      <c r="N2827" s="32" t="s">
        <v>9253</v>
      </c>
      <c r="O2827" s="48">
        <v>6.78</v>
      </c>
      <c r="P2827" s="49" t="s">
        <v>4341</v>
      </c>
      <c r="Q2827" s="81">
        <v>1.22</v>
      </c>
      <c r="R2827" s="80" t="s">
        <v>4341</v>
      </c>
      <c r="S2827" s="48" t="s">
        <v>4341</v>
      </c>
      <c r="T2827" s="72">
        <v>8</v>
      </c>
      <c r="U2827" s="70"/>
      <c r="V2827" s="32"/>
      <c r="W2827" s="70"/>
      <c r="X2827" s="70"/>
      <c r="Y2827" s="70"/>
      <c r="Z2827" s="70"/>
      <c r="AA2827" s="71"/>
      <c r="AB2827" s="117" t="str">
        <f>IFERROR(VLOOKUP(Anexo_4[[#This Row],[cuenta]],OP,2,0),"-")</f>
        <v>-</v>
      </c>
    </row>
    <row r="2828" spans="1:28" ht="27" customHeight="1" x14ac:dyDescent="0.25">
      <c r="A2828" s="29"/>
      <c r="B2828" s="29"/>
      <c r="C2828" s="29"/>
      <c r="D2828" s="29"/>
      <c r="E2828" s="29"/>
      <c r="F2828" s="29"/>
      <c r="G2828" s="29"/>
      <c r="H2828" s="141"/>
      <c r="I2828" s="30"/>
      <c r="J2828" s="145"/>
      <c r="K2828" s="31"/>
      <c r="L2828" s="31"/>
      <c r="M2828" s="31"/>
      <c r="N2828" s="29" t="s">
        <v>9254</v>
      </c>
      <c r="O2828" s="45">
        <f>SUBTOTAL(109,Anexo_4[base_imponible_18])</f>
        <v>826775.86000000266</v>
      </c>
      <c r="P2828" s="45">
        <f>SUBTOTAL(109,Anexo_4[base_imponible_10])</f>
        <v>4437.9100000000008</v>
      </c>
      <c r="Q2828" s="45">
        <f>SUBTOTAL(109,Anexo_4[igv_18])</f>
        <v>148821.66580000019</v>
      </c>
      <c r="R2828" s="45">
        <f>SUBTOTAL(109,Anexo_4[igv_10])</f>
        <v>443.79</v>
      </c>
      <c r="S2828" s="45">
        <f>SUBTOTAL(109,Anexo_4[base_no_grabada])</f>
        <v>12107.139999999998</v>
      </c>
      <c r="T2828" s="45">
        <f>SUBTOTAL(109,Anexo_4[total])</f>
        <v>1075337.3564000016</v>
      </c>
      <c r="U2828" s="51"/>
      <c r="V2828" s="51"/>
      <c r="W2828" s="64"/>
      <c r="X2828" s="64"/>
      <c r="Y2828" s="64"/>
      <c r="Z2828" s="64"/>
      <c r="AA2828" s="64"/>
      <c r="AB2828" s="64"/>
    </row>
    <row r="2829" spans="1:28" ht="27" customHeight="1" x14ac:dyDescent="0.3">
      <c r="A2829" s="39"/>
      <c r="B2829" s="39"/>
      <c r="C2829" s="39"/>
      <c r="D2829" s="39" t="s">
        <v>9255</v>
      </c>
      <c r="E2829" s="39" t="s">
        <v>9256</v>
      </c>
      <c r="F2829" s="39" t="s">
        <v>9257</v>
      </c>
      <c r="G2829" s="39"/>
      <c r="H2829" s="114"/>
      <c r="I2829" s="39"/>
      <c r="J2829" s="114"/>
      <c r="K2829" s="39"/>
      <c r="L2829" s="39"/>
      <c r="M2829" s="39"/>
      <c r="N2829" s="39"/>
      <c r="O2829" s="39"/>
      <c r="P2829" s="39"/>
      <c r="Q2829" s="39"/>
      <c r="R2829" s="39"/>
      <c r="S2829" s="39"/>
      <c r="T2829" s="39"/>
      <c r="U2829" s="38"/>
      <c r="V2829" s="38"/>
      <c r="W2829" s="38"/>
      <c r="X2829" s="38"/>
      <c r="Y2829" s="38"/>
      <c r="Z2829" s="38"/>
      <c r="AA2829" s="38"/>
      <c r="AB2829" s="38"/>
    </row>
    <row r="2830" spans="1:28" s="54" customFormat="1" ht="27" customHeight="1" x14ac:dyDescent="0.3">
      <c r="A2830" s="39"/>
      <c r="B2830" s="39"/>
      <c r="C2830" s="39"/>
      <c r="D2830" s="39"/>
      <c r="E2830" s="39"/>
      <c r="F2830" s="39"/>
      <c r="G2830" s="39"/>
      <c r="H2830" s="114"/>
      <c r="I2830" s="39"/>
      <c r="J2830" s="114"/>
      <c r="K2830" s="39"/>
      <c r="L2830" s="39"/>
      <c r="M2830" s="89"/>
      <c r="N2830" s="89"/>
      <c r="O2830" s="89"/>
      <c r="P2830" s="89"/>
      <c r="Q2830" s="89"/>
      <c r="R2830" s="89"/>
      <c r="S2830" s="89"/>
      <c r="T2830" s="89"/>
    </row>
    <row r="2831" spans="1:28" s="54" customFormat="1" ht="27" customHeight="1" x14ac:dyDescent="0.2">
      <c r="A2831" s="113" t="s">
        <v>256</v>
      </c>
      <c r="B2831" s="114" t="s">
        <v>80</v>
      </c>
      <c r="C2831" s="114"/>
      <c r="D2831" s="114"/>
      <c r="E2831" s="39"/>
      <c r="F2831" s="39"/>
      <c r="G2831" s="115" t="s">
        <v>4563</v>
      </c>
      <c r="H2831" s="142" t="s">
        <v>9258</v>
      </c>
      <c r="I2831" s="38"/>
      <c r="J2831" s="146" t="s">
        <v>9259</v>
      </c>
      <c r="K2831" s="39" t="s">
        <v>9260</v>
      </c>
      <c r="L2831" s="39"/>
      <c r="M2831" s="89"/>
      <c r="N2831" s="89"/>
      <c r="O2831" s="89"/>
      <c r="P2831" s="89"/>
      <c r="Q2831" s="89"/>
      <c r="R2831" s="89"/>
      <c r="S2831" s="89"/>
      <c r="T2831" s="89"/>
    </row>
    <row r="2832" spans="1:28" s="54" customFormat="1" x14ac:dyDescent="0.2">
      <c r="A2832" s="113" t="s">
        <v>893</v>
      </c>
      <c r="B2832" s="114" t="s">
        <v>94</v>
      </c>
      <c r="C2832" s="114"/>
      <c r="D2832" s="114" t="s">
        <v>94</v>
      </c>
      <c r="E2832" s="39"/>
      <c r="F2832" s="39"/>
      <c r="G2832" s="115" t="s">
        <v>4560</v>
      </c>
      <c r="H2832" s="142" t="s">
        <v>115</v>
      </c>
      <c r="I2832" s="38"/>
      <c r="J2832" s="146" t="s">
        <v>169</v>
      </c>
      <c r="K2832" s="39" t="s">
        <v>9261</v>
      </c>
      <c r="L2832" s="39"/>
      <c r="M2832" s="89"/>
      <c r="N2832" s="89"/>
      <c r="O2832" s="89"/>
      <c r="P2832" s="89"/>
      <c r="Q2832" s="89"/>
      <c r="R2832" s="90"/>
      <c r="S2832" s="89"/>
      <c r="T2832" s="89"/>
    </row>
    <row r="2833" spans="1:20" s="54" customFormat="1" x14ac:dyDescent="0.2">
      <c r="A2833" s="113" t="s">
        <v>468</v>
      </c>
      <c r="B2833" s="114" t="s">
        <v>83</v>
      </c>
      <c r="C2833" s="114"/>
      <c r="D2833" s="113"/>
      <c r="E2833" s="114" t="s">
        <v>83</v>
      </c>
      <c r="F2833" s="39"/>
      <c r="G2833" s="115" t="s">
        <v>9262</v>
      </c>
      <c r="H2833" s="142" t="s">
        <v>116</v>
      </c>
      <c r="I2833" s="38"/>
      <c r="J2833" s="146" t="s">
        <v>9263</v>
      </c>
      <c r="K2833" s="39" t="s">
        <v>9264</v>
      </c>
      <c r="L2833" s="39"/>
      <c r="M2833" s="89"/>
      <c r="N2833" s="89"/>
      <c r="O2833" s="89"/>
      <c r="P2833" s="89"/>
      <c r="Q2833" s="89"/>
      <c r="R2833" s="89"/>
      <c r="S2833" s="89"/>
      <c r="T2833" s="89"/>
    </row>
    <row r="2834" spans="1:20" s="54" customFormat="1" x14ac:dyDescent="0.2">
      <c r="A2834" s="113" t="s">
        <v>779</v>
      </c>
      <c r="B2834" s="114" t="s">
        <v>127</v>
      </c>
      <c r="C2834" s="114"/>
      <c r="D2834" s="113"/>
      <c r="E2834" s="39"/>
      <c r="F2834" s="114" t="s">
        <v>127</v>
      </c>
      <c r="G2834" s="115" t="s">
        <v>9265</v>
      </c>
      <c r="H2834" s="142" t="s">
        <v>117</v>
      </c>
      <c r="I2834" s="38"/>
      <c r="J2834" s="146" t="s">
        <v>239</v>
      </c>
      <c r="K2834" s="39" t="s">
        <v>9266</v>
      </c>
      <c r="L2834" s="39"/>
      <c r="M2834" s="89"/>
      <c r="N2834" s="89"/>
      <c r="O2834" s="89"/>
      <c r="P2834" s="89"/>
      <c r="Q2834" s="89"/>
      <c r="R2834" s="90"/>
      <c r="S2834" s="89"/>
      <c r="T2834" s="89"/>
    </row>
    <row r="2835" spans="1:20" s="54" customFormat="1" x14ac:dyDescent="0.2">
      <c r="A2835" s="113" t="s">
        <v>4386</v>
      </c>
      <c r="B2835" s="114" t="s">
        <v>128</v>
      </c>
      <c r="C2835" s="113"/>
      <c r="D2835" s="113"/>
      <c r="E2835" s="39"/>
      <c r="F2835" s="114" t="s">
        <v>128</v>
      </c>
      <c r="G2835" s="115" t="s">
        <v>9267</v>
      </c>
      <c r="H2835" s="142" t="s">
        <v>118</v>
      </c>
      <c r="I2835" s="38"/>
      <c r="J2835" s="146" t="s">
        <v>1896</v>
      </c>
      <c r="K2835" s="39" t="s">
        <v>9268</v>
      </c>
      <c r="L2835" s="39"/>
      <c r="M2835" s="89"/>
      <c r="N2835" s="89"/>
      <c r="O2835" s="89"/>
      <c r="P2835" s="89"/>
      <c r="Q2835" s="89"/>
      <c r="R2835" s="89"/>
      <c r="S2835" s="89"/>
      <c r="T2835" s="89"/>
    </row>
    <row r="2836" spans="1:20" s="54" customFormat="1" x14ac:dyDescent="0.2">
      <c r="A2836" s="113" t="s">
        <v>302</v>
      </c>
      <c r="B2836" s="114" t="s">
        <v>95</v>
      </c>
      <c r="C2836" s="113"/>
      <c r="D2836" s="114" t="s">
        <v>95</v>
      </c>
      <c r="E2836" s="39"/>
      <c r="F2836" s="39"/>
      <c r="G2836" s="115" t="s">
        <v>9269</v>
      </c>
      <c r="H2836" s="142" t="s">
        <v>119</v>
      </c>
      <c r="I2836" s="38"/>
      <c r="J2836" s="146" t="s">
        <v>334</v>
      </c>
      <c r="K2836" s="39" t="s">
        <v>9270</v>
      </c>
      <c r="L2836" s="39"/>
      <c r="M2836" s="89"/>
      <c r="N2836" s="89"/>
      <c r="O2836" s="89"/>
      <c r="P2836" s="89"/>
      <c r="Q2836" s="89"/>
      <c r="R2836" s="89"/>
      <c r="S2836" s="89"/>
      <c r="T2836" s="89"/>
    </row>
    <row r="2837" spans="1:20" s="54" customFormat="1" x14ac:dyDescent="0.2">
      <c r="A2837" s="113" t="s">
        <v>268</v>
      </c>
      <c r="B2837" s="114" t="s">
        <v>84</v>
      </c>
      <c r="C2837" s="113"/>
      <c r="D2837" s="113"/>
      <c r="E2837" s="114" t="s">
        <v>84</v>
      </c>
      <c r="F2837" s="39"/>
      <c r="G2837" s="115" t="s">
        <v>9271</v>
      </c>
      <c r="H2837" s="142" t="s">
        <v>9272</v>
      </c>
      <c r="I2837" s="38"/>
      <c r="J2837" s="146" t="s">
        <v>439</v>
      </c>
      <c r="K2837" s="39" t="s">
        <v>9273</v>
      </c>
      <c r="L2837" s="39"/>
      <c r="M2837" s="89"/>
      <c r="N2837" s="89"/>
      <c r="O2837" s="89"/>
      <c r="P2837" s="89"/>
      <c r="Q2837" s="89"/>
      <c r="R2837" s="89"/>
      <c r="S2837" s="89"/>
      <c r="T2837" s="89"/>
    </row>
    <row r="2838" spans="1:20" s="54" customFormat="1" x14ac:dyDescent="0.2">
      <c r="A2838" s="113" t="s">
        <v>3128</v>
      </c>
      <c r="B2838" s="114" t="s">
        <v>129</v>
      </c>
      <c r="C2838" s="113"/>
      <c r="D2838" s="113"/>
      <c r="E2838" s="39"/>
      <c r="F2838" s="114" t="s">
        <v>129</v>
      </c>
      <c r="G2838" s="115" t="s">
        <v>9274</v>
      </c>
      <c r="H2838" s="142" t="s">
        <v>9275</v>
      </c>
      <c r="I2838" s="38"/>
      <c r="J2838" s="146" t="s">
        <v>9276</v>
      </c>
      <c r="K2838" s="39" t="s">
        <v>9277</v>
      </c>
      <c r="L2838" s="39"/>
      <c r="M2838" s="89"/>
      <c r="N2838" s="89"/>
      <c r="O2838" s="89"/>
      <c r="P2838" s="89"/>
      <c r="Q2838" s="89"/>
      <c r="R2838" s="89"/>
      <c r="S2838" s="89"/>
      <c r="T2838" s="89"/>
    </row>
    <row r="2839" spans="1:20" s="54" customFormat="1" x14ac:dyDescent="0.2">
      <c r="A2839" s="113" t="s">
        <v>507</v>
      </c>
      <c r="B2839" s="114" t="s">
        <v>130</v>
      </c>
      <c r="C2839" s="113"/>
      <c r="D2839" s="113"/>
      <c r="E2839" s="39"/>
      <c r="F2839" s="114" t="s">
        <v>130</v>
      </c>
      <c r="G2839" s="115" t="s">
        <v>9278</v>
      </c>
      <c r="H2839" s="142" t="s">
        <v>122</v>
      </c>
      <c r="I2839" s="38"/>
      <c r="J2839" s="146" t="s">
        <v>9279</v>
      </c>
      <c r="K2839" s="39" t="s">
        <v>9280</v>
      </c>
      <c r="L2839" s="39"/>
      <c r="M2839" s="89"/>
      <c r="N2839" s="89"/>
      <c r="O2839" s="89"/>
      <c r="P2839" s="89"/>
      <c r="Q2839" s="89"/>
      <c r="R2839" s="89"/>
      <c r="S2839" s="89"/>
      <c r="T2839" s="89"/>
    </row>
    <row r="2840" spans="1:20" s="54" customFormat="1" x14ac:dyDescent="0.2">
      <c r="A2840" s="113" t="s">
        <v>386</v>
      </c>
      <c r="B2840" s="114" t="s">
        <v>96</v>
      </c>
      <c r="C2840" s="113"/>
      <c r="D2840" s="114" t="s">
        <v>96</v>
      </c>
      <c r="E2840" s="39"/>
      <c r="F2840" s="39"/>
      <c r="G2840" s="115" t="s">
        <v>9281</v>
      </c>
      <c r="H2840" s="142" t="s">
        <v>123</v>
      </c>
      <c r="I2840" s="38"/>
      <c r="J2840" s="114"/>
      <c r="K2840" s="39"/>
      <c r="L2840" s="39"/>
      <c r="M2840" s="89"/>
      <c r="N2840" s="89"/>
      <c r="O2840" s="89"/>
      <c r="P2840" s="89"/>
      <c r="Q2840" s="89"/>
      <c r="R2840" s="89"/>
      <c r="S2840" s="89"/>
      <c r="T2840" s="89"/>
    </row>
    <row r="2841" spans="1:20" s="54" customFormat="1" x14ac:dyDescent="0.2">
      <c r="A2841" s="113" t="s">
        <v>182</v>
      </c>
      <c r="B2841" s="114" t="s">
        <v>85</v>
      </c>
      <c r="C2841" s="113"/>
      <c r="D2841" s="113"/>
      <c r="E2841" s="114" t="s">
        <v>85</v>
      </c>
      <c r="F2841" s="39"/>
      <c r="G2841" s="115" t="s">
        <v>248</v>
      </c>
      <c r="H2841" s="142" t="s">
        <v>249</v>
      </c>
      <c r="I2841" s="38"/>
      <c r="J2841" s="114"/>
      <c r="K2841" s="39"/>
      <c r="L2841" s="39"/>
      <c r="M2841" s="89"/>
      <c r="N2841" s="89"/>
      <c r="O2841" s="89"/>
      <c r="P2841" s="89"/>
      <c r="Q2841" s="89"/>
      <c r="R2841" s="89"/>
      <c r="S2841" s="89"/>
      <c r="T2841" s="89"/>
    </row>
    <row r="2842" spans="1:20" s="54" customFormat="1" x14ac:dyDescent="0.2">
      <c r="A2842" s="113" t="s">
        <v>196</v>
      </c>
      <c r="B2842" s="114" t="s">
        <v>131</v>
      </c>
      <c r="C2842" s="113"/>
      <c r="D2842" s="113"/>
      <c r="E2842" s="39"/>
      <c r="F2842" s="114" t="s">
        <v>131</v>
      </c>
      <c r="G2842" s="115" t="s">
        <v>355</v>
      </c>
      <c r="H2842" s="142" t="s">
        <v>356</v>
      </c>
      <c r="I2842" s="38"/>
      <c r="J2842" s="114"/>
      <c r="K2842" s="39"/>
      <c r="L2842" s="39"/>
      <c r="M2842" s="89"/>
      <c r="N2842" s="89"/>
      <c r="O2842" s="89"/>
      <c r="P2842" s="89"/>
      <c r="Q2842" s="89"/>
      <c r="R2842" s="89"/>
      <c r="S2842" s="89"/>
      <c r="T2842" s="89"/>
    </row>
    <row r="2843" spans="1:20" s="54" customFormat="1" x14ac:dyDescent="0.2">
      <c r="A2843" s="113" t="s">
        <v>376</v>
      </c>
      <c r="B2843" s="114" t="s">
        <v>132</v>
      </c>
      <c r="C2843" s="113"/>
      <c r="D2843" s="113"/>
      <c r="E2843" s="39"/>
      <c r="F2843" s="114" t="s">
        <v>132</v>
      </c>
      <c r="G2843" s="115" t="s">
        <v>175</v>
      </c>
      <c r="H2843" s="142" t="s">
        <v>5168</v>
      </c>
      <c r="I2843" s="38"/>
      <c r="J2843" s="114"/>
      <c r="K2843" s="39"/>
      <c r="L2843" s="39"/>
      <c r="M2843" s="89"/>
      <c r="N2843" s="89"/>
      <c r="O2843" s="89"/>
      <c r="P2843" s="89"/>
      <c r="Q2843" s="89"/>
      <c r="R2843" s="89"/>
      <c r="S2843" s="89"/>
      <c r="T2843" s="89"/>
    </row>
    <row r="2844" spans="1:20" s="54" customFormat="1" x14ac:dyDescent="0.2">
      <c r="A2844" s="113" t="s">
        <v>361</v>
      </c>
      <c r="B2844" s="114" t="s">
        <v>133</v>
      </c>
      <c r="C2844" s="114"/>
      <c r="D2844" s="113"/>
      <c r="E2844" s="39"/>
      <c r="F2844" s="114" t="s">
        <v>133</v>
      </c>
      <c r="G2844" s="115" t="s">
        <v>391</v>
      </c>
      <c r="H2844" s="142" t="s">
        <v>5041</v>
      </c>
      <c r="I2844" s="38"/>
      <c r="J2844" s="114"/>
      <c r="K2844" s="39"/>
      <c r="L2844" s="39"/>
      <c r="M2844" s="89"/>
      <c r="N2844" s="89"/>
      <c r="O2844" s="89"/>
      <c r="P2844" s="89"/>
      <c r="Q2844" s="89"/>
      <c r="R2844" s="89"/>
      <c r="S2844" s="89"/>
      <c r="T2844" s="89"/>
    </row>
    <row r="2845" spans="1:20" s="54" customFormat="1" x14ac:dyDescent="0.2">
      <c r="A2845" s="113" t="s">
        <v>2488</v>
      </c>
      <c r="B2845" s="114" t="s">
        <v>135</v>
      </c>
      <c r="C2845" s="114"/>
      <c r="D2845" s="113"/>
      <c r="E2845" s="39"/>
      <c r="F2845" s="114" t="s">
        <v>135</v>
      </c>
      <c r="G2845" s="115" t="s">
        <v>217</v>
      </c>
      <c r="H2845" s="142" t="s">
        <v>4839</v>
      </c>
      <c r="I2845" s="38"/>
      <c r="J2845" s="114"/>
      <c r="K2845" s="39"/>
      <c r="L2845" s="39"/>
      <c r="M2845" s="89"/>
      <c r="N2845" s="89"/>
      <c r="O2845" s="89"/>
      <c r="P2845" s="89"/>
      <c r="Q2845" s="89"/>
      <c r="R2845" s="89"/>
      <c r="S2845" s="89"/>
      <c r="T2845" s="89"/>
    </row>
    <row r="2846" spans="1:20" s="54" customFormat="1" x14ac:dyDescent="0.2">
      <c r="A2846" s="113" t="s">
        <v>229</v>
      </c>
      <c r="B2846" s="114" t="s">
        <v>136</v>
      </c>
      <c r="C2846" s="114"/>
      <c r="D2846" s="113"/>
      <c r="E2846" s="39"/>
      <c r="F2846" s="114" t="s">
        <v>136</v>
      </c>
      <c r="G2846" s="115" t="s">
        <v>449</v>
      </c>
      <c r="H2846" s="142" t="s">
        <v>4868</v>
      </c>
      <c r="I2846" s="38"/>
      <c r="J2846" s="114"/>
      <c r="K2846" s="39"/>
      <c r="L2846" s="39"/>
      <c r="M2846" s="89"/>
      <c r="N2846" s="89"/>
      <c r="O2846" s="89"/>
      <c r="P2846" s="89"/>
      <c r="Q2846" s="89"/>
      <c r="R2846" s="89"/>
      <c r="S2846" s="89"/>
      <c r="T2846" s="89"/>
    </row>
    <row r="2847" spans="1:20" s="54" customFormat="1" x14ac:dyDescent="0.2">
      <c r="A2847" s="113" t="s">
        <v>241</v>
      </c>
      <c r="B2847" s="114" t="s">
        <v>137</v>
      </c>
      <c r="C2847" s="114"/>
      <c r="D2847" s="113"/>
      <c r="E2847" s="39"/>
      <c r="F2847" s="114" t="s">
        <v>137</v>
      </c>
      <c r="G2847" s="115" t="s">
        <v>9282</v>
      </c>
      <c r="H2847" s="142" t="s">
        <v>9283</v>
      </c>
      <c r="I2847" s="38"/>
      <c r="J2847" s="114"/>
      <c r="K2847" s="39"/>
      <c r="L2847" s="39"/>
      <c r="M2847" s="89"/>
      <c r="N2847" s="89"/>
      <c r="O2847" s="89"/>
      <c r="P2847" s="89"/>
      <c r="Q2847" s="89"/>
      <c r="R2847" s="89"/>
      <c r="S2847" s="89"/>
      <c r="T2847" s="89"/>
    </row>
    <row r="2848" spans="1:20" s="54" customFormat="1" x14ac:dyDescent="0.2">
      <c r="A2848" s="113" t="s">
        <v>223</v>
      </c>
      <c r="B2848" s="114" t="s">
        <v>138</v>
      </c>
      <c r="C2848" s="114"/>
      <c r="D2848" s="113"/>
      <c r="E2848" s="39"/>
      <c r="F2848" s="114" t="s">
        <v>138</v>
      </c>
      <c r="G2848" s="115" t="s">
        <v>456</v>
      </c>
      <c r="H2848" s="142" t="s">
        <v>4911</v>
      </c>
      <c r="I2848" s="38"/>
      <c r="J2848" s="114"/>
      <c r="K2848" s="39"/>
      <c r="L2848" s="39"/>
      <c r="M2848" s="89"/>
      <c r="N2848" s="89"/>
      <c r="O2848" s="89"/>
      <c r="P2848" s="89"/>
      <c r="Q2848" s="89"/>
      <c r="R2848" s="89"/>
      <c r="S2848" s="89"/>
      <c r="T2848" s="89"/>
    </row>
    <row r="2849" spans="1:20" s="54" customFormat="1" x14ac:dyDescent="0.2">
      <c r="A2849" s="113" t="s">
        <v>710</v>
      </c>
      <c r="B2849" s="114" t="s">
        <v>139</v>
      </c>
      <c r="C2849" s="114"/>
      <c r="D2849" s="113"/>
      <c r="E2849" s="39"/>
      <c r="F2849" s="114" t="s">
        <v>139</v>
      </c>
      <c r="G2849" s="115" t="s">
        <v>235</v>
      </c>
      <c r="H2849" s="142" t="s">
        <v>5051</v>
      </c>
      <c r="I2849" s="38"/>
      <c r="J2849" s="114"/>
      <c r="K2849" s="39"/>
      <c r="L2849" s="39"/>
      <c r="M2849" s="89"/>
      <c r="N2849" s="89"/>
      <c r="O2849" s="89"/>
      <c r="P2849" s="89"/>
      <c r="Q2849" s="89"/>
      <c r="R2849" s="89"/>
      <c r="S2849" s="89"/>
      <c r="T2849" s="89"/>
    </row>
    <row r="2850" spans="1:20" s="54" customFormat="1" x14ac:dyDescent="0.2">
      <c r="A2850" s="113" t="s">
        <v>9284</v>
      </c>
      <c r="B2850" s="114" t="s">
        <v>140</v>
      </c>
      <c r="C2850" s="114"/>
      <c r="D2850" s="113"/>
      <c r="E2850" s="39"/>
      <c r="F2850" s="114" t="s">
        <v>140</v>
      </c>
      <c r="G2850" s="115" t="s">
        <v>592</v>
      </c>
      <c r="H2850" s="142" t="s">
        <v>593</v>
      </c>
      <c r="I2850" s="38"/>
      <c r="J2850" s="114"/>
      <c r="K2850" s="39"/>
      <c r="L2850" s="39"/>
      <c r="M2850" s="89"/>
      <c r="N2850" s="89"/>
      <c r="O2850" s="89"/>
      <c r="P2850" s="89"/>
      <c r="Q2850" s="89"/>
      <c r="R2850" s="89"/>
      <c r="S2850" s="89"/>
      <c r="T2850" s="89"/>
    </row>
    <row r="2851" spans="1:20" s="54" customFormat="1" x14ac:dyDescent="0.2">
      <c r="A2851" s="113" t="s">
        <v>597</v>
      </c>
      <c r="B2851" s="114" t="s">
        <v>141</v>
      </c>
      <c r="C2851" s="114"/>
      <c r="D2851" s="113"/>
      <c r="E2851" s="39"/>
      <c r="F2851" s="114" t="s">
        <v>141</v>
      </c>
      <c r="G2851" s="115" t="s">
        <v>9285</v>
      </c>
      <c r="H2851" s="142" t="s">
        <v>9286</v>
      </c>
      <c r="I2851" s="38"/>
      <c r="J2851" s="114"/>
      <c r="K2851" s="39"/>
      <c r="L2851" s="39"/>
      <c r="M2851" s="89"/>
      <c r="N2851" s="89"/>
      <c r="O2851" s="89"/>
      <c r="P2851" s="89"/>
      <c r="Q2851" s="89"/>
      <c r="R2851" s="89"/>
      <c r="S2851" s="89"/>
      <c r="T2851" s="89"/>
    </row>
    <row r="2852" spans="1:20" s="54" customFormat="1" x14ac:dyDescent="0.2">
      <c r="A2852" s="113" t="s">
        <v>9287</v>
      </c>
      <c r="B2852" s="114" t="s">
        <v>143</v>
      </c>
      <c r="C2852" s="114"/>
      <c r="D2852" s="113"/>
      <c r="E2852" s="39"/>
      <c r="F2852" s="114" t="s">
        <v>143</v>
      </c>
      <c r="G2852" s="115" t="s">
        <v>458</v>
      </c>
      <c r="H2852" s="142" t="s">
        <v>5366</v>
      </c>
      <c r="I2852" s="38"/>
      <c r="J2852" s="114"/>
      <c r="K2852" s="39"/>
      <c r="L2852" s="39"/>
      <c r="M2852" s="89"/>
      <c r="N2852" s="89"/>
      <c r="O2852" s="89"/>
      <c r="P2852" s="89"/>
      <c r="Q2852" s="89"/>
      <c r="R2852" s="89"/>
      <c r="S2852" s="89"/>
      <c r="T2852" s="89"/>
    </row>
    <row r="2853" spans="1:20" s="54" customFormat="1" x14ac:dyDescent="0.2">
      <c r="A2853" s="113" t="s">
        <v>1376</v>
      </c>
      <c r="B2853" s="114" t="s">
        <v>144</v>
      </c>
      <c r="C2853" s="114"/>
      <c r="D2853" s="113"/>
      <c r="E2853" s="39"/>
      <c r="F2853" s="114" t="s">
        <v>144</v>
      </c>
      <c r="G2853" s="115" t="s">
        <v>418</v>
      </c>
      <c r="H2853" s="142" t="s">
        <v>419</v>
      </c>
      <c r="I2853" s="38"/>
      <c r="J2853" s="114"/>
      <c r="K2853" s="39"/>
      <c r="L2853" s="39"/>
      <c r="M2853" s="89"/>
      <c r="N2853" s="89"/>
      <c r="O2853" s="89"/>
      <c r="P2853" s="89"/>
      <c r="Q2853" s="89"/>
      <c r="R2853" s="89"/>
      <c r="S2853" s="89"/>
      <c r="T2853" s="89"/>
    </row>
    <row r="2854" spans="1:20" s="54" customFormat="1" x14ac:dyDescent="0.3">
      <c r="A2854" s="113" t="s">
        <v>1998</v>
      </c>
      <c r="B2854" s="114" t="s">
        <v>145</v>
      </c>
      <c r="C2854" s="114"/>
      <c r="D2854" s="113"/>
      <c r="E2854" s="39"/>
      <c r="F2854" s="114" t="s">
        <v>145</v>
      </c>
      <c r="G2854" s="39"/>
      <c r="H2854" s="114"/>
      <c r="I2854" s="38"/>
      <c r="J2854" s="114"/>
      <c r="K2854" s="39"/>
      <c r="L2854" s="39"/>
      <c r="M2854" s="89"/>
      <c r="N2854" s="89"/>
      <c r="O2854" s="89"/>
      <c r="P2854" s="89"/>
      <c r="Q2854" s="89"/>
      <c r="R2854" s="89"/>
      <c r="S2854" s="89"/>
      <c r="T2854" s="89"/>
    </row>
    <row r="2855" spans="1:20" s="54" customFormat="1" x14ac:dyDescent="0.3">
      <c r="A2855" s="113" t="s">
        <v>645</v>
      </c>
      <c r="B2855" s="114" t="s">
        <v>97</v>
      </c>
      <c r="C2855" s="114"/>
      <c r="D2855" s="114" t="s">
        <v>97</v>
      </c>
      <c r="E2855" s="39"/>
      <c r="F2855" s="39"/>
      <c r="G2855" s="39"/>
      <c r="H2855" s="114"/>
      <c r="I2855" s="38"/>
      <c r="J2855" s="114"/>
      <c r="K2855" s="39"/>
      <c r="L2855" s="39"/>
      <c r="M2855" s="89"/>
      <c r="N2855" s="89"/>
      <c r="O2855" s="89"/>
      <c r="P2855" s="89"/>
      <c r="Q2855" s="89"/>
      <c r="R2855" s="89"/>
      <c r="S2855" s="89"/>
      <c r="T2855" s="89"/>
    </row>
    <row r="2856" spans="1:20" s="54" customFormat="1" x14ac:dyDescent="0.3">
      <c r="A2856" s="113" t="s">
        <v>9288</v>
      </c>
      <c r="B2856" s="114" t="s">
        <v>98</v>
      </c>
      <c r="C2856" s="114"/>
      <c r="D2856" s="114" t="s">
        <v>98</v>
      </c>
      <c r="E2856" s="39"/>
      <c r="F2856" s="39"/>
      <c r="G2856" s="39"/>
      <c r="H2856" s="114"/>
      <c r="I2856" s="38"/>
      <c r="J2856" s="114"/>
      <c r="K2856" s="39"/>
      <c r="L2856" s="39"/>
      <c r="M2856" s="89"/>
      <c r="N2856" s="89"/>
      <c r="O2856" s="89"/>
      <c r="P2856" s="89"/>
      <c r="Q2856" s="89"/>
      <c r="R2856" s="89"/>
      <c r="S2856" s="89"/>
      <c r="T2856" s="89"/>
    </row>
    <row r="2857" spans="1:20" s="54" customFormat="1" x14ac:dyDescent="0.3">
      <c r="A2857" s="113" t="s">
        <v>648</v>
      </c>
      <c r="B2857" s="114" t="s">
        <v>86</v>
      </c>
      <c r="C2857" s="114"/>
      <c r="D2857" s="113"/>
      <c r="E2857" s="114" t="s">
        <v>86</v>
      </c>
      <c r="F2857" s="39"/>
      <c r="G2857" s="39"/>
      <c r="H2857" s="114"/>
      <c r="I2857" s="38"/>
      <c r="J2857" s="114"/>
      <c r="K2857" s="39"/>
      <c r="L2857" s="39"/>
      <c r="M2857" s="89"/>
      <c r="N2857" s="89"/>
      <c r="O2857" s="89"/>
      <c r="P2857" s="89"/>
      <c r="Q2857" s="89"/>
      <c r="R2857" s="89"/>
      <c r="S2857" s="89"/>
      <c r="T2857" s="89"/>
    </row>
    <row r="2858" spans="1:20" s="54" customFormat="1" x14ac:dyDescent="0.3">
      <c r="A2858" s="113" t="s">
        <v>9289</v>
      </c>
      <c r="B2858" s="114" t="s">
        <v>146</v>
      </c>
      <c r="C2858" s="114"/>
      <c r="D2858" s="113"/>
      <c r="E2858" s="39"/>
      <c r="F2858" s="114" t="s">
        <v>146</v>
      </c>
      <c r="G2858" s="39"/>
      <c r="H2858" s="114"/>
      <c r="I2858" s="38"/>
      <c r="J2858" s="114"/>
      <c r="K2858" s="39"/>
      <c r="L2858" s="39"/>
      <c r="M2858" s="89"/>
      <c r="N2858" s="89"/>
      <c r="O2858" s="89"/>
      <c r="P2858" s="89"/>
      <c r="Q2858" s="89"/>
      <c r="R2858" s="89"/>
      <c r="S2858" s="89"/>
      <c r="T2858" s="89"/>
    </row>
    <row r="2859" spans="1:20" s="54" customFormat="1" x14ac:dyDescent="0.3">
      <c r="A2859" s="113" t="s">
        <v>1689</v>
      </c>
      <c r="B2859" s="114" t="s">
        <v>147</v>
      </c>
      <c r="C2859" s="114"/>
      <c r="D2859" s="113"/>
      <c r="E2859" s="39"/>
      <c r="F2859" s="114" t="s">
        <v>147</v>
      </c>
      <c r="G2859" s="39"/>
      <c r="H2859" s="114"/>
      <c r="I2859" s="38"/>
      <c r="J2859" s="114"/>
      <c r="K2859" s="39"/>
      <c r="L2859" s="39"/>
      <c r="M2859" s="89"/>
      <c r="N2859" s="89"/>
      <c r="O2859" s="89"/>
      <c r="P2859" s="89"/>
      <c r="Q2859" s="89"/>
      <c r="R2859" s="89"/>
      <c r="S2859" s="89"/>
      <c r="T2859" s="89"/>
    </row>
    <row r="2860" spans="1:20" s="54" customFormat="1" x14ac:dyDescent="0.3">
      <c r="A2860" s="113" t="s">
        <v>9290</v>
      </c>
      <c r="B2860" s="114" t="s">
        <v>148</v>
      </c>
      <c r="C2860" s="114"/>
      <c r="D2860" s="113"/>
      <c r="E2860" s="39"/>
      <c r="F2860" s="114" t="s">
        <v>148</v>
      </c>
      <c r="G2860" s="39"/>
      <c r="H2860" s="114"/>
      <c r="I2860" s="38"/>
      <c r="J2860" s="114"/>
      <c r="K2860" s="39"/>
      <c r="L2860" s="39"/>
      <c r="M2860" s="89"/>
      <c r="N2860" s="89"/>
      <c r="O2860" s="89"/>
      <c r="P2860" s="89"/>
      <c r="Q2860" s="89"/>
      <c r="R2860" s="89"/>
      <c r="S2860" s="89"/>
      <c r="T2860" s="89"/>
    </row>
    <row r="2861" spans="1:20" s="54" customFormat="1" x14ac:dyDescent="0.3">
      <c r="A2861" s="113" t="s">
        <v>854</v>
      </c>
      <c r="B2861" s="114" t="s">
        <v>88</v>
      </c>
      <c r="C2861" s="114"/>
      <c r="D2861" s="113"/>
      <c r="E2861" s="114" t="s">
        <v>88</v>
      </c>
      <c r="F2861" s="39"/>
      <c r="G2861" s="39"/>
      <c r="H2861" s="114"/>
      <c r="I2861" s="38"/>
      <c r="J2861" s="114"/>
      <c r="K2861" s="39"/>
      <c r="L2861" s="39"/>
      <c r="M2861" s="89"/>
      <c r="N2861" s="89"/>
      <c r="O2861" s="89"/>
      <c r="P2861" s="89"/>
      <c r="Q2861" s="89"/>
      <c r="R2861" s="89"/>
      <c r="S2861" s="89"/>
      <c r="T2861" s="89"/>
    </row>
    <row r="2862" spans="1:20" s="54" customFormat="1" x14ac:dyDescent="0.3">
      <c r="A2862" s="113" t="s">
        <v>1235</v>
      </c>
      <c r="B2862" s="114" t="s">
        <v>89</v>
      </c>
      <c r="C2862" s="114"/>
      <c r="D2862" s="113"/>
      <c r="E2862" s="114" t="s">
        <v>89</v>
      </c>
      <c r="F2862" s="39"/>
      <c r="G2862" s="39"/>
      <c r="H2862" s="114"/>
      <c r="I2862" s="38"/>
      <c r="J2862" s="114"/>
      <c r="K2862" s="39"/>
      <c r="L2862" s="39"/>
      <c r="M2862" s="89"/>
      <c r="N2862" s="89"/>
      <c r="O2862" s="89"/>
      <c r="P2862" s="89"/>
      <c r="Q2862" s="89"/>
      <c r="R2862" s="89"/>
      <c r="S2862" s="89"/>
      <c r="T2862" s="89"/>
    </row>
    <row r="2863" spans="1:20" s="54" customFormat="1" x14ac:dyDescent="0.3">
      <c r="A2863" s="113" t="s">
        <v>9291</v>
      </c>
      <c r="B2863" s="114" t="s">
        <v>90</v>
      </c>
      <c r="C2863" s="114"/>
      <c r="D2863" s="113"/>
      <c r="E2863" s="114" t="s">
        <v>90</v>
      </c>
      <c r="F2863" s="39"/>
      <c r="G2863" s="39"/>
      <c r="H2863" s="114"/>
      <c r="I2863" s="38"/>
      <c r="J2863" s="114"/>
      <c r="K2863" s="39"/>
      <c r="L2863" s="39"/>
      <c r="M2863" s="89"/>
      <c r="N2863" s="89"/>
      <c r="O2863" s="89"/>
      <c r="P2863" s="89"/>
      <c r="Q2863" s="89"/>
      <c r="R2863" s="89"/>
      <c r="S2863" s="89"/>
      <c r="T2863" s="89"/>
    </row>
    <row r="2864" spans="1:20" s="54" customFormat="1" x14ac:dyDescent="0.3">
      <c r="A2864" s="113" t="s">
        <v>455</v>
      </c>
      <c r="B2864" s="114" t="s">
        <v>149</v>
      </c>
      <c r="C2864" s="114"/>
      <c r="D2864" s="113"/>
      <c r="E2864" s="39"/>
      <c r="F2864" s="114" t="s">
        <v>149</v>
      </c>
      <c r="G2864" s="39"/>
      <c r="H2864" s="114"/>
      <c r="I2864" s="38"/>
      <c r="J2864" s="114"/>
      <c r="K2864" s="39"/>
      <c r="L2864" s="39"/>
      <c r="M2864" s="89"/>
      <c r="N2864" s="89"/>
      <c r="O2864" s="89"/>
      <c r="P2864" s="89"/>
      <c r="Q2864" s="89"/>
      <c r="R2864" s="89"/>
      <c r="S2864" s="89"/>
      <c r="T2864" s="89"/>
    </row>
    <row r="2865" spans="1:20" s="54" customFormat="1" x14ac:dyDescent="0.3">
      <c r="A2865" s="113" t="s">
        <v>9292</v>
      </c>
      <c r="B2865" s="114" t="s">
        <v>150</v>
      </c>
      <c r="C2865" s="114"/>
      <c r="D2865" s="113"/>
      <c r="E2865" s="39"/>
      <c r="F2865" s="114" t="s">
        <v>150</v>
      </c>
      <c r="G2865" s="39"/>
      <c r="H2865" s="114"/>
      <c r="I2865" s="38"/>
      <c r="J2865" s="114"/>
      <c r="K2865" s="39"/>
      <c r="L2865" s="39"/>
      <c r="M2865" s="89"/>
      <c r="N2865" s="89"/>
      <c r="O2865" s="89"/>
      <c r="P2865" s="89"/>
      <c r="Q2865" s="89"/>
      <c r="R2865" s="89"/>
      <c r="S2865" s="89"/>
      <c r="T2865" s="89"/>
    </row>
    <row r="2866" spans="1:20" s="54" customFormat="1" x14ac:dyDescent="0.3">
      <c r="A2866" s="113" t="s">
        <v>1071</v>
      </c>
      <c r="B2866" s="114" t="s">
        <v>151</v>
      </c>
      <c r="C2866" s="114"/>
      <c r="D2866" s="113"/>
      <c r="E2866" s="39"/>
      <c r="F2866" s="114" t="s">
        <v>151</v>
      </c>
      <c r="G2866" s="39"/>
      <c r="H2866" s="114"/>
      <c r="I2866" s="39"/>
      <c r="J2866" s="114"/>
      <c r="K2866" s="39"/>
      <c r="L2866" s="39"/>
      <c r="M2866" s="89"/>
      <c r="N2866" s="89"/>
      <c r="O2866" s="89"/>
      <c r="P2866" s="89"/>
      <c r="Q2866" s="89"/>
      <c r="R2866" s="89"/>
      <c r="S2866" s="89"/>
      <c r="T2866" s="89"/>
    </row>
    <row r="2867" spans="1:20" s="54" customFormat="1" x14ac:dyDescent="0.3">
      <c r="A2867" s="113" t="s">
        <v>2320</v>
      </c>
      <c r="B2867" s="114" t="s">
        <v>152</v>
      </c>
      <c r="C2867" s="114"/>
      <c r="D2867" s="113"/>
      <c r="E2867" s="39"/>
      <c r="F2867" s="114" t="s">
        <v>152</v>
      </c>
      <c r="G2867" s="39"/>
      <c r="H2867" s="114"/>
      <c r="I2867" s="39"/>
      <c r="J2867" s="114"/>
      <c r="K2867" s="39"/>
      <c r="L2867" s="39"/>
      <c r="M2867" s="89"/>
      <c r="N2867" s="89"/>
      <c r="O2867" s="89"/>
      <c r="P2867" s="89"/>
      <c r="Q2867" s="89"/>
      <c r="R2867" s="89"/>
      <c r="S2867" s="89"/>
      <c r="T2867" s="89"/>
    </row>
    <row r="2868" spans="1:20" s="54" customFormat="1" x14ac:dyDescent="0.3">
      <c r="A2868" s="113" t="s">
        <v>9293</v>
      </c>
      <c r="B2868" s="114" t="s">
        <v>9294</v>
      </c>
      <c r="C2868" s="114"/>
      <c r="D2868" s="113"/>
      <c r="E2868" s="113"/>
      <c r="F2868" s="39"/>
      <c r="G2868" s="39"/>
      <c r="H2868" s="114"/>
      <c r="I2868" s="39"/>
      <c r="J2868" s="114"/>
      <c r="K2868" s="39"/>
      <c r="L2868" s="39"/>
      <c r="M2868" s="89"/>
      <c r="N2868" s="89"/>
      <c r="O2868" s="89"/>
      <c r="P2868" s="89"/>
      <c r="Q2868" s="89"/>
      <c r="R2868" s="89"/>
      <c r="S2868" s="89"/>
      <c r="T2868" s="89"/>
    </row>
    <row r="2869" spans="1:20" s="54" customFormat="1" x14ac:dyDescent="0.3">
      <c r="A2869" s="113" t="s">
        <v>9295</v>
      </c>
      <c r="B2869" s="114" t="s">
        <v>9296</v>
      </c>
      <c r="C2869" s="114"/>
      <c r="D2869" s="113"/>
      <c r="E2869" s="113"/>
      <c r="F2869" s="39"/>
      <c r="G2869" s="39"/>
      <c r="H2869" s="114"/>
      <c r="I2869" s="39"/>
      <c r="J2869" s="114"/>
      <c r="K2869" s="39"/>
      <c r="L2869" s="39"/>
      <c r="M2869" s="89"/>
      <c r="N2869" s="89"/>
      <c r="O2869" s="89"/>
      <c r="P2869" s="89"/>
      <c r="Q2869" s="89"/>
      <c r="R2869" s="89"/>
      <c r="S2869" s="89"/>
      <c r="T2869" s="89"/>
    </row>
    <row r="2870" spans="1:20" s="54" customFormat="1" x14ac:dyDescent="0.3">
      <c r="A2870" s="113" t="s">
        <v>9297</v>
      </c>
      <c r="B2870" s="114" t="s">
        <v>9298</v>
      </c>
      <c r="C2870" s="40"/>
      <c r="D2870" s="28"/>
      <c r="E2870" s="28"/>
      <c r="F2870" s="38"/>
      <c r="G2870" s="38"/>
      <c r="H2870" s="40"/>
      <c r="I2870" s="38"/>
      <c r="J2870" s="40"/>
      <c r="K2870" s="38"/>
      <c r="L2870" s="38"/>
    </row>
    <row r="2871" spans="1:20" s="54" customFormat="1" x14ac:dyDescent="0.3">
      <c r="A2871" s="113" t="s">
        <v>9299</v>
      </c>
      <c r="B2871" s="114" t="s">
        <v>9300</v>
      </c>
      <c r="C2871" s="40"/>
      <c r="D2871" s="28"/>
      <c r="E2871" s="28"/>
      <c r="F2871" s="38"/>
      <c r="G2871" s="38"/>
      <c r="H2871" s="40"/>
      <c r="I2871" s="38"/>
      <c r="J2871" s="40"/>
      <c r="K2871" s="38"/>
      <c r="L2871" s="38"/>
    </row>
    <row r="2872" spans="1:20" s="54" customFormat="1" x14ac:dyDescent="0.3">
      <c r="A2872" s="113" t="s">
        <v>9301</v>
      </c>
      <c r="B2872" s="114" t="s">
        <v>9302</v>
      </c>
      <c r="C2872" s="40"/>
      <c r="D2872" s="28"/>
      <c r="E2872" s="28"/>
      <c r="F2872" s="38"/>
      <c r="G2872" s="38"/>
      <c r="H2872" s="40"/>
      <c r="I2872" s="38"/>
      <c r="J2872" s="40"/>
      <c r="K2872" s="38"/>
      <c r="L2872" s="38"/>
    </row>
    <row r="2873" spans="1:20" s="54" customFormat="1" x14ac:dyDescent="0.3">
      <c r="A2873" s="113" t="s">
        <v>9303</v>
      </c>
      <c r="B2873" s="114" t="s">
        <v>9304</v>
      </c>
      <c r="C2873" s="40"/>
      <c r="D2873" s="28"/>
      <c r="E2873" s="28"/>
      <c r="F2873" s="38"/>
      <c r="G2873" s="38"/>
      <c r="H2873" s="40"/>
      <c r="I2873" s="38"/>
      <c r="J2873" s="40"/>
      <c r="K2873" s="38"/>
      <c r="L2873" s="38"/>
    </row>
    <row r="2874" spans="1:20" s="54" customFormat="1" ht="14.4" x14ac:dyDescent="0.3">
      <c r="A2874" s="113" t="s">
        <v>9305</v>
      </c>
      <c r="B2874" s="114" t="s">
        <v>9306</v>
      </c>
      <c r="C2874" s="40"/>
      <c r="D2874" s="28"/>
      <c r="E2874" s="28"/>
      <c r="F2874" s="47"/>
      <c r="G2874" s="28"/>
      <c r="H2874" s="40"/>
      <c r="I2874" s="38"/>
      <c r="J2874" s="40"/>
      <c r="K2874" s="38"/>
      <c r="L2874" s="38"/>
    </row>
    <row r="2875" spans="1:20" s="54" customFormat="1" ht="14.4" x14ac:dyDescent="0.3">
      <c r="A2875" s="113" t="s">
        <v>9307</v>
      </c>
      <c r="B2875" s="114" t="s">
        <v>9308</v>
      </c>
      <c r="C2875" s="40"/>
      <c r="D2875" s="28"/>
      <c r="E2875" s="28"/>
      <c r="F2875" s="47"/>
      <c r="G2875" s="28"/>
      <c r="H2875" s="40"/>
      <c r="I2875" s="38"/>
      <c r="J2875" s="40"/>
      <c r="K2875" s="38"/>
      <c r="L2875" s="38"/>
    </row>
    <row r="2876" spans="1:20" s="54" customFormat="1" ht="14.4" x14ac:dyDescent="0.3">
      <c r="A2876" s="113" t="s">
        <v>9309</v>
      </c>
      <c r="B2876" s="114" t="s">
        <v>9310</v>
      </c>
      <c r="C2876" s="40"/>
      <c r="D2876" s="28"/>
      <c r="E2876" s="28"/>
      <c r="F2876" s="47"/>
      <c r="G2876" s="28"/>
      <c r="H2876" s="40"/>
      <c r="I2876" s="38"/>
      <c r="J2876" s="40"/>
      <c r="K2876" s="38"/>
      <c r="L2876" s="38"/>
    </row>
    <row r="2877" spans="1:20" s="54" customFormat="1" ht="14.4" x14ac:dyDescent="0.3">
      <c r="A2877" s="113" t="s">
        <v>9311</v>
      </c>
      <c r="B2877" s="114" t="s">
        <v>9312</v>
      </c>
      <c r="C2877" s="40"/>
      <c r="D2877" s="28"/>
      <c r="E2877" s="28"/>
      <c r="F2877" s="47"/>
      <c r="G2877" s="28"/>
      <c r="H2877" s="40"/>
      <c r="I2877" s="38"/>
      <c r="J2877" s="40"/>
      <c r="K2877" s="38"/>
      <c r="L2877" s="38"/>
    </row>
    <row r="2878" spans="1:20" s="54" customFormat="1" ht="14.4" x14ac:dyDescent="0.3">
      <c r="A2878" s="113" t="s">
        <v>9313</v>
      </c>
      <c r="B2878" s="114" t="s">
        <v>9314</v>
      </c>
      <c r="C2878" s="40"/>
      <c r="D2878" s="28"/>
      <c r="E2878" s="28"/>
      <c r="F2878" s="47"/>
      <c r="G2878" s="28"/>
      <c r="H2878" s="40"/>
      <c r="I2878" s="38"/>
      <c r="J2878" s="40"/>
      <c r="K2878" s="38"/>
      <c r="L2878" s="38"/>
    </row>
    <row r="2879" spans="1:20" s="54" customFormat="1" ht="14.4" x14ac:dyDescent="0.3">
      <c r="A2879" s="113" t="s">
        <v>9315</v>
      </c>
      <c r="B2879" s="114" t="s">
        <v>9316</v>
      </c>
      <c r="C2879" s="40"/>
      <c r="D2879" s="28"/>
      <c r="E2879" s="28"/>
      <c r="F2879" s="47"/>
      <c r="G2879" s="28"/>
      <c r="H2879" s="40"/>
      <c r="I2879" s="38"/>
      <c r="J2879" s="40"/>
      <c r="K2879" s="38"/>
      <c r="L2879" s="38"/>
    </row>
    <row r="2880" spans="1:20" s="54" customFormat="1" ht="14.4" x14ac:dyDescent="0.3">
      <c r="A2880" s="113" t="s">
        <v>2468</v>
      </c>
      <c r="B2880" s="114" t="s">
        <v>154</v>
      </c>
      <c r="C2880" s="40"/>
      <c r="D2880" s="28"/>
      <c r="E2880" s="28"/>
      <c r="F2880" s="47"/>
      <c r="G2880" s="28"/>
      <c r="H2880" s="40"/>
      <c r="I2880" s="38"/>
      <c r="J2880" s="40"/>
      <c r="K2880" s="38"/>
      <c r="L2880" s="38"/>
    </row>
    <row r="2881" spans="1:12" s="54" customFormat="1" ht="14.4" x14ac:dyDescent="0.3">
      <c r="A2881" s="113" t="s">
        <v>1602</v>
      </c>
      <c r="B2881" s="114" t="s">
        <v>155</v>
      </c>
      <c r="C2881" s="40"/>
      <c r="D2881" s="28"/>
      <c r="E2881" s="28"/>
      <c r="F2881" s="47"/>
      <c r="G2881" s="28"/>
      <c r="H2881" s="40"/>
      <c r="I2881" s="38"/>
      <c r="J2881" s="40"/>
      <c r="K2881" s="38"/>
      <c r="L2881" s="38"/>
    </row>
    <row r="2882" spans="1:12" s="54" customFormat="1" ht="14.4" x14ac:dyDescent="0.3">
      <c r="A2882" s="113" t="s">
        <v>9317</v>
      </c>
      <c r="B2882" s="114" t="s">
        <v>9318</v>
      </c>
      <c r="C2882" s="40"/>
      <c r="D2882" s="28"/>
      <c r="E2882" s="28"/>
      <c r="F2882" s="47"/>
      <c r="G2882" s="28"/>
      <c r="H2882" s="40"/>
      <c r="I2882" s="38"/>
      <c r="J2882" s="40"/>
      <c r="K2882" s="38"/>
      <c r="L2882" s="38"/>
    </row>
    <row r="2883" spans="1:12" s="54" customFormat="1" ht="14.4" x14ac:dyDescent="0.3">
      <c r="A2883" s="113" t="s">
        <v>9319</v>
      </c>
      <c r="B2883" s="114" t="s">
        <v>9320</v>
      </c>
      <c r="C2883" s="40"/>
      <c r="D2883" s="28"/>
      <c r="E2883" s="28"/>
      <c r="F2883" s="47"/>
      <c r="G2883" s="28"/>
      <c r="H2883" s="40"/>
      <c r="I2883" s="38"/>
      <c r="J2883" s="40"/>
      <c r="K2883" s="38"/>
      <c r="L2883" s="38"/>
    </row>
    <row r="2884" spans="1:12" s="54" customFormat="1" ht="14.4" x14ac:dyDescent="0.3">
      <c r="A2884" s="113" t="s">
        <v>9321</v>
      </c>
      <c r="B2884" s="114" t="s">
        <v>9322</v>
      </c>
      <c r="C2884" s="40"/>
      <c r="D2884" s="28"/>
      <c r="E2884" s="28"/>
      <c r="F2884" s="47"/>
      <c r="G2884" s="28"/>
      <c r="H2884" s="40"/>
      <c r="I2884" s="38"/>
      <c r="J2884" s="40"/>
      <c r="K2884" s="38"/>
      <c r="L2884" s="38"/>
    </row>
    <row r="2885" spans="1:12" s="54" customFormat="1" ht="14.4" x14ac:dyDescent="0.3">
      <c r="A2885" s="113" t="s">
        <v>9323</v>
      </c>
      <c r="B2885" s="114" t="s">
        <v>9324</v>
      </c>
      <c r="C2885" s="40"/>
      <c r="D2885" s="28"/>
      <c r="E2885" s="28"/>
      <c r="F2885" s="47"/>
      <c r="G2885" s="28"/>
      <c r="H2885" s="40"/>
      <c r="I2885" s="38"/>
      <c r="J2885" s="40"/>
      <c r="K2885" s="38"/>
      <c r="L2885" s="38"/>
    </row>
    <row r="2886" spans="1:12" s="54" customFormat="1" ht="14.4" x14ac:dyDescent="0.3">
      <c r="A2886" s="113" t="s">
        <v>9325</v>
      </c>
      <c r="B2886" s="114" t="s">
        <v>9326</v>
      </c>
      <c r="C2886" s="40"/>
      <c r="D2886" s="28"/>
      <c r="E2886" s="28"/>
      <c r="F2886" s="47"/>
      <c r="G2886" s="28"/>
      <c r="H2886" s="40"/>
      <c r="I2886" s="38"/>
      <c r="J2886" s="40"/>
      <c r="K2886" s="38"/>
      <c r="L2886" s="38"/>
    </row>
    <row r="2887" spans="1:12" s="54" customFormat="1" ht="14.4" x14ac:dyDescent="0.3">
      <c r="A2887" s="113" t="s">
        <v>2692</v>
      </c>
      <c r="B2887" s="114" t="s">
        <v>87</v>
      </c>
      <c r="C2887" s="40"/>
      <c r="D2887" s="28"/>
      <c r="E2887" s="28"/>
      <c r="F2887" s="47"/>
      <c r="G2887" s="28"/>
      <c r="H2887" s="40"/>
      <c r="I2887" s="38"/>
      <c r="J2887" s="40"/>
      <c r="K2887" s="38"/>
      <c r="L2887" s="38"/>
    </row>
    <row r="2888" spans="1:12" s="54" customFormat="1" ht="14.4" x14ac:dyDescent="0.3">
      <c r="A2888" s="113" t="s">
        <v>3956</v>
      </c>
      <c r="B2888" s="114" t="s">
        <v>142</v>
      </c>
      <c r="C2888" s="40"/>
      <c r="D2888" s="28"/>
      <c r="E2888" s="28"/>
      <c r="F2888" s="47"/>
      <c r="G2888" s="28"/>
      <c r="H2888" s="40"/>
      <c r="I2888" s="38"/>
      <c r="J2888" s="40"/>
      <c r="K2888" s="38"/>
      <c r="L2888" s="38"/>
    </row>
    <row r="2889" spans="1:12" s="54" customFormat="1" ht="14.4" x14ac:dyDescent="0.3">
      <c r="A2889" s="113" t="s">
        <v>2447</v>
      </c>
      <c r="B2889" s="114" t="s">
        <v>134</v>
      </c>
      <c r="C2889" s="40"/>
      <c r="D2889" s="28"/>
      <c r="E2889" s="28"/>
      <c r="F2889" s="47"/>
      <c r="G2889" s="28"/>
      <c r="H2889" s="40"/>
      <c r="I2889" s="38"/>
      <c r="J2889" s="40"/>
      <c r="K2889" s="38"/>
      <c r="L2889" s="38"/>
    </row>
    <row r="2890" spans="1:12" s="54" customFormat="1" ht="14.4" x14ac:dyDescent="0.3">
      <c r="A2890" s="38"/>
      <c r="B2890" s="28"/>
      <c r="C2890" s="40"/>
      <c r="D2890" s="28"/>
      <c r="E2890" s="28"/>
      <c r="F2890" s="47"/>
      <c r="G2890" s="28"/>
      <c r="H2890" s="40"/>
      <c r="I2890" s="38"/>
      <c r="J2890" s="40"/>
      <c r="K2890" s="38"/>
      <c r="L2890" s="38"/>
    </row>
    <row r="2891" spans="1:12" s="54" customFormat="1" ht="14.4" x14ac:dyDescent="0.3">
      <c r="A2891" s="38"/>
      <c r="B2891" s="28"/>
      <c r="C2891" s="40"/>
      <c r="D2891" s="28"/>
      <c r="E2891" s="28"/>
      <c r="F2891" s="47"/>
      <c r="G2891" s="28"/>
      <c r="H2891" s="40"/>
      <c r="I2891" s="38"/>
      <c r="J2891" s="40"/>
      <c r="K2891" s="38"/>
      <c r="L2891" s="38"/>
    </row>
    <row r="2892" spans="1:12" s="54" customFormat="1" ht="14.4" x14ac:dyDescent="0.3">
      <c r="A2892" s="38"/>
      <c r="B2892" s="28"/>
      <c r="C2892" s="40"/>
      <c r="D2892" s="28"/>
      <c r="E2892" s="28"/>
      <c r="F2892" s="47"/>
      <c r="G2892" s="28"/>
      <c r="H2892" s="40"/>
      <c r="I2892" s="38"/>
      <c r="J2892" s="40"/>
      <c r="K2892" s="38"/>
      <c r="L2892" s="38"/>
    </row>
    <row r="2893" spans="1:12" s="54" customFormat="1" ht="14.4" x14ac:dyDescent="0.3">
      <c r="A2893" s="38"/>
      <c r="B2893" s="28"/>
      <c r="C2893" s="40"/>
      <c r="D2893" s="28"/>
      <c r="E2893" s="28"/>
      <c r="F2893" s="47"/>
      <c r="G2893" s="28"/>
      <c r="H2893" s="40"/>
      <c r="I2893" s="38"/>
      <c r="J2893" s="40"/>
      <c r="K2893" s="38"/>
      <c r="L2893" s="38"/>
    </row>
    <row r="2894" spans="1:12" s="54" customFormat="1" ht="14.4" x14ac:dyDescent="0.3">
      <c r="A2894" s="38"/>
      <c r="B2894" s="28"/>
      <c r="C2894" s="40"/>
      <c r="D2894" s="28"/>
      <c r="E2894" s="28"/>
      <c r="F2894" s="47"/>
      <c r="G2894" s="28"/>
      <c r="H2894" s="40"/>
      <c r="I2894" s="38"/>
      <c r="J2894" s="40"/>
      <c r="K2894" s="38"/>
      <c r="L2894" s="38"/>
    </row>
    <row r="2895" spans="1:12" s="54" customFormat="1" ht="14.4" x14ac:dyDescent="0.3">
      <c r="A2895" s="38"/>
      <c r="B2895" s="28"/>
      <c r="C2895" s="40"/>
      <c r="D2895" s="28"/>
      <c r="E2895" s="28"/>
      <c r="F2895" s="47"/>
      <c r="G2895" s="28"/>
      <c r="H2895" s="40"/>
      <c r="I2895" s="38"/>
      <c r="J2895" s="40"/>
      <c r="K2895" s="38"/>
      <c r="L2895" s="38"/>
    </row>
    <row r="2896" spans="1:12" s="54" customFormat="1" ht="14.4" x14ac:dyDescent="0.3">
      <c r="B2896" s="55"/>
      <c r="C2896" s="56"/>
      <c r="D2896" s="55"/>
      <c r="E2896" s="55"/>
      <c r="F2896" s="91"/>
      <c r="G2896" s="55"/>
      <c r="H2896" s="56"/>
      <c r="J2896" s="56"/>
    </row>
    <row r="2897" spans="2:28" s="54" customFormat="1" ht="14.4" x14ac:dyDescent="0.3">
      <c r="B2897" s="55"/>
      <c r="C2897" s="56"/>
      <c r="D2897" s="55"/>
      <c r="E2897" s="55"/>
      <c r="F2897" s="91"/>
      <c r="G2897" s="55"/>
      <c r="H2897" s="56"/>
      <c r="J2897" s="56"/>
      <c r="V2897" s="55"/>
      <c r="W2897" s="55"/>
      <c r="X2897" s="55"/>
      <c r="Y2897" s="55"/>
      <c r="Z2897" s="55"/>
      <c r="AA2897" s="55"/>
      <c r="AB2897" s="55"/>
    </row>
    <row r="2898" spans="2:28" ht="14.4" x14ac:dyDescent="0.3">
      <c r="F2898" s="27"/>
      <c r="V2898" s="1"/>
      <c r="W2898" s="1"/>
      <c r="X2898" s="1"/>
      <c r="Y2898" s="1"/>
      <c r="Z2898" s="1"/>
      <c r="AA2898" s="1"/>
      <c r="AB2898" s="1"/>
    </row>
    <row r="2899" spans="2:28" ht="14.4" x14ac:dyDescent="0.3">
      <c r="F2899" s="27"/>
      <c r="V2899" s="1"/>
      <c r="W2899" s="1"/>
      <c r="X2899" s="1"/>
      <c r="Y2899" s="1"/>
      <c r="Z2899" s="1"/>
      <c r="AA2899" s="1"/>
      <c r="AB2899" s="1"/>
    </row>
    <row r="2900" spans="2:28" ht="14.4" x14ac:dyDescent="0.3">
      <c r="F2900" s="27"/>
      <c r="V2900" s="1"/>
      <c r="W2900" s="1"/>
      <c r="X2900" s="1"/>
      <c r="Y2900" s="1"/>
      <c r="Z2900" s="1"/>
      <c r="AA2900" s="1"/>
      <c r="AB2900" s="1"/>
    </row>
    <row r="2901" spans="2:28" ht="14.4" x14ac:dyDescent="0.3">
      <c r="F2901" s="27"/>
      <c r="V2901" s="1"/>
      <c r="W2901" s="1"/>
      <c r="X2901" s="1"/>
      <c r="Y2901" s="1"/>
      <c r="Z2901" s="1"/>
      <c r="AA2901" s="1"/>
      <c r="AB2901" s="1"/>
    </row>
    <row r="2902" spans="2:28" ht="14.4" x14ac:dyDescent="0.3">
      <c r="F2902" s="27"/>
      <c r="V2902" s="1"/>
      <c r="W2902" s="1"/>
      <c r="X2902" s="1"/>
      <c r="Y2902" s="1"/>
      <c r="Z2902" s="1"/>
      <c r="AA2902" s="1"/>
      <c r="AB2902" s="1"/>
    </row>
    <row r="2903" spans="2:28" ht="14.4" x14ac:dyDescent="0.3">
      <c r="F2903" s="27"/>
      <c r="V2903" s="1"/>
      <c r="W2903" s="1"/>
      <c r="X2903" s="1"/>
      <c r="Y2903" s="1"/>
      <c r="Z2903" s="1"/>
      <c r="AA2903" s="1"/>
      <c r="AB2903" s="1"/>
    </row>
  </sheetData>
  <phoneticPr fontId="16" type="noConversion"/>
  <printOptions horizontalCentered="1"/>
  <pageMargins left="0.11811023622047245" right="0.11811023622047245" top="0.35433070866141736" bottom="0.35433070866141736" header="0.31496062992125984" footer="0.31496062992125984"/>
  <pageSetup paperSize="9" scale="26" fitToHeight="0" orientation="landscape" horizontalDpi="1200" verticalDpi="1200" r:id="rId1"/>
  <ignoredErrors>
    <ignoredError sqref="J2831:J2839" numberStoredAsText="1"/>
  </ignoredErrors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251A0-8544-4442-A60C-FE5251C2845A}">
  <sheetPr codeName="Hoja6">
    <tabColor rgb="FF72B730"/>
    <pageSetUpPr fitToPage="1"/>
  </sheetPr>
  <dimension ref="A1:Y798"/>
  <sheetViews>
    <sheetView showGridLines="0" zoomScale="160" zoomScaleNormal="160" zoomScaleSheetLayoutView="130" workbookViewId="0">
      <selection activeCell="A2" sqref="A2"/>
    </sheetView>
  </sheetViews>
  <sheetFormatPr defaultColWidth="8.88671875" defaultRowHeight="13.8" x14ac:dyDescent="0.3"/>
  <cols>
    <col min="1" max="1" width="10.109375" style="23" customWidth="1"/>
    <col min="2" max="2" width="12.6640625" style="1" customWidth="1"/>
    <col min="3" max="3" width="8.5546875" style="5" bestFit="1" customWidth="1"/>
    <col min="4" max="4" width="13.6640625" style="1" customWidth="1"/>
    <col min="5" max="5" width="18.88671875" style="1" customWidth="1"/>
    <col min="6" max="6" width="12.109375" style="23" customWidth="1"/>
    <col min="7" max="7" width="27.5546875" style="5" customWidth="1"/>
    <col min="8" max="8" width="44.33203125" style="5" customWidth="1"/>
    <col min="9" max="9" width="16.44140625" style="23" customWidth="1"/>
    <col min="10" max="10" width="59.88671875" style="5" customWidth="1"/>
    <col min="11" max="11" width="10" style="23" customWidth="1"/>
    <col min="12" max="12" width="23.6640625" style="23" customWidth="1"/>
    <col min="13" max="13" width="9.44140625" style="23" customWidth="1"/>
    <col min="14" max="14" width="11.44140625" style="23" customWidth="1"/>
    <col min="15" max="15" width="15.88671875" style="23" customWidth="1"/>
    <col min="16" max="16" width="15.44140625" style="23" customWidth="1"/>
    <col min="17" max="17" width="12.5546875" style="23" customWidth="1"/>
    <col min="18" max="18" width="17.5546875" style="23" customWidth="1"/>
    <col min="19" max="19" width="16.33203125" style="23" bestFit="1" customWidth="1"/>
    <col min="20" max="21" width="8.88671875" style="23"/>
    <col min="22" max="22" width="0" style="23" hidden="1" customWidth="1"/>
    <col min="23" max="23" width="15.44140625" style="23" hidden="1" customWidth="1"/>
    <col min="24" max="24" width="42" style="23" hidden="1" customWidth="1"/>
    <col min="25" max="25" width="35.5546875" style="23" bestFit="1" customWidth="1"/>
    <col min="26" max="16384" width="8.88671875" style="23"/>
  </cols>
  <sheetData>
    <row r="1" spans="1:24" ht="38.25" customHeight="1" x14ac:dyDescent="0.3">
      <c r="A1" s="35" t="s">
        <v>9922</v>
      </c>
      <c r="B1" s="35" t="s">
        <v>9923</v>
      </c>
      <c r="C1" s="35" t="s">
        <v>9924</v>
      </c>
      <c r="D1" s="35" t="s">
        <v>9925</v>
      </c>
      <c r="E1" s="35" t="s">
        <v>9926</v>
      </c>
      <c r="F1" s="35" t="s">
        <v>9927</v>
      </c>
      <c r="G1" s="138" t="s">
        <v>9928</v>
      </c>
      <c r="H1" s="138" t="s">
        <v>9929</v>
      </c>
      <c r="I1" s="35" t="s">
        <v>9930</v>
      </c>
      <c r="J1" s="138" t="s">
        <v>9931</v>
      </c>
      <c r="K1" s="35" t="s">
        <v>9932</v>
      </c>
      <c r="L1" s="35" t="s">
        <v>9950</v>
      </c>
      <c r="M1" s="35" t="s">
        <v>9934</v>
      </c>
      <c r="N1" s="35" t="s">
        <v>9935</v>
      </c>
      <c r="O1" s="35" t="s">
        <v>9936</v>
      </c>
      <c r="P1" s="35" t="s">
        <v>9938</v>
      </c>
      <c r="Q1" s="35" t="s">
        <v>9940</v>
      </c>
      <c r="R1" s="35" t="s">
        <v>9941</v>
      </c>
      <c r="S1" s="35" t="s">
        <v>9944</v>
      </c>
      <c r="T1" s="35" t="s">
        <v>9945</v>
      </c>
      <c r="U1" s="35" t="s">
        <v>9946</v>
      </c>
      <c r="V1" s="35" t="s">
        <v>159</v>
      </c>
      <c r="W1" s="35" t="s">
        <v>160</v>
      </c>
      <c r="X1" s="35" t="s">
        <v>9327</v>
      </c>
    </row>
    <row r="2" spans="1:24" ht="27" customHeight="1" x14ac:dyDescent="0.3">
      <c r="A2" s="34" t="s">
        <v>210</v>
      </c>
      <c r="B2" s="36" t="str">
        <f t="shared" ref="B2:B65" si="0">PROPER(CHOOSE(LEFT(D2,2),"enero","febrero","marzo","abril","mayo","junio","julio","agosto","setiembre","octubre","noviembre","diciembre"))</f>
        <v>Junio</v>
      </c>
      <c r="C2" s="33" t="s">
        <v>240</v>
      </c>
      <c r="D2" s="33" t="s">
        <v>9328</v>
      </c>
      <c r="E2" s="37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2" s="32" t="s">
        <v>4563</v>
      </c>
      <c r="G2" s="147" t="s">
        <v>114</v>
      </c>
      <c r="H2" s="139" t="s">
        <v>9329</v>
      </c>
      <c r="I2" s="33" t="s">
        <v>9330</v>
      </c>
      <c r="J2" s="143" t="s">
        <v>9331</v>
      </c>
      <c r="K2" s="33" t="s">
        <v>169</v>
      </c>
      <c r="L2" s="36" t="str">
        <f>VLOOKUP(Anexo_5[[#This Row],[cod_doc]],COMPRAS!TIPODOC,2,FALSE)</f>
        <v>FACTURA</v>
      </c>
      <c r="M2" s="33" t="s">
        <v>1906</v>
      </c>
      <c r="N2" s="32" t="s">
        <v>9332</v>
      </c>
      <c r="O2" s="48">
        <v>1215.72</v>
      </c>
      <c r="P2" s="49">
        <v>218.83</v>
      </c>
      <c r="Q2" s="48"/>
      <c r="R2" s="50">
        <v>1434.55</v>
      </c>
      <c r="S2" s="33"/>
      <c r="T2" s="33"/>
      <c r="U2" s="33"/>
      <c r="V2" s="33" t="s">
        <v>9333</v>
      </c>
      <c r="W2" s="52"/>
      <c r="X2" s="53" t="str">
        <f>IFERROR(VLOOKUP(Anexo_5[[#This Row],[CUENTA]],OP,2,0),"-")</f>
        <v>Residuos Peligrosos</v>
      </c>
    </row>
    <row r="3" spans="1:24" s="84" customFormat="1" ht="27" customHeight="1" x14ac:dyDescent="0.3">
      <c r="A3" s="75" t="s">
        <v>210</v>
      </c>
      <c r="B3" s="76" t="str">
        <f t="shared" si="0"/>
        <v>Junio</v>
      </c>
      <c r="C3" s="77" t="s">
        <v>240</v>
      </c>
      <c r="D3" s="77" t="s">
        <v>9334</v>
      </c>
      <c r="E3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3" s="79" t="s">
        <v>248</v>
      </c>
      <c r="G3" s="148" t="s">
        <v>249</v>
      </c>
      <c r="H3" s="140" t="s">
        <v>9335</v>
      </c>
      <c r="I3" s="77" t="s">
        <v>625</v>
      </c>
      <c r="J3" s="144" t="s">
        <v>626</v>
      </c>
      <c r="K3" s="77" t="s">
        <v>169</v>
      </c>
      <c r="L3" s="76" t="str">
        <f>VLOOKUP(Anexo_5[[#This Row],[cod_doc]],COMPRAS!TIPODOC,2,FALSE)</f>
        <v>FACTURA</v>
      </c>
      <c r="M3" s="77" t="s">
        <v>105</v>
      </c>
      <c r="N3" s="79" t="s">
        <v>6500</v>
      </c>
      <c r="O3" s="80">
        <v>670</v>
      </c>
      <c r="P3" s="81">
        <v>120.6</v>
      </c>
      <c r="Q3" s="80"/>
      <c r="R3" s="82">
        <v>790.6</v>
      </c>
      <c r="S3" s="77"/>
      <c r="T3" s="77"/>
      <c r="U3" s="77"/>
      <c r="V3" s="77" t="s">
        <v>9336</v>
      </c>
      <c r="W3" s="83"/>
      <c r="X3" s="53" t="str">
        <f>IFERROR(VLOOKUP(Anexo_5[[#This Row],[CUENTA]],OP,2,0),"-")</f>
        <v>Productos Terminados - RRSS</v>
      </c>
    </row>
    <row r="4" spans="1:24" s="84" customFormat="1" ht="27" customHeight="1" x14ac:dyDescent="0.3">
      <c r="A4" s="75" t="s">
        <v>210</v>
      </c>
      <c r="B4" s="76" t="str">
        <f t="shared" si="0"/>
        <v>Junio</v>
      </c>
      <c r="C4" s="77" t="s">
        <v>240</v>
      </c>
      <c r="D4" s="77" t="s">
        <v>9337</v>
      </c>
      <c r="E4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4" s="79" t="s">
        <v>248</v>
      </c>
      <c r="G4" s="148" t="s">
        <v>249</v>
      </c>
      <c r="H4" s="140" t="s">
        <v>9338</v>
      </c>
      <c r="I4" s="77" t="s">
        <v>9339</v>
      </c>
      <c r="J4" s="144" t="s">
        <v>9340</v>
      </c>
      <c r="K4" s="77" t="s">
        <v>169</v>
      </c>
      <c r="L4" s="76" t="str">
        <f>VLOOKUP(Anexo_5[[#This Row],[cod_doc]],COMPRAS!TIPODOC,2,FALSE)</f>
        <v>FACTURA</v>
      </c>
      <c r="M4" s="77" t="s">
        <v>105</v>
      </c>
      <c r="N4" s="79" t="s">
        <v>9341</v>
      </c>
      <c r="O4" s="80">
        <v>309.39999999999998</v>
      </c>
      <c r="P4" s="81">
        <v>55.69</v>
      </c>
      <c r="Q4" s="80"/>
      <c r="R4" s="82">
        <v>365.09</v>
      </c>
      <c r="S4" s="77"/>
      <c r="T4" s="77"/>
      <c r="U4" s="77"/>
      <c r="V4" s="77" t="s">
        <v>9336</v>
      </c>
      <c r="W4" s="83"/>
      <c r="X4" s="53" t="str">
        <f>IFERROR(VLOOKUP(Anexo_5[[#This Row],[CUENTA]],OP,2,0),"-")</f>
        <v>Productos Terminados - RRSS</v>
      </c>
    </row>
    <row r="5" spans="1:24" s="84" customFormat="1" ht="27" customHeight="1" x14ac:dyDescent="0.3">
      <c r="A5" s="75" t="s">
        <v>215</v>
      </c>
      <c r="B5" s="76" t="str">
        <f t="shared" si="0"/>
        <v>Junio</v>
      </c>
      <c r="C5" s="77" t="s">
        <v>240</v>
      </c>
      <c r="D5" s="77" t="s">
        <v>9342</v>
      </c>
      <c r="E5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5" s="79" t="s">
        <v>248</v>
      </c>
      <c r="G5" s="148" t="s">
        <v>249</v>
      </c>
      <c r="H5" s="140" t="s">
        <v>9343</v>
      </c>
      <c r="I5" s="77" t="s">
        <v>9344</v>
      </c>
      <c r="J5" s="144" t="s">
        <v>9345</v>
      </c>
      <c r="K5" s="77" t="s">
        <v>169</v>
      </c>
      <c r="L5" s="76" t="str">
        <f>VLOOKUP(Anexo_5[[#This Row],[cod_doc]],COMPRAS!TIPODOC,2,FALSE)</f>
        <v>FACTURA</v>
      </c>
      <c r="M5" s="77" t="s">
        <v>107</v>
      </c>
      <c r="N5" s="79" t="s">
        <v>9346</v>
      </c>
      <c r="O5" s="80">
        <v>1016</v>
      </c>
      <c r="P5" s="81">
        <v>182.88</v>
      </c>
      <c r="Q5" s="80"/>
      <c r="R5" s="82">
        <v>1198.8800000000001</v>
      </c>
      <c r="S5" s="77"/>
      <c r="T5" s="77"/>
      <c r="U5" s="77"/>
      <c r="V5" s="77" t="s">
        <v>9336</v>
      </c>
      <c r="W5" s="83"/>
      <c r="X5" s="53" t="str">
        <f>IFERROR(VLOOKUP(Anexo_5[[#This Row],[CUENTA]],OP,2,0),"-")</f>
        <v>Productos Terminados - RRSS</v>
      </c>
    </row>
    <row r="6" spans="1:24" s="84" customFormat="1" ht="27" customHeight="1" x14ac:dyDescent="0.3">
      <c r="A6" s="75" t="s">
        <v>215</v>
      </c>
      <c r="B6" s="76" t="str">
        <f t="shared" si="0"/>
        <v>Junio</v>
      </c>
      <c r="C6" s="77" t="s">
        <v>240</v>
      </c>
      <c r="D6" s="77" t="s">
        <v>9347</v>
      </c>
      <c r="E6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6" s="79" t="s">
        <v>9278</v>
      </c>
      <c r="G6" s="148" t="s">
        <v>122</v>
      </c>
      <c r="H6" s="140" t="s">
        <v>9348</v>
      </c>
      <c r="I6" s="77" t="s">
        <v>536</v>
      </c>
      <c r="J6" s="144" t="s">
        <v>537</v>
      </c>
      <c r="K6" s="77" t="s">
        <v>169</v>
      </c>
      <c r="L6" s="76" t="str">
        <f>VLOOKUP(Anexo_5[[#This Row],[cod_doc]],COMPRAS!TIPODOC,2,FALSE)</f>
        <v>FACTURA</v>
      </c>
      <c r="M6" s="77" t="s">
        <v>1906</v>
      </c>
      <c r="N6" s="79" t="s">
        <v>9349</v>
      </c>
      <c r="O6" s="80">
        <v>2383.7600000000002</v>
      </c>
      <c r="P6" s="81">
        <v>429.08</v>
      </c>
      <c r="Q6" s="80"/>
      <c r="R6" s="82">
        <v>2812.84</v>
      </c>
      <c r="S6" s="77"/>
      <c r="T6" s="77"/>
      <c r="U6" s="77"/>
      <c r="V6" s="77" t="s">
        <v>9350</v>
      </c>
      <c r="W6" s="83"/>
      <c r="X6" s="53" t="str">
        <f>IFERROR(VLOOKUP(Anexo_5[[#This Row],[CUENTA]],OP,2,0),"-")</f>
        <v>Transporte de Carga - Local</v>
      </c>
    </row>
    <row r="7" spans="1:24" s="84" customFormat="1" ht="27" customHeight="1" x14ac:dyDescent="0.3">
      <c r="A7" s="75" t="s">
        <v>295</v>
      </c>
      <c r="B7" s="76" t="str">
        <f t="shared" si="0"/>
        <v>Junio</v>
      </c>
      <c r="C7" s="77" t="s">
        <v>240</v>
      </c>
      <c r="D7" s="77" t="s">
        <v>9351</v>
      </c>
      <c r="E7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7" s="79" t="s">
        <v>248</v>
      </c>
      <c r="G7" s="148" t="s">
        <v>249</v>
      </c>
      <c r="H7" s="140" t="s">
        <v>9352</v>
      </c>
      <c r="I7" s="77" t="s">
        <v>9353</v>
      </c>
      <c r="J7" s="144" t="s">
        <v>9354</v>
      </c>
      <c r="K7" s="77" t="s">
        <v>169</v>
      </c>
      <c r="L7" s="76" t="str">
        <f>VLOOKUP(Anexo_5[[#This Row],[cod_doc]],COMPRAS!TIPODOC,2,FALSE)</f>
        <v>FACTURA</v>
      </c>
      <c r="M7" s="77" t="s">
        <v>105</v>
      </c>
      <c r="N7" s="79" t="s">
        <v>8053</v>
      </c>
      <c r="O7" s="80">
        <v>4490.16</v>
      </c>
      <c r="P7" s="81">
        <v>808.23</v>
      </c>
      <c r="Q7" s="80"/>
      <c r="R7" s="82">
        <v>5298.39</v>
      </c>
      <c r="S7" s="77"/>
      <c r="T7" s="77"/>
      <c r="U7" s="77"/>
      <c r="V7" s="77" t="s">
        <v>9355</v>
      </c>
      <c r="W7" s="83"/>
      <c r="X7" s="53" t="str">
        <f>IFERROR(VLOOKUP(Anexo_5[[#This Row],[CUENTA]],OP,2,0),"-")</f>
        <v>Descuentos y Rebajas</v>
      </c>
    </row>
    <row r="8" spans="1:24" s="84" customFormat="1" ht="27" customHeight="1" x14ac:dyDescent="0.3">
      <c r="A8" s="75" t="s">
        <v>295</v>
      </c>
      <c r="B8" s="76" t="str">
        <f t="shared" si="0"/>
        <v>Junio</v>
      </c>
      <c r="C8" s="77" t="s">
        <v>240</v>
      </c>
      <c r="D8" s="77" t="s">
        <v>9356</v>
      </c>
      <c r="E8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8" s="79" t="s">
        <v>248</v>
      </c>
      <c r="G8" s="148" t="s">
        <v>249</v>
      </c>
      <c r="H8" s="140" t="s">
        <v>9357</v>
      </c>
      <c r="I8" s="77" t="s">
        <v>9358</v>
      </c>
      <c r="J8" s="144" t="s">
        <v>9359</v>
      </c>
      <c r="K8" s="77" t="s">
        <v>169</v>
      </c>
      <c r="L8" s="76" t="str">
        <f>VLOOKUP(Anexo_5[[#This Row],[cod_doc]],COMPRAS!TIPODOC,2,FALSE)</f>
        <v>FACTURA</v>
      </c>
      <c r="M8" s="77" t="s">
        <v>105</v>
      </c>
      <c r="N8" s="79" t="s">
        <v>8050</v>
      </c>
      <c r="O8" s="80">
        <v>2538.1999999999998</v>
      </c>
      <c r="P8" s="81">
        <v>456.88</v>
      </c>
      <c r="Q8" s="80"/>
      <c r="R8" s="82">
        <v>2995.08</v>
      </c>
      <c r="S8" s="77"/>
      <c r="T8" s="77"/>
      <c r="U8" s="77"/>
      <c r="V8" s="77" t="s">
        <v>9336</v>
      </c>
      <c r="W8" s="83"/>
      <c r="X8" s="53" t="str">
        <f>IFERROR(VLOOKUP(Anexo_5[[#This Row],[CUENTA]],OP,2,0),"-")</f>
        <v>Productos Terminados - RRSS</v>
      </c>
    </row>
    <row r="9" spans="1:24" s="84" customFormat="1" ht="27" customHeight="1" x14ac:dyDescent="0.3">
      <c r="A9" s="75" t="s">
        <v>295</v>
      </c>
      <c r="B9" s="76" t="str">
        <f t="shared" si="0"/>
        <v>Junio</v>
      </c>
      <c r="C9" s="77" t="s">
        <v>240</v>
      </c>
      <c r="D9" s="77" t="s">
        <v>9360</v>
      </c>
      <c r="E9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9" s="79" t="s">
        <v>248</v>
      </c>
      <c r="G9" s="148" t="s">
        <v>249</v>
      </c>
      <c r="H9" s="140" t="s">
        <v>9357</v>
      </c>
      <c r="I9" s="77" t="s">
        <v>9358</v>
      </c>
      <c r="J9" s="144" t="s">
        <v>9359</v>
      </c>
      <c r="K9" s="77" t="s">
        <v>169</v>
      </c>
      <c r="L9" s="76" t="str">
        <f>VLOOKUP(Anexo_5[[#This Row],[cod_doc]],COMPRAS!TIPODOC,2,FALSE)</f>
        <v>FACTURA</v>
      </c>
      <c r="M9" s="77" t="s">
        <v>105</v>
      </c>
      <c r="N9" s="79" t="s">
        <v>9361</v>
      </c>
      <c r="O9" s="80">
        <v>115.37</v>
      </c>
      <c r="P9" s="81">
        <v>20.77</v>
      </c>
      <c r="Q9" s="80"/>
      <c r="R9" s="82">
        <v>136.13999999999999</v>
      </c>
      <c r="S9" s="77"/>
      <c r="T9" s="77"/>
      <c r="U9" s="77"/>
      <c r="V9" s="77" t="s">
        <v>9336</v>
      </c>
      <c r="W9" s="83"/>
      <c r="X9" s="53" t="str">
        <f>IFERROR(VLOOKUP(Anexo_5[[#This Row],[CUENTA]],OP,2,0),"-")</f>
        <v>Productos Terminados - RRSS</v>
      </c>
    </row>
    <row r="10" spans="1:24" s="84" customFormat="1" ht="27" customHeight="1" x14ac:dyDescent="0.3">
      <c r="A10" s="75" t="s">
        <v>295</v>
      </c>
      <c r="B10" s="76" t="str">
        <f t="shared" si="0"/>
        <v>Junio</v>
      </c>
      <c r="C10" s="77" t="s">
        <v>240</v>
      </c>
      <c r="D10" s="77" t="s">
        <v>9362</v>
      </c>
      <c r="E10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10" s="79" t="s">
        <v>248</v>
      </c>
      <c r="G10" s="148" t="s">
        <v>249</v>
      </c>
      <c r="H10" s="140" t="s">
        <v>9357</v>
      </c>
      <c r="I10" s="77" t="s">
        <v>9358</v>
      </c>
      <c r="J10" s="144" t="s">
        <v>9359</v>
      </c>
      <c r="K10" s="77" t="s">
        <v>169</v>
      </c>
      <c r="L10" s="76" t="str">
        <f>VLOOKUP(Anexo_5[[#This Row],[cod_doc]],COMPRAS!TIPODOC,2,FALSE)</f>
        <v>FACTURA</v>
      </c>
      <c r="M10" s="77" t="s">
        <v>105</v>
      </c>
      <c r="N10" s="79" t="s">
        <v>9363</v>
      </c>
      <c r="O10" s="80">
        <v>653.78</v>
      </c>
      <c r="P10" s="81">
        <v>117.68</v>
      </c>
      <c r="Q10" s="80"/>
      <c r="R10" s="82">
        <v>771.46</v>
      </c>
      <c r="S10" s="77"/>
      <c r="T10" s="77"/>
      <c r="U10" s="77"/>
      <c r="V10" s="77" t="s">
        <v>9336</v>
      </c>
      <c r="W10" s="83"/>
      <c r="X10" s="53" t="str">
        <f>IFERROR(VLOOKUP(Anexo_5[[#This Row],[CUENTA]],OP,2,0),"-")</f>
        <v>Productos Terminados - RRSS</v>
      </c>
    </row>
    <row r="11" spans="1:24" s="84" customFormat="1" ht="27" customHeight="1" x14ac:dyDescent="0.3">
      <c r="A11" s="75" t="s">
        <v>295</v>
      </c>
      <c r="B11" s="76" t="str">
        <f t="shared" si="0"/>
        <v>Junio</v>
      </c>
      <c r="C11" s="77" t="s">
        <v>240</v>
      </c>
      <c r="D11" s="77" t="s">
        <v>9364</v>
      </c>
      <c r="E11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11" s="79" t="s">
        <v>9281</v>
      </c>
      <c r="G11" s="148" t="s">
        <v>123</v>
      </c>
      <c r="H11" s="140" t="s">
        <v>9365</v>
      </c>
      <c r="I11" s="77" t="s">
        <v>9366</v>
      </c>
      <c r="J11" s="144" t="s">
        <v>9367</v>
      </c>
      <c r="K11" s="77" t="s">
        <v>169</v>
      </c>
      <c r="L11" s="76" t="str">
        <f>VLOOKUP(Anexo_5[[#This Row],[cod_doc]],COMPRAS!TIPODOC,2,FALSE)</f>
        <v>FACTURA</v>
      </c>
      <c r="M11" s="77" t="s">
        <v>1906</v>
      </c>
      <c r="N11" s="79" t="s">
        <v>9368</v>
      </c>
      <c r="O11" s="80">
        <v>6099</v>
      </c>
      <c r="P11" s="81">
        <v>1097.82</v>
      </c>
      <c r="Q11" s="80"/>
      <c r="R11" s="82">
        <v>7196.82</v>
      </c>
      <c r="S11" s="77"/>
      <c r="T11" s="77"/>
      <c r="U11" s="77"/>
      <c r="V11" s="77" t="s">
        <v>9369</v>
      </c>
      <c r="W11" s="83"/>
      <c r="X11" s="53" t="str">
        <f>IFERROR(VLOOKUP(Anexo_5[[#This Row],[CUENTA]],OP,2,0),"-")</f>
        <v>Transporte de Carga - Nacional</v>
      </c>
    </row>
    <row r="12" spans="1:24" s="84" customFormat="1" ht="27" customHeight="1" x14ac:dyDescent="0.3">
      <c r="A12" s="75" t="s">
        <v>295</v>
      </c>
      <c r="B12" s="76" t="str">
        <f t="shared" si="0"/>
        <v>Junio</v>
      </c>
      <c r="C12" s="77" t="s">
        <v>240</v>
      </c>
      <c r="D12" s="77" t="s">
        <v>9370</v>
      </c>
      <c r="E12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12" s="79" t="s">
        <v>4560</v>
      </c>
      <c r="G12" s="148" t="s">
        <v>115</v>
      </c>
      <c r="H12" s="140" t="s">
        <v>9371</v>
      </c>
      <c r="I12" s="77" t="s">
        <v>9372</v>
      </c>
      <c r="J12" s="144" t="s">
        <v>9373</v>
      </c>
      <c r="K12" s="77" t="s">
        <v>169</v>
      </c>
      <c r="L12" s="76" t="str">
        <f>VLOOKUP(Anexo_5[[#This Row],[cod_doc]],COMPRAS!TIPODOC,2,FALSE)</f>
        <v>FACTURA</v>
      </c>
      <c r="M12" s="77" t="s">
        <v>1906</v>
      </c>
      <c r="N12" s="79" t="s">
        <v>9374</v>
      </c>
      <c r="O12" s="80">
        <v>7201.4</v>
      </c>
      <c r="P12" s="81">
        <v>1296.252</v>
      </c>
      <c r="Q12" s="80"/>
      <c r="R12" s="82">
        <v>8497.652</v>
      </c>
      <c r="S12" s="77"/>
      <c r="T12" s="77"/>
      <c r="U12" s="77"/>
      <c r="V12" s="77" t="s">
        <v>9375</v>
      </c>
      <c r="W12" s="83"/>
      <c r="X12" s="53" t="str">
        <f>IFERROR(VLOOKUP(Anexo_5[[#This Row],[CUENTA]],OP,2,0),"-")</f>
        <v>Residuos No Peligrosos</v>
      </c>
    </row>
    <row r="13" spans="1:24" s="84" customFormat="1" ht="27" customHeight="1" x14ac:dyDescent="0.3">
      <c r="A13" s="75" t="s">
        <v>295</v>
      </c>
      <c r="B13" s="76" t="str">
        <f t="shared" si="0"/>
        <v>Junio</v>
      </c>
      <c r="C13" s="77" t="s">
        <v>240</v>
      </c>
      <c r="D13" s="77" t="s">
        <v>9370</v>
      </c>
      <c r="E13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13" s="79" t="s">
        <v>9274</v>
      </c>
      <c r="G13" s="148" t="s">
        <v>121</v>
      </c>
      <c r="H13" s="140" t="s">
        <v>9371</v>
      </c>
      <c r="I13" s="77" t="s">
        <v>9372</v>
      </c>
      <c r="J13" s="144" t="s">
        <v>9373</v>
      </c>
      <c r="K13" s="77" t="s">
        <v>169</v>
      </c>
      <c r="L13" s="76" t="str">
        <f>VLOOKUP(Anexo_5[[#This Row],[cod_doc]],COMPRAS!TIPODOC,2,FALSE)</f>
        <v>FACTURA</v>
      </c>
      <c r="M13" s="77" t="s">
        <v>1906</v>
      </c>
      <c r="N13" s="79" t="s">
        <v>9374</v>
      </c>
      <c r="O13" s="80">
        <v>2500</v>
      </c>
      <c r="P13" s="81">
        <v>450</v>
      </c>
      <c r="Q13" s="80"/>
      <c r="R13" s="82">
        <v>2950</v>
      </c>
      <c r="S13" s="77"/>
      <c r="T13" s="77"/>
      <c r="U13" s="77"/>
      <c r="V13" s="77" t="s">
        <v>9376</v>
      </c>
      <c r="W13" s="83"/>
      <c r="X13" s="53" t="str">
        <f>IFERROR(VLOOKUP(Anexo_5[[#This Row],[CUENTA]],OP,2,0),"-")</f>
        <v>Destrucción de merma y desmedro</v>
      </c>
    </row>
    <row r="14" spans="1:24" s="84" customFormat="1" ht="27" customHeight="1" x14ac:dyDescent="0.3">
      <c r="A14" s="75" t="s">
        <v>295</v>
      </c>
      <c r="B14" s="76" t="str">
        <f t="shared" si="0"/>
        <v>Junio</v>
      </c>
      <c r="C14" s="77" t="s">
        <v>240</v>
      </c>
      <c r="D14" s="77" t="s">
        <v>9377</v>
      </c>
      <c r="E14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14" s="79" t="s">
        <v>4560</v>
      </c>
      <c r="G14" s="148" t="s">
        <v>115</v>
      </c>
      <c r="H14" s="140" t="s">
        <v>9371</v>
      </c>
      <c r="I14" s="77" t="s">
        <v>9378</v>
      </c>
      <c r="J14" s="144" t="s">
        <v>9379</v>
      </c>
      <c r="K14" s="77" t="s">
        <v>169</v>
      </c>
      <c r="L14" s="76" t="str">
        <f>VLOOKUP(Anexo_5[[#This Row],[cod_doc]],COMPRAS!TIPODOC,2,FALSE)</f>
        <v>FACTURA</v>
      </c>
      <c r="M14" s="77" t="s">
        <v>1906</v>
      </c>
      <c r="N14" s="79" t="s">
        <v>8372</v>
      </c>
      <c r="O14" s="80">
        <v>1804</v>
      </c>
      <c r="P14" s="81">
        <v>324.72000000000003</v>
      </c>
      <c r="Q14" s="80"/>
      <c r="R14" s="82">
        <v>2128.7199999999998</v>
      </c>
      <c r="S14" s="77"/>
      <c r="T14" s="77"/>
      <c r="U14" s="77"/>
      <c r="V14" s="77" t="s">
        <v>9375</v>
      </c>
      <c r="W14" s="83"/>
      <c r="X14" s="53" t="str">
        <f>IFERROR(VLOOKUP(Anexo_5[[#This Row],[CUENTA]],OP,2,0),"-")</f>
        <v>Residuos No Peligrosos</v>
      </c>
    </row>
    <row r="15" spans="1:24" s="84" customFormat="1" ht="27" customHeight="1" x14ac:dyDescent="0.3">
      <c r="A15" s="75" t="s">
        <v>295</v>
      </c>
      <c r="B15" s="76" t="str">
        <f t="shared" si="0"/>
        <v>Junio</v>
      </c>
      <c r="C15" s="77" t="s">
        <v>240</v>
      </c>
      <c r="D15" s="77" t="s">
        <v>9380</v>
      </c>
      <c r="E15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15" s="79" t="s">
        <v>4563</v>
      </c>
      <c r="G15" s="148" t="s">
        <v>114</v>
      </c>
      <c r="H15" s="140" t="s">
        <v>9381</v>
      </c>
      <c r="I15" s="77" t="s">
        <v>9382</v>
      </c>
      <c r="J15" s="144" t="s">
        <v>9383</v>
      </c>
      <c r="K15" s="77" t="s">
        <v>169</v>
      </c>
      <c r="L15" s="76" t="str">
        <f>VLOOKUP(Anexo_5[[#This Row],[cod_doc]],COMPRAS!TIPODOC,2,FALSE)</f>
        <v>FACTURA</v>
      </c>
      <c r="M15" s="77" t="s">
        <v>1906</v>
      </c>
      <c r="N15" s="79" t="s">
        <v>9384</v>
      </c>
      <c r="O15" s="80">
        <v>1740</v>
      </c>
      <c r="P15" s="81">
        <v>313.2</v>
      </c>
      <c r="Q15" s="80"/>
      <c r="R15" s="82">
        <v>2053.1999999999998</v>
      </c>
      <c r="S15" s="77"/>
      <c r="T15" s="77"/>
      <c r="U15" s="77"/>
      <c r="V15" s="77" t="s">
        <v>9333</v>
      </c>
      <c r="W15" s="83"/>
      <c r="X15" s="53" t="str">
        <f>IFERROR(VLOOKUP(Anexo_5[[#This Row],[CUENTA]],OP,2,0),"-")</f>
        <v>Residuos Peligrosos</v>
      </c>
    </row>
    <row r="16" spans="1:24" s="84" customFormat="1" ht="27" customHeight="1" x14ac:dyDescent="0.3">
      <c r="A16" s="75" t="s">
        <v>295</v>
      </c>
      <c r="B16" s="76" t="str">
        <f t="shared" si="0"/>
        <v>Junio</v>
      </c>
      <c r="C16" s="77" t="s">
        <v>240</v>
      </c>
      <c r="D16" s="77" t="s">
        <v>9385</v>
      </c>
      <c r="E16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16" s="79" t="s">
        <v>4563</v>
      </c>
      <c r="G16" s="148" t="s">
        <v>114</v>
      </c>
      <c r="H16" s="140" t="s">
        <v>9386</v>
      </c>
      <c r="I16" s="77" t="s">
        <v>9387</v>
      </c>
      <c r="J16" s="144" t="s">
        <v>9388</v>
      </c>
      <c r="K16" s="77" t="s">
        <v>169</v>
      </c>
      <c r="L16" s="76" t="str">
        <f>VLOOKUP(Anexo_5[[#This Row],[cod_doc]],COMPRAS!TIPODOC,2,FALSE)</f>
        <v>FACTURA</v>
      </c>
      <c r="M16" s="77" t="s">
        <v>1906</v>
      </c>
      <c r="N16" s="79" t="s">
        <v>5917</v>
      </c>
      <c r="O16" s="80">
        <v>5850.02</v>
      </c>
      <c r="P16" s="81">
        <v>1053</v>
      </c>
      <c r="Q16" s="80"/>
      <c r="R16" s="82">
        <v>6903.02</v>
      </c>
      <c r="S16" s="77"/>
      <c r="T16" s="77"/>
      <c r="U16" s="77"/>
      <c r="V16" s="77" t="s">
        <v>9333</v>
      </c>
      <c r="W16" s="83"/>
      <c r="X16" s="53" t="str">
        <f>IFERROR(VLOOKUP(Anexo_5[[#This Row],[CUENTA]],OP,2,0),"-")</f>
        <v>Residuos Peligrosos</v>
      </c>
    </row>
    <row r="17" spans="1:24" s="84" customFormat="1" ht="27" customHeight="1" x14ac:dyDescent="0.3">
      <c r="A17" s="75" t="s">
        <v>316</v>
      </c>
      <c r="B17" s="76" t="str">
        <f t="shared" si="0"/>
        <v>Junio</v>
      </c>
      <c r="C17" s="77" t="s">
        <v>240</v>
      </c>
      <c r="D17" s="77" t="s">
        <v>9389</v>
      </c>
      <c r="E17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17" s="79" t="s">
        <v>248</v>
      </c>
      <c r="G17" s="148" t="s">
        <v>249</v>
      </c>
      <c r="H17" s="140" t="s">
        <v>9390</v>
      </c>
      <c r="I17" s="77" t="s">
        <v>9391</v>
      </c>
      <c r="J17" s="144" t="s">
        <v>9392</v>
      </c>
      <c r="K17" s="77" t="s">
        <v>169</v>
      </c>
      <c r="L17" s="76" t="str">
        <f>VLOOKUP(Anexo_5[[#This Row],[cod_doc]],COMPRAS!TIPODOC,2,FALSE)</f>
        <v>FACTURA</v>
      </c>
      <c r="M17" s="77" t="s">
        <v>105</v>
      </c>
      <c r="N17" s="79" t="s">
        <v>9393</v>
      </c>
      <c r="O17" s="80">
        <v>550</v>
      </c>
      <c r="P17" s="81">
        <v>99</v>
      </c>
      <c r="Q17" s="80"/>
      <c r="R17" s="82">
        <v>649</v>
      </c>
      <c r="S17" s="77"/>
      <c r="T17" s="77"/>
      <c r="U17" s="77"/>
      <c r="V17" s="77" t="s">
        <v>9336</v>
      </c>
      <c r="W17" s="83"/>
      <c r="X17" s="53" t="str">
        <f>IFERROR(VLOOKUP(Anexo_5[[#This Row],[CUENTA]],OP,2,0),"-")</f>
        <v>Productos Terminados - RRSS</v>
      </c>
    </row>
    <row r="18" spans="1:24" s="84" customFormat="1" ht="27" customHeight="1" x14ac:dyDescent="0.3">
      <c r="A18" s="75" t="s">
        <v>316</v>
      </c>
      <c r="B18" s="76" t="str">
        <f t="shared" si="0"/>
        <v>Junio</v>
      </c>
      <c r="C18" s="77" t="s">
        <v>240</v>
      </c>
      <c r="D18" s="77" t="s">
        <v>9394</v>
      </c>
      <c r="E18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18" s="79" t="s">
        <v>248</v>
      </c>
      <c r="G18" s="148" t="s">
        <v>249</v>
      </c>
      <c r="H18" s="140" t="s">
        <v>9343</v>
      </c>
      <c r="I18" s="77" t="s">
        <v>9344</v>
      </c>
      <c r="J18" s="144" t="s">
        <v>9345</v>
      </c>
      <c r="K18" s="77" t="s">
        <v>169</v>
      </c>
      <c r="L18" s="76" t="str">
        <f>VLOOKUP(Anexo_5[[#This Row],[cod_doc]],COMPRAS!TIPODOC,2,FALSE)</f>
        <v>FACTURA</v>
      </c>
      <c r="M18" s="77" t="s">
        <v>107</v>
      </c>
      <c r="N18" s="79" t="s">
        <v>9395</v>
      </c>
      <c r="O18" s="80">
        <v>1424</v>
      </c>
      <c r="P18" s="81">
        <v>256.32</v>
      </c>
      <c r="Q18" s="80"/>
      <c r="R18" s="82">
        <v>1680.32</v>
      </c>
      <c r="S18" s="77"/>
      <c r="T18" s="77"/>
      <c r="U18" s="77"/>
      <c r="V18" s="77" t="s">
        <v>9336</v>
      </c>
      <c r="W18" s="83"/>
      <c r="X18" s="53" t="str">
        <f>IFERROR(VLOOKUP(Anexo_5[[#This Row],[CUENTA]],OP,2,0),"-")</f>
        <v>Productos Terminados - RRSS</v>
      </c>
    </row>
    <row r="19" spans="1:24" s="84" customFormat="1" ht="27" customHeight="1" x14ac:dyDescent="0.3">
      <c r="A19" s="75" t="s">
        <v>349</v>
      </c>
      <c r="B19" s="76" t="str">
        <f t="shared" si="0"/>
        <v>Junio</v>
      </c>
      <c r="C19" s="77" t="s">
        <v>240</v>
      </c>
      <c r="D19" s="77" t="s">
        <v>9396</v>
      </c>
      <c r="E19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19" s="79" t="s">
        <v>4560</v>
      </c>
      <c r="G19" s="148" t="s">
        <v>115</v>
      </c>
      <c r="H19" s="140" t="s">
        <v>9371</v>
      </c>
      <c r="I19" s="77" t="s">
        <v>9397</v>
      </c>
      <c r="J19" s="144" t="s">
        <v>9398</v>
      </c>
      <c r="K19" s="77" t="s">
        <v>169</v>
      </c>
      <c r="L19" s="76" t="str">
        <f>VLOOKUP(Anexo_5[[#This Row],[cod_doc]],COMPRAS!TIPODOC,2,FALSE)</f>
        <v>FACTURA</v>
      </c>
      <c r="M19" s="77" t="s">
        <v>1906</v>
      </c>
      <c r="N19" s="79" t="s">
        <v>1897</v>
      </c>
      <c r="O19" s="80">
        <v>3880.35</v>
      </c>
      <c r="P19" s="81">
        <v>698.46</v>
      </c>
      <c r="Q19" s="80"/>
      <c r="R19" s="82">
        <v>4578.8100000000004</v>
      </c>
      <c r="S19" s="77"/>
      <c r="T19" s="77"/>
      <c r="U19" s="77"/>
      <c r="V19" s="77" t="s">
        <v>9375</v>
      </c>
      <c r="W19" s="83"/>
      <c r="X19" s="53" t="str">
        <f>IFERROR(VLOOKUP(Anexo_5[[#This Row],[CUENTA]],OP,2,0),"-")</f>
        <v>Residuos No Peligrosos</v>
      </c>
    </row>
    <row r="20" spans="1:24" s="84" customFormat="1" ht="27" customHeight="1" x14ac:dyDescent="0.3">
      <c r="A20" s="75" t="s">
        <v>533</v>
      </c>
      <c r="B20" s="76" t="str">
        <f t="shared" si="0"/>
        <v>Junio</v>
      </c>
      <c r="C20" s="77" t="s">
        <v>240</v>
      </c>
      <c r="D20" s="77" t="s">
        <v>9399</v>
      </c>
      <c r="E20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20" s="79" t="s">
        <v>4563</v>
      </c>
      <c r="G20" s="148" t="s">
        <v>114</v>
      </c>
      <c r="H20" s="140" t="s">
        <v>9400</v>
      </c>
      <c r="I20" s="77" t="s">
        <v>3717</v>
      </c>
      <c r="J20" s="144" t="s">
        <v>3718</v>
      </c>
      <c r="K20" s="77" t="s">
        <v>169</v>
      </c>
      <c r="L20" s="76" t="str">
        <f>VLOOKUP(Anexo_5[[#This Row],[cod_doc]],COMPRAS!TIPODOC,2,FALSE)</f>
        <v>FACTURA</v>
      </c>
      <c r="M20" s="77" t="s">
        <v>1906</v>
      </c>
      <c r="N20" s="79" t="s">
        <v>9401</v>
      </c>
      <c r="O20" s="80">
        <v>2095.0500000000002</v>
      </c>
      <c r="P20" s="81">
        <v>377.11</v>
      </c>
      <c r="Q20" s="80"/>
      <c r="R20" s="82">
        <v>2472.16</v>
      </c>
      <c r="S20" s="77"/>
      <c r="T20" s="77"/>
      <c r="U20" s="77"/>
      <c r="V20" s="77" t="s">
        <v>9333</v>
      </c>
      <c r="W20" s="83"/>
      <c r="X20" s="53" t="str">
        <f>IFERROR(VLOOKUP(Anexo_5[[#This Row],[CUENTA]],OP,2,0),"-")</f>
        <v>Residuos Peligrosos</v>
      </c>
    </row>
    <row r="21" spans="1:24" s="84" customFormat="1" ht="27" customHeight="1" x14ac:dyDescent="0.3">
      <c r="A21" s="75" t="s">
        <v>533</v>
      </c>
      <c r="B21" s="76" t="str">
        <f t="shared" si="0"/>
        <v>Junio</v>
      </c>
      <c r="C21" s="77" t="s">
        <v>240</v>
      </c>
      <c r="D21" s="77" t="s">
        <v>9402</v>
      </c>
      <c r="E21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21" s="79" t="s">
        <v>4563</v>
      </c>
      <c r="G21" s="148" t="s">
        <v>114</v>
      </c>
      <c r="H21" s="151" t="s">
        <v>9403</v>
      </c>
      <c r="I21" s="77" t="s">
        <v>3717</v>
      </c>
      <c r="J21" s="144" t="s">
        <v>3718</v>
      </c>
      <c r="K21" s="77" t="s">
        <v>169</v>
      </c>
      <c r="L21" s="76" t="str">
        <f>VLOOKUP(Anexo_5[[#This Row],[cod_doc]],COMPRAS!TIPODOC,2,FALSE)</f>
        <v>FACTURA</v>
      </c>
      <c r="M21" s="77" t="s">
        <v>1906</v>
      </c>
      <c r="N21" s="79" t="s">
        <v>8679</v>
      </c>
      <c r="O21" s="80">
        <v>5240.6000000000004</v>
      </c>
      <c r="P21" s="81">
        <v>943.30799999999999</v>
      </c>
      <c r="Q21" s="80"/>
      <c r="R21" s="82">
        <v>6183.9080000000004</v>
      </c>
      <c r="S21" s="77"/>
      <c r="T21" s="77"/>
      <c r="U21" s="77"/>
      <c r="V21" s="77" t="s">
        <v>9333</v>
      </c>
      <c r="W21" s="83"/>
      <c r="X21" s="53" t="str">
        <f>IFERROR(VLOOKUP(Anexo_5[[#This Row],[CUENTA]],OP,2,0),"-")</f>
        <v>Residuos Peligrosos</v>
      </c>
    </row>
    <row r="22" spans="1:24" s="84" customFormat="1" ht="27" customHeight="1" x14ac:dyDescent="0.3">
      <c r="A22" s="75" t="s">
        <v>533</v>
      </c>
      <c r="B22" s="76" t="str">
        <f t="shared" si="0"/>
        <v>Junio</v>
      </c>
      <c r="C22" s="77" t="s">
        <v>240</v>
      </c>
      <c r="D22" s="77" t="s">
        <v>9402</v>
      </c>
      <c r="E22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22" s="79" t="s">
        <v>4560</v>
      </c>
      <c r="G22" s="148" t="s">
        <v>115</v>
      </c>
      <c r="H22" s="151" t="s">
        <v>9403</v>
      </c>
      <c r="I22" s="77" t="s">
        <v>3717</v>
      </c>
      <c r="J22" s="144" t="s">
        <v>3718</v>
      </c>
      <c r="K22" s="77" t="s">
        <v>169</v>
      </c>
      <c r="L22" s="76" t="str">
        <f>VLOOKUP(Anexo_5[[#This Row],[cod_doc]],COMPRAS!TIPODOC,2,FALSE)</f>
        <v>FACTURA</v>
      </c>
      <c r="M22" s="77" t="s">
        <v>1906</v>
      </c>
      <c r="N22" s="79" t="s">
        <v>8679</v>
      </c>
      <c r="O22" s="80">
        <v>1105.78</v>
      </c>
      <c r="P22" s="81">
        <v>199.04039999999998</v>
      </c>
      <c r="Q22" s="80"/>
      <c r="R22" s="82">
        <v>1304.8204000000001</v>
      </c>
      <c r="S22" s="77"/>
      <c r="T22" s="77"/>
      <c r="U22" s="77"/>
      <c r="V22" s="77" t="s">
        <v>9375</v>
      </c>
      <c r="W22" s="83"/>
      <c r="X22" s="53" t="str">
        <f>IFERROR(VLOOKUP(Anexo_5[[#This Row],[CUENTA]],OP,2,0),"-")</f>
        <v>Residuos No Peligrosos</v>
      </c>
    </row>
    <row r="23" spans="1:24" s="84" customFormat="1" ht="27" customHeight="1" x14ac:dyDescent="0.3">
      <c r="A23" s="75" t="s">
        <v>533</v>
      </c>
      <c r="B23" s="76" t="str">
        <f t="shared" si="0"/>
        <v>Junio</v>
      </c>
      <c r="C23" s="77" t="s">
        <v>240</v>
      </c>
      <c r="D23" s="77" t="s">
        <v>9404</v>
      </c>
      <c r="E23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23" s="79" t="s">
        <v>9271</v>
      </c>
      <c r="G23" s="148" t="s">
        <v>9272</v>
      </c>
      <c r="H23" s="140" t="s">
        <v>9405</v>
      </c>
      <c r="I23" s="77" t="s">
        <v>3717</v>
      </c>
      <c r="J23" s="144" t="s">
        <v>3718</v>
      </c>
      <c r="K23" s="77" t="s">
        <v>169</v>
      </c>
      <c r="L23" s="76" t="str">
        <f>VLOOKUP(Anexo_5[[#This Row],[cod_doc]],COMPRAS!TIPODOC,2,FALSE)</f>
        <v>FACTURA</v>
      </c>
      <c r="M23" s="77" t="s">
        <v>1906</v>
      </c>
      <c r="N23" s="79" t="s">
        <v>9406</v>
      </c>
      <c r="O23" s="80">
        <v>2790</v>
      </c>
      <c r="P23" s="81">
        <v>502.2</v>
      </c>
      <c r="Q23" s="80"/>
      <c r="R23" s="82">
        <v>3292.2</v>
      </c>
      <c r="S23" s="77"/>
      <c r="T23" s="77"/>
      <c r="U23" s="77"/>
      <c r="V23" s="77" t="s">
        <v>9407</v>
      </c>
      <c r="W23" s="83"/>
      <c r="X23" s="53" t="str">
        <f>IFERROR(VLOOKUP(Anexo_5[[#This Row],[CUENTA]],OP,2,0),"-")</f>
        <v>Limpieza de Biodigestores</v>
      </c>
    </row>
    <row r="24" spans="1:24" s="84" customFormat="1" ht="27" customHeight="1" x14ac:dyDescent="0.3">
      <c r="A24" s="75" t="s">
        <v>533</v>
      </c>
      <c r="B24" s="76" t="str">
        <f t="shared" si="0"/>
        <v>Junio</v>
      </c>
      <c r="C24" s="77" t="s">
        <v>240</v>
      </c>
      <c r="D24" s="77" t="s">
        <v>9408</v>
      </c>
      <c r="E24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24" s="79" t="s">
        <v>4560</v>
      </c>
      <c r="G24" s="148" t="s">
        <v>115</v>
      </c>
      <c r="H24" s="140" t="s">
        <v>9409</v>
      </c>
      <c r="I24" s="77" t="s">
        <v>9378</v>
      </c>
      <c r="J24" s="144" t="s">
        <v>9379</v>
      </c>
      <c r="K24" s="77" t="s">
        <v>169</v>
      </c>
      <c r="L24" s="76" t="str">
        <f>VLOOKUP(Anexo_5[[#This Row],[cod_doc]],COMPRAS!TIPODOC,2,FALSE)</f>
        <v>FACTURA</v>
      </c>
      <c r="M24" s="77" t="s">
        <v>1906</v>
      </c>
      <c r="N24" s="79" t="s">
        <v>6935</v>
      </c>
      <c r="O24" s="80">
        <v>1777</v>
      </c>
      <c r="P24" s="81">
        <v>319.86</v>
      </c>
      <c r="Q24" s="80"/>
      <c r="R24" s="82">
        <v>2096.86</v>
      </c>
      <c r="S24" s="77"/>
      <c r="T24" s="77"/>
      <c r="U24" s="77"/>
      <c r="V24" s="77" t="s">
        <v>9375</v>
      </c>
      <c r="W24" s="83"/>
      <c r="X24" s="53" t="str">
        <f>IFERROR(VLOOKUP(Anexo_5[[#This Row],[CUENTA]],OP,2,0),"-")</f>
        <v>Residuos No Peligrosos</v>
      </c>
    </row>
    <row r="25" spans="1:24" s="84" customFormat="1" ht="27" customHeight="1" x14ac:dyDescent="0.3">
      <c r="A25" s="75" t="s">
        <v>540</v>
      </c>
      <c r="B25" s="76" t="str">
        <f t="shared" si="0"/>
        <v>Junio</v>
      </c>
      <c r="C25" s="77" t="s">
        <v>240</v>
      </c>
      <c r="D25" s="77" t="s">
        <v>9410</v>
      </c>
      <c r="E25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25" s="79" t="s">
        <v>248</v>
      </c>
      <c r="G25" s="148" t="s">
        <v>249</v>
      </c>
      <c r="H25" s="140" t="s">
        <v>9411</v>
      </c>
      <c r="I25" s="77" t="s">
        <v>9412</v>
      </c>
      <c r="J25" s="144" t="s">
        <v>9413</v>
      </c>
      <c r="K25" s="77" t="s">
        <v>169</v>
      </c>
      <c r="L25" s="76" t="str">
        <f>VLOOKUP(Anexo_5[[#This Row],[cod_doc]],COMPRAS!TIPODOC,2,FALSE)</f>
        <v>FACTURA</v>
      </c>
      <c r="M25" s="77" t="s">
        <v>105</v>
      </c>
      <c r="N25" s="79" t="s">
        <v>9414</v>
      </c>
      <c r="O25" s="80">
        <v>120</v>
      </c>
      <c r="P25" s="81">
        <v>21.6</v>
      </c>
      <c r="Q25" s="80"/>
      <c r="R25" s="82">
        <v>141.6</v>
      </c>
      <c r="S25" s="77"/>
      <c r="T25" s="77"/>
      <c r="U25" s="77"/>
      <c r="V25" s="77" t="s">
        <v>9336</v>
      </c>
      <c r="W25" s="83"/>
      <c r="X25" s="53" t="str">
        <f>IFERROR(VLOOKUP(Anexo_5[[#This Row],[CUENTA]],OP,2,0),"-")</f>
        <v>Productos Terminados - RRSS</v>
      </c>
    </row>
    <row r="26" spans="1:24" s="84" customFormat="1" ht="27" customHeight="1" x14ac:dyDescent="0.3">
      <c r="A26" s="75" t="s">
        <v>540</v>
      </c>
      <c r="B26" s="76" t="str">
        <f t="shared" si="0"/>
        <v>Junio</v>
      </c>
      <c r="C26" s="77" t="s">
        <v>240</v>
      </c>
      <c r="D26" s="77" t="s">
        <v>9415</v>
      </c>
      <c r="E26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26" s="79" t="s">
        <v>248</v>
      </c>
      <c r="G26" s="148" t="s">
        <v>249</v>
      </c>
      <c r="H26" s="140" t="s">
        <v>9416</v>
      </c>
      <c r="I26" s="77" t="s">
        <v>9417</v>
      </c>
      <c r="J26" s="144" t="s">
        <v>9418</v>
      </c>
      <c r="K26" s="77" t="s">
        <v>169</v>
      </c>
      <c r="L26" s="76" t="str">
        <f>VLOOKUP(Anexo_5[[#This Row],[cod_doc]],COMPRAS!TIPODOC,2,FALSE)</f>
        <v>FACTURA</v>
      </c>
      <c r="M26" s="77" t="s">
        <v>105</v>
      </c>
      <c r="N26" s="79" t="s">
        <v>7942</v>
      </c>
      <c r="O26" s="80">
        <v>700</v>
      </c>
      <c r="P26" s="81">
        <v>126</v>
      </c>
      <c r="Q26" s="80"/>
      <c r="R26" s="82">
        <v>826</v>
      </c>
      <c r="S26" s="77"/>
      <c r="T26" s="77"/>
      <c r="U26" s="77"/>
      <c r="V26" s="77" t="s">
        <v>9336</v>
      </c>
      <c r="W26" s="83"/>
      <c r="X26" s="53" t="str">
        <f>IFERROR(VLOOKUP(Anexo_5[[#This Row],[CUENTA]],OP,2,0),"-")</f>
        <v>Productos Terminados - RRSS</v>
      </c>
    </row>
    <row r="27" spans="1:24" s="84" customFormat="1" ht="27" customHeight="1" x14ac:dyDescent="0.3">
      <c r="A27" s="75" t="s">
        <v>540</v>
      </c>
      <c r="B27" s="76" t="str">
        <f t="shared" si="0"/>
        <v>Junio</v>
      </c>
      <c r="C27" s="77" t="s">
        <v>240</v>
      </c>
      <c r="D27" s="77" t="s">
        <v>9419</v>
      </c>
      <c r="E27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27" s="79" t="s">
        <v>248</v>
      </c>
      <c r="G27" s="148" t="s">
        <v>249</v>
      </c>
      <c r="H27" s="140" t="s">
        <v>9343</v>
      </c>
      <c r="I27" s="77" t="s">
        <v>9344</v>
      </c>
      <c r="J27" s="144" t="s">
        <v>9345</v>
      </c>
      <c r="K27" s="77" t="s">
        <v>169</v>
      </c>
      <c r="L27" s="76" t="str">
        <f>VLOOKUP(Anexo_5[[#This Row],[cod_doc]],COMPRAS!TIPODOC,2,FALSE)</f>
        <v>FACTURA</v>
      </c>
      <c r="M27" s="77" t="s">
        <v>107</v>
      </c>
      <c r="N27" s="79" t="s">
        <v>9420</v>
      </c>
      <c r="O27" s="80">
        <v>680</v>
      </c>
      <c r="P27" s="81">
        <v>122.4</v>
      </c>
      <c r="Q27" s="80"/>
      <c r="R27" s="82">
        <v>802.4</v>
      </c>
      <c r="S27" s="77"/>
      <c r="T27" s="77"/>
      <c r="U27" s="77"/>
      <c r="V27" s="77" t="s">
        <v>9336</v>
      </c>
      <c r="W27" s="83"/>
      <c r="X27" s="53" t="str">
        <f>IFERROR(VLOOKUP(Anexo_5[[#This Row],[CUENTA]],OP,2,0),"-")</f>
        <v>Productos Terminados - RRSS</v>
      </c>
    </row>
    <row r="28" spans="1:24" s="84" customFormat="1" ht="27" customHeight="1" x14ac:dyDescent="0.3">
      <c r="A28" s="75" t="s">
        <v>540</v>
      </c>
      <c r="B28" s="76" t="str">
        <f t="shared" si="0"/>
        <v>Junio</v>
      </c>
      <c r="C28" s="77" t="s">
        <v>240</v>
      </c>
      <c r="D28" s="77" t="s">
        <v>9421</v>
      </c>
      <c r="E28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28" s="79" t="s">
        <v>248</v>
      </c>
      <c r="G28" s="148" t="s">
        <v>249</v>
      </c>
      <c r="H28" s="140" t="s">
        <v>9343</v>
      </c>
      <c r="I28" s="77" t="s">
        <v>9422</v>
      </c>
      <c r="J28" s="144" t="s">
        <v>9423</v>
      </c>
      <c r="K28" s="77" t="s">
        <v>169</v>
      </c>
      <c r="L28" s="76" t="str">
        <f>VLOOKUP(Anexo_5[[#This Row],[cod_doc]],COMPRAS!TIPODOC,2,FALSE)</f>
        <v>FACTURA</v>
      </c>
      <c r="M28" s="77" t="s">
        <v>107</v>
      </c>
      <c r="N28" s="79" t="s">
        <v>9424</v>
      </c>
      <c r="O28" s="80">
        <v>1869</v>
      </c>
      <c r="P28" s="81">
        <v>336.42</v>
      </c>
      <c r="Q28" s="80"/>
      <c r="R28" s="82">
        <v>2205.42</v>
      </c>
      <c r="S28" s="77"/>
      <c r="T28" s="77"/>
      <c r="U28" s="77"/>
      <c r="V28" s="77" t="s">
        <v>9336</v>
      </c>
      <c r="W28" s="83"/>
      <c r="X28" s="53" t="str">
        <f>IFERROR(VLOOKUP(Anexo_5[[#This Row],[CUENTA]],OP,2,0),"-")</f>
        <v>Productos Terminados - RRSS</v>
      </c>
    </row>
    <row r="29" spans="1:24" s="84" customFormat="1" ht="27" customHeight="1" x14ac:dyDescent="0.3">
      <c r="A29" s="75" t="s">
        <v>540</v>
      </c>
      <c r="B29" s="76" t="str">
        <f t="shared" si="0"/>
        <v>Junio</v>
      </c>
      <c r="C29" s="77" t="s">
        <v>240</v>
      </c>
      <c r="D29" s="77" t="s">
        <v>9425</v>
      </c>
      <c r="E29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29" s="79" t="s">
        <v>248</v>
      </c>
      <c r="G29" s="148" t="s">
        <v>249</v>
      </c>
      <c r="H29" s="140" t="s">
        <v>9343</v>
      </c>
      <c r="I29" s="77" t="s">
        <v>9422</v>
      </c>
      <c r="J29" s="144" t="s">
        <v>9423</v>
      </c>
      <c r="K29" s="77" t="s">
        <v>1896</v>
      </c>
      <c r="L29" s="76" t="str">
        <f>VLOOKUP(Anexo_5[[#This Row],[cod_doc]],COMPRAS!TIPODOC,2,FALSE)</f>
        <v>NOTA DE CREDITO</v>
      </c>
      <c r="M29" s="77" t="s">
        <v>109</v>
      </c>
      <c r="N29" s="79" t="s">
        <v>7419</v>
      </c>
      <c r="O29" s="80">
        <v>-1869</v>
      </c>
      <c r="P29" s="81">
        <v>-336.42</v>
      </c>
      <c r="Q29" s="80"/>
      <c r="R29" s="82">
        <v>-2205.42</v>
      </c>
      <c r="S29" s="77" t="s">
        <v>162</v>
      </c>
      <c r="T29" s="77" t="s">
        <v>107</v>
      </c>
      <c r="U29" s="77" t="s">
        <v>9426</v>
      </c>
      <c r="V29" s="77" t="s">
        <v>9336</v>
      </c>
      <c r="W29" s="83"/>
      <c r="X29" s="53" t="str">
        <f>IFERROR(VLOOKUP(Anexo_5[[#This Row],[CUENTA]],OP,2,0),"-")</f>
        <v>Productos Terminados - RRSS</v>
      </c>
    </row>
    <row r="30" spans="1:24" s="84" customFormat="1" ht="27" customHeight="1" x14ac:dyDescent="0.3">
      <c r="A30" s="75" t="s">
        <v>685</v>
      </c>
      <c r="B30" s="76" t="str">
        <f t="shared" si="0"/>
        <v>Junio</v>
      </c>
      <c r="C30" s="77" t="s">
        <v>240</v>
      </c>
      <c r="D30" s="77" t="s">
        <v>9427</v>
      </c>
      <c r="E30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30" s="79" t="s">
        <v>4560</v>
      </c>
      <c r="G30" s="148" t="s">
        <v>115</v>
      </c>
      <c r="H30" s="140" t="s">
        <v>9428</v>
      </c>
      <c r="I30" s="77" t="s">
        <v>980</v>
      </c>
      <c r="J30" s="144" t="s">
        <v>981</v>
      </c>
      <c r="K30" s="77" t="s">
        <v>169</v>
      </c>
      <c r="L30" s="76" t="str">
        <f>VLOOKUP(Anexo_5[[#This Row],[cod_doc]],COMPRAS!TIPODOC,2,FALSE)</f>
        <v>FACTURA</v>
      </c>
      <c r="M30" s="77" t="s">
        <v>1906</v>
      </c>
      <c r="N30" s="79" t="s">
        <v>9429</v>
      </c>
      <c r="O30" s="80">
        <v>2073.02</v>
      </c>
      <c r="P30" s="81">
        <v>373.14</v>
      </c>
      <c r="Q30" s="80"/>
      <c r="R30" s="82">
        <v>2446.16</v>
      </c>
      <c r="S30" s="77"/>
      <c r="T30" s="77"/>
      <c r="U30" s="77"/>
      <c r="V30" s="77" t="s">
        <v>9375</v>
      </c>
      <c r="W30" s="83"/>
      <c r="X30" s="53" t="str">
        <f>IFERROR(VLOOKUP(Anexo_5[[#This Row],[CUENTA]],OP,2,0),"-")</f>
        <v>Residuos No Peligrosos</v>
      </c>
    </row>
    <row r="31" spans="1:24" s="84" customFormat="1" ht="27" customHeight="1" x14ac:dyDescent="0.3">
      <c r="A31" s="75" t="s">
        <v>685</v>
      </c>
      <c r="B31" s="76" t="str">
        <f t="shared" si="0"/>
        <v>Junio</v>
      </c>
      <c r="C31" s="77" t="s">
        <v>240</v>
      </c>
      <c r="D31" s="77" t="s">
        <v>9430</v>
      </c>
      <c r="E31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31" s="79" t="s">
        <v>4563</v>
      </c>
      <c r="G31" s="148" t="s">
        <v>114</v>
      </c>
      <c r="H31" s="140" t="s">
        <v>9431</v>
      </c>
      <c r="I31" s="77" t="s">
        <v>9382</v>
      </c>
      <c r="J31" s="144" t="s">
        <v>9383</v>
      </c>
      <c r="K31" s="77" t="s">
        <v>169</v>
      </c>
      <c r="L31" s="76" t="str">
        <f>VLOOKUP(Anexo_5[[#This Row],[cod_doc]],COMPRAS!TIPODOC,2,FALSE)</f>
        <v>FACTURA</v>
      </c>
      <c r="M31" s="77" t="s">
        <v>1906</v>
      </c>
      <c r="N31" s="79" t="s">
        <v>9432</v>
      </c>
      <c r="O31" s="80">
        <v>850</v>
      </c>
      <c r="P31" s="81">
        <v>153</v>
      </c>
      <c r="Q31" s="80"/>
      <c r="R31" s="82">
        <v>1003</v>
      </c>
      <c r="S31" s="77"/>
      <c r="T31" s="77"/>
      <c r="U31" s="77"/>
      <c r="V31" s="77" t="s">
        <v>9333</v>
      </c>
      <c r="W31" s="83"/>
      <c r="X31" s="53" t="str">
        <f>IFERROR(VLOOKUP(Anexo_5[[#This Row],[CUENTA]],OP,2,0),"-")</f>
        <v>Residuos Peligrosos</v>
      </c>
    </row>
    <row r="32" spans="1:24" s="84" customFormat="1" ht="27" customHeight="1" x14ac:dyDescent="0.3">
      <c r="A32" s="75" t="s">
        <v>685</v>
      </c>
      <c r="B32" s="76" t="str">
        <f t="shared" si="0"/>
        <v>Junio</v>
      </c>
      <c r="C32" s="77" t="s">
        <v>240</v>
      </c>
      <c r="D32" s="77" t="s">
        <v>9433</v>
      </c>
      <c r="E32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32" s="79" t="s">
        <v>4563</v>
      </c>
      <c r="G32" s="148" t="s">
        <v>114</v>
      </c>
      <c r="H32" s="140" t="s">
        <v>9434</v>
      </c>
      <c r="I32" s="77" t="s">
        <v>9435</v>
      </c>
      <c r="J32" s="144" t="s">
        <v>9436</v>
      </c>
      <c r="K32" s="77" t="s">
        <v>169</v>
      </c>
      <c r="L32" s="76" t="str">
        <f>VLOOKUP(Anexo_5[[#This Row],[cod_doc]],COMPRAS!TIPODOC,2,FALSE)</f>
        <v>FACTURA</v>
      </c>
      <c r="M32" s="77" t="s">
        <v>1906</v>
      </c>
      <c r="N32" s="79" t="s">
        <v>9437</v>
      </c>
      <c r="O32" s="80">
        <v>960.3</v>
      </c>
      <c r="P32" s="81">
        <v>172.85399999999998</v>
      </c>
      <c r="Q32" s="80"/>
      <c r="R32" s="82">
        <v>1133.154</v>
      </c>
      <c r="S32" s="77"/>
      <c r="T32" s="77"/>
      <c r="U32" s="77"/>
      <c r="V32" s="77" t="s">
        <v>9333</v>
      </c>
      <c r="W32" s="83"/>
      <c r="X32" s="53" t="str">
        <f>IFERROR(VLOOKUP(Anexo_5[[#This Row],[CUENTA]],OP,2,0),"-")</f>
        <v>Residuos Peligrosos</v>
      </c>
    </row>
    <row r="33" spans="1:24" s="84" customFormat="1" ht="27" customHeight="1" x14ac:dyDescent="0.3">
      <c r="A33" s="75" t="s">
        <v>685</v>
      </c>
      <c r="B33" s="76" t="str">
        <f t="shared" si="0"/>
        <v>Junio</v>
      </c>
      <c r="C33" s="77" t="s">
        <v>240</v>
      </c>
      <c r="D33" s="77" t="s">
        <v>9433</v>
      </c>
      <c r="E33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33" s="79" t="s">
        <v>4560</v>
      </c>
      <c r="G33" s="148" t="s">
        <v>115</v>
      </c>
      <c r="H33" s="140" t="s">
        <v>9434</v>
      </c>
      <c r="I33" s="77" t="s">
        <v>9435</v>
      </c>
      <c r="J33" s="144" t="s">
        <v>9436</v>
      </c>
      <c r="K33" s="77" t="s">
        <v>169</v>
      </c>
      <c r="L33" s="76" t="str">
        <f>VLOOKUP(Anexo_5[[#This Row],[cod_doc]],COMPRAS!TIPODOC,2,FALSE)</f>
        <v>FACTURA</v>
      </c>
      <c r="M33" s="77" t="s">
        <v>1906</v>
      </c>
      <c r="N33" s="79" t="s">
        <v>9437</v>
      </c>
      <c r="O33" s="80">
        <v>80.400000000000006</v>
      </c>
      <c r="P33" s="81">
        <v>14.472000000000001</v>
      </c>
      <c r="Q33" s="80"/>
      <c r="R33" s="82">
        <v>94.872000000000014</v>
      </c>
      <c r="S33" s="77"/>
      <c r="T33" s="77"/>
      <c r="U33" s="77"/>
      <c r="V33" s="77" t="s">
        <v>9375</v>
      </c>
      <c r="W33" s="83"/>
      <c r="X33" s="53" t="str">
        <f>IFERROR(VLOOKUP(Anexo_5[[#This Row],[CUENTA]],OP,2,0),"-")</f>
        <v>Residuos No Peligrosos</v>
      </c>
    </row>
    <row r="34" spans="1:24" s="84" customFormat="1" ht="27" customHeight="1" x14ac:dyDescent="0.3">
      <c r="A34" s="75" t="s">
        <v>685</v>
      </c>
      <c r="B34" s="76" t="str">
        <f t="shared" si="0"/>
        <v>Junio</v>
      </c>
      <c r="C34" s="77" t="s">
        <v>240</v>
      </c>
      <c r="D34" s="77" t="s">
        <v>9438</v>
      </c>
      <c r="E34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34" s="79" t="s">
        <v>4560</v>
      </c>
      <c r="G34" s="148" t="s">
        <v>115</v>
      </c>
      <c r="H34" s="140" t="s">
        <v>9439</v>
      </c>
      <c r="I34" s="77" t="s">
        <v>980</v>
      </c>
      <c r="J34" s="144" t="s">
        <v>981</v>
      </c>
      <c r="K34" s="77" t="s">
        <v>169</v>
      </c>
      <c r="L34" s="76" t="str">
        <f>VLOOKUP(Anexo_5[[#This Row],[cod_doc]],COMPRAS!TIPODOC,2,FALSE)</f>
        <v>FACTURA</v>
      </c>
      <c r="M34" s="77" t="s">
        <v>1906</v>
      </c>
      <c r="N34" s="79" t="s">
        <v>6427</v>
      </c>
      <c r="O34" s="80">
        <v>1921.12</v>
      </c>
      <c r="P34" s="81">
        <v>345.8</v>
      </c>
      <c r="Q34" s="80"/>
      <c r="R34" s="82">
        <v>2266.92</v>
      </c>
      <c r="S34" s="77"/>
      <c r="T34" s="77"/>
      <c r="U34" s="77"/>
      <c r="V34" s="77" t="s">
        <v>9375</v>
      </c>
      <c r="W34" s="83"/>
      <c r="X34" s="53" t="str">
        <f>IFERROR(VLOOKUP(Anexo_5[[#This Row],[CUENTA]],OP,2,0),"-")</f>
        <v>Residuos No Peligrosos</v>
      </c>
    </row>
    <row r="35" spans="1:24" s="84" customFormat="1" ht="27" customHeight="1" x14ac:dyDescent="0.3">
      <c r="A35" s="75" t="s">
        <v>685</v>
      </c>
      <c r="B35" s="76" t="str">
        <f t="shared" si="0"/>
        <v>Junio</v>
      </c>
      <c r="C35" s="77" t="s">
        <v>240</v>
      </c>
      <c r="D35" s="77" t="s">
        <v>9440</v>
      </c>
      <c r="E35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35" s="79" t="s">
        <v>4563</v>
      </c>
      <c r="G35" s="148" t="s">
        <v>114</v>
      </c>
      <c r="H35" s="140" t="s">
        <v>9381</v>
      </c>
      <c r="I35" s="77" t="s">
        <v>9382</v>
      </c>
      <c r="J35" s="144" t="s">
        <v>9383</v>
      </c>
      <c r="K35" s="77" t="s">
        <v>169</v>
      </c>
      <c r="L35" s="76" t="str">
        <f>VLOOKUP(Anexo_5[[#This Row],[cod_doc]],COMPRAS!TIPODOC,2,FALSE)</f>
        <v>FACTURA</v>
      </c>
      <c r="M35" s="77" t="s">
        <v>1906</v>
      </c>
      <c r="N35" s="79" t="s">
        <v>7992</v>
      </c>
      <c r="O35" s="80">
        <v>850</v>
      </c>
      <c r="P35" s="81">
        <v>153</v>
      </c>
      <c r="Q35" s="80"/>
      <c r="R35" s="82">
        <v>1003</v>
      </c>
      <c r="S35" s="77"/>
      <c r="T35" s="77"/>
      <c r="U35" s="77"/>
      <c r="V35" s="77" t="s">
        <v>9333</v>
      </c>
      <c r="W35" s="83"/>
      <c r="X35" s="53" t="str">
        <f>IFERROR(VLOOKUP(Anexo_5[[#This Row],[CUENTA]],OP,2,0),"-")</f>
        <v>Residuos Peligrosos</v>
      </c>
    </row>
    <row r="36" spans="1:24" s="84" customFormat="1" ht="27" customHeight="1" x14ac:dyDescent="0.3">
      <c r="A36" s="75" t="s">
        <v>685</v>
      </c>
      <c r="B36" s="76" t="str">
        <f t="shared" si="0"/>
        <v>Junio</v>
      </c>
      <c r="C36" s="77" t="s">
        <v>240</v>
      </c>
      <c r="D36" s="77" t="s">
        <v>9441</v>
      </c>
      <c r="E36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36" s="79" t="s">
        <v>9278</v>
      </c>
      <c r="G36" s="148" t="s">
        <v>122</v>
      </c>
      <c r="H36" s="140" t="s">
        <v>9348</v>
      </c>
      <c r="I36" s="77" t="s">
        <v>536</v>
      </c>
      <c r="J36" s="144" t="s">
        <v>537</v>
      </c>
      <c r="K36" s="77" t="s">
        <v>169</v>
      </c>
      <c r="L36" s="76" t="str">
        <f>VLOOKUP(Anexo_5[[#This Row],[cod_doc]],COMPRAS!TIPODOC,2,FALSE)</f>
        <v>FACTURA</v>
      </c>
      <c r="M36" s="77" t="s">
        <v>1906</v>
      </c>
      <c r="N36" s="79" t="s">
        <v>9442</v>
      </c>
      <c r="O36" s="80">
        <v>2383.36</v>
      </c>
      <c r="P36" s="81">
        <v>429</v>
      </c>
      <c r="Q36" s="80"/>
      <c r="R36" s="82">
        <v>2812.36</v>
      </c>
      <c r="S36" s="77"/>
      <c r="T36" s="77"/>
      <c r="U36" s="77"/>
      <c r="V36" s="77" t="s">
        <v>9350</v>
      </c>
      <c r="W36" s="83"/>
      <c r="X36" s="53" t="str">
        <f>IFERROR(VLOOKUP(Anexo_5[[#This Row],[CUENTA]],OP,2,0),"-")</f>
        <v>Transporte de Carga - Local</v>
      </c>
    </row>
    <row r="37" spans="1:24" s="84" customFormat="1" ht="27" customHeight="1" x14ac:dyDescent="0.3">
      <c r="A37" s="75" t="s">
        <v>685</v>
      </c>
      <c r="B37" s="76" t="str">
        <f t="shared" si="0"/>
        <v>Junio</v>
      </c>
      <c r="C37" s="77" t="s">
        <v>240</v>
      </c>
      <c r="D37" s="77" t="s">
        <v>9443</v>
      </c>
      <c r="E37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37" s="79" t="s">
        <v>4563</v>
      </c>
      <c r="G37" s="148" t="s">
        <v>114</v>
      </c>
      <c r="H37" s="140" t="s">
        <v>9431</v>
      </c>
      <c r="I37" s="77" t="s">
        <v>9382</v>
      </c>
      <c r="J37" s="144" t="s">
        <v>9383</v>
      </c>
      <c r="K37" s="77" t="s">
        <v>1896</v>
      </c>
      <c r="L37" s="76" t="str">
        <f>VLOOKUP(Anexo_5[[#This Row],[cod_doc]],COMPRAS!TIPODOC,2,FALSE)</f>
        <v>NOTA DE CREDITO</v>
      </c>
      <c r="M37" s="77" t="s">
        <v>9444</v>
      </c>
      <c r="N37" s="79" t="s">
        <v>9445</v>
      </c>
      <c r="O37" s="80">
        <v>-850</v>
      </c>
      <c r="P37" s="81">
        <v>-153</v>
      </c>
      <c r="Q37" s="80"/>
      <c r="R37" s="82">
        <v>-1003</v>
      </c>
      <c r="S37" s="77" t="s">
        <v>162</v>
      </c>
      <c r="T37" s="77" t="s">
        <v>1906</v>
      </c>
      <c r="U37" s="77" t="s">
        <v>9432</v>
      </c>
      <c r="V37" s="77" t="s">
        <v>9333</v>
      </c>
      <c r="W37" s="83"/>
      <c r="X37" s="53" t="str">
        <f>IFERROR(VLOOKUP(Anexo_5[[#This Row],[CUENTA]],OP,2,0),"-")</f>
        <v>Residuos Peligrosos</v>
      </c>
    </row>
    <row r="38" spans="1:24" s="84" customFormat="1" ht="27" customHeight="1" x14ac:dyDescent="0.3">
      <c r="A38" s="75" t="s">
        <v>685</v>
      </c>
      <c r="B38" s="76" t="str">
        <f t="shared" si="0"/>
        <v>Junio</v>
      </c>
      <c r="C38" s="77" t="s">
        <v>240</v>
      </c>
      <c r="D38" s="77" t="s">
        <v>9446</v>
      </c>
      <c r="E38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38" s="79" t="s">
        <v>4560</v>
      </c>
      <c r="G38" s="148" t="s">
        <v>115</v>
      </c>
      <c r="H38" s="140" t="s">
        <v>9428</v>
      </c>
      <c r="I38" s="77" t="s">
        <v>980</v>
      </c>
      <c r="J38" s="144" t="s">
        <v>981</v>
      </c>
      <c r="K38" s="77" t="s">
        <v>1896</v>
      </c>
      <c r="L38" s="76" t="str">
        <f>VLOOKUP(Anexo_5[[#This Row],[cod_doc]],COMPRAS!TIPODOC,2,FALSE)</f>
        <v>NOTA DE CREDITO</v>
      </c>
      <c r="M38" s="77" t="s">
        <v>9444</v>
      </c>
      <c r="N38" s="79" t="s">
        <v>9447</v>
      </c>
      <c r="O38" s="80">
        <v>-2073.02</v>
      </c>
      <c r="P38" s="81">
        <v>-373.14</v>
      </c>
      <c r="Q38" s="80"/>
      <c r="R38" s="82">
        <v>-2446.16</v>
      </c>
      <c r="S38" s="77" t="s">
        <v>162</v>
      </c>
      <c r="T38" s="77" t="s">
        <v>1906</v>
      </c>
      <c r="U38" s="77" t="s">
        <v>9429</v>
      </c>
      <c r="V38" s="77" t="s">
        <v>9375</v>
      </c>
      <c r="W38" s="83"/>
      <c r="X38" s="53" t="str">
        <f>IFERROR(VLOOKUP(Anexo_5[[#This Row],[CUENTA]],OP,2,0),"-")</f>
        <v>Residuos No Peligrosos</v>
      </c>
    </row>
    <row r="39" spans="1:24" s="84" customFormat="1" ht="27" customHeight="1" x14ac:dyDescent="0.3">
      <c r="A39" s="75" t="s">
        <v>738</v>
      </c>
      <c r="B39" s="76" t="str">
        <f t="shared" si="0"/>
        <v>Junio</v>
      </c>
      <c r="C39" s="77" t="s">
        <v>240</v>
      </c>
      <c r="D39" s="77" t="s">
        <v>9448</v>
      </c>
      <c r="E39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39" s="79" t="s">
        <v>4563</v>
      </c>
      <c r="G39" s="148" t="s">
        <v>114</v>
      </c>
      <c r="H39" s="140" t="s">
        <v>9449</v>
      </c>
      <c r="I39" s="77" t="s">
        <v>625</v>
      </c>
      <c r="J39" s="144" t="s">
        <v>626</v>
      </c>
      <c r="K39" s="77" t="s">
        <v>169</v>
      </c>
      <c r="L39" s="76" t="str">
        <f>VLOOKUP(Anexo_5[[#This Row],[cod_doc]],COMPRAS!TIPODOC,2,FALSE)</f>
        <v>FACTURA</v>
      </c>
      <c r="M39" s="77" t="s">
        <v>1906</v>
      </c>
      <c r="N39" s="79" t="s">
        <v>9450</v>
      </c>
      <c r="O39" s="80">
        <v>8401.7999999999993</v>
      </c>
      <c r="P39" s="81">
        <v>1512.32</v>
      </c>
      <c r="Q39" s="80"/>
      <c r="R39" s="82">
        <v>9914.1200000000008</v>
      </c>
      <c r="S39" s="77"/>
      <c r="T39" s="77"/>
      <c r="U39" s="77"/>
      <c r="V39" s="77" t="s">
        <v>9333</v>
      </c>
      <c r="W39" s="83"/>
      <c r="X39" s="53" t="str">
        <f>IFERROR(VLOOKUP(Anexo_5[[#This Row],[CUENTA]],OP,2,0),"-")</f>
        <v>Residuos Peligrosos</v>
      </c>
    </row>
    <row r="40" spans="1:24" s="84" customFormat="1" ht="27" customHeight="1" x14ac:dyDescent="0.3">
      <c r="A40" s="75" t="s">
        <v>738</v>
      </c>
      <c r="B40" s="76" t="str">
        <f t="shared" si="0"/>
        <v>Junio</v>
      </c>
      <c r="C40" s="77" t="s">
        <v>240</v>
      </c>
      <c r="D40" s="77" t="s">
        <v>9451</v>
      </c>
      <c r="E40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40" s="79" t="s">
        <v>4563</v>
      </c>
      <c r="G40" s="148" t="s">
        <v>114</v>
      </c>
      <c r="H40" s="140" t="s">
        <v>9452</v>
      </c>
      <c r="I40" s="77" t="s">
        <v>625</v>
      </c>
      <c r="J40" s="144" t="s">
        <v>626</v>
      </c>
      <c r="K40" s="77" t="s">
        <v>169</v>
      </c>
      <c r="L40" s="76" t="str">
        <f>VLOOKUP(Anexo_5[[#This Row],[cod_doc]],COMPRAS!TIPODOC,2,FALSE)</f>
        <v>FACTURA</v>
      </c>
      <c r="M40" s="77" t="s">
        <v>1906</v>
      </c>
      <c r="N40" s="79" t="s">
        <v>9453</v>
      </c>
      <c r="O40" s="80">
        <v>17993.2</v>
      </c>
      <c r="P40" s="81">
        <v>3238.78</v>
      </c>
      <c r="Q40" s="80"/>
      <c r="R40" s="82">
        <v>21231.98</v>
      </c>
      <c r="S40" s="77"/>
      <c r="T40" s="77"/>
      <c r="U40" s="77"/>
      <c r="V40" s="77" t="s">
        <v>9333</v>
      </c>
      <c r="W40" s="83"/>
      <c r="X40" s="53" t="str">
        <f>IFERROR(VLOOKUP(Anexo_5[[#This Row],[CUENTA]],OP,2,0),"-")</f>
        <v>Residuos Peligrosos</v>
      </c>
    </row>
    <row r="41" spans="1:24" s="84" customFormat="1" ht="27" customHeight="1" x14ac:dyDescent="0.3">
      <c r="A41" s="75" t="s">
        <v>841</v>
      </c>
      <c r="B41" s="76" t="str">
        <f t="shared" si="0"/>
        <v>Junio</v>
      </c>
      <c r="C41" s="77" t="s">
        <v>240</v>
      </c>
      <c r="D41" s="77" t="s">
        <v>9454</v>
      </c>
      <c r="E41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41" s="79" t="s">
        <v>248</v>
      </c>
      <c r="G41" s="148" t="s">
        <v>249</v>
      </c>
      <c r="H41" s="140" t="s">
        <v>9455</v>
      </c>
      <c r="I41" s="77" t="s">
        <v>9391</v>
      </c>
      <c r="J41" s="144" t="s">
        <v>9392</v>
      </c>
      <c r="K41" s="77" t="s">
        <v>169</v>
      </c>
      <c r="L41" s="76" t="str">
        <f>VLOOKUP(Anexo_5[[#This Row],[cod_doc]],COMPRAS!TIPODOC,2,FALSE)</f>
        <v>FACTURA</v>
      </c>
      <c r="M41" s="77" t="s">
        <v>105</v>
      </c>
      <c r="N41" s="79" t="s">
        <v>9456</v>
      </c>
      <c r="O41" s="80">
        <v>505</v>
      </c>
      <c r="P41" s="81">
        <v>90.9</v>
      </c>
      <c r="Q41" s="80"/>
      <c r="R41" s="82">
        <v>595.9</v>
      </c>
      <c r="S41" s="77"/>
      <c r="T41" s="77"/>
      <c r="U41" s="77"/>
      <c r="V41" s="77" t="s">
        <v>9336</v>
      </c>
      <c r="W41" s="83"/>
      <c r="X41" s="53" t="str">
        <f>IFERROR(VLOOKUP(Anexo_5[[#This Row],[CUENTA]],OP,2,0),"-")</f>
        <v>Productos Terminados - RRSS</v>
      </c>
    </row>
    <row r="42" spans="1:24" s="84" customFormat="1" ht="27" customHeight="1" x14ac:dyDescent="0.3">
      <c r="A42" s="75" t="s">
        <v>841</v>
      </c>
      <c r="B42" s="76" t="str">
        <f t="shared" si="0"/>
        <v>Junio</v>
      </c>
      <c r="C42" s="77" t="s">
        <v>240</v>
      </c>
      <c r="D42" s="77" t="s">
        <v>9457</v>
      </c>
      <c r="E42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42" s="79" t="s">
        <v>248</v>
      </c>
      <c r="G42" s="148" t="s">
        <v>249</v>
      </c>
      <c r="H42" s="140" t="s">
        <v>9343</v>
      </c>
      <c r="I42" s="77" t="s">
        <v>9344</v>
      </c>
      <c r="J42" s="144" t="s">
        <v>9345</v>
      </c>
      <c r="K42" s="77" t="s">
        <v>169</v>
      </c>
      <c r="L42" s="76" t="str">
        <f>VLOOKUP(Anexo_5[[#This Row],[cod_doc]],COMPRAS!TIPODOC,2,FALSE)</f>
        <v>FACTURA</v>
      </c>
      <c r="M42" s="77" t="s">
        <v>107</v>
      </c>
      <c r="N42" s="79" t="s">
        <v>9458</v>
      </c>
      <c r="O42" s="80">
        <v>704</v>
      </c>
      <c r="P42" s="81">
        <v>126.72</v>
      </c>
      <c r="Q42" s="80"/>
      <c r="R42" s="82">
        <v>830.72</v>
      </c>
      <c r="S42" s="77"/>
      <c r="T42" s="77"/>
      <c r="U42" s="77"/>
      <c r="V42" s="77" t="s">
        <v>9336</v>
      </c>
      <c r="W42" s="83"/>
      <c r="X42" s="53" t="str">
        <f>IFERROR(VLOOKUP(Anexo_5[[#This Row],[CUENTA]],OP,2,0),"-")</f>
        <v>Productos Terminados - RRSS</v>
      </c>
    </row>
    <row r="43" spans="1:24" s="84" customFormat="1" ht="27" customHeight="1" x14ac:dyDescent="0.3">
      <c r="A43" s="75" t="s">
        <v>857</v>
      </c>
      <c r="B43" s="76" t="str">
        <f t="shared" si="0"/>
        <v>Junio</v>
      </c>
      <c r="C43" s="77" t="s">
        <v>240</v>
      </c>
      <c r="D43" s="77" t="s">
        <v>9459</v>
      </c>
      <c r="E43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43" s="79" t="s">
        <v>4560</v>
      </c>
      <c r="G43" s="148" t="s">
        <v>115</v>
      </c>
      <c r="H43" s="140" t="s">
        <v>9371</v>
      </c>
      <c r="I43" s="77" t="s">
        <v>9378</v>
      </c>
      <c r="J43" s="144" t="s">
        <v>9379</v>
      </c>
      <c r="K43" s="77" t="s">
        <v>169</v>
      </c>
      <c r="L43" s="76" t="str">
        <f>VLOOKUP(Anexo_5[[#This Row],[cod_doc]],COMPRAS!TIPODOC,2,FALSE)</f>
        <v>FACTURA</v>
      </c>
      <c r="M43" s="77" t="s">
        <v>1906</v>
      </c>
      <c r="N43" s="79" t="s">
        <v>9460</v>
      </c>
      <c r="O43" s="80">
        <v>1802</v>
      </c>
      <c r="P43" s="81">
        <v>324.36</v>
      </c>
      <c r="Q43" s="80"/>
      <c r="R43" s="82">
        <v>2126.36</v>
      </c>
      <c r="S43" s="77"/>
      <c r="T43" s="77"/>
      <c r="U43" s="77"/>
      <c r="V43" s="77" t="s">
        <v>9375</v>
      </c>
      <c r="W43" s="83"/>
      <c r="X43" s="53" t="str">
        <f>IFERROR(VLOOKUP(Anexo_5[[#This Row],[CUENTA]],OP,2,0),"-")</f>
        <v>Residuos No Peligrosos</v>
      </c>
    </row>
    <row r="44" spans="1:24" s="84" customFormat="1" ht="27" customHeight="1" x14ac:dyDescent="0.3">
      <c r="A44" s="75" t="s">
        <v>857</v>
      </c>
      <c r="B44" s="76" t="str">
        <f t="shared" si="0"/>
        <v>Junio</v>
      </c>
      <c r="C44" s="77" t="s">
        <v>240</v>
      </c>
      <c r="D44" s="77" t="s">
        <v>9461</v>
      </c>
      <c r="E44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44" s="79" t="s">
        <v>248</v>
      </c>
      <c r="G44" s="148" t="s">
        <v>249</v>
      </c>
      <c r="H44" s="140" t="s">
        <v>9462</v>
      </c>
      <c r="I44" s="77" t="s">
        <v>9353</v>
      </c>
      <c r="J44" s="144" t="s">
        <v>9354</v>
      </c>
      <c r="K44" s="77" t="s">
        <v>169</v>
      </c>
      <c r="L44" s="76" t="str">
        <f>VLOOKUP(Anexo_5[[#This Row],[cod_doc]],COMPRAS!TIPODOC,2,FALSE)</f>
        <v>FACTURA</v>
      </c>
      <c r="M44" s="77" t="s">
        <v>105</v>
      </c>
      <c r="N44" s="79" t="s">
        <v>9463</v>
      </c>
      <c r="O44" s="80">
        <v>28268.2</v>
      </c>
      <c r="P44" s="81">
        <v>5088.28</v>
      </c>
      <c r="Q44" s="80"/>
      <c r="R44" s="82">
        <v>33356.480000000003</v>
      </c>
      <c r="S44" s="77"/>
      <c r="T44" s="77"/>
      <c r="U44" s="77"/>
      <c r="V44" s="77" t="s">
        <v>9336</v>
      </c>
      <c r="W44" s="83"/>
      <c r="X44" s="53" t="str">
        <f>IFERROR(VLOOKUP(Anexo_5[[#This Row],[CUENTA]],OP,2,0),"-")</f>
        <v>Productos Terminados - RRSS</v>
      </c>
    </row>
    <row r="45" spans="1:24" s="84" customFormat="1" ht="27" customHeight="1" x14ac:dyDescent="0.3">
      <c r="A45" s="75" t="s">
        <v>857</v>
      </c>
      <c r="B45" s="76" t="str">
        <f t="shared" si="0"/>
        <v>Junio</v>
      </c>
      <c r="C45" s="77" t="s">
        <v>240</v>
      </c>
      <c r="D45" s="77" t="s">
        <v>9464</v>
      </c>
      <c r="E45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45" s="79" t="s">
        <v>248</v>
      </c>
      <c r="G45" s="148" t="s">
        <v>249</v>
      </c>
      <c r="H45" s="140" t="s">
        <v>9416</v>
      </c>
      <c r="I45" s="77" t="s">
        <v>9465</v>
      </c>
      <c r="J45" s="144" t="s">
        <v>9466</v>
      </c>
      <c r="K45" s="77" t="s">
        <v>169</v>
      </c>
      <c r="L45" s="76" t="str">
        <f>VLOOKUP(Anexo_5[[#This Row],[cod_doc]],COMPRAS!TIPODOC,2,FALSE)</f>
        <v>FACTURA</v>
      </c>
      <c r="M45" s="77" t="s">
        <v>105</v>
      </c>
      <c r="N45" s="79" t="s">
        <v>9467</v>
      </c>
      <c r="O45" s="80">
        <v>11400</v>
      </c>
      <c r="P45" s="81">
        <v>2052</v>
      </c>
      <c r="Q45" s="80"/>
      <c r="R45" s="82">
        <v>13452</v>
      </c>
      <c r="S45" s="77"/>
      <c r="T45" s="77"/>
      <c r="U45" s="77"/>
      <c r="V45" s="77" t="s">
        <v>9336</v>
      </c>
      <c r="W45" s="83"/>
      <c r="X45" s="53" t="str">
        <f>IFERROR(VLOOKUP(Anexo_5[[#This Row],[CUENTA]],OP,2,0),"-")</f>
        <v>Productos Terminados - RRSS</v>
      </c>
    </row>
    <row r="46" spans="1:24" s="84" customFormat="1" ht="27" customHeight="1" x14ac:dyDescent="0.3">
      <c r="A46" s="75" t="s">
        <v>857</v>
      </c>
      <c r="B46" s="76" t="str">
        <f t="shared" si="0"/>
        <v>Junio</v>
      </c>
      <c r="C46" s="77" t="s">
        <v>240</v>
      </c>
      <c r="D46" s="77" t="s">
        <v>9468</v>
      </c>
      <c r="E46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46" s="79" t="s">
        <v>248</v>
      </c>
      <c r="G46" s="148" t="s">
        <v>249</v>
      </c>
      <c r="H46" s="140" t="s">
        <v>9469</v>
      </c>
      <c r="I46" s="77" t="s">
        <v>9470</v>
      </c>
      <c r="J46" s="144" t="s">
        <v>9471</v>
      </c>
      <c r="K46" s="77" t="s">
        <v>169</v>
      </c>
      <c r="L46" s="76" t="str">
        <f>VLOOKUP(Anexo_5[[#This Row],[cod_doc]],COMPRAS!TIPODOC,2,FALSE)</f>
        <v>FACTURA</v>
      </c>
      <c r="M46" s="77" t="s">
        <v>105</v>
      </c>
      <c r="N46" s="79" t="s">
        <v>9472</v>
      </c>
      <c r="O46" s="80">
        <v>423</v>
      </c>
      <c r="P46" s="81">
        <v>76.14</v>
      </c>
      <c r="Q46" s="80"/>
      <c r="R46" s="82">
        <v>499.14</v>
      </c>
      <c r="S46" s="77"/>
      <c r="T46" s="77"/>
      <c r="U46" s="77"/>
      <c r="V46" s="77" t="s">
        <v>9336</v>
      </c>
      <c r="W46" s="83"/>
      <c r="X46" s="53" t="str">
        <f>IFERROR(VLOOKUP(Anexo_5[[#This Row],[CUENTA]],OP,2,0),"-")</f>
        <v>Productos Terminados - RRSS</v>
      </c>
    </row>
    <row r="47" spans="1:24" s="84" customFormat="1" ht="27" customHeight="1" x14ac:dyDescent="0.3">
      <c r="A47" s="75" t="s">
        <v>857</v>
      </c>
      <c r="B47" s="76" t="str">
        <f t="shared" si="0"/>
        <v>Junio</v>
      </c>
      <c r="C47" s="77" t="s">
        <v>240</v>
      </c>
      <c r="D47" s="77" t="s">
        <v>9473</v>
      </c>
      <c r="E47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47" s="79" t="s">
        <v>248</v>
      </c>
      <c r="G47" s="148" t="s">
        <v>249</v>
      </c>
      <c r="H47" s="140" t="s">
        <v>9474</v>
      </c>
      <c r="I47" s="77" t="s">
        <v>9470</v>
      </c>
      <c r="J47" s="144" t="s">
        <v>9471</v>
      </c>
      <c r="K47" s="77" t="s">
        <v>169</v>
      </c>
      <c r="L47" s="76" t="str">
        <f>VLOOKUP(Anexo_5[[#This Row],[cod_doc]],COMPRAS!TIPODOC,2,FALSE)</f>
        <v>FACTURA</v>
      </c>
      <c r="M47" s="77" t="s">
        <v>105</v>
      </c>
      <c r="N47" s="79" t="s">
        <v>9475</v>
      </c>
      <c r="O47" s="80">
        <v>369</v>
      </c>
      <c r="P47" s="81">
        <v>66.42</v>
      </c>
      <c r="Q47" s="80"/>
      <c r="R47" s="82">
        <v>435.42</v>
      </c>
      <c r="S47" s="77"/>
      <c r="T47" s="77"/>
      <c r="U47" s="77"/>
      <c r="V47" s="77" t="s">
        <v>9336</v>
      </c>
      <c r="W47" s="83"/>
      <c r="X47" s="53" t="str">
        <f>IFERROR(VLOOKUP(Anexo_5[[#This Row],[CUENTA]],OP,2,0),"-")</f>
        <v>Productos Terminados - RRSS</v>
      </c>
    </row>
    <row r="48" spans="1:24" s="84" customFormat="1" ht="27" customHeight="1" x14ac:dyDescent="0.3">
      <c r="A48" s="75" t="s">
        <v>857</v>
      </c>
      <c r="B48" s="76" t="str">
        <f t="shared" si="0"/>
        <v>Junio</v>
      </c>
      <c r="C48" s="77" t="s">
        <v>240</v>
      </c>
      <c r="D48" s="77" t="s">
        <v>9476</v>
      </c>
      <c r="E48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48" s="79" t="s">
        <v>248</v>
      </c>
      <c r="G48" s="148" t="s">
        <v>249</v>
      </c>
      <c r="H48" s="140" t="s">
        <v>9469</v>
      </c>
      <c r="I48" s="77" t="s">
        <v>9470</v>
      </c>
      <c r="J48" s="144" t="s">
        <v>9471</v>
      </c>
      <c r="K48" s="77" t="s">
        <v>169</v>
      </c>
      <c r="L48" s="76" t="str">
        <f>VLOOKUP(Anexo_5[[#This Row],[cod_doc]],COMPRAS!TIPODOC,2,FALSE)</f>
        <v>FACTURA</v>
      </c>
      <c r="M48" s="77" t="s">
        <v>105</v>
      </c>
      <c r="N48" s="79" t="s">
        <v>9477</v>
      </c>
      <c r="O48" s="80">
        <v>408</v>
      </c>
      <c r="P48" s="81">
        <v>73.44</v>
      </c>
      <c r="Q48" s="80"/>
      <c r="R48" s="82">
        <v>481.44</v>
      </c>
      <c r="S48" s="77"/>
      <c r="T48" s="77"/>
      <c r="U48" s="77"/>
      <c r="V48" s="77" t="s">
        <v>9336</v>
      </c>
      <c r="W48" s="83"/>
      <c r="X48" s="53" t="str">
        <f>IFERROR(VLOOKUP(Anexo_5[[#This Row],[CUENTA]],OP,2,0),"-")</f>
        <v>Productos Terminados - RRSS</v>
      </c>
    </row>
    <row r="49" spans="1:24" s="84" customFormat="1" ht="27" customHeight="1" x14ac:dyDescent="0.3">
      <c r="A49" s="75" t="s">
        <v>857</v>
      </c>
      <c r="B49" s="76" t="str">
        <f t="shared" si="0"/>
        <v>Junio</v>
      </c>
      <c r="C49" s="77" t="s">
        <v>240</v>
      </c>
      <c r="D49" s="77" t="s">
        <v>9478</v>
      </c>
      <c r="E49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49" s="79" t="s">
        <v>248</v>
      </c>
      <c r="G49" s="148" t="s">
        <v>249</v>
      </c>
      <c r="H49" s="140" t="s">
        <v>9469</v>
      </c>
      <c r="I49" s="77" t="s">
        <v>9470</v>
      </c>
      <c r="J49" s="144" t="s">
        <v>9471</v>
      </c>
      <c r="K49" s="77" t="s">
        <v>169</v>
      </c>
      <c r="L49" s="76" t="str">
        <f>VLOOKUP(Anexo_5[[#This Row],[cod_doc]],COMPRAS!TIPODOC,2,FALSE)</f>
        <v>FACTURA</v>
      </c>
      <c r="M49" s="77" t="s">
        <v>105</v>
      </c>
      <c r="N49" s="79" t="s">
        <v>5777</v>
      </c>
      <c r="O49" s="80">
        <v>243</v>
      </c>
      <c r="P49" s="81">
        <v>43.74</v>
      </c>
      <c r="Q49" s="80"/>
      <c r="R49" s="82">
        <v>286.74</v>
      </c>
      <c r="S49" s="77"/>
      <c r="T49" s="77"/>
      <c r="U49" s="77"/>
      <c r="V49" s="77" t="s">
        <v>9336</v>
      </c>
      <c r="W49" s="83"/>
      <c r="X49" s="53" t="str">
        <f>IFERROR(VLOOKUP(Anexo_5[[#This Row],[CUENTA]],OP,2,0),"-")</f>
        <v>Productos Terminados - RRSS</v>
      </c>
    </row>
    <row r="50" spans="1:24" s="84" customFormat="1" ht="27" customHeight="1" x14ac:dyDescent="0.3">
      <c r="A50" s="75" t="s">
        <v>857</v>
      </c>
      <c r="B50" s="76" t="str">
        <f t="shared" si="0"/>
        <v>Junio</v>
      </c>
      <c r="C50" s="77" t="s">
        <v>240</v>
      </c>
      <c r="D50" s="77" t="s">
        <v>9479</v>
      </c>
      <c r="E50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50" s="79" t="s">
        <v>248</v>
      </c>
      <c r="G50" s="148" t="s">
        <v>249</v>
      </c>
      <c r="H50" s="140" t="s">
        <v>9474</v>
      </c>
      <c r="I50" s="77" t="s">
        <v>9470</v>
      </c>
      <c r="J50" s="144" t="s">
        <v>9471</v>
      </c>
      <c r="K50" s="77" t="s">
        <v>169</v>
      </c>
      <c r="L50" s="76" t="str">
        <f>VLOOKUP(Anexo_5[[#This Row],[cod_doc]],COMPRAS!TIPODOC,2,FALSE)</f>
        <v>FACTURA</v>
      </c>
      <c r="M50" s="77" t="s">
        <v>105</v>
      </c>
      <c r="N50" s="79" t="s">
        <v>9480</v>
      </c>
      <c r="O50" s="80">
        <v>211.5</v>
      </c>
      <c r="P50" s="81">
        <v>38.07</v>
      </c>
      <c r="Q50" s="80"/>
      <c r="R50" s="82">
        <v>249.57</v>
      </c>
      <c r="S50" s="77"/>
      <c r="T50" s="77"/>
      <c r="U50" s="77"/>
      <c r="V50" s="77" t="s">
        <v>9336</v>
      </c>
      <c r="W50" s="83"/>
      <c r="X50" s="53" t="str">
        <f>IFERROR(VLOOKUP(Anexo_5[[#This Row],[CUENTA]],OP,2,0),"-")</f>
        <v>Productos Terminados - RRSS</v>
      </c>
    </row>
    <row r="51" spans="1:24" s="84" customFormat="1" ht="27" customHeight="1" x14ac:dyDescent="0.3">
      <c r="A51" s="75" t="s">
        <v>857</v>
      </c>
      <c r="B51" s="76" t="str">
        <f t="shared" si="0"/>
        <v>Junio</v>
      </c>
      <c r="C51" s="77" t="s">
        <v>240</v>
      </c>
      <c r="D51" s="77" t="s">
        <v>9481</v>
      </c>
      <c r="E51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51" s="79" t="s">
        <v>248</v>
      </c>
      <c r="G51" s="148" t="s">
        <v>249</v>
      </c>
      <c r="H51" s="140" t="s">
        <v>9469</v>
      </c>
      <c r="I51" s="77" t="s">
        <v>9470</v>
      </c>
      <c r="J51" s="144" t="s">
        <v>9471</v>
      </c>
      <c r="K51" s="77" t="s">
        <v>169</v>
      </c>
      <c r="L51" s="76" t="str">
        <f>VLOOKUP(Anexo_5[[#This Row],[cod_doc]],COMPRAS!TIPODOC,2,FALSE)</f>
        <v>FACTURA</v>
      </c>
      <c r="M51" s="77" t="s">
        <v>105</v>
      </c>
      <c r="N51" s="79" t="s">
        <v>9482</v>
      </c>
      <c r="O51" s="80">
        <v>441</v>
      </c>
      <c r="P51" s="81">
        <v>79.38</v>
      </c>
      <c r="Q51" s="80"/>
      <c r="R51" s="82">
        <v>520.38</v>
      </c>
      <c r="S51" s="77"/>
      <c r="T51" s="77"/>
      <c r="U51" s="77"/>
      <c r="V51" s="77" t="s">
        <v>9336</v>
      </c>
      <c r="W51" s="83"/>
      <c r="X51" s="53" t="str">
        <f>IFERROR(VLOOKUP(Anexo_5[[#This Row],[CUENTA]],OP,2,0),"-")</f>
        <v>Productos Terminados - RRSS</v>
      </c>
    </row>
    <row r="52" spans="1:24" s="84" customFormat="1" ht="27" customHeight="1" x14ac:dyDescent="0.3">
      <c r="A52" s="75" t="s">
        <v>857</v>
      </c>
      <c r="B52" s="76" t="str">
        <f t="shared" si="0"/>
        <v>Junio</v>
      </c>
      <c r="C52" s="77" t="s">
        <v>240</v>
      </c>
      <c r="D52" s="77" t="s">
        <v>9483</v>
      </c>
      <c r="E52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52" s="79" t="s">
        <v>248</v>
      </c>
      <c r="G52" s="148" t="s">
        <v>249</v>
      </c>
      <c r="H52" s="140" t="s">
        <v>9469</v>
      </c>
      <c r="I52" s="77" t="s">
        <v>9470</v>
      </c>
      <c r="J52" s="144" t="s">
        <v>9471</v>
      </c>
      <c r="K52" s="77" t="s">
        <v>169</v>
      </c>
      <c r="L52" s="76" t="str">
        <f>VLOOKUP(Anexo_5[[#This Row],[cod_doc]],COMPRAS!TIPODOC,2,FALSE)</f>
        <v>FACTURA</v>
      </c>
      <c r="M52" s="77" t="s">
        <v>105</v>
      </c>
      <c r="N52" s="79" t="s">
        <v>6000</v>
      </c>
      <c r="O52" s="80">
        <v>288</v>
      </c>
      <c r="P52" s="81">
        <v>51.84</v>
      </c>
      <c r="Q52" s="80"/>
      <c r="R52" s="82">
        <v>339.84</v>
      </c>
      <c r="S52" s="77"/>
      <c r="T52" s="77"/>
      <c r="U52" s="77"/>
      <c r="V52" s="77" t="s">
        <v>9336</v>
      </c>
      <c r="W52" s="83"/>
      <c r="X52" s="53" t="str">
        <f>IFERROR(VLOOKUP(Anexo_5[[#This Row],[CUENTA]],OP,2,0),"-")</f>
        <v>Productos Terminados - RRSS</v>
      </c>
    </row>
    <row r="53" spans="1:24" s="84" customFormat="1" ht="27" customHeight="1" x14ac:dyDescent="0.3">
      <c r="A53" s="75" t="s">
        <v>857</v>
      </c>
      <c r="B53" s="76" t="str">
        <f t="shared" si="0"/>
        <v>Junio</v>
      </c>
      <c r="C53" s="77" t="s">
        <v>240</v>
      </c>
      <c r="D53" s="77" t="s">
        <v>9484</v>
      </c>
      <c r="E53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53" s="79" t="s">
        <v>248</v>
      </c>
      <c r="G53" s="148" t="s">
        <v>249</v>
      </c>
      <c r="H53" s="140" t="s">
        <v>9469</v>
      </c>
      <c r="I53" s="77" t="s">
        <v>9470</v>
      </c>
      <c r="J53" s="144" t="s">
        <v>9471</v>
      </c>
      <c r="K53" s="77" t="s">
        <v>169</v>
      </c>
      <c r="L53" s="76" t="str">
        <f>VLOOKUP(Anexo_5[[#This Row],[cod_doc]],COMPRAS!TIPODOC,2,FALSE)</f>
        <v>FACTURA</v>
      </c>
      <c r="M53" s="77" t="s">
        <v>105</v>
      </c>
      <c r="N53" s="79" t="s">
        <v>9485</v>
      </c>
      <c r="O53" s="80">
        <v>532.5</v>
      </c>
      <c r="P53" s="81">
        <v>95.85</v>
      </c>
      <c r="Q53" s="80"/>
      <c r="R53" s="82">
        <v>628.35</v>
      </c>
      <c r="S53" s="77"/>
      <c r="T53" s="77"/>
      <c r="U53" s="77"/>
      <c r="V53" s="77" t="s">
        <v>9336</v>
      </c>
      <c r="W53" s="83"/>
      <c r="X53" s="53" t="str">
        <f>IFERROR(VLOOKUP(Anexo_5[[#This Row],[CUENTA]],OP,2,0),"-")</f>
        <v>Productos Terminados - RRSS</v>
      </c>
    </row>
    <row r="54" spans="1:24" s="84" customFormat="1" ht="27" customHeight="1" x14ac:dyDescent="0.3">
      <c r="A54" s="75" t="s">
        <v>928</v>
      </c>
      <c r="B54" s="76" t="str">
        <f t="shared" si="0"/>
        <v>Junio</v>
      </c>
      <c r="C54" s="77" t="s">
        <v>240</v>
      </c>
      <c r="D54" s="77" t="s">
        <v>9486</v>
      </c>
      <c r="E54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54" s="79" t="s">
        <v>248</v>
      </c>
      <c r="G54" s="148" t="s">
        <v>249</v>
      </c>
      <c r="H54" s="140" t="s">
        <v>9487</v>
      </c>
      <c r="I54" s="77" t="s">
        <v>9488</v>
      </c>
      <c r="J54" s="144" t="s">
        <v>9489</v>
      </c>
      <c r="K54" s="77" t="s">
        <v>169</v>
      </c>
      <c r="L54" s="76" t="str">
        <f>VLOOKUP(Anexo_5[[#This Row],[cod_doc]],COMPRAS!TIPODOC,2,FALSE)</f>
        <v>FACTURA</v>
      </c>
      <c r="M54" s="77" t="s">
        <v>105</v>
      </c>
      <c r="N54" s="79" t="s">
        <v>8676</v>
      </c>
      <c r="O54" s="80">
        <v>690</v>
      </c>
      <c r="P54" s="81">
        <v>124.2</v>
      </c>
      <c r="Q54" s="80"/>
      <c r="R54" s="82">
        <v>814.2</v>
      </c>
      <c r="S54" s="77"/>
      <c r="T54" s="77"/>
      <c r="U54" s="77"/>
      <c r="V54" s="77" t="s">
        <v>9336</v>
      </c>
      <c r="W54" s="83"/>
      <c r="X54" s="53" t="str">
        <f>IFERROR(VLOOKUP(Anexo_5[[#This Row],[CUENTA]],OP,2,0),"-")</f>
        <v>Productos Terminados - RRSS</v>
      </c>
    </row>
    <row r="55" spans="1:24" s="84" customFormat="1" ht="27" customHeight="1" x14ac:dyDescent="0.3">
      <c r="A55" s="75" t="s">
        <v>928</v>
      </c>
      <c r="B55" s="76" t="str">
        <f t="shared" si="0"/>
        <v>Junio</v>
      </c>
      <c r="C55" s="77" t="s">
        <v>240</v>
      </c>
      <c r="D55" s="77" t="s">
        <v>9490</v>
      </c>
      <c r="E55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55" s="79" t="s">
        <v>248</v>
      </c>
      <c r="G55" s="148" t="s">
        <v>249</v>
      </c>
      <c r="H55" s="140" t="s">
        <v>9491</v>
      </c>
      <c r="I55" s="77" t="s">
        <v>9422</v>
      </c>
      <c r="J55" s="144" t="s">
        <v>9423</v>
      </c>
      <c r="K55" s="77" t="s">
        <v>169</v>
      </c>
      <c r="L55" s="76" t="str">
        <f>VLOOKUP(Anexo_5[[#This Row],[cod_doc]],COMPRAS!TIPODOC,2,FALSE)</f>
        <v>FACTURA</v>
      </c>
      <c r="M55" s="77" t="s">
        <v>107</v>
      </c>
      <c r="N55" s="79" t="s">
        <v>9492</v>
      </c>
      <c r="O55" s="80">
        <v>2133</v>
      </c>
      <c r="P55" s="81">
        <v>383.94</v>
      </c>
      <c r="Q55" s="80"/>
      <c r="R55" s="82">
        <v>2516.94</v>
      </c>
      <c r="S55" s="77"/>
      <c r="T55" s="77"/>
      <c r="U55" s="77"/>
      <c r="V55" s="77" t="s">
        <v>9336</v>
      </c>
      <c r="W55" s="83"/>
      <c r="X55" s="53" t="str">
        <f>IFERROR(VLOOKUP(Anexo_5[[#This Row],[CUENTA]],OP,2,0),"-")</f>
        <v>Productos Terminados - RRSS</v>
      </c>
    </row>
    <row r="56" spans="1:24" s="84" customFormat="1" ht="27" customHeight="1" x14ac:dyDescent="0.3">
      <c r="A56" s="75" t="s">
        <v>467</v>
      </c>
      <c r="B56" s="76" t="str">
        <f t="shared" si="0"/>
        <v>Junio</v>
      </c>
      <c r="C56" s="77" t="s">
        <v>240</v>
      </c>
      <c r="D56" s="77" t="s">
        <v>9493</v>
      </c>
      <c r="E56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56" s="79" t="s">
        <v>4563</v>
      </c>
      <c r="G56" s="148" t="s">
        <v>114</v>
      </c>
      <c r="H56" s="140" t="s">
        <v>9329</v>
      </c>
      <c r="I56" s="77" t="s">
        <v>9494</v>
      </c>
      <c r="J56" s="144" t="s">
        <v>9495</v>
      </c>
      <c r="K56" s="77" t="s">
        <v>169</v>
      </c>
      <c r="L56" s="76" t="str">
        <f>VLOOKUP(Anexo_5[[#This Row],[cod_doc]],COMPRAS!TIPODOC,2,FALSE)</f>
        <v>FACTURA</v>
      </c>
      <c r="M56" s="77" t="s">
        <v>1906</v>
      </c>
      <c r="N56" s="79" t="s">
        <v>5049</v>
      </c>
      <c r="O56" s="80">
        <v>1210.6199999999999</v>
      </c>
      <c r="P56" s="81">
        <v>217.91</v>
      </c>
      <c r="Q56" s="80"/>
      <c r="R56" s="82">
        <v>1428.53</v>
      </c>
      <c r="S56" s="77"/>
      <c r="T56" s="77"/>
      <c r="U56" s="77"/>
      <c r="V56" s="77" t="s">
        <v>9333</v>
      </c>
      <c r="W56" s="83"/>
      <c r="X56" s="53" t="str">
        <f>IFERROR(VLOOKUP(Anexo_5[[#This Row],[CUENTA]],OP,2,0),"-")</f>
        <v>Residuos Peligrosos</v>
      </c>
    </row>
    <row r="57" spans="1:24" s="84" customFormat="1" ht="27" customHeight="1" x14ac:dyDescent="0.3">
      <c r="A57" s="75" t="s">
        <v>467</v>
      </c>
      <c r="B57" s="76" t="str">
        <f t="shared" si="0"/>
        <v>Junio</v>
      </c>
      <c r="C57" s="77" t="s">
        <v>240</v>
      </c>
      <c r="D57" s="77" t="s">
        <v>9496</v>
      </c>
      <c r="E57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57" s="79" t="s">
        <v>4560</v>
      </c>
      <c r="G57" s="148" t="s">
        <v>115</v>
      </c>
      <c r="H57" s="140" t="s">
        <v>9371</v>
      </c>
      <c r="I57" s="77" t="s">
        <v>9378</v>
      </c>
      <c r="J57" s="144" t="s">
        <v>9379</v>
      </c>
      <c r="K57" s="77" t="s">
        <v>169</v>
      </c>
      <c r="L57" s="76" t="str">
        <f>VLOOKUP(Anexo_5[[#This Row],[cod_doc]],COMPRAS!TIPODOC,2,FALSE)</f>
        <v>FACTURA</v>
      </c>
      <c r="M57" s="77" t="s">
        <v>1906</v>
      </c>
      <c r="N57" s="79" t="s">
        <v>9497</v>
      </c>
      <c r="O57" s="80">
        <v>1174</v>
      </c>
      <c r="P57" s="81">
        <v>211.32</v>
      </c>
      <c r="Q57" s="80"/>
      <c r="R57" s="82">
        <v>1385.32</v>
      </c>
      <c r="S57" s="77"/>
      <c r="T57" s="77"/>
      <c r="U57" s="77"/>
      <c r="V57" s="77" t="s">
        <v>9375</v>
      </c>
      <c r="W57" s="83"/>
      <c r="X57" s="53" t="str">
        <f>IFERROR(VLOOKUP(Anexo_5[[#This Row],[CUENTA]],OP,2,0),"-")</f>
        <v>Residuos No Peligrosos</v>
      </c>
    </row>
    <row r="58" spans="1:24" s="84" customFormat="1" ht="27" customHeight="1" x14ac:dyDescent="0.3">
      <c r="A58" s="75" t="s">
        <v>467</v>
      </c>
      <c r="B58" s="76" t="str">
        <f t="shared" si="0"/>
        <v>Junio</v>
      </c>
      <c r="C58" s="77" t="s">
        <v>240</v>
      </c>
      <c r="D58" s="77" t="s">
        <v>9498</v>
      </c>
      <c r="E58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58" s="79" t="s">
        <v>248</v>
      </c>
      <c r="G58" s="148" t="s">
        <v>249</v>
      </c>
      <c r="H58" s="151" t="s">
        <v>9499</v>
      </c>
      <c r="I58" s="77" t="s">
        <v>5331</v>
      </c>
      <c r="J58" s="144" t="s">
        <v>9500</v>
      </c>
      <c r="K58" s="77" t="s">
        <v>169</v>
      </c>
      <c r="L58" s="76" t="str">
        <f>VLOOKUP(Anexo_5[[#This Row],[cod_doc]],COMPRAS!TIPODOC,2,FALSE)</f>
        <v>FACTURA</v>
      </c>
      <c r="M58" s="77" t="s">
        <v>105</v>
      </c>
      <c r="N58" s="79" t="s">
        <v>9501</v>
      </c>
      <c r="O58" s="80">
        <v>1356</v>
      </c>
      <c r="P58" s="81">
        <v>244.08</v>
      </c>
      <c r="Q58" s="80"/>
      <c r="R58" s="82">
        <v>1600.08</v>
      </c>
      <c r="S58" s="77"/>
      <c r="T58" s="77"/>
      <c r="U58" s="77"/>
      <c r="V58" s="77" t="s">
        <v>9336</v>
      </c>
      <c r="W58" s="83"/>
      <c r="X58" s="53" t="str">
        <f>IFERROR(VLOOKUP(Anexo_5[[#This Row],[CUENTA]],OP,2,0),"-")</f>
        <v>Productos Terminados - RRSS</v>
      </c>
    </row>
    <row r="59" spans="1:24" s="84" customFormat="1" ht="27" customHeight="1" x14ac:dyDescent="0.3">
      <c r="A59" s="75" t="s">
        <v>996</v>
      </c>
      <c r="B59" s="76" t="str">
        <f t="shared" si="0"/>
        <v>Junio</v>
      </c>
      <c r="C59" s="77" t="s">
        <v>240</v>
      </c>
      <c r="D59" s="77" t="s">
        <v>9502</v>
      </c>
      <c r="E59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59" s="79" t="s">
        <v>248</v>
      </c>
      <c r="G59" s="148" t="s">
        <v>249</v>
      </c>
      <c r="H59" s="140" t="s">
        <v>9487</v>
      </c>
      <c r="I59" s="77" t="s">
        <v>9488</v>
      </c>
      <c r="J59" s="144" t="s">
        <v>9489</v>
      </c>
      <c r="K59" s="77" t="s">
        <v>169</v>
      </c>
      <c r="L59" s="76" t="str">
        <f>VLOOKUP(Anexo_5[[#This Row],[cod_doc]],COMPRAS!TIPODOC,2,FALSE)</f>
        <v>FACTURA</v>
      </c>
      <c r="M59" s="77" t="s">
        <v>105</v>
      </c>
      <c r="N59" s="79" t="s">
        <v>5339</v>
      </c>
      <c r="O59" s="80">
        <v>2151</v>
      </c>
      <c r="P59" s="81">
        <v>387.18</v>
      </c>
      <c r="Q59" s="80"/>
      <c r="R59" s="82">
        <v>2538.1799999999998</v>
      </c>
      <c r="S59" s="77"/>
      <c r="T59" s="77"/>
      <c r="U59" s="77"/>
      <c r="V59" s="77" t="s">
        <v>9336</v>
      </c>
      <c r="W59" s="83"/>
      <c r="X59" s="53" t="str">
        <f>IFERROR(VLOOKUP(Anexo_5[[#This Row],[CUENTA]],OP,2,0),"-")</f>
        <v>Productos Terminados - RRSS</v>
      </c>
    </row>
    <row r="60" spans="1:24" s="84" customFormat="1" ht="27" customHeight="1" x14ac:dyDescent="0.3">
      <c r="A60" s="75" t="s">
        <v>996</v>
      </c>
      <c r="B60" s="76" t="str">
        <f t="shared" si="0"/>
        <v>Junio</v>
      </c>
      <c r="C60" s="77" t="s">
        <v>240</v>
      </c>
      <c r="D60" s="77" t="s">
        <v>9503</v>
      </c>
      <c r="E60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60" s="79" t="s">
        <v>248</v>
      </c>
      <c r="G60" s="148" t="s">
        <v>249</v>
      </c>
      <c r="H60" s="140" t="s">
        <v>9343</v>
      </c>
      <c r="I60" s="77" t="s">
        <v>9422</v>
      </c>
      <c r="J60" s="144" t="s">
        <v>9423</v>
      </c>
      <c r="K60" s="77" t="s">
        <v>169</v>
      </c>
      <c r="L60" s="76" t="str">
        <f>VLOOKUP(Anexo_5[[#This Row],[cod_doc]],COMPRAS!TIPODOC,2,FALSE)</f>
        <v>FACTURA</v>
      </c>
      <c r="M60" s="77" t="s">
        <v>107</v>
      </c>
      <c r="N60" s="79" t="s">
        <v>9504</v>
      </c>
      <c r="O60" s="80">
        <v>1638</v>
      </c>
      <c r="P60" s="81">
        <v>294.83999999999997</v>
      </c>
      <c r="Q60" s="80"/>
      <c r="R60" s="82">
        <v>1932.84</v>
      </c>
      <c r="S60" s="77"/>
      <c r="T60" s="77"/>
      <c r="U60" s="77"/>
      <c r="V60" s="77" t="s">
        <v>9336</v>
      </c>
      <c r="W60" s="83"/>
      <c r="X60" s="53" t="str">
        <f>IFERROR(VLOOKUP(Anexo_5[[#This Row],[CUENTA]],OP,2,0),"-")</f>
        <v>Productos Terminados - RRSS</v>
      </c>
    </row>
    <row r="61" spans="1:24" s="84" customFormat="1" ht="27" customHeight="1" x14ac:dyDescent="0.3">
      <c r="A61" s="75" t="s">
        <v>996</v>
      </c>
      <c r="B61" s="76" t="str">
        <f t="shared" si="0"/>
        <v>Junio</v>
      </c>
      <c r="C61" s="77" t="s">
        <v>240</v>
      </c>
      <c r="D61" s="77" t="s">
        <v>9505</v>
      </c>
      <c r="E61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61" s="79" t="s">
        <v>248</v>
      </c>
      <c r="G61" s="148" t="s">
        <v>249</v>
      </c>
      <c r="H61" s="140" t="s">
        <v>9343</v>
      </c>
      <c r="I61" s="77" t="s">
        <v>9506</v>
      </c>
      <c r="J61" s="144" t="s">
        <v>9507</v>
      </c>
      <c r="K61" s="77" t="s">
        <v>169</v>
      </c>
      <c r="L61" s="76" t="str">
        <f>VLOOKUP(Anexo_5[[#This Row],[cod_doc]],COMPRAS!TIPODOC,2,FALSE)</f>
        <v>FACTURA</v>
      </c>
      <c r="M61" s="77" t="s">
        <v>107</v>
      </c>
      <c r="N61" s="79" t="s">
        <v>9508</v>
      </c>
      <c r="O61" s="80">
        <v>1887.29</v>
      </c>
      <c r="P61" s="81">
        <v>339.71</v>
      </c>
      <c r="Q61" s="80"/>
      <c r="R61" s="82">
        <v>2227</v>
      </c>
      <c r="S61" s="77"/>
      <c r="T61" s="77"/>
      <c r="U61" s="77"/>
      <c r="V61" s="77" t="s">
        <v>9336</v>
      </c>
      <c r="W61" s="83"/>
      <c r="X61" s="53" t="str">
        <f>IFERROR(VLOOKUP(Anexo_5[[#This Row],[CUENTA]],OP,2,0),"-")</f>
        <v>Productos Terminados - RRSS</v>
      </c>
    </row>
    <row r="62" spans="1:24" s="84" customFormat="1" ht="27" customHeight="1" x14ac:dyDescent="0.3">
      <c r="A62" s="75" t="s">
        <v>996</v>
      </c>
      <c r="B62" s="76" t="str">
        <f t="shared" si="0"/>
        <v>Junio</v>
      </c>
      <c r="C62" s="77" t="s">
        <v>240</v>
      </c>
      <c r="D62" s="77" t="s">
        <v>9509</v>
      </c>
      <c r="E62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62" s="79" t="s">
        <v>248</v>
      </c>
      <c r="G62" s="148" t="s">
        <v>249</v>
      </c>
      <c r="H62" s="140" t="s">
        <v>9491</v>
      </c>
      <c r="I62" s="77" t="s">
        <v>9422</v>
      </c>
      <c r="J62" s="144" t="s">
        <v>9423</v>
      </c>
      <c r="K62" s="77" t="s">
        <v>169</v>
      </c>
      <c r="L62" s="76" t="str">
        <f>VLOOKUP(Anexo_5[[#This Row],[cod_doc]],COMPRAS!TIPODOC,2,FALSE)</f>
        <v>FACTURA</v>
      </c>
      <c r="M62" s="77" t="s">
        <v>107</v>
      </c>
      <c r="N62" s="79" t="s">
        <v>9510</v>
      </c>
      <c r="O62" s="80">
        <v>2619</v>
      </c>
      <c r="P62" s="81">
        <v>471.42</v>
      </c>
      <c r="Q62" s="80"/>
      <c r="R62" s="82">
        <v>3090.42</v>
      </c>
      <c r="S62" s="77"/>
      <c r="T62" s="77"/>
      <c r="U62" s="77"/>
      <c r="V62" s="77" t="s">
        <v>9336</v>
      </c>
      <c r="W62" s="83"/>
      <c r="X62" s="53" t="str">
        <f>IFERROR(VLOOKUP(Anexo_5[[#This Row],[CUENTA]],OP,2,0),"-")</f>
        <v>Productos Terminados - RRSS</v>
      </c>
    </row>
    <row r="63" spans="1:24" s="84" customFormat="1" ht="27" customHeight="1" x14ac:dyDescent="0.3">
      <c r="A63" s="75" t="s">
        <v>993</v>
      </c>
      <c r="B63" s="76" t="str">
        <f t="shared" si="0"/>
        <v>Junio</v>
      </c>
      <c r="C63" s="77" t="s">
        <v>240</v>
      </c>
      <c r="D63" s="77" t="s">
        <v>9511</v>
      </c>
      <c r="E63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63" s="79" t="s">
        <v>9281</v>
      </c>
      <c r="G63" s="148" t="s">
        <v>123</v>
      </c>
      <c r="H63" s="140" t="s">
        <v>9365</v>
      </c>
      <c r="I63" s="77" t="s">
        <v>9366</v>
      </c>
      <c r="J63" s="144" t="s">
        <v>9367</v>
      </c>
      <c r="K63" s="77" t="s">
        <v>169</v>
      </c>
      <c r="L63" s="76" t="str">
        <f>VLOOKUP(Anexo_5[[#This Row],[cod_doc]],COMPRAS!TIPODOC,2,FALSE)</f>
        <v>FACTURA</v>
      </c>
      <c r="M63" s="77" t="s">
        <v>1906</v>
      </c>
      <c r="N63" s="79" t="s">
        <v>9512</v>
      </c>
      <c r="O63" s="80">
        <v>4990</v>
      </c>
      <c r="P63" s="81">
        <v>898.2</v>
      </c>
      <c r="Q63" s="80"/>
      <c r="R63" s="82">
        <v>5888.2</v>
      </c>
      <c r="S63" s="77"/>
      <c r="T63" s="77"/>
      <c r="U63" s="77"/>
      <c r="V63" s="77" t="s">
        <v>9369</v>
      </c>
      <c r="W63" s="83"/>
      <c r="X63" s="53" t="str">
        <f>IFERROR(VLOOKUP(Anexo_5[[#This Row],[CUENTA]],OP,2,0),"-")</f>
        <v>Transporte de Carga - Nacional</v>
      </c>
    </row>
    <row r="64" spans="1:24" s="84" customFormat="1" ht="27" customHeight="1" x14ac:dyDescent="0.3">
      <c r="A64" s="75" t="s">
        <v>993</v>
      </c>
      <c r="B64" s="76" t="str">
        <f t="shared" si="0"/>
        <v>Junio</v>
      </c>
      <c r="C64" s="77" t="s">
        <v>240</v>
      </c>
      <c r="D64" s="77" t="s">
        <v>9513</v>
      </c>
      <c r="E64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64" s="79" t="s">
        <v>9278</v>
      </c>
      <c r="G64" s="148" t="s">
        <v>122</v>
      </c>
      <c r="H64" s="140" t="s">
        <v>9348</v>
      </c>
      <c r="I64" s="77" t="s">
        <v>9514</v>
      </c>
      <c r="J64" s="144" t="s">
        <v>9515</v>
      </c>
      <c r="K64" s="77" t="s">
        <v>169</v>
      </c>
      <c r="L64" s="76" t="str">
        <f>VLOOKUP(Anexo_5[[#This Row],[cod_doc]],COMPRAS!TIPODOC,2,FALSE)</f>
        <v>FACTURA</v>
      </c>
      <c r="M64" s="77" t="s">
        <v>1906</v>
      </c>
      <c r="N64" s="79" t="s">
        <v>9516</v>
      </c>
      <c r="O64" s="80">
        <v>0</v>
      </c>
      <c r="P64" s="81">
        <v>0</v>
      </c>
      <c r="Q64" s="80"/>
      <c r="R64" s="82">
        <v>0</v>
      </c>
      <c r="S64" s="77"/>
      <c r="T64" s="77"/>
      <c r="U64" s="77"/>
      <c r="V64" s="77" t="s">
        <v>9350</v>
      </c>
      <c r="W64" s="83"/>
      <c r="X64" s="53" t="str">
        <f>IFERROR(VLOOKUP(Anexo_5[[#This Row],[CUENTA]],OP,2,0),"-")</f>
        <v>Transporte de Carga - Local</v>
      </c>
    </row>
    <row r="65" spans="1:24" s="84" customFormat="1" ht="27" customHeight="1" x14ac:dyDescent="0.3">
      <c r="A65" s="75" t="s">
        <v>993</v>
      </c>
      <c r="B65" s="76" t="str">
        <f t="shared" si="0"/>
        <v>Junio</v>
      </c>
      <c r="C65" s="77" t="s">
        <v>240</v>
      </c>
      <c r="D65" s="77" t="s">
        <v>9517</v>
      </c>
      <c r="E65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65" s="79" t="s">
        <v>4560</v>
      </c>
      <c r="G65" s="148" t="s">
        <v>115</v>
      </c>
      <c r="H65" s="140" t="s">
        <v>9371</v>
      </c>
      <c r="I65" s="77" t="s">
        <v>9518</v>
      </c>
      <c r="J65" s="144" t="s">
        <v>9519</v>
      </c>
      <c r="K65" s="77" t="s">
        <v>169</v>
      </c>
      <c r="L65" s="76" t="str">
        <f>VLOOKUP(Anexo_5[[#This Row],[cod_doc]],COMPRAS!TIPODOC,2,FALSE)</f>
        <v>FACTURA</v>
      </c>
      <c r="M65" s="77" t="s">
        <v>1906</v>
      </c>
      <c r="N65" s="79" t="s">
        <v>9520</v>
      </c>
      <c r="O65" s="80">
        <v>14867.8</v>
      </c>
      <c r="P65" s="81">
        <v>2676.2</v>
      </c>
      <c r="Q65" s="80"/>
      <c r="R65" s="82">
        <v>17544</v>
      </c>
      <c r="S65" s="77"/>
      <c r="T65" s="77"/>
      <c r="U65" s="77"/>
      <c r="V65" s="77" t="s">
        <v>9375</v>
      </c>
      <c r="W65" s="83"/>
      <c r="X65" s="53" t="str">
        <f>IFERROR(VLOOKUP(Anexo_5[[#This Row],[CUENTA]],OP,2,0),"-")</f>
        <v>Residuos No Peligrosos</v>
      </c>
    </row>
    <row r="66" spans="1:24" s="84" customFormat="1" ht="27" customHeight="1" x14ac:dyDescent="0.3">
      <c r="A66" s="75" t="s">
        <v>993</v>
      </c>
      <c r="B66" s="76" t="str">
        <f t="shared" ref="B66:B129" si="1">PROPER(CHOOSE(LEFT(D66,2),"enero","febrero","marzo","abril","mayo","junio","julio","agosto","setiembre","octubre","noviembre","diciembre"))</f>
        <v>Junio</v>
      </c>
      <c r="C66" s="77" t="s">
        <v>240</v>
      </c>
      <c r="D66" s="77" t="s">
        <v>9521</v>
      </c>
      <c r="E66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66" s="79" t="s">
        <v>4560</v>
      </c>
      <c r="G66" s="148" t="s">
        <v>115</v>
      </c>
      <c r="H66" s="140" t="s">
        <v>9371</v>
      </c>
      <c r="I66" s="77" t="s">
        <v>9518</v>
      </c>
      <c r="J66" s="144" t="s">
        <v>9519</v>
      </c>
      <c r="K66" s="77" t="s">
        <v>169</v>
      </c>
      <c r="L66" s="76" t="str">
        <f>VLOOKUP(Anexo_5[[#This Row],[cod_doc]],COMPRAS!TIPODOC,2,FALSE)</f>
        <v>FACTURA</v>
      </c>
      <c r="M66" s="77" t="s">
        <v>1906</v>
      </c>
      <c r="N66" s="79" t="s">
        <v>9522</v>
      </c>
      <c r="O66" s="80">
        <v>16236.4</v>
      </c>
      <c r="P66" s="81">
        <v>2922.55</v>
      </c>
      <c r="Q66" s="80"/>
      <c r="R66" s="82">
        <v>19158.95</v>
      </c>
      <c r="S66" s="77"/>
      <c r="T66" s="77"/>
      <c r="U66" s="77"/>
      <c r="V66" s="77" t="s">
        <v>9375</v>
      </c>
      <c r="W66" s="83"/>
      <c r="X66" s="53" t="str">
        <f>IFERROR(VLOOKUP(Anexo_5[[#This Row],[CUENTA]],OP,2,0),"-")</f>
        <v>Residuos No Peligrosos</v>
      </c>
    </row>
    <row r="67" spans="1:24" s="84" customFormat="1" ht="27" customHeight="1" x14ac:dyDescent="0.3">
      <c r="A67" s="75" t="s">
        <v>993</v>
      </c>
      <c r="B67" s="76" t="str">
        <f t="shared" si="1"/>
        <v>Junio</v>
      </c>
      <c r="C67" s="77" t="s">
        <v>240</v>
      </c>
      <c r="D67" s="77" t="s">
        <v>9523</v>
      </c>
      <c r="E67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67" s="79" t="s">
        <v>9278</v>
      </c>
      <c r="G67" s="148" t="s">
        <v>122</v>
      </c>
      <c r="H67" s="140" t="s">
        <v>9348</v>
      </c>
      <c r="I67" s="77" t="s">
        <v>9514</v>
      </c>
      <c r="J67" s="144" t="s">
        <v>9515</v>
      </c>
      <c r="K67" s="77" t="s">
        <v>169</v>
      </c>
      <c r="L67" s="76" t="str">
        <f>VLOOKUP(Anexo_5[[#This Row],[cod_doc]],COMPRAS!TIPODOC,2,FALSE)</f>
        <v>FACTURA</v>
      </c>
      <c r="M67" s="77" t="s">
        <v>1906</v>
      </c>
      <c r="N67" s="79" t="s">
        <v>9524</v>
      </c>
      <c r="O67" s="80">
        <v>3578.9</v>
      </c>
      <c r="P67" s="81">
        <v>644.20000000000005</v>
      </c>
      <c r="Q67" s="80"/>
      <c r="R67" s="82">
        <v>4223.1000000000004</v>
      </c>
      <c r="S67" s="77"/>
      <c r="T67" s="77"/>
      <c r="U67" s="77"/>
      <c r="V67" s="77" t="s">
        <v>9350</v>
      </c>
      <c r="W67" s="83"/>
      <c r="X67" s="53" t="str">
        <f>IFERROR(VLOOKUP(Anexo_5[[#This Row],[CUENTA]],OP,2,0),"-")</f>
        <v>Transporte de Carga - Local</v>
      </c>
    </row>
    <row r="68" spans="1:24" s="84" customFormat="1" ht="27" customHeight="1" x14ac:dyDescent="0.3">
      <c r="A68" s="75" t="s">
        <v>1190</v>
      </c>
      <c r="B68" s="76" t="str">
        <f t="shared" si="1"/>
        <v>Junio</v>
      </c>
      <c r="C68" s="77" t="s">
        <v>240</v>
      </c>
      <c r="D68" s="77" t="s">
        <v>9525</v>
      </c>
      <c r="E68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68" s="79" t="s">
        <v>248</v>
      </c>
      <c r="G68" s="148" t="s">
        <v>249</v>
      </c>
      <c r="H68" s="140" t="s">
        <v>9335</v>
      </c>
      <c r="I68" s="77" t="s">
        <v>9412</v>
      </c>
      <c r="J68" s="144" t="s">
        <v>9413</v>
      </c>
      <c r="K68" s="77" t="s">
        <v>169</v>
      </c>
      <c r="L68" s="76" t="str">
        <f>VLOOKUP(Anexo_5[[#This Row],[cod_doc]],COMPRAS!TIPODOC,2,FALSE)</f>
        <v>FACTURA</v>
      </c>
      <c r="M68" s="77" t="s">
        <v>105</v>
      </c>
      <c r="N68" s="79" t="s">
        <v>9526</v>
      </c>
      <c r="O68" s="80">
        <v>144</v>
      </c>
      <c r="P68" s="81">
        <v>25.92</v>
      </c>
      <c r="Q68" s="80"/>
      <c r="R68" s="82">
        <v>169.92</v>
      </c>
      <c r="S68" s="77"/>
      <c r="T68" s="77"/>
      <c r="U68" s="77"/>
      <c r="V68" s="77" t="s">
        <v>9336</v>
      </c>
      <c r="W68" s="83"/>
      <c r="X68" s="53" t="str">
        <f>IFERROR(VLOOKUP(Anexo_5[[#This Row],[CUENTA]],OP,2,0),"-")</f>
        <v>Productos Terminados - RRSS</v>
      </c>
    </row>
    <row r="69" spans="1:24" s="84" customFormat="1" ht="27" customHeight="1" x14ac:dyDescent="0.3">
      <c r="A69" s="75" t="s">
        <v>1190</v>
      </c>
      <c r="B69" s="76" t="str">
        <f t="shared" si="1"/>
        <v>Junio</v>
      </c>
      <c r="C69" s="77" t="s">
        <v>240</v>
      </c>
      <c r="D69" s="77" t="s">
        <v>9527</v>
      </c>
      <c r="E69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69" s="79" t="s">
        <v>248</v>
      </c>
      <c r="G69" s="148" t="s">
        <v>249</v>
      </c>
      <c r="H69" s="140" t="s">
        <v>9335</v>
      </c>
      <c r="I69" s="77" t="s">
        <v>625</v>
      </c>
      <c r="J69" s="144" t="s">
        <v>626</v>
      </c>
      <c r="K69" s="77" t="s">
        <v>169</v>
      </c>
      <c r="L69" s="76" t="str">
        <f>VLOOKUP(Anexo_5[[#This Row],[cod_doc]],COMPRAS!TIPODOC,2,FALSE)</f>
        <v>FACTURA</v>
      </c>
      <c r="M69" s="77" t="s">
        <v>105</v>
      </c>
      <c r="N69" s="79" t="s">
        <v>7988</v>
      </c>
      <c r="O69" s="80">
        <v>1340</v>
      </c>
      <c r="P69" s="81">
        <v>241.2</v>
      </c>
      <c r="Q69" s="80"/>
      <c r="R69" s="82">
        <v>1581.2</v>
      </c>
      <c r="S69" s="77"/>
      <c r="T69" s="77"/>
      <c r="U69" s="77"/>
      <c r="V69" s="77" t="s">
        <v>9336</v>
      </c>
      <c r="W69" s="83"/>
      <c r="X69" s="53" t="str">
        <f>IFERROR(VLOOKUP(Anexo_5[[#This Row],[CUENTA]],OP,2,0),"-")</f>
        <v>Productos Terminados - RRSS</v>
      </c>
    </row>
    <row r="70" spans="1:24" s="84" customFormat="1" ht="27" customHeight="1" x14ac:dyDescent="0.3">
      <c r="A70" s="75" t="s">
        <v>966</v>
      </c>
      <c r="B70" s="76" t="str">
        <f t="shared" si="1"/>
        <v>Junio</v>
      </c>
      <c r="C70" s="77" t="s">
        <v>240</v>
      </c>
      <c r="D70" s="77" t="s">
        <v>9528</v>
      </c>
      <c r="E70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70" s="79" t="s">
        <v>248</v>
      </c>
      <c r="G70" s="148" t="s">
        <v>249</v>
      </c>
      <c r="H70" s="140" t="s">
        <v>9529</v>
      </c>
      <c r="I70" s="77" t="s">
        <v>9422</v>
      </c>
      <c r="J70" s="144" t="s">
        <v>9423</v>
      </c>
      <c r="K70" s="77" t="s">
        <v>169</v>
      </c>
      <c r="L70" s="76" t="str">
        <f>VLOOKUP(Anexo_5[[#This Row],[cod_doc]],COMPRAS!TIPODOC,2,FALSE)</f>
        <v>FACTURA</v>
      </c>
      <c r="M70" s="77" t="s">
        <v>106</v>
      </c>
      <c r="N70" s="79" t="s">
        <v>7419</v>
      </c>
      <c r="O70" s="80">
        <v>0</v>
      </c>
      <c r="P70" s="81">
        <v>0</v>
      </c>
      <c r="Q70" s="80"/>
      <c r="R70" s="82">
        <v>0</v>
      </c>
      <c r="S70" s="77"/>
      <c r="T70" s="77"/>
      <c r="U70" s="77"/>
      <c r="V70" s="77" t="s">
        <v>9336</v>
      </c>
      <c r="W70" s="83"/>
      <c r="X70" s="53" t="str">
        <f>IFERROR(VLOOKUP(Anexo_5[[#This Row],[CUENTA]],OP,2,0),"-")</f>
        <v>Productos Terminados - RRSS</v>
      </c>
    </row>
    <row r="71" spans="1:24" s="84" customFormat="1" ht="27" customHeight="1" x14ac:dyDescent="0.3">
      <c r="A71" s="75" t="s">
        <v>966</v>
      </c>
      <c r="B71" s="76" t="str">
        <f t="shared" si="1"/>
        <v>Junio</v>
      </c>
      <c r="C71" s="77" t="s">
        <v>240</v>
      </c>
      <c r="D71" s="77" t="s">
        <v>9530</v>
      </c>
      <c r="E71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71" s="79" t="s">
        <v>248</v>
      </c>
      <c r="G71" s="148" t="s">
        <v>249</v>
      </c>
      <c r="H71" s="140" t="s">
        <v>9529</v>
      </c>
      <c r="I71" s="77" t="s">
        <v>9422</v>
      </c>
      <c r="J71" s="144" t="s">
        <v>9423</v>
      </c>
      <c r="K71" s="77" t="s">
        <v>169</v>
      </c>
      <c r="L71" s="76" t="str">
        <f>VLOOKUP(Anexo_5[[#This Row],[cod_doc]],COMPRAS!TIPODOC,2,FALSE)</f>
        <v>FACTURA</v>
      </c>
      <c r="M71" s="77" t="s">
        <v>107</v>
      </c>
      <c r="N71" s="79" t="s">
        <v>9531</v>
      </c>
      <c r="O71" s="80">
        <v>1206</v>
      </c>
      <c r="P71" s="81">
        <v>217.08</v>
      </c>
      <c r="Q71" s="80"/>
      <c r="R71" s="82">
        <v>1423.08</v>
      </c>
      <c r="S71" s="77"/>
      <c r="T71" s="77"/>
      <c r="U71" s="77"/>
      <c r="V71" s="77" t="s">
        <v>9336</v>
      </c>
      <c r="W71" s="83"/>
      <c r="X71" s="53" t="str">
        <f>IFERROR(VLOOKUP(Anexo_5[[#This Row],[CUENTA]],OP,2,0),"-")</f>
        <v>Productos Terminados - RRSS</v>
      </c>
    </row>
    <row r="72" spans="1:24" s="84" customFormat="1" ht="27" customHeight="1" x14ac:dyDescent="0.3">
      <c r="A72" s="75" t="s">
        <v>966</v>
      </c>
      <c r="B72" s="76" t="str">
        <f t="shared" si="1"/>
        <v>Junio</v>
      </c>
      <c r="C72" s="77" t="s">
        <v>240</v>
      </c>
      <c r="D72" s="77" t="s">
        <v>9532</v>
      </c>
      <c r="E72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72" s="79" t="s">
        <v>248</v>
      </c>
      <c r="G72" s="148" t="s">
        <v>249</v>
      </c>
      <c r="H72" s="140" t="s">
        <v>9343</v>
      </c>
      <c r="I72" s="77" t="s">
        <v>9344</v>
      </c>
      <c r="J72" s="144" t="s">
        <v>9345</v>
      </c>
      <c r="K72" s="77" t="s">
        <v>169</v>
      </c>
      <c r="L72" s="76" t="str">
        <f>VLOOKUP(Anexo_5[[#This Row],[cod_doc]],COMPRAS!TIPODOC,2,FALSE)</f>
        <v>FACTURA</v>
      </c>
      <c r="M72" s="77" t="s">
        <v>107</v>
      </c>
      <c r="N72" s="79" t="s">
        <v>7724</v>
      </c>
      <c r="O72" s="80">
        <v>760</v>
      </c>
      <c r="P72" s="81">
        <v>136.80000000000001</v>
      </c>
      <c r="Q72" s="80"/>
      <c r="R72" s="82">
        <v>896.8</v>
      </c>
      <c r="S72" s="77"/>
      <c r="T72" s="77"/>
      <c r="U72" s="77"/>
      <c r="V72" s="77" t="s">
        <v>9336</v>
      </c>
      <c r="W72" s="83"/>
      <c r="X72" s="53" t="str">
        <f>IFERROR(VLOOKUP(Anexo_5[[#This Row],[CUENTA]],OP,2,0),"-")</f>
        <v>Productos Terminados - RRSS</v>
      </c>
    </row>
    <row r="73" spans="1:24" s="84" customFormat="1" ht="27" customHeight="1" x14ac:dyDescent="0.3">
      <c r="A73" s="75" t="s">
        <v>1430</v>
      </c>
      <c r="B73" s="76" t="str">
        <f t="shared" si="1"/>
        <v>Junio</v>
      </c>
      <c r="C73" s="77" t="s">
        <v>240</v>
      </c>
      <c r="D73" s="77" t="s">
        <v>9533</v>
      </c>
      <c r="E73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73" s="79" t="s">
        <v>4560</v>
      </c>
      <c r="G73" s="148" t="s">
        <v>115</v>
      </c>
      <c r="H73" s="140" t="s">
        <v>9439</v>
      </c>
      <c r="I73" s="77" t="s">
        <v>980</v>
      </c>
      <c r="J73" s="144" t="s">
        <v>981</v>
      </c>
      <c r="K73" s="77" t="s">
        <v>169</v>
      </c>
      <c r="L73" s="76" t="str">
        <f>VLOOKUP(Anexo_5[[#This Row],[cod_doc]],COMPRAS!TIPODOC,2,FALSE)</f>
        <v>FACTURA</v>
      </c>
      <c r="M73" s="77" t="s">
        <v>1906</v>
      </c>
      <c r="N73" s="79" t="s">
        <v>9534</v>
      </c>
      <c r="O73" s="80">
        <v>1999.52</v>
      </c>
      <c r="P73" s="81">
        <v>359.91</v>
      </c>
      <c r="Q73" s="80"/>
      <c r="R73" s="82">
        <v>2359.4299999999998</v>
      </c>
      <c r="S73" s="77"/>
      <c r="T73" s="77"/>
      <c r="U73" s="77"/>
      <c r="V73" s="77" t="s">
        <v>9375</v>
      </c>
      <c r="W73" s="83"/>
      <c r="X73" s="53" t="str">
        <f>IFERROR(VLOOKUP(Anexo_5[[#This Row],[CUENTA]],OP,2,0),"-")</f>
        <v>Residuos No Peligrosos</v>
      </c>
    </row>
    <row r="74" spans="1:24" s="84" customFormat="1" ht="27" customHeight="1" x14ac:dyDescent="0.3">
      <c r="A74" s="75" t="s">
        <v>1430</v>
      </c>
      <c r="B74" s="76" t="str">
        <f t="shared" si="1"/>
        <v>Junio</v>
      </c>
      <c r="C74" s="77" t="s">
        <v>240</v>
      </c>
      <c r="D74" s="77" t="s">
        <v>9535</v>
      </c>
      <c r="E74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74" s="79" t="s">
        <v>4563</v>
      </c>
      <c r="G74" s="148" t="s">
        <v>114</v>
      </c>
      <c r="H74" s="140" t="s">
        <v>9536</v>
      </c>
      <c r="I74" s="77" t="s">
        <v>625</v>
      </c>
      <c r="J74" s="144" t="s">
        <v>626</v>
      </c>
      <c r="K74" s="77" t="s">
        <v>169</v>
      </c>
      <c r="L74" s="76" t="str">
        <f>VLOOKUP(Anexo_5[[#This Row],[cod_doc]],COMPRAS!TIPODOC,2,FALSE)</f>
        <v>FACTURA</v>
      </c>
      <c r="M74" s="77" t="s">
        <v>1906</v>
      </c>
      <c r="N74" s="79" t="s">
        <v>9537</v>
      </c>
      <c r="O74" s="80">
        <v>4503</v>
      </c>
      <c r="P74" s="81">
        <v>810.54</v>
      </c>
      <c r="Q74" s="80"/>
      <c r="R74" s="82">
        <v>5313.54</v>
      </c>
      <c r="S74" s="77"/>
      <c r="T74" s="77"/>
      <c r="U74" s="77"/>
      <c r="V74" s="77" t="s">
        <v>9333</v>
      </c>
      <c r="W74" s="83"/>
      <c r="X74" s="53" t="str">
        <f>IFERROR(VLOOKUP(Anexo_5[[#This Row],[CUENTA]],OP,2,0),"-")</f>
        <v>Residuos Peligrosos</v>
      </c>
    </row>
    <row r="75" spans="1:24" s="84" customFormat="1" ht="27" customHeight="1" x14ac:dyDescent="0.3">
      <c r="A75" s="75" t="s">
        <v>1430</v>
      </c>
      <c r="B75" s="76" t="str">
        <f t="shared" si="1"/>
        <v>Junio</v>
      </c>
      <c r="C75" s="77" t="s">
        <v>240</v>
      </c>
      <c r="D75" s="77" t="s">
        <v>9538</v>
      </c>
      <c r="E75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75" s="79" t="s">
        <v>248</v>
      </c>
      <c r="G75" s="148" t="s">
        <v>249</v>
      </c>
      <c r="H75" s="140" t="s">
        <v>9469</v>
      </c>
      <c r="I75" s="77" t="s">
        <v>9470</v>
      </c>
      <c r="J75" s="144" t="s">
        <v>9471</v>
      </c>
      <c r="K75" s="77" t="s">
        <v>169</v>
      </c>
      <c r="L75" s="76" t="str">
        <f>VLOOKUP(Anexo_5[[#This Row],[cod_doc]],COMPRAS!TIPODOC,2,FALSE)</f>
        <v>FACTURA</v>
      </c>
      <c r="M75" s="77" t="s">
        <v>105</v>
      </c>
      <c r="N75" s="79" t="s">
        <v>9539</v>
      </c>
      <c r="O75" s="80">
        <v>891</v>
      </c>
      <c r="P75" s="81">
        <v>160.38</v>
      </c>
      <c r="Q75" s="80"/>
      <c r="R75" s="82">
        <v>1051.3800000000001</v>
      </c>
      <c r="S75" s="77"/>
      <c r="T75" s="77"/>
      <c r="U75" s="77"/>
      <c r="V75" s="77" t="s">
        <v>9336</v>
      </c>
      <c r="W75" s="83"/>
      <c r="X75" s="53" t="str">
        <f>IFERROR(VLOOKUP(Anexo_5[[#This Row],[CUENTA]],OP,2,0),"-")</f>
        <v>Productos Terminados - RRSS</v>
      </c>
    </row>
    <row r="76" spans="1:24" s="84" customFormat="1" ht="27" customHeight="1" x14ac:dyDescent="0.3">
      <c r="A76" s="75" t="s">
        <v>1430</v>
      </c>
      <c r="B76" s="76" t="str">
        <f t="shared" si="1"/>
        <v>Junio</v>
      </c>
      <c r="C76" s="77" t="s">
        <v>240</v>
      </c>
      <c r="D76" s="77" t="s">
        <v>9540</v>
      </c>
      <c r="E76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76" s="79" t="s">
        <v>248</v>
      </c>
      <c r="G76" s="148" t="s">
        <v>249</v>
      </c>
      <c r="H76" s="140" t="s">
        <v>9474</v>
      </c>
      <c r="I76" s="77" t="s">
        <v>9470</v>
      </c>
      <c r="J76" s="144" t="s">
        <v>9471</v>
      </c>
      <c r="K76" s="77" t="s">
        <v>169</v>
      </c>
      <c r="L76" s="76" t="str">
        <f>VLOOKUP(Anexo_5[[#This Row],[cod_doc]],COMPRAS!TIPODOC,2,FALSE)</f>
        <v>FACTURA</v>
      </c>
      <c r="M76" s="77" t="s">
        <v>105</v>
      </c>
      <c r="N76" s="79" t="s">
        <v>9541</v>
      </c>
      <c r="O76" s="80">
        <v>105</v>
      </c>
      <c r="P76" s="81">
        <v>18.899999999999999</v>
      </c>
      <c r="Q76" s="80"/>
      <c r="R76" s="82">
        <v>123.9</v>
      </c>
      <c r="S76" s="77"/>
      <c r="T76" s="77"/>
      <c r="U76" s="77"/>
      <c r="V76" s="77" t="s">
        <v>9336</v>
      </c>
      <c r="W76" s="83"/>
      <c r="X76" s="53" t="str">
        <f>IFERROR(VLOOKUP(Anexo_5[[#This Row],[CUENTA]],OP,2,0),"-")</f>
        <v>Productos Terminados - RRSS</v>
      </c>
    </row>
    <row r="77" spans="1:24" s="84" customFormat="1" ht="27" customHeight="1" x14ac:dyDescent="0.3">
      <c r="A77" s="75" t="s">
        <v>1430</v>
      </c>
      <c r="B77" s="76" t="str">
        <f t="shared" si="1"/>
        <v>Junio</v>
      </c>
      <c r="C77" s="77" t="s">
        <v>240</v>
      </c>
      <c r="D77" s="77" t="s">
        <v>9542</v>
      </c>
      <c r="E77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77" s="79" t="s">
        <v>248</v>
      </c>
      <c r="G77" s="148" t="s">
        <v>249</v>
      </c>
      <c r="H77" s="140" t="s">
        <v>9469</v>
      </c>
      <c r="I77" s="77" t="s">
        <v>9470</v>
      </c>
      <c r="J77" s="144" t="s">
        <v>9471</v>
      </c>
      <c r="K77" s="77" t="s">
        <v>169</v>
      </c>
      <c r="L77" s="76" t="str">
        <f>VLOOKUP(Anexo_5[[#This Row],[cod_doc]],COMPRAS!TIPODOC,2,FALSE)</f>
        <v>FACTURA</v>
      </c>
      <c r="M77" s="77" t="s">
        <v>105</v>
      </c>
      <c r="N77" s="79" t="s">
        <v>9543</v>
      </c>
      <c r="O77" s="80">
        <v>875</v>
      </c>
      <c r="P77" s="81">
        <v>157.5</v>
      </c>
      <c r="Q77" s="80"/>
      <c r="R77" s="82">
        <v>1032.5</v>
      </c>
      <c r="S77" s="77"/>
      <c r="T77" s="77"/>
      <c r="U77" s="77"/>
      <c r="V77" s="77" t="s">
        <v>9336</v>
      </c>
      <c r="W77" s="83"/>
      <c r="X77" s="53" t="str">
        <f>IFERROR(VLOOKUP(Anexo_5[[#This Row],[CUENTA]],OP,2,0),"-")</f>
        <v>Productos Terminados - RRSS</v>
      </c>
    </row>
    <row r="78" spans="1:24" s="84" customFormat="1" ht="27" customHeight="1" x14ac:dyDescent="0.3">
      <c r="A78" s="75" t="s">
        <v>1430</v>
      </c>
      <c r="B78" s="76" t="str">
        <f t="shared" si="1"/>
        <v>Junio</v>
      </c>
      <c r="C78" s="77" t="s">
        <v>240</v>
      </c>
      <c r="D78" s="77" t="s">
        <v>9544</v>
      </c>
      <c r="E78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78" s="79" t="s">
        <v>248</v>
      </c>
      <c r="G78" s="148" t="s">
        <v>249</v>
      </c>
      <c r="H78" s="140" t="s">
        <v>9462</v>
      </c>
      <c r="I78" s="77" t="s">
        <v>9353</v>
      </c>
      <c r="J78" s="144" t="s">
        <v>9354</v>
      </c>
      <c r="K78" s="77" t="s">
        <v>169</v>
      </c>
      <c r="L78" s="76" t="str">
        <f>VLOOKUP(Anexo_5[[#This Row],[cod_doc]],COMPRAS!TIPODOC,2,FALSE)</f>
        <v>FACTURA</v>
      </c>
      <c r="M78" s="77" t="s">
        <v>105</v>
      </c>
      <c r="N78" s="79" t="s">
        <v>7981</v>
      </c>
      <c r="O78" s="80">
        <v>27491.1</v>
      </c>
      <c r="P78" s="81">
        <v>4948.3999999999996</v>
      </c>
      <c r="Q78" s="80"/>
      <c r="R78" s="82">
        <v>32439.5</v>
      </c>
      <c r="S78" s="77"/>
      <c r="T78" s="77"/>
      <c r="U78" s="77"/>
      <c r="V78" s="77" t="s">
        <v>9336</v>
      </c>
      <c r="W78" s="83"/>
      <c r="X78" s="53" t="str">
        <f>IFERROR(VLOOKUP(Anexo_5[[#This Row],[CUENTA]],OP,2,0),"-")</f>
        <v>Productos Terminados - RRSS</v>
      </c>
    </row>
    <row r="79" spans="1:24" s="84" customFormat="1" ht="27" customHeight="1" x14ac:dyDescent="0.3">
      <c r="A79" s="75" t="s">
        <v>1378</v>
      </c>
      <c r="B79" s="76" t="str">
        <f t="shared" si="1"/>
        <v>Junio</v>
      </c>
      <c r="C79" s="77" t="s">
        <v>240</v>
      </c>
      <c r="D79" s="77" t="s">
        <v>9545</v>
      </c>
      <c r="E79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79" s="79" t="s">
        <v>4563</v>
      </c>
      <c r="G79" s="148" t="s">
        <v>114</v>
      </c>
      <c r="H79" s="140" t="s">
        <v>9536</v>
      </c>
      <c r="I79" s="77" t="s">
        <v>625</v>
      </c>
      <c r="J79" s="144" t="s">
        <v>626</v>
      </c>
      <c r="K79" s="77" t="s">
        <v>169</v>
      </c>
      <c r="L79" s="76" t="str">
        <f>VLOOKUP(Anexo_5[[#This Row],[cod_doc]],COMPRAS!TIPODOC,2,FALSE)</f>
        <v>FACTURA</v>
      </c>
      <c r="M79" s="77" t="s">
        <v>1906</v>
      </c>
      <c r="N79" s="79" t="s">
        <v>9546</v>
      </c>
      <c r="O79" s="80">
        <v>27807.439999999999</v>
      </c>
      <c r="P79" s="81">
        <v>5005.34</v>
      </c>
      <c r="Q79" s="80"/>
      <c r="R79" s="82">
        <v>32812.78</v>
      </c>
      <c r="S79" s="77"/>
      <c r="T79" s="77"/>
      <c r="U79" s="77"/>
      <c r="V79" s="77" t="s">
        <v>9333</v>
      </c>
      <c r="W79" s="83"/>
      <c r="X79" s="53" t="str">
        <f>IFERROR(VLOOKUP(Anexo_5[[#This Row],[CUENTA]],OP,2,0),"-")</f>
        <v>Residuos Peligrosos</v>
      </c>
    </row>
    <row r="80" spans="1:24" s="84" customFormat="1" ht="27" customHeight="1" x14ac:dyDescent="0.3">
      <c r="A80" s="75" t="s">
        <v>1378</v>
      </c>
      <c r="B80" s="76" t="str">
        <f t="shared" si="1"/>
        <v>Junio</v>
      </c>
      <c r="C80" s="77" t="s">
        <v>240</v>
      </c>
      <c r="D80" s="77" t="s">
        <v>9547</v>
      </c>
      <c r="E80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80" s="79" t="s">
        <v>4563</v>
      </c>
      <c r="G80" s="148" t="s">
        <v>114</v>
      </c>
      <c r="H80" s="140" t="s">
        <v>9329</v>
      </c>
      <c r="I80" s="77" t="s">
        <v>9548</v>
      </c>
      <c r="J80" s="144" t="s">
        <v>9549</v>
      </c>
      <c r="K80" s="77" t="s">
        <v>169</v>
      </c>
      <c r="L80" s="76" t="str">
        <f>VLOOKUP(Anexo_5[[#This Row],[cod_doc]],COMPRAS!TIPODOC,2,FALSE)</f>
        <v>FACTURA</v>
      </c>
      <c r="M80" s="77" t="s">
        <v>1906</v>
      </c>
      <c r="N80" s="79" t="s">
        <v>9550</v>
      </c>
      <c r="O80" s="80">
        <v>2272.4</v>
      </c>
      <c r="P80" s="81">
        <v>409.03</v>
      </c>
      <c r="Q80" s="80"/>
      <c r="R80" s="82">
        <v>2681.43</v>
      </c>
      <c r="S80" s="77"/>
      <c r="T80" s="77"/>
      <c r="U80" s="77"/>
      <c r="V80" s="77" t="s">
        <v>9333</v>
      </c>
      <c r="W80" s="83"/>
      <c r="X80" s="53" t="str">
        <f>IFERROR(VLOOKUP(Anexo_5[[#This Row],[CUENTA]],OP,2,0),"-")</f>
        <v>Residuos Peligrosos</v>
      </c>
    </row>
    <row r="81" spans="1:24" s="84" customFormat="1" ht="27" customHeight="1" x14ac:dyDescent="0.3">
      <c r="A81" s="75" t="s">
        <v>1378</v>
      </c>
      <c r="B81" s="76" t="str">
        <f t="shared" si="1"/>
        <v>Junio</v>
      </c>
      <c r="C81" s="77" t="s">
        <v>240</v>
      </c>
      <c r="D81" s="77" t="s">
        <v>9551</v>
      </c>
      <c r="E81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81" s="79" t="s">
        <v>4560</v>
      </c>
      <c r="G81" s="148" t="s">
        <v>115</v>
      </c>
      <c r="H81" s="140" t="s">
        <v>9371</v>
      </c>
      <c r="I81" s="77" t="s">
        <v>9378</v>
      </c>
      <c r="J81" s="144" t="s">
        <v>9379</v>
      </c>
      <c r="K81" s="77" t="s">
        <v>169</v>
      </c>
      <c r="L81" s="76" t="str">
        <f>VLOOKUP(Anexo_5[[#This Row],[cod_doc]],COMPRAS!TIPODOC,2,FALSE)</f>
        <v>FACTURA</v>
      </c>
      <c r="M81" s="77" t="s">
        <v>1906</v>
      </c>
      <c r="N81" s="79" t="s">
        <v>8690</v>
      </c>
      <c r="O81" s="80">
        <v>4568</v>
      </c>
      <c r="P81" s="81">
        <v>822.24</v>
      </c>
      <c r="Q81" s="80"/>
      <c r="R81" s="82">
        <v>5390.24</v>
      </c>
      <c r="S81" s="77"/>
      <c r="T81" s="77"/>
      <c r="U81" s="77"/>
      <c r="V81" s="77" t="s">
        <v>9375</v>
      </c>
      <c r="W81" s="83"/>
      <c r="X81" s="53" t="str">
        <f>IFERROR(VLOOKUP(Anexo_5[[#This Row],[CUENTA]],OP,2,0),"-")</f>
        <v>Residuos No Peligrosos</v>
      </c>
    </row>
    <row r="82" spans="1:24" s="84" customFormat="1" ht="27" customHeight="1" x14ac:dyDescent="0.3">
      <c r="A82" s="75" t="s">
        <v>1378</v>
      </c>
      <c r="B82" s="76" t="str">
        <f t="shared" si="1"/>
        <v>Junio</v>
      </c>
      <c r="C82" s="77" t="s">
        <v>240</v>
      </c>
      <c r="D82" s="77" t="s">
        <v>9552</v>
      </c>
      <c r="E82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82" s="79" t="s">
        <v>4560</v>
      </c>
      <c r="G82" s="148" t="s">
        <v>115</v>
      </c>
      <c r="H82" s="140" t="s">
        <v>9439</v>
      </c>
      <c r="I82" s="77" t="s">
        <v>9553</v>
      </c>
      <c r="J82" s="144" t="s">
        <v>9554</v>
      </c>
      <c r="K82" s="77" t="s">
        <v>169</v>
      </c>
      <c r="L82" s="76" t="str">
        <f>VLOOKUP(Anexo_5[[#This Row],[cod_doc]],COMPRAS!TIPODOC,2,FALSE)</f>
        <v>FACTURA</v>
      </c>
      <c r="M82" s="77" t="s">
        <v>1906</v>
      </c>
      <c r="N82" s="79" t="s">
        <v>9555</v>
      </c>
      <c r="O82" s="80">
        <v>4878.8999999999996</v>
      </c>
      <c r="P82" s="81">
        <v>878.2</v>
      </c>
      <c r="Q82" s="80"/>
      <c r="R82" s="82">
        <v>5757.1</v>
      </c>
      <c r="S82" s="77"/>
      <c r="T82" s="77"/>
      <c r="U82" s="77"/>
      <c r="V82" s="77" t="s">
        <v>9375</v>
      </c>
      <c r="W82" s="83"/>
      <c r="X82" s="53" t="str">
        <f>IFERROR(VLOOKUP(Anexo_5[[#This Row],[CUENTA]],OP,2,0),"-")</f>
        <v>Residuos No Peligrosos</v>
      </c>
    </row>
    <row r="83" spans="1:24" s="84" customFormat="1" ht="27" customHeight="1" x14ac:dyDescent="0.3">
      <c r="A83" s="75" t="s">
        <v>1378</v>
      </c>
      <c r="B83" s="76" t="str">
        <f t="shared" si="1"/>
        <v>Junio</v>
      </c>
      <c r="C83" s="77" t="s">
        <v>240</v>
      </c>
      <c r="D83" s="77" t="s">
        <v>9556</v>
      </c>
      <c r="E83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83" s="79" t="s">
        <v>4560</v>
      </c>
      <c r="G83" s="148" t="s">
        <v>115</v>
      </c>
      <c r="H83" s="140" t="s">
        <v>9439</v>
      </c>
      <c r="I83" s="77" t="s">
        <v>9553</v>
      </c>
      <c r="J83" s="144" t="s">
        <v>9554</v>
      </c>
      <c r="K83" s="77" t="s">
        <v>169</v>
      </c>
      <c r="L83" s="76" t="str">
        <f>VLOOKUP(Anexo_5[[#This Row],[cod_doc]],COMPRAS!TIPODOC,2,FALSE)</f>
        <v>FACTURA</v>
      </c>
      <c r="M83" s="77" t="s">
        <v>1906</v>
      </c>
      <c r="N83" s="79" t="s">
        <v>8975</v>
      </c>
      <c r="O83" s="80">
        <v>1571.04</v>
      </c>
      <c r="P83" s="81">
        <v>282.79000000000002</v>
      </c>
      <c r="Q83" s="80"/>
      <c r="R83" s="82">
        <v>1853.83</v>
      </c>
      <c r="S83" s="77"/>
      <c r="T83" s="77"/>
      <c r="U83" s="77"/>
      <c r="V83" s="77" t="s">
        <v>9375</v>
      </c>
      <c r="W83" s="83"/>
      <c r="X83" s="53" t="str">
        <f>IFERROR(VLOOKUP(Anexo_5[[#This Row],[CUENTA]],OP,2,0),"-")</f>
        <v>Residuos No Peligrosos</v>
      </c>
    </row>
    <row r="84" spans="1:24" s="84" customFormat="1" ht="27" customHeight="1" x14ac:dyDescent="0.3">
      <c r="A84" s="75" t="s">
        <v>1378</v>
      </c>
      <c r="B84" s="76" t="str">
        <f t="shared" si="1"/>
        <v>Junio</v>
      </c>
      <c r="C84" s="77" t="s">
        <v>240</v>
      </c>
      <c r="D84" s="77" t="s">
        <v>9557</v>
      </c>
      <c r="E84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84" s="79" t="s">
        <v>4563</v>
      </c>
      <c r="G84" s="148" t="s">
        <v>114</v>
      </c>
      <c r="H84" s="140" t="s">
        <v>9386</v>
      </c>
      <c r="I84" s="77" t="s">
        <v>9553</v>
      </c>
      <c r="J84" s="144" t="s">
        <v>9554</v>
      </c>
      <c r="K84" s="77" t="s">
        <v>169</v>
      </c>
      <c r="L84" s="76" t="str">
        <f>VLOOKUP(Anexo_5[[#This Row],[cod_doc]],COMPRAS!TIPODOC,2,FALSE)</f>
        <v>FACTURA</v>
      </c>
      <c r="M84" s="77" t="s">
        <v>1906</v>
      </c>
      <c r="N84" s="79" t="s">
        <v>8972</v>
      </c>
      <c r="O84" s="80">
        <v>265.06</v>
      </c>
      <c r="P84" s="81">
        <v>47.71</v>
      </c>
      <c r="Q84" s="80"/>
      <c r="R84" s="82">
        <v>312.77</v>
      </c>
      <c r="S84" s="77"/>
      <c r="T84" s="77"/>
      <c r="U84" s="77"/>
      <c r="V84" s="77" t="s">
        <v>9333</v>
      </c>
      <c r="W84" s="83"/>
      <c r="X84" s="53" t="str">
        <f>IFERROR(VLOOKUP(Anexo_5[[#This Row],[CUENTA]],OP,2,0),"-")</f>
        <v>Residuos Peligrosos</v>
      </c>
    </row>
    <row r="85" spans="1:24" s="84" customFormat="1" ht="27" customHeight="1" x14ac:dyDescent="0.3">
      <c r="A85" s="75" t="s">
        <v>1378</v>
      </c>
      <c r="B85" s="76" t="str">
        <f t="shared" si="1"/>
        <v>Junio</v>
      </c>
      <c r="C85" s="77" t="s">
        <v>240</v>
      </c>
      <c r="D85" s="77" t="s">
        <v>9558</v>
      </c>
      <c r="E85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85" s="79" t="s">
        <v>248</v>
      </c>
      <c r="G85" s="148" t="s">
        <v>249</v>
      </c>
      <c r="H85" s="140" t="s">
        <v>9559</v>
      </c>
      <c r="I85" s="77" t="s">
        <v>9560</v>
      </c>
      <c r="J85" s="144" t="s">
        <v>9561</v>
      </c>
      <c r="K85" s="77" t="s">
        <v>169</v>
      </c>
      <c r="L85" s="76" t="str">
        <f>VLOOKUP(Anexo_5[[#This Row],[cod_doc]],COMPRAS!TIPODOC,2,FALSE)</f>
        <v>FACTURA</v>
      </c>
      <c r="M85" s="77" t="s">
        <v>105</v>
      </c>
      <c r="N85" s="79" t="s">
        <v>9562</v>
      </c>
      <c r="O85" s="80">
        <v>183.05</v>
      </c>
      <c r="P85" s="81">
        <v>32.950000000000003</v>
      </c>
      <c r="Q85" s="80"/>
      <c r="R85" s="82">
        <v>216</v>
      </c>
      <c r="S85" s="77"/>
      <c r="T85" s="77"/>
      <c r="U85" s="77"/>
      <c r="V85" s="77" t="s">
        <v>9336</v>
      </c>
      <c r="W85" s="83"/>
      <c r="X85" s="53" t="str">
        <f>IFERROR(VLOOKUP(Anexo_5[[#This Row],[CUENTA]],OP,2,0),"-")</f>
        <v>Productos Terminados - RRSS</v>
      </c>
    </row>
    <row r="86" spans="1:24" s="84" customFormat="1" ht="27" customHeight="1" x14ac:dyDescent="0.3">
      <c r="A86" s="75" t="s">
        <v>1378</v>
      </c>
      <c r="B86" s="76" t="str">
        <f t="shared" si="1"/>
        <v>Junio</v>
      </c>
      <c r="C86" s="77" t="s">
        <v>240</v>
      </c>
      <c r="D86" s="77" t="s">
        <v>9563</v>
      </c>
      <c r="E86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86" s="79" t="s">
        <v>248</v>
      </c>
      <c r="G86" s="148" t="s">
        <v>249</v>
      </c>
      <c r="H86" s="140" t="s">
        <v>9469</v>
      </c>
      <c r="I86" s="77" t="s">
        <v>9470</v>
      </c>
      <c r="J86" s="144" t="s">
        <v>9471</v>
      </c>
      <c r="K86" s="77" t="s">
        <v>169</v>
      </c>
      <c r="L86" s="76" t="str">
        <f>VLOOKUP(Anexo_5[[#This Row],[cod_doc]],COMPRAS!TIPODOC,2,FALSE)</f>
        <v>FACTURA</v>
      </c>
      <c r="M86" s="77" t="s">
        <v>105</v>
      </c>
      <c r="N86" s="79" t="s">
        <v>9564</v>
      </c>
      <c r="O86" s="80">
        <v>459</v>
      </c>
      <c r="P86" s="81">
        <v>82.62</v>
      </c>
      <c r="Q86" s="80"/>
      <c r="R86" s="82">
        <v>541.62</v>
      </c>
      <c r="S86" s="77"/>
      <c r="T86" s="77"/>
      <c r="U86" s="77"/>
      <c r="V86" s="77" t="s">
        <v>9336</v>
      </c>
      <c r="W86" s="83"/>
      <c r="X86" s="53" t="str">
        <f>IFERROR(VLOOKUP(Anexo_5[[#This Row],[CUENTA]],OP,2,0),"-")</f>
        <v>Productos Terminados - RRSS</v>
      </c>
    </row>
    <row r="87" spans="1:24" s="84" customFormat="1" ht="27" customHeight="1" x14ac:dyDescent="0.3">
      <c r="A87" s="75" t="s">
        <v>1623</v>
      </c>
      <c r="B87" s="76" t="str">
        <f t="shared" si="1"/>
        <v>Junio</v>
      </c>
      <c r="C87" s="77" t="s">
        <v>240</v>
      </c>
      <c r="D87" s="77" t="s">
        <v>9565</v>
      </c>
      <c r="E87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87" s="79" t="s">
        <v>4563</v>
      </c>
      <c r="G87" s="148" t="s">
        <v>114</v>
      </c>
      <c r="H87" s="140" t="s">
        <v>9536</v>
      </c>
      <c r="I87" s="77" t="s">
        <v>625</v>
      </c>
      <c r="J87" s="144" t="s">
        <v>626</v>
      </c>
      <c r="K87" s="77" t="s">
        <v>169</v>
      </c>
      <c r="L87" s="76" t="str">
        <f>VLOOKUP(Anexo_5[[#This Row],[cod_doc]],COMPRAS!TIPODOC,2,FALSE)</f>
        <v>FACTURA</v>
      </c>
      <c r="M87" s="77" t="s">
        <v>1906</v>
      </c>
      <c r="N87" s="79" t="s">
        <v>9566</v>
      </c>
      <c r="O87" s="80">
        <v>14143.95</v>
      </c>
      <c r="P87" s="81">
        <v>2545.9</v>
      </c>
      <c r="Q87" s="80"/>
      <c r="R87" s="82">
        <v>16689.849999999999</v>
      </c>
      <c r="S87" s="77"/>
      <c r="T87" s="77"/>
      <c r="U87" s="77"/>
      <c r="V87" s="77" t="s">
        <v>9333</v>
      </c>
      <c r="W87" s="83"/>
      <c r="X87" s="53" t="str">
        <f>IFERROR(VLOOKUP(Anexo_5[[#This Row],[CUENTA]],OP,2,0),"-")</f>
        <v>Residuos Peligrosos</v>
      </c>
    </row>
    <row r="88" spans="1:24" s="84" customFormat="1" ht="27" customHeight="1" x14ac:dyDescent="0.3">
      <c r="A88" s="75" t="s">
        <v>1623</v>
      </c>
      <c r="B88" s="76" t="str">
        <f t="shared" si="1"/>
        <v>Junio</v>
      </c>
      <c r="C88" s="77" t="s">
        <v>240</v>
      </c>
      <c r="D88" s="77" t="s">
        <v>9567</v>
      </c>
      <c r="E88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88" s="79" t="s">
        <v>4563</v>
      </c>
      <c r="G88" s="148" t="s">
        <v>114</v>
      </c>
      <c r="H88" s="140" t="s">
        <v>9536</v>
      </c>
      <c r="I88" s="77" t="s">
        <v>625</v>
      </c>
      <c r="J88" s="144" t="s">
        <v>626</v>
      </c>
      <c r="K88" s="77" t="s">
        <v>169</v>
      </c>
      <c r="L88" s="76" t="str">
        <f>VLOOKUP(Anexo_5[[#This Row],[cod_doc]],COMPRAS!TIPODOC,2,FALSE)</f>
        <v>FACTURA</v>
      </c>
      <c r="M88" s="77" t="s">
        <v>1906</v>
      </c>
      <c r="N88" s="79" t="s">
        <v>9568</v>
      </c>
      <c r="O88" s="80">
        <v>9803.99</v>
      </c>
      <c r="P88" s="81">
        <v>1764.7</v>
      </c>
      <c r="Q88" s="80"/>
      <c r="R88" s="82">
        <v>11568.69</v>
      </c>
      <c r="S88" s="77"/>
      <c r="T88" s="77"/>
      <c r="U88" s="77"/>
      <c r="V88" s="77" t="s">
        <v>9333</v>
      </c>
      <c r="W88" s="83"/>
      <c r="X88" s="53" t="str">
        <f>IFERROR(VLOOKUP(Anexo_5[[#This Row],[CUENTA]],OP,2,0),"-")</f>
        <v>Residuos Peligrosos</v>
      </c>
    </row>
    <row r="89" spans="1:24" s="84" customFormat="1" ht="27" customHeight="1" x14ac:dyDescent="0.3">
      <c r="A89" s="75" t="s">
        <v>1623</v>
      </c>
      <c r="B89" s="76" t="str">
        <f t="shared" si="1"/>
        <v>Junio</v>
      </c>
      <c r="C89" s="77" t="s">
        <v>240</v>
      </c>
      <c r="D89" s="77" t="s">
        <v>9569</v>
      </c>
      <c r="E89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89" s="79" t="s">
        <v>248</v>
      </c>
      <c r="G89" s="148" t="s">
        <v>249</v>
      </c>
      <c r="H89" s="140" t="s">
        <v>9570</v>
      </c>
      <c r="I89" s="77" t="s">
        <v>9571</v>
      </c>
      <c r="J89" s="144" t="s">
        <v>9572</v>
      </c>
      <c r="K89" s="77" t="s">
        <v>169</v>
      </c>
      <c r="L89" s="76" t="str">
        <f>VLOOKUP(Anexo_5[[#This Row],[cod_doc]],COMPRAS!TIPODOC,2,FALSE)</f>
        <v>FACTURA</v>
      </c>
      <c r="M89" s="77" t="s">
        <v>105</v>
      </c>
      <c r="N89" s="79" t="s">
        <v>9573</v>
      </c>
      <c r="O89" s="80">
        <v>75</v>
      </c>
      <c r="P89" s="81">
        <v>13.5</v>
      </c>
      <c r="Q89" s="80"/>
      <c r="R89" s="82">
        <v>88.5</v>
      </c>
      <c r="S89" s="77"/>
      <c r="T89" s="77"/>
      <c r="U89" s="77"/>
      <c r="V89" s="77" t="s">
        <v>9336</v>
      </c>
      <c r="W89" s="83"/>
      <c r="X89" s="53" t="str">
        <f>IFERROR(VLOOKUP(Anexo_5[[#This Row],[CUENTA]],OP,2,0),"-")</f>
        <v>Productos Terminados - RRSS</v>
      </c>
    </row>
    <row r="90" spans="1:24" s="84" customFormat="1" ht="27" customHeight="1" x14ac:dyDescent="0.3">
      <c r="A90" s="75" t="s">
        <v>1623</v>
      </c>
      <c r="B90" s="76" t="str">
        <f t="shared" si="1"/>
        <v>Junio</v>
      </c>
      <c r="C90" s="77" t="s">
        <v>240</v>
      </c>
      <c r="D90" s="77" t="s">
        <v>9574</v>
      </c>
      <c r="E90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90" s="79" t="s">
        <v>248</v>
      </c>
      <c r="G90" s="148" t="s">
        <v>249</v>
      </c>
      <c r="H90" s="140" t="s">
        <v>9416</v>
      </c>
      <c r="I90" s="77" t="s">
        <v>9465</v>
      </c>
      <c r="J90" s="144" t="s">
        <v>9466</v>
      </c>
      <c r="K90" s="77" t="s">
        <v>169</v>
      </c>
      <c r="L90" s="76" t="str">
        <f>VLOOKUP(Anexo_5[[#This Row],[cod_doc]],COMPRAS!TIPODOC,2,FALSE)</f>
        <v>FACTURA</v>
      </c>
      <c r="M90" s="77" t="s">
        <v>105</v>
      </c>
      <c r="N90" s="79" t="s">
        <v>9575</v>
      </c>
      <c r="O90" s="80">
        <v>12576.27</v>
      </c>
      <c r="P90" s="81">
        <v>2263.73</v>
      </c>
      <c r="Q90" s="80"/>
      <c r="R90" s="82">
        <v>14840</v>
      </c>
      <c r="S90" s="77"/>
      <c r="T90" s="77"/>
      <c r="U90" s="77"/>
      <c r="V90" s="77" t="s">
        <v>9336</v>
      </c>
      <c r="W90" s="83"/>
      <c r="X90" s="53" t="str">
        <f>IFERROR(VLOOKUP(Anexo_5[[#This Row],[CUENTA]],OP,2,0),"-")</f>
        <v>Productos Terminados - RRSS</v>
      </c>
    </row>
    <row r="91" spans="1:24" s="84" customFormat="1" ht="27" customHeight="1" x14ac:dyDescent="0.3">
      <c r="A91" s="75" t="s">
        <v>1378</v>
      </c>
      <c r="B91" s="76" t="str">
        <f t="shared" si="1"/>
        <v>Junio</v>
      </c>
      <c r="C91" s="77" t="s">
        <v>240</v>
      </c>
      <c r="D91" s="77" t="s">
        <v>9576</v>
      </c>
      <c r="E91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91" s="79" t="s">
        <v>248</v>
      </c>
      <c r="G91" s="148" t="s">
        <v>249</v>
      </c>
      <c r="H91" s="140" t="s">
        <v>9577</v>
      </c>
      <c r="I91" s="77" t="s">
        <v>9578</v>
      </c>
      <c r="J91" s="144" t="s">
        <v>9579</v>
      </c>
      <c r="K91" s="77" t="s">
        <v>169</v>
      </c>
      <c r="L91" s="76" t="str">
        <f>VLOOKUP(Anexo_5[[#This Row],[cod_doc]],COMPRAS!TIPODOC,2,FALSE)</f>
        <v>FACTURA</v>
      </c>
      <c r="M91" s="77" t="s">
        <v>108</v>
      </c>
      <c r="N91" s="79" t="s">
        <v>9580</v>
      </c>
      <c r="O91" s="80">
        <v>8000</v>
      </c>
      <c r="P91" s="81">
        <v>1440</v>
      </c>
      <c r="Q91" s="80"/>
      <c r="R91" s="82">
        <v>9440</v>
      </c>
      <c r="S91" s="77"/>
      <c r="T91" s="77"/>
      <c r="U91" s="77"/>
      <c r="V91" s="77" t="s">
        <v>9336</v>
      </c>
      <c r="W91" s="83"/>
      <c r="X91" s="53" t="str">
        <f>IFERROR(VLOOKUP(Anexo_5[[#This Row],[CUENTA]],OP,2,0),"-")</f>
        <v>Productos Terminados - RRSS</v>
      </c>
    </row>
    <row r="92" spans="1:24" s="84" customFormat="1" ht="27" customHeight="1" x14ac:dyDescent="0.3">
      <c r="A92" s="75" t="s">
        <v>1378</v>
      </c>
      <c r="B92" s="76" t="str">
        <f t="shared" si="1"/>
        <v>Junio</v>
      </c>
      <c r="C92" s="77" t="s">
        <v>240</v>
      </c>
      <c r="D92" s="77" t="s">
        <v>9581</v>
      </c>
      <c r="E92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92" s="79" t="s">
        <v>248</v>
      </c>
      <c r="G92" s="148" t="s">
        <v>249</v>
      </c>
      <c r="H92" s="140" t="s">
        <v>9469</v>
      </c>
      <c r="I92" s="77" t="s">
        <v>9578</v>
      </c>
      <c r="J92" s="144" t="s">
        <v>9579</v>
      </c>
      <c r="K92" s="77" t="s">
        <v>169</v>
      </c>
      <c r="L92" s="76" t="str">
        <f>VLOOKUP(Anexo_5[[#This Row],[cod_doc]],COMPRAS!TIPODOC,2,FALSE)</f>
        <v>FACTURA</v>
      </c>
      <c r="M92" s="77" t="s">
        <v>108</v>
      </c>
      <c r="N92" s="79" t="s">
        <v>7128</v>
      </c>
      <c r="O92" s="80">
        <v>1500</v>
      </c>
      <c r="P92" s="81">
        <v>270</v>
      </c>
      <c r="Q92" s="80"/>
      <c r="R92" s="82">
        <v>1770</v>
      </c>
      <c r="S92" s="77"/>
      <c r="T92" s="77"/>
      <c r="U92" s="77"/>
      <c r="V92" s="77" t="s">
        <v>9336</v>
      </c>
      <c r="W92" s="83"/>
      <c r="X92" s="53" t="str">
        <f>IFERROR(VLOOKUP(Anexo_5[[#This Row],[CUENTA]],OP,2,0),"-")</f>
        <v>Productos Terminados - RRSS</v>
      </c>
    </row>
    <row r="93" spans="1:24" s="84" customFormat="1" ht="27" customHeight="1" x14ac:dyDescent="0.3">
      <c r="A93" s="75" t="s">
        <v>1378</v>
      </c>
      <c r="B93" s="76" t="str">
        <f t="shared" si="1"/>
        <v>Junio</v>
      </c>
      <c r="C93" s="77" t="s">
        <v>240</v>
      </c>
      <c r="D93" s="77" t="s">
        <v>9582</v>
      </c>
      <c r="E93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93" s="79" t="s">
        <v>248</v>
      </c>
      <c r="G93" s="148" t="s">
        <v>249</v>
      </c>
      <c r="H93" s="140" t="s">
        <v>9583</v>
      </c>
      <c r="I93" s="77" t="s">
        <v>9578</v>
      </c>
      <c r="J93" s="144" t="s">
        <v>9579</v>
      </c>
      <c r="K93" s="77" t="s">
        <v>169</v>
      </c>
      <c r="L93" s="76" t="str">
        <f>VLOOKUP(Anexo_5[[#This Row],[cod_doc]],COMPRAS!TIPODOC,2,FALSE)</f>
        <v>FACTURA</v>
      </c>
      <c r="M93" s="77" t="s">
        <v>108</v>
      </c>
      <c r="N93" s="79" t="s">
        <v>9445</v>
      </c>
      <c r="O93" s="80">
        <v>3000</v>
      </c>
      <c r="P93" s="81">
        <v>540</v>
      </c>
      <c r="Q93" s="80"/>
      <c r="R93" s="82">
        <v>3540</v>
      </c>
      <c r="S93" s="77"/>
      <c r="T93" s="77"/>
      <c r="U93" s="77"/>
      <c r="V93" s="77" t="s">
        <v>9336</v>
      </c>
      <c r="W93" s="83"/>
      <c r="X93" s="53" t="str">
        <f>IFERROR(VLOOKUP(Anexo_5[[#This Row],[CUENTA]],OP,2,0),"-")</f>
        <v>Productos Terminados - RRSS</v>
      </c>
    </row>
    <row r="94" spans="1:24" s="84" customFormat="1" ht="27" customHeight="1" x14ac:dyDescent="0.3">
      <c r="A94" s="75" t="s">
        <v>1378</v>
      </c>
      <c r="B94" s="76" t="str">
        <f t="shared" si="1"/>
        <v>Junio</v>
      </c>
      <c r="C94" s="77" t="s">
        <v>240</v>
      </c>
      <c r="D94" s="77" t="s">
        <v>9584</v>
      </c>
      <c r="E94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94" s="79" t="s">
        <v>248</v>
      </c>
      <c r="G94" s="148" t="s">
        <v>249</v>
      </c>
      <c r="H94" s="140" t="s">
        <v>9585</v>
      </c>
      <c r="I94" s="77" t="s">
        <v>9578</v>
      </c>
      <c r="J94" s="144" t="s">
        <v>9579</v>
      </c>
      <c r="K94" s="77" t="s">
        <v>169</v>
      </c>
      <c r="L94" s="76" t="str">
        <f>VLOOKUP(Anexo_5[[#This Row],[cod_doc]],COMPRAS!TIPODOC,2,FALSE)</f>
        <v>FACTURA</v>
      </c>
      <c r="M94" s="77" t="s">
        <v>108</v>
      </c>
      <c r="N94" s="79" t="s">
        <v>9447</v>
      </c>
      <c r="O94" s="80">
        <v>3000</v>
      </c>
      <c r="P94" s="81">
        <v>540</v>
      </c>
      <c r="Q94" s="80"/>
      <c r="R94" s="82">
        <v>3540</v>
      </c>
      <c r="S94" s="77"/>
      <c r="T94" s="77"/>
      <c r="U94" s="77"/>
      <c r="V94" s="77" t="s">
        <v>9336</v>
      </c>
      <c r="W94" s="83"/>
      <c r="X94" s="53" t="str">
        <f>IFERROR(VLOOKUP(Anexo_5[[#This Row],[CUENTA]],OP,2,0),"-")</f>
        <v>Productos Terminados - RRSS</v>
      </c>
    </row>
    <row r="95" spans="1:24" s="84" customFormat="1" ht="27" customHeight="1" x14ac:dyDescent="0.3">
      <c r="A95" s="75" t="s">
        <v>2017</v>
      </c>
      <c r="B95" s="76" t="str">
        <f t="shared" si="1"/>
        <v>Julio</v>
      </c>
      <c r="C95" s="77" t="s">
        <v>240</v>
      </c>
      <c r="D95" s="77" t="s">
        <v>1911</v>
      </c>
      <c r="E95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95" s="79" t="s">
        <v>9278</v>
      </c>
      <c r="G95" s="148" t="s">
        <v>122</v>
      </c>
      <c r="H95" s="140" t="s">
        <v>9348</v>
      </c>
      <c r="I95" s="77" t="s">
        <v>536</v>
      </c>
      <c r="J95" s="144" t="s">
        <v>537</v>
      </c>
      <c r="K95" s="77" t="s">
        <v>169</v>
      </c>
      <c r="L95" s="76" t="str">
        <f>VLOOKUP(Anexo_5[[#This Row],[cod_doc]],COMPRAS!TIPODOC,2,FALSE)</f>
        <v>FACTURA</v>
      </c>
      <c r="M95" s="77" t="s">
        <v>1906</v>
      </c>
      <c r="N95" s="79" t="s">
        <v>9103</v>
      </c>
      <c r="O95" s="80">
        <v>1787.52</v>
      </c>
      <c r="P95" s="81">
        <v>321.75</v>
      </c>
      <c r="Q95" s="80"/>
      <c r="R95" s="82">
        <v>2109.27</v>
      </c>
      <c r="S95" s="77"/>
      <c r="T95" s="77"/>
      <c r="U95" s="77"/>
      <c r="V95" s="77" t="s">
        <v>9350</v>
      </c>
      <c r="W95" s="83"/>
      <c r="X95" s="53" t="str">
        <f>IFERROR(VLOOKUP(Anexo_5[[#This Row],[CUENTA]],OP,2,0),"-")</f>
        <v>Transporte de Carga - Local</v>
      </c>
    </row>
    <row r="96" spans="1:24" s="84" customFormat="1" ht="27" customHeight="1" x14ac:dyDescent="0.3">
      <c r="A96" s="75" t="s">
        <v>2017</v>
      </c>
      <c r="B96" s="76" t="str">
        <f t="shared" si="1"/>
        <v>Julio</v>
      </c>
      <c r="C96" s="77" t="s">
        <v>240</v>
      </c>
      <c r="D96" s="77" t="s">
        <v>1913</v>
      </c>
      <c r="E96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96" s="79" t="s">
        <v>248</v>
      </c>
      <c r="G96" s="148" t="s">
        <v>249</v>
      </c>
      <c r="H96" s="140" t="s">
        <v>9390</v>
      </c>
      <c r="I96" s="77" t="s">
        <v>9391</v>
      </c>
      <c r="J96" s="144" t="s">
        <v>9392</v>
      </c>
      <c r="K96" s="77" t="s">
        <v>169</v>
      </c>
      <c r="L96" s="76" t="str">
        <f>VLOOKUP(Anexo_5[[#This Row],[cod_doc]],COMPRAS!TIPODOC,2,FALSE)</f>
        <v>FACTURA</v>
      </c>
      <c r="M96" s="77" t="s">
        <v>105</v>
      </c>
      <c r="N96" s="79" t="s">
        <v>5997</v>
      </c>
      <c r="O96" s="80">
        <v>505</v>
      </c>
      <c r="P96" s="81">
        <v>90.9</v>
      </c>
      <c r="Q96" s="80"/>
      <c r="R96" s="82">
        <v>595.9</v>
      </c>
      <c r="S96" s="77"/>
      <c r="T96" s="77"/>
      <c r="U96" s="77"/>
      <c r="V96" s="77" t="s">
        <v>9336</v>
      </c>
      <c r="W96" s="83"/>
      <c r="X96" s="53" t="str">
        <f>IFERROR(VLOOKUP(Anexo_5[[#This Row],[CUENTA]],OP,2,0),"-")</f>
        <v>Productos Terminados - RRSS</v>
      </c>
    </row>
    <row r="97" spans="1:24" s="84" customFormat="1" ht="27" customHeight="1" x14ac:dyDescent="0.3">
      <c r="A97" s="75" t="s">
        <v>2017</v>
      </c>
      <c r="B97" s="76" t="str">
        <f t="shared" si="1"/>
        <v>Julio</v>
      </c>
      <c r="C97" s="77" t="s">
        <v>240</v>
      </c>
      <c r="D97" s="77" t="s">
        <v>1915</v>
      </c>
      <c r="E97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97" s="79" t="s">
        <v>248</v>
      </c>
      <c r="G97" s="148" t="s">
        <v>249</v>
      </c>
      <c r="H97" s="140" t="s">
        <v>9529</v>
      </c>
      <c r="I97" s="77" t="s">
        <v>9422</v>
      </c>
      <c r="J97" s="144" t="s">
        <v>9423</v>
      </c>
      <c r="K97" s="77" t="s">
        <v>169</v>
      </c>
      <c r="L97" s="76" t="str">
        <f>VLOOKUP(Anexo_5[[#This Row],[cod_doc]],COMPRAS!TIPODOC,2,FALSE)</f>
        <v>FACTURA</v>
      </c>
      <c r="M97" s="77" t="s">
        <v>107</v>
      </c>
      <c r="N97" s="79" t="s">
        <v>9586</v>
      </c>
      <c r="O97" s="80">
        <v>6089.5</v>
      </c>
      <c r="P97" s="81">
        <v>1096.1099999999999</v>
      </c>
      <c r="Q97" s="80"/>
      <c r="R97" s="82">
        <v>7185.61</v>
      </c>
      <c r="S97" s="77"/>
      <c r="T97" s="77"/>
      <c r="U97" s="77"/>
      <c r="V97" s="77" t="s">
        <v>9336</v>
      </c>
      <c r="W97" s="83"/>
      <c r="X97" s="53" t="str">
        <f>IFERROR(VLOOKUP(Anexo_5[[#This Row],[CUENTA]],OP,2,0),"-")</f>
        <v>Productos Terminados - RRSS</v>
      </c>
    </row>
    <row r="98" spans="1:24" s="84" customFormat="1" ht="27" customHeight="1" x14ac:dyDescent="0.3">
      <c r="A98" s="75" t="s">
        <v>2017</v>
      </c>
      <c r="B98" s="76" t="str">
        <f t="shared" si="1"/>
        <v>Julio</v>
      </c>
      <c r="C98" s="77" t="s">
        <v>240</v>
      </c>
      <c r="D98" s="77" t="s">
        <v>1917</v>
      </c>
      <c r="E98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98" s="79" t="s">
        <v>248</v>
      </c>
      <c r="G98" s="148" t="s">
        <v>249</v>
      </c>
      <c r="H98" s="140" t="s">
        <v>9343</v>
      </c>
      <c r="I98" s="77" t="s">
        <v>9344</v>
      </c>
      <c r="J98" s="144" t="s">
        <v>9345</v>
      </c>
      <c r="K98" s="77" t="s">
        <v>169</v>
      </c>
      <c r="L98" s="76" t="str">
        <f>VLOOKUP(Anexo_5[[#This Row],[cod_doc]],COMPRAS!TIPODOC,2,FALSE)</f>
        <v>FACTURA</v>
      </c>
      <c r="M98" s="77" t="s">
        <v>107</v>
      </c>
      <c r="N98" s="79" t="s">
        <v>9587</v>
      </c>
      <c r="O98" s="80">
        <v>2325</v>
      </c>
      <c r="P98" s="81">
        <v>418.5</v>
      </c>
      <c r="Q98" s="80"/>
      <c r="R98" s="82">
        <v>2743.5</v>
      </c>
      <c r="S98" s="77"/>
      <c r="T98" s="77"/>
      <c r="U98" s="77"/>
      <c r="V98" s="77" t="s">
        <v>9336</v>
      </c>
      <c r="W98" s="83"/>
      <c r="X98" s="53" t="str">
        <f>IFERROR(VLOOKUP(Anexo_5[[#This Row],[CUENTA]],OP,2,0),"-")</f>
        <v>Productos Terminados - RRSS</v>
      </c>
    </row>
    <row r="99" spans="1:24" s="84" customFormat="1" ht="27" customHeight="1" x14ac:dyDescent="0.3">
      <c r="A99" s="75" t="s">
        <v>1993</v>
      </c>
      <c r="B99" s="76" t="str">
        <f t="shared" si="1"/>
        <v>Julio</v>
      </c>
      <c r="C99" s="77" t="s">
        <v>240</v>
      </c>
      <c r="D99" s="77" t="s">
        <v>1921</v>
      </c>
      <c r="E99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99" s="79" t="s">
        <v>248</v>
      </c>
      <c r="G99" s="148" t="s">
        <v>249</v>
      </c>
      <c r="H99" s="140" t="s">
        <v>9343</v>
      </c>
      <c r="I99" s="77" t="s">
        <v>9506</v>
      </c>
      <c r="J99" s="144" t="s">
        <v>9507</v>
      </c>
      <c r="K99" s="77" t="s">
        <v>169</v>
      </c>
      <c r="L99" s="76" t="str">
        <f>VLOOKUP(Anexo_5[[#This Row],[cod_doc]],COMPRAS!TIPODOC,2,FALSE)</f>
        <v>FACTURA</v>
      </c>
      <c r="M99" s="77" t="s">
        <v>107</v>
      </c>
      <c r="N99" s="79" t="s">
        <v>9588</v>
      </c>
      <c r="O99" s="80">
        <v>453.81</v>
      </c>
      <c r="P99" s="81">
        <v>81.69</v>
      </c>
      <c r="Q99" s="80"/>
      <c r="R99" s="82">
        <v>535.5</v>
      </c>
      <c r="S99" s="77"/>
      <c r="T99" s="77"/>
      <c r="U99" s="77"/>
      <c r="V99" s="77" t="s">
        <v>9336</v>
      </c>
      <c r="W99" s="83"/>
      <c r="X99" s="53" t="str">
        <f>IFERROR(VLOOKUP(Anexo_5[[#This Row],[CUENTA]],OP,2,0),"-")</f>
        <v>Productos Terminados - RRSS</v>
      </c>
    </row>
    <row r="100" spans="1:24" s="84" customFormat="1" ht="27" customHeight="1" x14ac:dyDescent="0.3">
      <c r="A100" s="75" t="s">
        <v>2013</v>
      </c>
      <c r="B100" s="76" t="str">
        <f t="shared" si="1"/>
        <v>Julio</v>
      </c>
      <c r="C100" s="77" t="s">
        <v>240</v>
      </c>
      <c r="D100" s="77" t="s">
        <v>1924</v>
      </c>
      <c r="E100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100" s="79" t="s">
        <v>4560</v>
      </c>
      <c r="G100" s="148" t="s">
        <v>115</v>
      </c>
      <c r="H100" s="140" t="s">
        <v>9371</v>
      </c>
      <c r="I100" s="77" t="s">
        <v>9589</v>
      </c>
      <c r="J100" s="144" t="s">
        <v>9590</v>
      </c>
      <c r="K100" s="77" t="s">
        <v>169</v>
      </c>
      <c r="L100" s="76" t="str">
        <f>VLOOKUP(Anexo_5[[#This Row],[cod_doc]],COMPRAS!TIPODOC,2,FALSE)</f>
        <v>FACTURA</v>
      </c>
      <c r="M100" s="77" t="s">
        <v>1906</v>
      </c>
      <c r="N100" s="79" t="s">
        <v>9591</v>
      </c>
      <c r="O100" s="80">
        <v>4484.5</v>
      </c>
      <c r="P100" s="81">
        <v>807.21</v>
      </c>
      <c r="Q100" s="80"/>
      <c r="R100" s="82">
        <v>5291.71</v>
      </c>
      <c r="S100" s="77"/>
      <c r="T100" s="77"/>
      <c r="U100" s="77"/>
      <c r="V100" s="77" t="s">
        <v>9375</v>
      </c>
      <c r="W100" s="83"/>
      <c r="X100" s="53" t="str">
        <f>IFERROR(VLOOKUP(Anexo_5[[#This Row],[CUENTA]],OP,2,0),"-")</f>
        <v>Residuos No Peligrosos</v>
      </c>
    </row>
    <row r="101" spans="1:24" s="84" customFormat="1" ht="27" customHeight="1" x14ac:dyDescent="0.3">
      <c r="A101" s="75" t="s">
        <v>2013</v>
      </c>
      <c r="B101" s="76" t="str">
        <f t="shared" si="1"/>
        <v>Julio</v>
      </c>
      <c r="C101" s="77" t="s">
        <v>240</v>
      </c>
      <c r="D101" s="77" t="s">
        <v>1927</v>
      </c>
      <c r="E101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101" s="79" t="s">
        <v>4563</v>
      </c>
      <c r="G101" s="148" t="s">
        <v>114</v>
      </c>
      <c r="H101" s="140" t="s">
        <v>9386</v>
      </c>
      <c r="I101" s="77" t="s">
        <v>9592</v>
      </c>
      <c r="J101" s="144" t="s">
        <v>9593</v>
      </c>
      <c r="K101" s="77" t="s">
        <v>169</v>
      </c>
      <c r="L101" s="76" t="str">
        <f>VLOOKUP(Anexo_5[[#This Row],[cod_doc]],COMPRAS!TIPODOC,2,FALSE)</f>
        <v>FACTURA</v>
      </c>
      <c r="M101" s="77" t="s">
        <v>1906</v>
      </c>
      <c r="N101" s="79" t="s">
        <v>9594</v>
      </c>
      <c r="O101" s="80">
        <v>4874.2</v>
      </c>
      <c r="P101" s="81">
        <v>877.36</v>
      </c>
      <c r="Q101" s="80"/>
      <c r="R101" s="82">
        <v>5751.56</v>
      </c>
      <c r="S101" s="77"/>
      <c r="T101" s="77"/>
      <c r="U101" s="77"/>
      <c r="V101" s="77" t="s">
        <v>9333</v>
      </c>
      <c r="W101" s="83"/>
      <c r="X101" s="53" t="str">
        <f>IFERROR(VLOOKUP(Anexo_5[[#This Row],[CUENTA]],OP,2,0),"-")</f>
        <v>Residuos Peligrosos</v>
      </c>
    </row>
    <row r="102" spans="1:24" s="84" customFormat="1" ht="27" customHeight="1" x14ac:dyDescent="0.3">
      <c r="A102" s="75" t="s">
        <v>2013</v>
      </c>
      <c r="B102" s="76" t="str">
        <f t="shared" si="1"/>
        <v>Julio</v>
      </c>
      <c r="C102" s="77" t="s">
        <v>240</v>
      </c>
      <c r="D102" s="77" t="s">
        <v>1930</v>
      </c>
      <c r="E102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102" s="79" t="s">
        <v>4563</v>
      </c>
      <c r="G102" s="148" t="s">
        <v>114</v>
      </c>
      <c r="H102" s="140" t="s">
        <v>9536</v>
      </c>
      <c r="I102" s="77" t="s">
        <v>625</v>
      </c>
      <c r="J102" s="144" t="s">
        <v>626</v>
      </c>
      <c r="K102" s="77" t="s">
        <v>169</v>
      </c>
      <c r="L102" s="76" t="str">
        <f>VLOOKUP(Anexo_5[[#This Row],[cod_doc]],COMPRAS!TIPODOC,2,FALSE)</f>
        <v>FACTURA</v>
      </c>
      <c r="M102" s="77" t="s">
        <v>1906</v>
      </c>
      <c r="N102" s="79" t="s">
        <v>9595</v>
      </c>
      <c r="O102" s="80">
        <v>13319.9</v>
      </c>
      <c r="P102" s="81">
        <v>2397.58</v>
      </c>
      <c r="Q102" s="80"/>
      <c r="R102" s="82">
        <v>15717.48</v>
      </c>
      <c r="S102" s="77"/>
      <c r="T102" s="77"/>
      <c r="U102" s="77"/>
      <c r="V102" s="77" t="s">
        <v>9333</v>
      </c>
      <c r="W102" s="83"/>
      <c r="X102" s="53" t="str">
        <f>IFERROR(VLOOKUP(Anexo_5[[#This Row],[CUENTA]],OP,2,0),"-")</f>
        <v>Residuos Peligrosos</v>
      </c>
    </row>
    <row r="103" spans="1:24" s="84" customFormat="1" ht="27" customHeight="1" x14ac:dyDescent="0.3">
      <c r="A103" s="75" t="s">
        <v>2013</v>
      </c>
      <c r="B103" s="76" t="str">
        <f t="shared" si="1"/>
        <v>Julio</v>
      </c>
      <c r="C103" s="77" t="s">
        <v>240</v>
      </c>
      <c r="D103" s="77" t="s">
        <v>1933</v>
      </c>
      <c r="E103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103" s="79" t="s">
        <v>4560</v>
      </c>
      <c r="G103" s="148" t="s">
        <v>115</v>
      </c>
      <c r="H103" s="140" t="s">
        <v>9371</v>
      </c>
      <c r="I103" s="77" t="s">
        <v>1111</v>
      </c>
      <c r="J103" s="144" t="s">
        <v>1112</v>
      </c>
      <c r="K103" s="77" t="s">
        <v>169</v>
      </c>
      <c r="L103" s="76" t="str">
        <f>VLOOKUP(Anexo_5[[#This Row],[cod_doc]],COMPRAS!TIPODOC,2,FALSE)</f>
        <v>FACTURA</v>
      </c>
      <c r="M103" s="77" t="s">
        <v>1906</v>
      </c>
      <c r="N103" s="79" t="s">
        <v>5090</v>
      </c>
      <c r="O103" s="80">
        <v>1429.7</v>
      </c>
      <c r="P103" s="81">
        <v>257.35000000000002</v>
      </c>
      <c r="Q103" s="80"/>
      <c r="R103" s="82">
        <v>1687.05</v>
      </c>
      <c r="S103" s="77"/>
      <c r="T103" s="77"/>
      <c r="U103" s="77"/>
      <c r="V103" s="77" t="s">
        <v>9375</v>
      </c>
      <c r="W103" s="83"/>
      <c r="X103" s="53" t="str">
        <f>IFERROR(VLOOKUP(Anexo_5[[#This Row],[CUENTA]],OP,2,0),"-")</f>
        <v>Residuos No Peligrosos</v>
      </c>
    </row>
    <row r="104" spans="1:24" s="84" customFormat="1" ht="27" customHeight="1" x14ac:dyDescent="0.3">
      <c r="A104" s="75" t="s">
        <v>2013</v>
      </c>
      <c r="B104" s="76" t="str">
        <f t="shared" si="1"/>
        <v>Julio</v>
      </c>
      <c r="C104" s="77" t="s">
        <v>240</v>
      </c>
      <c r="D104" s="77" t="s">
        <v>1936</v>
      </c>
      <c r="E104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104" s="79" t="s">
        <v>4560</v>
      </c>
      <c r="G104" s="148" t="s">
        <v>115</v>
      </c>
      <c r="H104" s="140" t="s">
        <v>9439</v>
      </c>
      <c r="I104" s="77" t="s">
        <v>1111</v>
      </c>
      <c r="J104" s="144" t="s">
        <v>1112</v>
      </c>
      <c r="K104" s="77" t="s">
        <v>169</v>
      </c>
      <c r="L104" s="76" t="str">
        <f>VLOOKUP(Anexo_5[[#This Row],[cod_doc]],COMPRAS!TIPODOC,2,FALSE)</f>
        <v>FACTURA</v>
      </c>
      <c r="M104" s="77" t="s">
        <v>1906</v>
      </c>
      <c r="N104" s="79" t="s">
        <v>6692</v>
      </c>
      <c r="O104" s="80">
        <v>1710.7</v>
      </c>
      <c r="P104" s="81">
        <v>307.93</v>
      </c>
      <c r="Q104" s="80"/>
      <c r="R104" s="82">
        <v>2018.63</v>
      </c>
      <c r="S104" s="77"/>
      <c r="T104" s="77"/>
      <c r="U104" s="77"/>
      <c r="V104" s="77" t="s">
        <v>9375</v>
      </c>
      <c r="W104" s="83"/>
      <c r="X104" s="53" t="str">
        <f>IFERROR(VLOOKUP(Anexo_5[[#This Row],[CUENTA]],OP,2,0),"-")</f>
        <v>Residuos No Peligrosos</v>
      </c>
    </row>
    <row r="105" spans="1:24" s="84" customFormat="1" ht="27" customHeight="1" x14ac:dyDescent="0.3">
      <c r="A105" s="75" t="s">
        <v>2013</v>
      </c>
      <c r="B105" s="76" t="str">
        <f t="shared" si="1"/>
        <v>Julio</v>
      </c>
      <c r="C105" s="77" t="s">
        <v>240</v>
      </c>
      <c r="D105" s="77" t="s">
        <v>1940</v>
      </c>
      <c r="E105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105" s="79" t="s">
        <v>4560</v>
      </c>
      <c r="G105" s="148" t="s">
        <v>115</v>
      </c>
      <c r="H105" s="140" t="s">
        <v>9371</v>
      </c>
      <c r="I105" s="77" t="s">
        <v>1111</v>
      </c>
      <c r="J105" s="144" t="s">
        <v>1112</v>
      </c>
      <c r="K105" s="77" t="s">
        <v>169</v>
      </c>
      <c r="L105" s="76" t="str">
        <f>VLOOKUP(Anexo_5[[#This Row],[cod_doc]],COMPRAS!TIPODOC,2,FALSE)</f>
        <v>FACTURA</v>
      </c>
      <c r="M105" s="77" t="s">
        <v>1906</v>
      </c>
      <c r="N105" s="79" t="s">
        <v>6689</v>
      </c>
      <c r="O105" s="80">
        <v>1429.7</v>
      </c>
      <c r="P105" s="81">
        <v>257.35000000000002</v>
      </c>
      <c r="Q105" s="80"/>
      <c r="R105" s="82">
        <v>1687.05</v>
      </c>
      <c r="S105" s="77"/>
      <c r="T105" s="77"/>
      <c r="U105" s="77"/>
      <c r="V105" s="77" t="s">
        <v>9375</v>
      </c>
      <c r="W105" s="83"/>
      <c r="X105" s="53" t="str">
        <f>IFERROR(VLOOKUP(Anexo_5[[#This Row],[CUENTA]],OP,2,0),"-")</f>
        <v>Residuos No Peligrosos</v>
      </c>
    </row>
    <row r="106" spans="1:24" s="84" customFormat="1" ht="27" customHeight="1" x14ac:dyDescent="0.3">
      <c r="A106" s="75" t="s">
        <v>2013</v>
      </c>
      <c r="B106" s="76" t="str">
        <f t="shared" si="1"/>
        <v>Julio</v>
      </c>
      <c r="C106" s="77" t="s">
        <v>240</v>
      </c>
      <c r="D106" s="77" t="s">
        <v>1942</v>
      </c>
      <c r="E106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106" s="79" t="s">
        <v>4560</v>
      </c>
      <c r="G106" s="148" t="s">
        <v>115</v>
      </c>
      <c r="H106" s="140" t="s">
        <v>9371</v>
      </c>
      <c r="I106" s="77" t="s">
        <v>1111</v>
      </c>
      <c r="J106" s="144" t="s">
        <v>1112</v>
      </c>
      <c r="K106" s="77" t="s">
        <v>169</v>
      </c>
      <c r="L106" s="76" t="str">
        <f>VLOOKUP(Anexo_5[[#This Row],[cod_doc]],COMPRAS!TIPODOC,2,FALSE)</f>
        <v>FACTURA</v>
      </c>
      <c r="M106" s="77" t="s">
        <v>1906</v>
      </c>
      <c r="N106" s="79" t="s">
        <v>9596</v>
      </c>
      <c r="O106" s="80">
        <v>1429.7</v>
      </c>
      <c r="P106" s="81">
        <v>257.35000000000002</v>
      </c>
      <c r="Q106" s="80"/>
      <c r="R106" s="82">
        <v>1687.05</v>
      </c>
      <c r="S106" s="77"/>
      <c r="T106" s="77"/>
      <c r="U106" s="77"/>
      <c r="V106" s="77" t="s">
        <v>9375</v>
      </c>
      <c r="W106" s="83"/>
      <c r="X106" s="53" t="str">
        <f>IFERROR(VLOOKUP(Anexo_5[[#This Row],[CUENTA]],OP,2,0),"-")</f>
        <v>Residuos No Peligrosos</v>
      </c>
    </row>
    <row r="107" spans="1:24" s="84" customFormat="1" ht="27" customHeight="1" x14ac:dyDescent="0.3">
      <c r="A107" s="75" t="s">
        <v>2013</v>
      </c>
      <c r="B107" s="76" t="str">
        <f t="shared" si="1"/>
        <v>Julio</v>
      </c>
      <c r="C107" s="77" t="s">
        <v>240</v>
      </c>
      <c r="D107" s="77" t="s">
        <v>1946</v>
      </c>
      <c r="E107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107" s="79" t="s">
        <v>4560</v>
      </c>
      <c r="G107" s="148" t="s">
        <v>115</v>
      </c>
      <c r="H107" s="140" t="s">
        <v>9439</v>
      </c>
      <c r="I107" s="77" t="s">
        <v>1111</v>
      </c>
      <c r="J107" s="144" t="s">
        <v>1112</v>
      </c>
      <c r="K107" s="77" t="s">
        <v>169</v>
      </c>
      <c r="L107" s="76" t="str">
        <f>VLOOKUP(Anexo_5[[#This Row],[cod_doc]],COMPRAS!TIPODOC,2,FALSE)</f>
        <v>FACTURA</v>
      </c>
      <c r="M107" s="77" t="s">
        <v>1906</v>
      </c>
      <c r="N107" s="79" t="s">
        <v>4993</v>
      </c>
      <c r="O107" s="80">
        <v>1429.7</v>
      </c>
      <c r="P107" s="81">
        <v>257.35000000000002</v>
      </c>
      <c r="Q107" s="80"/>
      <c r="R107" s="82">
        <v>1687.05</v>
      </c>
      <c r="S107" s="77"/>
      <c r="T107" s="77"/>
      <c r="U107" s="77"/>
      <c r="V107" s="77" t="s">
        <v>9375</v>
      </c>
      <c r="W107" s="83"/>
      <c r="X107" s="53" t="str">
        <f>IFERROR(VLOOKUP(Anexo_5[[#This Row],[CUENTA]],OP,2,0),"-")</f>
        <v>Residuos No Peligrosos</v>
      </c>
    </row>
    <row r="108" spans="1:24" s="84" customFormat="1" ht="27" customHeight="1" x14ac:dyDescent="0.3">
      <c r="A108" s="75" t="s">
        <v>2013</v>
      </c>
      <c r="B108" s="76" t="str">
        <f t="shared" si="1"/>
        <v>Julio</v>
      </c>
      <c r="C108" s="77" t="s">
        <v>240</v>
      </c>
      <c r="D108" s="77" t="s">
        <v>1950</v>
      </c>
      <c r="E108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108" s="79" t="s">
        <v>248</v>
      </c>
      <c r="G108" s="148" t="s">
        <v>249</v>
      </c>
      <c r="H108" s="140" t="s">
        <v>9352</v>
      </c>
      <c r="I108" s="77" t="s">
        <v>9353</v>
      </c>
      <c r="J108" s="144" t="s">
        <v>9354</v>
      </c>
      <c r="K108" s="77" t="s">
        <v>169</v>
      </c>
      <c r="L108" s="76" t="str">
        <f>VLOOKUP(Anexo_5[[#This Row],[cod_doc]],COMPRAS!TIPODOC,2,FALSE)</f>
        <v>FACTURA</v>
      </c>
      <c r="M108" s="77" t="s">
        <v>105</v>
      </c>
      <c r="N108" s="79" t="s">
        <v>9597</v>
      </c>
      <c r="O108" s="80">
        <v>1929.6</v>
      </c>
      <c r="P108" s="81">
        <v>347.33</v>
      </c>
      <c r="Q108" s="80"/>
      <c r="R108" s="82">
        <v>2276.9299999999998</v>
      </c>
      <c r="S108" s="77"/>
      <c r="T108" s="77"/>
      <c r="U108" s="77"/>
      <c r="V108" s="77" t="s">
        <v>9355</v>
      </c>
      <c r="W108" s="83"/>
      <c r="X108" s="53" t="str">
        <f>IFERROR(VLOOKUP(Anexo_5[[#This Row],[CUENTA]],OP,2,0),"-")</f>
        <v>Descuentos y Rebajas</v>
      </c>
    </row>
    <row r="109" spans="1:24" s="84" customFormat="1" ht="27" customHeight="1" x14ac:dyDescent="0.3">
      <c r="A109" s="75" t="s">
        <v>2106</v>
      </c>
      <c r="B109" s="76" t="str">
        <f t="shared" si="1"/>
        <v>Julio</v>
      </c>
      <c r="C109" s="77" t="s">
        <v>240</v>
      </c>
      <c r="D109" s="77" t="s">
        <v>9598</v>
      </c>
      <c r="E109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109" s="79" t="s">
        <v>4560</v>
      </c>
      <c r="G109" s="148" t="s">
        <v>115</v>
      </c>
      <c r="H109" s="140" t="s">
        <v>9371</v>
      </c>
      <c r="I109" s="77" t="s">
        <v>1111</v>
      </c>
      <c r="J109" s="144" t="s">
        <v>1112</v>
      </c>
      <c r="K109" s="77" t="s">
        <v>169</v>
      </c>
      <c r="L109" s="76" t="str">
        <f>VLOOKUP(Anexo_5[[#This Row],[cod_doc]],COMPRAS!TIPODOC,2,FALSE)</f>
        <v>FACTURA</v>
      </c>
      <c r="M109" s="77" t="s">
        <v>1906</v>
      </c>
      <c r="N109" s="79" t="s">
        <v>9106</v>
      </c>
      <c r="O109" s="80">
        <v>1429.7</v>
      </c>
      <c r="P109" s="81">
        <v>257.35000000000002</v>
      </c>
      <c r="Q109" s="80"/>
      <c r="R109" s="82">
        <v>1687.05</v>
      </c>
      <c r="S109" s="77"/>
      <c r="T109" s="77"/>
      <c r="U109" s="77"/>
      <c r="V109" s="77" t="s">
        <v>9375</v>
      </c>
      <c r="W109" s="83"/>
      <c r="X109" s="53" t="str">
        <f>IFERROR(VLOOKUP(Anexo_5[[#This Row],[CUENTA]],OP,2,0),"-")</f>
        <v>Residuos No Peligrosos</v>
      </c>
    </row>
    <row r="110" spans="1:24" s="84" customFormat="1" ht="27" customHeight="1" x14ac:dyDescent="0.3">
      <c r="A110" s="75" t="s">
        <v>2106</v>
      </c>
      <c r="B110" s="76" t="str">
        <f t="shared" si="1"/>
        <v>Julio</v>
      </c>
      <c r="C110" s="77" t="s">
        <v>240</v>
      </c>
      <c r="D110" s="77" t="s">
        <v>9599</v>
      </c>
      <c r="E110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110" s="79" t="s">
        <v>4560</v>
      </c>
      <c r="G110" s="148" t="s">
        <v>115</v>
      </c>
      <c r="H110" s="140" t="s">
        <v>9439</v>
      </c>
      <c r="I110" s="77" t="s">
        <v>1111</v>
      </c>
      <c r="J110" s="144" t="s">
        <v>1112</v>
      </c>
      <c r="K110" s="77" t="s">
        <v>169</v>
      </c>
      <c r="L110" s="76" t="str">
        <f>VLOOKUP(Anexo_5[[#This Row],[cod_doc]],COMPRAS!TIPODOC,2,FALSE)</f>
        <v>FACTURA</v>
      </c>
      <c r="M110" s="77" t="s">
        <v>1906</v>
      </c>
      <c r="N110" s="79" t="s">
        <v>9600</v>
      </c>
      <c r="O110" s="80">
        <v>1879.54</v>
      </c>
      <c r="P110" s="81">
        <v>338.32</v>
      </c>
      <c r="Q110" s="80"/>
      <c r="R110" s="82">
        <v>2217.86</v>
      </c>
      <c r="S110" s="77"/>
      <c r="T110" s="77"/>
      <c r="U110" s="77"/>
      <c r="V110" s="77" t="s">
        <v>9375</v>
      </c>
      <c r="W110" s="83"/>
      <c r="X110" s="53" t="str">
        <f>IFERROR(VLOOKUP(Anexo_5[[#This Row],[CUENTA]],OP,2,0),"-")</f>
        <v>Residuos No Peligrosos</v>
      </c>
    </row>
    <row r="111" spans="1:24" s="84" customFormat="1" ht="27" customHeight="1" x14ac:dyDescent="0.3">
      <c r="A111" s="75" t="s">
        <v>2106</v>
      </c>
      <c r="B111" s="76" t="str">
        <f t="shared" si="1"/>
        <v>Julio</v>
      </c>
      <c r="C111" s="77" t="s">
        <v>240</v>
      </c>
      <c r="D111" s="77" t="s">
        <v>1954</v>
      </c>
      <c r="E111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111" s="79" t="s">
        <v>4560</v>
      </c>
      <c r="G111" s="148" t="s">
        <v>115</v>
      </c>
      <c r="H111" s="140" t="s">
        <v>9371</v>
      </c>
      <c r="I111" s="77" t="s">
        <v>1111</v>
      </c>
      <c r="J111" s="144" t="s">
        <v>1112</v>
      </c>
      <c r="K111" s="77" t="s">
        <v>169</v>
      </c>
      <c r="L111" s="76" t="str">
        <f>VLOOKUP(Anexo_5[[#This Row],[cod_doc]],COMPRAS!TIPODOC,2,FALSE)</f>
        <v>FACTURA</v>
      </c>
      <c r="M111" s="77" t="s">
        <v>1906</v>
      </c>
      <c r="N111" s="79" t="s">
        <v>9081</v>
      </c>
      <c r="O111" s="80">
        <v>1429.7</v>
      </c>
      <c r="P111" s="81">
        <v>257.35000000000002</v>
      </c>
      <c r="Q111" s="80"/>
      <c r="R111" s="82">
        <v>1687.05</v>
      </c>
      <c r="S111" s="77"/>
      <c r="T111" s="77"/>
      <c r="U111" s="77"/>
      <c r="V111" s="77" t="s">
        <v>9375</v>
      </c>
      <c r="W111" s="83"/>
      <c r="X111" s="53" t="str">
        <f>IFERROR(VLOOKUP(Anexo_5[[#This Row],[CUENTA]],OP,2,0),"-")</f>
        <v>Residuos No Peligrosos</v>
      </c>
    </row>
    <row r="112" spans="1:24" s="84" customFormat="1" ht="27" customHeight="1" x14ac:dyDescent="0.3">
      <c r="A112" s="75" t="s">
        <v>2106</v>
      </c>
      <c r="B112" s="76" t="str">
        <f t="shared" si="1"/>
        <v>Julio</v>
      </c>
      <c r="C112" s="77" t="s">
        <v>240</v>
      </c>
      <c r="D112" s="77" t="s">
        <v>9601</v>
      </c>
      <c r="E112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112" s="79" t="s">
        <v>4560</v>
      </c>
      <c r="G112" s="148" t="s">
        <v>115</v>
      </c>
      <c r="H112" s="140" t="s">
        <v>9371</v>
      </c>
      <c r="I112" s="77" t="s">
        <v>1111</v>
      </c>
      <c r="J112" s="144" t="s">
        <v>1112</v>
      </c>
      <c r="K112" s="77" t="s">
        <v>169</v>
      </c>
      <c r="L112" s="76" t="str">
        <f>VLOOKUP(Anexo_5[[#This Row],[cod_doc]],COMPRAS!TIPODOC,2,FALSE)</f>
        <v>FACTURA</v>
      </c>
      <c r="M112" s="77" t="s">
        <v>1906</v>
      </c>
      <c r="N112" s="79" t="s">
        <v>9602</v>
      </c>
      <c r="O112" s="80">
        <v>1429.7</v>
      </c>
      <c r="P112" s="81">
        <v>257.35000000000002</v>
      </c>
      <c r="Q112" s="80"/>
      <c r="R112" s="82">
        <v>1687.05</v>
      </c>
      <c r="S112" s="77"/>
      <c r="T112" s="77"/>
      <c r="U112" s="77"/>
      <c r="V112" s="77" t="s">
        <v>9375</v>
      </c>
      <c r="W112" s="83"/>
      <c r="X112" s="53" t="str">
        <f>IFERROR(VLOOKUP(Anexo_5[[#This Row],[CUENTA]],OP,2,0),"-")</f>
        <v>Residuos No Peligrosos</v>
      </c>
    </row>
    <row r="113" spans="1:24" s="84" customFormat="1" ht="27" customHeight="1" x14ac:dyDescent="0.3">
      <c r="A113" s="75" t="s">
        <v>2106</v>
      </c>
      <c r="B113" s="76" t="str">
        <f t="shared" si="1"/>
        <v>Julio</v>
      </c>
      <c r="C113" s="77" t="s">
        <v>240</v>
      </c>
      <c r="D113" s="77" t="s">
        <v>9603</v>
      </c>
      <c r="E113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113" s="79" t="s">
        <v>4560</v>
      </c>
      <c r="G113" s="148" t="s">
        <v>115</v>
      </c>
      <c r="H113" s="140" t="s">
        <v>9371</v>
      </c>
      <c r="I113" s="77" t="s">
        <v>1111</v>
      </c>
      <c r="J113" s="144" t="s">
        <v>1112</v>
      </c>
      <c r="K113" s="77" t="s">
        <v>169</v>
      </c>
      <c r="L113" s="76" t="str">
        <f>VLOOKUP(Anexo_5[[#This Row],[cod_doc]],COMPRAS!TIPODOC,2,FALSE)</f>
        <v>FACTURA</v>
      </c>
      <c r="M113" s="77" t="s">
        <v>1906</v>
      </c>
      <c r="N113" s="79" t="s">
        <v>9604</v>
      </c>
      <c r="O113" s="80">
        <v>1429.7</v>
      </c>
      <c r="P113" s="81">
        <v>257.35000000000002</v>
      </c>
      <c r="Q113" s="80"/>
      <c r="R113" s="82">
        <v>1687.05</v>
      </c>
      <c r="S113" s="77"/>
      <c r="T113" s="77"/>
      <c r="U113" s="77"/>
      <c r="V113" s="77" t="s">
        <v>9375</v>
      </c>
      <c r="W113" s="83"/>
      <c r="X113" s="53" t="str">
        <f>IFERROR(VLOOKUP(Anexo_5[[#This Row],[CUENTA]],OP,2,0),"-")</f>
        <v>Residuos No Peligrosos</v>
      </c>
    </row>
    <row r="114" spans="1:24" s="84" customFormat="1" ht="27" customHeight="1" x14ac:dyDescent="0.3">
      <c r="A114" s="75" t="s">
        <v>2106</v>
      </c>
      <c r="B114" s="76" t="str">
        <f t="shared" si="1"/>
        <v>Julio</v>
      </c>
      <c r="C114" s="77" t="s">
        <v>240</v>
      </c>
      <c r="D114" s="77" t="s">
        <v>9605</v>
      </c>
      <c r="E114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114" s="79" t="s">
        <v>4560</v>
      </c>
      <c r="G114" s="148" t="s">
        <v>115</v>
      </c>
      <c r="H114" s="140" t="s">
        <v>9439</v>
      </c>
      <c r="I114" s="77" t="s">
        <v>1111</v>
      </c>
      <c r="J114" s="144" t="s">
        <v>1112</v>
      </c>
      <c r="K114" s="77" t="s">
        <v>169</v>
      </c>
      <c r="L114" s="76" t="str">
        <f>VLOOKUP(Anexo_5[[#This Row],[cod_doc]],COMPRAS!TIPODOC,2,FALSE)</f>
        <v>FACTURA</v>
      </c>
      <c r="M114" s="77" t="s">
        <v>1906</v>
      </c>
      <c r="N114" s="79" t="s">
        <v>9606</v>
      </c>
      <c r="O114" s="80">
        <v>2117.39</v>
      </c>
      <c r="P114" s="81">
        <v>381.13</v>
      </c>
      <c r="Q114" s="80"/>
      <c r="R114" s="82">
        <v>2498.52</v>
      </c>
      <c r="S114" s="77"/>
      <c r="T114" s="77"/>
      <c r="U114" s="77"/>
      <c r="V114" s="77" t="s">
        <v>9375</v>
      </c>
      <c r="W114" s="83"/>
      <c r="X114" s="53" t="str">
        <f>IFERROR(VLOOKUP(Anexo_5[[#This Row],[CUENTA]],OP,2,0),"-")</f>
        <v>Residuos No Peligrosos</v>
      </c>
    </row>
    <row r="115" spans="1:24" s="84" customFormat="1" ht="27" customHeight="1" x14ac:dyDescent="0.3">
      <c r="A115" s="75" t="s">
        <v>2106</v>
      </c>
      <c r="B115" s="76" t="str">
        <f t="shared" si="1"/>
        <v>Julio</v>
      </c>
      <c r="C115" s="77" t="s">
        <v>240</v>
      </c>
      <c r="D115" s="77" t="s">
        <v>9607</v>
      </c>
      <c r="E115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115" s="79" t="s">
        <v>4560</v>
      </c>
      <c r="G115" s="148" t="s">
        <v>115</v>
      </c>
      <c r="H115" s="140" t="s">
        <v>9371</v>
      </c>
      <c r="I115" s="77" t="s">
        <v>1111</v>
      </c>
      <c r="J115" s="144" t="s">
        <v>1112</v>
      </c>
      <c r="K115" s="77" t="s">
        <v>169</v>
      </c>
      <c r="L115" s="76" t="str">
        <f>VLOOKUP(Anexo_5[[#This Row],[cod_doc]],COMPRAS!TIPODOC,2,FALSE)</f>
        <v>FACTURA</v>
      </c>
      <c r="M115" s="77" t="s">
        <v>1906</v>
      </c>
      <c r="N115" s="79" t="s">
        <v>9608</v>
      </c>
      <c r="O115" s="80">
        <v>2597.6999999999998</v>
      </c>
      <c r="P115" s="81">
        <v>467.59</v>
      </c>
      <c r="Q115" s="80"/>
      <c r="R115" s="82">
        <v>3065.29</v>
      </c>
      <c r="S115" s="77"/>
      <c r="T115" s="77"/>
      <c r="U115" s="77"/>
      <c r="V115" s="77" t="s">
        <v>9375</v>
      </c>
      <c r="W115" s="83"/>
      <c r="X115" s="53" t="str">
        <f>IFERROR(VLOOKUP(Anexo_5[[#This Row],[CUENTA]],OP,2,0),"-")</f>
        <v>Residuos No Peligrosos</v>
      </c>
    </row>
    <row r="116" spans="1:24" s="84" customFormat="1" ht="27" customHeight="1" x14ac:dyDescent="0.3">
      <c r="A116" s="75" t="s">
        <v>2106</v>
      </c>
      <c r="B116" s="76" t="str">
        <f t="shared" si="1"/>
        <v>Julio</v>
      </c>
      <c r="C116" s="77" t="s">
        <v>240</v>
      </c>
      <c r="D116" s="77" t="s">
        <v>1956</v>
      </c>
      <c r="E116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116" s="79" t="s">
        <v>4560</v>
      </c>
      <c r="G116" s="148" t="s">
        <v>115</v>
      </c>
      <c r="H116" s="140" t="s">
        <v>9371</v>
      </c>
      <c r="I116" s="77" t="s">
        <v>1111</v>
      </c>
      <c r="J116" s="144" t="s">
        <v>1112</v>
      </c>
      <c r="K116" s="77" t="s">
        <v>169</v>
      </c>
      <c r="L116" s="76" t="str">
        <f>VLOOKUP(Anexo_5[[#This Row],[cod_doc]],COMPRAS!TIPODOC,2,FALSE)</f>
        <v>FACTURA</v>
      </c>
      <c r="M116" s="77" t="s">
        <v>1906</v>
      </c>
      <c r="N116" s="79" t="s">
        <v>9609</v>
      </c>
      <c r="O116" s="80">
        <v>2597.6999999999998</v>
      </c>
      <c r="P116" s="81">
        <v>467.59</v>
      </c>
      <c r="Q116" s="80"/>
      <c r="R116" s="82">
        <v>3065.29</v>
      </c>
      <c r="S116" s="77"/>
      <c r="T116" s="77"/>
      <c r="U116" s="77"/>
      <c r="V116" s="77" t="s">
        <v>9375</v>
      </c>
      <c r="W116" s="83"/>
      <c r="X116" s="53" t="str">
        <f>IFERROR(VLOOKUP(Anexo_5[[#This Row],[CUENTA]],OP,2,0),"-")</f>
        <v>Residuos No Peligrosos</v>
      </c>
    </row>
    <row r="117" spans="1:24" s="84" customFormat="1" ht="27" customHeight="1" x14ac:dyDescent="0.3">
      <c r="A117" s="75" t="s">
        <v>2106</v>
      </c>
      <c r="B117" s="76" t="str">
        <f t="shared" si="1"/>
        <v>Julio</v>
      </c>
      <c r="C117" s="77" t="s">
        <v>240</v>
      </c>
      <c r="D117" s="77" t="s">
        <v>1961</v>
      </c>
      <c r="E117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117" s="79" t="s">
        <v>4563</v>
      </c>
      <c r="G117" s="148" t="s">
        <v>114</v>
      </c>
      <c r="H117" s="140" t="s">
        <v>9386</v>
      </c>
      <c r="I117" s="77" t="s">
        <v>1111</v>
      </c>
      <c r="J117" s="144" t="s">
        <v>1112</v>
      </c>
      <c r="K117" s="77" t="s">
        <v>169</v>
      </c>
      <c r="L117" s="76" t="str">
        <f>VLOOKUP(Anexo_5[[#This Row],[cod_doc]],COMPRAS!TIPODOC,2,FALSE)</f>
        <v>FACTURA</v>
      </c>
      <c r="M117" s="77" t="s">
        <v>1906</v>
      </c>
      <c r="N117" s="79" t="s">
        <v>9610</v>
      </c>
      <c r="O117" s="80">
        <v>3745.5</v>
      </c>
      <c r="P117" s="81">
        <v>674.19</v>
      </c>
      <c r="Q117" s="80"/>
      <c r="R117" s="82">
        <v>4419.6899999999996</v>
      </c>
      <c r="S117" s="77"/>
      <c r="T117" s="77"/>
      <c r="U117" s="77"/>
      <c r="V117" s="77" t="s">
        <v>9333</v>
      </c>
      <c r="W117" s="83"/>
      <c r="X117" s="53" t="str">
        <f>IFERROR(VLOOKUP(Anexo_5[[#This Row],[CUENTA]],OP,2,0),"-")</f>
        <v>Residuos Peligrosos</v>
      </c>
    </row>
    <row r="118" spans="1:24" s="84" customFormat="1" ht="27" customHeight="1" x14ac:dyDescent="0.3">
      <c r="A118" s="75" t="s">
        <v>2106</v>
      </c>
      <c r="B118" s="76" t="str">
        <f t="shared" si="1"/>
        <v>Julio</v>
      </c>
      <c r="C118" s="77" t="s">
        <v>240</v>
      </c>
      <c r="D118" s="77" t="s">
        <v>9611</v>
      </c>
      <c r="E118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118" s="79" t="s">
        <v>4560</v>
      </c>
      <c r="G118" s="148" t="s">
        <v>115</v>
      </c>
      <c r="H118" s="140" t="s">
        <v>9439</v>
      </c>
      <c r="I118" s="77" t="s">
        <v>1111</v>
      </c>
      <c r="J118" s="144" t="s">
        <v>1112</v>
      </c>
      <c r="K118" s="77" t="s">
        <v>169</v>
      </c>
      <c r="L118" s="76" t="str">
        <f>VLOOKUP(Anexo_5[[#This Row],[cod_doc]],COMPRAS!TIPODOC,2,FALSE)</f>
        <v>FACTURA</v>
      </c>
      <c r="M118" s="77" t="s">
        <v>1906</v>
      </c>
      <c r="N118" s="79" t="s">
        <v>8794</v>
      </c>
      <c r="O118" s="80">
        <v>3559.9</v>
      </c>
      <c r="P118" s="81">
        <v>640.78</v>
      </c>
      <c r="Q118" s="80"/>
      <c r="R118" s="82">
        <v>4200.68</v>
      </c>
      <c r="S118" s="77"/>
      <c r="T118" s="77"/>
      <c r="U118" s="77"/>
      <c r="V118" s="77" t="s">
        <v>9375</v>
      </c>
      <c r="W118" s="83"/>
      <c r="X118" s="53" t="str">
        <f>IFERROR(VLOOKUP(Anexo_5[[#This Row],[CUENTA]],OP,2,0),"-")</f>
        <v>Residuos No Peligrosos</v>
      </c>
    </row>
    <row r="119" spans="1:24" s="84" customFormat="1" ht="27" customHeight="1" x14ac:dyDescent="0.3">
      <c r="A119" s="75" t="s">
        <v>2106</v>
      </c>
      <c r="B119" s="76" t="str">
        <f t="shared" si="1"/>
        <v>Julio</v>
      </c>
      <c r="C119" s="77" t="s">
        <v>240</v>
      </c>
      <c r="D119" s="77" t="s">
        <v>1963</v>
      </c>
      <c r="E119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119" s="79" t="s">
        <v>9269</v>
      </c>
      <c r="G119" s="148" t="s">
        <v>119</v>
      </c>
      <c r="H119" s="140" t="s">
        <v>9612</v>
      </c>
      <c r="I119" s="77" t="s">
        <v>3717</v>
      </c>
      <c r="J119" s="144" t="s">
        <v>3718</v>
      </c>
      <c r="K119" s="77" t="s">
        <v>169</v>
      </c>
      <c r="L119" s="76" t="str">
        <f>VLOOKUP(Anexo_5[[#This Row],[cod_doc]],COMPRAS!TIPODOC,2,FALSE)</f>
        <v>FACTURA</v>
      </c>
      <c r="M119" s="77" t="s">
        <v>1906</v>
      </c>
      <c r="N119" s="79" t="s">
        <v>9613</v>
      </c>
      <c r="O119" s="80">
        <v>396.7</v>
      </c>
      <c r="P119" s="81">
        <v>71.41</v>
      </c>
      <c r="Q119" s="80"/>
      <c r="R119" s="82">
        <v>468.11</v>
      </c>
      <c r="S119" s="77"/>
      <c r="T119" s="77"/>
      <c r="U119" s="77"/>
      <c r="V119" s="77" t="s">
        <v>9614</v>
      </c>
      <c r="W119" s="83"/>
      <c r="X119" s="53" t="str">
        <f>IFERROR(VLOOKUP(Anexo_5[[#This Row],[CUENTA]],OP,2,0),"-")</f>
        <v>Limpieza de Caja Trampa</v>
      </c>
    </row>
    <row r="120" spans="1:24" s="84" customFormat="1" ht="27" customHeight="1" x14ac:dyDescent="0.3">
      <c r="A120" s="75" t="s">
        <v>2106</v>
      </c>
      <c r="B120" s="76" t="str">
        <f t="shared" si="1"/>
        <v>Julio</v>
      </c>
      <c r="C120" s="77" t="s">
        <v>240</v>
      </c>
      <c r="D120" s="77" t="s">
        <v>1967</v>
      </c>
      <c r="E120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120" s="79" t="s">
        <v>4563</v>
      </c>
      <c r="G120" s="148" t="s">
        <v>114</v>
      </c>
      <c r="H120" s="140" t="s">
        <v>9386</v>
      </c>
      <c r="I120" s="77" t="s">
        <v>3717</v>
      </c>
      <c r="J120" s="144" t="s">
        <v>3718</v>
      </c>
      <c r="K120" s="77" t="s">
        <v>169</v>
      </c>
      <c r="L120" s="76" t="str">
        <f>VLOOKUP(Anexo_5[[#This Row],[cod_doc]],COMPRAS!TIPODOC,2,FALSE)</f>
        <v>FACTURA</v>
      </c>
      <c r="M120" s="77" t="s">
        <v>1906</v>
      </c>
      <c r="N120" s="79" t="s">
        <v>9615</v>
      </c>
      <c r="O120" s="80">
        <v>2882.2</v>
      </c>
      <c r="P120" s="81">
        <v>518.79599999999994</v>
      </c>
      <c r="Q120" s="80"/>
      <c r="R120" s="82">
        <v>3400.9959999999996</v>
      </c>
      <c r="S120" s="77"/>
      <c r="T120" s="77"/>
      <c r="U120" s="77"/>
      <c r="V120" s="77" t="s">
        <v>9333</v>
      </c>
      <c r="W120" s="83"/>
      <c r="X120" s="53" t="str">
        <f>IFERROR(VLOOKUP(Anexo_5[[#This Row],[CUENTA]],OP,2,0),"-")</f>
        <v>Residuos Peligrosos</v>
      </c>
    </row>
    <row r="121" spans="1:24" s="84" customFormat="1" ht="27" customHeight="1" x14ac:dyDescent="0.3">
      <c r="A121" s="75" t="s">
        <v>2106</v>
      </c>
      <c r="B121" s="76" t="str">
        <f t="shared" si="1"/>
        <v>Julio</v>
      </c>
      <c r="C121" s="77" t="s">
        <v>240</v>
      </c>
      <c r="D121" s="77" t="s">
        <v>1967</v>
      </c>
      <c r="E121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121" s="79" t="s">
        <v>4560</v>
      </c>
      <c r="G121" s="148" t="s">
        <v>115</v>
      </c>
      <c r="H121" s="140" t="s">
        <v>9386</v>
      </c>
      <c r="I121" s="77" t="s">
        <v>3717</v>
      </c>
      <c r="J121" s="144" t="s">
        <v>3718</v>
      </c>
      <c r="K121" s="77" t="s">
        <v>169</v>
      </c>
      <c r="L121" s="76" t="str">
        <f>VLOOKUP(Anexo_5[[#This Row],[cod_doc]],COMPRAS!TIPODOC,2,FALSE)</f>
        <v>FACTURA</v>
      </c>
      <c r="M121" s="77" t="s">
        <v>1906</v>
      </c>
      <c r="N121" s="79" t="s">
        <v>9615</v>
      </c>
      <c r="O121" s="80">
        <v>1038.78</v>
      </c>
      <c r="P121" s="81">
        <v>186.98039999999997</v>
      </c>
      <c r="Q121" s="80"/>
      <c r="R121" s="82">
        <v>1225.7603999999999</v>
      </c>
      <c r="S121" s="77"/>
      <c r="T121" s="77"/>
      <c r="U121" s="77"/>
      <c r="V121" s="77" t="s">
        <v>9375</v>
      </c>
      <c r="W121" s="83"/>
      <c r="X121" s="53" t="str">
        <f>IFERROR(VLOOKUP(Anexo_5[[#This Row],[CUENTA]],OP,2,0),"-")</f>
        <v>Residuos No Peligrosos</v>
      </c>
    </row>
    <row r="122" spans="1:24" s="84" customFormat="1" ht="27" customHeight="1" x14ac:dyDescent="0.3">
      <c r="A122" s="75" t="s">
        <v>2106</v>
      </c>
      <c r="B122" s="76" t="str">
        <f t="shared" si="1"/>
        <v>Julio</v>
      </c>
      <c r="C122" s="77" t="s">
        <v>240</v>
      </c>
      <c r="D122" s="77" t="s">
        <v>9616</v>
      </c>
      <c r="E122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122" s="79" t="s">
        <v>4563</v>
      </c>
      <c r="G122" s="148" t="s">
        <v>114</v>
      </c>
      <c r="H122" s="140" t="s">
        <v>9386</v>
      </c>
      <c r="I122" s="77" t="s">
        <v>3717</v>
      </c>
      <c r="J122" s="144" t="s">
        <v>3718</v>
      </c>
      <c r="K122" s="77" t="s">
        <v>169</v>
      </c>
      <c r="L122" s="76" t="str">
        <f>VLOOKUP(Anexo_5[[#This Row],[cod_doc]],COMPRAS!TIPODOC,2,FALSE)</f>
        <v>FACTURA</v>
      </c>
      <c r="M122" s="77" t="s">
        <v>1906</v>
      </c>
      <c r="N122" s="79" t="s">
        <v>9617</v>
      </c>
      <c r="O122" s="80">
        <v>1988.35</v>
      </c>
      <c r="P122" s="81">
        <v>357.90299999999996</v>
      </c>
      <c r="Q122" s="80"/>
      <c r="R122" s="82">
        <v>2346.2529999999997</v>
      </c>
      <c r="S122" s="77"/>
      <c r="T122" s="77"/>
      <c r="U122" s="77"/>
      <c r="V122" s="77" t="s">
        <v>9333</v>
      </c>
      <c r="W122" s="83"/>
      <c r="X122" s="53" t="str">
        <f>IFERROR(VLOOKUP(Anexo_5[[#This Row],[CUENTA]],OP,2,0),"-")</f>
        <v>Residuos Peligrosos</v>
      </c>
    </row>
    <row r="123" spans="1:24" s="84" customFormat="1" ht="27" customHeight="1" x14ac:dyDescent="0.3">
      <c r="A123" s="75" t="s">
        <v>2106</v>
      </c>
      <c r="B123" s="76" t="str">
        <f t="shared" si="1"/>
        <v>Julio</v>
      </c>
      <c r="C123" s="77" t="s">
        <v>240</v>
      </c>
      <c r="D123" s="77" t="s">
        <v>9616</v>
      </c>
      <c r="E123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123" s="79" t="s">
        <v>4560</v>
      </c>
      <c r="G123" s="148" t="s">
        <v>115</v>
      </c>
      <c r="H123" s="140" t="s">
        <v>9386</v>
      </c>
      <c r="I123" s="77" t="s">
        <v>3717</v>
      </c>
      <c r="J123" s="144" t="s">
        <v>3718</v>
      </c>
      <c r="K123" s="77" t="s">
        <v>169</v>
      </c>
      <c r="L123" s="76" t="str">
        <f>VLOOKUP(Anexo_5[[#This Row],[cod_doc]],COMPRAS!TIPODOC,2,FALSE)</f>
        <v>FACTURA</v>
      </c>
      <c r="M123" s="77" t="s">
        <v>1906</v>
      </c>
      <c r="N123" s="79" t="s">
        <v>9617</v>
      </c>
      <c r="O123" s="80">
        <v>1401.23</v>
      </c>
      <c r="P123" s="81">
        <v>252.22139999999999</v>
      </c>
      <c r="Q123" s="80"/>
      <c r="R123" s="82">
        <v>1653.4513999999999</v>
      </c>
      <c r="S123" s="77"/>
      <c r="T123" s="77"/>
      <c r="U123" s="77"/>
      <c r="V123" s="77" t="s">
        <v>9375</v>
      </c>
      <c r="W123" s="83"/>
      <c r="X123" s="53" t="str">
        <f>IFERROR(VLOOKUP(Anexo_5[[#This Row],[CUENTA]],OP,2,0),"-")</f>
        <v>Residuos No Peligrosos</v>
      </c>
    </row>
    <row r="124" spans="1:24" s="84" customFormat="1" ht="27" customHeight="1" x14ac:dyDescent="0.3">
      <c r="A124" s="75" t="s">
        <v>2106</v>
      </c>
      <c r="B124" s="76" t="str">
        <f t="shared" si="1"/>
        <v>Julio</v>
      </c>
      <c r="C124" s="77" t="s">
        <v>240</v>
      </c>
      <c r="D124" s="77" t="s">
        <v>9618</v>
      </c>
      <c r="E124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124" s="79" t="s">
        <v>4563</v>
      </c>
      <c r="G124" s="148" t="s">
        <v>114</v>
      </c>
      <c r="H124" s="140" t="s">
        <v>9386</v>
      </c>
      <c r="I124" s="77" t="s">
        <v>3717</v>
      </c>
      <c r="J124" s="144" t="s">
        <v>3718</v>
      </c>
      <c r="K124" s="77" t="s">
        <v>169</v>
      </c>
      <c r="L124" s="76" t="str">
        <f>VLOOKUP(Anexo_5[[#This Row],[cod_doc]],COMPRAS!TIPODOC,2,FALSE)</f>
        <v>FACTURA</v>
      </c>
      <c r="M124" s="77" t="s">
        <v>1906</v>
      </c>
      <c r="N124" s="79" t="s">
        <v>9619</v>
      </c>
      <c r="O124" s="80">
        <v>5133.8999999999996</v>
      </c>
      <c r="P124" s="81">
        <v>924.10199999999986</v>
      </c>
      <c r="Q124" s="80"/>
      <c r="R124" s="82">
        <v>6058.0019999999995</v>
      </c>
      <c r="S124" s="77"/>
      <c r="T124" s="77"/>
      <c r="U124" s="77"/>
      <c r="V124" s="77" t="s">
        <v>9333</v>
      </c>
      <c r="W124" s="83"/>
      <c r="X124" s="53" t="str">
        <f>IFERROR(VLOOKUP(Anexo_5[[#This Row],[CUENTA]],OP,2,0),"-")</f>
        <v>Residuos Peligrosos</v>
      </c>
    </row>
    <row r="125" spans="1:24" s="84" customFormat="1" ht="27" customHeight="1" x14ac:dyDescent="0.3">
      <c r="A125" s="75" t="s">
        <v>2106</v>
      </c>
      <c r="B125" s="76" t="str">
        <f t="shared" si="1"/>
        <v>Julio</v>
      </c>
      <c r="C125" s="77" t="s">
        <v>240</v>
      </c>
      <c r="D125" s="77" t="s">
        <v>9618</v>
      </c>
      <c r="E125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125" s="79" t="s">
        <v>4560</v>
      </c>
      <c r="G125" s="148" t="s">
        <v>115</v>
      </c>
      <c r="H125" s="140" t="s">
        <v>9386</v>
      </c>
      <c r="I125" s="77" t="s">
        <v>3717</v>
      </c>
      <c r="J125" s="144" t="s">
        <v>3718</v>
      </c>
      <c r="K125" s="77" t="s">
        <v>169</v>
      </c>
      <c r="L125" s="76" t="str">
        <f>VLOOKUP(Anexo_5[[#This Row],[cod_doc]],COMPRAS!TIPODOC,2,FALSE)</f>
        <v>FACTURA</v>
      </c>
      <c r="M125" s="77" t="s">
        <v>1906</v>
      </c>
      <c r="N125" s="79" t="s">
        <v>9619</v>
      </c>
      <c r="O125" s="80">
        <v>2157.96</v>
      </c>
      <c r="P125" s="81">
        <v>388.43279999999999</v>
      </c>
      <c r="Q125" s="80"/>
      <c r="R125" s="82">
        <v>2546.3928000000001</v>
      </c>
      <c r="S125" s="77"/>
      <c r="T125" s="77"/>
      <c r="U125" s="77"/>
      <c r="V125" s="77" t="s">
        <v>9375</v>
      </c>
      <c r="W125" s="83"/>
      <c r="X125" s="53" t="str">
        <f>IFERROR(VLOOKUP(Anexo_5[[#This Row],[CUENTA]],OP,2,0),"-")</f>
        <v>Residuos No Peligrosos</v>
      </c>
    </row>
    <row r="126" spans="1:24" s="84" customFormat="1" ht="27" customHeight="1" x14ac:dyDescent="0.3">
      <c r="A126" s="75" t="s">
        <v>2106</v>
      </c>
      <c r="B126" s="76" t="str">
        <f t="shared" si="1"/>
        <v>Julio</v>
      </c>
      <c r="C126" s="77" t="s">
        <v>240</v>
      </c>
      <c r="D126" s="77" t="s">
        <v>1972</v>
      </c>
      <c r="E126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126" s="79" t="s">
        <v>4563</v>
      </c>
      <c r="G126" s="148" t="s">
        <v>114</v>
      </c>
      <c r="H126" s="140" t="s">
        <v>9386</v>
      </c>
      <c r="I126" s="77" t="s">
        <v>3717</v>
      </c>
      <c r="J126" s="144" t="s">
        <v>3718</v>
      </c>
      <c r="K126" s="77" t="s">
        <v>169</v>
      </c>
      <c r="L126" s="76" t="str">
        <f>VLOOKUP(Anexo_5[[#This Row],[cod_doc]],COMPRAS!TIPODOC,2,FALSE)</f>
        <v>FACTURA</v>
      </c>
      <c r="M126" s="77" t="s">
        <v>1906</v>
      </c>
      <c r="N126" s="79" t="s">
        <v>9620</v>
      </c>
      <c r="O126" s="80">
        <v>4112.5</v>
      </c>
      <c r="P126" s="81">
        <v>740.25</v>
      </c>
      <c r="Q126" s="80"/>
      <c r="R126" s="82">
        <v>4852.75</v>
      </c>
      <c r="S126" s="77"/>
      <c r="T126" s="77"/>
      <c r="U126" s="77"/>
      <c r="V126" s="77" t="s">
        <v>9333</v>
      </c>
      <c r="W126" s="83"/>
      <c r="X126" s="53" t="str">
        <f>IFERROR(VLOOKUP(Anexo_5[[#This Row],[CUENTA]],OP,2,0),"-")</f>
        <v>Residuos Peligrosos</v>
      </c>
    </row>
    <row r="127" spans="1:24" s="84" customFormat="1" ht="27" customHeight="1" x14ac:dyDescent="0.3">
      <c r="A127" s="75" t="s">
        <v>2106</v>
      </c>
      <c r="B127" s="76" t="str">
        <f t="shared" si="1"/>
        <v>Julio</v>
      </c>
      <c r="C127" s="77" t="s">
        <v>240</v>
      </c>
      <c r="D127" s="77" t="s">
        <v>1972</v>
      </c>
      <c r="E127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127" s="79" t="s">
        <v>4560</v>
      </c>
      <c r="G127" s="148" t="s">
        <v>115</v>
      </c>
      <c r="H127" s="140" t="s">
        <v>9386</v>
      </c>
      <c r="I127" s="77" t="s">
        <v>3717</v>
      </c>
      <c r="J127" s="144" t="s">
        <v>3718</v>
      </c>
      <c r="K127" s="77" t="s">
        <v>169</v>
      </c>
      <c r="L127" s="76" t="str">
        <f>VLOOKUP(Anexo_5[[#This Row],[cod_doc]],COMPRAS!TIPODOC,2,FALSE)</f>
        <v>FACTURA</v>
      </c>
      <c r="M127" s="77" t="s">
        <v>1906</v>
      </c>
      <c r="N127" s="79" t="s">
        <v>9620</v>
      </c>
      <c r="O127" s="80">
        <v>1387.83</v>
      </c>
      <c r="P127" s="81">
        <v>249.80939999999998</v>
      </c>
      <c r="Q127" s="80"/>
      <c r="R127" s="82">
        <v>1637.6394</v>
      </c>
      <c r="S127" s="77"/>
      <c r="T127" s="77"/>
      <c r="U127" s="77"/>
      <c r="V127" s="77" t="s">
        <v>9375</v>
      </c>
      <c r="W127" s="83"/>
      <c r="X127" s="53" t="str">
        <f>IFERROR(VLOOKUP(Anexo_5[[#This Row],[CUENTA]],OP,2,0),"-")</f>
        <v>Residuos No Peligrosos</v>
      </c>
    </row>
    <row r="128" spans="1:24" s="84" customFormat="1" ht="27" customHeight="1" x14ac:dyDescent="0.3">
      <c r="A128" s="75" t="s">
        <v>2106</v>
      </c>
      <c r="B128" s="76" t="str">
        <f t="shared" si="1"/>
        <v>Julio</v>
      </c>
      <c r="C128" s="77" t="s">
        <v>240</v>
      </c>
      <c r="D128" s="77" t="s">
        <v>1976</v>
      </c>
      <c r="E128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128" s="79" t="s">
        <v>248</v>
      </c>
      <c r="G128" s="148" t="s">
        <v>249</v>
      </c>
      <c r="H128" s="140" t="s">
        <v>9583</v>
      </c>
      <c r="I128" s="77" t="s">
        <v>9422</v>
      </c>
      <c r="J128" s="144" t="s">
        <v>9423</v>
      </c>
      <c r="K128" s="77" t="s">
        <v>169</v>
      </c>
      <c r="L128" s="76" t="str">
        <f>VLOOKUP(Anexo_5[[#This Row],[cod_doc]],COMPRAS!TIPODOC,2,FALSE)</f>
        <v>FACTURA</v>
      </c>
      <c r="M128" s="77" t="s">
        <v>107</v>
      </c>
      <c r="N128" s="79" t="s">
        <v>6508</v>
      </c>
      <c r="O128" s="80">
        <v>2029.5</v>
      </c>
      <c r="P128" s="81">
        <v>365.31</v>
      </c>
      <c r="Q128" s="80"/>
      <c r="R128" s="82">
        <v>2394.81</v>
      </c>
      <c r="S128" s="77"/>
      <c r="T128" s="77"/>
      <c r="U128" s="77"/>
      <c r="V128" s="77" t="s">
        <v>9336</v>
      </c>
      <c r="W128" s="83"/>
      <c r="X128" s="53" t="str">
        <f>IFERROR(VLOOKUP(Anexo_5[[#This Row],[CUENTA]],OP,2,0),"-")</f>
        <v>Productos Terminados - RRSS</v>
      </c>
    </row>
    <row r="129" spans="1:24" s="84" customFormat="1" ht="27" customHeight="1" x14ac:dyDescent="0.3">
      <c r="A129" s="75" t="s">
        <v>2106</v>
      </c>
      <c r="B129" s="76" t="str">
        <f t="shared" si="1"/>
        <v>Julio</v>
      </c>
      <c r="C129" s="77" t="s">
        <v>240</v>
      </c>
      <c r="D129" s="77" t="s">
        <v>1979</v>
      </c>
      <c r="E129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129" s="79" t="s">
        <v>4560</v>
      </c>
      <c r="G129" s="148" t="s">
        <v>115</v>
      </c>
      <c r="H129" s="140" t="s">
        <v>9371</v>
      </c>
      <c r="I129" s="77" t="s">
        <v>1111</v>
      </c>
      <c r="J129" s="144" t="s">
        <v>1112</v>
      </c>
      <c r="K129" s="77" t="s">
        <v>169</v>
      </c>
      <c r="L129" s="76" t="str">
        <f>VLOOKUP(Anexo_5[[#This Row],[cod_doc]],COMPRAS!TIPODOC,2,FALSE)</f>
        <v>FACTURA</v>
      </c>
      <c r="M129" s="77" t="s">
        <v>1906</v>
      </c>
      <c r="N129" s="79" t="s">
        <v>9621</v>
      </c>
      <c r="O129" s="80">
        <v>2597.6999999999998</v>
      </c>
      <c r="P129" s="81">
        <v>467.59</v>
      </c>
      <c r="Q129" s="80"/>
      <c r="R129" s="82">
        <v>3065.29</v>
      </c>
      <c r="S129" s="77"/>
      <c r="T129" s="77"/>
      <c r="U129" s="77"/>
      <c r="V129" s="77" t="s">
        <v>9375</v>
      </c>
      <c r="W129" s="83"/>
      <c r="X129" s="53" t="str">
        <f>IFERROR(VLOOKUP(Anexo_5[[#This Row],[CUENTA]],OP,2,0),"-")</f>
        <v>Residuos No Peligrosos</v>
      </c>
    </row>
    <row r="130" spans="1:24" s="84" customFormat="1" ht="27" customHeight="1" x14ac:dyDescent="0.3">
      <c r="A130" s="75" t="s">
        <v>2248</v>
      </c>
      <c r="B130" s="76" t="str">
        <f t="shared" ref="B130:B193" si="2">PROPER(CHOOSE(LEFT(D130,2),"enero","febrero","marzo","abril","mayo","junio","julio","agosto","setiembre","octubre","noviembre","diciembre"))</f>
        <v>Julio</v>
      </c>
      <c r="C130" s="77" t="s">
        <v>240</v>
      </c>
      <c r="D130" s="77" t="s">
        <v>1981</v>
      </c>
      <c r="E130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130" s="79" t="s">
        <v>4560</v>
      </c>
      <c r="G130" s="148" t="s">
        <v>115</v>
      </c>
      <c r="H130" s="140" t="s">
        <v>9371</v>
      </c>
      <c r="I130" s="77" t="s">
        <v>9622</v>
      </c>
      <c r="J130" s="144" t="s">
        <v>9623</v>
      </c>
      <c r="K130" s="77" t="s">
        <v>169</v>
      </c>
      <c r="L130" s="76" t="str">
        <f>VLOOKUP(Anexo_5[[#This Row],[cod_doc]],COMPRAS!TIPODOC,2,FALSE)</f>
        <v>FACTURA</v>
      </c>
      <c r="M130" s="77" t="s">
        <v>1906</v>
      </c>
      <c r="N130" s="79" t="s">
        <v>9624</v>
      </c>
      <c r="O130" s="80">
        <v>4588.3</v>
      </c>
      <c r="P130" s="81">
        <v>825.89</v>
      </c>
      <c r="Q130" s="80"/>
      <c r="R130" s="82">
        <v>5414.19</v>
      </c>
      <c r="S130" s="77"/>
      <c r="T130" s="77"/>
      <c r="U130" s="77"/>
      <c r="V130" s="77" t="s">
        <v>9375</v>
      </c>
      <c r="W130" s="83"/>
      <c r="X130" s="53" t="str">
        <f>IFERROR(VLOOKUP(Anexo_5[[#This Row],[CUENTA]],OP,2,0),"-")</f>
        <v>Residuos No Peligrosos</v>
      </c>
    </row>
    <row r="131" spans="1:24" s="84" customFormat="1" ht="27" customHeight="1" x14ac:dyDescent="0.3">
      <c r="A131" s="75" t="s">
        <v>2248</v>
      </c>
      <c r="B131" s="76" t="str">
        <f t="shared" si="2"/>
        <v>Julio</v>
      </c>
      <c r="C131" s="77" t="s">
        <v>240</v>
      </c>
      <c r="D131" s="77" t="s">
        <v>1983</v>
      </c>
      <c r="E131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131" s="79" t="s">
        <v>4560</v>
      </c>
      <c r="G131" s="148" t="s">
        <v>115</v>
      </c>
      <c r="H131" s="140" t="s">
        <v>9371</v>
      </c>
      <c r="I131" s="77" t="s">
        <v>9378</v>
      </c>
      <c r="J131" s="144" t="s">
        <v>9379</v>
      </c>
      <c r="K131" s="77" t="s">
        <v>169</v>
      </c>
      <c r="L131" s="76" t="str">
        <f>VLOOKUP(Anexo_5[[#This Row],[cod_doc]],COMPRAS!TIPODOC,2,FALSE)</f>
        <v>FACTURA</v>
      </c>
      <c r="M131" s="77" t="s">
        <v>1906</v>
      </c>
      <c r="N131" s="79" t="s">
        <v>9625</v>
      </c>
      <c r="O131" s="80">
        <v>1843.2</v>
      </c>
      <c r="P131" s="81">
        <v>331.78</v>
      </c>
      <c r="Q131" s="80"/>
      <c r="R131" s="82">
        <v>2174.98</v>
      </c>
      <c r="S131" s="77"/>
      <c r="T131" s="77"/>
      <c r="U131" s="77"/>
      <c r="V131" s="77" t="s">
        <v>9375</v>
      </c>
      <c r="W131" s="83"/>
      <c r="X131" s="53" t="str">
        <f>IFERROR(VLOOKUP(Anexo_5[[#This Row],[CUENTA]],OP,2,0),"-")</f>
        <v>Residuos No Peligrosos</v>
      </c>
    </row>
    <row r="132" spans="1:24" s="84" customFormat="1" ht="27" customHeight="1" x14ac:dyDescent="0.3">
      <c r="A132" s="75" t="s">
        <v>2248</v>
      </c>
      <c r="B132" s="76" t="str">
        <f t="shared" si="2"/>
        <v>Julio</v>
      </c>
      <c r="C132" s="77" t="s">
        <v>240</v>
      </c>
      <c r="D132" s="77" t="s">
        <v>1985</v>
      </c>
      <c r="E132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132" s="79" t="s">
        <v>248</v>
      </c>
      <c r="G132" s="148" t="s">
        <v>249</v>
      </c>
      <c r="H132" s="140" t="s">
        <v>9335</v>
      </c>
      <c r="I132" s="77" t="s">
        <v>9571</v>
      </c>
      <c r="J132" s="144" t="s">
        <v>9572</v>
      </c>
      <c r="K132" s="77" t="s">
        <v>169</v>
      </c>
      <c r="L132" s="76" t="str">
        <f>VLOOKUP(Anexo_5[[#This Row],[cod_doc]],COMPRAS!TIPODOC,2,FALSE)</f>
        <v>FACTURA</v>
      </c>
      <c r="M132" s="77" t="s">
        <v>105</v>
      </c>
      <c r="N132" s="79" t="s">
        <v>9626</v>
      </c>
      <c r="O132" s="80">
        <v>381.36</v>
      </c>
      <c r="P132" s="81">
        <v>68.64</v>
      </c>
      <c r="Q132" s="80"/>
      <c r="R132" s="82">
        <v>450</v>
      </c>
      <c r="S132" s="77"/>
      <c r="T132" s="77"/>
      <c r="U132" s="77"/>
      <c r="V132" s="77" t="s">
        <v>9336</v>
      </c>
      <c r="W132" s="83"/>
      <c r="X132" s="53" t="str">
        <f>IFERROR(VLOOKUP(Anexo_5[[#This Row],[CUENTA]],OP,2,0),"-")</f>
        <v>Productos Terminados - RRSS</v>
      </c>
    </row>
    <row r="133" spans="1:24" s="84" customFormat="1" ht="27" customHeight="1" x14ac:dyDescent="0.3">
      <c r="A133" s="75" t="s">
        <v>1627</v>
      </c>
      <c r="B133" s="76" t="str">
        <f t="shared" si="2"/>
        <v>Julio</v>
      </c>
      <c r="C133" s="77" t="s">
        <v>240</v>
      </c>
      <c r="D133" s="77" t="s">
        <v>1987</v>
      </c>
      <c r="E133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133" s="79" t="s">
        <v>9278</v>
      </c>
      <c r="G133" s="148" t="s">
        <v>122</v>
      </c>
      <c r="H133" s="140" t="s">
        <v>9627</v>
      </c>
      <c r="I133" s="77" t="s">
        <v>536</v>
      </c>
      <c r="J133" s="144" t="s">
        <v>537</v>
      </c>
      <c r="K133" s="77" t="s">
        <v>169</v>
      </c>
      <c r="L133" s="76" t="str">
        <f>VLOOKUP(Anexo_5[[#This Row],[cod_doc]],COMPRAS!TIPODOC,2,FALSE)</f>
        <v>FACTURA</v>
      </c>
      <c r="M133" s="77" t="s">
        <v>1906</v>
      </c>
      <c r="N133" s="79" t="s">
        <v>9628</v>
      </c>
      <c r="O133" s="80">
        <v>1787.52</v>
      </c>
      <c r="P133" s="81">
        <v>321.75</v>
      </c>
      <c r="Q133" s="80"/>
      <c r="R133" s="82">
        <v>2109.27</v>
      </c>
      <c r="S133" s="77"/>
      <c r="T133" s="77"/>
      <c r="U133" s="77"/>
      <c r="V133" s="77" t="s">
        <v>9350</v>
      </c>
      <c r="W133" s="83"/>
      <c r="X133" s="53" t="str">
        <f>IFERROR(VLOOKUP(Anexo_5[[#This Row],[CUENTA]],OP,2,0),"-")</f>
        <v>Transporte de Carga - Local</v>
      </c>
    </row>
    <row r="134" spans="1:24" s="84" customFormat="1" ht="27" customHeight="1" x14ac:dyDescent="0.3">
      <c r="A134" s="75" t="s">
        <v>1627</v>
      </c>
      <c r="B134" s="76" t="str">
        <f t="shared" si="2"/>
        <v>Julio</v>
      </c>
      <c r="C134" s="77" t="s">
        <v>240</v>
      </c>
      <c r="D134" s="77" t="s">
        <v>9629</v>
      </c>
      <c r="E134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134" s="79" t="s">
        <v>9269</v>
      </c>
      <c r="G134" s="148" t="s">
        <v>119</v>
      </c>
      <c r="H134" s="140" t="s">
        <v>9612</v>
      </c>
      <c r="I134" s="77" t="s">
        <v>3717</v>
      </c>
      <c r="J134" s="144" t="s">
        <v>3718</v>
      </c>
      <c r="K134" s="77" t="s">
        <v>169</v>
      </c>
      <c r="L134" s="76" t="str">
        <f>VLOOKUP(Anexo_5[[#This Row],[cod_doc]],COMPRAS!TIPODOC,2,FALSE)</f>
        <v>FACTURA</v>
      </c>
      <c r="M134" s="77" t="s">
        <v>1906</v>
      </c>
      <c r="N134" s="79" t="s">
        <v>9630</v>
      </c>
      <c r="O134" s="80">
        <v>396.7</v>
      </c>
      <c r="P134" s="81">
        <v>71.41</v>
      </c>
      <c r="Q134" s="80"/>
      <c r="R134" s="82">
        <v>468.11</v>
      </c>
      <c r="S134" s="77"/>
      <c r="T134" s="77"/>
      <c r="U134" s="77"/>
      <c r="V134" s="77" t="s">
        <v>9614</v>
      </c>
      <c r="W134" s="83"/>
      <c r="X134" s="53" t="str">
        <f>IFERROR(VLOOKUP(Anexo_5[[#This Row],[CUENTA]],OP,2,0),"-")</f>
        <v>Limpieza de Caja Trampa</v>
      </c>
    </row>
    <row r="135" spans="1:24" s="84" customFormat="1" ht="27" customHeight="1" x14ac:dyDescent="0.3">
      <c r="A135" s="75" t="s">
        <v>1843</v>
      </c>
      <c r="B135" s="76" t="str">
        <f t="shared" si="2"/>
        <v>Julio</v>
      </c>
      <c r="C135" s="77" t="s">
        <v>240</v>
      </c>
      <c r="D135" s="77" t="s">
        <v>1989</v>
      </c>
      <c r="E135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135" s="79" t="s">
        <v>4560</v>
      </c>
      <c r="G135" s="148" t="s">
        <v>115</v>
      </c>
      <c r="H135" s="140" t="s">
        <v>9631</v>
      </c>
      <c r="I135" s="77" t="s">
        <v>9632</v>
      </c>
      <c r="J135" s="144" t="s">
        <v>9633</v>
      </c>
      <c r="K135" s="77" t="s">
        <v>169</v>
      </c>
      <c r="L135" s="76" t="str">
        <f>VLOOKUP(Anexo_5[[#This Row],[cod_doc]],COMPRAS!TIPODOC,2,FALSE)</f>
        <v>FACTURA</v>
      </c>
      <c r="M135" s="77" t="s">
        <v>1906</v>
      </c>
      <c r="N135" s="79" t="s">
        <v>9634</v>
      </c>
      <c r="O135" s="80">
        <v>100</v>
      </c>
      <c r="P135" s="81">
        <v>18</v>
      </c>
      <c r="Q135" s="80"/>
      <c r="R135" s="82">
        <v>118</v>
      </c>
      <c r="S135" s="77"/>
      <c r="T135" s="77"/>
      <c r="U135" s="77"/>
      <c r="V135" s="77" t="s">
        <v>9375</v>
      </c>
      <c r="W135" s="83"/>
      <c r="X135" s="53" t="str">
        <f>IFERROR(VLOOKUP(Anexo_5[[#This Row],[CUENTA]],OP,2,0),"-")</f>
        <v>Residuos No Peligrosos</v>
      </c>
    </row>
    <row r="136" spans="1:24" s="84" customFormat="1" ht="27" customHeight="1" x14ac:dyDescent="0.3">
      <c r="A136" s="75" t="s">
        <v>1843</v>
      </c>
      <c r="B136" s="76" t="str">
        <f t="shared" si="2"/>
        <v>Julio</v>
      </c>
      <c r="C136" s="77" t="s">
        <v>240</v>
      </c>
      <c r="D136" s="77" t="s">
        <v>1991</v>
      </c>
      <c r="E136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136" s="79" t="s">
        <v>4563</v>
      </c>
      <c r="G136" s="148" t="s">
        <v>114</v>
      </c>
      <c r="H136" s="140" t="s">
        <v>9386</v>
      </c>
      <c r="I136" s="77" t="s">
        <v>9635</v>
      </c>
      <c r="J136" s="144" t="s">
        <v>9636</v>
      </c>
      <c r="K136" s="77" t="s">
        <v>169</v>
      </c>
      <c r="L136" s="76" t="str">
        <f>VLOOKUP(Anexo_5[[#This Row],[cod_doc]],COMPRAS!TIPODOC,2,FALSE)</f>
        <v>FACTURA</v>
      </c>
      <c r="M136" s="77" t="s">
        <v>1906</v>
      </c>
      <c r="N136" s="79" t="s">
        <v>9637</v>
      </c>
      <c r="O136" s="80">
        <v>560</v>
      </c>
      <c r="P136" s="81">
        <v>100.8</v>
      </c>
      <c r="Q136" s="80"/>
      <c r="R136" s="82">
        <v>660.8</v>
      </c>
      <c r="S136" s="77"/>
      <c r="T136" s="77"/>
      <c r="U136" s="77"/>
      <c r="V136" s="77" t="s">
        <v>9333</v>
      </c>
      <c r="W136" s="83"/>
      <c r="X136" s="53" t="str">
        <f>IFERROR(VLOOKUP(Anexo_5[[#This Row],[CUENTA]],OP,2,0),"-")</f>
        <v>Residuos Peligrosos</v>
      </c>
    </row>
    <row r="137" spans="1:24" s="84" customFormat="1" ht="27" customHeight="1" x14ac:dyDescent="0.3">
      <c r="A137" s="75" t="s">
        <v>1843</v>
      </c>
      <c r="B137" s="76" t="str">
        <f t="shared" si="2"/>
        <v>Julio</v>
      </c>
      <c r="C137" s="77" t="s">
        <v>240</v>
      </c>
      <c r="D137" s="77" t="s">
        <v>1994</v>
      </c>
      <c r="E137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137" s="79" t="s">
        <v>4560</v>
      </c>
      <c r="G137" s="148" t="s">
        <v>115</v>
      </c>
      <c r="H137" s="140" t="s">
        <v>9371</v>
      </c>
      <c r="I137" s="77" t="s">
        <v>9378</v>
      </c>
      <c r="J137" s="144" t="s">
        <v>9379</v>
      </c>
      <c r="K137" s="77" t="s">
        <v>169</v>
      </c>
      <c r="L137" s="76" t="str">
        <f>VLOOKUP(Anexo_5[[#This Row],[cod_doc]],COMPRAS!TIPODOC,2,FALSE)</f>
        <v>FACTURA</v>
      </c>
      <c r="M137" s="77" t="s">
        <v>1906</v>
      </c>
      <c r="N137" s="79" t="s">
        <v>9638</v>
      </c>
      <c r="O137" s="80">
        <v>1824</v>
      </c>
      <c r="P137" s="81">
        <v>328.32</v>
      </c>
      <c r="Q137" s="80"/>
      <c r="R137" s="82">
        <v>2152.3200000000002</v>
      </c>
      <c r="S137" s="77"/>
      <c r="T137" s="77"/>
      <c r="U137" s="77"/>
      <c r="V137" s="77" t="s">
        <v>9375</v>
      </c>
      <c r="W137" s="83"/>
      <c r="X137" s="53" t="str">
        <f>IFERROR(VLOOKUP(Anexo_5[[#This Row],[CUENTA]],OP,2,0),"-")</f>
        <v>Residuos No Peligrosos</v>
      </c>
    </row>
    <row r="138" spans="1:24" s="84" customFormat="1" ht="27" customHeight="1" x14ac:dyDescent="0.3">
      <c r="A138" s="75" t="s">
        <v>1843</v>
      </c>
      <c r="B138" s="76" t="str">
        <f t="shared" si="2"/>
        <v>Julio</v>
      </c>
      <c r="C138" s="77" t="s">
        <v>240</v>
      </c>
      <c r="D138" s="77" t="s">
        <v>1999</v>
      </c>
      <c r="E138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138" s="79" t="s">
        <v>4563</v>
      </c>
      <c r="G138" s="148" t="s">
        <v>114</v>
      </c>
      <c r="H138" s="140" t="s">
        <v>9329</v>
      </c>
      <c r="I138" s="77" t="s">
        <v>9639</v>
      </c>
      <c r="J138" s="144" t="s">
        <v>9640</v>
      </c>
      <c r="K138" s="77" t="s">
        <v>169</v>
      </c>
      <c r="L138" s="76" t="str">
        <f>VLOOKUP(Anexo_5[[#This Row],[cod_doc]],COMPRAS!TIPODOC,2,FALSE)</f>
        <v>FACTURA</v>
      </c>
      <c r="M138" s="77" t="s">
        <v>1906</v>
      </c>
      <c r="N138" s="79" t="s">
        <v>9641</v>
      </c>
      <c r="O138" s="80">
        <v>2947.78</v>
      </c>
      <c r="P138" s="81">
        <v>530.6</v>
      </c>
      <c r="Q138" s="80"/>
      <c r="R138" s="82">
        <v>3478.38</v>
      </c>
      <c r="S138" s="77"/>
      <c r="T138" s="77"/>
      <c r="U138" s="77"/>
      <c r="V138" s="77" t="s">
        <v>9333</v>
      </c>
      <c r="W138" s="83"/>
      <c r="X138" s="53" t="str">
        <f>IFERROR(VLOOKUP(Anexo_5[[#This Row],[CUENTA]],OP,2,0),"-")</f>
        <v>Residuos Peligrosos</v>
      </c>
    </row>
    <row r="139" spans="1:24" s="84" customFormat="1" ht="27" customHeight="1" x14ac:dyDescent="0.3">
      <c r="A139" s="75" t="s">
        <v>1843</v>
      </c>
      <c r="B139" s="76" t="str">
        <f t="shared" si="2"/>
        <v>Julio</v>
      </c>
      <c r="C139" s="77" t="s">
        <v>240</v>
      </c>
      <c r="D139" s="77" t="s">
        <v>2002</v>
      </c>
      <c r="E139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139" s="79" t="s">
        <v>4560</v>
      </c>
      <c r="G139" s="148" t="s">
        <v>115</v>
      </c>
      <c r="H139" s="140" t="s">
        <v>9371</v>
      </c>
      <c r="I139" s="77" t="s">
        <v>9397</v>
      </c>
      <c r="J139" s="144" t="s">
        <v>9398</v>
      </c>
      <c r="K139" s="77" t="s">
        <v>169</v>
      </c>
      <c r="L139" s="76" t="str">
        <f>VLOOKUP(Anexo_5[[#This Row],[cod_doc]],COMPRAS!TIPODOC,2,FALSE)</f>
        <v>FACTURA</v>
      </c>
      <c r="M139" s="77" t="s">
        <v>1906</v>
      </c>
      <c r="N139" s="79" t="s">
        <v>8240</v>
      </c>
      <c r="O139" s="80">
        <v>4063.95</v>
      </c>
      <c r="P139" s="81">
        <v>731.51</v>
      </c>
      <c r="Q139" s="80"/>
      <c r="R139" s="82">
        <v>4795.46</v>
      </c>
      <c r="S139" s="77"/>
      <c r="T139" s="77"/>
      <c r="U139" s="77"/>
      <c r="V139" s="77" t="s">
        <v>9375</v>
      </c>
      <c r="W139" s="83"/>
      <c r="X139" s="53" t="str">
        <f>IFERROR(VLOOKUP(Anexo_5[[#This Row],[CUENTA]],OP,2,0),"-")</f>
        <v>Residuos No Peligrosos</v>
      </c>
    </row>
    <row r="140" spans="1:24" s="84" customFormat="1" ht="27" customHeight="1" x14ac:dyDescent="0.3">
      <c r="A140" s="75" t="s">
        <v>1843</v>
      </c>
      <c r="B140" s="76" t="str">
        <f t="shared" si="2"/>
        <v>Julio</v>
      </c>
      <c r="C140" s="77" t="s">
        <v>240</v>
      </c>
      <c r="D140" s="77" t="s">
        <v>2005</v>
      </c>
      <c r="E140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140" s="79" t="s">
        <v>4560</v>
      </c>
      <c r="G140" s="148" t="s">
        <v>115</v>
      </c>
      <c r="H140" s="140" t="s">
        <v>9439</v>
      </c>
      <c r="I140" s="77" t="s">
        <v>9642</v>
      </c>
      <c r="J140" s="144" t="s">
        <v>9643</v>
      </c>
      <c r="K140" s="77" t="s">
        <v>169</v>
      </c>
      <c r="L140" s="76" t="str">
        <f>VLOOKUP(Anexo_5[[#This Row],[cod_doc]],COMPRAS!TIPODOC,2,FALSE)</f>
        <v>FACTURA</v>
      </c>
      <c r="M140" s="77" t="s">
        <v>1906</v>
      </c>
      <c r="N140" s="79" t="s">
        <v>9644</v>
      </c>
      <c r="O140" s="80">
        <v>670.43</v>
      </c>
      <c r="P140" s="81">
        <v>120.68</v>
      </c>
      <c r="Q140" s="80"/>
      <c r="R140" s="82">
        <v>791.11</v>
      </c>
      <c r="S140" s="77"/>
      <c r="T140" s="77"/>
      <c r="U140" s="77"/>
      <c r="V140" s="77" t="s">
        <v>9375</v>
      </c>
      <c r="W140" s="83"/>
      <c r="X140" s="53" t="str">
        <f>IFERROR(VLOOKUP(Anexo_5[[#This Row],[CUENTA]],OP,2,0),"-")</f>
        <v>Residuos No Peligrosos</v>
      </c>
    </row>
    <row r="141" spans="1:24" s="84" customFormat="1" ht="27" customHeight="1" x14ac:dyDescent="0.3">
      <c r="A141" s="75" t="s">
        <v>1843</v>
      </c>
      <c r="B141" s="76" t="str">
        <f t="shared" si="2"/>
        <v>Julio</v>
      </c>
      <c r="C141" s="77" t="s">
        <v>240</v>
      </c>
      <c r="D141" s="77" t="s">
        <v>2010</v>
      </c>
      <c r="E141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141" s="79" t="s">
        <v>248</v>
      </c>
      <c r="G141" s="148" t="s">
        <v>249</v>
      </c>
      <c r="H141" s="140" t="s">
        <v>9343</v>
      </c>
      <c r="I141" s="77" t="s">
        <v>9506</v>
      </c>
      <c r="J141" s="144" t="s">
        <v>9507</v>
      </c>
      <c r="K141" s="77" t="s">
        <v>169</v>
      </c>
      <c r="L141" s="76" t="str">
        <f>VLOOKUP(Anexo_5[[#This Row],[cod_doc]],COMPRAS!TIPODOC,2,FALSE)</f>
        <v>FACTURA</v>
      </c>
      <c r="M141" s="77" t="s">
        <v>107</v>
      </c>
      <c r="N141" s="79" t="s">
        <v>6682</v>
      </c>
      <c r="O141" s="80">
        <v>1037.28</v>
      </c>
      <c r="P141" s="81">
        <v>186.71</v>
      </c>
      <c r="Q141" s="80"/>
      <c r="R141" s="82">
        <v>1223.99</v>
      </c>
      <c r="S141" s="77"/>
      <c r="T141" s="77"/>
      <c r="U141" s="77"/>
      <c r="V141" s="77" t="s">
        <v>9336</v>
      </c>
      <c r="W141" s="83"/>
      <c r="X141" s="53" t="str">
        <f>IFERROR(VLOOKUP(Anexo_5[[#This Row],[CUENTA]],OP,2,0),"-")</f>
        <v>Productos Terminados - RRSS</v>
      </c>
    </row>
    <row r="142" spans="1:24" s="84" customFormat="1" ht="27" customHeight="1" x14ac:dyDescent="0.3">
      <c r="A142" s="75" t="s">
        <v>2349</v>
      </c>
      <c r="B142" s="76" t="str">
        <f t="shared" si="2"/>
        <v>Julio</v>
      </c>
      <c r="C142" s="77" t="s">
        <v>240</v>
      </c>
      <c r="D142" s="77" t="s">
        <v>2014</v>
      </c>
      <c r="E142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142" s="79" t="s">
        <v>4560</v>
      </c>
      <c r="G142" s="148" t="s">
        <v>115</v>
      </c>
      <c r="H142" s="140" t="s">
        <v>9371</v>
      </c>
      <c r="I142" s="77" t="s">
        <v>9378</v>
      </c>
      <c r="J142" s="144" t="s">
        <v>9379</v>
      </c>
      <c r="K142" s="77" t="s">
        <v>169</v>
      </c>
      <c r="L142" s="76" t="str">
        <f>VLOOKUP(Anexo_5[[#This Row],[cod_doc]],COMPRAS!TIPODOC,2,FALSE)</f>
        <v>FACTURA</v>
      </c>
      <c r="M142" s="77" t="s">
        <v>1906</v>
      </c>
      <c r="N142" s="79" t="s">
        <v>9645</v>
      </c>
      <c r="O142" s="80">
        <v>2740.8</v>
      </c>
      <c r="P142" s="81">
        <v>493.34</v>
      </c>
      <c r="Q142" s="80"/>
      <c r="R142" s="82">
        <v>3234.14</v>
      </c>
      <c r="S142" s="77"/>
      <c r="T142" s="77"/>
      <c r="U142" s="77"/>
      <c r="V142" s="77" t="s">
        <v>9375</v>
      </c>
      <c r="W142" s="83"/>
      <c r="X142" s="53" t="str">
        <f>IFERROR(VLOOKUP(Anexo_5[[#This Row],[CUENTA]],OP,2,0),"-")</f>
        <v>Residuos No Peligrosos</v>
      </c>
    </row>
    <row r="143" spans="1:24" s="84" customFormat="1" ht="27" customHeight="1" x14ac:dyDescent="0.3">
      <c r="A143" s="75" t="s">
        <v>2349</v>
      </c>
      <c r="B143" s="76" t="str">
        <f t="shared" si="2"/>
        <v>Julio</v>
      </c>
      <c r="C143" s="77" t="s">
        <v>240</v>
      </c>
      <c r="D143" s="77" t="s">
        <v>2018</v>
      </c>
      <c r="E143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143" s="79" t="s">
        <v>4563</v>
      </c>
      <c r="G143" s="148" t="s">
        <v>114</v>
      </c>
      <c r="H143" s="140" t="s">
        <v>9371</v>
      </c>
      <c r="I143" s="77" t="s">
        <v>9518</v>
      </c>
      <c r="J143" s="144" t="s">
        <v>9519</v>
      </c>
      <c r="K143" s="77" t="s">
        <v>169</v>
      </c>
      <c r="L143" s="76" t="str">
        <f>VLOOKUP(Anexo_5[[#This Row],[cod_doc]],COMPRAS!TIPODOC,2,FALSE)</f>
        <v>FACTURA</v>
      </c>
      <c r="M143" s="77" t="s">
        <v>1906</v>
      </c>
      <c r="N143" s="79" t="s">
        <v>9646</v>
      </c>
      <c r="O143" s="80">
        <v>240</v>
      </c>
      <c r="P143" s="81">
        <v>43.199999999999996</v>
      </c>
      <c r="Q143" s="80"/>
      <c r="R143" s="82">
        <v>283.2</v>
      </c>
      <c r="S143" s="77"/>
      <c r="T143" s="77"/>
      <c r="U143" s="77"/>
      <c r="V143" s="77" t="s">
        <v>9333</v>
      </c>
      <c r="W143" s="83"/>
      <c r="X143" s="53" t="str">
        <f>IFERROR(VLOOKUP(Anexo_5[[#This Row],[CUENTA]],OP,2,0),"-")</f>
        <v>Residuos Peligrosos</v>
      </c>
    </row>
    <row r="144" spans="1:24" s="84" customFormat="1" ht="27" customHeight="1" x14ac:dyDescent="0.3">
      <c r="A144" s="75" t="s">
        <v>2349</v>
      </c>
      <c r="B144" s="76" t="str">
        <f t="shared" si="2"/>
        <v>Julio</v>
      </c>
      <c r="C144" s="77" t="s">
        <v>240</v>
      </c>
      <c r="D144" s="77" t="s">
        <v>2018</v>
      </c>
      <c r="E144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144" s="79" t="s">
        <v>4560</v>
      </c>
      <c r="G144" s="148" t="s">
        <v>115</v>
      </c>
      <c r="H144" s="140" t="s">
        <v>9371</v>
      </c>
      <c r="I144" s="77" t="s">
        <v>9518</v>
      </c>
      <c r="J144" s="144" t="s">
        <v>9519</v>
      </c>
      <c r="K144" s="77" t="s">
        <v>169</v>
      </c>
      <c r="L144" s="76" t="str">
        <f>VLOOKUP(Anexo_5[[#This Row],[cod_doc]],COMPRAS!TIPODOC,2,FALSE)</f>
        <v>FACTURA</v>
      </c>
      <c r="M144" s="77" t="s">
        <v>1906</v>
      </c>
      <c r="N144" s="79" t="s">
        <v>9646</v>
      </c>
      <c r="O144" s="80">
        <v>1537.68</v>
      </c>
      <c r="P144" s="81">
        <v>276.7824</v>
      </c>
      <c r="Q144" s="80"/>
      <c r="R144" s="82">
        <v>1814.4624000000001</v>
      </c>
      <c r="S144" s="77"/>
      <c r="T144" s="77"/>
      <c r="U144" s="77"/>
      <c r="V144" s="77" t="s">
        <v>9375</v>
      </c>
      <c r="W144" s="83"/>
      <c r="X144" s="53" t="str">
        <f>IFERROR(VLOOKUP(Anexo_5[[#This Row],[CUENTA]],OP,2,0),"-")</f>
        <v>Residuos No Peligrosos</v>
      </c>
    </row>
    <row r="145" spans="1:24" s="84" customFormat="1" ht="27" customHeight="1" x14ac:dyDescent="0.3">
      <c r="A145" s="75" t="s">
        <v>2349</v>
      </c>
      <c r="B145" s="76" t="str">
        <f t="shared" si="2"/>
        <v>Julio</v>
      </c>
      <c r="C145" s="77" t="s">
        <v>240</v>
      </c>
      <c r="D145" s="77" t="s">
        <v>2021</v>
      </c>
      <c r="E145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145" s="79" t="s">
        <v>248</v>
      </c>
      <c r="G145" s="148" t="s">
        <v>249</v>
      </c>
      <c r="H145" s="140" t="s">
        <v>9416</v>
      </c>
      <c r="I145" s="77" t="s">
        <v>9465</v>
      </c>
      <c r="J145" s="144" t="s">
        <v>9466</v>
      </c>
      <c r="K145" s="77" t="s">
        <v>169</v>
      </c>
      <c r="L145" s="76" t="str">
        <f>VLOOKUP(Anexo_5[[#This Row],[cod_doc]],COMPRAS!TIPODOC,2,FALSE)</f>
        <v>FACTURA</v>
      </c>
      <c r="M145" s="77" t="s">
        <v>105</v>
      </c>
      <c r="N145" s="79" t="s">
        <v>9647</v>
      </c>
      <c r="O145" s="80">
        <v>13050.85</v>
      </c>
      <c r="P145" s="81">
        <v>2349.15</v>
      </c>
      <c r="Q145" s="80"/>
      <c r="R145" s="82">
        <v>15400</v>
      </c>
      <c r="S145" s="77"/>
      <c r="T145" s="77"/>
      <c r="U145" s="77"/>
      <c r="V145" s="77" t="s">
        <v>9336</v>
      </c>
      <c r="W145" s="83"/>
      <c r="X145" s="53" t="str">
        <f>IFERROR(VLOOKUP(Anexo_5[[#This Row],[CUENTA]],OP,2,0),"-")</f>
        <v>Productos Terminados - RRSS</v>
      </c>
    </row>
    <row r="146" spans="1:24" s="84" customFormat="1" ht="27" customHeight="1" x14ac:dyDescent="0.3">
      <c r="A146" s="75" t="s">
        <v>2349</v>
      </c>
      <c r="B146" s="76" t="str">
        <f t="shared" si="2"/>
        <v>Julio</v>
      </c>
      <c r="C146" s="77" t="s">
        <v>240</v>
      </c>
      <c r="D146" s="77" t="s">
        <v>2023</v>
      </c>
      <c r="E146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146" s="79" t="s">
        <v>248</v>
      </c>
      <c r="G146" s="148" t="s">
        <v>249</v>
      </c>
      <c r="H146" s="140" t="s">
        <v>9469</v>
      </c>
      <c r="I146" s="77" t="s">
        <v>9470</v>
      </c>
      <c r="J146" s="144" t="s">
        <v>9471</v>
      </c>
      <c r="K146" s="77" t="s">
        <v>169</v>
      </c>
      <c r="L146" s="76" t="str">
        <f>VLOOKUP(Anexo_5[[#This Row],[cod_doc]],COMPRAS!TIPODOC,2,FALSE)</f>
        <v>FACTURA</v>
      </c>
      <c r="M146" s="77" t="s">
        <v>105</v>
      </c>
      <c r="N146" s="79" t="s">
        <v>9648</v>
      </c>
      <c r="O146" s="80">
        <v>351</v>
      </c>
      <c r="P146" s="81">
        <v>63.18</v>
      </c>
      <c r="Q146" s="80"/>
      <c r="R146" s="82">
        <v>414.18</v>
      </c>
      <c r="S146" s="77"/>
      <c r="T146" s="77"/>
      <c r="U146" s="77"/>
      <c r="V146" s="77" t="s">
        <v>9336</v>
      </c>
      <c r="W146" s="83"/>
      <c r="X146" s="53" t="str">
        <f>IFERROR(VLOOKUP(Anexo_5[[#This Row],[CUENTA]],OP,2,0),"-")</f>
        <v>Productos Terminados - RRSS</v>
      </c>
    </row>
    <row r="147" spans="1:24" s="84" customFormat="1" ht="27" customHeight="1" x14ac:dyDescent="0.3">
      <c r="A147" s="75" t="s">
        <v>2349</v>
      </c>
      <c r="B147" s="76" t="str">
        <f t="shared" si="2"/>
        <v>Julio</v>
      </c>
      <c r="C147" s="77" t="s">
        <v>240</v>
      </c>
      <c r="D147" s="77" t="s">
        <v>2026</v>
      </c>
      <c r="E147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147" s="79" t="s">
        <v>248</v>
      </c>
      <c r="G147" s="148" t="s">
        <v>249</v>
      </c>
      <c r="H147" s="140" t="s">
        <v>9469</v>
      </c>
      <c r="I147" s="77" t="s">
        <v>9470</v>
      </c>
      <c r="J147" s="144" t="s">
        <v>9471</v>
      </c>
      <c r="K147" s="77" t="s">
        <v>169</v>
      </c>
      <c r="L147" s="76" t="str">
        <f>VLOOKUP(Anexo_5[[#This Row],[cod_doc]],COMPRAS!TIPODOC,2,FALSE)</f>
        <v>FACTURA</v>
      </c>
      <c r="M147" s="77" t="s">
        <v>105</v>
      </c>
      <c r="N147" s="79" t="s">
        <v>9649</v>
      </c>
      <c r="O147" s="80">
        <v>504</v>
      </c>
      <c r="P147" s="81">
        <v>90.72</v>
      </c>
      <c r="Q147" s="80"/>
      <c r="R147" s="82">
        <v>594.72</v>
      </c>
      <c r="S147" s="77"/>
      <c r="T147" s="77"/>
      <c r="U147" s="77"/>
      <c r="V147" s="77" t="s">
        <v>9336</v>
      </c>
      <c r="W147" s="83"/>
      <c r="X147" s="53" t="str">
        <f>IFERROR(VLOOKUP(Anexo_5[[#This Row],[CUENTA]],OP,2,0),"-")</f>
        <v>Productos Terminados - RRSS</v>
      </c>
    </row>
    <row r="148" spans="1:24" s="84" customFormat="1" ht="27" customHeight="1" x14ac:dyDescent="0.3">
      <c r="A148" s="75" t="s">
        <v>2349</v>
      </c>
      <c r="B148" s="76" t="str">
        <f t="shared" si="2"/>
        <v>Julio</v>
      </c>
      <c r="C148" s="77" t="s">
        <v>240</v>
      </c>
      <c r="D148" s="77" t="s">
        <v>2029</v>
      </c>
      <c r="E148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148" s="79" t="s">
        <v>248</v>
      </c>
      <c r="G148" s="148" t="s">
        <v>249</v>
      </c>
      <c r="H148" s="140" t="s">
        <v>9469</v>
      </c>
      <c r="I148" s="77" t="s">
        <v>9470</v>
      </c>
      <c r="J148" s="144" t="s">
        <v>9471</v>
      </c>
      <c r="K148" s="77" t="s">
        <v>169</v>
      </c>
      <c r="L148" s="76" t="str">
        <f>VLOOKUP(Anexo_5[[#This Row],[cod_doc]],COMPRAS!TIPODOC,2,FALSE)</f>
        <v>FACTURA</v>
      </c>
      <c r="M148" s="77" t="s">
        <v>105</v>
      </c>
      <c r="N148" s="79" t="s">
        <v>9650</v>
      </c>
      <c r="O148" s="80">
        <v>889</v>
      </c>
      <c r="P148" s="81">
        <v>160.02000000000001</v>
      </c>
      <c r="Q148" s="80"/>
      <c r="R148" s="82">
        <v>1049.02</v>
      </c>
      <c r="S148" s="77"/>
      <c r="T148" s="77"/>
      <c r="U148" s="77"/>
      <c r="V148" s="77" t="s">
        <v>9336</v>
      </c>
      <c r="W148" s="83"/>
      <c r="X148" s="53" t="str">
        <f>IFERROR(VLOOKUP(Anexo_5[[#This Row],[CUENTA]],OP,2,0),"-")</f>
        <v>Productos Terminados - RRSS</v>
      </c>
    </row>
    <row r="149" spans="1:24" s="84" customFormat="1" ht="27" customHeight="1" x14ac:dyDescent="0.3">
      <c r="A149" s="75" t="s">
        <v>2453</v>
      </c>
      <c r="B149" s="76" t="str">
        <f t="shared" si="2"/>
        <v>Julio</v>
      </c>
      <c r="C149" s="77" t="s">
        <v>240</v>
      </c>
      <c r="D149" s="77" t="s">
        <v>2031</v>
      </c>
      <c r="E149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149" s="79" t="s">
        <v>248</v>
      </c>
      <c r="G149" s="148" t="s">
        <v>249</v>
      </c>
      <c r="H149" s="140" t="s">
        <v>9583</v>
      </c>
      <c r="I149" s="77" t="s">
        <v>9353</v>
      </c>
      <c r="J149" s="144" t="s">
        <v>9354</v>
      </c>
      <c r="K149" s="77" t="s">
        <v>169</v>
      </c>
      <c r="L149" s="76" t="str">
        <f>VLOOKUP(Anexo_5[[#This Row],[cod_doc]],COMPRAS!TIPODOC,2,FALSE)</f>
        <v>FACTURA</v>
      </c>
      <c r="M149" s="77" t="s">
        <v>105</v>
      </c>
      <c r="N149" s="79" t="s">
        <v>9651</v>
      </c>
      <c r="O149" s="80">
        <v>21124</v>
      </c>
      <c r="P149" s="81">
        <v>3802.32</v>
      </c>
      <c r="Q149" s="80"/>
      <c r="R149" s="82">
        <v>24926.32</v>
      </c>
      <c r="S149" s="77"/>
      <c r="T149" s="77"/>
      <c r="U149" s="77"/>
      <c r="V149" s="77" t="s">
        <v>9336</v>
      </c>
      <c r="W149" s="83"/>
      <c r="X149" s="53" t="str">
        <f>IFERROR(VLOOKUP(Anexo_5[[#This Row],[CUENTA]],OP,2,0),"-")</f>
        <v>Productos Terminados - RRSS</v>
      </c>
    </row>
    <row r="150" spans="1:24" s="84" customFormat="1" ht="27" customHeight="1" x14ac:dyDescent="0.3">
      <c r="A150" s="75" t="s">
        <v>2453</v>
      </c>
      <c r="B150" s="76" t="str">
        <f t="shared" si="2"/>
        <v>Julio</v>
      </c>
      <c r="C150" s="77" t="s">
        <v>240</v>
      </c>
      <c r="D150" s="77" t="s">
        <v>2034</v>
      </c>
      <c r="E150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150" s="79" t="s">
        <v>248</v>
      </c>
      <c r="G150" s="148" t="s">
        <v>249</v>
      </c>
      <c r="H150" s="140" t="s">
        <v>9583</v>
      </c>
      <c r="I150" s="77" t="s">
        <v>9353</v>
      </c>
      <c r="J150" s="144" t="s">
        <v>9354</v>
      </c>
      <c r="K150" s="77" t="s">
        <v>169</v>
      </c>
      <c r="L150" s="76" t="str">
        <f>VLOOKUP(Anexo_5[[#This Row],[cod_doc]],COMPRAS!TIPODOC,2,FALSE)</f>
        <v>FACTURA</v>
      </c>
      <c r="M150" s="77" t="s">
        <v>105</v>
      </c>
      <c r="N150" s="79" t="s">
        <v>9652</v>
      </c>
      <c r="O150" s="80">
        <v>0</v>
      </c>
      <c r="P150" s="81">
        <v>0</v>
      </c>
      <c r="Q150" s="80"/>
      <c r="R150" s="82">
        <v>0</v>
      </c>
      <c r="S150" s="77"/>
      <c r="T150" s="77"/>
      <c r="U150" s="77"/>
      <c r="V150" s="77" t="s">
        <v>9336</v>
      </c>
      <c r="W150" s="83"/>
      <c r="X150" s="53" t="str">
        <f>IFERROR(VLOOKUP(Anexo_5[[#This Row],[CUENTA]],OP,2,0),"-")</f>
        <v>Productos Terminados - RRSS</v>
      </c>
    </row>
    <row r="151" spans="1:24" s="84" customFormat="1" ht="27" customHeight="1" x14ac:dyDescent="0.3">
      <c r="A151" s="75" t="s">
        <v>2564</v>
      </c>
      <c r="B151" s="76" t="str">
        <f t="shared" si="2"/>
        <v>Julio</v>
      </c>
      <c r="C151" s="77" t="s">
        <v>240</v>
      </c>
      <c r="D151" s="77" t="s">
        <v>2037</v>
      </c>
      <c r="E151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151" s="79" t="s">
        <v>248</v>
      </c>
      <c r="G151" s="148" t="s">
        <v>249</v>
      </c>
      <c r="H151" s="140" t="s">
        <v>9390</v>
      </c>
      <c r="I151" s="77" t="s">
        <v>9391</v>
      </c>
      <c r="J151" s="144" t="s">
        <v>9392</v>
      </c>
      <c r="K151" s="77" t="s">
        <v>169</v>
      </c>
      <c r="L151" s="76" t="str">
        <f>VLOOKUP(Anexo_5[[#This Row],[cod_doc]],COMPRAS!TIPODOC,2,FALSE)</f>
        <v>FACTURA</v>
      </c>
      <c r="M151" s="77" t="s">
        <v>105</v>
      </c>
      <c r="N151" s="79" t="s">
        <v>9653</v>
      </c>
      <c r="O151" s="80">
        <v>580</v>
      </c>
      <c r="P151" s="81">
        <v>104.4</v>
      </c>
      <c r="Q151" s="80"/>
      <c r="R151" s="82">
        <v>684.4</v>
      </c>
      <c r="S151" s="77"/>
      <c r="T151" s="77"/>
      <c r="U151" s="77"/>
      <c r="V151" s="77" t="s">
        <v>9336</v>
      </c>
      <c r="W151" s="83"/>
      <c r="X151" s="53" t="str">
        <f>IFERROR(VLOOKUP(Anexo_5[[#This Row],[CUENTA]],OP,2,0),"-")</f>
        <v>Productos Terminados - RRSS</v>
      </c>
    </row>
    <row r="152" spans="1:24" s="84" customFormat="1" ht="27" customHeight="1" x14ac:dyDescent="0.3">
      <c r="A152" s="75" t="s">
        <v>2564</v>
      </c>
      <c r="B152" s="76" t="str">
        <f t="shared" si="2"/>
        <v>Julio</v>
      </c>
      <c r="C152" s="77" t="s">
        <v>240</v>
      </c>
      <c r="D152" s="77" t="s">
        <v>2040</v>
      </c>
      <c r="E152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152" s="79" t="s">
        <v>248</v>
      </c>
      <c r="G152" s="148" t="s">
        <v>249</v>
      </c>
      <c r="H152" s="140" t="s">
        <v>9343</v>
      </c>
      <c r="I152" s="77" t="s">
        <v>9506</v>
      </c>
      <c r="J152" s="144" t="s">
        <v>9507</v>
      </c>
      <c r="K152" s="77" t="s">
        <v>169</v>
      </c>
      <c r="L152" s="76" t="str">
        <f>VLOOKUP(Anexo_5[[#This Row],[cod_doc]],COMPRAS!TIPODOC,2,FALSE)</f>
        <v>FACTURA</v>
      </c>
      <c r="M152" s="77" t="s">
        <v>107</v>
      </c>
      <c r="N152" s="79" t="s">
        <v>9276</v>
      </c>
      <c r="O152" s="80">
        <v>1094.9100000000001</v>
      </c>
      <c r="P152" s="81">
        <v>197.08</v>
      </c>
      <c r="Q152" s="80"/>
      <c r="R152" s="82">
        <v>1291.99</v>
      </c>
      <c r="S152" s="77"/>
      <c r="T152" s="77"/>
      <c r="U152" s="77"/>
      <c r="V152" s="77" t="s">
        <v>9336</v>
      </c>
      <c r="W152" s="83"/>
      <c r="X152" s="53" t="str">
        <f>IFERROR(VLOOKUP(Anexo_5[[#This Row],[CUENTA]],OP,2,0),"-")</f>
        <v>Productos Terminados - RRSS</v>
      </c>
    </row>
    <row r="153" spans="1:24" s="84" customFormat="1" ht="27" customHeight="1" x14ac:dyDescent="0.3">
      <c r="A153" s="75" t="s">
        <v>2564</v>
      </c>
      <c r="B153" s="76" t="str">
        <f t="shared" si="2"/>
        <v>Julio</v>
      </c>
      <c r="C153" s="77" t="s">
        <v>240</v>
      </c>
      <c r="D153" s="77" t="s">
        <v>2043</v>
      </c>
      <c r="E153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153" s="79" t="s">
        <v>248</v>
      </c>
      <c r="G153" s="148" t="s">
        <v>249</v>
      </c>
      <c r="H153" s="140" t="s">
        <v>9343</v>
      </c>
      <c r="I153" s="77" t="s">
        <v>9506</v>
      </c>
      <c r="J153" s="144" t="s">
        <v>9507</v>
      </c>
      <c r="K153" s="77" t="s">
        <v>169</v>
      </c>
      <c r="L153" s="76" t="str">
        <f>VLOOKUP(Anexo_5[[#This Row],[cod_doc]],COMPRAS!TIPODOC,2,FALSE)</f>
        <v>FACTURA</v>
      </c>
      <c r="M153" s="77" t="s">
        <v>107</v>
      </c>
      <c r="N153" s="79" t="s">
        <v>9654</v>
      </c>
      <c r="O153" s="80">
        <v>777.96</v>
      </c>
      <c r="P153" s="81">
        <v>140.03</v>
      </c>
      <c r="Q153" s="80"/>
      <c r="R153" s="82">
        <v>917.99</v>
      </c>
      <c r="S153" s="77"/>
      <c r="T153" s="77"/>
      <c r="U153" s="77"/>
      <c r="V153" s="77" t="s">
        <v>9336</v>
      </c>
      <c r="W153" s="83"/>
      <c r="X153" s="53" t="str">
        <f>IFERROR(VLOOKUP(Anexo_5[[#This Row],[CUENTA]],OP,2,0),"-")</f>
        <v>Productos Terminados - RRSS</v>
      </c>
    </row>
    <row r="154" spans="1:24" s="84" customFormat="1" ht="27" customHeight="1" x14ac:dyDescent="0.3">
      <c r="A154" s="75" t="s">
        <v>1780</v>
      </c>
      <c r="B154" s="76" t="str">
        <f t="shared" si="2"/>
        <v>Julio</v>
      </c>
      <c r="C154" s="77" t="s">
        <v>240</v>
      </c>
      <c r="D154" s="77" t="s">
        <v>9655</v>
      </c>
      <c r="E154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154" s="79" t="s">
        <v>4560</v>
      </c>
      <c r="G154" s="148" t="s">
        <v>115</v>
      </c>
      <c r="H154" s="140" t="s">
        <v>9439</v>
      </c>
      <c r="I154" s="77" t="s">
        <v>980</v>
      </c>
      <c r="J154" s="144" t="s">
        <v>981</v>
      </c>
      <c r="K154" s="77" t="s">
        <v>169</v>
      </c>
      <c r="L154" s="76" t="str">
        <f>VLOOKUP(Anexo_5[[#This Row],[cod_doc]],COMPRAS!TIPODOC,2,FALSE)</f>
        <v>FACTURA</v>
      </c>
      <c r="M154" s="77" t="s">
        <v>1906</v>
      </c>
      <c r="N154" s="79" t="s">
        <v>9656</v>
      </c>
      <c r="O154" s="80">
        <v>2487.7399999999998</v>
      </c>
      <c r="P154" s="81">
        <v>447.79</v>
      </c>
      <c r="Q154" s="80"/>
      <c r="R154" s="82">
        <v>2935.53</v>
      </c>
      <c r="S154" s="77"/>
      <c r="T154" s="77"/>
      <c r="U154" s="77"/>
      <c r="V154" s="77" t="s">
        <v>9375</v>
      </c>
      <c r="W154" s="83"/>
      <c r="X154" s="53" t="str">
        <f>IFERROR(VLOOKUP(Anexo_5[[#This Row],[CUENTA]],OP,2,0),"-")</f>
        <v>Residuos No Peligrosos</v>
      </c>
    </row>
    <row r="155" spans="1:24" s="84" customFormat="1" ht="27" customHeight="1" x14ac:dyDescent="0.3">
      <c r="A155" s="75" t="s">
        <v>1780</v>
      </c>
      <c r="B155" s="76" t="str">
        <f t="shared" si="2"/>
        <v>Julio</v>
      </c>
      <c r="C155" s="77" t="s">
        <v>240</v>
      </c>
      <c r="D155" s="77" t="s">
        <v>9657</v>
      </c>
      <c r="E155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155" s="79" t="s">
        <v>4563</v>
      </c>
      <c r="G155" s="148" t="s">
        <v>114</v>
      </c>
      <c r="H155" s="140" t="s">
        <v>9329</v>
      </c>
      <c r="I155" s="77" t="s">
        <v>980</v>
      </c>
      <c r="J155" s="144" t="s">
        <v>981</v>
      </c>
      <c r="K155" s="77" t="s">
        <v>169</v>
      </c>
      <c r="L155" s="76" t="str">
        <f>VLOOKUP(Anexo_5[[#This Row],[cod_doc]],COMPRAS!TIPODOC,2,FALSE)</f>
        <v>FACTURA</v>
      </c>
      <c r="M155" s="77" t="s">
        <v>1906</v>
      </c>
      <c r="N155" s="79" t="s">
        <v>9658</v>
      </c>
      <c r="O155" s="80">
        <v>3339</v>
      </c>
      <c r="P155" s="81">
        <v>601.02</v>
      </c>
      <c r="Q155" s="80"/>
      <c r="R155" s="82">
        <v>3940.02</v>
      </c>
      <c r="S155" s="77"/>
      <c r="T155" s="77"/>
      <c r="U155" s="77"/>
      <c r="V155" s="77" t="s">
        <v>9333</v>
      </c>
      <c r="W155" s="83"/>
      <c r="X155" s="53" t="str">
        <f>IFERROR(VLOOKUP(Anexo_5[[#This Row],[CUENTA]],OP,2,0),"-")</f>
        <v>Residuos Peligrosos</v>
      </c>
    </row>
    <row r="156" spans="1:24" s="84" customFormat="1" ht="27" customHeight="1" x14ac:dyDescent="0.3">
      <c r="A156" s="75" t="s">
        <v>1780</v>
      </c>
      <c r="B156" s="76" t="str">
        <f t="shared" si="2"/>
        <v>Julio</v>
      </c>
      <c r="C156" s="77" t="s">
        <v>240</v>
      </c>
      <c r="D156" s="77" t="s">
        <v>2046</v>
      </c>
      <c r="E156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156" s="79" t="s">
        <v>248</v>
      </c>
      <c r="G156" s="148" t="s">
        <v>249</v>
      </c>
      <c r="H156" s="140" t="s">
        <v>9335</v>
      </c>
      <c r="I156" s="77" t="s">
        <v>9571</v>
      </c>
      <c r="J156" s="144" t="s">
        <v>9572</v>
      </c>
      <c r="K156" s="77" t="s">
        <v>169</v>
      </c>
      <c r="L156" s="76" t="str">
        <f>VLOOKUP(Anexo_5[[#This Row],[cod_doc]],COMPRAS!TIPODOC,2,FALSE)</f>
        <v>FACTURA</v>
      </c>
      <c r="M156" s="77" t="s">
        <v>105</v>
      </c>
      <c r="N156" s="79" t="s">
        <v>9659</v>
      </c>
      <c r="O156" s="80">
        <v>317.8</v>
      </c>
      <c r="P156" s="81">
        <v>57.2</v>
      </c>
      <c r="Q156" s="80"/>
      <c r="R156" s="82">
        <v>375</v>
      </c>
      <c r="S156" s="77"/>
      <c r="T156" s="77"/>
      <c r="U156" s="77"/>
      <c r="V156" s="77" t="s">
        <v>9336</v>
      </c>
      <c r="W156" s="83"/>
      <c r="X156" s="53" t="str">
        <f>IFERROR(VLOOKUP(Anexo_5[[#This Row],[CUENTA]],OP,2,0),"-")</f>
        <v>Productos Terminados - RRSS</v>
      </c>
    </row>
    <row r="157" spans="1:24" s="84" customFormat="1" ht="27" customHeight="1" x14ac:dyDescent="0.3">
      <c r="A157" s="75" t="s">
        <v>1780</v>
      </c>
      <c r="B157" s="76" t="str">
        <f t="shared" si="2"/>
        <v>Julio</v>
      </c>
      <c r="C157" s="77" t="s">
        <v>240</v>
      </c>
      <c r="D157" s="77" t="s">
        <v>2049</v>
      </c>
      <c r="E157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157" s="79" t="s">
        <v>248</v>
      </c>
      <c r="G157" s="148" t="s">
        <v>249</v>
      </c>
      <c r="H157" s="140" t="s">
        <v>9487</v>
      </c>
      <c r="I157" s="77" t="s">
        <v>9488</v>
      </c>
      <c r="J157" s="144" t="s">
        <v>9489</v>
      </c>
      <c r="K157" s="77" t="s">
        <v>169</v>
      </c>
      <c r="L157" s="76" t="str">
        <f>VLOOKUP(Anexo_5[[#This Row],[cod_doc]],COMPRAS!TIPODOC,2,FALSE)</f>
        <v>FACTURA</v>
      </c>
      <c r="M157" s="77" t="s">
        <v>105</v>
      </c>
      <c r="N157" s="79" t="s">
        <v>9660</v>
      </c>
      <c r="O157" s="80">
        <v>903</v>
      </c>
      <c r="P157" s="81">
        <v>162.54</v>
      </c>
      <c r="Q157" s="80"/>
      <c r="R157" s="82">
        <v>1065.54</v>
      </c>
      <c r="S157" s="77"/>
      <c r="T157" s="77"/>
      <c r="U157" s="77"/>
      <c r="V157" s="77" t="s">
        <v>9336</v>
      </c>
      <c r="W157" s="83"/>
      <c r="X157" s="53" t="str">
        <f>IFERROR(VLOOKUP(Anexo_5[[#This Row],[CUENTA]],OP,2,0),"-")</f>
        <v>Productos Terminados - RRSS</v>
      </c>
    </row>
    <row r="158" spans="1:24" s="84" customFormat="1" ht="27" customHeight="1" x14ac:dyDescent="0.3">
      <c r="A158" s="75" t="s">
        <v>2675</v>
      </c>
      <c r="B158" s="76" t="str">
        <f t="shared" si="2"/>
        <v>Julio</v>
      </c>
      <c r="C158" s="77" t="s">
        <v>240</v>
      </c>
      <c r="D158" s="77" t="s">
        <v>2055</v>
      </c>
      <c r="E158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158" s="79" t="s">
        <v>4560</v>
      </c>
      <c r="G158" s="148" t="s">
        <v>115</v>
      </c>
      <c r="H158" s="140" t="s">
        <v>9371</v>
      </c>
      <c r="I158" s="77" t="s">
        <v>9378</v>
      </c>
      <c r="J158" s="144" t="s">
        <v>9379</v>
      </c>
      <c r="K158" s="77" t="s">
        <v>169</v>
      </c>
      <c r="L158" s="76" t="str">
        <f>VLOOKUP(Anexo_5[[#This Row],[cod_doc]],COMPRAS!TIPODOC,2,FALSE)</f>
        <v>FACTURA</v>
      </c>
      <c r="M158" s="77" t="s">
        <v>1906</v>
      </c>
      <c r="N158" s="79" t="s">
        <v>9661</v>
      </c>
      <c r="O158" s="80">
        <v>2736</v>
      </c>
      <c r="P158" s="81">
        <v>492.48</v>
      </c>
      <c r="Q158" s="80"/>
      <c r="R158" s="82">
        <v>3228.48</v>
      </c>
      <c r="S158" s="77"/>
      <c r="T158" s="77"/>
      <c r="U158" s="77"/>
      <c r="V158" s="77" t="s">
        <v>9375</v>
      </c>
      <c r="W158" s="83"/>
      <c r="X158" s="53" t="str">
        <f>IFERROR(VLOOKUP(Anexo_5[[#This Row],[CUENTA]],OP,2,0),"-")</f>
        <v>Residuos No Peligrosos</v>
      </c>
    </row>
    <row r="159" spans="1:24" s="84" customFormat="1" ht="27" customHeight="1" x14ac:dyDescent="0.3">
      <c r="A159" s="75" t="s">
        <v>2675</v>
      </c>
      <c r="B159" s="76" t="str">
        <f t="shared" si="2"/>
        <v>Julio</v>
      </c>
      <c r="C159" s="77" t="s">
        <v>240</v>
      </c>
      <c r="D159" s="77" t="s">
        <v>2058</v>
      </c>
      <c r="E159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159" s="79" t="s">
        <v>248</v>
      </c>
      <c r="G159" s="148" t="s">
        <v>249</v>
      </c>
      <c r="H159" s="140" t="s">
        <v>9469</v>
      </c>
      <c r="I159" s="77" t="s">
        <v>9470</v>
      </c>
      <c r="J159" s="144" t="s">
        <v>9471</v>
      </c>
      <c r="K159" s="77" t="s">
        <v>169</v>
      </c>
      <c r="L159" s="76" t="str">
        <f>VLOOKUP(Anexo_5[[#This Row],[cod_doc]],COMPRAS!TIPODOC,2,FALSE)</f>
        <v>FACTURA</v>
      </c>
      <c r="M159" s="77" t="s">
        <v>105</v>
      </c>
      <c r="N159" s="79" t="s">
        <v>9662</v>
      </c>
      <c r="O159" s="80">
        <v>554.5</v>
      </c>
      <c r="P159" s="81">
        <v>99.81</v>
      </c>
      <c r="Q159" s="80"/>
      <c r="R159" s="82">
        <v>654.30999999999995</v>
      </c>
      <c r="S159" s="77"/>
      <c r="T159" s="77"/>
      <c r="U159" s="77"/>
      <c r="V159" s="77" t="s">
        <v>9336</v>
      </c>
      <c r="W159" s="83"/>
      <c r="X159" s="53" t="str">
        <f>IFERROR(VLOOKUP(Anexo_5[[#This Row],[CUENTA]],OP,2,0),"-")</f>
        <v>Productos Terminados - RRSS</v>
      </c>
    </row>
    <row r="160" spans="1:24" s="84" customFormat="1" ht="27" customHeight="1" x14ac:dyDescent="0.3">
      <c r="A160" s="75" t="s">
        <v>2675</v>
      </c>
      <c r="B160" s="76" t="str">
        <f t="shared" si="2"/>
        <v>Julio</v>
      </c>
      <c r="C160" s="77" t="s">
        <v>240</v>
      </c>
      <c r="D160" s="77" t="s">
        <v>2061</v>
      </c>
      <c r="E160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160" s="79" t="s">
        <v>248</v>
      </c>
      <c r="G160" s="148" t="s">
        <v>249</v>
      </c>
      <c r="H160" s="140" t="s">
        <v>9469</v>
      </c>
      <c r="I160" s="77" t="s">
        <v>9470</v>
      </c>
      <c r="J160" s="144" t="s">
        <v>9471</v>
      </c>
      <c r="K160" s="77" t="s">
        <v>169</v>
      </c>
      <c r="L160" s="76" t="str">
        <f>VLOOKUP(Anexo_5[[#This Row],[cod_doc]],COMPRAS!TIPODOC,2,FALSE)</f>
        <v>FACTURA</v>
      </c>
      <c r="M160" s="77" t="s">
        <v>105</v>
      </c>
      <c r="N160" s="79" t="s">
        <v>9663</v>
      </c>
      <c r="O160" s="80">
        <v>504</v>
      </c>
      <c r="P160" s="81">
        <v>90.72</v>
      </c>
      <c r="Q160" s="80"/>
      <c r="R160" s="82">
        <v>594.72</v>
      </c>
      <c r="S160" s="77"/>
      <c r="T160" s="77"/>
      <c r="U160" s="77"/>
      <c r="V160" s="77" t="s">
        <v>9336</v>
      </c>
      <c r="W160" s="83"/>
      <c r="X160" s="53" t="str">
        <f>IFERROR(VLOOKUP(Anexo_5[[#This Row],[CUENTA]],OP,2,0),"-")</f>
        <v>Productos Terminados - RRSS</v>
      </c>
    </row>
    <row r="161" spans="1:24" s="84" customFormat="1" ht="27" customHeight="1" x14ac:dyDescent="0.3">
      <c r="A161" s="75" t="s">
        <v>2675</v>
      </c>
      <c r="B161" s="76" t="str">
        <f t="shared" si="2"/>
        <v>Julio</v>
      </c>
      <c r="C161" s="77" t="s">
        <v>240</v>
      </c>
      <c r="D161" s="77" t="s">
        <v>2065</v>
      </c>
      <c r="E161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161" s="79" t="s">
        <v>248</v>
      </c>
      <c r="G161" s="148" t="s">
        <v>249</v>
      </c>
      <c r="H161" s="140" t="s">
        <v>9585</v>
      </c>
      <c r="I161" s="77" t="s">
        <v>9664</v>
      </c>
      <c r="J161" s="144" t="s">
        <v>9665</v>
      </c>
      <c r="K161" s="77" t="s">
        <v>169</v>
      </c>
      <c r="L161" s="76" t="str">
        <f>VLOOKUP(Anexo_5[[#This Row],[cod_doc]],COMPRAS!TIPODOC,2,FALSE)</f>
        <v>FACTURA</v>
      </c>
      <c r="M161" s="77" t="s">
        <v>105</v>
      </c>
      <c r="N161" s="79" t="s">
        <v>9666</v>
      </c>
      <c r="O161" s="80">
        <v>549</v>
      </c>
      <c r="P161" s="81">
        <v>98.82</v>
      </c>
      <c r="Q161" s="80"/>
      <c r="R161" s="82">
        <v>647.82000000000005</v>
      </c>
      <c r="S161" s="77"/>
      <c r="T161" s="77"/>
      <c r="U161" s="77"/>
      <c r="V161" s="77" t="s">
        <v>9336</v>
      </c>
      <c r="W161" s="83"/>
      <c r="X161" s="53" t="str">
        <f>IFERROR(VLOOKUP(Anexo_5[[#This Row],[CUENTA]],OP,2,0),"-")</f>
        <v>Productos Terminados - RRSS</v>
      </c>
    </row>
    <row r="162" spans="1:24" s="84" customFormat="1" ht="27" customHeight="1" x14ac:dyDescent="0.3">
      <c r="A162" s="75" t="s">
        <v>2675</v>
      </c>
      <c r="B162" s="76" t="str">
        <f t="shared" si="2"/>
        <v>Julio</v>
      </c>
      <c r="C162" s="77" t="s">
        <v>240</v>
      </c>
      <c r="D162" s="77" t="s">
        <v>2067</v>
      </c>
      <c r="E162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162" s="79" t="s">
        <v>4560</v>
      </c>
      <c r="G162" s="148" t="s">
        <v>115</v>
      </c>
      <c r="H162" s="140" t="s">
        <v>9439</v>
      </c>
      <c r="I162" s="77" t="s">
        <v>1111</v>
      </c>
      <c r="J162" s="144" t="s">
        <v>1112</v>
      </c>
      <c r="K162" s="77" t="s">
        <v>1896</v>
      </c>
      <c r="L162" s="76" t="str">
        <f>VLOOKUP(Anexo_5[[#This Row],[cod_doc]],COMPRAS!TIPODOC,2,FALSE)</f>
        <v>NOTA DE CREDITO</v>
      </c>
      <c r="M162" s="77" t="s">
        <v>9444</v>
      </c>
      <c r="N162" s="79" t="s">
        <v>1977</v>
      </c>
      <c r="O162" s="80">
        <v>-2117.39</v>
      </c>
      <c r="P162" s="81">
        <v>-381.13</v>
      </c>
      <c r="Q162" s="80"/>
      <c r="R162" s="82">
        <v>-2498.52</v>
      </c>
      <c r="S162" s="77" t="s">
        <v>162</v>
      </c>
      <c r="T162" s="77" t="s">
        <v>1906</v>
      </c>
      <c r="U162" s="77" t="s">
        <v>9606</v>
      </c>
      <c r="V162" s="77" t="s">
        <v>9375</v>
      </c>
      <c r="W162" s="83"/>
      <c r="X162" s="53" t="str">
        <f>IFERROR(VLOOKUP(Anexo_5[[#This Row],[CUENTA]],OP,2,0),"-")</f>
        <v>Residuos No Peligrosos</v>
      </c>
    </row>
    <row r="163" spans="1:24" s="84" customFormat="1" ht="27" customHeight="1" x14ac:dyDescent="0.3">
      <c r="A163" s="75" t="s">
        <v>2780</v>
      </c>
      <c r="B163" s="76" t="str">
        <f t="shared" si="2"/>
        <v>Julio</v>
      </c>
      <c r="C163" s="77" t="s">
        <v>240</v>
      </c>
      <c r="D163" s="77" t="s">
        <v>2070</v>
      </c>
      <c r="E163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163" s="79" t="s">
        <v>4560</v>
      </c>
      <c r="G163" s="148" t="s">
        <v>115</v>
      </c>
      <c r="H163" s="140" t="s">
        <v>9439</v>
      </c>
      <c r="I163" s="77" t="s">
        <v>980</v>
      </c>
      <c r="J163" s="144" t="s">
        <v>981</v>
      </c>
      <c r="K163" s="77" t="s">
        <v>169</v>
      </c>
      <c r="L163" s="76" t="str">
        <f>VLOOKUP(Anexo_5[[#This Row],[cod_doc]],COMPRAS!TIPODOC,2,FALSE)</f>
        <v>FACTURA</v>
      </c>
      <c r="M163" s="77" t="s">
        <v>1906</v>
      </c>
      <c r="N163" s="79" t="s">
        <v>9667</v>
      </c>
      <c r="O163" s="80">
        <v>1862.32</v>
      </c>
      <c r="P163" s="81">
        <v>335.22</v>
      </c>
      <c r="Q163" s="80"/>
      <c r="R163" s="82">
        <v>2197.54</v>
      </c>
      <c r="S163" s="77"/>
      <c r="T163" s="77"/>
      <c r="U163" s="77"/>
      <c r="V163" s="77" t="s">
        <v>9375</v>
      </c>
      <c r="W163" s="83"/>
      <c r="X163" s="53" t="str">
        <f>IFERROR(VLOOKUP(Anexo_5[[#This Row],[CUENTA]],OP,2,0),"-")</f>
        <v>Residuos No Peligrosos</v>
      </c>
    </row>
    <row r="164" spans="1:24" s="84" customFormat="1" ht="27" customHeight="1" x14ac:dyDescent="0.3">
      <c r="A164" s="75" t="s">
        <v>2780</v>
      </c>
      <c r="B164" s="76" t="str">
        <f t="shared" si="2"/>
        <v>Julio</v>
      </c>
      <c r="C164" s="77" t="s">
        <v>240</v>
      </c>
      <c r="D164" s="77" t="s">
        <v>2074</v>
      </c>
      <c r="E164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164" s="79" t="s">
        <v>4560</v>
      </c>
      <c r="G164" s="148" t="s">
        <v>115</v>
      </c>
      <c r="H164" s="140" t="s">
        <v>9439</v>
      </c>
      <c r="I164" s="77" t="s">
        <v>980</v>
      </c>
      <c r="J164" s="144" t="s">
        <v>981</v>
      </c>
      <c r="K164" s="77" t="s">
        <v>169</v>
      </c>
      <c r="L164" s="76" t="str">
        <f>VLOOKUP(Anexo_5[[#This Row],[cod_doc]],COMPRAS!TIPODOC,2,FALSE)</f>
        <v>FACTURA</v>
      </c>
      <c r="M164" s="77" t="s">
        <v>1906</v>
      </c>
      <c r="N164" s="79" t="s">
        <v>9668</v>
      </c>
      <c r="O164" s="80">
        <v>1485.02</v>
      </c>
      <c r="P164" s="81">
        <v>267.3</v>
      </c>
      <c r="Q164" s="80"/>
      <c r="R164" s="82">
        <v>1752.32</v>
      </c>
      <c r="S164" s="77"/>
      <c r="T164" s="77"/>
      <c r="U164" s="77"/>
      <c r="V164" s="77" t="s">
        <v>9375</v>
      </c>
      <c r="W164" s="83"/>
      <c r="X164" s="53" t="str">
        <f>IFERROR(VLOOKUP(Anexo_5[[#This Row],[CUENTA]],OP,2,0),"-")</f>
        <v>Residuos No Peligrosos</v>
      </c>
    </row>
    <row r="165" spans="1:24" s="84" customFormat="1" ht="27" customHeight="1" x14ac:dyDescent="0.3">
      <c r="A165" s="75" t="s">
        <v>2780</v>
      </c>
      <c r="B165" s="76" t="str">
        <f t="shared" si="2"/>
        <v>Julio</v>
      </c>
      <c r="C165" s="77" t="s">
        <v>240</v>
      </c>
      <c r="D165" s="77" t="s">
        <v>2077</v>
      </c>
      <c r="E165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165" s="79" t="s">
        <v>248</v>
      </c>
      <c r="G165" s="148" t="s">
        <v>249</v>
      </c>
      <c r="H165" s="140" t="s">
        <v>9335</v>
      </c>
      <c r="I165" s="77" t="s">
        <v>9669</v>
      </c>
      <c r="J165" s="144" t="s">
        <v>9670</v>
      </c>
      <c r="K165" s="77" t="s">
        <v>169</v>
      </c>
      <c r="L165" s="76" t="str">
        <f>VLOOKUP(Anexo_5[[#This Row],[cod_doc]],COMPRAS!TIPODOC,2,FALSE)</f>
        <v>FACTURA</v>
      </c>
      <c r="M165" s="77" t="s">
        <v>105</v>
      </c>
      <c r="N165" s="79" t="s">
        <v>9671</v>
      </c>
      <c r="O165" s="80">
        <v>322.02999999999997</v>
      </c>
      <c r="P165" s="81">
        <v>57.97</v>
      </c>
      <c r="Q165" s="80"/>
      <c r="R165" s="82">
        <v>380</v>
      </c>
      <c r="S165" s="77"/>
      <c r="T165" s="77"/>
      <c r="U165" s="77"/>
      <c r="V165" s="77" t="s">
        <v>9336</v>
      </c>
      <c r="W165" s="83"/>
      <c r="X165" s="53" t="str">
        <f>IFERROR(VLOOKUP(Anexo_5[[#This Row],[CUENTA]],OP,2,0),"-")</f>
        <v>Productos Terminados - RRSS</v>
      </c>
    </row>
    <row r="166" spans="1:24" s="84" customFormat="1" ht="27" customHeight="1" x14ac:dyDescent="0.3">
      <c r="A166" s="75" t="s">
        <v>2780</v>
      </c>
      <c r="B166" s="76" t="str">
        <f t="shared" si="2"/>
        <v>Julio</v>
      </c>
      <c r="C166" s="77" t="s">
        <v>240</v>
      </c>
      <c r="D166" s="77" t="s">
        <v>2080</v>
      </c>
      <c r="E166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166" s="79" t="s">
        <v>248</v>
      </c>
      <c r="G166" s="148" t="s">
        <v>249</v>
      </c>
      <c r="H166" s="140" t="s">
        <v>9343</v>
      </c>
      <c r="I166" s="77" t="s">
        <v>9506</v>
      </c>
      <c r="J166" s="144" t="s">
        <v>9507</v>
      </c>
      <c r="K166" s="77" t="s">
        <v>169</v>
      </c>
      <c r="L166" s="76" t="str">
        <f>VLOOKUP(Anexo_5[[#This Row],[cod_doc]],COMPRAS!TIPODOC,2,FALSE)</f>
        <v>FACTURA</v>
      </c>
      <c r="M166" s="77" t="s">
        <v>107</v>
      </c>
      <c r="N166" s="79" t="s">
        <v>9672</v>
      </c>
      <c r="O166" s="80">
        <v>511.44</v>
      </c>
      <c r="P166" s="81">
        <v>92.06</v>
      </c>
      <c r="Q166" s="80"/>
      <c r="R166" s="82">
        <v>603.5</v>
      </c>
      <c r="S166" s="77"/>
      <c r="T166" s="77"/>
      <c r="U166" s="77"/>
      <c r="V166" s="77" t="s">
        <v>9336</v>
      </c>
      <c r="W166" s="83"/>
      <c r="X166" s="53" t="str">
        <f>IFERROR(VLOOKUP(Anexo_5[[#This Row],[CUENTA]],OP,2,0),"-")</f>
        <v>Productos Terminados - RRSS</v>
      </c>
    </row>
    <row r="167" spans="1:24" s="84" customFormat="1" ht="27" customHeight="1" x14ac:dyDescent="0.3">
      <c r="A167" s="75" t="s">
        <v>2780</v>
      </c>
      <c r="B167" s="76" t="str">
        <f t="shared" si="2"/>
        <v>Julio</v>
      </c>
      <c r="C167" s="77" t="s">
        <v>240</v>
      </c>
      <c r="D167" s="77" t="s">
        <v>2083</v>
      </c>
      <c r="E167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167" s="79" t="s">
        <v>248</v>
      </c>
      <c r="G167" s="148" t="s">
        <v>249</v>
      </c>
      <c r="H167" s="140" t="s">
        <v>9343</v>
      </c>
      <c r="I167" s="77" t="s">
        <v>9506</v>
      </c>
      <c r="J167" s="144" t="s">
        <v>9507</v>
      </c>
      <c r="K167" s="77" t="s">
        <v>169</v>
      </c>
      <c r="L167" s="76" t="str">
        <f>VLOOKUP(Anexo_5[[#This Row],[cod_doc]],COMPRAS!TIPODOC,2,FALSE)</f>
        <v>FACTURA</v>
      </c>
      <c r="M167" s="77" t="s">
        <v>107</v>
      </c>
      <c r="N167" s="79" t="s">
        <v>9673</v>
      </c>
      <c r="O167" s="80">
        <v>1238.97</v>
      </c>
      <c r="P167" s="81">
        <v>223.02</v>
      </c>
      <c r="Q167" s="80"/>
      <c r="R167" s="82">
        <v>1461.99</v>
      </c>
      <c r="S167" s="77"/>
      <c r="T167" s="77"/>
      <c r="U167" s="77"/>
      <c r="V167" s="77" t="s">
        <v>9336</v>
      </c>
      <c r="W167" s="83"/>
      <c r="X167" s="53" t="str">
        <f>IFERROR(VLOOKUP(Anexo_5[[#This Row],[CUENTA]],OP,2,0),"-")</f>
        <v>Productos Terminados - RRSS</v>
      </c>
    </row>
    <row r="168" spans="1:24" s="84" customFormat="1" ht="27" customHeight="1" x14ac:dyDescent="0.3">
      <c r="A168" s="75" t="s">
        <v>2837</v>
      </c>
      <c r="B168" s="76" t="str">
        <f t="shared" si="2"/>
        <v>Julio</v>
      </c>
      <c r="C168" s="77" t="s">
        <v>240</v>
      </c>
      <c r="D168" s="77" t="s">
        <v>2088</v>
      </c>
      <c r="E168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168" s="79" t="s">
        <v>4563</v>
      </c>
      <c r="G168" s="148" t="s">
        <v>114</v>
      </c>
      <c r="H168" s="140" t="s">
        <v>9386</v>
      </c>
      <c r="I168" s="77" t="s">
        <v>9387</v>
      </c>
      <c r="J168" s="144" t="s">
        <v>9388</v>
      </c>
      <c r="K168" s="77" t="s">
        <v>169</v>
      </c>
      <c r="L168" s="76" t="str">
        <f>VLOOKUP(Anexo_5[[#This Row],[cod_doc]],COMPRAS!TIPODOC,2,FALSE)</f>
        <v>FACTURA</v>
      </c>
      <c r="M168" s="77" t="s">
        <v>1906</v>
      </c>
      <c r="N168" s="79" t="s">
        <v>6644</v>
      </c>
      <c r="O168" s="80">
        <v>6359.53</v>
      </c>
      <c r="P168" s="81">
        <v>1144.72</v>
      </c>
      <c r="Q168" s="80"/>
      <c r="R168" s="82">
        <v>7504.25</v>
      </c>
      <c r="S168" s="77"/>
      <c r="T168" s="77"/>
      <c r="U168" s="77"/>
      <c r="V168" s="77" t="s">
        <v>9333</v>
      </c>
      <c r="W168" s="83"/>
      <c r="X168" s="53" t="str">
        <f>IFERROR(VLOOKUP(Anexo_5[[#This Row],[CUENTA]],OP,2,0),"-")</f>
        <v>Residuos Peligrosos</v>
      </c>
    </row>
    <row r="169" spans="1:24" s="84" customFormat="1" ht="27" customHeight="1" x14ac:dyDescent="0.3">
      <c r="A169" s="75" t="s">
        <v>2837</v>
      </c>
      <c r="B169" s="76" t="str">
        <f t="shared" si="2"/>
        <v>Julio</v>
      </c>
      <c r="C169" s="77" t="s">
        <v>240</v>
      </c>
      <c r="D169" s="77" t="s">
        <v>2091</v>
      </c>
      <c r="E169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169" s="79" t="s">
        <v>4563</v>
      </c>
      <c r="G169" s="148" t="s">
        <v>114</v>
      </c>
      <c r="H169" s="140" t="s">
        <v>9536</v>
      </c>
      <c r="I169" s="77" t="s">
        <v>625</v>
      </c>
      <c r="J169" s="144" t="s">
        <v>626</v>
      </c>
      <c r="K169" s="77" t="s">
        <v>169</v>
      </c>
      <c r="L169" s="76" t="str">
        <f>VLOOKUP(Anexo_5[[#This Row],[cod_doc]],COMPRAS!TIPODOC,2,FALSE)</f>
        <v>FACTURA</v>
      </c>
      <c r="M169" s="77" t="s">
        <v>1906</v>
      </c>
      <c r="N169" s="79" t="s">
        <v>9674</v>
      </c>
      <c r="O169" s="80">
        <v>9605.83</v>
      </c>
      <c r="P169" s="81">
        <v>1729.05</v>
      </c>
      <c r="Q169" s="80"/>
      <c r="R169" s="82">
        <v>11334.88</v>
      </c>
      <c r="S169" s="77"/>
      <c r="T169" s="77"/>
      <c r="U169" s="77"/>
      <c r="V169" s="77" t="s">
        <v>9333</v>
      </c>
      <c r="W169" s="83"/>
      <c r="X169" s="53" t="str">
        <f>IFERROR(VLOOKUP(Anexo_5[[#This Row],[CUENTA]],OP,2,0),"-")</f>
        <v>Residuos Peligrosos</v>
      </c>
    </row>
    <row r="170" spans="1:24" s="84" customFormat="1" ht="27" customHeight="1" x14ac:dyDescent="0.3">
      <c r="A170" s="75" t="s">
        <v>2837</v>
      </c>
      <c r="B170" s="76" t="str">
        <f t="shared" si="2"/>
        <v>Julio</v>
      </c>
      <c r="C170" s="77" t="s">
        <v>240</v>
      </c>
      <c r="D170" s="77" t="s">
        <v>2094</v>
      </c>
      <c r="E170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170" s="79" t="s">
        <v>248</v>
      </c>
      <c r="G170" s="148" t="s">
        <v>249</v>
      </c>
      <c r="H170" s="140" t="s">
        <v>9343</v>
      </c>
      <c r="I170" s="77" t="s">
        <v>9506</v>
      </c>
      <c r="J170" s="144" t="s">
        <v>9507</v>
      </c>
      <c r="K170" s="77" t="s">
        <v>169</v>
      </c>
      <c r="L170" s="76" t="str">
        <f>VLOOKUP(Anexo_5[[#This Row],[cod_doc]],COMPRAS!TIPODOC,2,FALSE)</f>
        <v>FACTURA</v>
      </c>
      <c r="M170" s="77" t="s">
        <v>107</v>
      </c>
      <c r="N170" s="79" t="s">
        <v>9675</v>
      </c>
      <c r="O170" s="80">
        <v>1707.19</v>
      </c>
      <c r="P170" s="81">
        <v>307.29000000000002</v>
      </c>
      <c r="Q170" s="80"/>
      <c r="R170" s="82">
        <v>2014.48</v>
      </c>
      <c r="S170" s="77"/>
      <c r="T170" s="77"/>
      <c r="U170" s="77"/>
      <c r="V170" s="77" t="s">
        <v>9336</v>
      </c>
      <c r="W170" s="83"/>
      <c r="X170" s="53" t="str">
        <f>IFERROR(VLOOKUP(Anexo_5[[#This Row],[CUENTA]],OP,2,0),"-")</f>
        <v>Productos Terminados - RRSS</v>
      </c>
    </row>
    <row r="171" spans="1:24" s="84" customFormat="1" ht="27" customHeight="1" x14ac:dyDescent="0.3">
      <c r="A171" s="75" t="s">
        <v>3026</v>
      </c>
      <c r="B171" s="76" t="str">
        <f t="shared" si="2"/>
        <v>Julio</v>
      </c>
      <c r="C171" s="77" t="s">
        <v>240</v>
      </c>
      <c r="D171" s="77" t="s">
        <v>2097</v>
      </c>
      <c r="E171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171" s="79" t="s">
        <v>248</v>
      </c>
      <c r="G171" s="148" t="s">
        <v>249</v>
      </c>
      <c r="H171" s="140" t="s">
        <v>9676</v>
      </c>
      <c r="I171" s="77" t="s">
        <v>9677</v>
      </c>
      <c r="J171" s="144" t="s">
        <v>9678</v>
      </c>
      <c r="K171" s="77" t="s">
        <v>169</v>
      </c>
      <c r="L171" s="76" t="str">
        <f>VLOOKUP(Anexo_5[[#This Row],[cod_doc]],COMPRAS!TIPODOC,2,FALSE)</f>
        <v>FACTURA</v>
      </c>
      <c r="M171" s="77" t="s">
        <v>105</v>
      </c>
      <c r="N171" s="79" t="s">
        <v>9679</v>
      </c>
      <c r="O171" s="80">
        <v>5796</v>
      </c>
      <c r="P171" s="81">
        <v>1043.28</v>
      </c>
      <c r="Q171" s="80"/>
      <c r="R171" s="82">
        <v>6839.28</v>
      </c>
      <c r="S171" s="77"/>
      <c r="T171" s="77"/>
      <c r="U171" s="77"/>
      <c r="V171" s="77" t="s">
        <v>9336</v>
      </c>
      <c r="W171" s="83"/>
      <c r="X171" s="53" t="str">
        <f>IFERROR(VLOOKUP(Anexo_5[[#This Row],[CUENTA]],OP,2,0),"-")</f>
        <v>Productos Terminados - RRSS</v>
      </c>
    </row>
    <row r="172" spans="1:24" s="84" customFormat="1" ht="27" customHeight="1" x14ac:dyDescent="0.3">
      <c r="A172" s="75" t="s">
        <v>3050</v>
      </c>
      <c r="B172" s="76" t="str">
        <f t="shared" si="2"/>
        <v>Julio</v>
      </c>
      <c r="C172" s="77" t="s">
        <v>240</v>
      </c>
      <c r="D172" s="77" t="s">
        <v>2100</v>
      </c>
      <c r="E172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172" s="79" t="s">
        <v>4563</v>
      </c>
      <c r="G172" s="148" t="s">
        <v>114</v>
      </c>
      <c r="H172" s="140" t="s">
        <v>9329</v>
      </c>
      <c r="I172" s="77" t="s">
        <v>9680</v>
      </c>
      <c r="J172" s="144" t="s">
        <v>9681</v>
      </c>
      <c r="K172" s="77" t="s">
        <v>169</v>
      </c>
      <c r="L172" s="76" t="str">
        <f>VLOOKUP(Anexo_5[[#This Row],[cod_doc]],COMPRAS!TIPODOC,2,FALSE)</f>
        <v>FACTURA</v>
      </c>
      <c r="M172" s="77" t="s">
        <v>1906</v>
      </c>
      <c r="N172" s="79" t="s">
        <v>9682</v>
      </c>
      <c r="O172" s="80">
        <v>839</v>
      </c>
      <c r="P172" s="81">
        <v>151.02000000000001</v>
      </c>
      <c r="Q172" s="80"/>
      <c r="R172" s="82">
        <v>990.02</v>
      </c>
      <c r="S172" s="77"/>
      <c r="T172" s="77"/>
      <c r="U172" s="77"/>
      <c r="V172" s="77" t="s">
        <v>9333</v>
      </c>
      <c r="W172" s="83"/>
      <c r="X172" s="53" t="str">
        <f>IFERROR(VLOOKUP(Anexo_5[[#This Row],[CUENTA]],OP,2,0),"-")</f>
        <v>Residuos Peligrosos</v>
      </c>
    </row>
    <row r="173" spans="1:24" s="84" customFormat="1" ht="27" customHeight="1" x14ac:dyDescent="0.3">
      <c r="A173" s="75" t="s">
        <v>3050</v>
      </c>
      <c r="B173" s="76" t="str">
        <f t="shared" si="2"/>
        <v>Julio</v>
      </c>
      <c r="C173" s="77" t="s">
        <v>240</v>
      </c>
      <c r="D173" s="77" t="s">
        <v>2103</v>
      </c>
      <c r="E173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173" s="79" t="s">
        <v>4563</v>
      </c>
      <c r="G173" s="148" t="s">
        <v>114</v>
      </c>
      <c r="H173" s="140" t="s">
        <v>9329</v>
      </c>
      <c r="I173" s="77" t="s">
        <v>9683</v>
      </c>
      <c r="J173" s="144" t="s">
        <v>9684</v>
      </c>
      <c r="K173" s="77" t="s">
        <v>169</v>
      </c>
      <c r="L173" s="76" t="str">
        <f>VLOOKUP(Anexo_5[[#This Row],[cod_doc]],COMPRAS!TIPODOC,2,FALSE)</f>
        <v>FACTURA</v>
      </c>
      <c r="M173" s="77" t="s">
        <v>1906</v>
      </c>
      <c r="N173" s="79" t="s">
        <v>9685</v>
      </c>
      <c r="O173" s="80">
        <v>769.5</v>
      </c>
      <c r="P173" s="81">
        <v>138.51</v>
      </c>
      <c r="Q173" s="80"/>
      <c r="R173" s="82">
        <v>908.01</v>
      </c>
      <c r="S173" s="77"/>
      <c r="T173" s="77"/>
      <c r="U173" s="77"/>
      <c r="V173" s="77" t="s">
        <v>9333</v>
      </c>
      <c r="W173" s="83"/>
      <c r="X173" s="53" t="str">
        <f>IFERROR(VLOOKUP(Anexo_5[[#This Row],[CUENTA]],OP,2,0),"-")</f>
        <v>Residuos Peligrosos</v>
      </c>
    </row>
    <row r="174" spans="1:24" s="84" customFormat="1" ht="27" customHeight="1" x14ac:dyDescent="0.3">
      <c r="A174" s="75" t="s">
        <v>3050</v>
      </c>
      <c r="B174" s="76" t="str">
        <f t="shared" si="2"/>
        <v>Julio</v>
      </c>
      <c r="C174" s="77" t="s">
        <v>240</v>
      </c>
      <c r="D174" s="77" t="s">
        <v>2107</v>
      </c>
      <c r="E174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174" s="79" t="s">
        <v>4563</v>
      </c>
      <c r="G174" s="148" t="s">
        <v>114</v>
      </c>
      <c r="H174" s="140" t="s">
        <v>9329</v>
      </c>
      <c r="I174" s="77" t="s">
        <v>9686</v>
      </c>
      <c r="J174" s="144" t="s">
        <v>9687</v>
      </c>
      <c r="K174" s="77" t="s">
        <v>169</v>
      </c>
      <c r="L174" s="76" t="str">
        <f>VLOOKUP(Anexo_5[[#This Row],[cod_doc]],COMPRAS!TIPODOC,2,FALSE)</f>
        <v>FACTURA</v>
      </c>
      <c r="M174" s="77" t="s">
        <v>1906</v>
      </c>
      <c r="N174" s="79" t="s">
        <v>5039</v>
      </c>
      <c r="O174" s="80">
        <v>2252.5</v>
      </c>
      <c r="P174" s="81">
        <v>405.45</v>
      </c>
      <c r="Q174" s="80"/>
      <c r="R174" s="82">
        <v>2657.95</v>
      </c>
      <c r="S174" s="77"/>
      <c r="T174" s="77"/>
      <c r="U174" s="77"/>
      <c r="V174" s="77" t="s">
        <v>9333</v>
      </c>
      <c r="W174" s="83"/>
      <c r="X174" s="53" t="str">
        <f>IFERROR(VLOOKUP(Anexo_5[[#This Row],[CUENTA]],OP,2,0),"-")</f>
        <v>Residuos Peligrosos</v>
      </c>
    </row>
    <row r="175" spans="1:24" s="84" customFormat="1" ht="27" customHeight="1" x14ac:dyDescent="0.3">
      <c r="A175" s="75" t="s">
        <v>3050</v>
      </c>
      <c r="B175" s="76" t="str">
        <f t="shared" si="2"/>
        <v>Julio</v>
      </c>
      <c r="C175" s="77" t="s">
        <v>240</v>
      </c>
      <c r="D175" s="77" t="s">
        <v>2111</v>
      </c>
      <c r="E175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175" s="79" t="s">
        <v>4563</v>
      </c>
      <c r="G175" s="148" t="s">
        <v>114</v>
      </c>
      <c r="H175" s="140" t="s">
        <v>9536</v>
      </c>
      <c r="I175" s="77" t="s">
        <v>625</v>
      </c>
      <c r="J175" s="144" t="s">
        <v>626</v>
      </c>
      <c r="K175" s="77" t="s">
        <v>169</v>
      </c>
      <c r="L175" s="76" t="str">
        <f>VLOOKUP(Anexo_5[[#This Row],[cod_doc]],COMPRAS!TIPODOC,2,FALSE)</f>
        <v>FACTURA</v>
      </c>
      <c r="M175" s="77" t="s">
        <v>1906</v>
      </c>
      <c r="N175" s="79" t="s">
        <v>5970</v>
      </c>
      <c r="O175" s="80">
        <v>31267.06</v>
      </c>
      <c r="P175" s="81">
        <v>5628.07</v>
      </c>
      <c r="Q175" s="80"/>
      <c r="R175" s="82">
        <v>36895.129999999997</v>
      </c>
      <c r="S175" s="77"/>
      <c r="T175" s="77"/>
      <c r="U175" s="77"/>
      <c r="V175" s="77" t="s">
        <v>9333</v>
      </c>
      <c r="W175" s="83"/>
      <c r="X175" s="53" t="str">
        <f>IFERROR(VLOOKUP(Anexo_5[[#This Row],[CUENTA]],OP,2,0),"-")</f>
        <v>Residuos Peligrosos</v>
      </c>
    </row>
    <row r="176" spans="1:24" s="84" customFormat="1" ht="27" customHeight="1" x14ac:dyDescent="0.3">
      <c r="A176" s="75" t="s">
        <v>3050</v>
      </c>
      <c r="B176" s="76" t="str">
        <f t="shared" si="2"/>
        <v>Julio</v>
      </c>
      <c r="C176" s="77" t="s">
        <v>240</v>
      </c>
      <c r="D176" s="77" t="s">
        <v>2116</v>
      </c>
      <c r="E176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176" s="79" t="s">
        <v>4563</v>
      </c>
      <c r="G176" s="148" t="s">
        <v>114</v>
      </c>
      <c r="H176" s="140" t="s">
        <v>9536</v>
      </c>
      <c r="I176" s="77" t="s">
        <v>625</v>
      </c>
      <c r="J176" s="144" t="s">
        <v>626</v>
      </c>
      <c r="K176" s="77" t="s">
        <v>169</v>
      </c>
      <c r="L176" s="76" t="str">
        <f>VLOOKUP(Anexo_5[[#This Row],[cod_doc]],COMPRAS!TIPODOC,2,FALSE)</f>
        <v>FACTURA</v>
      </c>
      <c r="M176" s="77" t="s">
        <v>1906</v>
      </c>
      <c r="N176" s="79" t="s">
        <v>5565</v>
      </c>
      <c r="O176" s="80">
        <v>18822.75</v>
      </c>
      <c r="P176" s="81">
        <v>3388.11</v>
      </c>
      <c r="Q176" s="80"/>
      <c r="R176" s="82">
        <v>22210.86</v>
      </c>
      <c r="S176" s="77"/>
      <c r="T176" s="77"/>
      <c r="U176" s="77"/>
      <c r="V176" s="77" t="s">
        <v>9333</v>
      </c>
      <c r="W176" s="83"/>
      <c r="X176" s="53" t="str">
        <f>IFERROR(VLOOKUP(Anexo_5[[#This Row],[CUENTA]],OP,2,0),"-")</f>
        <v>Residuos Peligrosos</v>
      </c>
    </row>
    <row r="177" spans="1:24" s="84" customFormat="1" ht="27" customHeight="1" x14ac:dyDescent="0.3">
      <c r="A177" s="75" t="s">
        <v>3050</v>
      </c>
      <c r="B177" s="76" t="str">
        <f t="shared" si="2"/>
        <v>Julio</v>
      </c>
      <c r="C177" s="77" t="s">
        <v>240</v>
      </c>
      <c r="D177" s="77" t="s">
        <v>2118</v>
      </c>
      <c r="E177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177" s="79" t="s">
        <v>4560</v>
      </c>
      <c r="G177" s="148" t="s">
        <v>115</v>
      </c>
      <c r="H177" s="140" t="s">
        <v>9439</v>
      </c>
      <c r="I177" s="77" t="s">
        <v>9553</v>
      </c>
      <c r="J177" s="144" t="s">
        <v>9554</v>
      </c>
      <c r="K177" s="77" t="s">
        <v>169</v>
      </c>
      <c r="L177" s="76" t="str">
        <f>VLOOKUP(Anexo_5[[#This Row],[cod_doc]],COMPRAS!TIPODOC,2,FALSE)</f>
        <v>FACTURA</v>
      </c>
      <c r="M177" s="77" t="s">
        <v>1906</v>
      </c>
      <c r="N177" s="79" t="s">
        <v>5522</v>
      </c>
      <c r="O177" s="80">
        <v>4503.6000000000004</v>
      </c>
      <c r="P177" s="81">
        <v>810.65</v>
      </c>
      <c r="Q177" s="80"/>
      <c r="R177" s="82">
        <v>5314.25</v>
      </c>
      <c r="S177" s="77"/>
      <c r="T177" s="77"/>
      <c r="U177" s="77"/>
      <c r="V177" s="77" t="s">
        <v>9375</v>
      </c>
      <c r="W177" s="83"/>
      <c r="X177" s="53" t="str">
        <f>IFERROR(VLOOKUP(Anexo_5[[#This Row],[CUENTA]],OP,2,0),"-")</f>
        <v>Residuos No Peligrosos</v>
      </c>
    </row>
    <row r="178" spans="1:24" s="84" customFormat="1" ht="27" customHeight="1" x14ac:dyDescent="0.3">
      <c r="A178" s="75" t="s">
        <v>3050</v>
      </c>
      <c r="B178" s="76" t="str">
        <f t="shared" si="2"/>
        <v>Julio</v>
      </c>
      <c r="C178" s="77" t="s">
        <v>240</v>
      </c>
      <c r="D178" s="77" t="s">
        <v>2123</v>
      </c>
      <c r="E178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178" s="79" t="s">
        <v>4560</v>
      </c>
      <c r="G178" s="148" t="s">
        <v>115</v>
      </c>
      <c r="H178" s="140" t="s">
        <v>9439</v>
      </c>
      <c r="I178" s="77" t="s">
        <v>9553</v>
      </c>
      <c r="J178" s="144" t="s">
        <v>9554</v>
      </c>
      <c r="K178" s="77" t="s">
        <v>169</v>
      </c>
      <c r="L178" s="76" t="str">
        <f>VLOOKUP(Anexo_5[[#This Row],[cod_doc]],COMPRAS!TIPODOC,2,FALSE)</f>
        <v>FACTURA</v>
      </c>
      <c r="M178" s="77" t="s">
        <v>1906</v>
      </c>
      <c r="N178" s="79" t="s">
        <v>5268</v>
      </c>
      <c r="O178" s="80">
        <v>1333.44</v>
      </c>
      <c r="P178" s="81">
        <v>240.02</v>
      </c>
      <c r="Q178" s="80"/>
      <c r="R178" s="82">
        <v>1573.46</v>
      </c>
      <c r="S178" s="77"/>
      <c r="T178" s="77"/>
      <c r="U178" s="77"/>
      <c r="V178" s="77" t="s">
        <v>9375</v>
      </c>
      <c r="W178" s="83"/>
      <c r="X178" s="53" t="str">
        <f>IFERROR(VLOOKUP(Anexo_5[[#This Row],[CUENTA]],OP,2,0),"-")</f>
        <v>Residuos No Peligrosos</v>
      </c>
    </row>
    <row r="179" spans="1:24" s="84" customFormat="1" ht="27" customHeight="1" x14ac:dyDescent="0.3">
      <c r="A179" s="75" t="s">
        <v>3050</v>
      </c>
      <c r="B179" s="76" t="str">
        <f t="shared" si="2"/>
        <v>Julio</v>
      </c>
      <c r="C179" s="77" t="s">
        <v>240</v>
      </c>
      <c r="D179" s="77" t="s">
        <v>2126</v>
      </c>
      <c r="E179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179" s="79" t="s">
        <v>4563</v>
      </c>
      <c r="G179" s="148" t="s">
        <v>114</v>
      </c>
      <c r="H179" s="140" t="s">
        <v>9386</v>
      </c>
      <c r="I179" s="77" t="s">
        <v>625</v>
      </c>
      <c r="J179" s="144" t="s">
        <v>626</v>
      </c>
      <c r="K179" s="77" t="s">
        <v>169</v>
      </c>
      <c r="L179" s="76" t="str">
        <f>VLOOKUP(Anexo_5[[#This Row],[cod_doc]],COMPRAS!TIPODOC,2,FALSE)</f>
        <v>FACTURA</v>
      </c>
      <c r="M179" s="77" t="s">
        <v>1906</v>
      </c>
      <c r="N179" s="79" t="s">
        <v>5746</v>
      </c>
      <c r="O179" s="80">
        <v>415.87</v>
      </c>
      <c r="P179" s="81">
        <v>74.86</v>
      </c>
      <c r="Q179" s="80"/>
      <c r="R179" s="82">
        <v>490.73</v>
      </c>
      <c r="S179" s="77"/>
      <c r="T179" s="77"/>
      <c r="U179" s="77"/>
      <c r="V179" s="77" t="s">
        <v>9333</v>
      </c>
      <c r="W179" s="83"/>
      <c r="X179" s="53" t="str">
        <f>IFERROR(VLOOKUP(Anexo_5[[#This Row],[CUENTA]],OP,2,0),"-")</f>
        <v>Residuos Peligrosos</v>
      </c>
    </row>
    <row r="180" spans="1:24" s="84" customFormat="1" ht="27" customHeight="1" x14ac:dyDescent="0.3">
      <c r="A180" s="75" t="s">
        <v>3050</v>
      </c>
      <c r="B180" s="76" t="str">
        <f t="shared" si="2"/>
        <v>Julio</v>
      </c>
      <c r="C180" s="77" t="s">
        <v>240</v>
      </c>
      <c r="D180" s="77" t="s">
        <v>2128</v>
      </c>
      <c r="E180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180" s="79" t="s">
        <v>4563</v>
      </c>
      <c r="G180" s="148" t="s">
        <v>114</v>
      </c>
      <c r="H180" s="140" t="s">
        <v>9386</v>
      </c>
      <c r="I180" s="77" t="s">
        <v>9553</v>
      </c>
      <c r="J180" s="144" t="s">
        <v>9554</v>
      </c>
      <c r="K180" s="77" t="s">
        <v>169</v>
      </c>
      <c r="L180" s="76" t="str">
        <f>VLOOKUP(Anexo_5[[#This Row],[cod_doc]],COMPRAS!TIPODOC,2,FALSE)</f>
        <v>FACTURA</v>
      </c>
      <c r="M180" s="77" t="s">
        <v>1906</v>
      </c>
      <c r="N180" s="79" t="s">
        <v>5548</v>
      </c>
      <c r="O180" s="80">
        <v>415.87</v>
      </c>
      <c r="P180" s="81">
        <v>74.86</v>
      </c>
      <c r="Q180" s="80"/>
      <c r="R180" s="82">
        <v>490.73</v>
      </c>
      <c r="S180" s="77"/>
      <c r="T180" s="77"/>
      <c r="U180" s="77"/>
      <c r="V180" s="77" t="s">
        <v>9333</v>
      </c>
      <c r="W180" s="83"/>
      <c r="X180" s="53" t="str">
        <f>IFERROR(VLOOKUP(Anexo_5[[#This Row],[CUENTA]],OP,2,0),"-")</f>
        <v>Residuos Peligrosos</v>
      </c>
    </row>
    <row r="181" spans="1:24" s="84" customFormat="1" ht="27" customHeight="1" x14ac:dyDescent="0.3">
      <c r="A181" s="75" t="s">
        <v>3050</v>
      </c>
      <c r="B181" s="76" t="str">
        <f t="shared" si="2"/>
        <v>Julio</v>
      </c>
      <c r="C181" s="77" t="s">
        <v>240</v>
      </c>
      <c r="D181" s="77" t="s">
        <v>2133</v>
      </c>
      <c r="E181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181" s="79" t="s">
        <v>9278</v>
      </c>
      <c r="G181" s="148" t="s">
        <v>122</v>
      </c>
      <c r="H181" s="140" t="s">
        <v>9627</v>
      </c>
      <c r="I181" s="77" t="s">
        <v>9688</v>
      </c>
      <c r="J181" s="144" t="s">
        <v>9689</v>
      </c>
      <c r="K181" s="77" t="s">
        <v>169</v>
      </c>
      <c r="L181" s="76" t="str">
        <f>VLOOKUP(Anexo_5[[#This Row],[cod_doc]],COMPRAS!TIPODOC,2,FALSE)</f>
        <v>FACTURA</v>
      </c>
      <c r="M181" s="77" t="s">
        <v>1906</v>
      </c>
      <c r="N181" s="79" t="s">
        <v>5670</v>
      </c>
      <c r="O181" s="80">
        <v>270</v>
      </c>
      <c r="P181" s="81">
        <v>48.6</v>
      </c>
      <c r="Q181" s="80"/>
      <c r="R181" s="82">
        <v>318.60000000000002</v>
      </c>
      <c r="S181" s="77"/>
      <c r="T181" s="77"/>
      <c r="U181" s="77"/>
      <c r="V181" s="77" t="s">
        <v>9350</v>
      </c>
      <c r="W181" s="83"/>
      <c r="X181" s="53" t="str">
        <f>IFERROR(VLOOKUP(Anexo_5[[#This Row],[CUENTA]],OP,2,0),"-")</f>
        <v>Transporte de Carga - Local</v>
      </c>
    </row>
    <row r="182" spans="1:24" s="84" customFormat="1" ht="27" customHeight="1" x14ac:dyDescent="0.3">
      <c r="A182" s="75" t="s">
        <v>3050</v>
      </c>
      <c r="B182" s="76" t="str">
        <f t="shared" si="2"/>
        <v>Julio</v>
      </c>
      <c r="C182" s="77" t="s">
        <v>240</v>
      </c>
      <c r="D182" s="77" t="s">
        <v>2136</v>
      </c>
      <c r="E182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182" s="79" t="s">
        <v>248</v>
      </c>
      <c r="G182" s="148" t="s">
        <v>249</v>
      </c>
      <c r="H182" s="140" t="s">
        <v>9469</v>
      </c>
      <c r="I182" s="77" t="s">
        <v>9470</v>
      </c>
      <c r="J182" s="144" t="s">
        <v>9471</v>
      </c>
      <c r="K182" s="77" t="s">
        <v>169</v>
      </c>
      <c r="L182" s="76" t="str">
        <f>VLOOKUP(Anexo_5[[#This Row],[cod_doc]],COMPRAS!TIPODOC,2,FALSE)</f>
        <v>FACTURA</v>
      </c>
      <c r="M182" s="77" t="s">
        <v>105</v>
      </c>
      <c r="N182" s="79" t="s">
        <v>9690</v>
      </c>
      <c r="O182" s="80">
        <v>639</v>
      </c>
      <c r="P182" s="81">
        <v>115.02</v>
      </c>
      <c r="Q182" s="80"/>
      <c r="R182" s="82">
        <v>754.02</v>
      </c>
      <c r="S182" s="77"/>
      <c r="T182" s="77"/>
      <c r="U182" s="77"/>
      <c r="V182" s="77" t="s">
        <v>9336</v>
      </c>
      <c r="W182" s="83"/>
      <c r="X182" s="53" t="str">
        <f>IFERROR(VLOOKUP(Anexo_5[[#This Row],[CUENTA]],OP,2,0),"-")</f>
        <v>Productos Terminados - RRSS</v>
      </c>
    </row>
    <row r="183" spans="1:24" s="84" customFormat="1" ht="27" customHeight="1" x14ac:dyDescent="0.3">
      <c r="A183" s="75" t="s">
        <v>3050</v>
      </c>
      <c r="B183" s="76" t="str">
        <f t="shared" si="2"/>
        <v>Julio</v>
      </c>
      <c r="C183" s="77" t="s">
        <v>240</v>
      </c>
      <c r="D183" s="77" t="s">
        <v>2139</v>
      </c>
      <c r="E183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183" s="79" t="s">
        <v>248</v>
      </c>
      <c r="G183" s="148" t="s">
        <v>249</v>
      </c>
      <c r="H183" s="140" t="s">
        <v>9469</v>
      </c>
      <c r="I183" s="77" t="s">
        <v>9470</v>
      </c>
      <c r="J183" s="144" t="s">
        <v>9471</v>
      </c>
      <c r="K183" s="77" t="s">
        <v>169</v>
      </c>
      <c r="L183" s="76" t="str">
        <f>VLOOKUP(Anexo_5[[#This Row],[cod_doc]],COMPRAS!TIPODOC,2,FALSE)</f>
        <v>FACTURA</v>
      </c>
      <c r="M183" s="77" t="s">
        <v>105</v>
      </c>
      <c r="N183" s="79" t="s">
        <v>9332</v>
      </c>
      <c r="O183" s="80">
        <v>301.5</v>
      </c>
      <c r="P183" s="81">
        <v>54.27</v>
      </c>
      <c r="Q183" s="80"/>
      <c r="R183" s="82">
        <v>355.77</v>
      </c>
      <c r="S183" s="77"/>
      <c r="T183" s="77"/>
      <c r="U183" s="77"/>
      <c r="V183" s="77" t="s">
        <v>9336</v>
      </c>
      <c r="W183" s="83"/>
      <c r="X183" s="53" t="str">
        <f>IFERROR(VLOOKUP(Anexo_5[[#This Row],[CUENTA]],OP,2,0),"-")</f>
        <v>Productos Terminados - RRSS</v>
      </c>
    </row>
    <row r="184" spans="1:24" s="84" customFormat="1" ht="27" customHeight="1" x14ac:dyDescent="0.3">
      <c r="A184" s="75" t="s">
        <v>3050</v>
      </c>
      <c r="B184" s="76" t="str">
        <f t="shared" si="2"/>
        <v>Julio</v>
      </c>
      <c r="C184" s="77" t="s">
        <v>240</v>
      </c>
      <c r="D184" s="77" t="s">
        <v>2142</v>
      </c>
      <c r="E184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184" s="79" t="s">
        <v>248</v>
      </c>
      <c r="G184" s="148" t="s">
        <v>249</v>
      </c>
      <c r="H184" s="140" t="s">
        <v>9469</v>
      </c>
      <c r="I184" s="77" t="s">
        <v>9470</v>
      </c>
      <c r="J184" s="144" t="s">
        <v>9471</v>
      </c>
      <c r="K184" s="77" t="s">
        <v>169</v>
      </c>
      <c r="L184" s="76" t="str">
        <f>VLOOKUP(Anexo_5[[#This Row],[cod_doc]],COMPRAS!TIPODOC,2,FALSE)</f>
        <v>FACTURA</v>
      </c>
      <c r="M184" s="77" t="s">
        <v>105</v>
      </c>
      <c r="N184" s="79" t="s">
        <v>9349</v>
      </c>
      <c r="O184" s="80">
        <v>409.5</v>
      </c>
      <c r="P184" s="81">
        <v>73.709999999999994</v>
      </c>
      <c r="Q184" s="80"/>
      <c r="R184" s="82">
        <v>483.21</v>
      </c>
      <c r="S184" s="77"/>
      <c r="T184" s="77"/>
      <c r="U184" s="77"/>
      <c r="V184" s="77" t="s">
        <v>9336</v>
      </c>
      <c r="W184" s="83"/>
      <c r="X184" s="53" t="str">
        <f>IFERROR(VLOOKUP(Anexo_5[[#This Row],[CUENTA]],OP,2,0),"-")</f>
        <v>Productos Terminados - RRSS</v>
      </c>
    </row>
    <row r="185" spans="1:24" s="84" customFormat="1" ht="27" customHeight="1" x14ac:dyDescent="0.3">
      <c r="A185" s="75" t="s">
        <v>3050</v>
      </c>
      <c r="B185" s="76" t="str">
        <f t="shared" si="2"/>
        <v>Julio</v>
      </c>
      <c r="C185" s="77" t="s">
        <v>240</v>
      </c>
      <c r="D185" s="77" t="s">
        <v>2145</v>
      </c>
      <c r="E185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185" s="79" t="s">
        <v>248</v>
      </c>
      <c r="G185" s="148" t="s">
        <v>249</v>
      </c>
      <c r="H185" s="140" t="s">
        <v>9469</v>
      </c>
      <c r="I185" s="77" t="s">
        <v>9470</v>
      </c>
      <c r="J185" s="144" t="s">
        <v>9471</v>
      </c>
      <c r="K185" s="77" t="s">
        <v>169</v>
      </c>
      <c r="L185" s="76" t="str">
        <f>VLOOKUP(Anexo_5[[#This Row],[cod_doc]],COMPRAS!TIPODOC,2,FALSE)</f>
        <v>FACTURA</v>
      </c>
      <c r="M185" s="77" t="s">
        <v>105</v>
      </c>
      <c r="N185" s="79" t="s">
        <v>9368</v>
      </c>
      <c r="O185" s="80">
        <v>157.5</v>
      </c>
      <c r="P185" s="81">
        <v>28.35</v>
      </c>
      <c r="Q185" s="80"/>
      <c r="R185" s="82">
        <v>185.85</v>
      </c>
      <c r="S185" s="77"/>
      <c r="T185" s="77"/>
      <c r="U185" s="77"/>
      <c r="V185" s="77" t="s">
        <v>9336</v>
      </c>
      <c r="W185" s="83"/>
      <c r="X185" s="53" t="str">
        <f>IFERROR(VLOOKUP(Anexo_5[[#This Row],[CUENTA]],OP,2,0),"-")</f>
        <v>Productos Terminados - RRSS</v>
      </c>
    </row>
    <row r="186" spans="1:24" s="84" customFormat="1" ht="27" customHeight="1" x14ac:dyDescent="0.3">
      <c r="A186" s="75" t="s">
        <v>3050</v>
      </c>
      <c r="B186" s="76" t="str">
        <f t="shared" si="2"/>
        <v>Julio</v>
      </c>
      <c r="C186" s="77" t="s">
        <v>240</v>
      </c>
      <c r="D186" s="77" t="s">
        <v>2148</v>
      </c>
      <c r="E186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186" s="79" t="s">
        <v>248</v>
      </c>
      <c r="G186" s="148" t="s">
        <v>249</v>
      </c>
      <c r="H186" s="140" t="s">
        <v>9343</v>
      </c>
      <c r="I186" s="77" t="s">
        <v>9344</v>
      </c>
      <c r="J186" s="144" t="s">
        <v>9345</v>
      </c>
      <c r="K186" s="77" t="s">
        <v>169</v>
      </c>
      <c r="L186" s="76" t="str">
        <f>VLOOKUP(Anexo_5[[#This Row],[cod_doc]],COMPRAS!TIPODOC,2,FALSE)</f>
        <v>FACTURA</v>
      </c>
      <c r="M186" s="77" t="s">
        <v>107</v>
      </c>
      <c r="N186" s="79" t="s">
        <v>9691</v>
      </c>
      <c r="O186" s="80">
        <v>620.5</v>
      </c>
      <c r="P186" s="81">
        <v>111.69</v>
      </c>
      <c r="Q186" s="80"/>
      <c r="R186" s="82">
        <v>732.19</v>
      </c>
      <c r="S186" s="77"/>
      <c r="T186" s="77"/>
      <c r="U186" s="77"/>
      <c r="V186" s="77" t="s">
        <v>9336</v>
      </c>
      <c r="W186" s="83"/>
      <c r="X186" s="53" t="str">
        <f>IFERROR(VLOOKUP(Anexo_5[[#This Row],[CUENTA]],OP,2,0),"-")</f>
        <v>Productos Terminados - RRSS</v>
      </c>
    </row>
    <row r="187" spans="1:24" s="84" customFormat="1" ht="27" customHeight="1" x14ac:dyDescent="0.3">
      <c r="A187" s="75" t="s">
        <v>3050</v>
      </c>
      <c r="B187" s="76" t="str">
        <f t="shared" si="2"/>
        <v>Julio</v>
      </c>
      <c r="C187" s="77" t="s">
        <v>240</v>
      </c>
      <c r="D187" s="77" t="s">
        <v>2151</v>
      </c>
      <c r="E187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187" s="79" t="s">
        <v>248</v>
      </c>
      <c r="G187" s="148" t="s">
        <v>249</v>
      </c>
      <c r="H187" s="140" t="s">
        <v>9343</v>
      </c>
      <c r="I187" s="77" t="s">
        <v>9344</v>
      </c>
      <c r="J187" s="144" t="s">
        <v>9345</v>
      </c>
      <c r="K187" s="77" t="s">
        <v>169</v>
      </c>
      <c r="L187" s="76" t="str">
        <f>VLOOKUP(Anexo_5[[#This Row],[cod_doc]],COMPRAS!TIPODOC,2,FALSE)</f>
        <v>FACTURA</v>
      </c>
      <c r="M187" s="77" t="s">
        <v>107</v>
      </c>
      <c r="N187" s="79" t="s">
        <v>6500</v>
      </c>
      <c r="O187" s="80">
        <v>554.79999999999995</v>
      </c>
      <c r="P187" s="81">
        <v>99.86</v>
      </c>
      <c r="Q187" s="80"/>
      <c r="R187" s="82">
        <v>654.66</v>
      </c>
      <c r="S187" s="77"/>
      <c r="T187" s="77"/>
      <c r="U187" s="77"/>
      <c r="V187" s="77" t="s">
        <v>9336</v>
      </c>
      <c r="W187" s="83"/>
      <c r="X187" s="53" t="str">
        <f>IFERROR(VLOOKUP(Anexo_5[[#This Row],[CUENTA]],OP,2,0),"-")</f>
        <v>Productos Terminados - RRSS</v>
      </c>
    </row>
    <row r="188" spans="1:24" s="84" customFormat="1" ht="27" customHeight="1" x14ac:dyDescent="0.3">
      <c r="A188" s="75" t="s">
        <v>3050</v>
      </c>
      <c r="B188" s="76" t="str">
        <f t="shared" si="2"/>
        <v>Julio</v>
      </c>
      <c r="C188" s="77" t="s">
        <v>240</v>
      </c>
      <c r="D188" s="77" t="s">
        <v>2155</v>
      </c>
      <c r="E188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188" s="79" t="s">
        <v>248</v>
      </c>
      <c r="G188" s="148" t="s">
        <v>249</v>
      </c>
      <c r="H188" s="140" t="s">
        <v>9343</v>
      </c>
      <c r="I188" s="77" t="s">
        <v>9344</v>
      </c>
      <c r="J188" s="144" t="s">
        <v>9345</v>
      </c>
      <c r="K188" s="77" t="s">
        <v>169</v>
      </c>
      <c r="L188" s="76" t="str">
        <f>VLOOKUP(Anexo_5[[#This Row],[cod_doc]],COMPRAS!TIPODOC,2,FALSE)</f>
        <v>FACTURA</v>
      </c>
      <c r="M188" s="77" t="s">
        <v>107</v>
      </c>
      <c r="N188" s="79" t="s">
        <v>9341</v>
      </c>
      <c r="O188" s="80">
        <v>1233.7</v>
      </c>
      <c r="P188" s="81">
        <v>222.07</v>
      </c>
      <c r="Q188" s="80"/>
      <c r="R188" s="82">
        <v>1455.77</v>
      </c>
      <c r="S188" s="77"/>
      <c r="T188" s="77"/>
      <c r="U188" s="77"/>
      <c r="V188" s="77" t="s">
        <v>9336</v>
      </c>
      <c r="W188" s="83"/>
      <c r="X188" s="53" t="str">
        <f>IFERROR(VLOOKUP(Anexo_5[[#This Row],[CUENTA]],OP,2,0),"-")</f>
        <v>Productos Terminados - RRSS</v>
      </c>
    </row>
    <row r="189" spans="1:24" s="84" customFormat="1" ht="27" customHeight="1" x14ac:dyDescent="0.3">
      <c r="A189" s="75" t="s">
        <v>3532</v>
      </c>
      <c r="B189" s="76" t="str">
        <f t="shared" si="2"/>
        <v>Agosto</v>
      </c>
      <c r="C189" s="77" t="s">
        <v>240</v>
      </c>
      <c r="D189" s="77" t="s">
        <v>3533</v>
      </c>
      <c r="E189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189" s="79" t="s">
        <v>9278</v>
      </c>
      <c r="G189" s="148" t="s">
        <v>122</v>
      </c>
      <c r="H189" s="140" t="s">
        <v>9348</v>
      </c>
      <c r="I189" s="77" t="s">
        <v>9688</v>
      </c>
      <c r="J189" s="144" t="s">
        <v>9689</v>
      </c>
      <c r="K189" s="77" t="s">
        <v>169</v>
      </c>
      <c r="L189" s="76" t="str">
        <f>VLOOKUP(Anexo_5[[#This Row],[cod_doc]],COMPRAS!TIPODOC,2,FALSE)</f>
        <v>FACTURA</v>
      </c>
      <c r="M189" s="77" t="s">
        <v>1906</v>
      </c>
      <c r="N189" s="79" t="s">
        <v>9692</v>
      </c>
      <c r="O189" s="80">
        <v>270</v>
      </c>
      <c r="P189" s="81">
        <v>48.6</v>
      </c>
      <c r="Q189" s="80"/>
      <c r="R189" s="82">
        <v>318.60000000000002</v>
      </c>
      <c r="S189" s="77"/>
      <c r="T189" s="77"/>
      <c r="U189" s="77"/>
      <c r="V189" s="77" t="s">
        <v>9350</v>
      </c>
      <c r="W189" s="83"/>
      <c r="X189" s="53" t="str">
        <f>IFERROR(VLOOKUP(Anexo_5[[#This Row],[CUENTA]],OP,2,0),"-")</f>
        <v>Transporte de Carga - Local</v>
      </c>
    </row>
    <row r="190" spans="1:24" s="84" customFormat="1" ht="27" customHeight="1" x14ac:dyDescent="0.3">
      <c r="A190" s="75" t="s">
        <v>3532</v>
      </c>
      <c r="B190" s="76" t="str">
        <f t="shared" si="2"/>
        <v>Agosto</v>
      </c>
      <c r="C190" s="77" t="s">
        <v>240</v>
      </c>
      <c r="D190" s="77" t="s">
        <v>3537</v>
      </c>
      <c r="E190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190" s="79" t="s">
        <v>248</v>
      </c>
      <c r="G190" s="148" t="s">
        <v>249</v>
      </c>
      <c r="H190" s="140" t="s">
        <v>9390</v>
      </c>
      <c r="I190" s="77" t="s">
        <v>9391</v>
      </c>
      <c r="J190" s="144" t="s">
        <v>9392</v>
      </c>
      <c r="K190" s="77" t="s">
        <v>169</v>
      </c>
      <c r="L190" s="76" t="str">
        <f>VLOOKUP(Anexo_5[[#This Row],[cod_doc]],COMPRAS!TIPODOC,2,FALSE)</f>
        <v>FACTURA</v>
      </c>
      <c r="M190" s="77" t="s">
        <v>105</v>
      </c>
      <c r="N190" s="79" t="s">
        <v>9374</v>
      </c>
      <c r="O190" s="80">
        <v>495</v>
      </c>
      <c r="P190" s="81">
        <v>89.1</v>
      </c>
      <c r="Q190" s="80"/>
      <c r="R190" s="82">
        <v>584.1</v>
      </c>
      <c r="S190" s="77"/>
      <c r="T190" s="77"/>
      <c r="U190" s="77"/>
      <c r="V190" s="77" t="s">
        <v>9336</v>
      </c>
      <c r="W190" s="83"/>
      <c r="X190" s="53" t="str">
        <f>IFERROR(VLOOKUP(Anexo_5[[#This Row],[CUENTA]],OP,2,0),"-")</f>
        <v>Productos Terminados - RRSS</v>
      </c>
    </row>
    <row r="191" spans="1:24" s="84" customFormat="1" ht="27" customHeight="1" x14ac:dyDescent="0.3">
      <c r="A191" s="75" t="s">
        <v>3532</v>
      </c>
      <c r="B191" s="76" t="str">
        <f t="shared" si="2"/>
        <v>Agosto</v>
      </c>
      <c r="C191" s="77" t="s">
        <v>240</v>
      </c>
      <c r="D191" s="77" t="s">
        <v>3541</v>
      </c>
      <c r="E191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191" s="79" t="s">
        <v>248</v>
      </c>
      <c r="G191" s="148" t="s">
        <v>249</v>
      </c>
      <c r="H191" s="140" t="s">
        <v>9343</v>
      </c>
      <c r="I191" s="77" t="s">
        <v>9344</v>
      </c>
      <c r="J191" s="144" t="s">
        <v>9345</v>
      </c>
      <c r="K191" s="77" t="s">
        <v>169</v>
      </c>
      <c r="L191" s="76" t="str">
        <f>VLOOKUP(Anexo_5[[#This Row],[cod_doc]],COMPRAS!TIPODOC,2,FALSE)</f>
        <v>FACTURA</v>
      </c>
      <c r="M191" s="77" t="s">
        <v>107</v>
      </c>
      <c r="N191" s="79" t="s">
        <v>8053</v>
      </c>
      <c r="O191" s="80">
        <v>1306.7</v>
      </c>
      <c r="P191" s="81">
        <v>235.21</v>
      </c>
      <c r="Q191" s="80"/>
      <c r="R191" s="82">
        <v>1541.91</v>
      </c>
      <c r="S191" s="77"/>
      <c r="T191" s="77"/>
      <c r="U191" s="77"/>
      <c r="V191" s="77" t="s">
        <v>9336</v>
      </c>
      <c r="W191" s="83"/>
      <c r="X191" s="53" t="str">
        <f>IFERROR(VLOOKUP(Anexo_5[[#This Row],[CUENTA]],OP,2,0),"-")</f>
        <v>Productos Terminados - RRSS</v>
      </c>
    </row>
    <row r="192" spans="1:24" s="84" customFormat="1" ht="27" customHeight="1" x14ac:dyDescent="0.3">
      <c r="A192" s="75" t="s">
        <v>3532</v>
      </c>
      <c r="B192" s="76" t="str">
        <f t="shared" si="2"/>
        <v>Agosto</v>
      </c>
      <c r="C192" s="77" t="s">
        <v>240</v>
      </c>
      <c r="D192" s="77" t="s">
        <v>3545</v>
      </c>
      <c r="E192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192" s="79" t="s">
        <v>9278</v>
      </c>
      <c r="G192" s="148" t="s">
        <v>122</v>
      </c>
      <c r="H192" s="140" t="s">
        <v>9627</v>
      </c>
      <c r="I192" s="77" t="s">
        <v>9688</v>
      </c>
      <c r="J192" s="144" t="s">
        <v>9689</v>
      </c>
      <c r="K192" s="77" t="s">
        <v>1896</v>
      </c>
      <c r="L192" s="76" t="str">
        <f>VLOOKUP(Anexo_5[[#This Row],[cod_doc]],COMPRAS!TIPODOC,2,FALSE)</f>
        <v>NOTA DE CREDITO</v>
      </c>
      <c r="M192" s="77" t="s">
        <v>9444</v>
      </c>
      <c r="N192" s="79" t="s">
        <v>4819</v>
      </c>
      <c r="O192" s="80">
        <v>-270</v>
      </c>
      <c r="P192" s="81">
        <v>-48.6</v>
      </c>
      <c r="Q192" s="80"/>
      <c r="R192" s="82">
        <v>-318.60000000000002</v>
      </c>
      <c r="S192" s="77" t="s">
        <v>162</v>
      </c>
      <c r="T192" s="77" t="s">
        <v>1906</v>
      </c>
      <c r="U192" s="77" t="s">
        <v>5670</v>
      </c>
      <c r="V192" s="77" t="s">
        <v>9350</v>
      </c>
      <c r="W192" s="83"/>
      <c r="X192" s="53" t="str">
        <f>IFERROR(VLOOKUP(Anexo_5[[#This Row],[CUENTA]],OP,2,0),"-")</f>
        <v>Transporte de Carga - Local</v>
      </c>
    </row>
    <row r="193" spans="1:24" s="84" customFormat="1" ht="27" customHeight="1" x14ac:dyDescent="0.3">
      <c r="A193" s="75" t="s">
        <v>3610</v>
      </c>
      <c r="B193" s="76" t="str">
        <f t="shared" si="2"/>
        <v>Agosto</v>
      </c>
      <c r="C193" s="77" t="s">
        <v>240</v>
      </c>
      <c r="D193" s="77" t="s">
        <v>3549</v>
      </c>
      <c r="E193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193" s="79" t="s">
        <v>248</v>
      </c>
      <c r="G193" s="148" t="s">
        <v>249</v>
      </c>
      <c r="H193" s="140" t="s">
        <v>9462</v>
      </c>
      <c r="I193" s="77" t="s">
        <v>9353</v>
      </c>
      <c r="J193" s="144" t="s">
        <v>9354</v>
      </c>
      <c r="K193" s="77" t="s">
        <v>169</v>
      </c>
      <c r="L193" s="76" t="str">
        <f>VLOOKUP(Anexo_5[[#This Row],[cod_doc]],COMPRAS!TIPODOC,2,FALSE)</f>
        <v>FACTURA</v>
      </c>
      <c r="M193" s="77" t="s">
        <v>105</v>
      </c>
      <c r="N193" s="79" t="s">
        <v>8372</v>
      </c>
      <c r="O193" s="80">
        <v>22597.95</v>
      </c>
      <c r="P193" s="81">
        <v>4067.63</v>
      </c>
      <c r="Q193" s="80"/>
      <c r="R193" s="82">
        <v>26665.58</v>
      </c>
      <c r="S193" s="77"/>
      <c r="T193" s="77"/>
      <c r="U193" s="77"/>
      <c r="V193" s="77" t="s">
        <v>9336</v>
      </c>
      <c r="W193" s="83"/>
      <c r="X193" s="53" t="str">
        <f>IFERROR(VLOOKUP(Anexo_5[[#This Row],[CUENTA]],OP,2,0),"-")</f>
        <v>Productos Terminados - RRSS</v>
      </c>
    </row>
    <row r="194" spans="1:24" s="84" customFormat="1" ht="27" customHeight="1" x14ac:dyDescent="0.3">
      <c r="A194" s="75" t="s">
        <v>3578</v>
      </c>
      <c r="B194" s="76" t="str">
        <f t="shared" ref="B194:B257" si="3">PROPER(CHOOSE(LEFT(D194,2),"enero","febrero","marzo","abril","mayo","junio","julio","agosto","setiembre","octubre","noviembre","diciembre"))</f>
        <v>Agosto</v>
      </c>
      <c r="C194" s="77" t="s">
        <v>240</v>
      </c>
      <c r="D194" s="77" t="s">
        <v>3553</v>
      </c>
      <c r="E194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194" s="79" t="s">
        <v>4563</v>
      </c>
      <c r="G194" s="148" t="s">
        <v>114</v>
      </c>
      <c r="H194" s="140" t="s">
        <v>9386</v>
      </c>
      <c r="I194" s="77" t="s">
        <v>3717</v>
      </c>
      <c r="J194" s="144" t="s">
        <v>3718</v>
      </c>
      <c r="K194" s="77" t="s">
        <v>169</v>
      </c>
      <c r="L194" s="76" t="str">
        <f>VLOOKUP(Anexo_5[[#This Row],[cod_doc]],COMPRAS!TIPODOC,2,FALSE)</f>
        <v>FACTURA</v>
      </c>
      <c r="M194" s="77" t="s">
        <v>1906</v>
      </c>
      <c r="N194" s="79" t="s">
        <v>6387</v>
      </c>
      <c r="O194" s="80">
        <v>14447.2</v>
      </c>
      <c r="P194" s="81">
        <v>2600.4960000000001</v>
      </c>
      <c r="Q194" s="80"/>
      <c r="R194" s="82">
        <v>17047.696</v>
      </c>
      <c r="S194" s="77"/>
      <c r="T194" s="77"/>
      <c r="U194" s="77"/>
      <c r="V194" s="77" t="s">
        <v>9333</v>
      </c>
      <c r="W194" s="83"/>
      <c r="X194" s="53" t="str">
        <f>IFERROR(VLOOKUP(Anexo_5[[#This Row],[CUENTA]],OP,2,0),"-")</f>
        <v>Residuos Peligrosos</v>
      </c>
    </row>
    <row r="195" spans="1:24" s="84" customFormat="1" ht="27" customHeight="1" x14ac:dyDescent="0.3">
      <c r="A195" s="75" t="s">
        <v>3578</v>
      </c>
      <c r="B195" s="76" t="str">
        <f t="shared" si="3"/>
        <v>Agosto</v>
      </c>
      <c r="C195" s="77" t="s">
        <v>240</v>
      </c>
      <c r="D195" s="77" t="s">
        <v>3553</v>
      </c>
      <c r="E195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195" s="79" t="s">
        <v>4560</v>
      </c>
      <c r="G195" s="148" t="s">
        <v>115</v>
      </c>
      <c r="H195" s="140" t="s">
        <v>9386</v>
      </c>
      <c r="I195" s="77" t="s">
        <v>3717</v>
      </c>
      <c r="J195" s="144" t="s">
        <v>3718</v>
      </c>
      <c r="K195" s="77" t="s">
        <v>169</v>
      </c>
      <c r="L195" s="76" t="str">
        <f>VLOOKUP(Anexo_5[[#This Row],[cod_doc]],COMPRAS!TIPODOC,2,FALSE)</f>
        <v>FACTURA</v>
      </c>
      <c r="M195" s="77" t="s">
        <v>1906</v>
      </c>
      <c r="N195" s="79" t="s">
        <v>6387</v>
      </c>
      <c r="O195" s="80">
        <v>1206.28</v>
      </c>
      <c r="P195" s="81">
        <v>217.13039999999998</v>
      </c>
      <c r="Q195" s="80"/>
      <c r="R195" s="82">
        <v>1423.4104</v>
      </c>
      <c r="S195" s="77"/>
      <c r="T195" s="77"/>
      <c r="U195" s="77"/>
      <c r="V195" s="77" t="s">
        <v>9375</v>
      </c>
      <c r="W195" s="83"/>
      <c r="X195" s="53" t="str">
        <f>IFERROR(VLOOKUP(Anexo_5[[#This Row],[CUENTA]],OP,2,0),"-")</f>
        <v>Residuos No Peligrosos</v>
      </c>
    </row>
    <row r="196" spans="1:24" s="84" customFormat="1" ht="27" customHeight="1" x14ac:dyDescent="0.3">
      <c r="A196" s="75" t="s">
        <v>3578</v>
      </c>
      <c r="B196" s="76" t="str">
        <f t="shared" si="3"/>
        <v>Agosto</v>
      </c>
      <c r="C196" s="77" t="s">
        <v>240</v>
      </c>
      <c r="D196" s="77" t="s">
        <v>3557</v>
      </c>
      <c r="E196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196" s="79" t="s">
        <v>4563</v>
      </c>
      <c r="G196" s="148" t="s">
        <v>114</v>
      </c>
      <c r="H196" s="140" t="s">
        <v>9386</v>
      </c>
      <c r="I196" s="77" t="s">
        <v>3717</v>
      </c>
      <c r="J196" s="144" t="s">
        <v>3718</v>
      </c>
      <c r="K196" s="77" t="s">
        <v>169</v>
      </c>
      <c r="L196" s="76" t="str">
        <f>VLOOKUP(Anexo_5[[#This Row],[cod_doc]],COMPRAS!TIPODOC,2,FALSE)</f>
        <v>FACTURA</v>
      </c>
      <c r="M196" s="77" t="s">
        <v>1906</v>
      </c>
      <c r="N196" s="79" t="s">
        <v>6390</v>
      </c>
      <c r="O196" s="80">
        <v>4587.95</v>
      </c>
      <c r="P196" s="81">
        <v>825.8309999999999</v>
      </c>
      <c r="Q196" s="80"/>
      <c r="R196" s="82">
        <v>5413.7809999999999</v>
      </c>
      <c r="S196" s="77"/>
      <c r="T196" s="77"/>
      <c r="U196" s="77"/>
      <c r="V196" s="77" t="s">
        <v>9333</v>
      </c>
      <c r="W196" s="83"/>
      <c r="X196" s="53" t="str">
        <f>IFERROR(VLOOKUP(Anexo_5[[#This Row],[CUENTA]],OP,2,0),"-")</f>
        <v>Residuos Peligrosos</v>
      </c>
    </row>
    <row r="197" spans="1:24" s="84" customFormat="1" ht="27" customHeight="1" x14ac:dyDescent="0.3">
      <c r="A197" s="75" t="s">
        <v>3578</v>
      </c>
      <c r="B197" s="76" t="str">
        <f t="shared" si="3"/>
        <v>Agosto</v>
      </c>
      <c r="C197" s="77" t="s">
        <v>240</v>
      </c>
      <c r="D197" s="77" t="s">
        <v>3557</v>
      </c>
      <c r="E197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197" s="79" t="s">
        <v>4560</v>
      </c>
      <c r="G197" s="148" t="s">
        <v>115</v>
      </c>
      <c r="H197" s="140" t="s">
        <v>9386</v>
      </c>
      <c r="I197" s="77" t="s">
        <v>3717</v>
      </c>
      <c r="J197" s="144" t="s">
        <v>3718</v>
      </c>
      <c r="K197" s="77" t="s">
        <v>169</v>
      </c>
      <c r="L197" s="76" t="str">
        <f>VLOOKUP(Anexo_5[[#This Row],[cod_doc]],COMPRAS!TIPODOC,2,FALSE)</f>
        <v>FACTURA</v>
      </c>
      <c r="M197" s="77" t="s">
        <v>1906</v>
      </c>
      <c r="N197" s="79" t="s">
        <v>6390</v>
      </c>
      <c r="O197" s="80">
        <v>1562.03</v>
      </c>
      <c r="P197" s="81">
        <v>281.16539999999998</v>
      </c>
      <c r="Q197" s="80"/>
      <c r="R197" s="82">
        <v>1843.1954000000001</v>
      </c>
      <c r="S197" s="77"/>
      <c r="T197" s="77"/>
      <c r="U197" s="77"/>
      <c r="V197" s="77" t="s">
        <v>9375</v>
      </c>
      <c r="W197" s="83"/>
      <c r="X197" s="53" t="str">
        <f>IFERROR(VLOOKUP(Anexo_5[[#This Row],[CUENTA]],OP,2,0),"-")</f>
        <v>Residuos No Peligrosos</v>
      </c>
    </row>
    <row r="198" spans="1:24" s="84" customFormat="1" ht="27" customHeight="1" x14ac:dyDescent="0.3">
      <c r="A198" s="75" t="s">
        <v>3578</v>
      </c>
      <c r="B198" s="76" t="str">
        <f t="shared" si="3"/>
        <v>Agosto</v>
      </c>
      <c r="C198" s="77" t="s">
        <v>240</v>
      </c>
      <c r="D198" s="77" t="s">
        <v>3561</v>
      </c>
      <c r="E198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198" s="79" t="s">
        <v>9269</v>
      </c>
      <c r="G198" s="148" t="s">
        <v>119</v>
      </c>
      <c r="H198" s="140" t="s">
        <v>9612</v>
      </c>
      <c r="I198" s="77" t="s">
        <v>3717</v>
      </c>
      <c r="J198" s="144" t="s">
        <v>3718</v>
      </c>
      <c r="K198" s="77" t="s">
        <v>169</v>
      </c>
      <c r="L198" s="76" t="str">
        <f>VLOOKUP(Anexo_5[[#This Row],[cod_doc]],COMPRAS!TIPODOC,2,FALSE)</f>
        <v>FACTURA</v>
      </c>
      <c r="M198" s="77" t="s">
        <v>1906</v>
      </c>
      <c r="N198" s="79" t="s">
        <v>9693</v>
      </c>
      <c r="O198" s="80">
        <v>3369.7</v>
      </c>
      <c r="P198" s="81">
        <v>606.54999999999995</v>
      </c>
      <c r="Q198" s="80"/>
      <c r="R198" s="82">
        <v>3976.25</v>
      </c>
      <c r="S198" s="77"/>
      <c r="T198" s="77"/>
      <c r="U198" s="77"/>
      <c r="V198" s="77" t="s">
        <v>9614</v>
      </c>
      <c r="W198" s="83"/>
      <c r="X198" s="53" t="str">
        <f>IFERROR(VLOOKUP(Anexo_5[[#This Row],[CUENTA]],OP,2,0),"-")</f>
        <v>Limpieza de Caja Trampa</v>
      </c>
    </row>
    <row r="199" spans="1:24" s="84" customFormat="1" ht="27" customHeight="1" x14ac:dyDescent="0.3">
      <c r="A199" s="75" t="s">
        <v>3578</v>
      </c>
      <c r="B199" s="76" t="str">
        <f t="shared" si="3"/>
        <v>Agosto</v>
      </c>
      <c r="C199" s="77" t="s">
        <v>240</v>
      </c>
      <c r="D199" s="77" t="s">
        <v>3565</v>
      </c>
      <c r="E199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199" s="79" t="s">
        <v>9269</v>
      </c>
      <c r="G199" s="148" t="s">
        <v>119</v>
      </c>
      <c r="H199" s="140" t="s">
        <v>9612</v>
      </c>
      <c r="I199" s="77" t="s">
        <v>3717</v>
      </c>
      <c r="J199" s="144" t="s">
        <v>3718</v>
      </c>
      <c r="K199" s="77" t="s">
        <v>169</v>
      </c>
      <c r="L199" s="76" t="str">
        <f>VLOOKUP(Anexo_5[[#This Row],[cod_doc]],COMPRAS!TIPODOC,2,FALSE)</f>
        <v>FACTURA</v>
      </c>
      <c r="M199" s="77" t="s">
        <v>1906</v>
      </c>
      <c r="N199" s="79" t="s">
        <v>9694</v>
      </c>
      <c r="O199" s="80">
        <v>7390</v>
      </c>
      <c r="P199" s="81">
        <v>1330.2</v>
      </c>
      <c r="Q199" s="80"/>
      <c r="R199" s="82">
        <v>8720.2000000000007</v>
      </c>
      <c r="S199" s="77"/>
      <c r="T199" s="77"/>
      <c r="U199" s="77"/>
      <c r="V199" s="77" t="s">
        <v>9614</v>
      </c>
      <c r="W199" s="83"/>
      <c r="X199" s="53" t="str">
        <f>IFERROR(VLOOKUP(Anexo_5[[#This Row],[CUENTA]],OP,2,0),"-")</f>
        <v>Limpieza de Caja Trampa</v>
      </c>
    </row>
    <row r="200" spans="1:24" s="84" customFormat="1" ht="27" customHeight="1" x14ac:dyDescent="0.3">
      <c r="A200" s="75" t="s">
        <v>3578</v>
      </c>
      <c r="B200" s="76" t="str">
        <f t="shared" si="3"/>
        <v>Agosto</v>
      </c>
      <c r="C200" s="77" t="s">
        <v>240</v>
      </c>
      <c r="D200" s="77" t="s">
        <v>3567</v>
      </c>
      <c r="E200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200" s="79" t="s">
        <v>4560</v>
      </c>
      <c r="G200" s="148" t="s">
        <v>115</v>
      </c>
      <c r="H200" s="140" t="s">
        <v>9371</v>
      </c>
      <c r="I200" s="77" t="s">
        <v>9378</v>
      </c>
      <c r="J200" s="144" t="s">
        <v>9379</v>
      </c>
      <c r="K200" s="77" t="s">
        <v>169</v>
      </c>
      <c r="L200" s="76" t="str">
        <f>VLOOKUP(Anexo_5[[#This Row],[cod_doc]],COMPRAS!TIPODOC,2,FALSE)</f>
        <v>FACTURA</v>
      </c>
      <c r="M200" s="77" t="s">
        <v>1906</v>
      </c>
      <c r="N200" s="79" t="s">
        <v>6775</v>
      </c>
      <c r="O200" s="80">
        <v>2804.8</v>
      </c>
      <c r="P200" s="81">
        <v>504.86</v>
      </c>
      <c r="Q200" s="80"/>
      <c r="R200" s="82">
        <v>3309.66</v>
      </c>
      <c r="S200" s="77"/>
      <c r="T200" s="77"/>
      <c r="U200" s="77"/>
      <c r="V200" s="77" t="s">
        <v>9375</v>
      </c>
      <c r="W200" s="83"/>
      <c r="X200" s="53" t="str">
        <f>IFERROR(VLOOKUP(Anexo_5[[#This Row],[CUENTA]],OP,2,0),"-")</f>
        <v>Residuos No Peligrosos</v>
      </c>
    </row>
    <row r="201" spans="1:24" s="84" customFormat="1" ht="27" customHeight="1" x14ac:dyDescent="0.3">
      <c r="A201" s="75" t="s">
        <v>3578</v>
      </c>
      <c r="B201" s="76" t="str">
        <f t="shared" si="3"/>
        <v>Agosto</v>
      </c>
      <c r="C201" s="77" t="s">
        <v>240</v>
      </c>
      <c r="D201" s="77" t="s">
        <v>3570</v>
      </c>
      <c r="E201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201" s="79" t="s">
        <v>4560</v>
      </c>
      <c r="G201" s="148" t="s">
        <v>115</v>
      </c>
      <c r="H201" s="140" t="s">
        <v>9439</v>
      </c>
      <c r="I201" s="77" t="s">
        <v>9642</v>
      </c>
      <c r="J201" s="144" t="s">
        <v>9643</v>
      </c>
      <c r="K201" s="77" t="s">
        <v>169</v>
      </c>
      <c r="L201" s="76" t="str">
        <f>VLOOKUP(Anexo_5[[#This Row],[cod_doc]],COMPRAS!TIPODOC,2,FALSE)</f>
        <v>FACTURA</v>
      </c>
      <c r="M201" s="77" t="s">
        <v>1906</v>
      </c>
      <c r="N201" s="79" t="s">
        <v>9695</v>
      </c>
      <c r="O201" s="80">
        <v>670.43</v>
      </c>
      <c r="P201" s="81">
        <v>120.68</v>
      </c>
      <c r="Q201" s="80"/>
      <c r="R201" s="82">
        <v>791.11</v>
      </c>
      <c r="S201" s="77"/>
      <c r="T201" s="77"/>
      <c r="U201" s="77"/>
      <c r="V201" s="77" t="s">
        <v>9375</v>
      </c>
      <c r="W201" s="83"/>
      <c r="X201" s="53" t="str">
        <f>IFERROR(VLOOKUP(Anexo_5[[#This Row],[CUENTA]],OP,2,0),"-")</f>
        <v>Residuos No Peligrosos</v>
      </c>
    </row>
    <row r="202" spans="1:24" s="84" customFormat="1" ht="27" customHeight="1" x14ac:dyDescent="0.3">
      <c r="A202" s="75" t="s">
        <v>3578</v>
      </c>
      <c r="B202" s="76" t="str">
        <f t="shared" si="3"/>
        <v>Agosto</v>
      </c>
      <c r="C202" s="77" t="s">
        <v>240</v>
      </c>
      <c r="D202" s="77" t="s">
        <v>9696</v>
      </c>
      <c r="E202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202" s="79" t="s">
        <v>248</v>
      </c>
      <c r="G202" s="148" t="s">
        <v>249</v>
      </c>
      <c r="H202" s="140" t="s">
        <v>9416</v>
      </c>
      <c r="I202" s="77" t="s">
        <v>9465</v>
      </c>
      <c r="J202" s="144" t="s">
        <v>9466</v>
      </c>
      <c r="K202" s="77" t="s">
        <v>169</v>
      </c>
      <c r="L202" s="76" t="str">
        <f>VLOOKUP(Anexo_5[[#This Row],[cod_doc]],COMPRAS!TIPODOC,2,FALSE)</f>
        <v>FACTURA</v>
      </c>
      <c r="M202" s="77" t="s">
        <v>105</v>
      </c>
      <c r="N202" s="79" t="s">
        <v>9384</v>
      </c>
      <c r="O202" s="80">
        <v>11949.15</v>
      </c>
      <c r="P202" s="81">
        <v>2150.85</v>
      </c>
      <c r="Q202" s="80"/>
      <c r="R202" s="82">
        <v>14100</v>
      </c>
      <c r="S202" s="77"/>
      <c r="T202" s="77"/>
      <c r="U202" s="77"/>
      <c r="V202" s="77" t="s">
        <v>9336</v>
      </c>
      <c r="W202" s="83"/>
      <c r="X202" s="53" t="str">
        <f>IFERROR(VLOOKUP(Anexo_5[[#This Row],[CUENTA]],OP,2,0),"-")</f>
        <v>Productos Terminados - RRSS</v>
      </c>
    </row>
    <row r="203" spans="1:24" s="84" customFormat="1" ht="27" customHeight="1" x14ac:dyDescent="0.3">
      <c r="A203" s="75" t="s">
        <v>3578</v>
      </c>
      <c r="B203" s="76" t="str">
        <f t="shared" si="3"/>
        <v>Agosto</v>
      </c>
      <c r="C203" s="77" t="s">
        <v>240</v>
      </c>
      <c r="D203" s="77" t="s">
        <v>3574</v>
      </c>
      <c r="E203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203" s="79" t="s">
        <v>248</v>
      </c>
      <c r="G203" s="148" t="s">
        <v>249</v>
      </c>
      <c r="H203" s="140" t="s">
        <v>9343</v>
      </c>
      <c r="I203" s="77" t="s">
        <v>9344</v>
      </c>
      <c r="J203" s="144" t="s">
        <v>9345</v>
      </c>
      <c r="K203" s="77" t="s">
        <v>169</v>
      </c>
      <c r="L203" s="76" t="str">
        <f>VLOOKUP(Anexo_5[[#This Row],[cod_doc]],COMPRAS!TIPODOC,2,FALSE)</f>
        <v>FACTURA</v>
      </c>
      <c r="M203" s="77" t="s">
        <v>107</v>
      </c>
      <c r="N203" s="79" t="s">
        <v>8050</v>
      </c>
      <c r="O203" s="80">
        <v>605.9</v>
      </c>
      <c r="P203" s="81">
        <v>109.06</v>
      </c>
      <c r="Q203" s="80"/>
      <c r="R203" s="82">
        <v>714.96</v>
      </c>
      <c r="S203" s="77"/>
      <c r="T203" s="77"/>
      <c r="U203" s="77"/>
      <c r="V203" s="77" t="s">
        <v>9336</v>
      </c>
      <c r="W203" s="83"/>
      <c r="X203" s="53" t="str">
        <f>IFERROR(VLOOKUP(Anexo_5[[#This Row],[CUENTA]],OP,2,0),"-")</f>
        <v>Productos Terminados - RRSS</v>
      </c>
    </row>
    <row r="204" spans="1:24" s="84" customFormat="1" ht="27" customHeight="1" x14ac:dyDescent="0.3">
      <c r="A204" s="75" t="s">
        <v>2494</v>
      </c>
      <c r="B204" s="76" t="str">
        <f t="shared" si="3"/>
        <v>Agosto</v>
      </c>
      <c r="C204" s="77" t="s">
        <v>240</v>
      </c>
      <c r="D204" s="77" t="s">
        <v>3579</v>
      </c>
      <c r="E204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204" s="79" t="s">
        <v>9278</v>
      </c>
      <c r="G204" s="148" t="s">
        <v>122</v>
      </c>
      <c r="H204" s="140" t="s">
        <v>9348</v>
      </c>
      <c r="I204" s="77" t="s">
        <v>9514</v>
      </c>
      <c r="J204" s="144" t="s">
        <v>9515</v>
      </c>
      <c r="K204" s="77" t="s">
        <v>169</v>
      </c>
      <c r="L204" s="76" t="str">
        <f>VLOOKUP(Anexo_5[[#This Row],[cod_doc]],COMPRAS!TIPODOC,2,FALSE)</f>
        <v>FACTURA</v>
      </c>
      <c r="M204" s="77" t="s">
        <v>1906</v>
      </c>
      <c r="N204" s="79" t="s">
        <v>9697</v>
      </c>
      <c r="O204" s="80">
        <v>3953.72</v>
      </c>
      <c r="P204" s="81">
        <v>711.67</v>
      </c>
      <c r="Q204" s="80"/>
      <c r="R204" s="82">
        <v>4665.3900000000003</v>
      </c>
      <c r="S204" s="77"/>
      <c r="T204" s="77"/>
      <c r="U204" s="77"/>
      <c r="V204" s="77" t="s">
        <v>9350</v>
      </c>
      <c r="W204" s="83"/>
      <c r="X204" s="53" t="str">
        <f>IFERROR(VLOOKUP(Anexo_5[[#This Row],[CUENTA]],OP,2,0),"-")</f>
        <v>Transporte de Carga - Local</v>
      </c>
    </row>
    <row r="205" spans="1:24" s="84" customFormat="1" ht="27" customHeight="1" x14ac:dyDescent="0.3">
      <c r="A205" s="75" t="s">
        <v>2494</v>
      </c>
      <c r="B205" s="76" t="str">
        <f t="shared" si="3"/>
        <v>Agosto</v>
      </c>
      <c r="C205" s="77" t="s">
        <v>240</v>
      </c>
      <c r="D205" s="77" t="s">
        <v>3583</v>
      </c>
      <c r="E205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205" s="79" t="s">
        <v>4560</v>
      </c>
      <c r="G205" s="148" t="s">
        <v>115</v>
      </c>
      <c r="H205" s="140" t="s">
        <v>9371</v>
      </c>
      <c r="I205" s="77" t="s">
        <v>9378</v>
      </c>
      <c r="J205" s="144" t="s">
        <v>9379</v>
      </c>
      <c r="K205" s="77" t="s">
        <v>169</v>
      </c>
      <c r="L205" s="76" t="str">
        <f>VLOOKUP(Anexo_5[[#This Row],[cod_doc]],COMPRAS!TIPODOC,2,FALSE)</f>
        <v>FACTURA</v>
      </c>
      <c r="M205" s="77" t="s">
        <v>1906</v>
      </c>
      <c r="N205" s="79" t="s">
        <v>9698</v>
      </c>
      <c r="O205" s="80">
        <v>2736</v>
      </c>
      <c r="P205" s="81">
        <v>492.48</v>
      </c>
      <c r="Q205" s="80"/>
      <c r="R205" s="82">
        <v>3228.48</v>
      </c>
      <c r="S205" s="77"/>
      <c r="T205" s="77"/>
      <c r="U205" s="77"/>
      <c r="V205" s="77" t="s">
        <v>9375</v>
      </c>
      <c r="W205" s="83"/>
      <c r="X205" s="53" t="str">
        <f>IFERROR(VLOOKUP(Anexo_5[[#This Row],[CUENTA]],OP,2,0),"-")</f>
        <v>Residuos No Peligrosos</v>
      </c>
    </row>
    <row r="206" spans="1:24" s="84" customFormat="1" ht="27" customHeight="1" x14ac:dyDescent="0.3">
      <c r="A206" s="75" t="s">
        <v>2494</v>
      </c>
      <c r="B206" s="76" t="str">
        <f t="shared" si="3"/>
        <v>Agosto</v>
      </c>
      <c r="C206" s="77" t="s">
        <v>240</v>
      </c>
      <c r="D206" s="77" t="s">
        <v>3587</v>
      </c>
      <c r="E206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206" s="79" t="s">
        <v>248</v>
      </c>
      <c r="G206" s="148" t="s">
        <v>249</v>
      </c>
      <c r="H206" s="140" t="s">
        <v>9335</v>
      </c>
      <c r="I206" s="77" t="s">
        <v>9669</v>
      </c>
      <c r="J206" s="144" t="s">
        <v>9670</v>
      </c>
      <c r="K206" s="77" t="s">
        <v>169</v>
      </c>
      <c r="L206" s="76" t="str">
        <f>VLOOKUP(Anexo_5[[#This Row],[cod_doc]],COMPRAS!TIPODOC,2,FALSE)</f>
        <v>FACTURA</v>
      </c>
      <c r="M206" s="77" t="s">
        <v>105</v>
      </c>
      <c r="N206" s="79" t="s">
        <v>5917</v>
      </c>
      <c r="O206" s="80">
        <v>540</v>
      </c>
      <c r="P206" s="81">
        <v>97.2</v>
      </c>
      <c r="Q206" s="80"/>
      <c r="R206" s="82">
        <v>637.20000000000005</v>
      </c>
      <c r="S206" s="77"/>
      <c r="T206" s="77"/>
      <c r="U206" s="77"/>
      <c r="V206" s="77" t="s">
        <v>9336</v>
      </c>
      <c r="W206" s="83"/>
      <c r="X206" s="53" t="str">
        <f>IFERROR(VLOOKUP(Anexo_5[[#This Row],[CUENTA]],OP,2,0),"-")</f>
        <v>Productos Terminados - RRSS</v>
      </c>
    </row>
    <row r="207" spans="1:24" s="84" customFormat="1" ht="27" customHeight="1" x14ac:dyDescent="0.3">
      <c r="A207" s="75" t="s">
        <v>3794</v>
      </c>
      <c r="B207" s="76" t="str">
        <f t="shared" si="3"/>
        <v>Agosto</v>
      </c>
      <c r="C207" s="77" t="s">
        <v>240</v>
      </c>
      <c r="D207" s="77" t="s">
        <v>3591</v>
      </c>
      <c r="E207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207" s="79" t="s">
        <v>248</v>
      </c>
      <c r="G207" s="148" t="s">
        <v>249</v>
      </c>
      <c r="H207" s="140" t="s">
        <v>9335</v>
      </c>
      <c r="I207" s="77" t="s">
        <v>9669</v>
      </c>
      <c r="J207" s="144" t="s">
        <v>9670</v>
      </c>
      <c r="K207" s="77" t="s">
        <v>169</v>
      </c>
      <c r="L207" s="76" t="str">
        <f>VLOOKUP(Anexo_5[[#This Row],[cod_doc]],COMPRAS!TIPODOC,2,FALSE)</f>
        <v>FACTURA</v>
      </c>
      <c r="M207" s="77" t="s">
        <v>105</v>
      </c>
      <c r="N207" s="79" t="s">
        <v>1897</v>
      </c>
      <c r="O207" s="80">
        <v>900</v>
      </c>
      <c r="P207" s="81">
        <v>162</v>
      </c>
      <c r="Q207" s="80"/>
      <c r="R207" s="82">
        <v>1062</v>
      </c>
      <c r="S207" s="77"/>
      <c r="T207" s="77"/>
      <c r="U207" s="77"/>
      <c r="V207" s="77" t="s">
        <v>9336</v>
      </c>
      <c r="W207" s="83"/>
      <c r="X207" s="53" t="str">
        <f>IFERROR(VLOOKUP(Anexo_5[[#This Row],[CUENTA]],OP,2,0),"-")</f>
        <v>Productos Terminados - RRSS</v>
      </c>
    </row>
    <row r="208" spans="1:24" s="84" customFormat="1" ht="27" customHeight="1" x14ac:dyDescent="0.3">
      <c r="A208" s="75" t="s">
        <v>3794</v>
      </c>
      <c r="B208" s="76" t="str">
        <f t="shared" si="3"/>
        <v>Agosto</v>
      </c>
      <c r="C208" s="77" t="s">
        <v>240</v>
      </c>
      <c r="D208" s="77" t="s">
        <v>3595</v>
      </c>
      <c r="E208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208" s="79" t="s">
        <v>248</v>
      </c>
      <c r="G208" s="148" t="s">
        <v>249</v>
      </c>
      <c r="H208" s="140" t="s">
        <v>9343</v>
      </c>
      <c r="I208" s="77" t="s">
        <v>9344</v>
      </c>
      <c r="J208" s="144" t="s">
        <v>9345</v>
      </c>
      <c r="K208" s="77" t="s">
        <v>169</v>
      </c>
      <c r="L208" s="76" t="str">
        <f>VLOOKUP(Anexo_5[[#This Row],[cod_doc]],COMPRAS!TIPODOC,2,FALSE)</f>
        <v>FACTURA</v>
      </c>
      <c r="M208" s="77" t="s">
        <v>107</v>
      </c>
      <c r="N208" s="79" t="s">
        <v>9361</v>
      </c>
      <c r="O208" s="80">
        <v>1036.5999999999999</v>
      </c>
      <c r="P208" s="81">
        <v>186.59</v>
      </c>
      <c r="Q208" s="80"/>
      <c r="R208" s="82">
        <v>1223.19</v>
      </c>
      <c r="S208" s="77"/>
      <c r="T208" s="77"/>
      <c r="U208" s="77"/>
      <c r="V208" s="77" t="s">
        <v>9336</v>
      </c>
      <c r="W208" s="83"/>
      <c r="X208" s="53" t="str">
        <f>IFERROR(VLOOKUP(Anexo_5[[#This Row],[CUENTA]],OP,2,0),"-")</f>
        <v>Productos Terminados - RRSS</v>
      </c>
    </row>
    <row r="209" spans="1:24" s="84" customFormat="1" ht="27" customHeight="1" x14ac:dyDescent="0.3">
      <c r="A209" s="75" t="s">
        <v>3794</v>
      </c>
      <c r="B209" s="76" t="str">
        <f t="shared" si="3"/>
        <v>Agosto</v>
      </c>
      <c r="C209" s="77" t="s">
        <v>240</v>
      </c>
      <c r="D209" s="77" t="s">
        <v>3600</v>
      </c>
      <c r="E209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209" s="79" t="s">
        <v>248</v>
      </c>
      <c r="G209" s="148" t="s">
        <v>249</v>
      </c>
      <c r="H209" s="140" t="s">
        <v>9343</v>
      </c>
      <c r="I209" s="77" t="s">
        <v>9422</v>
      </c>
      <c r="J209" s="144" t="s">
        <v>9423</v>
      </c>
      <c r="K209" s="77" t="s">
        <v>169</v>
      </c>
      <c r="L209" s="76" t="str">
        <f>VLOOKUP(Anexo_5[[#This Row],[cod_doc]],COMPRAS!TIPODOC,2,FALSE)</f>
        <v>FACTURA</v>
      </c>
      <c r="M209" s="77" t="s">
        <v>107</v>
      </c>
      <c r="N209" s="79" t="s">
        <v>9363</v>
      </c>
      <c r="O209" s="80">
        <v>742.5</v>
      </c>
      <c r="P209" s="81">
        <v>133.65</v>
      </c>
      <c r="Q209" s="80"/>
      <c r="R209" s="82">
        <v>876.15</v>
      </c>
      <c r="S209" s="77"/>
      <c r="T209" s="77"/>
      <c r="U209" s="77"/>
      <c r="V209" s="77" t="s">
        <v>9336</v>
      </c>
      <c r="W209" s="83"/>
      <c r="X209" s="53" t="str">
        <f>IFERROR(VLOOKUP(Anexo_5[[#This Row],[CUENTA]],OP,2,0),"-")</f>
        <v>Productos Terminados - RRSS</v>
      </c>
    </row>
    <row r="210" spans="1:24" s="84" customFormat="1" ht="27" customHeight="1" x14ac:dyDescent="0.3">
      <c r="A210" s="75" t="s">
        <v>3746</v>
      </c>
      <c r="B210" s="76" t="str">
        <f t="shared" si="3"/>
        <v>Agosto</v>
      </c>
      <c r="C210" s="77" t="s">
        <v>240</v>
      </c>
      <c r="D210" s="77" t="s">
        <v>3602</v>
      </c>
      <c r="E210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210" s="79" t="s">
        <v>9278</v>
      </c>
      <c r="G210" s="148" t="s">
        <v>122</v>
      </c>
      <c r="H210" s="140" t="s">
        <v>9348</v>
      </c>
      <c r="I210" s="77" t="s">
        <v>536</v>
      </c>
      <c r="J210" s="144" t="s">
        <v>537</v>
      </c>
      <c r="K210" s="77" t="s">
        <v>169</v>
      </c>
      <c r="L210" s="76" t="str">
        <f>VLOOKUP(Anexo_5[[#This Row],[cod_doc]],COMPRAS!TIPODOC,2,FALSE)</f>
        <v>FACTURA</v>
      </c>
      <c r="M210" s="77" t="s">
        <v>1906</v>
      </c>
      <c r="N210" s="79" t="s">
        <v>9699</v>
      </c>
      <c r="O210" s="80">
        <v>2681.28</v>
      </c>
      <c r="P210" s="81">
        <v>482.63</v>
      </c>
      <c r="Q210" s="80"/>
      <c r="R210" s="82">
        <v>3163.91</v>
      </c>
      <c r="S210" s="77"/>
      <c r="T210" s="77"/>
      <c r="U210" s="77"/>
      <c r="V210" s="77" t="s">
        <v>9350</v>
      </c>
      <c r="W210" s="83"/>
      <c r="X210" s="53" t="str">
        <f>IFERROR(VLOOKUP(Anexo_5[[#This Row],[CUENTA]],OP,2,0),"-")</f>
        <v>Transporte de Carga - Local</v>
      </c>
    </row>
    <row r="211" spans="1:24" s="84" customFormat="1" ht="27" customHeight="1" x14ac:dyDescent="0.3">
      <c r="A211" s="75" t="s">
        <v>3746</v>
      </c>
      <c r="B211" s="76" t="str">
        <f t="shared" si="3"/>
        <v>Agosto</v>
      </c>
      <c r="C211" s="77" t="s">
        <v>240</v>
      </c>
      <c r="D211" s="77" t="s">
        <v>3603</v>
      </c>
      <c r="E211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211" s="79" t="s">
        <v>4560</v>
      </c>
      <c r="G211" s="148" t="s">
        <v>115</v>
      </c>
      <c r="H211" s="140" t="s">
        <v>9371</v>
      </c>
      <c r="I211" s="77" t="s">
        <v>9397</v>
      </c>
      <c r="J211" s="144" t="s">
        <v>9398</v>
      </c>
      <c r="K211" s="77" t="s">
        <v>169</v>
      </c>
      <c r="L211" s="76" t="str">
        <f>VLOOKUP(Anexo_5[[#This Row],[cod_doc]],COMPRAS!TIPODOC,2,FALSE)</f>
        <v>FACTURA</v>
      </c>
      <c r="M211" s="77" t="s">
        <v>1906</v>
      </c>
      <c r="N211" s="79" t="s">
        <v>9700</v>
      </c>
      <c r="O211" s="80">
        <v>8017.7</v>
      </c>
      <c r="P211" s="81">
        <v>1443.19</v>
      </c>
      <c r="Q211" s="80"/>
      <c r="R211" s="82">
        <v>9460.89</v>
      </c>
      <c r="S211" s="77"/>
      <c r="T211" s="77"/>
      <c r="U211" s="77"/>
      <c r="V211" s="77" t="s">
        <v>9375</v>
      </c>
      <c r="W211" s="83"/>
      <c r="X211" s="53" t="str">
        <f>IFERROR(VLOOKUP(Anexo_5[[#This Row],[CUENTA]],OP,2,0),"-")</f>
        <v>Residuos No Peligrosos</v>
      </c>
    </row>
    <row r="212" spans="1:24" s="84" customFormat="1" ht="27" customHeight="1" x14ac:dyDescent="0.3">
      <c r="A212" s="75" t="s">
        <v>3746</v>
      </c>
      <c r="B212" s="76" t="str">
        <f t="shared" si="3"/>
        <v>Agosto</v>
      </c>
      <c r="C212" s="77" t="s">
        <v>240</v>
      </c>
      <c r="D212" s="77" t="s">
        <v>3607</v>
      </c>
      <c r="E212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212" s="79" t="s">
        <v>4560</v>
      </c>
      <c r="G212" s="148" t="s">
        <v>115</v>
      </c>
      <c r="H212" s="140" t="s">
        <v>9439</v>
      </c>
      <c r="I212" s="77" t="s">
        <v>980</v>
      </c>
      <c r="J212" s="144" t="s">
        <v>981</v>
      </c>
      <c r="K212" s="77" t="s">
        <v>169</v>
      </c>
      <c r="L212" s="76" t="str">
        <f>VLOOKUP(Anexo_5[[#This Row],[cod_doc]],COMPRAS!TIPODOC,2,FALSE)</f>
        <v>FACTURA</v>
      </c>
      <c r="M212" s="77" t="s">
        <v>1906</v>
      </c>
      <c r="N212" s="79" t="s">
        <v>9701</v>
      </c>
      <c r="O212" s="80">
        <v>1935.82</v>
      </c>
      <c r="P212" s="81">
        <v>348.45</v>
      </c>
      <c r="Q212" s="80"/>
      <c r="R212" s="82">
        <v>2284.27</v>
      </c>
      <c r="S212" s="77"/>
      <c r="T212" s="77"/>
      <c r="U212" s="77"/>
      <c r="V212" s="77" t="s">
        <v>9375</v>
      </c>
      <c r="W212" s="83"/>
      <c r="X212" s="53" t="str">
        <f>IFERROR(VLOOKUP(Anexo_5[[#This Row],[CUENTA]],OP,2,0),"-")</f>
        <v>Residuos No Peligrosos</v>
      </c>
    </row>
    <row r="213" spans="1:24" s="84" customFormat="1" ht="27" customHeight="1" x14ac:dyDescent="0.3">
      <c r="A213" s="75" t="s">
        <v>3746</v>
      </c>
      <c r="B213" s="76" t="str">
        <f t="shared" si="3"/>
        <v>Agosto</v>
      </c>
      <c r="C213" s="77" t="s">
        <v>240</v>
      </c>
      <c r="D213" s="77" t="s">
        <v>3608</v>
      </c>
      <c r="E213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213" s="79" t="s">
        <v>248</v>
      </c>
      <c r="G213" s="148" t="s">
        <v>249</v>
      </c>
      <c r="H213" s="140" t="s">
        <v>9343</v>
      </c>
      <c r="I213" s="77" t="s">
        <v>9344</v>
      </c>
      <c r="J213" s="144" t="s">
        <v>9345</v>
      </c>
      <c r="K213" s="77" t="s">
        <v>169</v>
      </c>
      <c r="L213" s="76" t="str">
        <f>VLOOKUP(Anexo_5[[#This Row],[cod_doc]],COMPRAS!TIPODOC,2,FALSE)</f>
        <v>FACTURA</v>
      </c>
      <c r="M213" s="77" t="s">
        <v>107</v>
      </c>
      <c r="N213" s="79" t="s">
        <v>9393</v>
      </c>
      <c r="O213" s="80">
        <v>1781.2</v>
      </c>
      <c r="P213" s="81">
        <v>320.62</v>
      </c>
      <c r="Q213" s="80"/>
      <c r="R213" s="82">
        <v>2101.8200000000002</v>
      </c>
      <c r="S213" s="77"/>
      <c r="T213" s="77"/>
      <c r="U213" s="77"/>
      <c r="V213" s="77" t="s">
        <v>9336</v>
      </c>
      <c r="W213" s="83"/>
      <c r="X213" s="53" t="str">
        <f>IFERROR(VLOOKUP(Anexo_5[[#This Row],[CUENTA]],OP,2,0),"-")</f>
        <v>Productos Terminados - RRSS</v>
      </c>
    </row>
    <row r="214" spans="1:24" s="84" customFormat="1" ht="27" customHeight="1" x14ac:dyDescent="0.3">
      <c r="A214" s="75" t="s">
        <v>3879</v>
      </c>
      <c r="B214" s="76" t="str">
        <f t="shared" si="3"/>
        <v>Agosto</v>
      </c>
      <c r="C214" s="77" t="s">
        <v>240</v>
      </c>
      <c r="D214" s="77" t="s">
        <v>3609</v>
      </c>
      <c r="E214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214" s="79" t="s">
        <v>248</v>
      </c>
      <c r="G214" s="148" t="s">
        <v>249</v>
      </c>
      <c r="H214" s="140" t="s">
        <v>9357</v>
      </c>
      <c r="I214" s="77" t="s">
        <v>9358</v>
      </c>
      <c r="J214" s="144" t="s">
        <v>9359</v>
      </c>
      <c r="K214" s="77" t="s">
        <v>169</v>
      </c>
      <c r="L214" s="76" t="str">
        <f>VLOOKUP(Anexo_5[[#This Row],[cod_doc]],COMPRAS!TIPODOC,2,FALSE)</f>
        <v>FACTURA</v>
      </c>
      <c r="M214" s="77" t="s">
        <v>105</v>
      </c>
      <c r="N214" s="79" t="s">
        <v>9401</v>
      </c>
      <c r="O214" s="80">
        <v>1566.72</v>
      </c>
      <c r="P214" s="81">
        <v>282.01</v>
      </c>
      <c r="Q214" s="80"/>
      <c r="R214" s="82">
        <v>1848.73</v>
      </c>
      <c r="S214" s="77"/>
      <c r="T214" s="77"/>
      <c r="U214" s="77"/>
      <c r="V214" s="77" t="s">
        <v>9336</v>
      </c>
      <c r="W214" s="83"/>
      <c r="X214" s="53" t="str">
        <f>IFERROR(VLOOKUP(Anexo_5[[#This Row],[CUENTA]],OP,2,0),"-")</f>
        <v>Productos Terminados - RRSS</v>
      </c>
    </row>
    <row r="215" spans="1:24" s="84" customFormat="1" ht="27" customHeight="1" x14ac:dyDescent="0.3">
      <c r="A215" s="75" t="s">
        <v>4037</v>
      </c>
      <c r="B215" s="76" t="str">
        <f t="shared" si="3"/>
        <v>Agosto</v>
      </c>
      <c r="C215" s="77" t="s">
        <v>240</v>
      </c>
      <c r="D215" s="77" t="s">
        <v>3611</v>
      </c>
      <c r="E215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215" s="79" t="s">
        <v>4560</v>
      </c>
      <c r="G215" s="148" t="s">
        <v>115</v>
      </c>
      <c r="H215" s="140" t="s">
        <v>9439</v>
      </c>
      <c r="I215" s="77" t="s">
        <v>9702</v>
      </c>
      <c r="J215" s="144" t="s">
        <v>9703</v>
      </c>
      <c r="K215" s="77" t="s">
        <v>169</v>
      </c>
      <c r="L215" s="76" t="str">
        <f>VLOOKUP(Anexo_5[[#This Row],[cod_doc]],COMPRAS!TIPODOC,2,FALSE)</f>
        <v>FACTURA</v>
      </c>
      <c r="M215" s="77" t="s">
        <v>1906</v>
      </c>
      <c r="N215" s="79" t="s">
        <v>9704</v>
      </c>
      <c r="O215" s="80">
        <v>1028.8</v>
      </c>
      <c r="P215" s="81">
        <v>185.18</v>
      </c>
      <c r="Q215" s="80"/>
      <c r="R215" s="82">
        <v>1213.98</v>
      </c>
      <c r="S215" s="77"/>
      <c r="T215" s="77"/>
      <c r="U215" s="77"/>
      <c r="V215" s="77" t="s">
        <v>9375</v>
      </c>
      <c r="W215" s="83"/>
      <c r="X215" s="53" t="str">
        <f>IFERROR(VLOOKUP(Anexo_5[[#This Row],[CUENTA]],OP,2,0),"-")</f>
        <v>Residuos No Peligrosos</v>
      </c>
    </row>
    <row r="216" spans="1:24" s="84" customFormat="1" ht="27" customHeight="1" x14ac:dyDescent="0.3">
      <c r="A216" s="75" t="s">
        <v>4037</v>
      </c>
      <c r="B216" s="76" t="str">
        <f t="shared" si="3"/>
        <v>Agosto</v>
      </c>
      <c r="C216" s="77" t="s">
        <v>240</v>
      </c>
      <c r="D216" s="77" t="s">
        <v>3612</v>
      </c>
      <c r="E216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216" s="79" t="s">
        <v>4563</v>
      </c>
      <c r="G216" s="148" t="s">
        <v>114</v>
      </c>
      <c r="H216" s="140" t="s">
        <v>9329</v>
      </c>
      <c r="I216" s="77" t="s">
        <v>9705</v>
      </c>
      <c r="J216" s="144" t="s">
        <v>9706</v>
      </c>
      <c r="K216" s="77" t="s">
        <v>169</v>
      </c>
      <c r="L216" s="76" t="str">
        <f>VLOOKUP(Anexo_5[[#This Row],[cod_doc]],COMPRAS!TIPODOC,2,FALSE)</f>
        <v>FACTURA</v>
      </c>
      <c r="M216" s="77" t="s">
        <v>1906</v>
      </c>
      <c r="N216" s="79" t="s">
        <v>9707</v>
      </c>
      <c r="O216" s="80">
        <v>889.58</v>
      </c>
      <c r="P216" s="81">
        <v>160.12</v>
      </c>
      <c r="Q216" s="80"/>
      <c r="R216" s="82">
        <v>1049.7</v>
      </c>
      <c r="S216" s="77"/>
      <c r="T216" s="77"/>
      <c r="U216" s="77"/>
      <c r="V216" s="77" t="s">
        <v>9333</v>
      </c>
      <c r="W216" s="83"/>
      <c r="X216" s="53" t="str">
        <f>IFERROR(VLOOKUP(Anexo_5[[#This Row],[CUENTA]],OP,2,0),"-")</f>
        <v>Residuos Peligrosos</v>
      </c>
    </row>
    <row r="217" spans="1:24" s="84" customFormat="1" ht="27" customHeight="1" x14ac:dyDescent="0.3">
      <c r="A217" s="75" t="s">
        <v>4037</v>
      </c>
      <c r="B217" s="76" t="str">
        <f t="shared" si="3"/>
        <v>Agosto</v>
      </c>
      <c r="C217" s="77" t="s">
        <v>240</v>
      </c>
      <c r="D217" s="77" t="s">
        <v>3613</v>
      </c>
      <c r="E217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217" s="79" t="s">
        <v>248</v>
      </c>
      <c r="G217" s="148" t="s">
        <v>249</v>
      </c>
      <c r="H217" s="140" t="s">
        <v>9469</v>
      </c>
      <c r="I217" s="77" t="s">
        <v>9470</v>
      </c>
      <c r="J217" s="144" t="s">
        <v>9471</v>
      </c>
      <c r="K217" s="77" t="s">
        <v>169</v>
      </c>
      <c r="L217" s="76" t="str">
        <f>VLOOKUP(Anexo_5[[#This Row],[cod_doc]],COMPRAS!TIPODOC,2,FALSE)</f>
        <v>FACTURA</v>
      </c>
      <c r="M217" s="77" t="s">
        <v>105</v>
      </c>
      <c r="N217" s="79" t="s">
        <v>8679</v>
      </c>
      <c r="O217" s="80">
        <v>598.5</v>
      </c>
      <c r="P217" s="81">
        <v>107.73</v>
      </c>
      <c r="Q217" s="80"/>
      <c r="R217" s="82">
        <v>706.23</v>
      </c>
      <c r="S217" s="77"/>
      <c r="T217" s="77"/>
      <c r="U217" s="77"/>
      <c r="V217" s="77" t="s">
        <v>9336</v>
      </c>
      <c r="W217" s="83"/>
      <c r="X217" s="53" t="str">
        <f>IFERROR(VLOOKUP(Anexo_5[[#This Row],[CUENTA]],OP,2,0),"-")</f>
        <v>Productos Terminados - RRSS</v>
      </c>
    </row>
    <row r="218" spans="1:24" s="84" customFormat="1" ht="27" customHeight="1" x14ac:dyDescent="0.3">
      <c r="A218" s="75" t="s">
        <v>4037</v>
      </c>
      <c r="B218" s="76" t="str">
        <f t="shared" si="3"/>
        <v>Agosto</v>
      </c>
      <c r="C218" s="77" t="s">
        <v>240</v>
      </c>
      <c r="D218" s="77" t="s">
        <v>3617</v>
      </c>
      <c r="E218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218" s="79" t="s">
        <v>248</v>
      </c>
      <c r="G218" s="148" t="s">
        <v>249</v>
      </c>
      <c r="H218" s="140" t="s">
        <v>9469</v>
      </c>
      <c r="I218" s="77" t="s">
        <v>9470</v>
      </c>
      <c r="J218" s="144" t="s">
        <v>9471</v>
      </c>
      <c r="K218" s="77" t="s">
        <v>169</v>
      </c>
      <c r="L218" s="76" t="str">
        <f>VLOOKUP(Anexo_5[[#This Row],[cod_doc]],COMPRAS!TIPODOC,2,FALSE)</f>
        <v>FACTURA</v>
      </c>
      <c r="M218" s="77" t="s">
        <v>105</v>
      </c>
      <c r="N218" s="79" t="s">
        <v>9406</v>
      </c>
      <c r="O218" s="80">
        <v>363</v>
      </c>
      <c r="P218" s="81">
        <v>65.34</v>
      </c>
      <c r="Q218" s="80"/>
      <c r="R218" s="82">
        <v>428.34</v>
      </c>
      <c r="S218" s="77"/>
      <c r="T218" s="77"/>
      <c r="U218" s="77"/>
      <c r="V218" s="77" t="s">
        <v>9336</v>
      </c>
      <c r="W218" s="83"/>
      <c r="X218" s="53" t="str">
        <f>IFERROR(VLOOKUP(Anexo_5[[#This Row],[CUENTA]],OP,2,0),"-")</f>
        <v>Productos Terminados - RRSS</v>
      </c>
    </row>
    <row r="219" spans="1:24" s="84" customFormat="1" ht="27" customHeight="1" x14ac:dyDescent="0.3">
      <c r="A219" s="75" t="s">
        <v>4037</v>
      </c>
      <c r="B219" s="76" t="str">
        <f t="shared" si="3"/>
        <v>Agosto</v>
      </c>
      <c r="C219" s="77" t="s">
        <v>240</v>
      </c>
      <c r="D219" s="77" t="s">
        <v>3619</v>
      </c>
      <c r="E219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219" s="79" t="s">
        <v>248</v>
      </c>
      <c r="G219" s="148" t="s">
        <v>249</v>
      </c>
      <c r="H219" s="140" t="s">
        <v>9469</v>
      </c>
      <c r="I219" s="77" t="s">
        <v>9470</v>
      </c>
      <c r="J219" s="144" t="s">
        <v>9471</v>
      </c>
      <c r="K219" s="77" t="s">
        <v>169</v>
      </c>
      <c r="L219" s="76" t="str">
        <f>VLOOKUP(Anexo_5[[#This Row],[cod_doc]],COMPRAS!TIPODOC,2,FALSE)</f>
        <v>FACTURA</v>
      </c>
      <c r="M219" s="77" t="s">
        <v>105</v>
      </c>
      <c r="N219" s="79" t="s">
        <v>6935</v>
      </c>
      <c r="O219" s="80">
        <v>184.5</v>
      </c>
      <c r="P219" s="81">
        <v>33.21</v>
      </c>
      <c r="Q219" s="80"/>
      <c r="R219" s="82">
        <v>217.71</v>
      </c>
      <c r="S219" s="77"/>
      <c r="T219" s="77"/>
      <c r="U219" s="77"/>
      <c r="V219" s="77" t="s">
        <v>9336</v>
      </c>
      <c r="W219" s="83"/>
      <c r="X219" s="53" t="str">
        <f>IFERROR(VLOOKUP(Anexo_5[[#This Row],[CUENTA]],OP,2,0),"-")</f>
        <v>Productos Terminados - RRSS</v>
      </c>
    </row>
    <row r="220" spans="1:24" s="84" customFormat="1" ht="27" customHeight="1" x14ac:dyDescent="0.3">
      <c r="A220" s="75" t="s">
        <v>4037</v>
      </c>
      <c r="B220" s="76" t="str">
        <f t="shared" si="3"/>
        <v>Agosto</v>
      </c>
      <c r="C220" s="77" t="s">
        <v>240</v>
      </c>
      <c r="D220" s="77" t="s">
        <v>3621</v>
      </c>
      <c r="E220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220" s="79" t="s">
        <v>248</v>
      </c>
      <c r="G220" s="148" t="s">
        <v>249</v>
      </c>
      <c r="H220" s="140" t="s">
        <v>9469</v>
      </c>
      <c r="I220" s="77" t="s">
        <v>9470</v>
      </c>
      <c r="J220" s="144" t="s">
        <v>9471</v>
      </c>
      <c r="K220" s="77" t="s">
        <v>169</v>
      </c>
      <c r="L220" s="76" t="str">
        <f>VLOOKUP(Anexo_5[[#This Row],[cod_doc]],COMPRAS!TIPODOC,2,FALSE)</f>
        <v>FACTURA</v>
      </c>
      <c r="M220" s="77" t="s">
        <v>105</v>
      </c>
      <c r="N220" s="79" t="s">
        <v>9429</v>
      </c>
      <c r="O220" s="80">
        <v>577.5</v>
      </c>
      <c r="P220" s="81">
        <v>103.95</v>
      </c>
      <c r="Q220" s="80"/>
      <c r="R220" s="82">
        <v>681.45</v>
      </c>
      <c r="S220" s="77"/>
      <c r="T220" s="77"/>
      <c r="U220" s="77"/>
      <c r="V220" s="77" t="s">
        <v>9336</v>
      </c>
      <c r="W220" s="83"/>
      <c r="X220" s="53" t="str">
        <f>IFERROR(VLOOKUP(Anexo_5[[#This Row],[CUENTA]],OP,2,0),"-")</f>
        <v>Productos Terminados - RRSS</v>
      </c>
    </row>
    <row r="221" spans="1:24" s="84" customFormat="1" ht="27" customHeight="1" x14ac:dyDescent="0.3">
      <c r="A221" s="75" t="s">
        <v>4037</v>
      </c>
      <c r="B221" s="76" t="str">
        <f t="shared" si="3"/>
        <v>Agosto</v>
      </c>
      <c r="C221" s="77" t="s">
        <v>240</v>
      </c>
      <c r="D221" s="77" t="s">
        <v>3625</v>
      </c>
      <c r="E221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221" s="79" t="s">
        <v>248</v>
      </c>
      <c r="G221" s="148" t="s">
        <v>249</v>
      </c>
      <c r="H221" s="140" t="s">
        <v>9469</v>
      </c>
      <c r="I221" s="77" t="s">
        <v>9470</v>
      </c>
      <c r="J221" s="144" t="s">
        <v>9471</v>
      </c>
      <c r="K221" s="77" t="s">
        <v>169</v>
      </c>
      <c r="L221" s="76" t="str">
        <f>VLOOKUP(Anexo_5[[#This Row],[cod_doc]],COMPRAS!TIPODOC,2,FALSE)</f>
        <v>FACTURA</v>
      </c>
      <c r="M221" s="77" t="s">
        <v>105</v>
      </c>
      <c r="N221" s="79" t="s">
        <v>9432</v>
      </c>
      <c r="O221" s="80">
        <v>396</v>
      </c>
      <c r="P221" s="81">
        <v>71.28</v>
      </c>
      <c r="Q221" s="80"/>
      <c r="R221" s="82">
        <v>467.28</v>
      </c>
      <c r="S221" s="77"/>
      <c r="T221" s="77"/>
      <c r="U221" s="77"/>
      <c r="V221" s="77" t="s">
        <v>9336</v>
      </c>
      <c r="W221" s="83"/>
      <c r="X221" s="53" t="str">
        <f>IFERROR(VLOOKUP(Anexo_5[[#This Row],[CUENTA]],OP,2,0),"-")</f>
        <v>Productos Terminados - RRSS</v>
      </c>
    </row>
    <row r="222" spans="1:24" s="84" customFormat="1" ht="27" customHeight="1" x14ac:dyDescent="0.3">
      <c r="A222" s="75" t="s">
        <v>4037</v>
      </c>
      <c r="B222" s="76" t="str">
        <f t="shared" si="3"/>
        <v>Agosto</v>
      </c>
      <c r="C222" s="77" t="s">
        <v>240</v>
      </c>
      <c r="D222" s="77" t="s">
        <v>3626</v>
      </c>
      <c r="E222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222" s="79" t="s">
        <v>248</v>
      </c>
      <c r="G222" s="148" t="s">
        <v>249</v>
      </c>
      <c r="H222" s="140" t="s">
        <v>9335</v>
      </c>
      <c r="I222" s="77" t="s">
        <v>9669</v>
      </c>
      <c r="J222" s="144" t="s">
        <v>9670</v>
      </c>
      <c r="K222" s="77" t="s">
        <v>169</v>
      </c>
      <c r="L222" s="76" t="str">
        <f>VLOOKUP(Anexo_5[[#This Row],[cod_doc]],COMPRAS!TIPODOC,2,FALSE)</f>
        <v>FACTURA</v>
      </c>
      <c r="M222" s="77" t="s">
        <v>105</v>
      </c>
      <c r="N222" s="79" t="s">
        <v>9437</v>
      </c>
      <c r="O222" s="80">
        <v>360</v>
      </c>
      <c r="P222" s="81">
        <v>64.8</v>
      </c>
      <c r="Q222" s="80"/>
      <c r="R222" s="82">
        <v>424.8</v>
      </c>
      <c r="S222" s="77"/>
      <c r="T222" s="77"/>
      <c r="U222" s="77"/>
      <c r="V222" s="77" t="s">
        <v>9336</v>
      </c>
      <c r="W222" s="83"/>
      <c r="X222" s="53" t="str">
        <f>IFERROR(VLOOKUP(Anexo_5[[#This Row],[CUENTA]],OP,2,0),"-")</f>
        <v>Productos Terminados - RRSS</v>
      </c>
    </row>
    <row r="223" spans="1:24" s="84" customFormat="1" ht="27" customHeight="1" x14ac:dyDescent="0.3">
      <c r="A223" s="75" t="s">
        <v>4037</v>
      </c>
      <c r="B223" s="76" t="str">
        <f t="shared" si="3"/>
        <v>Agosto</v>
      </c>
      <c r="C223" s="77" t="s">
        <v>240</v>
      </c>
      <c r="D223" s="77" t="s">
        <v>3628</v>
      </c>
      <c r="E223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223" s="79" t="s">
        <v>248</v>
      </c>
      <c r="G223" s="148" t="s">
        <v>249</v>
      </c>
      <c r="H223" s="140" t="s">
        <v>9335</v>
      </c>
      <c r="I223" s="77" t="s">
        <v>9708</v>
      </c>
      <c r="J223" s="144" t="s">
        <v>9709</v>
      </c>
      <c r="K223" s="77" t="s">
        <v>169</v>
      </c>
      <c r="L223" s="76" t="str">
        <f>VLOOKUP(Anexo_5[[#This Row],[cod_doc]],COMPRAS!TIPODOC,2,FALSE)</f>
        <v>FACTURA</v>
      </c>
      <c r="M223" s="77" t="s">
        <v>105</v>
      </c>
      <c r="N223" s="79" t="s">
        <v>6427</v>
      </c>
      <c r="O223" s="80">
        <v>45</v>
      </c>
      <c r="P223" s="81">
        <v>8.1</v>
      </c>
      <c r="Q223" s="80"/>
      <c r="R223" s="82">
        <v>53.1</v>
      </c>
      <c r="S223" s="77"/>
      <c r="T223" s="77"/>
      <c r="U223" s="77"/>
      <c r="V223" s="77" t="s">
        <v>9336</v>
      </c>
      <c r="W223" s="83"/>
      <c r="X223" s="53" t="str">
        <f>IFERROR(VLOOKUP(Anexo_5[[#This Row],[CUENTA]],OP,2,0),"-")</f>
        <v>Productos Terminados - RRSS</v>
      </c>
    </row>
    <row r="224" spans="1:24" s="84" customFormat="1" ht="27" customHeight="1" x14ac:dyDescent="0.3">
      <c r="A224" s="75" t="s">
        <v>3711</v>
      </c>
      <c r="B224" s="76" t="str">
        <f t="shared" si="3"/>
        <v>Agosto</v>
      </c>
      <c r="C224" s="77" t="s">
        <v>240</v>
      </c>
      <c r="D224" s="77" t="s">
        <v>3630</v>
      </c>
      <c r="E224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224" s="79" t="s">
        <v>4560</v>
      </c>
      <c r="G224" s="148" t="s">
        <v>115</v>
      </c>
      <c r="H224" s="140" t="s">
        <v>9371</v>
      </c>
      <c r="I224" s="77" t="s">
        <v>1111</v>
      </c>
      <c r="J224" s="144" t="s">
        <v>1112</v>
      </c>
      <c r="K224" s="77" t="s">
        <v>169</v>
      </c>
      <c r="L224" s="76" t="str">
        <f>VLOOKUP(Anexo_5[[#This Row],[cod_doc]],COMPRAS!TIPODOC,2,FALSE)</f>
        <v>FACTURA</v>
      </c>
      <c r="M224" s="77" t="s">
        <v>1906</v>
      </c>
      <c r="N224" s="79" t="s">
        <v>9710</v>
      </c>
      <c r="O224" s="80">
        <v>2597.6999999999998</v>
      </c>
      <c r="P224" s="81">
        <v>467.59</v>
      </c>
      <c r="Q224" s="80"/>
      <c r="R224" s="82">
        <v>3065.29</v>
      </c>
      <c r="S224" s="77"/>
      <c r="T224" s="77"/>
      <c r="U224" s="77"/>
      <c r="V224" s="77" t="s">
        <v>9375</v>
      </c>
      <c r="W224" s="83"/>
      <c r="X224" s="53" t="str">
        <f>IFERROR(VLOOKUP(Anexo_5[[#This Row],[CUENTA]],OP,2,0),"-")</f>
        <v>Residuos No Peligrosos</v>
      </c>
    </row>
    <row r="225" spans="1:24" s="84" customFormat="1" ht="27" customHeight="1" x14ac:dyDescent="0.3">
      <c r="A225" s="75" t="s">
        <v>3711</v>
      </c>
      <c r="B225" s="76" t="str">
        <f t="shared" si="3"/>
        <v>Agosto</v>
      </c>
      <c r="C225" s="77" t="s">
        <v>240</v>
      </c>
      <c r="D225" s="77" t="s">
        <v>3633</v>
      </c>
      <c r="E225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225" s="79" t="s">
        <v>248</v>
      </c>
      <c r="G225" s="148" t="s">
        <v>249</v>
      </c>
      <c r="H225" s="140" t="s">
        <v>9390</v>
      </c>
      <c r="I225" s="77" t="s">
        <v>9391</v>
      </c>
      <c r="J225" s="144" t="s">
        <v>9392</v>
      </c>
      <c r="K225" s="77" t="s">
        <v>169</v>
      </c>
      <c r="L225" s="76" t="str">
        <f>VLOOKUP(Anexo_5[[#This Row],[cod_doc]],COMPRAS!TIPODOC,2,FALSE)</f>
        <v>FACTURA</v>
      </c>
      <c r="M225" s="77" t="s">
        <v>105</v>
      </c>
      <c r="N225" s="79" t="s">
        <v>7992</v>
      </c>
      <c r="O225" s="80">
        <v>590</v>
      </c>
      <c r="P225" s="81">
        <v>106.2</v>
      </c>
      <c r="Q225" s="80"/>
      <c r="R225" s="82">
        <v>696.2</v>
      </c>
      <c r="S225" s="77"/>
      <c r="T225" s="77"/>
      <c r="U225" s="77"/>
      <c r="V225" s="77" t="s">
        <v>9336</v>
      </c>
      <c r="W225" s="83"/>
      <c r="X225" s="53" t="str">
        <f>IFERROR(VLOOKUP(Anexo_5[[#This Row],[CUENTA]],OP,2,0),"-")</f>
        <v>Productos Terminados - RRSS</v>
      </c>
    </row>
    <row r="226" spans="1:24" s="84" customFormat="1" ht="27" customHeight="1" x14ac:dyDescent="0.3">
      <c r="A226" s="75" t="s">
        <v>3711</v>
      </c>
      <c r="B226" s="76" t="str">
        <f t="shared" si="3"/>
        <v>Agosto</v>
      </c>
      <c r="C226" s="77" t="s">
        <v>240</v>
      </c>
      <c r="D226" s="77" t="s">
        <v>3635</v>
      </c>
      <c r="E226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226" s="79" t="s">
        <v>248</v>
      </c>
      <c r="G226" s="148" t="s">
        <v>249</v>
      </c>
      <c r="H226" s="140" t="s">
        <v>9583</v>
      </c>
      <c r="I226" s="77" t="s">
        <v>9422</v>
      </c>
      <c r="J226" s="144" t="s">
        <v>9423</v>
      </c>
      <c r="K226" s="77" t="s">
        <v>169</v>
      </c>
      <c r="L226" s="76" t="str">
        <f>VLOOKUP(Anexo_5[[#This Row],[cod_doc]],COMPRAS!TIPODOC,2,FALSE)</f>
        <v>FACTURA</v>
      </c>
      <c r="M226" s="77" t="s">
        <v>107</v>
      </c>
      <c r="N226" s="79" t="s">
        <v>9414</v>
      </c>
      <c r="O226" s="80">
        <v>2001</v>
      </c>
      <c r="P226" s="81">
        <v>360.18</v>
      </c>
      <c r="Q226" s="80"/>
      <c r="R226" s="82">
        <v>2361.1799999999998</v>
      </c>
      <c r="S226" s="77"/>
      <c r="T226" s="77"/>
      <c r="U226" s="77"/>
      <c r="V226" s="77" t="s">
        <v>9336</v>
      </c>
      <c r="W226" s="83"/>
      <c r="X226" s="53" t="str">
        <f>IFERROR(VLOOKUP(Anexo_5[[#This Row],[CUENTA]],OP,2,0),"-")</f>
        <v>Productos Terminados - RRSS</v>
      </c>
    </row>
    <row r="227" spans="1:24" s="84" customFormat="1" ht="27" customHeight="1" x14ac:dyDescent="0.3">
      <c r="A227" s="75" t="s">
        <v>4206</v>
      </c>
      <c r="B227" s="76" t="str">
        <f t="shared" si="3"/>
        <v>Agosto</v>
      </c>
      <c r="C227" s="77" t="s">
        <v>240</v>
      </c>
      <c r="D227" s="77" t="s">
        <v>3639</v>
      </c>
      <c r="E227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227" s="79" t="s">
        <v>4560</v>
      </c>
      <c r="G227" s="148" t="s">
        <v>115</v>
      </c>
      <c r="H227" s="140" t="s">
        <v>9371</v>
      </c>
      <c r="I227" s="77" t="s">
        <v>9711</v>
      </c>
      <c r="J227" s="144" t="s">
        <v>9712</v>
      </c>
      <c r="K227" s="77" t="s">
        <v>169</v>
      </c>
      <c r="L227" s="76" t="str">
        <f>VLOOKUP(Anexo_5[[#This Row],[cod_doc]],COMPRAS!TIPODOC,2,FALSE)</f>
        <v>FACTURA</v>
      </c>
      <c r="M227" s="77" t="s">
        <v>1906</v>
      </c>
      <c r="N227" s="79" t="s">
        <v>9713</v>
      </c>
      <c r="O227" s="80">
        <v>5199.95</v>
      </c>
      <c r="P227" s="81">
        <v>935.99</v>
      </c>
      <c r="Q227" s="80"/>
      <c r="R227" s="82">
        <v>6135.94</v>
      </c>
      <c r="S227" s="77"/>
      <c r="T227" s="77"/>
      <c r="U227" s="77"/>
      <c r="V227" s="77" t="s">
        <v>9375</v>
      </c>
      <c r="W227" s="83"/>
      <c r="X227" s="53" t="str">
        <f>IFERROR(VLOOKUP(Anexo_5[[#This Row],[CUENTA]],OP,2,0),"-")</f>
        <v>Residuos No Peligrosos</v>
      </c>
    </row>
    <row r="228" spans="1:24" s="84" customFormat="1" ht="27" customHeight="1" x14ac:dyDescent="0.3">
      <c r="A228" s="75" t="s">
        <v>4206</v>
      </c>
      <c r="B228" s="76" t="str">
        <f t="shared" si="3"/>
        <v>Agosto</v>
      </c>
      <c r="C228" s="77" t="s">
        <v>240</v>
      </c>
      <c r="D228" s="77" t="s">
        <v>3643</v>
      </c>
      <c r="E228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228" s="79" t="s">
        <v>4563</v>
      </c>
      <c r="G228" s="148" t="s">
        <v>114</v>
      </c>
      <c r="H228" s="140" t="s">
        <v>9329</v>
      </c>
      <c r="I228" s="77" t="s">
        <v>9714</v>
      </c>
      <c r="J228" s="144" t="s">
        <v>9715</v>
      </c>
      <c r="K228" s="77" t="s">
        <v>169</v>
      </c>
      <c r="L228" s="76" t="str">
        <f>VLOOKUP(Anexo_5[[#This Row],[cod_doc]],COMPRAS!TIPODOC,2,FALSE)</f>
        <v>FACTURA</v>
      </c>
      <c r="M228" s="77" t="s">
        <v>1906</v>
      </c>
      <c r="N228" s="79" t="s">
        <v>9716</v>
      </c>
      <c r="O228" s="80">
        <v>1804.8</v>
      </c>
      <c r="P228" s="81">
        <v>324.86</v>
      </c>
      <c r="Q228" s="80"/>
      <c r="R228" s="82">
        <v>2129.66</v>
      </c>
      <c r="S228" s="77"/>
      <c r="T228" s="77"/>
      <c r="U228" s="77"/>
      <c r="V228" s="77" t="s">
        <v>9333</v>
      </c>
      <c r="W228" s="83"/>
      <c r="X228" s="53" t="str">
        <f>IFERROR(VLOOKUP(Anexo_5[[#This Row],[CUENTA]],OP,2,0),"-")</f>
        <v>Residuos Peligrosos</v>
      </c>
    </row>
    <row r="229" spans="1:24" s="84" customFormat="1" ht="27" customHeight="1" x14ac:dyDescent="0.3">
      <c r="A229" s="75" t="s">
        <v>4206</v>
      </c>
      <c r="B229" s="76" t="str">
        <f t="shared" si="3"/>
        <v>Agosto</v>
      </c>
      <c r="C229" s="77" t="s">
        <v>240</v>
      </c>
      <c r="D229" s="77" t="s">
        <v>3645</v>
      </c>
      <c r="E229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229" s="79" t="s">
        <v>4563</v>
      </c>
      <c r="G229" s="148" t="s">
        <v>114</v>
      </c>
      <c r="H229" s="140" t="s">
        <v>9381</v>
      </c>
      <c r="I229" s="77" t="s">
        <v>9382</v>
      </c>
      <c r="J229" s="144" t="s">
        <v>9383</v>
      </c>
      <c r="K229" s="77" t="s">
        <v>169</v>
      </c>
      <c r="L229" s="76" t="str">
        <f>VLOOKUP(Anexo_5[[#This Row],[cod_doc]],COMPRAS!TIPODOC,2,FALSE)</f>
        <v>FACTURA</v>
      </c>
      <c r="M229" s="77" t="s">
        <v>1906</v>
      </c>
      <c r="N229" s="79" t="s">
        <v>9717</v>
      </c>
      <c r="O229" s="80">
        <v>830</v>
      </c>
      <c r="P229" s="81">
        <v>149.4</v>
      </c>
      <c r="Q229" s="80"/>
      <c r="R229" s="82">
        <v>979.4</v>
      </c>
      <c r="S229" s="77"/>
      <c r="T229" s="77"/>
      <c r="U229" s="77"/>
      <c r="V229" s="77" t="s">
        <v>9333</v>
      </c>
      <c r="W229" s="83"/>
      <c r="X229" s="53" t="str">
        <f>IFERROR(VLOOKUP(Anexo_5[[#This Row],[CUENTA]],OP,2,0),"-")</f>
        <v>Residuos Peligrosos</v>
      </c>
    </row>
    <row r="230" spans="1:24" s="84" customFormat="1" ht="27" customHeight="1" x14ac:dyDescent="0.3">
      <c r="A230" s="75" t="s">
        <v>4206</v>
      </c>
      <c r="B230" s="76" t="str">
        <f t="shared" si="3"/>
        <v>Agosto</v>
      </c>
      <c r="C230" s="77" t="s">
        <v>240</v>
      </c>
      <c r="D230" s="77" t="s">
        <v>3647</v>
      </c>
      <c r="E230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230" s="79" t="s">
        <v>4560</v>
      </c>
      <c r="G230" s="148" t="s">
        <v>115</v>
      </c>
      <c r="H230" s="140" t="s">
        <v>9371</v>
      </c>
      <c r="I230" s="77" t="s">
        <v>9718</v>
      </c>
      <c r="J230" s="144" t="s">
        <v>9719</v>
      </c>
      <c r="K230" s="77" t="s">
        <v>169</v>
      </c>
      <c r="L230" s="76" t="str">
        <f>VLOOKUP(Anexo_5[[#This Row],[cod_doc]],COMPRAS!TIPODOC,2,FALSE)</f>
        <v>FACTURA</v>
      </c>
      <c r="M230" s="77" t="s">
        <v>1906</v>
      </c>
      <c r="N230" s="79" t="s">
        <v>9720</v>
      </c>
      <c r="O230" s="80">
        <v>1783</v>
      </c>
      <c r="P230" s="81">
        <v>320.94</v>
      </c>
      <c r="Q230" s="80"/>
      <c r="R230" s="82">
        <v>2103.94</v>
      </c>
      <c r="S230" s="77"/>
      <c r="T230" s="77"/>
      <c r="U230" s="77"/>
      <c r="V230" s="77" t="s">
        <v>9375</v>
      </c>
      <c r="W230" s="83"/>
      <c r="X230" s="53" t="str">
        <f>IFERROR(VLOOKUP(Anexo_5[[#This Row],[CUENTA]],OP,2,0),"-")</f>
        <v>Residuos No Peligrosos</v>
      </c>
    </row>
    <row r="231" spans="1:24" s="84" customFormat="1" ht="27" customHeight="1" x14ac:dyDescent="0.3">
      <c r="A231" s="75" t="s">
        <v>4296</v>
      </c>
      <c r="B231" s="76" t="str">
        <f t="shared" si="3"/>
        <v>Agosto</v>
      </c>
      <c r="C231" s="77" t="s">
        <v>240</v>
      </c>
      <c r="D231" s="77" t="s">
        <v>3649</v>
      </c>
      <c r="E231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231" s="79" t="s">
        <v>4560</v>
      </c>
      <c r="G231" s="148" t="s">
        <v>115</v>
      </c>
      <c r="H231" s="140" t="s">
        <v>9721</v>
      </c>
      <c r="I231" s="77" t="s">
        <v>9722</v>
      </c>
      <c r="J231" s="144" t="s">
        <v>9723</v>
      </c>
      <c r="K231" s="77" t="s">
        <v>169</v>
      </c>
      <c r="L231" s="76" t="str">
        <f>VLOOKUP(Anexo_5[[#This Row],[cod_doc]],COMPRAS!TIPODOC,2,FALSE)</f>
        <v>FACTURA</v>
      </c>
      <c r="M231" s="77" t="s">
        <v>1906</v>
      </c>
      <c r="N231" s="79" t="s">
        <v>9724</v>
      </c>
      <c r="O231" s="80">
        <v>45.5</v>
      </c>
      <c r="P231" s="81">
        <v>8.19</v>
      </c>
      <c r="Q231" s="80"/>
      <c r="R231" s="82">
        <v>53.69</v>
      </c>
      <c r="S231" s="77"/>
      <c r="T231" s="77"/>
      <c r="U231" s="77"/>
      <c r="V231" s="77" t="s">
        <v>9375</v>
      </c>
      <c r="W231" s="83"/>
      <c r="X231" s="53" t="str">
        <f>IFERROR(VLOOKUP(Anexo_5[[#This Row],[CUENTA]],OP,2,0),"-")</f>
        <v>Residuos No Peligrosos</v>
      </c>
    </row>
    <row r="232" spans="1:24" s="84" customFormat="1" ht="27" customHeight="1" x14ac:dyDescent="0.3">
      <c r="A232" s="75" t="s">
        <v>4296</v>
      </c>
      <c r="B232" s="76" t="str">
        <f t="shared" si="3"/>
        <v>Agosto</v>
      </c>
      <c r="C232" s="77" t="s">
        <v>240</v>
      </c>
      <c r="D232" s="77" t="s">
        <v>3649</v>
      </c>
      <c r="E232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232" s="79" t="s">
        <v>9267</v>
      </c>
      <c r="G232" s="148" t="s">
        <v>118</v>
      </c>
      <c r="H232" s="140" t="s">
        <v>9721</v>
      </c>
      <c r="I232" s="77" t="s">
        <v>9722</v>
      </c>
      <c r="J232" s="144" t="s">
        <v>9723</v>
      </c>
      <c r="K232" s="77" t="s">
        <v>169</v>
      </c>
      <c r="L232" s="76" t="str">
        <f>VLOOKUP(Anexo_5[[#This Row],[cod_doc]],COMPRAS!TIPODOC,2,FALSE)</f>
        <v>FACTURA</v>
      </c>
      <c r="M232" s="77" t="s">
        <v>1906</v>
      </c>
      <c r="N232" s="79" t="s">
        <v>9724</v>
      </c>
      <c r="O232" s="80">
        <v>4224</v>
      </c>
      <c r="P232" s="81">
        <v>760.31999999999994</v>
      </c>
      <c r="Q232" s="80"/>
      <c r="R232" s="82">
        <v>4984.32</v>
      </c>
      <c r="S232" s="77"/>
      <c r="T232" s="77"/>
      <c r="U232" s="77"/>
      <c r="V232" s="77" t="s">
        <v>9725</v>
      </c>
      <c r="W232" s="83"/>
      <c r="X232" s="53" t="str">
        <f>IFERROR(VLOOKUP(Anexo_5[[#This Row],[CUENTA]],OP,2,0),"-")</f>
        <v>RCD</v>
      </c>
    </row>
    <row r="233" spans="1:24" s="84" customFormat="1" ht="27" customHeight="1" x14ac:dyDescent="0.3">
      <c r="A233" s="75" t="s">
        <v>4296</v>
      </c>
      <c r="B233" s="76" t="str">
        <f t="shared" si="3"/>
        <v>Agosto</v>
      </c>
      <c r="C233" s="77" t="s">
        <v>240</v>
      </c>
      <c r="D233" s="77" t="s">
        <v>3652</v>
      </c>
      <c r="E233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233" s="79" t="s">
        <v>4563</v>
      </c>
      <c r="G233" s="148" t="s">
        <v>114</v>
      </c>
      <c r="H233" s="140" t="s">
        <v>9329</v>
      </c>
      <c r="I233" s="77" t="s">
        <v>9726</v>
      </c>
      <c r="J233" s="144" t="s">
        <v>9727</v>
      </c>
      <c r="K233" s="77" t="s">
        <v>169</v>
      </c>
      <c r="L233" s="76" t="str">
        <f>VLOOKUP(Anexo_5[[#This Row],[cod_doc]],COMPRAS!TIPODOC,2,FALSE)</f>
        <v>FACTURA</v>
      </c>
      <c r="M233" s="77" t="s">
        <v>1906</v>
      </c>
      <c r="N233" s="79" t="s">
        <v>9728</v>
      </c>
      <c r="O233" s="80">
        <v>1021.2</v>
      </c>
      <c r="P233" s="81">
        <v>183.82</v>
      </c>
      <c r="Q233" s="80"/>
      <c r="R233" s="82">
        <v>1205.02</v>
      </c>
      <c r="S233" s="77"/>
      <c r="T233" s="77"/>
      <c r="U233" s="77"/>
      <c r="V233" s="77" t="s">
        <v>9333</v>
      </c>
      <c r="W233" s="83"/>
      <c r="X233" s="53" t="str">
        <f>IFERROR(VLOOKUP(Anexo_5[[#This Row],[CUENTA]],OP,2,0),"-")</f>
        <v>Residuos Peligrosos</v>
      </c>
    </row>
    <row r="234" spans="1:24" s="84" customFormat="1" ht="27" customHeight="1" x14ac:dyDescent="0.3">
      <c r="A234" s="75" t="s">
        <v>4296</v>
      </c>
      <c r="B234" s="76" t="str">
        <f t="shared" si="3"/>
        <v>Agosto</v>
      </c>
      <c r="C234" s="77" t="s">
        <v>240</v>
      </c>
      <c r="D234" s="77" t="s">
        <v>3655</v>
      </c>
      <c r="E234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234" s="79" t="s">
        <v>9265</v>
      </c>
      <c r="G234" s="148" t="s">
        <v>117</v>
      </c>
      <c r="H234" s="140" t="s">
        <v>9729</v>
      </c>
      <c r="I234" s="77" t="s">
        <v>9726</v>
      </c>
      <c r="J234" s="144" t="s">
        <v>9727</v>
      </c>
      <c r="K234" s="77" t="s">
        <v>169</v>
      </c>
      <c r="L234" s="76" t="str">
        <f>VLOOKUP(Anexo_5[[#This Row],[cod_doc]],COMPRAS!TIPODOC,2,FALSE)</f>
        <v>FACTURA</v>
      </c>
      <c r="M234" s="77" t="s">
        <v>1906</v>
      </c>
      <c r="N234" s="79" t="s">
        <v>1816</v>
      </c>
      <c r="O234" s="80">
        <v>199</v>
      </c>
      <c r="P234" s="81">
        <v>35.82</v>
      </c>
      <c r="Q234" s="80"/>
      <c r="R234" s="82">
        <v>234.82</v>
      </c>
      <c r="S234" s="77"/>
      <c r="T234" s="77"/>
      <c r="U234" s="77"/>
      <c r="V234" s="77" t="s">
        <v>9730</v>
      </c>
      <c r="W234" s="83"/>
      <c r="X234" s="53" t="str">
        <f>IFERROR(VLOOKUP(Anexo_5[[#This Row],[CUENTA]],OP,2,0),"-")</f>
        <v>RAEE</v>
      </c>
    </row>
    <row r="235" spans="1:24" s="84" customFormat="1" ht="27" customHeight="1" x14ac:dyDescent="0.3">
      <c r="A235" s="75" t="s">
        <v>4296</v>
      </c>
      <c r="B235" s="76" t="str">
        <f t="shared" si="3"/>
        <v>Agosto</v>
      </c>
      <c r="C235" s="77" t="s">
        <v>240</v>
      </c>
      <c r="D235" s="77" t="s">
        <v>3658</v>
      </c>
      <c r="E235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235" s="79" t="s">
        <v>4560</v>
      </c>
      <c r="G235" s="148" t="s">
        <v>115</v>
      </c>
      <c r="H235" s="140" t="s">
        <v>9371</v>
      </c>
      <c r="I235" s="77" t="s">
        <v>1111</v>
      </c>
      <c r="J235" s="144" t="s">
        <v>1112</v>
      </c>
      <c r="K235" s="77" t="s">
        <v>169</v>
      </c>
      <c r="L235" s="76" t="str">
        <f>VLOOKUP(Anexo_5[[#This Row],[cod_doc]],COMPRAS!TIPODOC,2,FALSE)</f>
        <v>FACTURA</v>
      </c>
      <c r="M235" s="77" t="s">
        <v>1906</v>
      </c>
      <c r="N235" s="79" t="s">
        <v>9731</v>
      </c>
      <c r="O235" s="80">
        <v>1221.5999999999999</v>
      </c>
      <c r="P235" s="81">
        <v>219.89</v>
      </c>
      <c r="Q235" s="80"/>
      <c r="R235" s="82">
        <v>1441.49</v>
      </c>
      <c r="S235" s="77"/>
      <c r="T235" s="77"/>
      <c r="U235" s="77"/>
      <c r="V235" s="77" t="s">
        <v>9375</v>
      </c>
      <c r="W235" s="83"/>
      <c r="X235" s="53" t="str">
        <f>IFERROR(VLOOKUP(Anexo_5[[#This Row],[CUENTA]],OP,2,0),"-")</f>
        <v>Residuos No Peligrosos</v>
      </c>
    </row>
    <row r="236" spans="1:24" s="84" customFormat="1" ht="27" customHeight="1" x14ac:dyDescent="0.3">
      <c r="A236" s="75" t="s">
        <v>4296</v>
      </c>
      <c r="B236" s="76" t="str">
        <f t="shared" si="3"/>
        <v>Agosto</v>
      </c>
      <c r="C236" s="77" t="s">
        <v>240</v>
      </c>
      <c r="D236" s="77" t="s">
        <v>3661</v>
      </c>
      <c r="E236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236" s="79" t="s">
        <v>4560</v>
      </c>
      <c r="G236" s="148" t="s">
        <v>115</v>
      </c>
      <c r="H236" s="140" t="s">
        <v>9371</v>
      </c>
      <c r="I236" s="77" t="s">
        <v>1111</v>
      </c>
      <c r="J236" s="144" t="s">
        <v>1112</v>
      </c>
      <c r="K236" s="77" t="s">
        <v>169</v>
      </c>
      <c r="L236" s="76" t="str">
        <f>VLOOKUP(Anexo_5[[#This Row],[cod_doc]],COMPRAS!TIPODOC,2,FALSE)</f>
        <v>FACTURA</v>
      </c>
      <c r="M236" s="77" t="s">
        <v>1906</v>
      </c>
      <c r="N236" s="79" t="s">
        <v>9732</v>
      </c>
      <c r="O236" s="80">
        <v>1429.7</v>
      </c>
      <c r="P236" s="81">
        <v>257.35000000000002</v>
      </c>
      <c r="Q236" s="80"/>
      <c r="R236" s="82">
        <v>1687.05</v>
      </c>
      <c r="S236" s="77"/>
      <c r="T236" s="77"/>
      <c r="U236" s="77"/>
      <c r="V236" s="77" t="s">
        <v>9375</v>
      </c>
      <c r="W236" s="83"/>
      <c r="X236" s="53" t="str">
        <f>IFERROR(VLOOKUP(Anexo_5[[#This Row],[CUENTA]],OP,2,0),"-")</f>
        <v>Residuos No Peligrosos</v>
      </c>
    </row>
    <row r="237" spans="1:24" s="84" customFormat="1" ht="27" customHeight="1" x14ac:dyDescent="0.3">
      <c r="A237" s="75" t="s">
        <v>4296</v>
      </c>
      <c r="B237" s="76" t="str">
        <f t="shared" si="3"/>
        <v>Agosto</v>
      </c>
      <c r="C237" s="77" t="s">
        <v>240</v>
      </c>
      <c r="D237" s="77" t="s">
        <v>3664</v>
      </c>
      <c r="E237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237" s="79" t="s">
        <v>248</v>
      </c>
      <c r="G237" s="148" t="s">
        <v>249</v>
      </c>
      <c r="H237" s="140" t="s">
        <v>9343</v>
      </c>
      <c r="I237" s="77" t="s">
        <v>9353</v>
      </c>
      <c r="J237" s="144" t="s">
        <v>9354</v>
      </c>
      <c r="K237" s="77" t="s">
        <v>169</v>
      </c>
      <c r="L237" s="76" t="str">
        <f>VLOOKUP(Anexo_5[[#This Row],[cod_doc]],COMPRAS!TIPODOC,2,FALSE)</f>
        <v>FACTURA</v>
      </c>
      <c r="M237" s="77" t="s">
        <v>105</v>
      </c>
      <c r="N237" s="79" t="s">
        <v>9442</v>
      </c>
      <c r="O237" s="80">
        <v>19909.8</v>
      </c>
      <c r="P237" s="81">
        <v>3583.76</v>
      </c>
      <c r="Q237" s="80"/>
      <c r="R237" s="82">
        <v>23493.56</v>
      </c>
      <c r="S237" s="77"/>
      <c r="T237" s="77"/>
      <c r="U237" s="77"/>
      <c r="V237" s="77" t="s">
        <v>9336</v>
      </c>
      <c r="W237" s="83"/>
      <c r="X237" s="53" t="str">
        <f>IFERROR(VLOOKUP(Anexo_5[[#This Row],[CUENTA]],OP,2,0),"-")</f>
        <v>Productos Terminados - RRSS</v>
      </c>
    </row>
    <row r="238" spans="1:24" s="84" customFormat="1" ht="27" customHeight="1" x14ac:dyDescent="0.3">
      <c r="A238" s="75" t="s">
        <v>4342</v>
      </c>
      <c r="B238" s="76" t="str">
        <f t="shared" si="3"/>
        <v>Agosto</v>
      </c>
      <c r="C238" s="77" t="s">
        <v>240</v>
      </c>
      <c r="D238" s="77" t="s">
        <v>3667</v>
      </c>
      <c r="E238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238" s="79" t="s">
        <v>4563</v>
      </c>
      <c r="G238" s="148" t="s">
        <v>114</v>
      </c>
      <c r="H238" s="140" t="s">
        <v>9536</v>
      </c>
      <c r="I238" s="77" t="s">
        <v>625</v>
      </c>
      <c r="J238" s="144" t="s">
        <v>626</v>
      </c>
      <c r="K238" s="77" t="s">
        <v>169</v>
      </c>
      <c r="L238" s="76" t="str">
        <f>VLOOKUP(Anexo_5[[#This Row],[cod_doc]],COMPRAS!TIPODOC,2,FALSE)</f>
        <v>FACTURA</v>
      </c>
      <c r="M238" s="77" t="s">
        <v>1906</v>
      </c>
      <c r="N238" s="79" t="s">
        <v>9733</v>
      </c>
      <c r="O238" s="80">
        <v>15407.98</v>
      </c>
      <c r="P238" s="81">
        <v>2773.42</v>
      </c>
      <c r="Q238" s="80"/>
      <c r="R238" s="82">
        <v>18181.400000000001</v>
      </c>
      <c r="S238" s="77"/>
      <c r="T238" s="77"/>
      <c r="U238" s="77"/>
      <c r="V238" s="77" t="s">
        <v>9333</v>
      </c>
      <c r="W238" s="83"/>
      <c r="X238" s="53" t="str">
        <f>IFERROR(VLOOKUP(Anexo_5[[#This Row],[CUENTA]],OP,2,0),"-")</f>
        <v>Residuos Peligrosos</v>
      </c>
    </row>
    <row r="239" spans="1:24" s="84" customFormat="1" ht="27" customHeight="1" x14ac:dyDescent="0.3">
      <c r="A239" s="75" t="s">
        <v>4342</v>
      </c>
      <c r="B239" s="76" t="str">
        <f t="shared" si="3"/>
        <v>Agosto</v>
      </c>
      <c r="C239" s="77" t="s">
        <v>240</v>
      </c>
      <c r="D239" s="77" t="s">
        <v>3671</v>
      </c>
      <c r="E239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239" s="79" t="s">
        <v>4563</v>
      </c>
      <c r="G239" s="148" t="s">
        <v>114</v>
      </c>
      <c r="H239" s="140" t="s">
        <v>9536</v>
      </c>
      <c r="I239" s="77" t="s">
        <v>625</v>
      </c>
      <c r="J239" s="144" t="s">
        <v>626</v>
      </c>
      <c r="K239" s="77" t="s">
        <v>169</v>
      </c>
      <c r="L239" s="76" t="str">
        <f>VLOOKUP(Anexo_5[[#This Row],[cod_doc]],COMPRAS!TIPODOC,2,FALSE)</f>
        <v>FACTURA</v>
      </c>
      <c r="M239" s="77" t="s">
        <v>1906</v>
      </c>
      <c r="N239" s="79" t="s">
        <v>5927</v>
      </c>
      <c r="O239" s="80">
        <v>5194.3</v>
      </c>
      <c r="P239" s="81">
        <v>934.97</v>
      </c>
      <c r="Q239" s="80"/>
      <c r="R239" s="82">
        <v>6129.27</v>
      </c>
      <c r="S239" s="77"/>
      <c r="T239" s="77"/>
      <c r="U239" s="77"/>
      <c r="V239" s="77" t="s">
        <v>9333</v>
      </c>
      <c r="W239" s="83"/>
      <c r="X239" s="53" t="str">
        <f>IFERROR(VLOOKUP(Anexo_5[[#This Row],[CUENTA]],OP,2,0),"-")</f>
        <v>Residuos Peligrosos</v>
      </c>
    </row>
    <row r="240" spans="1:24" s="84" customFormat="1" ht="27" customHeight="1" x14ac:dyDescent="0.3">
      <c r="A240" s="75" t="s">
        <v>4342</v>
      </c>
      <c r="B240" s="76" t="str">
        <f t="shared" si="3"/>
        <v>Agosto</v>
      </c>
      <c r="C240" s="77" t="s">
        <v>240</v>
      </c>
      <c r="D240" s="77" t="s">
        <v>3674</v>
      </c>
      <c r="E240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240" s="79" t="s">
        <v>248</v>
      </c>
      <c r="G240" s="148" t="s">
        <v>249</v>
      </c>
      <c r="H240" s="140" t="s">
        <v>9335</v>
      </c>
      <c r="I240" s="77" t="s">
        <v>9669</v>
      </c>
      <c r="J240" s="144" t="s">
        <v>9670</v>
      </c>
      <c r="K240" s="77" t="s">
        <v>169</v>
      </c>
      <c r="L240" s="76" t="str">
        <f>VLOOKUP(Anexo_5[[#This Row],[cod_doc]],COMPRAS!TIPODOC,2,FALSE)</f>
        <v>FACTURA</v>
      </c>
      <c r="M240" s="77" t="s">
        <v>105</v>
      </c>
      <c r="N240" s="79" t="s">
        <v>9450</v>
      </c>
      <c r="O240" s="80">
        <v>800</v>
      </c>
      <c r="P240" s="81">
        <v>144</v>
      </c>
      <c r="Q240" s="80"/>
      <c r="R240" s="82">
        <v>944</v>
      </c>
      <c r="S240" s="77"/>
      <c r="T240" s="77"/>
      <c r="U240" s="77"/>
      <c r="V240" s="77" t="s">
        <v>9336</v>
      </c>
      <c r="W240" s="83"/>
      <c r="X240" s="53" t="str">
        <f>IFERROR(VLOOKUP(Anexo_5[[#This Row],[CUENTA]],OP,2,0),"-")</f>
        <v>Productos Terminados - RRSS</v>
      </c>
    </row>
    <row r="241" spans="1:24" s="84" customFormat="1" ht="27" customHeight="1" x14ac:dyDescent="0.3">
      <c r="A241" s="75" t="s">
        <v>4342</v>
      </c>
      <c r="B241" s="76" t="str">
        <f t="shared" si="3"/>
        <v>Agosto</v>
      </c>
      <c r="C241" s="77" t="s">
        <v>240</v>
      </c>
      <c r="D241" s="77" t="s">
        <v>3677</v>
      </c>
      <c r="E241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241" s="79" t="s">
        <v>4560</v>
      </c>
      <c r="G241" s="148" t="s">
        <v>115</v>
      </c>
      <c r="H241" s="140" t="s">
        <v>9439</v>
      </c>
      <c r="I241" s="77" t="s">
        <v>980</v>
      </c>
      <c r="J241" s="144" t="s">
        <v>981</v>
      </c>
      <c r="K241" s="77" t="s">
        <v>169</v>
      </c>
      <c r="L241" s="76" t="str">
        <f>VLOOKUP(Anexo_5[[#This Row],[cod_doc]],COMPRAS!TIPODOC,2,FALSE)</f>
        <v>FACTURA</v>
      </c>
      <c r="M241" s="77" t="s">
        <v>1906</v>
      </c>
      <c r="N241" s="79" t="s">
        <v>9734</v>
      </c>
      <c r="O241" s="80">
        <v>1548.72</v>
      </c>
      <c r="P241" s="81">
        <v>278.77</v>
      </c>
      <c r="Q241" s="80"/>
      <c r="R241" s="82">
        <v>1827.49</v>
      </c>
      <c r="S241" s="77"/>
      <c r="T241" s="77"/>
      <c r="U241" s="77"/>
      <c r="V241" s="77" t="s">
        <v>9375</v>
      </c>
      <c r="W241" s="83"/>
      <c r="X241" s="53" t="str">
        <f>IFERROR(VLOOKUP(Anexo_5[[#This Row],[CUENTA]],OP,2,0),"-")</f>
        <v>Residuos No Peligrosos</v>
      </c>
    </row>
    <row r="242" spans="1:24" s="84" customFormat="1" ht="27" customHeight="1" x14ac:dyDescent="0.3">
      <c r="A242" s="75" t="s">
        <v>4342</v>
      </c>
      <c r="B242" s="76" t="str">
        <f t="shared" si="3"/>
        <v>Agosto</v>
      </c>
      <c r="C242" s="77" t="s">
        <v>240</v>
      </c>
      <c r="D242" s="77" t="s">
        <v>3680</v>
      </c>
      <c r="E242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242" s="79" t="s">
        <v>4563</v>
      </c>
      <c r="G242" s="148" t="s">
        <v>114</v>
      </c>
      <c r="H242" s="140" t="s">
        <v>9329</v>
      </c>
      <c r="I242" s="77" t="s">
        <v>9494</v>
      </c>
      <c r="J242" s="144" t="s">
        <v>9495</v>
      </c>
      <c r="K242" s="77" t="s">
        <v>169</v>
      </c>
      <c r="L242" s="76" t="str">
        <f>VLOOKUP(Anexo_5[[#This Row],[cod_doc]],COMPRAS!TIPODOC,2,FALSE)</f>
        <v>FACTURA</v>
      </c>
      <c r="M242" s="77" t="s">
        <v>1906</v>
      </c>
      <c r="N242" s="79" t="s">
        <v>9279</v>
      </c>
      <c r="O242" s="80">
        <v>1244.22</v>
      </c>
      <c r="P242" s="81">
        <v>223.96</v>
      </c>
      <c r="Q242" s="80"/>
      <c r="R242" s="82">
        <v>1468.18</v>
      </c>
      <c r="S242" s="77"/>
      <c r="T242" s="77"/>
      <c r="U242" s="77"/>
      <c r="V242" s="77" t="s">
        <v>9333</v>
      </c>
      <c r="W242" s="83"/>
      <c r="X242" s="53" t="str">
        <f>IFERROR(VLOOKUP(Anexo_5[[#This Row],[CUENTA]],OP,2,0),"-")</f>
        <v>Residuos Peligrosos</v>
      </c>
    </row>
    <row r="243" spans="1:24" s="84" customFormat="1" ht="27" customHeight="1" x14ac:dyDescent="0.3">
      <c r="A243" s="75" t="s">
        <v>4447</v>
      </c>
      <c r="B243" s="76" t="str">
        <f t="shared" si="3"/>
        <v>Agosto</v>
      </c>
      <c r="C243" s="77" t="s">
        <v>240</v>
      </c>
      <c r="D243" s="77" t="s">
        <v>3683</v>
      </c>
      <c r="E243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243" s="79" t="s">
        <v>4560</v>
      </c>
      <c r="G243" s="148" t="s">
        <v>115</v>
      </c>
      <c r="H243" s="140" t="s">
        <v>9439</v>
      </c>
      <c r="I243" s="77" t="s">
        <v>9553</v>
      </c>
      <c r="J243" s="144" t="s">
        <v>9554</v>
      </c>
      <c r="K243" s="77" t="s">
        <v>169</v>
      </c>
      <c r="L243" s="76" t="str">
        <f>VLOOKUP(Anexo_5[[#This Row],[cod_doc]],COMPRAS!TIPODOC,2,FALSE)</f>
        <v>FACTURA</v>
      </c>
      <c r="M243" s="85" t="s">
        <v>1906</v>
      </c>
      <c r="N243" s="79" t="s">
        <v>9735</v>
      </c>
      <c r="O243" s="86">
        <v>3753</v>
      </c>
      <c r="P243" s="87">
        <v>675.54</v>
      </c>
      <c r="Q243" s="80"/>
      <c r="R243" s="88">
        <v>4428.54</v>
      </c>
      <c r="S243" s="77"/>
      <c r="T243" s="77"/>
      <c r="U243" s="77"/>
      <c r="V243" s="77" t="s">
        <v>9375</v>
      </c>
      <c r="W243" s="83"/>
      <c r="X243" s="53" t="str">
        <f>IFERROR(VLOOKUP(Anexo_5[[#This Row],[CUENTA]],OP,2,0),"-")</f>
        <v>Residuos No Peligrosos</v>
      </c>
    </row>
    <row r="244" spans="1:24" s="84" customFormat="1" ht="27" customHeight="1" x14ac:dyDescent="0.3">
      <c r="A244" s="75" t="s">
        <v>4447</v>
      </c>
      <c r="B244" s="76" t="str">
        <f t="shared" si="3"/>
        <v>Agosto</v>
      </c>
      <c r="C244" s="77" t="s">
        <v>240</v>
      </c>
      <c r="D244" s="77" t="s">
        <v>3686</v>
      </c>
      <c r="E244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244" s="79" t="s">
        <v>4563</v>
      </c>
      <c r="G244" s="148" t="s">
        <v>114</v>
      </c>
      <c r="H244" s="140" t="s">
        <v>9386</v>
      </c>
      <c r="I244" s="77" t="s">
        <v>9553</v>
      </c>
      <c r="J244" s="144" t="s">
        <v>9554</v>
      </c>
      <c r="K244" s="77" t="s">
        <v>169</v>
      </c>
      <c r="L244" s="76" t="str">
        <f>VLOOKUP(Anexo_5[[#This Row],[cod_doc]],COMPRAS!TIPODOC,2,FALSE)</f>
        <v>FACTURA</v>
      </c>
      <c r="M244" s="85" t="s">
        <v>1906</v>
      </c>
      <c r="N244" s="79" t="s">
        <v>9736</v>
      </c>
      <c r="O244" s="86">
        <v>4775.6499999999996</v>
      </c>
      <c r="P244" s="87">
        <v>859.62</v>
      </c>
      <c r="Q244" s="80"/>
      <c r="R244" s="88">
        <v>5635.27</v>
      </c>
      <c r="S244" s="77"/>
      <c r="T244" s="77"/>
      <c r="U244" s="77"/>
      <c r="V244" s="77" t="s">
        <v>9333</v>
      </c>
      <c r="W244" s="83"/>
      <c r="X244" s="53" t="str">
        <f>IFERROR(VLOOKUP(Anexo_5[[#This Row],[CUENTA]],OP,2,0),"-")</f>
        <v>Residuos Peligrosos</v>
      </c>
    </row>
    <row r="245" spans="1:24" s="84" customFormat="1" ht="27" customHeight="1" x14ac:dyDescent="0.3">
      <c r="A245" s="75" t="s">
        <v>4447</v>
      </c>
      <c r="B245" s="76" t="str">
        <f t="shared" si="3"/>
        <v>Agosto</v>
      </c>
      <c r="C245" s="77" t="s">
        <v>240</v>
      </c>
      <c r="D245" s="77" t="s">
        <v>3689</v>
      </c>
      <c r="E245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245" s="79" t="s">
        <v>4560</v>
      </c>
      <c r="G245" s="148" t="s">
        <v>115</v>
      </c>
      <c r="H245" s="140" t="s">
        <v>9439</v>
      </c>
      <c r="I245" s="77" t="s">
        <v>9553</v>
      </c>
      <c r="J245" s="144" t="s">
        <v>9554</v>
      </c>
      <c r="K245" s="77" t="s">
        <v>169</v>
      </c>
      <c r="L245" s="76" t="str">
        <f>VLOOKUP(Anexo_5[[#This Row],[cod_doc]],COMPRAS!TIPODOC,2,FALSE)</f>
        <v>FACTURA</v>
      </c>
      <c r="M245" s="85" t="s">
        <v>1906</v>
      </c>
      <c r="N245" s="79" t="s">
        <v>9737</v>
      </c>
      <c r="O245" s="86">
        <v>1391.04</v>
      </c>
      <c r="P245" s="87">
        <v>250.39</v>
      </c>
      <c r="Q245" s="80"/>
      <c r="R245" s="88">
        <v>1641.43</v>
      </c>
      <c r="S245" s="77"/>
      <c r="T245" s="77"/>
      <c r="U245" s="77"/>
      <c r="V245" s="77" t="s">
        <v>9375</v>
      </c>
      <c r="W245" s="83"/>
      <c r="X245" s="53" t="str">
        <f>IFERROR(VLOOKUP(Anexo_5[[#This Row],[CUENTA]],OP,2,0),"-")</f>
        <v>Residuos No Peligrosos</v>
      </c>
    </row>
    <row r="246" spans="1:24" s="84" customFormat="1" ht="27" customHeight="1" x14ac:dyDescent="0.3">
      <c r="A246" s="75" t="s">
        <v>4447</v>
      </c>
      <c r="B246" s="76" t="str">
        <f t="shared" si="3"/>
        <v>Agosto</v>
      </c>
      <c r="C246" s="77" t="s">
        <v>240</v>
      </c>
      <c r="D246" s="77" t="s">
        <v>3692</v>
      </c>
      <c r="E246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246" s="79" t="s">
        <v>248</v>
      </c>
      <c r="G246" s="148" t="s">
        <v>249</v>
      </c>
      <c r="H246" s="140" t="s">
        <v>9343</v>
      </c>
      <c r="I246" s="77" t="s">
        <v>9506</v>
      </c>
      <c r="J246" s="144" t="s">
        <v>9507</v>
      </c>
      <c r="K246" s="77" t="s">
        <v>169</v>
      </c>
      <c r="L246" s="76" t="str">
        <f>VLOOKUP(Anexo_5[[#This Row],[cod_doc]],COMPRAS!TIPODOC,2,FALSE)</f>
        <v>FACTURA</v>
      </c>
      <c r="M246" s="85" t="s">
        <v>107</v>
      </c>
      <c r="N246" s="79" t="s">
        <v>7942</v>
      </c>
      <c r="O246" s="86">
        <v>986.86</v>
      </c>
      <c r="P246" s="87">
        <v>177.63</v>
      </c>
      <c r="Q246" s="80"/>
      <c r="R246" s="88">
        <v>1164.49</v>
      </c>
      <c r="S246" s="77"/>
      <c r="T246" s="77"/>
      <c r="U246" s="77"/>
      <c r="V246" s="77" t="s">
        <v>9336</v>
      </c>
      <c r="W246" s="83"/>
      <c r="X246" s="53" t="str">
        <f>IFERROR(VLOOKUP(Anexo_5[[#This Row],[CUENTA]],OP,2,0),"-")</f>
        <v>Productos Terminados - RRSS</v>
      </c>
    </row>
    <row r="247" spans="1:24" s="84" customFormat="1" ht="27" customHeight="1" x14ac:dyDescent="0.3">
      <c r="A247" s="75" t="s">
        <v>4545</v>
      </c>
      <c r="B247" s="76" t="str">
        <f t="shared" si="3"/>
        <v>Agosto</v>
      </c>
      <c r="C247" s="77" t="s">
        <v>240</v>
      </c>
      <c r="D247" s="77" t="s">
        <v>3695</v>
      </c>
      <c r="E247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247" s="79" t="s">
        <v>248</v>
      </c>
      <c r="G247" s="148" t="s">
        <v>249</v>
      </c>
      <c r="H247" s="140" t="s">
        <v>9469</v>
      </c>
      <c r="I247" s="77" t="s">
        <v>9470</v>
      </c>
      <c r="J247" s="144" t="s">
        <v>9471</v>
      </c>
      <c r="K247" s="77" t="s">
        <v>169</v>
      </c>
      <c r="L247" s="76" t="str">
        <f>VLOOKUP(Anexo_5[[#This Row],[cod_doc]],COMPRAS!TIPODOC,2,FALSE)</f>
        <v>FACTURA</v>
      </c>
      <c r="M247" s="85" t="s">
        <v>105</v>
      </c>
      <c r="N247" s="79" t="s">
        <v>9738</v>
      </c>
      <c r="O247" s="86">
        <v>898.5</v>
      </c>
      <c r="P247" s="87">
        <v>161.72999999999999</v>
      </c>
      <c r="Q247" s="80"/>
      <c r="R247" s="88">
        <v>1060.23</v>
      </c>
      <c r="S247" s="77"/>
      <c r="T247" s="77"/>
      <c r="U247" s="77"/>
      <c r="V247" s="77" t="s">
        <v>9336</v>
      </c>
      <c r="W247" s="83"/>
      <c r="X247" s="53" t="str">
        <f>IFERROR(VLOOKUP(Anexo_5[[#This Row],[CUENTA]],OP,2,0),"-")</f>
        <v>Productos Terminados - RRSS</v>
      </c>
    </row>
    <row r="248" spans="1:24" s="84" customFormat="1" ht="27" customHeight="1" x14ac:dyDescent="0.3">
      <c r="A248" s="75" t="s">
        <v>4545</v>
      </c>
      <c r="B248" s="76" t="str">
        <f t="shared" si="3"/>
        <v>Agosto</v>
      </c>
      <c r="C248" s="77" t="s">
        <v>240</v>
      </c>
      <c r="D248" s="77" t="s">
        <v>3698</v>
      </c>
      <c r="E248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248" s="79" t="s">
        <v>248</v>
      </c>
      <c r="G248" s="148" t="s">
        <v>249</v>
      </c>
      <c r="H248" s="140" t="s">
        <v>9469</v>
      </c>
      <c r="I248" s="77" t="s">
        <v>9470</v>
      </c>
      <c r="J248" s="144" t="s">
        <v>9471</v>
      </c>
      <c r="K248" s="77" t="s">
        <v>169</v>
      </c>
      <c r="L248" s="76" t="str">
        <f>VLOOKUP(Anexo_5[[#This Row],[cod_doc]],COMPRAS!TIPODOC,2,FALSE)</f>
        <v>FACTURA</v>
      </c>
      <c r="M248" s="85" t="s">
        <v>105</v>
      </c>
      <c r="N248" s="79" t="s">
        <v>9453</v>
      </c>
      <c r="O248" s="86">
        <v>499.5</v>
      </c>
      <c r="P248" s="87">
        <v>89.91</v>
      </c>
      <c r="Q248" s="80"/>
      <c r="R248" s="88">
        <v>589.41</v>
      </c>
      <c r="S248" s="77"/>
      <c r="T248" s="77"/>
      <c r="U248" s="77"/>
      <c r="V248" s="77" t="s">
        <v>9336</v>
      </c>
      <c r="W248" s="83"/>
      <c r="X248" s="53" t="str">
        <f>IFERROR(VLOOKUP(Anexo_5[[#This Row],[CUENTA]],OP,2,0),"-")</f>
        <v>Productos Terminados - RRSS</v>
      </c>
    </row>
    <row r="249" spans="1:24" s="84" customFormat="1" ht="27" customHeight="1" x14ac:dyDescent="0.3">
      <c r="A249" s="75" t="s">
        <v>4545</v>
      </c>
      <c r="B249" s="76" t="str">
        <f t="shared" si="3"/>
        <v>Agosto</v>
      </c>
      <c r="C249" s="77" t="s">
        <v>240</v>
      </c>
      <c r="D249" s="77" t="s">
        <v>3701</v>
      </c>
      <c r="E249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249" s="79" t="s">
        <v>248</v>
      </c>
      <c r="G249" s="148" t="s">
        <v>249</v>
      </c>
      <c r="H249" s="140" t="s">
        <v>9469</v>
      </c>
      <c r="I249" s="77" t="s">
        <v>9470</v>
      </c>
      <c r="J249" s="144" t="s">
        <v>9471</v>
      </c>
      <c r="K249" s="77" t="s">
        <v>169</v>
      </c>
      <c r="L249" s="76" t="str">
        <f>VLOOKUP(Anexo_5[[#This Row],[cod_doc]],COMPRAS!TIPODOC,2,FALSE)</f>
        <v>FACTURA</v>
      </c>
      <c r="M249" s="85" t="s">
        <v>105</v>
      </c>
      <c r="N249" s="79" t="s">
        <v>9460</v>
      </c>
      <c r="O249" s="86">
        <v>306</v>
      </c>
      <c r="P249" s="87">
        <v>55.08</v>
      </c>
      <c r="Q249" s="80"/>
      <c r="R249" s="88">
        <v>361.08</v>
      </c>
      <c r="S249" s="77"/>
      <c r="T249" s="77"/>
      <c r="U249" s="77"/>
      <c r="V249" s="77" t="s">
        <v>9336</v>
      </c>
      <c r="W249" s="83"/>
      <c r="X249" s="53" t="str">
        <f>IFERROR(VLOOKUP(Anexo_5[[#This Row],[CUENTA]],OP,2,0),"-")</f>
        <v>Productos Terminados - RRSS</v>
      </c>
    </row>
    <row r="250" spans="1:24" s="84" customFormat="1" ht="27" customHeight="1" x14ac:dyDescent="0.3">
      <c r="A250" s="75" t="s">
        <v>4545</v>
      </c>
      <c r="B250" s="76" t="str">
        <f t="shared" si="3"/>
        <v>Agosto</v>
      </c>
      <c r="C250" s="77" t="s">
        <v>240</v>
      </c>
      <c r="D250" s="77" t="s">
        <v>3705</v>
      </c>
      <c r="E250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250" s="79" t="s">
        <v>248</v>
      </c>
      <c r="G250" s="148" t="s">
        <v>249</v>
      </c>
      <c r="H250" s="140" t="s">
        <v>9469</v>
      </c>
      <c r="I250" s="77" t="s">
        <v>9470</v>
      </c>
      <c r="J250" s="144" t="s">
        <v>9471</v>
      </c>
      <c r="K250" s="77" t="s">
        <v>169</v>
      </c>
      <c r="L250" s="76" t="str">
        <f>VLOOKUP(Anexo_5[[#This Row],[cod_doc]],COMPRAS!TIPODOC,2,FALSE)</f>
        <v>FACTURA</v>
      </c>
      <c r="M250" s="85" t="s">
        <v>105</v>
      </c>
      <c r="N250" s="79" t="s">
        <v>5049</v>
      </c>
      <c r="O250" s="86">
        <v>388.5</v>
      </c>
      <c r="P250" s="87">
        <v>69.930000000000007</v>
      </c>
      <c r="Q250" s="80"/>
      <c r="R250" s="88">
        <v>458.43</v>
      </c>
      <c r="S250" s="77"/>
      <c r="T250" s="77"/>
      <c r="U250" s="77"/>
      <c r="V250" s="77" t="s">
        <v>9336</v>
      </c>
      <c r="W250" s="83"/>
      <c r="X250" s="53" t="str">
        <f>IFERROR(VLOOKUP(Anexo_5[[#This Row],[CUENTA]],OP,2,0),"-")</f>
        <v>Productos Terminados - RRSS</v>
      </c>
    </row>
    <row r="251" spans="1:24" s="84" customFormat="1" ht="27" customHeight="1" x14ac:dyDescent="0.3">
      <c r="A251" s="75" t="s">
        <v>4545</v>
      </c>
      <c r="B251" s="76" t="str">
        <f t="shared" si="3"/>
        <v>Agosto</v>
      </c>
      <c r="C251" s="77" t="s">
        <v>240</v>
      </c>
      <c r="D251" s="77" t="s">
        <v>3706</v>
      </c>
      <c r="E251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251" s="79" t="s">
        <v>248</v>
      </c>
      <c r="G251" s="148" t="s">
        <v>249</v>
      </c>
      <c r="H251" s="140" t="s">
        <v>9585</v>
      </c>
      <c r="I251" s="77" t="s">
        <v>9664</v>
      </c>
      <c r="J251" s="144" t="s">
        <v>9665</v>
      </c>
      <c r="K251" s="77" t="s">
        <v>169</v>
      </c>
      <c r="L251" s="76" t="str">
        <f>VLOOKUP(Anexo_5[[#This Row],[cod_doc]],COMPRAS!TIPODOC,2,FALSE)</f>
        <v>FACTURA</v>
      </c>
      <c r="M251" s="85" t="s">
        <v>105</v>
      </c>
      <c r="N251" s="79" t="s">
        <v>9497</v>
      </c>
      <c r="O251" s="86">
        <v>1301</v>
      </c>
      <c r="P251" s="87">
        <v>234.18</v>
      </c>
      <c r="Q251" s="80"/>
      <c r="R251" s="88">
        <v>1535.18</v>
      </c>
      <c r="S251" s="77"/>
      <c r="T251" s="77"/>
      <c r="U251" s="77"/>
      <c r="V251" s="77" t="s">
        <v>9336</v>
      </c>
      <c r="W251" s="83"/>
      <c r="X251" s="53" t="str">
        <f>IFERROR(VLOOKUP(Anexo_5[[#This Row],[CUENTA]],OP,2,0),"-")</f>
        <v>Productos Terminados - RRSS</v>
      </c>
    </row>
    <row r="252" spans="1:24" s="84" customFormat="1" ht="27" customHeight="1" x14ac:dyDescent="0.3">
      <c r="A252" s="75" t="s">
        <v>4616</v>
      </c>
      <c r="B252" s="76" t="str">
        <f t="shared" si="3"/>
        <v>Agosto</v>
      </c>
      <c r="C252" s="77" t="s">
        <v>240</v>
      </c>
      <c r="D252" s="77" t="s">
        <v>3712</v>
      </c>
      <c r="E252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252" s="79" t="s">
        <v>4560</v>
      </c>
      <c r="G252" s="148" t="s">
        <v>115</v>
      </c>
      <c r="H252" s="140" t="s">
        <v>9439</v>
      </c>
      <c r="I252" s="77" t="s">
        <v>9592</v>
      </c>
      <c r="J252" s="144" t="s">
        <v>9593</v>
      </c>
      <c r="K252" s="77" t="s">
        <v>169</v>
      </c>
      <c r="L252" s="76" t="str">
        <f>VLOOKUP(Anexo_5[[#This Row],[cod_doc]],COMPRAS!TIPODOC,2,FALSE)</f>
        <v>FACTURA</v>
      </c>
      <c r="M252" s="85" t="s">
        <v>1906</v>
      </c>
      <c r="N252" s="79" t="s">
        <v>9739</v>
      </c>
      <c r="O252" s="86">
        <v>3424.8</v>
      </c>
      <c r="P252" s="87">
        <v>616.46</v>
      </c>
      <c r="Q252" s="80"/>
      <c r="R252" s="88">
        <v>4041.26</v>
      </c>
      <c r="S252" s="77"/>
      <c r="T252" s="77"/>
      <c r="U252" s="77"/>
      <c r="V252" s="77" t="s">
        <v>9375</v>
      </c>
      <c r="W252" s="83"/>
      <c r="X252" s="53" t="str">
        <f>IFERROR(VLOOKUP(Anexo_5[[#This Row],[CUENTA]],OP,2,0),"-")</f>
        <v>Residuos No Peligrosos</v>
      </c>
    </row>
    <row r="253" spans="1:24" s="84" customFormat="1" ht="27" customHeight="1" x14ac:dyDescent="0.3">
      <c r="A253" s="75" t="s">
        <v>4616</v>
      </c>
      <c r="B253" s="76" t="str">
        <f t="shared" si="3"/>
        <v>Agosto</v>
      </c>
      <c r="C253" s="77" t="s">
        <v>240</v>
      </c>
      <c r="D253" s="77" t="s">
        <v>3715</v>
      </c>
      <c r="E253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253" s="79" t="s">
        <v>4560</v>
      </c>
      <c r="G253" s="148" t="s">
        <v>115</v>
      </c>
      <c r="H253" s="140" t="s">
        <v>9439</v>
      </c>
      <c r="I253" s="77" t="s">
        <v>9592</v>
      </c>
      <c r="J253" s="144" t="s">
        <v>9593</v>
      </c>
      <c r="K253" s="77" t="s">
        <v>169</v>
      </c>
      <c r="L253" s="76" t="str">
        <f>VLOOKUP(Anexo_5[[#This Row],[cod_doc]],COMPRAS!TIPODOC,2,FALSE)</f>
        <v>FACTURA</v>
      </c>
      <c r="M253" s="85" t="s">
        <v>1906</v>
      </c>
      <c r="N253" s="79" t="s">
        <v>6845</v>
      </c>
      <c r="O253" s="86">
        <v>1083.24</v>
      </c>
      <c r="P253" s="87">
        <v>194.98</v>
      </c>
      <c r="Q253" s="80"/>
      <c r="R253" s="88">
        <v>1278.22</v>
      </c>
      <c r="S253" s="77"/>
      <c r="T253" s="77"/>
      <c r="U253" s="77"/>
      <c r="V253" s="77" t="s">
        <v>9375</v>
      </c>
      <c r="W253" s="83"/>
      <c r="X253" s="53" t="str">
        <f>IFERROR(VLOOKUP(Anexo_5[[#This Row],[CUENTA]],OP,2,0),"-")</f>
        <v>Residuos No Peligrosos</v>
      </c>
    </row>
    <row r="254" spans="1:24" s="84" customFormat="1" ht="27" customHeight="1" x14ac:dyDescent="0.3">
      <c r="A254" s="75" t="s">
        <v>4616</v>
      </c>
      <c r="B254" s="76" t="str">
        <f t="shared" si="3"/>
        <v>Agosto</v>
      </c>
      <c r="C254" s="77" t="s">
        <v>240</v>
      </c>
      <c r="D254" s="77" t="s">
        <v>3722</v>
      </c>
      <c r="E254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254" s="79" t="s">
        <v>4563</v>
      </c>
      <c r="G254" s="148" t="s">
        <v>114</v>
      </c>
      <c r="H254" s="140" t="s">
        <v>9536</v>
      </c>
      <c r="I254" s="77" t="s">
        <v>625</v>
      </c>
      <c r="J254" s="144" t="s">
        <v>626</v>
      </c>
      <c r="K254" s="77" t="s">
        <v>169</v>
      </c>
      <c r="L254" s="76" t="str">
        <f>VLOOKUP(Anexo_5[[#This Row],[cod_doc]],COMPRAS!TIPODOC,2,FALSE)</f>
        <v>FACTURA</v>
      </c>
      <c r="M254" s="85" t="s">
        <v>1906</v>
      </c>
      <c r="N254" s="79" t="s">
        <v>9078</v>
      </c>
      <c r="O254" s="86">
        <v>16826.27</v>
      </c>
      <c r="P254" s="87">
        <v>3028.72</v>
      </c>
      <c r="Q254" s="80"/>
      <c r="R254" s="88">
        <v>19854.990000000002</v>
      </c>
      <c r="S254" s="77"/>
      <c r="T254" s="77"/>
      <c r="U254" s="77"/>
      <c r="V254" s="77" t="s">
        <v>9333</v>
      </c>
      <c r="W254" s="83"/>
      <c r="X254" s="53" t="str">
        <f>IFERROR(VLOOKUP(Anexo_5[[#This Row],[CUENTA]],OP,2,0),"-")</f>
        <v>Residuos Peligrosos</v>
      </c>
    </row>
    <row r="255" spans="1:24" s="84" customFormat="1" ht="27" customHeight="1" x14ac:dyDescent="0.3">
      <c r="A255" s="75" t="s">
        <v>4616</v>
      </c>
      <c r="B255" s="76" t="str">
        <f t="shared" si="3"/>
        <v>Agosto</v>
      </c>
      <c r="C255" s="77" t="s">
        <v>240</v>
      </c>
      <c r="D255" s="77" t="s">
        <v>3726</v>
      </c>
      <c r="E255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255" s="79" t="s">
        <v>248</v>
      </c>
      <c r="G255" s="148" t="s">
        <v>249</v>
      </c>
      <c r="H255" s="140" t="s">
        <v>9343</v>
      </c>
      <c r="I255" s="77" t="s">
        <v>9344</v>
      </c>
      <c r="J255" s="144" t="s">
        <v>9345</v>
      </c>
      <c r="K255" s="77" t="s">
        <v>169</v>
      </c>
      <c r="L255" s="76" t="str">
        <f>VLOOKUP(Anexo_5[[#This Row],[cod_doc]],COMPRAS!TIPODOC,2,FALSE)</f>
        <v>FACTURA</v>
      </c>
      <c r="M255" s="85" t="s">
        <v>107</v>
      </c>
      <c r="N255" s="79" t="s">
        <v>9456</v>
      </c>
      <c r="O255" s="86">
        <v>883.3</v>
      </c>
      <c r="P255" s="87">
        <v>158.99</v>
      </c>
      <c r="Q255" s="80"/>
      <c r="R255" s="88">
        <v>1042.29</v>
      </c>
      <c r="S255" s="77"/>
      <c r="T255" s="77"/>
      <c r="U255" s="77"/>
      <c r="V255" s="77" t="s">
        <v>9336</v>
      </c>
      <c r="W255" s="83"/>
      <c r="X255" s="53" t="str">
        <f>IFERROR(VLOOKUP(Anexo_5[[#This Row],[CUENTA]],OP,2,0),"-")</f>
        <v>Productos Terminados - RRSS</v>
      </c>
    </row>
    <row r="256" spans="1:24" s="84" customFormat="1" ht="27" customHeight="1" x14ac:dyDescent="0.3">
      <c r="A256" s="75" t="s">
        <v>4616</v>
      </c>
      <c r="B256" s="76" t="str">
        <f t="shared" si="3"/>
        <v>Agosto</v>
      </c>
      <c r="C256" s="77" t="s">
        <v>240</v>
      </c>
      <c r="D256" s="77" t="s">
        <v>3730</v>
      </c>
      <c r="E256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256" s="79" t="s">
        <v>248</v>
      </c>
      <c r="G256" s="148" t="s">
        <v>249</v>
      </c>
      <c r="H256" s="140" t="s">
        <v>9740</v>
      </c>
      <c r="I256" s="77" t="s">
        <v>9578</v>
      </c>
      <c r="J256" s="144" t="s">
        <v>9579</v>
      </c>
      <c r="K256" s="77" t="s">
        <v>169</v>
      </c>
      <c r="L256" s="76" t="str">
        <f>VLOOKUP(Anexo_5[[#This Row],[cod_doc]],COMPRAS!TIPODOC,2,FALSE)</f>
        <v>FACTURA</v>
      </c>
      <c r="M256" s="85" t="s">
        <v>108</v>
      </c>
      <c r="N256" s="79" t="s">
        <v>1977</v>
      </c>
      <c r="O256" s="86">
        <v>4400</v>
      </c>
      <c r="P256" s="87">
        <v>792</v>
      </c>
      <c r="Q256" s="80"/>
      <c r="R256" s="88">
        <v>5192</v>
      </c>
      <c r="S256" s="77"/>
      <c r="T256" s="77"/>
      <c r="U256" s="77"/>
      <c r="V256" s="77" t="s">
        <v>9336</v>
      </c>
      <c r="W256" s="83"/>
      <c r="X256" s="53" t="str">
        <f>IFERROR(VLOOKUP(Anexo_5[[#This Row],[CUENTA]],OP,2,0),"-")</f>
        <v>Productos Terminados - RRSS</v>
      </c>
    </row>
    <row r="257" spans="1:24" s="84" customFormat="1" ht="27" customHeight="1" x14ac:dyDescent="0.3">
      <c r="A257" s="75" t="s">
        <v>4616</v>
      </c>
      <c r="B257" s="76" t="str">
        <f t="shared" si="3"/>
        <v>Agosto</v>
      </c>
      <c r="C257" s="77" t="s">
        <v>240</v>
      </c>
      <c r="D257" s="77" t="s">
        <v>3734</v>
      </c>
      <c r="E257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257" s="79" t="s">
        <v>248</v>
      </c>
      <c r="G257" s="148" t="s">
        <v>249</v>
      </c>
      <c r="H257" s="140" t="s">
        <v>9741</v>
      </c>
      <c r="I257" s="77" t="s">
        <v>9578</v>
      </c>
      <c r="J257" s="144" t="s">
        <v>9579</v>
      </c>
      <c r="K257" s="77" t="s">
        <v>169</v>
      </c>
      <c r="L257" s="76" t="str">
        <f>VLOOKUP(Anexo_5[[#This Row],[cod_doc]],COMPRAS!TIPODOC,2,FALSE)</f>
        <v>FACTURA</v>
      </c>
      <c r="M257" s="85" t="s">
        <v>108</v>
      </c>
      <c r="N257" s="79" t="s">
        <v>4819</v>
      </c>
      <c r="O257" s="86">
        <v>2400</v>
      </c>
      <c r="P257" s="87">
        <v>432</v>
      </c>
      <c r="Q257" s="80"/>
      <c r="R257" s="88">
        <v>2832</v>
      </c>
      <c r="S257" s="77"/>
      <c r="T257" s="77"/>
      <c r="U257" s="77"/>
      <c r="V257" s="77" t="s">
        <v>9336</v>
      </c>
      <c r="W257" s="83"/>
      <c r="X257" s="53" t="str">
        <f>IFERROR(VLOOKUP(Anexo_5[[#This Row],[CUENTA]],OP,2,0),"-")</f>
        <v>Productos Terminados - RRSS</v>
      </c>
    </row>
    <row r="258" spans="1:24" s="84" customFormat="1" ht="27" customHeight="1" x14ac:dyDescent="0.3">
      <c r="A258" s="75" t="s">
        <v>4616</v>
      </c>
      <c r="B258" s="76" t="str">
        <f t="shared" ref="B258:B320" si="4">PROPER(CHOOSE(LEFT(D258,2),"enero","febrero","marzo","abril","mayo","junio","julio","agosto","setiembre","octubre","noviembre","diciembre"))</f>
        <v>Agosto</v>
      </c>
      <c r="C258" s="77" t="s">
        <v>240</v>
      </c>
      <c r="D258" s="77" t="s">
        <v>3738</v>
      </c>
      <c r="E258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258" s="79" t="s">
        <v>248</v>
      </c>
      <c r="G258" s="148" t="s">
        <v>249</v>
      </c>
      <c r="H258" s="140" t="s">
        <v>9742</v>
      </c>
      <c r="I258" s="77" t="s">
        <v>9578</v>
      </c>
      <c r="J258" s="144" t="s">
        <v>9579</v>
      </c>
      <c r="K258" s="77" t="s">
        <v>169</v>
      </c>
      <c r="L258" s="76" t="str">
        <f>VLOOKUP(Anexo_5[[#This Row],[cod_doc]],COMPRAS!TIPODOC,2,FALSE)</f>
        <v>FACTURA</v>
      </c>
      <c r="M258" s="85" t="s">
        <v>108</v>
      </c>
      <c r="N258" s="79" t="s">
        <v>334</v>
      </c>
      <c r="O258" s="86">
        <v>2700</v>
      </c>
      <c r="P258" s="87">
        <v>486</v>
      </c>
      <c r="Q258" s="80"/>
      <c r="R258" s="88">
        <v>3186</v>
      </c>
      <c r="S258" s="77"/>
      <c r="T258" s="77"/>
      <c r="U258" s="77"/>
      <c r="V258" s="77" t="s">
        <v>9336</v>
      </c>
      <c r="W258" s="83"/>
      <c r="X258" s="53" t="str">
        <f>IFERROR(VLOOKUP(Anexo_5[[#This Row],[CUENTA]],OP,2,0),"-")</f>
        <v>Productos Terminados - RRSS</v>
      </c>
    </row>
    <row r="259" spans="1:24" s="84" customFormat="1" ht="27" customHeight="1" x14ac:dyDescent="0.3">
      <c r="A259" s="75" t="s">
        <v>4616</v>
      </c>
      <c r="B259" s="76" t="str">
        <f t="shared" si="4"/>
        <v>Agosto</v>
      </c>
      <c r="C259" s="77" t="s">
        <v>240</v>
      </c>
      <c r="D259" s="77" t="s">
        <v>3742</v>
      </c>
      <c r="E259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259" s="79" t="s">
        <v>248</v>
      </c>
      <c r="G259" s="148" t="s">
        <v>249</v>
      </c>
      <c r="H259" s="140" t="s">
        <v>9743</v>
      </c>
      <c r="I259" s="77" t="s">
        <v>9578</v>
      </c>
      <c r="J259" s="144" t="s">
        <v>9579</v>
      </c>
      <c r="K259" s="77" t="s">
        <v>169</v>
      </c>
      <c r="L259" s="76" t="str">
        <f>VLOOKUP(Anexo_5[[#This Row],[cod_doc]],COMPRAS!TIPODOC,2,FALSE)</f>
        <v>FACTURA</v>
      </c>
      <c r="M259" s="85" t="s">
        <v>108</v>
      </c>
      <c r="N259" s="79" t="s">
        <v>7969</v>
      </c>
      <c r="O259" s="86">
        <v>2250</v>
      </c>
      <c r="P259" s="87">
        <v>405</v>
      </c>
      <c r="Q259" s="80"/>
      <c r="R259" s="88">
        <v>2655</v>
      </c>
      <c r="S259" s="77"/>
      <c r="T259" s="77"/>
      <c r="U259" s="77"/>
      <c r="V259" s="77" t="s">
        <v>9336</v>
      </c>
      <c r="W259" s="83"/>
      <c r="X259" s="53" t="str">
        <f>IFERROR(VLOOKUP(Anexo_5[[#This Row],[CUENTA]],OP,2,0),"-")</f>
        <v>Productos Terminados - RRSS</v>
      </c>
    </row>
    <row r="260" spans="1:24" s="84" customFormat="1" ht="27" customHeight="1" x14ac:dyDescent="0.3">
      <c r="A260" s="75" t="s">
        <v>4616</v>
      </c>
      <c r="B260" s="76" t="str">
        <f t="shared" si="4"/>
        <v>Agosto</v>
      </c>
      <c r="C260" s="77" t="s">
        <v>240</v>
      </c>
      <c r="D260" s="77" t="s">
        <v>3744</v>
      </c>
      <c r="E260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260" s="79" t="s">
        <v>248</v>
      </c>
      <c r="G260" s="148" t="s">
        <v>249</v>
      </c>
      <c r="H260" s="140" t="s">
        <v>9744</v>
      </c>
      <c r="I260" s="77" t="s">
        <v>9578</v>
      </c>
      <c r="J260" s="144" t="s">
        <v>9579</v>
      </c>
      <c r="K260" s="77" t="s">
        <v>169</v>
      </c>
      <c r="L260" s="76" t="str">
        <f>VLOOKUP(Anexo_5[[#This Row],[cod_doc]],COMPRAS!TIPODOC,2,FALSE)</f>
        <v>FACTURA</v>
      </c>
      <c r="M260" s="85" t="s">
        <v>108</v>
      </c>
      <c r="N260" s="79" t="s">
        <v>439</v>
      </c>
      <c r="O260" s="86">
        <v>1000</v>
      </c>
      <c r="P260" s="87">
        <v>180</v>
      </c>
      <c r="Q260" s="80"/>
      <c r="R260" s="88">
        <v>1180</v>
      </c>
      <c r="S260" s="77"/>
      <c r="T260" s="77"/>
      <c r="U260" s="77"/>
      <c r="V260" s="77" t="s">
        <v>9336</v>
      </c>
      <c r="W260" s="83"/>
      <c r="X260" s="53" t="str">
        <f>IFERROR(VLOOKUP(Anexo_5[[#This Row],[CUENTA]],OP,2,0),"-")</f>
        <v>Productos Terminados - RRSS</v>
      </c>
    </row>
    <row r="261" spans="1:24" s="84" customFormat="1" ht="27" customHeight="1" x14ac:dyDescent="0.3">
      <c r="A261" s="79" t="s">
        <v>4975</v>
      </c>
      <c r="B261" s="119" t="str">
        <f t="shared" si="4"/>
        <v>Setiembre</v>
      </c>
      <c r="C261" s="77" t="s">
        <v>240</v>
      </c>
      <c r="D261" s="85" t="s">
        <v>4976</v>
      </c>
      <c r="E261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261" s="79" t="s">
        <v>4560</v>
      </c>
      <c r="G261" s="148" t="s">
        <v>115</v>
      </c>
      <c r="H261" s="152" t="s">
        <v>9371</v>
      </c>
      <c r="I261" s="85" t="s">
        <v>9378</v>
      </c>
      <c r="J261" s="153" t="s">
        <v>9745</v>
      </c>
      <c r="K261" s="85" t="s">
        <v>169</v>
      </c>
      <c r="L261" s="119" t="str">
        <f>VLOOKUP(Anexo_5[[#This Row],[cod_doc]],COMPRAS!TIPODOC,2,FALSE)</f>
        <v>FACTURA</v>
      </c>
      <c r="M261" s="85" t="s">
        <v>1906</v>
      </c>
      <c r="N261" s="79" t="s">
        <v>9746</v>
      </c>
      <c r="O261" s="86">
        <v>0</v>
      </c>
      <c r="P261" s="87">
        <v>0</v>
      </c>
      <c r="Q261" s="86"/>
      <c r="R261" s="88">
        <v>0</v>
      </c>
      <c r="S261" s="85"/>
      <c r="T261" s="85"/>
      <c r="U261" s="85"/>
      <c r="V261" s="85" t="s">
        <v>9375</v>
      </c>
      <c r="W261" s="83"/>
      <c r="X261" s="117" t="str">
        <f>IFERROR(VLOOKUP(Anexo_5[[#This Row],[CUENTA]],OP,2,0),"-")</f>
        <v>Residuos No Peligrosos</v>
      </c>
    </row>
    <row r="262" spans="1:24" s="84" customFormat="1" ht="27" customHeight="1" x14ac:dyDescent="0.3">
      <c r="A262" s="79" t="s">
        <v>4975</v>
      </c>
      <c r="B262" s="119" t="str">
        <f t="shared" si="4"/>
        <v>Setiembre</v>
      </c>
      <c r="C262" s="77" t="s">
        <v>240</v>
      </c>
      <c r="D262" s="85" t="s">
        <v>4980</v>
      </c>
      <c r="E262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262" s="79" t="s">
        <v>4560</v>
      </c>
      <c r="G262" s="148" t="s">
        <v>115</v>
      </c>
      <c r="H262" s="152" t="s">
        <v>9371</v>
      </c>
      <c r="I262" s="85" t="s">
        <v>9378</v>
      </c>
      <c r="J262" s="153" t="s">
        <v>9745</v>
      </c>
      <c r="K262" s="85" t="s">
        <v>169</v>
      </c>
      <c r="L262" s="119" t="str">
        <f>VLOOKUP(Anexo_5[[#This Row],[cod_doc]],COMPRAS!TIPODOC,2,FALSE)</f>
        <v>FACTURA</v>
      </c>
      <c r="M262" s="85" t="s">
        <v>1906</v>
      </c>
      <c r="N262" s="79" t="s">
        <v>9747</v>
      </c>
      <c r="O262" s="86">
        <v>7377.6</v>
      </c>
      <c r="P262" s="87">
        <v>1327.97</v>
      </c>
      <c r="Q262" s="86"/>
      <c r="R262" s="88">
        <v>8705.57</v>
      </c>
      <c r="S262" s="85"/>
      <c r="T262" s="85"/>
      <c r="U262" s="85"/>
      <c r="V262" s="85" t="s">
        <v>9375</v>
      </c>
      <c r="W262" s="83"/>
      <c r="X262" s="117" t="str">
        <f>IFERROR(VLOOKUP(Anexo_5[[#This Row],[CUENTA]],OP,2,0),"-")</f>
        <v>Residuos No Peligrosos</v>
      </c>
    </row>
    <row r="263" spans="1:24" s="84" customFormat="1" ht="27" customHeight="1" x14ac:dyDescent="0.3">
      <c r="A263" s="79" t="s">
        <v>4975</v>
      </c>
      <c r="B263" s="119" t="str">
        <f t="shared" si="4"/>
        <v>Setiembre</v>
      </c>
      <c r="C263" s="77" t="s">
        <v>240</v>
      </c>
      <c r="D263" s="85" t="s">
        <v>4983</v>
      </c>
      <c r="E263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263" s="79" t="s">
        <v>4560</v>
      </c>
      <c r="G263" s="148" t="s">
        <v>115</v>
      </c>
      <c r="H263" s="152" t="s">
        <v>9371</v>
      </c>
      <c r="I263" s="85" t="s">
        <v>9748</v>
      </c>
      <c r="J263" s="153" t="s">
        <v>9749</v>
      </c>
      <c r="K263" s="85" t="s">
        <v>169</v>
      </c>
      <c r="L263" s="119" t="str">
        <f>VLOOKUP(Anexo_5[[#This Row],[cod_doc]],COMPRAS!TIPODOC,2,FALSE)</f>
        <v>FACTURA</v>
      </c>
      <c r="M263" s="85" t="s">
        <v>1906</v>
      </c>
      <c r="N263" s="79" t="s">
        <v>9750</v>
      </c>
      <c r="O263" s="86">
        <v>963</v>
      </c>
      <c r="P263" s="87">
        <v>173.34</v>
      </c>
      <c r="Q263" s="86"/>
      <c r="R263" s="88">
        <v>1136.3399999999999</v>
      </c>
      <c r="S263" s="85"/>
      <c r="T263" s="85"/>
      <c r="U263" s="85"/>
      <c r="V263" s="85" t="s">
        <v>9375</v>
      </c>
      <c r="W263" s="83"/>
      <c r="X263" s="117" t="str">
        <f>IFERROR(VLOOKUP(Anexo_5[[#This Row],[CUENTA]],OP,2,0),"-")</f>
        <v>Residuos No Peligrosos</v>
      </c>
    </row>
    <row r="264" spans="1:24" s="84" customFormat="1" ht="27" customHeight="1" x14ac:dyDescent="0.3">
      <c r="A264" s="79" t="s">
        <v>4975</v>
      </c>
      <c r="B264" s="119" t="str">
        <f t="shared" si="4"/>
        <v>Setiembre</v>
      </c>
      <c r="C264" s="77" t="s">
        <v>240</v>
      </c>
      <c r="D264" s="85" t="s">
        <v>4988</v>
      </c>
      <c r="E264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264" s="79" t="s">
        <v>248</v>
      </c>
      <c r="G264" s="148" t="s">
        <v>249</v>
      </c>
      <c r="H264" s="152" t="s">
        <v>9343</v>
      </c>
      <c r="I264" s="85" t="s">
        <v>9344</v>
      </c>
      <c r="J264" s="153" t="s">
        <v>9751</v>
      </c>
      <c r="K264" s="85" t="s">
        <v>169</v>
      </c>
      <c r="L264" s="119" t="str">
        <f>VLOOKUP(Anexo_5[[#This Row],[cod_doc]],COMPRAS!TIPODOC,2,FALSE)</f>
        <v>FACTURA</v>
      </c>
      <c r="M264" s="85" t="s">
        <v>107</v>
      </c>
      <c r="N264" s="79" t="s">
        <v>9463</v>
      </c>
      <c r="O264" s="86">
        <v>1043.9000000000001</v>
      </c>
      <c r="P264" s="87">
        <v>187.9</v>
      </c>
      <c r="Q264" s="86"/>
      <c r="R264" s="88">
        <v>1231.8</v>
      </c>
      <c r="S264" s="85"/>
      <c r="T264" s="85"/>
      <c r="U264" s="85"/>
      <c r="V264" s="85" t="s">
        <v>9336</v>
      </c>
      <c r="W264" s="83"/>
      <c r="X264" s="117" t="str">
        <f>IFERROR(VLOOKUP(Anexo_5[[#This Row],[CUENTA]],OP,2,0),"-")</f>
        <v>Productos Terminados - RRSS</v>
      </c>
    </row>
    <row r="265" spans="1:24" s="84" customFormat="1" ht="27" customHeight="1" x14ac:dyDescent="0.3">
      <c r="A265" s="79" t="s">
        <v>4994</v>
      </c>
      <c r="B265" s="119" t="str">
        <f t="shared" si="4"/>
        <v>Setiembre</v>
      </c>
      <c r="C265" s="77" t="s">
        <v>240</v>
      </c>
      <c r="D265" s="85" t="s">
        <v>4995</v>
      </c>
      <c r="E265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265" s="79" t="s">
        <v>9278</v>
      </c>
      <c r="G265" s="148" t="s">
        <v>122</v>
      </c>
      <c r="H265" s="152" t="s">
        <v>9348</v>
      </c>
      <c r="I265" s="85" t="s">
        <v>9514</v>
      </c>
      <c r="J265" s="153" t="s">
        <v>9752</v>
      </c>
      <c r="K265" s="85" t="s">
        <v>169</v>
      </c>
      <c r="L265" s="119" t="str">
        <f>VLOOKUP(Anexo_5[[#This Row],[cod_doc]],COMPRAS!TIPODOC,2,FALSE)</f>
        <v>FACTURA</v>
      </c>
      <c r="M265" s="85" t="s">
        <v>1906</v>
      </c>
      <c r="N265" s="79" t="s">
        <v>9753</v>
      </c>
      <c r="O265" s="86">
        <v>3914.18</v>
      </c>
      <c r="P265" s="87">
        <v>704.55</v>
      </c>
      <c r="Q265" s="86"/>
      <c r="R265" s="88">
        <v>4618.7299999999996</v>
      </c>
      <c r="S265" s="85"/>
      <c r="T265" s="85"/>
      <c r="U265" s="85"/>
      <c r="V265" s="85" t="s">
        <v>9350</v>
      </c>
      <c r="W265" s="83"/>
      <c r="X265" s="117" t="str">
        <f>IFERROR(VLOOKUP(Anexo_5[[#This Row],[CUENTA]],OP,2,0),"-")</f>
        <v>Transporte de Carga - Local</v>
      </c>
    </row>
    <row r="266" spans="1:24" s="84" customFormat="1" ht="27" customHeight="1" x14ac:dyDescent="0.3">
      <c r="A266" s="79" t="s">
        <v>4994</v>
      </c>
      <c r="B266" s="119" t="str">
        <f t="shared" si="4"/>
        <v>Setiembre</v>
      </c>
      <c r="C266" s="77" t="s">
        <v>240</v>
      </c>
      <c r="D266" s="85" t="s">
        <v>5001</v>
      </c>
      <c r="E266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266" s="79" t="s">
        <v>4560</v>
      </c>
      <c r="G266" s="148" t="s">
        <v>115</v>
      </c>
      <c r="H266" s="152" t="s">
        <v>9371</v>
      </c>
      <c r="I266" s="85" t="s">
        <v>9722</v>
      </c>
      <c r="J266" s="153" t="s">
        <v>9754</v>
      </c>
      <c r="K266" s="85" t="s">
        <v>169</v>
      </c>
      <c r="L266" s="119" t="str">
        <f>VLOOKUP(Anexo_5[[#This Row],[cod_doc]],COMPRAS!TIPODOC,2,FALSE)</f>
        <v>FACTURA</v>
      </c>
      <c r="M266" s="85" t="s">
        <v>1906</v>
      </c>
      <c r="N266" s="79" t="s">
        <v>9755</v>
      </c>
      <c r="O266" s="86">
        <v>2126</v>
      </c>
      <c r="P266" s="87">
        <v>382.68</v>
      </c>
      <c r="Q266" s="86"/>
      <c r="R266" s="88">
        <v>2508.6799999999998</v>
      </c>
      <c r="S266" s="85"/>
      <c r="T266" s="85"/>
      <c r="U266" s="85"/>
      <c r="V266" s="85" t="s">
        <v>9375</v>
      </c>
      <c r="W266" s="83"/>
      <c r="X266" s="117" t="str">
        <f>IFERROR(VLOOKUP(Anexo_5[[#This Row],[CUENTA]],OP,2,0),"-")</f>
        <v>Residuos No Peligrosos</v>
      </c>
    </row>
    <row r="267" spans="1:24" s="84" customFormat="1" ht="27" customHeight="1" x14ac:dyDescent="0.3">
      <c r="A267" s="79" t="s">
        <v>4994</v>
      </c>
      <c r="B267" s="119" t="str">
        <f t="shared" si="4"/>
        <v>Setiembre</v>
      </c>
      <c r="C267" s="77" t="s">
        <v>240</v>
      </c>
      <c r="D267" s="85" t="s">
        <v>5006</v>
      </c>
      <c r="E267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267" s="79" t="s">
        <v>4560</v>
      </c>
      <c r="G267" s="148" t="s">
        <v>115</v>
      </c>
      <c r="H267" s="152" t="s">
        <v>9439</v>
      </c>
      <c r="I267" s="85" t="s">
        <v>9642</v>
      </c>
      <c r="J267" s="153" t="s">
        <v>9756</v>
      </c>
      <c r="K267" s="85" t="s">
        <v>169</v>
      </c>
      <c r="L267" s="119" t="str">
        <f>VLOOKUP(Anexo_5[[#This Row],[cod_doc]],COMPRAS!TIPODOC,2,FALSE)</f>
        <v>FACTURA</v>
      </c>
      <c r="M267" s="85" t="s">
        <v>1906</v>
      </c>
      <c r="N267" s="79" t="s">
        <v>9757</v>
      </c>
      <c r="O267" s="86">
        <v>670.43</v>
      </c>
      <c r="P267" s="87">
        <v>120.68</v>
      </c>
      <c r="Q267" s="86"/>
      <c r="R267" s="88">
        <v>791.11</v>
      </c>
      <c r="S267" s="85"/>
      <c r="T267" s="85"/>
      <c r="U267" s="85"/>
      <c r="V267" s="85" t="s">
        <v>9375</v>
      </c>
      <c r="W267" s="83"/>
      <c r="X267" s="117" t="str">
        <f>IFERROR(VLOOKUP(Anexo_5[[#This Row],[CUENTA]],OP,2,0),"-")</f>
        <v>Residuos No Peligrosos</v>
      </c>
    </row>
    <row r="268" spans="1:24" s="84" customFormat="1" ht="27" customHeight="1" x14ac:dyDescent="0.3">
      <c r="A268" s="79" t="s">
        <v>4994</v>
      </c>
      <c r="B268" s="119" t="str">
        <f t="shared" si="4"/>
        <v>Setiembre</v>
      </c>
      <c r="C268" s="77" t="s">
        <v>240</v>
      </c>
      <c r="D268" s="85" t="s">
        <v>5011</v>
      </c>
      <c r="E268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268" s="79" t="s">
        <v>9278</v>
      </c>
      <c r="G268" s="148" t="s">
        <v>122</v>
      </c>
      <c r="H268" s="152" t="s">
        <v>9348</v>
      </c>
      <c r="I268" s="85" t="s">
        <v>9514</v>
      </c>
      <c r="J268" s="153" t="s">
        <v>9752</v>
      </c>
      <c r="K268" s="85" t="s">
        <v>1896</v>
      </c>
      <c r="L268" s="119" t="str">
        <f>VLOOKUP(Anexo_5[[#This Row],[cod_doc]],COMPRAS!TIPODOC,2,FALSE)</f>
        <v>NOTA DE CREDITO</v>
      </c>
      <c r="M268" s="85" t="s">
        <v>9444</v>
      </c>
      <c r="N268" s="79" t="s">
        <v>7969</v>
      </c>
      <c r="O268" s="86">
        <v>-3953.72</v>
      </c>
      <c r="P268" s="87">
        <v>-711.67</v>
      </c>
      <c r="Q268" s="86"/>
      <c r="R268" s="88">
        <v>-4665.3900000000003</v>
      </c>
      <c r="S268" s="85" t="s">
        <v>162</v>
      </c>
      <c r="T268" s="85" t="s">
        <v>1906</v>
      </c>
      <c r="U268" s="85" t="s">
        <v>9697</v>
      </c>
      <c r="V268" s="85" t="s">
        <v>9350</v>
      </c>
      <c r="W268" s="83"/>
      <c r="X268" s="117" t="str">
        <f>IFERROR(VLOOKUP(Anexo_5[[#This Row],[CUENTA]],OP,2,0),"-")</f>
        <v>Transporte de Carga - Local</v>
      </c>
    </row>
    <row r="269" spans="1:24" s="84" customFormat="1" ht="27" customHeight="1" x14ac:dyDescent="0.3">
      <c r="A269" s="79" t="s">
        <v>5071</v>
      </c>
      <c r="B269" s="119" t="str">
        <f t="shared" si="4"/>
        <v>Setiembre</v>
      </c>
      <c r="C269" s="77" t="s">
        <v>240</v>
      </c>
      <c r="D269" s="85" t="s">
        <v>5016</v>
      </c>
      <c r="E269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269" s="79" t="s">
        <v>4563</v>
      </c>
      <c r="G269" s="148" t="s">
        <v>114</v>
      </c>
      <c r="H269" s="152" t="s">
        <v>9371</v>
      </c>
      <c r="I269" s="85" t="s">
        <v>9758</v>
      </c>
      <c r="J269" s="153" t="s">
        <v>9759</v>
      </c>
      <c r="K269" s="85" t="s">
        <v>169</v>
      </c>
      <c r="L269" s="119" t="str">
        <f>VLOOKUP(Anexo_5[[#This Row],[cod_doc]],COMPRAS!TIPODOC,2,FALSE)</f>
        <v>FACTURA</v>
      </c>
      <c r="M269" s="85" t="s">
        <v>1906</v>
      </c>
      <c r="N269" s="79" t="s">
        <v>9043</v>
      </c>
      <c r="O269" s="86">
        <v>2169.9</v>
      </c>
      <c r="P269" s="87">
        <v>390.58</v>
      </c>
      <c r="Q269" s="86"/>
      <c r="R269" s="88">
        <v>2560.48</v>
      </c>
      <c r="S269" s="85"/>
      <c r="T269" s="85"/>
      <c r="U269" s="85"/>
      <c r="V269" s="85" t="s">
        <v>9333</v>
      </c>
      <c r="W269" s="83"/>
      <c r="X269" s="117" t="str">
        <f>IFERROR(VLOOKUP(Anexo_5[[#This Row],[CUENTA]],OP,2,0),"-")</f>
        <v>Residuos Peligrosos</v>
      </c>
    </row>
    <row r="270" spans="1:24" s="84" customFormat="1" ht="27" customHeight="1" x14ac:dyDescent="0.3">
      <c r="A270" s="79" t="s">
        <v>5071</v>
      </c>
      <c r="B270" s="119" t="str">
        <f t="shared" si="4"/>
        <v>Setiembre</v>
      </c>
      <c r="C270" s="77" t="s">
        <v>240</v>
      </c>
      <c r="D270" s="85" t="s">
        <v>5016</v>
      </c>
      <c r="E270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270" s="79" t="s">
        <v>4560</v>
      </c>
      <c r="G270" s="148" t="s">
        <v>115</v>
      </c>
      <c r="H270" s="152" t="s">
        <v>9371</v>
      </c>
      <c r="I270" s="85" t="s">
        <v>9758</v>
      </c>
      <c r="J270" s="153" t="s">
        <v>9759</v>
      </c>
      <c r="K270" s="85" t="s">
        <v>169</v>
      </c>
      <c r="L270" s="119" t="str">
        <f>VLOOKUP(Anexo_5[[#This Row],[cod_doc]],COMPRAS!TIPODOC,2,FALSE)</f>
        <v>FACTURA</v>
      </c>
      <c r="M270" s="85" t="s">
        <v>1906</v>
      </c>
      <c r="N270" s="79" t="s">
        <v>9043</v>
      </c>
      <c r="O270" s="86">
        <v>1726.99</v>
      </c>
      <c r="P270" s="87">
        <v>310.86</v>
      </c>
      <c r="Q270" s="86"/>
      <c r="R270" s="88">
        <v>2037.85</v>
      </c>
      <c r="S270" s="85"/>
      <c r="T270" s="85"/>
      <c r="U270" s="85"/>
      <c r="V270" s="85" t="s">
        <v>9375</v>
      </c>
      <c r="W270" s="83"/>
      <c r="X270" s="117" t="str">
        <f>IFERROR(VLOOKUP(Anexo_5[[#This Row],[CUENTA]],OP,2,0),"-")</f>
        <v>Residuos No Peligrosos</v>
      </c>
    </row>
    <row r="271" spans="1:24" s="84" customFormat="1" ht="27" customHeight="1" x14ac:dyDescent="0.3">
      <c r="A271" s="79" t="s">
        <v>5071</v>
      </c>
      <c r="B271" s="119" t="str">
        <f t="shared" si="4"/>
        <v>Setiembre</v>
      </c>
      <c r="C271" s="77" t="s">
        <v>240</v>
      </c>
      <c r="D271" s="85" t="s">
        <v>5021</v>
      </c>
      <c r="E271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271" s="79" t="s">
        <v>4563</v>
      </c>
      <c r="G271" s="148" t="s">
        <v>114</v>
      </c>
      <c r="H271" s="152" t="s">
        <v>9371</v>
      </c>
      <c r="I271" s="85" t="s">
        <v>9758</v>
      </c>
      <c r="J271" s="153" t="s">
        <v>9759</v>
      </c>
      <c r="K271" s="85" t="s">
        <v>169</v>
      </c>
      <c r="L271" s="119" t="str">
        <f>VLOOKUP(Anexo_5[[#This Row],[cod_doc]],COMPRAS!TIPODOC,2,FALSE)</f>
        <v>FACTURA</v>
      </c>
      <c r="M271" s="85" t="s">
        <v>1906</v>
      </c>
      <c r="N271" s="79" t="s">
        <v>8289</v>
      </c>
      <c r="O271" s="86">
        <v>2169.9</v>
      </c>
      <c r="P271" s="87">
        <v>390.58</v>
      </c>
      <c r="Q271" s="86"/>
      <c r="R271" s="88">
        <v>2560.48</v>
      </c>
      <c r="S271" s="85"/>
      <c r="T271" s="85"/>
      <c r="U271" s="85"/>
      <c r="V271" s="85" t="s">
        <v>9333</v>
      </c>
      <c r="W271" s="83"/>
      <c r="X271" s="117" t="str">
        <f>IFERROR(VLOOKUP(Anexo_5[[#This Row],[CUENTA]],OP,2,0),"-")</f>
        <v>Residuos Peligrosos</v>
      </c>
    </row>
    <row r="272" spans="1:24" s="84" customFormat="1" ht="27" customHeight="1" x14ac:dyDescent="0.3">
      <c r="A272" s="79" t="s">
        <v>5071</v>
      </c>
      <c r="B272" s="119" t="str">
        <f t="shared" si="4"/>
        <v>Setiembre</v>
      </c>
      <c r="C272" s="77" t="s">
        <v>240</v>
      </c>
      <c r="D272" s="85" t="s">
        <v>5021</v>
      </c>
      <c r="E272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272" s="79" t="s">
        <v>4560</v>
      </c>
      <c r="G272" s="148" t="s">
        <v>115</v>
      </c>
      <c r="H272" s="152" t="s">
        <v>9371</v>
      </c>
      <c r="I272" s="85" t="s">
        <v>9758</v>
      </c>
      <c r="J272" s="153" t="s">
        <v>9759</v>
      </c>
      <c r="K272" s="85" t="s">
        <v>169</v>
      </c>
      <c r="L272" s="119" t="str">
        <f>VLOOKUP(Anexo_5[[#This Row],[cod_doc]],COMPRAS!TIPODOC,2,FALSE)</f>
        <v>FACTURA</v>
      </c>
      <c r="M272" s="85" t="s">
        <v>1906</v>
      </c>
      <c r="N272" s="79" t="s">
        <v>8289</v>
      </c>
      <c r="O272" s="86">
        <v>1726.99</v>
      </c>
      <c r="P272" s="87">
        <v>310.86</v>
      </c>
      <c r="Q272" s="86"/>
      <c r="R272" s="88">
        <v>2037.85</v>
      </c>
      <c r="S272" s="85"/>
      <c r="T272" s="85"/>
      <c r="U272" s="85"/>
      <c r="V272" s="85" t="s">
        <v>9375</v>
      </c>
      <c r="W272" s="83"/>
      <c r="X272" s="117" t="str">
        <f>IFERROR(VLOOKUP(Anexo_5[[#This Row],[CUENTA]],OP,2,0),"-")</f>
        <v>Residuos No Peligrosos</v>
      </c>
    </row>
    <row r="273" spans="1:24" s="84" customFormat="1" ht="27" customHeight="1" x14ac:dyDescent="0.3">
      <c r="A273" s="79" t="s">
        <v>5071</v>
      </c>
      <c r="B273" s="119" t="str">
        <f t="shared" si="4"/>
        <v>Setiembre</v>
      </c>
      <c r="C273" s="77" t="s">
        <v>240</v>
      </c>
      <c r="D273" s="85" t="s">
        <v>5026</v>
      </c>
      <c r="E273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273" s="79" t="s">
        <v>4560</v>
      </c>
      <c r="G273" s="148" t="s">
        <v>115</v>
      </c>
      <c r="H273" s="152" t="s">
        <v>9371</v>
      </c>
      <c r="I273" s="85" t="s">
        <v>9397</v>
      </c>
      <c r="J273" s="153" t="s">
        <v>9760</v>
      </c>
      <c r="K273" s="85" t="s">
        <v>169</v>
      </c>
      <c r="L273" s="119" t="str">
        <f>VLOOKUP(Anexo_5[[#This Row],[cod_doc]],COMPRAS!TIPODOC,2,FALSE)</f>
        <v>FACTURA</v>
      </c>
      <c r="M273" s="85" t="s">
        <v>1906</v>
      </c>
      <c r="N273" s="79" t="s">
        <v>9761</v>
      </c>
      <c r="O273" s="86">
        <v>7908.9</v>
      </c>
      <c r="P273" s="87">
        <v>1423.6</v>
      </c>
      <c r="Q273" s="86"/>
      <c r="R273" s="88">
        <v>9332.5</v>
      </c>
      <c r="S273" s="85"/>
      <c r="T273" s="85"/>
      <c r="U273" s="85"/>
      <c r="V273" s="85" t="s">
        <v>9375</v>
      </c>
      <c r="W273" s="83"/>
      <c r="X273" s="117" t="str">
        <f>IFERROR(VLOOKUP(Anexo_5[[#This Row],[CUENTA]],OP,2,0),"-")</f>
        <v>Residuos No Peligrosos</v>
      </c>
    </row>
    <row r="274" spans="1:24" s="84" customFormat="1" ht="27" customHeight="1" x14ac:dyDescent="0.3">
      <c r="A274" s="79" t="s">
        <v>5071</v>
      </c>
      <c r="B274" s="119" t="str">
        <f t="shared" si="4"/>
        <v>Setiembre</v>
      </c>
      <c r="C274" s="77" t="s">
        <v>240</v>
      </c>
      <c r="D274" s="85" t="s">
        <v>5031</v>
      </c>
      <c r="E274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274" s="79" t="s">
        <v>248</v>
      </c>
      <c r="G274" s="148" t="s">
        <v>249</v>
      </c>
      <c r="H274" s="152" t="s">
        <v>9762</v>
      </c>
      <c r="I274" s="85" t="s">
        <v>9422</v>
      </c>
      <c r="J274" s="153" t="s">
        <v>9763</v>
      </c>
      <c r="K274" s="85" t="s">
        <v>169</v>
      </c>
      <c r="L274" s="119" t="str">
        <f>VLOOKUP(Anexo_5[[#This Row],[cod_doc]],COMPRAS!TIPODOC,2,FALSE)</f>
        <v>FACTURA</v>
      </c>
      <c r="M274" s="85" t="s">
        <v>107</v>
      </c>
      <c r="N274" s="79" t="s">
        <v>9467</v>
      </c>
      <c r="O274" s="86">
        <v>4131</v>
      </c>
      <c r="P274" s="87">
        <v>743.58</v>
      </c>
      <c r="Q274" s="86"/>
      <c r="R274" s="88">
        <v>4874.58</v>
      </c>
      <c r="S274" s="85"/>
      <c r="T274" s="85"/>
      <c r="U274" s="85"/>
      <c r="V274" s="85" t="s">
        <v>9336</v>
      </c>
      <c r="W274" s="83"/>
      <c r="X274" s="117" t="str">
        <f>IFERROR(VLOOKUP(Anexo_5[[#This Row],[CUENTA]],OP,2,0),"-")</f>
        <v>Productos Terminados - RRSS</v>
      </c>
    </row>
    <row r="275" spans="1:24" s="84" customFormat="1" ht="27" customHeight="1" x14ac:dyDescent="0.3">
      <c r="A275" s="79" t="s">
        <v>5071</v>
      </c>
      <c r="B275" s="119" t="str">
        <f t="shared" si="4"/>
        <v>Setiembre</v>
      </c>
      <c r="C275" s="77" t="s">
        <v>240</v>
      </c>
      <c r="D275" s="85" t="s">
        <v>5036</v>
      </c>
      <c r="E275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275" s="79" t="s">
        <v>4560</v>
      </c>
      <c r="G275" s="148" t="s">
        <v>115</v>
      </c>
      <c r="H275" s="152" t="s">
        <v>9371</v>
      </c>
      <c r="I275" s="85" t="s">
        <v>9378</v>
      </c>
      <c r="J275" s="153" t="s">
        <v>9745</v>
      </c>
      <c r="K275" s="85" t="s">
        <v>1896</v>
      </c>
      <c r="L275" s="119" t="str">
        <f>VLOOKUP(Anexo_5[[#This Row],[cod_doc]],COMPRAS!TIPODOC,2,FALSE)</f>
        <v>NOTA DE CREDITO</v>
      </c>
      <c r="M275" s="85" t="s">
        <v>9444</v>
      </c>
      <c r="N275" s="79" t="s">
        <v>439</v>
      </c>
      <c r="O275" s="86">
        <v>-2448</v>
      </c>
      <c r="P275" s="87">
        <v>-440.64</v>
      </c>
      <c r="Q275" s="86"/>
      <c r="R275" s="88">
        <v>-2888.64</v>
      </c>
      <c r="S275" s="85" t="s">
        <v>162</v>
      </c>
      <c r="T275" s="85" t="s">
        <v>102</v>
      </c>
      <c r="U275" s="85" t="s">
        <v>9764</v>
      </c>
      <c r="V275" s="85" t="s">
        <v>9375</v>
      </c>
      <c r="W275" s="83"/>
      <c r="X275" s="117" t="str">
        <f>IFERROR(VLOOKUP(Anexo_5[[#This Row],[CUENTA]],OP,2,0),"-")</f>
        <v>Residuos No Peligrosos</v>
      </c>
    </row>
    <row r="276" spans="1:24" s="84" customFormat="1" ht="27" customHeight="1" x14ac:dyDescent="0.3">
      <c r="A276" s="79" t="s">
        <v>5071</v>
      </c>
      <c r="B276" s="119" t="str">
        <f t="shared" si="4"/>
        <v>Setiembre</v>
      </c>
      <c r="C276" s="77" t="s">
        <v>240</v>
      </c>
      <c r="D276" s="85" t="s">
        <v>5040</v>
      </c>
      <c r="E276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276" s="79" t="s">
        <v>4560</v>
      </c>
      <c r="G276" s="148" t="s">
        <v>115</v>
      </c>
      <c r="H276" s="152" t="s">
        <v>9371</v>
      </c>
      <c r="I276" s="85" t="s">
        <v>9378</v>
      </c>
      <c r="J276" s="153" t="s">
        <v>9745</v>
      </c>
      <c r="K276" s="85" t="s">
        <v>1896</v>
      </c>
      <c r="L276" s="119" t="str">
        <f>VLOOKUP(Anexo_5[[#This Row],[cod_doc]],COMPRAS!TIPODOC,2,FALSE)</f>
        <v>NOTA DE CREDITO</v>
      </c>
      <c r="M276" s="85" t="s">
        <v>9444</v>
      </c>
      <c r="N276" s="79" t="s">
        <v>4925</v>
      </c>
      <c r="O276" s="86">
        <v>-2980</v>
      </c>
      <c r="P276" s="87">
        <v>-536.4</v>
      </c>
      <c r="Q276" s="86"/>
      <c r="R276" s="88">
        <v>-3516.4</v>
      </c>
      <c r="S276" s="85" t="s">
        <v>162</v>
      </c>
      <c r="T276" s="85" t="s">
        <v>102</v>
      </c>
      <c r="U276" s="85" t="s">
        <v>9341</v>
      </c>
      <c r="V276" s="85" t="s">
        <v>9375</v>
      </c>
      <c r="W276" s="83"/>
      <c r="X276" s="117" t="str">
        <f>IFERROR(VLOOKUP(Anexo_5[[#This Row],[CUENTA]],OP,2,0),"-")</f>
        <v>Residuos No Peligrosos</v>
      </c>
    </row>
    <row r="277" spans="1:24" s="84" customFormat="1" ht="27" customHeight="1" x14ac:dyDescent="0.3">
      <c r="A277" s="79" t="s">
        <v>5095</v>
      </c>
      <c r="B277" s="119" t="str">
        <f t="shared" si="4"/>
        <v>Setiembre</v>
      </c>
      <c r="C277" s="77" t="s">
        <v>240</v>
      </c>
      <c r="D277" s="85" t="s">
        <v>5045</v>
      </c>
      <c r="E277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277" s="79" t="s">
        <v>4560</v>
      </c>
      <c r="G277" s="148" t="s">
        <v>115</v>
      </c>
      <c r="H277" s="152" t="s">
        <v>9371</v>
      </c>
      <c r="I277" s="85" t="s">
        <v>9378</v>
      </c>
      <c r="J277" s="153" t="s">
        <v>9745</v>
      </c>
      <c r="K277" s="85" t="s">
        <v>169</v>
      </c>
      <c r="L277" s="119" t="str">
        <f>VLOOKUP(Anexo_5[[#This Row],[cod_doc]],COMPRAS!TIPODOC,2,FALSE)</f>
        <v>FACTURA</v>
      </c>
      <c r="M277" s="85" t="s">
        <v>1906</v>
      </c>
      <c r="N277" s="79" t="s">
        <v>9765</v>
      </c>
      <c r="O277" s="86">
        <v>2448</v>
      </c>
      <c r="P277" s="87">
        <v>440.64</v>
      </c>
      <c r="Q277" s="86"/>
      <c r="R277" s="88">
        <v>2888.64</v>
      </c>
      <c r="S277" s="85"/>
      <c r="T277" s="85"/>
      <c r="U277" s="85"/>
      <c r="V277" s="85" t="s">
        <v>9375</v>
      </c>
      <c r="W277" s="83"/>
      <c r="X277" s="117" t="str">
        <f>IFERROR(VLOOKUP(Anexo_5[[#This Row],[CUENTA]],OP,2,0),"-")</f>
        <v>Residuos No Peligrosos</v>
      </c>
    </row>
    <row r="278" spans="1:24" s="84" customFormat="1" ht="27" customHeight="1" x14ac:dyDescent="0.3">
      <c r="A278" s="79" t="s">
        <v>5095</v>
      </c>
      <c r="B278" s="119" t="str">
        <f t="shared" si="4"/>
        <v>Setiembre</v>
      </c>
      <c r="C278" s="77" t="s">
        <v>240</v>
      </c>
      <c r="D278" s="85" t="s">
        <v>5050</v>
      </c>
      <c r="E278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278" s="79" t="s">
        <v>4560</v>
      </c>
      <c r="G278" s="148" t="s">
        <v>115</v>
      </c>
      <c r="H278" s="152" t="s">
        <v>9371</v>
      </c>
      <c r="I278" s="85" t="s">
        <v>9378</v>
      </c>
      <c r="J278" s="153" t="s">
        <v>9745</v>
      </c>
      <c r="K278" s="85" t="s">
        <v>169</v>
      </c>
      <c r="L278" s="119" t="str">
        <f>VLOOKUP(Anexo_5[[#This Row],[cod_doc]],COMPRAS!TIPODOC,2,FALSE)</f>
        <v>FACTURA</v>
      </c>
      <c r="M278" s="85" t="s">
        <v>1906</v>
      </c>
      <c r="N278" s="79" t="s">
        <v>9766</v>
      </c>
      <c r="O278" s="86">
        <v>2980</v>
      </c>
      <c r="P278" s="87">
        <v>536.4</v>
      </c>
      <c r="Q278" s="86"/>
      <c r="R278" s="88">
        <v>3516.4</v>
      </c>
      <c r="S278" s="85"/>
      <c r="T278" s="85"/>
      <c r="U278" s="85"/>
      <c r="V278" s="85" t="s">
        <v>9375</v>
      </c>
      <c r="W278" s="83"/>
      <c r="X278" s="117" t="str">
        <f>IFERROR(VLOOKUP(Anexo_5[[#This Row],[CUENTA]],OP,2,0),"-")</f>
        <v>Residuos No Peligrosos</v>
      </c>
    </row>
    <row r="279" spans="1:24" s="84" customFormat="1" ht="27" customHeight="1" x14ac:dyDescent="0.3">
      <c r="A279" s="79" t="s">
        <v>5095</v>
      </c>
      <c r="B279" s="119" t="str">
        <f t="shared" si="4"/>
        <v>Setiembre</v>
      </c>
      <c r="C279" s="77" t="s">
        <v>240</v>
      </c>
      <c r="D279" s="85" t="s">
        <v>5055</v>
      </c>
      <c r="E279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279" s="79" t="s">
        <v>4563</v>
      </c>
      <c r="G279" s="148" t="s">
        <v>114</v>
      </c>
      <c r="H279" s="152" t="s">
        <v>9329</v>
      </c>
      <c r="I279" s="85" t="s">
        <v>9397</v>
      </c>
      <c r="J279" s="153" t="s">
        <v>9760</v>
      </c>
      <c r="K279" s="85" t="s">
        <v>169</v>
      </c>
      <c r="L279" s="119" t="str">
        <f>VLOOKUP(Anexo_5[[#This Row],[cod_doc]],COMPRAS!TIPODOC,2,FALSE)</f>
        <v>FACTURA</v>
      </c>
      <c r="M279" s="85" t="s">
        <v>1906</v>
      </c>
      <c r="N279" s="79" t="s">
        <v>9767</v>
      </c>
      <c r="O279" s="86">
        <v>8680.4599999999991</v>
      </c>
      <c r="P279" s="87">
        <v>1562.48</v>
      </c>
      <c r="Q279" s="86"/>
      <c r="R279" s="88">
        <v>10242.94</v>
      </c>
      <c r="S279" s="85"/>
      <c r="T279" s="85"/>
      <c r="U279" s="85"/>
      <c r="V279" s="85" t="s">
        <v>9333</v>
      </c>
      <c r="W279" s="83"/>
      <c r="X279" s="117" t="str">
        <f>IFERROR(VLOOKUP(Anexo_5[[#This Row],[CUENTA]],OP,2,0),"-")</f>
        <v>Residuos Peligrosos</v>
      </c>
    </row>
    <row r="280" spans="1:24" s="84" customFormat="1" ht="27" customHeight="1" x14ac:dyDescent="0.3">
      <c r="A280" s="79" t="s">
        <v>5095</v>
      </c>
      <c r="B280" s="119" t="str">
        <f t="shared" si="4"/>
        <v>Setiembre</v>
      </c>
      <c r="C280" s="77" t="s">
        <v>240</v>
      </c>
      <c r="D280" s="85" t="s">
        <v>5059</v>
      </c>
      <c r="E280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280" s="79" t="s">
        <v>248</v>
      </c>
      <c r="G280" s="148" t="s">
        <v>249</v>
      </c>
      <c r="H280" s="152" t="s">
        <v>9335</v>
      </c>
      <c r="I280" s="85" t="s">
        <v>9669</v>
      </c>
      <c r="J280" s="153" t="s">
        <v>9768</v>
      </c>
      <c r="K280" s="85" t="s">
        <v>169</v>
      </c>
      <c r="L280" s="119" t="str">
        <f>VLOOKUP(Anexo_5[[#This Row],[cod_doc]],COMPRAS!TIPODOC,2,FALSE)</f>
        <v>FACTURA</v>
      </c>
      <c r="M280" s="85" t="s">
        <v>105</v>
      </c>
      <c r="N280" s="79" t="s">
        <v>9512</v>
      </c>
      <c r="O280" s="86">
        <v>800</v>
      </c>
      <c r="P280" s="87">
        <v>144</v>
      </c>
      <c r="Q280" s="86"/>
      <c r="R280" s="88">
        <v>944</v>
      </c>
      <c r="S280" s="85"/>
      <c r="T280" s="85"/>
      <c r="U280" s="85"/>
      <c r="V280" s="85" t="s">
        <v>9336</v>
      </c>
      <c r="W280" s="83"/>
      <c r="X280" s="117" t="str">
        <f>IFERROR(VLOOKUP(Anexo_5[[#This Row],[CUENTA]],OP,2,0),"-")</f>
        <v>Productos Terminados - RRSS</v>
      </c>
    </row>
    <row r="281" spans="1:24" s="84" customFormat="1" ht="27" customHeight="1" x14ac:dyDescent="0.3">
      <c r="A281" s="79" t="s">
        <v>5080</v>
      </c>
      <c r="B281" s="119" t="str">
        <f t="shared" si="4"/>
        <v>Setiembre</v>
      </c>
      <c r="C281" s="77" t="s">
        <v>240</v>
      </c>
      <c r="D281" s="85" t="s">
        <v>5063</v>
      </c>
      <c r="E281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281" s="79" t="s">
        <v>4560</v>
      </c>
      <c r="G281" s="148" t="s">
        <v>115</v>
      </c>
      <c r="H281" s="152" t="s">
        <v>9371</v>
      </c>
      <c r="I281" s="85" t="s">
        <v>9705</v>
      </c>
      <c r="J281" s="153" t="s">
        <v>9769</v>
      </c>
      <c r="K281" s="85" t="s">
        <v>169</v>
      </c>
      <c r="L281" s="119" t="str">
        <f>VLOOKUP(Anexo_5[[#This Row],[cod_doc]],COMPRAS!TIPODOC,2,FALSE)</f>
        <v>FACTURA</v>
      </c>
      <c r="M281" s="85" t="s">
        <v>1906</v>
      </c>
      <c r="N281" s="79" t="s">
        <v>9770</v>
      </c>
      <c r="O281" s="86">
        <v>10641.65</v>
      </c>
      <c r="P281" s="87">
        <v>1915.5</v>
      </c>
      <c r="Q281" s="86"/>
      <c r="R281" s="88">
        <v>12557.15</v>
      </c>
      <c r="S281" s="85"/>
      <c r="T281" s="85"/>
      <c r="U281" s="85"/>
      <c r="V281" s="85" t="s">
        <v>9375</v>
      </c>
      <c r="W281" s="83"/>
      <c r="X281" s="117" t="str">
        <f>IFERROR(VLOOKUP(Anexo_5[[#This Row],[CUENTA]],OP,2,0),"-")</f>
        <v>Residuos No Peligrosos</v>
      </c>
    </row>
    <row r="282" spans="1:24" s="84" customFormat="1" ht="27" customHeight="1" x14ac:dyDescent="0.3">
      <c r="A282" s="79" t="s">
        <v>5080</v>
      </c>
      <c r="B282" s="119" t="str">
        <f t="shared" si="4"/>
        <v>Setiembre</v>
      </c>
      <c r="C282" s="77" t="s">
        <v>240</v>
      </c>
      <c r="D282" s="85" t="s">
        <v>5067</v>
      </c>
      <c r="E282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282" s="79" t="s">
        <v>4563</v>
      </c>
      <c r="G282" s="148" t="s">
        <v>114</v>
      </c>
      <c r="H282" s="152" t="s">
        <v>9329</v>
      </c>
      <c r="I282" s="85" t="s">
        <v>9705</v>
      </c>
      <c r="J282" s="153" t="s">
        <v>9769</v>
      </c>
      <c r="K282" s="85" t="s">
        <v>169</v>
      </c>
      <c r="L282" s="119" t="str">
        <f>VLOOKUP(Anexo_5[[#This Row],[cod_doc]],COMPRAS!TIPODOC,2,FALSE)</f>
        <v>FACTURA</v>
      </c>
      <c r="M282" s="85" t="s">
        <v>1906</v>
      </c>
      <c r="N282" s="79" t="s">
        <v>9771</v>
      </c>
      <c r="O282" s="86">
        <v>5089.3999999999996</v>
      </c>
      <c r="P282" s="87">
        <v>916.09</v>
      </c>
      <c r="Q282" s="86"/>
      <c r="R282" s="88">
        <v>6005.49</v>
      </c>
      <c r="S282" s="85"/>
      <c r="T282" s="85"/>
      <c r="U282" s="85"/>
      <c r="V282" s="85" t="s">
        <v>9333</v>
      </c>
      <c r="W282" s="83"/>
      <c r="X282" s="117" t="str">
        <f>IFERROR(VLOOKUP(Anexo_5[[#This Row],[CUENTA]],OP,2,0),"-")</f>
        <v>Residuos Peligrosos</v>
      </c>
    </row>
    <row r="283" spans="1:24" s="84" customFormat="1" ht="27" customHeight="1" x14ac:dyDescent="0.3">
      <c r="A283" s="79" t="s">
        <v>5080</v>
      </c>
      <c r="B283" s="119" t="str">
        <f t="shared" si="4"/>
        <v>Setiembre</v>
      </c>
      <c r="C283" s="77" t="s">
        <v>240</v>
      </c>
      <c r="D283" s="85" t="s">
        <v>5072</v>
      </c>
      <c r="E283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283" s="79" t="s">
        <v>4560</v>
      </c>
      <c r="G283" s="148" t="s">
        <v>115</v>
      </c>
      <c r="H283" s="152" t="s">
        <v>9371</v>
      </c>
      <c r="I283" s="85" t="s">
        <v>9711</v>
      </c>
      <c r="J283" s="153" t="s">
        <v>9772</v>
      </c>
      <c r="K283" s="85" t="s">
        <v>169</v>
      </c>
      <c r="L283" s="119" t="str">
        <f>VLOOKUP(Anexo_5[[#This Row],[cod_doc]],COMPRAS!TIPODOC,2,FALSE)</f>
        <v>FACTURA</v>
      </c>
      <c r="M283" s="85" t="s">
        <v>1906</v>
      </c>
      <c r="N283" s="79" t="s">
        <v>9773</v>
      </c>
      <c r="O283" s="86">
        <v>4488.8</v>
      </c>
      <c r="P283" s="87">
        <v>807.98</v>
      </c>
      <c r="Q283" s="86"/>
      <c r="R283" s="88">
        <v>5296.78</v>
      </c>
      <c r="S283" s="85"/>
      <c r="T283" s="85"/>
      <c r="U283" s="85"/>
      <c r="V283" s="85" t="s">
        <v>9375</v>
      </c>
      <c r="W283" s="83"/>
      <c r="X283" s="117" t="str">
        <f>IFERROR(VLOOKUP(Anexo_5[[#This Row],[CUENTA]],OP,2,0),"-")</f>
        <v>Residuos No Peligrosos</v>
      </c>
    </row>
    <row r="284" spans="1:24" s="84" customFormat="1" ht="27" customHeight="1" x14ac:dyDescent="0.3">
      <c r="A284" s="79" t="s">
        <v>5255</v>
      </c>
      <c r="B284" s="119" t="str">
        <f t="shared" si="4"/>
        <v>Setiembre</v>
      </c>
      <c r="C284" s="77" t="s">
        <v>240</v>
      </c>
      <c r="D284" s="85" t="s">
        <v>5081</v>
      </c>
      <c r="E284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284" s="79" t="s">
        <v>248</v>
      </c>
      <c r="G284" s="148" t="s">
        <v>249</v>
      </c>
      <c r="H284" s="152" t="s">
        <v>9462</v>
      </c>
      <c r="I284" s="85" t="s">
        <v>9353</v>
      </c>
      <c r="J284" s="153" t="s">
        <v>9774</v>
      </c>
      <c r="K284" s="85" t="s">
        <v>169</v>
      </c>
      <c r="L284" s="119" t="str">
        <f>VLOOKUP(Anexo_5[[#This Row],[cod_doc]],COMPRAS!TIPODOC,2,FALSE)</f>
        <v>FACTURA</v>
      </c>
      <c r="M284" s="85" t="s">
        <v>105</v>
      </c>
      <c r="N284" s="79" t="s">
        <v>9516</v>
      </c>
      <c r="O284" s="86">
        <v>17485.86</v>
      </c>
      <c r="P284" s="87">
        <v>3147.45</v>
      </c>
      <c r="Q284" s="86"/>
      <c r="R284" s="88">
        <v>20633.310000000001</v>
      </c>
      <c r="S284" s="85"/>
      <c r="T284" s="85"/>
      <c r="U284" s="85"/>
      <c r="V284" s="85" t="s">
        <v>9336</v>
      </c>
      <c r="W284" s="83"/>
      <c r="X284" s="117" t="str">
        <f>IFERROR(VLOOKUP(Anexo_5[[#This Row],[CUENTA]],OP,2,0),"-")</f>
        <v>Productos Terminados - RRSS</v>
      </c>
    </row>
    <row r="285" spans="1:24" s="84" customFormat="1" ht="27" customHeight="1" x14ac:dyDescent="0.3">
      <c r="A285" s="79" t="s">
        <v>5255</v>
      </c>
      <c r="B285" s="119" t="str">
        <f t="shared" si="4"/>
        <v>Setiembre</v>
      </c>
      <c r="C285" s="77" t="s">
        <v>240</v>
      </c>
      <c r="D285" s="85" t="s">
        <v>5087</v>
      </c>
      <c r="E285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285" s="79" t="s">
        <v>248</v>
      </c>
      <c r="G285" s="148" t="s">
        <v>249</v>
      </c>
      <c r="H285" s="152" t="s">
        <v>9411</v>
      </c>
      <c r="I285" s="85" t="s">
        <v>9412</v>
      </c>
      <c r="J285" s="153" t="s">
        <v>9775</v>
      </c>
      <c r="K285" s="85" t="s">
        <v>169</v>
      </c>
      <c r="L285" s="119" t="str">
        <f>VLOOKUP(Anexo_5[[#This Row],[cod_doc]],COMPRAS!TIPODOC,2,FALSE)</f>
        <v>FACTURA</v>
      </c>
      <c r="M285" s="85" t="s">
        <v>105</v>
      </c>
      <c r="N285" s="79" t="s">
        <v>9520</v>
      </c>
      <c r="O285" s="86">
        <v>240</v>
      </c>
      <c r="P285" s="87">
        <v>43.2</v>
      </c>
      <c r="Q285" s="86"/>
      <c r="R285" s="88">
        <v>283.2</v>
      </c>
      <c r="S285" s="85"/>
      <c r="T285" s="85"/>
      <c r="U285" s="85"/>
      <c r="V285" s="85" t="s">
        <v>9336</v>
      </c>
      <c r="W285" s="83"/>
      <c r="X285" s="117" t="str">
        <f>IFERROR(VLOOKUP(Anexo_5[[#This Row],[CUENTA]],OP,2,0),"-")</f>
        <v>Productos Terminados - RRSS</v>
      </c>
    </row>
    <row r="286" spans="1:24" s="84" customFormat="1" ht="27" customHeight="1" x14ac:dyDescent="0.3">
      <c r="A286" s="79" t="s">
        <v>5255</v>
      </c>
      <c r="B286" s="119" t="str">
        <f t="shared" si="4"/>
        <v>Setiembre</v>
      </c>
      <c r="C286" s="77" t="s">
        <v>240</v>
      </c>
      <c r="D286" s="85" t="s">
        <v>5091</v>
      </c>
      <c r="E286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286" s="79" t="s">
        <v>248</v>
      </c>
      <c r="G286" s="148" t="s">
        <v>249</v>
      </c>
      <c r="H286" s="152" t="s">
        <v>9390</v>
      </c>
      <c r="I286" s="85" t="s">
        <v>9391</v>
      </c>
      <c r="J286" s="153" t="s">
        <v>9776</v>
      </c>
      <c r="K286" s="85" t="s">
        <v>169</v>
      </c>
      <c r="L286" s="119" t="str">
        <f>VLOOKUP(Anexo_5[[#This Row],[cod_doc]],COMPRAS!TIPODOC,2,FALSE)</f>
        <v>FACTURA</v>
      </c>
      <c r="M286" s="85" t="s">
        <v>105</v>
      </c>
      <c r="N286" s="79" t="s">
        <v>9522</v>
      </c>
      <c r="O286" s="86">
        <v>510</v>
      </c>
      <c r="P286" s="87">
        <v>91.8</v>
      </c>
      <c r="Q286" s="86"/>
      <c r="R286" s="88">
        <v>601.79999999999995</v>
      </c>
      <c r="S286" s="85"/>
      <c r="T286" s="85"/>
      <c r="U286" s="85"/>
      <c r="V286" s="85" t="s">
        <v>9336</v>
      </c>
      <c r="W286" s="83"/>
      <c r="X286" s="117" t="str">
        <f>IFERROR(VLOOKUP(Anexo_5[[#This Row],[CUENTA]],OP,2,0),"-")</f>
        <v>Productos Terminados - RRSS</v>
      </c>
    </row>
    <row r="287" spans="1:24" s="84" customFormat="1" ht="27" customHeight="1" x14ac:dyDescent="0.3">
      <c r="A287" s="79" t="s">
        <v>5328</v>
      </c>
      <c r="B287" s="119" t="str">
        <f t="shared" si="4"/>
        <v>Setiembre</v>
      </c>
      <c r="C287" s="77" t="s">
        <v>240</v>
      </c>
      <c r="D287" s="85" t="s">
        <v>5096</v>
      </c>
      <c r="E287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287" s="79" t="s">
        <v>4560</v>
      </c>
      <c r="G287" s="148" t="s">
        <v>115</v>
      </c>
      <c r="H287" s="152" t="s">
        <v>9371</v>
      </c>
      <c r="I287" s="85" t="s">
        <v>9378</v>
      </c>
      <c r="J287" s="153" t="s">
        <v>9745</v>
      </c>
      <c r="K287" s="85" t="s">
        <v>169</v>
      </c>
      <c r="L287" s="119" t="str">
        <f>VLOOKUP(Anexo_5[[#This Row],[cod_doc]],COMPRAS!TIPODOC,2,FALSE)</f>
        <v>FACTURA</v>
      </c>
      <c r="M287" s="85" t="s">
        <v>1906</v>
      </c>
      <c r="N287" s="79" t="s">
        <v>9777</v>
      </c>
      <c r="O287" s="86">
        <v>3689.6</v>
      </c>
      <c r="P287" s="87">
        <v>664.13</v>
      </c>
      <c r="Q287" s="86"/>
      <c r="R287" s="88">
        <v>4353.7299999999996</v>
      </c>
      <c r="S287" s="85"/>
      <c r="T287" s="85"/>
      <c r="U287" s="85"/>
      <c r="V287" s="85" t="s">
        <v>9375</v>
      </c>
      <c r="W287" s="83"/>
      <c r="X287" s="117" t="str">
        <f>IFERROR(VLOOKUP(Anexo_5[[#This Row],[CUENTA]],OP,2,0),"-")</f>
        <v>Residuos No Peligrosos</v>
      </c>
    </row>
    <row r="288" spans="1:24" s="84" customFormat="1" ht="27" customHeight="1" x14ac:dyDescent="0.3">
      <c r="A288" s="79" t="s">
        <v>5328</v>
      </c>
      <c r="B288" s="119" t="str">
        <f t="shared" si="4"/>
        <v>Setiembre</v>
      </c>
      <c r="C288" s="77" t="s">
        <v>240</v>
      </c>
      <c r="D288" s="85" t="s">
        <v>5098</v>
      </c>
      <c r="E288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288" s="79" t="s">
        <v>248</v>
      </c>
      <c r="G288" s="148" t="s">
        <v>249</v>
      </c>
      <c r="H288" s="152" t="s">
        <v>9352</v>
      </c>
      <c r="I288" s="85" t="s">
        <v>9353</v>
      </c>
      <c r="J288" s="153" t="s">
        <v>9774</v>
      </c>
      <c r="K288" s="85" t="s">
        <v>169</v>
      </c>
      <c r="L288" s="119" t="str">
        <f>VLOOKUP(Anexo_5[[#This Row],[cod_doc]],COMPRAS!TIPODOC,2,FALSE)</f>
        <v>FACTURA</v>
      </c>
      <c r="M288" s="85" t="s">
        <v>105</v>
      </c>
      <c r="N288" s="79" t="s">
        <v>9524</v>
      </c>
      <c r="O288" s="86">
        <v>1530.12</v>
      </c>
      <c r="P288" s="87">
        <v>275.42</v>
      </c>
      <c r="Q288" s="86"/>
      <c r="R288" s="88">
        <v>1805.54</v>
      </c>
      <c r="S288" s="85"/>
      <c r="T288" s="85"/>
      <c r="U288" s="85"/>
      <c r="V288" s="85" t="s">
        <v>9355</v>
      </c>
      <c r="W288" s="83"/>
      <c r="X288" s="117" t="str">
        <f>IFERROR(VLOOKUP(Anexo_5[[#This Row],[CUENTA]],OP,2,0),"-")</f>
        <v>Descuentos y Rebajas</v>
      </c>
    </row>
    <row r="289" spans="1:24" s="84" customFormat="1" ht="27" customHeight="1" x14ac:dyDescent="0.3">
      <c r="A289" s="79" t="s">
        <v>5078</v>
      </c>
      <c r="B289" s="119" t="str">
        <f t="shared" si="4"/>
        <v>Setiembre</v>
      </c>
      <c r="C289" s="77" t="s">
        <v>240</v>
      </c>
      <c r="D289" s="85" t="s">
        <v>5100</v>
      </c>
      <c r="E289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289" s="79" t="s">
        <v>4560</v>
      </c>
      <c r="G289" s="148" t="s">
        <v>115</v>
      </c>
      <c r="H289" s="152" t="s">
        <v>9439</v>
      </c>
      <c r="I289" s="85" t="s">
        <v>980</v>
      </c>
      <c r="J289" s="153" t="s">
        <v>5083</v>
      </c>
      <c r="K289" s="85" t="s">
        <v>169</v>
      </c>
      <c r="L289" s="119" t="str">
        <f>VLOOKUP(Anexo_5[[#This Row],[cod_doc]],COMPRAS!TIPODOC,2,FALSE)</f>
        <v>FACTURA</v>
      </c>
      <c r="M289" s="85" t="s">
        <v>1906</v>
      </c>
      <c r="N289" s="79" t="s">
        <v>9778</v>
      </c>
      <c r="O289" s="86">
        <v>1818.22</v>
      </c>
      <c r="P289" s="87">
        <v>327.27999999999997</v>
      </c>
      <c r="Q289" s="86"/>
      <c r="R289" s="88">
        <v>2145.5</v>
      </c>
      <c r="S289" s="85"/>
      <c r="T289" s="85"/>
      <c r="U289" s="85"/>
      <c r="V289" s="85" t="s">
        <v>9375</v>
      </c>
      <c r="W289" s="83"/>
      <c r="X289" s="117" t="str">
        <f>IFERROR(VLOOKUP(Anexo_5[[#This Row],[CUENTA]],OP,2,0),"-")</f>
        <v>Residuos No Peligrosos</v>
      </c>
    </row>
    <row r="290" spans="1:24" s="84" customFormat="1" ht="27" customHeight="1" x14ac:dyDescent="0.3">
      <c r="A290" s="79" t="s">
        <v>5078</v>
      </c>
      <c r="B290" s="119" t="str">
        <f t="shared" si="4"/>
        <v>Setiembre</v>
      </c>
      <c r="C290" s="77" t="s">
        <v>240</v>
      </c>
      <c r="D290" s="85" t="s">
        <v>5102</v>
      </c>
      <c r="E290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290" s="79" t="s">
        <v>4560</v>
      </c>
      <c r="G290" s="148" t="s">
        <v>115</v>
      </c>
      <c r="H290" s="152" t="s">
        <v>9439</v>
      </c>
      <c r="I290" s="85" t="s">
        <v>9748</v>
      </c>
      <c r="J290" s="153" t="s">
        <v>9749</v>
      </c>
      <c r="K290" s="85" t="s">
        <v>169</v>
      </c>
      <c r="L290" s="119" t="str">
        <f>VLOOKUP(Anexo_5[[#This Row],[cod_doc]],COMPRAS!TIPODOC,2,FALSE)</f>
        <v>FACTURA</v>
      </c>
      <c r="M290" s="85" t="s">
        <v>1906</v>
      </c>
      <c r="N290" s="79" t="s">
        <v>9779</v>
      </c>
      <c r="O290" s="86">
        <v>963</v>
      </c>
      <c r="P290" s="87">
        <v>173.34</v>
      </c>
      <c r="Q290" s="86"/>
      <c r="R290" s="88">
        <v>1136.3399999999999</v>
      </c>
      <c r="S290" s="85"/>
      <c r="T290" s="85"/>
      <c r="U290" s="85"/>
      <c r="V290" s="85" t="s">
        <v>9375</v>
      </c>
      <c r="W290" s="83"/>
      <c r="X290" s="117" t="str">
        <f>IFERROR(VLOOKUP(Anexo_5[[#This Row],[CUENTA]],OP,2,0),"-")</f>
        <v>Residuos No Peligrosos</v>
      </c>
    </row>
    <row r="291" spans="1:24" s="84" customFormat="1" ht="27" customHeight="1" x14ac:dyDescent="0.3">
      <c r="A291" s="79" t="s">
        <v>5078</v>
      </c>
      <c r="B291" s="119" t="str">
        <f t="shared" si="4"/>
        <v>Setiembre</v>
      </c>
      <c r="C291" s="77" t="s">
        <v>240</v>
      </c>
      <c r="D291" s="85" t="s">
        <v>5104</v>
      </c>
      <c r="E291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291" s="79" t="s">
        <v>4560</v>
      </c>
      <c r="G291" s="148" t="s">
        <v>115</v>
      </c>
      <c r="H291" s="152" t="s">
        <v>9371</v>
      </c>
      <c r="I291" s="85" t="s">
        <v>9514</v>
      </c>
      <c r="J291" s="153" t="s">
        <v>9752</v>
      </c>
      <c r="K291" s="85" t="s">
        <v>169</v>
      </c>
      <c r="L291" s="119" t="str">
        <f>VLOOKUP(Anexo_5[[#This Row],[cod_doc]],COMPRAS!TIPODOC,2,FALSE)</f>
        <v>FACTURA</v>
      </c>
      <c r="M291" s="85" t="s">
        <v>1906</v>
      </c>
      <c r="N291" s="79" t="s">
        <v>9780</v>
      </c>
      <c r="O291" s="86">
        <v>2834.37</v>
      </c>
      <c r="P291" s="87">
        <v>510.19</v>
      </c>
      <c r="Q291" s="86"/>
      <c r="R291" s="88">
        <v>3344.56</v>
      </c>
      <c r="S291" s="85"/>
      <c r="T291" s="85"/>
      <c r="U291" s="85"/>
      <c r="V291" s="85" t="s">
        <v>9375</v>
      </c>
      <c r="W291" s="83"/>
      <c r="X291" s="117" t="str">
        <f>IFERROR(VLOOKUP(Anexo_5[[#This Row],[CUENTA]],OP,2,0),"-")</f>
        <v>Residuos No Peligrosos</v>
      </c>
    </row>
    <row r="292" spans="1:24" s="84" customFormat="1" ht="27" customHeight="1" x14ac:dyDescent="0.3">
      <c r="A292" s="79" t="s">
        <v>5078</v>
      </c>
      <c r="B292" s="119" t="str">
        <f t="shared" si="4"/>
        <v>Setiembre</v>
      </c>
      <c r="C292" s="77" t="s">
        <v>240</v>
      </c>
      <c r="D292" s="85" t="s">
        <v>5106</v>
      </c>
      <c r="E292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292" s="79" t="s">
        <v>9281</v>
      </c>
      <c r="G292" s="148" t="s">
        <v>123</v>
      </c>
      <c r="H292" s="152" t="s">
        <v>9365</v>
      </c>
      <c r="I292" s="85" t="s">
        <v>9366</v>
      </c>
      <c r="J292" s="153" t="s">
        <v>9781</v>
      </c>
      <c r="K292" s="85" t="s">
        <v>169</v>
      </c>
      <c r="L292" s="119" t="str">
        <f>VLOOKUP(Anexo_5[[#This Row],[cod_doc]],COMPRAS!TIPODOC,2,FALSE)</f>
        <v>FACTURA</v>
      </c>
      <c r="M292" s="85" t="s">
        <v>1906</v>
      </c>
      <c r="N292" s="79" t="s">
        <v>9782</v>
      </c>
      <c r="O292" s="86">
        <v>6099</v>
      </c>
      <c r="P292" s="87">
        <v>1097.82</v>
      </c>
      <c r="Q292" s="86"/>
      <c r="R292" s="88">
        <v>7196.82</v>
      </c>
      <c r="S292" s="85"/>
      <c r="T292" s="85"/>
      <c r="U292" s="85"/>
      <c r="V292" s="85" t="s">
        <v>9369</v>
      </c>
      <c r="W292" s="83"/>
      <c r="X292" s="117" t="str">
        <f>IFERROR(VLOOKUP(Anexo_5[[#This Row],[CUENTA]],OP,2,0),"-")</f>
        <v>Transporte de Carga - Nacional</v>
      </c>
    </row>
    <row r="293" spans="1:24" s="84" customFormat="1" ht="27" customHeight="1" x14ac:dyDescent="0.3">
      <c r="A293" s="79" t="s">
        <v>5078</v>
      </c>
      <c r="B293" s="119" t="str">
        <f t="shared" si="4"/>
        <v>Setiembre</v>
      </c>
      <c r="C293" s="77" t="s">
        <v>240</v>
      </c>
      <c r="D293" s="85" t="s">
        <v>5109</v>
      </c>
      <c r="E293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293" s="79" t="s">
        <v>4563</v>
      </c>
      <c r="G293" s="148" t="s">
        <v>114</v>
      </c>
      <c r="H293" s="152" t="s">
        <v>9386</v>
      </c>
      <c r="I293" s="85" t="s">
        <v>625</v>
      </c>
      <c r="J293" s="153" t="s">
        <v>4796</v>
      </c>
      <c r="K293" s="85" t="s">
        <v>1896</v>
      </c>
      <c r="L293" s="119" t="str">
        <f>VLOOKUP(Anexo_5[[#This Row],[cod_doc]],COMPRAS!TIPODOC,2,FALSE)</f>
        <v>NOTA DE CREDITO</v>
      </c>
      <c r="M293" s="85" t="s">
        <v>9444</v>
      </c>
      <c r="N293" s="79" t="s">
        <v>9783</v>
      </c>
      <c r="O293" s="86">
        <v>-415.87</v>
      </c>
      <c r="P293" s="87">
        <v>-74.86</v>
      </c>
      <c r="Q293" s="86"/>
      <c r="R293" s="88">
        <v>-490.73</v>
      </c>
      <c r="S293" s="85" t="s">
        <v>162</v>
      </c>
      <c r="T293" s="85" t="s">
        <v>1906</v>
      </c>
      <c r="U293" s="85" t="s">
        <v>5746</v>
      </c>
      <c r="V293" s="85" t="s">
        <v>9333</v>
      </c>
      <c r="W293" s="83"/>
      <c r="X293" s="117" t="str">
        <f>IFERROR(VLOOKUP(Anexo_5[[#This Row],[CUENTA]],OP,2,0),"-")</f>
        <v>Residuos Peligrosos</v>
      </c>
    </row>
    <row r="294" spans="1:24" s="84" customFormat="1" ht="27" customHeight="1" x14ac:dyDescent="0.3">
      <c r="A294" s="79" t="s">
        <v>5444</v>
      </c>
      <c r="B294" s="119" t="str">
        <f t="shared" si="4"/>
        <v>Setiembre</v>
      </c>
      <c r="C294" s="77" t="s">
        <v>240</v>
      </c>
      <c r="D294" s="85" t="s">
        <v>5112</v>
      </c>
      <c r="E294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294" s="79" t="s">
        <v>248</v>
      </c>
      <c r="G294" s="148" t="s">
        <v>249</v>
      </c>
      <c r="H294" s="152" t="s">
        <v>9416</v>
      </c>
      <c r="I294" s="85" t="s">
        <v>9784</v>
      </c>
      <c r="J294" s="153" t="s">
        <v>9785</v>
      </c>
      <c r="K294" s="85" t="s">
        <v>169</v>
      </c>
      <c r="L294" s="119" t="str">
        <f>VLOOKUP(Anexo_5[[#This Row],[cod_doc]],COMPRAS!TIPODOC,2,FALSE)</f>
        <v>FACTURA</v>
      </c>
      <c r="M294" s="85" t="s">
        <v>105</v>
      </c>
      <c r="N294" s="79" t="s">
        <v>9534</v>
      </c>
      <c r="O294" s="86">
        <v>600</v>
      </c>
      <c r="P294" s="87">
        <v>108</v>
      </c>
      <c r="Q294" s="86"/>
      <c r="R294" s="88">
        <v>708</v>
      </c>
      <c r="S294" s="85"/>
      <c r="T294" s="85"/>
      <c r="U294" s="85"/>
      <c r="V294" s="85" t="s">
        <v>9336</v>
      </c>
      <c r="W294" s="83"/>
      <c r="X294" s="117" t="str">
        <f>IFERROR(VLOOKUP(Anexo_5[[#This Row],[CUENTA]],OP,2,0),"-")</f>
        <v>Productos Terminados - RRSS</v>
      </c>
    </row>
    <row r="295" spans="1:24" s="84" customFormat="1" ht="27" customHeight="1" x14ac:dyDescent="0.3">
      <c r="A295" s="79" t="s">
        <v>5444</v>
      </c>
      <c r="B295" s="119" t="str">
        <f t="shared" si="4"/>
        <v>Setiembre</v>
      </c>
      <c r="C295" s="77" t="s">
        <v>240</v>
      </c>
      <c r="D295" s="85" t="s">
        <v>5115</v>
      </c>
      <c r="E295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295" s="79" t="s">
        <v>248</v>
      </c>
      <c r="G295" s="148" t="s">
        <v>249</v>
      </c>
      <c r="H295" s="152" t="s">
        <v>9416</v>
      </c>
      <c r="I295" s="85" t="s">
        <v>9784</v>
      </c>
      <c r="J295" s="153" t="s">
        <v>9785</v>
      </c>
      <c r="K295" s="85" t="s">
        <v>169</v>
      </c>
      <c r="L295" s="119" t="str">
        <f>VLOOKUP(Anexo_5[[#This Row],[cod_doc]],COMPRAS!TIPODOC,2,FALSE)</f>
        <v>FACTURA</v>
      </c>
      <c r="M295" s="85" t="s">
        <v>105</v>
      </c>
      <c r="N295" s="79" t="s">
        <v>9537</v>
      </c>
      <c r="O295" s="86">
        <v>300</v>
      </c>
      <c r="P295" s="87">
        <v>54</v>
      </c>
      <c r="Q295" s="86"/>
      <c r="R295" s="88">
        <v>354</v>
      </c>
      <c r="S295" s="85"/>
      <c r="T295" s="85"/>
      <c r="U295" s="85"/>
      <c r="V295" s="85" t="s">
        <v>9336</v>
      </c>
      <c r="W295" s="83"/>
      <c r="X295" s="117" t="str">
        <f>IFERROR(VLOOKUP(Anexo_5[[#This Row],[CUENTA]],OP,2,0),"-")</f>
        <v>Productos Terminados - RRSS</v>
      </c>
    </row>
    <row r="296" spans="1:24" s="84" customFormat="1" ht="27" customHeight="1" x14ac:dyDescent="0.3">
      <c r="A296" s="79" t="s">
        <v>5486</v>
      </c>
      <c r="B296" s="119" t="str">
        <f t="shared" si="4"/>
        <v>Setiembre</v>
      </c>
      <c r="C296" s="77" t="s">
        <v>240</v>
      </c>
      <c r="D296" s="85" t="s">
        <v>5120</v>
      </c>
      <c r="E296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296" s="79" t="s">
        <v>4560</v>
      </c>
      <c r="G296" s="148" t="s">
        <v>115</v>
      </c>
      <c r="H296" s="152" t="s">
        <v>9371</v>
      </c>
      <c r="I296" s="85" t="s">
        <v>9758</v>
      </c>
      <c r="J296" s="153" t="s">
        <v>9759</v>
      </c>
      <c r="K296" s="85" t="s">
        <v>169</v>
      </c>
      <c r="L296" s="119" t="str">
        <f>VLOOKUP(Anexo_5[[#This Row],[cod_doc]],COMPRAS!TIPODOC,2,FALSE)</f>
        <v>FACTURA</v>
      </c>
      <c r="M296" s="85" t="s">
        <v>1906</v>
      </c>
      <c r="N296" s="79" t="s">
        <v>9786</v>
      </c>
      <c r="O296" s="86">
        <v>1726.99</v>
      </c>
      <c r="P296" s="87">
        <v>310.86</v>
      </c>
      <c r="Q296" s="86"/>
      <c r="R296" s="88">
        <v>2037.85</v>
      </c>
      <c r="S296" s="85"/>
      <c r="T296" s="85"/>
      <c r="U296" s="85"/>
      <c r="V296" s="85" t="s">
        <v>9375</v>
      </c>
      <c r="W296" s="83"/>
      <c r="X296" s="117" t="str">
        <f>IFERROR(VLOOKUP(Anexo_5[[#This Row],[CUENTA]],OP,2,0),"-")</f>
        <v>Residuos No Peligrosos</v>
      </c>
    </row>
    <row r="297" spans="1:24" s="84" customFormat="1" ht="27" customHeight="1" x14ac:dyDescent="0.3">
      <c r="A297" s="79" t="s">
        <v>5486</v>
      </c>
      <c r="B297" s="119" t="str">
        <f t="shared" si="4"/>
        <v>Setiembre</v>
      </c>
      <c r="C297" s="77" t="s">
        <v>240</v>
      </c>
      <c r="D297" s="85" t="s">
        <v>5124</v>
      </c>
      <c r="E297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297" s="79" t="s">
        <v>4563</v>
      </c>
      <c r="G297" s="148" t="s">
        <v>114</v>
      </c>
      <c r="H297" s="152" t="s">
        <v>9329</v>
      </c>
      <c r="I297" s="85" t="s">
        <v>9758</v>
      </c>
      <c r="J297" s="153" t="s">
        <v>9759</v>
      </c>
      <c r="K297" s="85" t="s">
        <v>169</v>
      </c>
      <c r="L297" s="119" t="str">
        <f>VLOOKUP(Anexo_5[[#This Row],[cod_doc]],COMPRAS!TIPODOC,2,FALSE)</f>
        <v>FACTURA</v>
      </c>
      <c r="M297" s="85" t="s">
        <v>1906</v>
      </c>
      <c r="N297" s="79" t="s">
        <v>9787</v>
      </c>
      <c r="O297" s="86">
        <v>2169.9</v>
      </c>
      <c r="P297" s="87">
        <v>390.58</v>
      </c>
      <c r="Q297" s="86"/>
      <c r="R297" s="88">
        <v>2560.48</v>
      </c>
      <c r="S297" s="85"/>
      <c r="T297" s="85"/>
      <c r="U297" s="85"/>
      <c r="V297" s="85" t="s">
        <v>9333</v>
      </c>
      <c r="W297" s="83"/>
      <c r="X297" s="117" t="str">
        <f>IFERROR(VLOOKUP(Anexo_5[[#This Row],[CUENTA]],OP,2,0),"-")</f>
        <v>Residuos Peligrosos</v>
      </c>
    </row>
    <row r="298" spans="1:24" s="84" customFormat="1" ht="27" customHeight="1" x14ac:dyDescent="0.3">
      <c r="A298" s="79" t="s">
        <v>5486</v>
      </c>
      <c r="B298" s="119" t="str">
        <f t="shared" si="4"/>
        <v>Setiembre</v>
      </c>
      <c r="C298" s="77" t="s">
        <v>240</v>
      </c>
      <c r="D298" s="85" t="s">
        <v>5127</v>
      </c>
      <c r="E298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298" s="79" t="s">
        <v>4560</v>
      </c>
      <c r="G298" s="148" t="s">
        <v>115</v>
      </c>
      <c r="H298" s="152" t="s">
        <v>9371</v>
      </c>
      <c r="I298" s="85" t="s">
        <v>9758</v>
      </c>
      <c r="J298" s="153" t="s">
        <v>9759</v>
      </c>
      <c r="K298" s="85" t="s">
        <v>169</v>
      </c>
      <c r="L298" s="119" t="str">
        <f>VLOOKUP(Anexo_5[[#This Row],[cod_doc]],COMPRAS!TIPODOC,2,FALSE)</f>
        <v>FACTURA</v>
      </c>
      <c r="M298" s="85" t="s">
        <v>1906</v>
      </c>
      <c r="N298" s="79" t="s">
        <v>9788</v>
      </c>
      <c r="O298" s="86">
        <v>1726.99</v>
      </c>
      <c r="P298" s="87">
        <v>310.86</v>
      </c>
      <c r="Q298" s="86"/>
      <c r="R298" s="88">
        <v>2037.85</v>
      </c>
      <c r="S298" s="85"/>
      <c r="T298" s="85"/>
      <c r="U298" s="85"/>
      <c r="V298" s="85" t="s">
        <v>9375</v>
      </c>
      <c r="W298" s="83"/>
      <c r="X298" s="117" t="str">
        <f>IFERROR(VLOOKUP(Anexo_5[[#This Row],[CUENTA]],OP,2,0),"-")</f>
        <v>Residuos No Peligrosos</v>
      </c>
    </row>
    <row r="299" spans="1:24" s="84" customFormat="1" ht="27" customHeight="1" x14ac:dyDescent="0.3">
      <c r="A299" s="79" t="s">
        <v>5486</v>
      </c>
      <c r="B299" s="119" t="str">
        <f t="shared" si="4"/>
        <v>Setiembre</v>
      </c>
      <c r="C299" s="77" t="s">
        <v>240</v>
      </c>
      <c r="D299" s="85" t="s">
        <v>5131</v>
      </c>
      <c r="E299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299" s="79" t="s">
        <v>4560</v>
      </c>
      <c r="G299" s="148" t="s">
        <v>115</v>
      </c>
      <c r="H299" s="152" t="s">
        <v>9371</v>
      </c>
      <c r="I299" s="85" t="s">
        <v>9705</v>
      </c>
      <c r="J299" s="153" t="s">
        <v>9769</v>
      </c>
      <c r="K299" s="85" t="s">
        <v>169</v>
      </c>
      <c r="L299" s="119" t="str">
        <f>VLOOKUP(Anexo_5[[#This Row],[cod_doc]],COMPRAS!TIPODOC,2,FALSE)</f>
        <v>FACTURA</v>
      </c>
      <c r="M299" s="85" t="s">
        <v>1906</v>
      </c>
      <c r="N299" s="79" t="s">
        <v>9789</v>
      </c>
      <c r="O299" s="86">
        <v>10641.65</v>
      </c>
      <c r="P299" s="87">
        <v>1915.5</v>
      </c>
      <c r="Q299" s="86"/>
      <c r="R299" s="88">
        <v>12557.15</v>
      </c>
      <c r="S299" s="85"/>
      <c r="T299" s="85"/>
      <c r="U299" s="85"/>
      <c r="V299" s="85" t="s">
        <v>9375</v>
      </c>
      <c r="W299" s="83"/>
      <c r="X299" s="117" t="str">
        <f>IFERROR(VLOOKUP(Anexo_5[[#This Row],[CUENTA]],OP,2,0),"-")</f>
        <v>Residuos No Peligrosos</v>
      </c>
    </row>
    <row r="300" spans="1:24" s="84" customFormat="1" ht="27" customHeight="1" x14ac:dyDescent="0.3">
      <c r="A300" s="79" t="s">
        <v>5486</v>
      </c>
      <c r="B300" s="119" t="str">
        <f t="shared" si="4"/>
        <v>Setiembre</v>
      </c>
      <c r="C300" s="77" t="s">
        <v>240</v>
      </c>
      <c r="D300" s="85" t="s">
        <v>5135</v>
      </c>
      <c r="E300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300" s="79" t="s">
        <v>4563</v>
      </c>
      <c r="G300" s="148" t="s">
        <v>114</v>
      </c>
      <c r="H300" s="152" t="s">
        <v>9329</v>
      </c>
      <c r="I300" s="85" t="s">
        <v>9705</v>
      </c>
      <c r="J300" s="153" t="s">
        <v>9769</v>
      </c>
      <c r="K300" s="85" t="s">
        <v>169</v>
      </c>
      <c r="L300" s="119" t="str">
        <f>VLOOKUP(Anexo_5[[#This Row],[cod_doc]],COMPRAS!TIPODOC,2,FALSE)</f>
        <v>FACTURA</v>
      </c>
      <c r="M300" s="85" t="s">
        <v>1906</v>
      </c>
      <c r="N300" s="79" t="s">
        <v>7407</v>
      </c>
      <c r="O300" s="86">
        <v>5143.3999999999996</v>
      </c>
      <c r="P300" s="87">
        <v>925.81</v>
      </c>
      <c r="Q300" s="86"/>
      <c r="R300" s="88">
        <v>6069.21</v>
      </c>
      <c r="S300" s="85"/>
      <c r="T300" s="85"/>
      <c r="U300" s="85"/>
      <c r="V300" s="85" t="s">
        <v>9333</v>
      </c>
      <c r="W300" s="83"/>
      <c r="X300" s="117" t="str">
        <f>IFERROR(VLOOKUP(Anexo_5[[#This Row],[CUENTA]],OP,2,0),"-")</f>
        <v>Residuos Peligrosos</v>
      </c>
    </row>
    <row r="301" spans="1:24" s="84" customFormat="1" ht="27" customHeight="1" x14ac:dyDescent="0.3">
      <c r="A301" s="79" t="s">
        <v>5449</v>
      </c>
      <c r="B301" s="119" t="str">
        <f t="shared" si="4"/>
        <v>Setiembre</v>
      </c>
      <c r="C301" s="77" t="s">
        <v>240</v>
      </c>
      <c r="D301" s="85" t="s">
        <v>5139</v>
      </c>
      <c r="E301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301" s="79" t="s">
        <v>248</v>
      </c>
      <c r="G301" s="148" t="s">
        <v>249</v>
      </c>
      <c r="H301" s="152" t="s">
        <v>9676</v>
      </c>
      <c r="I301" s="85" t="s">
        <v>9677</v>
      </c>
      <c r="J301" s="153" t="s">
        <v>9790</v>
      </c>
      <c r="K301" s="85" t="s">
        <v>169</v>
      </c>
      <c r="L301" s="119" t="str">
        <f>VLOOKUP(Anexo_5[[#This Row],[cod_doc]],COMPRAS!TIPODOC,2,FALSE)</f>
        <v>FACTURA</v>
      </c>
      <c r="M301" s="85" t="s">
        <v>105</v>
      </c>
      <c r="N301" s="79" t="s">
        <v>9546</v>
      </c>
      <c r="O301" s="86">
        <v>8101.8</v>
      </c>
      <c r="P301" s="87">
        <v>1458.32</v>
      </c>
      <c r="Q301" s="86"/>
      <c r="R301" s="88">
        <v>9560.1200000000008</v>
      </c>
      <c r="S301" s="85"/>
      <c r="T301" s="85"/>
      <c r="U301" s="85"/>
      <c r="V301" s="85" t="s">
        <v>9336</v>
      </c>
      <c r="W301" s="83"/>
      <c r="X301" s="117" t="str">
        <f>IFERROR(VLOOKUP(Anexo_5[[#This Row],[CUENTA]],OP,2,0),"-")</f>
        <v>Productos Terminados - RRSS</v>
      </c>
    </row>
    <row r="302" spans="1:24" s="84" customFormat="1" ht="27" customHeight="1" x14ac:dyDescent="0.3">
      <c r="A302" s="79" t="s">
        <v>5449</v>
      </c>
      <c r="B302" s="119" t="str">
        <f t="shared" si="4"/>
        <v>Setiembre</v>
      </c>
      <c r="C302" s="77" t="s">
        <v>240</v>
      </c>
      <c r="D302" s="85" t="s">
        <v>5143</v>
      </c>
      <c r="E302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302" s="79" t="s">
        <v>248</v>
      </c>
      <c r="G302" s="148" t="s">
        <v>249</v>
      </c>
      <c r="H302" s="152" t="s">
        <v>9335</v>
      </c>
      <c r="I302" s="85" t="s">
        <v>9571</v>
      </c>
      <c r="J302" s="153" t="s">
        <v>9791</v>
      </c>
      <c r="K302" s="85" t="s">
        <v>169</v>
      </c>
      <c r="L302" s="119" t="str">
        <f>VLOOKUP(Anexo_5[[#This Row],[cod_doc]],COMPRAS!TIPODOC,2,FALSE)</f>
        <v>FACTURA</v>
      </c>
      <c r="M302" s="85" t="s">
        <v>105</v>
      </c>
      <c r="N302" s="79" t="s">
        <v>9550</v>
      </c>
      <c r="O302" s="86">
        <v>280</v>
      </c>
      <c r="P302" s="87">
        <v>50.4</v>
      </c>
      <c r="Q302" s="86"/>
      <c r="R302" s="88">
        <v>330.4</v>
      </c>
      <c r="S302" s="85"/>
      <c r="T302" s="85"/>
      <c r="U302" s="85"/>
      <c r="V302" s="85" t="s">
        <v>9336</v>
      </c>
      <c r="W302" s="83"/>
      <c r="X302" s="117" t="str">
        <f>IFERROR(VLOOKUP(Anexo_5[[#This Row],[CUENTA]],OP,2,0),"-")</f>
        <v>Productos Terminados - RRSS</v>
      </c>
    </row>
    <row r="303" spans="1:24" s="84" customFormat="1" ht="27" customHeight="1" x14ac:dyDescent="0.3">
      <c r="A303" s="79" t="s">
        <v>5449</v>
      </c>
      <c r="B303" s="119" t="str">
        <f t="shared" si="4"/>
        <v>Setiembre</v>
      </c>
      <c r="C303" s="77" t="s">
        <v>240</v>
      </c>
      <c r="D303" s="85" t="s">
        <v>5147</v>
      </c>
      <c r="E303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303" s="79" t="s">
        <v>248</v>
      </c>
      <c r="G303" s="148" t="s">
        <v>249</v>
      </c>
      <c r="H303" s="152" t="s">
        <v>9529</v>
      </c>
      <c r="I303" s="85" t="s">
        <v>9344</v>
      </c>
      <c r="J303" s="153" t="s">
        <v>9751</v>
      </c>
      <c r="K303" s="85" t="s">
        <v>169</v>
      </c>
      <c r="L303" s="119" t="str">
        <f>VLOOKUP(Anexo_5[[#This Row],[cod_doc]],COMPRAS!TIPODOC,2,FALSE)</f>
        <v>FACTURA</v>
      </c>
      <c r="M303" s="85" t="s">
        <v>107</v>
      </c>
      <c r="N303" s="79" t="s">
        <v>9472</v>
      </c>
      <c r="O303" s="86">
        <v>3105.9</v>
      </c>
      <c r="P303" s="87">
        <v>559.05999999999995</v>
      </c>
      <c r="Q303" s="86"/>
      <c r="R303" s="88">
        <v>3664.96</v>
      </c>
      <c r="S303" s="85"/>
      <c r="T303" s="85"/>
      <c r="U303" s="85"/>
      <c r="V303" s="85" t="s">
        <v>9336</v>
      </c>
      <c r="W303" s="83"/>
      <c r="X303" s="117" t="str">
        <f>IFERROR(VLOOKUP(Anexo_5[[#This Row],[CUENTA]],OP,2,0),"-")</f>
        <v>Productos Terminados - RRSS</v>
      </c>
    </row>
    <row r="304" spans="1:24" s="84" customFormat="1" ht="27" customHeight="1" x14ac:dyDescent="0.3">
      <c r="A304" s="79" t="s">
        <v>5667</v>
      </c>
      <c r="B304" s="119" t="str">
        <f t="shared" si="4"/>
        <v>Setiembre</v>
      </c>
      <c r="C304" s="77" t="s">
        <v>240</v>
      </c>
      <c r="D304" s="85" t="s">
        <v>5151</v>
      </c>
      <c r="E304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304" s="79" t="s">
        <v>4560</v>
      </c>
      <c r="G304" s="148" t="s">
        <v>115</v>
      </c>
      <c r="H304" s="152" t="s">
        <v>9371</v>
      </c>
      <c r="I304" s="85" t="s">
        <v>1111</v>
      </c>
      <c r="J304" s="153" t="s">
        <v>7915</v>
      </c>
      <c r="K304" s="85" t="s">
        <v>169</v>
      </c>
      <c r="L304" s="119" t="str">
        <f>VLOOKUP(Anexo_5[[#This Row],[cod_doc]],COMPRAS!TIPODOC,2,FALSE)</f>
        <v>FACTURA</v>
      </c>
      <c r="M304" s="85" t="s">
        <v>1906</v>
      </c>
      <c r="N304" s="79" t="s">
        <v>9792</v>
      </c>
      <c r="O304" s="86">
        <v>1429.7</v>
      </c>
      <c r="P304" s="87">
        <v>257.35000000000002</v>
      </c>
      <c r="Q304" s="86"/>
      <c r="R304" s="88">
        <v>1687.05</v>
      </c>
      <c r="S304" s="85"/>
      <c r="T304" s="85"/>
      <c r="U304" s="85"/>
      <c r="V304" s="85" t="s">
        <v>9375</v>
      </c>
      <c r="W304" s="83"/>
      <c r="X304" s="117" t="str">
        <f>IFERROR(VLOOKUP(Anexo_5[[#This Row],[CUENTA]],OP,2,0),"-")</f>
        <v>Residuos No Peligrosos</v>
      </c>
    </row>
    <row r="305" spans="1:24" s="84" customFormat="1" ht="27" customHeight="1" x14ac:dyDescent="0.3">
      <c r="A305" s="79" t="s">
        <v>5667</v>
      </c>
      <c r="B305" s="119" t="str">
        <f t="shared" si="4"/>
        <v>Setiembre</v>
      </c>
      <c r="C305" s="77" t="s">
        <v>240</v>
      </c>
      <c r="D305" s="85" t="s">
        <v>5155</v>
      </c>
      <c r="E305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305" s="79" t="s">
        <v>4560</v>
      </c>
      <c r="G305" s="148" t="s">
        <v>115</v>
      </c>
      <c r="H305" s="152" t="s">
        <v>9371</v>
      </c>
      <c r="I305" s="85" t="s">
        <v>1111</v>
      </c>
      <c r="J305" s="153" t="s">
        <v>7915</v>
      </c>
      <c r="K305" s="85" t="s">
        <v>169</v>
      </c>
      <c r="L305" s="119" t="str">
        <f>VLOOKUP(Anexo_5[[#This Row],[cod_doc]],COMPRAS!TIPODOC,2,FALSE)</f>
        <v>FACTURA</v>
      </c>
      <c r="M305" s="85" t="s">
        <v>1906</v>
      </c>
      <c r="N305" s="79" t="s">
        <v>9793</v>
      </c>
      <c r="O305" s="86">
        <v>1429.7</v>
      </c>
      <c r="P305" s="87">
        <v>257.35000000000002</v>
      </c>
      <c r="Q305" s="86"/>
      <c r="R305" s="88">
        <v>1687.05</v>
      </c>
      <c r="S305" s="85"/>
      <c r="T305" s="85"/>
      <c r="U305" s="85"/>
      <c r="V305" s="85" t="s">
        <v>9375</v>
      </c>
      <c r="W305" s="83"/>
      <c r="X305" s="117" t="str">
        <f>IFERROR(VLOOKUP(Anexo_5[[#This Row],[CUENTA]],OP,2,0),"-")</f>
        <v>Residuos No Peligrosos</v>
      </c>
    </row>
    <row r="306" spans="1:24" s="84" customFormat="1" ht="27" customHeight="1" x14ac:dyDescent="0.3">
      <c r="A306" s="79" t="s">
        <v>5667</v>
      </c>
      <c r="B306" s="119" t="str">
        <f t="shared" si="4"/>
        <v>Setiembre</v>
      </c>
      <c r="C306" s="77" t="s">
        <v>240</v>
      </c>
      <c r="D306" s="85" t="s">
        <v>5161</v>
      </c>
      <c r="E306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306" s="79" t="s">
        <v>4560</v>
      </c>
      <c r="G306" s="148" t="s">
        <v>115</v>
      </c>
      <c r="H306" s="152" t="s">
        <v>9371</v>
      </c>
      <c r="I306" s="85" t="s">
        <v>1111</v>
      </c>
      <c r="J306" s="153" t="s">
        <v>7915</v>
      </c>
      <c r="K306" s="85" t="s">
        <v>169</v>
      </c>
      <c r="L306" s="119" t="str">
        <f>VLOOKUP(Anexo_5[[#This Row],[cod_doc]],COMPRAS!TIPODOC,2,FALSE)</f>
        <v>FACTURA</v>
      </c>
      <c r="M306" s="85" t="s">
        <v>1906</v>
      </c>
      <c r="N306" s="79" t="s">
        <v>9794</v>
      </c>
      <c r="O306" s="86">
        <v>1429.7</v>
      </c>
      <c r="P306" s="87">
        <v>257.35000000000002</v>
      </c>
      <c r="Q306" s="86"/>
      <c r="R306" s="88">
        <v>1687.05</v>
      </c>
      <c r="S306" s="85"/>
      <c r="T306" s="85"/>
      <c r="U306" s="85"/>
      <c r="V306" s="85" t="s">
        <v>9375</v>
      </c>
      <c r="W306" s="83"/>
      <c r="X306" s="117" t="str">
        <f>IFERROR(VLOOKUP(Anexo_5[[#This Row],[CUENTA]],OP,2,0),"-")</f>
        <v>Residuos No Peligrosos</v>
      </c>
    </row>
    <row r="307" spans="1:24" s="84" customFormat="1" ht="27" customHeight="1" x14ac:dyDescent="0.3">
      <c r="A307" s="79" t="s">
        <v>5667</v>
      </c>
      <c r="B307" s="119" t="str">
        <f t="shared" si="4"/>
        <v>Setiembre</v>
      </c>
      <c r="C307" s="77" t="s">
        <v>240</v>
      </c>
      <c r="D307" s="85" t="s">
        <v>5167</v>
      </c>
      <c r="E307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307" s="79" t="s">
        <v>248</v>
      </c>
      <c r="G307" s="148" t="s">
        <v>249</v>
      </c>
      <c r="H307" s="152" t="s">
        <v>9462</v>
      </c>
      <c r="I307" s="85" t="s">
        <v>9353</v>
      </c>
      <c r="J307" s="153" t="s">
        <v>9774</v>
      </c>
      <c r="K307" s="85" t="s">
        <v>169</v>
      </c>
      <c r="L307" s="119" t="str">
        <f>VLOOKUP(Anexo_5[[#This Row],[cod_doc]],COMPRAS!TIPODOC,2,FALSE)</f>
        <v>FACTURA</v>
      </c>
      <c r="M307" s="85" t="s">
        <v>105</v>
      </c>
      <c r="N307" s="79" t="s">
        <v>8690</v>
      </c>
      <c r="O307" s="86">
        <v>14591.3</v>
      </c>
      <c r="P307" s="87">
        <v>2626.43</v>
      </c>
      <c r="Q307" s="86"/>
      <c r="R307" s="88">
        <v>17217.73</v>
      </c>
      <c r="S307" s="85"/>
      <c r="T307" s="85"/>
      <c r="U307" s="85"/>
      <c r="V307" s="85" t="s">
        <v>9336</v>
      </c>
      <c r="W307" s="83"/>
      <c r="X307" s="117" t="str">
        <f>IFERROR(VLOOKUP(Anexo_5[[#This Row],[CUENTA]],OP,2,0),"-")</f>
        <v>Productos Terminados - RRSS</v>
      </c>
    </row>
    <row r="308" spans="1:24" s="84" customFormat="1" ht="27" customHeight="1" x14ac:dyDescent="0.3">
      <c r="A308" s="79" t="s">
        <v>5921</v>
      </c>
      <c r="B308" s="119" t="str">
        <f t="shared" si="4"/>
        <v>Setiembre</v>
      </c>
      <c r="C308" s="77" t="s">
        <v>240</v>
      </c>
      <c r="D308" s="85" t="s">
        <v>5173</v>
      </c>
      <c r="E308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308" s="79" t="s">
        <v>248</v>
      </c>
      <c r="G308" s="148" t="s">
        <v>249</v>
      </c>
      <c r="H308" s="152" t="s">
        <v>9343</v>
      </c>
      <c r="I308" s="85" t="s">
        <v>9422</v>
      </c>
      <c r="J308" s="153" t="s">
        <v>9763</v>
      </c>
      <c r="K308" s="85" t="s">
        <v>169</v>
      </c>
      <c r="L308" s="119" t="str">
        <f>VLOOKUP(Anexo_5[[#This Row],[cod_doc]],COMPRAS!TIPODOC,2,FALSE)</f>
        <v>FACTURA</v>
      </c>
      <c r="M308" s="85" t="s">
        <v>107</v>
      </c>
      <c r="N308" s="79" t="s">
        <v>9475</v>
      </c>
      <c r="O308" s="86">
        <v>1755</v>
      </c>
      <c r="P308" s="87">
        <v>315.89999999999998</v>
      </c>
      <c r="Q308" s="86"/>
      <c r="R308" s="88">
        <v>2070.9</v>
      </c>
      <c r="S308" s="85"/>
      <c r="T308" s="85"/>
      <c r="U308" s="85"/>
      <c r="V308" s="85" t="s">
        <v>9336</v>
      </c>
      <c r="W308" s="83"/>
      <c r="X308" s="117" t="str">
        <f>IFERROR(VLOOKUP(Anexo_5[[#This Row],[CUENTA]],OP,2,0),"-")</f>
        <v>Productos Terminados - RRSS</v>
      </c>
    </row>
    <row r="309" spans="1:24" s="84" customFormat="1" ht="27" customHeight="1" x14ac:dyDescent="0.3">
      <c r="A309" s="79" t="s">
        <v>5238</v>
      </c>
      <c r="B309" s="119" t="str">
        <f t="shared" si="4"/>
        <v>Setiembre</v>
      </c>
      <c r="C309" s="77" t="s">
        <v>240</v>
      </c>
      <c r="D309" s="85" t="s">
        <v>5178</v>
      </c>
      <c r="E309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309" s="79" t="s">
        <v>4560</v>
      </c>
      <c r="G309" s="148" t="s">
        <v>115</v>
      </c>
      <c r="H309" s="152" t="s">
        <v>9371</v>
      </c>
      <c r="I309" s="85" t="s">
        <v>9378</v>
      </c>
      <c r="J309" s="153" t="s">
        <v>9745</v>
      </c>
      <c r="K309" s="85" t="s">
        <v>169</v>
      </c>
      <c r="L309" s="119" t="str">
        <f>VLOOKUP(Anexo_5[[#This Row],[cod_doc]],COMPRAS!TIPODOC,2,FALSE)</f>
        <v>FACTURA</v>
      </c>
      <c r="M309" s="85" t="s">
        <v>1906</v>
      </c>
      <c r="N309" s="79" t="s">
        <v>8819</v>
      </c>
      <c r="O309" s="86">
        <v>3689.6</v>
      </c>
      <c r="P309" s="87">
        <v>664.13</v>
      </c>
      <c r="Q309" s="86"/>
      <c r="R309" s="88">
        <v>4353.7299999999996</v>
      </c>
      <c r="S309" s="85"/>
      <c r="T309" s="85"/>
      <c r="U309" s="85"/>
      <c r="V309" s="85" t="s">
        <v>9375</v>
      </c>
      <c r="W309" s="83"/>
      <c r="X309" s="117" t="str">
        <f>IFERROR(VLOOKUP(Anexo_5[[#This Row],[CUENTA]],OP,2,0),"-")</f>
        <v>Residuos No Peligrosos</v>
      </c>
    </row>
    <row r="310" spans="1:24" s="84" customFormat="1" ht="27" customHeight="1" x14ac:dyDescent="0.3">
      <c r="A310" s="79" t="s">
        <v>5238</v>
      </c>
      <c r="B310" s="119" t="str">
        <f t="shared" si="4"/>
        <v>Setiembre</v>
      </c>
      <c r="C310" s="77" t="s">
        <v>240</v>
      </c>
      <c r="D310" s="85" t="s">
        <v>5185</v>
      </c>
      <c r="E310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310" s="79" t="s">
        <v>248</v>
      </c>
      <c r="G310" s="148" t="s">
        <v>249</v>
      </c>
      <c r="H310" s="152" t="s">
        <v>9335</v>
      </c>
      <c r="I310" s="85" t="s">
        <v>9669</v>
      </c>
      <c r="J310" s="153" t="s">
        <v>9768</v>
      </c>
      <c r="K310" s="85" t="s">
        <v>169</v>
      </c>
      <c r="L310" s="119" t="str">
        <f>VLOOKUP(Anexo_5[[#This Row],[cod_doc]],COMPRAS!TIPODOC,2,FALSE)</f>
        <v>FACTURA</v>
      </c>
      <c r="M310" s="85" t="s">
        <v>105</v>
      </c>
      <c r="N310" s="79" t="s">
        <v>9555</v>
      </c>
      <c r="O310" s="86">
        <v>800</v>
      </c>
      <c r="P310" s="87">
        <v>144</v>
      </c>
      <c r="Q310" s="86"/>
      <c r="R310" s="88">
        <v>944</v>
      </c>
      <c r="S310" s="85"/>
      <c r="T310" s="85"/>
      <c r="U310" s="85"/>
      <c r="V310" s="85" t="s">
        <v>9336</v>
      </c>
      <c r="W310" s="83"/>
      <c r="X310" s="117" t="str">
        <f>IFERROR(VLOOKUP(Anexo_5[[#This Row],[CUENTA]],OP,2,0),"-")</f>
        <v>Productos Terminados - RRSS</v>
      </c>
    </row>
    <row r="311" spans="1:24" s="84" customFormat="1" ht="27" customHeight="1" x14ac:dyDescent="0.3">
      <c r="A311" s="79" t="s">
        <v>5238</v>
      </c>
      <c r="B311" s="119" t="str">
        <f t="shared" si="4"/>
        <v>Setiembre</v>
      </c>
      <c r="C311" s="77" t="s">
        <v>240</v>
      </c>
      <c r="D311" s="85" t="s">
        <v>5190</v>
      </c>
      <c r="E311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311" s="79" t="s">
        <v>248</v>
      </c>
      <c r="G311" s="148" t="s">
        <v>249</v>
      </c>
      <c r="H311" s="152" t="s">
        <v>9343</v>
      </c>
      <c r="I311" s="85" t="s">
        <v>9344</v>
      </c>
      <c r="J311" s="153" t="s">
        <v>9751</v>
      </c>
      <c r="K311" s="85" t="s">
        <v>169</v>
      </c>
      <c r="L311" s="119" t="str">
        <f>VLOOKUP(Anexo_5[[#This Row],[cod_doc]],COMPRAS!TIPODOC,2,FALSE)</f>
        <v>FACTURA</v>
      </c>
      <c r="M311" s="85" t="s">
        <v>107</v>
      </c>
      <c r="N311" s="79" t="s">
        <v>9477</v>
      </c>
      <c r="O311" s="86">
        <v>890.6</v>
      </c>
      <c r="P311" s="87">
        <v>160.31</v>
      </c>
      <c r="Q311" s="86"/>
      <c r="R311" s="88">
        <v>1050.9100000000001</v>
      </c>
      <c r="S311" s="85"/>
      <c r="T311" s="85"/>
      <c r="U311" s="85"/>
      <c r="V311" s="85" t="s">
        <v>9336</v>
      </c>
      <c r="W311" s="83"/>
      <c r="X311" s="117" t="str">
        <f>IFERROR(VLOOKUP(Anexo_5[[#This Row],[CUENTA]],OP,2,0),"-")</f>
        <v>Productos Terminados - RRSS</v>
      </c>
    </row>
    <row r="312" spans="1:24" s="84" customFormat="1" ht="27" customHeight="1" x14ac:dyDescent="0.3">
      <c r="A312" s="79" t="s">
        <v>5914</v>
      </c>
      <c r="B312" s="119" t="str">
        <f t="shared" si="4"/>
        <v>Setiembre</v>
      </c>
      <c r="C312" s="77" t="s">
        <v>240</v>
      </c>
      <c r="D312" s="85" t="s">
        <v>5195</v>
      </c>
      <c r="E312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312" s="79" t="s">
        <v>9269</v>
      </c>
      <c r="G312" s="148" t="s">
        <v>119</v>
      </c>
      <c r="H312" s="152" t="s">
        <v>9612</v>
      </c>
      <c r="I312" s="85" t="s">
        <v>3717</v>
      </c>
      <c r="J312" s="153" t="s">
        <v>7439</v>
      </c>
      <c r="K312" s="85" t="s">
        <v>169</v>
      </c>
      <c r="L312" s="119" t="str">
        <f>VLOOKUP(Anexo_5[[#This Row],[cod_doc]],COMPRAS!TIPODOC,2,FALSE)</f>
        <v>FACTURA</v>
      </c>
      <c r="M312" s="85" t="s">
        <v>1906</v>
      </c>
      <c r="N312" s="79" t="s">
        <v>9795</v>
      </c>
      <c r="O312" s="86">
        <v>396.7</v>
      </c>
      <c r="P312" s="87">
        <v>71.41</v>
      </c>
      <c r="Q312" s="86"/>
      <c r="R312" s="88">
        <v>468.11</v>
      </c>
      <c r="S312" s="85"/>
      <c r="T312" s="85"/>
      <c r="U312" s="85"/>
      <c r="V312" s="85" t="s">
        <v>9614</v>
      </c>
      <c r="W312" s="83"/>
      <c r="X312" s="117" t="str">
        <f>IFERROR(VLOOKUP(Anexo_5[[#This Row],[CUENTA]],OP,2,0),"-")</f>
        <v>Limpieza de Caja Trampa</v>
      </c>
    </row>
    <row r="313" spans="1:24" s="84" customFormat="1" ht="27" customHeight="1" x14ac:dyDescent="0.3">
      <c r="A313" s="79" t="s">
        <v>5914</v>
      </c>
      <c r="B313" s="119" t="str">
        <f t="shared" si="4"/>
        <v>Setiembre</v>
      </c>
      <c r="C313" s="77" t="s">
        <v>240</v>
      </c>
      <c r="D313" s="85" t="s">
        <v>5199</v>
      </c>
      <c r="E313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313" s="79" t="s">
        <v>4563</v>
      </c>
      <c r="G313" s="148" t="s">
        <v>114</v>
      </c>
      <c r="H313" s="152" t="s">
        <v>9386</v>
      </c>
      <c r="I313" s="85" t="s">
        <v>3717</v>
      </c>
      <c r="J313" s="153" t="s">
        <v>7439</v>
      </c>
      <c r="K313" s="85" t="s">
        <v>169</v>
      </c>
      <c r="L313" s="119" t="str">
        <f>VLOOKUP(Anexo_5[[#This Row],[cod_doc]],COMPRAS!TIPODOC,2,FALSE)</f>
        <v>FACTURA</v>
      </c>
      <c r="M313" s="85" t="s">
        <v>1906</v>
      </c>
      <c r="N313" s="79" t="s">
        <v>9796</v>
      </c>
      <c r="O313" s="86">
        <v>1795.8</v>
      </c>
      <c r="P313" s="87">
        <v>323.24</v>
      </c>
      <c r="Q313" s="86"/>
      <c r="R313" s="88">
        <v>2119.04</v>
      </c>
      <c r="S313" s="85"/>
      <c r="T313" s="85"/>
      <c r="U313" s="85"/>
      <c r="V313" s="85" t="s">
        <v>9333</v>
      </c>
      <c r="W313" s="83"/>
      <c r="X313" s="117" t="str">
        <f>IFERROR(VLOOKUP(Anexo_5[[#This Row],[CUENTA]],OP,2,0),"-")</f>
        <v>Residuos Peligrosos</v>
      </c>
    </row>
    <row r="314" spans="1:24" s="84" customFormat="1" ht="27" customHeight="1" x14ac:dyDescent="0.3">
      <c r="A314" s="79" t="s">
        <v>5914</v>
      </c>
      <c r="B314" s="119" t="str">
        <f t="shared" si="4"/>
        <v>Setiembre</v>
      </c>
      <c r="C314" s="77" t="s">
        <v>240</v>
      </c>
      <c r="D314" s="85" t="s">
        <v>5199</v>
      </c>
      <c r="E314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314" s="79" t="s">
        <v>4560</v>
      </c>
      <c r="G314" s="148" t="s">
        <v>115</v>
      </c>
      <c r="H314" s="152" t="s">
        <v>9386</v>
      </c>
      <c r="I314" s="85" t="s">
        <v>3717</v>
      </c>
      <c r="J314" s="153" t="s">
        <v>7439</v>
      </c>
      <c r="K314" s="85" t="s">
        <v>169</v>
      </c>
      <c r="L314" s="119" t="str">
        <f>VLOOKUP(Anexo_5[[#This Row],[cod_doc]],COMPRAS!TIPODOC,2,FALSE)</f>
        <v>FACTURA</v>
      </c>
      <c r="M314" s="85" t="s">
        <v>1906</v>
      </c>
      <c r="N314" s="79" t="s">
        <v>9796</v>
      </c>
      <c r="O314" s="86">
        <v>1058.8800000000001</v>
      </c>
      <c r="P314" s="87">
        <v>190.6</v>
      </c>
      <c r="Q314" s="86"/>
      <c r="R314" s="88">
        <v>1249.48</v>
      </c>
      <c r="S314" s="85"/>
      <c r="T314" s="85"/>
      <c r="U314" s="85"/>
      <c r="V314" s="85" t="s">
        <v>9375</v>
      </c>
      <c r="W314" s="83"/>
      <c r="X314" s="117" t="str">
        <f>IFERROR(VLOOKUP(Anexo_5[[#This Row],[CUENTA]],OP,2,0),"-")</f>
        <v>Residuos No Peligrosos</v>
      </c>
    </row>
    <row r="315" spans="1:24" s="84" customFormat="1" ht="27" customHeight="1" x14ac:dyDescent="0.3">
      <c r="A315" s="79" t="s">
        <v>5914</v>
      </c>
      <c r="B315" s="119" t="str">
        <f t="shared" si="4"/>
        <v>Setiembre</v>
      </c>
      <c r="C315" s="77" t="s">
        <v>240</v>
      </c>
      <c r="D315" s="85" t="s">
        <v>5203</v>
      </c>
      <c r="E315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315" s="79" t="s">
        <v>4563</v>
      </c>
      <c r="G315" s="148" t="s">
        <v>114</v>
      </c>
      <c r="H315" s="152" t="s">
        <v>9386</v>
      </c>
      <c r="I315" s="85" t="s">
        <v>3717</v>
      </c>
      <c r="J315" s="153" t="s">
        <v>7439</v>
      </c>
      <c r="K315" s="85" t="s">
        <v>169</v>
      </c>
      <c r="L315" s="119" t="str">
        <f>VLOOKUP(Anexo_5[[#This Row],[cod_doc]],COMPRAS!TIPODOC,2,FALSE)</f>
        <v>FACTURA</v>
      </c>
      <c r="M315" s="85" t="s">
        <v>1906</v>
      </c>
      <c r="N315" s="79" t="s">
        <v>9147</v>
      </c>
      <c r="O315" s="86">
        <v>3976.7</v>
      </c>
      <c r="P315" s="87">
        <v>715.81</v>
      </c>
      <c r="Q315" s="86"/>
      <c r="R315" s="88">
        <v>4692.51</v>
      </c>
      <c r="S315" s="85"/>
      <c r="T315" s="85"/>
      <c r="U315" s="85"/>
      <c r="V315" s="85" t="s">
        <v>9333</v>
      </c>
      <c r="W315" s="83"/>
      <c r="X315" s="117" t="str">
        <f>IFERROR(VLOOKUP(Anexo_5[[#This Row],[CUENTA]],OP,2,0),"-")</f>
        <v>Residuos Peligrosos</v>
      </c>
    </row>
    <row r="316" spans="1:24" s="84" customFormat="1" ht="27" customHeight="1" x14ac:dyDescent="0.3">
      <c r="A316" s="79" t="s">
        <v>5914</v>
      </c>
      <c r="B316" s="119" t="str">
        <f t="shared" si="4"/>
        <v>Setiembre</v>
      </c>
      <c r="C316" s="77" t="s">
        <v>240</v>
      </c>
      <c r="D316" s="85" t="s">
        <v>5203</v>
      </c>
      <c r="E316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316" s="79" t="s">
        <v>4560</v>
      </c>
      <c r="G316" s="148" t="s">
        <v>115</v>
      </c>
      <c r="H316" s="152" t="s">
        <v>9386</v>
      </c>
      <c r="I316" s="85" t="s">
        <v>3717</v>
      </c>
      <c r="J316" s="153" t="s">
        <v>7439</v>
      </c>
      <c r="K316" s="85" t="s">
        <v>169</v>
      </c>
      <c r="L316" s="119" t="str">
        <f>VLOOKUP(Anexo_5[[#This Row],[cod_doc]],COMPRAS!TIPODOC,2,FALSE)</f>
        <v>FACTURA</v>
      </c>
      <c r="M316" s="85" t="s">
        <v>1906</v>
      </c>
      <c r="N316" s="79" t="s">
        <v>9147</v>
      </c>
      <c r="O316" s="86">
        <v>1387.83</v>
      </c>
      <c r="P316" s="87">
        <v>249.81</v>
      </c>
      <c r="Q316" s="86"/>
      <c r="R316" s="88">
        <v>1637.64</v>
      </c>
      <c r="S316" s="85"/>
      <c r="T316" s="85"/>
      <c r="U316" s="85"/>
      <c r="V316" s="85" t="s">
        <v>9375</v>
      </c>
      <c r="W316" s="83"/>
      <c r="X316" s="117" t="str">
        <f>IFERROR(VLOOKUP(Anexo_5[[#This Row],[CUENTA]],OP,2,0),"-")</f>
        <v>Residuos No Peligrosos</v>
      </c>
    </row>
    <row r="317" spans="1:24" s="84" customFormat="1" ht="27" customHeight="1" x14ac:dyDescent="0.3">
      <c r="A317" s="79" t="s">
        <v>5914</v>
      </c>
      <c r="B317" s="119" t="str">
        <f t="shared" si="4"/>
        <v>Setiembre</v>
      </c>
      <c r="C317" s="77" t="s">
        <v>240</v>
      </c>
      <c r="D317" s="85" t="s">
        <v>5207</v>
      </c>
      <c r="E317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317" s="79" t="s">
        <v>248</v>
      </c>
      <c r="G317" s="148" t="s">
        <v>249</v>
      </c>
      <c r="H317" s="152" t="s">
        <v>9416</v>
      </c>
      <c r="I317" s="85" t="s">
        <v>9784</v>
      </c>
      <c r="J317" s="153" t="s">
        <v>9785</v>
      </c>
      <c r="K317" s="85" t="s">
        <v>1896</v>
      </c>
      <c r="L317" s="119" t="str">
        <f>VLOOKUP(Anexo_5[[#This Row],[cod_doc]],COMPRAS!TIPODOC,2,FALSE)</f>
        <v>NOTA DE CREDITO</v>
      </c>
      <c r="M317" s="85" t="s">
        <v>9797</v>
      </c>
      <c r="N317" s="79" t="s">
        <v>7419</v>
      </c>
      <c r="O317" s="86">
        <v>-600</v>
      </c>
      <c r="P317" s="87">
        <v>-108</v>
      </c>
      <c r="Q317" s="86"/>
      <c r="R317" s="88">
        <v>-708</v>
      </c>
      <c r="S317" s="85" t="s">
        <v>162</v>
      </c>
      <c r="T317" s="85" t="s">
        <v>105</v>
      </c>
      <c r="U317" s="85" t="s">
        <v>9534</v>
      </c>
      <c r="V317" s="85" t="s">
        <v>9336</v>
      </c>
      <c r="W317" s="83"/>
      <c r="X317" s="117" t="str">
        <f>IFERROR(VLOOKUP(Anexo_5[[#This Row],[CUENTA]],OP,2,0),"-")</f>
        <v>Productos Terminados - RRSS</v>
      </c>
    </row>
    <row r="318" spans="1:24" s="84" customFormat="1" ht="27" customHeight="1" x14ac:dyDescent="0.3">
      <c r="A318" s="79" t="s">
        <v>5910</v>
      </c>
      <c r="B318" s="119" t="str">
        <f t="shared" si="4"/>
        <v>Setiembre</v>
      </c>
      <c r="C318" s="77" t="s">
        <v>240</v>
      </c>
      <c r="D318" s="85" t="s">
        <v>5213</v>
      </c>
      <c r="E318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318" s="79" t="s">
        <v>248</v>
      </c>
      <c r="G318" s="148" t="s">
        <v>249</v>
      </c>
      <c r="H318" s="152" t="s">
        <v>9343</v>
      </c>
      <c r="I318" s="85" t="s">
        <v>9422</v>
      </c>
      <c r="J318" s="153" t="s">
        <v>9763</v>
      </c>
      <c r="K318" s="85" t="s">
        <v>169</v>
      </c>
      <c r="L318" s="119" t="str">
        <f>VLOOKUP(Anexo_5[[#This Row],[cod_doc]],COMPRAS!TIPODOC,2,FALSE)</f>
        <v>FACTURA</v>
      </c>
      <c r="M318" s="85" t="s">
        <v>107</v>
      </c>
      <c r="N318" s="79" t="s">
        <v>5777</v>
      </c>
      <c r="O318" s="86">
        <v>1605</v>
      </c>
      <c r="P318" s="87">
        <v>288.89999999999998</v>
      </c>
      <c r="Q318" s="86"/>
      <c r="R318" s="88">
        <v>1893.9</v>
      </c>
      <c r="S318" s="85"/>
      <c r="T318" s="85"/>
      <c r="U318" s="85"/>
      <c r="V318" s="85" t="s">
        <v>9336</v>
      </c>
      <c r="W318" s="83"/>
      <c r="X318" s="117" t="str">
        <f>IFERROR(VLOOKUP(Anexo_5[[#This Row],[CUENTA]],OP,2,0),"-")</f>
        <v>Productos Terminados - RRSS</v>
      </c>
    </row>
    <row r="319" spans="1:24" s="84" customFormat="1" ht="27" customHeight="1" x14ac:dyDescent="0.3">
      <c r="A319" s="79" t="s">
        <v>5910</v>
      </c>
      <c r="B319" s="119" t="str">
        <f t="shared" si="4"/>
        <v>Setiembre</v>
      </c>
      <c r="C319" s="77" t="s">
        <v>240</v>
      </c>
      <c r="D319" s="85" t="s">
        <v>5218</v>
      </c>
      <c r="E319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319" s="79" t="s">
        <v>248</v>
      </c>
      <c r="G319" s="148" t="s">
        <v>249</v>
      </c>
      <c r="H319" s="152" t="s">
        <v>9343</v>
      </c>
      <c r="I319" s="85" t="s">
        <v>9344</v>
      </c>
      <c r="J319" s="153" t="s">
        <v>9751</v>
      </c>
      <c r="K319" s="85" t="s">
        <v>169</v>
      </c>
      <c r="L319" s="119" t="str">
        <f>VLOOKUP(Anexo_5[[#This Row],[cod_doc]],COMPRAS!TIPODOC,2,FALSE)</f>
        <v>FACTURA</v>
      </c>
      <c r="M319" s="85" t="s">
        <v>107</v>
      </c>
      <c r="N319" s="79" t="s">
        <v>9480</v>
      </c>
      <c r="O319" s="86">
        <v>1087.7</v>
      </c>
      <c r="P319" s="87">
        <v>195.79</v>
      </c>
      <c r="Q319" s="86"/>
      <c r="R319" s="88">
        <v>1283.49</v>
      </c>
      <c r="S319" s="85"/>
      <c r="T319" s="85"/>
      <c r="U319" s="85"/>
      <c r="V319" s="85" t="s">
        <v>9336</v>
      </c>
      <c r="W319" s="83"/>
      <c r="X319" s="117" t="str">
        <f>IFERROR(VLOOKUP(Anexo_5[[#This Row],[CUENTA]],OP,2,0),"-")</f>
        <v>Productos Terminados - RRSS</v>
      </c>
    </row>
    <row r="320" spans="1:24" s="84" customFormat="1" ht="27" customHeight="1" x14ac:dyDescent="0.3">
      <c r="A320" s="79" t="s">
        <v>6302</v>
      </c>
      <c r="B320" s="119" t="str">
        <f t="shared" si="4"/>
        <v>Setiembre</v>
      </c>
      <c r="C320" s="77" t="s">
        <v>240</v>
      </c>
      <c r="D320" s="85" t="s">
        <v>5222</v>
      </c>
      <c r="E320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320" s="79" t="s">
        <v>9278</v>
      </c>
      <c r="G320" s="148" t="s">
        <v>122</v>
      </c>
      <c r="H320" s="152" t="s">
        <v>9348</v>
      </c>
      <c r="I320" s="85" t="s">
        <v>536</v>
      </c>
      <c r="J320" s="153" t="s">
        <v>4997</v>
      </c>
      <c r="K320" s="85" t="s">
        <v>169</v>
      </c>
      <c r="L320" s="119" t="str">
        <f>VLOOKUP(Anexo_5[[#This Row],[cod_doc]],COMPRAS!TIPODOC,2,FALSE)</f>
        <v>FACTURA</v>
      </c>
      <c r="M320" s="85" t="s">
        <v>1906</v>
      </c>
      <c r="N320" s="79" t="s">
        <v>9798</v>
      </c>
      <c r="O320" s="86">
        <v>2383.36</v>
      </c>
      <c r="P320" s="87">
        <v>429</v>
      </c>
      <c r="Q320" s="86"/>
      <c r="R320" s="88">
        <v>2812.36</v>
      </c>
      <c r="S320" s="85"/>
      <c r="T320" s="85"/>
      <c r="U320" s="85"/>
      <c r="V320" s="85" t="s">
        <v>9350</v>
      </c>
      <c r="W320" s="83"/>
      <c r="X320" s="117" t="str">
        <f>IFERROR(VLOOKUP(Anexo_5[[#This Row],[CUENTA]],OP,2,0),"-")</f>
        <v>Transporte de Carga - Local</v>
      </c>
    </row>
    <row r="321" spans="1:24" s="84" customFormat="1" ht="27" customHeight="1" x14ac:dyDescent="0.3">
      <c r="A321" s="79" t="s">
        <v>6294</v>
      </c>
      <c r="B321" s="119" t="str">
        <f t="shared" ref="B321:B335" si="5">PROPER(CHOOSE(LEFT(D321,2),"enero","febrero","marzo","abril","mayo","junio","julio","agosto","setiembre","octubre","noviembre","diciembre"))</f>
        <v>Setiembre</v>
      </c>
      <c r="C321" s="77" t="s">
        <v>240</v>
      </c>
      <c r="D321" s="85" t="s">
        <v>5226</v>
      </c>
      <c r="E321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321" s="79" t="s">
        <v>4560</v>
      </c>
      <c r="G321" s="148" t="s">
        <v>115</v>
      </c>
      <c r="H321" s="152" t="s">
        <v>9371</v>
      </c>
      <c r="I321" s="85" t="s">
        <v>9799</v>
      </c>
      <c r="J321" s="153" t="s">
        <v>9800</v>
      </c>
      <c r="K321" s="85" t="s">
        <v>169</v>
      </c>
      <c r="L321" s="119" t="str">
        <f>VLOOKUP(Anexo_5[[#This Row],[cod_doc]],COMPRAS!TIPODOC,2,FALSE)</f>
        <v>FACTURA</v>
      </c>
      <c r="M321" s="85" t="s">
        <v>1906</v>
      </c>
      <c r="N321" s="79" t="s">
        <v>6836</v>
      </c>
      <c r="O321" s="86">
        <v>1166.8</v>
      </c>
      <c r="P321" s="87">
        <v>210.02</v>
      </c>
      <c r="Q321" s="86"/>
      <c r="R321" s="88">
        <v>1376.82</v>
      </c>
      <c r="S321" s="85"/>
      <c r="T321" s="85"/>
      <c r="U321" s="85"/>
      <c r="V321" s="85" t="s">
        <v>9375</v>
      </c>
      <c r="W321" s="83"/>
      <c r="X321" s="117" t="str">
        <f>IFERROR(VLOOKUP(Anexo_5[[#This Row],[CUENTA]],OP,2,0),"-")</f>
        <v>Residuos No Peligrosos</v>
      </c>
    </row>
    <row r="322" spans="1:24" s="84" customFormat="1" ht="27" customHeight="1" x14ac:dyDescent="0.3">
      <c r="A322" s="79" t="s">
        <v>6294</v>
      </c>
      <c r="B322" s="119" t="str">
        <f t="shared" si="5"/>
        <v>Setiembre</v>
      </c>
      <c r="C322" s="77" t="s">
        <v>240</v>
      </c>
      <c r="D322" s="85" t="s">
        <v>5230</v>
      </c>
      <c r="E322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322" s="79" t="s">
        <v>4560</v>
      </c>
      <c r="G322" s="148" t="s">
        <v>115</v>
      </c>
      <c r="H322" s="152" t="s">
        <v>9439</v>
      </c>
      <c r="I322" s="85" t="s">
        <v>980</v>
      </c>
      <c r="J322" s="153" t="s">
        <v>5083</v>
      </c>
      <c r="K322" s="85" t="s">
        <v>169</v>
      </c>
      <c r="L322" s="119" t="str">
        <f>VLOOKUP(Anexo_5[[#This Row],[cod_doc]],COMPRAS!TIPODOC,2,FALSE)</f>
        <v>FACTURA</v>
      </c>
      <c r="M322" s="85" t="s">
        <v>1906</v>
      </c>
      <c r="N322" s="79" t="s">
        <v>5965</v>
      </c>
      <c r="O322" s="86">
        <v>2367.02</v>
      </c>
      <c r="P322" s="87">
        <v>426.06</v>
      </c>
      <c r="Q322" s="86"/>
      <c r="R322" s="88">
        <v>2793.08</v>
      </c>
      <c r="S322" s="85"/>
      <c r="T322" s="85"/>
      <c r="U322" s="85"/>
      <c r="V322" s="85" t="s">
        <v>9375</v>
      </c>
      <c r="W322" s="83"/>
      <c r="X322" s="117" t="str">
        <f>IFERROR(VLOOKUP(Anexo_5[[#This Row],[CUENTA]],OP,2,0),"-")</f>
        <v>Residuos No Peligrosos</v>
      </c>
    </row>
    <row r="323" spans="1:24" s="84" customFormat="1" ht="27" customHeight="1" x14ac:dyDescent="0.3">
      <c r="A323" s="79" t="s">
        <v>6294</v>
      </c>
      <c r="B323" s="119" t="str">
        <f t="shared" si="5"/>
        <v>Setiembre</v>
      </c>
      <c r="C323" s="77" t="s">
        <v>240</v>
      </c>
      <c r="D323" s="85" t="s">
        <v>5234</v>
      </c>
      <c r="E323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323" s="79" t="s">
        <v>4560</v>
      </c>
      <c r="G323" s="148" t="s">
        <v>115</v>
      </c>
      <c r="H323" s="152" t="s">
        <v>9439</v>
      </c>
      <c r="I323" s="85" t="s">
        <v>9801</v>
      </c>
      <c r="J323" s="153" t="s">
        <v>9802</v>
      </c>
      <c r="K323" s="85" t="s">
        <v>169</v>
      </c>
      <c r="L323" s="119" t="str">
        <f>VLOOKUP(Anexo_5[[#This Row],[cod_doc]],COMPRAS!TIPODOC,2,FALSE)</f>
        <v>FACTURA</v>
      </c>
      <c r="M323" s="85" t="s">
        <v>1906</v>
      </c>
      <c r="N323" s="79" t="s">
        <v>9803</v>
      </c>
      <c r="O323" s="86">
        <v>3405.77</v>
      </c>
      <c r="P323" s="87">
        <v>613.04</v>
      </c>
      <c r="Q323" s="86"/>
      <c r="R323" s="88">
        <v>4018.81</v>
      </c>
      <c r="S323" s="85"/>
      <c r="T323" s="85"/>
      <c r="U323" s="85"/>
      <c r="V323" s="85" t="s">
        <v>9375</v>
      </c>
      <c r="W323" s="83"/>
      <c r="X323" s="117" t="str">
        <f>IFERROR(VLOOKUP(Anexo_5[[#This Row],[CUENTA]],OP,2,0),"-")</f>
        <v>Residuos No Peligrosos</v>
      </c>
    </row>
    <row r="324" spans="1:24" s="84" customFormat="1" ht="27" customHeight="1" x14ac:dyDescent="0.3">
      <c r="A324" s="79" t="s">
        <v>6294</v>
      </c>
      <c r="B324" s="119" t="str">
        <f t="shared" si="5"/>
        <v>Setiembre</v>
      </c>
      <c r="C324" s="77" t="s">
        <v>240</v>
      </c>
      <c r="D324" s="85" t="s">
        <v>5240</v>
      </c>
      <c r="E324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324" s="79" t="s">
        <v>4560</v>
      </c>
      <c r="G324" s="148" t="s">
        <v>115</v>
      </c>
      <c r="H324" s="152" t="s">
        <v>9371</v>
      </c>
      <c r="I324" s="85" t="s">
        <v>9804</v>
      </c>
      <c r="J324" s="153" t="s">
        <v>9805</v>
      </c>
      <c r="K324" s="85" t="s">
        <v>169</v>
      </c>
      <c r="L324" s="119" t="str">
        <f>VLOOKUP(Anexo_5[[#This Row],[cod_doc]],COMPRAS!TIPODOC,2,FALSE)</f>
        <v>FACTURA</v>
      </c>
      <c r="M324" s="85" t="s">
        <v>1906</v>
      </c>
      <c r="N324" s="79" t="s">
        <v>9806</v>
      </c>
      <c r="O324" s="86">
        <v>2351.1999999999998</v>
      </c>
      <c r="P324" s="87">
        <v>423.22</v>
      </c>
      <c r="Q324" s="86"/>
      <c r="R324" s="88">
        <v>2774.42</v>
      </c>
      <c r="S324" s="85"/>
      <c r="T324" s="85"/>
      <c r="U324" s="85"/>
      <c r="V324" s="85" t="s">
        <v>9375</v>
      </c>
      <c r="W324" s="83"/>
      <c r="X324" s="117" t="str">
        <f>IFERROR(VLOOKUP(Anexo_5[[#This Row],[CUENTA]],OP,2,0),"-")</f>
        <v>Residuos No Peligrosos</v>
      </c>
    </row>
    <row r="325" spans="1:24" s="84" customFormat="1" ht="27" customHeight="1" x14ac:dyDescent="0.3">
      <c r="A325" s="79" t="s">
        <v>6294</v>
      </c>
      <c r="B325" s="119" t="str">
        <f t="shared" si="5"/>
        <v>Setiembre</v>
      </c>
      <c r="C325" s="77" t="s">
        <v>240</v>
      </c>
      <c r="D325" s="85" t="s">
        <v>5245</v>
      </c>
      <c r="E325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325" s="79" t="s">
        <v>248</v>
      </c>
      <c r="G325" s="148" t="s">
        <v>249</v>
      </c>
      <c r="H325" s="152" t="s">
        <v>9335</v>
      </c>
      <c r="I325" s="85" t="s">
        <v>9669</v>
      </c>
      <c r="J325" s="153" t="s">
        <v>9768</v>
      </c>
      <c r="K325" s="85" t="s">
        <v>169</v>
      </c>
      <c r="L325" s="119" t="str">
        <f>VLOOKUP(Anexo_5[[#This Row],[cod_doc]],COMPRAS!TIPODOC,2,FALSE)</f>
        <v>FACTURA</v>
      </c>
      <c r="M325" s="85" t="s">
        <v>105</v>
      </c>
      <c r="N325" s="79" t="s">
        <v>8975</v>
      </c>
      <c r="O325" s="86">
        <v>656</v>
      </c>
      <c r="P325" s="87">
        <v>118.08</v>
      </c>
      <c r="Q325" s="86"/>
      <c r="R325" s="88">
        <v>774.08</v>
      </c>
      <c r="S325" s="85"/>
      <c r="T325" s="85"/>
      <c r="U325" s="85"/>
      <c r="V325" s="85" t="s">
        <v>9336</v>
      </c>
      <c r="W325" s="83"/>
      <c r="X325" s="117" t="str">
        <f>IFERROR(VLOOKUP(Anexo_5[[#This Row],[CUENTA]],OP,2,0),"-")</f>
        <v>Productos Terminados - RRSS</v>
      </c>
    </row>
    <row r="326" spans="1:24" s="84" customFormat="1" ht="27" customHeight="1" x14ac:dyDescent="0.3">
      <c r="A326" s="79" t="s">
        <v>6294</v>
      </c>
      <c r="B326" s="119" t="str">
        <f t="shared" si="5"/>
        <v>Setiembre</v>
      </c>
      <c r="C326" s="77" t="s">
        <v>240</v>
      </c>
      <c r="D326" s="85" t="s">
        <v>5250</v>
      </c>
      <c r="E326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326" s="79" t="s">
        <v>248</v>
      </c>
      <c r="G326" s="148" t="s">
        <v>249</v>
      </c>
      <c r="H326" s="152" t="s">
        <v>9469</v>
      </c>
      <c r="I326" s="85" t="s">
        <v>9470</v>
      </c>
      <c r="J326" s="153" t="s">
        <v>9807</v>
      </c>
      <c r="K326" s="85" t="s">
        <v>169</v>
      </c>
      <c r="L326" s="119" t="str">
        <f>VLOOKUP(Anexo_5[[#This Row],[cod_doc]],COMPRAS!TIPODOC,2,FALSE)</f>
        <v>FACTURA</v>
      </c>
      <c r="M326" s="85" t="s">
        <v>105</v>
      </c>
      <c r="N326" s="79" t="s">
        <v>8972</v>
      </c>
      <c r="O326" s="86">
        <v>3413</v>
      </c>
      <c r="P326" s="87">
        <v>614.34</v>
      </c>
      <c r="Q326" s="86"/>
      <c r="R326" s="88">
        <v>4027.34</v>
      </c>
      <c r="S326" s="85"/>
      <c r="T326" s="85"/>
      <c r="U326" s="85"/>
      <c r="V326" s="85" t="s">
        <v>9336</v>
      </c>
      <c r="W326" s="83"/>
      <c r="X326" s="117" t="str">
        <f>IFERROR(VLOOKUP(Anexo_5[[#This Row],[CUENTA]],OP,2,0),"-")</f>
        <v>Productos Terminados - RRSS</v>
      </c>
    </row>
    <row r="327" spans="1:24" s="84" customFormat="1" ht="27" customHeight="1" x14ac:dyDescent="0.3">
      <c r="A327" s="79" t="s">
        <v>6294</v>
      </c>
      <c r="B327" s="119" t="str">
        <f t="shared" si="5"/>
        <v>Setiembre</v>
      </c>
      <c r="C327" s="77" t="s">
        <v>240</v>
      </c>
      <c r="D327" s="85" t="s">
        <v>5256</v>
      </c>
      <c r="E327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327" s="79" t="s">
        <v>248</v>
      </c>
      <c r="G327" s="148" t="s">
        <v>249</v>
      </c>
      <c r="H327" s="152" t="s">
        <v>9469</v>
      </c>
      <c r="I327" s="85" t="s">
        <v>9470</v>
      </c>
      <c r="J327" s="153" t="s">
        <v>9807</v>
      </c>
      <c r="K327" s="85" t="s">
        <v>169</v>
      </c>
      <c r="L327" s="119" t="str">
        <f>VLOOKUP(Anexo_5[[#This Row],[cod_doc]],COMPRAS!TIPODOC,2,FALSE)</f>
        <v>FACTURA</v>
      </c>
      <c r="M327" s="85" t="s">
        <v>105</v>
      </c>
      <c r="N327" s="79" t="s">
        <v>9566</v>
      </c>
      <c r="O327" s="86">
        <v>315</v>
      </c>
      <c r="P327" s="87">
        <v>56.7</v>
      </c>
      <c r="Q327" s="86"/>
      <c r="R327" s="88">
        <v>371.7</v>
      </c>
      <c r="S327" s="85"/>
      <c r="T327" s="85"/>
      <c r="U327" s="85"/>
      <c r="V327" s="85" t="s">
        <v>9336</v>
      </c>
      <c r="W327" s="83"/>
      <c r="X327" s="117" t="str">
        <f>IFERROR(VLOOKUP(Anexo_5[[#This Row],[CUENTA]],OP,2,0),"-")</f>
        <v>Productos Terminados - RRSS</v>
      </c>
    </row>
    <row r="328" spans="1:24" s="84" customFormat="1" ht="27" customHeight="1" x14ac:dyDescent="0.3">
      <c r="A328" s="79" t="s">
        <v>6380</v>
      </c>
      <c r="B328" s="119" t="str">
        <f t="shared" si="5"/>
        <v>Setiembre</v>
      </c>
      <c r="C328" s="77" t="s">
        <v>240</v>
      </c>
      <c r="D328" s="85" t="s">
        <v>5261</v>
      </c>
      <c r="E328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328" s="79" t="s">
        <v>248</v>
      </c>
      <c r="G328" s="148" t="s">
        <v>249</v>
      </c>
      <c r="H328" s="152" t="s">
        <v>9343</v>
      </c>
      <c r="I328" s="85" t="s">
        <v>9344</v>
      </c>
      <c r="J328" s="153" t="s">
        <v>9751</v>
      </c>
      <c r="K328" s="85" t="s">
        <v>169</v>
      </c>
      <c r="L328" s="119" t="str">
        <f>VLOOKUP(Anexo_5[[#This Row],[cod_doc]],COMPRAS!TIPODOC,2,FALSE)</f>
        <v>FACTURA</v>
      </c>
      <c r="M328" s="85" t="s">
        <v>107</v>
      </c>
      <c r="N328" s="79" t="s">
        <v>9482</v>
      </c>
      <c r="O328" s="86">
        <v>613.20000000000005</v>
      </c>
      <c r="P328" s="87">
        <v>110.38</v>
      </c>
      <c r="Q328" s="86"/>
      <c r="R328" s="88">
        <v>723.58</v>
      </c>
      <c r="S328" s="85"/>
      <c r="T328" s="85"/>
      <c r="U328" s="85"/>
      <c r="V328" s="85" t="s">
        <v>9336</v>
      </c>
      <c r="W328" s="83"/>
      <c r="X328" s="117" t="str">
        <f>IFERROR(VLOOKUP(Anexo_5[[#This Row],[CUENTA]],OP,2,0),"-")</f>
        <v>Productos Terminados - RRSS</v>
      </c>
    </row>
    <row r="329" spans="1:24" s="84" customFormat="1" ht="27" customHeight="1" x14ac:dyDescent="0.3">
      <c r="A329" s="79" t="s">
        <v>6384</v>
      </c>
      <c r="B329" s="119" t="str">
        <f t="shared" si="5"/>
        <v>Setiembre</v>
      </c>
      <c r="C329" s="77" t="s">
        <v>240</v>
      </c>
      <c r="D329" s="85" t="s">
        <v>5267</v>
      </c>
      <c r="E329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329" s="79" t="s">
        <v>4560</v>
      </c>
      <c r="G329" s="148" t="s">
        <v>115</v>
      </c>
      <c r="H329" s="152" t="s">
        <v>9371</v>
      </c>
      <c r="I329" s="85" t="s">
        <v>9378</v>
      </c>
      <c r="J329" s="153" t="s">
        <v>9745</v>
      </c>
      <c r="K329" s="85" t="s">
        <v>169</v>
      </c>
      <c r="L329" s="119" t="str">
        <f>VLOOKUP(Anexo_5[[#This Row],[cod_doc]],COMPRAS!TIPODOC,2,FALSE)</f>
        <v>FACTURA</v>
      </c>
      <c r="M329" s="85" t="s">
        <v>1906</v>
      </c>
      <c r="N329" s="79" t="s">
        <v>9808</v>
      </c>
      <c r="O329" s="86">
        <v>3667.2</v>
      </c>
      <c r="P329" s="87">
        <v>660.1</v>
      </c>
      <c r="Q329" s="86"/>
      <c r="R329" s="88">
        <v>4327.3</v>
      </c>
      <c r="S329" s="85"/>
      <c r="T329" s="85"/>
      <c r="U329" s="85"/>
      <c r="V329" s="85" t="s">
        <v>9375</v>
      </c>
      <c r="W329" s="83"/>
      <c r="X329" s="117" t="str">
        <f>IFERROR(VLOOKUP(Anexo_5[[#This Row],[CUENTA]],OP,2,0),"-")</f>
        <v>Residuos No Peligrosos</v>
      </c>
    </row>
    <row r="330" spans="1:24" s="84" customFormat="1" ht="27" customHeight="1" x14ac:dyDescent="0.3">
      <c r="A330" s="79" t="s">
        <v>6384</v>
      </c>
      <c r="B330" s="119" t="str">
        <f t="shared" si="5"/>
        <v>Setiembre</v>
      </c>
      <c r="C330" s="77" t="s">
        <v>240</v>
      </c>
      <c r="D330" s="85" t="s">
        <v>5269</v>
      </c>
      <c r="E330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330" s="79" t="s">
        <v>4563</v>
      </c>
      <c r="G330" s="148" t="s">
        <v>114</v>
      </c>
      <c r="H330" s="152" t="s">
        <v>9536</v>
      </c>
      <c r="I330" s="85" t="s">
        <v>625</v>
      </c>
      <c r="J330" s="153" t="s">
        <v>4796</v>
      </c>
      <c r="K330" s="85" t="s">
        <v>169</v>
      </c>
      <c r="L330" s="119" t="str">
        <f>VLOOKUP(Anexo_5[[#This Row],[cod_doc]],COMPRAS!TIPODOC,2,FALSE)</f>
        <v>FACTURA</v>
      </c>
      <c r="M330" s="85" t="s">
        <v>1906</v>
      </c>
      <c r="N330" s="79" t="s">
        <v>9809</v>
      </c>
      <c r="O330" s="86">
        <v>22262.18</v>
      </c>
      <c r="P330" s="87">
        <v>4007.2</v>
      </c>
      <c r="Q330" s="86"/>
      <c r="R330" s="88">
        <v>26269.38</v>
      </c>
      <c r="S330" s="85"/>
      <c r="T330" s="85"/>
      <c r="U330" s="85"/>
      <c r="V330" s="85" t="s">
        <v>9333</v>
      </c>
      <c r="W330" s="83"/>
      <c r="X330" s="117" t="str">
        <f>IFERROR(VLOOKUP(Anexo_5[[#This Row],[CUENTA]],OP,2,0),"-")</f>
        <v>Residuos Peligrosos</v>
      </c>
    </row>
    <row r="331" spans="1:24" s="84" customFormat="1" ht="27" customHeight="1" x14ac:dyDescent="0.3">
      <c r="A331" s="79" t="s">
        <v>6536</v>
      </c>
      <c r="B331" s="119" t="str">
        <f t="shared" si="5"/>
        <v>Setiembre</v>
      </c>
      <c r="C331" s="77" t="s">
        <v>240</v>
      </c>
      <c r="D331" s="85" t="s">
        <v>5275</v>
      </c>
      <c r="E331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331" s="79" t="s">
        <v>4560</v>
      </c>
      <c r="G331" s="148" t="s">
        <v>115</v>
      </c>
      <c r="H331" s="152" t="s">
        <v>9439</v>
      </c>
      <c r="I331" s="85" t="s">
        <v>9553</v>
      </c>
      <c r="J331" s="153" t="s">
        <v>9810</v>
      </c>
      <c r="K331" s="85" t="s">
        <v>169</v>
      </c>
      <c r="L331" s="119" t="str">
        <f>VLOOKUP(Anexo_5[[#This Row],[cod_doc]],COMPRAS!TIPODOC,2,FALSE)</f>
        <v>FACTURA</v>
      </c>
      <c r="M331" s="85" t="s">
        <v>1906</v>
      </c>
      <c r="N331" s="79" t="s">
        <v>7489</v>
      </c>
      <c r="O331" s="86">
        <v>5254.2</v>
      </c>
      <c r="P331" s="87">
        <v>945.76</v>
      </c>
      <c r="Q331" s="86"/>
      <c r="R331" s="88">
        <v>6199.96</v>
      </c>
      <c r="S331" s="85"/>
      <c r="T331" s="85"/>
      <c r="U331" s="85"/>
      <c r="V331" s="85" t="s">
        <v>9375</v>
      </c>
      <c r="W331" s="83"/>
      <c r="X331" s="117" t="str">
        <f>IFERROR(VLOOKUP(Anexo_5[[#This Row],[CUENTA]],OP,2,0),"-")</f>
        <v>Residuos No Peligrosos</v>
      </c>
    </row>
    <row r="332" spans="1:24" s="84" customFormat="1" ht="27" customHeight="1" x14ac:dyDescent="0.3">
      <c r="A332" s="79" t="s">
        <v>6536</v>
      </c>
      <c r="B332" s="119" t="str">
        <f t="shared" si="5"/>
        <v>Setiembre</v>
      </c>
      <c r="C332" s="77" t="s">
        <v>240</v>
      </c>
      <c r="D332" s="85" t="s">
        <v>5280</v>
      </c>
      <c r="E332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332" s="79" t="s">
        <v>4560</v>
      </c>
      <c r="G332" s="148" t="s">
        <v>115</v>
      </c>
      <c r="H332" s="152" t="s">
        <v>9439</v>
      </c>
      <c r="I332" s="85" t="s">
        <v>9553</v>
      </c>
      <c r="J332" s="153" t="s">
        <v>9810</v>
      </c>
      <c r="K332" s="85" t="s">
        <v>169</v>
      </c>
      <c r="L332" s="119" t="str">
        <f>VLOOKUP(Anexo_5[[#This Row],[cod_doc]],COMPRAS!TIPODOC,2,FALSE)</f>
        <v>FACTURA</v>
      </c>
      <c r="M332" s="85" t="s">
        <v>1906</v>
      </c>
      <c r="N332" s="79" t="s">
        <v>7879</v>
      </c>
      <c r="O332" s="86">
        <v>1476.72</v>
      </c>
      <c r="P332" s="87">
        <v>265.81</v>
      </c>
      <c r="Q332" s="86"/>
      <c r="R332" s="88">
        <v>1742.53</v>
      </c>
      <c r="S332" s="85"/>
      <c r="T332" s="85"/>
      <c r="U332" s="85"/>
      <c r="V332" s="85" t="s">
        <v>9375</v>
      </c>
      <c r="W332" s="83"/>
      <c r="X332" s="117" t="str">
        <f>IFERROR(VLOOKUP(Anexo_5[[#This Row],[CUENTA]],OP,2,0),"-")</f>
        <v>Residuos No Peligrosos</v>
      </c>
    </row>
    <row r="333" spans="1:24" s="84" customFormat="1" ht="27" customHeight="1" x14ac:dyDescent="0.3">
      <c r="A333" s="79" t="s">
        <v>6536</v>
      </c>
      <c r="B333" s="119" t="str">
        <f t="shared" si="5"/>
        <v>Setiembre</v>
      </c>
      <c r="C333" s="77" t="s">
        <v>240</v>
      </c>
      <c r="D333" s="85" t="s">
        <v>5284</v>
      </c>
      <c r="E333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333" s="79" t="s">
        <v>4563</v>
      </c>
      <c r="G333" s="148" t="s">
        <v>114</v>
      </c>
      <c r="H333" s="152" t="s">
        <v>9386</v>
      </c>
      <c r="I333" s="85" t="s">
        <v>9553</v>
      </c>
      <c r="J333" s="153" t="s">
        <v>9810</v>
      </c>
      <c r="K333" s="85" t="s">
        <v>169</v>
      </c>
      <c r="L333" s="119" t="str">
        <f>VLOOKUP(Anexo_5[[#This Row],[cod_doc]],COMPRAS!TIPODOC,2,FALSE)</f>
        <v>FACTURA</v>
      </c>
      <c r="M333" s="85" t="s">
        <v>1906</v>
      </c>
      <c r="N333" s="79" t="s">
        <v>7492</v>
      </c>
      <c r="O333" s="86">
        <v>214.79</v>
      </c>
      <c r="P333" s="87">
        <v>38.659999999999997</v>
      </c>
      <c r="Q333" s="86"/>
      <c r="R333" s="88">
        <v>253.45</v>
      </c>
      <c r="S333" s="85"/>
      <c r="T333" s="85"/>
      <c r="U333" s="85"/>
      <c r="V333" s="85" t="s">
        <v>9333</v>
      </c>
      <c r="W333" s="83"/>
      <c r="X333" s="117" t="str">
        <f>IFERROR(VLOOKUP(Anexo_5[[#This Row],[CUENTA]],OP,2,0),"-")</f>
        <v>Residuos Peligrosos</v>
      </c>
    </row>
    <row r="334" spans="1:24" s="84" customFormat="1" ht="27" customHeight="1" x14ac:dyDescent="0.3">
      <c r="A334" s="79" t="s">
        <v>6536</v>
      </c>
      <c r="B334" s="119" t="str">
        <f t="shared" si="5"/>
        <v>Setiembre</v>
      </c>
      <c r="C334" s="77" t="s">
        <v>240</v>
      </c>
      <c r="D334" s="85" t="s">
        <v>5287</v>
      </c>
      <c r="E334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334" s="79" t="s">
        <v>248</v>
      </c>
      <c r="G334" s="148" t="s">
        <v>249</v>
      </c>
      <c r="H334" s="152" t="s">
        <v>9469</v>
      </c>
      <c r="I334" s="85" t="s">
        <v>9470</v>
      </c>
      <c r="J334" s="153" t="s">
        <v>9807</v>
      </c>
      <c r="K334" s="85" t="s">
        <v>169</v>
      </c>
      <c r="L334" s="119" t="str">
        <f>VLOOKUP(Anexo_5[[#This Row],[cod_doc]],COMPRAS!TIPODOC,2,FALSE)</f>
        <v>FACTURA</v>
      </c>
      <c r="M334" s="85" t="s">
        <v>105</v>
      </c>
      <c r="N334" s="79" t="s">
        <v>9568</v>
      </c>
      <c r="O334" s="86">
        <v>2096.5</v>
      </c>
      <c r="P334" s="87">
        <v>377.37</v>
      </c>
      <c r="Q334" s="86"/>
      <c r="R334" s="88">
        <v>2473.87</v>
      </c>
      <c r="S334" s="85"/>
      <c r="T334" s="85"/>
      <c r="U334" s="85"/>
      <c r="V334" s="85" t="s">
        <v>9336</v>
      </c>
      <c r="W334" s="83"/>
      <c r="X334" s="117" t="str">
        <f>IFERROR(VLOOKUP(Anexo_5[[#This Row],[CUENTA]],OP,2,0),"-")</f>
        <v>Productos Terminados - RRSS</v>
      </c>
    </row>
    <row r="335" spans="1:24" s="84" customFormat="1" ht="27" customHeight="1" x14ac:dyDescent="0.3">
      <c r="A335" s="79" t="s">
        <v>6536</v>
      </c>
      <c r="B335" s="119" t="str">
        <f t="shared" si="5"/>
        <v>Setiembre</v>
      </c>
      <c r="C335" s="77" t="s">
        <v>240</v>
      </c>
      <c r="D335" s="85" t="s">
        <v>5291</v>
      </c>
      <c r="E335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335" s="79" t="s">
        <v>4563</v>
      </c>
      <c r="G335" s="148" t="s">
        <v>114</v>
      </c>
      <c r="H335" s="152" t="s">
        <v>9386</v>
      </c>
      <c r="I335" s="85" t="s">
        <v>625</v>
      </c>
      <c r="J335" s="153" t="s">
        <v>626</v>
      </c>
      <c r="K335" s="85" t="s">
        <v>169</v>
      </c>
      <c r="L335" s="119" t="str">
        <f>VLOOKUP(Anexo_5[[#This Row],[cod_doc]],COMPRAS!TIPODOC,2,FALSE)</f>
        <v>FACTURA</v>
      </c>
      <c r="M335" s="85" t="s">
        <v>106</v>
      </c>
      <c r="N335" s="79" t="s">
        <v>6293</v>
      </c>
      <c r="O335" s="86">
        <v>28770.91</v>
      </c>
      <c r="P335" s="87">
        <v>5178.75</v>
      </c>
      <c r="Q335" s="86"/>
      <c r="R335" s="88">
        <v>33949.660000000003</v>
      </c>
      <c r="S335" s="85"/>
      <c r="T335" s="85"/>
      <c r="U335" s="85"/>
      <c r="V335" s="85" t="s">
        <v>9333</v>
      </c>
      <c r="W335" s="105"/>
      <c r="X335" s="117" t="str">
        <f>IFERROR(VLOOKUP(Anexo_5[[#This Row],[CUENTA]],OP,2,0),"-")</f>
        <v>Residuos Peligrosos</v>
      </c>
    </row>
    <row r="336" spans="1:24" s="84" customFormat="1" ht="27" customHeight="1" x14ac:dyDescent="0.3">
      <c r="A336" s="79" t="s">
        <v>7040</v>
      </c>
      <c r="B336" s="119" t="str">
        <f t="shared" ref="B336:B353" si="6">PROPER(CHOOSE(LEFT(D336,2),"enero","febrero","marzo","abril","mayo","junio","julio","agosto","setiembre","octubre","noviembre","diciembre"))</f>
        <v>Octubre</v>
      </c>
      <c r="C336" s="77" t="s">
        <v>240</v>
      </c>
      <c r="D336" s="85" t="s">
        <v>7041</v>
      </c>
      <c r="E336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336" s="79" t="s">
        <v>4560</v>
      </c>
      <c r="G336" s="148" t="s">
        <v>115</v>
      </c>
      <c r="H336" s="152" t="s">
        <v>9371</v>
      </c>
      <c r="I336" s="85" t="s">
        <v>9642</v>
      </c>
      <c r="J336" s="153" t="s">
        <v>9756</v>
      </c>
      <c r="K336" s="85" t="s">
        <v>169</v>
      </c>
      <c r="L336" s="119" t="str">
        <f>VLOOKUP(Anexo_5[[#This Row],[cod_doc]],COMPRAS!TIPODOC,2,FALSE)</f>
        <v>FACTURA</v>
      </c>
      <c r="M336" s="85" t="s">
        <v>1906</v>
      </c>
      <c r="N336" s="79" t="s">
        <v>9811</v>
      </c>
      <c r="O336" s="86">
        <v>670.43</v>
      </c>
      <c r="P336" s="87">
        <v>120.68</v>
      </c>
      <c r="Q336" s="86"/>
      <c r="R336" s="88">
        <v>791.11</v>
      </c>
      <c r="S336" s="85"/>
      <c r="T336" s="85"/>
      <c r="U336" s="85"/>
      <c r="V336" s="85"/>
      <c r="W336" s="105"/>
      <c r="X336" s="117" t="str">
        <f>IFERROR(VLOOKUP(Anexo_5[[#This Row],[CUENTA]],OP,2,0),"-")</f>
        <v>-</v>
      </c>
    </row>
    <row r="337" spans="1:24" s="84" customFormat="1" ht="27" customHeight="1" x14ac:dyDescent="0.3">
      <c r="A337" s="79" t="s">
        <v>7040</v>
      </c>
      <c r="B337" s="119" t="str">
        <f t="shared" si="6"/>
        <v>Octubre</v>
      </c>
      <c r="C337" s="77" t="s">
        <v>240</v>
      </c>
      <c r="D337" s="85" t="s">
        <v>7043</v>
      </c>
      <c r="E337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337" s="79" t="s">
        <v>4560</v>
      </c>
      <c r="G337" s="148" t="s">
        <v>115</v>
      </c>
      <c r="H337" s="152" t="s">
        <v>9371</v>
      </c>
      <c r="I337" s="85" t="s">
        <v>9378</v>
      </c>
      <c r="J337" s="153" t="s">
        <v>9745</v>
      </c>
      <c r="K337" s="85" t="s">
        <v>169</v>
      </c>
      <c r="L337" s="119" t="str">
        <f>VLOOKUP(Anexo_5[[#This Row],[cod_doc]],COMPRAS!TIPODOC,2,FALSE)</f>
        <v>FACTURA</v>
      </c>
      <c r="M337" s="85" t="s">
        <v>1906</v>
      </c>
      <c r="N337" s="79" t="s">
        <v>9812</v>
      </c>
      <c r="O337" s="86">
        <v>3689.6</v>
      </c>
      <c r="P337" s="87">
        <v>664.13</v>
      </c>
      <c r="Q337" s="86"/>
      <c r="R337" s="88">
        <v>4353.7299999999996</v>
      </c>
      <c r="S337" s="85"/>
      <c r="T337" s="85"/>
      <c r="U337" s="85"/>
      <c r="V337" s="85"/>
      <c r="W337" s="105"/>
      <c r="X337" s="117" t="str">
        <f>IFERROR(VLOOKUP(Anexo_5[[#This Row],[CUENTA]],OP,2,0),"-")</f>
        <v>-</v>
      </c>
    </row>
    <row r="338" spans="1:24" s="84" customFormat="1" ht="27" customHeight="1" x14ac:dyDescent="0.3">
      <c r="A338" s="79" t="s">
        <v>7040</v>
      </c>
      <c r="B338" s="119" t="str">
        <f t="shared" si="6"/>
        <v>Octubre</v>
      </c>
      <c r="C338" s="77" t="s">
        <v>240</v>
      </c>
      <c r="D338" s="85" t="s">
        <v>7048</v>
      </c>
      <c r="E338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338" s="79" t="s">
        <v>4560</v>
      </c>
      <c r="G338" s="148" t="s">
        <v>115</v>
      </c>
      <c r="H338" s="152" t="s">
        <v>9371</v>
      </c>
      <c r="I338" s="85" t="s">
        <v>9372</v>
      </c>
      <c r="J338" s="153" t="s">
        <v>9813</v>
      </c>
      <c r="K338" s="85" t="s">
        <v>169</v>
      </c>
      <c r="L338" s="119" t="str">
        <f>VLOOKUP(Anexo_5[[#This Row],[cod_doc]],COMPRAS!TIPODOC,2,FALSE)</f>
        <v>FACTURA</v>
      </c>
      <c r="M338" s="85" t="s">
        <v>1906</v>
      </c>
      <c r="N338" s="79" t="s">
        <v>9814</v>
      </c>
      <c r="O338" s="86">
        <v>9708.6</v>
      </c>
      <c r="P338" s="87">
        <v>1747.55</v>
      </c>
      <c r="Q338" s="86"/>
      <c r="R338" s="88">
        <v>11456.15</v>
      </c>
      <c r="S338" s="85"/>
      <c r="T338" s="85"/>
      <c r="U338" s="85"/>
      <c r="V338" s="85"/>
      <c r="W338" s="105"/>
      <c r="X338" s="117" t="str">
        <f>IFERROR(VLOOKUP(Anexo_5[[#This Row],[CUENTA]],OP,2,0),"-")</f>
        <v>-</v>
      </c>
    </row>
    <row r="339" spans="1:24" s="84" customFormat="1" ht="27" customHeight="1" x14ac:dyDescent="0.3">
      <c r="A339" s="79" t="s">
        <v>7040</v>
      </c>
      <c r="B339" s="119" t="str">
        <f t="shared" si="6"/>
        <v>Octubre</v>
      </c>
      <c r="C339" s="77" t="s">
        <v>240</v>
      </c>
      <c r="D339" s="85" t="s">
        <v>7053</v>
      </c>
      <c r="E339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339" s="79" t="s">
        <v>4560</v>
      </c>
      <c r="G339" s="148" t="s">
        <v>115</v>
      </c>
      <c r="H339" s="152" t="s">
        <v>9371</v>
      </c>
      <c r="I339" s="85" t="s">
        <v>9378</v>
      </c>
      <c r="J339" s="153" t="s">
        <v>9745</v>
      </c>
      <c r="K339" s="85" t="s">
        <v>169</v>
      </c>
      <c r="L339" s="119" t="str">
        <f>VLOOKUP(Anexo_5[[#This Row],[cod_doc]],COMPRAS!TIPODOC,2,FALSE)</f>
        <v>FACTURA</v>
      </c>
      <c r="M339" s="85" t="s">
        <v>1906</v>
      </c>
      <c r="N339" s="79" t="s">
        <v>9815</v>
      </c>
      <c r="O339" s="86">
        <v>1832</v>
      </c>
      <c r="P339" s="87">
        <v>329.76</v>
      </c>
      <c r="Q339" s="86"/>
      <c r="R339" s="88">
        <v>2161.7600000000002</v>
      </c>
      <c r="S339" s="85"/>
      <c r="T339" s="85"/>
      <c r="U339" s="85"/>
      <c r="V339" s="85"/>
      <c r="W339" s="105"/>
      <c r="X339" s="117" t="str">
        <f>IFERROR(VLOOKUP(Anexo_5[[#This Row],[CUENTA]],OP,2,0),"-")</f>
        <v>-</v>
      </c>
    </row>
    <row r="340" spans="1:24" s="84" customFormat="1" ht="27" customHeight="1" x14ac:dyDescent="0.3">
      <c r="A340" s="79" t="s">
        <v>7040</v>
      </c>
      <c r="B340" s="119" t="str">
        <f t="shared" si="6"/>
        <v>Octubre</v>
      </c>
      <c r="C340" s="77" t="s">
        <v>240</v>
      </c>
      <c r="D340" s="85" t="s">
        <v>7058</v>
      </c>
      <c r="E340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340" s="79" t="s">
        <v>9281</v>
      </c>
      <c r="G340" s="148" t="s">
        <v>123</v>
      </c>
      <c r="H340" s="152" t="s">
        <v>9365</v>
      </c>
      <c r="I340" s="85" t="s">
        <v>9366</v>
      </c>
      <c r="J340" s="153" t="s">
        <v>9781</v>
      </c>
      <c r="K340" s="85" t="s">
        <v>169</v>
      </c>
      <c r="L340" s="119" t="str">
        <f>VLOOKUP(Anexo_5[[#This Row],[cod_doc]],COMPRAS!TIPODOC,2,FALSE)</f>
        <v>FACTURA</v>
      </c>
      <c r="M340" s="85" t="s">
        <v>1906</v>
      </c>
      <c r="N340" s="79" t="s">
        <v>9816</v>
      </c>
      <c r="O340" s="86">
        <v>6099</v>
      </c>
      <c r="P340" s="87">
        <v>1097.82</v>
      </c>
      <c r="Q340" s="86"/>
      <c r="R340" s="88">
        <v>7196.82</v>
      </c>
      <c r="S340" s="85"/>
      <c r="T340" s="85"/>
      <c r="U340" s="85"/>
      <c r="V340" s="85"/>
      <c r="W340" s="105"/>
      <c r="X340" s="117" t="str">
        <f>IFERROR(VLOOKUP(Anexo_5[[#This Row],[CUENTA]],OP,2,0),"-")</f>
        <v>-</v>
      </c>
    </row>
    <row r="341" spans="1:24" s="84" customFormat="1" ht="27" customHeight="1" x14ac:dyDescent="0.3">
      <c r="A341" s="79" t="s">
        <v>7040</v>
      </c>
      <c r="B341" s="119" t="str">
        <f t="shared" si="6"/>
        <v>Octubre</v>
      </c>
      <c r="C341" s="77" t="s">
        <v>240</v>
      </c>
      <c r="D341" s="85" t="s">
        <v>7063</v>
      </c>
      <c r="E341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341" s="79" t="s">
        <v>248</v>
      </c>
      <c r="G341" s="148" t="s">
        <v>249</v>
      </c>
      <c r="H341" s="152" t="s">
        <v>9462</v>
      </c>
      <c r="I341" s="85" t="s">
        <v>9353</v>
      </c>
      <c r="J341" s="153" t="s">
        <v>9774</v>
      </c>
      <c r="K341" s="85" t="s">
        <v>169</v>
      </c>
      <c r="L341" s="119" t="str">
        <f>VLOOKUP(Anexo_5[[#This Row],[cod_doc]],COMPRAS!TIPODOC,2,FALSE)</f>
        <v>FACTURA</v>
      </c>
      <c r="M341" s="85" t="s">
        <v>105</v>
      </c>
      <c r="N341" s="79" t="s">
        <v>9103</v>
      </c>
      <c r="O341" s="86">
        <v>16055.7</v>
      </c>
      <c r="P341" s="87">
        <v>2890.03</v>
      </c>
      <c r="Q341" s="86"/>
      <c r="R341" s="88">
        <v>18945.73</v>
      </c>
      <c r="S341" s="85"/>
      <c r="T341" s="85"/>
      <c r="U341" s="85"/>
      <c r="V341" s="85"/>
      <c r="W341" s="105"/>
      <c r="X341" s="117" t="str">
        <f>IFERROR(VLOOKUP(Anexo_5[[#This Row],[CUENTA]],OP,2,0),"-")</f>
        <v>-</v>
      </c>
    </row>
    <row r="342" spans="1:24" s="84" customFormat="1" ht="27" customHeight="1" x14ac:dyDescent="0.3">
      <c r="A342" s="79" t="s">
        <v>7040</v>
      </c>
      <c r="B342" s="119" t="str">
        <f t="shared" si="6"/>
        <v>Octubre</v>
      </c>
      <c r="C342" s="77" t="s">
        <v>240</v>
      </c>
      <c r="D342" s="85" t="s">
        <v>7066</v>
      </c>
      <c r="E342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342" s="79" t="s">
        <v>248</v>
      </c>
      <c r="G342" s="148" t="s">
        <v>249</v>
      </c>
      <c r="H342" s="152" t="s">
        <v>9487</v>
      </c>
      <c r="I342" s="85" t="s">
        <v>9488</v>
      </c>
      <c r="J342" s="153" t="s">
        <v>9817</v>
      </c>
      <c r="K342" s="85" t="s">
        <v>169</v>
      </c>
      <c r="L342" s="119" t="str">
        <f>VLOOKUP(Anexo_5[[#This Row],[cod_doc]],COMPRAS!TIPODOC,2,FALSE)</f>
        <v>FACTURA</v>
      </c>
      <c r="M342" s="85" t="s">
        <v>105</v>
      </c>
      <c r="N342" s="79" t="s">
        <v>9591</v>
      </c>
      <c r="O342" s="86">
        <v>825</v>
      </c>
      <c r="P342" s="87">
        <v>148.5</v>
      </c>
      <c r="Q342" s="86"/>
      <c r="R342" s="88">
        <v>973.5</v>
      </c>
      <c r="S342" s="85"/>
      <c r="T342" s="85"/>
      <c r="U342" s="85"/>
      <c r="V342" s="85"/>
      <c r="W342" s="105"/>
      <c r="X342" s="117" t="str">
        <f>IFERROR(VLOOKUP(Anexo_5[[#This Row],[CUENTA]],OP,2,0),"-")</f>
        <v>-</v>
      </c>
    </row>
    <row r="343" spans="1:24" s="84" customFormat="1" ht="27" customHeight="1" x14ac:dyDescent="0.3">
      <c r="A343" s="79" t="s">
        <v>7040</v>
      </c>
      <c r="B343" s="119" t="str">
        <f t="shared" si="6"/>
        <v>Octubre</v>
      </c>
      <c r="C343" s="77" t="s">
        <v>240</v>
      </c>
      <c r="D343" s="85" t="s">
        <v>7070</v>
      </c>
      <c r="E343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343" s="79" t="s">
        <v>248</v>
      </c>
      <c r="G343" s="148" t="s">
        <v>249</v>
      </c>
      <c r="H343" s="152" t="s">
        <v>9390</v>
      </c>
      <c r="I343" s="85" t="s">
        <v>9391</v>
      </c>
      <c r="J343" s="153" t="s">
        <v>9776</v>
      </c>
      <c r="K343" s="85" t="s">
        <v>169</v>
      </c>
      <c r="L343" s="119" t="str">
        <f>VLOOKUP(Anexo_5[[#This Row],[cod_doc]],COMPRAS!TIPODOC,2,FALSE)</f>
        <v>FACTURA</v>
      </c>
      <c r="M343" s="85" t="s">
        <v>105</v>
      </c>
      <c r="N343" s="79" t="s">
        <v>9594</v>
      </c>
      <c r="O343" s="86">
        <v>420</v>
      </c>
      <c r="P343" s="87">
        <v>75.599999999999994</v>
      </c>
      <c r="Q343" s="86"/>
      <c r="R343" s="88">
        <v>495.6</v>
      </c>
      <c r="S343" s="85"/>
      <c r="T343" s="85"/>
      <c r="U343" s="85"/>
      <c r="V343" s="85"/>
      <c r="W343" s="105"/>
      <c r="X343" s="117" t="str">
        <f>IFERROR(VLOOKUP(Anexo_5[[#This Row],[CUENTA]],OP,2,0),"-")</f>
        <v>-</v>
      </c>
    </row>
    <row r="344" spans="1:24" s="84" customFormat="1" ht="27" customHeight="1" x14ac:dyDescent="0.3">
      <c r="A344" s="79" t="s">
        <v>7040</v>
      </c>
      <c r="B344" s="119" t="str">
        <f t="shared" si="6"/>
        <v>Octubre</v>
      </c>
      <c r="C344" s="77" t="s">
        <v>240</v>
      </c>
      <c r="D344" s="85" t="s">
        <v>7075</v>
      </c>
      <c r="E344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344" s="79" t="s">
        <v>248</v>
      </c>
      <c r="G344" s="148" t="s">
        <v>249</v>
      </c>
      <c r="H344" s="152" t="s">
        <v>9343</v>
      </c>
      <c r="I344" s="85" t="s">
        <v>9344</v>
      </c>
      <c r="J344" s="153" t="s">
        <v>9751</v>
      </c>
      <c r="K344" s="85" t="s">
        <v>169</v>
      </c>
      <c r="L344" s="119" t="str">
        <f>VLOOKUP(Anexo_5[[#This Row],[cod_doc]],COMPRAS!TIPODOC,2,FALSE)</f>
        <v>FACTURA</v>
      </c>
      <c r="M344" s="85" t="s">
        <v>107</v>
      </c>
      <c r="N344" s="79" t="s">
        <v>6000</v>
      </c>
      <c r="O344" s="86">
        <v>657</v>
      </c>
      <c r="P344" s="87">
        <v>118.26</v>
      </c>
      <c r="Q344" s="86"/>
      <c r="R344" s="88">
        <v>775.26</v>
      </c>
      <c r="S344" s="85"/>
      <c r="T344" s="85"/>
      <c r="U344" s="85"/>
      <c r="V344" s="85"/>
      <c r="W344" s="105"/>
      <c r="X344" s="117" t="str">
        <f>IFERROR(VLOOKUP(Anexo_5[[#This Row],[CUENTA]],OP,2,0),"-")</f>
        <v>-</v>
      </c>
    </row>
    <row r="345" spans="1:24" s="84" customFormat="1" ht="27" customHeight="1" x14ac:dyDescent="0.3">
      <c r="A345" s="79" t="s">
        <v>7040</v>
      </c>
      <c r="B345" s="119" t="str">
        <f t="shared" si="6"/>
        <v>Octubre</v>
      </c>
      <c r="C345" s="77" t="s">
        <v>240</v>
      </c>
      <c r="D345" s="85" t="s">
        <v>7079</v>
      </c>
      <c r="E345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345" s="79" t="s">
        <v>4560</v>
      </c>
      <c r="G345" s="148" t="s">
        <v>115</v>
      </c>
      <c r="H345" s="152" t="s">
        <v>9371</v>
      </c>
      <c r="I345" s="85" t="s">
        <v>9378</v>
      </c>
      <c r="J345" s="153" t="s">
        <v>9745</v>
      </c>
      <c r="K345" s="85" t="s">
        <v>1896</v>
      </c>
      <c r="L345" s="119" t="str">
        <f>VLOOKUP(Anexo_5[[#This Row],[cod_doc]],COMPRAS!TIPODOC,2,FALSE)</f>
        <v>NOTA DE CREDITO</v>
      </c>
      <c r="M345" s="85" t="s">
        <v>9444</v>
      </c>
      <c r="N345" s="79" t="s">
        <v>9426</v>
      </c>
      <c r="O345" s="86">
        <v>-3689.6</v>
      </c>
      <c r="P345" s="87">
        <v>-664.13</v>
      </c>
      <c r="Q345" s="86"/>
      <c r="R345" s="88">
        <v>-4353.7299999999996</v>
      </c>
      <c r="S345" s="85" t="s">
        <v>162</v>
      </c>
      <c r="T345" s="85" t="s">
        <v>1906</v>
      </c>
      <c r="U345" s="85" t="s">
        <v>8819</v>
      </c>
      <c r="V345" s="85"/>
      <c r="W345" s="105"/>
      <c r="X345" s="117" t="str">
        <f>IFERROR(VLOOKUP(Anexo_5[[#This Row],[CUENTA]],OP,2,0),"-")</f>
        <v>-</v>
      </c>
    </row>
    <row r="346" spans="1:24" s="84" customFormat="1" ht="27" customHeight="1" x14ac:dyDescent="0.3">
      <c r="A346" s="79" t="s">
        <v>7152</v>
      </c>
      <c r="B346" s="119" t="str">
        <f t="shared" si="6"/>
        <v>Octubre</v>
      </c>
      <c r="C346" s="77" t="s">
        <v>240</v>
      </c>
      <c r="D346" s="85" t="s">
        <v>7084</v>
      </c>
      <c r="E346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346" s="79" t="s">
        <v>4563</v>
      </c>
      <c r="G346" s="148" t="s">
        <v>114</v>
      </c>
      <c r="H346" s="152" t="s">
        <v>9329</v>
      </c>
      <c r="I346" s="85" t="s">
        <v>9818</v>
      </c>
      <c r="J346" s="153" t="s">
        <v>9819</v>
      </c>
      <c r="K346" s="85" t="s">
        <v>169</v>
      </c>
      <c r="L346" s="119" t="str">
        <f>VLOOKUP(Anexo_5[[#This Row],[cod_doc]],COMPRAS!TIPODOC,2,FALSE)</f>
        <v>FACTURA</v>
      </c>
      <c r="M346" s="85" t="s">
        <v>1906</v>
      </c>
      <c r="N346" s="79" t="s">
        <v>9820</v>
      </c>
      <c r="O346" s="86">
        <v>1201.0999999999999</v>
      </c>
      <c r="P346" s="87">
        <v>216.2</v>
      </c>
      <c r="Q346" s="86"/>
      <c r="R346" s="88">
        <v>1417.3</v>
      </c>
      <c r="S346" s="85"/>
      <c r="T346" s="85"/>
      <c r="U346" s="85"/>
      <c r="V346" s="85"/>
      <c r="W346" s="105"/>
      <c r="X346" s="117" t="str">
        <f>IFERROR(VLOOKUP(Anexo_5[[#This Row],[CUENTA]],OP,2,0),"-")</f>
        <v>-</v>
      </c>
    </row>
    <row r="347" spans="1:24" s="84" customFormat="1" ht="27" customHeight="1" x14ac:dyDescent="0.3">
      <c r="A347" s="79" t="s">
        <v>7141</v>
      </c>
      <c r="B347" s="119" t="str">
        <f t="shared" si="6"/>
        <v>Octubre</v>
      </c>
      <c r="C347" s="77" t="s">
        <v>240</v>
      </c>
      <c r="D347" s="85" t="s">
        <v>7089</v>
      </c>
      <c r="E347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347" s="79" t="s">
        <v>4560</v>
      </c>
      <c r="G347" s="148" t="s">
        <v>115</v>
      </c>
      <c r="H347" s="152" t="s">
        <v>9371</v>
      </c>
      <c r="I347" s="85" t="s">
        <v>9705</v>
      </c>
      <c r="J347" s="153" t="s">
        <v>9769</v>
      </c>
      <c r="K347" s="85" t="s">
        <v>169</v>
      </c>
      <c r="L347" s="119" t="str">
        <f>VLOOKUP(Anexo_5[[#This Row],[cod_doc]],COMPRAS!TIPODOC,2,FALSE)</f>
        <v>FACTURA</v>
      </c>
      <c r="M347" s="85" t="s">
        <v>1906</v>
      </c>
      <c r="N347" s="79" t="s">
        <v>5094</v>
      </c>
      <c r="O347" s="86">
        <v>2192.33</v>
      </c>
      <c r="P347" s="87">
        <v>394.62</v>
      </c>
      <c r="Q347" s="86"/>
      <c r="R347" s="88">
        <v>2586.9499999999998</v>
      </c>
      <c r="S347" s="85"/>
      <c r="T347" s="85"/>
      <c r="U347" s="85"/>
      <c r="V347" s="85"/>
      <c r="W347" s="105"/>
      <c r="X347" s="117" t="str">
        <f>IFERROR(VLOOKUP(Anexo_5[[#This Row],[CUENTA]],OP,2,0),"-")</f>
        <v>-</v>
      </c>
    </row>
    <row r="348" spans="1:24" s="84" customFormat="1" ht="27" customHeight="1" x14ac:dyDescent="0.3">
      <c r="A348" s="79" t="s">
        <v>7141</v>
      </c>
      <c r="B348" s="119" t="str">
        <f t="shared" si="6"/>
        <v>Octubre</v>
      </c>
      <c r="C348" s="77" t="s">
        <v>240</v>
      </c>
      <c r="D348" s="85" t="s">
        <v>7094</v>
      </c>
      <c r="E348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348" s="79" t="s">
        <v>4563</v>
      </c>
      <c r="G348" s="148" t="s">
        <v>114</v>
      </c>
      <c r="H348" s="152" t="s">
        <v>9329</v>
      </c>
      <c r="I348" s="85" t="s">
        <v>9705</v>
      </c>
      <c r="J348" s="153" t="s">
        <v>9769</v>
      </c>
      <c r="K348" s="85" t="s">
        <v>169</v>
      </c>
      <c r="L348" s="119" t="str">
        <f>VLOOKUP(Anexo_5[[#This Row],[cod_doc]],COMPRAS!TIPODOC,2,FALSE)</f>
        <v>FACTURA</v>
      </c>
      <c r="M348" s="85" t="s">
        <v>1906</v>
      </c>
      <c r="N348" s="79" t="s">
        <v>9821</v>
      </c>
      <c r="O348" s="86">
        <v>5885.9</v>
      </c>
      <c r="P348" s="87">
        <v>1059.46</v>
      </c>
      <c r="Q348" s="86"/>
      <c r="R348" s="88">
        <v>6945.36</v>
      </c>
      <c r="S348" s="85"/>
      <c r="T348" s="85"/>
      <c r="U348" s="85"/>
      <c r="V348" s="85"/>
      <c r="W348" s="105"/>
      <c r="X348" s="117" t="str">
        <f>IFERROR(VLOOKUP(Anexo_5[[#This Row],[CUENTA]],OP,2,0),"-")</f>
        <v>-</v>
      </c>
    </row>
    <row r="349" spans="1:24" s="84" customFormat="1" ht="27" customHeight="1" x14ac:dyDescent="0.3">
      <c r="A349" s="79" t="s">
        <v>7141</v>
      </c>
      <c r="B349" s="119" t="str">
        <f t="shared" si="6"/>
        <v>Octubre</v>
      </c>
      <c r="C349" s="77" t="s">
        <v>240</v>
      </c>
      <c r="D349" s="85" t="s">
        <v>7099</v>
      </c>
      <c r="E349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349" s="79" t="s">
        <v>9269</v>
      </c>
      <c r="G349" s="148" t="s">
        <v>119</v>
      </c>
      <c r="H349" s="152" t="s">
        <v>9612</v>
      </c>
      <c r="I349" s="85" t="s">
        <v>3717</v>
      </c>
      <c r="J349" s="153" t="s">
        <v>7439</v>
      </c>
      <c r="K349" s="85" t="s">
        <v>169</v>
      </c>
      <c r="L349" s="119" t="str">
        <f>VLOOKUP(Anexo_5[[#This Row],[cod_doc]],COMPRAS!TIPODOC,2,FALSE)</f>
        <v>FACTURA</v>
      </c>
      <c r="M349" s="85" t="s">
        <v>1906</v>
      </c>
      <c r="N349" s="79" t="s">
        <v>9822</v>
      </c>
      <c r="O349" s="86">
        <v>793.4</v>
      </c>
      <c r="P349" s="87">
        <v>142.81</v>
      </c>
      <c r="Q349" s="86"/>
      <c r="R349" s="88">
        <v>936.21</v>
      </c>
      <c r="S349" s="85"/>
      <c r="T349" s="85"/>
      <c r="U349" s="85"/>
      <c r="V349" s="85"/>
      <c r="W349" s="105"/>
      <c r="X349" s="117" t="str">
        <f>IFERROR(VLOOKUP(Anexo_5[[#This Row],[CUENTA]],OP,2,0),"-")</f>
        <v>-</v>
      </c>
    </row>
    <row r="350" spans="1:24" s="84" customFormat="1" ht="27" customHeight="1" x14ac:dyDescent="0.3">
      <c r="A350" s="79" t="s">
        <v>7159</v>
      </c>
      <c r="B350" s="119" t="str">
        <f t="shared" si="6"/>
        <v>Octubre</v>
      </c>
      <c r="C350" s="77" t="s">
        <v>240</v>
      </c>
      <c r="D350" s="85" t="s">
        <v>7104</v>
      </c>
      <c r="E350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350" s="79" t="s">
        <v>4560</v>
      </c>
      <c r="G350" s="148" t="s">
        <v>115</v>
      </c>
      <c r="H350" s="152" t="s">
        <v>9371</v>
      </c>
      <c r="I350" s="85" t="s">
        <v>9378</v>
      </c>
      <c r="J350" s="153" t="s">
        <v>9745</v>
      </c>
      <c r="K350" s="85" t="s">
        <v>169</v>
      </c>
      <c r="L350" s="119" t="str">
        <f>VLOOKUP(Anexo_5[[#This Row],[cod_doc]],COMPRAS!TIPODOC,2,FALSE)</f>
        <v>FACTURA</v>
      </c>
      <c r="M350" s="85" t="s">
        <v>1906</v>
      </c>
      <c r="N350" s="79" t="s">
        <v>6677</v>
      </c>
      <c r="O350" s="86">
        <v>3667.2</v>
      </c>
      <c r="P350" s="87">
        <v>660.1</v>
      </c>
      <c r="Q350" s="86"/>
      <c r="R350" s="88">
        <v>4327.3</v>
      </c>
      <c r="S350" s="85"/>
      <c r="T350" s="85"/>
      <c r="U350" s="85"/>
      <c r="V350" s="85"/>
      <c r="W350" s="105"/>
      <c r="X350" s="117" t="str">
        <f>IFERROR(VLOOKUP(Anexo_5[[#This Row],[CUENTA]],OP,2,0),"-")</f>
        <v>-</v>
      </c>
    </row>
    <row r="351" spans="1:24" s="84" customFormat="1" ht="27" customHeight="1" x14ac:dyDescent="0.3">
      <c r="A351" s="79" t="s">
        <v>7159</v>
      </c>
      <c r="B351" s="119" t="str">
        <f t="shared" si="6"/>
        <v>Octubre</v>
      </c>
      <c r="C351" s="77" t="s">
        <v>240</v>
      </c>
      <c r="D351" s="85" t="s">
        <v>7109</v>
      </c>
      <c r="E351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351" s="79" t="s">
        <v>4563</v>
      </c>
      <c r="G351" s="148" t="s">
        <v>114</v>
      </c>
      <c r="H351" s="152" t="s">
        <v>9329</v>
      </c>
      <c r="I351" s="85" t="s">
        <v>9804</v>
      </c>
      <c r="J351" s="153" t="s">
        <v>9805</v>
      </c>
      <c r="K351" s="85" t="s">
        <v>169</v>
      </c>
      <c r="L351" s="119" t="str">
        <f>VLOOKUP(Anexo_5[[#This Row],[cod_doc]],COMPRAS!TIPODOC,2,FALSE)</f>
        <v>FACTURA</v>
      </c>
      <c r="M351" s="85" t="s">
        <v>1906</v>
      </c>
      <c r="N351" s="79" t="s">
        <v>9823</v>
      </c>
      <c r="O351" s="86">
        <v>487.5</v>
      </c>
      <c r="P351" s="87">
        <v>87.75</v>
      </c>
      <c r="Q351" s="86"/>
      <c r="R351" s="88">
        <v>575.25</v>
      </c>
      <c r="S351" s="85"/>
      <c r="T351" s="85"/>
      <c r="U351" s="85"/>
      <c r="V351" s="85"/>
      <c r="W351" s="105"/>
      <c r="X351" s="117" t="str">
        <f>IFERROR(VLOOKUP(Anexo_5[[#This Row],[CUENTA]],OP,2,0),"-")</f>
        <v>-</v>
      </c>
    </row>
    <row r="352" spans="1:24" s="84" customFormat="1" ht="27" customHeight="1" x14ac:dyDescent="0.3">
      <c r="A352" s="79" t="s">
        <v>7159</v>
      </c>
      <c r="B352" s="119" t="str">
        <f t="shared" si="6"/>
        <v>Octubre</v>
      </c>
      <c r="C352" s="77" t="s">
        <v>240</v>
      </c>
      <c r="D352" s="85" t="s">
        <v>7114</v>
      </c>
      <c r="E352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352" s="79" t="s">
        <v>4560</v>
      </c>
      <c r="G352" s="148" t="s">
        <v>115</v>
      </c>
      <c r="H352" s="152" t="s">
        <v>9371</v>
      </c>
      <c r="I352" s="85" t="s">
        <v>536</v>
      </c>
      <c r="J352" s="153" t="s">
        <v>4997</v>
      </c>
      <c r="K352" s="85" t="s">
        <v>169</v>
      </c>
      <c r="L352" s="119" t="str">
        <f>VLOOKUP(Anexo_5[[#This Row],[cod_doc]],COMPRAS!TIPODOC,2,FALSE)</f>
        <v>FACTURA</v>
      </c>
      <c r="M352" s="85" t="s">
        <v>1906</v>
      </c>
      <c r="N352" s="79" t="s">
        <v>9824</v>
      </c>
      <c r="O352" s="86">
        <v>1323.1</v>
      </c>
      <c r="P352" s="87">
        <v>238.16</v>
      </c>
      <c r="Q352" s="86"/>
      <c r="R352" s="88">
        <v>1561.26</v>
      </c>
      <c r="S352" s="85"/>
      <c r="T352" s="85"/>
      <c r="U352" s="85"/>
      <c r="V352" s="85"/>
      <c r="W352" s="105"/>
      <c r="X352" s="117" t="str">
        <f>IFERROR(VLOOKUP(Anexo_5[[#This Row],[CUENTA]],OP,2,0),"-")</f>
        <v>-</v>
      </c>
    </row>
    <row r="353" spans="1:24" s="84" customFormat="1" ht="27" customHeight="1" x14ac:dyDescent="0.3">
      <c r="A353" s="79" t="s">
        <v>7159</v>
      </c>
      <c r="B353" s="119" t="str">
        <f t="shared" si="6"/>
        <v>Octubre</v>
      </c>
      <c r="C353" s="77" t="s">
        <v>240</v>
      </c>
      <c r="D353" s="85" t="s">
        <v>7119</v>
      </c>
      <c r="E353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353" s="79" t="s">
        <v>4560</v>
      </c>
      <c r="G353" s="148" t="s">
        <v>115</v>
      </c>
      <c r="H353" s="152" t="s">
        <v>9371</v>
      </c>
      <c r="I353" s="85" t="s">
        <v>9387</v>
      </c>
      <c r="J353" s="153" t="s">
        <v>9825</v>
      </c>
      <c r="K353" s="85" t="s">
        <v>169</v>
      </c>
      <c r="L353" s="119" t="str">
        <f>VLOOKUP(Anexo_5[[#This Row],[cod_doc]],COMPRAS!TIPODOC,2,FALSE)</f>
        <v>FACTURA</v>
      </c>
      <c r="M353" s="85" t="s">
        <v>1906</v>
      </c>
      <c r="N353" s="79" t="s">
        <v>9826</v>
      </c>
      <c r="O353" s="86">
        <v>753</v>
      </c>
      <c r="P353" s="87">
        <v>135.54</v>
      </c>
      <c r="Q353" s="86"/>
      <c r="R353" s="88">
        <v>888.54</v>
      </c>
      <c r="S353" s="85"/>
      <c r="T353" s="85"/>
      <c r="U353" s="85"/>
      <c r="V353" s="85"/>
      <c r="W353" s="105"/>
      <c r="X353" s="117" t="str">
        <f>IFERROR(VLOOKUP(Anexo_5[[#This Row],[CUENTA]],OP,2,0),"-")</f>
        <v>-</v>
      </c>
    </row>
    <row r="354" spans="1:24" s="84" customFormat="1" ht="27" customHeight="1" x14ac:dyDescent="0.3">
      <c r="A354" s="79" t="s">
        <v>7159</v>
      </c>
      <c r="B354" s="119" t="str">
        <f t="shared" ref="B354:B371" si="7">PROPER(CHOOSE(LEFT(D354,2),"enero","febrero","marzo","abril","mayo","junio","julio","agosto","setiembre","octubre","noviembre","diciembre"))</f>
        <v>Octubre</v>
      </c>
      <c r="C354" s="77" t="s">
        <v>240</v>
      </c>
      <c r="D354" s="85" t="s">
        <v>7124</v>
      </c>
      <c r="E354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354" s="79" t="s">
        <v>248</v>
      </c>
      <c r="G354" s="148" t="s">
        <v>249</v>
      </c>
      <c r="H354" s="152" t="s">
        <v>9335</v>
      </c>
      <c r="I354" s="85" t="s">
        <v>9827</v>
      </c>
      <c r="J354" s="153" t="s">
        <v>9828</v>
      </c>
      <c r="K354" s="85" t="s">
        <v>169</v>
      </c>
      <c r="L354" s="119" t="str">
        <f>VLOOKUP(Anexo_5[[#This Row],[cod_doc]],COMPRAS!TIPODOC,2,FALSE)</f>
        <v>FACTURA</v>
      </c>
      <c r="M354" s="85" t="s">
        <v>105</v>
      </c>
      <c r="N354" s="79" t="s">
        <v>9595</v>
      </c>
      <c r="O354" s="86">
        <v>90</v>
      </c>
      <c r="P354" s="87">
        <v>16.2</v>
      </c>
      <c r="Q354" s="86"/>
      <c r="R354" s="88">
        <v>106.2</v>
      </c>
      <c r="S354" s="85"/>
      <c r="T354" s="85"/>
      <c r="U354" s="85"/>
      <c r="V354" s="85"/>
      <c r="W354" s="105"/>
      <c r="X354" s="117" t="str">
        <f>IFERROR(VLOOKUP(Anexo_5[[#This Row],[CUENTA]],OP,2,0),"-")</f>
        <v>-</v>
      </c>
    </row>
    <row r="355" spans="1:24" s="84" customFormat="1" ht="27" customHeight="1" x14ac:dyDescent="0.3">
      <c r="A355" s="79" t="s">
        <v>7159</v>
      </c>
      <c r="B355" s="119" t="str">
        <f t="shared" si="7"/>
        <v>Octubre</v>
      </c>
      <c r="C355" s="77" t="s">
        <v>240</v>
      </c>
      <c r="D355" s="85" t="s">
        <v>7130</v>
      </c>
      <c r="E355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355" s="79" t="s">
        <v>4560</v>
      </c>
      <c r="G355" s="148" t="s">
        <v>115</v>
      </c>
      <c r="H355" s="152" t="s">
        <v>9371</v>
      </c>
      <c r="I355" s="85" t="s">
        <v>9378</v>
      </c>
      <c r="J355" s="153" t="s">
        <v>9745</v>
      </c>
      <c r="K355" s="85" t="s">
        <v>1896</v>
      </c>
      <c r="L355" s="119" t="str">
        <f>VLOOKUP(Anexo_5[[#This Row],[cod_doc]],COMPRAS!TIPODOC,2,FALSE)</f>
        <v>NOTA DE CREDITO</v>
      </c>
      <c r="M355" s="85" t="s">
        <v>9444</v>
      </c>
      <c r="N355" s="79" t="s">
        <v>9829</v>
      </c>
      <c r="O355" s="86">
        <v>-3667.2</v>
      </c>
      <c r="P355" s="87">
        <v>-660.1</v>
      </c>
      <c r="Q355" s="86"/>
      <c r="R355" s="88">
        <v>-4327.3</v>
      </c>
      <c r="S355" s="85" t="s">
        <v>162</v>
      </c>
      <c r="T355" s="85" t="s">
        <v>1906</v>
      </c>
      <c r="U355" s="85" t="s">
        <v>9808</v>
      </c>
      <c r="V355" s="85"/>
      <c r="W355" s="105"/>
      <c r="X355" s="117" t="str">
        <f>IFERROR(VLOOKUP(Anexo_5[[#This Row],[CUENTA]],OP,2,0),"-")</f>
        <v>-</v>
      </c>
    </row>
    <row r="356" spans="1:24" s="84" customFormat="1" ht="27" customHeight="1" x14ac:dyDescent="0.3">
      <c r="A356" s="79" t="s">
        <v>7307</v>
      </c>
      <c r="B356" s="119" t="str">
        <f t="shared" si="7"/>
        <v>Octubre</v>
      </c>
      <c r="C356" s="77" t="s">
        <v>240</v>
      </c>
      <c r="D356" s="85" t="s">
        <v>7136</v>
      </c>
      <c r="E356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356" s="79" t="s">
        <v>248</v>
      </c>
      <c r="G356" s="148" t="s">
        <v>249</v>
      </c>
      <c r="H356" s="152" t="s">
        <v>9487</v>
      </c>
      <c r="I356" s="85" t="s">
        <v>9488</v>
      </c>
      <c r="J356" s="153" t="s">
        <v>9817</v>
      </c>
      <c r="K356" s="85" t="s">
        <v>169</v>
      </c>
      <c r="L356" s="119" t="str">
        <f>VLOOKUP(Anexo_5[[#This Row],[cod_doc]],COMPRAS!TIPODOC,2,FALSE)</f>
        <v>FACTURA</v>
      </c>
      <c r="M356" s="85" t="s">
        <v>105</v>
      </c>
      <c r="N356" s="79" t="s">
        <v>5090</v>
      </c>
      <c r="O356" s="86">
        <v>465</v>
      </c>
      <c r="P356" s="87">
        <v>83.7</v>
      </c>
      <c r="Q356" s="86"/>
      <c r="R356" s="88">
        <v>548.70000000000005</v>
      </c>
      <c r="S356" s="85"/>
      <c r="T356" s="85"/>
      <c r="U356" s="85"/>
      <c r="V356" s="85"/>
      <c r="W356" s="105"/>
      <c r="X356" s="117" t="str">
        <f>IFERROR(VLOOKUP(Anexo_5[[#This Row],[CUENTA]],OP,2,0),"-")</f>
        <v>-</v>
      </c>
    </row>
    <row r="357" spans="1:24" s="84" customFormat="1" ht="27" customHeight="1" x14ac:dyDescent="0.3">
      <c r="A357" s="79" t="s">
        <v>7307</v>
      </c>
      <c r="B357" s="119" t="str">
        <f t="shared" si="7"/>
        <v>Octubre</v>
      </c>
      <c r="C357" s="77" t="s">
        <v>240</v>
      </c>
      <c r="D357" s="85" t="s">
        <v>7142</v>
      </c>
      <c r="E357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357" s="79" t="s">
        <v>248</v>
      </c>
      <c r="G357" s="148" t="s">
        <v>249</v>
      </c>
      <c r="H357" s="152" t="s">
        <v>9469</v>
      </c>
      <c r="I357" s="85" t="s">
        <v>9470</v>
      </c>
      <c r="J357" s="153" t="s">
        <v>9807</v>
      </c>
      <c r="K357" s="85" t="s">
        <v>169</v>
      </c>
      <c r="L357" s="119" t="str">
        <f>VLOOKUP(Anexo_5[[#This Row],[cod_doc]],COMPRAS!TIPODOC,2,FALSE)</f>
        <v>FACTURA</v>
      </c>
      <c r="M357" s="85" t="s">
        <v>105</v>
      </c>
      <c r="N357" s="79" t="s">
        <v>6692</v>
      </c>
      <c r="O357" s="86">
        <v>525</v>
      </c>
      <c r="P357" s="87">
        <v>94.5</v>
      </c>
      <c r="Q357" s="86"/>
      <c r="R357" s="88">
        <v>619.5</v>
      </c>
      <c r="S357" s="85"/>
      <c r="T357" s="85"/>
      <c r="U357" s="85"/>
      <c r="V357" s="85"/>
      <c r="W357" s="105"/>
      <c r="X357" s="117" t="str">
        <f>IFERROR(VLOOKUP(Anexo_5[[#This Row],[CUENTA]],OP,2,0),"-")</f>
        <v>-</v>
      </c>
    </row>
    <row r="358" spans="1:24" s="84" customFormat="1" ht="27" customHeight="1" x14ac:dyDescent="0.3">
      <c r="A358" s="79" t="s">
        <v>7307</v>
      </c>
      <c r="B358" s="119" t="str">
        <f t="shared" si="7"/>
        <v>Octubre</v>
      </c>
      <c r="C358" s="77" t="s">
        <v>240</v>
      </c>
      <c r="D358" s="85" t="s">
        <v>7147</v>
      </c>
      <c r="E358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358" s="79" t="s">
        <v>248</v>
      </c>
      <c r="G358" s="148" t="s">
        <v>249</v>
      </c>
      <c r="H358" s="152" t="s">
        <v>9469</v>
      </c>
      <c r="I358" s="85" t="s">
        <v>9470</v>
      </c>
      <c r="J358" s="153" t="s">
        <v>9807</v>
      </c>
      <c r="K358" s="85" t="s">
        <v>169</v>
      </c>
      <c r="L358" s="119" t="str">
        <f>VLOOKUP(Anexo_5[[#This Row],[cod_doc]],COMPRAS!TIPODOC,2,FALSE)</f>
        <v>FACTURA</v>
      </c>
      <c r="M358" s="85" t="s">
        <v>105</v>
      </c>
      <c r="N358" s="79" t="s">
        <v>6689</v>
      </c>
      <c r="O358" s="86">
        <v>310.5</v>
      </c>
      <c r="P358" s="87">
        <v>55.89</v>
      </c>
      <c r="Q358" s="86"/>
      <c r="R358" s="88">
        <v>366.39</v>
      </c>
      <c r="S358" s="85"/>
      <c r="T358" s="85"/>
      <c r="U358" s="85"/>
      <c r="V358" s="85"/>
      <c r="W358" s="105"/>
      <c r="X358" s="117" t="str">
        <f>IFERROR(VLOOKUP(Anexo_5[[#This Row],[CUENTA]],OP,2,0),"-")</f>
        <v>-</v>
      </c>
    </row>
    <row r="359" spans="1:24" s="84" customFormat="1" ht="27" customHeight="1" x14ac:dyDescent="0.3">
      <c r="A359" s="79" t="s">
        <v>7307</v>
      </c>
      <c r="B359" s="119" t="str">
        <f t="shared" si="7"/>
        <v>Octubre</v>
      </c>
      <c r="C359" s="77" t="s">
        <v>240</v>
      </c>
      <c r="D359" s="85" t="s">
        <v>7150</v>
      </c>
      <c r="E359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359" s="79" t="s">
        <v>248</v>
      </c>
      <c r="G359" s="148" t="s">
        <v>249</v>
      </c>
      <c r="H359" s="152" t="s">
        <v>9469</v>
      </c>
      <c r="I359" s="85" t="s">
        <v>9470</v>
      </c>
      <c r="J359" s="153" t="s">
        <v>9807</v>
      </c>
      <c r="K359" s="85" t="s">
        <v>169</v>
      </c>
      <c r="L359" s="119" t="str">
        <f>VLOOKUP(Anexo_5[[#This Row],[cod_doc]],COMPRAS!TIPODOC,2,FALSE)</f>
        <v>FACTURA</v>
      </c>
      <c r="M359" s="85" t="s">
        <v>105</v>
      </c>
      <c r="N359" s="79" t="s">
        <v>9596</v>
      </c>
      <c r="O359" s="86">
        <v>108</v>
      </c>
      <c r="P359" s="87">
        <v>19.440000000000001</v>
      </c>
      <c r="Q359" s="86"/>
      <c r="R359" s="88">
        <v>127.44</v>
      </c>
      <c r="S359" s="85"/>
      <c r="T359" s="85"/>
      <c r="U359" s="85"/>
      <c r="V359" s="85"/>
      <c r="W359" s="105"/>
      <c r="X359" s="117" t="str">
        <f>IFERROR(VLOOKUP(Anexo_5[[#This Row],[CUENTA]],OP,2,0),"-")</f>
        <v>-</v>
      </c>
    </row>
    <row r="360" spans="1:24" s="84" customFormat="1" ht="27" customHeight="1" x14ac:dyDescent="0.3">
      <c r="A360" s="79" t="s">
        <v>7307</v>
      </c>
      <c r="B360" s="119" t="str">
        <f t="shared" si="7"/>
        <v>Octubre</v>
      </c>
      <c r="C360" s="77" t="s">
        <v>240</v>
      </c>
      <c r="D360" s="85" t="s">
        <v>7153</v>
      </c>
      <c r="E360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360" s="79" t="s">
        <v>248</v>
      </c>
      <c r="G360" s="148" t="s">
        <v>249</v>
      </c>
      <c r="H360" s="152" t="s">
        <v>9343</v>
      </c>
      <c r="I360" s="85" t="s">
        <v>9344</v>
      </c>
      <c r="J360" s="153" t="s">
        <v>9751</v>
      </c>
      <c r="K360" s="85" t="s">
        <v>169</v>
      </c>
      <c r="L360" s="119" t="str">
        <f>VLOOKUP(Anexo_5[[#This Row],[cod_doc]],COMPRAS!TIPODOC,2,FALSE)</f>
        <v>FACTURA</v>
      </c>
      <c r="M360" s="85" t="s">
        <v>107</v>
      </c>
      <c r="N360" s="79" t="s">
        <v>9485</v>
      </c>
      <c r="O360" s="86">
        <v>547.5</v>
      </c>
      <c r="P360" s="87">
        <v>98.55</v>
      </c>
      <c r="Q360" s="86"/>
      <c r="R360" s="88">
        <v>646.04999999999995</v>
      </c>
      <c r="S360" s="85"/>
      <c r="T360" s="85"/>
      <c r="U360" s="85"/>
      <c r="V360" s="85"/>
      <c r="W360" s="105"/>
      <c r="X360" s="117" t="str">
        <f>IFERROR(VLOOKUP(Anexo_5[[#This Row],[CUENTA]],OP,2,0),"-")</f>
        <v>-</v>
      </c>
    </row>
    <row r="361" spans="1:24" s="84" customFormat="1" ht="27" customHeight="1" x14ac:dyDescent="0.3">
      <c r="A361" s="79" t="s">
        <v>7276</v>
      </c>
      <c r="B361" s="119" t="str">
        <f t="shared" si="7"/>
        <v>Octubre</v>
      </c>
      <c r="C361" s="77" t="s">
        <v>240</v>
      </c>
      <c r="D361" s="85" t="s">
        <v>7156</v>
      </c>
      <c r="E361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361" s="79" t="s">
        <v>4560</v>
      </c>
      <c r="G361" s="148" t="s">
        <v>115</v>
      </c>
      <c r="H361" s="152" t="s">
        <v>9371</v>
      </c>
      <c r="I361" s="85" t="s">
        <v>9378</v>
      </c>
      <c r="J361" s="153" t="s">
        <v>9745</v>
      </c>
      <c r="K361" s="85" t="s">
        <v>169</v>
      </c>
      <c r="L361" s="119" t="str">
        <f>VLOOKUP(Anexo_5[[#This Row],[cod_doc]],COMPRAS!TIPODOC,2,FALSE)</f>
        <v>FACTURA</v>
      </c>
      <c r="M361" s="85" t="s">
        <v>1906</v>
      </c>
      <c r="N361" s="79" t="s">
        <v>9830</v>
      </c>
      <c r="O361" s="86">
        <v>3660</v>
      </c>
      <c r="P361" s="87">
        <v>658.8</v>
      </c>
      <c r="Q361" s="86"/>
      <c r="R361" s="88">
        <v>4318.8</v>
      </c>
      <c r="S361" s="85"/>
      <c r="T361" s="85"/>
      <c r="U361" s="85"/>
      <c r="V361" s="85"/>
      <c r="W361" s="105"/>
      <c r="X361" s="117" t="str">
        <f>IFERROR(VLOOKUP(Anexo_5[[#This Row],[CUENTA]],OP,2,0),"-")</f>
        <v>-</v>
      </c>
    </row>
    <row r="362" spans="1:24" s="84" customFormat="1" ht="27" customHeight="1" x14ac:dyDescent="0.3">
      <c r="A362" s="79" t="s">
        <v>7276</v>
      </c>
      <c r="B362" s="119" t="str">
        <f t="shared" si="7"/>
        <v>Octubre</v>
      </c>
      <c r="C362" s="77" t="s">
        <v>240</v>
      </c>
      <c r="D362" s="85" t="s">
        <v>7160</v>
      </c>
      <c r="E362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362" s="79" t="s">
        <v>9278</v>
      </c>
      <c r="G362" s="148" t="s">
        <v>122</v>
      </c>
      <c r="H362" s="152" t="s">
        <v>9348</v>
      </c>
      <c r="I362" s="85" t="s">
        <v>536</v>
      </c>
      <c r="J362" s="153" t="s">
        <v>4997</v>
      </c>
      <c r="K362" s="85" t="s">
        <v>169</v>
      </c>
      <c r="L362" s="119" t="str">
        <f>VLOOKUP(Anexo_5[[#This Row],[cod_doc]],COMPRAS!TIPODOC,2,FALSE)</f>
        <v>FACTURA</v>
      </c>
      <c r="M362" s="85" t="s">
        <v>1906</v>
      </c>
      <c r="N362" s="79" t="s">
        <v>9831</v>
      </c>
      <c r="O362" s="86">
        <v>2681.28</v>
      </c>
      <c r="P362" s="87">
        <v>482.63</v>
      </c>
      <c r="Q362" s="86"/>
      <c r="R362" s="88">
        <v>3163.91</v>
      </c>
      <c r="S362" s="85"/>
      <c r="T362" s="85"/>
      <c r="U362" s="85"/>
      <c r="V362" s="85"/>
      <c r="W362" s="105"/>
      <c r="X362" s="117" t="str">
        <f>IFERROR(VLOOKUP(Anexo_5[[#This Row],[CUENTA]],OP,2,0),"-")</f>
        <v>-</v>
      </c>
    </row>
    <row r="363" spans="1:24" s="84" customFormat="1" ht="27" customHeight="1" x14ac:dyDescent="0.3">
      <c r="A363" s="79" t="s">
        <v>7276</v>
      </c>
      <c r="B363" s="119" t="str">
        <f t="shared" si="7"/>
        <v>Octubre</v>
      </c>
      <c r="C363" s="77" t="s">
        <v>240</v>
      </c>
      <c r="D363" s="85" t="s">
        <v>7164</v>
      </c>
      <c r="E363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363" s="79" t="s">
        <v>4560</v>
      </c>
      <c r="G363" s="148" t="s">
        <v>115</v>
      </c>
      <c r="H363" s="152" t="s">
        <v>9371</v>
      </c>
      <c r="I363" s="85" t="s">
        <v>9372</v>
      </c>
      <c r="J363" s="153" t="s">
        <v>9813</v>
      </c>
      <c r="K363" s="85" t="s">
        <v>169</v>
      </c>
      <c r="L363" s="119" t="str">
        <f>VLOOKUP(Anexo_5[[#This Row],[cod_doc]],COMPRAS!TIPODOC,2,FALSE)</f>
        <v>FACTURA</v>
      </c>
      <c r="M363" s="85" t="s">
        <v>1906</v>
      </c>
      <c r="N363" s="79" t="s">
        <v>9832</v>
      </c>
      <c r="O363" s="86">
        <v>9708.6</v>
      </c>
      <c r="P363" s="87">
        <v>1747.55</v>
      </c>
      <c r="Q363" s="86"/>
      <c r="R363" s="88">
        <v>11456.15</v>
      </c>
      <c r="S363" s="85"/>
      <c r="T363" s="85"/>
      <c r="U363" s="85"/>
      <c r="V363" s="85"/>
      <c r="W363" s="105"/>
      <c r="X363" s="117" t="str">
        <f>IFERROR(VLOOKUP(Anexo_5[[#This Row],[CUENTA]],OP,2,0),"-")</f>
        <v>-</v>
      </c>
    </row>
    <row r="364" spans="1:24" s="84" customFormat="1" ht="27" customHeight="1" x14ac:dyDescent="0.3">
      <c r="A364" s="79" t="s">
        <v>7276</v>
      </c>
      <c r="B364" s="119" t="str">
        <f t="shared" si="7"/>
        <v>Octubre</v>
      </c>
      <c r="C364" s="77" t="s">
        <v>240</v>
      </c>
      <c r="D364" s="85" t="s">
        <v>7167</v>
      </c>
      <c r="E364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364" s="79" t="s">
        <v>4563</v>
      </c>
      <c r="G364" s="148" t="s">
        <v>114</v>
      </c>
      <c r="H364" s="152" t="s">
        <v>9381</v>
      </c>
      <c r="I364" s="85" t="s">
        <v>9382</v>
      </c>
      <c r="J364" s="153" t="s">
        <v>9833</v>
      </c>
      <c r="K364" s="85" t="s">
        <v>169</v>
      </c>
      <c r="L364" s="119" t="str">
        <f>VLOOKUP(Anexo_5[[#This Row],[cod_doc]],COMPRAS!TIPODOC,2,FALSE)</f>
        <v>FACTURA</v>
      </c>
      <c r="M364" s="85" t="s">
        <v>1906</v>
      </c>
      <c r="N364" s="79" t="s">
        <v>9834</v>
      </c>
      <c r="O364" s="86">
        <v>790</v>
      </c>
      <c r="P364" s="87">
        <v>142.19999999999999</v>
      </c>
      <c r="Q364" s="86"/>
      <c r="R364" s="88">
        <v>932.2</v>
      </c>
      <c r="S364" s="85"/>
      <c r="T364" s="85"/>
      <c r="U364" s="85"/>
      <c r="V364" s="85"/>
      <c r="W364" s="105"/>
      <c r="X364" s="117" t="str">
        <f>IFERROR(VLOOKUP(Anexo_5[[#This Row],[CUENTA]],OP,2,0),"-")</f>
        <v>-</v>
      </c>
    </row>
    <row r="365" spans="1:24" s="84" customFormat="1" ht="27" customHeight="1" x14ac:dyDescent="0.3">
      <c r="A365" s="79" t="s">
        <v>7276</v>
      </c>
      <c r="B365" s="119" t="str">
        <f t="shared" si="7"/>
        <v>Octubre</v>
      </c>
      <c r="C365" s="77" t="s">
        <v>240</v>
      </c>
      <c r="D365" s="85" t="s">
        <v>7170</v>
      </c>
      <c r="E365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365" s="79" t="s">
        <v>4560</v>
      </c>
      <c r="G365" s="148" t="s">
        <v>115</v>
      </c>
      <c r="H365" s="152" t="s">
        <v>9439</v>
      </c>
      <c r="I365" s="85" t="s">
        <v>980</v>
      </c>
      <c r="J365" s="153" t="s">
        <v>5083</v>
      </c>
      <c r="K365" s="85" t="s">
        <v>169</v>
      </c>
      <c r="L365" s="119" t="str">
        <f>VLOOKUP(Anexo_5[[#This Row],[cod_doc]],COMPRAS!TIPODOC,2,FALSE)</f>
        <v>FACTURA</v>
      </c>
      <c r="M365" s="85" t="s">
        <v>1906</v>
      </c>
      <c r="N365" s="79" t="s">
        <v>9835</v>
      </c>
      <c r="O365" s="86">
        <v>1818.22</v>
      </c>
      <c r="P365" s="87">
        <v>327.27999999999997</v>
      </c>
      <c r="Q365" s="86"/>
      <c r="R365" s="88">
        <v>2145.5</v>
      </c>
      <c r="S365" s="85"/>
      <c r="T365" s="85"/>
      <c r="U365" s="85"/>
      <c r="V365" s="85"/>
      <c r="W365" s="105"/>
      <c r="X365" s="117" t="str">
        <f>IFERROR(VLOOKUP(Anexo_5[[#This Row],[CUENTA]],OP,2,0),"-")</f>
        <v>-</v>
      </c>
    </row>
    <row r="366" spans="1:24" s="84" customFormat="1" ht="27" customHeight="1" x14ac:dyDescent="0.3">
      <c r="A366" s="79" t="s">
        <v>7276</v>
      </c>
      <c r="B366" s="119" t="str">
        <f t="shared" si="7"/>
        <v>Octubre</v>
      </c>
      <c r="C366" s="77" t="s">
        <v>240</v>
      </c>
      <c r="D366" s="85" t="s">
        <v>7173</v>
      </c>
      <c r="E366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366" s="79" t="s">
        <v>248</v>
      </c>
      <c r="G366" s="148" t="s">
        <v>249</v>
      </c>
      <c r="H366" s="152" t="s">
        <v>9836</v>
      </c>
      <c r="I366" s="85" t="s">
        <v>9669</v>
      </c>
      <c r="J366" s="153" t="s">
        <v>9768</v>
      </c>
      <c r="K366" s="85" t="s">
        <v>169</v>
      </c>
      <c r="L366" s="119" t="str">
        <f>VLOOKUP(Anexo_5[[#This Row],[cod_doc]],COMPRAS!TIPODOC,2,FALSE)</f>
        <v>FACTURA</v>
      </c>
      <c r="M366" s="85" t="s">
        <v>105</v>
      </c>
      <c r="N366" s="79" t="s">
        <v>4993</v>
      </c>
      <c r="O366" s="86">
        <v>820</v>
      </c>
      <c r="P366" s="87">
        <v>147.6</v>
      </c>
      <c r="Q366" s="86"/>
      <c r="R366" s="88">
        <v>967.6</v>
      </c>
      <c r="S366" s="85"/>
      <c r="T366" s="85"/>
      <c r="U366" s="85"/>
      <c r="V366" s="85"/>
      <c r="W366" s="105"/>
      <c r="X366" s="117" t="str">
        <f>IFERROR(VLOOKUP(Anexo_5[[#This Row],[CUENTA]],OP,2,0),"-")</f>
        <v>-</v>
      </c>
    </row>
    <row r="367" spans="1:24" s="84" customFormat="1" ht="27" customHeight="1" x14ac:dyDescent="0.3">
      <c r="A367" s="79" t="s">
        <v>7276</v>
      </c>
      <c r="B367" s="119" t="str">
        <f t="shared" si="7"/>
        <v>Octubre</v>
      </c>
      <c r="C367" s="77" t="s">
        <v>240</v>
      </c>
      <c r="D367" s="85" t="s">
        <v>7178</v>
      </c>
      <c r="E367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367" s="79" t="s">
        <v>248</v>
      </c>
      <c r="G367" s="148" t="s">
        <v>249</v>
      </c>
      <c r="H367" s="152" t="s">
        <v>9762</v>
      </c>
      <c r="I367" s="85" t="s">
        <v>9344</v>
      </c>
      <c r="J367" s="153" t="s">
        <v>9751</v>
      </c>
      <c r="K367" s="85" t="s">
        <v>169</v>
      </c>
      <c r="L367" s="119" t="str">
        <f>VLOOKUP(Anexo_5[[#This Row],[cod_doc]],COMPRAS!TIPODOC,2,FALSE)</f>
        <v>FACTURA</v>
      </c>
      <c r="M367" s="85" t="s">
        <v>107</v>
      </c>
      <c r="N367" s="79" t="s">
        <v>8676</v>
      </c>
      <c r="O367" s="86">
        <v>1744</v>
      </c>
      <c r="P367" s="87">
        <v>313.92</v>
      </c>
      <c r="Q367" s="86"/>
      <c r="R367" s="88">
        <v>2057.92</v>
      </c>
      <c r="S367" s="85"/>
      <c r="T367" s="85"/>
      <c r="U367" s="85"/>
      <c r="V367" s="85"/>
      <c r="W367" s="105"/>
      <c r="X367" s="117" t="str">
        <f>IFERROR(VLOOKUP(Anexo_5[[#This Row],[CUENTA]],OP,2,0),"-")</f>
        <v>-</v>
      </c>
    </row>
    <row r="368" spans="1:24" s="84" customFormat="1" ht="27" customHeight="1" x14ac:dyDescent="0.3">
      <c r="A368" s="79" t="s">
        <v>7416</v>
      </c>
      <c r="B368" s="119" t="str">
        <f t="shared" si="7"/>
        <v>Octubre</v>
      </c>
      <c r="C368" s="77" t="s">
        <v>240</v>
      </c>
      <c r="D368" s="85" t="s">
        <v>7181</v>
      </c>
      <c r="E368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368" s="79" t="s">
        <v>4560</v>
      </c>
      <c r="G368" s="148" t="s">
        <v>115</v>
      </c>
      <c r="H368" s="152" t="s">
        <v>9371</v>
      </c>
      <c r="I368" s="85" t="s">
        <v>9397</v>
      </c>
      <c r="J368" s="153" t="s">
        <v>9760</v>
      </c>
      <c r="K368" s="85" t="s">
        <v>169</v>
      </c>
      <c r="L368" s="119" t="str">
        <f>VLOOKUP(Anexo_5[[#This Row],[cod_doc]],COMPRAS!TIPODOC,2,FALSE)</f>
        <v>FACTURA</v>
      </c>
      <c r="M368" s="85" t="s">
        <v>1906</v>
      </c>
      <c r="N368" s="79" t="s">
        <v>9837</v>
      </c>
      <c r="O368" s="86">
        <v>8337.7000000000007</v>
      </c>
      <c r="P368" s="87">
        <v>1500.79</v>
      </c>
      <c r="Q368" s="86"/>
      <c r="R368" s="88">
        <v>9838.49</v>
      </c>
      <c r="S368" s="85"/>
      <c r="T368" s="85"/>
      <c r="U368" s="85"/>
      <c r="V368" s="85"/>
      <c r="W368" s="105"/>
      <c r="X368" s="117" t="str">
        <f>IFERROR(VLOOKUP(Anexo_5[[#This Row],[CUENTA]],OP,2,0),"-")</f>
        <v>-</v>
      </c>
    </row>
    <row r="369" spans="1:24" s="84" customFormat="1" ht="27" customHeight="1" x14ac:dyDescent="0.3">
      <c r="A369" s="79" t="s">
        <v>7411</v>
      </c>
      <c r="B369" s="119" t="str">
        <f t="shared" si="7"/>
        <v>Octubre</v>
      </c>
      <c r="C369" s="77" t="s">
        <v>240</v>
      </c>
      <c r="D369" s="85" t="s">
        <v>7186</v>
      </c>
      <c r="E369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369" s="79" t="s">
        <v>4563</v>
      </c>
      <c r="G369" s="148" t="s">
        <v>114</v>
      </c>
      <c r="H369" s="152" t="s">
        <v>9329</v>
      </c>
      <c r="I369" s="85" t="s">
        <v>9758</v>
      </c>
      <c r="J369" s="153" t="s">
        <v>9759</v>
      </c>
      <c r="K369" s="85" t="s">
        <v>169</v>
      </c>
      <c r="L369" s="119" t="str">
        <f>VLOOKUP(Anexo_5[[#This Row],[cod_doc]],COMPRAS!TIPODOC,2,FALSE)</f>
        <v>FACTURA</v>
      </c>
      <c r="M369" s="85" t="s">
        <v>1906</v>
      </c>
      <c r="N369" s="79" t="s">
        <v>9838</v>
      </c>
      <c r="O369" s="86">
        <v>2169.9</v>
      </c>
      <c r="P369" s="87">
        <v>390.58</v>
      </c>
      <c r="Q369" s="86"/>
      <c r="R369" s="88">
        <v>2560.48</v>
      </c>
      <c r="S369" s="85"/>
      <c r="T369" s="85"/>
      <c r="U369" s="85"/>
      <c r="V369" s="85"/>
      <c r="W369" s="105"/>
      <c r="X369" s="117" t="str">
        <f>IFERROR(VLOOKUP(Anexo_5[[#This Row],[CUENTA]],OP,2,0),"-")</f>
        <v>-</v>
      </c>
    </row>
    <row r="370" spans="1:24" s="84" customFormat="1" ht="27" customHeight="1" x14ac:dyDescent="0.3">
      <c r="A370" s="79" t="s">
        <v>7411</v>
      </c>
      <c r="B370" s="119" t="str">
        <f t="shared" si="7"/>
        <v>Octubre</v>
      </c>
      <c r="C370" s="77" t="s">
        <v>240</v>
      </c>
      <c r="D370" s="85" t="s">
        <v>7192</v>
      </c>
      <c r="E370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370" s="79" t="s">
        <v>4563</v>
      </c>
      <c r="G370" s="148" t="s">
        <v>114</v>
      </c>
      <c r="H370" s="152" t="s">
        <v>9329</v>
      </c>
      <c r="I370" s="85" t="s">
        <v>9758</v>
      </c>
      <c r="J370" s="153" t="s">
        <v>9759</v>
      </c>
      <c r="K370" s="85" t="s">
        <v>169</v>
      </c>
      <c r="L370" s="119" t="str">
        <f>VLOOKUP(Anexo_5[[#This Row],[cod_doc]],COMPRAS!TIPODOC,2,FALSE)</f>
        <v>FACTURA</v>
      </c>
      <c r="M370" s="85" t="s">
        <v>1906</v>
      </c>
      <c r="N370" s="79" t="s">
        <v>1941</v>
      </c>
      <c r="O370" s="86">
        <v>2169.9</v>
      </c>
      <c r="P370" s="87">
        <v>390.58</v>
      </c>
      <c r="Q370" s="86"/>
      <c r="R370" s="88">
        <v>2560.48</v>
      </c>
      <c r="S370" s="85"/>
      <c r="T370" s="85"/>
      <c r="U370" s="85"/>
      <c r="V370" s="85"/>
      <c r="W370" s="105"/>
      <c r="X370" s="117" t="str">
        <f>IFERROR(VLOOKUP(Anexo_5[[#This Row],[CUENTA]],OP,2,0),"-")</f>
        <v>-</v>
      </c>
    </row>
    <row r="371" spans="1:24" s="84" customFormat="1" ht="27" customHeight="1" x14ac:dyDescent="0.3">
      <c r="A371" s="79" t="s">
        <v>7411</v>
      </c>
      <c r="B371" s="119" t="str">
        <f t="shared" si="7"/>
        <v>Octubre</v>
      </c>
      <c r="C371" s="77" t="s">
        <v>240</v>
      </c>
      <c r="D371" s="85" t="s">
        <v>7196</v>
      </c>
      <c r="E371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371" s="79" t="s">
        <v>248</v>
      </c>
      <c r="G371" s="148" t="s">
        <v>249</v>
      </c>
      <c r="H371" s="152" t="s">
        <v>9343</v>
      </c>
      <c r="I371" s="85" t="s">
        <v>9344</v>
      </c>
      <c r="J371" s="153" t="s">
        <v>9751</v>
      </c>
      <c r="K371" s="85" t="s">
        <v>169</v>
      </c>
      <c r="L371" s="119" t="str">
        <f>VLOOKUP(Anexo_5[[#This Row],[cod_doc]],COMPRAS!TIPODOC,2,FALSE)</f>
        <v>FACTURA</v>
      </c>
      <c r="M371" s="85" t="s">
        <v>107</v>
      </c>
      <c r="N371" s="79" t="s">
        <v>9501</v>
      </c>
      <c r="O371" s="86">
        <v>1503.8</v>
      </c>
      <c r="P371" s="87">
        <v>270.68</v>
      </c>
      <c r="Q371" s="86"/>
      <c r="R371" s="88">
        <v>1774.48</v>
      </c>
      <c r="S371" s="85"/>
      <c r="T371" s="85"/>
      <c r="U371" s="85"/>
      <c r="V371" s="85"/>
      <c r="W371" s="105"/>
      <c r="X371" s="117" t="str">
        <f>IFERROR(VLOOKUP(Anexo_5[[#This Row],[CUENTA]],OP,2,0),"-")</f>
        <v>-</v>
      </c>
    </row>
    <row r="372" spans="1:24" s="84" customFormat="1" ht="27" customHeight="1" x14ac:dyDescent="0.3">
      <c r="A372" s="79" t="s">
        <v>7411</v>
      </c>
      <c r="B372" s="119" t="str">
        <f t="shared" ref="B372:B389" si="8">PROPER(CHOOSE(LEFT(D372,2),"enero","febrero","marzo","abril","mayo","junio","julio","agosto","setiembre","octubre","noviembre","diciembre"))</f>
        <v>Octubre</v>
      </c>
      <c r="C372" s="77" t="s">
        <v>240</v>
      </c>
      <c r="D372" s="85" t="s">
        <v>7202</v>
      </c>
      <c r="E372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372" s="79" t="s">
        <v>248</v>
      </c>
      <c r="G372" s="148" t="s">
        <v>249</v>
      </c>
      <c r="H372" s="152" t="s">
        <v>9343</v>
      </c>
      <c r="I372" s="85" t="s">
        <v>9344</v>
      </c>
      <c r="J372" s="153" t="s">
        <v>9751</v>
      </c>
      <c r="K372" s="85" t="s">
        <v>169</v>
      </c>
      <c r="L372" s="119" t="str">
        <f>VLOOKUP(Anexo_5[[#This Row],[cod_doc]],COMPRAS!TIPODOC,2,FALSE)</f>
        <v>FACTURA</v>
      </c>
      <c r="M372" s="85" t="s">
        <v>107</v>
      </c>
      <c r="N372" s="79" t="s">
        <v>5339</v>
      </c>
      <c r="O372" s="86">
        <v>1503.8</v>
      </c>
      <c r="P372" s="87">
        <v>270.68</v>
      </c>
      <c r="Q372" s="86"/>
      <c r="R372" s="88">
        <v>1774.48</v>
      </c>
      <c r="S372" s="85"/>
      <c r="T372" s="85"/>
      <c r="U372" s="85"/>
      <c r="V372" s="85"/>
      <c r="W372" s="105"/>
      <c r="X372" s="117" t="str">
        <f>IFERROR(VLOOKUP(Anexo_5[[#This Row],[CUENTA]],OP,2,0),"-")</f>
        <v>-</v>
      </c>
    </row>
    <row r="373" spans="1:24" s="84" customFormat="1" ht="27" customHeight="1" x14ac:dyDescent="0.3">
      <c r="A373" s="79" t="s">
        <v>7411</v>
      </c>
      <c r="B373" s="119" t="str">
        <f t="shared" si="8"/>
        <v>Octubre</v>
      </c>
      <c r="C373" s="77" t="s">
        <v>240</v>
      </c>
      <c r="D373" s="85" t="s">
        <v>7208</v>
      </c>
      <c r="E373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373" s="79" t="s">
        <v>248</v>
      </c>
      <c r="G373" s="148" t="s">
        <v>249</v>
      </c>
      <c r="H373" s="152" t="s">
        <v>9343</v>
      </c>
      <c r="I373" s="85" t="s">
        <v>9344</v>
      </c>
      <c r="J373" s="153" t="s">
        <v>9751</v>
      </c>
      <c r="K373" s="85" t="s">
        <v>1896</v>
      </c>
      <c r="L373" s="119" t="str">
        <f>VLOOKUP(Anexo_5[[#This Row],[cod_doc]],COMPRAS!TIPODOC,2,FALSE)</f>
        <v>NOTA DE CREDITO</v>
      </c>
      <c r="M373" s="85" t="s">
        <v>109</v>
      </c>
      <c r="N373" s="79" t="s">
        <v>9839</v>
      </c>
      <c r="O373" s="86">
        <v>-1503.8</v>
      </c>
      <c r="P373" s="87">
        <v>-270.68</v>
      </c>
      <c r="Q373" s="86"/>
      <c r="R373" s="88">
        <v>-1774.48</v>
      </c>
      <c r="S373" s="85" t="s">
        <v>162</v>
      </c>
      <c r="T373" s="85" t="s">
        <v>107</v>
      </c>
      <c r="U373" s="85" t="s">
        <v>9501</v>
      </c>
      <c r="V373" s="85"/>
      <c r="W373" s="105"/>
      <c r="X373" s="117" t="str">
        <f>IFERROR(VLOOKUP(Anexo_5[[#This Row],[CUENTA]],OP,2,0),"-")</f>
        <v>-</v>
      </c>
    </row>
    <row r="374" spans="1:24" s="84" customFormat="1" ht="27" customHeight="1" x14ac:dyDescent="0.3">
      <c r="A374" s="79" t="s">
        <v>7411</v>
      </c>
      <c r="B374" s="119" t="str">
        <f t="shared" si="8"/>
        <v>Octubre</v>
      </c>
      <c r="C374" s="77" t="s">
        <v>240</v>
      </c>
      <c r="D374" s="85" t="s">
        <v>7212</v>
      </c>
      <c r="E374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374" s="79" t="s">
        <v>248</v>
      </c>
      <c r="G374" s="148" t="s">
        <v>249</v>
      </c>
      <c r="H374" s="152" t="s">
        <v>9343</v>
      </c>
      <c r="I374" s="85" t="s">
        <v>9344</v>
      </c>
      <c r="J374" s="153" t="s">
        <v>9751</v>
      </c>
      <c r="K374" s="85" t="s">
        <v>1896</v>
      </c>
      <c r="L374" s="119" t="str">
        <f>VLOOKUP(Anexo_5[[#This Row],[cod_doc]],COMPRAS!TIPODOC,2,FALSE)</f>
        <v>NOTA DE CREDITO</v>
      </c>
      <c r="M374" s="85" t="s">
        <v>109</v>
      </c>
      <c r="N374" s="79" t="s">
        <v>6293</v>
      </c>
      <c r="O374" s="86">
        <v>0</v>
      </c>
      <c r="P374" s="87">
        <v>0</v>
      </c>
      <c r="Q374" s="86"/>
      <c r="R374" s="88">
        <v>0</v>
      </c>
      <c r="S374" s="85" t="s">
        <v>162</v>
      </c>
      <c r="T374" s="85" t="s">
        <v>107</v>
      </c>
      <c r="U374" s="85" t="s">
        <v>5339</v>
      </c>
      <c r="V374" s="85"/>
      <c r="W374" s="105"/>
      <c r="X374" s="117" t="str">
        <f>IFERROR(VLOOKUP(Anexo_5[[#This Row],[CUENTA]],OP,2,0),"-")</f>
        <v>-</v>
      </c>
    </row>
    <row r="375" spans="1:24" s="84" customFormat="1" ht="27" customHeight="1" x14ac:dyDescent="0.3">
      <c r="A375" s="79" t="s">
        <v>6887</v>
      </c>
      <c r="B375" s="119" t="str">
        <f t="shared" si="8"/>
        <v>Octubre</v>
      </c>
      <c r="C375" s="77" t="s">
        <v>240</v>
      </c>
      <c r="D375" s="85" t="s">
        <v>7216</v>
      </c>
      <c r="E375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375" s="79" t="s">
        <v>248</v>
      </c>
      <c r="G375" s="148" t="s">
        <v>249</v>
      </c>
      <c r="H375" s="152" t="s">
        <v>9390</v>
      </c>
      <c r="I375" s="85" t="s">
        <v>9391</v>
      </c>
      <c r="J375" s="153" t="s">
        <v>9776</v>
      </c>
      <c r="K375" s="85" t="s">
        <v>169</v>
      </c>
      <c r="L375" s="119" t="str">
        <f>VLOOKUP(Anexo_5[[#This Row],[cod_doc]],COMPRAS!TIPODOC,2,FALSE)</f>
        <v>FACTURA</v>
      </c>
      <c r="M375" s="85" t="s">
        <v>105</v>
      </c>
      <c r="N375" s="79" t="s">
        <v>9106</v>
      </c>
      <c r="O375" s="86">
        <v>495</v>
      </c>
      <c r="P375" s="87">
        <v>89.1</v>
      </c>
      <c r="Q375" s="86"/>
      <c r="R375" s="88">
        <v>584.1</v>
      </c>
      <c r="S375" s="85"/>
      <c r="T375" s="85"/>
      <c r="U375" s="85"/>
      <c r="V375" s="85"/>
      <c r="W375" s="105"/>
      <c r="X375" s="117" t="str">
        <f>IFERROR(VLOOKUP(Anexo_5[[#This Row],[CUENTA]],OP,2,0),"-")</f>
        <v>-</v>
      </c>
    </row>
    <row r="376" spans="1:24" s="84" customFormat="1" ht="27" customHeight="1" x14ac:dyDescent="0.3">
      <c r="A376" s="79" t="s">
        <v>6887</v>
      </c>
      <c r="B376" s="119" t="str">
        <f t="shared" si="8"/>
        <v>Octubre</v>
      </c>
      <c r="C376" s="77" t="s">
        <v>240</v>
      </c>
      <c r="D376" s="85" t="s">
        <v>7220</v>
      </c>
      <c r="E376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376" s="79" t="s">
        <v>248</v>
      </c>
      <c r="G376" s="148" t="s">
        <v>249</v>
      </c>
      <c r="H376" s="152" t="s">
        <v>9469</v>
      </c>
      <c r="I376" s="85" t="s">
        <v>9470</v>
      </c>
      <c r="J376" s="153" t="s">
        <v>9807</v>
      </c>
      <c r="K376" s="85" t="s">
        <v>169</v>
      </c>
      <c r="L376" s="119" t="str">
        <f>VLOOKUP(Anexo_5[[#This Row],[cod_doc]],COMPRAS!TIPODOC,2,FALSE)</f>
        <v>FACTURA</v>
      </c>
      <c r="M376" s="85" t="s">
        <v>105</v>
      </c>
      <c r="N376" s="79" t="s">
        <v>9600</v>
      </c>
      <c r="O376" s="86">
        <v>315</v>
      </c>
      <c r="P376" s="87">
        <v>56.7</v>
      </c>
      <c r="Q376" s="86"/>
      <c r="R376" s="88">
        <v>371.7</v>
      </c>
      <c r="S376" s="85"/>
      <c r="T376" s="85"/>
      <c r="U376" s="85"/>
      <c r="V376" s="85"/>
      <c r="W376" s="105"/>
      <c r="X376" s="117" t="str">
        <f>IFERROR(VLOOKUP(Anexo_5[[#This Row],[CUENTA]],OP,2,0),"-")</f>
        <v>-</v>
      </c>
    </row>
    <row r="377" spans="1:24" s="84" customFormat="1" ht="27" customHeight="1" x14ac:dyDescent="0.3">
      <c r="A377" s="79" t="s">
        <v>6887</v>
      </c>
      <c r="B377" s="119" t="str">
        <f t="shared" si="8"/>
        <v>Octubre</v>
      </c>
      <c r="C377" s="77" t="s">
        <v>240</v>
      </c>
      <c r="D377" s="85" t="s">
        <v>7224</v>
      </c>
      <c r="E377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377" s="79" t="s">
        <v>248</v>
      </c>
      <c r="G377" s="148" t="s">
        <v>249</v>
      </c>
      <c r="H377" s="152" t="s">
        <v>9487</v>
      </c>
      <c r="I377" s="85" t="s">
        <v>9488</v>
      </c>
      <c r="J377" s="153" t="s">
        <v>9817</v>
      </c>
      <c r="K377" s="85" t="s">
        <v>169</v>
      </c>
      <c r="L377" s="119" t="str">
        <f>VLOOKUP(Anexo_5[[#This Row],[cod_doc]],COMPRAS!TIPODOC,2,FALSE)</f>
        <v>FACTURA</v>
      </c>
      <c r="M377" s="85" t="s">
        <v>105</v>
      </c>
      <c r="N377" s="79" t="s">
        <v>9081</v>
      </c>
      <c r="O377" s="86">
        <v>225</v>
      </c>
      <c r="P377" s="87">
        <v>40.5</v>
      </c>
      <c r="Q377" s="86"/>
      <c r="R377" s="88">
        <v>265.5</v>
      </c>
      <c r="S377" s="85"/>
      <c r="T377" s="85"/>
      <c r="U377" s="85"/>
      <c r="V377" s="85"/>
      <c r="W377" s="105"/>
      <c r="X377" s="117" t="str">
        <f>IFERROR(VLOOKUP(Anexo_5[[#This Row],[CUENTA]],OP,2,0),"-")</f>
        <v>-</v>
      </c>
    </row>
    <row r="378" spans="1:24" s="84" customFormat="1" ht="27" customHeight="1" x14ac:dyDescent="0.3">
      <c r="A378" s="79" t="s">
        <v>6887</v>
      </c>
      <c r="B378" s="119" t="str">
        <f t="shared" si="8"/>
        <v>Octubre</v>
      </c>
      <c r="C378" s="77" t="s">
        <v>240</v>
      </c>
      <c r="D378" s="85" t="s">
        <v>7228</v>
      </c>
      <c r="E378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378" s="79" t="s">
        <v>248</v>
      </c>
      <c r="G378" s="148" t="s">
        <v>249</v>
      </c>
      <c r="H378" s="152" t="s">
        <v>9343</v>
      </c>
      <c r="I378" s="85" t="s">
        <v>9344</v>
      </c>
      <c r="J378" s="153" t="s">
        <v>9751</v>
      </c>
      <c r="K378" s="85" t="s">
        <v>169</v>
      </c>
      <c r="L378" s="119" t="str">
        <f>VLOOKUP(Anexo_5[[#This Row],[cod_doc]],COMPRAS!TIPODOC,2,FALSE)</f>
        <v>FACTURA</v>
      </c>
      <c r="M378" s="85" t="s">
        <v>107</v>
      </c>
      <c r="N378" s="79" t="s">
        <v>9526</v>
      </c>
      <c r="O378" s="86">
        <v>1503.8</v>
      </c>
      <c r="P378" s="87">
        <v>270.68</v>
      </c>
      <c r="Q378" s="86"/>
      <c r="R378" s="88">
        <v>1774.48</v>
      </c>
      <c r="S378" s="85"/>
      <c r="T378" s="85"/>
      <c r="U378" s="85"/>
      <c r="V378" s="85"/>
      <c r="W378" s="105"/>
      <c r="X378" s="117" t="str">
        <f>IFERROR(VLOOKUP(Anexo_5[[#This Row],[CUENTA]],OP,2,0),"-")</f>
        <v>-</v>
      </c>
    </row>
    <row r="379" spans="1:24" s="84" customFormat="1" ht="27" customHeight="1" x14ac:dyDescent="0.3">
      <c r="A379" s="79" t="s">
        <v>6887</v>
      </c>
      <c r="B379" s="119" t="str">
        <f t="shared" si="8"/>
        <v>Octubre</v>
      </c>
      <c r="C379" s="77" t="s">
        <v>240</v>
      </c>
      <c r="D379" s="85" t="s">
        <v>7232</v>
      </c>
      <c r="E379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379" s="79" t="s">
        <v>248</v>
      </c>
      <c r="G379" s="148" t="s">
        <v>249</v>
      </c>
      <c r="H379" s="152" t="s">
        <v>9343</v>
      </c>
      <c r="I379" s="85" t="s">
        <v>9506</v>
      </c>
      <c r="J379" s="153" t="s">
        <v>9840</v>
      </c>
      <c r="K379" s="85" t="s">
        <v>169</v>
      </c>
      <c r="L379" s="119" t="str">
        <f>VLOOKUP(Anexo_5[[#This Row],[cod_doc]],COMPRAS!TIPODOC,2,FALSE)</f>
        <v>FACTURA</v>
      </c>
      <c r="M379" s="85" t="s">
        <v>107</v>
      </c>
      <c r="N379" s="79" t="s">
        <v>7988</v>
      </c>
      <c r="O379" s="86">
        <v>871.2</v>
      </c>
      <c r="P379" s="87">
        <v>156.82</v>
      </c>
      <c r="Q379" s="86"/>
      <c r="R379" s="88">
        <v>1028.02</v>
      </c>
      <c r="S379" s="85"/>
      <c r="T379" s="85"/>
      <c r="U379" s="85"/>
      <c r="V379" s="85"/>
      <c r="W379" s="105"/>
      <c r="X379" s="117" t="str">
        <f>IFERROR(VLOOKUP(Anexo_5[[#This Row],[CUENTA]],OP,2,0),"-")</f>
        <v>-</v>
      </c>
    </row>
    <row r="380" spans="1:24" s="84" customFormat="1" ht="27" customHeight="1" x14ac:dyDescent="0.3">
      <c r="A380" s="79" t="s">
        <v>6887</v>
      </c>
      <c r="B380" s="119" t="str">
        <f t="shared" si="8"/>
        <v>Octubre</v>
      </c>
      <c r="C380" s="77" t="s">
        <v>240</v>
      </c>
      <c r="D380" s="85" t="s">
        <v>7236</v>
      </c>
      <c r="E380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380" s="79" t="s">
        <v>248</v>
      </c>
      <c r="G380" s="148" t="s">
        <v>249</v>
      </c>
      <c r="H380" s="152" t="s">
        <v>9343</v>
      </c>
      <c r="I380" s="85" t="s">
        <v>9344</v>
      </c>
      <c r="J380" s="153" t="s">
        <v>9751</v>
      </c>
      <c r="K380" s="85" t="s">
        <v>1896</v>
      </c>
      <c r="L380" s="119" t="str">
        <f>VLOOKUP(Anexo_5[[#This Row],[cod_doc]],COMPRAS!TIPODOC,2,FALSE)</f>
        <v>NOTA DE CREDITO</v>
      </c>
      <c r="M380" s="85" t="s">
        <v>109</v>
      </c>
      <c r="N380" s="79" t="s">
        <v>8260</v>
      </c>
      <c r="O380" s="86">
        <v>-1503.8</v>
      </c>
      <c r="P380" s="87">
        <v>-270.68</v>
      </c>
      <c r="Q380" s="86"/>
      <c r="R380" s="88">
        <v>-1774.48</v>
      </c>
      <c r="S380" s="85" t="s">
        <v>162</v>
      </c>
      <c r="T380" s="85" t="s">
        <v>107</v>
      </c>
      <c r="U380" s="85" t="s">
        <v>5339</v>
      </c>
      <c r="V380" s="85"/>
      <c r="W380" s="105"/>
      <c r="X380" s="117" t="str">
        <f>IFERROR(VLOOKUP(Anexo_5[[#This Row],[CUENTA]],OP,2,0),"-")</f>
        <v>-</v>
      </c>
    </row>
    <row r="381" spans="1:24" s="84" customFormat="1" ht="27" customHeight="1" x14ac:dyDescent="0.3">
      <c r="A381" s="79" t="s">
        <v>7741</v>
      </c>
      <c r="B381" s="119" t="str">
        <f t="shared" si="8"/>
        <v>Octubre</v>
      </c>
      <c r="C381" s="77" t="s">
        <v>240</v>
      </c>
      <c r="D381" s="85" t="s">
        <v>7241</v>
      </c>
      <c r="E381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381" s="79" t="s">
        <v>4560</v>
      </c>
      <c r="G381" s="148" t="s">
        <v>115</v>
      </c>
      <c r="H381" s="152" t="s">
        <v>9371</v>
      </c>
      <c r="I381" s="85" t="s">
        <v>9372</v>
      </c>
      <c r="J381" s="153" t="s">
        <v>9813</v>
      </c>
      <c r="K381" s="85" t="s">
        <v>169</v>
      </c>
      <c r="L381" s="119" t="str">
        <f>VLOOKUP(Anexo_5[[#This Row],[cod_doc]],COMPRAS!TIPODOC,2,FALSE)</f>
        <v>FACTURA</v>
      </c>
      <c r="M381" s="85" t="s">
        <v>1906</v>
      </c>
      <c r="N381" s="79" t="s">
        <v>9841</v>
      </c>
      <c r="O381" s="86">
        <v>9708.67</v>
      </c>
      <c r="P381" s="87">
        <v>1747.56</v>
      </c>
      <c r="Q381" s="86"/>
      <c r="R381" s="88">
        <v>11456.23</v>
      </c>
      <c r="S381" s="85"/>
      <c r="T381" s="85"/>
      <c r="U381" s="85"/>
      <c r="V381" s="85"/>
      <c r="W381" s="105"/>
      <c r="X381" s="117" t="str">
        <f>IFERROR(VLOOKUP(Anexo_5[[#This Row],[CUENTA]],OP,2,0),"-")</f>
        <v>-</v>
      </c>
    </row>
    <row r="382" spans="1:24" s="84" customFormat="1" ht="27" customHeight="1" x14ac:dyDescent="0.3">
      <c r="A382" s="79" t="s">
        <v>7741</v>
      </c>
      <c r="B382" s="119" t="str">
        <f t="shared" si="8"/>
        <v>Octubre</v>
      </c>
      <c r="C382" s="77" t="s">
        <v>240</v>
      </c>
      <c r="D382" s="85" t="s">
        <v>7244</v>
      </c>
      <c r="E382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382" s="79" t="s">
        <v>4560</v>
      </c>
      <c r="G382" s="148" t="s">
        <v>115</v>
      </c>
      <c r="H382" s="152" t="s">
        <v>9371</v>
      </c>
      <c r="I382" s="85" t="s">
        <v>9378</v>
      </c>
      <c r="J382" s="153" t="s">
        <v>9745</v>
      </c>
      <c r="K382" s="85" t="s">
        <v>169</v>
      </c>
      <c r="L382" s="119" t="str">
        <f>VLOOKUP(Anexo_5[[#This Row],[cod_doc]],COMPRAS!TIPODOC,2,FALSE)</f>
        <v>FACTURA</v>
      </c>
      <c r="M382" s="85" t="s">
        <v>1906</v>
      </c>
      <c r="N382" s="79" t="s">
        <v>9842</v>
      </c>
      <c r="O382" s="86">
        <v>3653.6</v>
      </c>
      <c r="P382" s="87">
        <v>657.65</v>
      </c>
      <c r="Q382" s="86"/>
      <c r="R382" s="88">
        <v>4311.25</v>
      </c>
      <c r="S382" s="85"/>
      <c r="T382" s="85"/>
      <c r="U382" s="85"/>
      <c r="V382" s="85"/>
      <c r="W382" s="105"/>
      <c r="X382" s="117" t="str">
        <f>IFERROR(VLOOKUP(Anexo_5[[#This Row],[CUENTA]],OP,2,0),"-")</f>
        <v>-</v>
      </c>
    </row>
    <row r="383" spans="1:24" s="84" customFormat="1" ht="27" customHeight="1" x14ac:dyDescent="0.3">
      <c r="A383" s="79" t="s">
        <v>7705</v>
      </c>
      <c r="B383" s="119" t="str">
        <f t="shared" si="8"/>
        <v>Octubre</v>
      </c>
      <c r="C383" s="77" t="s">
        <v>240</v>
      </c>
      <c r="D383" s="85" t="s">
        <v>7247</v>
      </c>
      <c r="E383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383" s="79" t="s">
        <v>4563</v>
      </c>
      <c r="G383" s="148" t="s">
        <v>114</v>
      </c>
      <c r="H383" s="152" t="s">
        <v>9329</v>
      </c>
      <c r="I383" s="85" t="s">
        <v>980</v>
      </c>
      <c r="J383" s="153" t="s">
        <v>5083</v>
      </c>
      <c r="K383" s="85" t="s">
        <v>169</v>
      </c>
      <c r="L383" s="119" t="str">
        <f>VLOOKUP(Anexo_5[[#This Row],[cod_doc]],COMPRAS!TIPODOC,2,FALSE)</f>
        <v>FACTURA</v>
      </c>
      <c r="M383" s="85" t="s">
        <v>1906</v>
      </c>
      <c r="N383" s="79" t="s">
        <v>9843</v>
      </c>
      <c r="O383" s="86">
        <v>1492.9</v>
      </c>
      <c r="P383" s="87">
        <v>268.72000000000003</v>
      </c>
      <c r="Q383" s="86"/>
      <c r="R383" s="88">
        <v>1761.62</v>
      </c>
      <c r="S383" s="85"/>
      <c r="T383" s="85"/>
      <c r="U383" s="85"/>
      <c r="V383" s="85"/>
      <c r="W383" s="105"/>
      <c r="X383" s="117" t="str">
        <f>IFERROR(VLOOKUP(Anexo_5[[#This Row],[CUENTA]],OP,2,0),"-")</f>
        <v>-</v>
      </c>
    </row>
    <row r="384" spans="1:24" s="84" customFormat="1" ht="27" customHeight="1" x14ac:dyDescent="0.3">
      <c r="A384" s="79" t="s">
        <v>7705</v>
      </c>
      <c r="B384" s="119" t="str">
        <f t="shared" si="8"/>
        <v>Octubre</v>
      </c>
      <c r="C384" s="77" t="s">
        <v>240</v>
      </c>
      <c r="D384" s="85" t="s">
        <v>7250</v>
      </c>
      <c r="E384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384" s="79" t="s">
        <v>4560</v>
      </c>
      <c r="G384" s="148" t="s">
        <v>115</v>
      </c>
      <c r="H384" s="152" t="s">
        <v>9371</v>
      </c>
      <c r="I384" s="85" t="s">
        <v>9622</v>
      </c>
      <c r="J384" s="153" t="s">
        <v>9844</v>
      </c>
      <c r="K384" s="85" t="s">
        <v>169</v>
      </c>
      <c r="L384" s="119" t="str">
        <f>VLOOKUP(Anexo_5[[#This Row],[cod_doc]],COMPRAS!TIPODOC,2,FALSE)</f>
        <v>FACTURA</v>
      </c>
      <c r="M384" s="85" t="s">
        <v>1906</v>
      </c>
      <c r="N384" s="79" t="s">
        <v>9845</v>
      </c>
      <c r="O384" s="86">
        <v>7338.3</v>
      </c>
      <c r="P384" s="87">
        <v>1320.89</v>
      </c>
      <c r="Q384" s="86"/>
      <c r="R384" s="88">
        <v>8659.19</v>
      </c>
      <c r="S384" s="85"/>
      <c r="T384" s="85"/>
      <c r="U384" s="85"/>
      <c r="V384" s="85"/>
      <c r="W384" s="105"/>
      <c r="X384" s="117" t="str">
        <f>IFERROR(VLOOKUP(Anexo_5[[#This Row],[CUENTA]],OP,2,0),"-")</f>
        <v>-</v>
      </c>
    </row>
    <row r="385" spans="1:24" s="84" customFormat="1" ht="27" customHeight="1" x14ac:dyDescent="0.3">
      <c r="A385" s="79" t="s">
        <v>7705</v>
      </c>
      <c r="B385" s="119" t="str">
        <f t="shared" si="8"/>
        <v>Octubre</v>
      </c>
      <c r="C385" s="77" t="s">
        <v>240</v>
      </c>
      <c r="D385" s="85" t="s">
        <v>7255</v>
      </c>
      <c r="E385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385" s="79" t="s">
        <v>248</v>
      </c>
      <c r="G385" s="148" t="s">
        <v>249</v>
      </c>
      <c r="H385" s="152" t="s">
        <v>9462</v>
      </c>
      <c r="I385" s="85" t="s">
        <v>9353</v>
      </c>
      <c r="J385" s="153" t="s">
        <v>9774</v>
      </c>
      <c r="K385" s="85" t="s">
        <v>169</v>
      </c>
      <c r="L385" s="119" t="str">
        <f>VLOOKUP(Anexo_5[[#This Row],[cod_doc]],COMPRAS!TIPODOC,2,FALSE)</f>
        <v>FACTURA</v>
      </c>
      <c r="M385" s="85" t="s">
        <v>105</v>
      </c>
      <c r="N385" s="79" t="s">
        <v>9602</v>
      </c>
      <c r="O385" s="86">
        <v>22194</v>
      </c>
      <c r="P385" s="87">
        <v>3994.92</v>
      </c>
      <c r="Q385" s="86"/>
      <c r="R385" s="88">
        <v>26188.92</v>
      </c>
      <c r="S385" s="85"/>
      <c r="T385" s="85"/>
      <c r="U385" s="85"/>
      <c r="V385" s="85"/>
      <c r="W385" s="105"/>
      <c r="X385" s="117" t="str">
        <f>IFERROR(VLOOKUP(Anexo_5[[#This Row],[CUENTA]],OP,2,0),"-")</f>
        <v>-</v>
      </c>
    </row>
    <row r="386" spans="1:24" s="84" customFormat="1" ht="27" customHeight="1" x14ac:dyDescent="0.3">
      <c r="A386" s="79" t="s">
        <v>7901</v>
      </c>
      <c r="B386" s="119" t="str">
        <f t="shared" si="8"/>
        <v>Octubre</v>
      </c>
      <c r="C386" s="77" t="s">
        <v>240</v>
      </c>
      <c r="D386" s="85" t="s">
        <v>7260</v>
      </c>
      <c r="E386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386" s="79" t="s">
        <v>4560</v>
      </c>
      <c r="G386" s="148" t="s">
        <v>115</v>
      </c>
      <c r="H386" s="152" t="s">
        <v>9371</v>
      </c>
      <c r="I386" s="85" t="s">
        <v>9846</v>
      </c>
      <c r="J386" s="153" t="s">
        <v>9847</v>
      </c>
      <c r="K386" s="85" t="s">
        <v>169</v>
      </c>
      <c r="L386" s="119" t="str">
        <f>VLOOKUP(Anexo_5[[#This Row],[cod_doc]],COMPRAS!TIPODOC,2,FALSE)</f>
        <v>FACTURA</v>
      </c>
      <c r="M386" s="85" t="s">
        <v>1906</v>
      </c>
      <c r="N386" s="79" t="s">
        <v>9848</v>
      </c>
      <c r="O386" s="86">
        <v>550</v>
      </c>
      <c r="P386" s="87">
        <v>99</v>
      </c>
      <c r="Q386" s="86"/>
      <c r="R386" s="88">
        <v>649</v>
      </c>
      <c r="S386" s="85"/>
      <c r="T386" s="85"/>
      <c r="U386" s="85"/>
      <c r="V386" s="85"/>
      <c r="W386" s="105"/>
      <c r="X386" s="117" t="str">
        <f>IFERROR(VLOOKUP(Anexo_5[[#This Row],[CUENTA]],OP,2,0),"-")</f>
        <v>-</v>
      </c>
    </row>
    <row r="387" spans="1:24" s="84" customFormat="1" ht="27" customHeight="1" x14ac:dyDescent="0.3">
      <c r="A387" s="79" t="s">
        <v>7901</v>
      </c>
      <c r="B387" s="119" t="str">
        <f t="shared" si="8"/>
        <v>Octubre</v>
      </c>
      <c r="C387" s="77" t="s">
        <v>240</v>
      </c>
      <c r="D387" s="85" t="s">
        <v>7264</v>
      </c>
      <c r="E387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387" s="79" t="s">
        <v>4563</v>
      </c>
      <c r="G387" s="148" t="s">
        <v>114</v>
      </c>
      <c r="H387" s="152" t="s">
        <v>9329</v>
      </c>
      <c r="I387" s="85" t="s">
        <v>9726</v>
      </c>
      <c r="J387" s="153" t="s">
        <v>9849</v>
      </c>
      <c r="K387" s="85" t="s">
        <v>169</v>
      </c>
      <c r="L387" s="119" t="str">
        <f>VLOOKUP(Anexo_5[[#This Row],[cod_doc]],COMPRAS!TIPODOC,2,FALSE)</f>
        <v>FACTURA</v>
      </c>
      <c r="M387" s="85" t="s">
        <v>1906</v>
      </c>
      <c r="N387" s="79" t="s">
        <v>9850</v>
      </c>
      <c r="O387" s="86">
        <v>1012.5</v>
      </c>
      <c r="P387" s="87">
        <v>182.25</v>
      </c>
      <c r="Q387" s="86"/>
      <c r="R387" s="88">
        <v>1194.75</v>
      </c>
      <c r="S387" s="85"/>
      <c r="T387" s="85"/>
      <c r="U387" s="85"/>
      <c r="V387" s="85"/>
      <c r="W387" s="105"/>
      <c r="X387" s="117" t="str">
        <f>IFERROR(VLOOKUP(Anexo_5[[#This Row],[CUENTA]],OP,2,0),"-")</f>
        <v>-</v>
      </c>
    </row>
    <row r="388" spans="1:24" s="84" customFormat="1" ht="27" customHeight="1" x14ac:dyDescent="0.3">
      <c r="A388" s="79" t="s">
        <v>7901</v>
      </c>
      <c r="B388" s="119" t="str">
        <f t="shared" si="8"/>
        <v>Octubre</v>
      </c>
      <c r="C388" s="77" t="s">
        <v>240</v>
      </c>
      <c r="D388" s="85" t="s">
        <v>7269</v>
      </c>
      <c r="E388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388" s="79" t="s">
        <v>4560</v>
      </c>
      <c r="G388" s="148" t="s">
        <v>115</v>
      </c>
      <c r="H388" s="152" t="s">
        <v>9439</v>
      </c>
      <c r="I388" s="85" t="s">
        <v>9851</v>
      </c>
      <c r="J388" s="153" t="s">
        <v>9852</v>
      </c>
      <c r="K388" s="85" t="s">
        <v>169</v>
      </c>
      <c r="L388" s="119" t="str">
        <f>VLOOKUP(Anexo_5[[#This Row],[cod_doc]],COMPRAS!TIPODOC,2,FALSE)</f>
        <v>FACTURA</v>
      </c>
      <c r="M388" s="85" t="s">
        <v>1906</v>
      </c>
      <c r="N388" s="79" t="s">
        <v>9853</v>
      </c>
      <c r="O388" s="86">
        <v>4324</v>
      </c>
      <c r="P388" s="87">
        <v>778.32</v>
      </c>
      <c r="Q388" s="86"/>
      <c r="R388" s="88">
        <v>5102.32</v>
      </c>
      <c r="S388" s="85"/>
      <c r="T388" s="85"/>
      <c r="U388" s="85"/>
      <c r="V388" s="85"/>
      <c r="W388" s="105"/>
      <c r="X388" s="117" t="str">
        <f>IFERROR(VLOOKUP(Anexo_5[[#This Row],[CUENTA]],OP,2,0),"-")</f>
        <v>-</v>
      </c>
    </row>
    <row r="389" spans="1:24" s="84" customFormat="1" ht="27" customHeight="1" x14ac:dyDescent="0.3">
      <c r="A389" s="79" t="s">
        <v>7901</v>
      </c>
      <c r="B389" s="119" t="str">
        <f t="shared" si="8"/>
        <v>Octubre</v>
      </c>
      <c r="C389" s="77" t="s">
        <v>240</v>
      </c>
      <c r="D389" s="85" t="s">
        <v>7271</v>
      </c>
      <c r="E389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389" s="79" t="s">
        <v>248</v>
      </c>
      <c r="G389" s="148" t="s">
        <v>249</v>
      </c>
      <c r="H389" s="152" t="s">
        <v>9487</v>
      </c>
      <c r="I389" s="85" t="s">
        <v>9488</v>
      </c>
      <c r="J389" s="153" t="s">
        <v>9817</v>
      </c>
      <c r="K389" s="85" t="s">
        <v>169</v>
      </c>
      <c r="L389" s="119" t="str">
        <f>VLOOKUP(Anexo_5[[#This Row],[cod_doc]],COMPRAS!TIPODOC,2,FALSE)</f>
        <v>FACTURA</v>
      </c>
      <c r="M389" s="85" t="s">
        <v>105</v>
      </c>
      <c r="N389" s="79" t="s">
        <v>9604</v>
      </c>
      <c r="O389" s="86">
        <v>584</v>
      </c>
      <c r="P389" s="87">
        <v>105.12</v>
      </c>
      <c r="Q389" s="86"/>
      <c r="R389" s="88">
        <v>689.12</v>
      </c>
      <c r="S389" s="85"/>
      <c r="T389" s="85"/>
      <c r="U389" s="85"/>
      <c r="V389" s="85"/>
      <c r="W389" s="105"/>
      <c r="X389" s="117" t="str">
        <f>IFERROR(VLOOKUP(Anexo_5[[#This Row],[CUENTA]],OP,2,0),"-")</f>
        <v>-</v>
      </c>
    </row>
    <row r="390" spans="1:24" s="84" customFormat="1" ht="27" customHeight="1" x14ac:dyDescent="0.3">
      <c r="A390" s="79" t="s">
        <v>7901</v>
      </c>
      <c r="B390" s="119" t="str">
        <f t="shared" ref="B390:B403" si="9">PROPER(CHOOSE(LEFT(D390,2),"enero","febrero","marzo","abril","mayo","junio","julio","agosto","setiembre","octubre","noviembre","diciembre"))</f>
        <v>Octubre</v>
      </c>
      <c r="C390" s="77" t="s">
        <v>240</v>
      </c>
      <c r="D390" s="85" t="s">
        <v>7273</v>
      </c>
      <c r="E390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390" s="79" t="s">
        <v>248</v>
      </c>
      <c r="G390" s="148" t="s">
        <v>249</v>
      </c>
      <c r="H390" s="152" t="s">
        <v>9469</v>
      </c>
      <c r="I390" s="85" t="s">
        <v>9470</v>
      </c>
      <c r="J390" s="153" t="s">
        <v>9807</v>
      </c>
      <c r="K390" s="85" t="s">
        <v>169</v>
      </c>
      <c r="L390" s="119" t="str">
        <f>VLOOKUP(Anexo_5[[#This Row],[cod_doc]],COMPRAS!TIPODOC,2,FALSE)</f>
        <v>FACTURA</v>
      </c>
      <c r="M390" s="85" t="s">
        <v>105</v>
      </c>
      <c r="N390" s="79" t="s">
        <v>9606</v>
      </c>
      <c r="O390" s="86">
        <v>459</v>
      </c>
      <c r="P390" s="87">
        <v>82.62</v>
      </c>
      <c r="Q390" s="86"/>
      <c r="R390" s="88">
        <v>541.62</v>
      </c>
      <c r="S390" s="85"/>
      <c r="T390" s="85"/>
      <c r="U390" s="85"/>
      <c r="V390" s="85"/>
      <c r="W390" s="105"/>
      <c r="X390" s="117" t="str">
        <f>IFERROR(VLOOKUP(Anexo_5[[#This Row],[CUENTA]],OP,2,0),"-")</f>
        <v>-</v>
      </c>
    </row>
    <row r="391" spans="1:24" s="84" customFormat="1" ht="27" customHeight="1" x14ac:dyDescent="0.3">
      <c r="A391" s="79" t="s">
        <v>7901</v>
      </c>
      <c r="B391" s="119" t="str">
        <f t="shared" si="9"/>
        <v>Octubre</v>
      </c>
      <c r="C391" s="77" t="s">
        <v>240</v>
      </c>
      <c r="D391" s="85" t="s">
        <v>7277</v>
      </c>
      <c r="E391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391" s="79" t="s">
        <v>248</v>
      </c>
      <c r="G391" s="148" t="s">
        <v>249</v>
      </c>
      <c r="H391" s="152" t="s">
        <v>9343</v>
      </c>
      <c r="I391" s="85" t="s">
        <v>9344</v>
      </c>
      <c r="J391" s="153" t="s">
        <v>9751</v>
      </c>
      <c r="K391" s="85" t="s">
        <v>169</v>
      </c>
      <c r="L391" s="119" t="str">
        <f>VLOOKUP(Anexo_5[[#This Row],[cod_doc]],COMPRAS!TIPODOC,2,FALSE)</f>
        <v>FACTURA</v>
      </c>
      <c r="M391" s="85" t="s">
        <v>107</v>
      </c>
      <c r="N391" s="79" t="s">
        <v>9539</v>
      </c>
      <c r="O391" s="86">
        <v>832.2</v>
      </c>
      <c r="P391" s="87">
        <v>149.80000000000001</v>
      </c>
      <c r="Q391" s="86"/>
      <c r="R391" s="88">
        <v>982</v>
      </c>
      <c r="S391" s="85"/>
      <c r="T391" s="85"/>
      <c r="U391" s="85"/>
      <c r="V391" s="85"/>
      <c r="W391" s="105"/>
      <c r="X391" s="117" t="str">
        <f>IFERROR(VLOOKUP(Anexo_5[[#This Row],[CUENTA]],OP,2,0),"-")</f>
        <v>-</v>
      </c>
    </row>
    <row r="392" spans="1:24" s="84" customFormat="1" ht="27" customHeight="1" x14ac:dyDescent="0.3">
      <c r="A392" s="79" t="s">
        <v>7901</v>
      </c>
      <c r="B392" s="119" t="str">
        <f t="shared" si="9"/>
        <v>Octubre</v>
      </c>
      <c r="C392" s="77" t="s">
        <v>240</v>
      </c>
      <c r="D392" s="85" t="s">
        <v>7282</v>
      </c>
      <c r="E392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392" s="79" t="s">
        <v>248</v>
      </c>
      <c r="G392" s="148" t="s">
        <v>249</v>
      </c>
      <c r="H392" s="152" t="s">
        <v>9343</v>
      </c>
      <c r="I392" s="85" t="s">
        <v>9422</v>
      </c>
      <c r="J392" s="153" t="s">
        <v>9763</v>
      </c>
      <c r="K392" s="85" t="s">
        <v>169</v>
      </c>
      <c r="L392" s="119" t="str">
        <f>VLOOKUP(Anexo_5[[#This Row],[cod_doc]],COMPRAS!TIPODOC,2,FALSE)</f>
        <v>FACTURA</v>
      </c>
      <c r="M392" s="85" t="s">
        <v>107</v>
      </c>
      <c r="N392" s="79" t="s">
        <v>9541</v>
      </c>
      <c r="O392" s="86">
        <v>645</v>
      </c>
      <c r="P392" s="87">
        <v>116.1</v>
      </c>
      <c r="Q392" s="86"/>
      <c r="R392" s="88">
        <v>761.1</v>
      </c>
      <c r="S392" s="85"/>
      <c r="T392" s="85"/>
      <c r="U392" s="85"/>
      <c r="V392" s="85"/>
      <c r="W392" s="105"/>
      <c r="X392" s="117" t="str">
        <f>IFERROR(VLOOKUP(Anexo_5[[#This Row],[CUENTA]],OP,2,0),"-")</f>
        <v>-</v>
      </c>
    </row>
    <row r="393" spans="1:24" s="84" customFormat="1" ht="27" customHeight="1" x14ac:dyDescent="0.3">
      <c r="A393" s="79" t="s">
        <v>7134</v>
      </c>
      <c r="B393" s="119" t="str">
        <f t="shared" si="9"/>
        <v>Octubre</v>
      </c>
      <c r="C393" s="77" t="s">
        <v>240</v>
      </c>
      <c r="D393" s="85" t="s">
        <v>7287</v>
      </c>
      <c r="E393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393" s="79" t="s">
        <v>4563</v>
      </c>
      <c r="G393" s="148" t="s">
        <v>114</v>
      </c>
      <c r="H393" s="152" t="s">
        <v>9329</v>
      </c>
      <c r="I393" s="85" t="s">
        <v>9514</v>
      </c>
      <c r="J393" s="153" t="s">
        <v>9752</v>
      </c>
      <c r="K393" s="85" t="s">
        <v>169</v>
      </c>
      <c r="L393" s="119" t="str">
        <f>VLOOKUP(Anexo_5[[#This Row],[cod_doc]],COMPRAS!TIPODOC,2,FALSE)</f>
        <v>FACTURA</v>
      </c>
      <c r="M393" s="85" t="s">
        <v>1906</v>
      </c>
      <c r="N393" s="79" t="s">
        <v>9854</v>
      </c>
      <c r="O393" s="86">
        <v>4461.32</v>
      </c>
      <c r="P393" s="87">
        <v>803.04</v>
      </c>
      <c r="Q393" s="86"/>
      <c r="R393" s="88">
        <v>5264.36</v>
      </c>
      <c r="S393" s="85"/>
      <c r="T393" s="85"/>
      <c r="U393" s="85"/>
      <c r="V393" s="85"/>
      <c r="W393" s="105"/>
      <c r="X393" s="117" t="str">
        <f>IFERROR(VLOOKUP(Anexo_5[[#This Row],[CUENTA]],OP,2,0),"-")</f>
        <v>-</v>
      </c>
    </row>
    <row r="394" spans="1:24" s="84" customFormat="1" ht="27" customHeight="1" x14ac:dyDescent="0.3">
      <c r="A394" s="79" t="s">
        <v>7134</v>
      </c>
      <c r="B394" s="119" t="str">
        <f t="shared" si="9"/>
        <v>Octubre</v>
      </c>
      <c r="C394" s="77" t="s">
        <v>240</v>
      </c>
      <c r="D394" s="85" t="s">
        <v>7292</v>
      </c>
      <c r="E394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394" s="79" t="s">
        <v>248</v>
      </c>
      <c r="G394" s="148" t="s">
        <v>249</v>
      </c>
      <c r="H394" s="152" t="s">
        <v>9585</v>
      </c>
      <c r="I394" s="85" t="s">
        <v>9664</v>
      </c>
      <c r="J394" s="153" t="s">
        <v>9855</v>
      </c>
      <c r="K394" s="85" t="s">
        <v>169</v>
      </c>
      <c r="L394" s="119" t="str">
        <f>VLOOKUP(Anexo_5[[#This Row],[cod_doc]],COMPRAS!TIPODOC,2,FALSE)</f>
        <v>FACTURA</v>
      </c>
      <c r="M394" s="85" t="s">
        <v>105</v>
      </c>
      <c r="N394" s="79" t="s">
        <v>9608</v>
      </c>
      <c r="O394" s="86">
        <v>408.1</v>
      </c>
      <c r="P394" s="87">
        <v>73.459999999999994</v>
      </c>
      <c r="Q394" s="86"/>
      <c r="R394" s="88">
        <v>481.56</v>
      </c>
      <c r="S394" s="85"/>
      <c r="T394" s="85"/>
      <c r="U394" s="85"/>
      <c r="V394" s="85"/>
      <c r="W394" s="105"/>
      <c r="X394" s="117" t="str">
        <f>IFERROR(VLOOKUP(Anexo_5[[#This Row],[CUENTA]],OP,2,0),"-")</f>
        <v>-</v>
      </c>
    </row>
    <row r="395" spans="1:24" s="84" customFormat="1" ht="27" customHeight="1" x14ac:dyDescent="0.3">
      <c r="A395" s="79" t="s">
        <v>8254</v>
      </c>
      <c r="B395" s="119" t="str">
        <f t="shared" si="9"/>
        <v>Octubre</v>
      </c>
      <c r="C395" s="77" t="s">
        <v>240</v>
      </c>
      <c r="D395" s="85" t="s">
        <v>7297</v>
      </c>
      <c r="E395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395" s="79" t="s">
        <v>248</v>
      </c>
      <c r="G395" s="148" t="s">
        <v>249</v>
      </c>
      <c r="H395" s="152" t="s">
        <v>9343</v>
      </c>
      <c r="I395" s="85" t="s">
        <v>9344</v>
      </c>
      <c r="J395" s="153" t="s">
        <v>9751</v>
      </c>
      <c r="K395" s="85" t="s">
        <v>169</v>
      </c>
      <c r="L395" s="119" t="str">
        <f>VLOOKUP(Anexo_5[[#This Row],[cod_doc]],COMPRAS!TIPODOC,2,FALSE)</f>
        <v>FACTURA</v>
      </c>
      <c r="M395" s="85" t="s">
        <v>107</v>
      </c>
      <c r="N395" s="79" t="s">
        <v>9543</v>
      </c>
      <c r="O395" s="86">
        <v>890.6</v>
      </c>
      <c r="P395" s="87">
        <v>160.31</v>
      </c>
      <c r="Q395" s="86"/>
      <c r="R395" s="88">
        <v>1050.9100000000001</v>
      </c>
      <c r="S395" s="85"/>
      <c r="T395" s="85"/>
      <c r="U395" s="85"/>
      <c r="V395" s="85"/>
      <c r="W395" s="105"/>
      <c r="X395" s="117" t="str">
        <f>IFERROR(VLOOKUP(Anexo_5[[#This Row],[CUENTA]],OP,2,0),"-")</f>
        <v>-</v>
      </c>
    </row>
    <row r="396" spans="1:24" s="84" customFormat="1" ht="27" customHeight="1" x14ac:dyDescent="0.3">
      <c r="A396" s="79" t="s">
        <v>8234</v>
      </c>
      <c r="B396" s="119" t="str">
        <f t="shared" si="9"/>
        <v>Octubre</v>
      </c>
      <c r="C396" s="77" t="s">
        <v>240</v>
      </c>
      <c r="D396" s="85" t="s">
        <v>7301</v>
      </c>
      <c r="E396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396" s="79" t="s">
        <v>9262</v>
      </c>
      <c r="G396" s="148" t="s">
        <v>116</v>
      </c>
      <c r="H396" s="152" t="s">
        <v>9856</v>
      </c>
      <c r="I396" s="85" t="s">
        <v>980</v>
      </c>
      <c r="J396" s="153" t="s">
        <v>5083</v>
      </c>
      <c r="K396" s="85" t="s">
        <v>169</v>
      </c>
      <c r="L396" s="119" t="str">
        <f>VLOOKUP(Anexo_5[[#This Row],[cod_doc]],COMPRAS!TIPODOC,2,FALSE)</f>
        <v>FACTURA</v>
      </c>
      <c r="M396" s="85" t="s">
        <v>1906</v>
      </c>
      <c r="N396" s="79" t="s">
        <v>9086</v>
      </c>
      <c r="O396" s="86">
        <v>997</v>
      </c>
      <c r="P396" s="87">
        <v>179.46</v>
      </c>
      <c r="Q396" s="86"/>
      <c r="R396" s="88">
        <v>1176.46</v>
      </c>
      <c r="S396" s="85"/>
      <c r="T396" s="85"/>
      <c r="U396" s="85"/>
      <c r="V396" s="85"/>
      <c r="W396" s="105"/>
      <c r="X396" s="117" t="str">
        <f>IFERROR(VLOOKUP(Anexo_5[[#This Row],[CUENTA]],OP,2,0),"-")</f>
        <v>-</v>
      </c>
    </row>
    <row r="397" spans="1:24" s="84" customFormat="1" ht="27" customHeight="1" x14ac:dyDescent="0.3">
      <c r="A397" s="79" t="s">
        <v>8234</v>
      </c>
      <c r="B397" s="119" t="str">
        <f t="shared" si="9"/>
        <v>Octubre</v>
      </c>
      <c r="C397" s="77" t="s">
        <v>240</v>
      </c>
      <c r="D397" s="85" t="s">
        <v>7308</v>
      </c>
      <c r="E397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397" s="79" t="s">
        <v>4563</v>
      </c>
      <c r="G397" s="148" t="s">
        <v>114</v>
      </c>
      <c r="H397" s="152" t="s">
        <v>9329</v>
      </c>
      <c r="I397" s="85" t="s">
        <v>9714</v>
      </c>
      <c r="J397" s="153" t="s">
        <v>9857</v>
      </c>
      <c r="K397" s="85" t="s">
        <v>169</v>
      </c>
      <c r="L397" s="119" t="str">
        <f>VLOOKUP(Anexo_5[[#This Row],[cod_doc]],COMPRAS!TIPODOC,2,FALSE)</f>
        <v>FACTURA</v>
      </c>
      <c r="M397" s="85" t="s">
        <v>1906</v>
      </c>
      <c r="N397" s="79" t="s">
        <v>9858</v>
      </c>
      <c r="O397" s="86">
        <v>1523.9</v>
      </c>
      <c r="P397" s="87">
        <v>274.3</v>
      </c>
      <c r="Q397" s="86"/>
      <c r="R397" s="88">
        <v>1798.2</v>
      </c>
      <c r="S397" s="85"/>
      <c r="T397" s="85"/>
      <c r="U397" s="85"/>
      <c r="V397" s="85"/>
      <c r="W397" s="105"/>
      <c r="X397" s="117" t="str">
        <f>IFERROR(VLOOKUP(Anexo_5[[#This Row],[CUENTA]],OP,2,0),"-")</f>
        <v>-</v>
      </c>
    </row>
    <row r="398" spans="1:24" s="84" customFormat="1" ht="27" customHeight="1" x14ac:dyDescent="0.3">
      <c r="A398" s="79" t="s">
        <v>8234</v>
      </c>
      <c r="B398" s="119" t="str">
        <f t="shared" si="9"/>
        <v>Octubre</v>
      </c>
      <c r="C398" s="77" t="s">
        <v>240</v>
      </c>
      <c r="D398" s="85" t="s">
        <v>7313</v>
      </c>
      <c r="E398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398" s="79" t="s">
        <v>4563</v>
      </c>
      <c r="G398" s="148" t="s">
        <v>114</v>
      </c>
      <c r="H398" s="152" t="s">
        <v>9329</v>
      </c>
      <c r="I398" s="85" t="s">
        <v>9494</v>
      </c>
      <c r="J398" s="153" t="s">
        <v>9859</v>
      </c>
      <c r="K398" s="85" t="s">
        <v>169</v>
      </c>
      <c r="L398" s="119" t="str">
        <f>VLOOKUP(Anexo_5[[#This Row],[cod_doc]],COMPRAS!TIPODOC,2,FALSE)</f>
        <v>FACTURA</v>
      </c>
      <c r="M398" s="85" t="s">
        <v>1906</v>
      </c>
      <c r="N398" s="79" t="s">
        <v>9860</v>
      </c>
      <c r="O398" s="86">
        <v>1046.82</v>
      </c>
      <c r="P398" s="87">
        <v>188.43</v>
      </c>
      <c r="Q398" s="86"/>
      <c r="R398" s="88">
        <v>1235.25</v>
      </c>
      <c r="S398" s="85"/>
      <c r="T398" s="85"/>
      <c r="U398" s="85"/>
      <c r="V398" s="85"/>
      <c r="W398" s="105"/>
      <c r="X398" s="117" t="str">
        <f>IFERROR(VLOOKUP(Anexo_5[[#This Row],[CUENTA]],OP,2,0),"-")</f>
        <v>-</v>
      </c>
    </row>
    <row r="399" spans="1:24" s="84" customFormat="1" ht="27" customHeight="1" x14ac:dyDescent="0.3">
      <c r="A399" s="79" t="s">
        <v>8234</v>
      </c>
      <c r="B399" s="119" t="str">
        <f t="shared" si="9"/>
        <v>Octubre</v>
      </c>
      <c r="C399" s="77" t="s">
        <v>240</v>
      </c>
      <c r="D399" s="85" t="s">
        <v>7315</v>
      </c>
      <c r="E399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399" s="79" t="s">
        <v>4563</v>
      </c>
      <c r="G399" s="148" t="s">
        <v>114</v>
      </c>
      <c r="H399" s="152" t="s">
        <v>9386</v>
      </c>
      <c r="I399" s="85" t="s">
        <v>9635</v>
      </c>
      <c r="J399" s="153" t="s">
        <v>9861</v>
      </c>
      <c r="K399" s="85" t="s">
        <v>1896</v>
      </c>
      <c r="L399" s="119" t="str">
        <f>VLOOKUP(Anexo_5[[#This Row],[cod_doc]],COMPRAS!TIPODOC,2,FALSE)</f>
        <v>NOTA DE CREDITO</v>
      </c>
      <c r="M399" s="85" t="s">
        <v>9444</v>
      </c>
      <c r="N399" s="79" t="s">
        <v>9862</v>
      </c>
      <c r="O399" s="86">
        <v>-560</v>
      </c>
      <c r="P399" s="87">
        <v>-100.8</v>
      </c>
      <c r="Q399" s="86"/>
      <c r="R399" s="88">
        <v>-660.8</v>
      </c>
      <c r="S399" s="85" t="s">
        <v>162</v>
      </c>
      <c r="T399" s="85" t="s">
        <v>1906</v>
      </c>
      <c r="U399" s="85" t="s">
        <v>9637</v>
      </c>
      <c r="V399" s="85"/>
      <c r="W399" s="105"/>
      <c r="X399" s="117" t="str">
        <f>IFERROR(VLOOKUP(Anexo_5[[#This Row],[CUENTA]],OP,2,0),"-")</f>
        <v>-</v>
      </c>
    </row>
    <row r="400" spans="1:24" s="84" customFormat="1" ht="27" customHeight="1" x14ac:dyDescent="0.3">
      <c r="A400" s="79" t="s">
        <v>8158</v>
      </c>
      <c r="B400" s="119" t="str">
        <f t="shared" si="9"/>
        <v>Octubre</v>
      </c>
      <c r="C400" s="77" t="s">
        <v>240</v>
      </c>
      <c r="D400" s="85" t="s">
        <v>7318</v>
      </c>
      <c r="E400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400" s="79" t="s">
        <v>4563</v>
      </c>
      <c r="G400" s="148" t="s">
        <v>114</v>
      </c>
      <c r="H400" s="152" t="s">
        <v>9329</v>
      </c>
      <c r="I400" s="85" t="s">
        <v>9548</v>
      </c>
      <c r="J400" s="153" t="s">
        <v>9863</v>
      </c>
      <c r="K400" s="85" t="s">
        <v>169</v>
      </c>
      <c r="L400" s="119" t="str">
        <f>VLOOKUP(Anexo_5[[#This Row],[cod_doc]],COMPRAS!TIPODOC,2,FALSE)</f>
        <v>FACTURA</v>
      </c>
      <c r="M400" s="85" t="s">
        <v>1906</v>
      </c>
      <c r="N400" s="79" t="s">
        <v>7314</v>
      </c>
      <c r="O400" s="86">
        <v>2922.3</v>
      </c>
      <c r="P400" s="87">
        <v>526.01</v>
      </c>
      <c r="Q400" s="86"/>
      <c r="R400" s="88">
        <v>3448.31</v>
      </c>
      <c r="S400" s="85"/>
      <c r="T400" s="85"/>
      <c r="U400" s="85"/>
      <c r="V400" s="85"/>
      <c r="W400" s="105"/>
      <c r="X400" s="117" t="str">
        <f>IFERROR(VLOOKUP(Anexo_5[[#This Row],[CUENTA]],OP,2,0),"-")</f>
        <v>-</v>
      </c>
    </row>
    <row r="401" spans="1:24" s="84" customFormat="1" ht="27" customHeight="1" x14ac:dyDescent="0.3">
      <c r="A401" s="79" t="s">
        <v>8158</v>
      </c>
      <c r="B401" s="119" t="str">
        <f t="shared" si="9"/>
        <v>Octubre</v>
      </c>
      <c r="C401" s="77" t="s">
        <v>240</v>
      </c>
      <c r="D401" s="85" t="s">
        <v>7321</v>
      </c>
      <c r="E401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401" s="79" t="s">
        <v>248</v>
      </c>
      <c r="G401" s="148" t="s">
        <v>249</v>
      </c>
      <c r="H401" s="152" t="s">
        <v>9335</v>
      </c>
      <c r="I401" s="85" t="s">
        <v>9571</v>
      </c>
      <c r="J401" s="153" t="s">
        <v>9791</v>
      </c>
      <c r="K401" s="85" t="s">
        <v>169</v>
      </c>
      <c r="L401" s="119" t="str">
        <f>VLOOKUP(Anexo_5[[#This Row],[cod_doc]],COMPRAS!TIPODOC,2,FALSE)</f>
        <v>FACTURA</v>
      </c>
      <c r="M401" s="85" t="s">
        <v>105</v>
      </c>
      <c r="N401" s="79" t="s">
        <v>9609</v>
      </c>
      <c r="O401" s="86">
        <v>560</v>
      </c>
      <c r="P401" s="87">
        <v>100.8</v>
      </c>
      <c r="Q401" s="86"/>
      <c r="R401" s="88">
        <v>660.8</v>
      </c>
      <c r="S401" s="85"/>
      <c r="T401" s="85"/>
      <c r="U401" s="85"/>
      <c r="V401" s="85"/>
      <c r="W401" s="105"/>
      <c r="X401" s="117" t="str">
        <f>IFERROR(VLOOKUP(Anexo_5[[#This Row],[CUENTA]],OP,2,0),"-")</f>
        <v>-</v>
      </c>
    </row>
    <row r="402" spans="1:24" s="84" customFormat="1" ht="27" customHeight="1" x14ac:dyDescent="0.3">
      <c r="A402" s="79" t="s">
        <v>8158</v>
      </c>
      <c r="B402" s="119" t="str">
        <f t="shared" si="9"/>
        <v>Octubre</v>
      </c>
      <c r="C402" s="77" t="s">
        <v>240</v>
      </c>
      <c r="D402" s="85" t="s">
        <v>7323</v>
      </c>
      <c r="E402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402" s="79" t="s">
        <v>248</v>
      </c>
      <c r="G402" s="148" t="s">
        <v>249</v>
      </c>
      <c r="H402" s="152" t="s">
        <v>9411</v>
      </c>
      <c r="I402" s="85" t="s">
        <v>9864</v>
      </c>
      <c r="J402" s="153" t="s">
        <v>9865</v>
      </c>
      <c r="K402" s="85" t="s">
        <v>169</v>
      </c>
      <c r="L402" s="119" t="str">
        <f>VLOOKUP(Anexo_5[[#This Row],[cod_doc]],COMPRAS!TIPODOC,2,FALSE)</f>
        <v>FACTURA</v>
      </c>
      <c r="M402" s="85" t="s">
        <v>105</v>
      </c>
      <c r="N402" s="79" t="s">
        <v>9610</v>
      </c>
      <c r="O402" s="86">
        <v>185</v>
      </c>
      <c r="P402" s="87">
        <v>33.299999999999997</v>
      </c>
      <c r="Q402" s="86"/>
      <c r="R402" s="88">
        <v>218.3</v>
      </c>
      <c r="S402" s="85"/>
      <c r="T402" s="85"/>
      <c r="U402" s="85"/>
      <c r="V402" s="85"/>
      <c r="W402" s="105"/>
      <c r="X402" s="117" t="str">
        <f>IFERROR(VLOOKUP(Anexo_5[[#This Row],[CUENTA]],OP,2,0),"-")</f>
        <v>-</v>
      </c>
    </row>
    <row r="403" spans="1:24" s="84" customFormat="1" ht="27" customHeight="1" x14ac:dyDescent="0.3">
      <c r="A403" s="79" t="s">
        <v>8158</v>
      </c>
      <c r="B403" s="119" t="str">
        <f t="shared" si="9"/>
        <v>Octubre</v>
      </c>
      <c r="C403" s="77" t="s">
        <v>240</v>
      </c>
      <c r="D403" s="85" t="s">
        <v>7325</v>
      </c>
      <c r="E403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403" s="79" t="s">
        <v>4560</v>
      </c>
      <c r="G403" s="148" t="s">
        <v>115</v>
      </c>
      <c r="H403" s="152" t="s">
        <v>9371</v>
      </c>
      <c r="I403" s="85" t="s">
        <v>9622</v>
      </c>
      <c r="J403" s="153" t="s">
        <v>9844</v>
      </c>
      <c r="K403" s="85" t="s">
        <v>1896</v>
      </c>
      <c r="L403" s="119" t="str">
        <f>VLOOKUP(Anexo_5[[#This Row],[cod_doc]],COMPRAS!TIPODOC,2,FALSE)</f>
        <v>NOTA DE CREDITO</v>
      </c>
      <c r="M403" s="85" t="s">
        <v>9444</v>
      </c>
      <c r="N403" s="79" t="s">
        <v>9866</v>
      </c>
      <c r="O403" s="86">
        <v>-7338.3</v>
      </c>
      <c r="P403" s="87">
        <v>-1320.89</v>
      </c>
      <c r="Q403" s="86"/>
      <c r="R403" s="88">
        <v>-8659.19</v>
      </c>
      <c r="S403" s="85" t="s">
        <v>162</v>
      </c>
      <c r="T403" s="85" t="s">
        <v>1906</v>
      </c>
      <c r="U403" s="85" t="s">
        <v>9845</v>
      </c>
      <c r="V403" s="85"/>
      <c r="W403" s="105"/>
      <c r="X403" s="117" t="str">
        <f>IFERROR(VLOOKUP(Anexo_5[[#This Row],[CUENTA]],OP,2,0),"-")</f>
        <v>-</v>
      </c>
    </row>
    <row r="404" spans="1:24" s="84" customFormat="1" ht="27" customHeight="1" x14ac:dyDescent="0.3">
      <c r="A404" s="79" t="s">
        <v>8234</v>
      </c>
      <c r="B404" s="119" t="str">
        <f t="shared" ref="B404:B407" si="10">PROPER(CHOOSE(LEFT(D404,2),"enero","febrero","marzo","abril","mayo","junio","julio","agosto","setiembre","octubre","noviembre","diciembre"))</f>
        <v>Octubre</v>
      </c>
      <c r="C404" s="77" t="s">
        <v>240</v>
      </c>
      <c r="D404" s="85" t="s">
        <v>7327</v>
      </c>
      <c r="E404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404" s="79" t="s">
        <v>9265</v>
      </c>
      <c r="G404" s="148" t="s">
        <v>117</v>
      </c>
      <c r="H404" s="152" t="s">
        <v>9729</v>
      </c>
      <c r="I404" s="85" t="s">
        <v>251</v>
      </c>
      <c r="J404" s="153" t="s">
        <v>252</v>
      </c>
      <c r="K404" s="85" t="s">
        <v>169</v>
      </c>
      <c r="L404" s="119" t="str">
        <f>VLOOKUP(Anexo_5[[#This Row],[cod_doc]],COMPRAS!TIPODOC,2,FALSE)</f>
        <v>FACTURA</v>
      </c>
      <c r="M404" s="85" t="s">
        <v>1906</v>
      </c>
      <c r="N404" s="79" t="s">
        <v>9867</v>
      </c>
      <c r="O404" s="86">
        <v>0</v>
      </c>
      <c r="P404" s="87">
        <v>0</v>
      </c>
      <c r="Q404" s="86"/>
      <c r="R404" s="88">
        <v>0</v>
      </c>
      <c r="S404" s="85"/>
      <c r="T404" s="85"/>
      <c r="U404" s="85"/>
      <c r="V404" s="85"/>
      <c r="W404" s="105"/>
      <c r="X404" s="117" t="str">
        <f>IFERROR(VLOOKUP(Anexo_5[[#This Row],[CUENTA]],OP,2,0),"-")</f>
        <v>-</v>
      </c>
    </row>
    <row r="405" spans="1:24" s="84" customFormat="1" ht="27" customHeight="1" x14ac:dyDescent="0.3">
      <c r="A405" s="79" t="s">
        <v>8158</v>
      </c>
      <c r="B405" s="119" t="str">
        <f t="shared" si="10"/>
        <v>Octubre</v>
      </c>
      <c r="C405" s="77" t="s">
        <v>240</v>
      </c>
      <c r="D405" s="85" t="s">
        <v>7329</v>
      </c>
      <c r="E405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405" s="79" t="s">
        <v>248</v>
      </c>
      <c r="G405" s="148" t="s">
        <v>249</v>
      </c>
      <c r="H405" s="152" t="s">
        <v>9469</v>
      </c>
      <c r="I405" s="85" t="s">
        <v>9470</v>
      </c>
      <c r="J405" s="153" t="s">
        <v>9471</v>
      </c>
      <c r="K405" s="85" t="s">
        <v>169</v>
      </c>
      <c r="L405" s="119" t="str">
        <f>VLOOKUP(Anexo_5[[#This Row],[cod_doc]],COMPRAS!TIPODOC,2,FALSE)</f>
        <v>FACTURA</v>
      </c>
      <c r="M405" s="85" t="s">
        <v>105</v>
      </c>
      <c r="N405" s="79" t="s">
        <v>8794</v>
      </c>
      <c r="O405" s="86">
        <v>486</v>
      </c>
      <c r="P405" s="87">
        <v>87.48</v>
      </c>
      <c r="Q405" s="86"/>
      <c r="R405" s="88">
        <v>573.48</v>
      </c>
      <c r="S405" s="85"/>
      <c r="T405" s="85"/>
      <c r="U405" s="85"/>
      <c r="V405" s="85"/>
      <c r="W405" s="105"/>
      <c r="X405" s="117" t="str">
        <f>IFERROR(VLOOKUP(Anexo_5[[#This Row],[CUENTA]],OP,2,0),"-")</f>
        <v>-</v>
      </c>
    </row>
    <row r="406" spans="1:24" s="84" customFormat="1" ht="27" customHeight="1" x14ac:dyDescent="0.3">
      <c r="A406" s="79" t="s">
        <v>7710</v>
      </c>
      <c r="B406" s="119" t="str">
        <f t="shared" si="10"/>
        <v>Octubre</v>
      </c>
      <c r="C406" s="77" t="s">
        <v>240</v>
      </c>
      <c r="D406" s="85" t="s">
        <v>7333</v>
      </c>
      <c r="E406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406" s="79" t="s">
        <v>4560</v>
      </c>
      <c r="G406" s="148" t="s">
        <v>115</v>
      </c>
      <c r="H406" s="152" t="s">
        <v>9371</v>
      </c>
      <c r="I406" s="85" t="s">
        <v>9622</v>
      </c>
      <c r="J406" s="153" t="s">
        <v>9623</v>
      </c>
      <c r="K406" s="85" t="s">
        <v>169</v>
      </c>
      <c r="L406" s="119" t="str">
        <f>VLOOKUP(Anexo_5[[#This Row],[cod_doc]],COMPRAS!TIPODOC,2,FALSE)</f>
        <v>FACTURA</v>
      </c>
      <c r="M406" s="85" t="s">
        <v>1906</v>
      </c>
      <c r="N406" s="79" t="s">
        <v>9868</v>
      </c>
      <c r="O406" s="86">
        <v>7338.3</v>
      </c>
      <c r="P406" s="87">
        <v>1320.89</v>
      </c>
      <c r="Q406" s="86"/>
      <c r="R406" s="88">
        <v>8659.19</v>
      </c>
      <c r="S406" s="85"/>
      <c r="T406" s="85"/>
      <c r="U406" s="85"/>
      <c r="V406" s="85"/>
      <c r="W406" s="105"/>
      <c r="X406" s="117" t="str">
        <f>IFERROR(VLOOKUP(Anexo_5[[#This Row],[CUENTA]],OP,2,0),"-")</f>
        <v>-</v>
      </c>
    </row>
    <row r="407" spans="1:24" s="84" customFormat="1" ht="27" customHeight="1" x14ac:dyDescent="0.3">
      <c r="A407" s="79" t="s">
        <v>7710</v>
      </c>
      <c r="B407" s="119" t="str">
        <f t="shared" si="10"/>
        <v>Octubre</v>
      </c>
      <c r="C407" s="77" t="s">
        <v>240</v>
      </c>
      <c r="D407" s="85" t="s">
        <v>7337</v>
      </c>
      <c r="E407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407" s="79" t="s">
        <v>4560</v>
      </c>
      <c r="G407" s="148" t="s">
        <v>115</v>
      </c>
      <c r="H407" s="152" t="s">
        <v>9439</v>
      </c>
      <c r="I407" s="85" t="s">
        <v>980</v>
      </c>
      <c r="J407" s="153" t="s">
        <v>981</v>
      </c>
      <c r="K407" s="85" t="s">
        <v>169</v>
      </c>
      <c r="L407" s="119" t="str">
        <f>VLOOKUP(Anexo_5[[#This Row],[cod_doc]],COMPRAS!TIPODOC,2,FALSE)</f>
        <v>FACTURA</v>
      </c>
      <c r="M407" s="85" t="s">
        <v>1906</v>
      </c>
      <c r="N407" s="79" t="s">
        <v>9869</v>
      </c>
      <c r="O407" s="86">
        <v>2180.8200000000002</v>
      </c>
      <c r="P407" s="87">
        <v>392.55</v>
      </c>
      <c r="Q407" s="86"/>
      <c r="R407" s="88">
        <v>2573.37</v>
      </c>
      <c r="S407" s="85"/>
      <c r="T407" s="85"/>
      <c r="U407" s="85"/>
      <c r="V407" s="85"/>
      <c r="W407" s="105"/>
      <c r="X407" s="117" t="str">
        <f>IFERROR(VLOOKUP(Anexo_5[[#This Row],[CUENTA]],OP,2,0),"-")</f>
        <v>-</v>
      </c>
    </row>
    <row r="408" spans="1:24" s="84" customFormat="1" ht="27" customHeight="1" x14ac:dyDescent="0.3">
      <c r="A408" s="79" t="s">
        <v>7710</v>
      </c>
      <c r="B408" s="119" t="str">
        <f t="shared" ref="B408:B411" si="11">PROPER(CHOOSE(LEFT(D408,2),"enero","febrero","marzo","abril","mayo","junio","julio","agosto","setiembre","octubre","noviembre","diciembre"))</f>
        <v>Octubre</v>
      </c>
      <c r="C408" s="77" t="s">
        <v>240</v>
      </c>
      <c r="D408" s="85" t="s">
        <v>7341</v>
      </c>
      <c r="E408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408" s="79" t="s">
        <v>4560</v>
      </c>
      <c r="G408" s="148" t="s">
        <v>115</v>
      </c>
      <c r="H408" s="152" t="s">
        <v>9371</v>
      </c>
      <c r="I408" s="85" t="s">
        <v>9372</v>
      </c>
      <c r="J408" s="153" t="s">
        <v>9373</v>
      </c>
      <c r="K408" s="85" t="s">
        <v>1896</v>
      </c>
      <c r="L408" s="119" t="str">
        <f>VLOOKUP(Anexo_5[[#This Row],[cod_doc]],COMPRAS!TIPODOC,2,FALSE)</f>
        <v>NOTA DE CREDITO</v>
      </c>
      <c r="M408" s="85" t="s">
        <v>9444</v>
      </c>
      <c r="N408" s="79" t="s">
        <v>9870</v>
      </c>
      <c r="O408" s="86">
        <v>-9708.6</v>
      </c>
      <c r="P408" s="87">
        <v>-1747.55</v>
      </c>
      <c r="Q408" s="86"/>
      <c r="R408" s="88">
        <v>-11456.15</v>
      </c>
      <c r="S408" s="85" t="s">
        <v>162</v>
      </c>
      <c r="T408" s="85" t="s">
        <v>1906</v>
      </c>
      <c r="U408" s="85" t="s">
        <v>9814</v>
      </c>
      <c r="V408" s="85"/>
      <c r="W408" s="105"/>
      <c r="X408" s="117" t="str">
        <f>IFERROR(VLOOKUP(Anexo_5[[#This Row],[CUENTA]],OP,2,0),"-")</f>
        <v>-</v>
      </c>
    </row>
    <row r="409" spans="1:24" s="84" customFormat="1" ht="27" customHeight="1" x14ac:dyDescent="0.3">
      <c r="A409" s="79" t="s">
        <v>7710</v>
      </c>
      <c r="B409" s="119" t="str">
        <f t="shared" si="11"/>
        <v>Octubre</v>
      </c>
      <c r="C409" s="77" t="s">
        <v>240</v>
      </c>
      <c r="D409" s="85" t="s">
        <v>7345</v>
      </c>
      <c r="E409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409" s="79" t="s">
        <v>4560</v>
      </c>
      <c r="G409" s="148" t="s">
        <v>115</v>
      </c>
      <c r="H409" s="152" t="s">
        <v>9371</v>
      </c>
      <c r="I409" s="85" t="s">
        <v>9372</v>
      </c>
      <c r="J409" s="153" t="s">
        <v>9373</v>
      </c>
      <c r="K409" s="85" t="s">
        <v>1896</v>
      </c>
      <c r="L409" s="119" t="str">
        <f>VLOOKUP(Anexo_5[[#This Row],[cod_doc]],COMPRAS!TIPODOC,2,FALSE)</f>
        <v>NOTA DE CREDITO</v>
      </c>
      <c r="M409" s="85" t="s">
        <v>9444</v>
      </c>
      <c r="N409" s="79" t="s">
        <v>9871</v>
      </c>
      <c r="O409" s="86">
        <v>-9708.6</v>
      </c>
      <c r="P409" s="87">
        <v>-1747.55</v>
      </c>
      <c r="Q409" s="86"/>
      <c r="R409" s="88">
        <v>-11456.15</v>
      </c>
      <c r="S409" s="85" t="s">
        <v>162</v>
      </c>
      <c r="T409" s="85" t="s">
        <v>1906</v>
      </c>
      <c r="U409" s="85" t="s">
        <v>9832</v>
      </c>
      <c r="V409" s="85"/>
      <c r="W409" s="105"/>
      <c r="X409" s="117" t="str">
        <f>IFERROR(VLOOKUP(Anexo_5[[#This Row],[CUENTA]],OP,2,0),"-")</f>
        <v>-</v>
      </c>
    </row>
    <row r="410" spans="1:24" s="84" customFormat="1" ht="27" customHeight="1" x14ac:dyDescent="0.3">
      <c r="A410" s="79" t="s">
        <v>8505</v>
      </c>
      <c r="B410" s="119" t="str">
        <f t="shared" si="11"/>
        <v>Octubre</v>
      </c>
      <c r="C410" s="77" t="s">
        <v>240</v>
      </c>
      <c r="D410" s="85" t="s">
        <v>7349</v>
      </c>
      <c r="E410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410" s="79" t="s">
        <v>4560</v>
      </c>
      <c r="G410" s="148" t="s">
        <v>115</v>
      </c>
      <c r="H410" s="152" t="s">
        <v>9371</v>
      </c>
      <c r="I410" s="85" t="s">
        <v>9872</v>
      </c>
      <c r="J410" s="153" t="s">
        <v>9873</v>
      </c>
      <c r="K410" s="85" t="s">
        <v>169</v>
      </c>
      <c r="L410" s="119" t="str">
        <f>VLOOKUP(Anexo_5[[#This Row],[cod_doc]],COMPRAS!TIPODOC,2,FALSE)</f>
        <v>FACTURA</v>
      </c>
      <c r="M410" s="85" t="s">
        <v>1906</v>
      </c>
      <c r="N410" s="79" t="s">
        <v>9874</v>
      </c>
      <c r="O410" s="86">
        <v>7338.3</v>
      </c>
      <c r="P410" s="87">
        <v>1320.89</v>
      </c>
      <c r="Q410" s="86"/>
      <c r="R410" s="88">
        <v>8659.19</v>
      </c>
      <c r="S410" s="85"/>
      <c r="T410" s="85"/>
      <c r="U410" s="85"/>
      <c r="V410" s="85"/>
      <c r="W410" s="105"/>
      <c r="X410" s="117" t="str">
        <f>IFERROR(VLOOKUP(Anexo_5[[#This Row],[CUENTA]],OP,2,0),"-")</f>
        <v>-</v>
      </c>
    </row>
    <row r="411" spans="1:24" s="84" customFormat="1" ht="27" customHeight="1" x14ac:dyDescent="0.3">
      <c r="A411" s="79" t="s">
        <v>8505</v>
      </c>
      <c r="B411" s="119" t="str">
        <f t="shared" si="11"/>
        <v>Octubre</v>
      </c>
      <c r="C411" s="77" t="s">
        <v>240</v>
      </c>
      <c r="D411" s="85" t="s">
        <v>7353</v>
      </c>
      <c r="E411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411" s="79" t="s">
        <v>4560</v>
      </c>
      <c r="G411" s="148" t="s">
        <v>115</v>
      </c>
      <c r="H411" s="152" t="s">
        <v>9439</v>
      </c>
      <c r="I411" s="85" t="s">
        <v>9553</v>
      </c>
      <c r="J411" s="153" t="s">
        <v>9554</v>
      </c>
      <c r="K411" s="85" t="s">
        <v>169</v>
      </c>
      <c r="L411" s="119" t="str">
        <f>VLOOKUP(Anexo_5[[#This Row],[cod_doc]],COMPRAS!TIPODOC,2,FALSE)</f>
        <v>FACTURA</v>
      </c>
      <c r="M411" s="85" t="s">
        <v>1906</v>
      </c>
      <c r="N411" s="79" t="s">
        <v>9875</v>
      </c>
      <c r="O411" s="86">
        <v>4503.6000000000004</v>
      </c>
      <c r="P411" s="87">
        <v>810.65</v>
      </c>
      <c r="Q411" s="86"/>
      <c r="R411" s="88">
        <v>5314.25</v>
      </c>
      <c r="S411" s="85"/>
      <c r="T411" s="85"/>
      <c r="U411" s="85"/>
      <c r="V411" s="85"/>
      <c r="W411" s="105"/>
      <c r="X411" s="117" t="str">
        <f>IFERROR(VLOOKUP(Anexo_5[[#This Row],[CUENTA]],OP,2,0),"-")</f>
        <v>-</v>
      </c>
    </row>
    <row r="412" spans="1:24" s="84" customFormat="1" ht="27" customHeight="1" x14ac:dyDescent="0.3">
      <c r="A412" s="79" t="s">
        <v>8505</v>
      </c>
      <c r="B412" s="119" t="str">
        <f t="shared" ref="B412:B424" si="12">PROPER(CHOOSE(LEFT(D412,2),"enero","febrero","marzo","abril","mayo","junio","julio","agosto","setiembre","octubre","noviembre","diciembre"))</f>
        <v>Octubre</v>
      </c>
      <c r="C412" s="77" t="s">
        <v>240</v>
      </c>
      <c r="D412" s="85" t="s">
        <v>7357</v>
      </c>
      <c r="E412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412" s="79" t="s">
        <v>4560</v>
      </c>
      <c r="G412" s="148" t="s">
        <v>115</v>
      </c>
      <c r="H412" s="152" t="s">
        <v>9439</v>
      </c>
      <c r="I412" s="85" t="s">
        <v>9553</v>
      </c>
      <c r="J412" s="153" t="s">
        <v>9554</v>
      </c>
      <c r="K412" s="85" t="s">
        <v>169</v>
      </c>
      <c r="L412" s="119" t="str">
        <f>VLOOKUP(Anexo_5[[#This Row],[cod_doc]],COMPRAS!TIPODOC,2,FALSE)</f>
        <v>FACTURA</v>
      </c>
      <c r="M412" s="85" t="s">
        <v>1906</v>
      </c>
      <c r="N412" s="79" t="s">
        <v>9876</v>
      </c>
      <c r="O412" s="86">
        <v>1401.12</v>
      </c>
      <c r="P412" s="87">
        <v>252.2</v>
      </c>
      <c r="Q412" s="86"/>
      <c r="R412" s="88">
        <v>1653.32</v>
      </c>
      <c r="S412" s="85"/>
      <c r="T412" s="85"/>
      <c r="U412" s="85"/>
      <c r="V412" s="85"/>
      <c r="W412" s="105"/>
      <c r="X412" s="117" t="str">
        <f>IFERROR(VLOOKUP(Anexo_5[[#This Row],[CUENTA]],OP,2,0),"-")</f>
        <v>-</v>
      </c>
    </row>
    <row r="413" spans="1:24" s="84" customFormat="1" ht="27" customHeight="1" x14ac:dyDescent="0.3">
      <c r="A413" s="79" t="s">
        <v>8505</v>
      </c>
      <c r="B413" s="119" t="str">
        <f t="shared" si="12"/>
        <v>Octubre</v>
      </c>
      <c r="C413" s="77" t="s">
        <v>240</v>
      </c>
      <c r="D413" s="85" t="s">
        <v>7361</v>
      </c>
      <c r="E413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413" s="79" t="s">
        <v>4563</v>
      </c>
      <c r="G413" s="148" t="s">
        <v>114</v>
      </c>
      <c r="H413" s="152" t="s">
        <v>9386</v>
      </c>
      <c r="I413" s="85" t="s">
        <v>9553</v>
      </c>
      <c r="J413" s="153" t="s">
        <v>9554</v>
      </c>
      <c r="K413" s="85" t="s">
        <v>169</v>
      </c>
      <c r="L413" s="119" t="str">
        <f>VLOOKUP(Anexo_5[[#This Row],[cod_doc]],COMPRAS!TIPODOC,2,FALSE)</f>
        <v>FACTURA</v>
      </c>
      <c r="M413" s="85" t="s">
        <v>1906</v>
      </c>
      <c r="N413" s="79" t="s">
        <v>9877</v>
      </c>
      <c r="O413" s="86">
        <v>493.56</v>
      </c>
      <c r="P413" s="87">
        <v>88.84</v>
      </c>
      <c r="Q413" s="86"/>
      <c r="R413" s="88">
        <v>582.4</v>
      </c>
      <c r="S413" s="85"/>
      <c r="T413" s="85"/>
      <c r="U413" s="85"/>
      <c r="V413" s="85"/>
      <c r="W413" s="105"/>
      <c r="X413" s="117" t="str">
        <f>IFERROR(VLOOKUP(Anexo_5[[#This Row],[CUENTA]],OP,2,0),"-")</f>
        <v>-</v>
      </c>
    </row>
    <row r="414" spans="1:24" s="84" customFormat="1" ht="27" customHeight="1" x14ac:dyDescent="0.3">
      <c r="A414" s="79" t="s">
        <v>8505</v>
      </c>
      <c r="B414" s="119" t="str">
        <f t="shared" si="12"/>
        <v>Octubre</v>
      </c>
      <c r="C414" s="77" t="s">
        <v>240</v>
      </c>
      <c r="D414" s="85" t="s">
        <v>7365</v>
      </c>
      <c r="E414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414" s="79" t="s">
        <v>4560</v>
      </c>
      <c r="G414" s="148" t="s">
        <v>115</v>
      </c>
      <c r="H414" s="152" t="s">
        <v>9371</v>
      </c>
      <c r="I414" s="85" t="s">
        <v>9622</v>
      </c>
      <c r="J414" s="153" t="s">
        <v>9623</v>
      </c>
      <c r="K414" s="85" t="s">
        <v>1896</v>
      </c>
      <c r="L414" s="119" t="str">
        <f>VLOOKUP(Anexo_5[[#This Row],[cod_doc]],COMPRAS!TIPODOC,2,FALSE)</f>
        <v>NOTA DE CREDITO</v>
      </c>
      <c r="M414" s="85" t="s">
        <v>9444</v>
      </c>
      <c r="N414" s="79" t="s">
        <v>9878</v>
      </c>
      <c r="O414" s="86">
        <v>-7338.3</v>
      </c>
      <c r="P414" s="87">
        <v>-1320.89</v>
      </c>
      <c r="Q414" s="86"/>
      <c r="R414" s="88">
        <v>-8659.19</v>
      </c>
      <c r="S414" s="85" t="s">
        <v>162</v>
      </c>
      <c r="T414" s="85" t="s">
        <v>1906</v>
      </c>
      <c r="U414" s="85" t="s">
        <v>9868</v>
      </c>
      <c r="V414" s="85"/>
      <c r="W414" s="105"/>
      <c r="X414" s="117" t="str">
        <f>IFERROR(VLOOKUP(Anexo_5[[#This Row],[CUENTA]],OP,2,0),"-")</f>
        <v>-</v>
      </c>
    </row>
    <row r="415" spans="1:24" s="84" customFormat="1" ht="27" customHeight="1" x14ac:dyDescent="0.3">
      <c r="A415" s="79" t="s">
        <v>8301</v>
      </c>
      <c r="B415" s="119" t="str">
        <f t="shared" si="12"/>
        <v>Octubre</v>
      </c>
      <c r="C415" s="77" t="s">
        <v>240</v>
      </c>
      <c r="D415" s="85" t="s">
        <v>7369</v>
      </c>
      <c r="E415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415" s="79" t="s">
        <v>248</v>
      </c>
      <c r="G415" s="148" t="s">
        <v>249</v>
      </c>
      <c r="H415" s="152" t="s">
        <v>9343</v>
      </c>
      <c r="I415" s="85" t="s">
        <v>9344</v>
      </c>
      <c r="J415" s="153" t="s">
        <v>9345</v>
      </c>
      <c r="K415" s="85" t="s">
        <v>169</v>
      </c>
      <c r="L415" s="119" t="str">
        <f>VLOOKUP(Anexo_5[[#This Row],[cod_doc]],COMPRAS!TIPODOC,2,FALSE)</f>
        <v>FACTURA</v>
      </c>
      <c r="M415" s="85" t="s">
        <v>107</v>
      </c>
      <c r="N415" s="79" t="s">
        <v>7981</v>
      </c>
      <c r="O415" s="86">
        <v>693.5</v>
      </c>
      <c r="P415" s="87">
        <v>124.83</v>
      </c>
      <c r="Q415" s="86"/>
      <c r="R415" s="88">
        <v>818.33</v>
      </c>
      <c r="S415" s="85"/>
      <c r="T415" s="85"/>
      <c r="U415" s="85"/>
      <c r="V415" s="85"/>
      <c r="W415" s="105"/>
      <c r="X415" s="117" t="str">
        <f>IFERROR(VLOOKUP(Anexo_5[[#This Row],[CUENTA]],OP,2,0),"-")</f>
        <v>-</v>
      </c>
    </row>
    <row r="416" spans="1:24" s="84" customFormat="1" ht="27" customHeight="1" x14ac:dyDescent="0.3">
      <c r="A416" s="79" t="s">
        <v>8301</v>
      </c>
      <c r="B416" s="119" t="str">
        <f t="shared" si="12"/>
        <v>Octubre</v>
      </c>
      <c r="C416" s="77" t="s">
        <v>240</v>
      </c>
      <c r="D416" s="85" t="s">
        <v>7373</v>
      </c>
      <c r="E416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416" s="79" t="s">
        <v>248</v>
      </c>
      <c r="G416" s="148" t="s">
        <v>249</v>
      </c>
      <c r="H416" s="152" t="s">
        <v>9462</v>
      </c>
      <c r="I416" s="85" t="s">
        <v>9353</v>
      </c>
      <c r="J416" s="153" t="s">
        <v>9354</v>
      </c>
      <c r="K416" s="85" t="s">
        <v>169</v>
      </c>
      <c r="L416" s="119" t="str">
        <f>VLOOKUP(Anexo_5[[#This Row],[cod_doc]],COMPRAS!TIPODOC,2,FALSE)</f>
        <v>FACTURA</v>
      </c>
      <c r="M416" s="85" t="s">
        <v>105</v>
      </c>
      <c r="N416" s="79" t="s">
        <v>9613</v>
      </c>
      <c r="O416" s="86">
        <v>18253.05</v>
      </c>
      <c r="P416" s="87">
        <v>3285.55</v>
      </c>
      <c r="Q416" s="86"/>
      <c r="R416" s="88">
        <v>21538.6</v>
      </c>
      <c r="S416" s="85"/>
      <c r="T416" s="85"/>
      <c r="U416" s="85"/>
      <c r="V416" s="85"/>
      <c r="W416" s="105"/>
      <c r="X416" s="117" t="str">
        <f>IFERROR(VLOOKUP(Anexo_5[[#This Row],[CUENTA]],OP,2,0),"-")</f>
        <v>-</v>
      </c>
    </row>
    <row r="417" spans="1:24" s="84" customFormat="1" ht="27" customHeight="1" x14ac:dyDescent="0.3">
      <c r="A417" s="79" t="s">
        <v>8301</v>
      </c>
      <c r="B417" s="119" t="str">
        <f t="shared" si="12"/>
        <v>Octubre</v>
      </c>
      <c r="C417" s="77" t="s">
        <v>240</v>
      </c>
      <c r="D417" s="85" t="s">
        <v>7377</v>
      </c>
      <c r="E417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417" s="79" t="s">
        <v>248</v>
      </c>
      <c r="G417" s="148" t="s">
        <v>249</v>
      </c>
      <c r="H417" s="152" t="s">
        <v>9879</v>
      </c>
      <c r="I417" s="85" t="s">
        <v>9488</v>
      </c>
      <c r="J417" s="153" t="s">
        <v>9489</v>
      </c>
      <c r="K417" s="85" t="s">
        <v>169</v>
      </c>
      <c r="L417" s="119" t="str">
        <f>VLOOKUP(Anexo_5[[#This Row],[cod_doc]],COMPRAS!TIPODOC,2,FALSE)</f>
        <v>FACTURA</v>
      </c>
      <c r="M417" s="85" t="s">
        <v>105</v>
      </c>
      <c r="N417" s="79" t="s">
        <v>9615</v>
      </c>
      <c r="O417" s="86">
        <v>775</v>
      </c>
      <c r="P417" s="87">
        <v>139.5</v>
      </c>
      <c r="Q417" s="86"/>
      <c r="R417" s="88">
        <v>914.5</v>
      </c>
      <c r="S417" s="85"/>
      <c r="T417" s="85"/>
      <c r="U417" s="85"/>
      <c r="V417" s="85"/>
      <c r="W417" s="105"/>
      <c r="X417" s="117" t="str">
        <f>IFERROR(VLOOKUP(Anexo_5[[#This Row],[CUENTA]],OP,2,0),"-")</f>
        <v>-</v>
      </c>
    </row>
    <row r="418" spans="1:24" s="84" customFormat="1" ht="27" customHeight="1" x14ac:dyDescent="0.3">
      <c r="A418" s="79" t="s">
        <v>8764</v>
      </c>
      <c r="B418" s="119" t="str">
        <f t="shared" si="12"/>
        <v>Octubre</v>
      </c>
      <c r="C418" s="77" t="s">
        <v>240</v>
      </c>
      <c r="D418" s="85" t="s">
        <v>7381</v>
      </c>
      <c r="E418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418" s="79" t="s">
        <v>9278</v>
      </c>
      <c r="G418" s="148" t="s">
        <v>122</v>
      </c>
      <c r="H418" s="152" t="s">
        <v>9348</v>
      </c>
      <c r="I418" s="85" t="s">
        <v>536</v>
      </c>
      <c r="J418" s="153" t="s">
        <v>537</v>
      </c>
      <c r="K418" s="85" t="s">
        <v>169</v>
      </c>
      <c r="L418" s="119" t="str">
        <f>VLOOKUP(Anexo_5[[#This Row],[cod_doc]],COMPRAS!TIPODOC,2,FALSE)</f>
        <v>FACTURA</v>
      </c>
      <c r="M418" s="85" t="s">
        <v>1906</v>
      </c>
      <c r="N418" s="79" t="s">
        <v>9880</v>
      </c>
      <c r="O418" s="86">
        <v>2383.36</v>
      </c>
      <c r="P418" s="87">
        <v>429</v>
      </c>
      <c r="Q418" s="86"/>
      <c r="R418" s="88">
        <v>2812.36</v>
      </c>
      <c r="S418" s="85"/>
      <c r="T418" s="85"/>
      <c r="U418" s="85"/>
      <c r="V418" s="85"/>
      <c r="W418" s="105"/>
      <c r="X418" s="117" t="str">
        <f>IFERROR(VLOOKUP(Anexo_5[[#This Row],[CUENTA]],OP,2,0),"-")</f>
        <v>-</v>
      </c>
    </row>
    <row r="419" spans="1:24" s="84" customFormat="1" ht="27" customHeight="1" x14ac:dyDescent="0.3">
      <c r="A419" s="79" t="s">
        <v>8764</v>
      </c>
      <c r="B419" s="119" t="str">
        <f t="shared" si="12"/>
        <v>Octubre</v>
      </c>
      <c r="C419" s="77" t="s">
        <v>240</v>
      </c>
      <c r="D419" s="85" t="s">
        <v>7385</v>
      </c>
      <c r="E419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419" s="79" t="s">
        <v>4560</v>
      </c>
      <c r="G419" s="148" t="s">
        <v>115</v>
      </c>
      <c r="H419" s="152" t="s">
        <v>9371</v>
      </c>
      <c r="I419" s="85" t="s">
        <v>1111</v>
      </c>
      <c r="J419" s="153" t="s">
        <v>1112</v>
      </c>
      <c r="K419" s="85" t="s">
        <v>169</v>
      </c>
      <c r="L419" s="119" t="str">
        <f>VLOOKUP(Anexo_5[[#This Row],[cod_doc]],COMPRAS!TIPODOC,2,FALSE)</f>
        <v>FACTURA</v>
      </c>
      <c r="M419" s="85" t="s">
        <v>1906</v>
      </c>
      <c r="N419" s="79" t="s">
        <v>7461</v>
      </c>
      <c r="O419" s="86">
        <v>1429.7</v>
      </c>
      <c r="P419" s="87">
        <v>257.35000000000002</v>
      </c>
      <c r="Q419" s="86"/>
      <c r="R419" s="88">
        <v>1687.05</v>
      </c>
      <c r="S419" s="85"/>
      <c r="T419" s="85"/>
      <c r="U419" s="85"/>
      <c r="V419" s="85"/>
      <c r="W419" s="105"/>
      <c r="X419" s="117" t="str">
        <f>IFERROR(VLOOKUP(Anexo_5[[#This Row],[CUENTA]],OP,2,0),"-")</f>
        <v>-</v>
      </c>
    </row>
    <row r="420" spans="1:24" s="84" customFormat="1" ht="27" customHeight="1" x14ac:dyDescent="0.3">
      <c r="A420" s="79" t="s">
        <v>8764</v>
      </c>
      <c r="B420" s="119" t="str">
        <f t="shared" si="12"/>
        <v>Octubre</v>
      </c>
      <c r="C420" s="77" t="s">
        <v>240</v>
      </c>
      <c r="D420" s="85" t="s">
        <v>7389</v>
      </c>
      <c r="E420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420" s="79" t="s">
        <v>248</v>
      </c>
      <c r="G420" s="148" t="s">
        <v>249</v>
      </c>
      <c r="H420" s="152" t="s">
        <v>9469</v>
      </c>
      <c r="I420" s="85" t="s">
        <v>9470</v>
      </c>
      <c r="J420" s="153" t="s">
        <v>9471</v>
      </c>
      <c r="K420" s="85" t="s">
        <v>169</v>
      </c>
      <c r="L420" s="119" t="str">
        <f>VLOOKUP(Anexo_5[[#This Row],[cod_doc]],COMPRAS!TIPODOC,2,FALSE)</f>
        <v>FACTURA</v>
      </c>
      <c r="M420" s="85" t="s">
        <v>105</v>
      </c>
      <c r="N420" s="79" t="s">
        <v>9617</v>
      </c>
      <c r="O420" s="86">
        <v>1120.5</v>
      </c>
      <c r="P420" s="87">
        <v>201.69</v>
      </c>
      <c r="Q420" s="86"/>
      <c r="R420" s="88">
        <v>1322.19</v>
      </c>
      <c r="S420" s="85"/>
      <c r="T420" s="85"/>
      <c r="U420" s="85"/>
      <c r="V420" s="85"/>
      <c r="W420" s="105"/>
      <c r="X420" s="117" t="str">
        <f>IFERROR(VLOOKUP(Anexo_5[[#This Row],[CUENTA]],OP,2,0),"-")</f>
        <v>-</v>
      </c>
    </row>
    <row r="421" spans="1:24" s="84" customFormat="1" ht="27" customHeight="1" x14ac:dyDescent="0.3">
      <c r="A421" s="79" t="s">
        <v>8764</v>
      </c>
      <c r="B421" s="119" t="str">
        <f>PROPER(CHOOSE(LEFT(D421,2),"enero","febrero","marzo","abril","mayo","junio","julio","agosto","setiembre","octubre","noviembre","diciembre"))</f>
        <v>Octubre</v>
      </c>
      <c r="C421" s="77" t="s">
        <v>240</v>
      </c>
      <c r="D421" s="85" t="s">
        <v>7393</v>
      </c>
      <c r="E421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421" s="79" t="s">
        <v>248</v>
      </c>
      <c r="G421" s="148" t="s">
        <v>249</v>
      </c>
      <c r="H421" s="152" t="s">
        <v>9881</v>
      </c>
      <c r="I421" s="85" t="s">
        <v>9882</v>
      </c>
      <c r="J421" s="153" t="s">
        <v>9883</v>
      </c>
      <c r="K421" s="85" t="s">
        <v>169</v>
      </c>
      <c r="L421" s="119" t="str">
        <f>VLOOKUP(Anexo_5[[#This Row],[cod_doc]],COMPRAS!TIPODOC,2,FALSE)</f>
        <v>FACTURA</v>
      </c>
      <c r="M421" s="85" t="s">
        <v>105</v>
      </c>
      <c r="N421" s="79" t="s">
        <v>9619</v>
      </c>
      <c r="O421" s="86">
        <v>45</v>
      </c>
      <c r="P421" s="87">
        <v>8.1</v>
      </c>
      <c r="Q421" s="86"/>
      <c r="R421" s="88">
        <v>53.1</v>
      </c>
      <c r="S421" s="85"/>
      <c r="T421" s="85"/>
      <c r="U421" s="85"/>
      <c r="V421" s="85"/>
      <c r="W421" s="105"/>
      <c r="X421" s="117" t="str">
        <f>IFERROR(VLOOKUP(Anexo_5[[#This Row],[CUENTA]],OP,2,0),"-")</f>
        <v>-</v>
      </c>
    </row>
    <row r="422" spans="1:24" s="84" customFormat="1" ht="27" customHeight="1" x14ac:dyDescent="0.3">
      <c r="A422" s="79" t="s">
        <v>8764</v>
      </c>
      <c r="B422" s="119" t="str">
        <f>PROPER(CHOOSE(LEFT(D422,2),"enero","febrero","marzo","abril","mayo","junio","julio","agosto","setiembre","octubre","noviembre","diciembre"))</f>
        <v>Octubre</v>
      </c>
      <c r="C422" s="77" t="s">
        <v>240</v>
      </c>
      <c r="D422" s="85" t="s">
        <v>7397</v>
      </c>
      <c r="E422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422" s="79" t="s">
        <v>248</v>
      </c>
      <c r="G422" s="148" t="s">
        <v>249</v>
      </c>
      <c r="H422" s="152" t="s">
        <v>9469</v>
      </c>
      <c r="I422" s="85" t="s">
        <v>9470</v>
      </c>
      <c r="J422" s="153" t="s">
        <v>9471</v>
      </c>
      <c r="K422" s="85" t="s">
        <v>169</v>
      </c>
      <c r="L422" s="119" t="str">
        <f>VLOOKUP(Anexo_5[[#This Row],[cod_doc]],COMPRAS!TIPODOC,2,FALSE)</f>
        <v>FACTURA</v>
      </c>
      <c r="M422" s="85" t="s">
        <v>105</v>
      </c>
      <c r="N422" s="79" t="s">
        <v>9620</v>
      </c>
      <c r="O422" s="86">
        <v>369</v>
      </c>
      <c r="P422" s="87">
        <v>66.42</v>
      </c>
      <c r="Q422" s="86"/>
      <c r="R422" s="88">
        <v>435.42</v>
      </c>
      <c r="S422" s="85"/>
      <c r="T422" s="85"/>
      <c r="U422" s="85"/>
      <c r="V422" s="85"/>
      <c r="W422" s="105"/>
      <c r="X422" s="117" t="str">
        <f>IFERROR(VLOOKUP(Anexo_5[[#This Row],[CUENTA]],OP,2,0),"-")</f>
        <v>-</v>
      </c>
    </row>
    <row r="423" spans="1:24" s="84" customFormat="1" ht="27" customHeight="1" x14ac:dyDescent="0.3">
      <c r="A423" s="79" t="s">
        <v>8764</v>
      </c>
      <c r="B423" s="119" t="str">
        <f>PROPER(CHOOSE(LEFT(D423,2),"enero","febrero","marzo","abril","mayo","junio","julio","agosto","setiembre","octubre","noviembre","diciembre"))</f>
        <v>Octubre</v>
      </c>
      <c r="C423" s="77" t="s">
        <v>240</v>
      </c>
      <c r="D423" s="85" t="s">
        <v>7403</v>
      </c>
      <c r="E423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423" s="79" t="s">
        <v>248</v>
      </c>
      <c r="G423" s="148" t="s">
        <v>249</v>
      </c>
      <c r="H423" s="152" t="s">
        <v>9469</v>
      </c>
      <c r="I423" s="85" t="s">
        <v>9470</v>
      </c>
      <c r="J423" s="153" t="s">
        <v>9471</v>
      </c>
      <c r="K423" s="85" t="s">
        <v>169</v>
      </c>
      <c r="L423" s="119" t="str">
        <f>VLOOKUP(Anexo_5[[#This Row],[cod_doc]],COMPRAS!TIPODOC,2,FALSE)</f>
        <v>FACTURA</v>
      </c>
      <c r="M423" s="85" t="s">
        <v>105</v>
      </c>
      <c r="N423" s="79" t="s">
        <v>9621</v>
      </c>
      <c r="O423" s="86">
        <v>1692</v>
      </c>
      <c r="P423" s="87">
        <v>304.56</v>
      </c>
      <c r="Q423" s="86"/>
      <c r="R423" s="88">
        <v>1996.56</v>
      </c>
      <c r="S423" s="85"/>
      <c r="T423" s="85"/>
      <c r="U423" s="85"/>
      <c r="V423" s="85"/>
      <c r="W423" s="105"/>
      <c r="X423" s="117" t="str">
        <f>IFERROR(VLOOKUP(Anexo_5[[#This Row],[CUENTA]],OP,2,0),"-")</f>
        <v>-</v>
      </c>
    </row>
    <row r="424" spans="1:24" s="84" customFormat="1" ht="27" customHeight="1" x14ac:dyDescent="0.3">
      <c r="A424" s="79" t="s">
        <v>8764</v>
      </c>
      <c r="B424" s="119" t="str">
        <f t="shared" si="12"/>
        <v>Octubre</v>
      </c>
      <c r="C424" s="77" t="s">
        <v>240</v>
      </c>
      <c r="D424" s="85" t="s">
        <v>7408</v>
      </c>
      <c r="E424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424" s="79" t="s">
        <v>9278</v>
      </c>
      <c r="G424" s="148" t="s">
        <v>122</v>
      </c>
      <c r="H424" s="152" t="s">
        <v>9348</v>
      </c>
      <c r="I424" s="85" t="s">
        <v>536</v>
      </c>
      <c r="J424" s="153" t="s">
        <v>537</v>
      </c>
      <c r="K424" s="85" t="s">
        <v>1896</v>
      </c>
      <c r="L424" s="119" t="str">
        <f>VLOOKUP(Anexo_5[[#This Row],[cod_doc]],COMPRAS!TIPODOC,2,FALSE)</f>
        <v>NOTA DE CREDITO</v>
      </c>
      <c r="M424" s="85" t="s">
        <v>9444</v>
      </c>
      <c r="N424" s="79" t="s">
        <v>5884</v>
      </c>
      <c r="O424" s="86">
        <v>-2383.36</v>
      </c>
      <c r="P424" s="87">
        <v>-429</v>
      </c>
      <c r="Q424" s="86"/>
      <c r="R424" s="88">
        <v>-2812.36</v>
      </c>
      <c r="S424" s="85" t="s">
        <v>162</v>
      </c>
      <c r="T424" s="85" t="s">
        <v>1906</v>
      </c>
      <c r="U424" s="85" t="s">
        <v>9798</v>
      </c>
      <c r="V424" s="85"/>
      <c r="W424" s="105"/>
      <c r="X424" s="117" t="str">
        <f>IFERROR(VLOOKUP(Anexo_5[[#This Row],[CUENTA]],OP,2,0),"-")</f>
        <v>-</v>
      </c>
    </row>
    <row r="425" spans="1:24" s="84" customFormat="1" ht="27" customHeight="1" x14ac:dyDescent="0.3">
      <c r="A425" s="79" t="s">
        <v>8764</v>
      </c>
      <c r="B425" s="119" t="str">
        <f>PROPER(CHOOSE(LEFT(D425,2),"enero","febrero","marzo","abril","mayo","junio","julio","agosto","setiembre","octubre","noviembre","diciembre"))</f>
        <v>Octubre</v>
      </c>
      <c r="C425" s="77" t="s">
        <v>240</v>
      </c>
      <c r="D425" s="85" t="s">
        <v>7412</v>
      </c>
      <c r="E425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425" s="79" t="s">
        <v>4563</v>
      </c>
      <c r="G425" s="148" t="s">
        <v>114</v>
      </c>
      <c r="H425" s="152" t="s">
        <v>9536</v>
      </c>
      <c r="I425" s="85" t="s">
        <v>625</v>
      </c>
      <c r="J425" s="153" t="s">
        <v>626</v>
      </c>
      <c r="K425" s="85" t="s">
        <v>169</v>
      </c>
      <c r="L425" s="119" t="str">
        <f>VLOOKUP(Anexo_5[[#This Row],[cod_doc]],COMPRAS!TIPODOC,2,FALSE)</f>
        <v>FACTURA</v>
      </c>
      <c r="M425" s="85" t="s">
        <v>1906</v>
      </c>
      <c r="N425" s="79" t="s">
        <v>9884</v>
      </c>
      <c r="O425" s="86">
        <v>11626.29</v>
      </c>
      <c r="P425" s="87">
        <v>2092.73</v>
      </c>
      <c r="Q425" s="86"/>
      <c r="R425" s="88">
        <v>13719.02</v>
      </c>
      <c r="S425" s="85"/>
      <c r="T425" s="85"/>
      <c r="U425" s="85"/>
      <c r="V425" s="85"/>
      <c r="W425" s="105"/>
      <c r="X425" s="117" t="str">
        <f>IFERROR(VLOOKUP(Anexo_5[[#This Row],[CUENTA]],OP,2,0),"-")</f>
        <v>-</v>
      </c>
    </row>
    <row r="426" spans="1:24" s="84" customFormat="1" ht="27" customHeight="1" x14ac:dyDescent="0.3">
      <c r="A426" s="79" t="s">
        <v>8764</v>
      </c>
      <c r="B426" s="119" t="str">
        <f>PROPER(CHOOSE(LEFT(D426,2),"enero","febrero","marzo","abril","mayo","junio","julio","agosto","setiembre","octubre","noviembre","diciembre"))</f>
        <v>Octubre</v>
      </c>
      <c r="C426" s="77" t="s">
        <v>240</v>
      </c>
      <c r="D426" s="85" t="s">
        <v>7417</v>
      </c>
      <c r="E426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426" s="79" t="s">
        <v>4563</v>
      </c>
      <c r="G426" s="148" t="s">
        <v>114</v>
      </c>
      <c r="H426" s="152" t="s">
        <v>9536</v>
      </c>
      <c r="I426" s="85" t="s">
        <v>625</v>
      </c>
      <c r="J426" s="153" t="s">
        <v>626</v>
      </c>
      <c r="K426" s="85" t="s">
        <v>169</v>
      </c>
      <c r="L426" s="119" t="str">
        <f>VLOOKUP(Anexo_5[[#This Row],[cod_doc]],COMPRAS!TIPODOC,2,FALSE)</f>
        <v>FACTURA</v>
      </c>
      <c r="M426" s="85" t="s">
        <v>1906</v>
      </c>
      <c r="N426" s="79" t="s">
        <v>9885</v>
      </c>
      <c r="O426" s="86">
        <v>623.88</v>
      </c>
      <c r="P426" s="87">
        <v>112.3</v>
      </c>
      <c r="Q426" s="86"/>
      <c r="R426" s="88">
        <v>736.18</v>
      </c>
      <c r="S426" s="85"/>
      <c r="T426" s="85"/>
      <c r="U426" s="85"/>
      <c r="V426" s="85"/>
      <c r="W426" s="105"/>
      <c r="X426" s="117" t="str">
        <f>IFERROR(VLOOKUP(Anexo_5[[#This Row],[CUENTA]],OP,2,0),"-")</f>
        <v>-</v>
      </c>
    </row>
    <row r="427" spans="1:24" s="84" customFormat="1" ht="27" customHeight="1" x14ac:dyDescent="0.3">
      <c r="A427" s="79" t="s">
        <v>8764</v>
      </c>
      <c r="B427" s="119" t="str">
        <f>PROPER(CHOOSE(LEFT(D427,2),"enero","febrero","marzo","abril","mayo","junio","julio","agosto","setiembre","octubre","noviembre","diciembre"))</f>
        <v>Octubre</v>
      </c>
      <c r="C427" s="77" t="s">
        <v>240</v>
      </c>
      <c r="D427" s="85" t="s">
        <v>7420</v>
      </c>
      <c r="E427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427" s="79" t="s">
        <v>4563</v>
      </c>
      <c r="G427" s="148" t="s">
        <v>114</v>
      </c>
      <c r="H427" s="152" t="s">
        <v>9536</v>
      </c>
      <c r="I427" s="85" t="s">
        <v>625</v>
      </c>
      <c r="J427" s="153" t="s">
        <v>626</v>
      </c>
      <c r="K427" s="85" t="s">
        <v>169</v>
      </c>
      <c r="L427" s="119" t="str">
        <f>VLOOKUP(Anexo_5[[#This Row],[cod_doc]],COMPRAS!TIPODOC,2,FALSE)</f>
        <v>FACTURA</v>
      </c>
      <c r="M427" s="85" t="s">
        <v>1906</v>
      </c>
      <c r="N427" s="79" t="s">
        <v>9886</v>
      </c>
      <c r="O427" s="86">
        <v>13174.4</v>
      </c>
      <c r="P427" s="87">
        <v>2371.39</v>
      </c>
      <c r="Q427" s="86"/>
      <c r="R427" s="88">
        <v>15545.79</v>
      </c>
      <c r="S427" s="85"/>
      <c r="T427" s="85"/>
      <c r="U427" s="85"/>
      <c r="V427" s="85"/>
      <c r="W427" s="105"/>
      <c r="X427" s="117" t="str">
        <f>IFERROR(VLOOKUP(Anexo_5[[#This Row],[CUENTA]],OP,2,0),"-")</f>
        <v>-</v>
      </c>
    </row>
    <row r="428" spans="1:24" s="84" customFormat="1" ht="27" customHeight="1" x14ac:dyDescent="0.3">
      <c r="A428" s="79" t="s">
        <v>8764</v>
      </c>
      <c r="B428" s="119" t="str">
        <f>PROPER(CHOOSE(LEFT(D428,2),"enero","febrero","marzo","abril","mayo","junio","julio","agosto","setiembre","octubre","noviembre","diciembre"))</f>
        <v>Octubre</v>
      </c>
      <c r="C428" s="77" t="s">
        <v>240</v>
      </c>
      <c r="D428" s="85" t="s">
        <v>7426</v>
      </c>
      <c r="E428" s="78" t="str">
        <f>IF(LEFT(Anexo_5[[#This Row],[c_costos]],2)="91","OPERACIONES",IF(LEFT(Anexo_5[[#This Row],[c_costos]],2)="97","G. FINANCIEROS",IF(LEFT(Anexo_5[[#This Row],[c_costos]],2)="95","G. VENTAS","G. ADMINISTRACIÓN")))</f>
        <v>OPERACIONES</v>
      </c>
      <c r="F428" s="79" t="s">
        <v>4563</v>
      </c>
      <c r="G428" s="148" t="s">
        <v>114</v>
      </c>
      <c r="H428" s="152" t="s">
        <v>9536</v>
      </c>
      <c r="I428" s="85" t="s">
        <v>625</v>
      </c>
      <c r="J428" s="153" t="s">
        <v>626</v>
      </c>
      <c r="K428" s="85" t="s">
        <v>169</v>
      </c>
      <c r="L428" s="119" t="str">
        <f>VLOOKUP(Anexo_5[[#This Row],[cod_doc]],COMPRAS!TIPODOC,2,FALSE)</f>
        <v>FACTURA</v>
      </c>
      <c r="M428" s="85" t="s">
        <v>1906</v>
      </c>
      <c r="N428" s="79" t="s">
        <v>9887</v>
      </c>
      <c r="O428" s="86">
        <v>18392.97</v>
      </c>
      <c r="P428" s="87">
        <v>3310.74</v>
      </c>
      <c r="Q428" s="86"/>
      <c r="R428" s="88">
        <v>21703.71</v>
      </c>
      <c r="S428" s="85"/>
      <c r="T428" s="85"/>
      <c r="U428" s="85"/>
      <c r="V428" s="85"/>
      <c r="W428" s="105"/>
      <c r="X428" s="117" t="str">
        <f>IFERROR(VLOOKUP(Anexo_5[[#This Row],[CUENTA]],OP,2,0),"-")</f>
        <v>-</v>
      </c>
    </row>
    <row r="429" spans="1:24" s="38" customFormat="1" x14ac:dyDescent="0.25">
      <c r="A429" s="60"/>
      <c r="B429" s="60"/>
      <c r="C429" s="60"/>
      <c r="D429" s="60"/>
      <c r="E429" s="60"/>
      <c r="F429" s="61"/>
      <c r="G429" s="149"/>
      <c r="H429" s="149"/>
      <c r="I429" s="62"/>
      <c r="J429" s="154"/>
      <c r="K429" s="62"/>
      <c r="L429" s="60"/>
      <c r="M429" s="60"/>
      <c r="N429" s="62" t="s">
        <v>9254</v>
      </c>
      <c r="O429" s="63">
        <f>SUBTOTAL(109,Anexo_5[base_imponible_18])</f>
        <v>1260030.27</v>
      </c>
      <c r="P429" s="63">
        <f>SUBTOTAL(109,Anexo_5[igv_18])</f>
        <v>226805.47660000002</v>
      </c>
      <c r="Q429" s="63">
        <f>SUBTOTAL(109,Anexo_5[base_no_grabada])</f>
        <v>0</v>
      </c>
      <c r="R429" s="63">
        <f>SUBTOTAL(109,Anexo_5[total])</f>
        <v>1486835.7466000007</v>
      </c>
      <c r="S429" s="64"/>
      <c r="T429" s="64"/>
      <c r="U429" s="64"/>
      <c r="V429" s="64"/>
      <c r="W429" s="64"/>
      <c r="X429" s="64"/>
    </row>
    <row r="430" spans="1:24" s="38" customFormat="1" ht="14.4" x14ac:dyDescent="0.3">
      <c r="A430" s="41" t="s">
        <v>9336</v>
      </c>
      <c r="B430" s="42" t="s">
        <v>9888</v>
      </c>
      <c r="C430" s="40"/>
      <c r="F430" s="43" t="s">
        <v>4563</v>
      </c>
      <c r="G430" s="150" t="s">
        <v>9258</v>
      </c>
      <c r="H430" s="150"/>
      <c r="I430" s="44">
        <f>+Anexo_5[[#Totals],[area_solicitante]]-Anexo_5[[#Totals],[c_costos]]</f>
        <v>0</v>
      </c>
      <c r="J430" s="40"/>
    </row>
    <row r="431" spans="1:24" s="38" customFormat="1" ht="14.4" x14ac:dyDescent="0.3">
      <c r="A431" s="41" t="s">
        <v>9355</v>
      </c>
      <c r="B431" s="42" t="s">
        <v>110</v>
      </c>
      <c r="C431" s="40"/>
      <c r="F431" s="43" t="s">
        <v>4560</v>
      </c>
      <c r="G431" s="150" t="s">
        <v>115</v>
      </c>
      <c r="H431" s="150"/>
      <c r="I431" s="44"/>
      <c r="J431" s="155"/>
      <c r="O431" s="44"/>
    </row>
    <row r="432" spans="1:24" s="38" customFormat="1" ht="14.4" x14ac:dyDescent="0.3">
      <c r="A432" s="41" t="s">
        <v>9333</v>
      </c>
      <c r="B432" s="42" t="s">
        <v>114</v>
      </c>
      <c r="C432" s="40"/>
      <c r="F432" s="43" t="s">
        <v>9262</v>
      </c>
      <c r="G432" s="150" t="s">
        <v>116</v>
      </c>
      <c r="H432" s="150"/>
      <c r="J432" s="40"/>
    </row>
    <row r="433" spans="1:10" s="38" customFormat="1" ht="14.4" x14ac:dyDescent="0.3">
      <c r="A433" s="41" t="s">
        <v>9375</v>
      </c>
      <c r="B433" s="42" t="s">
        <v>115</v>
      </c>
      <c r="C433" s="40"/>
      <c r="F433" s="43" t="s">
        <v>9265</v>
      </c>
      <c r="G433" s="150" t="s">
        <v>117</v>
      </c>
      <c r="H433" s="150"/>
      <c r="J433" s="40"/>
    </row>
    <row r="434" spans="1:10" s="38" customFormat="1" ht="14.4" x14ac:dyDescent="0.3">
      <c r="A434" s="41" t="s">
        <v>9889</v>
      </c>
      <c r="B434" s="42" t="s">
        <v>116</v>
      </c>
      <c r="C434" s="28"/>
      <c r="F434" s="43" t="s">
        <v>9267</v>
      </c>
      <c r="G434" s="150" t="s">
        <v>118</v>
      </c>
      <c r="H434" s="150"/>
      <c r="J434" s="40"/>
    </row>
    <row r="435" spans="1:10" s="38" customFormat="1" ht="14.4" x14ac:dyDescent="0.3">
      <c r="A435" s="41" t="s">
        <v>9730</v>
      </c>
      <c r="B435" s="42" t="s">
        <v>117</v>
      </c>
      <c r="C435" s="28"/>
      <c r="F435" s="43" t="s">
        <v>9269</v>
      </c>
      <c r="G435" s="150" t="s">
        <v>119</v>
      </c>
      <c r="H435" s="150"/>
      <c r="J435" s="40"/>
    </row>
    <row r="436" spans="1:10" s="38" customFormat="1" ht="14.4" x14ac:dyDescent="0.3">
      <c r="A436" s="41" t="s">
        <v>9725</v>
      </c>
      <c r="B436" s="42" t="s">
        <v>118</v>
      </c>
      <c r="C436" s="28"/>
      <c r="F436" s="43" t="s">
        <v>9271</v>
      </c>
      <c r="G436" s="150" t="s">
        <v>9272</v>
      </c>
      <c r="H436" s="150"/>
      <c r="J436" s="40"/>
    </row>
    <row r="437" spans="1:10" s="38" customFormat="1" ht="14.4" x14ac:dyDescent="0.3">
      <c r="A437" s="41" t="s">
        <v>9614</v>
      </c>
      <c r="B437" s="42" t="s">
        <v>119</v>
      </c>
      <c r="C437" s="28"/>
      <c r="F437" s="43" t="s">
        <v>9274</v>
      </c>
      <c r="G437" s="150" t="s">
        <v>9275</v>
      </c>
      <c r="H437" s="150"/>
      <c r="J437" s="40"/>
    </row>
    <row r="438" spans="1:10" s="38" customFormat="1" ht="14.4" x14ac:dyDescent="0.3">
      <c r="A438" s="41" t="s">
        <v>9407</v>
      </c>
      <c r="B438" s="42" t="s">
        <v>120</v>
      </c>
      <c r="C438" s="28"/>
      <c r="F438" s="43" t="s">
        <v>9278</v>
      </c>
      <c r="G438" s="150" t="s">
        <v>122</v>
      </c>
      <c r="H438" s="150"/>
      <c r="J438" s="40"/>
    </row>
    <row r="439" spans="1:10" s="38" customFormat="1" ht="14.4" x14ac:dyDescent="0.3">
      <c r="A439" s="41" t="s">
        <v>9376</v>
      </c>
      <c r="B439" s="42" t="s">
        <v>121</v>
      </c>
      <c r="C439" s="28"/>
      <c r="F439" s="43" t="s">
        <v>9281</v>
      </c>
      <c r="G439" s="150" t="s">
        <v>123</v>
      </c>
      <c r="H439" s="150"/>
      <c r="J439" s="40"/>
    </row>
    <row r="440" spans="1:10" s="38" customFormat="1" ht="14.4" x14ac:dyDescent="0.3">
      <c r="A440" s="41" t="s">
        <v>9350</v>
      </c>
      <c r="B440" s="42" t="s">
        <v>122</v>
      </c>
      <c r="C440" s="28"/>
      <c r="F440" s="43" t="s">
        <v>248</v>
      </c>
      <c r="G440" s="150" t="s">
        <v>249</v>
      </c>
      <c r="H440" s="150"/>
      <c r="J440" s="40"/>
    </row>
    <row r="441" spans="1:10" s="38" customFormat="1" ht="14.4" x14ac:dyDescent="0.3">
      <c r="A441" s="41" t="s">
        <v>9369</v>
      </c>
      <c r="B441" s="42" t="s">
        <v>123</v>
      </c>
      <c r="C441" s="28"/>
      <c r="F441" s="43" t="s">
        <v>355</v>
      </c>
      <c r="G441" s="150" t="s">
        <v>356</v>
      </c>
      <c r="H441" s="150"/>
      <c r="J441" s="40"/>
    </row>
    <row r="442" spans="1:10" s="38" customFormat="1" ht="14.4" x14ac:dyDescent="0.3">
      <c r="A442" s="41"/>
      <c r="B442" s="42"/>
      <c r="C442" s="28"/>
      <c r="F442" s="43" t="s">
        <v>175</v>
      </c>
      <c r="G442" s="150" t="s">
        <v>5168</v>
      </c>
      <c r="H442" s="150"/>
      <c r="J442" s="40"/>
    </row>
    <row r="443" spans="1:10" s="38" customFormat="1" ht="14.4" x14ac:dyDescent="0.3">
      <c r="A443" s="41"/>
      <c r="B443" s="42"/>
      <c r="C443" s="40"/>
      <c r="F443" s="43" t="s">
        <v>391</v>
      </c>
      <c r="G443" s="150" t="s">
        <v>5041</v>
      </c>
      <c r="H443" s="150"/>
      <c r="J443" s="40"/>
    </row>
    <row r="444" spans="1:10" s="38" customFormat="1" ht="14.4" x14ac:dyDescent="0.3">
      <c r="A444" s="41"/>
      <c r="B444" s="42"/>
      <c r="C444" s="40"/>
      <c r="F444" s="43" t="s">
        <v>217</v>
      </c>
      <c r="G444" s="150" t="s">
        <v>4839</v>
      </c>
      <c r="H444" s="150"/>
      <c r="J444" s="40"/>
    </row>
    <row r="445" spans="1:10" s="38" customFormat="1" ht="14.4" x14ac:dyDescent="0.3">
      <c r="A445" s="41"/>
      <c r="B445" s="42"/>
      <c r="C445" s="40"/>
      <c r="F445" s="43" t="s">
        <v>449</v>
      </c>
      <c r="G445" s="150" t="s">
        <v>4868</v>
      </c>
      <c r="H445" s="150"/>
      <c r="J445" s="40"/>
    </row>
    <row r="446" spans="1:10" s="38" customFormat="1" ht="14.4" x14ac:dyDescent="0.3">
      <c r="A446" s="41"/>
      <c r="B446" s="42"/>
      <c r="C446" s="40"/>
      <c r="F446" s="43" t="s">
        <v>9282</v>
      </c>
      <c r="G446" s="150" t="s">
        <v>9283</v>
      </c>
      <c r="H446" s="150"/>
      <c r="J446" s="40"/>
    </row>
    <row r="447" spans="1:10" s="38" customFormat="1" ht="14.4" x14ac:dyDescent="0.3">
      <c r="A447" s="41"/>
      <c r="B447" s="42"/>
      <c r="C447" s="40"/>
      <c r="F447" s="43" t="s">
        <v>456</v>
      </c>
      <c r="G447" s="150" t="s">
        <v>4911</v>
      </c>
      <c r="H447" s="150"/>
      <c r="J447" s="40"/>
    </row>
    <row r="448" spans="1:10" s="38" customFormat="1" ht="14.4" x14ac:dyDescent="0.3">
      <c r="A448" s="41"/>
      <c r="B448" s="42"/>
      <c r="C448" s="40"/>
      <c r="F448" s="43" t="s">
        <v>235</v>
      </c>
      <c r="G448" s="150" t="s">
        <v>5051</v>
      </c>
      <c r="H448" s="150"/>
      <c r="J448" s="40"/>
    </row>
    <row r="449" spans="1:10" s="38" customFormat="1" ht="14.4" x14ac:dyDescent="0.3">
      <c r="A449" s="41"/>
      <c r="B449" s="42"/>
      <c r="C449" s="40"/>
      <c r="F449" s="43" t="s">
        <v>592</v>
      </c>
      <c r="G449" s="150" t="s">
        <v>593</v>
      </c>
      <c r="H449" s="150"/>
      <c r="J449" s="40"/>
    </row>
    <row r="450" spans="1:10" s="38" customFormat="1" ht="14.4" x14ac:dyDescent="0.3">
      <c r="A450" s="41"/>
      <c r="B450" s="42"/>
      <c r="C450" s="40"/>
      <c r="F450" s="43" t="s">
        <v>9285</v>
      </c>
      <c r="G450" s="150" t="s">
        <v>9286</v>
      </c>
      <c r="H450" s="150"/>
      <c r="J450" s="40"/>
    </row>
    <row r="451" spans="1:10" s="38" customFormat="1" ht="14.4" x14ac:dyDescent="0.3">
      <c r="A451" s="41"/>
      <c r="B451" s="42"/>
      <c r="C451" s="40"/>
      <c r="F451" s="43" t="s">
        <v>458</v>
      </c>
      <c r="G451" s="150" t="s">
        <v>5366</v>
      </c>
      <c r="H451" s="150"/>
      <c r="J451" s="40"/>
    </row>
    <row r="452" spans="1:10" s="38" customFormat="1" ht="14.4" x14ac:dyDescent="0.3">
      <c r="A452" s="41"/>
      <c r="B452" s="42"/>
      <c r="C452" s="40"/>
      <c r="F452" s="43" t="s">
        <v>418</v>
      </c>
      <c r="G452" s="150" t="s">
        <v>419</v>
      </c>
      <c r="H452" s="150"/>
      <c r="J452" s="40"/>
    </row>
    <row r="453" spans="1:10" s="38" customFormat="1" x14ac:dyDescent="0.3">
      <c r="A453" s="41"/>
      <c r="B453" s="42"/>
      <c r="C453" s="40"/>
      <c r="G453" s="40"/>
      <c r="H453" s="40"/>
      <c r="J453" s="40"/>
    </row>
    <row r="454" spans="1:10" s="38" customFormat="1" x14ac:dyDescent="0.3">
      <c r="A454" s="41"/>
      <c r="B454" s="42"/>
      <c r="C454" s="40"/>
      <c r="G454" s="40"/>
      <c r="H454" s="40"/>
      <c r="J454" s="40"/>
    </row>
    <row r="455" spans="1:10" s="38" customFormat="1" x14ac:dyDescent="0.3">
      <c r="A455" s="41"/>
      <c r="B455" s="42"/>
      <c r="C455" s="40"/>
      <c r="G455" s="40"/>
      <c r="H455" s="40"/>
      <c r="J455" s="40"/>
    </row>
    <row r="456" spans="1:10" s="38" customFormat="1" x14ac:dyDescent="0.3">
      <c r="A456" s="41"/>
      <c r="B456" s="42"/>
      <c r="C456" s="40"/>
      <c r="G456" s="40"/>
      <c r="H456" s="40"/>
      <c r="J456" s="40"/>
    </row>
    <row r="457" spans="1:10" s="38" customFormat="1" x14ac:dyDescent="0.3">
      <c r="A457" s="41"/>
      <c r="B457" s="42"/>
      <c r="C457" s="40"/>
      <c r="G457" s="40"/>
      <c r="H457" s="40"/>
      <c r="J457" s="40"/>
    </row>
    <row r="458" spans="1:10" s="38" customFormat="1" x14ac:dyDescent="0.3">
      <c r="A458" s="41"/>
      <c r="B458" s="42"/>
      <c r="C458" s="40"/>
      <c r="G458" s="40"/>
      <c r="H458" s="40"/>
      <c r="J458" s="40"/>
    </row>
    <row r="459" spans="1:10" s="38" customFormat="1" x14ac:dyDescent="0.3">
      <c r="A459" s="41"/>
      <c r="B459" s="42"/>
      <c r="C459" s="40"/>
      <c r="G459" s="40"/>
      <c r="H459" s="40"/>
      <c r="J459" s="40"/>
    </row>
    <row r="460" spans="1:10" s="38" customFormat="1" x14ac:dyDescent="0.3">
      <c r="A460" s="41"/>
      <c r="B460" s="42"/>
      <c r="C460" s="40"/>
      <c r="G460" s="40"/>
      <c r="H460" s="40"/>
      <c r="J460" s="40"/>
    </row>
    <row r="461" spans="1:10" s="38" customFormat="1" x14ac:dyDescent="0.3">
      <c r="A461" s="41"/>
      <c r="B461" s="42"/>
      <c r="C461" s="40"/>
      <c r="G461" s="40"/>
      <c r="H461" s="40"/>
      <c r="J461" s="40"/>
    </row>
    <row r="462" spans="1:10" s="38" customFormat="1" x14ac:dyDescent="0.3">
      <c r="A462" s="41"/>
      <c r="B462" s="42"/>
      <c r="C462" s="40"/>
      <c r="G462" s="40"/>
      <c r="H462" s="40"/>
      <c r="J462" s="40"/>
    </row>
    <row r="463" spans="1:10" s="38" customFormat="1" x14ac:dyDescent="0.3">
      <c r="A463" s="41"/>
      <c r="B463" s="42"/>
      <c r="C463" s="40"/>
      <c r="G463" s="40"/>
      <c r="H463" s="40"/>
      <c r="J463" s="40"/>
    </row>
    <row r="464" spans="1:10" s="38" customFormat="1" x14ac:dyDescent="0.3">
      <c r="A464" s="41"/>
      <c r="B464" s="42"/>
      <c r="C464" s="40"/>
      <c r="G464" s="40"/>
      <c r="H464" s="40"/>
      <c r="J464" s="40"/>
    </row>
    <row r="465" spans="1:10" s="38" customFormat="1" x14ac:dyDescent="0.3">
      <c r="A465" s="41"/>
      <c r="B465" s="42"/>
      <c r="C465" s="40"/>
      <c r="G465" s="40"/>
      <c r="H465" s="40"/>
      <c r="J465" s="40"/>
    </row>
    <row r="466" spans="1:10" s="38" customFormat="1" x14ac:dyDescent="0.3">
      <c r="A466" s="41"/>
      <c r="B466" s="42"/>
      <c r="C466" s="40"/>
      <c r="G466" s="40"/>
      <c r="H466" s="40"/>
      <c r="J466" s="40"/>
    </row>
    <row r="467" spans="1:10" s="38" customFormat="1" x14ac:dyDescent="0.3">
      <c r="A467" s="41"/>
      <c r="B467" s="42"/>
      <c r="C467" s="40"/>
      <c r="G467" s="40"/>
      <c r="H467" s="40"/>
      <c r="J467" s="40"/>
    </row>
    <row r="468" spans="1:10" s="38" customFormat="1" x14ac:dyDescent="0.3">
      <c r="B468" s="28"/>
      <c r="C468" s="40"/>
      <c r="G468" s="40"/>
      <c r="H468" s="40"/>
      <c r="J468" s="40"/>
    </row>
    <row r="469" spans="1:10" s="38" customFormat="1" x14ac:dyDescent="0.3">
      <c r="B469" s="28"/>
      <c r="C469" s="40"/>
      <c r="G469" s="40"/>
      <c r="H469" s="40"/>
      <c r="J469" s="40"/>
    </row>
    <row r="470" spans="1:10" s="38" customFormat="1" x14ac:dyDescent="0.3">
      <c r="B470" s="28"/>
      <c r="C470" s="40"/>
      <c r="G470" s="40"/>
      <c r="H470" s="40"/>
      <c r="J470" s="40"/>
    </row>
    <row r="471" spans="1:10" s="38" customFormat="1" x14ac:dyDescent="0.3">
      <c r="B471" s="28"/>
      <c r="C471" s="40"/>
      <c r="G471" s="40"/>
      <c r="H471" s="40"/>
      <c r="J471" s="40"/>
    </row>
    <row r="472" spans="1:10" s="38" customFormat="1" x14ac:dyDescent="0.3">
      <c r="B472" s="28"/>
      <c r="C472" s="40"/>
      <c r="G472" s="40"/>
      <c r="H472" s="40"/>
      <c r="J472" s="40"/>
    </row>
    <row r="473" spans="1:10" s="38" customFormat="1" x14ac:dyDescent="0.3">
      <c r="B473" s="28"/>
      <c r="C473" s="40"/>
      <c r="G473" s="40"/>
      <c r="H473" s="40"/>
      <c r="J473" s="40"/>
    </row>
    <row r="474" spans="1:10" s="38" customFormat="1" x14ac:dyDescent="0.3">
      <c r="B474" s="28"/>
      <c r="C474" s="40"/>
      <c r="G474" s="40"/>
      <c r="H474" s="40"/>
      <c r="J474" s="40"/>
    </row>
    <row r="475" spans="1:10" s="38" customFormat="1" x14ac:dyDescent="0.3">
      <c r="B475" s="28"/>
      <c r="C475" s="40"/>
      <c r="G475" s="40"/>
      <c r="H475" s="40"/>
      <c r="J475" s="40"/>
    </row>
    <row r="476" spans="1:10" s="38" customFormat="1" x14ac:dyDescent="0.3">
      <c r="B476" s="28"/>
      <c r="C476" s="40"/>
      <c r="G476" s="40"/>
      <c r="H476" s="40"/>
      <c r="J476" s="40"/>
    </row>
    <row r="477" spans="1:10" s="38" customFormat="1" x14ac:dyDescent="0.3">
      <c r="B477" s="28"/>
      <c r="C477" s="40"/>
      <c r="G477" s="40"/>
      <c r="H477" s="40"/>
      <c r="J477" s="40"/>
    </row>
    <row r="478" spans="1:10" s="38" customFormat="1" x14ac:dyDescent="0.3">
      <c r="B478" s="28"/>
      <c r="C478" s="40"/>
      <c r="G478" s="40"/>
      <c r="H478" s="40"/>
      <c r="J478" s="40"/>
    </row>
    <row r="479" spans="1:10" s="38" customFormat="1" ht="14.4" x14ac:dyDescent="0.3">
      <c r="B479" s="28"/>
      <c r="C479" s="40"/>
      <c r="D479" s="28"/>
      <c r="E479" s="47"/>
      <c r="G479" s="40"/>
      <c r="H479" s="40"/>
      <c r="J479" s="40"/>
    </row>
    <row r="480" spans="1:10" s="38" customFormat="1" ht="14.4" x14ac:dyDescent="0.3">
      <c r="B480" s="28"/>
      <c r="C480" s="40"/>
      <c r="D480" s="28"/>
      <c r="E480" s="47"/>
      <c r="G480" s="40"/>
      <c r="H480" s="40"/>
      <c r="J480" s="40"/>
    </row>
    <row r="481" spans="2:10" s="38" customFormat="1" ht="14.4" x14ac:dyDescent="0.3">
      <c r="B481" s="28"/>
      <c r="C481" s="40"/>
      <c r="D481" s="28"/>
      <c r="E481" s="47"/>
      <c r="G481" s="40"/>
      <c r="H481" s="40"/>
      <c r="J481" s="40"/>
    </row>
    <row r="482" spans="2:10" s="38" customFormat="1" ht="14.4" x14ac:dyDescent="0.3">
      <c r="B482" s="28"/>
      <c r="C482" s="40"/>
      <c r="D482" s="28"/>
      <c r="E482" s="47"/>
      <c r="G482" s="40"/>
      <c r="H482" s="40"/>
      <c r="J482" s="40"/>
    </row>
    <row r="483" spans="2:10" s="38" customFormat="1" ht="14.4" x14ac:dyDescent="0.3">
      <c r="B483" s="28"/>
      <c r="C483" s="40"/>
      <c r="D483" s="28"/>
      <c r="E483" s="47"/>
      <c r="G483" s="40"/>
      <c r="H483" s="40"/>
      <c r="J483" s="40"/>
    </row>
    <row r="484" spans="2:10" s="38" customFormat="1" ht="14.4" x14ac:dyDescent="0.3">
      <c r="B484" s="28"/>
      <c r="C484" s="40"/>
      <c r="D484" s="28"/>
      <c r="E484" s="47"/>
      <c r="G484" s="40"/>
      <c r="H484" s="40"/>
      <c r="J484" s="40"/>
    </row>
    <row r="485" spans="2:10" s="38" customFormat="1" ht="14.4" x14ac:dyDescent="0.3">
      <c r="B485" s="28"/>
      <c r="C485" s="40"/>
      <c r="D485" s="28"/>
      <c r="E485" s="47"/>
      <c r="G485" s="40"/>
      <c r="H485" s="40"/>
      <c r="J485" s="40"/>
    </row>
    <row r="486" spans="2:10" s="38" customFormat="1" ht="14.4" x14ac:dyDescent="0.3">
      <c r="B486" s="28"/>
      <c r="C486" s="40"/>
      <c r="D486" s="28"/>
      <c r="E486" s="47"/>
      <c r="G486" s="40"/>
      <c r="H486" s="40"/>
      <c r="J486" s="40"/>
    </row>
    <row r="487" spans="2:10" s="38" customFormat="1" ht="14.4" x14ac:dyDescent="0.3">
      <c r="B487" s="28"/>
      <c r="C487" s="40"/>
      <c r="D487" s="28"/>
      <c r="E487" s="47"/>
      <c r="G487" s="40"/>
      <c r="H487" s="40"/>
      <c r="J487" s="40"/>
    </row>
    <row r="488" spans="2:10" s="38" customFormat="1" ht="14.4" x14ac:dyDescent="0.3">
      <c r="B488" s="28"/>
      <c r="C488" s="40"/>
      <c r="D488" s="28"/>
      <c r="E488" s="47"/>
      <c r="G488" s="40"/>
      <c r="H488" s="40"/>
      <c r="J488" s="40"/>
    </row>
    <row r="489" spans="2:10" s="38" customFormat="1" ht="14.4" x14ac:dyDescent="0.3">
      <c r="B489" s="28"/>
      <c r="C489" s="40"/>
      <c r="D489" s="28"/>
      <c r="E489" s="47"/>
      <c r="G489" s="40"/>
      <c r="H489" s="40"/>
      <c r="J489" s="40"/>
    </row>
    <row r="490" spans="2:10" s="38" customFormat="1" ht="14.4" x14ac:dyDescent="0.3">
      <c r="B490" s="28"/>
      <c r="C490" s="40"/>
      <c r="D490" s="28"/>
      <c r="E490" s="47"/>
      <c r="G490" s="40"/>
      <c r="H490" s="40"/>
      <c r="J490" s="40"/>
    </row>
    <row r="491" spans="2:10" s="38" customFormat="1" ht="14.4" x14ac:dyDescent="0.3">
      <c r="B491" s="28"/>
      <c r="C491" s="40"/>
      <c r="D491" s="28"/>
      <c r="E491" s="47"/>
      <c r="G491" s="40"/>
      <c r="H491" s="40"/>
      <c r="J491" s="40"/>
    </row>
    <row r="492" spans="2:10" s="38" customFormat="1" ht="14.4" x14ac:dyDescent="0.3">
      <c r="B492" s="28"/>
      <c r="C492" s="40"/>
      <c r="D492" s="28"/>
      <c r="E492" s="47"/>
      <c r="G492" s="40"/>
      <c r="H492" s="40"/>
      <c r="J492" s="40"/>
    </row>
    <row r="493" spans="2:10" s="38" customFormat="1" ht="14.4" x14ac:dyDescent="0.3">
      <c r="B493" s="28"/>
      <c r="C493" s="40"/>
      <c r="D493" s="28"/>
      <c r="E493" s="47"/>
      <c r="G493" s="40"/>
      <c r="H493" s="40"/>
      <c r="J493" s="40"/>
    </row>
    <row r="494" spans="2:10" s="38" customFormat="1" ht="14.4" x14ac:dyDescent="0.3">
      <c r="B494" s="28"/>
      <c r="C494" s="40"/>
      <c r="D494" s="28"/>
      <c r="E494" s="47"/>
      <c r="G494" s="40"/>
      <c r="H494" s="40"/>
      <c r="J494" s="40"/>
    </row>
    <row r="495" spans="2:10" s="38" customFormat="1" ht="14.4" x14ac:dyDescent="0.3">
      <c r="B495" s="28"/>
      <c r="C495" s="40"/>
      <c r="D495" s="28"/>
      <c r="E495" s="47"/>
      <c r="G495" s="40"/>
      <c r="H495" s="40"/>
      <c r="J495" s="40"/>
    </row>
    <row r="496" spans="2:10" s="38" customFormat="1" ht="14.4" x14ac:dyDescent="0.3">
      <c r="B496" s="28"/>
      <c r="C496" s="40"/>
      <c r="D496" s="28"/>
      <c r="E496" s="47"/>
      <c r="G496" s="40"/>
      <c r="H496" s="40"/>
      <c r="J496" s="40"/>
    </row>
    <row r="497" spans="2:10" s="38" customFormat="1" ht="14.4" x14ac:dyDescent="0.3">
      <c r="B497" s="28"/>
      <c r="C497" s="40"/>
      <c r="D497" s="28"/>
      <c r="E497" s="47"/>
      <c r="G497" s="40"/>
      <c r="H497" s="40"/>
      <c r="J497" s="40"/>
    </row>
    <row r="498" spans="2:10" s="38" customFormat="1" ht="14.4" x14ac:dyDescent="0.3">
      <c r="B498" s="28"/>
      <c r="C498" s="40"/>
      <c r="D498" s="28"/>
      <c r="E498" s="47"/>
      <c r="G498" s="40"/>
      <c r="H498" s="40"/>
      <c r="J498" s="40"/>
    </row>
    <row r="499" spans="2:10" s="38" customFormat="1" ht="14.4" x14ac:dyDescent="0.3">
      <c r="B499" s="28"/>
      <c r="C499" s="40"/>
      <c r="D499" s="28"/>
      <c r="E499" s="47"/>
      <c r="G499" s="40"/>
      <c r="H499" s="40"/>
      <c r="J499" s="40"/>
    </row>
    <row r="500" spans="2:10" s="38" customFormat="1" ht="14.4" x14ac:dyDescent="0.3">
      <c r="B500" s="28"/>
      <c r="C500" s="40"/>
      <c r="D500" s="28"/>
      <c r="E500" s="47"/>
      <c r="G500" s="40"/>
      <c r="H500" s="40"/>
      <c r="J500" s="40"/>
    </row>
    <row r="501" spans="2:10" s="38" customFormat="1" ht="14.4" x14ac:dyDescent="0.3">
      <c r="B501" s="28"/>
      <c r="C501" s="40"/>
      <c r="D501" s="28"/>
      <c r="E501" s="47"/>
      <c r="G501" s="40"/>
      <c r="H501" s="40"/>
      <c r="J501" s="40"/>
    </row>
    <row r="502" spans="2:10" s="38" customFormat="1" ht="14.4" x14ac:dyDescent="0.3">
      <c r="B502" s="28"/>
      <c r="C502" s="40"/>
      <c r="D502" s="28"/>
      <c r="E502" s="47"/>
      <c r="G502" s="40"/>
      <c r="H502" s="40"/>
      <c r="J502" s="40"/>
    </row>
    <row r="503" spans="2:10" s="38" customFormat="1" x14ac:dyDescent="0.3">
      <c r="B503" s="28"/>
      <c r="C503" s="40"/>
      <c r="D503" s="28"/>
      <c r="E503" s="28"/>
      <c r="G503" s="40"/>
      <c r="H503" s="40"/>
      <c r="J503" s="40"/>
    </row>
    <row r="504" spans="2:10" s="38" customFormat="1" x14ac:dyDescent="0.3">
      <c r="B504" s="28"/>
      <c r="C504" s="40"/>
      <c r="D504" s="28"/>
      <c r="E504" s="28"/>
      <c r="G504" s="40"/>
      <c r="H504" s="40"/>
      <c r="J504" s="40"/>
    </row>
    <row r="505" spans="2:10" s="38" customFormat="1" x14ac:dyDescent="0.3">
      <c r="B505" s="28"/>
      <c r="C505" s="40"/>
      <c r="D505" s="28"/>
      <c r="E505" s="28"/>
      <c r="G505" s="40"/>
      <c r="H505" s="40"/>
      <c r="J505" s="40"/>
    </row>
    <row r="506" spans="2:10" s="38" customFormat="1" x14ac:dyDescent="0.3">
      <c r="B506" s="28"/>
      <c r="C506" s="40"/>
      <c r="D506" s="28"/>
      <c r="E506" s="28"/>
      <c r="G506" s="40"/>
      <c r="H506" s="40"/>
      <c r="J506" s="40"/>
    </row>
    <row r="507" spans="2:10" s="38" customFormat="1" x14ac:dyDescent="0.3">
      <c r="B507" s="28"/>
      <c r="C507" s="40"/>
      <c r="D507" s="28"/>
      <c r="E507" s="28"/>
      <c r="G507" s="40"/>
      <c r="H507" s="40"/>
      <c r="J507" s="40"/>
    </row>
    <row r="508" spans="2:10" s="38" customFormat="1" x14ac:dyDescent="0.3">
      <c r="B508" s="28"/>
      <c r="C508" s="40"/>
      <c r="D508" s="28"/>
      <c r="E508" s="28"/>
      <c r="G508" s="40"/>
      <c r="H508" s="40"/>
      <c r="J508" s="40"/>
    </row>
    <row r="509" spans="2:10" s="38" customFormat="1" x14ac:dyDescent="0.3">
      <c r="B509" s="28"/>
      <c r="C509" s="40"/>
      <c r="D509" s="28"/>
      <c r="E509" s="28"/>
      <c r="G509" s="40"/>
      <c r="H509" s="40"/>
      <c r="J509" s="40"/>
    </row>
    <row r="510" spans="2:10" s="38" customFormat="1" x14ac:dyDescent="0.3">
      <c r="B510" s="28"/>
      <c r="C510" s="40"/>
      <c r="D510" s="28"/>
      <c r="E510" s="28"/>
      <c r="G510" s="40"/>
      <c r="H510" s="40"/>
      <c r="J510" s="40"/>
    </row>
    <row r="511" spans="2:10" s="38" customFormat="1" x14ac:dyDescent="0.3">
      <c r="B511" s="28"/>
      <c r="C511" s="40"/>
      <c r="D511" s="28"/>
      <c r="E511" s="28"/>
      <c r="G511" s="40"/>
      <c r="H511" s="40"/>
      <c r="J511" s="40"/>
    </row>
    <row r="512" spans="2:10" s="38" customFormat="1" x14ac:dyDescent="0.3">
      <c r="B512" s="28"/>
      <c r="C512" s="40"/>
      <c r="D512" s="28"/>
      <c r="E512" s="28"/>
      <c r="G512" s="40"/>
      <c r="H512" s="40"/>
      <c r="J512" s="40"/>
    </row>
    <row r="513" spans="2:10" s="38" customFormat="1" x14ac:dyDescent="0.3">
      <c r="B513" s="28"/>
      <c r="C513" s="40"/>
      <c r="D513" s="28"/>
      <c r="E513" s="28"/>
      <c r="G513" s="40"/>
      <c r="H513" s="40"/>
      <c r="J513" s="40"/>
    </row>
    <row r="514" spans="2:10" s="38" customFormat="1" x14ac:dyDescent="0.3">
      <c r="B514" s="28"/>
      <c r="C514" s="40"/>
      <c r="D514" s="28"/>
      <c r="E514" s="28"/>
      <c r="G514" s="40"/>
      <c r="H514" s="40"/>
      <c r="J514" s="40"/>
    </row>
    <row r="515" spans="2:10" s="38" customFormat="1" x14ac:dyDescent="0.3">
      <c r="B515" s="28"/>
      <c r="C515" s="40"/>
      <c r="D515" s="28"/>
      <c r="E515" s="28"/>
      <c r="G515" s="40"/>
      <c r="H515" s="40"/>
      <c r="J515" s="40"/>
    </row>
    <row r="516" spans="2:10" s="38" customFormat="1" x14ac:dyDescent="0.3">
      <c r="B516" s="28"/>
      <c r="C516" s="40"/>
      <c r="D516" s="28"/>
      <c r="E516" s="28"/>
      <c r="G516" s="40"/>
      <c r="H516" s="40"/>
      <c r="J516" s="40"/>
    </row>
    <row r="517" spans="2:10" s="38" customFormat="1" x14ac:dyDescent="0.3">
      <c r="B517" s="28"/>
      <c r="C517" s="40"/>
      <c r="D517" s="28"/>
      <c r="E517" s="28"/>
      <c r="G517" s="40"/>
      <c r="H517" s="40"/>
      <c r="J517" s="40"/>
    </row>
    <row r="518" spans="2:10" s="38" customFormat="1" x14ac:dyDescent="0.3">
      <c r="B518" s="28"/>
      <c r="C518" s="40"/>
      <c r="D518" s="28"/>
      <c r="E518" s="28"/>
      <c r="G518" s="40"/>
      <c r="H518" s="40"/>
      <c r="J518" s="40"/>
    </row>
    <row r="519" spans="2:10" s="38" customFormat="1" x14ac:dyDescent="0.3">
      <c r="B519" s="28"/>
      <c r="C519" s="40"/>
      <c r="D519" s="28"/>
      <c r="E519" s="28"/>
      <c r="G519" s="40"/>
      <c r="H519" s="40"/>
      <c r="J519" s="40"/>
    </row>
    <row r="520" spans="2:10" s="38" customFormat="1" x14ac:dyDescent="0.3">
      <c r="B520" s="28"/>
      <c r="C520" s="40"/>
      <c r="D520" s="28"/>
      <c r="E520" s="28"/>
      <c r="G520" s="40"/>
      <c r="H520" s="40"/>
      <c r="J520" s="40"/>
    </row>
    <row r="521" spans="2:10" s="38" customFormat="1" x14ac:dyDescent="0.3">
      <c r="B521" s="28"/>
      <c r="C521" s="40"/>
      <c r="D521" s="28"/>
      <c r="E521" s="28"/>
      <c r="G521" s="40"/>
      <c r="H521" s="40"/>
      <c r="J521" s="40"/>
    </row>
    <row r="522" spans="2:10" s="38" customFormat="1" x14ac:dyDescent="0.3">
      <c r="B522" s="28"/>
      <c r="C522" s="40"/>
      <c r="D522" s="28"/>
      <c r="E522" s="28"/>
      <c r="G522" s="40"/>
      <c r="H522" s="40"/>
      <c r="J522" s="40"/>
    </row>
    <row r="523" spans="2:10" s="38" customFormat="1" x14ac:dyDescent="0.3">
      <c r="B523" s="28"/>
      <c r="C523" s="40"/>
      <c r="D523" s="28"/>
      <c r="E523" s="28"/>
      <c r="G523" s="40"/>
      <c r="H523" s="40"/>
      <c r="J523" s="40"/>
    </row>
    <row r="524" spans="2:10" s="38" customFormat="1" x14ac:dyDescent="0.3">
      <c r="B524" s="28"/>
      <c r="C524" s="40"/>
      <c r="D524" s="28"/>
      <c r="E524" s="28"/>
      <c r="G524" s="40"/>
      <c r="H524" s="40"/>
      <c r="J524" s="40"/>
    </row>
    <row r="525" spans="2:10" s="38" customFormat="1" x14ac:dyDescent="0.3">
      <c r="B525" s="28"/>
      <c r="C525" s="40"/>
      <c r="D525" s="28"/>
      <c r="E525" s="28"/>
      <c r="G525" s="40"/>
      <c r="H525" s="40"/>
      <c r="J525" s="40"/>
    </row>
    <row r="526" spans="2:10" s="38" customFormat="1" x14ac:dyDescent="0.3">
      <c r="B526" s="28"/>
      <c r="C526" s="40"/>
      <c r="D526" s="28"/>
      <c r="E526" s="28"/>
      <c r="G526" s="40"/>
      <c r="H526" s="40"/>
      <c r="J526" s="40"/>
    </row>
    <row r="527" spans="2:10" s="38" customFormat="1" x14ac:dyDescent="0.3">
      <c r="B527" s="28"/>
      <c r="C527" s="40"/>
      <c r="D527" s="28"/>
      <c r="E527" s="28"/>
      <c r="G527" s="40"/>
      <c r="H527" s="40"/>
      <c r="J527" s="40"/>
    </row>
    <row r="528" spans="2:10" s="38" customFormat="1" x14ac:dyDescent="0.3">
      <c r="B528" s="28"/>
      <c r="C528" s="40"/>
      <c r="D528" s="28"/>
      <c r="E528" s="28"/>
      <c r="G528" s="40"/>
      <c r="H528" s="40"/>
      <c r="J528" s="40"/>
    </row>
    <row r="529" spans="2:10" s="38" customFormat="1" x14ac:dyDescent="0.3">
      <c r="B529" s="28"/>
      <c r="C529" s="40"/>
      <c r="D529" s="28"/>
      <c r="E529" s="28"/>
      <c r="G529" s="40"/>
      <c r="H529" s="40"/>
      <c r="J529" s="40"/>
    </row>
    <row r="530" spans="2:10" s="38" customFormat="1" x14ac:dyDescent="0.3">
      <c r="B530" s="28"/>
      <c r="C530" s="40"/>
      <c r="D530" s="28"/>
      <c r="E530" s="28"/>
      <c r="G530" s="40"/>
      <c r="H530" s="40"/>
      <c r="J530" s="40"/>
    </row>
    <row r="531" spans="2:10" s="38" customFormat="1" x14ac:dyDescent="0.3">
      <c r="B531" s="28"/>
      <c r="C531" s="40"/>
      <c r="D531" s="28"/>
      <c r="E531" s="28"/>
      <c r="G531" s="40"/>
      <c r="H531" s="40"/>
      <c r="J531" s="40"/>
    </row>
    <row r="532" spans="2:10" s="38" customFormat="1" x14ac:dyDescent="0.3">
      <c r="B532" s="28"/>
      <c r="C532" s="40"/>
      <c r="D532" s="28"/>
      <c r="E532" s="28"/>
      <c r="G532" s="40"/>
      <c r="H532" s="40"/>
      <c r="J532" s="40"/>
    </row>
    <row r="533" spans="2:10" s="38" customFormat="1" x14ac:dyDescent="0.3">
      <c r="B533" s="28"/>
      <c r="C533" s="40"/>
      <c r="D533" s="28"/>
      <c r="E533" s="28"/>
      <c r="G533" s="40"/>
      <c r="H533" s="40"/>
      <c r="J533" s="40"/>
    </row>
    <row r="534" spans="2:10" s="38" customFormat="1" x14ac:dyDescent="0.3">
      <c r="B534" s="28"/>
      <c r="C534" s="40"/>
      <c r="D534" s="28"/>
      <c r="E534" s="28"/>
      <c r="G534" s="40"/>
      <c r="H534" s="40"/>
      <c r="J534" s="40"/>
    </row>
    <row r="535" spans="2:10" s="38" customFormat="1" x14ac:dyDescent="0.3">
      <c r="B535" s="28"/>
      <c r="C535" s="40"/>
      <c r="D535" s="28"/>
      <c r="E535" s="28"/>
      <c r="G535" s="40"/>
      <c r="H535" s="40"/>
      <c r="J535" s="40"/>
    </row>
    <row r="536" spans="2:10" s="38" customFormat="1" x14ac:dyDescent="0.3">
      <c r="B536" s="28"/>
      <c r="C536" s="40"/>
      <c r="D536" s="28"/>
      <c r="E536" s="28"/>
      <c r="G536" s="40"/>
      <c r="H536" s="40"/>
      <c r="J536" s="40"/>
    </row>
    <row r="537" spans="2:10" s="38" customFormat="1" x14ac:dyDescent="0.3">
      <c r="B537" s="28"/>
      <c r="C537" s="40"/>
      <c r="D537" s="28"/>
      <c r="E537" s="28"/>
      <c r="G537" s="40"/>
      <c r="H537" s="40"/>
      <c r="J537" s="40"/>
    </row>
    <row r="538" spans="2:10" s="38" customFormat="1" x14ac:dyDescent="0.3">
      <c r="B538" s="28"/>
      <c r="C538" s="40"/>
      <c r="D538" s="28"/>
      <c r="E538" s="28"/>
      <c r="G538" s="40"/>
      <c r="H538" s="40"/>
      <c r="J538" s="40"/>
    </row>
    <row r="539" spans="2:10" s="38" customFormat="1" x14ac:dyDescent="0.3">
      <c r="B539" s="28"/>
      <c r="C539" s="40"/>
      <c r="D539" s="28"/>
      <c r="E539" s="28"/>
      <c r="G539" s="40"/>
      <c r="H539" s="40"/>
      <c r="J539" s="40"/>
    </row>
    <row r="540" spans="2:10" s="38" customFormat="1" x14ac:dyDescent="0.3">
      <c r="B540" s="28"/>
      <c r="C540" s="40"/>
      <c r="D540" s="28"/>
      <c r="E540" s="28"/>
      <c r="G540" s="40"/>
      <c r="H540" s="40"/>
      <c r="J540" s="40"/>
    </row>
    <row r="541" spans="2:10" s="38" customFormat="1" x14ac:dyDescent="0.3">
      <c r="B541" s="28"/>
      <c r="C541" s="40"/>
      <c r="D541" s="28"/>
      <c r="E541" s="28"/>
      <c r="G541" s="40"/>
      <c r="H541" s="40"/>
      <c r="J541" s="40"/>
    </row>
    <row r="542" spans="2:10" s="38" customFormat="1" x14ac:dyDescent="0.3">
      <c r="B542" s="28"/>
      <c r="C542" s="40"/>
      <c r="D542" s="28"/>
      <c r="E542" s="28"/>
      <c r="G542" s="40"/>
      <c r="H542" s="40"/>
      <c r="J542" s="40"/>
    </row>
    <row r="543" spans="2:10" s="38" customFormat="1" x14ac:dyDescent="0.3">
      <c r="B543" s="28"/>
      <c r="C543" s="40"/>
      <c r="D543" s="28"/>
      <c r="E543" s="28"/>
      <c r="G543" s="40"/>
      <c r="H543" s="40"/>
      <c r="J543" s="40"/>
    </row>
    <row r="544" spans="2:10" s="38" customFormat="1" x14ac:dyDescent="0.3">
      <c r="B544" s="28"/>
      <c r="C544" s="40"/>
      <c r="D544" s="28"/>
      <c r="E544" s="28"/>
      <c r="G544" s="40"/>
      <c r="H544" s="40"/>
      <c r="J544" s="40"/>
    </row>
    <row r="545" spans="1:25" s="38" customFormat="1" x14ac:dyDescent="0.3">
      <c r="B545" s="28"/>
      <c r="C545" s="40"/>
      <c r="D545" s="28"/>
      <c r="E545" s="28"/>
      <c r="G545" s="40"/>
      <c r="H545" s="40"/>
      <c r="J545" s="40"/>
    </row>
    <row r="546" spans="1:25" s="38" customFormat="1" x14ac:dyDescent="0.3">
      <c r="B546" s="28"/>
      <c r="C546" s="40"/>
      <c r="D546" s="28"/>
      <c r="E546" s="28"/>
      <c r="G546" s="40"/>
      <c r="H546" s="40"/>
      <c r="J546" s="40"/>
    </row>
    <row r="547" spans="1:25" s="38" customFormat="1" x14ac:dyDescent="0.3">
      <c r="B547" s="28"/>
      <c r="C547" s="40"/>
      <c r="D547" s="28"/>
      <c r="E547" s="28"/>
      <c r="G547" s="40"/>
      <c r="H547" s="40"/>
      <c r="J547" s="40"/>
    </row>
    <row r="548" spans="1:25" s="38" customFormat="1" x14ac:dyDescent="0.3">
      <c r="B548" s="28"/>
      <c r="C548" s="40"/>
      <c r="D548" s="28"/>
      <c r="E548" s="28"/>
      <c r="G548" s="40"/>
      <c r="H548" s="40"/>
      <c r="J548" s="40"/>
    </row>
    <row r="549" spans="1:25" s="38" customFormat="1" x14ac:dyDescent="0.3">
      <c r="B549" s="28"/>
      <c r="C549" s="40"/>
      <c r="D549" s="28"/>
      <c r="E549" s="28"/>
      <c r="G549" s="40"/>
      <c r="H549" s="40"/>
      <c r="J549" s="40"/>
    </row>
    <row r="550" spans="1:25" s="38" customFormat="1" x14ac:dyDescent="0.3">
      <c r="B550" s="28"/>
      <c r="C550" s="40"/>
      <c r="D550" s="28"/>
      <c r="E550" s="28"/>
      <c r="G550" s="40"/>
      <c r="H550" s="40"/>
      <c r="J550" s="40"/>
    </row>
    <row r="551" spans="1:25" s="38" customFormat="1" x14ac:dyDescent="0.3">
      <c r="B551" s="28"/>
      <c r="C551" s="40"/>
      <c r="D551" s="28"/>
      <c r="E551" s="28"/>
      <c r="G551" s="40"/>
      <c r="H551" s="40"/>
      <c r="J551" s="40"/>
    </row>
    <row r="552" spans="1:25" s="38" customFormat="1" x14ac:dyDescent="0.3">
      <c r="B552" s="28"/>
      <c r="C552" s="40"/>
      <c r="D552" s="28"/>
      <c r="E552" s="28"/>
      <c r="G552" s="40"/>
      <c r="H552" s="40"/>
      <c r="J552" s="40"/>
    </row>
    <row r="553" spans="1:25" s="38" customFormat="1" x14ac:dyDescent="0.3">
      <c r="B553" s="28"/>
      <c r="C553" s="40"/>
      <c r="D553" s="28"/>
      <c r="E553" s="28"/>
      <c r="G553" s="40"/>
      <c r="H553" s="40"/>
      <c r="J553" s="40"/>
    </row>
    <row r="554" spans="1:25" s="38" customFormat="1" x14ac:dyDescent="0.3">
      <c r="B554" s="28"/>
      <c r="C554" s="40"/>
      <c r="D554" s="28"/>
      <c r="E554" s="28"/>
      <c r="G554" s="40"/>
      <c r="H554" s="40"/>
      <c r="J554" s="40"/>
    </row>
    <row r="555" spans="1:25" s="38" customFormat="1" x14ac:dyDescent="0.3">
      <c r="B555" s="28"/>
      <c r="C555" s="40"/>
      <c r="D555" s="28"/>
      <c r="E555" s="28"/>
      <c r="G555" s="40"/>
      <c r="H555" s="40"/>
      <c r="J555" s="40"/>
    </row>
    <row r="556" spans="1:25" s="38" customFormat="1" x14ac:dyDescent="0.3">
      <c r="B556" s="28"/>
      <c r="C556" s="40"/>
      <c r="D556" s="28"/>
      <c r="E556" s="28"/>
      <c r="G556" s="40"/>
      <c r="H556" s="40"/>
      <c r="J556" s="40"/>
    </row>
    <row r="557" spans="1:25" s="38" customFormat="1" x14ac:dyDescent="0.3">
      <c r="B557" s="28"/>
      <c r="C557" s="40"/>
      <c r="D557" s="28"/>
      <c r="E557" s="28"/>
      <c r="G557" s="40"/>
      <c r="H557" s="40"/>
      <c r="J557" s="40"/>
    </row>
    <row r="558" spans="1:25" s="57" customFormat="1" x14ac:dyDescent="0.3">
      <c r="A558" s="38"/>
      <c r="B558" s="28"/>
      <c r="C558" s="40"/>
      <c r="D558" s="28"/>
      <c r="E558" s="28"/>
      <c r="F558" s="38"/>
      <c r="G558" s="40"/>
      <c r="H558" s="40"/>
      <c r="I558" s="38"/>
      <c r="J558" s="40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</row>
    <row r="559" spans="1:25" s="57" customFormat="1" x14ac:dyDescent="0.3">
      <c r="A559" s="38"/>
      <c r="B559" s="28"/>
      <c r="C559" s="40"/>
      <c r="D559" s="28"/>
      <c r="E559" s="28"/>
      <c r="F559" s="38"/>
      <c r="G559" s="40"/>
      <c r="H559" s="40"/>
      <c r="I559" s="38"/>
      <c r="J559" s="40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</row>
    <row r="560" spans="1:25" s="57" customFormat="1" x14ac:dyDescent="0.3">
      <c r="A560" s="38"/>
      <c r="B560" s="28"/>
      <c r="C560" s="40"/>
      <c r="D560" s="28"/>
      <c r="E560" s="28"/>
      <c r="F560" s="38"/>
      <c r="G560" s="40"/>
      <c r="H560" s="40"/>
      <c r="I560" s="38"/>
      <c r="J560" s="40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</row>
    <row r="561" spans="1:25" s="57" customFormat="1" x14ac:dyDescent="0.3">
      <c r="A561" s="38"/>
      <c r="B561" s="28"/>
      <c r="C561" s="40"/>
      <c r="D561" s="28"/>
      <c r="E561" s="28"/>
      <c r="F561" s="38"/>
      <c r="G561" s="40"/>
      <c r="H561" s="40"/>
      <c r="I561" s="38"/>
      <c r="J561" s="40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</row>
    <row r="562" spans="1:25" s="57" customFormat="1" x14ac:dyDescent="0.3">
      <c r="A562" s="38"/>
      <c r="B562" s="28"/>
      <c r="C562" s="40"/>
      <c r="D562" s="28"/>
      <c r="E562" s="28"/>
      <c r="F562" s="38"/>
      <c r="G562" s="40"/>
      <c r="H562" s="40"/>
      <c r="I562" s="38"/>
      <c r="J562" s="40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</row>
    <row r="563" spans="1:25" s="57" customFormat="1" x14ac:dyDescent="0.3">
      <c r="A563" s="38"/>
      <c r="B563" s="28"/>
      <c r="C563" s="40"/>
      <c r="D563" s="28"/>
      <c r="E563" s="28"/>
      <c r="F563" s="38"/>
      <c r="G563" s="40"/>
      <c r="H563" s="40"/>
      <c r="I563" s="38"/>
      <c r="J563" s="40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</row>
    <row r="564" spans="1:25" s="57" customFormat="1" x14ac:dyDescent="0.3">
      <c r="A564" s="38"/>
      <c r="B564" s="28"/>
      <c r="C564" s="40"/>
      <c r="D564" s="28"/>
      <c r="E564" s="28"/>
      <c r="F564" s="38"/>
      <c r="G564" s="40"/>
      <c r="H564" s="40"/>
      <c r="I564" s="38"/>
      <c r="J564" s="40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</row>
    <row r="565" spans="1:25" s="57" customFormat="1" x14ac:dyDescent="0.3">
      <c r="A565" s="38"/>
      <c r="B565" s="28"/>
      <c r="C565" s="40"/>
      <c r="D565" s="28"/>
      <c r="E565" s="28"/>
      <c r="F565" s="38"/>
      <c r="G565" s="40"/>
      <c r="H565" s="40"/>
      <c r="I565" s="38"/>
      <c r="J565" s="40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</row>
    <row r="566" spans="1:25" s="57" customFormat="1" x14ac:dyDescent="0.3">
      <c r="A566" s="38"/>
      <c r="B566" s="28"/>
      <c r="C566" s="40"/>
      <c r="D566" s="28"/>
      <c r="E566" s="28"/>
      <c r="F566" s="38"/>
      <c r="G566" s="40"/>
      <c r="H566" s="40"/>
      <c r="I566" s="38"/>
      <c r="J566" s="40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</row>
    <row r="567" spans="1:25" s="57" customFormat="1" x14ac:dyDescent="0.3">
      <c r="A567" s="38"/>
      <c r="B567" s="28"/>
      <c r="C567" s="40"/>
      <c r="D567" s="28"/>
      <c r="E567" s="28"/>
      <c r="F567" s="38"/>
      <c r="G567" s="40"/>
      <c r="H567" s="40"/>
      <c r="I567" s="38"/>
      <c r="J567" s="40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</row>
    <row r="568" spans="1:25" s="57" customFormat="1" x14ac:dyDescent="0.3">
      <c r="A568" s="38"/>
      <c r="B568" s="28"/>
      <c r="C568" s="40"/>
      <c r="D568" s="28"/>
      <c r="E568" s="28"/>
      <c r="F568" s="38"/>
      <c r="G568" s="40"/>
      <c r="H568" s="40"/>
      <c r="I568" s="38"/>
      <c r="J568" s="40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</row>
    <row r="569" spans="1:25" s="57" customFormat="1" x14ac:dyDescent="0.3">
      <c r="A569" s="38"/>
      <c r="B569" s="28"/>
      <c r="C569" s="40"/>
      <c r="D569" s="28"/>
      <c r="E569" s="28"/>
      <c r="F569" s="38"/>
      <c r="G569" s="40"/>
      <c r="H569" s="40"/>
      <c r="I569" s="38"/>
      <c r="J569" s="40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</row>
    <row r="570" spans="1:25" s="57" customFormat="1" x14ac:dyDescent="0.3">
      <c r="A570" s="38"/>
      <c r="B570" s="28"/>
      <c r="C570" s="40"/>
      <c r="D570" s="28"/>
      <c r="E570" s="28"/>
      <c r="F570" s="38"/>
      <c r="G570" s="40"/>
      <c r="H570" s="40"/>
      <c r="I570" s="38"/>
      <c r="J570" s="40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</row>
    <row r="571" spans="1:25" s="57" customFormat="1" x14ac:dyDescent="0.3">
      <c r="A571" s="38"/>
      <c r="B571" s="28"/>
      <c r="C571" s="40"/>
      <c r="D571" s="28"/>
      <c r="E571" s="28"/>
      <c r="F571" s="38"/>
      <c r="G571" s="40"/>
      <c r="H571" s="40"/>
      <c r="I571" s="38"/>
      <c r="J571" s="40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</row>
    <row r="572" spans="1:25" s="57" customFormat="1" x14ac:dyDescent="0.3">
      <c r="A572" s="38"/>
      <c r="B572" s="28"/>
      <c r="C572" s="40"/>
      <c r="D572" s="28"/>
      <c r="E572" s="28"/>
      <c r="F572" s="38"/>
      <c r="G572" s="40"/>
      <c r="H572" s="40"/>
      <c r="I572" s="38"/>
      <c r="J572" s="40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</row>
    <row r="573" spans="1:25" s="57" customFormat="1" x14ac:dyDescent="0.3">
      <c r="A573" s="38"/>
      <c r="B573" s="28"/>
      <c r="C573" s="40"/>
      <c r="D573" s="28"/>
      <c r="E573" s="28"/>
      <c r="F573" s="38"/>
      <c r="G573" s="40"/>
      <c r="H573" s="40"/>
      <c r="I573" s="38"/>
      <c r="J573" s="40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</row>
    <row r="574" spans="1:25" s="57" customFormat="1" x14ac:dyDescent="0.3">
      <c r="A574" s="38"/>
      <c r="B574" s="28"/>
      <c r="C574" s="40"/>
      <c r="D574" s="28"/>
      <c r="E574" s="28"/>
      <c r="F574" s="38"/>
      <c r="G574" s="40"/>
      <c r="H574" s="40"/>
      <c r="I574" s="38"/>
      <c r="J574" s="40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</row>
    <row r="575" spans="1:25" s="57" customFormat="1" x14ac:dyDescent="0.3">
      <c r="A575" s="38"/>
      <c r="B575" s="28"/>
      <c r="C575" s="40"/>
      <c r="D575" s="28"/>
      <c r="E575" s="28"/>
      <c r="F575" s="38"/>
      <c r="G575" s="40"/>
      <c r="H575" s="40"/>
      <c r="I575" s="38"/>
      <c r="J575" s="40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</row>
    <row r="576" spans="1:25" s="57" customFormat="1" x14ac:dyDescent="0.3">
      <c r="A576" s="38"/>
      <c r="B576" s="28"/>
      <c r="C576" s="40"/>
      <c r="D576" s="28"/>
      <c r="E576" s="28"/>
      <c r="F576" s="38"/>
      <c r="G576" s="40"/>
      <c r="H576" s="40"/>
      <c r="I576" s="38"/>
      <c r="J576" s="40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</row>
    <row r="577" spans="1:25" s="57" customFormat="1" x14ac:dyDescent="0.3">
      <c r="A577" s="38"/>
      <c r="B577" s="28"/>
      <c r="C577" s="40"/>
      <c r="D577" s="28"/>
      <c r="E577" s="28"/>
      <c r="F577" s="38"/>
      <c r="G577" s="40"/>
      <c r="H577" s="40"/>
      <c r="I577" s="38"/>
      <c r="J577" s="40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</row>
    <row r="578" spans="1:25" s="57" customFormat="1" x14ac:dyDescent="0.3">
      <c r="B578" s="58"/>
      <c r="C578" s="59"/>
      <c r="D578" s="58"/>
      <c r="E578" s="58"/>
      <c r="G578" s="59"/>
      <c r="H578" s="59"/>
      <c r="J578" s="59"/>
    </row>
    <row r="579" spans="1:25" s="57" customFormat="1" x14ac:dyDescent="0.3">
      <c r="B579" s="58"/>
      <c r="C579" s="59"/>
      <c r="D579" s="58"/>
      <c r="E579" s="58"/>
      <c r="G579" s="59"/>
      <c r="H579" s="59"/>
      <c r="J579" s="59"/>
    </row>
    <row r="580" spans="1:25" s="57" customFormat="1" x14ac:dyDescent="0.3">
      <c r="B580" s="58"/>
      <c r="C580" s="59"/>
      <c r="D580" s="58"/>
      <c r="E580" s="58"/>
      <c r="G580" s="59"/>
      <c r="H580" s="59"/>
      <c r="J580" s="59"/>
    </row>
    <row r="581" spans="1:25" s="57" customFormat="1" x14ac:dyDescent="0.3">
      <c r="B581" s="58"/>
      <c r="C581" s="59"/>
      <c r="D581" s="58"/>
      <c r="E581" s="58"/>
      <c r="G581" s="59"/>
      <c r="H581" s="59"/>
      <c r="J581" s="59"/>
    </row>
    <row r="582" spans="1:25" s="57" customFormat="1" x14ac:dyDescent="0.3">
      <c r="B582" s="58"/>
      <c r="C582" s="59"/>
      <c r="D582" s="58"/>
      <c r="E582" s="58"/>
      <c r="G582" s="59"/>
      <c r="H582" s="59"/>
      <c r="J582" s="59"/>
    </row>
    <row r="583" spans="1:25" s="57" customFormat="1" x14ac:dyDescent="0.3">
      <c r="B583" s="58"/>
      <c r="C583" s="59"/>
      <c r="D583" s="58"/>
      <c r="E583" s="58"/>
      <c r="G583" s="59"/>
      <c r="H583" s="59"/>
      <c r="J583" s="59"/>
    </row>
    <row r="584" spans="1:25" s="57" customFormat="1" x14ac:dyDescent="0.3">
      <c r="B584" s="58"/>
      <c r="C584" s="59"/>
      <c r="D584" s="58"/>
      <c r="E584" s="58"/>
      <c r="G584" s="59"/>
      <c r="H584" s="59"/>
      <c r="J584" s="59"/>
    </row>
    <row r="585" spans="1:25" s="57" customFormat="1" x14ac:dyDescent="0.3">
      <c r="B585" s="58"/>
      <c r="C585" s="59"/>
      <c r="D585" s="58"/>
      <c r="E585" s="58"/>
      <c r="G585" s="59"/>
      <c r="H585" s="59"/>
      <c r="J585" s="59"/>
    </row>
    <row r="586" spans="1:25" s="57" customFormat="1" x14ac:dyDescent="0.3">
      <c r="B586" s="58"/>
      <c r="C586" s="59"/>
      <c r="D586" s="58"/>
      <c r="E586" s="58"/>
      <c r="G586" s="59"/>
      <c r="H586" s="59"/>
      <c r="J586" s="59"/>
    </row>
    <row r="587" spans="1:25" s="57" customFormat="1" x14ac:dyDescent="0.3">
      <c r="B587" s="58"/>
      <c r="C587" s="59"/>
      <c r="D587" s="58"/>
      <c r="E587" s="58"/>
      <c r="G587" s="59"/>
      <c r="H587" s="59"/>
      <c r="J587" s="59"/>
    </row>
    <row r="588" spans="1:25" s="57" customFormat="1" x14ac:dyDescent="0.3">
      <c r="B588" s="58"/>
      <c r="C588" s="59"/>
      <c r="D588" s="58"/>
      <c r="E588" s="58"/>
      <c r="G588" s="59"/>
      <c r="H588" s="59"/>
      <c r="J588" s="59"/>
    </row>
    <row r="589" spans="1:25" s="57" customFormat="1" x14ac:dyDescent="0.3">
      <c r="B589" s="58"/>
      <c r="C589" s="59"/>
      <c r="D589" s="58"/>
      <c r="E589" s="58"/>
      <c r="G589" s="59"/>
      <c r="H589" s="59"/>
      <c r="J589" s="59"/>
    </row>
    <row r="590" spans="1:25" s="57" customFormat="1" x14ac:dyDescent="0.3">
      <c r="B590" s="58"/>
      <c r="C590" s="59"/>
      <c r="D590" s="58"/>
      <c r="E590" s="58"/>
      <c r="G590" s="59"/>
      <c r="H590" s="59"/>
      <c r="J590" s="59"/>
    </row>
    <row r="591" spans="1:25" s="57" customFormat="1" x14ac:dyDescent="0.3">
      <c r="B591" s="58"/>
      <c r="C591" s="59"/>
      <c r="D591" s="58"/>
      <c r="E591" s="58"/>
      <c r="G591" s="59"/>
      <c r="H591" s="59"/>
      <c r="J591" s="59"/>
    </row>
    <row r="592" spans="1:25" s="57" customFormat="1" x14ac:dyDescent="0.3">
      <c r="B592" s="58"/>
      <c r="C592" s="59"/>
      <c r="D592" s="58"/>
      <c r="E592" s="58"/>
      <c r="G592" s="59"/>
      <c r="H592" s="59"/>
      <c r="J592" s="59"/>
    </row>
    <row r="593" spans="2:10" s="57" customFormat="1" x14ac:dyDescent="0.3">
      <c r="B593" s="58"/>
      <c r="C593" s="59"/>
      <c r="D593" s="58"/>
      <c r="E593" s="58"/>
      <c r="G593" s="59"/>
      <c r="H593" s="59"/>
      <c r="J593" s="59"/>
    </row>
    <row r="594" spans="2:10" s="57" customFormat="1" x14ac:dyDescent="0.3">
      <c r="B594" s="58"/>
      <c r="C594" s="59"/>
      <c r="D594" s="58"/>
      <c r="E594" s="58"/>
      <c r="G594" s="59"/>
      <c r="H594" s="59"/>
      <c r="J594" s="59"/>
    </row>
    <row r="595" spans="2:10" s="57" customFormat="1" x14ac:dyDescent="0.3">
      <c r="B595" s="58"/>
      <c r="C595" s="59"/>
      <c r="D595" s="58"/>
      <c r="E595" s="58"/>
      <c r="G595" s="59"/>
      <c r="H595" s="59"/>
      <c r="J595" s="59"/>
    </row>
    <row r="596" spans="2:10" s="57" customFormat="1" x14ac:dyDescent="0.3">
      <c r="B596" s="58"/>
      <c r="C596" s="59"/>
      <c r="D596" s="58"/>
      <c r="E596" s="58"/>
      <c r="G596" s="59"/>
      <c r="H596" s="59"/>
      <c r="J596" s="59"/>
    </row>
    <row r="597" spans="2:10" s="57" customFormat="1" x14ac:dyDescent="0.3">
      <c r="B597" s="58"/>
      <c r="C597" s="59"/>
      <c r="D597" s="58"/>
      <c r="E597" s="58"/>
      <c r="G597" s="59"/>
      <c r="H597" s="59"/>
      <c r="J597" s="59"/>
    </row>
    <row r="598" spans="2:10" s="57" customFormat="1" x14ac:dyDescent="0.3">
      <c r="B598" s="58"/>
      <c r="C598" s="59"/>
      <c r="D598" s="58"/>
      <c r="E598" s="58"/>
      <c r="G598" s="59"/>
      <c r="H598" s="59"/>
      <c r="J598" s="59"/>
    </row>
    <row r="599" spans="2:10" s="57" customFormat="1" x14ac:dyDescent="0.3">
      <c r="B599" s="58"/>
      <c r="C599" s="59"/>
      <c r="D599" s="58"/>
      <c r="E599" s="58"/>
      <c r="G599" s="59"/>
      <c r="H599" s="59"/>
      <c r="J599" s="59"/>
    </row>
    <row r="600" spans="2:10" s="57" customFormat="1" x14ac:dyDescent="0.3">
      <c r="B600" s="58"/>
      <c r="C600" s="59"/>
      <c r="D600" s="58"/>
      <c r="E600" s="58"/>
      <c r="G600" s="59"/>
      <c r="H600" s="59"/>
      <c r="J600" s="59"/>
    </row>
    <row r="601" spans="2:10" s="57" customFormat="1" x14ac:dyDescent="0.3">
      <c r="B601" s="58"/>
      <c r="C601" s="59"/>
      <c r="D601" s="58"/>
      <c r="E601" s="58"/>
      <c r="G601" s="59"/>
      <c r="H601" s="59"/>
      <c r="J601" s="59"/>
    </row>
    <row r="602" spans="2:10" s="57" customFormat="1" x14ac:dyDescent="0.3">
      <c r="B602" s="58"/>
      <c r="C602" s="59"/>
      <c r="D602" s="58"/>
      <c r="E602" s="58"/>
      <c r="G602" s="59"/>
      <c r="H602" s="59"/>
      <c r="J602" s="59"/>
    </row>
    <row r="603" spans="2:10" s="57" customFormat="1" x14ac:dyDescent="0.3">
      <c r="B603" s="58"/>
      <c r="C603" s="59"/>
      <c r="D603" s="58"/>
      <c r="E603" s="58"/>
      <c r="G603" s="59"/>
      <c r="H603" s="59"/>
      <c r="J603" s="59"/>
    </row>
    <row r="604" spans="2:10" s="57" customFormat="1" x14ac:dyDescent="0.3">
      <c r="B604" s="58"/>
      <c r="C604" s="59"/>
      <c r="D604" s="58"/>
      <c r="E604" s="58"/>
      <c r="G604" s="59"/>
      <c r="H604" s="59"/>
      <c r="J604" s="59"/>
    </row>
    <row r="605" spans="2:10" s="57" customFormat="1" x14ac:dyDescent="0.3">
      <c r="B605" s="58"/>
      <c r="C605" s="59"/>
      <c r="D605" s="58"/>
      <c r="E605" s="58"/>
      <c r="G605" s="59"/>
      <c r="H605" s="59"/>
      <c r="J605" s="59"/>
    </row>
    <row r="606" spans="2:10" s="57" customFormat="1" x14ac:dyDescent="0.3">
      <c r="B606" s="58"/>
      <c r="C606" s="59"/>
      <c r="D606" s="58"/>
      <c r="E606" s="58"/>
      <c r="G606" s="59"/>
      <c r="H606" s="59"/>
      <c r="J606" s="59"/>
    </row>
    <row r="607" spans="2:10" s="57" customFormat="1" x14ac:dyDescent="0.3">
      <c r="B607" s="58"/>
      <c r="C607" s="59"/>
      <c r="D607" s="58"/>
      <c r="E607" s="58"/>
      <c r="G607" s="59"/>
      <c r="H607" s="59"/>
      <c r="J607" s="59"/>
    </row>
    <row r="608" spans="2:10" s="57" customFormat="1" x14ac:dyDescent="0.3">
      <c r="B608" s="58"/>
      <c r="C608" s="59"/>
      <c r="D608" s="58"/>
      <c r="E608" s="58"/>
      <c r="G608" s="59"/>
      <c r="H608" s="59"/>
      <c r="J608" s="59"/>
    </row>
    <row r="609" spans="2:10" s="57" customFormat="1" x14ac:dyDescent="0.3">
      <c r="B609" s="58"/>
      <c r="C609" s="59"/>
      <c r="D609" s="58"/>
      <c r="E609" s="58"/>
      <c r="G609" s="59"/>
      <c r="H609" s="59"/>
      <c r="J609" s="59"/>
    </row>
    <row r="610" spans="2:10" s="57" customFormat="1" x14ac:dyDescent="0.3">
      <c r="B610" s="58"/>
      <c r="C610" s="59"/>
      <c r="D610" s="58"/>
      <c r="E610" s="58"/>
      <c r="G610" s="59"/>
      <c r="H610" s="59"/>
      <c r="J610" s="59"/>
    </row>
    <row r="611" spans="2:10" s="57" customFormat="1" x14ac:dyDescent="0.3">
      <c r="B611" s="58"/>
      <c r="C611" s="59"/>
      <c r="D611" s="58"/>
      <c r="E611" s="58"/>
      <c r="G611" s="59"/>
      <c r="H611" s="59"/>
      <c r="J611" s="59"/>
    </row>
    <row r="612" spans="2:10" s="57" customFormat="1" x14ac:dyDescent="0.3">
      <c r="B612" s="58"/>
      <c r="C612" s="59"/>
      <c r="D612" s="58"/>
      <c r="E612" s="58"/>
      <c r="G612" s="59"/>
      <c r="H612" s="59"/>
      <c r="J612" s="59"/>
    </row>
    <row r="613" spans="2:10" s="57" customFormat="1" x14ac:dyDescent="0.3">
      <c r="B613" s="58"/>
      <c r="C613" s="59"/>
      <c r="D613" s="58"/>
      <c r="E613" s="58"/>
      <c r="G613" s="59"/>
      <c r="H613" s="59"/>
      <c r="J613" s="59"/>
    </row>
    <row r="614" spans="2:10" s="57" customFormat="1" x14ac:dyDescent="0.3">
      <c r="B614" s="58"/>
      <c r="C614" s="59"/>
      <c r="D614" s="58"/>
      <c r="E614" s="58"/>
      <c r="G614" s="59"/>
      <c r="H614" s="59"/>
      <c r="J614" s="59"/>
    </row>
    <row r="615" spans="2:10" s="57" customFormat="1" x14ac:dyDescent="0.3">
      <c r="B615" s="58"/>
      <c r="C615" s="59"/>
      <c r="D615" s="58"/>
      <c r="E615" s="58"/>
      <c r="G615" s="59"/>
      <c r="H615" s="59"/>
      <c r="J615" s="59"/>
    </row>
    <row r="616" spans="2:10" s="57" customFormat="1" x14ac:dyDescent="0.3">
      <c r="B616" s="58"/>
      <c r="C616" s="59"/>
      <c r="D616" s="58"/>
      <c r="E616" s="58"/>
      <c r="G616" s="59"/>
      <c r="H616" s="59"/>
      <c r="J616" s="59"/>
    </row>
    <row r="617" spans="2:10" s="57" customFormat="1" x14ac:dyDescent="0.3">
      <c r="B617" s="58"/>
      <c r="C617" s="59"/>
      <c r="D617" s="58"/>
      <c r="E617" s="58"/>
      <c r="G617" s="59"/>
      <c r="H617" s="59"/>
      <c r="J617" s="59"/>
    </row>
    <row r="618" spans="2:10" s="57" customFormat="1" x14ac:dyDescent="0.3">
      <c r="B618" s="58"/>
      <c r="C618" s="59"/>
      <c r="D618" s="58"/>
      <c r="E618" s="58"/>
      <c r="G618" s="59"/>
      <c r="H618" s="59"/>
      <c r="J618" s="59"/>
    </row>
    <row r="619" spans="2:10" s="57" customFormat="1" x14ac:dyDescent="0.3">
      <c r="B619" s="58"/>
      <c r="C619" s="59"/>
      <c r="D619" s="58"/>
      <c r="E619" s="58"/>
      <c r="G619" s="59"/>
      <c r="H619" s="59"/>
      <c r="J619" s="59"/>
    </row>
    <row r="620" spans="2:10" s="57" customFormat="1" x14ac:dyDescent="0.3">
      <c r="B620" s="58"/>
      <c r="C620" s="59"/>
      <c r="D620" s="58"/>
      <c r="E620" s="58"/>
      <c r="G620" s="59"/>
      <c r="H620" s="59"/>
      <c r="J620" s="59"/>
    </row>
    <row r="621" spans="2:10" s="57" customFormat="1" x14ac:dyDescent="0.3">
      <c r="B621" s="58"/>
      <c r="C621" s="59"/>
      <c r="D621" s="58"/>
      <c r="E621" s="58"/>
      <c r="G621" s="59"/>
      <c r="H621" s="59"/>
      <c r="J621" s="59"/>
    </row>
    <row r="622" spans="2:10" s="57" customFormat="1" x14ac:dyDescent="0.3">
      <c r="B622" s="58"/>
      <c r="C622" s="59"/>
      <c r="D622" s="58"/>
      <c r="E622" s="58"/>
      <c r="G622" s="59"/>
      <c r="H622" s="59"/>
      <c r="J622" s="59"/>
    </row>
    <row r="623" spans="2:10" s="57" customFormat="1" x14ac:dyDescent="0.3">
      <c r="B623" s="58"/>
      <c r="C623" s="59"/>
      <c r="D623" s="58"/>
      <c r="E623" s="58"/>
      <c r="G623" s="59"/>
      <c r="H623" s="59"/>
      <c r="J623" s="59"/>
    </row>
    <row r="624" spans="2:10" s="57" customFormat="1" x14ac:dyDescent="0.3">
      <c r="B624" s="58"/>
      <c r="C624" s="59"/>
      <c r="D624" s="58"/>
      <c r="E624" s="58"/>
      <c r="G624" s="59"/>
      <c r="H624" s="59"/>
      <c r="J624" s="59"/>
    </row>
    <row r="625" spans="2:10" s="57" customFormat="1" x14ac:dyDescent="0.3">
      <c r="B625" s="58"/>
      <c r="C625" s="59"/>
      <c r="D625" s="58"/>
      <c r="E625" s="58"/>
      <c r="G625" s="59"/>
      <c r="H625" s="59"/>
      <c r="J625" s="59"/>
    </row>
    <row r="626" spans="2:10" s="57" customFormat="1" x14ac:dyDescent="0.3">
      <c r="B626" s="58"/>
      <c r="C626" s="59"/>
      <c r="D626" s="58"/>
      <c r="E626" s="58"/>
      <c r="G626" s="59"/>
      <c r="H626" s="59"/>
      <c r="J626" s="59"/>
    </row>
    <row r="627" spans="2:10" s="57" customFormat="1" x14ac:dyDescent="0.3">
      <c r="B627" s="58"/>
      <c r="C627" s="59"/>
      <c r="D627" s="58"/>
      <c r="E627" s="58"/>
      <c r="G627" s="59"/>
      <c r="H627" s="59"/>
      <c r="J627" s="59"/>
    </row>
    <row r="628" spans="2:10" s="57" customFormat="1" x14ac:dyDescent="0.3">
      <c r="B628" s="58"/>
      <c r="C628" s="59"/>
      <c r="D628" s="58"/>
      <c r="E628" s="58"/>
      <c r="G628" s="59"/>
      <c r="H628" s="59"/>
      <c r="J628" s="59"/>
    </row>
    <row r="629" spans="2:10" s="57" customFormat="1" x14ac:dyDescent="0.3">
      <c r="B629" s="58"/>
      <c r="C629" s="59"/>
      <c r="D629" s="58"/>
      <c r="E629" s="58"/>
      <c r="G629" s="59"/>
      <c r="H629" s="59"/>
      <c r="J629" s="59"/>
    </row>
    <row r="630" spans="2:10" s="57" customFormat="1" x14ac:dyDescent="0.3">
      <c r="B630" s="58"/>
      <c r="C630" s="59"/>
      <c r="D630" s="58"/>
      <c r="E630" s="58"/>
      <c r="G630" s="59"/>
      <c r="H630" s="59"/>
      <c r="J630" s="59"/>
    </row>
    <row r="631" spans="2:10" s="57" customFormat="1" x14ac:dyDescent="0.3">
      <c r="B631" s="58"/>
      <c r="C631" s="59"/>
      <c r="D631" s="58"/>
      <c r="E631" s="58"/>
      <c r="G631" s="59"/>
      <c r="H631" s="59"/>
      <c r="J631" s="59"/>
    </row>
    <row r="632" spans="2:10" s="57" customFormat="1" x14ac:dyDescent="0.3">
      <c r="B632" s="58"/>
      <c r="C632" s="59"/>
      <c r="D632" s="58"/>
      <c r="E632" s="58"/>
      <c r="G632" s="59"/>
      <c r="H632" s="59"/>
      <c r="J632" s="59"/>
    </row>
    <row r="633" spans="2:10" s="57" customFormat="1" x14ac:dyDescent="0.3">
      <c r="B633" s="58"/>
      <c r="C633" s="59"/>
      <c r="D633" s="58"/>
      <c r="E633" s="58"/>
      <c r="G633" s="59"/>
      <c r="H633" s="59"/>
      <c r="J633" s="59"/>
    </row>
    <row r="634" spans="2:10" s="57" customFormat="1" x14ac:dyDescent="0.3">
      <c r="B634" s="58"/>
      <c r="C634" s="59"/>
      <c r="D634" s="58"/>
      <c r="E634" s="58"/>
      <c r="G634" s="59"/>
      <c r="H634" s="59"/>
      <c r="J634" s="59"/>
    </row>
    <row r="635" spans="2:10" s="57" customFormat="1" x14ac:dyDescent="0.3">
      <c r="B635" s="58"/>
      <c r="C635" s="59"/>
      <c r="D635" s="58"/>
      <c r="E635" s="58"/>
      <c r="G635" s="59"/>
      <c r="H635" s="59"/>
      <c r="J635" s="59"/>
    </row>
    <row r="636" spans="2:10" s="57" customFormat="1" x14ac:dyDescent="0.3">
      <c r="B636" s="58"/>
      <c r="C636" s="59"/>
      <c r="D636" s="58"/>
      <c r="E636" s="58"/>
      <c r="G636" s="59"/>
      <c r="H636" s="59"/>
      <c r="J636" s="59"/>
    </row>
    <row r="637" spans="2:10" s="57" customFormat="1" x14ac:dyDescent="0.3">
      <c r="B637" s="58"/>
      <c r="C637" s="59"/>
      <c r="D637" s="58"/>
      <c r="E637" s="58"/>
      <c r="G637" s="59"/>
      <c r="H637" s="59"/>
      <c r="J637" s="59"/>
    </row>
    <row r="638" spans="2:10" s="57" customFormat="1" x14ac:dyDescent="0.3">
      <c r="B638" s="58"/>
      <c r="C638" s="59"/>
      <c r="D638" s="58"/>
      <c r="E638" s="58"/>
      <c r="G638" s="59"/>
      <c r="H638" s="59"/>
      <c r="J638" s="59"/>
    </row>
    <row r="639" spans="2:10" s="57" customFormat="1" x14ac:dyDescent="0.3">
      <c r="B639" s="58"/>
      <c r="C639" s="59"/>
      <c r="D639" s="58"/>
      <c r="E639" s="58"/>
      <c r="G639" s="59"/>
      <c r="H639" s="59"/>
      <c r="J639" s="59"/>
    </row>
    <row r="640" spans="2:10" s="57" customFormat="1" x14ac:dyDescent="0.3">
      <c r="B640" s="58"/>
      <c r="C640" s="59"/>
      <c r="D640" s="58"/>
      <c r="E640" s="58"/>
      <c r="G640" s="59"/>
      <c r="H640" s="59"/>
      <c r="J640" s="59"/>
    </row>
    <row r="641" spans="2:10" s="57" customFormat="1" x14ac:dyDescent="0.3">
      <c r="B641" s="58"/>
      <c r="C641" s="59"/>
      <c r="D641" s="58"/>
      <c r="E641" s="58"/>
      <c r="G641" s="59"/>
      <c r="H641" s="59"/>
      <c r="J641" s="59"/>
    </row>
    <row r="642" spans="2:10" s="57" customFormat="1" x14ac:dyDescent="0.3">
      <c r="B642" s="58"/>
      <c r="C642" s="59"/>
      <c r="D642" s="58"/>
      <c r="E642" s="58"/>
      <c r="G642" s="59"/>
      <c r="H642" s="59"/>
      <c r="J642" s="59"/>
    </row>
    <row r="643" spans="2:10" s="57" customFormat="1" x14ac:dyDescent="0.3">
      <c r="B643" s="58"/>
      <c r="C643" s="59"/>
      <c r="D643" s="58"/>
      <c r="E643" s="58"/>
      <c r="G643" s="59"/>
      <c r="H643" s="59"/>
      <c r="J643" s="59"/>
    </row>
    <row r="644" spans="2:10" s="57" customFormat="1" x14ac:dyDescent="0.3">
      <c r="B644" s="58"/>
      <c r="C644" s="59"/>
      <c r="D644" s="58"/>
      <c r="E644" s="58"/>
      <c r="G644" s="59"/>
      <c r="H644" s="59"/>
      <c r="J644" s="59"/>
    </row>
    <row r="645" spans="2:10" s="57" customFormat="1" x14ac:dyDescent="0.3">
      <c r="B645" s="58"/>
      <c r="C645" s="59"/>
      <c r="D645" s="58"/>
      <c r="E645" s="58"/>
      <c r="G645" s="59"/>
      <c r="H645" s="59"/>
      <c r="J645" s="59"/>
    </row>
    <row r="646" spans="2:10" s="57" customFormat="1" x14ac:dyDescent="0.3">
      <c r="B646" s="58"/>
      <c r="C646" s="59"/>
      <c r="D646" s="58"/>
      <c r="E646" s="58"/>
      <c r="G646" s="59"/>
      <c r="H646" s="59"/>
      <c r="J646" s="59"/>
    </row>
    <row r="647" spans="2:10" s="57" customFormat="1" x14ac:dyDescent="0.3">
      <c r="B647" s="58"/>
      <c r="C647" s="59"/>
      <c r="D647" s="58"/>
      <c r="E647" s="58"/>
      <c r="G647" s="59"/>
      <c r="H647" s="59"/>
      <c r="J647" s="59"/>
    </row>
    <row r="648" spans="2:10" s="57" customFormat="1" x14ac:dyDescent="0.3">
      <c r="B648" s="58"/>
      <c r="C648" s="59"/>
      <c r="D648" s="58"/>
      <c r="E648" s="58"/>
      <c r="G648" s="59"/>
      <c r="H648" s="59"/>
      <c r="J648" s="59"/>
    </row>
    <row r="649" spans="2:10" s="57" customFormat="1" x14ac:dyDescent="0.3">
      <c r="B649" s="58"/>
      <c r="C649" s="59"/>
      <c r="D649" s="58"/>
      <c r="E649" s="58"/>
      <c r="G649" s="59"/>
      <c r="H649" s="59"/>
      <c r="J649" s="59"/>
    </row>
    <row r="650" spans="2:10" s="57" customFormat="1" x14ac:dyDescent="0.3">
      <c r="B650" s="58"/>
      <c r="C650" s="59"/>
      <c r="D650" s="58"/>
      <c r="E650" s="58"/>
      <c r="G650" s="59"/>
      <c r="H650" s="59"/>
      <c r="J650" s="59"/>
    </row>
    <row r="651" spans="2:10" s="57" customFormat="1" x14ac:dyDescent="0.3">
      <c r="B651" s="58"/>
      <c r="C651" s="59"/>
      <c r="D651" s="58"/>
      <c r="E651" s="58"/>
      <c r="G651" s="59"/>
      <c r="H651" s="59"/>
      <c r="J651" s="59"/>
    </row>
    <row r="652" spans="2:10" s="57" customFormat="1" x14ac:dyDescent="0.3">
      <c r="B652" s="58"/>
      <c r="C652" s="59"/>
      <c r="D652" s="58"/>
      <c r="E652" s="58"/>
      <c r="G652" s="59"/>
      <c r="H652" s="59"/>
      <c r="J652" s="59"/>
    </row>
    <row r="653" spans="2:10" s="57" customFormat="1" x14ac:dyDescent="0.3">
      <c r="B653" s="58"/>
      <c r="C653" s="59"/>
      <c r="D653" s="58"/>
      <c r="E653" s="58"/>
      <c r="G653" s="59"/>
      <c r="H653" s="59"/>
      <c r="J653" s="59"/>
    </row>
    <row r="654" spans="2:10" s="57" customFormat="1" x14ac:dyDescent="0.3">
      <c r="B654" s="58"/>
      <c r="C654" s="59"/>
      <c r="D654" s="58"/>
      <c r="E654" s="58"/>
      <c r="G654" s="59"/>
      <c r="H654" s="59"/>
      <c r="J654" s="59"/>
    </row>
    <row r="655" spans="2:10" s="57" customFormat="1" x14ac:dyDescent="0.3">
      <c r="B655" s="58"/>
      <c r="C655" s="59"/>
      <c r="D655" s="58"/>
      <c r="E655" s="58"/>
      <c r="G655" s="59"/>
      <c r="H655" s="59"/>
      <c r="J655" s="59"/>
    </row>
    <row r="656" spans="2:10" s="57" customFormat="1" x14ac:dyDescent="0.3">
      <c r="B656" s="58"/>
      <c r="C656" s="59"/>
      <c r="D656" s="58"/>
      <c r="E656" s="58"/>
      <c r="G656" s="59"/>
      <c r="H656" s="59"/>
      <c r="J656" s="59"/>
    </row>
    <row r="657" spans="2:10" s="57" customFormat="1" x14ac:dyDescent="0.3">
      <c r="B657" s="58"/>
      <c r="C657" s="59"/>
      <c r="D657" s="58"/>
      <c r="E657" s="58"/>
      <c r="G657" s="59"/>
      <c r="H657" s="59"/>
      <c r="J657" s="59"/>
    </row>
    <row r="658" spans="2:10" s="57" customFormat="1" x14ac:dyDescent="0.3">
      <c r="B658" s="58"/>
      <c r="C658" s="59"/>
      <c r="D658" s="58"/>
      <c r="E658" s="58"/>
      <c r="G658" s="59"/>
      <c r="H658" s="59"/>
      <c r="J658" s="59"/>
    </row>
    <row r="659" spans="2:10" s="57" customFormat="1" x14ac:dyDescent="0.3">
      <c r="B659" s="58"/>
      <c r="C659" s="59"/>
      <c r="D659" s="58"/>
      <c r="E659" s="58"/>
      <c r="G659" s="59"/>
      <c r="H659" s="59"/>
      <c r="J659" s="59"/>
    </row>
    <row r="660" spans="2:10" s="57" customFormat="1" x14ac:dyDescent="0.3">
      <c r="B660" s="58"/>
      <c r="C660" s="59"/>
      <c r="D660" s="58"/>
      <c r="E660" s="58"/>
      <c r="G660" s="59"/>
      <c r="H660" s="59"/>
      <c r="J660" s="59"/>
    </row>
    <row r="661" spans="2:10" s="57" customFormat="1" x14ac:dyDescent="0.3">
      <c r="B661" s="58"/>
      <c r="C661" s="59"/>
      <c r="D661" s="58"/>
      <c r="E661" s="58"/>
      <c r="G661" s="59"/>
      <c r="H661" s="59"/>
      <c r="J661" s="59"/>
    </row>
    <row r="662" spans="2:10" s="57" customFormat="1" x14ac:dyDescent="0.3">
      <c r="B662" s="58"/>
      <c r="C662" s="59"/>
      <c r="D662" s="58"/>
      <c r="E662" s="58"/>
      <c r="G662" s="59"/>
      <c r="H662" s="59"/>
      <c r="J662" s="59"/>
    </row>
    <row r="663" spans="2:10" s="57" customFormat="1" x14ac:dyDescent="0.3">
      <c r="B663" s="58"/>
      <c r="C663" s="59"/>
      <c r="D663" s="58"/>
      <c r="E663" s="58"/>
      <c r="G663" s="59"/>
      <c r="H663" s="59"/>
      <c r="J663" s="59"/>
    </row>
    <row r="664" spans="2:10" s="57" customFormat="1" x14ac:dyDescent="0.3">
      <c r="B664" s="58"/>
      <c r="C664" s="59"/>
      <c r="D664" s="58"/>
      <c r="E664" s="58"/>
      <c r="G664" s="59"/>
      <c r="H664" s="59"/>
      <c r="J664" s="59"/>
    </row>
    <row r="665" spans="2:10" s="57" customFormat="1" x14ac:dyDescent="0.3">
      <c r="B665" s="58"/>
      <c r="C665" s="59"/>
      <c r="D665" s="58"/>
      <c r="E665" s="58"/>
      <c r="G665" s="59"/>
      <c r="H665" s="59"/>
      <c r="J665" s="59"/>
    </row>
    <row r="666" spans="2:10" s="57" customFormat="1" x14ac:dyDescent="0.3">
      <c r="B666" s="58"/>
      <c r="C666" s="59"/>
      <c r="D666" s="58"/>
      <c r="E666" s="58"/>
      <c r="G666" s="59"/>
      <c r="H666" s="59"/>
      <c r="J666" s="59"/>
    </row>
    <row r="667" spans="2:10" s="57" customFormat="1" x14ac:dyDescent="0.3">
      <c r="B667" s="58"/>
      <c r="C667" s="59"/>
      <c r="D667" s="58"/>
      <c r="E667" s="58"/>
      <c r="G667" s="59"/>
      <c r="H667" s="59"/>
      <c r="J667" s="59"/>
    </row>
    <row r="668" spans="2:10" s="57" customFormat="1" x14ac:dyDescent="0.3">
      <c r="B668" s="58"/>
      <c r="C668" s="59"/>
      <c r="D668" s="58"/>
      <c r="E668" s="58"/>
      <c r="G668" s="59"/>
      <c r="H668" s="59"/>
      <c r="J668" s="59"/>
    </row>
    <row r="669" spans="2:10" s="57" customFormat="1" x14ac:dyDescent="0.3">
      <c r="B669" s="58"/>
      <c r="C669" s="59"/>
      <c r="D669" s="58"/>
      <c r="E669" s="58"/>
      <c r="G669" s="59"/>
      <c r="H669" s="59"/>
      <c r="J669" s="59"/>
    </row>
    <row r="670" spans="2:10" s="57" customFormat="1" x14ac:dyDescent="0.3">
      <c r="B670" s="58"/>
      <c r="C670" s="59"/>
      <c r="D670" s="58"/>
      <c r="E670" s="58"/>
      <c r="G670" s="59"/>
      <c r="H670" s="59"/>
      <c r="J670" s="59"/>
    </row>
    <row r="671" spans="2:10" s="57" customFormat="1" x14ac:dyDescent="0.3">
      <c r="B671" s="58"/>
      <c r="C671" s="59"/>
      <c r="D671" s="58"/>
      <c r="E671" s="58"/>
      <c r="G671" s="59"/>
      <c r="H671" s="59"/>
      <c r="J671" s="59"/>
    </row>
    <row r="672" spans="2:10" s="57" customFormat="1" x14ac:dyDescent="0.3">
      <c r="B672" s="58"/>
      <c r="C672" s="59"/>
      <c r="D672" s="58"/>
      <c r="E672" s="58"/>
      <c r="G672" s="59"/>
      <c r="H672" s="59"/>
      <c r="J672" s="59"/>
    </row>
    <row r="673" spans="1:25" s="57" customFormat="1" x14ac:dyDescent="0.3">
      <c r="B673" s="58"/>
      <c r="C673" s="59"/>
      <c r="D673" s="58"/>
      <c r="E673" s="58"/>
      <c r="G673" s="59"/>
      <c r="H673" s="59"/>
      <c r="J673" s="59"/>
    </row>
    <row r="674" spans="1:25" s="57" customFormat="1" x14ac:dyDescent="0.3">
      <c r="B674" s="58"/>
      <c r="C674" s="59"/>
      <c r="D674" s="58"/>
      <c r="E674" s="58"/>
      <c r="G674" s="59"/>
      <c r="H674" s="59"/>
      <c r="J674" s="59"/>
    </row>
    <row r="675" spans="1:25" s="57" customFormat="1" x14ac:dyDescent="0.3">
      <c r="B675" s="58"/>
      <c r="C675" s="59"/>
      <c r="D675" s="58"/>
      <c r="E675" s="58"/>
      <c r="G675" s="59"/>
      <c r="H675" s="59"/>
      <c r="J675" s="59"/>
    </row>
    <row r="676" spans="1:25" s="57" customFormat="1" x14ac:dyDescent="0.3">
      <c r="B676" s="58"/>
      <c r="C676" s="59"/>
      <c r="D676" s="58"/>
      <c r="E676" s="58"/>
      <c r="G676" s="59"/>
      <c r="H676" s="59"/>
      <c r="J676" s="59"/>
    </row>
    <row r="677" spans="1:25" s="57" customFormat="1" x14ac:dyDescent="0.3">
      <c r="B677" s="58"/>
      <c r="C677" s="59"/>
      <c r="D677" s="58"/>
      <c r="E677" s="58"/>
      <c r="G677" s="59"/>
      <c r="H677" s="59"/>
      <c r="J677" s="59"/>
    </row>
    <row r="678" spans="1:25" s="57" customFormat="1" x14ac:dyDescent="0.3">
      <c r="B678" s="58"/>
      <c r="C678" s="59"/>
      <c r="D678" s="58"/>
      <c r="E678" s="58"/>
      <c r="G678" s="59"/>
      <c r="H678" s="59"/>
      <c r="J678" s="59"/>
    </row>
    <row r="679" spans="1:25" s="57" customFormat="1" x14ac:dyDescent="0.3">
      <c r="B679" s="58"/>
      <c r="C679" s="59"/>
      <c r="D679" s="58"/>
      <c r="E679" s="58"/>
      <c r="G679" s="59"/>
      <c r="H679" s="59"/>
      <c r="J679" s="59"/>
    </row>
    <row r="680" spans="1:25" s="54" customFormat="1" x14ac:dyDescent="0.3">
      <c r="A680" s="57"/>
      <c r="B680" s="58"/>
      <c r="C680" s="59"/>
      <c r="D680" s="58"/>
      <c r="E680" s="58"/>
      <c r="F680" s="57"/>
      <c r="G680" s="59"/>
      <c r="H680" s="59"/>
      <c r="I680" s="57"/>
      <c r="J680" s="59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</row>
    <row r="681" spans="1:25" s="54" customFormat="1" x14ac:dyDescent="0.3">
      <c r="A681" s="57"/>
      <c r="B681" s="58"/>
      <c r="C681" s="59"/>
      <c r="D681" s="58"/>
      <c r="E681" s="58"/>
      <c r="F681" s="57"/>
      <c r="G681" s="59"/>
      <c r="H681" s="59"/>
      <c r="I681" s="57"/>
      <c r="J681" s="59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</row>
    <row r="682" spans="1:25" s="54" customFormat="1" x14ac:dyDescent="0.3">
      <c r="A682" s="57"/>
      <c r="B682" s="58"/>
      <c r="C682" s="59"/>
      <c r="D682" s="58"/>
      <c r="E682" s="58"/>
      <c r="F682" s="57"/>
      <c r="G682" s="59"/>
      <c r="H682" s="59"/>
      <c r="I682" s="57"/>
      <c r="J682" s="59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</row>
    <row r="683" spans="1:25" s="54" customFormat="1" x14ac:dyDescent="0.3">
      <c r="A683" s="57"/>
      <c r="B683" s="58"/>
      <c r="C683" s="59"/>
      <c r="D683" s="58"/>
      <c r="E683" s="58"/>
      <c r="F683" s="57"/>
      <c r="G683" s="59"/>
      <c r="H683" s="59"/>
      <c r="I683" s="57"/>
      <c r="J683" s="59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</row>
    <row r="684" spans="1:25" s="54" customFormat="1" x14ac:dyDescent="0.3">
      <c r="A684" s="57"/>
      <c r="B684" s="58"/>
      <c r="C684" s="59"/>
      <c r="D684" s="58"/>
      <c r="E684" s="58"/>
      <c r="F684" s="57"/>
      <c r="G684" s="59"/>
      <c r="H684" s="59"/>
      <c r="I684" s="57"/>
      <c r="J684" s="59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</row>
    <row r="685" spans="1:25" s="54" customFormat="1" x14ac:dyDescent="0.3">
      <c r="A685" s="57"/>
      <c r="B685" s="58"/>
      <c r="C685" s="59"/>
      <c r="D685" s="58"/>
      <c r="E685" s="58"/>
      <c r="F685" s="57"/>
      <c r="G685" s="59"/>
      <c r="H685" s="59"/>
      <c r="I685" s="57"/>
      <c r="J685" s="59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</row>
    <row r="686" spans="1:25" s="54" customFormat="1" x14ac:dyDescent="0.3">
      <c r="A686" s="57"/>
      <c r="B686" s="58"/>
      <c r="C686" s="59"/>
      <c r="D686" s="58"/>
      <c r="E686" s="58"/>
      <c r="F686" s="57"/>
      <c r="G686" s="59"/>
      <c r="H686" s="59"/>
      <c r="I686" s="57"/>
      <c r="J686" s="59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</row>
    <row r="687" spans="1:25" s="54" customFormat="1" x14ac:dyDescent="0.3">
      <c r="A687" s="57"/>
      <c r="B687" s="58"/>
      <c r="C687" s="59"/>
      <c r="D687" s="58"/>
      <c r="E687" s="58"/>
      <c r="F687" s="57"/>
      <c r="G687" s="59"/>
      <c r="H687" s="59"/>
      <c r="I687" s="57"/>
      <c r="J687" s="59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</row>
    <row r="688" spans="1:25" s="54" customFormat="1" x14ac:dyDescent="0.3">
      <c r="A688" s="57"/>
      <c r="B688" s="58"/>
      <c r="C688" s="59"/>
      <c r="D688" s="58"/>
      <c r="E688" s="58"/>
      <c r="F688" s="57"/>
      <c r="G688" s="59"/>
      <c r="H688" s="59"/>
      <c r="I688" s="57"/>
      <c r="J688" s="59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</row>
    <row r="689" spans="1:25" s="54" customFormat="1" x14ac:dyDescent="0.3">
      <c r="A689" s="57"/>
      <c r="B689" s="58"/>
      <c r="C689" s="59"/>
      <c r="D689" s="58"/>
      <c r="E689" s="58"/>
      <c r="F689" s="57"/>
      <c r="G689" s="59"/>
      <c r="H689" s="59"/>
      <c r="I689" s="57"/>
      <c r="J689" s="59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</row>
    <row r="690" spans="1:25" s="54" customFormat="1" x14ac:dyDescent="0.3">
      <c r="A690" s="57"/>
      <c r="B690" s="58"/>
      <c r="C690" s="59"/>
      <c r="D690" s="58"/>
      <c r="E690" s="58"/>
      <c r="F690" s="57"/>
      <c r="G690" s="59"/>
      <c r="H690" s="59"/>
      <c r="I690" s="57"/>
      <c r="J690" s="59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</row>
    <row r="691" spans="1:25" s="54" customFormat="1" x14ac:dyDescent="0.3">
      <c r="A691" s="57"/>
      <c r="B691" s="58"/>
      <c r="C691" s="59"/>
      <c r="D691" s="58"/>
      <c r="E691" s="58"/>
      <c r="F691" s="57"/>
      <c r="G691" s="59"/>
      <c r="H691" s="59"/>
      <c r="I691" s="57"/>
      <c r="J691" s="59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</row>
    <row r="692" spans="1:25" s="54" customFormat="1" x14ac:dyDescent="0.3">
      <c r="A692" s="57"/>
      <c r="B692" s="58"/>
      <c r="C692" s="59"/>
      <c r="D692" s="58"/>
      <c r="E692" s="58"/>
      <c r="F692" s="57"/>
      <c r="G692" s="59"/>
      <c r="H692" s="59"/>
      <c r="I692" s="57"/>
      <c r="J692" s="59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</row>
    <row r="693" spans="1:25" s="54" customFormat="1" x14ac:dyDescent="0.3">
      <c r="A693" s="57"/>
      <c r="B693" s="58"/>
      <c r="C693" s="59"/>
      <c r="D693" s="58"/>
      <c r="E693" s="58"/>
      <c r="F693" s="57"/>
      <c r="G693" s="59"/>
      <c r="H693" s="59"/>
      <c r="I693" s="57"/>
      <c r="J693" s="59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</row>
    <row r="694" spans="1:25" s="54" customFormat="1" x14ac:dyDescent="0.3">
      <c r="A694" s="57"/>
      <c r="B694" s="58"/>
      <c r="C694" s="59"/>
      <c r="D694" s="58"/>
      <c r="E694" s="58"/>
      <c r="F694" s="57"/>
      <c r="G694" s="59"/>
      <c r="H694" s="59"/>
      <c r="I694" s="57"/>
      <c r="J694" s="59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</row>
    <row r="695" spans="1:25" s="54" customFormat="1" x14ac:dyDescent="0.3">
      <c r="A695" s="57"/>
      <c r="B695" s="58"/>
      <c r="C695" s="59"/>
      <c r="D695" s="58"/>
      <c r="E695" s="58"/>
      <c r="F695" s="57"/>
      <c r="G695" s="59"/>
      <c r="H695" s="59"/>
      <c r="I695" s="57"/>
      <c r="J695" s="59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</row>
    <row r="696" spans="1:25" s="54" customFormat="1" x14ac:dyDescent="0.3">
      <c r="A696" s="57"/>
      <c r="B696" s="58"/>
      <c r="C696" s="59"/>
      <c r="D696" s="58"/>
      <c r="E696" s="58"/>
      <c r="F696" s="57"/>
      <c r="G696" s="59"/>
      <c r="H696" s="59"/>
      <c r="I696" s="57"/>
      <c r="J696" s="59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</row>
    <row r="697" spans="1:25" s="54" customFormat="1" x14ac:dyDescent="0.3">
      <c r="A697" s="57"/>
      <c r="B697" s="58"/>
      <c r="C697" s="59"/>
      <c r="D697" s="58"/>
      <c r="E697" s="58"/>
      <c r="F697" s="57"/>
      <c r="G697" s="59"/>
      <c r="H697" s="59"/>
      <c r="I697" s="57"/>
      <c r="J697" s="59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</row>
    <row r="698" spans="1:25" s="54" customFormat="1" x14ac:dyDescent="0.3">
      <c r="A698" s="57"/>
      <c r="B698" s="58"/>
      <c r="C698" s="59"/>
      <c r="D698" s="58"/>
      <c r="E698" s="58"/>
      <c r="F698" s="57"/>
      <c r="G698" s="59"/>
      <c r="H698" s="59"/>
      <c r="I698" s="57"/>
      <c r="J698" s="59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</row>
    <row r="699" spans="1:25" s="54" customFormat="1" x14ac:dyDescent="0.3">
      <c r="A699" s="57"/>
      <c r="B699" s="58"/>
      <c r="C699" s="59"/>
      <c r="D699" s="58"/>
      <c r="E699" s="58"/>
      <c r="F699" s="57"/>
      <c r="G699" s="59"/>
      <c r="H699" s="59"/>
      <c r="I699" s="57"/>
      <c r="J699" s="59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</row>
    <row r="700" spans="1:25" s="54" customFormat="1" x14ac:dyDescent="0.3">
      <c r="B700" s="55"/>
      <c r="C700" s="56"/>
      <c r="D700" s="55"/>
      <c r="E700" s="55"/>
      <c r="G700" s="56"/>
      <c r="H700" s="56"/>
      <c r="J700" s="56"/>
    </row>
    <row r="701" spans="1:25" s="54" customFormat="1" x14ac:dyDescent="0.3">
      <c r="B701" s="55"/>
      <c r="C701" s="56"/>
      <c r="D701" s="55"/>
      <c r="E701" s="55"/>
      <c r="G701" s="56"/>
      <c r="H701" s="56"/>
      <c r="J701" s="56"/>
    </row>
    <row r="702" spans="1:25" s="54" customFormat="1" x14ac:dyDescent="0.3">
      <c r="B702" s="55"/>
      <c r="C702" s="56"/>
      <c r="D702" s="55"/>
      <c r="E702" s="55"/>
      <c r="G702" s="56"/>
      <c r="H702" s="56"/>
      <c r="J702" s="56"/>
    </row>
    <row r="703" spans="1:25" s="54" customFormat="1" x14ac:dyDescent="0.3">
      <c r="B703" s="55"/>
      <c r="C703" s="56"/>
      <c r="D703" s="55"/>
      <c r="E703" s="55"/>
      <c r="G703" s="56"/>
      <c r="H703" s="56"/>
      <c r="J703" s="56"/>
    </row>
    <row r="704" spans="1:25" s="54" customFormat="1" x14ac:dyDescent="0.3">
      <c r="B704" s="55"/>
      <c r="C704" s="56"/>
      <c r="D704" s="55"/>
      <c r="E704" s="55"/>
      <c r="G704" s="56"/>
      <c r="H704" s="56"/>
      <c r="J704" s="56"/>
    </row>
    <row r="705" spans="2:10" s="54" customFormat="1" x14ac:dyDescent="0.3">
      <c r="B705" s="55"/>
      <c r="C705" s="56"/>
      <c r="D705" s="55"/>
      <c r="E705" s="55"/>
      <c r="G705" s="56"/>
      <c r="H705" s="56"/>
      <c r="J705" s="56"/>
    </row>
    <row r="706" spans="2:10" s="54" customFormat="1" x14ac:dyDescent="0.3">
      <c r="B706" s="55"/>
      <c r="C706" s="56"/>
      <c r="D706" s="55"/>
      <c r="E706" s="55"/>
      <c r="G706" s="56"/>
      <c r="H706" s="56"/>
      <c r="J706" s="56"/>
    </row>
    <row r="707" spans="2:10" s="54" customFormat="1" x14ac:dyDescent="0.3">
      <c r="B707" s="55"/>
      <c r="C707" s="56"/>
      <c r="D707" s="55"/>
      <c r="E707" s="55"/>
      <c r="G707" s="56"/>
      <c r="H707" s="56"/>
      <c r="J707" s="56"/>
    </row>
    <row r="708" spans="2:10" s="54" customFormat="1" x14ac:dyDescent="0.3">
      <c r="B708" s="55"/>
      <c r="C708" s="56"/>
      <c r="D708" s="55"/>
      <c r="E708" s="55"/>
      <c r="G708" s="56"/>
      <c r="H708" s="56"/>
      <c r="J708" s="56"/>
    </row>
    <row r="709" spans="2:10" s="54" customFormat="1" x14ac:dyDescent="0.3">
      <c r="B709" s="55"/>
      <c r="C709" s="56"/>
      <c r="D709" s="55"/>
      <c r="E709" s="55"/>
      <c r="G709" s="56"/>
      <c r="H709" s="56"/>
      <c r="J709" s="56"/>
    </row>
    <row r="710" spans="2:10" s="54" customFormat="1" x14ac:dyDescent="0.3">
      <c r="B710" s="55"/>
      <c r="C710" s="56"/>
      <c r="D710" s="55"/>
      <c r="E710" s="55"/>
      <c r="G710" s="56"/>
      <c r="H710" s="56"/>
      <c r="J710" s="56"/>
    </row>
    <row r="711" spans="2:10" s="54" customFormat="1" x14ac:dyDescent="0.3">
      <c r="B711" s="55"/>
      <c r="C711" s="56"/>
      <c r="D711" s="55"/>
      <c r="E711" s="55"/>
      <c r="G711" s="56"/>
      <c r="H711" s="56"/>
      <c r="J711" s="56"/>
    </row>
    <row r="712" spans="2:10" s="54" customFormat="1" x14ac:dyDescent="0.3">
      <c r="B712" s="55"/>
      <c r="C712" s="56"/>
      <c r="D712" s="55"/>
      <c r="E712" s="55"/>
      <c r="G712" s="56"/>
      <c r="H712" s="56"/>
      <c r="J712" s="56"/>
    </row>
    <row r="713" spans="2:10" s="54" customFormat="1" x14ac:dyDescent="0.3">
      <c r="B713" s="55"/>
      <c r="C713" s="56"/>
      <c r="D713" s="55"/>
      <c r="E713" s="55"/>
      <c r="G713" s="56"/>
      <c r="H713" s="56"/>
      <c r="J713" s="56"/>
    </row>
    <row r="714" spans="2:10" s="54" customFormat="1" x14ac:dyDescent="0.3">
      <c r="B714" s="55"/>
      <c r="C714" s="56"/>
      <c r="D714" s="55"/>
      <c r="E714" s="55"/>
      <c r="G714" s="56"/>
      <c r="H714" s="56"/>
      <c r="J714" s="56"/>
    </row>
    <row r="715" spans="2:10" s="54" customFormat="1" x14ac:dyDescent="0.3">
      <c r="B715" s="55"/>
      <c r="C715" s="56"/>
      <c r="D715" s="55"/>
      <c r="E715" s="55"/>
      <c r="G715" s="56"/>
      <c r="H715" s="56"/>
      <c r="J715" s="56"/>
    </row>
    <row r="716" spans="2:10" s="54" customFormat="1" x14ac:dyDescent="0.3">
      <c r="B716" s="55"/>
      <c r="C716" s="56"/>
      <c r="D716" s="55"/>
      <c r="E716" s="55"/>
      <c r="G716" s="56"/>
      <c r="H716" s="56"/>
      <c r="J716" s="56"/>
    </row>
    <row r="717" spans="2:10" s="54" customFormat="1" x14ac:dyDescent="0.3">
      <c r="B717" s="55"/>
      <c r="C717" s="56"/>
      <c r="D717" s="55"/>
      <c r="E717" s="55"/>
      <c r="G717" s="56"/>
      <c r="H717" s="56"/>
      <c r="J717" s="56"/>
    </row>
    <row r="718" spans="2:10" s="54" customFormat="1" x14ac:dyDescent="0.3">
      <c r="B718" s="55"/>
      <c r="C718" s="56"/>
      <c r="D718" s="55"/>
      <c r="E718" s="55"/>
      <c r="G718" s="56"/>
      <c r="H718" s="56"/>
      <c r="J718" s="56"/>
    </row>
    <row r="719" spans="2:10" s="54" customFormat="1" x14ac:dyDescent="0.3">
      <c r="B719" s="55"/>
      <c r="C719" s="56"/>
      <c r="D719" s="55"/>
      <c r="E719" s="55"/>
      <c r="G719" s="56"/>
      <c r="H719" s="56"/>
      <c r="J719" s="56"/>
    </row>
    <row r="720" spans="2:10" s="54" customFormat="1" x14ac:dyDescent="0.3">
      <c r="B720" s="55"/>
      <c r="C720" s="56"/>
      <c r="D720" s="55"/>
      <c r="E720" s="55"/>
      <c r="G720" s="56"/>
      <c r="H720" s="56"/>
      <c r="J720" s="56"/>
    </row>
    <row r="721" spans="2:10" s="54" customFormat="1" x14ac:dyDescent="0.3">
      <c r="B721" s="55"/>
      <c r="C721" s="56"/>
      <c r="D721" s="55"/>
      <c r="E721" s="55"/>
      <c r="G721" s="56"/>
      <c r="H721" s="56"/>
      <c r="J721" s="56"/>
    </row>
    <row r="722" spans="2:10" s="54" customFormat="1" x14ac:dyDescent="0.3">
      <c r="B722" s="55"/>
      <c r="C722" s="56"/>
      <c r="D722" s="55"/>
      <c r="E722" s="55"/>
      <c r="G722" s="56"/>
      <c r="H722" s="56"/>
      <c r="J722" s="56"/>
    </row>
    <row r="723" spans="2:10" s="54" customFormat="1" x14ac:dyDescent="0.3">
      <c r="B723" s="55"/>
      <c r="C723" s="56"/>
      <c r="D723" s="55"/>
      <c r="E723" s="55"/>
      <c r="G723" s="56"/>
      <c r="H723" s="56"/>
      <c r="J723" s="56"/>
    </row>
    <row r="724" spans="2:10" s="54" customFormat="1" x14ac:dyDescent="0.3">
      <c r="B724" s="55"/>
      <c r="C724" s="56"/>
      <c r="D724" s="55"/>
      <c r="E724" s="55"/>
      <c r="G724" s="56"/>
      <c r="H724" s="56"/>
      <c r="J724" s="56"/>
    </row>
    <row r="725" spans="2:10" s="54" customFormat="1" x14ac:dyDescent="0.3">
      <c r="B725" s="55"/>
      <c r="C725" s="56"/>
      <c r="D725" s="55"/>
      <c r="E725" s="55"/>
      <c r="G725" s="56"/>
      <c r="H725" s="56"/>
      <c r="J725" s="56"/>
    </row>
    <row r="726" spans="2:10" s="54" customFormat="1" x14ac:dyDescent="0.3">
      <c r="B726" s="55"/>
      <c r="C726" s="56"/>
      <c r="D726" s="55"/>
      <c r="E726" s="55"/>
      <c r="G726" s="56"/>
      <c r="H726" s="56"/>
      <c r="J726" s="56"/>
    </row>
    <row r="727" spans="2:10" s="54" customFormat="1" x14ac:dyDescent="0.3">
      <c r="B727" s="55"/>
      <c r="C727" s="56"/>
      <c r="D727" s="55"/>
      <c r="E727" s="55"/>
      <c r="G727" s="56"/>
      <c r="H727" s="56"/>
      <c r="J727" s="56"/>
    </row>
    <row r="728" spans="2:10" s="54" customFormat="1" x14ac:dyDescent="0.3">
      <c r="B728" s="55"/>
      <c r="C728" s="56"/>
      <c r="D728" s="55"/>
      <c r="E728" s="55"/>
      <c r="G728" s="56"/>
      <c r="H728" s="56"/>
      <c r="J728" s="56"/>
    </row>
    <row r="729" spans="2:10" s="54" customFormat="1" x14ac:dyDescent="0.3">
      <c r="B729" s="55"/>
      <c r="C729" s="56"/>
      <c r="D729" s="55"/>
      <c r="E729" s="55"/>
      <c r="G729" s="56"/>
      <c r="H729" s="56"/>
      <c r="J729" s="56"/>
    </row>
    <row r="730" spans="2:10" s="54" customFormat="1" x14ac:dyDescent="0.3">
      <c r="B730" s="55"/>
      <c r="C730" s="56"/>
      <c r="D730" s="55"/>
      <c r="E730" s="55"/>
      <c r="G730" s="56"/>
      <c r="H730" s="56"/>
      <c r="J730" s="56"/>
    </row>
    <row r="731" spans="2:10" s="54" customFormat="1" x14ac:dyDescent="0.3">
      <c r="B731" s="55"/>
      <c r="C731" s="56"/>
      <c r="D731" s="55"/>
      <c r="E731" s="55"/>
      <c r="G731" s="56"/>
      <c r="H731" s="56"/>
      <c r="J731" s="56"/>
    </row>
    <row r="732" spans="2:10" s="54" customFormat="1" x14ac:dyDescent="0.3">
      <c r="B732" s="55"/>
      <c r="C732" s="56"/>
      <c r="D732" s="55"/>
      <c r="E732" s="55"/>
      <c r="G732" s="56"/>
      <c r="H732" s="56"/>
      <c r="J732" s="56"/>
    </row>
    <row r="733" spans="2:10" s="54" customFormat="1" x14ac:dyDescent="0.3">
      <c r="B733" s="55"/>
      <c r="C733" s="56"/>
      <c r="D733" s="55"/>
      <c r="E733" s="55"/>
      <c r="G733" s="56"/>
      <c r="H733" s="56"/>
      <c r="J733" s="56"/>
    </row>
    <row r="734" spans="2:10" s="54" customFormat="1" x14ac:dyDescent="0.3">
      <c r="B734" s="55"/>
      <c r="C734" s="56"/>
      <c r="D734" s="55"/>
      <c r="E734" s="55"/>
      <c r="G734" s="56"/>
      <c r="H734" s="56"/>
      <c r="J734" s="56"/>
    </row>
    <row r="735" spans="2:10" s="54" customFormat="1" x14ac:dyDescent="0.3">
      <c r="B735" s="55"/>
      <c r="C735" s="56"/>
      <c r="D735" s="55"/>
      <c r="E735" s="55"/>
      <c r="G735" s="56"/>
      <c r="H735" s="56"/>
      <c r="J735" s="56"/>
    </row>
    <row r="736" spans="2:10" s="54" customFormat="1" x14ac:dyDescent="0.3">
      <c r="B736" s="55"/>
      <c r="C736" s="56"/>
      <c r="D736" s="55"/>
      <c r="E736" s="55"/>
      <c r="G736" s="56"/>
      <c r="H736" s="56"/>
      <c r="J736" s="56"/>
    </row>
    <row r="737" spans="2:10" s="54" customFormat="1" x14ac:dyDescent="0.3">
      <c r="B737" s="55"/>
      <c r="C737" s="56"/>
      <c r="D737" s="55"/>
      <c r="E737" s="55"/>
      <c r="G737" s="56"/>
      <c r="H737" s="56"/>
      <c r="J737" s="56"/>
    </row>
    <row r="738" spans="2:10" s="54" customFormat="1" x14ac:dyDescent="0.3">
      <c r="B738" s="55"/>
      <c r="C738" s="56"/>
      <c r="D738" s="55"/>
      <c r="E738" s="55"/>
      <c r="G738" s="56"/>
      <c r="H738" s="56"/>
      <c r="J738" s="56"/>
    </row>
    <row r="739" spans="2:10" s="54" customFormat="1" x14ac:dyDescent="0.3">
      <c r="B739" s="55"/>
      <c r="C739" s="56"/>
      <c r="D739" s="55"/>
      <c r="E739" s="55"/>
      <c r="G739" s="56"/>
      <c r="H739" s="56"/>
      <c r="J739" s="56"/>
    </row>
    <row r="740" spans="2:10" s="54" customFormat="1" x14ac:dyDescent="0.3">
      <c r="B740" s="55"/>
      <c r="C740" s="56"/>
      <c r="D740" s="55"/>
      <c r="E740" s="55"/>
      <c r="G740" s="56"/>
      <c r="H740" s="56"/>
      <c r="J740" s="56"/>
    </row>
    <row r="741" spans="2:10" s="54" customFormat="1" x14ac:dyDescent="0.3">
      <c r="B741" s="55"/>
      <c r="C741" s="56"/>
      <c r="D741" s="55"/>
      <c r="E741" s="55"/>
      <c r="G741" s="56"/>
      <c r="H741" s="56"/>
      <c r="J741" s="56"/>
    </row>
    <row r="742" spans="2:10" s="54" customFormat="1" x14ac:dyDescent="0.3">
      <c r="B742" s="55"/>
      <c r="C742" s="56"/>
      <c r="D742" s="55"/>
      <c r="E742" s="55"/>
      <c r="G742" s="56"/>
      <c r="H742" s="56"/>
      <c r="J742" s="56"/>
    </row>
    <row r="743" spans="2:10" s="54" customFormat="1" x14ac:dyDescent="0.3">
      <c r="B743" s="55"/>
      <c r="C743" s="56"/>
      <c r="D743" s="55"/>
      <c r="E743" s="55"/>
      <c r="G743" s="56"/>
      <c r="H743" s="56"/>
      <c r="J743" s="56"/>
    </row>
    <row r="744" spans="2:10" s="54" customFormat="1" x14ac:dyDescent="0.3">
      <c r="B744" s="55"/>
      <c r="C744" s="56"/>
      <c r="D744" s="55"/>
      <c r="E744" s="55"/>
      <c r="G744" s="56"/>
      <c r="H744" s="56"/>
      <c r="J744" s="56"/>
    </row>
    <row r="745" spans="2:10" s="54" customFormat="1" x14ac:dyDescent="0.3">
      <c r="B745" s="55"/>
      <c r="C745" s="56"/>
      <c r="D745" s="55"/>
      <c r="E745" s="55"/>
      <c r="G745" s="56"/>
      <c r="H745" s="56"/>
      <c r="J745" s="56"/>
    </row>
    <row r="746" spans="2:10" s="54" customFormat="1" x14ac:dyDescent="0.3">
      <c r="B746" s="55"/>
      <c r="C746" s="56"/>
      <c r="D746" s="55"/>
      <c r="E746" s="55"/>
      <c r="G746" s="56"/>
      <c r="H746" s="56"/>
      <c r="J746" s="56"/>
    </row>
    <row r="747" spans="2:10" s="54" customFormat="1" x14ac:dyDescent="0.3">
      <c r="B747" s="55"/>
      <c r="C747" s="56"/>
      <c r="D747" s="55"/>
      <c r="E747" s="55"/>
      <c r="G747" s="56"/>
      <c r="H747" s="56"/>
      <c r="J747" s="56"/>
    </row>
    <row r="748" spans="2:10" s="54" customFormat="1" x14ac:dyDescent="0.3">
      <c r="B748" s="55"/>
      <c r="C748" s="56"/>
      <c r="D748" s="55"/>
      <c r="E748" s="55"/>
      <c r="G748" s="56"/>
      <c r="H748" s="56"/>
      <c r="J748" s="56"/>
    </row>
    <row r="749" spans="2:10" s="54" customFormat="1" x14ac:dyDescent="0.3">
      <c r="B749" s="55"/>
      <c r="C749" s="56"/>
      <c r="D749" s="55"/>
      <c r="E749" s="55"/>
      <c r="G749" s="56"/>
      <c r="H749" s="56"/>
      <c r="J749" s="56"/>
    </row>
    <row r="750" spans="2:10" s="54" customFormat="1" x14ac:dyDescent="0.3">
      <c r="B750" s="55"/>
      <c r="C750" s="56"/>
      <c r="D750" s="55"/>
      <c r="E750" s="55"/>
      <c r="G750" s="56"/>
      <c r="H750" s="56"/>
      <c r="J750" s="56"/>
    </row>
    <row r="751" spans="2:10" s="54" customFormat="1" x14ac:dyDescent="0.3">
      <c r="B751" s="55"/>
      <c r="C751" s="56"/>
      <c r="D751" s="55"/>
      <c r="E751" s="55"/>
      <c r="G751" s="56"/>
      <c r="H751" s="56"/>
      <c r="J751" s="56"/>
    </row>
    <row r="752" spans="2:10" s="54" customFormat="1" x14ac:dyDescent="0.3">
      <c r="B752" s="55"/>
      <c r="C752" s="56"/>
      <c r="D752" s="55"/>
      <c r="E752" s="55"/>
      <c r="G752" s="56"/>
      <c r="H752" s="56"/>
      <c r="J752" s="56"/>
    </row>
    <row r="753" spans="2:10" s="54" customFormat="1" x14ac:dyDescent="0.3">
      <c r="B753" s="55"/>
      <c r="C753" s="56"/>
      <c r="D753" s="55"/>
      <c r="E753" s="55"/>
      <c r="G753" s="56"/>
      <c r="H753" s="56"/>
      <c r="J753" s="56"/>
    </row>
    <row r="754" spans="2:10" s="54" customFormat="1" x14ac:dyDescent="0.3">
      <c r="B754" s="55"/>
      <c r="C754" s="56"/>
      <c r="D754" s="55"/>
      <c r="E754" s="55"/>
      <c r="G754" s="56"/>
      <c r="H754" s="56"/>
      <c r="J754" s="56"/>
    </row>
    <row r="755" spans="2:10" s="54" customFormat="1" x14ac:dyDescent="0.3">
      <c r="B755" s="55"/>
      <c r="C755" s="56"/>
      <c r="D755" s="55"/>
      <c r="E755" s="55"/>
      <c r="G755" s="56"/>
      <c r="H755" s="56"/>
      <c r="J755" s="56"/>
    </row>
    <row r="756" spans="2:10" s="54" customFormat="1" x14ac:dyDescent="0.3">
      <c r="B756" s="55"/>
      <c r="C756" s="56"/>
      <c r="D756" s="55"/>
      <c r="E756" s="55"/>
      <c r="G756" s="56"/>
      <c r="H756" s="56"/>
      <c r="J756" s="56"/>
    </row>
    <row r="757" spans="2:10" s="54" customFormat="1" x14ac:dyDescent="0.3">
      <c r="B757" s="55"/>
      <c r="C757" s="56"/>
      <c r="D757" s="55"/>
      <c r="E757" s="55"/>
      <c r="G757" s="56"/>
      <c r="H757" s="56"/>
      <c r="J757" s="56"/>
    </row>
    <row r="758" spans="2:10" s="54" customFormat="1" x14ac:dyDescent="0.3">
      <c r="B758" s="55"/>
      <c r="C758" s="56"/>
      <c r="D758" s="55"/>
      <c r="E758" s="55"/>
      <c r="G758" s="56"/>
      <c r="H758" s="56"/>
      <c r="J758" s="56"/>
    </row>
    <row r="759" spans="2:10" s="54" customFormat="1" x14ac:dyDescent="0.3">
      <c r="B759" s="55"/>
      <c r="C759" s="56"/>
      <c r="D759" s="55"/>
      <c r="E759" s="55"/>
      <c r="G759" s="56"/>
      <c r="H759" s="56"/>
      <c r="J759" s="56"/>
    </row>
    <row r="760" spans="2:10" s="54" customFormat="1" x14ac:dyDescent="0.3">
      <c r="B760" s="55"/>
      <c r="C760" s="56"/>
      <c r="D760" s="55"/>
      <c r="E760" s="55"/>
      <c r="G760" s="56"/>
      <c r="H760" s="56"/>
      <c r="J760" s="56"/>
    </row>
    <row r="761" spans="2:10" s="54" customFormat="1" x14ac:dyDescent="0.3">
      <c r="B761" s="55"/>
      <c r="C761" s="56"/>
      <c r="D761" s="55"/>
      <c r="E761" s="55"/>
      <c r="G761" s="56"/>
      <c r="H761" s="56"/>
      <c r="J761" s="56"/>
    </row>
    <row r="762" spans="2:10" s="54" customFormat="1" x14ac:dyDescent="0.3">
      <c r="B762" s="55"/>
      <c r="C762" s="56"/>
      <c r="D762" s="55"/>
      <c r="E762" s="55"/>
      <c r="G762" s="56"/>
      <c r="H762" s="56"/>
      <c r="J762" s="56"/>
    </row>
    <row r="763" spans="2:10" s="54" customFormat="1" x14ac:dyDescent="0.3">
      <c r="B763" s="55"/>
      <c r="C763" s="56"/>
      <c r="D763" s="55"/>
      <c r="E763" s="55"/>
      <c r="G763" s="56"/>
      <c r="H763" s="56"/>
      <c r="J763" s="56"/>
    </row>
    <row r="764" spans="2:10" s="54" customFormat="1" x14ac:dyDescent="0.3">
      <c r="B764" s="55"/>
      <c r="C764" s="56"/>
      <c r="D764" s="55"/>
      <c r="E764" s="55"/>
      <c r="G764" s="56"/>
      <c r="H764" s="56"/>
      <c r="J764" s="56"/>
    </row>
    <row r="765" spans="2:10" s="54" customFormat="1" x14ac:dyDescent="0.3">
      <c r="B765" s="55"/>
      <c r="C765" s="56"/>
      <c r="D765" s="55"/>
      <c r="E765" s="55"/>
      <c r="G765" s="56"/>
      <c r="H765" s="56"/>
      <c r="J765" s="56"/>
    </row>
    <row r="766" spans="2:10" s="54" customFormat="1" x14ac:dyDescent="0.3">
      <c r="B766" s="55"/>
      <c r="C766" s="56"/>
      <c r="D766" s="55"/>
      <c r="E766" s="55"/>
      <c r="G766" s="56"/>
      <c r="H766" s="56"/>
      <c r="J766" s="56"/>
    </row>
    <row r="767" spans="2:10" s="54" customFormat="1" x14ac:dyDescent="0.3">
      <c r="B767" s="55"/>
      <c r="C767" s="56"/>
      <c r="D767" s="55"/>
      <c r="E767" s="55"/>
      <c r="G767" s="56"/>
      <c r="H767" s="56"/>
      <c r="J767" s="56"/>
    </row>
    <row r="768" spans="2:10" s="54" customFormat="1" x14ac:dyDescent="0.3">
      <c r="B768" s="55"/>
      <c r="C768" s="56"/>
      <c r="D768" s="55"/>
      <c r="E768" s="55"/>
      <c r="G768" s="56"/>
      <c r="H768" s="56"/>
      <c r="J768" s="56"/>
    </row>
    <row r="769" spans="1:25" s="54" customFormat="1" x14ac:dyDescent="0.3">
      <c r="B769" s="55"/>
      <c r="C769" s="56"/>
      <c r="D769" s="55"/>
      <c r="E769" s="55"/>
      <c r="G769" s="56"/>
      <c r="H769" s="56"/>
      <c r="J769" s="56"/>
    </row>
    <row r="770" spans="1:25" s="54" customFormat="1" x14ac:dyDescent="0.3">
      <c r="B770" s="55"/>
      <c r="C770" s="56"/>
      <c r="D770" s="55"/>
      <c r="E770" s="55"/>
      <c r="G770" s="56"/>
      <c r="H770" s="56"/>
      <c r="J770" s="56"/>
    </row>
    <row r="771" spans="1:25" s="54" customFormat="1" x14ac:dyDescent="0.3">
      <c r="B771" s="55"/>
      <c r="C771" s="56"/>
      <c r="D771" s="55"/>
      <c r="E771" s="55"/>
      <c r="G771" s="56"/>
      <c r="H771" s="56"/>
      <c r="J771" s="56"/>
    </row>
    <row r="772" spans="1:25" s="54" customFormat="1" x14ac:dyDescent="0.3">
      <c r="B772" s="55"/>
      <c r="C772" s="56"/>
      <c r="D772" s="55"/>
      <c r="E772" s="55"/>
      <c r="G772" s="56"/>
      <c r="H772" s="56"/>
      <c r="J772" s="56"/>
    </row>
    <row r="773" spans="1:25" s="54" customFormat="1" x14ac:dyDescent="0.3">
      <c r="B773" s="55"/>
      <c r="C773" s="56"/>
      <c r="D773" s="55"/>
      <c r="E773" s="55"/>
      <c r="G773" s="56"/>
      <c r="H773" s="56"/>
      <c r="J773" s="56"/>
    </row>
    <row r="774" spans="1:25" s="54" customFormat="1" x14ac:dyDescent="0.3">
      <c r="B774" s="55"/>
      <c r="C774" s="56"/>
      <c r="D774" s="55"/>
      <c r="E774" s="55"/>
      <c r="G774" s="56"/>
      <c r="H774" s="56"/>
      <c r="J774" s="56"/>
    </row>
    <row r="775" spans="1:25" s="54" customFormat="1" x14ac:dyDescent="0.3">
      <c r="B775" s="55"/>
      <c r="C775" s="56"/>
      <c r="D775" s="55"/>
      <c r="E775" s="55"/>
      <c r="G775" s="56"/>
      <c r="H775" s="56"/>
      <c r="J775" s="56"/>
    </row>
    <row r="776" spans="1:25" s="54" customFormat="1" x14ac:dyDescent="0.3">
      <c r="B776" s="55"/>
      <c r="C776" s="56"/>
      <c r="D776" s="55"/>
      <c r="E776" s="55"/>
      <c r="G776" s="56"/>
      <c r="H776" s="56"/>
      <c r="J776" s="56"/>
    </row>
    <row r="777" spans="1:25" s="54" customFormat="1" x14ac:dyDescent="0.3">
      <c r="B777" s="55"/>
      <c r="C777" s="56"/>
      <c r="D777" s="55"/>
      <c r="E777" s="55"/>
      <c r="G777" s="56"/>
      <c r="H777" s="56"/>
      <c r="J777" s="56"/>
    </row>
    <row r="778" spans="1:25" s="54" customFormat="1" x14ac:dyDescent="0.3">
      <c r="B778" s="55"/>
      <c r="C778" s="56"/>
      <c r="D778" s="55"/>
      <c r="E778" s="55"/>
      <c r="G778" s="56"/>
      <c r="H778" s="56"/>
      <c r="J778" s="56"/>
    </row>
    <row r="779" spans="1:25" x14ac:dyDescent="0.3">
      <c r="A779" s="54"/>
      <c r="B779" s="55"/>
      <c r="C779" s="56"/>
      <c r="D779" s="55"/>
      <c r="E779" s="55"/>
      <c r="F779" s="54"/>
      <c r="G779" s="56"/>
      <c r="H779" s="56"/>
      <c r="I779" s="54"/>
      <c r="J779" s="56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</row>
    <row r="780" spans="1:25" x14ac:dyDescent="0.3">
      <c r="A780" s="54"/>
      <c r="B780" s="55"/>
      <c r="C780" s="56"/>
      <c r="D780" s="55"/>
      <c r="E780" s="55"/>
      <c r="F780" s="54"/>
      <c r="G780" s="56"/>
      <c r="H780" s="56"/>
      <c r="I780" s="54"/>
      <c r="J780" s="56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</row>
    <row r="781" spans="1:25" x14ac:dyDescent="0.3">
      <c r="A781" s="54"/>
      <c r="B781" s="55"/>
      <c r="C781" s="56"/>
      <c r="D781" s="55"/>
      <c r="E781" s="55"/>
      <c r="F781" s="54"/>
      <c r="G781" s="56"/>
      <c r="H781" s="56"/>
      <c r="I781" s="54"/>
      <c r="J781" s="56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</row>
    <row r="782" spans="1:25" x14ac:dyDescent="0.3">
      <c r="A782" s="54"/>
      <c r="B782" s="55"/>
      <c r="C782" s="56"/>
      <c r="D782" s="55"/>
      <c r="E782" s="55"/>
      <c r="F782" s="54"/>
      <c r="G782" s="56"/>
      <c r="H782" s="56"/>
      <c r="I782" s="54"/>
      <c r="J782" s="56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</row>
    <row r="783" spans="1:25" x14ac:dyDescent="0.3">
      <c r="A783" s="54"/>
      <c r="B783" s="55"/>
      <c r="C783" s="56"/>
      <c r="D783" s="55"/>
      <c r="E783" s="55"/>
      <c r="F783" s="54"/>
      <c r="G783" s="56"/>
      <c r="H783" s="56"/>
      <c r="I783" s="54"/>
      <c r="J783" s="56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</row>
    <row r="784" spans="1:25" x14ac:dyDescent="0.3">
      <c r="A784" s="54"/>
      <c r="B784" s="55"/>
      <c r="C784" s="56"/>
      <c r="D784" s="55"/>
      <c r="E784" s="55"/>
      <c r="F784" s="54"/>
      <c r="G784" s="56"/>
      <c r="H784" s="56"/>
      <c r="I784" s="54"/>
      <c r="J784" s="56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</row>
    <row r="785" spans="1:25" x14ac:dyDescent="0.3">
      <c r="A785" s="54"/>
      <c r="B785" s="55"/>
      <c r="C785" s="56"/>
      <c r="D785" s="55"/>
      <c r="E785" s="55"/>
      <c r="F785" s="54"/>
      <c r="G785" s="56"/>
      <c r="H785" s="56"/>
      <c r="I785" s="54"/>
      <c r="J785" s="56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</row>
    <row r="786" spans="1:25" x14ac:dyDescent="0.3">
      <c r="A786" s="54"/>
      <c r="B786" s="55"/>
      <c r="C786" s="56"/>
      <c r="D786" s="55"/>
      <c r="E786" s="55"/>
      <c r="F786" s="54"/>
      <c r="G786" s="56"/>
      <c r="H786" s="56"/>
      <c r="I786" s="54"/>
      <c r="J786" s="56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</row>
    <row r="787" spans="1:25" x14ac:dyDescent="0.3">
      <c r="A787" s="54"/>
      <c r="B787" s="55"/>
      <c r="C787" s="56"/>
      <c r="D787" s="55"/>
      <c r="E787" s="55"/>
      <c r="F787" s="54"/>
      <c r="G787" s="56"/>
      <c r="H787" s="56"/>
      <c r="I787" s="54"/>
      <c r="J787" s="56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</row>
    <row r="788" spans="1:25" x14ac:dyDescent="0.3">
      <c r="A788" s="54"/>
      <c r="B788" s="55"/>
      <c r="C788" s="56"/>
      <c r="D788" s="55"/>
      <c r="E788" s="55"/>
      <c r="F788" s="54"/>
      <c r="G788" s="56"/>
      <c r="H788" s="56"/>
      <c r="I788" s="54"/>
      <c r="J788" s="56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</row>
    <row r="789" spans="1:25" x14ac:dyDescent="0.3">
      <c r="A789" s="54"/>
      <c r="B789" s="55"/>
      <c r="C789" s="56"/>
      <c r="D789" s="55"/>
      <c r="E789" s="55"/>
      <c r="F789" s="54"/>
      <c r="G789" s="56"/>
      <c r="H789" s="56"/>
      <c r="I789" s="54"/>
      <c r="J789" s="56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</row>
    <row r="790" spans="1:25" x14ac:dyDescent="0.3">
      <c r="A790" s="54"/>
      <c r="B790" s="55"/>
      <c r="C790" s="56"/>
      <c r="D790" s="55"/>
      <c r="E790" s="55"/>
      <c r="F790" s="54"/>
      <c r="G790" s="56"/>
      <c r="H790" s="56"/>
      <c r="I790" s="54"/>
      <c r="J790" s="56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</row>
    <row r="791" spans="1:25" x14ac:dyDescent="0.3">
      <c r="A791" s="54"/>
      <c r="B791" s="55"/>
      <c r="C791" s="56"/>
      <c r="D791" s="55"/>
      <c r="E791" s="55"/>
      <c r="F791" s="54"/>
      <c r="G791" s="56"/>
      <c r="H791" s="56"/>
      <c r="I791" s="54"/>
      <c r="J791" s="56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</row>
    <row r="792" spans="1:25" x14ac:dyDescent="0.3">
      <c r="A792" s="54"/>
      <c r="B792" s="55"/>
      <c r="C792" s="56"/>
      <c r="D792" s="55"/>
      <c r="E792" s="55"/>
      <c r="F792" s="54"/>
      <c r="G792" s="56"/>
      <c r="H792" s="56"/>
      <c r="I792" s="54"/>
      <c r="J792" s="56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</row>
    <row r="793" spans="1:25" x14ac:dyDescent="0.3">
      <c r="A793" s="54"/>
      <c r="B793" s="55"/>
      <c r="C793" s="56"/>
      <c r="D793" s="55"/>
      <c r="E793" s="55"/>
      <c r="F793" s="54"/>
      <c r="G793" s="56"/>
      <c r="H793" s="56"/>
      <c r="I793" s="54"/>
      <c r="J793" s="56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</row>
    <row r="794" spans="1:25" x14ac:dyDescent="0.3">
      <c r="A794" s="54"/>
      <c r="B794" s="55"/>
      <c r="C794" s="56"/>
      <c r="D794" s="55"/>
      <c r="E794" s="55"/>
      <c r="F794" s="54"/>
      <c r="G794" s="56"/>
      <c r="H794" s="56"/>
      <c r="I794" s="54"/>
      <c r="J794" s="56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</row>
    <row r="795" spans="1:25" x14ac:dyDescent="0.3">
      <c r="A795" s="54"/>
      <c r="B795" s="55"/>
      <c r="C795" s="56"/>
      <c r="D795" s="55"/>
      <c r="E795" s="55"/>
      <c r="F795" s="54"/>
      <c r="G795" s="56"/>
      <c r="H795" s="56"/>
      <c r="I795" s="54"/>
      <c r="J795" s="56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</row>
    <row r="796" spans="1:25" x14ac:dyDescent="0.3">
      <c r="A796" s="54"/>
      <c r="B796" s="55"/>
      <c r="C796" s="56"/>
      <c r="D796" s="55"/>
      <c r="E796" s="55"/>
      <c r="F796" s="54"/>
      <c r="G796" s="56"/>
      <c r="H796" s="56"/>
      <c r="I796" s="54"/>
      <c r="J796" s="56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</row>
    <row r="797" spans="1:25" x14ac:dyDescent="0.3">
      <c r="A797" s="54"/>
      <c r="B797" s="55"/>
      <c r="C797" s="56"/>
      <c r="D797" s="55"/>
      <c r="E797" s="55"/>
      <c r="F797" s="54"/>
      <c r="G797" s="56"/>
      <c r="H797" s="56"/>
      <c r="I797" s="54"/>
      <c r="J797" s="56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</row>
    <row r="798" spans="1:25" x14ac:dyDescent="0.3">
      <c r="A798" s="54"/>
      <c r="B798" s="55"/>
      <c r="C798" s="56"/>
      <c r="D798" s="55"/>
      <c r="E798" s="55"/>
      <c r="F798" s="54"/>
      <c r="G798" s="56"/>
      <c r="H798" s="56"/>
      <c r="I798" s="54"/>
      <c r="J798" s="56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</row>
  </sheetData>
  <phoneticPr fontId="16" type="noConversion"/>
  <printOptions horizontalCentered="1"/>
  <pageMargins left="0.11811023622047245" right="0.11811023622047245" top="0.35433070866141736" bottom="0.35433070866141736" header="0.31496062992125984" footer="0.31496062992125984"/>
  <pageSetup paperSize="9" scale="28" fitToHeight="0" orientation="landscape" horizontalDpi="1200" verticalDpi="1200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8DA1C-2DF3-42FC-8725-DCBABBCE08B9}">
  <dimension ref="A1"/>
  <sheetViews>
    <sheetView topLeftCell="A25" workbookViewId="0">
      <selection activeCell="C26" sqref="C26"/>
    </sheetView>
  </sheetViews>
  <sheetFormatPr defaultColWidth="11.44140625" defaultRowHeight="14.4" x14ac:dyDescent="0.3"/>
  <cols>
    <col min="1" max="16384" width="11.44140625" style="111"/>
  </cols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EAF6D-23EE-4D1E-BDE2-262CBF535C2F}">
  <dimension ref="B1:AC124"/>
  <sheetViews>
    <sheetView topLeftCell="G23" workbookViewId="0">
      <selection activeCell="J21" sqref="J21"/>
    </sheetView>
  </sheetViews>
  <sheetFormatPr defaultColWidth="11.44140625" defaultRowHeight="14.4" x14ac:dyDescent="0.3"/>
  <cols>
    <col min="1" max="1" width="0" hidden="1" customWidth="1"/>
    <col min="2" max="2" width="19.33203125" hidden="1" customWidth="1"/>
    <col min="3" max="3" width="17.5546875" hidden="1" customWidth="1"/>
    <col min="4" max="4" width="14.5546875" hidden="1" customWidth="1"/>
    <col min="5" max="6" width="0" hidden="1" customWidth="1"/>
    <col min="8" max="8" width="42.44140625" bestFit="1" customWidth="1"/>
    <col min="9" max="10" width="14.5546875" bestFit="1" customWidth="1"/>
    <col min="13" max="13" width="17.5546875" bestFit="1" customWidth="1"/>
    <col min="14" max="14" width="29.6640625" bestFit="1" customWidth="1"/>
    <col min="15" max="15" width="17.88671875" bestFit="1" customWidth="1"/>
    <col min="16" max="17" width="32.33203125" bestFit="1" customWidth="1"/>
    <col min="18" max="18" width="29.6640625" bestFit="1" customWidth="1"/>
    <col min="19" max="19" width="17.5546875" bestFit="1" customWidth="1"/>
    <col min="20" max="20" width="22.44140625" bestFit="1" customWidth="1"/>
    <col min="21" max="21" width="15.44140625" bestFit="1" customWidth="1"/>
    <col min="22" max="22" width="10.44140625" bestFit="1" customWidth="1"/>
    <col min="23" max="23" width="13.5546875" bestFit="1" customWidth="1"/>
    <col min="24" max="24" width="12.5546875" bestFit="1" customWidth="1"/>
    <col min="25" max="25" width="17.5546875" bestFit="1" customWidth="1"/>
    <col min="26" max="26" width="17.88671875" bestFit="1" customWidth="1"/>
    <col min="27" max="27" width="17.5546875" bestFit="1" customWidth="1"/>
    <col min="28" max="28" width="14.5546875" bestFit="1" customWidth="1"/>
  </cols>
  <sheetData>
    <row r="1" spans="2:29" hidden="1" x14ac:dyDescent="0.3"/>
    <row r="2" spans="2:29" hidden="1" x14ac:dyDescent="0.3"/>
    <row r="3" spans="2:29" hidden="1" x14ac:dyDescent="0.3"/>
    <row r="4" spans="2:29" hidden="1" x14ac:dyDescent="0.3"/>
    <row r="5" spans="2:29" hidden="1" x14ac:dyDescent="0.3"/>
    <row r="6" spans="2:29" hidden="1" x14ac:dyDescent="0.3"/>
    <row r="7" spans="2:29" hidden="1" x14ac:dyDescent="0.3"/>
    <row r="8" spans="2:29" x14ac:dyDescent="0.3">
      <c r="K8" t="s">
        <v>9890</v>
      </c>
    </row>
    <row r="11" spans="2:29" x14ac:dyDescent="0.3">
      <c r="B11" s="107" t="s">
        <v>9891</v>
      </c>
    </row>
    <row r="13" spans="2:29" s="109" customFormat="1" ht="28.8" x14ac:dyDescent="0.3">
      <c r="B13" s="109" t="s">
        <v>9892</v>
      </c>
      <c r="H13" s="109" t="s">
        <v>9893</v>
      </c>
      <c r="M13" s="109" t="s">
        <v>9894</v>
      </c>
      <c r="S13"/>
      <c r="T13"/>
      <c r="AA13" s="106" t="s">
        <v>158</v>
      </c>
      <c r="AB13" t="s">
        <v>9895</v>
      </c>
    </row>
    <row r="14" spans="2:29" x14ac:dyDescent="0.3">
      <c r="R14" t="s">
        <v>9896</v>
      </c>
      <c r="S14" s="106" t="s">
        <v>158</v>
      </c>
      <c r="T14" t="s">
        <v>9895</v>
      </c>
    </row>
    <row r="15" spans="2:29" x14ac:dyDescent="0.3">
      <c r="B15" t="s">
        <v>9897</v>
      </c>
      <c r="G15" t="s">
        <v>9898</v>
      </c>
      <c r="H15" s="106" t="s">
        <v>158</v>
      </c>
      <c r="I15" t="s">
        <v>9895</v>
      </c>
      <c r="L15" t="s">
        <v>9899</v>
      </c>
      <c r="AA15" s="106" t="s">
        <v>9900</v>
      </c>
      <c r="AB15" t="s">
        <v>9901</v>
      </c>
    </row>
    <row r="16" spans="2:29" x14ac:dyDescent="0.3">
      <c r="B16" t="s">
        <v>9902</v>
      </c>
      <c r="S16" s="106" t="s">
        <v>9901</v>
      </c>
      <c r="T16" s="106" t="s">
        <v>9903</v>
      </c>
      <c r="AA16" s="107" t="s">
        <v>169</v>
      </c>
      <c r="AB16" s="110">
        <v>165802.41000000012</v>
      </c>
      <c r="AC16">
        <f>GETPIVOTDATA("TOTAL",$AA$15,"COD DOC","01")</f>
        <v>165802.41000000012</v>
      </c>
    </row>
    <row r="17" spans="8:29" x14ac:dyDescent="0.3">
      <c r="H17" s="106" t="s">
        <v>9900</v>
      </c>
      <c r="I17" t="s">
        <v>9901</v>
      </c>
      <c r="M17" s="106" t="s">
        <v>9900</v>
      </c>
      <c r="N17" t="s">
        <v>9904</v>
      </c>
      <c r="O17" t="s">
        <v>9905</v>
      </c>
      <c r="S17" s="106" t="s">
        <v>9900</v>
      </c>
      <c r="T17" t="s">
        <v>9906</v>
      </c>
      <c r="U17" t="s">
        <v>9907</v>
      </c>
      <c r="V17" t="s">
        <v>9908</v>
      </c>
      <c r="W17" t="s">
        <v>9909</v>
      </c>
      <c r="X17" t="s">
        <v>9910</v>
      </c>
      <c r="AA17" s="107" t="s">
        <v>239</v>
      </c>
      <c r="AB17" s="110">
        <v>831.2</v>
      </c>
      <c r="AC17">
        <f>GETPIVOTDATA("TOTAL",$AA$15,"COD DOC","03")</f>
        <v>831.2</v>
      </c>
    </row>
    <row r="18" spans="8:29" x14ac:dyDescent="0.3">
      <c r="H18" s="107" t="s">
        <v>80</v>
      </c>
      <c r="I18" s="110">
        <v>34600.22</v>
      </c>
      <c r="M18" s="107" t="s">
        <v>9911</v>
      </c>
      <c r="N18">
        <v>49032.70139999994</v>
      </c>
      <c r="O18">
        <v>71.349999999999994</v>
      </c>
      <c r="S18" s="107" t="s">
        <v>169</v>
      </c>
      <c r="T18" s="110">
        <v>40193.159999999996</v>
      </c>
      <c r="U18" s="110">
        <v>296.62</v>
      </c>
      <c r="V18" s="110">
        <v>8421.16</v>
      </c>
      <c r="W18" s="110">
        <v>116891.46999999997</v>
      </c>
      <c r="X18" s="110">
        <v>165802.40999999997</v>
      </c>
      <c r="AA18" s="107" t="s">
        <v>1896</v>
      </c>
      <c r="AB18" s="110">
        <v>-76546.64</v>
      </c>
      <c r="AC18">
        <f>GETPIVOTDATA("TOTAL",$AA$15,"COD DOC","07")</f>
        <v>-76546.64</v>
      </c>
    </row>
    <row r="19" spans="8:29" x14ac:dyDescent="0.3">
      <c r="H19" s="107" t="s">
        <v>88</v>
      </c>
      <c r="I19" s="110">
        <v>27629.79</v>
      </c>
      <c r="M19" s="107" t="s">
        <v>9912</v>
      </c>
      <c r="N19">
        <v>31837.815399999981</v>
      </c>
      <c r="O19">
        <v>93.37</v>
      </c>
      <c r="S19" s="107" t="s">
        <v>239</v>
      </c>
      <c r="T19" s="110">
        <v>318</v>
      </c>
      <c r="U19" s="110"/>
      <c r="V19" s="110"/>
      <c r="W19" s="110">
        <v>513.20000000000005</v>
      </c>
      <c r="X19" s="110">
        <v>831.2</v>
      </c>
      <c r="AA19" s="107" t="s">
        <v>439</v>
      </c>
      <c r="AB19" s="110">
        <v>1180.26</v>
      </c>
      <c r="AC19" t="e">
        <f>GETPIVOTDATA("TOTAL",$AA$15,"COD DOC","12")</f>
        <v>#REF!</v>
      </c>
    </row>
    <row r="20" spans="8:29" x14ac:dyDescent="0.3">
      <c r="H20" s="107" t="s">
        <v>149</v>
      </c>
      <c r="I20" s="110">
        <v>22971.21</v>
      </c>
      <c r="M20" s="107" t="s">
        <v>9895</v>
      </c>
      <c r="N20">
        <v>9410.5552000000243</v>
      </c>
      <c r="O20">
        <v>28.72</v>
      </c>
      <c r="S20" s="107" t="s">
        <v>1896</v>
      </c>
      <c r="T20" s="110">
        <v>-76546.64</v>
      </c>
      <c r="U20" s="110"/>
      <c r="V20" s="110"/>
      <c r="W20" s="110"/>
      <c r="X20" s="110">
        <v>-76546.64</v>
      </c>
      <c r="AA20" s="107" t="s">
        <v>9910</v>
      </c>
      <c r="AB20" s="110">
        <v>91267.230000000127</v>
      </c>
      <c r="AC20">
        <f>GETPIVOTDATA("TOTAL",$AA$15,"COD DOC","14")</f>
        <v>1180.26</v>
      </c>
    </row>
    <row r="21" spans="8:29" x14ac:dyDescent="0.3">
      <c r="H21" s="107" t="s">
        <v>83</v>
      </c>
      <c r="I21" s="110">
        <v>8636</v>
      </c>
      <c r="M21" s="107" t="s">
        <v>9910</v>
      </c>
      <c r="N21">
        <v>90281.071999999956</v>
      </c>
      <c r="O21">
        <v>193.44</v>
      </c>
      <c r="S21" s="107" t="s">
        <v>439</v>
      </c>
      <c r="T21" s="110">
        <v>1180.26</v>
      </c>
      <c r="U21" s="110"/>
      <c r="V21" s="110"/>
      <c r="W21" s="110"/>
      <c r="X21" s="110">
        <v>1180.26</v>
      </c>
    </row>
    <row r="22" spans="8:29" x14ac:dyDescent="0.3">
      <c r="H22" s="107" t="s">
        <v>94</v>
      </c>
      <c r="I22" s="110">
        <v>7251</v>
      </c>
      <c r="S22" s="107" t="s">
        <v>9910</v>
      </c>
      <c r="T22" s="110">
        <v>-34855.22</v>
      </c>
      <c r="U22" s="110">
        <v>296.62</v>
      </c>
      <c r="V22" s="110">
        <v>8421.16</v>
      </c>
      <c r="W22" s="110">
        <v>117404.66999999997</v>
      </c>
      <c r="X22" s="110">
        <v>91267.229999999981</v>
      </c>
    </row>
    <row r="23" spans="8:29" x14ac:dyDescent="0.3">
      <c r="H23" s="107" t="s">
        <v>97</v>
      </c>
      <c r="I23" s="110">
        <v>6904.31</v>
      </c>
      <c r="N23" t="s">
        <v>27</v>
      </c>
    </row>
    <row r="24" spans="8:29" x14ac:dyDescent="0.3">
      <c r="H24" s="107" t="s">
        <v>138</v>
      </c>
      <c r="I24" s="110">
        <v>5280.42</v>
      </c>
      <c r="M24" t="str">
        <f>M18</f>
        <v>Junio</v>
      </c>
      <c r="N24">
        <f>GETPIVOTDATA("Suma de IGV (18%)",$M$17,"PERIODO","Junio")+GETPIVOTDATA("Suma de IGV (10%)",$M$17,"PERIODO","Junio")</f>
        <v>49104.051399999938</v>
      </c>
    </row>
    <row r="25" spans="8:29" x14ac:dyDescent="0.3">
      <c r="H25" s="107" t="s">
        <v>139</v>
      </c>
      <c r="I25" s="110">
        <v>3572.36</v>
      </c>
      <c r="M25" t="str">
        <f t="shared" ref="M25:M26" si="0">M19</f>
        <v>Julio</v>
      </c>
      <c r="N25">
        <f>GETPIVOTDATA("Suma de IGV (18%)",$M$17,"PERIODO","Julio")+GETPIVOTDATA("Suma de IGV (10%)",$M$17,"PERIODO","Julio")</f>
        <v>31931.18539999998</v>
      </c>
    </row>
    <row r="26" spans="8:29" x14ac:dyDescent="0.3">
      <c r="H26" s="107" t="s">
        <v>89</v>
      </c>
      <c r="I26" s="110">
        <v>2958.67</v>
      </c>
      <c r="M26" t="str">
        <f t="shared" si="0"/>
        <v>Agosto</v>
      </c>
      <c r="N26">
        <f>GETPIVOTDATA("Suma de IGV (18%)",$M$17,"PERIODO","Agosto")+GETPIVOTDATA("Suma de IGV (10%)",$M$17,"PERIODO","Agosto")</f>
        <v>9439.2752000000237</v>
      </c>
      <c r="T26" t="s">
        <v>9906</v>
      </c>
      <c r="U26" t="s">
        <v>9907</v>
      </c>
      <c r="V26" t="s">
        <v>9908</v>
      </c>
      <c r="W26" t="s">
        <v>9913</v>
      </c>
    </row>
    <row r="27" spans="8:29" x14ac:dyDescent="0.3">
      <c r="H27" s="107" t="s">
        <v>86</v>
      </c>
      <c r="I27" s="110">
        <v>2065</v>
      </c>
      <c r="S27" t="str">
        <f>S18</f>
        <v>01</v>
      </c>
      <c r="T27">
        <f>+GETPIVOTDATA("TOTAL",$S$16,"ÁREA","G. ADMINISTRACIÓN","COD DOC","01")+GETPIVOTDATA("TOTAL",$S$16,"ÁREA","G. ADMINISTRACIÓN","COD DOC","03")+GETPIVOTDATA("TOTAL",$S$16,"ÁREA","G. ADMINISTRACIÓN","COD DOC","14")</f>
        <v>41691.42</v>
      </c>
      <c r="U27">
        <f t="shared" ref="U27" si="1">U18</f>
        <v>296.62</v>
      </c>
      <c r="V27">
        <f>GETPIVOTDATA("TOTAL",$S$16,"ÁREA","G. VENTAS","COD DOC","01")+GETPIVOTDATA("TOTAL",$S$16,"ÁREA","G. VENTAS","COD DOC","03")</f>
        <v>8421.16</v>
      </c>
      <c r="W27" t="e">
        <f>GETPIVOTDATA("TOTAL",$S$16,"ÁREA","OPERACIONES","COD DOC","01")+GETPIVOTDATA("TOTAL",$S$16,"ÁREA","OPERACIONES","COD DOC","03")+GETPIVOTDATA("TOTAL",$S$16,"ÁREA","OPERACIONES","COD DOC","12")</f>
        <v>#REF!</v>
      </c>
    </row>
    <row r="28" spans="8:29" x14ac:dyDescent="0.3">
      <c r="H28" s="107" t="s">
        <v>155</v>
      </c>
      <c r="I28" s="110">
        <v>1786.52</v>
      </c>
      <c r="S28" t="str">
        <f>S20</f>
        <v>07</v>
      </c>
      <c r="T28">
        <f>T20</f>
        <v>-76546.64</v>
      </c>
      <c r="U28">
        <f>U20</f>
        <v>0</v>
      </c>
      <c r="V28">
        <f>V20</f>
        <v>0</v>
      </c>
      <c r="W28">
        <f>W20</f>
        <v>0</v>
      </c>
    </row>
    <row r="29" spans="8:29" x14ac:dyDescent="0.3">
      <c r="H29" s="107" t="s">
        <v>145</v>
      </c>
      <c r="I29" s="110">
        <v>1267.97</v>
      </c>
    </row>
    <row r="30" spans="8:29" x14ac:dyDescent="0.3">
      <c r="H30" s="107" t="s">
        <v>154</v>
      </c>
      <c r="I30" s="110">
        <v>1200</v>
      </c>
    </row>
    <row r="31" spans="8:29" x14ac:dyDescent="0.3">
      <c r="H31" s="107" t="s">
        <v>95</v>
      </c>
      <c r="I31" s="110">
        <v>1142.4000000000001</v>
      </c>
    </row>
    <row r="32" spans="8:29" x14ac:dyDescent="0.3">
      <c r="H32" s="107" t="s">
        <v>152</v>
      </c>
      <c r="I32" s="110">
        <v>844.95999999999992</v>
      </c>
    </row>
    <row r="33" spans="7:11" x14ac:dyDescent="0.3">
      <c r="G33" s="109"/>
      <c r="H33" s="107" t="s">
        <v>96</v>
      </c>
      <c r="I33" s="110">
        <v>598.6</v>
      </c>
      <c r="K33" s="109"/>
    </row>
    <row r="34" spans="7:11" x14ac:dyDescent="0.3">
      <c r="H34" s="107" t="s">
        <v>132</v>
      </c>
      <c r="I34" s="110">
        <v>440</v>
      </c>
    </row>
    <row r="35" spans="7:11" x14ac:dyDescent="0.3">
      <c r="H35" s="107" t="s">
        <v>130</v>
      </c>
      <c r="I35" s="110">
        <v>386.11</v>
      </c>
    </row>
    <row r="36" spans="7:11" x14ac:dyDescent="0.3">
      <c r="H36" s="107" t="s">
        <v>84</v>
      </c>
      <c r="I36" s="110">
        <v>300</v>
      </c>
    </row>
    <row r="37" spans="7:11" x14ac:dyDescent="0.3">
      <c r="H37" s="107" t="s">
        <v>85</v>
      </c>
      <c r="I37" s="110">
        <v>244</v>
      </c>
    </row>
    <row r="38" spans="7:11" x14ac:dyDescent="0.3">
      <c r="H38" s="107" t="s">
        <v>136</v>
      </c>
      <c r="I38" s="110">
        <v>220</v>
      </c>
    </row>
    <row r="39" spans="7:11" x14ac:dyDescent="0.3">
      <c r="H39" s="107" t="s">
        <v>133</v>
      </c>
      <c r="I39" s="110">
        <v>107</v>
      </c>
    </row>
    <row r="40" spans="7:11" x14ac:dyDescent="0.3">
      <c r="H40" s="107" t="s">
        <v>131</v>
      </c>
      <c r="I40" s="110">
        <v>87.98</v>
      </c>
    </row>
    <row r="41" spans="7:11" x14ac:dyDescent="0.3">
      <c r="H41" s="107" t="s">
        <v>128</v>
      </c>
      <c r="I41" s="110">
        <v>76</v>
      </c>
    </row>
    <row r="42" spans="7:11" x14ac:dyDescent="0.3">
      <c r="H42" s="107" t="s">
        <v>151</v>
      </c>
      <c r="I42" s="110">
        <v>50</v>
      </c>
    </row>
    <row r="43" spans="7:11" x14ac:dyDescent="0.3">
      <c r="H43" s="107" t="s">
        <v>137</v>
      </c>
      <c r="I43" s="110">
        <v>42.5</v>
      </c>
    </row>
    <row r="44" spans="7:11" x14ac:dyDescent="0.3">
      <c r="H44" s="107" t="s">
        <v>142</v>
      </c>
      <c r="I44" s="110">
        <v>19.2</v>
      </c>
    </row>
    <row r="45" spans="7:11" x14ac:dyDescent="0.3">
      <c r="H45" s="107" t="s">
        <v>9910</v>
      </c>
      <c r="I45" s="110">
        <v>130682.22000000002</v>
      </c>
    </row>
    <row r="48" spans="7:11" x14ac:dyDescent="0.3">
      <c r="H48" t="str">
        <f t="shared" ref="H48:I72" si="2">H19</f>
        <v>Disposición Final de RR.SS - Peligrosos</v>
      </c>
      <c r="I48">
        <f t="shared" si="2"/>
        <v>27629.79</v>
      </c>
    </row>
    <row r="49" spans="8:9" x14ac:dyDescent="0.3">
      <c r="H49" t="str">
        <f t="shared" si="2"/>
        <v>Combustible (Vehiculos)</v>
      </c>
      <c r="I49">
        <f t="shared" si="2"/>
        <v>22971.21</v>
      </c>
    </row>
    <row r="50" spans="8:9" x14ac:dyDescent="0.3">
      <c r="H50" t="str">
        <f t="shared" si="2"/>
        <v>Transporte de Carga  - Ventas</v>
      </c>
      <c r="I50">
        <f t="shared" si="2"/>
        <v>8636</v>
      </c>
    </row>
    <row r="51" spans="8:9" x14ac:dyDescent="0.3">
      <c r="H51" t="str">
        <f t="shared" si="2"/>
        <v>Transporte de Carga - Servicios</v>
      </c>
      <c r="I51">
        <f t="shared" si="2"/>
        <v>7251</v>
      </c>
    </row>
    <row r="52" spans="8:9" x14ac:dyDescent="0.3">
      <c r="H52" t="str">
        <f t="shared" si="2"/>
        <v>Montacarga - Servicios</v>
      </c>
      <c r="I52">
        <f t="shared" si="2"/>
        <v>6904.31</v>
      </c>
    </row>
    <row r="53" spans="8:9" x14ac:dyDescent="0.3">
      <c r="H53" t="str">
        <f t="shared" si="2"/>
        <v>Mantenimiento Vehicular (Preventivo)</v>
      </c>
      <c r="I53">
        <f t="shared" si="2"/>
        <v>5280.42</v>
      </c>
    </row>
    <row r="54" spans="8:9" x14ac:dyDescent="0.3">
      <c r="H54" t="str">
        <f t="shared" si="2"/>
        <v>Accesorios Vehiculares</v>
      </c>
      <c r="I54">
        <f t="shared" si="2"/>
        <v>3572.36</v>
      </c>
    </row>
    <row r="55" spans="8:9" x14ac:dyDescent="0.3">
      <c r="H55" t="str">
        <f t="shared" si="2"/>
        <v>Disposición Final de RR.SS - No Aprovechables</v>
      </c>
      <c r="I55">
        <f t="shared" si="2"/>
        <v>2958.67</v>
      </c>
    </row>
    <row r="56" spans="8:9" x14ac:dyDescent="0.3">
      <c r="H56" t="str">
        <f t="shared" si="2"/>
        <v>Montacarga - Ventas</v>
      </c>
      <c r="I56">
        <f t="shared" si="2"/>
        <v>2065</v>
      </c>
    </row>
    <row r="57" spans="8:9" x14ac:dyDescent="0.3">
      <c r="H57" t="str">
        <f t="shared" si="2"/>
        <v>Ingreso</v>
      </c>
      <c r="I57">
        <f t="shared" si="2"/>
        <v>1786.52</v>
      </c>
    </row>
    <row r="58" spans="8:9" x14ac:dyDescent="0.3">
      <c r="H58" t="str">
        <f t="shared" si="2"/>
        <v>Mantenimiento de Balanzas</v>
      </c>
      <c r="I58">
        <f t="shared" si="2"/>
        <v>1267.97</v>
      </c>
    </row>
    <row r="59" spans="8:9" x14ac:dyDescent="0.3">
      <c r="H59" t="str">
        <f t="shared" si="2"/>
        <v>Vigilancia Médica</v>
      </c>
      <c r="I59">
        <f t="shared" si="2"/>
        <v>1200</v>
      </c>
    </row>
    <row r="60" spans="8:9" x14ac:dyDescent="0.3">
      <c r="H60" t="str">
        <f t="shared" si="2"/>
        <v>Transporte peajes - Servicios</v>
      </c>
      <c r="I60">
        <f t="shared" si="2"/>
        <v>1142.4000000000001</v>
      </c>
    </row>
    <row r="61" spans="8:9" x14ac:dyDescent="0.3">
      <c r="H61" t="str">
        <f t="shared" si="2"/>
        <v>Otros Gastos de Gestion</v>
      </c>
      <c r="I61">
        <f t="shared" si="2"/>
        <v>844.95999999999992</v>
      </c>
    </row>
    <row r="62" spans="8:9" x14ac:dyDescent="0.3">
      <c r="H62" t="str">
        <f t="shared" si="2"/>
        <v>Balanza - Servicios</v>
      </c>
      <c r="I62">
        <f t="shared" si="2"/>
        <v>598.6</v>
      </c>
    </row>
    <row r="63" spans="8:9" x14ac:dyDescent="0.3">
      <c r="H63" t="str">
        <f t="shared" si="2"/>
        <v>Alojamiento (Operativo)</v>
      </c>
      <c r="I63">
        <f t="shared" si="2"/>
        <v>440</v>
      </c>
    </row>
    <row r="64" spans="8:9" x14ac:dyDescent="0.3">
      <c r="H64" t="str">
        <f t="shared" si="2"/>
        <v>Transporte lavado (Higienización)</v>
      </c>
      <c r="I64">
        <f t="shared" si="2"/>
        <v>386.11</v>
      </c>
    </row>
    <row r="65" spans="8:9" x14ac:dyDescent="0.3">
      <c r="H65" t="str">
        <f t="shared" si="2"/>
        <v>Transporte peajes - Ventas</v>
      </c>
      <c r="I65">
        <f t="shared" si="2"/>
        <v>300</v>
      </c>
    </row>
    <row r="66" spans="8:9" x14ac:dyDescent="0.3">
      <c r="H66" t="str">
        <f t="shared" si="2"/>
        <v>Balanza - Ventas</v>
      </c>
      <c r="I66">
        <f t="shared" si="2"/>
        <v>244</v>
      </c>
    </row>
    <row r="67" spans="8:9" x14ac:dyDescent="0.3">
      <c r="H67" t="str">
        <f t="shared" si="2"/>
        <v>Revisión Técnica Vehicular</v>
      </c>
      <c r="I67">
        <f t="shared" si="2"/>
        <v>220</v>
      </c>
    </row>
    <row r="68" spans="8:9" x14ac:dyDescent="0.3">
      <c r="H68" t="str">
        <f t="shared" si="2"/>
        <v>Alimentacion (Operativo)</v>
      </c>
      <c r="I68">
        <f t="shared" si="2"/>
        <v>107</v>
      </c>
    </row>
    <row r="69" spans="8:9" x14ac:dyDescent="0.3">
      <c r="H69" t="str">
        <f t="shared" si="2"/>
        <v>Encomienda (Envío de documentación)</v>
      </c>
      <c r="I69">
        <f t="shared" si="2"/>
        <v>87.98</v>
      </c>
    </row>
    <row r="70" spans="8:9" x14ac:dyDescent="0.3">
      <c r="H70" t="str">
        <f t="shared" si="2"/>
        <v>Transporte de Personal (Viajes)</v>
      </c>
      <c r="I70">
        <f t="shared" si="2"/>
        <v>76</v>
      </c>
    </row>
    <row r="71" spans="8:9" x14ac:dyDescent="0.3">
      <c r="H71" t="str">
        <f t="shared" si="2"/>
        <v>Gastos de Ferreteria</v>
      </c>
      <c r="I71">
        <f t="shared" si="2"/>
        <v>50</v>
      </c>
    </row>
    <row r="72" spans="8:9" x14ac:dyDescent="0.3">
      <c r="H72" t="str">
        <f t="shared" si="2"/>
        <v>Mantenimiento Vehicular (Correctivo)</v>
      </c>
      <c r="I72">
        <f t="shared" si="2"/>
        <v>42.5</v>
      </c>
    </row>
    <row r="97" spans="8:26" x14ac:dyDescent="0.3">
      <c r="M97" t="s">
        <v>9914</v>
      </c>
      <c r="Q97" t="s">
        <v>9915</v>
      </c>
      <c r="U97" t="s">
        <v>9916</v>
      </c>
      <c r="Y97" t="s">
        <v>9917</v>
      </c>
    </row>
    <row r="98" spans="8:26" x14ac:dyDescent="0.3">
      <c r="I98" t="s">
        <v>9917</v>
      </c>
    </row>
    <row r="99" spans="8:26" x14ac:dyDescent="0.3">
      <c r="H99" t="s">
        <v>9918</v>
      </c>
      <c r="I99" s="106" t="s">
        <v>158</v>
      </c>
      <c r="J99" t="s">
        <v>9919</v>
      </c>
      <c r="M99" s="106" t="s">
        <v>158</v>
      </c>
      <c r="N99" t="s">
        <v>9919</v>
      </c>
      <c r="Q99" s="106" t="s">
        <v>158</v>
      </c>
      <c r="R99" t="s">
        <v>9919</v>
      </c>
      <c r="U99" s="106" t="s">
        <v>158</v>
      </c>
      <c r="V99" t="s">
        <v>9919</v>
      </c>
    </row>
    <row r="101" spans="8:26" x14ac:dyDescent="0.3">
      <c r="I101" s="106" t="s">
        <v>9900</v>
      </c>
      <c r="J101" t="s">
        <v>9901</v>
      </c>
      <c r="M101" s="106" t="s">
        <v>9900</v>
      </c>
      <c r="N101" t="s">
        <v>9920</v>
      </c>
      <c r="O101" t="s">
        <v>9904</v>
      </c>
      <c r="Q101" s="106" t="s">
        <v>9900</v>
      </c>
      <c r="R101" t="s">
        <v>9920</v>
      </c>
      <c r="S101" t="s">
        <v>9904</v>
      </c>
      <c r="U101" s="106" t="s">
        <v>9900</v>
      </c>
      <c r="V101" t="s">
        <v>9901</v>
      </c>
      <c r="Y101" s="106" t="s">
        <v>9900</v>
      </c>
      <c r="Z101" t="s">
        <v>9904</v>
      </c>
    </row>
    <row r="102" spans="8:26" x14ac:dyDescent="0.3">
      <c r="I102" s="107" t="s">
        <v>169</v>
      </c>
      <c r="J102" s="110">
        <v>954045.63659999962</v>
      </c>
      <c r="K102">
        <f>GETPIVOTDATA("TOTAL",$I$101,"COD DOC","01")</f>
        <v>954045.63659999962</v>
      </c>
      <c r="M102" s="107" t="s">
        <v>1906</v>
      </c>
      <c r="N102" s="110">
        <v>518700.55000000034</v>
      </c>
      <c r="O102" s="110">
        <v>93366.09659999999</v>
      </c>
      <c r="Q102" s="107" t="s">
        <v>110</v>
      </c>
      <c r="R102" s="110">
        <v>6419.76</v>
      </c>
      <c r="S102" s="110">
        <v>1155.56</v>
      </c>
      <c r="U102" s="107" t="s">
        <v>626</v>
      </c>
      <c r="V102" s="110">
        <v>230717.49999999997</v>
      </c>
      <c r="Y102" s="107" t="s">
        <v>9911</v>
      </c>
      <c r="Z102" s="110">
        <v>58515.386399999988</v>
      </c>
    </row>
    <row r="103" spans="8:26" x14ac:dyDescent="0.3">
      <c r="I103" s="107" t="s">
        <v>1896</v>
      </c>
      <c r="J103" s="110">
        <v>-8471.7000000000007</v>
      </c>
      <c r="K103">
        <f>GETPIVOTDATA("TOTAL",$I$101,"COD DOC","07")</f>
        <v>-8471.7000000000007</v>
      </c>
      <c r="M103" s="107" t="s">
        <v>105</v>
      </c>
      <c r="N103" s="110">
        <v>216607.79</v>
      </c>
      <c r="O103" s="110">
        <v>38989.410000000018</v>
      </c>
      <c r="Q103" s="107" t="s">
        <v>121</v>
      </c>
      <c r="R103" s="110">
        <v>2500</v>
      </c>
      <c r="S103" s="110">
        <v>450</v>
      </c>
      <c r="U103" s="107" t="s">
        <v>9354</v>
      </c>
      <c r="V103" s="110">
        <v>148456.76</v>
      </c>
      <c r="Y103" s="107" t="s">
        <v>9912</v>
      </c>
      <c r="Z103" s="110">
        <v>46188.157400000004</v>
      </c>
    </row>
    <row r="104" spans="8:26" x14ac:dyDescent="0.3">
      <c r="I104" s="107" t="s">
        <v>9910</v>
      </c>
      <c r="J104" s="110">
        <v>945573.93659999967</v>
      </c>
      <c r="M104" s="107" t="s">
        <v>106</v>
      </c>
      <c r="N104" s="110">
        <v>0</v>
      </c>
      <c r="O104" s="110">
        <v>0</v>
      </c>
      <c r="Q104" s="107" t="s">
        <v>120</v>
      </c>
      <c r="R104" s="110">
        <v>2790</v>
      </c>
      <c r="S104" s="110">
        <v>502.2</v>
      </c>
      <c r="U104" s="107" t="s">
        <v>3718</v>
      </c>
      <c r="V104" s="110">
        <v>76335.086200000005</v>
      </c>
      <c r="Y104" s="107" t="s">
        <v>9895</v>
      </c>
      <c r="Z104" s="110">
        <v>39536.552799999998</v>
      </c>
    </row>
    <row r="105" spans="8:26" x14ac:dyDescent="0.3">
      <c r="M105" s="107" t="s">
        <v>107</v>
      </c>
      <c r="N105" s="110">
        <v>44954.909999999996</v>
      </c>
      <c r="O105" s="110">
        <v>8091.88</v>
      </c>
      <c r="Q105" s="107" t="s">
        <v>119</v>
      </c>
      <c r="R105" s="110">
        <v>11553.099999999999</v>
      </c>
      <c r="S105" s="110">
        <v>2079.5699999999997</v>
      </c>
      <c r="U105" s="107" t="s">
        <v>9466</v>
      </c>
      <c r="V105" s="110">
        <v>57792</v>
      </c>
      <c r="Y105" s="107" t="s">
        <v>9910</v>
      </c>
      <c r="Z105" s="110">
        <v>144240.09659999999</v>
      </c>
    </row>
    <row r="106" spans="8:26" x14ac:dyDescent="0.3">
      <c r="M106" s="107" t="s">
        <v>108</v>
      </c>
      <c r="N106" s="110">
        <v>28250</v>
      </c>
      <c r="O106" s="110">
        <v>5085</v>
      </c>
      <c r="Q106" s="107" t="s">
        <v>9888</v>
      </c>
      <c r="R106" s="110">
        <v>281523.94</v>
      </c>
      <c r="S106" s="110">
        <v>50674.30999999999</v>
      </c>
      <c r="U106" s="107" t="s">
        <v>1112</v>
      </c>
      <c r="V106" s="110">
        <v>41742.960000000006</v>
      </c>
    </row>
    <row r="107" spans="8:26" x14ac:dyDescent="0.3">
      <c r="M107" s="107" t="s">
        <v>9444</v>
      </c>
      <c r="N107" s="110">
        <v>-5310.41</v>
      </c>
      <c r="O107" s="110">
        <v>-955.87</v>
      </c>
      <c r="Q107" s="107" t="s">
        <v>117</v>
      </c>
      <c r="R107" s="110">
        <v>199</v>
      </c>
      <c r="S107" s="110">
        <v>35.82</v>
      </c>
      <c r="U107" s="107" t="s">
        <v>9519</v>
      </c>
      <c r="V107" s="110">
        <v>38800.612399999991</v>
      </c>
    </row>
    <row r="108" spans="8:26" x14ac:dyDescent="0.3">
      <c r="M108" s="107" t="s">
        <v>109</v>
      </c>
      <c r="N108" s="110">
        <v>-1869</v>
      </c>
      <c r="O108" s="110">
        <v>-336.42</v>
      </c>
      <c r="Q108" s="107" t="s">
        <v>118</v>
      </c>
      <c r="R108" s="110">
        <v>4224</v>
      </c>
      <c r="S108" s="110">
        <v>760.31999999999994</v>
      </c>
      <c r="U108" s="107" t="s">
        <v>9579</v>
      </c>
      <c r="V108" s="110">
        <v>33335</v>
      </c>
      <c r="Y108" t="str">
        <f>Y102</f>
        <v>Junio</v>
      </c>
      <c r="Z108">
        <f>Z102</f>
        <v>58515.386399999988</v>
      </c>
    </row>
    <row r="109" spans="8:26" x14ac:dyDescent="0.3">
      <c r="M109" s="107" t="s">
        <v>9910</v>
      </c>
      <c r="N109" s="110">
        <v>801333.84000000032</v>
      </c>
      <c r="O109" s="110">
        <v>144240.09660000002</v>
      </c>
      <c r="Q109" s="107" t="s">
        <v>115</v>
      </c>
      <c r="R109" s="110">
        <v>176935.43999999997</v>
      </c>
      <c r="S109" s="110">
        <v>31848.416599999993</v>
      </c>
      <c r="U109" s="107" t="s">
        <v>9379</v>
      </c>
      <c r="V109" s="110">
        <v>30455.559999999998</v>
      </c>
      <c r="Y109" t="str">
        <f t="shared" ref="Y109:Z110" si="3">Y103</f>
        <v>Julio</v>
      </c>
      <c r="Z109">
        <f t="shared" si="3"/>
        <v>46188.157400000004</v>
      </c>
    </row>
    <row r="110" spans="8:26" x14ac:dyDescent="0.3">
      <c r="Q110" s="107" t="s">
        <v>114</v>
      </c>
      <c r="R110" s="110">
        <v>285273.53999999998</v>
      </c>
      <c r="S110" s="110">
        <v>51349.2</v>
      </c>
      <c r="U110" s="107" t="s">
        <v>9554</v>
      </c>
      <c r="V110" s="110">
        <v>27007.38</v>
      </c>
      <c r="Y110" t="str">
        <f t="shared" si="3"/>
        <v>Agosto</v>
      </c>
      <c r="Z110">
        <f t="shared" si="3"/>
        <v>39536.552799999998</v>
      </c>
    </row>
    <row r="111" spans="8:26" x14ac:dyDescent="0.3">
      <c r="N111" t="s">
        <v>9921</v>
      </c>
      <c r="O111" s="112" t="s">
        <v>29</v>
      </c>
      <c r="Q111" s="107" t="s">
        <v>122</v>
      </c>
      <c r="R111" s="110">
        <v>18826.060000000001</v>
      </c>
      <c r="S111" s="110">
        <v>3388.68</v>
      </c>
      <c r="U111" s="107" t="s">
        <v>9423</v>
      </c>
      <c r="V111" s="110">
        <v>21781.030000000002</v>
      </c>
    </row>
    <row r="112" spans="8:26" x14ac:dyDescent="0.3">
      <c r="M112" t="str">
        <f>IF(M102="","",IF(LEFT(M102,3)="Tot","",M102))</f>
        <v>FF01</v>
      </c>
      <c r="N112">
        <f>IF(N102=0,"",IF(N102="","",IF(LEFT(M102,3)="Tot","",N102)))</f>
        <v>518700.55000000034</v>
      </c>
      <c r="O112">
        <f>IF(O102=0,"",IF(O102="","",IF(LEFT(M102,3)="Tot","",O102)))</f>
        <v>93366.09659999999</v>
      </c>
      <c r="Q112" s="107" t="s">
        <v>123</v>
      </c>
      <c r="R112" s="110">
        <v>11089</v>
      </c>
      <c r="S112" s="110">
        <v>1996.02</v>
      </c>
      <c r="U112" s="107" t="s">
        <v>9910</v>
      </c>
      <c r="V112" s="110">
        <v>706423.88859999995</v>
      </c>
    </row>
    <row r="113" spans="13:22" x14ac:dyDescent="0.3">
      <c r="M113" t="str">
        <f t="shared" ref="M113:M118" si="4">IF(M103="","",IF(LEFT(M103,3)="Tot","",M103))</f>
        <v>FF02</v>
      </c>
      <c r="N113">
        <f t="shared" ref="N113:N118" si="5">IF(N103=0,"",IF(N103="","",IF(LEFT(M103,3)="Tot","",N103)))</f>
        <v>216607.79</v>
      </c>
      <c r="O113">
        <f t="shared" ref="O113:O118" si="6">IF(O103=0,"",IF(O103="","",IF(LEFT(M103,3)="Tot","",O103)))</f>
        <v>38989.410000000018</v>
      </c>
      <c r="Q113" s="107" t="s">
        <v>9910</v>
      </c>
      <c r="R113" s="110">
        <v>801333.84000000008</v>
      </c>
      <c r="S113" s="110">
        <v>144240.09659999996</v>
      </c>
    </row>
    <row r="114" spans="13:22" x14ac:dyDescent="0.3">
      <c r="M114" t="str">
        <f t="shared" si="4"/>
        <v>FF04</v>
      </c>
      <c r="N114" t="str">
        <f t="shared" si="5"/>
        <v/>
      </c>
      <c r="O114" t="str">
        <f t="shared" si="6"/>
        <v/>
      </c>
    </row>
    <row r="115" spans="13:22" x14ac:dyDescent="0.3">
      <c r="M115" t="str">
        <f t="shared" si="4"/>
        <v>FF05</v>
      </c>
      <c r="N115">
        <f t="shared" si="5"/>
        <v>44954.909999999996</v>
      </c>
      <c r="O115">
        <f t="shared" si="6"/>
        <v>8091.88</v>
      </c>
      <c r="R115" t="s">
        <v>9921</v>
      </c>
      <c r="S115" s="112" t="s">
        <v>29</v>
      </c>
      <c r="U115" t="str">
        <f t="shared" ref="U115:V124" si="7">U102</f>
        <v>MOLY-COP ADESUR S.A.</v>
      </c>
      <c r="V115">
        <f t="shared" si="7"/>
        <v>230717.49999999997</v>
      </c>
    </row>
    <row r="116" spans="13:22" x14ac:dyDescent="0.3">
      <c r="M116" t="str">
        <f t="shared" si="4"/>
        <v>FF07</v>
      </c>
      <c r="N116">
        <f t="shared" si="5"/>
        <v>28250</v>
      </c>
      <c r="O116">
        <f t="shared" si="6"/>
        <v>5085</v>
      </c>
      <c r="Q116" t="str">
        <f>Q102</f>
        <v>Descuentos y Rebajas</v>
      </c>
      <c r="R116">
        <f>R102</f>
        <v>6419.76</v>
      </c>
      <c r="S116">
        <f>S102</f>
        <v>1155.56</v>
      </c>
      <c r="U116" t="str">
        <f t="shared" si="7"/>
        <v>EMPRESA SIDERURGICA DEL PERU S.A.A.</v>
      </c>
      <c r="V116">
        <f t="shared" si="7"/>
        <v>148456.76</v>
      </c>
    </row>
    <row r="117" spans="13:22" x14ac:dyDescent="0.3">
      <c r="M117" t="str">
        <f t="shared" si="4"/>
        <v>FFN1</v>
      </c>
      <c r="N117">
        <f t="shared" si="5"/>
        <v>-5310.41</v>
      </c>
      <c r="O117">
        <f t="shared" si="6"/>
        <v>-955.87</v>
      </c>
      <c r="Q117" t="str">
        <f t="shared" ref="Q117:R122" si="8">Q103</f>
        <v>Destrucción de merma y desmedro</v>
      </c>
      <c r="R117">
        <f t="shared" si="8"/>
        <v>2500</v>
      </c>
      <c r="S117">
        <f t="shared" ref="S117" si="9">S103</f>
        <v>450</v>
      </c>
      <c r="U117" t="str">
        <f t="shared" si="7"/>
        <v>FLSMIDTH S.A.C.</v>
      </c>
      <c r="V117">
        <f t="shared" si="7"/>
        <v>76335.086200000005</v>
      </c>
    </row>
    <row r="118" spans="13:22" x14ac:dyDescent="0.3">
      <c r="M118" t="str">
        <f t="shared" si="4"/>
        <v>FFN5</v>
      </c>
      <c r="N118">
        <f t="shared" si="5"/>
        <v>-1869</v>
      </c>
      <c r="O118">
        <f t="shared" si="6"/>
        <v>-336.42</v>
      </c>
      <c r="Q118" t="str">
        <f t="shared" si="8"/>
        <v>Limpieza de Biodigestores</v>
      </c>
      <c r="R118">
        <f t="shared" si="8"/>
        <v>2790</v>
      </c>
      <c r="S118">
        <f t="shared" ref="S118" si="10">S104</f>
        <v>502.2</v>
      </c>
      <c r="U118" t="str">
        <f t="shared" si="7"/>
        <v>ENVASES CAROLINA S.A.C.</v>
      </c>
      <c r="V118">
        <f t="shared" si="7"/>
        <v>57792</v>
      </c>
    </row>
    <row r="119" spans="13:22" x14ac:dyDescent="0.3">
      <c r="Q119" t="str">
        <f t="shared" si="8"/>
        <v>Limpieza de Caja Trampa</v>
      </c>
      <c r="R119">
        <f t="shared" si="8"/>
        <v>11553.099999999999</v>
      </c>
      <c r="S119">
        <f t="shared" ref="S119" si="11">S105</f>
        <v>2079.5699999999997</v>
      </c>
      <c r="U119" t="str">
        <f t="shared" si="7"/>
        <v>GRANJA RINCONADA DEL SUR S.A.</v>
      </c>
      <c r="V119">
        <f t="shared" si="7"/>
        <v>41742.960000000006</v>
      </c>
    </row>
    <row r="120" spans="13:22" x14ac:dyDescent="0.3">
      <c r="Q120" t="str">
        <f t="shared" si="8"/>
        <v>Productos Terminados - RRSS</v>
      </c>
      <c r="R120">
        <f t="shared" si="8"/>
        <v>281523.94</v>
      </c>
      <c r="S120">
        <f t="shared" ref="S120" si="12">S106</f>
        <v>50674.30999999999</v>
      </c>
      <c r="U120" t="str">
        <f t="shared" si="7"/>
        <v>CORP.ELECTROMECANICA EN ING.Y CONSTR.SAC</v>
      </c>
      <c r="V120">
        <f t="shared" si="7"/>
        <v>38800.612399999991</v>
      </c>
    </row>
    <row r="121" spans="13:22" x14ac:dyDescent="0.3">
      <c r="Q121" t="str">
        <f t="shared" si="8"/>
        <v>RAEE</v>
      </c>
      <c r="R121">
        <f t="shared" si="8"/>
        <v>199</v>
      </c>
      <c r="S121">
        <f t="shared" ref="S121" si="13">S107</f>
        <v>35.82</v>
      </c>
      <c r="U121" t="str">
        <f t="shared" si="7"/>
        <v>RESIGRALE S.R.L.</v>
      </c>
      <c r="V121">
        <f t="shared" si="7"/>
        <v>33335</v>
      </c>
    </row>
    <row r="122" spans="13:22" x14ac:dyDescent="0.3">
      <c r="Q122" t="str">
        <f t="shared" si="8"/>
        <v>RCD</v>
      </c>
      <c r="R122">
        <f t="shared" si="8"/>
        <v>4224</v>
      </c>
      <c r="S122">
        <f t="shared" ref="S122" si="14">S108</f>
        <v>760.31999999999994</v>
      </c>
      <c r="U122" t="str">
        <f t="shared" si="7"/>
        <v>UNIVERSIDAD CATOLICA DE SANTA MARIA</v>
      </c>
      <c r="V122">
        <f t="shared" si="7"/>
        <v>30455.559999999998</v>
      </c>
    </row>
    <row r="123" spans="13:22" x14ac:dyDescent="0.3">
      <c r="U123" t="str">
        <f t="shared" si="7"/>
        <v>FAB DE CHOCOLATES LA IBERICA S A</v>
      </c>
      <c r="V123">
        <f t="shared" si="7"/>
        <v>27007.38</v>
      </c>
    </row>
    <row r="124" spans="13:22" x14ac:dyDescent="0.3">
      <c r="U124" t="str">
        <f t="shared" si="7"/>
        <v>COMERCIO SERVICIOS E INVERSIONES YANCE E.I.R.L.</v>
      </c>
      <c r="V124">
        <f t="shared" si="7"/>
        <v>21781.030000000002</v>
      </c>
    </row>
  </sheetData>
  <pageMargins left="0.7" right="0.7" top="0.75" bottom="0.75" header="0.3" footer="0.3"/>
  <drawing r:id="rId10"/>
  <extLst>
    <ext xmlns:x14="http://schemas.microsoft.com/office/spreadsheetml/2009/9/main" uri="{A8765BA9-456A-4dab-B4F3-ACF838C121DE}">
      <x14:slicerList>
        <x14:slicer r:id="rId11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80BB50E4745CF408BAEF8515FF60418" ma:contentTypeVersion="0" ma:contentTypeDescription="Crear nuevo documento." ma:contentTypeScope="" ma:versionID="b9508e1a42f2e366c06c601d6d09e66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a94077bc013d83a5bf6d69a3e33f5f9e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��
</file>

<file path=customXml/itemProps1.xml><?xml version="1.0" encoding="utf-8"?>
<ds:datastoreItem xmlns:ds="http://schemas.openxmlformats.org/officeDocument/2006/customXml" ds:itemID="{4DC0A750-10F3-4BDC-9566-8340652614A5}"/>
</file>

<file path=customXml/itemProps2.xml><?xml version="1.0" encoding="utf-8"?>
<ds:datastoreItem xmlns:ds="http://schemas.openxmlformats.org/officeDocument/2006/customXml" ds:itemID="{F4540243-D0F0-4904-8EA4-CD95A5D35BC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32E613C-6C0F-4153-9AC2-BDBC10BB10D5}">
  <ds:schemaRefs>
    <ds:schemaRef ds:uri="http://schemas.microsoft.com/office/2006/metadata/properties"/>
    <ds:schemaRef ds:uri="http://schemas.microsoft.com/office/infopath/2007/PartnerControls"/>
    <ds:schemaRef ds:uri="ce873127-5234-4ad4-ad85-61fc28132207"/>
    <ds:schemaRef ds:uri="c97ac79a-b521-43e2-b269-2370fa5bb204"/>
    <ds:schemaRef ds:uri="ab9eddc0-6e7f-40e8-8a25-a6194df63471"/>
  </ds:schemaRefs>
</ds:datastoreItem>
</file>

<file path=customXml/itemProps4.xml><?xml version="1.0" encoding="utf-8"?>
<ds:datastoreItem xmlns:ds="http://schemas.openxmlformats.org/officeDocument/2006/customXml" ds:itemID="{48B561C7-81E6-4D56-8635-9037FF4D822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14</vt:i4>
      </vt:variant>
    </vt:vector>
  </HeadingPairs>
  <TitlesOfParts>
    <vt:vector size="23" baseType="lpstr">
      <vt:lpstr>R.Tributaria</vt:lpstr>
      <vt:lpstr>DET IMPUESTO</vt:lpstr>
      <vt:lpstr>COMPRAS Y VENTAS</vt:lpstr>
      <vt:lpstr>CONSOLIDADO</vt:lpstr>
      <vt:lpstr>DETALLE GASTOS FIJOS Y VARIABLE</vt:lpstr>
      <vt:lpstr>COMPRAS</vt:lpstr>
      <vt:lpstr>VENTAS</vt:lpstr>
      <vt:lpstr>Graf</vt:lpstr>
      <vt:lpstr>DASHBOARD</vt:lpstr>
      <vt:lpstr>COMPRAS!CC</vt:lpstr>
      <vt:lpstr>VENTAS!CC</vt:lpstr>
      <vt:lpstr>COMPRAS!OP</vt:lpstr>
      <vt:lpstr>CONSOLIDADO!OP</vt:lpstr>
      <vt:lpstr>VENTAS!OP</vt:lpstr>
      <vt:lpstr>'COMPRAS Y VENTAS'!Print_Area</vt:lpstr>
      <vt:lpstr>CONSOLIDADO!Print_Area</vt:lpstr>
      <vt:lpstr>'DET IMPUESTO'!Print_Area</vt:lpstr>
      <vt:lpstr>'DETALLE GASTOS FIJOS Y VARIABLE'!Print_Area</vt:lpstr>
      <vt:lpstr>R.Tributaria!Print_Area</vt:lpstr>
      <vt:lpstr>COMPRAS!Print_Titles</vt:lpstr>
      <vt:lpstr>VENTAS!Print_Titles</vt:lpstr>
      <vt:lpstr>COMPRAS!TIPODOC</vt:lpstr>
      <vt:lpstr>TIPODOC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AMD</dc:creator>
  <cp:keywords/>
  <dc:description/>
  <cp:lastModifiedBy>Jarek Challco</cp:lastModifiedBy>
  <cp:revision/>
  <dcterms:created xsi:type="dcterms:W3CDTF">2023-02-01T19:20:12Z</dcterms:created>
  <dcterms:modified xsi:type="dcterms:W3CDTF">2025-11-18T20:55:50Z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0x010100B80BB50E4745CF408BAEF8515FF60418</vt:lpwstr>
  </property>
</Properties>
</file>